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6 - Animal welfare/"/>
    </mc:Choice>
  </mc:AlternateContent>
  <xr:revisionPtr revIDLastSave="228" documentId="8_{EEB48B09-C3D2-42C2-9479-8DB6F6F79793}" xr6:coauthVersionLast="47" xr6:coauthVersionMax="47" xr10:uidLastSave="{5B430E44-D95E-4CB9-825E-8375E23FFD71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0" i="2"/>
  <c r="B14" i="2"/>
  <c r="B12" i="2"/>
  <c r="B16" i="2"/>
  <c r="B13" i="2"/>
  <c r="J25" i="2"/>
  <c r="J24" i="2"/>
  <c r="B26" i="2" l="1"/>
  <c r="B27" i="2"/>
  <c r="B24" i="2"/>
  <c r="B25" i="2"/>
  <c r="B23" i="2"/>
  <c r="J11" i="2"/>
  <c r="J7" i="2"/>
  <c r="J8" i="2" s="1"/>
  <c r="J10" i="2" s="1"/>
  <c r="J5" i="2"/>
  <c r="B23" i="1"/>
  <c r="B4" i="2"/>
  <c r="B5" i="2" s="1"/>
  <c r="B21" i="2"/>
  <c r="B22" i="2" s="1"/>
  <c r="B20" i="1"/>
  <c r="B6" i="2"/>
  <c r="H11" i="1"/>
  <c r="L33" i="1"/>
  <c r="R19" i="1"/>
  <c r="I19" i="1"/>
  <c r="J19" i="1" s="1"/>
  <c r="K19" i="1" s="1"/>
  <c r="Q29" i="1"/>
  <c r="P28" i="1"/>
  <c r="O27" i="1"/>
  <c r="N26" i="1"/>
  <c r="M25" i="1"/>
  <c r="L24" i="1"/>
  <c r="K23" i="1"/>
  <c r="J22" i="1"/>
  <c r="I21" i="1"/>
  <c r="L10" i="1"/>
  <c r="G19" i="1" s="1"/>
  <c r="H38" i="1" s="1"/>
  <c r="H39" i="1" s="1"/>
  <c r="L7" i="1"/>
  <c r="B28" i="2" l="1"/>
  <c r="B29" i="2" s="1"/>
  <c r="B30" i="2"/>
  <c r="J9" i="2"/>
  <c r="J12" i="2"/>
  <c r="J13" i="2" s="1"/>
  <c r="B7" i="2"/>
  <c r="B8" i="2" s="1"/>
  <c r="F6" i="2"/>
  <c r="F5" i="2"/>
  <c r="F13" i="2" s="1"/>
  <c r="F4" i="2"/>
  <c r="G46" i="1"/>
  <c r="H59" i="1" s="1"/>
  <c r="H60" i="1" s="1"/>
  <c r="R29" i="1"/>
  <c r="W29" i="1" s="1"/>
  <c r="Q28" i="1"/>
  <c r="R28" i="1" s="1"/>
  <c r="W28" i="1" s="1"/>
  <c r="P27" i="1"/>
  <c r="Q27" i="1" s="1"/>
  <c r="R27" i="1" s="1"/>
  <c r="W27" i="1" s="1"/>
  <c r="O26" i="1"/>
  <c r="P26" i="1" s="1"/>
  <c r="Q26" i="1" s="1"/>
  <c r="R26" i="1" s="1"/>
  <c r="W26" i="1" s="1"/>
  <c r="N25" i="1"/>
  <c r="O25" i="1" s="1"/>
  <c r="P25" i="1" s="1"/>
  <c r="Q25" i="1" s="1"/>
  <c r="R25" i="1" s="1"/>
  <c r="W25" i="1" s="1"/>
  <c r="M24" i="1"/>
  <c r="N24" i="1" s="1"/>
  <c r="O24" i="1" s="1"/>
  <c r="P24" i="1" s="1"/>
  <c r="Q24" i="1" s="1"/>
  <c r="R24" i="1" s="1"/>
  <c r="W24" i="1" s="1"/>
  <c r="L23" i="1"/>
  <c r="M23" i="1" s="1"/>
  <c r="N23" i="1" s="1"/>
  <c r="O23" i="1" s="1"/>
  <c r="P23" i="1" s="1"/>
  <c r="Q23" i="1" s="1"/>
  <c r="R23" i="1" s="1"/>
  <c r="W23" i="1" s="1"/>
  <c r="K22" i="1"/>
  <c r="L22" i="1" s="1"/>
  <c r="M22" i="1" s="1"/>
  <c r="N22" i="1" s="1"/>
  <c r="O22" i="1" s="1"/>
  <c r="P22" i="1" s="1"/>
  <c r="Q22" i="1" s="1"/>
  <c r="R22" i="1" s="1"/>
  <c r="W22" i="1" s="1"/>
  <c r="J21" i="1"/>
  <c r="K21" i="1" s="1"/>
  <c r="L21" i="1" s="1"/>
  <c r="M21" i="1" s="1"/>
  <c r="N21" i="1" s="1"/>
  <c r="O21" i="1" s="1"/>
  <c r="P21" i="1" s="1"/>
  <c r="Q21" i="1" s="1"/>
  <c r="R21" i="1" s="1"/>
  <c r="W21" i="1" s="1"/>
  <c r="I20" i="1"/>
  <c r="J20" i="1" s="1"/>
  <c r="K20" i="1" s="1"/>
  <c r="L20" i="1" s="1"/>
  <c r="M20" i="1" s="1"/>
  <c r="N20" i="1" s="1"/>
  <c r="O20" i="1" s="1"/>
  <c r="P20" i="1" s="1"/>
  <c r="Q20" i="1" s="1"/>
  <c r="R20" i="1" s="1"/>
  <c r="W19" i="1"/>
  <c r="AG23" i="1"/>
  <c r="J14" i="2" l="1"/>
  <c r="F7" i="2"/>
  <c r="F8" i="2"/>
  <c r="B9" i="2"/>
  <c r="B11" i="2" s="1"/>
  <c r="J15" i="2"/>
  <c r="F10" i="2"/>
  <c r="R31" i="1"/>
  <c r="W20" i="1"/>
  <c r="W31" i="1" s="1"/>
  <c r="B9" i="1"/>
  <c r="B10" i="1" s="1"/>
  <c r="B7" i="1"/>
  <c r="B8" i="1" s="1"/>
  <c r="H12" i="1"/>
  <c r="F12" i="2" l="1"/>
  <c r="F14" i="2" s="1"/>
  <c r="F16" i="2" s="1"/>
  <c r="F9" i="2"/>
  <c r="F11" i="2"/>
  <c r="B13" i="1"/>
  <c r="B21" i="1"/>
  <c r="B22" i="1" s="1"/>
  <c r="B24" i="1" s="1"/>
  <c r="B25" i="1" s="1"/>
  <c r="W32" i="1"/>
  <c r="L34" i="1" s="1"/>
  <c r="B11" i="1"/>
  <c r="F15" i="2" l="1"/>
  <c r="B12" i="1"/>
  <c r="B14" i="1" s="1"/>
  <c r="B26" i="1"/>
  <c r="B27" i="1"/>
  <c r="H29" i="1"/>
  <c r="B15" i="1" l="1"/>
  <c r="B16" i="1"/>
  <c r="I29" i="1"/>
  <c r="H28" i="1"/>
  <c r="H27" i="1"/>
  <c r="I28" i="1"/>
  <c r="J29" i="1"/>
  <c r="L19" i="1"/>
  <c r="H26" i="1" s="1"/>
  <c r="J28" i="1" l="1"/>
  <c r="I27" i="1"/>
  <c r="M19" i="1"/>
  <c r="H25" i="1" s="1"/>
  <c r="K29" i="1"/>
  <c r="J27" i="1" l="1"/>
  <c r="N19" i="1"/>
  <c r="H24" i="1" s="1"/>
  <c r="I26" i="1"/>
  <c r="K28" i="1"/>
  <c r="L29" i="1"/>
  <c r="O19" i="1" l="1"/>
  <c r="H23" i="1" s="1"/>
  <c r="J26" i="1"/>
  <c r="M29" i="1"/>
  <c r="K27" i="1"/>
  <c r="I25" i="1"/>
  <c r="L28" i="1"/>
  <c r="H52" i="1" l="1"/>
  <c r="H54" i="1" s="1"/>
  <c r="H55" i="1" s="1"/>
  <c r="H56" i="1" s="1"/>
  <c r="H57" i="1" s="1"/>
  <c r="I52" i="1"/>
  <c r="K52" i="1"/>
  <c r="J52" i="1"/>
  <c r="J25" i="1"/>
  <c r="L27" i="1"/>
  <c r="I24" i="1"/>
  <c r="N29" i="1"/>
  <c r="K26" i="1"/>
  <c r="P19" i="1"/>
  <c r="H22" i="1" s="1"/>
  <c r="M28" i="1"/>
  <c r="H58" i="1" l="1"/>
  <c r="H61" i="1" s="1"/>
  <c r="K25" i="1"/>
  <c r="N28" i="1"/>
  <c r="Q19" i="1"/>
  <c r="H21" i="1" s="1"/>
  <c r="O29" i="1"/>
  <c r="J24" i="1"/>
  <c r="L26" i="1"/>
  <c r="I23" i="1"/>
  <c r="M27" i="1"/>
  <c r="H63" i="1" l="1"/>
  <c r="H62" i="1"/>
  <c r="P29" i="1"/>
  <c r="P31" i="1" s="1"/>
  <c r="N27" i="1"/>
  <c r="N31" i="1" s="1"/>
  <c r="K24" i="1"/>
  <c r="K31" i="1" s="1"/>
  <c r="O28" i="1"/>
  <c r="O31" i="1" s="1"/>
  <c r="H31" i="1"/>
  <c r="H33" i="1" s="1"/>
  <c r="H34" i="1" s="1"/>
  <c r="H35" i="1" s="1"/>
  <c r="L25" i="1"/>
  <c r="L31" i="1" s="1"/>
  <c r="Q31" i="1"/>
  <c r="I22" i="1"/>
  <c r="I31" i="1" s="1"/>
  <c r="J23" i="1"/>
  <c r="J31" i="1" s="1"/>
  <c r="M26" i="1"/>
  <c r="M31" i="1" s="1"/>
  <c r="H36" i="1" l="1"/>
  <c r="H37" i="1" s="1"/>
  <c r="H40" i="1" s="1"/>
  <c r="H42" i="1" s="1"/>
  <c r="H41" i="1" l="1"/>
</calcChain>
</file>

<file path=xl/sharedStrings.xml><?xml version="1.0" encoding="utf-8"?>
<sst xmlns="http://schemas.openxmlformats.org/spreadsheetml/2006/main" count="192" uniqueCount="120">
  <si>
    <t>SHEEP</t>
  </si>
  <si>
    <t>Variant 1 of calculating - HERD</t>
  </si>
  <si>
    <t>Production</t>
  </si>
  <si>
    <t>Parameters</t>
  </si>
  <si>
    <t>Number of ewes in the herd one year</t>
  </si>
  <si>
    <t>Justerat för att få 1 lamm ämnat för slakt för jämförelse</t>
  </si>
  <si>
    <t>Recruitment rate</t>
  </si>
  <si>
    <t>%</t>
  </si>
  <si>
    <t>Ewes aimed for slaugther per year</t>
  </si>
  <si>
    <t>no of ewes*recruitment rate</t>
  </si>
  <si>
    <t>Fertility rate</t>
  </si>
  <si>
    <t>Ewes slaughtered for meat per year</t>
  </si>
  <si>
    <t>ewes aimed for slaughter*mortality</t>
  </si>
  <si>
    <t>Lambs per ewe</t>
  </si>
  <si>
    <t>Born lambs each year</t>
  </si>
  <si>
    <t>no of ewes*lambs per ewe*fertility</t>
  </si>
  <si>
    <t>years</t>
  </si>
  <si>
    <t>Lambs aimed for slaughter each year</t>
  </si>
  <si>
    <t>born lambs-lambs needed for reruitment</t>
  </si>
  <si>
    <t>Mortality sheep</t>
  </si>
  <si>
    <t>Lambs slaughtered each year</t>
  </si>
  <si>
    <t>aimed for slaughter*mortality</t>
  </si>
  <si>
    <t>Mortality lamb</t>
  </si>
  <si>
    <t>Meat from lamb per year</t>
  </si>
  <si>
    <t>kg bonefree</t>
  </si>
  <si>
    <t>Meat yield lamb incl offal</t>
  </si>
  <si>
    <t>kg bonefree meat</t>
  </si>
  <si>
    <t>Meat from ewes per year</t>
  </si>
  <si>
    <t>Meat yield sheep incl offal</t>
  </si>
  <si>
    <t>Total meat per year</t>
  </si>
  <si>
    <t>Lamb per kg meat</t>
  </si>
  <si>
    <t>lamb per kg meat</t>
  </si>
  <si>
    <t>Ewe per kg meat</t>
  </si>
  <si>
    <t>ewe per kg meat</t>
  </si>
  <si>
    <t>Variant 2 of calculating - PER LAMB AND ASSOCIATED EWE</t>
  </si>
  <si>
    <t>No affected calculation</t>
  </si>
  <si>
    <t>No of born lambs during lifetime</t>
  </si>
  <si>
    <t>lambs</t>
  </si>
  <si>
    <t>ewes</t>
  </si>
  <si>
    <t>1/no of lambs during lifetime/mortality sheep</t>
  </si>
  <si>
    <t>meat yield lamb*mortality lamb</t>
  </si>
  <si>
    <t>Meat from corresponding no of ewes</t>
  </si>
  <si>
    <t>ewes per lamb (mortality included)*meat yield sheep</t>
  </si>
  <si>
    <t>Total meat</t>
  </si>
  <si>
    <t>Meat from one lamb  including mortality</t>
  </si>
  <si>
    <t xml:space="preserve">Ewes per lamb including mortality </t>
  </si>
  <si>
    <t>Productive lfetime ewe</t>
  </si>
  <si>
    <t>1/recruitment rate</t>
  </si>
  <si>
    <t>productive years*lambs per ewe*fertility</t>
  </si>
  <si>
    <t>mars1</t>
  </si>
  <si>
    <t>mars2</t>
  </si>
  <si>
    <t>mars3</t>
  </si>
  <si>
    <t>mars4</t>
  </si>
  <si>
    <t>mars5</t>
  </si>
  <si>
    <t>mars6</t>
  </si>
  <si>
    <t>mars7</t>
  </si>
  <si>
    <t>mars8</t>
  </si>
  <si>
    <t>mars9</t>
  </si>
  <si>
    <t>mars10</t>
  </si>
  <si>
    <t>mars11</t>
  </si>
  <si>
    <t>lammar</t>
  </si>
  <si>
    <t>prod lifetime</t>
  </si>
  <si>
    <t>age at slaughter</t>
  </si>
  <si>
    <t>medel</t>
  </si>
  <si>
    <t>antal dräktiga</t>
  </si>
  <si>
    <t>antal att betäcka</t>
  </si>
  <si>
    <t>antal födda lamm</t>
  </si>
  <si>
    <t>antal slaktade lamm</t>
  </si>
  <si>
    <t>kg lammkött</t>
  </si>
  <si>
    <t>25% slås ut varje år</t>
  </si>
  <si>
    <t>antal tackor</t>
  </si>
  <si>
    <t>mars12</t>
  </si>
  <si>
    <t>slår ut äldsta efter 11 lamningar</t>
  </si>
  <si>
    <t>ålder år</t>
  </si>
  <si>
    <t>kg tackkött</t>
  </si>
  <si>
    <t>totalt kött kg</t>
  </si>
  <si>
    <t>ewe/kg meat</t>
  </si>
  <si>
    <t>lamb/kg meat</t>
  </si>
  <si>
    <t>N slakt + död tackor</t>
  </si>
  <si>
    <t>4 years prod lifetime betyder alla lammar vid 1 o 5 års ålder men inte vid 2 o 3 års ålder (ety 90% dräktighet)</t>
  </si>
  <si>
    <t>tackorna slås inte ut även om de inte blir dräktiga</t>
  </si>
  <si>
    <t>Icke dräktiga plus ytterligare tackor slås ut efter varje lamning</t>
  </si>
  <si>
    <t>25 nya tackor sätts in varje år</t>
  </si>
  <si>
    <t>mars år 0</t>
  </si>
  <si>
    <t>survival</t>
  </si>
  <si>
    <t>fert</t>
  </si>
  <si>
    <t>25 nya tackor varje år i besättning med 100 lammande tackor</t>
  </si>
  <si>
    <t>28,3 födda för rekrytering</t>
  </si>
  <si>
    <t>Reversed mortality lamb</t>
  </si>
  <si>
    <t>Reversed mortality ewe</t>
  </si>
  <si>
    <t xml:space="preserve">Ewes pregnant </t>
  </si>
  <si>
    <t>ewes pregnant*lambs per ewe</t>
  </si>
  <si>
    <t>Lambs living each year</t>
  </si>
  <si>
    <t>Lambs dead per year</t>
  </si>
  <si>
    <t>Lambs slaughtered or dead</t>
  </si>
  <si>
    <t>lambs born*reversed mortality</t>
  </si>
  <si>
    <t>Productive life time ewe</t>
  </si>
  <si>
    <t>No of born lambs per ewe per lifetime</t>
  </si>
  <si>
    <t>Meat from one lamb inc mortality</t>
  </si>
  <si>
    <t>Number of ewes in the herd</t>
  </si>
  <si>
    <t>Productive years</t>
  </si>
  <si>
    <t>Meat ewes</t>
  </si>
  <si>
    <t>Meat lambs</t>
  </si>
  <si>
    <t>Ewes per kg meat</t>
  </si>
  <si>
    <t>During four years</t>
  </si>
  <si>
    <t>Slaughtered lambs</t>
  </si>
  <si>
    <t>Per year</t>
  </si>
  <si>
    <t>VARIANT 1 - HERD PER YEAR</t>
  </si>
  <si>
    <t>VARIANT 2 - HERD OVER ALL PRODUCTIVE YEARS</t>
  </si>
  <si>
    <t>slaughtered*mortality</t>
  </si>
  <si>
    <t>Total no of born lambs during productive years</t>
  </si>
  <si>
    <t>Total no of living lambs during productive years</t>
  </si>
  <si>
    <t>born*mortality</t>
  </si>
  <si>
    <t>living - recruitment</t>
  </si>
  <si>
    <t>ewes*no of lamb*fertility</t>
  </si>
  <si>
    <t>Total lambs born - recruitment (lambs affected)</t>
  </si>
  <si>
    <t>Meat from corresponding ewe incl mort</t>
  </si>
  <si>
    <t>No of born lambs minus recruitment</t>
  </si>
  <si>
    <t>Ewe per slaughtered or dead lamb</t>
  </si>
  <si>
    <t>Ewe per lamb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</si>
</sst>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1" fontId="0" fillId="0" borderId="0" xfId="0" applyNumberFormat="1"/>
    <xf numFmtId="166" fontId="0" fillId="4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7" borderId="0" xfId="0" applyFill="1"/>
    <xf numFmtId="0" fontId="0" fillId="0" borderId="5" xfId="0" applyBorder="1"/>
    <xf numFmtId="0" fontId="3" fillId="0" borderId="4" xfId="0" applyFont="1" applyBorder="1"/>
    <xf numFmtId="0" fontId="0" fillId="0" borderId="4" xfId="0" applyBorder="1" applyAlignment="1">
      <alignment horizontal="right"/>
    </xf>
    <xf numFmtId="2" fontId="0" fillId="0" borderId="4" xfId="0" applyNumberFormat="1" applyBorder="1"/>
    <xf numFmtId="1" fontId="0" fillId="7" borderId="0" xfId="0" applyNumberFormat="1" applyFill="1"/>
    <xf numFmtId="1" fontId="0" fillId="5" borderId="0" xfId="0" applyNumberFormat="1" applyFill="1"/>
    <xf numFmtId="1" fontId="3" fillId="5" borderId="0" xfId="0" applyNumberFormat="1" applyFont="1" applyFill="1"/>
    <xf numFmtId="1" fontId="3" fillId="0" borderId="0" xfId="0" applyNumberFormat="1" applyFont="1"/>
    <xf numFmtId="1" fontId="0" fillId="0" borderId="5" xfId="0" applyNumberFormat="1" applyBorder="1"/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6" fontId="0" fillId="6" borderId="0" xfId="0" applyNumberFormat="1" applyFill="1"/>
    <xf numFmtId="0" fontId="0" fillId="8" borderId="4" xfId="0" applyFill="1" applyBorder="1"/>
    <xf numFmtId="166" fontId="0" fillId="8" borderId="0" xfId="0" applyNumberFormat="1" applyFill="1"/>
    <xf numFmtId="0" fontId="0" fillId="8" borderId="0" xfId="0" applyFill="1"/>
    <xf numFmtId="0" fontId="0" fillId="8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7" borderId="0" xfId="0" applyNumberFormat="1" applyFill="1"/>
    <xf numFmtId="164" fontId="0" fillId="5" borderId="0" xfId="0" applyNumberFormat="1" applyFill="1"/>
    <xf numFmtId="166" fontId="0" fillId="0" borderId="0" xfId="0" applyNumberFormat="1"/>
    <xf numFmtId="0" fontId="4" fillId="0" borderId="0" xfId="0" applyFont="1"/>
    <xf numFmtId="0" fontId="5" fillId="0" borderId="0" xfId="0" applyFont="1"/>
    <xf numFmtId="0" fontId="1" fillId="9" borderId="0" xfId="0" applyFont="1" applyFill="1"/>
    <xf numFmtId="0" fontId="0" fillId="10" borderId="0" xfId="0" applyFill="1"/>
    <xf numFmtId="0" fontId="1" fillId="10" borderId="0" xfId="0" applyFont="1" applyFill="1"/>
    <xf numFmtId="166" fontId="0" fillId="2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64"/>
  <sheetViews>
    <sheetView topLeftCell="A6" workbookViewId="0">
      <selection activeCell="E19" sqref="E19"/>
    </sheetView>
  </sheetViews>
  <sheetFormatPr defaultRowHeight="14.4" x14ac:dyDescent="0.3"/>
  <cols>
    <col min="1" max="1" width="33.33203125" customWidth="1"/>
    <col min="2" max="2" width="12.6640625" customWidth="1"/>
    <col min="5" max="5" width="18.44140625" customWidth="1"/>
    <col min="7" max="7" width="15.88671875" customWidth="1"/>
  </cols>
  <sheetData>
    <row r="2" spans="1:24" ht="21" x14ac:dyDescent="0.4">
      <c r="A2" s="1" t="s">
        <v>0</v>
      </c>
    </row>
    <row r="4" spans="1:24" x14ac:dyDescent="0.3">
      <c r="A4" s="2" t="s">
        <v>1</v>
      </c>
      <c r="B4" s="2"/>
      <c r="C4" s="2"/>
      <c r="D4" s="2"/>
      <c r="E4" s="2"/>
    </row>
    <row r="5" spans="1:24" x14ac:dyDescent="0.3">
      <c r="A5" s="3" t="s">
        <v>2</v>
      </c>
      <c r="F5" s="3" t="s">
        <v>3</v>
      </c>
    </row>
    <row r="6" spans="1:24" x14ac:dyDescent="0.3">
      <c r="A6" t="s">
        <v>4</v>
      </c>
      <c r="B6" s="4">
        <v>100</v>
      </c>
      <c r="C6" t="s">
        <v>5</v>
      </c>
      <c r="F6" t="s">
        <v>6</v>
      </c>
      <c r="H6">
        <v>25</v>
      </c>
      <c r="I6" t="s">
        <v>7</v>
      </c>
      <c r="J6" t="s">
        <v>69</v>
      </c>
    </row>
    <row r="7" spans="1:24" x14ac:dyDescent="0.3">
      <c r="A7" t="s">
        <v>8</v>
      </c>
      <c r="B7" s="7">
        <f>B6*H6/100</f>
        <v>25</v>
      </c>
      <c r="C7" s="5" t="s">
        <v>9</v>
      </c>
      <c r="F7" t="s">
        <v>10</v>
      </c>
      <c r="H7">
        <v>90</v>
      </c>
      <c r="I7" t="s">
        <v>7</v>
      </c>
      <c r="L7">
        <f>H7/100</f>
        <v>0.9</v>
      </c>
      <c r="M7" t="s">
        <v>85</v>
      </c>
    </row>
    <row r="8" spans="1:24" x14ac:dyDescent="0.3">
      <c r="A8" t="s">
        <v>11</v>
      </c>
      <c r="B8" s="7">
        <f>B7*(100-H9)/100</f>
        <v>24.375</v>
      </c>
      <c r="C8" s="5" t="s">
        <v>12</v>
      </c>
      <c r="F8" t="s">
        <v>13</v>
      </c>
      <c r="H8">
        <v>1.93</v>
      </c>
    </row>
    <row r="9" spans="1:24" x14ac:dyDescent="0.3">
      <c r="A9" t="s">
        <v>14</v>
      </c>
      <c r="B9" s="6">
        <f>B6*H7/100*H8</f>
        <v>173.7</v>
      </c>
      <c r="C9" s="5" t="s">
        <v>15</v>
      </c>
      <c r="F9" t="s">
        <v>19</v>
      </c>
      <c r="H9">
        <v>2.5</v>
      </c>
      <c r="I9" t="s">
        <v>7</v>
      </c>
    </row>
    <row r="10" spans="1:24" x14ac:dyDescent="0.3">
      <c r="A10" t="s">
        <v>17</v>
      </c>
      <c r="B10" s="7">
        <f>B9-B7</f>
        <v>148.69999999999999</v>
      </c>
      <c r="C10" s="5" t="s">
        <v>18</v>
      </c>
      <c r="F10" t="s">
        <v>22</v>
      </c>
      <c r="H10">
        <v>2</v>
      </c>
      <c r="I10" t="s">
        <v>7</v>
      </c>
      <c r="L10">
        <f>1-(H10/100)</f>
        <v>0.98</v>
      </c>
      <c r="M10" t="s">
        <v>84</v>
      </c>
    </row>
    <row r="11" spans="1:24" x14ac:dyDescent="0.3">
      <c r="A11" t="s">
        <v>20</v>
      </c>
      <c r="B11" s="4">
        <f>B10*(100-H10)/100</f>
        <v>145.726</v>
      </c>
      <c r="C11" s="5" t="s">
        <v>21</v>
      </c>
      <c r="F11" t="s">
        <v>25</v>
      </c>
      <c r="H11">
        <f>20*0.66+0.5</f>
        <v>13.700000000000001</v>
      </c>
      <c r="I11" t="s">
        <v>26</v>
      </c>
    </row>
    <row r="12" spans="1:24" x14ac:dyDescent="0.3">
      <c r="A12" t="s">
        <v>23</v>
      </c>
      <c r="B12" s="6">
        <f>B11*H11</f>
        <v>1996.4462000000001</v>
      </c>
      <c r="C12" t="s">
        <v>24</v>
      </c>
      <c r="F12" t="s">
        <v>28</v>
      </c>
      <c r="H12">
        <f>30*0.66+0.5</f>
        <v>20.3</v>
      </c>
      <c r="I12" t="s">
        <v>26</v>
      </c>
    </row>
    <row r="13" spans="1:24" x14ac:dyDescent="0.3">
      <c r="A13" t="s">
        <v>27</v>
      </c>
      <c r="B13" s="8">
        <f>B8*H12</f>
        <v>494.8125</v>
      </c>
      <c r="C13" t="s">
        <v>24</v>
      </c>
    </row>
    <row r="14" spans="1:24" x14ac:dyDescent="0.3">
      <c r="A14" t="s">
        <v>29</v>
      </c>
      <c r="B14" s="6">
        <f>B12+B13</f>
        <v>2491.2587000000003</v>
      </c>
      <c r="C14" t="s">
        <v>24</v>
      </c>
    </row>
    <row r="15" spans="1:24" x14ac:dyDescent="0.3">
      <c r="A15" t="s">
        <v>30</v>
      </c>
      <c r="B15" s="10">
        <f>B11/((100-H10)/100)/B14</f>
        <v>5.9688702742914643E-2</v>
      </c>
      <c r="C15" t="s">
        <v>31</v>
      </c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3"/>
    </row>
    <row r="16" spans="1:24" x14ac:dyDescent="0.3">
      <c r="A16" t="s">
        <v>32</v>
      </c>
      <c r="B16" s="10">
        <f>B7/B14</f>
        <v>1.0035087885493383E-2</v>
      </c>
      <c r="C16" t="s">
        <v>33</v>
      </c>
      <c r="G16" s="14"/>
      <c r="H16" s="15" t="s">
        <v>86</v>
      </c>
      <c r="N16" t="s">
        <v>81</v>
      </c>
      <c r="X16" s="16"/>
    </row>
    <row r="17" spans="1:33" x14ac:dyDescent="0.3">
      <c r="G17" s="17" t="s">
        <v>87</v>
      </c>
      <c r="H17" t="s">
        <v>60</v>
      </c>
      <c r="X17" s="16"/>
    </row>
    <row r="18" spans="1:33" x14ac:dyDescent="0.3">
      <c r="A18" s="2" t="s">
        <v>34</v>
      </c>
      <c r="B18" s="2"/>
      <c r="C18" s="2"/>
      <c r="D18" s="2"/>
      <c r="E18" s="2"/>
      <c r="G18" s="18" t="s">
        <v>83</v>
      </c>
      <c r="H18" t="s">
        <v>49</v>
      </c>
      <c r="I18" t="s">
        <v>50</v>
      </c>
      <c r="J18" t="s">
        <v>51</v>
      </c>
      <c r="K18" t="s">
        <v>52</v>
      </c>
      <c r="L18" t="s">
        <v>53</v>
      </c>
      <c r="M18" t="s">
        <v>54</v>
      </c>
      <c r="N18" t="s">
        <v>55</v>
      </c>
      <c r="O18" t="s">
        <v>56</v>
      </c>
      <c r="P18" t="s">
        <v>57</v>
      </c>
      <c r="Q18" t="s">
        <v>58</v>
      </c>
      <c r="R18" t="s">
        <v>59</v>
      </c>
      <c r="S18" t="s">
        <v>71</v>
      </c>
      <c r="V18" t="s">
        <v>73</v>
      </c>
      <c r="X18" s="16"/>
    </row>
    <row r="19" spans="1:33" x14ac:dyDescent="0.3">
      <c r="A19" s="3" t="s">
        <v>35</v>
      </c>
      <c r="G19" s="19">
        <f>H19/(L7*L10)</f>
        <v>28.344671201814059</v>
      </c>
      <c r="H19" s="35">
        <v>25</v>
      </c>
      <c r="I19" s="6">
        <f>0.75*H19</f>
        <v>18.75</v>
      </c>
      <c r="J19" s="6">
        <f>0.75*I19</f>
        <v>14.0625</v>
      </c>
      <c r="K19" s="6">
        <f t="shared" ref="K19:R26" si="0">0.75*J19</f>
        <v>10.546875</v>
      </c>
      <c r="L19" s="6">
        <f t="shared" si="0"/>
        <v>7.91015625</v>
      </c>
      <c r="M19" s="6">
        <f t="shared" si="0"/>
        <v>5.9326171875</v>
      </c>
      <c r="N19" s="6">
        <f t="shared" si="0"/>
        <v>4.449462890625</v>
      </c>
      <c r="O19" s="6">
        <f t="shared" si="0"/>
        <v>3.33709716796875</v>
      </c>
      <c r="P19" s="6">
        <f t="shared" si="0"/>
        <v>2.5028228759765625</v>
      </c>
      <c r="Q19" s="6">
        <f t="shared" si="0"/>
        <v>1.8771171569824219</v>
      </c>
      <c r="R19" s="36">
        <f>H20</f>
        <v>5.63</v>
      </c>
      <c r="S19">
        <v>0</v>
      </c>
      <c r="T19" s="22" t="s">
        <v>72</v>
      </c>
      <c r="U19" s="23"/>
      <c r="V19" s="9">
        <v>11</v>
      </c>
      <c r="W19" s="9">
        <f>V19*R19</f>
        <v>61.93</v>
      </c>
      <c r="X19" s="24"/>
      <c r="Y19" s="9"/>
      <c r="Z19" s="9"/>
      <c r="AA19" s="9"/>
      <c r="AB19" s="9"/>
      <c r="AC19" s="9"/>
    </row>
    <row r="20" spans="1:33" x14ac:dyDescent="0.3">
      <c r="A20" t="s">
        <v>46</v>
      </c>
      <c r="B20">
        <f>1/(H6/100)</f>
        <v>4</v>
      </c>
      <c r="C20" t="s">
        <v>16</v>
      </c>
      <c r="E20" s="5" t="s">
        <v>47</v>
      </c>
      <c r="G20" s="14"/>
      <c r="H20" s="36">
        <v>5.63</v>
      </c>
      <c r="I20" s="35">
        <f>H19</f>
        <v>25</v>
      </c>
      <c r="J20" s="6">
        <f>0.75*I20</f>
        <v>18.75</v>
      </c>
      <c r="K20" s="6">
        <f>0.75*J20</f>
        <v>14.0625</v>
      </c>
      <c r="L20" s="6">
        <f t="shared" si="0"/>
        <v>10.546875</v>
      </c>
      <c r="M20" s="6">
        <f t="shared" si="0"/>
        <v>7.91015625</v>
      </c>
      <c r="N20" s="6">
        <f t="shared" si="0"/>
        <v>5.9326171875</v>
      </c>
      <c r="O20" s="6">
        <f t="shared" si="0"/>
        <v>4.449462890625</v>
      </c>
      <c r="P20" s="6">
        <f t="shared" si="0"/>
        <v>3.33709716796875</v>
      </c>
      <c r="Q20" s="6">
        <f t="shared" si="0"/>
        <v>2.5028228759765625</v>
      </c>
      <c r="R20" s="6">
        <f t="shared" si="0"/>
        <v>1.8771171569824219</v>
      </c>
      <c r="S20" s="9"/>
      <c r="T20" s="9"/>
      <c r="U20" s="9"/>
      <c r="V20" s="9">
        <v>10</v>
      </c>
      <c r="W20" s="9">
        <f t="shared" ref="W20:W29" si="1">V20*R20</f>
        <v>18.771171569824219</v>
      </c>
      <c r="X20" s="24"/>
      <c r="Y20" s="9"/>
      <c r="Z20" s="9"/>
      <c r="AA20" s="9"/>
      <c r="AB20" s="9"/>
      <c r="AC20" s="9"/>
      <c r="AD20" s="9"/>
    </row>
    <row r="21" spans="1:33" x14ac:dyDescent="0.3">
      <c r="A21" t="s">
        <v>36</v>
      </c>
      <c r="B21" s="6">
        <f>B20*H8*H7/100</f>
        <v>6.9479999999999995</v>
      </c>
      <c r="C21" t="s">
        <v>37</v>
      </c>
      <c r="E21" s="5" t="s">
        <v>48</v>
      </c>
      <c r="G21" s="14"/>
      <c r="H21" s="6">
        <f>Q19</f>
        <v>1.8771171569824219</v>
      </c>
      <c r="I21" s="36">
        <f>H20</f>
        <v>5.63</v>
      </c>
      <c r="J21" s="35">
        <f>H19</f>
        <v>25</v>
      </c>
      <c r="K21" s="6">
        <f>0.75*J21</f>
        <v>18.75</v>
      </c>
      <c r="L21" s="6">
        <f>0.75*K21</f>
        <v>14.0625</v>
      </c>
      <c r="M21" s="6">
        <f t="shared" si="0"/>
        <v>10.546875</v>
      </c>
      <c r="N21" s="6">
        <f t="shared" si="0"/>
        <v>7.91015625</v>
      </c>
      <c r="O21" s="6">
        <f t="shared" si="0"/>
        <v>5.9326171875</v>
      </c>
      <c r="P21" s="6">
        <f t="shared" si="0"/>
        <v>4.449462890625</v>
      </c>
      <c r="Q21" s="6">
        <f t="shared" si="0"/>
        <v>3.33709716796875</v>
      </c>
      <c r="R21" s="6">
        <f t="shared" si="0"/>
        <v>2.5028228759765625</v>
      </c>
      <c r="S21" s="9"/>
      <c r="T21" s="9"/>
      <c r="U21" s="9"/>
      <c r="V21" s="9">
        <v>9</v>
      </c>
      <c r="W21" s="9">
        <f t="shared" si="1"/>
        <v>22.525405883789063</v>
      </c>
      <c r="X21" s="24"/>
      <c r="Y21" s="9"/>
      <c r="Z21" s="9"/>
      <c r="AA21" s="9"/>
      <c r="AB21" s="9"/>
      <c r="AC21" s="9"/>
      <c r="AD21" s="9"/>
      <c r="AE21" s="9"/>
    </row>
    <row r="22" spans="1:33" x14ac:dyDescent="0.3">
      <c r="A22" t="s">
        <v>45</v>
      </c>
      <c r="B22" s="7">
        <f>1/B21/((100-H9)/100)</f>
        <v>0.14761672792760877</v>
      </c>
      <c r="C22" t="s">
        <v>38</v>
      </c>
      <c r="E22" s="5" t="s">
        <v>39</v>
      </c>
      <c r="G22" s="14"/>
      <c r="H22" s="6">
        <f>P19</f>
        <v>2.5028228759765625</v>
      </c>
      <c r="I22" s="6">
        <f t="shared" ref="I22" si="2">Q19</f>
        <v>1.8771171569824219</v>
      </c>
      <c r="J22" s="36">
        <f>H20</f>
        <v>5.63</v>
      </c>
      <c r="K22" s="35">
        <f>H19</f>
        <v>25</v>
      </c>
      <c r="L22" s="6">
        <f>0.75*K22</f>
        <v>18.75</v>
      </c>
      <c r="M22" s="6">
        <f>0.75*L22</f>
        <v>14.0625</v>
      </c>
      <c r="N22" s="6">
        <f t="shared" si="0"/>
        <v>10.546875</v>
      </c>
      <c r="O22" s="6">
        <f t="shared" si="0"/>
        <v>7.91015625</v>
      </c>
      <c r="P22" s="6">
        <f t="shared" si="0"/>
        <v>5.9326171875</v>
      </c>
      <c r="Q22" s="6">
        <f t="shared" si="0"/>
        <v>4.449462890625</v>
      </c>
      <c r="R22" s="6">
        <f t="shared" si="0"/>
        <v>3.33709716796875</v>
      </c>
      <c r="S22" s="9"/>
      <c r="T22" s="9"/>
      <c r="U22" s="9"/>
      <c r="V22" s="9">
        <v>8</v>
      </c>
      <c r="W22" s="9">
        <f t="shared" si="1"/>
        <v>26.69677734375</v>
      </c>
      <c r="X22" s="24"/>
      <c r="Y22" s="9"/>
      <c r="Z22" s="9"/>
      <c r="AA22" s="9"/>
      <c r="AB22" s="9"/>
      <c r="AC22" s="9"/>
      <c r="AD22" s="9"/>
      <c r="AE22" s="9"/>
      <c r="AF22" s="9"/>
    </row>
    <row r="23" spans="1:33" x14ac:dyDescent="0.3">
      <c r="A23" t="s">
        <v>44</v>
      </c>
      <c r="B23" s="6">
        <f>H11*(100-H10)/100</f>
        <v>13.426000000000002</v>
      </c>
      <c r="C23" t="s">
        <v>24</v>
      </c>
      <c r="E23" s="5" t="s">
        <v>40</v>
      </c>
      <c r="G23" s="14"/>
      <c r="H23" s="6">
        <f>O19</f>
        <v>3.33709716796875</v>
      </c>
      <c r="I23" s="6">
        <f t="shared" ref="I23:J23" si="3">P19</f>
        <v>2.5028228759765625</v>
      </c>
      <c r="J23" s="6">
        <f t="shared" si="3"/>
        <v>1.8771171569824219</v>
      </c>
      <c r="K23" s="36">
        <f>H20</f>
        <v>5.63</v>
      </c>
      <c r="L23" s="35">
        <f>H19</f>
        <v>25</v>
      </c>
      <c r="M23" s="6">
        <f>0.75*L23</f>
        <v>18.75</v>
      </c>
      <c r="N23" s="6">
        <f>0.75*M23</f>
        <v>14.0625</v>
      </c>
      <c r="O23" s="6">
        <f t="shared" si="0"/>
        <v>10.546875</v>
      </c>
      <c r="P23" s="6">
        <f t="shared" si="0"/>
        <v>7.91015625</v>
      </c>
      <c r="Q23" s="6">
        <f t="shared" si="0"/>
        <v>5.9326171875</v>
      </c>
      <c r="R23" s="6">
        <f t="shared" si="0"/>
        <v>4.449462890625</v>
      </c>
      <c r="S23" s="9"/>
      <c r="T23" s="9"/>
      <c r="U23" s="9"/>
      <c r="V23" s="9">
        <v>7</v>
      </c>
      <c r="W23" s="9">
        <f t="shared" si="1"/>
        <v>31.146240234375</v>
      </c>
      <c r="X23" s="24"/>
      <c r="Y23" s="9"/>
      <c r="Z23" s="9"/>
      <c r="AA23" s="9"/>
      <c r="AB23" s="9"/>
      <c r="AC23" s="9"/>
      <c r="AD23" s="9"/>
      <c r="AE23" s="9"/>
      <c r="AF23" s="9"/>
      <c r="AG23" s="9">
        <f t="shared" ref="AG23" si="4">V23</f>
        <v>7</v>
      </c>
    </row>
    <row r="24" spans="1:33" x14ac:dyDescent="0.3">
      <c r="A24" t="s">
        <v>41</v>
      </c>
      <c r="B24" s="8">
        <f>B22*H12</f>
        <v>2.996619576930458</v>
      </c>
      <c r="C24" t="s">
        <v>24</v>
      </c>
      <c r="E24" s="5" t="s">
        <v>42</v>
      </c>
      <c r="G24" s="14"/>
      <c r="H24" s="6">
        <f>N19</f>
        <v>4.449462890625</v>
      </c>
      <c r="I24" s="6">
        <f t="shared" ref="I24:K24" si="5">O19</f>
        <v>3.33709716796875</v>
      </c>
      <c r="J24" s="6">
        <f t="shared" si="5"/>
        <v>2.5028228759765625</v>
      </c>
      <c r="K24" s="6">
        <f t="shared" si="5"/>
        <v>1.8771171569824219</v>
      </c>
      <c r="L24" s="36">
        <f>H20</f>
        <v>5.63</v>
      </c>
      <c r="M24" s="35">
        <f>H19</f>
        <v>25</v>
      </c>
      <c r="N24" s="6">
        <f>0.75*M24</f>
        <v>18.75</v>
      </c>
      <c r="O24" s="6">
        <f>0.75*N24</f>
        <v>14.0625</v>
      </c>
      <c r="P24" s="6">
        <f t="shared" si="0"/>
        <v>10.546875</v>
      </c>
      <c r="Q24" s="6">
        <f t="shared" si="0"/>
        <v>7.91015625</v>
      </c>
      <c r="R24" s="6">
        <f t="shared" si="0"/>
        <v>5.9326171875</v>
      </c>
      <c r="S24" s="9"/>
      <c r="T24" s="9"/>
      <c r="U24" s="9"/>
      <c r="V24" s="9">
        <v>6</v>
      </c>
      <c r="W24" s="9">
        <f t="shared" si="1"/>
        <v>35.595703125</v>
      </c>
      <c r="X24" s="24"/>
      <c r="Y24" s="9"/>
      <c r="Z24" s="9"/>
      <c r="AA24" s="9"/>
    </row>
    <row r="25" spans="1:33" x14ac:dyDescent="0.3">
      <c r="A25" t="s">
        <v>43</v>
      </c>
      <c r="B25" s="6">
        <f>B23+B24</f>
        <v>16.422619576930458</v>
      </c>
      <c r="C25" t="s">
        <v>24</v>
      </c>
      <c r="G25" s="14"/>
      <c r="H25" s="6">
        <f>M19</f>
        <v>5.9326171875</v>
      </c>
      <c r="I25" s="6">
        <f t="shared" ref="I25:L25" si="6">N19</f>
        <v>4.449462890625</v>
      </c>
      <c r="J25" s="6">
        <f t="shared" si="6"/>
        <v>3.33709716796875</v>
      </c>
      <c r="K25" s="6">
        <f t="shared" si="6"/>
        <v>2.5028228759765625</v>
      </c>
      <c r="L25" s="6">
        <f t="shared" si="6"/>
        <v>1.8771171569824219</v>
      </c>
      <c r="M25" s="36">
        <f>H20</f>
        <v>5.63</v>
      </c>
      <c r="N25" s="35">
        <f>H19</f>
        <v>25</v>
      </c>
      <c r="O25" s="6">
        <f>0.75*N25</f>
        <v>18.75</v>
      </c>
      <c r="P25" s="6">
        <f>0.75*O25</f>
        <v>14.0625</v>
      </c>
      <c r="Q25" s="6">
        <f t="shared" si="0"/>
        <v>10.546875</v>
      </c>
      <c r="R25" s="6">
        <f t="shared" si="0"/>
        <v>7.91015625</v>
      </c>
      <c r="S25" s="9"/>
      <c r="T25" s="9"/>
      <c r="U25" s="9"/>
      <c r="V25" s="9">
        <v>5</v>
      </c>
      <c r="W25" s="9">
        <f t="shared" si="1"/>
        <v>39.55078125</v>
      </c>
      <c r="X25" s="24"/>
    </row>
    <row r="26" spans="1:33" x14ac:dyDescent="0.3">
      <c r="A26" t="s">
        <v>30</v>
      </c>
      <c r="B26" s="10">
        <f>1/B25</f>
        <v>6.0891625438656685E-2</v>
      </c>
      <c r="C26" t="s">
        <v>31</v>
      </c>
      <c r="G26" s="14"/>
      <c r="H26" s="6">
        <f>L19</f>
        <v>7.91015625</v>
      </c>
      <c r="I26" s="6">
        <f t="shared" ref="I26:M26" si="7">M19</f>
        <v>5.9326171875</v>
      </c>
      <c r="J26" s="6">
        <f t="shared" si="7"/>
        <v>4.449462890625</v>
      </c>
      <c r="K26" s="6">
        <f t="shared" si="7"/>
        <v>3.33709716796875</v>
      </c>
      <c r="L26" s="6">
        <f t="shared" si="7"/>
        <v>2.5028228759765625</v>
      </c>
      <c r="M26" s="6">
        <f t="shared" si="7"/>
        <v>1.8771171569824219</v>
      </c>
      <c r="N26" s="36">
        <f>H20</f>
        <v>5.63</v>
      </c>
      <c r="O26" s="35">
        <f>H19</f>
        <v>25</v>
      </c>
      <c r="P26" s="6">
        <f>0.75*O26</f>
        <v>18.75</v>
      </c>
      <c r="Q26" s="6">
        <f>0.75*P26</f>
        <v>14.0625</v>
      </c>
      <c r="R26" s="6">
        <f t="shared" si="0"/>
        <v>10.546875</v>
      </c>
      <c r="S26" s="9"/>
      <c r="T26" s="9"/>
      <c r="U26" s="9"/>
      <c r="V26" s="9">
        <v>4</v>
      </c>
      <c r="W26" s="9">
        <f t="shared" si="1"/>
        <v>42.1875</v>
      </c>
      <c r="X26" s="24"/>
      <c r="Y26" s="9"/>
    </row>
    <row r="27" spans="1:33" x14ac:dyDescent="0.3">
      <c r="A27" t="s">
        <v>32</v>
      </c>
      <c r="B27" s="10">
        <f>B22/B25</f>
        <v>8.9886225054480445E-3</v>
      </c>
      <c r="C27" t="s">
        <v>33</v>
      </c>
      <c r="G27" s="14"/>
      <c r="H27" s="6">
        <f t="shared" ref="H27:N27" si="8">K19</f>
        <v>10.546875</v>
      </c>
      <c r="I27" s="6">
        <f t="shared" si="8"/>
        <v>7.91015625</v>
      </c>
      <c r="J27" s="6">
        <f t="shared" si="8"/>
        <v>5.9326171875</v>
      </c>
      <c r="K27" s="6">
        <f t="shared" si="8"/>
        <v>4.449462890625</v>
      </c>
      <c r="L27" s="6">
        <f t="shared" si="8"/>
        <v>3.33709716796875</v>
      </c>
      <c r="M27" s="6">
        <f t="shared" si="8"/>
        <v>2.5028228759765625</v>
      </c>
      <c r="N27" s="6">
        <f t="shared" si="8"/>
        <v>1.8771171569824219</v>
      </c>
      <c r="O27" s="36">
        <f>H20</f>
        <v>5.63</v>
      </c>
      <c r="P27" s="35">
        <f>H19</f>
        <v>25</v>
      </c>
      <c r="Q27" s="6">
        <f>0.75*P27</f>
        <v>18.75</v>
      </c>
      <c r="R27" s="6">
        <f>0.75*Q27</f>
        <v>14.0625</v>
      </c>
      <c r="S27" s="9"/>
      <c r="T27" s="9"/>
      <c r="U27" s="9"/>
      <c r="V27" s="9">
        <v>3</v>
      </c>
      <c r="W27" s="9">
        <f t="shared" si="1"/>
        <v>42.1875</v>
      </c>
      <c r="X27" s="24"/>
      <c r="Y27" s="9"/>
      <c r="Z27" s="9"/>
    </row>
    <row r="28" spans="1:33" x14ac:dyDescent="0.3">
      <c r="G28" s="14"/>
      <c r="H28" s="6">
        <f t="shared" ref="H28:O28" si="9">J19</f>
        <v>14.0625</v>
      </c>
      <c r="I28" s="6">
        <f t="shared" si="9"/>
        <v>10.546875</v>
      </c>
      <c r="J28" s="6">
        <f t="shared" si="9"/>
        <v>7.91015625</v>
      </c>
      <c r="K28" s="6">
        <f t="shared" si="9"/>
        <v>5.9326171875</v>
      </c>
      <c r="L28" s="6">
        <f t="shared" si="9"/>
        <v>4.449462890625</v>
      </c>
      <c r="M28" s="6">
        <f t="shared" si="9"/>
        <v>3.33709716796875</v>
      </c>
      <c r="N28" s="6">
        <f t="shared" si="9"/>
        <v>2.5028228759765625</v>
      </c>
      <c r="O28" s="6">
        <f t="shared" si="9"/>
        <v>1.8771171569824219</v>
      </c>
      <c r="P28" s="36">
        <f>H20</f>
        <v>5.63</v>
      </c>
      <c r="Q28" s="35">
        <f>H19</f>
        <v>25</v>
      </c>
      <c r="R28" s="6">
        <f>0.75*Q28</f>
        <v>18.75</v>
      </c>
      <c r="S28" s="9"/>
      <c r="T28" s="9"/>
      <c r="U28" s="9"/>
      <c r="V28" s="9">
        <v>2</v>
      </c>
      <c r="W28" s="9">
        <f t="shared" si="1"/>
        <v>37.5</v>
      </c>
      <c r="X28" s="24"/>
      <c r="Y28" s="9"/>
      <c r="Z28" s="9"/>
      <c r="AA28" s="9"/>
    </row>
    <row r="29" spans="1:33" x14ac:dyDescent="0.3">
      <c r="G29" s="14"/>
      <c r="H29" s="6">
        <f t="shared" ref="H29:P29" si="10">I19</f>
        <v>18.75</v>
      </c>
      <c r="I29" s="6">
        <f t="shared" si="10"/>
        <v>14.0625</v>
      </c>
      <c r="J29" s="6">
        <f t="shared" si="10"/>
        <v>10.546875</v>
      </c>
      <c r="K29" s="6">
        <f t="shared" si="10"/>
        <v>7.91015625</v>
      </c>
      <c r="L29" s="6">
        <f t="shared" si="10"/>
        <v>5.9326171875</v>
      </c>
      <c r="M29" s="6">
        <f t="shared" si="10"/>
        <v>4.449462890625</v>
      </c>
      <c r="N29" s="6">
        <f t="shared" si="10"/>
        <v>3.33709716796875</v>
      </c>
      <c r="O29" s="6">
        <f t="shared" si="10"/>
        <v>2.5028228759765625</v>
      </c>
      <c r="P29" s="6">
        <f t="shared" si="10"/>
        <v>1.8771171569824219</v>
      </c>
      <c r="Q29" s="36">
        <f>H20</f>
        <v>5.63</v>
      </c>
      <c r="R29" s="35">
        <f>H19</f>
        <v>25</v>
      </c>
      <c r="S29" s="9"/>
      <c r="T29" s="9"/>
      <c r="U29" s="9"/>
      <c r="V29" s="9">
        <v>1</v>
      </c>
      <c r="W29" s="9">
        <f t="shared" si="1"/>
        <v>25</v>
      </c>
      <c r="X29" s="24"/>
      <c r="Y29" s="9"/>
      <c r="Z29" s="9"/>
      <c r="AA29" s="9"/>
      <c r="AB29" s="9"/>
    </row>
    <row r="30" spans="1:33" x14ac:dyDescent="0.3">
      <c r="G30" s="14"/>
      <c r="S30" s="9"/>
      <c r="T30" s="9"/>
      <c r="U30" s="9"/>
      <c r="V30" s="9"/>
      <c r="W30" s="25" t="s">
        <v>63</v>
      </c>
      <c r="X30" s="24"/>
      <c r="Y30" s="9"/>
      <c r="Z30" s="9"/>
      <c r="AA30" s="9"/>
      <c r="AB30" s="9"/>
      <c r="AC30" s="9"/>
    </row>
    <row r="31" spans="1:33" x14ac:dyDescent="0.3">
      <c r="G31" s="14" t="s">
        <v>70</v>
      </c>
      <c r="H31" s="4">
        <f t="shared" ref="H31:R31" si="11">SUM(H19:H30)</f>
        <v>99.99864852905273</v>
      </c>
      <c r="I31" s="4">
        <f t="shared" si="11"/>
        <v>99.99864852905273</v>
      </c>
      <c r="J31" s="4">
        <f t="shared" si="11"/>
        <v>99.99864852905273</v>
      </c>
      <c r="K31" s="4">
        <f t="shared" si="11"/>
        <v>99.99864852905273</v>
      </c>
      <c r="L31" s="4">
        <f t="shared" si="11"/>
        <v>99.99864852905273</v>
      </c>
      <c r="M31" s="4">
        <f t="shared" si="11"/>
        <v>99.99864852905273</v>
      </c>
      <c r="N31" s="4">
        <f t="shared" si="11"/>
        <v>99.99864852905273</v>
      </c>
      <c r="O31" s="4">
        <f t="shared" si="11"/>
        <v>99.99864852905273</v>
      </c>
      <c r="P31" s="4">
        <f t="shared" si="11"/>
        <v>99.99864852905273</v>
      </c>
      <c r="Q31" s="4">
        <f t="shared" si="11"/>
        <v>99.99864852905273</v>
      </c>
      <c r="R31" s="4">
        <f t="shared" si="11"/>
        <v>99.99864852905273</v>
      </c>
      <c r="S31" s="9"/>
      <c r="T31" s="9"/>
      <c r="V31" s="9"/>
      <c r="W31" s="26">
        <f>SUM(W19:W29)/100</f>
        <v>3.8309107940673828</v>
      </c>
      <c r="X31" s="16"/>
    </row>
    <row r="32" spans="1:33" x14ac:dyDescent="0.3">
      <c r="G32" s="14"/>
      <c r="W32" s="26">
        <f>W31-1</f>
        <v>2.8309107940673828</v>
      </c>
      <c r="X32" s="16"/>
    </row>
    <row r="33" spans="7:24" x14ac:dyDescent="0.3">
      <c r="G33" s="14" t="s">
        <v>65</v>
      </c>
      <c r="H33" s="9">
        <f>H31</f>
        <v>99.99864852905273</v>
      </c>
      <c r="J33" t="s">
        <v>62</v>
      </c>
      <c r="K33" s="9"/>
      <c r="L33" s="26">
        <f>W31</f>
        <v>3.8309107940673828</v>
      </c>
      <c r="M33" s="16" t="s">
        <v>16</v>
      </c>
      <c r="X33" s="16"/>
    </row>
    <row r="34" spans="7:24" x14ac:dyDescent="0.3">
      <c r="G34" s="14" t="s">
        <v>64</v>
      </c>
      <c r="H34" s="4">
        <f>H33*H7/100</f>
        <v>89.998783676147454</v>
      </c>
      <c r="J34" t="s">
        <v>61</v>
      </c>
      <c r="L34" s="26">
        <f>W32</f>
        <v>2.8309107940673828</v>
      </c>
      <c r="M34" s="16" t="s">
        <v>16</v>
      </c>
      <c r="X34" s="16"/>
    </row>
    <row r="35" spans="7:24" x14ac:dyDescent="0.3">
      <c r="G35" s="14" t="s">
        <v>66</v>
      </c>
      <c r="H35" s="4">
        <f>H34*H8</f>
        <v>173.69765249496459</v>
      </c>
      <c r="X35" s="16"/>
    </row>
    <row r="36" spans="7:24" x14ac:dyDescent="0.3">
      <c r="G36" s="14" t="s">
        <v>67</v>
      </c>
      <c r="H36" s="4">
        <f>H35-(H35*H10/100)</f>
        <v>170.22369944506531</v>
      </c>
      <c r="X36" s="16"/>
    </row>
    <row r="37" spans="7:24" x14ac:dyDescent="0.3">
      <c r="G37" s="14" t="s">
        <v>68</v>
      </c>
      <c r="H37" s="4">
        <f>H36*H11</f>
        <v>2332.0646823973948</v>
      </c>
      <c r="X37" s="16"/>
    </row>
    <row r="38" spans="7:24" x14ac:dyDescent="0.3">
      <c r="G38" s="14" t="s">
        <v>78</v>
      </c>
      <c r="H38" s="4">
        <f>G19</f>
        <v>28.344671201814059</v>
      </c>
      <c r="X38" s="16"/>
    </row>
    <row r="39" spans="7:24" x14ac:dyDescent="0.3">
      <c r="G39" s="14" t="s">
        <v>74</v>
      </c>
      <c r="H39" s="4">
        <f>H38*H12</f>
        <v>575.39682539682542</v>
      </c>
      <c r="X39" s="16"/>
    </row>
    <row r="40" spans="7:24" x14ac:dyDescent="0.3">
      <c r="G40" s="14" t="s">
        <v>75</v>
      </c>
      <c r="H40" s="4">
        <f>H37+H39</f>
        <v>2907.4615077942203</v>
      </c>
      <c r="X40" s="16"/>
    </row>
    <row r="41" spans="7:24" x14ac:dyDescent="0.3">
      <c r="G41" s="14" t="s">
        <v>77</v>
      </c>
      <c r="H41" s="27">
        <f>H35/H40</f>
        <v>5.974202995613942E-2</v>
      </c>
      <c r="X41" s="16"/>
    </row>
    <row r="42" spans="7:24" x14ac:dyDescent="0.3">
      <c r="G42" s="14" t="s">
        <v>76</v>
      </c>
      <c r="H42" s="27">
        <f>H38/H40</f>
        <v>9.7489411728508401E-3</v>
      </c>
      <c r="X42" s="16"/>
    </row>
    <row r="43" spans="7:24" x14ac:dyDescent="0.3">
      <c r="G43" s="28"/>
      <c r="H43" s="29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1"/>
    </row>
    <row r="44" spans="7:24" x14ac:dyDescent="0.3">
      <c r="G44" s="14"/>
      <c r="H44" t="s">
        <v>82</v>
      </c>
      <c r="X44" s="16"/>
    </row>
    <row r="45" spans="7:24" x14ac:dyDescent="0.3">
      <c r="G45" s="18" t="s">
        <v>83</v>
      </c>
      <c r="H45" t="s">
        <v>49</v>
      </c>
      <c r="I45" t="s">
        <v>50</v>
      </c>
      <c r="J45" t="s">
        <v>51</v>
      </c>
      <c r="K45" t="s">
        <v>52</v>
      </c>
      <c r="L45" t="s">
        <v>53</v>
      </c>
      <c r="M45" s="9" t="s">
        <v>79</v>
      </c>
      <c r="X45" s="16"/>
    </row>
    <row r="46" spans="7:24" x14ac:dyDescent="0.3">
      <c r="G46" s="19">
        <f>G19</f>
        <v>28.344671201814059</v>
      </c>
      <c r="H46" s="20">
        <v>25</v>
      </c>
      <c r="I46" s="9">
        <v>25</v>
      </c>
      <c r="J46" s="9">
        <v>25</v>
      </c>
      <c r="K46" s="21">
        <v>25</v>
      </c>
      <c r="L46" s="9">
        <v>0</v>
      </c>
      <c r="M46" t="s">
        <v>80</v>
      </c>
      <c r="N46" s="9"/>
      <c r="O46" s="9"/>
      <c r="P46" s="9"/>
      <c r="Q46" s="9"/>
      <c r="R46" s="9"/>
      <c r="T46" s="23"/>
      <c r="U46" s="23"/>
      <c r="V46" s="9"/>
      <c r="W46" s="9"/>
      <c r="X46" s="24"/>
    </row>
    <row r="47" spans="7:24" x14ac:dyDescent="0.3">
      <c r="G47" s="14"/>
      <c r="H47" s="21">
        <v>25</v>
      </c>
      <c r="I47" s="20">
        <v>25</v>
      </c>
      <c r="J47" s="9">
        <v>25</v>
      </c>
      <c r="K47" s="9">
        <v>25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24"/>
    </row>
    <row r="48" spans="7:24" x14ac:dyDescent="0.3">
      <c r="G48" s="14"/>
      <c r="H48" s="9">
        <v>25</v>
      </c>
      <c r="I48" s="21">
        <v>25</v>
      </c>
      <c r="J48" s="20">
        <v>25</v>
      </c>
      <c r="K48" s="9">
        <v>25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24"/>
    </row>
    <row r="49" spans="7:24" x14ac:dyDescent="0.3">
      <c r="G49" s="14"/>
      <c r="H49" s="9">
        <v>25</v>
      </c>
      <c r="I49" s="9">
        <v>25</v>
      </c>
      <c r="J49" s="21">
        <v>25</v>
      </c>
      <c r="K49" s="20">
        <v>25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24"/>
    </row>
    <row r="50" spans="7:24" x14ac:dyDescent="0.3">
      <c r="G50" s="14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24"/>
    </row>
    <row r="51" spans="7:24" x14ac:dyDescent="0.3">
      <c r="G51" s="14"/>
      <c r="S51" s="9"/>
      <c r="T51" s="9"/>
      <c r="U51" s="9"/>
      <c r="V51" s="9"/>
      <c r="W51" s="25"/>
      <c r="X51" s="24"/>
    </row>
    <row r="52" spans="7:24" x14ac:dyDescent="0.3">
      <c r="G52" s="14" t="s">
        <v>70</v>
      </c>
      <c r="H52" s="9">
        <f>SUM(H46:H51)</f>
        <v>100</v>
      </c>
      <c r="I52" s="9">
        <f>SUM(I46:I51)</f>
        <v>100</v>
      </c>
      <c r="J52" s="9">
        <f>SUM(J46:J51)</f>
        <v>100</v>
      </c>
      <c r="K52" s="9">
        <f>SUM(K46:K51)</f>
        <v>100</v>
      </c>
      <c r="L52" s="9"/>
      <c r="M52" s="9"/>
      <c r="N52" s="9"/>
      <c r="O52" s="9"/>
      <c r="P52" s="9"/>
      <c r="Q52" s="9"/>
      <c r="R52" s="9"/>
      <c r="S52" s="9"/>
      <c r="T52" s="9"/>
      <c r="V52" s="9"/>
      <c r="W52" s="26"/>
      <c r="X52" s="16"/>
    </row>
    <row r="53" spans="7:24" x14ac:dyDescent="0.3">
      <c r="G53" s="14"/>
      <c r="W53" s="26"/>
      <c r="X53" s="16"/>
    </row>
    <row r="54" spans="7:24" x14ac:dyDescent="0.3">
      <c r="G54" s="14" t="s">
        <v>65</v>
      </c>
      <c r="H54" s="9">
        <f>H52</f>
        <v>100</v>
      </c>
      <c r="J54" t="s">
        <v>62</v>
      </c>
      <c r="K54" s="9"/>
      <c r="L54" s="25">
        <v>5</v>
      </c>
      <c r="M54" s="16" t="s">
        <v>16</v>
      </c>
      <c r="X54" s="16"/>
    </row>
    <row r="55" spans="7:24" x14ac:dyDescent="0.3">
      <c r="G55" s="14" t="s">
        <v>64</v>
      </c>
      <c r="H55">
        <f>H54*H7/100</f>
        <v>90</v>
      </c>
      <c r="J55" t="s">
        <v>61</v>
      </c>
      <c r="L55" s="25">
        <v>4</v>
      </c>
      <c r="M55" s="16" t="s">
        <v>16</v>
      </c>
      <c r="X55" s="16"/>
    </row>
    <row r="56" spans="7:24" x14ac:dyDescent="0.3">
      <c r="G56" s="14" t="s">
        <v>66</v>
      </c>
      <c r="H56">
        <f>H55*H8</f>
        <v>173.7</v>
      </c>
      <c r="X56" s="16"/>
    </row>
    <row r="57" spans="7:24" x14ac:dyDescent="0.3">
      <c r="G57" s="14" t="s">
        <v>67</v>
      </c>
      <c r="H57">
        <f>H56-(H56*H10/100)</f>
        <v>170.226</v>
      </c>
      <c r="X57" s="16"/>
    </row>
    <row r="58" spans="7:24" x14ac:dyDescent="0.3">
      <c r="G58" s="14" t="s">
        <v>68</v>
      </c>
      <c r="H58">
        <f>H57*H11</f>
        <v>2332.0962</v>
      </c>
      <c r="X58" s="16"/>
    </row>
    <row r="59" spans="7:24" x14ac:dyDescent="0.3">
      <c r="G59" s="14" t="s">
        <v>78</v>
      </c>
      <c r="H59" s="4">
        <f>G46</f>
        <v>28.344671201814059</v>
      </c>
      <c r="X59" s="16"/>
    </row>
    <row r="60" spans="7:24" x14ac:dyDescent="0.3">
      <c r="G60" s="14" t="s">
        <v>74</v>
      </c>
      <c r="H60">
        <f>H59*H12</f>
        <v>575.39682539682542</v>
      </c>
      <c r="X60" s="16"/>
    </row>
    <row r="61" spans="7:24" x14ac:dyDescent="0.3">
      <c r="G61" s="14" t="s">
        <v>75</v>
      </c>
      <c r="H61">
        <f>H58+H60</f>
        <v>2907.4930253968255</v>
      </c>
      <c r="X61" s="16"/>
    </row>
    <row r="62" spans="7:24" x14ac:dyDescent="0.3">
      <c r="G62" s="14" t="s">
        <v>77</v>
      </c>
      <c r="H62" s="27">
        <f>H56/H61</f>
        <v>5.9742189743101019E-2</v>
      </c>
      <c r="X62" s="16"/>
    </row>
    <row r="63" spans="7:24" x14ac:dyDescent="0.3">
      <c r="G63" s="14" t="s">
        <v>76</v>
      </c>
      <c r="H63" s="27">
        <f>H59/H61</f>
        <v>9.7488354930603729E-3</v>
      </c>
      <c r="X63" s="16"/>
    </row>
    <row r="64" spans="7:24" x14ac:dyDescent="0.3">
      <c r="G64" s="32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F036-A2EF-4E79-B205-5ADDD11B08C0}">
  <dimension ref="A2:N30"/>
  <sheetViews>
    <sheetView tabSelected="1" workbookViewId="0">
      <selection activeCell="B16" sqref="B16"/>
    </sheetView>
  </sheetViews>
  <sheetFormatPr defaultRowHeight="14.4" x14ac:dyDescent="0.3"/>
  <cols>
    <col min="1" max="1" width="34.77734375" customWidth="1"/>
    <col min="7" max="7" width="22" customWidth="1"/>
    <col min="9" max="9" width="37.33203125" customWidth="1"/>
    <col min="12" max="12" width="33.44140625" customWidth="1"/>
    <col min="15" max="15" width="22.33203125" customWidth="1"/>
  </cols>
  <sheetData>
    <row r="2" spans="1:14" x14ac:dyDescent="0.3">
      <c r="A2" s="40" t="s">
        <v>107</v>
      </c>
      <c r="B2" s="40" t="s">
        <v>106</v>
      </c>
      <c r="C2" s="40"/>
      <c r="D2" s="40"/>
      <c r="E2" s="40"/>
      <c r="F2" s="40" t="s">
        <v>104</v>
      </c>
      <c r="G2" s="40"/>
      <c r="I2" s="42" t="s">
        <v>108</v>
      </c>
      <c r="J2" s="41"/>
      <c r="K2" s="41"/>
    </row>
    <row r="3" spans="1:14" x14ac:dyDescent="0.3">
      <c r="A3" t="s">
        <v>4</v>
      </c>
      <c r="B3" s="7">
        <v>1</v>
      </c>
    </row>
    <row r="4" spans="1:14" x14ac:dyDescent="0.3">
      <c r="A4" t="s">
        <v>8</v>
      </c>
      <c r="B4" s="37">
        <f>B3*J19</f>
        <v>0.25</v>
      </c>
      <c r="C4" s="5" t="s">
        <v>9</v>
      </c>
      <c r="F4">
        <f>B4*4</f>
        <v>1</v>
      </c>
      <c r="I4" t="s">
        <v>99</v>
      </c>
      <c r="J4">
        <v>100</v>
      </c>
    </row>
    <row r="5" spans="1:14" x14ac:dyDescent="0.3">
      <c r="A5" t="s">
        <v>11</v>
      </c>
      <c r="B5" s="37">
        <f>B4*J22</f>
        <v>0.24374999999999999</v>
      </c>
      <c r="C5" s="5" t="s">
        <v>12</v>
      </c>
      <c r="F5">
        <f t="shared" ref="F5:F16" si="0">B5*4</f>
        <v>0.97499999999999998</v>
      </c>
      <c r="I5" t="s">
        <v>100</v>
      </c>
      <c r="J5">
        <f>1/J19</f>
        <v>4</v>
      </c>
    </row>
    <row r="6" spans="1:14" x14ac:dyDescent="0.3">
      <c r="A6" t="s">
        <v>90</v>
      </c>
      <c r="B6">
        <f>B3*J20</f>
        <v>0.9</v>
      </c>
      <c r="F6">
        <f t="shared" si="0"/>
        <v>3.6</v>
      </c>
      <c r="N6" s="38"/>
    </row>
    <row r="7" spans="1:14" x14ac:dyDescent="0.3">
      <c r="A7" t="s">
        <v>14</v>
      </c>
      <c r="B7" s="4">
        <f>J21*B6</f>
        <v>1.7369999999999999</v>
      </c>
      <c r="C7" s="5" t="s">
        <v>91</v>
      </c>
      <c r="F7">
        <f t="shared" si="0"/>
        <v>6.9479999999999995</v>
      </c>
      <c r="I7" t="s">
        <v>110</v>
      </c>
      <c r="J7">
        <f>J4*J5*J21*J20</f>
        <v>694.80000000000007</v>
      </c>
      <c r="K7" s="5" t="s">
        <v>114</v>
      </c>
      <c r="N7" s="38"/>
    </row>
    <row r="8" spans="1:14" x14ac:dyDescent="0.3">
      <c r="A8" t="s">
        <v>92</v>
      </c>
      <c r="B8">
        <f>B7*J23</f>
        <v>1.5632999999999999</v>
      </c>
      <c r="C8" s="5" t="s">
        <v>95</v>
      </c>
      <c r="F8">
        <f t="shared" si="0"/>
        <v>6.2531999999999996</v>
      </c>
      <c r="I8" t="s">
        <v>111</v>
      </c>
      <c r="J8">
        <f>J7*J23</f>
        <v>625.32000000000005</v>
      </c>
      <c r="K8" s="5" t="s">
        <v>112</v>
      </c>
      <c r="N8" s="3"/>
    </row>
    <row r="9" spans="1:14" x14ac:dyDescent="0.3">
      <c r="A9" t="s">
        <v>93</v>
      </c>
      <c r="B9" s="6">
        <f>B7-B8</f>
        <v>0.17369999999999997</v>
      </c>
      <c r="F9">
        <f t="shared" si="0"/>
        <v>0.69479999999999986</v>
      </c>
      <c r="I9" t="s">
        <v>115</v>
      </c>
      <c r="J9" s="41">
        <f>J7-J4</f>
        <v>594.80000000000007</v>
      </c>
    </row>
    <row r="10" spans="1:14" x14ac:dyDescent="0.3">
      <c r="A10" t="s">
        <v>20</v>
      </c>
      <c r="B10" s="7">
        <f>B8-B4</f>
        <v>1.3132999999999999</v>
      </c>
      <c r="C10" s="5" t="s">
        <v>18</v>
      </c>
      <c r="F10" s="39">
        <f t="shared" si="0"/>
        <v>5.2531999999999996</v>
      </c>
      <c r="I10" t="s">
        <v>105</v>
      </c>
      <c r="J10">
        <f>J8-J4</f>
        <v>525.32000000000005</v>
      </c>
      <c r="K10" s="5" t="s">
        <v>113</v>
      </c>
      <c r="N10" s="3"/>
    </row>
    <row r="11" spans="1:14" x14ac:dyDescent="0.3">
      <c r="A11" t="s">
        <v>94</v>
      </c>
      <c r="B11" s="7">
        <f>B9+B10</f>
        <v>1.4869999999999999</v>
      </c>
      <c r="F11">
        <f>B11*4</f>
        <v>5.9479999999999995</v>
      </c>
      <c r="I11" t="s">
        <v>101</v>
      </c>
      <c r="J11">
        <f>J4*J25*J22</f>
        <v>1979.25</v>
      </c>
      <c r="K11" s="5" t="s">
        <v>109</v>
      </c>
    </row>
    <row r="12" spans="1:14" x14ac:dyDescent="0.3">
      <c r="A12" t="s">
        <v>23</v>
      </c>
      <c r="B12" s="4">
        <f>B10*J24</f>
        <v>17.99221</v>
      </c>
      <c r="C12" t="s">
        <v>24</v>
      </c>
      <c r="F12">
        <f>F10*J24</f>
        <v>71.96884</v>
      </c>
      <c r="G12" s="38"/>
      <c r="I12" t="s">
        <v>102</v>
      </c>
      <c r="J12">
        <f>J10*J24</f>
        <v>7196.8840000000009</v>
      </c>
    </row>
    <row r="13" spans="1:14" x14ac:dyDescent="0.3">
      <c r="A13" t="s">
        <v>27</v>
      </c>
      <c r="B13" s="44">
        <f>B5*J25</f>
        <v>4.9481250000000001</v>
      </c>
      <c r="C13" t="s">
        <v>24</v>
      </c>
      <c r="F13">
        <f>F5*J25</f>
        <v>19.7925</v>
      </c>
      <c r="G13" s="38"/>
      <c r="I13" t="s">
        <v>43</v>
      </c>
      <c r="J13">
        <f>J11+J12</f>
        <v>9176.1340000000018</v>
      </c>
    </row>
    <row r="14" spans="1:14" x14ac:dyDescent="0.3">
      <c r="A14" t="s">
        <v>29</v>
      </c>
      <c r="B14" s="6">
        <f>B12+B13</f>
        <v>22.940335000000001</v>
      </c>
      <c r="C14" t="s">
        <v>24</v>
      </c>
      <c r="F14">
        <f>F12+F13</f>
        <v>91.761340000000004</v>
      </c>
      <c r="I14" t="s">
        <v>30</v>
      </c>
      <c r="J14" s="43">
        <f>J9/J13</f>
        <v>6.482032629427599E-2</v>
      </c>
    </row>
    <row r="15" spans="1:14" x14ac:dyDescent="0.3">
      <c r="A15" t="s">
        <v>30</v>
      </c>
      <c r="B15" s="10">
        <f>B11/B14</f>
        <v>6.482032629427599E-2</v>
      </c>
      <c r="C15" t="s">
        <v>31</v>
      </c>
      <c r="F15" s="10">
        <f>F11/F14</f>
        <v>6.482032629427599E-2</v>
      </c>
      <c r="I15" t="s">
        <v>103</v>
      </c>
      <c r="J15" s="43">
        <f>J4/J13</f>
        <v>1.0897835624457966E-2</v>
      </c>
    </row>
    <row r="16" spans="1:14" x14ac:dyDescent="0.3">
      <c r="A16" t="s">
        <v>32</v>
      </c>
      <c r="B16" s="10">
        <f>B4/B14</f>
        <v>1.0897835624457968E-2</v>
      </c>
      <c r="C16" t="s">
        <v>33</v>
      </c>
      <c r="F16" s="10">
        <f>F4/F14</f>
        <v>1.0897835624457968E-2</v>
      </c>
    </row>
    <row r="18" spans="1:11" x14ac:dyDescent="0.3">
      <c r="I18" s="3" t="s">
        <v>3</v>
      </c>
    </row>
    <row r="19" spans="1:11" x14ac:dyDescent="0.3">
      <c r="I19" t="s">
        <v>6</v>
      </c>
      <c r="J19">
        <v>0.25</v>
      </c>
    </row>
    <row r="20" spans="1:11" x14ac:dyDescent="0.3">
      <c r="I20" t="s">
        <v>10</v>
      </c>
      <c r="J20">
        <v>0.9</v>
      </c>
    </row>
    <row r="21" spans="1:11" x14ac:dyDescent="0.3">
      <c r="A21" t="s">
        <v>96</v>
      </c>
      <c r="B21">
        <f>1/J19</f>
        <v>4</v>
      </c>
      <c r="C21" s="5" t="s">
        <v>47</v>
      </c>
      <c r="I21" t="s">
        <v>13</v>
      </c>
      <c r="J21">
        <v>1.93</v>
      </c>
    </row>
    <row r="22" spans="1:11" x14ac:dyDescent="0.3">
      <c r="A22" t="s">
        <v>97</v>
      </c>
      <c r="B22">
        <f>B21*J21*J20</f>
        <v>6.9479999999999995</v>
      </c>
      <c r="C22" s="5" t="s">
        <v>48</v>
      </c>
      <c r="I22" t="s">
        <v>89</v>
      </c>
      <c r="J22">
        <v>0.97499999999999998</v>
      </c>
    </row>
    <row r="23" spans="1:11" x14ac:dyDescent="0.3">
      <c r="A23" t="s">
        <v>117</v>
      </c>
      <c r="B23">
        <f>B22-B22*J19</f>
        <v>5.2109999999999994</v>
      </c>
      <c r="I23" t="s">
        <v>88</v>
      </c>
      <c r="J23">
        <v>0.9</v>
      </c>
    </row>
    <row r="24" spans="1:11" x14ac:dyDescent="0.3">
      <c r="A24" t="s">
        <v>119</v>
      </c>
      <c r="B24">
        <f>1/B22</f>
        <v>0.14392630972941856</v>
      </c>
      <c r="I24" t="s">
        <v>25</v>
      </c>
      <c r="J24">
        <f>20*0.66+0.5</f>
        <v>13.700000000000001</v>
      </c>
      <c r="K24" t="s">
        <v>26</v>
      </c>
    </row>
    <row r="25" spans="1:11" x14ac:dyDescent="0.3">
      <c r="A25" t="s">
        <v>118</v>
      </c>
      <c r="B25" s="7">
        <f>1/B23</f>
        <v>0.19190174630589141</v>
      </c>
      <c r="C25" s="5"/>
      <c r="I25" t="s">
        <v>28</v>
      </c>
      <c r="J25">
        <f>30*0.66+0.5</f>
        <v>20.3</v>
      </c>
      <c r="K25" t="s">
        <v>26</v>
      </c>
    </row>
    <row r="26" spans="1:11" x14ac:dyDescent="0.3">
      <c r="A26" t="s">
        <v>98</v>
      </c>
      <c r="B26">
        <f>J24*J23</f>
        <v>12.330000000000002</v>
      </c>
      <c r="C26" s="5" t="s">
        <v>24</v>
      </c>
    </row>
    <row r="27" spans="1:11" x14ac:dyDescent="0.3">
      <c r="A27" t="s">
        <v>116</v>
      </c>
      <c r="B27">
        <f>B24*J25*J22</f>
        <v>2.8486614853195169</v>
      </c>
    </row>
    <row r="28" spans="1:11" x14ac:dyDescent="0.3">
      <c r="A28" t="s">
        <v>43</v>
      </c>
      <c r="B28">
        <f>B26+B27</f>
        <v>15.17866148531952</v>
      </c>
    </row>
    <row r="29" spans="1:11" x14ac:dyDescent="0.3">
      <c r="A29" t="s">
        <v>30</v>
      </c>
      <c r="B29" s="10">
        <f>1/B28</f>
        <v>6.5881962053582849E-2</v>
      </c>
      <c r="C29" t="s">
        <v>31</v>
      </c>
    </row>
    <row r="30" spans="1:11" x14ac:dyDescent="0.3">
      <c r="A30" t="s">
        <v>32</v>
      </c>
      <c r="B30" s="10">
        <f>B25/B28</f>
        <v>1.2642863568141019E-2</v>
      </c>
      <c r="C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Röös</dc:creator>
  <cp:lastModifiedBy>Elin Röös</cp:lastModifiedBy>
  <dcterms:created xsi:type="dcterms:W3CDTF">2024-09-17T13:43:15Z</dcterms:created>
  <dcterms:modified xsi:type="dcterms:W3CDTF">2024-09-21T15:56:37Z</dcterms:modified>
</cp:coreProperties>
</file>