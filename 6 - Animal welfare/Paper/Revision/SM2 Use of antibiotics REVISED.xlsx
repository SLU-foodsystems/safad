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storage.slu.se\Home$\elinro\My Documents\SLU\Projekt 42 - Plan'eat\WP3\6 - Animal welfare\Paper\Revision\"/>
    </mc:Choice>
  </mc:AlternateContent>
  <xr:revisionPtr revIDLastSave="0" documentId="13_ncr:1_{CBDAB037-5247-4547-939E-BC6F370FA649}" xr6:coauthVersionLast="47" xr6:coauthVersionMax="47" xr10:uidLastSave="{00000000-0000-0000-0000-000000000000}"/>
  <bookViews>
    <workbookView xWindow="-110" yWindow="-110" windowWidth="19420" windowHeight="11500" xr2:uid="{00000000-000D-0000-FFFF-FFFF00000000}"/>
  </bookViews>
  <sheets>
    <sheet name="README" sheetId="9" r:id="rId1"/>
    <sheet name="Antibiotics use index" sheetId="7" r:id="rId2"/>
    <sheet name="Standardised values" sheetId="6" r:id="rId3"/>
    <sheet name="Simple indicator" sheetId="8" r:id="rId4"/>
    <sheet name="Fig. 4" sheetId="10"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8" i="6" l="1"/>
  <c r="B27" i="6"/>
  <c r="B26" i="6"/>
  <c r="B24" i="6"/>
  <c r="I7" i="7" l="1"/>
  <c r="L34" i="6" l="1"/>
  <c r="L29" i="6"/>
  <c r="D29" i="6"/>
  <c r="F28" i="6"/>
  <c r="F29" i="6" s="1"/>
  <c r="B29" i="6"/>
  <c r="L27" i="6"/>
  <c r="F27" i="6"/>
  <c r="D27" i="6"/>
  <c r="N26" i="6"/>
  <c r="N34" i="6" s="1"/>
  <c r="J26" i="6"/>
  <c r="J34" i="6" s="1"/>
  <c r="H26" i="6"/>
  <c r="H34" i="6" s="1"/>
  <c r="F26" i="6"/>
  <c r="D26" i="6"/>
  <c r="N24" i="6"/>
  <c r="J24" i="6"/>
  <c r="H24" i="6"/>
  <c r="F24" i="6"/>
  <c r="D24" i="6"/>
  <c r="P19" i="6"/>
  <c r="K19" i="6" s="1"/>
  <c r="P18" i="6"/>
  <c r="E18" i="6" s="1"/>
  <c r="P17" i="6"/>
  <c r="E17" i="6" s="1"/>
  <c r="P16" i="6"/>
  <c r="E16" i="6" s="1"/>
  <c r="P15" i="6"/>
  <c r="C15" i="6" s="1"/>
  <c r="P14" i="6"/>
  <c r="C14" i="6" s="1"/>
  <c r="P13" i="6"/>
  <c r="K13" i="6" s="1"/>
  <c r="P12" i="6"/>
  <c r="K12" i="6" s="1"/>
  <c r="P11" i="6"/>
  <c r="K11" i="6" s="1"/>
  <c r="P10" i="6"/>
  <c r="M10" i="6" s="1"/>
  <c r="P9" i="6"/>
  <c r="I9" i="6" s="1"/>
  <c r="P8" i="6"/>
  <c r="I8" i="6" s="1"/>
  <c r="P7" i="6"/>
  <c r="I7" i="6" s="1"/>
  <c r="P6" i="6"/>
  <c r="I6" i="6" s="1"/>
  <c r="O39" i="7" l="1"/>
  <c r="AC39" i="7"/>
  <c r="P39" i="7"/>
  <c r="AA39" i="7"/>
  <c r="Q39" i="7"/>
  <c r="W39" i="7"/>
  <c r="N39" i="7"/>
  <c r="X39" i="7"/>
  <c r="F34" i="6"/>
  <c r="B42" i="6" s="1"/>
  <c r="Z39" i="7" s="1"/>
  <c r="M19" i="6"/>
  <c r="D34" i="6"/>
  <c r="B34" i="6"/>
  <c r="M14" i="6"/>
  <c r="O14" i="6"/>
  <c r="G19" i="6"/>
  <c r="I16" i="6"/>
  <c r="K16" i="6"/>
  <c r="G14" i="6"/>
  <c r="C7" i="6"/>
  <c r="O12" i="6"/>
  <c r="G8" i="6"/>
  <c r="O8" i="6"/>
  <c r="G15" i="6"/>
  <c r="G17" i="6"/>
  <c r="O19" i="6"/>
  <c r="C10" i="6"/>
  <c r="I15" i="6"/>
  <c r="I17" i="6"/>
  <c r="E10" i="6"/>
  <c r="E14" i="6"/>
  <c r="K15" i="6"/>
  <c r="K17" i="6"/>
  <c r="K10" i="6"/>
  <c r="O10" i="6"/>
  <c r="K14" i="6"/>
  <c r="G16" i="6"/>
  <c r="G18" i="6"/>
  <c r="E13" i="6"/>
  <c r="I14" i="6"/>
  <c r="I11" i="6"/>
  <c r="I13" i="6"/>
  <c r="I18" i="6"/>
  <c r="G13" i="6"/>
  <c r="M11" i="6"/>
  <c r="M13" i="6"/>
  <c r="K18" i="6"/>
  <c r="E11" i="6"/>
  <c r="O6" i="6"/>
  <c r="O11" i="6"/>
  <c r="O13" i="6"/>
  <c r="G7" i="6"/>
  <c r="C9" i="6"/>
  <c r="G10" i="6"/>
  <c r="M15" i="6"/>
  <c r="M16" i="6"/>
  <c r="M17" i="6"/>
  <c r="M18" i="6"/>
  <c r="K7" i="6"/>
  <c r="E9" i="6"/>
  <c r="E12" i="6"/>
  <c r="O15" i="6"/>
  <c r="O16" i="6"/>
  <c r="O17" i="6"/>
  <c r="O18" i="6"/>
  <c r="G9" i="6"/>
  <c r="C8" i="6"/>
  <c r="K9" i="6"/>
  <c r="I12" i="6"/>
  <c r="C16" i="6"/>
  <c r="C17" i="6"/>
  <c r="C18" i="6"/>
  <c r="C19" i="6"/>
  <c r="G12" i="6"/>
  <c r="E8" i="6"/>
  <c r="O9" i="6"/>
  <c r="M12" i="6"/>
  <c r="E15" i="6"/>
  <c r="E19" i="6"/>
  <c r="E7" i="6"/>
  <c r="K8" i="6"/>
  <c r="C11" i="6"/>
  <c r="C12" i="6"/>
  <c r="C13" i="6"/>
  <c r="C6" i="6"/>
  <c r="G11" i="6"/>
  <c r="E6" i="6"/>
  <c r="G6" i="6"/>
  <c r="O7" i="6"/>
  <c r="I19" i="6"/>
  <c r="K6" i="6"/>
  <c r="I10" i="6"/>
  <c r="M6" i="6"/>
  <c r="M7" i="6"/>
  <c r="M8" i="6"/>
  <c r="M9" i="6"/>
  <c r="L39" i="7" l="1"/>
  <c r="Y39" i="7"/>
  <c r="B38" i="6"/>
  <c r="V39" i="7" s="1"/>
  <c r="K39" i="7"/>
  <c r="B41" i="6"/>
  <c r="AB39" i="7" s="1"/>
  <c r="M39" i="7"/>
  <c r="B39" i="6"/>
  <c r="U39" i="7" s="1"/>
  <c r="I20" i="6"/>
  <c r="C20" i="6"/>
  <c r="K20" i="6"/>
  <c r="G20" i="6"/>
  <c r="E20" i="6"/>
  <c r="O20" i="6"/>
  <c r="M20" i="6"/>
  <c r="I37" i="7"/>
  <c r="L24" i="7" l="1"/>
  <c r="K7" i="7"/>
  <c r="I36" i="7"/>
  <c r="I35" i="7"/>
  <c r="I34" i="7"/>
  <c r="I33" i="7"/>
  <c r="I32" i="7"/>
  <c r="I31" i="7"/>
  <c r="I30" i="7"/>
  <c r="I29" i="7"/>
  <c r="I28" i="7"/>
  <c r="I27" i="7"/>
  <c r="I26" i="7"/>
  <c r="I25" i="7"/>
  <c r="I24" i="7"/>
  <c r="I23" i="7"/>
  <c r="I22" i="7"/>
  <c r="I21" i="7"/>
  <c r="I20" i="7"/>
  <c r="I19" i="7"/>
  <c r="I18" i="7"/>
  <c r="I17" i="7"/>
  <c r="I16" i="7"/>
  <c r="I15" i="7"/>
  <c r="I14" i="7"/>
  <c r="I13" i="7"/>
  <c r="I12" i="7"/>
  <c r="I11" i="7"/>
  <c r="I10" i="7"/>
  <c r="I9" i="7"/>
  <c r="I8" i="7"/>
  <c r="K28" i="7" l="1"/>
  <c r="L8" i="7"/>
  <c r="K35" i="7"/>
  <c r="K37" i="7"/>
  <c r="L35" i="7"/>
  <c r="L37" i="7"/>
  <c r="M34" i="7"/>
  <c r="M37" i="7"/>
  <c r="N35" i="7"/>
  <c r="N37" i="7"/>
  <c r="O31" i="7"/>
  <c r="O37" i="7"/>
  <c r="P34" i="7"/>
  <c r="P37" i="7"/>
  <c r="Q34" i="7"/>
  <c r="Q37" i="7"/>
  <c r="N14" i="7"/>
  <c r="N24" i="7"/>
  <c r="N10" i="7"/>
  <c r="O24" i="7"/>
  <c r="M29" i="7"/>
  <c r="M35" i="7"/>
  <c r="M32" i="7"/>
  <c r="M19" i="7"/>
  <c r="N16" i="7"/>
  <c r="M21" i="7"/>
  <c r="O16" i="7"/>
  <c r="N21" i="7"/>
  <c r="O12" i="7"/>
  <c r="M26" i="7"/>
  <c r="L15" i="7"/>
  <c r="M24" i="7"/>
  <c r="P16" i="7"/>
  <c r="P29" i="7"/>
  <c r="P35" i="7"/>
  <c r="P7" i="7"/>
  <c r="P15" i="7"/>
  <c r="P8" i="7"/>
  <c r="P12" i="7"/>
  <c r="P9" i="7"/>
  <c r="P13" i="7"/>
  <c r="M7" i="7"/>
  <c r="M11" i="7"/>
  <c r="M13" i="7"/>
  <c r="M22" i="7"/>
  <c r="O9" i="7"/>
  <c r="P11" i="7"/>
  <c r="N13" i="7"/>
  <c r="N15" i="7"/>
  <c r="M17" i="7"/>
  <c r="M20" i="7"/>
  <c r="M25" i="7"/>
  <c r="M30" i="7"/>
  <c r="M33" i="7"/>
  <c r="M36" i="7"/>
  <c r="N9" i="7"/>
  <c r="O20" i="7"/>
  <c r="O25" i="7"/>
  <c r="M28" i="7"/>
  <c r="O36" i="7"/>
  <c r="M8" i="7"/>
  <c r="M12" i="7"/>
  <c r="P20" i="7"/>
  <c r="P25" i="7"/>
  <c r="N28" i="7"/>
  <c r="M31" i="7"/>
  <c r="M9" i="7"/>
  <c r="M27" i="7"/>
  <c r="O32" i="7"/>
  <c r="N11" i="7"/>
  <c r="M15" i="7"/>
  <c r="O17" i="7"/>
  <c r="M23" i="7"/>
  <c r="O33" i="7"/>
  <c r="O8" i="7"/>
  <c r="M10" i="7"/>
  <c r="N12" i="7"/>
  <c r="M14" i="7"/>
  <c r="M16" i="7"/>
  <c r="M18" i="7"/>
  <c r="O28" i="7"/>
  <c r="N31" i="7"/>
  <c r="N19" i="7"/>
  <c r="Q9" i="7"/>
  <c r="Q11" i="7"/>
  <c r="Q8" i="7"/>
  <c r="Q26" i="7"/>
  <c r="Q13" i="7"/>
  <c r="Q7" i="7"/>
  <c r="Q17" i="7"/>
  <c r="Q22" i="7"/>
  <c r="Q29" i="7"/>
  <c r="Q12" i="7"/>
  <c r="Q20" i="7"/>
  <c r="Q10" i="7"/>
  <c r="Q19" i="7"/>
  <c r="L23" i="7"/>
  <c r="N26" i="7"/>
  <c r="L32" i="7"/>
  <c r="Q33" i="7"/>
  <c r="Q35" i="7"/>
  <c r="L11" i="7"/>
  <c r="Q16" i="7"/>
  <c r="N18" i="7"/>
  <c r="Q21" i="7"/>
  <c r="N23" i="7"/>
  <c r="N25" i="7"/>
  <c r="N30" i="7"/>
  <c r="N32" i="7"/>
  <c r="L7" i="7"/>
  <c r="N8" i="7"/>
  <c r="Q15" i="7"/>
  <c r="Q18" i="7"/>
  <c r="N20" i="7"/>
  <c r="L27" i="7"/>
  <c r="Q30" i="7"/>
  <c r="N34" i="7"/>
  <c r="N36" i="7"/>
  <c r="N7" i="7"/>
  <c r="Q14" i="7"/>
  <c r="L16" i="7"/>
  <c r="N17" i="7"/>
  <c r="L19" i="7"/>
  <c r="N22" i="7"/>
  <c r="Q25" i="7"/>
  <c r="N27" i="7"/>
  <c r="N29" i="7"/>
  <c r="Q36" i="7"/>
  <c r="N33" i="7"/>
  <c r="K20" i="7"/>
  <c r="K24" i="7"/>
  <c r="P26" i="7"/>
  <c r="K29" i="7"/>
  <c r="P30" i="7"/>
  <c r="K32" i="7"/>
  <c r="P17" i="7"/>
  <c r="P21" i="7"/>
  <c r="P36" i="7"/>
  <c r="P19" i="7"/>
  <c r="P23" i="7"/>
  <c r="P24" i="7"/>
  <c r="P28" i="7"/>
  <c r="P31" i="7"/>
  <c r="P32" i="7"/>
  <c r="K8" i="7"/>
  <c r="P10" i="7"/>
  <c r="K13" i="7"/>
  <c r="P14" i="7"/>
  <c r="Q23" i="7"/>
  <c r="Q24" i="7"/>
  <c r="P27" i="7"/>
  <c r="Q28" i="7"/>
  <c r="Q31" i="7"/>
  <c r="Q32" i="7"/>
  <c r="K36" i="7"/>
  <c r="K12" i="7"/>
  <c r="K16" i="7"/>
  <c r="P18" i="7"/>
  <c r="K21" i="7"/>
  <c r="P22" i="7"/>
  <c r="Q27" i="7"/>
  <c r="K10" i="7"/>
  <c r="L13" i="7"/>
  <c r="O14" i="7"/>
  <c r="K18" i="7"/>
  <c r="L21" i="7"/>
  <c r="O22" i="7"/>
  <c r="K26" i="7"/>
  <c r="L29" i="7"/>
  <c r="O30" i="7"/>
  <c r="P33" i="7"/>
  <c r="K34" i="7"/>
  <c r="L10" i="7"/>
  <c r="O11" i="7"/>
  <c r="K15" i="7"/>
  <c r="L18" i="7"/>
  <c r="O19" i="7"/>
  <c r="K23" i="7"/>
  <c r="L26" i="7"/>
  <c r="O27" i="7"/>
  <c r="K31" i="7"/>
  <c r="L34" i="7"/>
  <c r="O35" i="7"/>
  <c r="L31" i="7"/>
  <c r="K9" i="7"/>
  <c r="L12" i="7"/>
  <c r="O13" i="7"/>
  <c r="K17" i="7"/>
  <c r="L20" i="7"/>
  <c r="O21" i="7"/>
  <c r="K25" i="7"/>
  <c r="L28" i="7"/>
  <c r="O29" i="7"/>
  <c r="K33" i="7"/>
  <c r="L36" i="7"/>
  <c r="L9" i="7"/>
  <c r="O10" i="7"/>
  <c r="K14" i="7"/>
  <c r="L17" i="7"/>
  <c r="O18" i="7"/>
  <c r="K22" i="7"/>
  <c r="L25" i="7"/>
  <c r="O26" i="7"/>
  <c r="K30" i="7"/>
  <c r="L33" i="7"/>
  <c r="O34" i="7"/>
  <c r="O7" i="7"/>
  <c r="K11" i="7"/>
  <c r="L14" i="7"/>
  <c r="O15" i="7"/>
  <c r="K19" i="7"/>
  <c r="L22" i="7"/>
  <c r="O23" i="7"/>
  <c r="K27" i="7"/>
  <c r="L30" i="7"/>
  <c r="R7" i="7" l="1"/>
  <c r="S7" i="7" s="1"/>
  <c r="T7" i="7" s="1"/>
  <c r="AA7" i="7" s="1"/>
  <c r="R37" i="7"/>
  <c r="S37" i="7" s="1"/>
  <c r="T37" i="7" s="1"/>
  <c r="R35" i="7"/>
  <c r="S35" i="7" s="1"/>
  <c r="T35" i="7" s="1"/>
  <c r="Y35" i="7" s="1"/>
  <c r="R36" i="7"/>
  <c r="S36" i="7" s="1"/>
  <c r="T36" i="7" s="1"/>
  <c r="Y36" i="7" s="1"/>
  <c r="R20" i="7"/>
  <c r="S20" i="7" s="1"/>
  <c r="T20" i="7" s="1"/>
  <c r="W20" i="7" s="1"/>
  <c r="R32" i="7"/>
  <c r="S32" i="7" s="1"/>
  <c r="T32" i="7" s="1"/>
  <c r="R16" i="7"/>
  <c r="S16" i="7" s="1"/>
  <c r="T16" i="7" s="1"/>
  <c r="R24" i="7"/>
  <c r="S24" i="7" s="1"/>
  <c r="T24" i="7" s="1"/>
  <c r="R34" i="7"/>
  <c r="S34" i="7" s="1"/>
  <c r="T34" i="7" s="1"/>
  <c r="Y34" i="7" s="1"/>
  <c r="R12" i="7"/>
  <c r="S12" i="7" s="1"/>
  <c r="T12" i="7" s="1"/>
  <c r="AC12" i="7" s="1"/>
  <c r="R13" i="7"/>
  <c r="S13" i="7" s="1"/>
  <c r="T13" i="7" s="1"/>
  <c r="Y13" i="7" s="1"/>
  <c r="R28" i="7"/>
  <c r="S28" i="7" s="1"/>
  <c r="T28" i="7" s="1"/>
  <c r="AB28" i="7" s="1"/>
  <c r="R29" i="7"/>
  <c r="S29" i="7" s="1"/>
  <c r="T29" i="7" s="1"/>
  <c r="AB29" i="7" s="1"/>
  <c r="R8" i="7"/>
  <c r="S8" i="7" s="1"/>
  <c r="T8" i="7" s="1"/>
  <c r="U8" i="7" s="1"/>
  <c r="R25" i="7"/>
  <c r="S25" i="7" s="1"/>
  <c r="T25" i="7" s="1"/>
  <c r="R30" i="7"/>
  <c r="S30" i="7" s="1"/>
  <c r="T30" i="7" s="1"/>
  <c r="R18" i="7"/>
  <c r="S18" i="7" s="1"/>
  <c r="T18" i="7" s="1"/>
  <c r="Y18" i="7" s="1"/>
  <c r="R27" i="7"/>
  <c r="S27" i="7" s="1"/>
  <c r="T27" i="7" s="1"/>
  <c r="R22" i="7"/>
  <c r="S22" i="7" s="1"/>
  <c r="T22" i="7" s="1"/>
  <c r="Y22" i="7" s="1"/>
  <c r="R33" i="7"/>
  <c r="S33" i="7" s="1"/>
  <c r="R26" i="7"/>
  <c r="S26" i="7" s="1"/>
  <c r="T26" i="7" s="1"/>
  <c r="Y26" i="7" s="1"/>
  <c r="R31" i="7"/>
  <c r="S31" i="7" s="1"/>
  <c r="R21" i="7"/>
  <c r="S21" i="7" s="1"/>
  <c r="T21" i="7" s="1"/>
  <c r="R11" i="7"/>
  <c r="S11" i="7" s="1"/>
  <c r="T11" i="7" s="1"/>
  <c r="Y11" i="7" s="1"/>
  <c r="R9" i="7"/>
  <c r="S9" i="7" s="1"/>
  <c r="T9" i="7" s="1"/>
  <c r="Y9" i="7" s="1"/>
  <c r="R15" i="7"/>
  <c r="S15" i="7" s="1"/>
  <c r="T15" i="7" s="1"/>
  <c r="Y15" i="7" s="1"/>
  <c r="R19" i="7"/>
  <c r="S19" i="7" s="1"/>
  <c r="T19" i="7" s="1"/>
  <c r="Y19" i="7" s="1"/>
  <c r="R14" i="7"/>
  <c r="S14" i="7" s="1"/>
  <c r="T14" i="7" s="1"/>
  <c r="Y14" i="7" s="1"/>
  <c r="R17" i="7"/>
  <c r="S17" i="7" s="1"/>
  <c r="T17" i="7" s="1"/>
  <c r="Y17" i="7" s="1"/>
  <c r="R23" i="7"/>
  <c r="S23" i="7" s="1"/>
  <c r="T23" i="7" s="1"/>
  <c r="Y23" i="7" s="1"/>
  <c r="R10" i="7"/>
  <c r="S10" i="7" s="1"/>
  <c r="T10" i="7" s="1"/>
  <c r="Y10" i="7" s="1"/>
  <c r="U7" i="7" l="1"/>
  <c r="V34" i="7"/>
  <c r="U29" i="7"/>
  <c r="X36" i="7"/>
  <c r="AA20" i="7"/>
  <c r="AB36" i="7"/>
  <c r="AC36" i="7"/>
  <c r="Z36" i="7"/>
  <c r="AA36" i="7"/>
  <c r="V36" i="7"/>
  <c r="W36" i="7"/>
  <c r="U36" i="7"/>
  <c r="Y7" i="7"/>
  <c r="Y37" i="7"/>
  <c r="U37" i="7"/>
  <c r="Z37" i="7"/>
  <c r="X37" i="7"/>
  <c r="AC37" i="7"/>
  <c r="AA37" i="7"/>
  <c r="W37" i="7"/>
  <c r="AB37" i="7"/>
  <c r="V37" i="7"/>
  <c r="AC35" i="7"/>
  <c r="W35" i="7"/>
  <c r="V35" i="7"/>
  <c r="Z35" i="7"/>
  <c r="X35" i="7"/>
  <c r="U35" i="7"/>
  <c r="AA35" i="7"/>
  <c r="AB35" i="7"/>
  <c r="AA12" i="7"/>
  <c r="AC34" i="7"/>
  <c r="AB34" i="7"/>
  <c r="Z34" i="7"/>
  <c r="X22" i="7"/>
  <c r="U22" i="7"/>
  <c r="W34" i="7"/>
  <c r="Z22" i="7"/>
  <c r="U34" i="7"/>
  <c r="AC22" i="7"/>
  <c r="V21" i="7"/>
  <c r="Y21" i="7"/>
  <c r="AA30" i="7"/>
  <c r="Y30" i="7"/>
  <c r="V13" i="7"/>
  <c r="X13" i="7"/>
  <c r="AA34" i="7"/>
  <c r="U24" i="7"/>
  <c r="Y24" i="7"/>
  <c r="V25" i="7"/>
  <c r="Y25" i="7"/>
  <c r="U16" i="7"/>
  <c r="Y16" i="7"/>
  <c r="X34" i="7"/>
  <c r="AC26" i="7"/>
  <c r="U30" i="7"/>
  <c r="AA8" i="7"/>
  <c r="Y8" i="7"/>
  <c r="W32" i="7"/>
  <c r="Y32" i="7"/>
  <c r="V12" i="7"/>
  <c r="Y12" i="7"/>
  <c r="X12" i="7"/>
  <c r="X18" i="7"/>
  <c r="W29" i="7"/>
  <c r="Y29" i="7"/>
  <c r="AC20" i="7"/>
  <c r="Y20" i="7"/>
  <c r="Z27" i="7"/>
  <c r="Y27" i="7"/>
  <c r="Z13" i="7"/>
  <c r="W12" i="7"/>
  <c r="W13" i="7"/>
  <c r="W28" i="7"/>
  <c r="Y28" i="7"/>
  <c r="AC32" i="7"/>
  <c r="V29" i="7"/>
  <c r="U20" i="7"/>
  <c r="U12" i="7"/>
  <c r="AC29" i="7"/>
  <c r="AB20" i="7"/>
  <c r="V20" i="7"/>
  <c r="AC28" i="7"/>
  <c r="Z8" i="7"/>
  <c r="AA29" i="7"/>
  <c r="X20" i="7"/>
  <c r="AB32" i="7"/>
  <c r="Z20" i="7"/>
  <c r="U28" i="7"/>
  <c r="X8" i="7"/>
  <c r="W16" i="7"/>
  <c r="AA32" i="7"/>
  <c r="Z24" i="7"/>
  <c r="AC8" i="7"/>
  <c r="AA13" i="7"/>
  <c r="AC13" i="7"/>
  <c r="Z32" i="7"/>
  <c r="AC24" i="7"/>
  <c r="X24" i="7"/>
  <c r="AB24" i="7"/>
  <c r="V32" i="7"/>
  <c r="U13" i="7"/>
  <c r="X32" i="7"/>
  <c r="V24" i="7"/>
  <c r="U32" i="7"/>
  <c r="W24" i="7"/>
  <c r="AA24" i="7"/>
  <c r="Z29" i="7"/>
  <c r="W8" i="7"/>
  <c r="X29" i="7"/>
  <c r="AB13" i="7"/>
  <c r="X25" i="7"/>
  <c r="AC25" i="7"/>
  <c r="AC16" i="7"/>
  <c r="Z12" i="7"/>
  <c r="AA25" i="7"/>
  <c r="V28" i="7"/>
  <c r="X16" i="7"/>
  <c r="Z16" i="7"/>
  <c r="V8" i="7"/>
  <c r="Z30" i="7"/>
  <c r="U25" i="7"/>
  <c r="X28" i="7"/>
  <c r="V16" i="7"/>
  <c r="W25" i="7"/>
  <c r="AB16" i="7"/>
  <c r="AB25" i="7"/>
  <c r="AB8" i="7"/>
  <c r="Z25" i="7"/>
  <c r="AA28" i="7"/>
  <c r="Z28" i="7"/>
  <c r="AA16" i="7"/>
  <c r="AB12" i="7"/>
  <c r="T33" i="7"/>
  <c r="Z26" i="7"/>
  <c r="U27" i="7"/>
  <c r="AA27" i="7"/>
  <c r="AC27" i="7"/>
  <c r="W27" i="7"/>
  <c r="T31" i="7"/>
  <c r="X26" i="7"/>
  <c r="X30" i="7"/>
  <c r="AC30" i="7"/>
  <c r="V18" i="7"/>
  <c r="AA18" i="7"/>
  <c r="W30" i="7"/>
  <c r="W21" i="7"/>
  <c r="AC18" i="7"/>
  <c r="W18" i="7"/>
  <c r="V26" i="7"/>
  <c r="W26" i="7"/>
  <c r="AB18" i="7"/>
  <c r="AB21" i="7"/>
  <c r="AA21" i="7"/>
  <c r="AA26" i="7"/>
  <c r="U21" i="7"/>
  <c r="U26" i="7"/>
  <c r="U18" i="7"/>
  <c r="V30" i="7"/>
  <c r="X21" i="7"/>
  <c r="AB30" i="7"/>
  <c r="AB26" i="7"/>
  <c r="Z18" i="7"/>
  <c r="AC21" i="7"/>
  <c r="AA22" i="7"/>
  <c r="W22" i="7"/>
  <c r="V27" i="7"/>
  <c r="AB22" i="7"/>
  <c r="AB27" i="7"/>
  <c r="V22" i="7"/>
  <c r="X27" i="7"/>
  <c r="Z21" i="7"/>
  <c r="Z23" i="7"/>
  <c r="W23" i="7"/>
  <c r="AB23" i="7"/>
  <c r="U23" i="7"/>
  <c r="AA23" i="7"/>
  <c r="X23" i="7"/>
  <c r="V23" i="7"/>
  <c r="AC23" i="7"/>
  <c r="AA11" i="7"/>
  <c r="Z11" i="7"/>
  <c r="X11" i="7"/>
  <c r="W11" i="7"/>
  <c r="U11" i="7"/>
  <c r="AB11" i="7"/>
  <c r="V11" i="7"/>
  <c r="AC11" i="7"/>
  <c r="Z10" i="7"/>
  <c r="AB10" i="7"/>
  <c r="U10" i="7"/>
  <c r="W10" i="7"/>
  <c r="AA10" i="7"/>
  <c r="AC10" i="7"/>
  <c r="X10" i="7"/>
  <c r="V10" i="7"/>
  <c r="Z15" i="7"/>
  <c r="W15" i="7"/>
  <c r="AB15" i="7"/>
  <c r="U15" i="7"/>
  <c r="X15" i="7"/>
  <c r="AA15" i="7"/>
  <c r="V15" i="7"/>
  <c r="AC15" i="7"/>
  <c r="V17" i="7"/>
  <c r="AB17" i="7"/>
  <c r="U17" i="7"/>
  <c r="W17" i="7"/>
  <c r="AA17" i="7"/>
  <c r="AC17" i="7"/>
  <c r="X17" i="7"/>
  <c r="Z17" i="7"/>
  <c r="AB14" i="7"/>
  <c r="U14" i="7"/>
  <c r="W14" i="7"/>
  <c r="AA14" i="7"/>
  <c r="X14" i="7"/>
  <c r="Z14" i="7"/>
  <c r="V14" i="7"/>
  <c r="AC14" i="7"/>
  <c r="AB7" i="7"/>
  <c r="W7" i="7"/>
  <c r="X7" i="7"/>
  <c r="Z7" i="7"/>
  <c r="AC7" i="7"/>
  <c r="W19" i="7"/>
  <c r="AA19" i="7"/>
  <c r="Z19" i="7"/>
  <c r="X19" i="7"/>
  <c r="U19" i="7"/>
  <c r="AB19" i="7"/>
  <c r="V19" i="7"/>
  <c r="AC19" i="7"/>
  <c r="AB9" i="7"/>
  <c r="U9" i="7"/>
  <c r="AC9" i="7"/>
  <c r="W9" i="7"/>
  <c r="AA9" i="7"/>
  <c r="X9" i="7"/>
  <c r="Z9" i="7"/>
  <c r="V9" i="7"/>
  <c r="V7" i="7" l="1"/>
  <c r="AA31" i="7"/>
  <c r="Y31" i="7"/>
  <c r="W33" i="7"/>
  <c r="Y33" i="7"/>
  <c r="AB31" i="7"/>
  <c r="U31" i="7"/>
  <c r="W31" i="7"/>
  <c r="X31" i="7"/>
  <c r="AC31" i="7"/>
  <c r="AB33" i="7"/>
  <c r="Z33" i="7"/>
  <c r="U33" i="7"/>
  <c r="AA33" i="7"/>
  <c r="V33" i="7"/>
  <c r="AC33" i="7"/>
  <c r="X33" i="7"/>
  <c r="Z31" i="7"/>
  <c r="V31" i="7"/>
</calcChain>
</file>

<file path=xl/sharedStrings.xml><?xml version="1.0" encoding="utf-8"?>
<sst xmlns="http://schemas.openxmlformats.org/spreadsheetml/2006/main" count="197" uniqueCount="135">
  <si>
    <t>by</t>
  </si>
  <si>
    <t xml:space="preserve">Lotta Rydhmer, Professor in Animal Breeding, Swedish University of Agricultural Sciences </t>
  </si>
  <si>
    <t>Elin Röös, Associate Professor in Sustainable Food Systems, Swedish University of Agricultural Sciences</t>
  </si>
  <si>
    <t>Explanation of the sheets:</t>
  </si>
  <si>
    <t>Standard values</t>
  </si>
  <si>
    <t xml:space="preserve">Calculates the 'standardised values' for use of antibiotics for different animal species, i.e. a typical use of antibiotics for a certain species based on the limited amount of species-specific use in literature </t>
  </si>
  <si>
    <t>Simple indicator</t>
  </si>
  <si>
    <t>Actual use</t>
  </si>
  <si>
    <t>https://esvacbi.ema.europa.eu/analytics/saw.dll?Dashboard</t>
  </si>
  <si>
    <t>Expected use</t>
  </si>
  <si>
    <t>Antibiotic use index</t>
  </si>
  <si>
    <t>PCU tonne:</t>
  </si>
  <si>
    <t>Cattle</t>
  </si>
  <si>
    <t>Pigs</t>
  </si>
  <si>
    <t>Poultry</t>
  </si>
  <si>
    <t>Sheep and goats</t>
  </si>
  <si>
    <t>Fish</t>
  </si>
  <si>
    <t>Rabbits</t>
  </si>
  <si>
    <t>Horses</t>
  </si>
  <si>
    <t>Total PCU (tonnes)</t>
  </si>
  <si>
    <t>mg/PCU</t>
  </si>
  <si>
    <t>Total</t>
  </si>
  <si>
    <t>Actual use/ expected use</t>
  </si>
  <si>
    <t>Cattle meat</t>
  </si>
  <si>
    <t>Milk</t>
  </si>
  <si>
    <t>Horse meat</t>
  </si>
  <si>
    <t>Lamb meat</t>
  </si>
  <si>
    <t>Pig meat</t>
  </si>
  <si>
    <t>Chicken meat</t>
  </si>
  <si>
    <t>Rabbit meat</t>
  </si>
  <si>
    <t>Egg</t>
  </si>
  <si>
    <t>Farmed fish</t>
  </si>
  <si>
    <t>Austria</t>
  </si>
  <si>
    <t>Belgium</t>
  </si>
  <si>
    <t>Bulgaria</t>
  </si>
  <si>
    <t>Croatia</t>
  </si>
  <si>
    <t>Cyprus</t>
  </si>
  <si>
    <t>Czech Republic</t>
  </si>
  <si>
    <t>Denmark</t>
  </si>
  <si>
    <t>Estonia</t>
  </si>
  <si>
    <t>Finland</t>
  </si>
  <si>
    <t>France</t>
  </si>
  <si>
    <t>Germany</t>
  </si>
  <si>
    <t>Greece</t>
  </si>
  <si>
    <t>Hungary</t>
  </si>
  <si>
    <t>Iceland</t>
  </si>
  <si>
    <t>Ireland</t>
  </si>
  <si>
    <t>Italy</t>
  </si>
  <si>
    <t>Latvia</t>
  </si>
  <si>
    <t>Lithuania</t>
  </si>
  <si>
    <t>Luxembourg</t>
  </si>
  <si>
    <t>Malta</t>
  </si>
  <si>
    <t>Netherlands</t>
  </si>
  <si>
    <t>Norway</t>
  </si>
  <si>
    <t>Poland</t>
  </si>
  <si>
    <t>Portugal</t>
  </si>
  <si>
    <t>Romania</t>
  </si>
  <si>
    <t>Slovakia</t>
  </si>
  <si>
    <t>Slovenia</t>
  </si>
  <si>
    <t>Spain</t>
  </si>
  <si>
    <t>Sweden</t>
  </si>
  <si>
    <t>Switzerland</t>
  </si>
  <si>
    <t>UK</t>
  </si>
  <si>
    <t>Standardised values, mg per kg</t>
  </si>
  <si>
    <t>Standardised values</t>
  </si>
  <si>
    <t>PCU in tonne and % of total national PCU year 2022 (ESVAC, 2023)</t>
  </si>
  <si>
    <t>%</t>
  </si>
  <si>
    <t>Sheep &amp; goat</t>
  </si>
  <si>
    <t>PCU total</t>
  </si>
  <si>
    <t xml:space="preserve">Population Correction Unit (PCU) is a theoretical unit of measurement developed by the European Medicines Agency (EMA) in 2009 and adopted across Europe. </t>
  </si>
  <si>
    <t>It takes into account a country’s animal population over a year, along with the estimated weight of each particular species at the time of treatment with antibiotics</t>
  </si>
  <si>
    <t>NL</t>
  </si>
  <si>
    <t>Average %</t>
  </si>
  <si>
    <t>Species specific use of antibiotics as available in literature and calculation of standardised values</t>
  </si>
  <si>
    <t>Sheep&amp;goat</t>
  </si>
  <si>
    <t>DK PCU</t>
  </si>
  <si>
    <t>kg sold</t>
  </si>
  <si>
    <t>DANMAP, 2021</t>
  </si>
  <si>
    <t>DK mg/kg</t>
  </si>
  <si>
    <t>NL PCU</t>
  </si>
  <si>
    <t>SDa, 2021</t>
  </si>
  <si>
    <t>NL mg/kg</t>
  </si>
  <si>
    <t>UK mg/kg</t>
  </si>
  <si>
    <t>Cattle, pig, poultry, fish UK-VARSS, 2022 (data fr 2021); Horse Tallon et al (2023) assuming 20% of all horses visits clinic per year; Sheep TESCO, 2024 (data fr 2021)</t>
  </si>
  <si>
    <t>France mg/kg</t>
  </si>
  <si>
    <t>Nunan, 2022 (data fr 2020)</t>
  </si>
  <si>
    <t>Norway mg/kg</t>
  </si>
  <si>
    <t>NORM-VET, 2021</t>
  </si>
  <si>
    <t>Austria mg/kg</t>
  </si>
  <si>
    <t>AGES, 2023</t>
  </si>
  <si>
    <t>Standardised value, mg/kg</t>
  </si>
  <si>
    <t>Allocation</t>
  </si>
  <si>
    <t>Rabbit set to 780 based on French data, since NL has such low rabbit production (i.e. assumed not representative)</t>
  </si>
  <si>
    <t>Allocating 70% to dairy cattle due to considerably more use of antibiotics in dairy than beef production (based on Humphry et al., 2021; Ferroni et al; 2020)</t>
  </si>
  <si>
    <t>Assuming a dairy cow weighs 600 kg and yields 9900 kg of milk per year (Eurostat, average over included countries, 2017-2021)</t>
  </si>
  <si>
    <t>Allocating 87% to broilers and 13% to laying hens (based on UK-VARSS, 2022; TESCO, 2024)</t>
  </si>
  <si>
    <t>Assuming a hen weighs 1.5 kg and lays 16 kg of eggs per year (Eurostat)</t>
  </si>
  <si>
    <t>Poultry meat</t>
  </si>
  <si>
    <t>References</t>
  </si>
  <si>
    <t>Antibiotic sales volumes in veterinary medicine. https://www.ages.at/en/animal/veterinary-medicines-hormones/antibiotic-sales-volumes-in-veterinary-medicine </t>
  </si>
  <si>
    <t>Use of antimicrobial agents and occurrence of antimicrobial resistance in bacteria from food animals, food and humans in Denmark. ISSN 1600-2032. https://www.danmap.org/ </t>
  </si>
  <si>
    <t>ESVAC, 2023</t>
  </si>
  <si>
    <t>European Surveillance of Veterinary Antimicrobial Consumption (ESVAC): 2009 – 2023. European Medicines Agency, Amsterdam. https://www.ema.europa.eu/en/veterinary-regulatory-overview/antimicrobial-resistance-veterinary-medicine/european-surveillance-veterinary-antimicrobial-consumption-esvac-2009-2023  </t>
  </si>
  <si>
    <t>Humphry et al., 2021</t>
  </si>
  <si>
    <t>Humphry, R.W., Henry, M.K., Reeves, A. et al. 2021. Estimating antimicrobial usage based on sales to beef and dairy farms from UK veterinary practices. Vet Record 189(1), e28. https://doi.org/10.1002/vetr.28</t>
  </si>
  <si>
    <t>NORM-VET</t>
  </si>
  <si>
    <t>NORM-VET, 2022. Usage of Antimicrobial Agents and Occurrence of Antimicrobial Resistance in Norway. NORM/NORM-VET 2021. Tromsø, Oslo. ISSN: 1890-9965. www.vetinst.no</t>
  </si>
  <si>
    <t>Nunan, 2022</t>
  </si>
  <si>
    <t>Nunan, C. 2022. Ending routine farm antibiotic use in Europe. Achieving responsible farm antibiotic use through improving animal health and welfare in pig and poultry production. European Public Health Alliance (EPHA), Brussels. https://epha.org/wp-content/uploads/2022/02/report-ending-routine-farm-antibiotic-use-in-europe-final-2022.pdf  https://epha.org/wp-content/uploads/2022/02/report-ending-routine-farm-antibiotic-use-in-europe-final-2022.pdf</t>
  </si>
  <si>
    <t>TESCO, 2024</t>
  </si>
  <si>
    <t>Antibiotics report April 2024. https://www.tescoplc.com/media/ajfhcqvp/antibiotic-report-2024.pdf</t>
  </si>
  <si>
    <t>Tallon et al, 2023</t>
  </si>
  <si>
    <t>Tallon RE, Whitt B, Bladon BM. 2023. Antibiotic usage in 14 equine practices over a 10-year period (2012–2021). Equine Veterinary Journal 56, 544-551 doi.org/10.1111/evj.139888</t>
  </si>
  <si>
    <t>Usage of Antibiotics in Agricultural Livestock in the Netherlands in 2021. Trends and benchmarking of livestock farms and veterinarians. Netherlands Veterinary Medicines Institute (SDa) expert panel June 2022. https://www.autoriteitdiergeneesmiddelen.nl/en </t>
  </si>
  <si>
    <t>UK-VARSS, 2022</t>
  </si>
  <si>
    <t>Veterinary Antibiotic Resistance and Sales Surveillance Report (UK-VARSS 2021). New Haw, Addlestone: Veterinary Medicines Directorate. https://www.gov.uk/government/collections/veterinary-antimicrobial-resistance-and-sales-surveillance </t>
  </si>
  <si>
    <t>Ferroni et al, 2020</t>
  </si>
  <si>
    <t>Ferroni L, Lovito C, Scoccia E, Dalmonte G, Sargenti M, Pezzotti G, Maresca C, Forte C, Magistrali CF. 2020. Antibiotic Consumption on Dairy and Beef Cattle Farms of Central Italy Based on Paper Registers. Antibiotics 9, 273. doi: 10.3390/antibiotics9050273</t>
  </si>
  <si>
    <t>ESVAC total use</t>
  </si>
  <si>
    <t>Expected pig use</t>
  </si>
  <si>
    <t>Expected lamb use</t>
  </si>
  <si>
    <t>rank</t>
  </si>
  <si>
    <t xml:space="preserve">Lower rank is better. For the antibiotic use index, the rank order of countries is the same for all food products </t>
  </si>
  <si>
    <t xml:space="preserve">Ireland and Greece would get a more favourable outcome if the assessment was based only on total use from ESVAC (dark blue) than when based on the Antibiotic use index (lightblue and green) </t>
  </si>
  <si>
    <t>Supplementary Material 2 to</t>
  </si>
  <si>
    <t xml:space="preserve">Fig.4 </t>
  </si>
  <si>
    <t>Figure 4 used in manuscript</t>
  </si>
  <si>
    <t>Figure 4. Antibiotic use in mg per kg of product from different countries</t>
  </si>
  <si>
    <t>Antibiotic use  2022</t>
  </si>
  <si>
    <t xml:space="preserve">Antibiotics use </t>
  </si>
  <si>
    <t>Calculates the antibiotic use indicator for different animal species for all countries for which data is available in ESVAC</t>
  </si>
  <si>
    <t>A comparison between the Antibiotic use indicator developed here and an indicator only considering the total use per country (without ajusting for varying use across species)</t>
  </si>
  <si>
    <t>Comparisson between the antibiotic use indicator and a simple indicator based on total use as reported to ESVAC</t>
  </si>
  <si>
    <t xml:space="preserve">  Rabbit meat, with an average indicator value of 1613 mg per kg meat for the 11 countries, is not included in the diagram.</t>
  </si>
  <si>
    <t>Advancing Metrics for Animal Welfare and Antibiotic Use in Sustainability Assessments of Diets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</si>
</sst>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sz val="11"/>
      <name val="Calibri"/>
      <family val="2"/>
      <scheme val="minor"/>
    </font>
    <font>
      <b/>
      <sz val="12"/>
      <color theme="1"/>
      <name val="Calibri"/>
      <family val="2"/>
      <scheme val="minor"/>
    </font>
    <font>
      <sz val="12"/>
      <color theme="1"/>
      <name val="Calibri"/>
      <family val="2"/>
      <scheme val="minor"/>
    </font>
    <font>
      <i/>
      <sz val="11"/>
      <color theme="1"/>
      <name val="Calibri"/>
      <family val="2"/>
      <scheme val="minor"/>
    </font>
    <font>
      <sz val="16"/>
      <color theme="1"/>
      <name val="Calibri"/>
      <family val="2"/>
      <scheme val="minor"/>
    </font>
    <font>
      <sz val="11"/>
      <color theme="1" tint="0.499984740745262"/>
      <name val="Calibri"/>
      <family val="2"/>
      <scheme val="minor"/>
    </font>
    <font>
      <u/>
      <sz val="11"/>
      <color theme="10"/>
      <name val="Calibri"/>
      <family val="2"/>
      <scheme val="minor"/>
    </font>
    <font>
      <sz val="11"/>
      <color rgb="FFFF0000"/>
      <name val="Calibri"/>
      <family val="2"/>
      <scheme val="minor"/>
    </font>
    <font>
      <sz val="11"/>
      <color theme="1" tint="0.34998626667073579"/>
      <name val="Calibri"/>
      <family val="2"/>
      <scheme val="minor"/>
    </font>
    <font>
      <b/>
      <sz val="11"/>
      <name val="Calibri"/>
      <family val="2"/>
      <scheme val="minor"/>
    </font>
    <font>
      <b/>
      <u/>
      <sz val="11"/>
      <color theme="1"/>
      <name val="Calibri"/>
      <family val="2"/>
      <scheme val="minor"/>
    </font>
    <font>
      <b/>
      <u/>
      <sz val="11"/>
      <name val="Calibri"/>
      <family val="2"/>
      <scheme val="minor"/>
    </font>
    <font>
      <i/>
      <sz val="11"/>
      <name val="Calibri"/>
      <family val="2"/>
      <scheme val="minor"/>
    </font>
    <font>
      <sz val="11"/>
      <color theme="0" tint="-0.34998626667073579"/>
      <name val="Calibri"/>
      <family val="2"/>
      <scheme val="minor"/>
    </font>
    <font>
      <sz val="14"/>
      <color theme="1"/>
      <name val="Calibri"/>
      <family val="2"/>
      <scheme val="minor"/>
    </font>
    <font>
      <i/>
      <sz val="14"/>
      <color theme="1"/>
      <name val="Calibri"/>
      <family val="2"/>
      <scheme val="minor"/>
    </font>
    <font>
      <sz val="12"/>
      <name val="Calibri"/>
      <family val="2"/>
      <scheme val="minor"/>
    </font>
    <font>
      <sz val="11"/>
      <color theme="1"/>
      <name val="Calibri"/>
      <family val="2"/>
    </font>
  </fonts>
  <fills count="8">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9" tint="0.79998168889431442"/>
        <bgColor indexed="64"/>
      </patternFill>
    </fill>
  </fills>
  <borders count="18">
    <border>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indexed="64"/>
      </left>
      <right/>
      <top style="thin">
        <color indexed="64"/>
      </top>
      <bottom/>
      <diagonal/>
    </border>
    <border>
      <left style="medium">
        <color indexed="64"/>
      </left>
      <right/>
      <top/>
      <bottom style="thin">
        <color indexed="64"/>
      </bottom>
      <diagonal/>
    </border>
  </borders>
  <cellStyleXfs count="2">
    <xf numFmtId="0" fontId="0" fillId="0" borderId="0"/>
    <xf numFmtId="0" fontId="8" fillId="0" borderId="0" applyNumberFormat="0" applyFill="0" applyBorder="0" applyAlignment="0" applyProtection="0"/>
  </cellStyleXfs>
  <cellXfs count="149">
    <xf numFmtId="0" fontId="0" fillId="0" borderId="0" xfId="0"/>
    <xf numFmtId="0" fontId="0" fillId="2" borderId="0" xfId="0" applyFill="1"/>
    <xf numFmtId="164" fontId="0" fillId="0" borderId="0" xfId="0" applyNumberFormat="1"/>
    <xf numFmtId="0" fontId="0" fillId="0" borderId="1" xfId="0" applyBorder="1"/>
    <xf numFmtId="164" fontId="1" fillId="0" borderId="0" xfId="0" applyNumberFormat="1" applyFont="1"/>
    <xf numFmtId="0" fontId="2" fillId="0" borderId="0" xfId="0" applyFont="1"/>
    <xf numFmtId="0" fontId="0" fillId="0" borderId="2" xfId="0" applyBorder="1"/>
    <xf numFmtId="1" fontId="0" fillId="0" borderId="2" xfId="0" applyNumberFormat="1" applyBorder="1"/>
    <xf numFmtId="164" fontId="0" fillId="0" borderId="2" xfId="0" applyNumberFormat="1" applyBorder="1"/>
    <xf numFmtId="0" fontId="0" fillId="0" borderId="4" xfId="0" applyBorder="1"/>
    <xf numFmtId="0" fontId="0" fillId="0" borderId="5" xfId="0" applyBorder="1"/>
    <xf numFmtId="0" fontId="0" fillId="0" borderId="6" xfId="0" applyBorder="1"/>
    <xf numFmtId="164" fontId="0" fillId="0" borderId="6" xfId="0" applyNumberFormat="1" applyBorder="1"/>
    <xf numFmtId="0" fontId="1" fillId="0" borderId="6" xfId="0" applyFont="1" applyBorder="1"/>
    <xf numFmtId="0" fontId="3" fillId="0" borderId="3" xfId="0" applyFont="1" applyBorder="1"/>
    <xf numFmtId="0" fontId="4" fillId="0" borderId="4" xfId="0" applyFont="1" applyBorder="1"/>
    <xf numFmtId="164" fontId="1" fillId="0" borderId="2" xfId="0" applyNumberFormat="1" applyFont="1" applyBorder="1"/>
    <xf numFmtId="0" fontId="6" fillId="0" borderId="0" xfId="0" applyFont="1"/>
    <xf numFmtId="1" fontId="0" fillId="0" borderId="6" xfId="0" applyNumberFormat="1" applyBorder="1"/>
    <xf numFmtId="1" fontId="0" fillId="0" borderId="1" xfId="0" applyNumberFormat="1" applyBorder="1"/>
    <xf numFmtId="1" fontId="0" fillId="0" borderId="7" xfId="0" applyNumberFormat="1" applyBorder="1"/>
    <xf numFmtId="1" fontId="0" fillId="0" borderId="0" xfId="0" applyNumberFormat="1"/>
    <xf numFmtId="2" fontId="5" fillId="0" borderId="0" xfId="0" applyNumberFormat="1" applyFont="1"/>
    <xf numFmtId="164" fontId="0" fillId="2" borderId="1" xfId="0" applyNumberFormat="1" applyFill="1" applyBorder="1"/>
    <xf numFmtId="0" fontId="0" fillId="4" borderId="6" xfId="0" applyFill="1" applyBorder="1" applyAlignment="1">
      <alignment horizontal="center" vertical="top"/>
    </xf>
    <xf numFmtId="0" fontId="0" fillId="4" borderId="0" xfId="0" applyFill="1" applyAlignment="1">
      <alignment horizontal="center" vertical="top"/>
    </xf>
    <xf numFmtId="0" fontId="0" fillId="4" borderId="0" xfId="0" applyFill="1" applyAlignment="1">
      <alignment horizontal="center" vertical="top" wrapText="1"/>
    </xf>
    <xf numFmtId="0" fontId="0" fillId="4" borderId="1" xfId="0" applyFill="1" applyBorder="1" applyAlignment="1">
      <alignment horizontal="center" vertical="top"/>
    </xf>
    <xf numFmtId="0" fontId="0" fillId="4" borderId="6" xfId="0" applyFill="1" applyBorder="1" applyAlignment="1">
      <alignment horizontal="center" vertical="top" wrapText="1"/>
    </xf>
    <xf numFmtId="0" fontId="0" fillId="4" borderId="1" xfId="0" applyFill="1" applyBorder="1" applyAlignment="1">
      <alignment horizontal="center" vertical="top" wrapText="1"/>
    </xf>
    <xf numFmtId="0" fontId="7" fillId="0" borderId="0" xfId="0" applyFont="1"/>
    <xf numFmtId="164" fontId="0" fillId="2" borderId="0" xfId="0" applyNumberFormat="1" applyFill="1"/>
    <xf numFmtId="164" fontId="0" fillId="2" borderId="2" xfId="0" applyNumberFormat="1" applyFill="1" applyBorder="1"/>
    <xf numFmtId="2" fontId="5" fillId="0" borderId="9" xfId="0" applyNumberFormat="1" applyFont="1" applyBorder="1"/>
    <xf numFmtId="2" fontId="5" fillId="0" borderId="8" xfId="0" applyNumberFormat="1" applyFont="1" applyBorder="1"/>
    <xf numFmtId="0" fontId="0" fillId="2" borderId="1" xfId="0" applyFill="1" applyBorder="1"/>
    <xf numFmtId="0" fontId="0" fillId="2" borderId="7" xfId="0" applyFill="1" applyBorder="1"/>
    <xf numFmtId="0" fontId="8" fillId="0" borderId="4" xfId="1" applyBorder="1"/>
    <xf numFmtId="0" fontId="0" fillId="5" borderId="6" xfId="0" applyFill="1" applyBorder="1"/>
    <xf numFmtId="0" fontId="0" fillId="5" borderId="0" xfId="0" applyFill="1"/>
    <xf numFmtId="164" fontId="1" fillId="5" borderId="0" xfId="0" applyNumberFormat="1" applyFont="1" applyFill="1"/>
    <xf numFmtId="164" fontId="0" fillId="5" borderId="6" xfId="0" applyNumberFormat="1" applyFill="1" applyBorder="1"/>
    <xf numFmtId="164" fontId="0" fillId="5" borderId="0" xfId="0" applyNumberFormat="1" applyFill="1"/>
    <xf numFmtId="164" fontId="0" fillId="5" borderId="1" xfId="0" applyNumberFormat="1" applyFill="1" applyBorder="1"/>
    <xf numFmtId="2" fontId="5" fillId="5" borderId="0" xfId="0" applyNumberFormat="1" applyFont="1" applyFill="1"/>
    <xf numFmtId="1" fontId="0" fillId="5" borderId="6" xfId="0" applyNumberFormat="1" applyFill="1" applyBorder="1"/>
    <xf numFmtId="1" fontId="0" fillId="5" borderId="0" xfId="0" applyNumberFormat="1" applyFill="1"/>
    <xf numFmtId="1" fontId="0" fillId="5" borderId="1" xfId="0" applyNumberFormat="1" applyFill="1" applyBorder="1"/>
    <xf numFmtId="0" fontId="0" fillId="0" borderId="10" xfId="0" applyBorder="1"/>
    <xf numFmtId="0" fontId="0" fillId="0" borderId="3" xfId="0" applyBorder="1"/>
    <xf numFmtId="164" fontId="0" fillId="0" borderId="5" xfId="0" applyNumberFormat="1" applyBorder="1"/>
    <xf numFmtId="0" fontId="2" fillId="0" borderId="3" xfId="0" applyFont="1" applyBorder="1"/>
    <xf numFmtId="164" fontId="2" fillId="6" borderId="5" xfId="0" applyNumberFormat="1" applyFont="1" applyFill="1" applyBorder="1"/>
    <xf numFmtId="164" fontId="0" fillId="0" borderId="1" xfId="0" applyNumberFormat="1" applyBorder="1"/>
    <xf numFmtId="164" fontId="0" fillId="7" borderId="1" xfId="0" applyNumberFormat="1" applyFill="1" applyBorder="1"/>
    <xf numFmtId="0" fontId="2" fillId="0" borderId="6" xfId="0" applyFont="1" applyBorder="1"/>
    <xf numFmtId="164" fontId="2" fillId="6" borderId="1" xfId="0" applyNumberFormat="1" applyFont="1" applyFill="1" applyBorder="1"/>
    <xf numFmtId="164" fontId="2" fillId="0" borderId="1" xfId="0" applyNumberFormat="1" applyFont="1" applyBorder="1"/>
    <xf numFmtId="164" fontId="0" fillId="6" borderId="1" xfId="0" applyNumberFormat="1" applyFill="1" applyBorder="1"/>
    <xf numFmtId="164" fontId="2" fillId="7" borderId="1" xfId="0" applyNumberFormat="1" applyFont="1" applyFill="1" applyBorder="1"/>
    <xf numFmtId="0" fontId="0" fillId="0" borderId="12" xfId="0" applyBorder="1"/>
    <xf numFmtId="164" fontId="0" fillId="0" borderId="7" xfId="0" applyNumberFormat="1" applyBorder="1"/>
    <xf numFmtId="164" fontId="0" fillId="6" borderId="7" xfId="0" applyNumberFormat="1" applyFill="1" applyBorder="1"/>
    <xf numFmtId="164" fontId="0" fillId="7" borderId="7" xfId="0" applyNumberFormat="1" applyFill="1" applyBorder="1"/>
    <xf numFmtId="0" fontId="2" fillId="0" borderId="12" xfId="0" applyFont="1" applyBorder="1"/>
    <xf numFmtId="164" fontId="2" fillId="6" borderId="7" xfId="0" applyNumberFormat="1" applyFont="1" applyFill="1" applyBorder="1"/>
    <xf numFmtId="164" fontId="0" fillId="0" borderId="4" xfId="0" applyNumberFormat="1" applyBorder="1"/>
    <xf numFmtId="164" fontId="2" fillId="0" borderId="4" xfId="0" applyNumberFormat="1" applyFont="1" applyBorder="1"/>
    <xf numFmtId="164" fontId="2" fillId="0" borderId="0" xfId="0" applyNumberFormat="1" applyFont="1"/>
    <xf numFmtId="0" fontId="2" fillId="0" borderId="5" xfId="0" applyFont="1" applyBorder="1"/>
    <xf numFmtId="0" fontId="10" fillId="0" borderId="4" xfId="0" applyFont="1" applyBorder="1"/>
    <xf numFmtId="0" fontId="10" fillId="0" borderId="3" xfId="0" applyFont="1" applyBorder="1"/>
    <xf numFmtId="164" fontId="10" fillId="0" borderId="5" xfId="0" applyNumberFormat="1" applyFont="1" applyBorder="1"/>
    <xf numFmtId="1" fontId="0" fillId="0" borderId="4" xfId="0" applyNumberFormat="1" applyBorder="1"/>
    <xf numFmtId="0" fontId="10" fillId="0" borderId="0" xfId="0" applyFont="1"/>
    <xf numFmtId="0" fontId="10" fillId="0" borderId="6" xfId="0" applyFont="1" applyBorder="1"/>
    <xf numFmtId="164" fontId="10" fillId="0" borderId="1" xfId="0" applyNumberFormat="1" applyFont="1" applyBorder="1"/>
    <xf numFmtId="0" fontId="1" fillId="0" borderId="0" xfId="0" applyFont="1"/>
    <xf numFmtId="1" fontId="1" fillId="0" borderId="6" xfId="0" applyNumberFormat="1" applyFont="1" applyBorder="1"/>
    <xf numFmtId="1" fontId="1" fillId="0" borderId="1" xfId="0" applyNumberFormat="1" applyFont="1" applyBorder="1"/>
    <xf numFmtId="1" fontId="11" fillId="0" borderId="6" xfId="0" applyNumberFormat="1" applyFont="1" applyBorder="1"/>
    <xf numFmtId="1" fontId="11" fillId="0" borderId="1" xfId="0" applyNumberFormat="1" applyFont="1" applyBorder="1"/>
    <xf numFmtId="1" fontId="1" fillId="0" borderId="0" xfId="0" applyNumberFormat="1" applyFont="1"/>
    <xf numFmtId="1" fontId="12" fillId="0" borderId="1" xfId="0" applyNumberFormat="1" applyFont="1" applyBorder="1"/>
    <xf numFmtId="1" fontId="12" fillId="0" borderId="6" xfId="0" applyNumberFormat="1" applyFont="1" applyBorder="1"/>
    <xf numFmtId="1" fontId="13" fillId="0" borderId="1" xfId="0" applyNumberFormat="1" applyFont="1" applyBorder="1"/>
    <xf numFmtId="164" fontId="12" fillId="0" borderId="1" xfId="0" applyNumberFormat="1" applyFont="1" applyBorder="1"/>
    <xf numFmtId="1" fontId="12" fillId="0" borderId="0" xfId="0" applyNumberFormat="1" applyFont="1"/>
    <xf numFmtId="0" fontId="12" fillId="0" borderId="0" xfId="0" applyFont="1"/>
    <xf numFmtId="164" fontId="12" fillId="0" borderId="0" xfId="0" applyNumberFormat="1" applyFont="1"/>
    <xf numFmtId="0" fontId="11" fillId="0" borderId="6" xfId="0" applyFont="1" applyBorder="1"/>
    <xf numFmtId="0" fontId="1" fillId="0" borderId="1" xfId="0" applyFont="1" applyBorder="1"/>
    <xf numFmtId="0" fontId="11" fillId="0" borderId="1" xfId="0" applyFont="1" applyBorder="1"/>
    <xf numFmtId="0" fontId="9" fillId="0" borderId="0" xfId="0" applyFont="1"/>
    <xf numFmtId="0" fontId="2" fillId="0" borderId="1" xfId="0" applyFont="1" applyBorder="1"/>
    <xf numFmtId="1" fontId="11" fillId="0" borderId="0" xfId="0" applyNumberFormat="1" applyFont="1"/>
    <xf numFmtId="0" fontId="11" fillId="0" borderId="0" xfId="0" applyFont="1"/>
    <xf numFmtId="0" fontId="0" fillId="0" borderId="0" xfId="0" applyAlignment="1">
      <alignment horizontal="left"/>
    </xf>
    <xf numFmtId="0" fontId="0" fillId="0" borderId="0" xfId="0" applyAlignment="1">
      <alignment horizontal="center"/>
    </xf>
    <xf numFmtId="0" fontId="15" fillId="0" borderId="0" xfId="0" applyFont="1" applyAlignment="1">
      <alignment horizontal="center"/>
    </xf>
    <xf numFmtId="0" fontId="9" fillId="0" borderId="0" xfId="0" applyFont="1" applyAlignment="1">
      <alignment horizontal="center"/>
    </xf>
    <xf numFmtId="0" fontId="2" fillId="0" borderId="0" xfId="0" applyFont="1" applyAlignment="1">
      <alignment horizontal="center"/>
    </xf>
    <xf numFmtId="164" fontId="0" fillId="0" borderId="0" xfId="0" applyNumberFormat="1" applyAlignment="1">
      <alignment horizontal="left" vertical="top"/>
    </xf>
    <xf numFmtId="2" fontId="0" fillId="0" borderId="0" xfId="0" applyNumberFormat="1"/>
    <xf numFmtId="164" fontId="0" fillId="0" borderId="0" xfId="0" applyNumberFormat="1" applyAlignment="1">
      <alignment horizontal="center"/>
    </xf>
    <xf numFmtId="164" fontId="15" fillId="0" borderId="0" xfId="0" applyNumberFormat="1" applyFont="1" applyAlignment="1">
      <alignment horizontal="center"/>
    </xf>
    <xf numFmtId="164" fontId="2" fillId="0" borderId="0" xfId="0" applyNumberFormat="1" applyFont="1" applyAlignment="1">
      <alignment horizontal="center"/>
    </xf>
    <xf numFmtId="164" fontId="0" fillId="0" borderId="0" xfId="0" applyNumberFormat="1" applyAlignment="1">
      <alignment horizontal="left"/>
    </xf>
    <xf numFmtId="0" fontId="2" fillId="6" borderId="13" xfId="0" applyFont="1" applyFill="1" applyBorder="1"/>
    <xf numFmtId="1" fontId="5" fillId="6" borderId="10" xfId="0" applyNumberFormat="1" applyFont="1" applyFill="1" applyBorder="1"/>
    <xf numFmtId="1" fontId="5" fillId="6" borderId="10" xfId="0" applyNumberFormat="1" applyFont="1" applyFill="1" applyBorder="1" applyAlignment="1">
      <alignment wrapText="1"/>
    </xf>
    <xf numFmtId="1" fontId="14" fillId="6" borderId="10" xfId="0" applyNumberFormat="1" applyFont="1" applyFill="1" applyBorder="1"/>
    <xf numFmtId="1" fontId="0" fillId="6" borderId="11" xfId="0" applyNumberFormat="1" applyFill="1" applyBorder="1"/>
    <xf numFmtId="0" fontId="2" fillId="6" borderId="8" xfId="0" applyFont="1" applyFill="1" applyBorder="1"/>
    <xf numFmtId="0" fontId="16" fillId="0" borderId="0" xfId="0" applyFont="1"/>
    <xf numFmtId="0" fontId="17" fillId="0" borderId="0" xfId="0" applyFont="1"/>
    <xf numFmtId="0" fontId="5" fillId="0" borderId="0" xfId="0" applyFont="1"/>
    <xf numFmtId="164" fontId="2" fillId="6" borderId="14" xfId="0" applyNumberFormat="1" applyFont="1" applyFill="1" applyBorder="1"/>
    <xf numFmtId="1" fontId="2" fillId="6" borderId="8" xfId="0" applyNumberFormat="1" applyFont="1" applyFill="1" applyBorder="1"/>
    <xf numFmtId="0" fontId="3" fillId="0" borderId="0" xfId="0" applyFont="1"/>
    <xf numFmtId="0" fontId="0" fillId="0" borderId="15" xfId="0" applyBorder="1"/>
    <xf numFmtId="0" fontId="0" fillId="0" borderId="16" xfId="0" applyBorder="1" applyAlignment="1">
      <alignment vertical="top"/>
    </xf>
    <xf numFmtId="0" fontId="0" fillId="0" borderId="0" xfId="0" applyAlignment="1">
      <alignment vertical="top"/>
    </xf>
    <xf numFmtId="0" fontId="0" fillId="0" borderId="17" xfId="0" applyBorder="1"/>
    <xf numFmtId="0" fontId="0" fillId="0" borderId="2" xfId="0" applyBorder="1" applyAlignment="1">
      <alignment horizontal="left" vertical="top"/>
    </xf>
    <xf numFmtId="0" fontId="0" fillId="0" borderId="2" xfId="0" applyBorder="1" applyAlignment="1">
      <alignment horizontal="center" vertical="top"/>
    </xf>
    <xf numFmtId="1" fontId="0" fillId="0" borderId="0" xfId="0" applyNumberFormat="1" applyAlignment="1">
      <alignment horizontal="center"/>
    </xf>
    <xf numFmtId="1" fontId="0" fillId="0" borderId="2" xfId="0" applyNumberFormat="1" applyBorder="1" applyAlignment="1">
      <alignment horizontal="center"/>
    </xf>
    <xf numFmtId="0" fontId="0" fillId="0" borderId="2" xfId="0" applyBorder="1" applyAlignment="1">
      <alignment horizontal="center"/>
    </xf>
    <xf numFmtId="1" fontId="5" fillId="0" borderId="0" xfId="0" applyNumberFormat="1" applyFont="1"/>
    <xf numFmtId="1" fontId="5" fillId="0" borderId="0" xfId="0" applyNumberFormat="1" applyFont="1" applyAlignment="1">
      <alignment wrapText="1"/>
    </xf>
    <xf numFmtId="1" fontId="14" fillId="0" borderId="0" xfId="0" applyNumberFormat="1" applyFont="1"/>
    <xf numFmtId="0" fontId="4" fillId="3" borderId="0" xfId="0" applyFont="1" applyFill="1"/>
    <xf numFmtId="1" fontId="18" fillId="3" borderId="0" xfId="0" applyNumberFormat="1" applyFont="1" applyFill="1"/>
    <xf numFmtId="164" fontId="4" fillId="3" borderId="0" xfId="0" applyNumberFormat="1" applyFont="1" applyFill="1"/>
    <xf numFmtId="1" fontId="4" fillId="3" borderId="0" xfId="0" applyNumberFormat="1" applyFont="1" applyFill="1"/>
    <xf numFmtId="0" fontId="4" fillId="0" borderId="0" xfId="0" applyFont="1"/>
    <xf numFmtId="0" fontId="0" fillId="0" borderId="4" xfId="0" applyBorder="1" applyAlignment="1">
      <alignment vertical="center"/>
    </xf>
    <xf numFmtId="0" fontId="0" fillId="0" borderId="5" xfId="0" applyBorder="1" applyAlignment="1">
      <alignment horizontal="right" vertical="center"/>
    </xf>
    <xf numFmtId="0" fontId="0" fillId="0" borderId="10" xfId="0" applyBorder="1" applyAlignment="1">
      <alignment vertical="center"/>
    </xf>
    <xf numFmtId="0" fontId="0" fillId="0" borderId="11" xfId="0" applyBorder="1" applyAlignment="1">
      <alignment horizontal="right" vertical="center"/>
    </xf>
    <xf numFmtId="0" fontId="0" fillId="0" borderId="10" xfId="0" applyBorder="1" applyAlignment="1">
      <alignment vertical="center" wrapText="1"/>
    </xf>
    <xf numFmtId="0" fontId="2" fillId="0" borderId="10" xfId="0" applyFont="1" applyBorder="1" applyAlignment="1">
      <alignment vertical="center"/>
    </xf>
    <xf numFmtId="0" fontId="2" fillId="0" borderId="11" xfId="0" applyFont="1" applyBorder="1" applyAlignment="1">
      <alignment horizontal="right" vertical="center"/>
    </xf>
    <xf numFmtId="0" fontId="19" fillId="0" borderId="0" xfId="0" applyFont="1"/>
    <xf numFmtId="0" fontId="0" fillId="0" borderId="4" xfId="0" applyBorder="1" applyAlignment="1">
      <alignment horizontal="center" vertical="top" wrapText="1"/>
    </xf>
    <xf numFmtId="0" fontId="0" fillId="0" borderId="4" xfId="0" applyBorder="1" applyAlignment="1">
      <alignment horizontal="center" vertical="top"/>
    </xf>
    <xf numFmtId="0" fontId="4" fillId="0" borderId="0" xfId="0" applyFont="1" applyAlignment="1">
      <alignment horizontal="left" wrapText="1"/>
    </xf>
    <xf numFmtId="0" fontId="4" fillId="0" borderId="0" xfId="0" applyFont="1" applyAlignment="1">
      <alignment wrapText="1"/>
    </xf>
  </cellXfs>
  <cellStyles count="2">
    <cellStyle name="Hyperlä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Ranking based on ESVAC national total use                     or antibiotic use indicator</a:t>
            </a:r>
          </a:p>
        </c:rich>
      </c:tx>
      <c:layout>
        <c:manualLayout>
          <c:xMode val="edge"/>
          <c:yMode val="edge"/>
          <c:x val="0.15777258970308117"/>
          <c:y val="4.133787901177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sv-SE"/>
        </a:p>
      </c:txPr>
    </c:title>
    <c:autoTitleDeleted val="0"/>
    <c:plotArea>
      <c:layout/>
      <c:barChart>
        <c:barDir val="col"/>
        <c:grouping val="clustered"/>
        <c:varyColors val="0"/>
        <c:ser>
          <c:idx val="0"/>
          <c:order val="0"/>
          <c:tx>
            <c:v>rank</c:v>
          </c:tx>
          <c:spPr>
            <a:solidFill>
              <a:schemeClr val="accent1"/>
            </a:solidFill>
            <a:ln>
              <a:noFill/>
            </a:ln>
            <a:effectLst/>
          </c:spPr>
          <c:invertIfNegative val="0"/>
          <c:cat>
            <c:strLit>
              <c:ptCount val="14"/>
              <c:pt idx="0">
                <c:v>Denmark</c:v>
              </c:pt>
              <c:pt idx="1">
                <c:v>France</c:v>
              </c:pt>
              <c:pt idx="2">
                <c:v>Germany</c:v>
              </c:pt>
              <c:pt idx="3">
                <c:v>Greece</c:v>
              </c:pt>
              <c:pt idx="4">
                <c:v>Hungary</c:v>
              </c:pt>
              <c:pt idx="5">
                <c:v>Ireland</c:v>
              </c:pt>
              <c:pt idx="6">
                <c:v>Italy</c:v>
              </c:pt>
              <c:pt idx="7">
                <c:v>NL</c:v>
              </c:pt>
              <c:pt idx="8">
                <c:v>Poland</c:v>
              </c:pt>
              <c:pt idx="9">
                <c:v>Spain</c:v>
              </c:pt>
              <c:pt idx="10">
                <c:v>Sweden</c:v>
              </c:pt>
            </c:strLit>
          </c:cat>
          <c:val>
            <c:numLit>
              <c:formatCode>General</c:formatCode>
              <c:ptCount val="11"/>
              <c:pt idx="0">
                <c:v>3</c:v>
              </c:pt>
              <c:pt idx="1">
                <c:v>5</c:v>
              </c:pt>
              <c:pt idx="2">
                <c:v>6</c:v>
              </c:pt>
              <c:pt idx="3">
                <c:v>7</c:v>
              </c:pt>
              <c:pt idx="4">
                <c:v>8</c:v>
              </c:pt>
              <c:pt idx="5">
                <c:v>2</c:v>
              </c:pt>
              <c:pt idx="6">
                <c:v>10</c:v>
              </c:pt>
              <c:pt idx="7">
                <c:v>4</c:v>
              </c:pt>
              <c:pt idx="8">
                <c:v>11</c:v>
              </c:pt>
              <c:pt idx="9">
                <c:v>9</c:v>
              </c:pt>
              <c:pt idx="10">
                <c:v>1</c:v>
              </c:pt>
            </c:numLit>
          </c:val>
          <c:extLst>
            <c:ext xmlns:c16="http://schemas.microsoft.com/office/drawing/2014/chart" uri="{C3380CC4-5D6E-409C-BE32-E72D297353CC}">
              <c16:uniqueId val="{00000000-282A-4C0A-9ADF-D086AF90407A}"/>
            </c:ext>
          </c:extLst>
        </c:ser>
        <c:ser>
          <c:idx val="1"/>
          <c:order val="1"/>
          <c:tx>
            <c:v>rank</c:v>
          </c:tx>
          <c:spPr>
            <a:solidFill>
              <a:schemeClr val="accent2"/>
            </a:solidFill>
            <a:ln>
              <a:noFill/>
            </a:ln>
            <a:effectLst/>
          </c:spPr>
          <c:invertIfNegative val="0"/>
          <c:cat>
            <c:strLit>
              <c:ptCount val="14"/>
              <c:pt idx="0">
                <c:v>Denmark</c:v>
              </c:pt>
              <c:pt idx="1">
                <c:v>France</c:v>
              </c:pt>
              <c:pt idx="2">
                <c:v>Germany</c:v>
              </c:pt>
              <c:pt idx="3">
                <c:v>Greece</c:v>
              </c:pt>
              <c:pt idx="4">
                <c:v>Hungary</c:v>
              </c:pt>
              <c:pt idx="5">
                <c:v>Ireland</c:v>
              </c:pt>
              <c:pt idx="6">
                <c:v>Italy</c:v>
              </c:pt>
              <c:pt idx="7">
                <c:v>NL</c:v>
              </c:pt>
              <c:pt idx="8">
                <c:v>Poland</c:v>
              </c:pt>
              <c:pt idx="9">
                <c:v>Spain</c:v>
              </c:pt>
              <c:pt idx="10">
                <c:v>Sweden</c:v>
              </c:pt>
            </c:strLit>
          </c:cat>
          <c:val>
            <c:numLit>
              <c:formatCode>General</c:formatCode>
              <c:ptCount val="11"/>
              <c:pt idx="0">
                <c:v>2</c:v>
              </c:pt>
              <c:pt idx="1">
                <c:v>4</c:v>
              </c:pt>
              <c:pt idx="2">
                <c:v>6</c:v>
              </c:pt>
              <c:pt idx="3">
                <c:v>9</c:v>
              </c:pt>
              <c:pt idx="4">
                <c:v>7</c:v>
              </c:pt>
              <c:pt idx="5">
                <c:v>5</c:v>
              </c:pt>
              <c:pt idx="6">
                <c:v>10</c:v>
              </c:pt>
              <c:pt idx="7">
                <c:v>3</c:v>
              </c:pt>
              <c:pt idx="8">
                <c:v>11</c:v>
              </c:pt>
              <c:pt idx="9">
                <c:v>8</c:v>
              </c:pt>
              <c:pt idx="10">
                <c:v>1</c:v>
              </c:pt>
            </c:numLit>
          </c:val>
          <c:extLst>
            <c:ext xmlns:c16="http://schemas.microsoft.com/office/drawing/2014/chart" uri="{C3380CC4-5D6E-409C-BE32-E72D297353CC}">
              <c16:uniqueId val="{00000001-282A-4C0A-9ADF-D086AF90407A}"/>
            </c:ext>
          </c:extLst>
        </c:ser>
        <c:ser>
          <c:idx val="2"/>
          <c:order val="2"/>
          <c:tx>
            <c:v>rank</c:v>
          </c:tx>
          <c:spPr>
            <a:solidFill>
              <a:schemeClr val="accent3"/>
            </a:solidFill>
            <a:ln>
              <a:noFill/>
            </a:ln>
            <a:effectLst/>
          </c:spPr>
          <c:invertIfNegative val="0"/>
          <c:cat>
            <c:strLit>
              <c:ptCount val="14"/>
              <c:pt idx="0">
                <c:v>Denmark</c:v>
              </c:pt>
              <c:pt idx="1">
                <c:v>France</c:v>
              </c:pt>
              <c:pt idx="2">
                <c:v>Germany</c:v>
              </c:pt>
              <c:pt idx="3">
                <c:v>Greece</c:v>
              </c:pt>
              <c:pt idx="4">
                <c:v>Hungary</c:v>
              </c:pt>
              <c:pt idx="5">
                <c:v>Ireland</c:v>
              </c:pt>
              <c:pt idx="6">
                <c:v>Italy</c:v>
              </c:pt>
              <c:pt idx="7">
                <c:v>NL</c:v>
              </c:pt>
              <c:pt idx="8">
                <c:v>Poland</c:v>
              </c:pt>
              <c:pt idx="9">
                <c:v>Spain</c:v>
              </c:pt>
              <c:pt idx="10">
                <c:v>Sweden</c:v>
              </c:pt>
            </c:strLit>
          </c:cat>
          <c:val>
            <c:numLit>
              <c:formatCode>General</c:formatCode>
              <c:ptCount val="11"/>
              <c:pt idx="0">
                <c:v>2</c:v>
              </c:pt>
              <c:pt idx="1">
                <c:v>4</c:v>
              </c:pt>
              <c:pt idx="2">
                <c:v>6</c:v>
              </c:pt>
              <c:pt idx="3">
                <c:v>9</c:v>
              </c:pt>
              <c:pt idx="4">
                <c:v>7</c:v>
              </c:pt>
              <c:pt idx="5">
                <c:v>5</c:v>
              </c:pt>
              <c:pt idx="6">
                <c:v>10</c:v>
              </c:pt>
              <c:pt idx="7">
                <c:v>3</c:v>
              </c:pt>
              <c:pt idx="8">
                <c:v>11</c:v>
              </c:pt>
              <c:pt idx="9">
                <c:v>8</c:v>
              </c:pt>
              <c:pt idx="10">
                <c:v>1</c:v>
              </c:pt>
            </c:numLit>
          </c:val>
          <c:extLst>
            <c:ext xmlns:c16="http://schemas.microsoft.com/office/drawing/2014/chart" uri="{C3380CC4-5D6E-409C-BE32-E72D297353CC}">
              <c16:uniqueId val="{00000002-282A-4C0A-9ADF-D086AF90407A}"/>
            </c:ext>
          </c:extLst>
        </c:ser>
        <c:dLbls>
          <c:showLegendKey val="0"/>
          <c:showVal val="0"/>
          <c:showCatName val="0"/>
          <c:showSerName val="0"/>
          <c:showPercent val="0"/>
          <c:showBubbleSize val="0"/>
        </c:dLbls>
        <c:gapWidth val="219"/>
        <c:overlap val="-27"/>
        <c:axId val="651802624"/>
        <c:axId val="651805536"/>
      </c:barChart>
      <c:catAx>
        <c:axId val="651802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51805536"/>
        <c:crosses val="autoZero"/>
        <c:auto val="1"/>
        <c:lblAlgn val="ctr"/>
        <c:lblOffset val="100"/>
        <c:noMultiLvlLbl val="0"/>
      </c:catAx>
      <c:valAx>
        <c:axId val="651805536"/>
        <c:scaling>
          <c:orientation val="minMax"/>
          <c:max val="11"/>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51802624"/>
        <c:crosses val="autoZero"/>
        <c:crossBetween val="between"/>
        <c:majorUnit val="1"/>
      </c:valAx>
      <c:spPr>
        <a:noFill/>
        <a:ln>
          <a:noFill/>
        </a:ln>
        <a:effectLst/>
      </c:spPr>
    </c:plotArea>
    <c:legend>
      <c:legendPos val="b"/>
      <c:layout>
        <c:manualLayout>
          <c:xMode val="edge"/>
          <c:yMode val="edge"/>
          <c:x val="0.1"/>
          <c:y val="0.91477213075638275"/>
          <c:w val="0.9"/>
          <c:h val="8.522786924361727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6"/>
          <c:order val="6"/>
          <c:tx>
            <c:strRef>
              <c:f>'Antibiotics use index'!$A$13</c:f>
              <c:strCache>
                <c:ptCount val="1"/>
                <c:pt idx="0">
                  <c:v>Denmark</c:v>
                </c:pt>
              </c:strCache>
            </c:strRef>
          </c:tx>
          <c:spPr>
            <a:ln w="28575" cap="rnd">
              <a:no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index'!$B$13:$AC$13</c15:sqref>
                  </c15:fullRef>
                </c:ext>
              </c:extLst>
              <c:f>('Antibiotics use index'!$U$13:$Z$13,'Antibiotics use index'!$AB$13:$AC$13)</c:f>
              <c:numCache>
                <c:formatCode>General</c:formatCode>
                <c:ptCount val="8"/>
                <c:pt idx="0" formatCode="0">
                  <c:v>5.9802073215224372</c:v>
                </c:pt>
                <c:pt idx="1" formatCode="0.0">
                  <c:v>0.84568588385165777</c:v>
                </c:pt>
                <c:pt idx="2" formatCode="0">
                  <c:v>3.526423841183469</c:v>
                </c:pt>
                <c:pt idx="3" formatCode="0">
                  <c:v>13.289349603383194</c:v>
                </c:pt>
                <c:pt idx="4" formatCode="0">
                  <c:v>39.868048810149581</c:v>
                </c:pt>
                <c:pt idx="5" formatCode="0">
                  <c:v>17.34260123241507</c:v>
                </c:pt>
                <c:pt idx="6" formatCode="0.0">
                  <c:v>0.24294592243684904</c:v>
                </c:pt>
                <c:pt idx="7" formatCode="0">
                  <c:v>19.934024405074791</c:v>
                </c:pt>
              </c:numCache>
            </c:numRef>
          </c:val>
          <c:smooth val="0"/>
          <c:extLst>
            <c:ext xmlns:c16="http://schemas.microsoft.com/office/drawing/2014/chart" uri="{C3380CC4-5D6E-409C-BE32-E72D297353CC}">
              <c16:uniqueId val="{00000000-E0E7-45BF-B383-B1A148008AD4}"/>
            </c:ext>
          </c:extLst>
        </c:ser>
        <c:ser>
          <c:idx val="9"/>
          <c:order val="9"/>
          <c:tx>
            <c:strRef>
              <c:f>'Antibiotics use index'!$A$16</c:f>
              <c:strCache>
                <c:ptCount val="1"/>
                <c:pt idx="0">
                  <c:v>France</c:v>
                </c:pt>
              </c:strCache>
            </c:strRef>
          </c:tx>
          <c:spPr>
            <a:ln w="28575" cap="rnd">
              <a:no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index'!$B$16:$AC$16</c15:sqref>
                  </c15:fullRef>
                </c:ext>
              </c:extLst>
              <c:f>('Antibiotics use index'!$U$16:$Z$16,'Antibiotics use index'!$AB$16:$AC$16)</c:f>
              <c:numCache>
                <c:formatCode>General</c:formatCode>
                <c:ptCount val="8"/>
                <c:pt idx="0" formatCode="0">
                  <c:v>8.7454741736100825</c:v>
                </c:pt>
                <c:pt idx="1" formatCode="0.0">
                  <c:v>1.2367337215206178</c:v>
                </c:pt>
                <c:pt idx="2" formatCode="0">
                  <c:v>5.1570534214224537</c:v>
                </c:pt>
                <c:pt idx="3" formatCode="0">
                  <c:v>19.43438705246685</c:v>
                </c:pt>
                <c:pt idx="4" formatCode="0">
                  <c:v>58.303161157400552</c:v>
                </c:pt>
                <c:pt idx="5" formatCode="0">
                  <c:v>25.361875103469242</c:v>
                </c:pt>
                <c:pt idx="6" formatCode="0.0">
                  <c:v>0.35528488830290966</c:v>
                </c:pt>
                <c:pt idx="7" formatCode="0">
                  <c:v>29.151580578700276</c:v>
                </c:pt>
              </c:numCache>
            </c:numRef>
          </c:val>
          <c:smooth val="0"/>
          <c:extLst>
            <c:ext xmlns:c16="http://schemas.microsoft.com/office/drawing/2014/chart" uri="{C3380CC4-5D6E-409C-BE32-E72D297353CC}">
              <c16:uniqueId val="{00000001-E0E7-45BF-B383-B1A148008AD4}"/>
            </c:ext>
          </c:extLst>
        </c:ser>
        <c:ser>
          <c:idx val="10"/>
          <c:order val="10"/>
          <c:tx>
            <c:strRef>
              <c:f>'Antibiotics use index'!$A$17</c:f>
              <c:strCache>
                <c:ptCount val="1"/>
                <c:pt idx="0">
                  <c:v>Germany</c:v>
                </c:pt>
              </c:strCache>
            </c:strRef>
          </c:tx>
          <c:spPr>
            <a:ln w="28575"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index'!$B$17:$AC$17</c15:sqref>
                  </c15:fullRef>
                </c:ext>
              </c:extLst>
              <c:f>('Antibiotics use index'!$U$17:$Z$17,'Antibiotics use index'!$AB$17:$AC$17)</c:f>
              <c:numCache>
                <c:formatCode>General</c:formatCode>
                <c:ptCount val="8"/>
                <c:pt idx="0" formatCode="0">
                  <c:v>14.65228015351942</c:v>
                </c:pt>
                <c:pt idx="1" formatCode="0.0">
                  <c:v>2.0720396176694127</c:v>
                </c:pt>
                <c:pt idx="2" formatCode="0">
                  <c:v>8.6401937730674039</c:v>
                </c:pt>
                <c:pt idx="3" formatCode="0">
                  <c:v>32.560622563376491</c:v>
                </c:pt>
                <c:pt idx="4" formatCode="0">
                  <c:v>97.681867690129465</c:v>
                </c:pt>
                <c:pt idx="5" formatCode="0">
                  <c:v>42.491612445206322</c:v>
                </c:pt>
                <c:pt idx="6" formatCode="0.0">
                  <c:v>0.59524888123672648</c:v>
                </c:pt>
                <c:pt idx="7" formatCode="0">
                  <c:v>48.840933845064733</c:v>
                </c:pt>
              </c:numCache>
            </c:numRef>
          </c:val>
          <c:smooth val="0"/>
          <c:extLst>
            <c:ext xmlns:c16="http://schemas.microsoft.com/office/drawing/2014/chart" uri="{C3380CC4-5D6E-409C-BE32-E72D297353CC}">
              <c16:uniqueId val="{00000002-E0E7-45BF-B383-B1A148008AD4}"/>
            </c:ext>
          </c:extLst>
        </c:ser>
        <c:ser>
          <c:idx val="11"/>
          <c:order val="11"/>
          <c:tx>
            <c:strRef>
              <c:f>'Antibiotics use index'!$A$18</c:f>
              <c:strCache>
                <c:ptCount val="1"/>
                <c:pt idx="0">
                  <c:v>Greece</c:v>
                </c:pt>
              </c:strCache>
            </c:strRef>
          </c:tx>
          <c:spPr>
            <a:ln w="28575" cap="rnd">
              <a:no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index'!$B$18:$AC$18</c15:sqref>
                  </c15:fullRef>
                </c:ext>
              </c:extLst>
              <c:f>('Antibiotics use index'!$U$18:$Z$18,'Antibiotics use index'!$AB$18:$AC$18)</c:f>
              <c:numCache>
                <c:formatCode>General</c:formatCode>
                <c:ptCount val="8"/>
                <c:pt idx="0" formatCode="0">
                  <c:v>28.588805857120381</c:v>
                </c:pt>
                <c:pt idx="1" formatCode="0.0">
                  <c:v>4.0428614343402556</c:v>
                </c:pt>
                <c:pt idx="2" formatCode="0">
                  <c:v>16.858319644317813</c:v>
                </c:pt>
                <c:pt idx="3" formatCode="0">
                  <c:v>63.530679682489733</c:v>
                </c:pt>
                <c:pt idx="4" formatCode="0">
                  <c:v>190.5920390474692</c:v>
                </c:pt>
                <c:pt idx="5" formatCode="0">
                  <c:v>82.907536985649116</c:v>
                </c:pt>
                <c:pt idx="6" formatCode="0.0">
                  <c:v>1.1614202379455156</c:v>
                </c:pt>
                <c:pt idx="7" formatCode="0">
                  <c:v>95.2960195237346</c:v>
                </c:pt>
              </c:numCache>
            </c:numRef>
          </c:val>
          <c:smooth val="0"/>
          <c:extLst>
            <c:ext xmlns:c16="http://schemas.microsoft.com/office/drawing/2014/chart" uri="{C3380CC4-5D6E-409C-BE32-E72D297353CC}">
              <c16:uniqueId val="{00000003-E0E7-45BF-B383-B1A148008AD4}"/>
            </c:ext>
          </c:extLst>
        </c:ser>
        <c:ser>
          <c:idx val="12"/>
          <c:order val="12"/>
          <c:tx>
            <c:strRef>
              <c:f>'Antibiotics use index'!$A$19</c:f>
              <c:strCache>
                <c:ptCount val="1"/>
                <c:pt idx="0">
                  <c:v>Hungary</c:v>
                </c:pt>
              </c:strCache>
            </c:strRef>
          </c:tx>
          <c:spPr>
            <a:ln w="28575"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index'!$B$19:$AC$19</c15:sqref>
                  </c15:fullRef>
                </c:ext>
              </c:extLst>
              <c:f>('Antibiotics use index'!$U$19:$Z$19,'Antibiotics use index'!$AB$19:$AC$19)</c:f>
              <c:numCache>
                <c:formatCode>General</c:formatCode>
                <c:ptCount val="8"/>
                <c:pt idx="0" formatCode="0">
                  <c:v>22.282122706879171</c:v>
                </c:pt>
                <c:pt idx="1" formatCode="0.0">
                  <c:v>3.1510072514778629</c:v>
                </c:pt>
                <c:pt idx="2" formatCode="0">
                  <c:v>13.139378707310495</c:v>
                </c:pt>
                <c:pt idx="3" formatCode="0">
                  <c:v>49.515828237509268</c:v>
                </c:pt>
                <c:pt idx="4" formatCode="0">
                  <c:v>148.54748471252782</c:v>
                </c:pt>
                <c:pt idx="5" formatCode="0">
                  <c:v>64.618155849949602</c:v>
                </c:pt>
                <c:pt idx="6" formatCode="0.0">
                  <c:v>0.90521123496696643</c:v>
                </c:pt>
                <c:pt idx="7" formatCode="0">
                  <c:v>74.273742356263909</c:v>
                </c:pt>
              </c:numCache>
            </c:numRef>
          </c:val>
          <c:smooth val="0"/>
          <c:extLst>
            <c:ext xmlns:c16="http://schemas.microsoft.com/office/drawing/2014/chart" uri="{C3380CC4-5D6E-409C-BE32-E72D297353CC}">
              <c16:uniqueId val="{00000004-E0E7-45BF-B383-B1A148008AD4}"/>
            </c:ext>
          </c:extLst>
        </c:ser>
        <c:ser>
          <c:idx val="14"/>
          <c:order val="14"/>
          <c:tx>
            <c:strRef>
              <c:f>'Antibiotics use index'!$A$21</c:f>
              <c:strCache>
                <c:ptCount val="1"/>
                <c:pt idx="0">
                  <c:v>Ireland</c:v>
                </c:pt>
              </c:strCache>
            </c:strRef>
          </c:tx>
          <c:spPr>
            <a:ln w="28575"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index'!$B$21:$AC$21</c15:sqref>
                  </c15:fullRef>
                </c:ext>
              </c:extLst>
              <c:f>('Antibiotics use index'!$U$21:$Z$21,'Antibiotics use index'!$AB$21:$AC$21)</c:f>
              <c:numCache>
                <c:formatCode>General</c:formatCode>
                <c:ptCount val="8"/>
                <c:pt idx="0" formatCode="0">
                  <c:v>9.7002401921879908</c:v>
                </c:pt>
                <c:pt idx="1" formatCode="0.0">
                  <c:v>1.3717511382892107</c:v>
                </c:pt>
                <c:pt idx="2" formatCode="0">
                  <c:v>5.7200622720600611</c:v>
                </c:pt>
                <c:pt idx="3" formatCode="0">
                  <c:v>21.556089315973313</c:v>
                </c:pt>
                <c:pt idx="4" formatCode="0">
                  <c:v>64.668267947919944</c:v>
                </c:pt>
                <c:pt idx="5" formatCode="0">
                  <c:v>28.130696557345175</c:v>
                </c:pt>
                <c:pt idx="6" formatCode="0.0">
                  <c:v>0.39407225780763716</c:v>
                </c:pt>
                <c:pt idx="7" formatCode="0">
                  <c:v>32.334133973959972</c:v>
                </c:pt>
              </c:numCache>
            </c:numRef>
          </c:val>
          <c:smooth val="0"/>
          <c:extLst>
            <c:ext xmlns:c16="http://schemas.microsoft.com/office/drawing/2014/chart" uri="{C3380CC4-5D6E-409C-BE32-E72D297353CC}">
              <c16:uniqueId val="{00000005-E0E7-45BF-B383-B1A148008AD4}"/>
            </c:ext>
          </c:extLst>
        </c:ser>
        <c:ser>
          <c:idx val="15"/>
          <c:order val="15"/>
          <c:tx>
            <c:strRef>
              <c:f>'Antibiotics use index'!$A$22</c:f>
              <c:strCache>
                <c:ptCount val="1"/>
                <c:pt idx="0">
                  <c:v>Italy</c:v>
                </c:pt>
              </c:strCache>
            </c:strRef>
          </c:tx>
          <c:spPr>
            <a:ln w="28575"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index'!$B$22:$AC$22</c15:sqref>
                  </c15:fullRef>
                </c:ext>
              </c:extLst>
              <c:f>('Antibiotics use index'!$U$22:$Z$22,'Antibiotics use index'!$AB$22:$AC$22)</c:f>
              <c:numCache>
                <c:formatCode>General</c:formatCode>
                <c:ptCount val="8"/>
                <c:pt idx="0" formatCode="0">
                  <c:v>36.046525991625877</c:v>
                </c:pt>
                <c:pt idx="1" formatCode="0.0">
                  <c:v>5.0974885240683054</c:v>
                </c:pt>
                <c:pt idx="2" formatCode="0">
                  <c:v>21.256006993474625</c:v>
                </c:pt>
                <c:pt idx="3" formatCode="0">
                  <c:v>80.103391092501951</c:v>
                </c:pt>
                <c:pt idx="4" formatCode="0">
                  <c:v>240.31017327750584</c:v>
                </c:pt>
                <c:pt idx="5" formatCode="0">
                  <c:v>104.53492537571505</c:v>
                </c:pt>
                <c:pt idx="6" formatCode="0.0">
                  <c:v>1.4643901184098014</c:v>
                </c:pt>
                <c:pt idx="7" formatCode="0">
                  <c:v>120.15508663875292</c:v>
                </c:pt>
              </c:numCache>
            </c:numRef>
          </c:val>
          <c:smooth val="0"/>
          <c:extLst>
            <c:ext xmlns:c16="http://schemas.microsoft.com/office/drawing/2014/chart" uri="{C3380CC4-5D6E-409C-BE32-E72D297353CC}">
              <c16:uniqueId val="{00000006-E0E7-45BF-B383-B1A148008AD4}"/>
            </c:ext>
          </c:extLst>
        </c:ser>
        <c:ser>
          <c:idx val="20"/>
          <c:order val="20"/>
          <c:tx>
            <c:strRef>
              <c:f>'Antibiotics use index'!$A$27</c:f>
              <c:strCache>
                <c:ptCount val="1"/>
                <c:pt idx="0">
                  <c:v>Netherlands</c:v>
                </c:pt>
              </c:strCache>
            </c:strRef>
          </c:tx>
          <c:spPr>
            <a:ln w="28575" cap="rnd">
              <a:no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index'!$B$27:$AC$27</c15:sqref>
                  </c15:fullRef>
                </c:ext>
              </c:extLst>
              <c:f>('Antibiotics use index'!$U$27:$Z$27,'Antibiotics use index'!$AB$27:$AC$27)</c:f>
              <c:numCache>
                <c:formatCode>General</c:formatCode>
                <c:ptCount val="8"/>
                <c:pt idx="0" formatCode="0">
                  <c:v>7.3938528281058318</c:v>
                </c:pt>
                <c:pt idx="1" formatCode="0.0">
                  <c:v>1.0455953494291075</c:v>
                </c:pt>
                <c:pt idx="2" formatCode="0">
                  <c:v>4.3600259137163757</c:v>
                </c:pt>
                <c:pt idx="3" formatCode="0">
                  <c:v>16.430784062457406</c:v>
                </c:pt>
                <c:pt idx="4" formatCode="0">
                  <c:v>49.292352187372209</c:v>
                </c:pt>
                <c:pt idx="5" formatCode="0">
                  <c:v>21.442173201506915</c:v>
                </c:pt>
                <c:pt idx="6" formatCode="0.0">
                  <c:v>0.30037527114179946</c:v>
                </c:pt>
                <c:pt idx="7" formatCode="0">
                  <c:v>24.646176093686105</c:v>
                </c:pt>
              </c:numCache>
            </c:numRef>
          </c:val>
          <c:smooth val="0"/>
          <c:extLst>
            <c:ext xmlns:c16="http://schemas.microsoft.com/office/drawing/2014/chart" uri="{C3380CC4-5D6E-409C-BE32-E72D297353CC}">
              <c16:uniqueId val="{00000007-E0E7-45BF-B383-B1A148008AD4}"/>
            </c:ext>
          </c:extLst>
        </c:ser>
        <c:ser>
          <c:idx val="22"/>
          <c:order val="22"/>
          <c:tx>
            <c:strRef>
              <c:f>'Antibiotics use index'!$A$29</c:f>
              <c:strCache>
                <c:ptCount val="1"/>
                <c:pt idx="0">
                  <c:v>Poland</c:v>
                </c:pt>
              </c:strCache>
            </c:strRef>
          </c:tx>
          <c:spPr>
            <a:ln w="28575" cap="rnd">
              <a:no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index'!$B$29:$AC$29</c15:sqref>
                  </c15:fullRef>
                </c:ext>
              </c:extLst>
              <c:f>('Antibiotics use index'!$U$29:$Z$29,'Antibiotics use index'!$AB$29:$AC$29)</c:f>
              <c:numCache>
                <c:formatCode>General</c:formatCode>
                <c:ptCount val="8"/>
                <c:pt idx="0" formatCode="0">
                  <c:v>46.317503242667534</c:v>
                </c:pt>
                <c:pt idx="1" formatCode="0.0">
                  <c:v>6.5499499535085395</c:v>
                </c:pt>
                <c:pt idx="2" formatCode="0">
                  <c:v>27.312622943890457</c:v>
                </c:pt>
                <c:pt idx="3" formatCode="0">
                  <c:v>102.92778498370564</c:v>
                </c:pt>
                <c:pt idx="4" formatCode="0">
                  <c:v>308.78335495111691</c:v>
                </c:pt>
                <c:pt idx="5" formatCode="0">
                  <c:v>134.32075940373585</c:v>
                </c:pt>
                <c:pt idx="6" formatCode="0.0">
                  <c:v>1.8816485692333687</c:v>
                </c:pt>
                <c:pt idx="7" formatCode="0">
                  <c:v>154.39167747555845</c:v>
                </c:pt>
              </c:numCache>
            </c:numRef>
          </c:val>
          <c:smooth val="0"/>
          <c:extLst>
            <c:ext xmlns:c16="http://schemas.microsoft.com/office/drawing/2014/chart" uri="{C3380CC4-5D6E-409C-BE32-E72D297353CC}">
              <c16:uniqueId val="{00000008-E0E7-45BF-B383-B1A148008AD4}"/>
            </c:ext>
          </c:extLst>
        </c:ser>
        <c:ser>
          <c:idx val="27"/>
          <c:order val="27"/>
          <c:tx>
            <c:strRef>
              <c:f>'Antibiotics use index'!$A$34</c:f>
              <c:strCache>
                <c:ptCount val="1"/>
                <c:pt idx="0">
                  <c:v>Spain</c:v>
                </c:pt>
              </c:strCache>
            </c:strRef>
          </c:tx>
          <c:spPr>
            <a:ln w="28575"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index'!$B$34:$AC$34</c15:sqref>
                  </c15:fullRef>
                </c:ext>
              </c:extLst>
              <c:f>('Antibiotics use index'!$U$34:$Z$34,'Antibiotics use index'!$AB$34:$AC$34)</c:f>
              <c:numCache>
                <c:formatCode>General</c:formatCode>
                <c:ptCount val="8"/>
                <c:pt idx="0" formatCode="0">
                  <c:v>23.956277408286137</c:v>
                </c:pt>
                <c:pt idx="1" formatCode="0">
                  <c:v>3.3877564011717767</c:v>
                </c:pt>
                <c:pt idx="2" formatCode="0">
                  <c:v>14.126598503457618</c:v>
                </c:pt>
                <c:pt idx="3" formatCode="0">
                  <c:v>53.23617201841364</c:v>
                </c:pt>
                <c:pt idx="4" formatCode="0">
                  <c:v>159.70851605524092</c:v>
                </c:pt>
                <c:pt idx="5" formatCode="0">
                  <c:v>69.473204484029793</c:v>
                </c:pt>
                <c:pt idx="6" formatCode="0.0">
                  <c:v>0.97322376971162439</c:v>
                </c:pt>
                <c:pt idx="7" formatCode="0">
                  <c:v>79.85425802762046</c:v>
                </c:pt>
              </c:numCache>
            </c:numRef>
          </c:val>
          <c:smooth val="0"/>
          <c:extLst>
            <c:ext xmlns:c16="http://schemas.microsoft.com/office/drawing/2014/chart" uri="{C3380CC4-5D6E-409C-BE32-E72D297353CC}">
              <c16:uniqueId val="{00000009-E0E7-45BF-B383-B1A148008AD4}"/>
            </c:ext>
          </c:extLst>
        </c:ser>
        <c:ser>
          <c:idx val="28"/>
          <c:order val="28"/>
          <c:tx>
            <c:strRef>
              <c:f>'Antibiotics use index'!$A$35</c:f>
              <c:strCache>
                <c:ptCount val="1"/>
                <c:pt idx="0">
                  <c:v>Sweden</c:v>
                </c:pt>
              </c:strCache>
            </c:strRef>
          </c:tx>
          <c:spPr>
            <a:ln w="28575"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c:ext xmlns:c15="http://schemas.microsoft.com/office/drawing/2012/chart" uri="{02D57815-91ED-43cb-92C2-25804820EDAC}">
                  <c15:fullRef>
                    <c15:sqref>'Antibiotics use index'!$B$6:$AC$6</c15:sqref>
                  </c15:fullRef>
                </c:ext>
              </c:extLst>
              <c:f>('Antibiotics use index'!$U$6:$Z$6,'Antibiotics use index'!$AB$6:$AC$6)</c:f>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index'!$B$35:$AC$35</c15:sqref>
                  </c15:fullRef>
                </c:ext>
              </c:extLst>
              <c:f>('Antibiotics use index'!$U$35:$Z$35,'Antibiotics use index'!$AB$35:$AC$35)</c:f>
              <c:numCache>
                <c:formatCode>General</c:formatCode>
                <c:ptCount val="8"/>
                <c:pt idx="0" formatCode="0">
                  <c:v>2.8978382122111062</c:v>
                </c:pt>
                <c:pt idx="1" formatCode="0">
                  <c:v>0.40979530273692411</c:v>
                </c:pt>
                <c:pt idx="2" formatCode="0">
                  <c:v>1.7088045965657555</c:v>
                </c:pt>
                <c:pt idx="3" formatCode="0">
                  <c:v>6.439640471580236</c:v>
                </c:pt>
                <c:pt idx="4" formatCode="0">
                  <c:v>19.318921414740707</c:v>
                </c:pt>
                <c:pt idx="5" formatCode="0">
                  <c:v>8.4037308154122083</c:v>
                </c:pt>
                <c:pt idx="6" formatCode="0.0">
                  <c:v>0.1177246773710762</c:v>
                </c:pt>
                <c:pt idx="7" formatCode="0">
                  <c:v>9.6594607073703536</c:v>
                </c:pt>
              </c:numCache>
            </c:numRef>
          </c:val>
          <c:smooth val="0"/>
          <c:extLst>
            <c:ext xmlns:c16="http://schemas.microsoft.com/office/drawing/2014/chart" uri="{C3380CC4-5D6E-409C-BE32-E72D297353CC}">
              <c16:uniqueId val="{0000000A-E0E7-45BF-B383-B1A148008AD4}"/>
            </c:ext>
          </c:extLst>
        </c:ser>
        <c:dLbls>
          <c:showLegendKey val="0"/>
          <c:showVal val="0"/>
          <c:showCatName val="0"/>
          <c:showSerName val="0"/>
          <c:showPercent val="0"/>
          <c:showBubbleSize val="0"/>
        </c:dLbls>
        <c:marker val="1"/>
        <c:smooth val="0"/>
        <c:axId val="600361424"/>
        <c:axId val="600361904"/>
        <c:extLst>
          <c:ext xmlns:c15="http://schemas.microsoft.com/office/drawing/2012/chart" uri="{02D57815-91ED-43cb-92C2-25804820EDAC}">
            <c15:filteredLineSeries>
              <c15:ser>
                <c:idx val="0"/>
                <c:order val="0"/>
                <c:tx>
                  <c:strRef>
                    <c:extLst>
                      <c:ext uri="{02D57815-91ED-43cb-92C2-25804820EDAC}">
                        <c15:formulaRef>
                          <c15:sqref>'Antibiotics use index'!$A$7</c15:sqref>
                        </c15:formulaRef>
                      </c:ext>
                    </c:extLst>
                    <c:strCache>
                      <c:ptCount val="1"/>
                      <c:pt idx="0">
                        <c:v>Austria</c:v>
                      </c:pt>
                    </c:strCache>
                  </c:strRef>
                </c:tx>
                <c:spPr>
                  <a:ln w="28575" cap="rnd">
                    <a:noFill/>
                    <a:round/>
                  </a:ln>
                  <a:effectLst/>
                </c:spPr>
                <c:marker>
                  <c:symbol val="circle"/>
                  <c:size val="5"/>
                  <c:spPr>
                    <a:solidFill>
                      <a:schemeClr val="accent1"/>
                    </a:solidFill>
                    <a:ln w="9525">
                      <a:solidFill>
                        <a:schemeClr val="accent1"/>
                      </a:solidFill>
                    </a:ln>
                    <a:effectLst/>
                  </c:spPr>
                </c:marker>
                <c:cat>
                  <c:strRef>
                    <c:extLst>
                      <c:ex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uri="{02D57815-91ED-43cb-92C2-25804820EDAC}">
                        <c15:fullRef>
                          <c15:sqref>'Antibiotics use index'!$B$7:$AC$7</c15:sqref>
                        </c15:fullRef>
                        <c15:formulaRef>
                          <c15:sqref>('Antibiotics use index'!$U$7:$Z$7,'Antibiotics use index'!$AB$7:$AC$7)</c15:sqref>
                        </c15:formulaRef>
                      </c:ext>
                    </c:extLst>
                    <c:numCache>
                      <c:formatCode>General</c:formatCode>
                      <c:ptCount val="8"/>
                      <c:pt idx="0" formatCode="0">
                        <c:v>8.276409127319182</c:v>
                      </c:pt>
                      <c:pt idx="1" formatCode="0.0">
                        <c:v>1.1704012907320056</c:v>
                      </c:pt>
                      <c:pt idx="2" formatCode="0">
                        <c:v>4.8804539536493268</c:v>
                      </c:pt>
                      <c:pt idx="3" formatCode="0">
                        <c:v>18.392020282931515</c:v>
                      </c:pt>
                      <c:pt idx="4" formatCode="0">
                        <c:v>55.176060848794549</c:v>
                      </c:pt>
                      <c:pt idx="5" formatCode="0">
                        <c:v>24.001586469225629</c:v>
                      </c:pt>
                      <c:pt idx="6" formatCode="0.0">
                        <c:v>0.3362291207973418</c:v>
                      </c:pt>
                      <c:pt idx="7" formatCode="0">
                        <c:v>27.588030424397274</c:v>
                      </c:pt>
                    </c:numCache>
                  </c:numRef>
                </c:val>
                <c:smooth val="0"/>
                <c:extLst>
                  <c:ext xmlns:c16="http://schemas.microsoft.com/office/drawing/2014/chart" uri="{C3380CC4-5D6E-409C-BE32-E72D297353CC}">
                    <c16:uniqueId val="{0000000B-E0E7-45BF-B383-B1A148008AD4}"/>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'Antibiotics use index'!$A$8</c15:sqref>
                        </c15:formulaRef>
                      </c:ext>
                    </c:extLst>
                    <c:strCache>
                      <c:ptCount val="1"/>
                      <c:pt idx="0">
                        <c:v>Belgium</c:v>
                      </c:pt>
                    </c:strCache>
                  </c:strRef>
                </c:tx>
                <c:spPr>
                  <a:ln w="28575" cap="rnd">
                    <a:no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index'!$B$8:$AC$8</c15:sqref>
                        </c15:fullRef>
                        <c15:formulaRef>
                          <c15:sqref>('Antibiotics use index'!$U$8:$Z$8,'Antibiotics use index'!$AB$8:$AC$8)</c15:sqref>
                        </c15:formulaRef>
                      </c:ext>
                    </c:extLst>
                    <c:numCache>
                      <c:formatCode>General</c:formatCode>
                      <c:ptCount val="8"/>
                      <c:pt idx="0" formatCode="0">
                        <c:v>15.002284829913936</c:v>
                      </c:pt>
                      <c:pt idx="1" formatCode="0.0">
                        <c:v>2.1215352284726778</c:v>
                      </c:pt>
                      <c:pt idx="2" formatCode="0">
                        <c:v>8.8465854195444873</c:v>
                      </c:pt>
                      <c:pt idx="3" formatCode="0">
                        <c:v>33.338410733142084</c:v>
                      </c:pt>
                      <c:pt idx="4" formatCode="0">
                        <c:v>100.01523219942624</c:v>
                      </c:pt>
                      <c:pt idx="5" formatCode="0">
                        <c:v>43.506626006750416</c:v>
                      </c:pt>
                      <c:pt idx="6" formatCode="0.0">
                        <c:v>0.60946782121525367</c:v>
                      </c:pt>
                      <c:pt idx="7" formatCode="0">
                        <c:v>50.007616099713118</c:v>
                      </c:pt>
                    </c:numCache>
                  </c:numRef>
                </c:val>
                <c:smooth val="0"/>
                <c:extLst xmlns:c15="http://schemas.microsoft.com/office/drawing/2012/chart">
                  <c:ext xmlns:c16="http://schemas.microsoft.com/office/drawing/2014/chart" uri="{C3380CC4-5D6E-409C-BE32-E72D297353CC}">
                    <c16:uniqueId val="{0000000C-E0E7-45BF-B383-B1A148008AD4}"/>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'Antibiotics use index'!$A$9</c15:sqref>
                        </c15:formulaRef>
                      </c:ext>
                    </c:extLst>
                    <c:strCache>
                      <c:ptCount val="1"/>
                      <c:pt idx="0">
                        <c:v>Bulgaria</c:v>
                      </c:pt>
                    </c:strCache>
                  </c:strRef>
                </c:tx>
                <c:spPr>
                  <a:ln w="28575" cap="rnd">
                    <a:no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index'!$B$9:$AC$9</c15:sqref>
                        </c15:fullRef>
                        <c15:formulaRef>
                          <c15:sqref>('Antibiotics use index'!$U$9:$Z$9,'Antibiotics use index'!$AB$9:$AC$9)</c15:sqref>
                        </c15:formulaRef>
                      </c:ext>
                    </c:extLst>
                    <c:numCache>
                      <c:formatCode>General</c:formatCode>
                      <c:ptCount val="8"/>
                      <c:pt idx="0" formatCode="0">
                        <c:v>27.310273446883031</c:v>
                      </c:pt>
                      <c:pt idx="1" formatCode="0.0">
                        <c:v>3.8620588712763877</c:v>
                      </c:pt>
                      <c:pt idx="2" formatCode="0">
                        <c:v>16.104391405582611</c:v>
                      </c:pt>
                      <c:pt idx="3" formatCode="0">
                        <c:v>60.689496548628952</c:v>
                      </c:pt>
                      <c:pt idx="4" formatCode="0">
                        <c:v>182.06848964588687</c:v>
                      </c:pt>
                      <c:pt idx="5" formatCode="0">
                        <c:v>79.199792995960792</c:v>
                      </c:pt>
                      <c:pt idx="6" formatCode="0.0">
                        <c:v>1.1094798587796231</c:v>
                      </c:pt>
                      <c:pt idx="7" formatCode="0">
                        <c:v>91.034244822943435</c:v>
                      </c:pt>
                    </c:numCache>
                  </c:numRef>
                </c:val>
                <c:smooth val="0"/>
                <c:extLst xmlns:c15="http://schemas.microsoft.com/office/drawing/2012/chart">
                  <c:ext xmlns:c16="http://schemas.microsoft.com/office/drawing/2014/chart" uri="{C3380CC4-5D6E-409C-BE32-E72D297353CC}">
                    <c16:uniqueId val="{0000000D-E0E7-45BF-B383-B1A148008AD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'Antibiotics use index'!$A$10</c15:sqref>
                        </c15:formulaRef>
                      </c:ext>
                    </c:extLst>
                    <c:strCache>
                      <c:ptCount val="1"/>
                      <c:pt idx="0">
                        <c:v>Croatia</c:v>
                      </c:pt>
                    </c:strCache>
                  </c:strRef>
                </c:tx>
                <c:spPr>
                  <a:ln w="28575" cap="rnd">
                    <a:noFill/>
                    <a:round/>
                  </a:ln>
                  <a:effectLst/>
                </c:spPr>
                <c:marker>
                  <c:symbol val="circle"/>
                  <c:size val="5"/>
                  <c:spPr>
                    <a:solidFill>
                      <a:schemeClr val="accent4"/>
                    </a:solidFill>
                    <a:ln w="9525">
                      <a:solidFill>
                        <a:schemeClr val="accent4"/>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index'!$B$10:$AC$10</c15:sqref>
                        </c15:fullRef>
                        <c15:formulaRef>
                          <c15:sqref>('Antibiotics use index'!$U$10:$Z$10,'Antibiotics use index'!$AB$10:$AC$10)</c15:sqref>
                        </c15:formulaRef>
                      </c:ext>
                    </c:extLst>
                    <c:numCache>
                      <c:formatCode>General</c:formatCode>
                      <c:ptCount val="8"/>
                      <c:pt idx="0" formatCode="0">
                        <c:v>14.08459484822674</c:v>
                      </c:pt>
                      <c:pt idx="1" formatCode="0.0">
                        <c:v>1.9917608876280237</c:v>
                      </c:pt>
                      <c:pt idx="2" formatCode="0">
                        <c:v>8.3054396605019569</c:v>
                      </c:pt>
                      <c:pt idx="3" formatCode="0">
                        <c:v>31.299099662726086</c:v>
                      </c:pt>
                      <c:pt idx="4" formatCode="0">
                        <c:v>93.897298988178264</c:v>
                      </c:pt>
                      <c:pt idx="5" formatCode="0">
                        <c:v>40.845325059857544</c:v>
                      </c:pt>
                      <c:pt idx="6" formatCode="0.0">
                        <c:v>0.57218666570921128</c:v>
                      </c:pt>
                      <c:pt idx="7" formatCode="0">
                        <c:v>46.948649494089132</c:v>
                      </c:pt>
                    </c:numCache>
                  </c:numRef>
                </c:val>
                <c:smooth val="0"/>
                <c:extLst xmlns:c15="http://schemas.microsoft.com/office/drawing/2012/chart">
                  <c:ext xmlns:c16="http://schemas.microsoft.com/office/drawing/2014/chart" uri="{C3380CC4-5D6E-409C-BE32-E72D297353CC}">
                    <c16:uniqueId val="{0000000E-E0E7-45BF-B383-B1A148008AD4}"/>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'Antibiotics use index'!$A$11</c15:sqref>
                        </c15:formulaRef>
                      </c:ext>
                    </c:extLst>
                    <c:strCache>
                      <c:ptCount val="1"/>
                      <c:pt idx="0">
                        <c:v>Cyprus</c:v>
                      </c:pt>
                    </c:strCache>
                  </c:strRef>
                </c:tx>
                <c:spPr>
                  <a:ln w="28575" cap="rnd">
                    <a:no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index'!$B$11:$AC$11</c15:sqref>
                        </c15:fullRef>
                        <c15:formulaRef>
                          <c15:sqref>('Antibiotics use index'!$U$11:$Z$11,'Antibiotics use index'!$AB$11:$AC$11)</c15:sqref>
                        </c15:formulaRef>
                      </c:ext>
                    </c:extLst>
                    <c:numCache>
                      <c:formatCode>General</c:formatCode>
                      <c:ptCount val="8"/>
                      <c:pt idx="0" formatCode="0">
                        <c:v>63.657153558011458</c:v>
                      </c:pt>
                      <c:pt idx="1" formatCode="0.0">
                        <c:v>9.0020217152743474</c:v>
                      </c:pt>
                      <c:pt idx="2" formatCode="0">
                        <c:v>37.537511979049611</c:v>
                      </c:pt>
                      <c:pt idx="3" formatCode="0">
                        <c:v>141.46034124002546</c:v>
                      </c:pt>
                      <c:pt idx="4" formatCode="0">
                        <c:v>424.38102372007643</c:v>
                      </c:pt>
                      <c:pt idx="5" formatCode="0">
                        <c:v>184.60574531823326</c:v>
                      </c:pt>
                      <c:pt idx="6" formatCode="0.0">
                        <c:v>2.5860718632942157</c:v>
                      </c:pt>
                      <c:pt idx="7" formatCode="0">
                        <c:v>212.19051186003821</c:v>
                      </c:pt>
                    </c:numCache>
                  </c:numRef>
                </c:val>
                <c:smooth val="0"/>
                <c:extLst xmlns:c15="http://schemas.microsoft.com/office/drawing/2012/chart">
                  <c:ext xmlns:c16="http://schemas.microsoft.com/office/drawing/2014/chart" uri="{C3380CC4-5D6E-409C-BE32-E72D297353CC}">
                    <c16:uniqueId val="{0000000F-E0E7-45BF-B383-B1A148008AD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'Antibiotics use index'!$A$12</c15:sqref>
                        </c15:formulaRef>
                      </c:ext>
                    </c:extLst>
                    <c:strCache>
                      <c:ptCount val="1"/>
                      <c:pt idx="0">
                        <c:v>Czech Republic</c:v>
                      </c:pt>
                    </c:strCache>
                  </c:strRef>
                </c:tx>
                <c:spPr>
                  <a:ln w="28575" cap="rnd">
                    <a:noFill/>
                    <a:round/>
                  </a:ln>
                  <a:effectLst/>
                </c:spPr>
                <c:marker>
                  <c:symbol val="circle"/>
                  <c:size val="5"/>
                  <c:spPr>
                    <a:solidFill>
                      <a:schemeClr val="accent6"/>
                    </a:solidFill>
                    <a:ln w="9525">
                      <a:solidFill>
                        <a:schemeClr val="accent6"/>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index'!$B$12:$AC$12</c15:sqref>
                        </c15:fullRef>
                        <c15:formulaRef>
                          <c15:sqref>('Antibiotics use index'!$U$12:$Z$12,'Antibiotics use index'!$AB$12:$AC$12)</c15:sqref>
                        </c15:formulaRef>
                      </c:ext>
                    </c:extLst>
                    <c:numCache>
                      <c:formatCode>General</c:formatCode>
                      <c:ptCount val="8"/>
                      <c:pt idx="0" formatCode="0">
                        <c:v>9.4680055200041409</c:v>
                      </c:pt>
                      <c:pt idx="1" formatCode="0.0">
                        <c:v>1.338909871515737</c:v>
                      </c:pt>
                      <c:pt idx="2" formatCode="0">
                        <c:v>5.5831175407643459</c:v>
                      </c:pt>
                      <c:pt idx="3" formatCode="0">
                        <c:v>21.040012266675866</c:v>
                      </c:pt>
                      <c:pt idx="4" formatCode="0">
                        <c:v>63.120036800027599</c:v>
                      </c:pt>
                      <c:pt idx="5" formatCode="0">
                        <c:v>27.457216008012008</c:v>
                      </c:pt>
                      <c:pt idx="6" formatCode="0.0">
                        <c:v>0.38463772425016823</c:v>
                      </c:pt>
                      <c:pt idx="7" formatCode="0">
                        <c:v>31.560018400013799</c:v>
                      </c:pt>
                    </c:numCache>
                  </c:numRef>
                </c:val>
                <c:smooth val="0"/>
                <c:extLst xmlns:c15="http://schemas.microsoft.com/office/drawing/2012/chart">
                  <c:ext xmlns:c16="http://schemas.microsoft.com/office/drawing/2014/chart" uri="{C3380CC4-5D6E-409C-BE32-E72D297353CC}">
                    <c16:uniqueId val="{00000010-E0E7-45BF-B383-B1A148008AD4}"/>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'Antibiotics use index'!$A$14</c15:sqref>
                        </c15:formulaRef>
                      </c:ext>
                    </c:extLst>
                    <c:strCache>
                      <c:ptCount val="1"/>
                      <c:pt idx="0">
                        <c:v>Estonia</c:v>
                      </c:pt>
                    </c:strCache>
                  </c:strRef>
                </c:tx>
                <c:spPr>
                  <a:ln w="28575" cap="rnd">
                    <a:no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index'!$B$14:$AC$14</c15:sqref>
                        </c15:fullRef>
                        <c15:formulaRef>
                          <c15:sqref>('Antibiotics use index'!$U$14:$Z$14,'Antibiotics use index'!$AB$14:$AC$14)</c15:sqref>
                        </c15:formulaRef>
                      </c:ext>
                    </c:extLst>
                    <c:numCache>
                      <c:formatCode>General</c:formatCode>
                      <c:ptCount val="8"/>
                      <c:pt idx="0" formatCode="0">
                        <c:v>10.500975322202249</c:v>
                      </c:pt>
                      <c:pt idx="1" formatCode="0.0">
                        <c:v>1.4849864092003182</c:v>
                      </c:pt>
                      <c:pt idx="2" formatCode="0">
                        <c:v>6.1922417971398982</c:v>
                      </c:pt>
                      <c:pt idx="3" formatCode="0">
                        <c:v>23.335500716005001</c:v>
                      </c:pt>
                      <c:pt idx="4" formatCode="0">
                        <c:v>70.006502148015002</c:v>
                      </c:pt>
                      <c:pt idx="5" formatCode="0">
                        <c:v>30.452828434386525</c:v>
                      </c:pt>
                      <c:pt idx="6" formatCode="0.0">
                        <c:v>0.42660212246446644</c:v>
                      </c:pt>
                      <c:pt idx="7" formatCode="0">
                        <c:v>35.003251074007501</c:v>
                      </c:pt>
                    </c:numCache>
                  </c:numRef>
                </c:val>
                <c:smooth val="0"/>
                <c:extLst xmlns:c15="http://schemas.microsoft.com/office/drawing/2012/chart">
                  <c:ext xmlns:c16="http://schemas.microsoft.com/office/drawing/2014/chart" uri="{C3380CC4-5D6E-409C-BE32-E72D297353CC}">
                    <c16:uniqueId val="{00000011-E0E7-45BF-B383-B1A148008AD4}"/>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'Antibiotics use index'!$A$15</c15:sqref>
                        </c15:formulaRef>
                      </c:ext>
                    </c:extLst>
                    <c:strCache>
                      <c:ptCount val="1"/>
                      <c:pt idx="0">
                        <c:v>Finland</c:v>
                      </c:pt>
                    </c:strCache>
                  </c:strRef>
                </c:tx>
                <c:spPr>
                  <a:ln w="28575" cap="rnd">
                    <a:no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index'!$B$15:$AC$15</c15:sqref>
                        </c15:fullRef>
                        <c15:formulaRef>
                          <c15:sqref>('Antibiotics use index'!$U$15:$Z$15,'Antibiotics use index'!$AB$15:$AC$15)</c15:sqref>
                        </c15:formulaRef>
                      </c:ext>
                    </c:extLst>
                    <c:numCache>
                      <c:formatCode>General</c:formatCode>
                      <c:ptCount val="8"/>
                      <c:pt idx="0" formatCode="0">
                        <c:v>3.6231110495080601</c:v>
                      </c:pt>
                      <c:pt idx="1" formatCode="0.0">
                        <c:v>0.51235913831427116</c:v>
                      </c:pt>
                      <c:pt idx="2" formatCode="0">
                        <c:v>2.1364853252257845</c:v>
                      </c:pt>
                      <c:pt idx="3" formatCode="0">
                        <c:v>8.0513578877956888</c:v>
                      </c:pt>
                      <c:pt idx="4" formatCode="0">
                        <c:v>24.154073663387067</c:v>
                      </c:pt>
                      <c:pt idx="5" formatCode="0">
                        <c:v>10.507022043573375</c:v>
                      </c:pt>
                      <c:pt idx="6" formatCode="0.0">
                        <c:v>0.14718888638626496</c:v>
                      </c:pt>
                      <c:pt idx="7" formatCode="0">
                        <c:v>12.077036831693533</c:v>
                      </c:pt>
                    </c:numCache>
                  </c:numRef>
                </c:val>
                <c:smooth val="0"/>
                <c:extLst xmlns:c15="http://schemas.microsoft.com/office/drawing/2012/chart">
                  <c:ext xmlns:c16="http://schemas.microsoft.com/office/drawing/2014/chart" uri="{C3380CC4-5D6E-409C-BE32-E72D297353CC}">
                    <c16:uniqueId val="{00000012-E0E7-45BF-B383-B1A148008AD4}"/>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'Antibiotics use index'!$A$20</c15:sqref>
                        </c15:formulaRef>
                      </c:ext>
                    </c:extLst>
                    <c:strCache>
                      <c:ptCount val="1"/>
                      <c:pt idx="0">
                        <c:v>Iceland</c:v>
                      </c:pt>
                    </c:strCache>
                  </c:strRef>
                </c:tx>
                <c:spPr>
                  <a:ln w="28575"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index'!$B$20:$AC$20</c15:sqref>
                        </c15:fullRef>
                        <c15:formulaRef>
                          <c15:sqref>('Antibiotics use index'!$U$20:$Z$20,'Antibiotics use index'!$AB$20:$AC$20)</c15:sqref>
                        </c15:formulaRef>
                      </c:ext>
                    </c:extLst>
                    <c:numCache>
                      <c:formatCode>General</c:formatCode>
                      <c:ptCount val="8"/>
                      <c:pt idx="0" formatCode="0">
                        <c:v>1.5924223370706412</c:v>
                      </c:pt>
                      <c:pt idx="1" formatCode="0.0">
                        <c:v>0.2251910375655452</c:v>
                      </c:pt>
                      <c:pt idx="2" formatCode="0">
                        <c:v>0.93902364797102089</c:v>
                      </c:pt>
                      <c:pt idx="3" formatCode="0">
                        <c:v>3.5387163046014249</c:v>
                      </c:pt>
                      <c:pt idx="4" formatCode="0">
                        <c:v>10.616148913804274</c:v>
                      </c:pt>
                      <c:pt idx="5" formatCode="0">
                        <c:v>4.6180247775048597</c:v>
                      </c:pt>
                      <c:pt idx="6" formatCode="0.0">
                        <c:v>6.4692157443494797E-2</c:v>
                      </c:pt>
                      <c:pt idx="7" formatCode="0">
                        <c:v>5.308074456902137</c:v>
                      </c:pt>
                    </c:numCache>
                  </c:numRef>
                </c:val>
                <c:smooth val="0"/>
                <c:extLst xmlns:c15="http://schemas.microsoft.com/office/drawing/2012/chart">
                  <c:ext xmlns:c16="http://schemas.microsoft.com/office/drawing/2014/chart" uri="{C3380CC4-5D6E-409C-BE32-E72D297353CC}">
                    <c16:uniqueId val="{00000013-E0E7-45BF-B383-B1A148008AD4}"/>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'Antibiotics use index'!$A$23</c15:sqref>
                        </c15:formulaRef>
                      </c:ext>
                    </c:extLst>
                    <c:strCache>
                      <c:ptCount val="1"/>
                      <c:pt idx="0">
                        <c:v>Latvia</c:v>
                      </c:pt>
                    </c:strCache>
                  </c:strRef>
                </c:tx>
                <c:spPr>
                  <a:ln w="28575"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index'!$B$23:$AC$23</c15:sqref>
                        </c15:fullRef>
                        <c15:formulaRef>
                          <c15:sqref>('Antibiotics use index'!$U$23:$Z$23,'Antibiotics use index'!$AB$23:$AC$23)</c15:sqref>
                        </c15:formulaRef>
                      </c:ext>
                    </c:extLst>
                    <c:numCache>
                      <c:formatCode>General</c:formatCode>
                      <c:ptCount val="8"/>
                      <c:pt idx="0" formatCode="0">
                        <c:v>5.1588695002816261</c:v>
                      </c:pt>
                      <c:pt idx="1" formatCode="0.0">
                        <c:v>0.72953710104992697</c:v>
                      </c:pt>
                      <c:pt idx="2" formatCode="0">
                        <c:v>3.0420952688168637</c:v>
                      </c:pt>
                      <c:pt idx="3" formatCode="0">
                        <c:v>11.46415444507028</c:v>
                      </c:pt>
                      <c:pt idx="4" formatCode="0">
                        <c:v>34.392463335210842</c:v>
                      </c:pt>
                      <c:pt idx="5" formatCode="0">
                        <c:v>14.960721550816716</c:v>
                      </c:pt>
                      <c:pt idx="6" formatCode="0.0">
                        <c:v>0.20957907344894108</c:v>
                      </c:pt>
                      <c:pt idx="7" formatCode="0">
                        <c:v>17.196231667605421</c:v>
                      </c:pt>
                    </c:numCache>
                  </c:numRef>
                </c:val>
                <c:smooth val="0"/>
                <c:extLst xmlns:c15="http://schemas.microsoft.com/office/drawing/2012/chart">
                  <c:ext xmlns:c16="http://schemas.microsoft.com/office/drawing/2014/chart" uri="{C3380CC4-5D6E-409C-BE32-E72D297353CC}">
                    <c16:uniqueId val="{00000014-E0E7-45BF-B383-B1A148008AD4}"/>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'Antibiotics use index'!$A$24</c15:sqref>
                        </c15:formulaRef>
                      </c:ext>
                    </c:extLst>
                    <c:strCache>
                      <c:ptCount val="1"/>
                      <c:pt idx="0">
                        <c:v>Lithuania</c:v>
                      </c:pt>
                    </c:strCache>
                  </c:strRef>
                </c:tx>
                <c:spPr>
                  <a:ln w="28575"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index'!$B$24:$AC$24</c15:sqref>
                        </c15:fullRef>
                        <c15:formulaRef>
                          <c15:sqref>('Antibiotics use index'!$U$24:$Z$24,'Antibiotics use index'!$AB$24:$AC$24)</c15:sqref>
                        </c15:formulaRef>
                      </c:ext>
                    </c:extLst>
                    <c:numCache>
                      <c:formatCode>General</c:formatCode>
                      <c:ptCount val="8"/>
                      <c:pt idx="0" formatCode="0">
                        <c:v>11.976101410936501</c:v>
                      </c:pt>
                      <c:pt idx="1" formatCode="0.0">
                        <c:v>1.6935900985162728</c:v>
                      </c:pt>
                      <c:pt idx="2" formatCode="0">
                        <c:v>7.0620978954966818</c:v>
                      </c:pt>
                      <c:pt idx="3" formatCode="0">
                        <c:v>26.613558690970002</c:v>
                      </c:pt>
                      <c:pt idx="4" formatCode="0">
                        <c:v>79.84067607291</c:v>
                      </c:pt>
                      <c:pt idx="5" formatCode="0">
                        <c:v>34.730694091715854</c:v>
                      </c:pt>
                      <c:pt idx="6" formatCode="0.0">
                        <c:v>0.48652911981929536</c:v>
                      </c:pt>
                      <c:pt idx="7" formatCode="0">
                        <c:v>39.920338036455</c:v>
                      </c:pt>
                    </c:numCache>
                  </c:numRef>
                </c:val>
                <c:smooth val="0"/>
                <c:extLst xmlns:c15="http://schemas.microsoft.com/office/drawing/2012/chart">
                  <c:ext xmlns:c16="http://schemas.microsoft.com/office/drawing/2014/chart" uri="{C3380CC4-5D6E-409C-BE32-E72D297353CC}">
                    <c16:uniqueId val="{00000015-E0E7-45BF-B383-B1A148008AD4}"/>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'Antibiotics use index'!$A$25</c15:sqref>
                        </c15:formulaRef>
                      </c:ext>
                    </c:extLst>
                    <c:strCache>
                      <c:ptCount val="1"/>
                      <c:pt idx="0">
                        <c:v>Luxembourg</c:v>
                      </c:pt>
                    </c:strCache>
                  </c:strRef>
                </c:tx>
                <c:spPr>
                  <a:ln w="28575" cap="rnd">
                    <a:no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index'!$B$25:$AC$25</c15:sqref>
                        </c15:fullRef>
                        <c15:formulaRef>
                          <c15:sqref>('Antibiotics use index'!$U$25:$Z$25,'Antibiotics use index'!$AB$25:$AC$25)</c15:sqref>
                        </c15:formulaRef>
                      </c:ext>
                    </c:extLst>
                    <c:numCache>
                      <c:formatCode>General</c:formatCode>
                      <c:ptCount val="8"/>
                      <c:pt idx="0" formatCode="0">
                        <c:v>6.4376355698781955</c:v>
                      </c:pt>
                      <c:pt idx="1" formatCode="0.0">
                        <c:v>0.91037270685146199</c:v>
                      </c:pt>
                      <c:pt idx="2" formatCode="0">
                        <c:v>3.7961612923964281</c:v>
                      </c:pt>
                      <c:pt idx="3" formatCode="0">
                        <c:v>14.305856821951545</c:v>
                      </c:pt>
                      <c:pt idx="4" formatCode="0">
                        <c:v>42.917570465854638</c:v>
                      </c:pt>
                      <c:pt idx="5" formatCode="0">
                        <c:v>18.669143152646768</c:v>
                      </c:pt>
                      <c:pt idx="6" formatCode="0.0">
                        <c:v>0.2615289450263017</c:v>
                      </c:pt>
                      <c:pt idx="7" formatCode="0">
                        <c:v>21.458785232927319</c:v>
                      </c:pt>
                    </c:numCache>
                  </c:numRef>
                </c:val>
                <c:smooth val="0"/>
                <c:extLst xmlns:c15="http://schemas.microsoft.com/office/drawing/2012/chart">
                  <c:ext xmlns:c16="http://schemas.microsoft.com/office/drawing/2014/chart" uri="{C3380CC4-5D6E-409C-BE32-E72D297353CC}">
                    <c16:uniqueId val="{00000016-E0E7-45BF-B383-B1A148008AD4}"/>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'Antibiotics use index'!$A$26</c15:sqref>
                        </c15:formulaRef>
                      </c:ext>
                    </c:extLst>
                    <c:strCache>
                      <c:ptCount val="1"/>
                      <c:pt idx="0">
                        <c:v>Malta</c:v>
                      </c:pt>
                    </c:strCache>
                  </c:strRef>
                </c:tx>
                <c:spPr>
                  <a:ln w="28575" cap="rnd">
                    <a:no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index'!$B$26:$AC$26</c15:sqref>
                        </c15:fullRef>
                        <c15:formulaRef>
                          <c15:sqref>('Antibiotics use index'!$U$26:$Z$26,'Antibiotics use index'!$AB$26:$AC$26)</c15:sqref>
                        </c15:formulaRef>
                      </c:ext>
                    </c:extLst>
                    <c:numCache>
                      <c:formatCode>General</c:formatCode>
                      <c:ptCount val="8"/>
                      <c:pt idx="0" formatCode="0">
                        <c:v>18.008218189808346</c:v>
                      </c:pt>
                      <c:pt idx="1" formatCode="0.0">
                        <c:v>2.5466167137102711</c:v>
                      </c:pt>
                      <c:pt idx="2" formatCode="0">
                        <c:v>10.619131837323492</c:v>
                      </c:pt>
                      <c:pt idx="3" formatCode="0">
                        <c:v>40.018262644018549</c:v>
                      </c:pt>
                      <c:pt idx="4" formatCode="0">
                        <c:v>120.05478793205563</c:v>
                      </c:pt>
                      <c:pt idx="5" formatCode="0">
                        <c:v>52.223832750444203</c:v>
                      </c:pt>
                      <c:pt idx="6" formatCode="0.0">
                        <c:v>0.73158386396096409</c:v>
                      </c:pt>
                      <c:pt idx="7" formatCode="0">
                        <c:v>60.027393966027816</c:v>
                      </c:pt>
                    </c:numCache>
                  </c:numRef>
                </c:val>
                <c:smooth val="0"/>
                <c:extLst xmlns:c15="http://schemas.microsoft.com/office/drawing/2012/chart">
                  <c:ext xmlns:c16="http://schemas.microsoft.com/office/drawing/2014/chart" uri="{C3380CC4-5D6E-409C-BE32-E72D297353CC}">
                    <c16:uniqueId val="{00000017-E0E7-45BF-B383-B1A148008AD4}"/>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'Antibiotics use index'!$A$28</c15:sqref>
                        </c15:formulaRef>
                      </c:ext>
                    </c:extLst>
                    <c:strCache>
                      <c:ptCount val="1"/>
                      <c:pt idx="0">
                        <c:v>Norway</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index'!$B$28:$AC$28</c15:sqref>
                        </c15:fullRef>
                        <c15:formulaRef>
                          <c15:sqref>('Antibiotics use index'!$U$28:$Z$28,'Antibiotics use index'!$AB$28:$AC$28)</c15:sqref>
                        </c15:formulaRef>
                      </c:ext>
                    </c:extLst>
                    <c:numCache>
                      <c:formatCode>General</c:formatCode>
                      <c:ptCount val="8"/>
                      <c:pt idx="0" formatCode="0">
                        <c:v>0.61782305402720972</c:v>
                      </c:pt>
                      <c:pt idx="1" formatCode="0.0">
                        <c:v>8.7368916731120558E-2</c:v>
                      </c:pt>
                      <c:pt idx="2" formatCode="0">
                        <c:v>0.36431946757318795</c:v>
                      </c:pt>
                      <c:pt idx="3" formatCode="0">
                        <c:v>1.3729401200604661</c:v>
                      </c:pt>
                      <c:pt idx="4" formatCode="0">
                        <c:v>4.118820360181398</c:v>
                      </c:pt>
                      <c:pt idx="5" formatCode="0">
                        <c:v>1.7916868566789081</c:v>
                      </c:pt>
                      <c:pt idx="6" formatCode="0.0">
                        <c:v>2.5099061569855398E-2</c:v>
                      </c:pt>
                      <c:pt idx="7" formatCode="0">
                        <c:v>2.059410180090699</c:v>
                      </c:pt>
                    </c:numCache>
                  </c:numRef>
                </c:val>
                <c:smooth val="0"/>
                <c:extLst xmlns:c15="http://schemas.microsoft.com/office/drawing/2012/chart">
                  <c:ext xmlns:c16="http://schemas.microsoft.com/office/drawing/2014/chart" uri="{C3380CC4-5D6E-409C-BE32-E72D297353CC}">
                    <c16:uniqueId val="{00000018-E0E7-45BF-B383-B1A148008AD4}"/>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'Antibiotics use index'!$A$30</c15:sqref>
                        </c15:formulaRef>
                      </c:ext>
                    </c:extLst>
                    <c:strCache>
                      <c:ptCount val="1"/>
                      <c:pt idx="0">
                        <c:v>Portugal</c:v>
                      </c:pt>
                    </c:strCache>
                  </c:strRef>
                </c:tx>
                <c:spPr>
                  <a:ln w="28575" cap="rnd">
                    <a:no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index'!$B$30:$AC$30</c15:sqref>
                        </c15:fullRef>
                        <c15:formulaRef>
                          <c15:sqref>('Antibiotics use index'!$U$30:$Z$30,'Antibiotics use index'!$AB$30:$AC$30)</c15:sqref>
                        </c15:formulaRef>
                      </c:ext>
                    </c:extLst>
                    <c:numCache>
                      <c:formatCode>General</c:formatCode>
                      <c:ptCount val="8"/>
                      <c:pt idx="0" formatCode="0">
                        <c:v>16.994548455431058</c:v>
                      </c:pt>
                      <c:pt idx="1" formatCode="0">
                        <c:v>2.403269478545806</c:v>
                      </c:pt>
                      <c:pt idx="2" formatCode="0">
                        <c:v>10.021388493956568</c:v>
                      </c:pt>
                      <c:pt idx="3" formatCode="0">
                        <c:v>37.765663234291239</c:v>
                      </c:pt>
                      <c:pt idx="4" formatCode="0">
                        <c:v>113.29698970287372</c:v>
                      </c:pt>
                      <c:pt idx="5" formatCode="0">
                        <c:v>49.284190520750066</c:v>
                      </c:pt>
                      <c:pt idx="6" formatCode="0.0">
                        <c:v>0.69040353100188678</c:v>
                      </c:pt>
                      <c:pt idx="7" formatCode="0">
                        <c:v>56.648494851436858</c:v>
                      </c:pt>
                    </c:numCache>
                  </c:numRef>
                </c:val>
                <c:smooth val="0"/>
                <c:extLst xmlns:c15="http://schemas.microsoft.com/office/drawing/2012/chart">
                  <c:ext xmlns:c16="http://schemas.microsoft.com/office/drawing/2014/chart" uri="{C3380CC4-5D6E-409C-BE32-E72D297353CC}">
                    <c16:uniqueId val="{00000019-E0E7-45BF-B383-B1A148008AD4}"/>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'Antibiotics use index'!$A$31</c15:sqref>
                        </c15:formulaRef>
                      </c:ext>
                    </c:extLst>
                    <c:strCache>
                      <c:ptCount val="1"/>
                      <c:pt idx="0">
                        <c:v>Romania</c:v>
                      </c:pt>
                    </c:strCache>
                  </c:strRef>
                </c:tx>
                <c:spPr>
                  <a:ln w="28575"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index'!$B$31:$AC$31</c15:sqref>
                        </c15:fullRef>
                        <c15:formulaRef>
                          <c15:sqref>('Antibiotics use index'!$U$31:$Z$31,'Antibiotics use index'!$AB$31:$AC$31)</c15:sqref>
                        </c15:formulaRef>
                      </c:ext>
                    </c:extLst>
                    <c:numCache>
                      <c:formatCode>General</c:formatCode>
                      <c:ptCount val="8"/>
                      <c:pt idx="0" formatCode="0">
                        <c:v>13.204676977821578</c:v>
                      </c:pt>
                      <c:pt idx="1" formatCode="0">
                        <c:v>1.8673280574697182</c:v>
                      </c:pt>
                      <c:pt idx="2" formatCode="0">
                        <c:v>7.7865674559693909</c:v>
                      </c:pt>
                      <c:pt idx="3" formatCode="0">
                        <c:v>29.343726617381286</c:v>
                      </c:pt>
                      <c:pt idx="4" formatCode="0">
                        <c:v>88.03117985214385</c:v>
                      </c:pt>
                      <c:pt idx="5" formatCode="0">
                        <c:v>38.293563235682576</c:v>
                      </c:pt>
                      <c:pt idx="6" formatCode="0.0">
                        <c:v>0.53644000222400168</c:v>
                      </c:pt>
                      <c:pt idx="7" formatCode="0">
                        <c:v>44.015589926071925</c:v>
                      </c:pt>
                    </c:numCache>
                  </c:numRef>
                </c:val>
                <c:smooth val="0"/>
                <c:extLst xmlns:c15="http://schemas.microsoft.com/office/drawing/2012/chart">
                  <c:ext xmlns:c16="http://schemas.microsoft.com/office/drawing/2014/chart" uri="{C3380CC4-5D6E-409C-BE32-E72D297353CC}">
                    <c16:uniqueId val="{0000001A-E0E7-45BF-B383-B1A148008AD4}"/>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'Antibiotics use index'!$A$32</c15:sqref>
                        </c15:formulaRef>
                      </c:ext>
                    </c:extLst>
                    <c:strCache>
                      <c:ptCount val="1"/>
                      <c:pt idx="0">
                        <c:v>Slovakia</c:v>
                      </c:pt>
                    </c:strCache>
                  </c:strRef>
                </c:tx>
                <c:spPr>
                  <a:ln w="28575"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index'!$B$32:$AC$32</c15:sqref>
                        </c15:fullRef>
                        <c15:formulaRef>
                          <c15:sqref>('Antibiotics use index'!$U$32:$Z$32,'Antibiotics use index'!$AB$32:$AC$32)</c15:sqref>
                        </c15:formulaRef>
                      </c:ext>
                    </c:extLst>
                    <c:numCache>
                      <c:formatCode>General</c:formatCode>
                      <c:ptCount val="8"/>
                      <c:pt idx="0" formatCode="0">
                        <c:v>10.438132513190208</c:v>
                      </c:pt>
                      <c:pt idx="1" formatCode="0">
                        <c:v>1.4760995473198275</c:v>
                      </c:pt>
                      <c:pt idx="2" formatCode="0">
                        <c:v>6.1551844899208925</c:v>
                      </c:pt>
                      <c:pt idx="3" formatCode="0">
                        <c:v>23.195850029311575</c:v>
                      </c:pt>
                      <c:pt idx="4" formatCode="0">
                        <c:v>69.58755008793473</c:v>
                      </c:pt>
                      <c:pt idx="5" formatCode="0">
                        <c:v>30.270584288251609</c:v>
                      </c:pt>
                      <c:pt idx="6" formatCode="0.0">
                        <c:v>0.42404913334835226</c:v>
                      </c:pt>
                      <c:pt idx="7" formatCode="0">
                        <c:v>34.793775043967365</c:v>
                      </c:pt>
                    </c:numCache>
                  </c:numRef>
                </c:val>
                <c:smooth val="0"/>
                <c:extLst xmlns:c15="http://schemas.microsoft.com/office/drawing/2012/chart">
                  <c:ext xmlns:c16="http://schemas.microsoft.com/office/drawing/2014/chart" uri="{C3380CC4-5D6E-409C-BE32-E72D297353CC}">
                    <c16:uniqueId val="{0000001B-E0E7-45BF-B383-B1A148008AD4}"/>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'Antibiotics use index'!$A$33</c15:sqref>
                        </c15:formulaRef>
                      </c:ext>
                    </c:extLst>
                    <c:strCache>
                      <c:ptCount val="1"/>
                      <c:pt idx="0">
                        <c:v>Slovenia</c:v>
                      </c:pt>
                    </c:strCache>
                  </c:strRef>
                </c:tx>
                <c:spPr>
                  <a:ln w="28575"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index'!$B$33:$AC$33</c15:sqref>
                        </c15:fullRef>
                        <c15:formulaRef>
                          <c15:sqref>('Antibiotics use index'!$U$33:$Z$33,'Antibiotics use index'!$AB$33:$AC$33)</c15:sqref>
                        </c15:formulaRef>
                      </c:ext>
                    </c:extLst>
                    <c:numCache>
                      <c:formatCode>General</c:formatCode>
                      <c:ptCount val="8"/>
                      <c:pt idx="0" formatCode="0">
                        <c:v>7.4566037779023384</c:v>
                      </c:pt>
                      <c:pt idx="1" formatCode="0">
                        <c:v>1.0544692211175024</c:v>
                      </c:pt>
                      <c:pt idx="2" formatCode="0">
                        <c:v>4.397029053159871</c:v>
                      </c:pt>
                      <c:pt idx="3" formatCode="0">
                        <c:v>16.570230617560753</c:v>
                      </c:pt>
                      <c:pt idx="4" formatCode="0">
                        <c:v>49.71069185268226</c:v>
                      </c:pt>
                      <c:pt idx="5" formatCode="0">
                        <c:v>21.624150955916782</c:v>
                      </c:pt>
                      <c:pt idx="6" formatCode="0.0">
                        <c:v>0.30292452847728252</c:v>
                      </c:pt>
                      <c:pt idx="7" formatCode="0">
                        <c:v>24.85534592634113</c:v>
                      </c:pt>
                    </c:numCache>
                  </c:numRef>
                </c:val>
                <c:smooth val="0"/>
                <c:extLst xmlns:c15="http://schemas.microsoft.com/office/drawing/2012/chart">
                  <c:ext xmlns:c16="http://schemas.microsoft.com/office/drawing/2014/chart" uri="{C3380CC4-5D6E-409C-BE32-E72D297353CC}">
                    <c16:uniqueId val="{0000001C-E0E7-45BF-B383-B1A148008AD4}"/>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'Antibiotics use index'!$A$36</c15:sqref>
                        </c15:formulaRef>
                      </c:ext>
                    </c:extLst>
                    <c:strCache>
                      <c:ptCount val="1"/>
                      <c:pt idx="0">
                        <c:v>Switzerland</c:v>
                      </c:pt>
                    </c:strCache>
                  </c:strRef>
                </c:tx>
                <c:spPr>
                  <a:ln w="28575"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index'!$U$6:$Z$6,'Antibiotics use index'!$AB$6:$AC$6)</c15:sqref>
                        </c15:formulaRef>
                      </c:ext>
                    </c:extLst>
                    <c:strCache>
                      <c:ptCount val="8"/>
                      <c:pt idx="0">
                        <c:v>Cattle meat</c:v>
                      </c:pt>
                      <c:pt idx="1">
                        <c:v>Milk</c:v>
                      </c:pt>
                      <c:pt idx="2">
                        <c:v>Horse meat</c:v>
                      </c:pt>
                      <c:pt idx="3">
                        <c:v>Lamb meat</c:v>
                      </c:pt>
                      <c:pt idx="4">
                        <c:v>Pig meat</c:v>
                      </c:pt>
                      <c:pt idx="5">
                        <c:v>Chicken meat</c:v>
                      </c:pt>
                      <c:pt idx="6">
                        <c:v>Egg</c:v>
                      </c:pt>
                      <c:pt idx="7">
                        <c:v>Farmed fish</c:v>
                      </c:pt>
                    </c:strCache>
                  </c:strRef>
                </c:cat>
                <c:val>
                  <c:numRef>
                    <c:extLst>
                      <c:ext xmlns:c15="http://schemas.microsoft.com/office/drawing/2012/chart" uri="{02D57815-91ED-43cb-92C2-25804820EDAC}">
                        <c15:fullRef>
                          <c15:sqref>'Antibiotics use index'!$B$36:$AC$36</c15:sqref>
                        </c15:fullRef>
                        <c15:formulaRef>
                          <c15:sqref>('Antibiotics use index'!$U$36:$Z$36,'Antibiotics use index'!$AB$36:$AC$36)</c15:sqref>
                        </c15:formulaRef>
                      </c:ext>
                    </c:extLst>
                    <c:numCache>
                      <c:formatCode>General</c:formatCode>
                      <c:ptCount val="8"/>
                      <c:pt idx="0" formatCode="0">
                        <c:v>6.88102320341505</c:v>
                      </c:pt>
                      <c:pt idx="1" formatCode="0">
                        <c:v>0.97307398836172421</c:v>
                      </c:pt>
                      <c:pt idx="2" formatCode="0">
                        <c:v>4.0576192382042713</c:v>
                      </c:pt>
                      <c:pt idx="3" formatCode="0">
                        <c:v>15.291162674255666</c:v>
                      </c:pt>
                      <c:pt idx="4" formatCode="0">
                        <c:v>45.873488022766999</c:v>
                      </c:pt>
                      <c:pt idx="5" formatCode="0">
                        <c:v>19.954967289903646</c:v>
                      </c:pt>
                      <c:pt idx="6" formatCode="0.0">
                        <c:v>0.27954156763873644</c:v>
                      </c:pt>
                      <c:pt idx="7" formatCode="0">
                        <c:v>22.936744011383499</c:v>
                      </c:pt>
                    </c:numCache>
                  </c:numRef>
                </c:val>
                <c:smooth val="0"/>
                <c:extLst xmlns:c15="http://schemas.microsoft.com/office/drawing/2012/chart">
                  <c:ext xmlns:c16="http://schemas.microsoft.com/office/drawing/2014/chart" uri="{C3380CC4-5D6E-409C-BE32-E72D297353CC}">
                    <c16:uniqueId val="{0000001D-E0E7-45BF-B383-B1A148008AD4}"/>
                  </c:ext>
                </c:extLst>
              </c15:ser>
            </c15:filteredLineSeries>
          </c:ext>
        </c:extLst>
      </c:lineChart>
      <c:catAx>
        <c:axId val="60036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600361904"/>
        <c:crosses val="autoZero"/>
        <c:auto val="1"/>
        <c:lblAlgn val="ctr"/>
        <c:lblOffset val="100"/>
        <c:noMultiLvlLbl val="0"/>
      </c:catAx>
      <c:valAx>
        <c:axId val="60036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Use of antibiotics (mg per</a:t>
                </a:r>
                <a:r>
                  <a:rPr lang="sv-SE" baseline="0"/>
                  <a:t> kg product</a:t>
                </a:r>
                <a:r>
                  <a:rPr lang="sv-SE"/>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6003614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6"/>
          <c:order val="6"/>
          <c:tx>
            <c:strRef>
              <c:f>'Antibiotics use index'!$A$13</c:f>
              <c:strCache>
                <c:ptCount val="1"/>
                <c:pt idx="0">
                  <c:v>Denmark</c:v>
                </c:pt>
              </c:strCache>
            </c:strRef>
          </c:tx>
          <c:spPr>
            <a:ln w="28575" cap="rnd">
              <a:no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index'!$U$6:$W$6,'Antibiotics use index'!$AB$6)</c:f>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index'!$B$13:$AC$13</c15:sqref>
                  </c15:fullRef>
                </c:ext>
              </c:extLst>
              <c:f>('Antibiotics use index'!$U$13:$W$13,'Antibiotics use index'!$AB$13)</c:f>
              <c:numCache>
                <c:formatCode>General</c:formatCode>
                <c:ptCount val="4"/>
                <c:pt idx="0" formatCode="0">
                  <c:v>5.9802073215224372</c:v>
                </c:pt>
                <c:pt idx="1" formatCode="0.0">
                  <c:v>0.84568588385165777</c:v>
                </c:pt>
                <c:pt idx="2" formatCode="0">
                  <c:v>3.526423841183469</c:v>
                </c:pt>
                <c:pt idx="3" formatCode="0.0">
                  <c:v>0.24294592243684904</c:v>
                </c:pt>
              </c:numCache>
            </c:numRef>
          </c:val>
          <c:smooth val="0"/>
          <c:extLst>
            <c:ext xmlns:c16="http://schemas.microsoft.com/office/drawing/2014/chart" uri="{C3380CC4-5D6E-409C-BE32-E72D297353CC}">
              <c16:uniqueId val="{00000000-6D8A-4573-A863-4DE1EF495EC2}"/>
            </c:ext>
          </c:extLst>
        </c:ser>
        <c:ser>
          <c:idx val="9"/>
          <c:order val="9"/>
          <c:tx>
            <c:strRef>
              <c:f>'Antibiotics use index'!$A$16</c:f>
              <c:strCache>
                <c:ptCount val="1"/>
                <c:pt idx="0">
                  <c:v>France</c:v>
                </c:pt>
              </c:strCache>
            </c:strRef>
          </c:tx>
          <c:spPr>
            <a:ln w="28575" cap="rnd">
              <a:noFill/>
              <a:round/>
            </a:ln>
            <a:effectLst/>
          </c:spPr>
          <c:marker>
            <c:symbol val="circle"/>
            <c:size val="5"/>
            <c:spPr>
              <a:solidFill>
                <a:schemeClr val="accent4">
                  <a:lumMod val="60000"/>
                </a:schemeClr>
              </a:solidFill>
              <a:ln w="9525">
                <a:solidFill>
                  <a:schemeClr val="accent4">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index'!$U$6:$W$6,'Antibiotics use index'!$AB$6)</c:f>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index'!$B$16:$AC$16</c15:sqref>
                  </c15:fullRef>
                </c:ext>
              </c:extLst>
              <c:f>('Antibiotics use index'!$U$16:$W$16,'Antibiotics use index'!$AB$16)</c:f>
              <c:numCache>
                <c:formatCode>General</c:formatCode>
                <c:ptCount val="4"/>
                <c:pt idx="0" formatCode="0">
                  <c:v>8.7454741736100825</c:v>
                </c:pt>
                <c:pt idx="1" formatCode="0.0">
                  <c:v>1.2367337215206178</c:v>
                </c:pt>
                <c:pt idx="2" formatCode="0">
                  <c:v>5.1570534214224537</c:v>
                </c:pt>
                <c:pt idx="3" formatCode="0.0">
                  <c:v>0.35528488830290966</c:v>
                </c:pt>
              </c:numCache>
            </c:numRef>
          </c:val>
          <c:smooth val="0"/>
          <c:extLst>
            <c:ext xmlns:c16="http://schemas.microsoft.com/office/drawing/2014/chart" uri="{C3380CC4-5D6E-409C-BE32-E72D297353CC}">
              <c16:uniqueId val="{00000001-6D8A-4573-A863-4DE1EF495EC2}"/>
            </c:ext>
          </c:extLst>
        </c:ser>
        <c:ser>
          <c:idx val="10"/>
          <c:order val="10"/>
          <c:tx>
            <c:strRef>
              <c:f>'Antibiotics use index'!$A$17</c:f>
              <c:strCache>
                <c:ptCount val="1"/>
                <c:pt idx="0">
                  <c:v>Germany</c:v>
                </c:pt>
              </c:strCache>
            </c:strRef>
          </c:tx>
          <c:spPr>
            <a:ln w="28575" cap="rnd">
              <a:noFill/>
              <a:round/>
            </a:ln>
            <a:effectLst/>
          </c:spPr>
          <c:marker>
            <c:symbol val="circle"/>
            <c:size val="5"/>
            <c:spPr>
              <a:solidFill>
                <a:schemeClr val="accent5">
                  <a:lumMod val="60000"/>
                </a:schemeClr>
              </a:solidFill>
              <a:ln w="9525">
                <a:solidFill>
                  <a:schemeClr val="accent5">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index'!$U$6:$W$6,'Antibiotics use index'!$AB$6)</c:f>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index'!$B$17:$AC$17</c15:sqref>
                  </c15:fullRef>
                </c:ext>
              </c:extLst>
              <c:f>('Antibiotics use index'!$U$17:$W$17,'Antibiotics use index'!$AB$17)</c:f>
              <c:numCache>
                <c:formatCode>General</c:formatCode>
                <c:ptCount val="4"/>
                <c:pt idx="0" formatCode="0">
                  <c:v>14.65228015351942</c:v>
                </c:pt>
                <c:pt idx="1" formatCode="0.0">
                  <c:v>2.0720396176694127</c:v>
                </c:pt>
                <c:pt idx="2" formatCode="0">
                  <c:v>8.6401937730674039</c:v>
                </c:pt>
                <c:pt idx="3" formatCode="0.0">
                  <c:v>0.59524888123672648</c:v>
                </c:pt>
              </c:numCache>
            </c:numRef>
          </c:val>
          <c:smooth val="0"/>
          <c:extLst>
            <c:ext xmlns:c16="http://schemas.microsoft.com/office/drawing/2014/chart" uri="{C3380CC4-5D6E-409C-BE32-E72D297353CC}">
              <c16:uniqueId val="{00000002-6D8A-4573-A863-4DE1EF495EC2}"/>
            </c:ext>
          </c:extLst>
        </c:ser>
        <c:ser>
          <c:idx val="11"/>
          <c:order val="11"/>
          <c:tx>
            <c:strRef>
              <c:f>'Antibiotics use index'!$A$18</c:f>
              <c:strCache>
                <c:ptCount val="1"/>
                <c:pt idx="0">
                  <c:v>Greece</c:v>
                </c:pt>
              </c:strCache>
            </c:strRef>
          </c:tx>
          <c:spPr>
            <a:ln w="28575" cap="rnd">
              <a:noFill/>
              <a:round/>
            </a:ln>
            <a:effectLst/>
          </c:spPr>
          <c:marker>
            <c:symbol val="circle"/>
            <c:size val="5"/>
            <c:spPr>
              <a:solidFill>
                <a:schemeClr val="accent6">
                  <a:lumMod val="60000"/>
                </a:schemeClr>
              </a:solidFill>
              <a:ln w="9525">
                <a:solidFill>
                  <a:schemeClr val="accent6">
                    <a:lumMod val="60000"/>
                  </a:schemeClr>
                </a:solidFill>
              </a:ln>
              <a:effectLst/>
            </c:spPr>
          </c:marker>
          <c:cat>
            <c:strRef>
              <c:extLst>
                <c:ext xmlns:c15="http://schemas.microsoft.com/office/drawing/2012/chart" uri="{02D57815-91ED-43cb-92C2-25804820EDAC}">
                  <c15:fullRef>
                    <c15:sqref>'Antibiotics use index'!$B$6:$AC$6</c15:sqref>
                  </c15:fullRef>
                </c:ext>
              </c:extLst>
              <c:f>('Antibiotics use index'!$U$6:$W$6,'Antibiotics use index'!$AB$6)</c:f>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index'!$B$18:$AC$18</c15:sqref>
                  </c15:fullRef>
                </c:ext>
              </c:extLst>
              <c:f>('Antibiotics use index'!$U$18:$W$18,'Antibiotics use index'!$AB$18)</c:f>
              <c:numCache>
                <c:formatCode>General</c:formatCode>
                <c:ptCount val="4"/>
                <c:pt idx="0" formatCode="0">
                  <c:v>28.588805857120381</c:v>
                </c:pt>
                <c:pt idx="1" formatCode="0.0">
                  <c:v>4.0428614343402556</c:v>
                </c:pt>
                <c:pt idx="2" formatCode="0">
                  <c:v>16.858319644317813</c:v>
                </c:pt>
                <c:pt idx="3" formatCode="0.0">
                  <c:v>1.1614202379455156</c:v>
                </c:pt>
              </c:numCache>
            </c:numRef>
          </c:val>
          <c:smooth val="0"/>
          <c:extLst>
            <c:ext xmlns:c16="http://schemas.microsoft.com/office/drawing/2014/chart" uri="{C3380CC4-5D6E-409C-BE32-E72D297353CC}">
              <c16:uniqueId val="{00000003-6D8A-4573-A863-4DE1EF495EC2}"/>
            </c:ext>
          </c:extLst>
        </c:ser>
        <c:ser>
          <c:idx val="12"/>
          <c:order val="12"/>
          <c:tx>
            <c:strRef>
              <c:f>'Antibiotics use index'!$A$19</c:f>
              <c:strCache>
                <c:ptCount val="1"/>
                <c:pt idx="0">
                  <c:v>Hungary</c:v>
                </c:pt>
              </c:strCache>
            </c:strRef>
          </c:tx>
          <c:spPr>
            <a:ln w="28575"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extLst>
                <c:ext xmlns:c15="http://schemas.microsoft.com/office/drawing/2012/chart" uri="{02D57815-91ED-43cb-92C2-25804820EDAC}">
                  <c15:fullRef>
                    <c15:sqref>'Antibiotics use index'!$B$6:$AC$6</c15:sqref>
                  </c15:fullRef>
                </c:ext>
              </c:extLst>
              <c:f>('Antibiotics use index'!$U$6:$W$6,'Antibiotics use index'!$AB$6)</c:f>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index'!$B$19:$AC$19</c15:sqref>
                  </c15:fullRef>
                </c:ext>
              </c:extLst>
              <c:f>('Antibiotics use index'!$U$19:$W$19,'Antibiotics use index'!$AB$19)</c:f>
              <c:numCache>
                <c:formatCode>General</c:formatCode>
                <c:ptCount val="4"/>
                <c:pt idx="0" formatCode="0">
                  <c:v>22.282122706879171</c:v>
                </c:pt>
                <c:pt idx="1" formatCode="0.0">
                  <c:v>3.1510072514778629</c:v>
                </c:pt>
                <c:pt idx="2" formatCode="0">
                  <c:v>13.139378707310495</c:v>
                </c:pt>
                <c:pt idx="3" formatCode="0.0">
                  <c:v>0.90521123496696643</c:v>
                </c:pt>
              </c:numCache>
            </c:numRef>
          </c:val>
          <c:smooth val="0"/>
          <c:extLst>
            <c:ext xmlns:c16="http://schemas.microsoft.com/office/drawing/2014/chart" uri="{C3380CC4-5D6E-409C-BE32-E72D297353CC}">
              <c16:uniqueId val="{00000004-6D8A-4573-A863-4DE1EF495EC2}"/>
            </c:ext>
          </c:extLst>
        </c:ser>
        <c:ser>
          <c:idx val="14"/>
          <c:order val="14"/>
          <c:tx>
            <c:strRef>
              <c:f>'Antibiotics use index'!$A$21</c:f>
              <c:strCache>
                <c:ptCount val="1"/>
                <c:pt idx="0">
                  <c:v>Ireland</c:v>
                </c:pt>
              </c:strCache>
            </c:strRef>
          </c:tx>
          <c:spPr>
            <a:ln w="28575"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extLst>
                <c:ext xmlns:c15="http://schemas.microsoft.com/office/drawing/2012/chart" uri="{02D57815-91ED-43cb-92C2-25804820EDAC}">
                  <c15:fullRef>
                    <c15:sqref>'Antibiotics use index'!$B$6:$AC$6</c15:sqref>
                  </c15:fullRef>
                </c:ext>
              </c:extLst>
              <c:f>('Antibiotics use index'!$U$6:$W$6,'Antibiotics use index'!$AB$6)</c:f>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index'!$B$21:$AC$21</c15:sqref>
                  </c15:fullRef>
                </c:ext>
              </c:extLst>
              <c:f>('Antibiotics use index'!$U$21:$W$21,'Antibiotics use index'!$AB$21)</c:f>
              <c:numCache>
                <c:formatCode>General</c:formatCode>
                <c:ptCount val="4"/>
                <c:pt idx="0" formatCode="0">
                  <c:v>9.7002401921879908</c:v>
                </c:pt>
                <c:pt idx="1" formatCode="0.0">
                  <c:v>1.3717511382892107</c:v>
                </c:pt>
                <c:pt idx="2" formatCode="0">
                  <c:v>5.7200622720600611</c:v>
                </c:pt>
                <c:pt idx="3" formatCode="0.0">
                  <c:v>0.39407225780763716</c:v>
                </c:pt>
              </c:numCache>
            </c:numRef>
          </c:val>
          <c:smooth val="0"/>
          <c:extLst>
            <c:ext xmlns:c16="http://schemas.microsoft.com/office/drawing/2014/chart" uri="{C3380CC4-5D6E-409C-BE32-E72D297353CC}">
              <c16:uniqueId val="{00000005-6D8A-4573-A863-4DE1EF495EC2}"/>
            </c:ext>
          </c:extLst>
        </c:ser>
        <c:ser>
          <c:idx val="15"/>
          <c:order val="15"/>
          <c:tx>
            <c:strRef>
              <c:f>'Antibiotics use index'!$A$22</c:f>
              <c:strCache>
                <c:ptCount val="1"/>
                <c:pt idx="0">
                  <c:v>Italy</c:v>
                </c:pt>
              </c:strCache>
            </c:strRef>
          </c:tx>
          <c:spPr>
            <a:ln w="28575"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extLst>
                <c:ext xmlns:c15="http://schemas.microsoft.com/office/drawing/2012/chart" uri="{02D57815-91ED-43cb-92C2-25804820EDAC}">
                  <c15:fullRef>
                    <c15:sqref>'Antibiotics use index'!$B$6:$AC$6</c15:sqref>
                  </c15:fullRef>
                </c:ext>
              </c:extLst>
              <c:f>('Antibiotics use index'!$U$6:$W$6,'Antibiotics use index'!$AB$6)</c:f>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index'!$B$22:$AC$22</c15:sqref>
                  </c15:fullRef>
                </c:ext>
              </c:extLst>
              <c:f>('Antibiotics use index'!$U$22:$W$22,'Antibiotics use index'!$AB$22)</c:f>
              <c:numCache>
                <c:formatCode>General</c:formatCode>
                <c:ptCount val="4"/>
                <c:pt idx="0" formatCode="0">
                  <c:v>36.046525991625877</c:v>
                </c:pt>
                <c:pt idx="1" formatCode="0.0">
                  <c:v>5.0974885240683054</c:v>
                </c:pt>
                <c:pt idx="2" formatCode="0">
                  <c:v>21.256006993474625</c:v>
                </c:pt>
                <c:pt idx="3" formatCode="0.0">
                  <c:v>1.4643901184098014</c:v>
                </c:pt>
              </c:numCache>
            </c:numRef>
          </c:val>
          <c:smooth val="0"/>
          <c:extLst>
            <c:ext xmlns:c16="http://schemas.microsoft.com/office/drawing/2014/chart" uri="{C3380CC4-5D6E-409C-BE32-E72D297353CC}">
              <c16:uniqueId val="{00000006-6D8A-4573-A863-4DE1EF495EC2}"/>
            </c:ext>
          </c:extLst>
        </c:ser>
        <c:ser>
          <c:idx val="20"/>
          <c:order val="20"/>
          <c:tx>
            <c:strRef>
              <c:f>'Antibiotics use index'!$A$27</c:f>
              <c:strCache>
                <c:ptCount val="1"/>
                <c:pt idx="0">
                  <c:v>Netherlands</c:v>
                </c:pt>
              </c:strCache>
            </c:strRef>
          </c:tx>
          <c:spPr>
            <a:ln w="28575" cap="rnd">
              <a:noFill/>
              <a:round/>
            </a:ln>
            <a:effectLst/>
          </c:spPr>
          <c:marker>
            <c:symbol val="circle"/>
            <c:size val="5"/>
            <c:spPr>
              <a:solidFill>
                <a:schemeClr val="accent3">
                  <a:lumMod val="80000"/>
                </a:schemeClr>
              </a:solidFill>
              <a:ln w="9525">
                <a:solidFill>
                  <a:schemeClr val="accent3">
                    <a:lumMod val="80000"/>
                  </a:schemeClr>
                </a:solidFill>
              </a:ln>
              <a:effectLst/>
            </c:spPr>
          </c:marker>
          <c:cat>
            <c:strRef>
              <c:extLst>
                <c:ext xmlns:c15="http://schemas.microsoft.com/office/drawing/2012/chart" uri="{02D57815-91ED-43cb-92C2-25804820EDAC}">
                  <c15:fullRef>
                    <c15:sqref>'Antibiotics use index'!$B$6:$AC$6</c15:sqref>
                  </c15:fullRef>
                </c:ext>
              </c:extLst>
              <c:f>('Antibiotics use index'!$U$6:$W$6,'Antibiotics use index'!$AB$6)</c:f>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index'!$B$27:$AC$27</c15:sqref>
                  </c15:fullRef>
                </c:ext>
              </c:extLst>
              <c:f>('Antibiotics use index'!$U$27:$W$27,'Antibiotics use index'!$AB$27)</c:f>
              <c:numCache>
                <c:formatCode>General</c:formatCode>
                <c:ptCount val="4"/>
                <c:pt idx="0" formatCode="0">
                  <c:v>7.3938528281058318</c:v>
                </c:pt>
                <c:pt idx="1" formatCode="0.0">
                  <c:v>1.0455953494291075</c:v>
                </c:pt>
                <c:pt idx="2" formatCode="0">
                  <c:v>4.3600259137163757</c:v>
                </c:pt>
                <c:pt idx="3" formatCode="0.0">
                  <c:v>0.30037527114179946</c:v>
                </c:pt>
              </c:numCache>
            </c:numRef>
          </c:val>
          <c:smooth val="0"/>
          <c:extLst>
            <c:ext xmlns:c16="http://schemas.microsoft.com/office/drawing/2014/chart" uri="{C3380CC4-5D6E-409C-BE32-E72D297353CC}">
              <c16:uniqueId val="{00000007-6D8A-4573-A863-4DE1EF495EC2}"/>
            </c:ext>
          </c:extLst>
        </c:ser>
        <c:ser>
          <c:idx val="22"/>
          <c:order val="22"/>
          <c:tx>
            <c:strRef>
              <c:f>'Antibiotics use index'!$A$29</c:f>
              <c:strCache>
                <c:ptCount val="1"/>
                <c:pt idx="0">
                  <c:v>Poland</c:v>
                </c:pt>
              </c:strCache>
            </c:strRef>
          </c:tx>
          <c:spPr>
            <a:ln w="28575" cap="rnd">
              <a:noFill/>
              <a:round/>
            </a:ln>
            <a:effectLst/>
          </c:spPr>
          <c:marker>
            <c:symbol val="circle"/>
            <c:size val="5"/>
            <c:spPr>
              <a:solidFill>
                <a:schemeClr val="accent5">
                  <a:lumMod val="80000"/>
                </a:schemeClr>
              </a:solidFill>
              <a:ln w="9525">
                <a:solidFill>
                  <a:schemeClr val="accent5">
                    <a:lumMod val="80000"/>
                  </a:schemeClr>
                </a:solidFill>
              </a:ln>
              <a:effectLst/>
            </c:spPr>
          </c:marker>
          <c:cat>
            <c:strRef>
              <c:extLst>
                <c:ext xmlns:c15="http://schemas.microsoft.com/office/drawing/2012/chart" uri="{02D57815-91ED-43cb-92C2-25804820EDAC}">
                  <c15:fullRef>
                    <c15:sqref>'Antibiotics use index'!$B$6:$AC$6</c15:sqref>
                  </c15:fullRef>
                </c:ext>
              </c:extLst>
              <c:f>('Antibiotics use index'!$U$6:$W$6,'Antibiotics use index'!$AB$6)</c:f>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index'!$B$29:$AC$29</c15:sqref>
                  </c15:fullRef>
                </c:ext>
              </c:extLst>
              <c:f>('Antibiotics use index'!$U$29:$W$29,'Antibiotics use index'!$AB$29)</c:f>
              <c:numCache>
                <c:formatCode>General</c:formatCode>
                <c:ptCount val="4"/>
                <c:pt idx="0" formatCode="0">
                  <c:v>46.317503242667534</c:v>
                </c:pt>
                <c:pt idx="1" formatCode="0.0">
                  <c:v>6.5499499535085395</c:v>
                </c:pt>
                <c:pt idx="2" formatCode="0">
                  <c:v>27.312622943890457</c:v>
                </c:pt>
                <c:pt idx="3" formatCode="0.0">
                  <c:v>1.8816485692333687</c:v>
                </c:pt>
              </c:numCache>
            </c:numRef>
          </c:val>
          <c:smooth val="0"/>
          <c:extLst>
            <c:ext xmlns:c16="http://schemas.microsoft.com/office/drawing/2014/chart" uri="{C3380CC4-5D6E-409C-BE32-E72D297353CC}">
              <c16:uniqueId val="{00000008-6D8A-4573-A863-4DE1EF495EC2}"/>
            </c:ext>
          </c:extLst>
        </c:ser>
        <c:ser>
          <c:idx val="27"/>
          <c:order val="27"/>
          <c:tx>
            <c:strRef>
              <c:f>'Antibiotics use index'!$A$34</c:f>
              <c:strCache>
                <c:ptCount val="1"/>
                <c:pt idx="0">
                  <c:v>Spain</c:v>
                </c:pt>
              </c:strCache>
            </c:strRef>
          </c:tx>
          <c:spPr>
            <a:ln w="28575"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extLst>
                <c:ext xmlns:c15="http://schemas.microsoft.com/office/drawing/2012/chart" uri="{02D57815-91ED-43cb-92C2-25804820EDAC}">
                  <c15:fullRef>
                    <c15:sqref>'Antibiotics use index'!$B$6:$AC$6</c15:sqref>
                  </c15:fullRef>
                </c:ext>
              </c:extLst>
              <c:f>('Antibiotics use index'!$U$6:$W$6,'Antibiotics use index'!$AB$6)</c:f>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index'!$B$34:$AC$34</c15:sqref>
                  </c15:fullRef>
                </c:ext>
              </c:extLst>
              <c:f>('Antibiotics use index'!$U$34:$W$34,'Antibiotics use index'!$AB$34)</c:f>
              <c:numCache>
                <c:formatCode>General</c:formatCode>
                <c:ptCount val="4"/>
                <c:pt idx="0" formatCode="0">
                  <c:v>23.956277408286137</c:v>
                </c:pt>
                <c:pt idx="1" formatCode="0">
                  <c:v>3.3877564011717767</c:v>
                </c:pt>
                <c:pt idx="2" formatCode="0">
                  <c:v>14.126598503457618</c:v>
                </c:pt>
                <c:pt idx="3" formatCode="0.0">
                  <c:v>0.97322376971162439</c:v>
                </c:pt>
              </c:numCache>
            </c:numRef>
          </c:val>
          <c:smooth val="0"/>
          <c:extLst>
            <c:ext xmlns:c16="http://schemas.microsoft.com/office/drawing/2014/chart" uri="{C3380CC4-5D6E-409C-BE32-E72D297353CC}">
              <c16:uniqueId val="{00000009-6D8A-4573-A863-4DE1EF495EC2}"/>
            </c:ext>
          </c:extLst>
        </c:ser>
        <c:ser>
          <c:idx val="28"/>
          <c:order val="28"/>
          <c:tx>
            <c:strRef>
              <c:f>'Antibiotics use index'!$A$35</c:f>
              <c:strCache>
                <c:ptCount val="1"/>
                <c:pt idx="0">
                  <c:v>Sweden</c:v>
                </c:pt>
              </c:strCache>
            </c:strRef>
          </c:tx>
          <c:spPr>
            <a:ln w="28575"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extLst>
                <c:ext xmlns:c15="http://schemas.microsoft.com/office/drawing/2012/chart" uri="{02D57815-91ED-43cb-92C2-25804820EDAC}">
                  <c15:fullRef>
                    <c15:sqref>'Antibiotics use index'!$B$6:$AC$6</c15:sqref>
                  </c15:fullRef>
                </c:ext>
              </c:extLst>
              <c:f>('Antibiotics use index'!$U$6:$W$6,'Antibiotics use index'!$AB$6)</c:f>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index'!$B$35:$AC$35</c15:sqref>
                  </c15:fullRef>
                </c:ext>
              </c:extLst>
              <c:f>('Antibiotics use index'!$U$35:$W$35,'Antibiotics use index'!$AB$35)</c:f>
              <c:numCache>
                <c:formatCode>General</c:formatCode>
                <c:ptCount val="4"/>
                <c:pt idx="0" formatCode="0">
                  <c:v>2.8978382122111062</c:v>
                </c:pt>
                <c:pt idx="1" formatCode="0">
                  <c:v>0.40979530273692411</c:v>
                </c:pt>
                <c:pt idx="2" formatCode="0">
                  <c:v>1.7088045965657555</c:v>
                </c:pt>
                <c:pt idx="3" formatCode="0.0">
                  <c:v>0.1177246773710762</c:v>
                </c:pt>
              </c:numCache>
            </c:numRef>
          </c:val>
          <c:smooth val="0"/>
          <c:extLst>
            <c:ext xmlns:c16="http://schemas.microsoft.com/office/drawing/2014/chart" uri="{C3380CC4-5D6E-409C-BE32-E72D297353CC}">
              <c16:uniqueId val="{0000000A-6D8A-4573-A863-4DE1EF495EC2}"/>
            </c:ext>
          </c:extLst>
        </c:ser>
        <c:dLbls>
          <c:showLegendKey val="0"/>
          <c:showVal val="0"/>
          <c:showCatName val="0"/>
          <c:showSerName val="0"/>
          <c:showPercent val="0"/>
          <c:showBubbleSize val="0"/>
        </c:dLbls>
        <c:marker val="1"/>
        <c:smooth val="0"/>
        <c:axId val="600361424"/>
        <c:axId val="600361904"/>
        <c:extLst>
          <c:ext xmlns:c15="http://schemas.microsoft.com/office/drawing/2012/chart" uri="{02D57815-91ED-43cb-92C2-25804820EDAC}">
            <c15:filteredLineSeries>
              <c15:ser>
                <c:idx val="0"/>
                <c:order val="0"/>
                <c:tx>
                  <c:strRef>
                    <c:extLst>
                      <c:ext uri="{02D57815-91ED-43cb-92C2-25804820EDAC}">
                        <c15:formulaRef>
                          <c15:sqref>'Antibiotics use index'!$A$7</c15:sqref>
                        </c15:formulaRef>
                      </c:ext>
                    </c:extLst>
                    <c:strCache>
                      <c:ptCount val="1"/>
                      <c:pt idx="0">
                        <c:v>Austria</c:v>
                      </c:pt>
                    </c:strCache>
                  </c:strRef>
                </c:tx>
                <c:spPr>
                  <a:ln w="28575" cap="rnd">
                    <a:noFill/>
                    <a:round/>
                  </a:ln>
                  <a:effectLst/>
                </c:spPr>
                <c:marker>
                  <c:symbol val="circle"/>
                  <c:size val="5"/>
                  <c:spPr>
                    <a:solidFill>
                      <a:schemeClr val="accent1"/>
                    </a:solidFill>
                    <a:ln w="9525">
                      <a:solidFill>
                        <a:schemeClr val="accent1"/>
                      </a:solidFill>
                    </a:ln>
                    <a:effectLst/>
                  </c:spPr>
                </c:marker>
                <c:cat>
                  <c:strRef>
                    <c:extLst>
                      <c:ex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uri="{02D57815-91ED-43cb-92C2-25804820EDAC}">
                        <c15:fullRef>
                          <c15:sqref>'Antibiotics use index'!$B$7:$AC$7</c15:sqref>
                        </c15:fullRef>
                        <c15:formulaRef>
                          <c15:sqref>('Antibiotics use index'!$U$7:$W$7,'Antibiotics use index'!$AB$7)</c15:sqref>
                        </c15:formulaRef>
                      </c:ext>
                    </c:extLst>
                    <c:numCache>
                      <c:formatCode>General</c:formatCode>
                      <c:ptCount val="4"/>
                      <c:pt idx="0" formatCode="0">
                        <c:v>8.276409127319182</c:v>
                      </c:pt>
                      <c:pt idx="1" formatCode="0.0">
                        <c:v>1.1704012907320056</c:v>
                      </c:pt>
                      <c:pt idx="2" formatCode="0">
                        <c:v>4.8804539536493268</c:v>
                      </c:pt>
                      <c:pt idx="3" formatCode="0.0">
                        <c:v>0.3362291207973418</c:v>
                      </c:pt>
                    </c:numCache>
                  </c:numRef>
                </c:val>
                <c:smooth val="0"/>
                <c:extLst>
                  <c:ext xmlns:c16="http://schemas.microsoft.com/office/drawing/2014/chart" uri="{C3380CC4-5D6E-409C-BE32-E72D297353CC}">
                    <c16:uniqueId val="{0000000B-6D8A-4573-A863-4DE1EF495EC2}"/>
                  </c:ext>
                </c:extLst>
              </c15:ser>
            </c15:filteredLineSeries>
            <c15:filteredLineSeries>
              <c15:ser>
                <c:idx val="1"/>
                <c:order val="1"/>
                <c:tx>
                  <c:strRef>
                    <c:extLst xmlns:c15="http://schemas.microsoft.com/office/drawing/2012/chart">
                      <c:ext xmlns:c15="http://schemas.microsoft.com/office/drawing/2012/chart" uri="{02D57815-91ED-43cb-92C2-25804820EDAC}">
                        <c15:formulaRef>
                          <c15:sqref>'Antibiotics use index'!$A$8</c15:sqref>
                        </c15:formulaRef>
                      </c:ext>
                    </c:extLst>
                    <c:strCache>
                      <c:ptCount val="1"/>
                      <c:pt idx="0">
                        <c:v>Belgium</c:v>
                      </c:pt>
                    </c:strCache>
                  </c:strRef>
                </c:tx>
                <c:spPr>
                  <a:ln w="28575" cap="rnd">
                    <a:no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index'!$B$8:$AC$8</c15:sqref>
                        </c15:fullRef>
                        <c15:formulaRef>
                          <c15:sqref>('Antibiotics use index'!$U$8:$W$8,'Antibiotics use index'!$AB$8)</c15:sqref>
                        </c15:formulaRef>
                      </c:ext>
                    </c:extLst>
                    <c:numCache>
                      <c:formatCode>General</c:formatCode>
                      <c:ptCount val="4"/>
                      <c:pt idx="0" formatCode="0">
                        <c:v>15.002284829913936</c:v>
                      </c:pt>
                      <c:pt idx="1" formatCode="0.0">
                        <c:v>2.1215352284726778</c:v>
                      </c:pt>
                      <c:pt idx="2" formatCode="0">
                        <c:v>8.8465854195444873</c:v>
                      </c:pt>
                      <c:pt idx="3" formatCode="0.0">
                        <c:v>0.60946782121525367</c:v>
                      </c:pt>
                    </c:numCache>
                  </c:numRef>
                </c:val>
                <c:smooth val="0"/>
                <c:extLst xmlns:c15="http://schemas.microsoft.com/office/drawing/2012/chart">
                  <c:ext xmlns:c16="http://schemas.microsoft.com/office/drawing/2014/chart" uri="{C3380CC4-5D6E-409C-BE32-E72D297353CC}">
                    <c16:uniqueId val="{0000000C-6D8A-4573-A863-4DE1EF495EC2}"/>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'Antibiotics use index'!$A$9</c15:sqref>
                        </c15:formulaRef>
                      </c:ext>
                    </c:extLst>
                    <c:strCache>
                      <c:ptCount val="1"/>
                      <c:pt idx="0">
                        <c:v>Bulgaria</c:v>
                      </c:pt>
                    </c:strCache>
                  </c:strRef>
                </c:tx>
                <c:spPr>
                  <a:ln w="28575" cap="rnd">
                    <a:no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index'!$B$9:$AC$9</c15:sqref>
                        </c15:fullRef>
                        <c15:formulaRef>
                          <c15:sqref>('Antibiotics use index'!$U$9:$W$9,'Antibiotics use index'!$AB$9)</c15:sqref>
                        </c15:formulaRef>
                      </c:ext>
                    </c:extLst>
                    <c:numCache>
                      <c:formatCode>General</c:formatCode>
                      <c:ptCount val="4"/>
                      <c:pt idx="0" formatCode="0">
                        <c:v>27.310273446883031</c:v>
                      </c:pt>
                      <c:pt idx="1" formatCode="0.0">
                        <c:v>3.8620588712763877</c:v>
                      </c:pt>
                      <c:pt idx="2" formatCode="0">
                        <c:v>16.104391405582611</c:v>
                      </c:pt>
                      <c:pt idx="3" formatCode="0.0">
                        <c:v>1.1094798587796231</c:v>
                      </c:pt>
                    </c:numCache>
                  </c:numRef>
                </c:val>
                <c:smooth val="0"/>
                <c:extLst xmlns:c15="http://schemas.microsoft.com/office/drawing/2012/chart">
                  <c:ext xmlns:c16="http://schemas.microsoft.com/office/drawing/2014/chart" uri="{C3380CC4-5D6E-409C-BE32-E72D297353CC}">
                    <c16:uniqueId val="{0000000D-6D8A-4573-A863-4DE1EF495EC2}"/>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'Antibiotics use index'!$A$10</c15:sqref>
                        </c15:formulaRef>
                      </c:ext>
                    </c:extLst>
                    <c:strCache>
                      <c:ptCount val="1"/>
                      <c:pt idx="0">
                        <c:v>Croatia</c:v>
                      </c:pt>
                    </c:strCache>
                  </c:strRef>
                </c:tx>
                <c:spPr>
                  <a:ln w="28575" cap="rnd">
                    <a:noFill/>
                    <a:round/>
                  </a:ln>
                  <a:effectLst/>
                </c:spPr>
                <c:marker>
                  <c:symbol val="circle"/>
                  <c:size val="5"/>
                  <c:spPr>
                    <a:solidFill>
                      <a:schemeClr val="accent4"/>
                    </a:solidFill>
                    <a:ln w="9525">
                      <a:solidFill>
                        <a:schemeClr val="accent4"/>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index'!$B$10:$AC$10</c15:sqref>
                        </c15:fullRef>
                        <c15:formulaRef>
                          <c15:sqref>('Antibiotics use index'!$U$10:$W$10,'Antibiotics use index'!$AB$10)</c15:sqref>
                        </c15:formulaRef>
                      </c:ext>
                    </c:extLst>
                    <c:numCache>
                      <c:formatCode>General</c:formatCode>
                      <c:ptCount val="4"/>
                      <c:pt idx="0" formatCode="0">
                        <c:v>14.08459484822674</c:v>
                      </c:pt>
                      <c:pt idx="1" formatCode="0.0">
                        <c:v>1.9917608876280237</c:v>
                      </c:pt>
                      <c:pt idx="2" formatCode="0">
                        <c:v>8.3054396605019569</c:v>
                      </c:pt>
                      <c:pt idx="3" formatCode="0.0">
                        <c:v>0.57218666570921128</c:v>
                      </c:pt>
                    </c:numCache>
                  </c:numRef>
                </c:val>
                <c:smooth val="0"/>
                <c:extLst xmlns:c15="http://schemas.microsoft.com/office/drawing/2012/chart">
                  <c:ext xmlns:c16="http://schemas.microsoft.com/office/drawing/2014/chart" uri="{C3380CC4-5D6E-409C-BE32-E72D297353CC}">
                    <c16:uniqueId val="{0000000E-6D8A-4573-A863-4DE1EF495EC2}"/>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'Antibiotics use index'!$A$11</c15:sqref>
                        </c15:formulaRef>
                      </c:ext>
                    </c:extLst>
                    <c:strCache>
                      <c:ptCount val="1"/>
                      <c:pt idx="0">
                        <c:v>Cyprus</c:v>
                      </c:pt>
                    </c:strCache>
                  </c:strRef>
                </c:tx>
                <c:spPr>
                  <a:ln w="28575" cap="rnd">
                    <a:no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index'!$B$11:$AC$11</c15:sqref>
                        </c15:fullRef>
                        <c15:formulaRef>
                          <c15:sqref>('Antibiotics use index'!$U$11:$W$11,'Antibiotics use index'!$AB$11)</c15:sqref>
                        </c15:formulaRef>
                      </c:ext>
                    </c:extLst>
                    <c:numCache>
                      <c:formatCode>General</c:formatCode>
                      <c:ptCount val="4"/>
                      <c:pt idx="0" formatCode="0">
                        <c:v>63.657153558011458</c:v>
                      </c:pt>
                      <c:pt idx="1" formatCode="0.0">
                        <c:v>9.0020217152743474</c:v>
                      </c:pt>
                      <c:pt idx="2" formatCode="0">
                        <c:v>37.537511979049611</c:v>
                      </c:pt>
                      <c:pt idx="3" formatCode="0.0">
                        <c:v>2.5860718632942157</c:v>
                      </c:pt>
                    </c:numCache>
                  </c:numRef>
                </c:val>
                <c:smooth val="0"/>
                <c:extLst xmlns:c15="http://schemas.microsoft.com/office/drawing/2012/chart">
                  <c:ext xmlns:c16="http://schemas.microsoft.com/office/drawing/2014/chart" uri="{C3380CC4-5D6E-409C-BE32-E72D297353CC}">
                    <c16:uniqueId val="{0000000F-6D8A-4573-A863-4DE1EF495EC2}"/>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'Antibiotics use index'!$A$12</c15:sqref>
                        </c15:formulaRef>
                      </c:ext>
                    </c:extLst>
                    <c:strCache>
                      <c:ptCount val="1"/>
                      <c:pt idx="0">
                        <c:v>Czech Republic</c:v>
                      </c:pt>
                    </c:strCache>
                  </c:strRef>
                </c:tx>
                <c:spPr>
                  <a:ln w="28575" cap="rnd">
                    <a:noFill/>
                    <a:round/>
                  </a:ln>
                  <a:effectLst/>
                </c:spPr>
                <c:marker>
                  <c:symbol val="circle"/>
                  <c:size val="5"/>
                  <c:spPr>
                    <a:solidFill>
                      <a:schemeClr val="accent6"/>
                    </a:solidFill>
                    <a:ln w="9525">
                      <a:solidFill>
                        <a:schemeClr val="accent6"/>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index'!$B$12:$AC$12</c15:sqref>
                        </c15:fullRef>
                        <c15:formulaRef>
                          <c15:sqref>('Antibiotics use index'!$U$12:$W$12,'Antibiotics use index'!$AB$12)</c15:sqref>
                        </c15:formulaRef>
                      </c:ext>
                    </c:extLst>
                    <c:numCache>
                      <c:formatCode>General</c:formatCode>
                      <c:ptCount val="4"/>
                      <c:pt idx="0" formatCode="0">
                        <c:v>9.4680055200041409</c:v>
                      </c:pt>
                      <c:pt idx="1" formatCode="0.0">
                        <c:v>1.338909871515737</c:v>
                      </c:pt>
                      <c:pt idx="2" formatCode="0">
                        <c:v>5.5831175407643459</c:v>
                      </c:pt>
                      <c:pt idx="3" formatCode="0.0">
                        <c:v>0.38463772425016823</c:v>
                      </c:pt>
                    </c:numCache>
                  </c:numRef>
                </c:val>
                <c:smooth val="0"/>
                <c:extLst xmlns:c15="http://schemas.microsoft.com/office/drawing/2012/chart">
                  <c:ext xmlns:c16="http://schemas.microsoft.com/office/drawing/2014/chart" uri="{C3380CC4-5D6E-409C-BE32-E72D297353CC}">
                    <c16:uniqueId val="{00000010-6D8A-4573-A863-4DE1EF495EC2}"/>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'Antibiotics use index'!$A$14</c15:sqref>
                        </c15:formulaRef>
                      </c:ext>
                    </c:extLst>
                    <c:strCache>
                      <c:ptCount val="1"/>
                      <c:pt idx="0">
                        <c:v>Estonia</c:v>
                      </c:pt>
                    </c:strCache>
                  </c:strRef>
                </c:tx>
                <c:spPr>
                  <a:ln w="28575" cap="rnd">
                    <a:no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index'!$B$14:$AC$14</c15:sqref>
                        </c15:fullRef>
                        <c15:formulaRef>
                          <c15:sqref>('Antibiotics use index'!$U$14:$W$14,'Antibiotics use index'!$AB$14)</c15:sqref>
                        </c15:formulaRef>
                      </c:ext>
                    </c:extLst>
                    <c:numCache>
                      <c:formatCode>General</c:formatCode>
                      <c:ptCount val="4"/>
                      <c:pt idx="0" formatCode="0">
                        <c:v>10.500975322202249</c:v>
                      </c:pt>
                      <c:pt idx="1" formatCode="0.0">
                        <c:v>1.4849864092003182</c:v>
                      </c:pt>
                      <c:pt idx="2" formatCode="0">
                        <c:v>6.1922417971398982</c:v>
                      </c:pt>
                      <c:pt idx="3" formatCode="0.0">
                        <c:v>0.42660212246446644</c:v>
                      </c:pt>
                    </c:numCache>
                  </c:numRef>
                </c:val>
                <c:smooth val="0"/>
                <c:extLst xmlns:c15="http://schemas.microsoft.com/office/drawing/2012/chart">
                  <c:ext xmlns:c16="http://schemas.microsoft.com/office/drawing/2014/chart" uri="{C3380CC4-5D6E-409C-BE32-E72D297353CC}">
                    <c16:uniqueId val="{00000011-6D8A-4573-A863-4DE1EF495EC2}"/>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'Antibiotics use index'!$A$15</c15:sqref>
                        </c15:formulaRef>
                      </c:ext>
                    </c:extLst>
                    <c:strCache>
                      <c:ptCount val="1"/>
                      <c:pt idx="0">
                        <c:v>Finland</c:v>
                      </c:pt>
                    </c:strCache>
                  </c:strRef>
                </c:tx>
                <c:spPr>
                  <a:ln w="28575" cap="rnd">
                    <a:noFill/>
                    <a:round/>
                  </a:ln>
                  <a:effectLst/>
                </c:spPr>
                <c:marker>
                  <c:symbol val="circle"/>
                  <c:size val="5"/>
                  <c:spPr>
                    <a:solidFill>
                      <a:schemeClr val="accent3">
                        <a:lumMod val="60000"/>
                      </a:schemeClr>
                    </a:solidFill>
                    <a:ln w="9525">
                      <a:solidFill>
                        <a:schemeClr val="accent3">
                          <a:lumMod val="6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index'!$B$15:$AC$15</c15:sqref>
                        </c15:fullRef>
                        <c15:formulaRef>
                          <c15:sqref>('Antibiotics use index'!$U$15:$W$15,'Antibiotics use index'!$AB$15)</c15:sqref>
                        </c15:formulaRef>
                      </c:ext>
                    </c:extLst>
                    <c:numCache>
                      <c:formatCode>General</c:formatCode>
                      <c:ptCount val="4"/>
                      <c:pt idx="0" formatCode="0">
                        <c:v>3.6231110495080601</c:v>
                      </c:pt>
                      <c:pt idx="1" formatCode="0.0">
                        <c:v>0.51235913831427116</c:v>
                      </c:pt>
                      <c:pt idx="2" formatCode="0">
                        <c:v>2.1364853252257845</c:v>
                      </c:pt>
                      <c:pt idx="3" formatCode="0.0">
                        <c:v>0.14718888638626496</c:v>
                      </c:pt>
                    </c:numCache>
                  </c:numRef>
                </c:val>
                <c:smooth val="0"/>
                <c:extLst xmlns:c15="http://schemas.microsoft.com/office/drawing/2012/chart">
                  <c:ext xmlns:c16="http://schemas.microsoft.com/office/drawing/2014/chart" uri="{C3380CC4-5D6E-409C-BE32-E72D297353CC}">
                    <c16:uniqueId val="{00000012-6D8A-4573-A863-4DE1EF495EC2}"/>
                  </c:ext>
                </c:extLst>
              </c15:ser>
            </c15:filteredLineSeries>
            <c15:filteredLineSeries>
              <c15:ser>
                <c:idx val="13"/>
                <c:order val="13"/>
                <c:tx>
                  <c:strRef>
                    <c:extLst xmlns:c15="http://schemas.microsoft.com/office/drawing/2012/chart">
                      <c:ext xmlns:c15="http://schemas.microsoft.com/office/drawing/2012/chart" uri="{02D57815-91ED-43cb-92C2-25804820EDAC}">
                        <c15:formulaRef>
                          <c15:sqref>'Antibiotics use index'!$A$20</c15:sqref>
                        </c15:formulaRef>
                      </c:ext>
                    </c:extLst>
                    <c:strCache>
                      <c:ptCount val="1"/>
                      <c:pt idx="0">
                        <c:v>Iceland</c:v>
                      </c:pt>
                    </c:strCache>
                  </c:strRef>
                </c:tx>
                <c:spPr>
                  <a:ln w="28575"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index'!$B$20:$AC$20</c15:sqref>
                        </c15:fullRef>
                        <c15:formulaRef>
                          <c15:sqref>('Antibiotics use index'!$U$20:$W$20,'Antibiotics use index'!$AB$20)</c15:sqref>
                        </c15:formulaRef>
                      </c:ext>
                    </c:extLst>
                    <c:numCache>
                      <c:formatCode>General</c:formatCode>
                      <c:ptCount val="4"/>
                      <c:pt idx="0" formatCode="0">
                        <c:v>1.5924223370706412</c:v>
                      </c:pt>
                      <c:pt idx="1" formatCode="0.0">
                        <c:v>0.2251910375655452</c:v>
                      </c:pt>
                      <c:pt idx="2" formatCode="0">
                        <c:v>0.93902364797102089</c:v>
                      </c:pt>
                      <c:pt idx="3" formatCode="0.0">
                        <c:v>6.4692157443494797E-2</c:v>
                      </c:pt>
                    </c:numCache>
                  </c:numRef>
                </c:val>
                <c:smooth val="0"/>
                <c:extLst xmlns:c15="http://schemas.microsoft.com/office/drawing/2012/chart">
                  <c:ext xmlns:c16="http://schemas.microsoft.com/office/drawing/2014/chart" uri="{C3380CC4-5D6E-409C-BE32-E72D297353CC}">
                    <c16:uniqueId val="{00000013-6D8A-4573-A863-4DE1EF495EC2}"/>
                  </c:ext>
                </c:extLst>
              </c15:ser>
            </c15:filteredLineSeries>
            <c15:filteredLineSeries>
              <c15:ser>
                <c:idx val="16"/>
                <c:order val="16"/>
                <c:tx>
                  <c:strRef>
                    <c:extLst xmlns:c15="http://schemas.microsoft.com/office/drawing/2012/chart">
                      <c:ext xmlns:c15="http://schemas.microsoft.com/office/drawing/2012/chart" uri="{02D57815-91ED-43cb-92C2-25804820EDAC}">
                        <c15:formulaRef>
                          <c15:sqref>'Antibiotics use index'!$A$23</c15:sqref>
                        </c15:formulaRef>
                      </c:ext>
                    </c:extLst>
                    <c:strCache>
                      <c:ptCount val="1"/>
                      <c:pt idx="0">
                        <c:v>Latvia</c:v>
                      </c:pt>
                    </c:strCache>
                  </c:strRef>
                </c:tx>
                <c:spPr>
                  <a:ln w="28575"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index'!$B$23:$AC$23</c15:sqref>
                        </c15:fullRef>
                        <c15:formulaRef>
                          <c15:sqref>('Antibiotics use index'!$U$23:$W$23,'Antibiotics use index'!$AB$23)</c15:sqref>
                        </c15:formulaRef>
                      </c:ext>
                    </c:extLst>
                    <c:numCache>
                      <c:formatCode>General</c:formatCode>
                      <c:ptCount val="4"/>
                      <c:pt idx="0" formatCode="0">
                        <c:v>5.1588695002816261</c:v>
                      </c:pt>
                      <c:pt idx="1" formatCode="0.0">
                        <c:v>0.72953710104992697</c:v>
                      </c:pt>
                      <c:pt idx="2" formatCode="0">
                        <c:v>3.0420952688168637</c:v>
                      </c:pt>
                      <c:pt idx="3" formatCode="0.0">
                        <c:v>0.20957907344894108</c:v>
                      </c:pt>
                    </c:numCache>
                  </c:numRef>
                </c:val>
                <c:smooth val="0"/>
                <c:extLst xmlns:c15="http://schemas.microsoft.com/office/drawing/2012/chart">
                  <c:ext xmlns:c16="http://schemas.microsoft.com/office/drawing/2014/chart" uri="{C3380CC4-5D6E-409C-BE32-E72D297353CC}">
                    <c16:uniqueId val="{00000014-6D8A-4573-A863-4DE1EF495EC2}"/>
                  </c:ext>
                </c:extLst>
              </c15:ser>
            </c15:filteredLineSeries>
            <c15:filteredLineSeries>
              <c15:ser>
                <c:idx val="17"/>
                <c:order val="17"/>
                <c:tx>
                  <c:strRef>
                    <c:extLst xmlns:c15="http://schemas.microsoft.com/office/drawing/2012/chart">
                      <c:ext xmlns:c15="http://schemas.microsoft.com/office/drawing/2012/chart" uri="{02D57815-91ED-43cb-92C2-25804820EDAC}">
                        <c15:formulaRef>
                          <c15:sqref>'Antibiotics use index'!$A$24</c15:sqref>
                        </c15:formulaRef>
                      </c:ext>
                    </c:extLst>
                    <c:strCache>
                      <c:ptCount val="1"/>
                      <c:pt idx="0">
                        <c:v>Lithuania</c:v>
                      </c:pt>
                    </c:strCache>
                  </c:strRef>
                </c:tx>
                <c:spPr>
                  <a:ln w="28575"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index'!$B$24:$AC$24</c15:sqref>
                        </c15:fullRef>
                        <c15:formulaRef>
                          <c15:sqref>('Antibiotics use index'!$U$24:$W$24,'Antibiotics use index'!$AB$24)</c15:sqref>
                        </c15:formulaRef>
                      </c:ext>
                    </c:extLst>
                    <c:numCache>
                      <c:formatCode>General</c:formatCode>
                      <c:ptCount val="4"/>
                      <c:pt idx="0" formatCode="0">
                        <c:v>11.976101410936501</c:v>
                      </c:pt>
                      <c:pt idx="1" formatCode="0.0">
                        <c:v>1.6935900985162728</c:v>
                      </c:pt>
                      <c:pt idx="2" formatCode="0">
                        <c:v>7.0620978954966818</c:v>
                      </c:pt>
                      <c:pt idx="3" formatCode="0.0">
                        <c:v>0.48652911981929536</c:v>
                      </c:pt>
                    </c:numCache>
                  </c:numRef>
                </c:val>
                <c:smooth val="0"/>
                <c:extLst xmlns:c15="http://schemas.microsoft.com/office/drawing/2012/chart">
                  <c:ext xmlns:c16="http://schemas.microsoft.com/office/drawing/2014/chart" uri="{C3380CC4-5D6E-409C-BE32-E72D297353CC}">
                    <c16:uniqueId val="{00000015-6D8A-4573-A863-4DE1EF495EC2}"/>
                  </c:ext>
                </c:extLst>
              </c15:ser>
            </c15:filteredLineSeries>
            <c15:filteredLineSeries>
              <c15:ser>
                <c:idx val="18"/>
                <c:order val="18"/>
                <c:tx>
                  <c:strRef>
                    <c:extLst xmlns:c15="http://schemas.microsoft.com/office/drawing/2012/chart">
                      <c:ext xmlns:c15="http://schemas.microsoft.com/office/drawing/2012/chart" uri="{02D57815-91ED-43cb-92C2-25804820EDAC}">
                        <c15:formulaRef>
                          <c15:sqref>'Antibiotics use index'!$A$25</c15:sqref>
                        </c15:formulaRef>
                      </c:ext>
                    </c:extLst>
                    <c:strCache>
                      <c:ptCount val="1"/>
                      <c:pt idx="0">
                        <c:v>Luxembourg</c:v>
                      </c:pt>
                    </c:strCache>
                  </c:strRef>
                </c:tx>
                <c:spPr>
                  <a:ln w="28575" cap="rnd">
                    <a:noFill/>
                    <a:round/>
                  </a:ln>
                  <a:effectLst/>
                </c:spPr>
                <c:marker>
                  <c:symbol val="circle"/>
                  <c:size val="5"/>
                  <c:spPr>
                    <a:solidFill>
                      <a:schemeClr val="accent1">
                        <a:lumMod val="80000"/>
                      </a:schemeClr>
                    </a:solidFill>
                    <a:ln w="9525">
                      <a:solidFill>
                        <a:schemeClr val="accent1">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index'!$B$25:$AC$25</c15:sqref>
                        </c15:fullRef>
                        <c15:formulaRef>
                          <c15:sqref>('Antibiotics use index'!$U$25:$W$25,'Antibiotics use index'!$AB$25)</c15:sqref>
                        </c15:formulaRef>
                      </c:ext>
                    </c:extLst>
                    <c:numCache>
                      <c:formatCode>General</c:formatCode>
                      <c:ptCount val="4"/>
                      <c:pt idx="0" formatCode="0">
                        <c:v>6.4376355698781955</c:v>
                      </c:pt>
                      <c:pt idx="1" formatCode="0.0">
                        <c:v>0.91037270685146199</c:v>
                      </c:pt>
                      <c:pt idx="2" formatCode="0">
                        <c:v>3.7961612923964281</c:v>
                      </c:pt>
                      <c:pt idx="3" formatCode="0.0">
                        <c:v>0.2615289450263017</c:v>
                      </c:pt>
                    </c:numCache>
                  </c:numRef>
                </c:val>
                <c:smooth val="0"/>
                <c:extLst xmlns:c15="http://schemas.microsoft.com/office/drawing/2012/chart">
                  <c:ext xmlns:c16="http://schemas.microsoft.com/office/drawing/2014/chart" uri="{C3380CC4-5D6E-409C-BE32-E72D297353CC}">
                    <c16:uniqueId val="{00000016-6D8A-4573-A863-4DE1EF495EC2}"/>
                  </c:ext>
                </c:extLst>
              </c15:ser>
            </c15:filteredLineSeries>
            <c15:filteredLineSeries>
              <c15:ser>
                <c:idx val="19"/>
                <c:order val="19"/>
                <c:tx>
                  <c:strRef>
                    <c:extLst xmlns:c15="http://schemas.microsoft.com/office/drawing/2012/chart">
                      <c:ext xmlns:c15="http://schemas.microsoft.com/office/drawing/2012/chart" uri="{02D57815-91ED-43cb-92C2-25804820EDAC}">
                        <c15:formulaRef>
                          <c15:sqref>'Antibiotics use index'!$A$26</c15:sqref>
                        </c15:formulaRef>
                      </c:ext>
                    </c:extLst>
                    <c:strCache>
                      <c:ptCount val="1"/>
                      <c:pt idx="0">
                        <c:v>Malta</c:v>
                      </c:pt>
                    </c:strCache>
                  </c:strRef>
                </c:tx>
                <c:spPr>
                  <a:ln w="28575" cap="rnd">
                    <a:noFill/>
                    <a:round/>
                  </a:ln>
                  <a:effectLst/>
                </c:spPr>
                <c:marker>
                  <c:symbol val="circle"/>
                  <c:size val="5"/>
                  <c:spPr>
                    <a:solidFill>
                      <a:schemeClr val="accent2">
                        <a:lumMod val="80000"/>
                      </a:schemeClr>
                    </a:solidFill>
                    <a:ln w="9525">
                      <a:solidFill>
                        <a:schemeClr val="accent2">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index'!$B$26:$AC$26</c15:sqref>
                        </c15:fullRef>
                        <c15:formulaRef>
                          <c15:sqref>('Antibiotics use index'!$U$26:$W$26,'Antibiotics use index'!$AB$26)</c15:sqref>
                        </c15:formulaRef>
                      </c:ext>
                    </c:extLst>
                    <c:numCache>
                      <c:formatCode>General</c:formatCode>
                      <c:ptCount val="4"/>
                      <c:pt idx="0" formatCode="0">
                        <c:v>18.008218189808346</c:v>
                      </c:pt>
                      <c:pt idx="1" formatCode="0.0">
                        <c:v>2.5466167137102711</c:v>
                      </c:pt>
                      <c:pt idx="2" formatCode="0">
                        <c:v>10.619131837323492</c:v>
                      </c:pt>
                      <c:pt idx="3" formatCode="0.0">
                        <c:v>0.73158386396096409</c:v>
                      </c:pt>
                    </c:numCache>
                  </c:numRef>
                </c:val>
                <c:smooth val="0"/>
                <c:extLst xmlns:c15="http://schemas.microsoft.com/office/drawing/2012/chart">
                  <c:ext xmlns:c16="http://schemas.microsoft.com/office/drawing/2014/chart" uri="{C3380CC4-5D6E-409C-BE32-E72D297353CC}">
                    <c16:uniqueId val="{00000017-6D8A-4573-A863-4DE1EF495EC2}"/>
                  </c:ext>
                </c:extLst>
              </c15:ser>
            </c15:filteredLineSeries>
            <c15:filteredLineSeries>
              <c15:ser>
                <c:idx val="21"/>
                <c:order val="21"/>
                <c:tx>
                  <c:strRef>
                    <c:extLst xmlns:c15="http://schemas.microsoft.com/office/drawing/2012/chart">
                      <c:ext xmlns:c15="http://schemas.microsoft.com/office/drawing/2012/chart" uri="{02D57815-91ED-43cb-92C2-25804820EDAC}">
                        <c15:formulaRef>
                          <c15:sqref>'Antibiotics use index'!$A$28</c15:sqref>
                        </c15:formulaRef>
                      </c:ext>
                    </c:extLst>
                    <c:strCache>
                      <c:ptCount val="1"/>
                      <c:pt idx="0">
                        <c:v>Norway</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index'!$B$28:$AC$28</c15:sqref>
                        </c15:fullRef>
                        <c15:formulaRef>
                          <c15:sqref>('Antibiotics use index'!$U$28:$W$28,'Antibiotics use index'!$AB$28)</c15:sqref>
                        </c15:formulaRef>
                      </c:ext>
                    </c:extLst>
                    <c:numCache>
                      <c:formatCode>General</c:formatCode>
                      <c:ptCount val="4"/>
                      <c:pt idx="0" formatCode="0">
                        <c:v>0.61782305402720972</c:v>
                      </c:pt>
                      <c:pt idx="1" formatCode="0.0">
                        <c:v>8.7368916731120558E-2</c:v>
                      </c:pt>
                      <c:pt idx="2" formatCode="0">
                        <c:v>0.36431946757318795</c:v>
                      </c:pt>
                      <c:pt idx="3" formatCode="0.0">
                        <c:v>2.5099061569855398E-2</c:v>
                      </c:pt>
                    </c:numCache>
                  </c:numRef>
                </c:val>
                <c:smooth val="0"/>
                <c:extLst xmlns:c15="http://schemas.microsoft.com/office/drawing/2012/chart">
                  <c:ext xmlns:c16="http://schemas.microsoft.com/office/drawing/2014/chart" uri="{C3380CC4-5D6E-409C-BE32-E72D297353CC}">
                    <c16:uniqueId val="{00000018-6D8A-4573-A863-4DE1EF495EC2}"/>
                  </c:ext>
                </c:extLst>
              </c15:ser>
            </c15:filteredLineSeries>
            <c15:filteredLineSeries>
              <c15:ser>
                <c:idx val="23"/>
                <c:order val="23"/>
                <c:tx>
                  <c:strRef>
                    <c:extLst xmlns:c15="http://schemas.microsoft.com/office/drawing/2012/chart">
                      <c:ext xmlns:c15="http://schemas.microsoft.com/office/drawing/2012/chart" uri="{02D57815-91ED-43cb-92C2-25804820EDAC}">
                        <c15:formulaRef>
                          <c15:sqref>'Antibiotics use index'!$A$30</c15:sqref>
                        </c15:formulaRef>
                      </c:ext>
                    </c:extLst>
                    <c:strCache>
                      <c:ptCount val="1"/>
                      <c:pt idx="0">
                        <c:v>Portugal</c:v>
                      </c:pt>
                    </c:strCache>
                  </c:strRef>
                </c:tx>
                <c:spPr>
                  <a:ln w="28575" cap="rnd">
                    <a:noFill/>
                    <a:round/>
                  </a:ln>
                  <a:effectLst/>
                </c:spPr>
                <c:marker>
                  <c:symbol val="circle"/>
                  <c:size val="5"/>
                  <c:spPr>
                    <a:solidFill>
                      <a:schemeClr val="accent6">
                        <a:lumMod val="80000"/>
                      </a:schemeClr>
                    </a:solidFill>
                    <a:ln w="9525">
                      <a:solidFill>
                        <a:schemeClr val="accent6">
                          <a:lumMod val="8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index'!$B$30:$AC$30</c15:sqref>
                        </c15:fullRef>
                        <c15:formulaRef>
                          <c15:sqref>('Antibiotics use index'!$U$30:$W$30,'Antibiotics use index'!$AB$30)</c15:sqref>
                        </c15:formulaRef>
                      </c:ext>
                    </c:extLst>
                    <c:numCache>
                      <c:formatCode>General</c:formatCode>
                      <c:ptCount val="4"/>
                      <c:pt idx="0" formatCode="0">
                        <c:v>16.994548455431058</c:v>
                      </c:pt>
                      <c:pt idx="1" formatCode="0">
                        <c:v>2.403269478545806</c:v>
                      </c:pt>
                      <c:pt idx="2" formatCode="0">
                        <c:v>10.021388493956568</c:v>
                      </c:pt>
                      <c:pt idx="3" formatCode="0.0">
                        <c:v>0.69040353100188678</c:v>
                      </c:pt>
                    </c:numCache>
                  </c:numRef>
                </c:val>
                <c:smooth val="0"/>
                <c:extLst xmlns:c15="http://schemas.microsoft.com/office/drawing/2012/chart">
                  <c:ext xmlns:c16="http://schemas.microsoft.com/office/drawing/2014/chart" uri="{C3380CC4-5D6E-409C-BE32-E72D297353CC}">
                    <c16:uniqueId val="{00000019-6D8A-4573-A863-4DE1EF495EC2}"/>
                  </c:ext>
                </c:extLst>
              </c15:ser>
            </c15:filteredLineSeries>
            <c15:filteredLineSeries>
              <c15:ser>
                <c:idx val="24"/>
                <c:order val="24"/>
                <c:tx>
                  <c:strRef>
                    <c:extLst xmlns:c15="http://schemas.microsoft.com/office/drawing/2012/chart">
                      <c:ext xmlns:c15="http://schemas.microsoft.com/office/drawing/2012/chart" uri="{02D57815-91ED-43cb-92C2-25804820EDAC}">
                        <c15:formulaRef>
                          <c15:sqref>'Antibiotics use index'!$A$31</c15:sqref>
                        </c15:formulaRef>
                      </c:ext>
                    </c:extLst>
                    <c:strCache>
                      <c:ptCount val="1"/>
                      <c:pt idx="0">
                        <c:v>Romania</c:v>
                      </c:pt>
                    </c:strCache>
                  </c:strRef>
                </c:tx>
                <c:spPr>
                  <a:ln w="28575"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index'!$B$31:$AC$31</c15:sqref>
                        </c15:fullRef>
                        <c15:formulaRef>
                          <c15:sqref>('Antibiotics use index'!$U$31:$W$31,'Antibiotics use index'!$AB$31)</c15:sqref>
                        </c15:formulaRef>
                      </c:ext>
                    </c:extLst>
                    <c:numCache>
                      <c:formatCode>General</c:formatCode>
                      <c:ptCount val="4"/>
                      <c:pt idx="0" formatCode="0">
                        <c:v>13.204676977821578</c:v>
                      </c:pt>
                      <c:pt idx="1" formatCode="0">
                        <c:v>1.8673280574697182</c:v>
                      </c:pt>
                      <c:pt idx="2" formatCode="0">
                        <c:v>7.7865674559693909</c:v>
                      </c:pt>
                      <c:pt idx="3" formatCode="0.0">
                        <c:v>0.53644000222400168</c:v>
                      </c:pt>
                    </c:numCache>
                  </c:numRef>
                </c:val>
                <c:smooth val="0"/>
                <c:extLst xmlns:c15="http://schemas.microsoft.com/office/drawing/2012/chart">
                  <c:ext xmlns:c16="http://schemas.microsoft.com/office/drawing/2014/chart" uri="{C3380CC4-5D6E-409C-BE32-E72D297353CC}">
                    <c16:uniqueId val="{0000001A-6D8A-4573-A863-4DE1EF495EC2}"/>
                  </c:ext>
                </c:extLst>
              </c15:ser>
            </c15:filteredLineSeries>
            <c15:filteredLineSeries>
              <c15:ser>
                <c:idx val="25"/>
                <c:order val="25"/>
                <c:tx>
                  <c:strRef>
                    <c:extLst xmlns:c15="http://schemas.microsoft.com/office/drawing/2012/chart">
                      <c:ext xmlns:c15="http://schemas.microsoft.com/office/drawing/2012/chart" uri="{02D57815-91ED-43cb-92C2-25804820EDAC}">
                        <c15:formulaRef>
                          <c15:sqref>'Antibiotics use index'!$A$32</c15:sqref>
                        </c15:formulaRef>
                      </c:ext>
                    </c:extLst>
                    <c:strCache>
                      <c:ptCount val="1"/>
                      <c:pt idx="0">
                        <c:v>Slovakia</c:v>
                      </c:pt>
                    </c:strCache>
                  </c:strRef>
                </c:tx>
                <c:spPr>
                  <a:ln w="28575"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index'!$B$32:$AC$32</c15:sqref>
                        </c15:fullRef>
                        <c15:formulaRef>
                          <c15:sqref>('Antibiotics use index'!$U$32:$W$32,'Antibiotics use index'!$AB$32)</c15:sqref>
                        </c15:formulaRef>
                      </c:ext>
                    </c:extLst>
                    <c:numCache>
                      <c:formatCode>General</c:formatCode>
                      <c:ptCount val="4"/>
                      <c:pt idx="0" formatCode="0">
                        <c:v>10.438132513190208</c:v>
                      </c:pt>
                      <c:pt idx="1" formatCode="0">
                        <c:v>1.4760995473198275</c:v>
                      </c:pt>
                      <c:pt idx="2" formatCode="0">
                        <c:v>6.1551844899208925</c:v>
                      </c:pt>
                      <c:pt idx="3" formatCode="0.0">
                        <c:v>0.42404913334835226</c:v>
                      </c:pt>
                    </c:numCache>
                  </c:numRef>
                </c:val>
                <c:smooth val="0"/>
                <c:extLst xmlns:c15="http://schemas.microsoft.com/office/drawing/2012/chart">
                  <c:ext xmlns:c16="http://schemas.microsoft.com/office/drawing/2014/chart" uri="{C3380CC4-5D6E-409C-BE32-E72D297353CC}">
                    <c16:uniqueId val="{0000001B-6D8A-4573-A863-4DE1EF495EC2}"/>
                  </c:ext>
                </c:extLst>
              </c15:ser>
            </c15:filteredLineSeries>
            <c15:filteredLineSeries>
              <c15:ser>
                <c:idx val="26"/>
                <c:order val="26"/>
                <c:tx>
                  <c:strRef>
                    <c:extLst xmlns:c15="http://schemas.microsoft.com/office/drawing/2012/chart">
                      <c:ext xmlns:c15="http://schemas.microsoft.com/office/drawing/2012/chart" uri="{02D57815-91ED-43cb-92C2-25804820EDAC}">
                        <c15:formulaRef>
                          <c15:sqref>'Antibiotics use index'!$A$33</c15:sqref>
                        </c15:formulaRef>
                      </c:ext>
                    </c:extLst>
                    <c:strCache>
                      <c:ptCount val="1"/>
                      <c:pt idx="0">
                        <c:v>Slovenia</c:v>
                      </c:pt>
                    </c:strCache>
                  </c:strRef>
                </c:tx>
                <c:spPr>
                  <a:ln w="28575"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index'!$B$33:$AC$33</c15:sqref>
                        </c15:fullRef>
                        <c15:formulaRef>
                          <c15:sqref>('Antibiotics use index'!$U$33:$W$33,'Antibiotics use index'!$AB$33)</c15:sqref>
                        </c15:formulaRef>
                      </c:ext>
                    </c:extLst>
                    <c:numCache>
                      <c:formatCode>General</c:formatCode>
                      <c:ptCount val="4"/>
                      <c:pt idx="0" formatCode="0">
                        <c:v>7.4566037779023384</c:v>
                      </c:pt>
                      <c:pt idx="1" formatCode="0">
                        <c:v>1.0544692211175024</c:v>
                      </c:pt>
                      <c:pt idx="2" formatCode="0">
                        <c:v>4.397029053159871</c:v>
                      </c:pt>
                      <c:pt idx="3" formatCode="0.0">
                        <c:v>0.30292452847728252</c:v>
                      </c:pt>
                    </c:numCache>
                  </c:numRef>
                </c:val>
                <c:smooth val="0"/>
                <c:extLst xmlns:c15="http://schemas.microsoft.com/office/drawing/2012/chart">
                  <c:ext xmlns:c16="http://schemas.microsoft.com/office/drawing/2014/chart" uri="{C3380CC4-5D6E-409C-BE32-E72D297353CC}">
                    <c16:uniqueId val="{0000001C-6D8A-4573-A863-4DE1EF495EC2}"/>
                  </c:ext>
                </c:extLst>
              </c15:ser>
            </c15:filteredLineSeries>
            <c15:filteredLineSeries>
              <c15:ser>
                <c:idx val="29"/>
                <c:order val="29"/>
                <c:tx>
                  <c:strRef>
                    <c:extLst xmlns:c15="http://schemas.microsoft.com/office/drawing/2012/chart">
                      <c:ext xmlns:c15="http://schemas.microsoft.com/office/drawing/2012/chart" uri="{02D57815-91ED-43cb-92C2-25804820EDAC}">
                        <c15:formulaRef>
                          <c15:sqref>'Antibiotics use index'!$A$36</c15:sqref>
                        </c15:formulaRef>
                      </c:ext>
                    </c:extLst>
                    <c:strCache>
                      <c:ptCount val="1"/>
                      <c:pt idx="0">
                        <c:v>Switzerland</c:v>
                      </c:pt>
                    </c:strCache>
                  </c:strRef>
                </c:tx>
                <c:spPr>
                  <a:ln w="28575"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extLst>
                      <c:ext xmlns:c15="http://schemas.microsoft.com/office/drawing/2012/chart" uri="{02D57815-91ED-43cb-92C2-25804820EDAC}">
                        <c15:fullRef>
                          <c15:sqref>'Antibiotics use index'!$B$6:$AC$6</c15:sqref>
                        </c15:fullRef>
                        <c15:formulaRef>
                          <c15:sqref>('Antibiotics use index'!$U$6:$W$6,'Antibiotics use index'!$AB$6)</c15:sqref>
                        </c15:formulaRef>
                      </c:ext>
                    </c:extLst>
                    <c:strCache>
                      <c:ptCount val="4"/>
                      <c:pt idx="0">
                        <c:v>Cattle meat</c:v>
                      </c:pt>
                      <c:pt idx="1">
                        <c:v>Milk</c:v>
                      </c:pt>
                      <c:pt idx="2">
                        <c:v>Horse meat</c:v>
                      </c:pt>
                      <c:pt idx="3">
                        <c:v>Egg</c:v>
                      </c:pt>
                    </c:strCache>
                  </c:strRef>
                </c:cat>
                <c:val>
                  <c:numRef>
                    <c:extLst>
                      <c:ext xmlns:c15="http://schemas.microsoft.com/office/drawing/2012/chart" uri="{02D57815-91ED-43cb-92C2-25804820EDAC}">
                        <c15:fullRef>
                          <c15:sqref>'Antibiotics use index'!$B$36:$AC$36</c15:sqref>
                        </c15:fullRef>
                        <c15:formulaRef>
                          <c15:sqref>('Antibiotics use index'!$U$36:$W$36,'Antibiotics use index'!$AB$36)</c15:sqref>
                        </c15:formulaRef>
                      </c:ext>
                    </c:extLst>
                    <c:numCache>
                      <c:formatCode>General</c:formatCode>
                      <c:ptCount val="4"/>
                      <c:pt idx="0" formatCode="0">
                        <c:v>6.88102320341505</c:v>
                      </c:pt>
                      <c:pt idx="1" formatCode="0">
                        <c:v>0.97307398836172421</c:v>
                      </c:pt>
                      <c:pt idx="2" formatCode="0">
                        <c:v>4.0576192382042713</c:v>
                      </c:pt>
                      <c:pt idx="3" formatCode="0.0">
                        <c:v>0.27954156763873644</c:v>
                      </c:pt>
                    </c:numCache>
                  </c:numRef>
                </c:val>
                <c:smooth val="0"/>
                <c:extLst xmlns:c15="http://schemas.microsoft.com/office/drawing/2012/chart">
                  <c:ext xmlns:c16="http://schemas.microsoft.com/office/drawing/2014/chart" uri="{C3380CC4-5D6E-409C-BE32-E72D297353CC}">
                    <c16:uniqueId val="{0000001D-6D8A-4573-A863-4DE1EF495EC2}"/>
                  </c:ext>
                </c:extLst>
              </c15:ser>
            </c15:filteredLineSeries>
          </c:ext>
        </c:extLst>
      </c:lineChart>
      <c:catAx>
        <c:axId val="60036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600361904"/>
        <c:crosses val="autoZero"/>
        <c:auto val="1"/>
        <c:lblAlgn val="ctr"/>
        <c:lblOffset val="100"/>
        <c:noMultiLvlLbl val="0"/>
      </c:catAx>
      <c:valAx>
        <c:axId val="600361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6003614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lumMod val="50000"/>
          <a:lumOff val="50000"/>
        </a:schemeClr>
      </a:solid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556260</xdr:colOff>
      <xdr:row>2</xdr:row>
      <xdr:rowOff>9525</xdr:rowOff>
    </xdr:from>
    <xdr:to>
      <xdr:col>15</xdr:col>
      <xdr:colOff>445770</xdr:colOff>
      <xdr:row>16</xdr:row>
      <xdr:rowOff>184785</xdr:rowOff>
    </xdr:to>
    <xdr:graphicFrame macro="">
      <xdr:nvGraphicFramePr>
        <xdr:cNvPr id="2" name="Chart 1">
          <a:extLst>
            <a:ext uri="{FF2B5EF4-FFF2-40B4-BE49-F238E27FC236}">
              <a16:creationId xmlns:a16="http://schemas.microsoft.com/office/drawing/2014/main" id="{7074B3BF-3922-43E7-B9F5-C0111B5690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3</xdr:row>
      <xdr:rowOff>47625</xdr:rowOff>
    </xdr:from>
    <xdr:to>
      <xdr:col>9</xdr:col>
      <xdr:colOff>447675</xdr:colOff>
      <xdr:row>27</xdr:row>
      <xdr:rowOff>104775</xdr:rowOff>
    </xdr:to>
    <xdr:graphicFrame macro="">
      <xdr:nvGraphicFramePr>
        <xdr:cNvPr id="2" name="Chart 1">
          <a:extLst>
            <a:ext uri="{FF2B5EF4-FFF2-40B4-BE49-F238E27FC236}">
              <a16:creationId xmlns:a16="http://schemas.microsoft.com/office/drawing/2014/main" id="{8E5F9A6A-E329-4C9A-9310-AAE988519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320675</xdr:colOff>
      <xdr:row>4</xdr:row>
      <xdr:rowOff>3174</xdr:rowOff>
    </xdr:from>
    <xdr:to>
      <xdr:col>4</xdr:col>
      <xdr:colOff>320675</xdr:colOff>
      <xdr:row>19</xdr:row>
      <xdr:rowOff>76200</xdr:rowOff>
    </xdr:to>
    <xdr:graphicFrame macro="">
      <xdr:nvGraphicFramePr>
        <xdr:cNvPr id="3" name="Chart 1">
          <a:extLst>
            <a:ext uri="{FF2B5EF4-FFF2-40B4-BE49-F238E27FC236}">
              <a16:creationId xmlns:a16="http://schemas.microsoft.com/office/drawing/2014/main" id="{560A054E-BE71-4DF1-9644-6709C8B48C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esvacbi.ema.europa.eu/analytics/saw.dll?Dashboard"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CF9B1-10DA-4E59-85C1-F5487D170134}">
  <sheetPr>
    <tabColor theme="1"/>
  </sheetPr>
  <dimension ref="A2:B14"/>
  <sheetViews>
    <sheetView tabSelected="1" workbookViewId="0">
      <selection activeCell="A4" sqref="A4"/>
    </sheetView>
  </sheetViews>
  <sheetFormatPr defaultRowHeight="15" x14ac:dyDescent="0.25"/>
  <cols>
    <col min="1" max="2" width="19" customWidth="1"/>
  </cols>
  <sheetData>
    <row r="2" spans="1:2" ht="21" x14ac:dyDescent="0.35">
      <c r="A2" s="17" t="s">
        <v>124</v>
      </c>
    </row>
    <row r="4" spans="1:2" ht="18.75" x14ac:dyDescent="0.3">
      <c r="A4" s="115" t="s">
        <v>134</v>
      </c>
    </row>
    <row r="5" spans="1:2" x14ac:dyDescent="0.25">
      <c r="A5" t="s">
        <v>0</v>
      </c>
    </row>
    <row r="6" spans="1:2" x14ac:dyDescent="0.25">
      <c r="A6" s="116" t="s">
        <v>1</v>
      </c>
    </row>
    <row r="7" spans="1:2" x14ac:dyDescent="0.25">
      <c r="A7" s="116" t="s">
        <v>2</v>
      </c>
    </row>
    <row r="10" spans="1:2" x14ac:dyDescent="0.25">
      <c r="A10" s="77" t="s">
        <v>3</v>
      </c>
    </row>
    <row r="11" spans="1:2" x14ac:dyDescent="0.25">
      <c r="A11" t="s">
        <v>129</v>
      </c>
      <c r="B11" t="s">
        <v>130</v>
      </c>
    </row>
    <row r="12" spans="1:2" x14ac:dyDescent="0.25">
      <c r="A12" t="s">
        <v>4</v>
      </c>
      <c r="B12" t="s">
        <v>5</v>
      </c>
    </row>
    <row r="13" spans="1:2" x14ac:dyDescent="0.25">
      <c r="A13" t="s">
        <v>6</v>
      </c>
      <c r="B13" t="s">
        <v>131</v>
      </c>
    </row>
    <row r="14" spans="1:2" x14ac:dyDescent="0.25">
      <c r="A14" t="s">
        <v>125</v>
      </c>
      <c r="B14"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F3FFA-58B6-4252-94FF-5FC38AB0C113}">
  <sheetPr>
    <tabColor theme="2" tint="-0.749992370372631"/>
  </sheetPr>
  <dimension ref="A2:AC40"/>
  <sheetViews>
    <sheetView topLeftCell="A6" zoomScale="80" zoomScaleNormal="100" workbookViewId="0">
      <selection activeCell="G2" sqref="G2"/>
    </sheetView>
  </sheetViews>
  <sheetFormatPr defaultRowHeight="15" customHeight="1" x14ac:dyDescent="0.25"/>
  <cols>
    <col min="1" max="1" width="15.7109375" customWidth="1"/>
    <col min="2" max="2" width="5.42578125" customWidth="1"/>
    <col min="3" max="3" width="5.7109375" customWidth="1"/>
    <col min="4" max="4" width="8" customWidth="1"/>
    <col min="5" max="5" width="7.7109375" customWidth="1"/>
    <col min="6" max="6" width="5.7109375" customWidth="1"/>
    <col min="7" max="7" width="9.28515625" customWidth="1"/>
    <col min="8" max="8" width="7.5703125" customWidth="1"/>
    <col min="9" max="9" width="10.7109375" customWidth="1"/>
    <col min="10" max="10" width="8.85546875" customWidth="1"/>
    <col min="11" max="11" width="8.7109375" customWidth="1"/>
    <col min="12" max="12" width="9.42578125" customWidth="1"/>
    <col min="13" max="13" width="8.42578125" customWidth="1"/>
    <col min="14" max="14" width="7.85546875" customWidth="1"/>
    <col min="15" max="15" width="8" customWidth="1"/>
    <col min="16" max="16" width="8.85546875" customWidth="1"/>
    <col min="17" max="17" width="8.28515625" customWidth="1"/>
    <col min="18" max="18" width="10.140625" customWidth="1"/>
    <col min="19" max="19" width="8.5703125" customWidth="1"/>
    <col min="20" max="20" width="12.42578125" customWidth="1"/>
    <col min="21" max="21" width="7.140625" customWidth="1"/>
    <col min="22" max="22" width="7.7109375" customWidth="1"/>
    <col min="23" max="23" width="9.28515625" bestFit="1" customWidth="1"/>
    <col min="24" max="24" width="8.5703125" customWidth="1"/>
    <col min="25" max="25" width="6.7109375" customWidth="1"/>
    <col min="26" max="26" width="9.28515625" bestFit="1" customWidth="1"/>
    <col min="27" max="27" width="7.85546875" customWidth="1"/>
    <col min="28" max="28" width="7" customWidth="1"/>
    <col min="29" max="29" width="7.7109375" customWidth="1"/>
  </cols>
  <sheetData>
    <row r="2" spans="1:29" ht="21" x14ac:dyDescent="0.35">
      <c r="A2" s="17" t="s">
        <v>128</v>
      </c>
    </row>
    <row r="4" spans="1:29" ht="15.75" x14ac:dyDescent="0.25">
      <c r="A4" s="14" t="s">
        <v>7</v>
      </c>
      <c r="B4" s="37" t="s">
        <v>8</v>
      </c>
      <c r="C4" s="15"/>
      <c r="D4" s="9"/>
      <c r="E4" s="15"/>
      <c r="F4" s="15"/>
      <c r="G4" s="15"/>
      <c r="H4" s="15"/>
      <c r="I4" s="15"/>
      <c r="J4" s="15"/>
      <c r="K4" s="14" t="s">
        <v>9</v>
      </c>
      <c r="L4" s="9"/>
      <c r="M4" s="9"/>
      <c r="N4" s="9"/>
      <c r="O4" s="9"/>
      <c r="P4" s="9"/>
      <c r="Q4" s="9"/>
      <c r="R4" s="9"/>
      <c r="S4" s="10"/>
      <c r="T4" s="9"/>
      <c r="U4" s="14" t="s">
        <v>10</v>
      </c>
      <c r="V4" s="9"/>
      <c r="W4" s="9"/>
      <c r="X4" s="9"/>
      <c r="Y4" s="9"/>
      <c r="Z4" s="9"/>
      <c r="AA4" s="9"/>
      <c r="AB4" s="9"/>
      <c r="AC4" s="10"/>
    </row>
    <row r="5" spans="1:29" x14ac:dyDescent="0.25">
      <c r="A5" s="13"/>
      <c r="K5" s="11"/>
      <c r="S5" s="3"/>
      <c r="U5" s="11"/>
      <c r="AC5" s="3"/>
    </row>
    <row r="6" spans="1:29" ht="53.25" customHeight="1" x14ac:dyDescent="0.25">
      <c r="A6" s="24" t="s">
        <v>11</v>
      </c>
      <c r="B6" s="25" t="s">
        <v>12</v>
      </c>
      <c r="C6" s="25" t="s">
        <v>13</v>
      </c>
      <c r="D6" s="25" t="s">
        <v>14</v>
      </c>
      <c r="E6" s="26" t="s">
        <v>15</v>
      </c>
      <c r="F6" s="25" t="s">
        <v>16</v>
      </c>
      <c r="G6" s="25" t="s">
        <v>17</v>
      </c>
      <c r="H6" s="25" t="s">
        <v>18</v>
      </c>
      <c r="I6" s="26" t="s">
        <v>19</v>
      </c>
      <c r="J6" s="25" t="s">
        <v>20</v>
      </c>
      <c r="K6" s="24" t="s">
        <v>12</v>
      </c>
      <c r="L6" s="25" t="s">
        <v>13</v>
      </c>
      <c r="M6" s="25" t="s">
        <v>14</v>
      </c>
      <c r="N6" s="26" t="s">
        <v>15</v>
      </c>
      <c r="O6" s="25" t="s">
        <v>16</v>
      </c>
      <c r="P6" s="25" t="s">
        <v>17</v>
      </c>
      <c r="Q6" s="25" t="s">
        <v>18</v>
      </c>
      <c r="R6" s="25" t="s">
        <v>21</v>
      </c>
      <c r="S6" s="27" t="s">
        <v>20</v>
      </c>
      <c r="T6" s="26" t="s">
        <v>22</v>
      </c>
      <c r="U6" s="28" t="s">
        <v>23</v>
      </c>
      <c r="V6" s="26" t="s">
        <v>24</v>
      </c>
      <c r="W6" s="26" t="s">
        <v>25</v>
      </c>
      <c r="X6" s="26" t="s">
        <v>26</v>
      </c>
      <c r="Y6" s="26" t="s">
        <v>27</v>
      </c>
      <c r="Z6" s="26" t="s">
        <v>28</v>
      </c>
      <c r="AA6" s="26" t="s">
        <v>29</v>
      </c>
      <c r="AB6" s="26" t="s">
        <v>30</v>
      </c>
      <c r="AC6" s="29" t="s">
        <v>31</v>
      </c>
    </row>
    <row r="7" spans="1:29" x14ac:dyDescent="0.25">
      <c r="A7" s="11" t="s">
        <v>32</v>
      </c>
      <c r="B7">
        <v>433.39881000000003</v>
      </c>
      <c r="C7">
        <v>342.28735999999998</v>
      </c>
      <c r="D7">
        <v>91.384443000000005</v>
      </c>
      <c r="E7">
        <v>37.730440000000002</v>
      </c>
      <c r="F7">
        <v>0</v>
      </c>
      <c r="G7">
        <v>0</v>
      </c>
      <c r="H7">
        <v>41.633600000000001</v>
      </c>
      <c r="I7" s="4">
        <f>SUM(B7:H7)</f>
        <v>946.43465300000003</v>
      </c>
      <c r="J7" s="1">
        <v>36.200000000000003</v>
      </c>
      <c r="K7" s="12">
        <f t="shared" ref="K7:K37" si="0">B7*$K$39</f>
        <v>13001.964300000001</v>
      </c>
      <c r="L7" s="2">
        <f t="shared" ref="L7:L37" si="1">C7*$L$39</f>
        <v>20537.241599999998</v>
      </c>
      <c r="M7" s="2">
        <f t="shared" ref="M7:M37" si="2">D7*$M$39</f>
        <v>2741.5332900000003</v>
      </c>
      <c r="N7" s="2">
        <f t="shared" ref="N7:N37" si="3">E7*$N$39</f>
        <v>754.60879999999997</v>
      </c>
      <c r="O7" s="2">
        <f t="shared" ref="O7:O37" si="4">F7*$O$39</f>
        <v>0</v>
      </c>
      <c r="P7" s="2">
        <f t="shared" ref="P7:P37" si="5">G7*$P$39</f>
        <v>0</v>
      </c>
      <c r="Q7" s="2">
        <f t="shared" ref="Q7:Q37" si="6">H7*$Q$39</f>
        <v>220.95546285714286</v>
      </c>
      <c r="R7" s="4">
        <f t="shared" ref="R7:R37" si="7">SUM(K7:Q7)</f>
        <v>37256.303452857144</v>
      </c>
      <c r="S7" s="23">
        <f t="shared" ref="S7:S37" si="8">R7/I7</f>
        <v>39.364897866706855</v>
      </c>
      <c r="T7" s="22">
        <f>J7/S7</f>
        <v>0.9196010141465758</v>
      </c>
      <c r="U7" s="18">
        <f>$U$39*$T7</f>
        <v>8.276409127319182</v>
      </c>
      <c r="V7" s="2">
        <f t="shared" ref="V7:V37" si="9">$V$39*$T7</f>
        <v>1.1704012907320056</v>
      </c>
      <c r="W7" s="21">
        <f t="shared" ref="W7:W37" si="10">$W$39*$T7</f>
        <v>4.8804539536493268</v>
      </c>
      <c r="X7" s="21">
        <f t="shared" ref="X7:X37" si="11">$X$39*$T7</f>
        <v>18.392020282931515</v>
      </c>
      <c r="Y7" s="21">
        <f t="shared" ref="Y7:Y37" si="12">$Y$39*$T7</f>
        <v>55.176060848794549</v>
      </c>
      <c r="Z7" s="21">
        <f t="shared" ref="Z7:Z37" si="13">$Z$39*$T7</f>
        <v>24.001586469225629</v>
      </c>
      <c r="AA7" s="21">
        <f t="shared" ref="AA7:AA37" si="14">$AA$39*$T7</f>
        <v>717.28879103432917</v>
      </c>
      <c r="AB7" s="2">
        <f t="shared" ref="AB7:AB37" si="15">$AB$39*$T7</f>
        <v>0.3362291207973418</v>
      </c>
      <c r="AC7" s="19">
        <f t="shared" ref="AC7:AC37" si="16">$AC$39*$T7</f>
        <v>27.588030424397274</v>
      </c>
    </row>
    <row r="8" spans="1:29" x14ac:dyDescent="0.25">
      <c r="A8" s="11" t="s">
        <v>33</v>
      </c>
      <c r="B8">
        <v>465.93412499999999</v>
      </c>
      <c r="C8">
        <v>783.63464499999998</v>
      </c>
      <c r="D8">
        <v>247.59897699999999</v>
      </c>
      <c r="E8">
        <v>18.817885</v>
      </c>
      <c r="F8">
        <v>0</v>
      </c>
      <c r="G8">
        <v>3.4118826000000002</v>
      </c>
      <c r="H8">
        <v>115.1564</v>
      </c>
      <c r="I8" s="4">
        <f t="shared" ref="I8:I37" si="17">SUM(B8:H8)</f>
        <v>1634.5539145999999</v>
      </c>
      <c r="J8" s="1">
        <v>73.5</v>
      </c>
      <c r="K8" s="12">
        <f t="shared" si="0"/>
        <v>13978.02375</v>
      </c>
      <c r="L8" s="2">
        <f t="shared" si="1"/>
        <v>47018.078699999998</v>
      </c>
      <c r="M8" s="2">
        <f t="shared" si="2"/>
        <v>7427.9693099999995</v>
      </c>
      <c r="N8" s="2">
        <f t="shared" si="3"/>
        <v>376.35770000000002</v>
      </c>
      <c r="O8" s="2">
        <f t="shared" si="4"/>
        <v>0</v>
      </c>
      <c r="P8" s="2">
        <f t="shared" si="5"/>
        <v>2661.2684280000003</v>
      </c>
      <c r="Q8" s="2">
        <f t="shared" si="6"/>
        <v>611.15146571428568</v>
      </c>
      <c r="R8" s="4">
        <f t="shared" si="7"/>
        <v>72072.849353714264</v>
      </c>
      <c r="S8" s="23">
        <f t="shared" si="8"/>
        <v>44.093283623104952</v>
      </c>
      <c r="T8" s="22">
        <f t="shared" ref="T8:T37" si="18">J8/S8</f>
        <v>1.666920536657104</v>
      </c>
      <c r="U8" s="18">
        <f t="shared" ref="U8:U37" si="19">$U$39*$T8</f>
        <v>15.002284829913936</v>
      </c>
      <c r="V8" s="2">
        <f t="shared" si="9"/>
        <v>2.1215352284726778</v>
      </c>
      <c r="W8" s="21">
        <f t="shared" si="10"/>
        <v>8.8465854195444873</v>
      </c>
      <c r="X8" s="21">
        <f t="shared" si="11"/>
        <v>33.338410733142084</v>
      </c>
      <c r="Y8" s="21">
        <f t="shared" si="12"/>
        <v>100.01523219942624</v>
      </c>
      <c r="Z8" s="21">
        <f t="shared" si="13"/>
        <v>43.506626006750416</v>
      </c>
      <c r="AA8" s="21">
        <f t="shared" si="14"/>
        <v>1300.1980185925411</v>
      </c>
      <c r="AB8" s="2">
        <f t="shared" si="15"/>
        <v>0.60946782121525367</v>
      </c>
      <c r="AC8" s="19">
        <f t="shared" si="16"/>
        <v>50.007616099713118</v>
      </c>
    </row>
    <row r="9" spans="1:29" x14ac:dyDescent="0.25">
      <c r="A9" s="11" t="s">
        <v>34</v>
      </c>
      <c r="B9">
        <v>102.00216500000001</v>
      </c>
      <c r="C9">
        <v>90.708269999999999</v>
      </c>
      <c r="D9">
        <v>50.394500000000001</v>
      </c>
      <c r="E9">
        <v>83.519679999999994</v>
      </c>
      <c r="F9">
        <v>13</v>
      </c>
      <c r="G9">
        <v>2.3968000000000001E-3</v>
      </c>
      <c r="H9">
        <v>18.334</v>
      </c>
      <c r="I9" s="4">
        <f t="shared" si="17"/>
        <v>357.96101179999999</v>
      </c>
      <c r="J9" s="1">
        <v>103.2</v>
      </c>
      <c r="K9" s="12">
        <f t="shared" si="0"/>
        <v>3060.06495</v>
      </c>
      <c r="L9" s="2">
        <f t="shared" si="1"/>
        <v>5442.4961999999996</v>
      </c>
      <c r="M9" s="2">
        <f t="shared" si="2"/>
        <v>1511.835</v>
      </c>
      <c r="N9" s="2">
        <f t="shared" si="3"/>
        <v>1670.3935999999999</v>
      </c>
      <c r="O9" s="2">
        <f t="shared" si="4"/>
        <v>390</v>
      </c>
      <c r="P9" s="2">
        <f t="shared" si="5"/>
        <v>1.8695040000000001</v>
      </c>
      <c r="Q9" s="2">
        <f t="shared" si="6"/>
        <v>97.301157142857136</v>
      </c>
      <c r="R9" s="4">
        <f t="shared" si="7"/>
        <v>12173.960411142858</v>
      </c>
      <c r="S9" s="23">
        <f t="shared" si="8"/>
        <v>34.009179798454404</v>
      </c>
      <c r="T9" s="22">
        <f t="shared" si="18"/>
        <v>3.0344748274314477</v>
      </c>
      <c r="U9" s="18">
        <f t="shared" si="19"/>
        <v>27.310273446883031</v>
      </c>
      <c r="V9" s="2">
        <f t="shared" si="9"/>
        <v>3.8620588712763877</v>
      </c>
      <c r="W9" s="21">
        <f t="shared" si="10"/>
        <v>16.104391405582611</v>
      </c>
      <c r="X9" s="21">
        <f t="shared" si="11"/>
        <v>60.689496548628952</v>
      </c>
      <c r="Y9" s="21">
        <f t="shared" si="12"/>
        <v>182.06848964588687</v>
      </c>
      <c r="Z9" s="21">
        <f t="shared" si="13"/>
        <v>79.199792995960792</v>
      </c>
      <c r="AA9" s="21">
        <f t="shared" si="14"/>
        <v>2366.890365396529</v>
      </c>
      <c r="AB9" s="2">
        <f t="shared" si="15"/>
        <v>1.1094798587796231</v>
      </c>
      <c r="AC9" s="19">
        <f t="shared" si="16"/>
        <v>91.034244822943435</v>
      </c>
    </row>
    <row r="10" spans="1:29" x14ac:dyDescent="0.25">
      <c r="A10" s="11" t="s">
        <v>35</v>
      </c>
      <c r="B10">
        <v>80.921520000000001</v>
      </c>
      <c r="C10">
        <v>85.984885000000006</v>
      </c>
      <c r="D10">
        <v>49.652929</v>
      </c>
      <c r="E10">
        <v>47.702800000000003</v>
      </c>
      <c r="F10">
        <v>27.245000000000001</v>
      </c>
      <c r="G10">
        <v>8.2235999999999993E-3</v>
      </c>
      <c r="H10">
        <v>12.592000000000001</v>
      </c>
      <c r="I10" s="4">
        <f t="shared" si="17"/>
        <v>304.1073576</v>
      </c>
      <c r="J10" s="1">
        <v>56.2</v>
      </c>
      <c r="K10" s="12">
        <f t="shared" si="0"/>
        <v>2427.6455999999998</v>
      </c>
      <c r="L10" s="2">
        <f t="shared" si="1"/>
        <v>5159.0931</v>
      </c>
      <c r="M10" s="2">
        <f t="shared" si="2"/>
        <v>1489.5878700000001</v>
      </c>
      <c r="N10" s="2">
        <f t="shared" si="3"/>
        <v>954.05600000000004</v>
      </c>
      <c r="O10" s="2">
        <f t="shared" si="4"/>
        <v>817.35</v>
      </c>
      <c r="P10" s="2">
        <f t="shared" si="5"/>
        <v>6.4144079999999999</v>
      </c>
      <c r="Q10" s="2">
        <f t="shared" si="6"/>
        <v>66.827542857142859</v>
      </c>
      <c r="R10" s="4">
        <f t="shared" si="7"/>
        <v>10920.974520857144</v>
      </c>
      <c r="S10" s="23">
        <f t="shared" si="8"/>
        <v>35.911576119186748</v>
      </c>
      <c r="T10" s="22">
        <f t="shared" si="18"/>
        <v>1.5649549831363043</v>
      </c>
      <c r="U10" s="18">
        <f t="shared" si="19"/>
        <v>14.08459484822674</v>
      </c>
      <c r="V10" s="2">
        <f t="shared" si="9"/>
        <v>1.9917608876280237</v>
      </c>
      <c r="W10" s="21">
        <f t="shared" si="10"/>
        <v>8.3054396605019569</v>
      </c>
      <c r="X10" s="21">
        <f t="shared" si="11"/>
        <v>31.299099662726086</v>
      </c>
      <c r="Y10" s="21">
        <f t="shared" si="12"/>
        <v>93.897298988178264</v>
      </c>
      <c r="Z10" s="21">
        <f t="shared" si="13"/>
        <v>40.845325059857544</v>
      </c>
      <c r="AA10" s="21">
        <f t="shared" si="14"/>
        <v>1220.6648868463174</v>
      </c>
      <c r="AB10" s="2">
        <f t="shared" si="15"/>
        <v>0.57218666570921128</v>
      </c>
      <c r="AC10" s="19">
        <f t="shared" si="16"/>
        <v>46.948649494089132</v>
      </c>
    </row>
    <row r="11" spans="1:29" x14ac:dyDescent="0.25">
      <c r="A11" s="11" t="s">
        <v>36</v>
      </c>
      <c r="B11">
        <v>28.663740000000001</v>
      </c>
      <c r="C11">
        <v>42.436250000000001</v>
      </c>
      <c r="D11">
        <v>13.856344</v>
      </c>
      <c r="E11">
        <v>44.99183</v>
      </c>
      <c r="F11">
        <v>8</v>
      </c>
      <c r="G11">
        <v>7.8663200000000003E-2</v>
      </c>
      <c r="H11">
        <v>1.7136</v>
      </c>
      <c r="I11" s="4">
        <f t="shared" si="17"/>
        <v>139.7404272</v>
      </c>
      <c r="J11" s="1">
        <v>254.7</v>
      </c>
      <c r="K11" s="12">
        <f t="shared" si="0"/>
        <v>859.91219999999998</v>
      </c>
      <c r="L11" s="2">
        <f t="shared" si="1"/>
        <v>2546.1750000000002</v>
      </c>
      <c r="M11" s="2">
        <f t="shared" si="2"/>
        <v>415.69031999999999</v>
      </c>
      <c r="N11" s="2">
        <f t="shared" si="3"/>
        <v>899.83659999999998</v>
      </c>
      <c r="O11" s="2">
        <f t="shared" si="4"/>
        <v>240</v>
      </c>
      <c r="P11" s="2">
        <f t="shared" si="5"/>
        <v>61.357296000000005</v>
      </c>
      <c r="Q11" s="2">
        <f t="shared" si="6"/>
        <v>9.0943199999999997</v>
      </c>
      <c r="R11" s="4">
        <f t="shared" si="7"/>
        <v>5032.0657360000005</v>
      </c>
      <c r="S11" s="23">
        <f t="shared" si="8"/>
        <v>36.010092689912717</v>
      </c>
      <c r="T11" s="22">
        <f t="shared" si="18"/>
        <v>7.0730170620012736</v>
      </c>
      <c r="U11" s="18">
        <f t="shared" si="19"/>
        <v>63.657153558011458</v>
      </c>
      <c r="V11" s="2">
        <f t="shared" si="9"/>
        <v>9.0020217152743474</v>
      </c>
      <c r="W11" s="21">
        <f t="shared" si="10"/>
        <v>37.537511979049611</v>
      </c>
      <c r="X11" s="21">
        <f t="shared" si="11"/>
        <v>141.46034124002546</v>
      </c>
      <c r="Y11" s="21">
        <f t="shared" si="12"/>
        <v>424.38102372007643</v>
      </c>
      <c r="Z11" s="21">
        <f t="shared" si="13"/>
        <v>184.60574531823326</v>
      </c>
      <c r="AA11" s="21">
        <f t="shared" si="14"/>
        <v>5516.9533083609931</v>
      </c>
      <c r="AB11" s="2">
        <f t="shared" si="15"/>
        <v>2.5860718632942157</v>
      </c>
      <c r="AC11" s="19">
        <f t="shared" si="16"/>
        <v>212.19051186003821</v>
      </c>
    </row>
    <row r="12" spans="1:29" x14ac:dyDescent="0.25">
      <c r="A12" s="11" t="s">
        <v>37</v>
      </c>
      <c r="B12">
        <v>293.47503999999998</v>
      </c>
      <c r="C12">
        <v>189.89490499999999</v>
      </c>
      <c r="D12">
        <v>132.62026499999999</v>
      </c>
      <c r="E12">
        <v>13.64866</v>
      </c>
      <c r="F12">
        <v>19.259</v>
      </c>
      <c r="G12">
        <v>7.0328999999999997</v>
      </c>
      <c r="H12">
        <v>40.778799999999997</v>
      </c>
      <c r="I12" s="4">
        <f t="shared" si="17"/>
        <v>696.70956999999999</v>
      </c>
      <c r="J12" s="1">
        <v>46.4</v>
      </c>
      <c r="K12" s="12">
        <f t="shared" si="0"/>
        <v>8804.2511999999988</v>
      </c>
      <c r="L12" s="2">
        <f t="shared" si="1"/>
        <v>11393.694299999999</v>
      </c>
      <c r="M12" s="2">
        <f t="shared" si="2"/>
        <v>3978.6079499999996</v>
      </c>
      <c r="N12" s="2">
        <f t="shared" si="3"/>
        <v>272.97320000000002</v>
      </c>
      <c r="O12" s="2">
        <f t="shared" si="4"/>
        <v>577.77</v>
      </c>
      <c r="P12" s="2">
        <f t="shared" si="5"/>
        <v>5485.6619999999994</v>
      </c>
      <c r="Q12" s="2">
        <f t="shared" si="6"/>
        <v>216.41891714285711</v>
      </c>
      <c r="R12" s="4">
        <f t="shared" si="7"/>
        <v>30729.377567142859</v>
      </c>
      <c r="S12" s="23">
        <f t="shared" si="8"/>
        <v>44.106438163527535</v>
      </c>
      <c r="T12" s="22">
        <f t="shared" si="18"/>
        <v>1.0520006133337934</v>
      </c>
      <c r="U12" s="18">
        <f t="shared" si="19"/>
        <v>9.4680055200041409</v>
      </c>
      <c r="V12" s="2">
        <f t="shared" si="9"/>
        <v>1.338909871515737</v>
      </c>
      <c r="W12" s="21">
        <f t="shared" si="10"/>
        <v>5.5831175407643459</v>
      </c>
      <c r="X12" s="21">
        <f t="shared" si="11"/>
        <v>21.040012266675866</v>
      </c>
      <c r="Y12" s="21">
        <f t="shared" si="12"/>
        <v>63.120036800027599</v>
      </c>
      <c r="Z12" s="21">
        <f t="shared" si="13"/>
        <v>27.457216008012008</v>
      </c>
      <c r="AA12" s="21">
        <f t="shared" si="14"/>
        <v>820.56047840035876</v>
      </c>
      <c r="AB12" s="2">
        <f t="shared" si="15"/>
        <v>0.38463772425016823</v>
      </c>
      <c r="AC12" s="19">
        <f t="shared" si="16"/>
        <v>31.560018400013799</v>
      </c>
    </row>
    <row r="13" spans="1:29" x14ac:dyDescent="0.25">
      <c r="A13" s="38" t="s">
        <v>38</v>
      </c>
      <c r="B13" s="39">
        <v>376.56768</v>
      </c>
      <c r="C13" s="39">
        <v>1736.7402</v>
      </c>
      <c r="D13" s="39">
        <v>117.04644500000001</v>
      </c>
      <c r="E13" s="39">
        <v>14.818625000000001</v>
      </c>
      <c r="F13" s="39">
        <v>40.698999999999998</v>
      </c>
      <c r="G13" s="39">
        <v>0</v>
      </c>
      <c r="H13" s="39">
        <v>70</v>
      </c>
      <c r="I13" s="40">
        <f t="shared" si="17"/>
        <v>2355.8719499999997</v>
      </c>
      <c r="J13" s="39">
        <v>34.1</v>
      </c>
      <c r="K13" s="41">
        <f t="shared" si="0"/>
        <v>11297.0304</v>
      </c>
      <c r="L13" s="42">
        <f t="shared" si="1"/>
        <v>104204.412</v>
      </c>
      <c r="M13" s="42">
        <f t="shared" si="2"/>
        <v>3511.3933500000003</v>
      </c>
      <c r="N13" s="42">
        <f t="shared" si="3"/>
        <v>296.3725</v>
      </c>
      <c r="O13" s="42">
        <f t="shared" si="4"/>
        <v>1220.97</v>
      </c>
      <c r="P13" s="42">
        <f t="shared" si="5"/>
        <v>0</v>
      </c>
      <c r="Q13" s="42">
        <f t="shared" si="6"/>
        <v>371.5</v>
      </c>
      <c r="R13" s="40">
        <f t="shared" si="7"/>
        <v>120901.67825</v>
      </c>
      <c r="S13" s="43">
        <f t="shared" si="8"/>
        <v>51.319291037868169</v>
      </c>
      <c r="T13" s="44">
        <f t="shared" si="18"/>
        <v>0.66446748016915969</v>
      </c>
      <c r="U13" s="45">
        <f t="shared" si="19"/>
        <v>5.9802073215224372</v>
      </c>
      <c r="V13" s="42">
        <f t="shared" si="9"/>
        <v>0.84568588385165777</v>
      </c>
      <c r="W13" s="46">
        <f t="shared" si="10"/>
        <v>3.526423841183469</v>
      </c>
      <c r="X13" s="46">
        <f t="shared" si="11"/>
        <v>13.289349603383194</v>
      </c>
      <c r="Y13" s="46">
        <f t="shared" si="12"/>
        <v>39.868048810149581</v>
      </c>
      <c r="Z13" s="46">
        <f t="shared" si="13"/>
        <v>17.34260123241507</v>
      </c>
      <c r="AA13" s="46">
        <f t="shared" si="14"/>
        <v>518.28463453194456</v>
      </c>
      <c r="AB13" s="42">
        <f t="shared" si="15"/>
        <v>0.24294592243684904</v>
      </c>
      <c r="AC13" s="47">
        <f t="shared" si="16"/>
        <v>19.934024405074791</v>
      </c>
    </row>
    <row r="14" spans="1:29" x14ac:dyDescent="0.25">
      <c r="A14" s="11" t="s">
        <v>39</v>
      </c>
      <c r="B14">
        <v>59.675825000000003</v>
      </c>
      <c r="C14">
        <v>41.236134999999997</v>
      </c>
      <c r="D14">
        <v>2.5013695</v>
      </c>
      <c r="E14">
        <v>5.1273799999999996</v>
      </c>
      <c r="F14">
        <v>0.80100000000000005</v>
      </c>
      <c r="G14">
        <v>5.3899999999999998E-4</v>
      </c>
      <c r="H14">
        <v>5.1379999999999999</v>
      </c>
      <c r="I14" s="4">
        <f t="shared" si="17"/>
        <v>114.4802485</v>
      </c>
      <c r="J14" s="1">
        <v>45.8</v>
      </c>
      <c r="K14" s="12">
        <f t="shared" si="0"/>
        <v>1790.27475</v>
      </c>
      <c r="L14" s="2">
        <f t="shared" si="1"/>
        <v>2474.1680999999999</v>
      </c>
      <c r="M14" s="2">
        <f t="shared" si="2"/>
        <v>75.041084999999995</v>
      </c>
      <c r="N14" s="2">
        <f t="shared" si="3"/>
        <v>102.54759999999999</v>
      </c>
      <c r="O14" s="2">
        <f t="shared" si="4"/>
        <v>24.03</v>
      </c>
      <c r="P14" s="2">
        <f t="shared" si="5"/>
        <v>0.42041999999999996</v>
      </c>
      <c r="Q14" s="2">
        <f t="shared" si="6"/>
        <v>27.268099999999997</v>
      </c>
      <c r="R14" s="4">
        <f t="shared" si="7"/>
        <v>4493.7500549999995</v>
      </c>
      <c r="S14" s="23">
        <f t="shared" si="8"/>
        <v>39.253496685063531</v>
      </c>
      <c r="T14" s="22">
        <f t="shared" si="18"/>
        <v>1.16677503580025</v>
      </c>
      <c r="U14" s="18">
        <f t="shared" si="19"/>
        <v>10.500975322202249</v>
      </c>
      <c r="V14" s="2">
        <f t="shared" si="9"/>
        <v>1.4849864092003182</v>
      </c>
      <c r="W14" s="21">
        <f t="shared" si="10"/>
        <v>6.1922417971398982</v>
      </c>
      <c r="X14" s="21">
        <f t="shared" si="11"/>
        <v>23.335500716005001</v>
      </c>
      <c r="Y14" s="21">
        <f t="shared" si="12"/>
        <v>70.006502148015002</v>
      </c>
      <c r="Z14" s="21">
        <f t="shared" si="13"/>
        <v>30.452828434386525</v>
      </c>
      <c r="AA14" s="21">
        <f t="shared" si="14"/>
        <v>910.08452792419496</v>
      </c>
      <c r="AB14" s="2">
        <f t="shared" si="15"/>
        <v>0.42660212246446644</v>
      </c>
      <c r="AC14" s="19">
        <f t="shared" si="16"/>
        <v>35.003251074007501</v>
      </c>
    </row>
    <row r="15" spans="1:29" x14ac:dyDescent="0.25">
      <c r="A15" s="11" t="s">
        <v>40</v>
      </c>
      <c r="B15">
        <v>199.33572000000001</v>
      </c>
      <c r="C15">
        <v>141.38409999999999</v>
      </c>
      <c r="D15">
        <v>87.084209999999999</v>
      </c>
      <c r="E15">
        <v>11.106619999999999</v>
      </c>
      <c r="F15">
        <v>16.280999999999999</v>
      </c>
      <c r="G15">
        <v>0</v>
      </c>
      <c r="H15">
        <v>29.6</v>
      </c>
      <c r="I15" s="4">
        <f t="shared" si="17"/>
        <v>484.79165000000006</v>
      </c>
      <c r="J15" s="1">
        <v>14.9</v>
      </c>
      <c r="K15" s="12">
        <f t="shared" si="0"/>
        <v>5980.0716000000002</v>
      </c>
      <c r="L15" s="2">
        <f t="shared" si="1"/>
        <v>8483.0459999999985</v>
      </c>
      <c r="M15" s="2">
        <f t="shared" si="2"/>
        <v>2612.5263</v>
      </c>
      <c r="N15" s="2">
        <f t="shared" si="3"/>
        <v>222.13239999999999</v>
      </c>
      <c r="O15" s="2">
        <f t="shared" si="4"/>
        <v>488.42999999999995</v>
      </c>
      <c r="P15" s="2">
        <f t="shared" si="5"/>
        <v>0</v>
      </c>
      <c r="Q15" s="2">
        <f t="shared" si="6"/>
        <v>157.09142857142857</v>
      </c>
      <c r="R15" s="4">
        <f t="shared" si="7"/>
        <v>17943.297728571426</v>
      </c>
      <c r="S15" s="23">
        <f t="shared" si="8"/>
        <v>37.012390226959198</v>
      </c>
      <c r="T15" s="22">
        <f t="shared" si="18"/>
        <v>0.40256789438978446</v>
      </c>
      <c r="U15" s="18">
        <f t="shared" si="19"/>
        <v>3.6231110495080601</v>
      </c>
      <c r="V15" s="2">
        <f t="shared" si="9"/>
        <v>0.51235913831427116</v>
      </c>
      <c r="W15" s="21">
        <f t="shared" si="10"/>
        <v>2.1364853252257845</v>
      </c>
      <c r="X15" s="21">
        <f t="shared" si="11"/>
        <v>8.0513578877956888</v>
      </c>
      <c r="Y15" s="21">
        <f t="shared" si="12"/>
        <v>24.154073663387067</v>
      </c>
      <c r="Z15" s="21">
        <f t="shared" si="13"/>
        <v>10.507022043573375</v>
      </c>
      <c r="AA15" s="21">
        <f t="shared" si="14"/>
        <v>314.00295762403186</v>
      </c>
      <c r="AB15" s="2">
        <f t="shared" si="15"/>
        <v>0.14718888638626496</v>
      </c>
      <c r="AC15" s="19">
        <f t="shared" si="16"/>
        <v>12.077036831693533</v>
      </c>
    </row>
    <row r="16" spans="1:29" x14ac:dyDescent="0.25">
      <c r="A16" s="38" t="s">
        <v>41</v>
      </c>
      <c r="B16" s="39">
        <v>2910.8982599999999</v>
      </c>
      <c r="C16" s="39">
        <v>1719.8894299999999</v>
      </c>
      <c r="D16" s="39">
        <v>989.88365999999996</v>
      </c>
      <c r="E16" s="39">
        <v>595.02120000000002</v>
      </c>
      <c r="F16" s="39">
        <v>45.164000000000001</v>
      </c>
      <c r="G16" s="39">
        <v>35.628599999999999</v>
      </c>
      <c r="H16" s="39">
        <v>264.95999999999998</v>
      </c>
      <c r="I16" s="40">
        <f t="shared" si="17"/>
        <v>6561.4451500000005</v>
      </c>
      <c r="J16" s="39">
        <v>38.9</v>
      </c>
      <c r="K16" s="41">
        <f t="shared" si="0"/>
        <v>87326.947799999994</v>
      </c>
      <c r="L16" s="42">
        <f t="shared" si="1"/>
        <v>103193.3658</v>
      </c>
      <c r="M16" s="42">
        <f t="shared" si="2"/>
        <v>29696.5098</v>
      </c>
      <c r="N16" s="42">
        <f t="shared" si="3"/>
        <v>11900.424000000001</v>
      </c>
      <c r="O16" s="42">
        <f t="shared" si="4"/>
        <v>1354.92</v>
      </c>
      <c r="P16" s="42">
        <f t="shared" si="5"/>
        <v>27790.307999999997</v>
      </c>
      <c r="Q16" s="42">
        <f t="shared" si="6"/>
        <v>1406.1805714285713</v>
      </c>
      <c r="R16" s="40">
        <f t="shared" si="7"/>
        <v>262668.65597142855</v>
      </c>
      <c r="S16" s="43">
        <f t="shared" si="8"/>
        <v>40.032134684754396</v>
      </c>
      <c r="T16" s="44">
        <f t="shared" si="18"/>
        <v>0.97171935262334252</v>
      </c>
      <c r="U16" s="45">
        <f t="shared" si="19"/>
        <v>8.7454741736100825</v>
      </c>
      <c r="V16" s="42">
        <f t="shared" si="9"/>
        <v>1.2367337215206178</v>
      </c>
      <c r="W16" s="46">
        <f t="shared" si="10"/>
        <v>5.1570534214224537</v>
      </c>
      <c r="X16" s="46">
        <f t="shared" si="11"/>
        <v>19.43438705246685</v>
      </c>
      <c r="Y16" s="46">
        <f t="shared" si="12"/>
        <v>58.303161157400552</v>
      </c>
      <c r="Z16" s="46">
        <f t="shared" si="13"/>
        <v>25.361875103469242</v>
      </c>
      <c r="AA16" s="46">
        <f t="shared" si="14"/>
        <v>757.94109504620712</v>
      </c>
      <c r="AB16" s="42">
        <f t="shared" si="15"/>
        <v>0.35528488830290966</v>
      </c>
      <c r="AC16" s="47">
        <f t="shared" si="16"/>
        <v>29.151580578700276</v>
      </c>
    </row>
    <row r="17" spans="1:29" x14ac:dyDescent="0.25">
      <c r="A17" s="38" t="s">
        <v>42</v>
      </c>
      <c r="B17" s="39">
        <v>2751.2838449999999</v>
      </c>
      <c r="C17" s="39">
        <v>3171.0321300000001</v>
      </c>
      <c r="D17" s="39">
        <v>985.57711300000005</v>
      </c>
      <c r="E17" s="39">
        <v>132.02943999999999</v>
      </c>
      <c r="F17" s="39">
        <v>17.832999999999998</v>
      </c>
      <c r="G17" s="39">
        <v>23.132480000000001</v>
      </c>
      <c r="H17" s="39">
        <v>520</v>
      </c>
      <c r="I17" s="40">
        <f t="shared" si="17"/>
        <v>7600.8880079999999</v>
      </c>
      <c r="J17" s="39">
        <v>69.900000000000006</v>
      </c>
      <c r="K17" s="41">
        <f t="shared" si="0"/>
        <v>82538.515350000001</v>
      </c>
      <c r="L17" s="42">
        <f t="shared" si="1"/>
        <v>190261.9278</v>
      </c>
      <c r="M17" s="42">
        <f t="shared" si="2"/>
        <v>29567.313390000003</v>
      </c>
      <c r="N17" s="42">
        <f t="shared" si="3"/>
        <v>2640.5888</v>
      </c>
      <c r="O17" s="42">
        <f t="shared" si="4"/>
        <v>534.99</v>
      </c>
      <c r="P17" s="42">
        <f t="shared" si="5"/>
        <v>18043.3344</v>
      </c>
      <c r="Q17" s="42">
        <f t="shared" si="6"/>
        <v>2759.7142857142858</v>
      </c>
      <c r="R17" s="40">
        <f t="shared" si="7"/>
        <v>326346.3840257143</v>
      </c>
      <c r="S17" s="43">
        <f t="shared" si="8"/>
        <v>42.935296991908302</v>
      </c>
      <c r="T17" s="44">
        <f t="shared" si="18"/>
        <v>1.6280311281688244</v>
      </c>
      <c r="U17" s="45">
        <f t="shared" si="19"/>
        <v>14.65228015351942</v>
      </c>
      <c r="V17" s="42">
        <f t="shared" si="9"/>
        <v>2.0720396176694127</v>
      </c>
      <c r="W17" s="46">
        <f t="shared" si="10"/>
        <v>8.6401937730674039</v>
      </c>
      <c r="X17" s="46">
        <f t="shared" si="11"/>
        <v>32.560622563376491</v>
      </c>
      <c r="Y17" s="46">
        <f t="shared" si="12"/>
        <v>97.681867690129465</v>
      </c>
      <c r="Z17" s="46">
        <f t="shared" si="13"/>
        <v>42.491612445206322</v>
      </c>
      <c r="AA17" s="46">
        <f t="shared" si="14"/>
        <v>1269.8642799716831</v>
      </c>
      <c r="AB17" s="42">
        <f t="shared" si="15"/>
        <v>0.59524888123672648</v>
      </c>
      <c r="AC17" s="47">
        <f t="shared" si="16"/>
        <v>48.840933845064733</v>
      </c>
    </row>
    <row r="18" spans="1:29" x14ac:dyDescent="0.25">
      <c r="A18" s="38" t="s">
        <v>43</v>
      </c>
      <c r="B18" s="39">
        <v>76.921364999999994</v>
      </c>
      <c r="C18" s="39">
        <v>99.94041</v>
      </c>
      <c r="D18" s="39">
        <v>150.39824999999999</v>
      </c>
      <c r="E18" s="39">
        <v>680.11077999999998</v>
      </c>
      <c r="F18" s="39">
        <v>130.17740800000001</v>
      </c>
      <c r="G18" s="39">
        <v>2.1253791999999998</v>
      </c>
      <c r="H18" s="39">
        <v>2.2023999999999999</v>
      </c>
      <c r="I18" s="40">
        <f t="shared" si="17"/>
        <v>1141.8759921999999</v>
      </c>
      <c r="J18" s="39">
        <v>89</v>
      </c>
      <c r="K18" s="41">
        <f t="shared" si="0"/>
        <v>2307.64095</v>
      </c>
      <c r="L18" s="42">
        <f t="shared" si="1"/>
        <v>5996.4246000000003</v>
      </c>
      <c r="M18" s="42">
        <f t="shared" si="2"/>
        <v>4511.9474999999993</v>
      </c>
      <c r="N18" s="42">
        <f t="shared" si="3"/>
        <v>13602.2156</v>
      </c>
      <c r="O18" s="42">
        <f t="shared" si="4"/>
        <v>3905.3222400000004</v>
      </c>
      <c r="P18" s="42">
        <f t="shared" si="5"/>
        <v>1657.7957759999999</v>
      </c>
      <c r="Q18" s="42">
        <f t="shared" si="6"/>
        <v>11.688451428571428</v>
      </c>
      <c r="R18" s="40">
        <f t="shared" si="7"/>
        <v>31993.035117428568</v>
      </c>
      <c r="S18" s="43">
        <f t="shared" si="8"/>
        <v>28.017959337063441</v>
      </c>
      <c r="T18" s="44">
        <f t="shared" si="18"/>
        <v>3.1765339841244868</v>
      </c>
      <c r="U18" s="45">
        <f t="shared" si="19"/>
        <v>28.588805857120381</v>
      </c>
      <c r="V18" s="42">
        <f t="shared" si="9"/>
        <v>4.0428614343402556</v>
      </c>
      <c r="W18" s="46">
        <f t="shared" si="10"/>
        <v>16.858319644317813</v>
      </c>
      <c r="X18" s="46">
        <f t="shared" si="11"/>
        <v>63.530679682489733</v>
      </c>
      <c r="Y18" s="46">
        <f t="shared" si="12"/>
        <v>190.5920390474692</v>
      </c>
      <c r="Z18" s="46">
        <f t="shared" si="13"/>
        <v>82.907536985649116</v>
      </c>
      <c r="AA18" s="46">
        <f t="shared" si="14"/>
        <v>2477.6965076170995</v>
      </c>
      <c r="AB18" s="42">
        <f t="shared" si="15"/>
        <v>1.1614202379455156</v>
      </c>
      <c r="AC18" s="47">
        <f t="shared" si="16"/>
        <v>95.2960195237346</v>
      </c>
    </row>
    <row r="19" spans="1:29" x14ac:dyDescent="0.25">
      <c r="A19" s="38" t="s">
        <v>44</v>
      </c>
      <c r="B19" s="39">
        <v>179.55275</v>
      </c>
      <c r="C19" s="39">
        <v>321.44296000000003</v>
      </c>
      <c r="D19" s="39">
        <v>200.94122999999999</v>
      </c>
      <c r="E19" s="39">
        <v>74.046379999999999</v>
      </c>
      <c r="F19" s="39">
        <v>26.99</v>
      </c>
      <c r="G19" s="39">
        <v>5.4958217999999999</v>
      </c>
      <c r="H19" s="39">
        <v>24.4</v>
      </c>
      <c r="I19" s="40">
        <f t="shared" si="17"/>
        <v>832.86914180000008</v>
      </c>
      <c r="J19" s="39">
        <v>111.2</v>
      </c>
      <c r="K19" s="41">
        <f t="shared" si="0"/>
        <v>5386.5825000000004</v>
      </c>
      <c r="L19" s="42">
        <f t="shared" si="1"/>
        <v>19286.577600000001</v>
      </c>
      <c r="M19" s="42">
        <f t="shared" si="2"/>
        <v>6028.2368999999999</v>
      </c>
      <c r="N19" s="42">
        <f t="shared" si="3"/>
        <v>1480.9276</v>
      </c>
      <c r="O19" s="42">
        <f t="shared" si="4"/>
        <v>809.69999999999993</v>
      </c>
      <c r="P19" s="42">
        <f t="shared" si="5"/>
        <v>4286.7410039999995</v>
      </c>
      <c r="Q19" s="42">
        <f t="shared" si="6"/>
        <v>129.4942857142857</v>
      </c>
      <c r="R19" s="40">
        <f t="shared" si="7"/>
        <v>37408.259889714289</v>
      </c>
      <c r="S19" s="43">
        <f t="shared" si="8"/>
        <v>44.914930824387859</v>
      </c>
      <c r="T19" s="44">
        <f t="shared" si="18"/>
        <v>2.4757914118754636</v>
      </c>
      <c r="U19" s="45">
        <f t="shared" si="19"/>
        <v>22.282122706879171</v>
      </c>
      <c r="V19" s="42">
        <f t="shared" si="9"/>
        <v>3.1510072514778629</v>
      </c>
      <c r="W19" s="46">
        <f t="shared" si="10"/>
        <v>13.139378707310495</v>
      </c>
      <c r="X19" s="46">
        <f t="shared" si="11"/>
        <v>49.515828237509268</v>
      </c>
      <c r="Y19" s="46">
        <f t="shared" si="12"/>
        <v>148.54748471252782</v>
      </c>
      <c r="Z19" s="46">
        <f t="shared" si="13"/>
        <v>64.618155849949602</v>
      </c>
      <c r="AA19" s="46">
        <f t="shared" si="14"/>
        <v>1931.1173012628617</v>
      </c>
      <c r="AB19" s="42">
        <f t="shared" si="15"/>
        <v>0.90521123496696643</v>
      </c>
      <c r="AC19" s="47">
        <f t="shared" si="16"/>
        <v>74.273742356263909</v>
      </c>
    </row>
    <row r="20" spans="1:29" x14ac:dyDescent="0.25">
      <c r="A20" s="11" t="s">
        <v>45</v>
      </c>
      <c r="B20">
        <v>19.311875000000001</v>
      </c>
      <c r="C20">
        <v>5.5706499999999997</v>
      </c>
      <c r="D20">
        <v>5.8264100000000001</v>
      </c>
      <c r="E20">
        <v>37.426900000000003</v>
      </c>
      <c r="F20">
        <v>51.35</v>
      </c>
      <c r="G20">
        <v>0</v>
      </c>
      <c r="H20">
        <v>20.76</v>
      </c>
      <c r="I20" s="4">
        <f t="shared" si="17"/>
        <v>140.245835</v>
      </c>
      <c r="J20" s="1">
        <v>4.4000000000000004</v>
      </c>
      <c r="K20" s="12">
        <f t="shared" si="0"/>
        <v>579.35625000000005</v>
      </c>
      <c r="L20" s="2">
        <f t="shared" si="1"/>
        <v>334.23899999999998</v>
      </c>
      <c r="M20" s="2">
        <f t="shared" si="2"/>
        <v>174.79230000000001</v>
      </c>
      <c r="N20" s="2">
        <f t="shared" si="3"/>
        <v>748.53800000000001</v>
      </c>
      <c r="O20" s="2">
        <f t="shared" si="4"/>
        <v>1540.5</v>
      </c>
      <c r="P20" s="2">
        <f t="shared" si="5"/>
        <v>0</v>
      </c>
      <c r="Q20" s="2">
        <f t="shared" si="6"/>
        <v>110.17628571428571</v>
      </c>
      <c r="R20" s="4">
        <f t="shared" si="7"/>
        <v>3487.6018357142857</v>
      </c>
      <c r="S20" s="23">
        <f t="shared" si="8"/>
        <v>24.867774759330896</v>
      </c>
      <c r="T20" s="22">
        <f t="shared" si="18"/>
        <v>0.17693581523007124</v>
      </c>
      <c r="U20" s="18">
        <f t="shared" si="19"/>
        <v>1.5924223370706412</v>
      </c>
      <c r="V20" s="2">
        <f t="shared" si="9"/>
        <v>0.2251910375655452</v>
      </c>
      <c r="W20" s="21">
        <f t="shared" si="10"/>
        <v>0.93902364797102089</v>
      </c>
      <c r="X20" s="21">
        <f t="shared" si="11"/>
        <v>3.5387163046014249</v>
      </c>
      <c r="Y20" s="21">
        <f t="shared" si="12"/>
        <v>10.616148913804274</v>
      </c>
      <c r="Z20" s="21">
        <f t="shared" si="13"/>
        <v>4.6180247775048597</v>
      </c>
      <c r="AA20" s="21">
        <f t="shared" si="14"/>
        <v>138.00993587945555</v>
      </c>
      <c r="AB20" s="2">
        <f t="shared" si="15"/>
        <v>6.4692157443494797E-2</v>
      </c>
      <c r="AC20" s="19">
        <f t="shared" si="16"/>
        <v>5.308074456902137</v>
      </c>
    </row>
    <row r="21" spans="1:29" x14ac:dyDescent="0.25">
      <c r="A21" s="38" t="s">
        <v>46</v>
      </c>
      <c r="B21" s="39">
        <v>1352.034085</v>
      </c>
      <c r="C21" s="39">
        <v>289.51479999999998</v>
      </c>
      <c r="D21" s="39">
        <v>101.978273</v>
      </c>
      <c r="E21" s="39">
        <v>357.82069999999999</v>
      </c>
      <c r="F21" s="39">
        <v>44.7</v>
      </c>
      <c r="G21" s="39">
        <v>0</v>
      </c>
      <c r="H21" s="39">
        <v>100</v>
      </c>
      <c r="I21" s="40">
        <f t="shared" si="17"/>
        <v>2246.0478579999999</v>
      </c>
      <c r="J21" s="39">
        <v>33.6</v>
      </c>
      <c r="K21" s="41">
        <f t="shared" si="0"/>
        <v>40561.022550000002</v>
      </c>
      <c r="L21" s="42">
        <f t="shared" si="1"/>
        <v>17370.887999999999</v>
      </c>
      <c r="M21" s="42">
        <f t="shared" si="2"/>
        <v>3059.3481900000002</v>
      </c>
      <c r="N21" s="42">
        <f t="shared" si="3"/>
        <v>7156.4139999999998</v>
      </c>
      <c r="O21" s="42">
        <f t="shared" si="4"/>
        <v>1341</v>
      </c>
      <c r="P21" s="42">
        <f t="shared" si="5"/>
        <v>0</v>
      </c>
      <c r="Q21" s="42">
        <f t="shared" si="6"/>
        <v>530.71428571428567</v>
      </c>
      <c r="R21" s="40">
        <f t="shared" si="7"/>
        <v>70019.387025714284</v>
      </c>
      <c r="S21" s="43">
        <f t="shared" si="8"/>
        <v>31.174485786809218</v>
      </c>
      <c r="T21" s="44">
        <f t="shared" si="18"/>
        <v>1.0778044657986656</v>
      </c>
      <c r="U21" s="45">
        <f t="shared" si="19"/>
        <v>9.7002401921879908</v>
      </c>
      <c r="V21" s="42">
        <f t="shared" si="9"/>
        <v>1.3717511382892107</v>
      </c>
      <c r="W21" s="46">
        <f t="shared" si="10"/>
        <v>5.7200622720600611</v>
      </c>
      <c r="X21" s="46">
        <f t="shared" si="11"/>
        <v>21.556089315973313</v>
      </c>
      <c r="Y21" s="46">
        <f t="shared" si="12"/>
        <v>64.668267947919944</v>
      </c>
      <c r="Z21" s="46">
        <f t="shared" si="13"/>
        <v>28.130696557345175</v>
      </c>
      <c r="AA21" s="46">
        <f t="shared" si="14"/>
        <v>840.68748332295922</v>
      </c>
      <c r="AB21" s="42">
        <f t="shared" si="15"/>
        <v>0.39407225780763716</v>
      </c>
      <c r="AC21" s="47">
        <f t="shared" si="16"/>
        <v>32.334133973959972</v>
      </c>
    </row>
    <row r="22" spans="1:29" x14ac:dyDescent="0.25">
      <c r="A22" s="38" t="s">
        <v>47</v>
      </c>
      <c r="B22" s="39">
        <v>1458.100825</v>
      </c>
      <c r="C22" s="39">
        <v>796.84173499999997</v>
      </c>
      <c r="D22" s="39">
        <v>666.67922399999998</v>
      </c>
      <c r="E22" s="39">
        <v>536.88616000000002</v>
      </c>
      <c r="F22" s="39">
        <v>53.9</v>
      </c>
      <c r="G22" s="39">
        <v>27.3</v>
      </c>
      <c r="H22" s="39">
        <v>176.57400000000001</v>
      </c>
      <c r="I22" s="40">
        <f t="shared" si="17"/>
        <v>3716.2819440000003</v>
      </c>
      <c r="J22" s="39">
        <v>157.5</v>
      </c>
      <c r="K22" s="41">
        <f t="shared" si="0"/>
        <v>43743.024749999997</v>
      </c>
      <c r="L22" s="42">
        <f t="shared" si="1"/>
        <v>47810.504099999998</v>
      </c>
      <c r="M22" s="42">
        <f t="shared" si="2"/>
        <v>20000.37672</v>
      </c>
      <c r="N22" s="42">
        <f t="shared" si="3"/>
        <v>10737.7232</v>
      </c>
      <c r="O22" s="42">
        <f t="shared" si="4"/>
        <v>1617</v>
      </c>
      <c r="P22" s="42">
        <f t="shared" si="5"/>
        <v>21294</v>
      </c>
      <c r="Q22" s="42">
        <f t="shared" si="6"/>
        <v>937.10344285714291</v>
      </c>
      <c r="R22" s="40">
        <f t="shared" si="7"/>
        <v>146139.73221285714</v>
      </c>
      <c r="S22" s="43">
        <f t="shared" si="8"/>
        <v>39.324177878592394</v>
      </c>
      <c r="T22" s="44">
        <f t="shared" si="18"/>
        <v>4.0051695546250974</v>
      </c>
      <c r="U22" s="45">
        <f t="shared" si="19"/>
        <v>36.046525991625877</v>
      </c>
      <c r="V22" s="42">
        <f t="shared" si="9"/>
        <v>5.0974885240683054</v>
      </c>
      <c r="W22" s="46">
        <f t="shared" si="10"/>
        <v>21.256006993474625</v>
      </c>
      <c r="X22" s="46">
        <f t="shared" si="11"/>
        <v>80.103391092501951</v>
      </c>
      <c r="Y22" s="46">
        <f t="shared" si="12"/>
        <v>240.31017327750584</v>
      </c>
      <c r="Z22" s="46">
        <f t="shared" si="13"/>
        <v>104.53492537571505</v>
      </c>
      <c r="AA22" s="46">
        <f t="shared" si="14"/>
        <v>3124.0322526075761</v>
      </c>
      <c r="AB22" s="42">
        <f t="shared" si="15"/>
        <v>1.4643901184098014</v>
      </c>
      <c r="AC22" s="47">
        <f t="shared" si="16"/>
        <v>120.15508663875292</v>
      </c>
    </row>
    <row r="23" spans="1:29" x14ac:dyDescent="0.25">
      <c r="A23" s="11" t="s">
        <v>48</v>
      </c>
      <c r="B23">
        <v>92.327489999999997</v>
      </c>
      <c r="C23">
        <v>37.907474999999998</v>
      </c>
      <c r="D23">
        <v>22.750154500000001</v>
      </c>
      <c r="E23">
        <v>7.1192200000000003</v>
      </c>
      <c r="F23">
        <v>0</v>
      </c>
      <c r="G23">
        <v>6.5137799999999996E-2</v>
      </c>
      <c r="H23">
        <v>3.4828000000000001</v>
      </c>
      <c r="I23" s="4">
        <f t="shared" si="17"/>
        <v>163.65227730000001</v>
      </c>
      <c r="J23" s="1">
        <v>20.8</v>
      </c>
      <c r="K23" s="12">
        <f t="shared" si="0"/>
        <v>2769.8247000000001</v>
      </c>
      <c r="L23" s="2">
        <f t="shared" si="1"/>
        <v>2274.4485</v>
      </c>
      <c r="M23" s="2">
        <f t="shared" si="2"/>
        <v>682.50463500000001</v>
      </c>
      <c r="N23" s="2">
        <f t="shared" si="3"/>
        <v>142.3844</v>
      </c>
      <c r="O23" s="2">
        <f t="shared" si="4"/>
        <v>0</v>
      </c>
      <c r="P23" s="2">
        <f t="shared" si="5"/>
        <v>50.807483999999995</v>
      </c>
      <c r="Q23" s="2">
        <f t="shared" si="6"/>
        <v>18.483717142857142</v>
      </c>
      <c r="R23" s="4">
        <f t="shared" si="7"/>
        <v>5938.4534361428568</v>
      </c>
      <c r="S23" s="23">
        <f t="shared" si="8"/>
        <v>36.287019857699569</v>
      </c>
      <c r="T23" s="22">
        <f t="shared" si="18"/>
        <v>0.57320772225351402</v>
      </c>
      <c r="U23" s="18">
        <f t="shared" si="19"/>
        <v>5.1588695002816261</v>
      </c>
      <c r="V23" s="2">
        <f t="shared" si="9"/>
        <v>0.72953710104992697</v>
      </c>
      <c r="W23" s="21">
        <f t="shared" si="10"/>
        <v>3.0420952688168637</v>
      </c>
      <c r="X23" s="21">
        <f t="shared" si="11"/>
        <v>11.46415444507028</v>
      </c>
      <c r="Y23" s="21">
        <f t="shared" si="12"/>
        <v>34.392463335210842</v>
      </c>
      <c r="Z23" s="21">
        <f t="shared" si="13"/>
        <v>14.960721550816716</v>
      </c>
      <c r="AA23" s="21">
        <f t="shared" si="14"/>
        <v>447.10202335774096</v>
      </c>
      <c r="AB23" s="2">
        <f t="shared" si="15"/>
        <v>0.20957907344894108</v>
      </c>
      <c r="AC23" s="19">
        <f t="shared" si="16"/>
        <v>17.196231667605421</v>
      </c>
    </row>
    <row r="24" spans="1:29" x14ac:dyDescent="0.25">
      <c r="A24" s="11" t="s">
        <v>49</v>
      </c>
      <c r="B24">
        <v>156.17052000000001</v>
      </c>
      <c r="C24">
        <v>69.040364999999994</v>
      </c>
      <c r="D24">
        <v>55.043541500000003</v>
      </c>
      <c r="E24">
        <v>10.46001</v>
      </c>
      <c r="F24">
        <v>4.3929999999999998</v>
      </c>
      <c r="G24">
        <v>3.2520599999999997E-2</v>
      </c>
      <c r="H24">
        <v>5.0007999999999999</v>
      </c>
      <c r="I24" s="4">
        <f t="shared" si="17"/>
        <v>300.14075710000003</v>
      </c>
      <c r="J24" s="1">
        <v>48.2</v>
      </c>
      <c r="K24" s="12">
        <f t="shared" si="0"/>
        <v>4685.1156000000001</v>
      </c>
      <c r="L24" s="2">
        <f t="shared" si="1"/>
        <v>4142.4218999999994</v>
      </c>
      <c r="M24" s="2">
        <f t="shared" si="2"/>
        <v>1651.3062450000002</v>
      </c>
      <c r="N24" s="2">
        <f t="shared" si="3"/>
        <v>209.2002</v>
      </c>
      <c r="O24" s="2">
        <f t="shared" si="4"/>
        <v>131.79</v>
      </c>
      <c r="P24" s="2">
        <f t="shared" si="5"/>
        <v>25.366067999999999</v>
      </c>
      <c r="Q24" s="2">
        <f t="shared" si="6"/>
        <v>26.539959999999997</v>
      </c>
      <c r="R24" s="4">
        <f t="shared" si="7"/>
        <v>10871.739972999998</v>
      </c>
      <c r="S24" s="23">
        <f t="shared" si="8"/>
        <v>36.222138166253053</v>
      </c>
      <c r="T24" s="22">
        <f t="shared" si="18"/>
        <v>1.3306779345485</v>
      </c>
      <c r="U24" s="18">
        <f t="shared" si="19"/>
        <v>11.976101410936501</v>
      </c>
      <c r="V24" s="2">
        <f t="shared" si="9"/>
        <v>1.6935900985162728</v>
      </c>
      <c r="W24" s="21">
        <f t="shared" si="10"/>
        <v>7.0620978954966818</v>
      </c>
      <c r="X24" s="21">
        <f t="shared" si="11"/>
        <v>26.613558690970002</v>
      </c>
      <c r="Y24" s="21">
        <f t="shared" si="12"/>
        <v>79.84067607291</v>
      </c>
      <c r="Z24" s="21">
        <f t="shared" si="13"/>
        <v>34.730694091715854</v>
      </c>
      <c r="AA24" s="21">
        <f t="shared" si="14"/>
        <v>1037.9287889478301</v>
      </c>
      <c r="AB24" s="2">
        <f t="shared" si="15"/>
        <v>0.48652911981929536</v>
      </c>
      <c r="AC24" s="19">
        <f t="shared" si="16"/>
        <v>39.920338036455</v>
      </c>
    </row>
    <row r="25" spans="1:29" x14ac:dyDescent="0.25">
      <c r="A25" s="11" t="s">
        <v>50</v>
      </c>
      <c r="B25">
        <v>41.906390000000002</v>
      </c>
      <c r="C25">
        <v>8.6924550000000007</v>
      </c>
      <c r="D25">
        <v>0.37129899999999999</v>
      </c>
      <c r="E25">
        <v>8.6739999999999998E-2</v>
      </c>
      <c r="F25">
        <v>0</v>
      </c>
      <c r="G25">
        <v>0</v>
      </c>
      <c r="H25">
        <v>0</v>
      </c>
      <c r="I25" s="4">
        <f t="shared" si="17"/>
        <v>51.056884000000004</v>
      </c>
      <c r="J25" s="1">
        <v>25.1</v>
      </c>
      <c r="K25" s="12">
        <f t="shared" si="0"/>
        <v>1257.1917000000001</v>
      </c>
      <c r="L25" s="2">
        <f t="shared" si="1"/>
        <v>521.54730000000006</v>
      </c>
      <c r="M25" s="2">
        <f t="shared" si="2"/>
        <v>11.13897</v>
      </c>
      <c r="N25" s="2">
        <f t="shared" si="3"/>
        <v>1.7347999999999999</v>
      </c>
      <c r="O25" s="2">
        <f t="shared" si="4"/>
        <v>0</v>
      </c>
      <c r="P25" s="2">
        <f t="shared" si="5"/>
        <v>0</v>
      </c>
      <c r="Q25" s="2">
        <f t="shared" si="6"/>
        <v>0</v>
      </c>
      <c r="R25" s="4">
        <f t="shared" si="7"/>
        <v>1791.61277</v>
      </c>
      <c r="S25" s="23">
        <f t="shared" si="8"/>
        <v>35.090523150609812</v>
      </c>
      <c r="T25" s="22">
        <f t="shared" si="18"/>
        <v>0.71529284109757729</v>
      </c>
      <c r="U25" s="18">
        <f t="shared" si="19"/>
        <v>6.4376355698781955</v>
      </c>
      <c r="V25" s="2">
        <f t="shared" si="9"/>
        <v>0.91037270685146199</v>
      </c>
      <c r="W25" s="21">
        <f t="shared" si="10"/>
        <v>3.7961612923964281</v>
      </c>
      <c r="X25" s="21">
        <f t="shared" si="11"/>
        <v>14.305856821951545</v>
      </c>
      <c r="Y25" s="21">
        <f t="shared" si="12"/>
        <v>42.917570465854638</v>
      </c>
      <c r="Z25" s="21">
        <f t="shared" si="13"/>
        <v>18.669143152646768</v>
      </c>
      <c r="AA25" s="21">
        <f t="shared" si="14"/>
        <v>557.92841605611034</v>
      </c>
      <c r="AB25" s="2">
        <f t="shared" si="15"/>
        <v>0.2615289450263017</v>
      </c>
      <c r="AC25" s="19">
        <f t="shared" si="16"/>
        <v>21.458785232927319</v>
      </c>
    </row>
    <row r="26" spans="1:29" x14ac:dyDescent="0.25">
      <c r="A26" s="11" t="s">
        <v>51</v>
      </c>
      <c r="B26">
        <v>4.48095</v>
      </c>
      <c r="C26">
        <v>4.1940499999999998</v>
      </c>
      <c r="D26">
        <v>2.7132900000000002</v>
      </c>
      <c r="E26">
        <v>1.200855</v>
      </c>
      <c r="F26">
        <v>0</v>
      </c>
      <c r="G26">
        <v>8.0054799999999995E-2</v>
      </c>
      <c r="H26">
        <v>2.6472000000000002</v>
      </c>
      <c r="I26" s="4">
        <f t="shared" si="17"/>
        <v>15.316399800000001</v>
      </c>
      <c r="J26" s="1">
        <v>74.2</v>
      </c>
      <c r="K26" s="12">
        <f t="shared" si="0"/>
        <v>134.42849999999999</v>
      </c>
      <c r="L26" s="2">
        <f t="shared" si="1"/>
        <v>251.643</v>
      </c>
      <c r="M26" s="2">
        <f t="shared" si="2"/>
        <v>81.398700000000005</v>
      </c>
      <c r="N26" s="2">
        <f t="shared" si="3"/>
        <v>24.017099999999999</v>
      </c>
      <c r="O26" s="2">
        <f t="shared" si="4"/>
        <v>0</v>
      </c>
      <c r="P26" s="2">
        <f t="shared" si="5"/>
        <v>62.442743999999998</v>
      </c>
      <c r="Q26" s="2">
        <f t="shared" si="6"/>
        <v>14.049068571428572</v>
      </c>
      <c r="R26" s="4">
        <f t="shared" si="7"/>
        <v>567.97911257142857</v>
      </c>
      <c r="S26" s="23">
        <f t="shared" si="8"/>
        <v>37.083069127735129</v>
      </c>
      <c r="T26" s="22">
        <f t="shared" si="18"/>
        <v>2.0009131322009273</v>
      </c>
      <c r="U26" s="18">
        <f t="shared" si="19"/>
        <v>18.008218189808346</v>
      </c>
      <c r="V26" s="2">
        <f t="shared" si="9"/>
        <v>2.5466167137102711</v>
      </c>
      <c r="W26" s="21">
        <f t="shared" si="10"/>
        <v>10.619131837323492</v>
      </c>
      <c r="X26" s="21">
        <f t="shared" si="11"/>
        <v>40.018262644018549</v>
      </c>
      <c r="Y26" s="21">
        <f t="shared" si="12"/>
        <v>120.05478793205563</v>
      </c>
      <c r="Z26" s="21">
        <f t="shared" si="13"/>
        <v>52.223832750444203</v>
      </c>
      <c r="AA26" s="21">
        <f t="shared" si="14"/>
        <v>1560.7122431167234</v>
      </c>
      <c r="AB26" s="2">
        <f t="shared" si="15"/>
        <v>0.73158386396096409</v>
      </c>
      <c r="AC26" s="19">
        <f t="shared" si="16"/>
        <v>60.027393966027816</v>
      </c>
    </row>
    <row r="27" spans="1:29" x14ac:dyDescent="0.25">
      <c r="A27" s="38" t="s">
        <v>52</v>
      </c>
      <c r="B27" s="39">
        <v>1015.244535</v>
      </c>
      <c r="C27" s="39">
        <v>1562.097485</v>
      </c>
      <c r="D27" s="39">
        <v>330.87391300000002</v>
      </c>
      <c r="E27" s="39">
        <v>72.049840000000003</v>
      </c>
      <c r="F27" s="39">
        <v>5.65</v>
      </c>
      <c r="G27" s="39">
        <v>0.42059639999999998</v>
      </c>
      <c r="H27" s="39">
        <v>39.040799999999997</v>
      </c>
      <c r="I27" s="40">
        <f t="shared" si="17"/>
        <v>3025.3771694000002</v>
      </c>
      <c r="J27" s="39">
        <v>37</v>
      </c>
      <c r="K27" s="41">
        <f t="shared" si="0"/>
        <v>30457.336050000002</v>
      </c>
      <c r="L27" s="42">
        <f t="shared" si="1"/>
        <v>93725.849100000007</v>
      </c>
      <c r="M27" s="42">
        <f t="shared" si="2"/>
        <v>9926.2173899999998</v>
      </c>
      <c r="N27" s="42">
        <f t="shared" si="3"/>
        <v>1440.9968000000001</v>
      </c>
      <c r="O27" s="42">
        <f t="shared" si="4"/>
        <v>169.5</v>
      </c>
      <c r="P27" s="42">
        <f t="shared" si="5"/>
        <v>328.06519199999997</v>
      </c>
      <c r="Q27" s="42">
        <f t="shared" si="6"/>
        <v>207.19510285714284</v>
      </c>
      <c r="R27" s="40">
        <f t="shared" si="7"/>
        <v>136255.15963485715</v>
      </c>
      <c r="S27" s="43">
        <f t="shared" si="8"/>
        <v>45.037412529254851</v>
      </c>
      <c r="T27" s="44">
        <f t="shared" si="18"/>
        <v>0.82153920312287021</v>
      </c>
      <c r="U27" s="45">
        <f t="shared" si="19"/>
        <v>7.3938528281058318</v>
      </c>
      <c r="V27" s="42">
        <f t="shared" si="9"/>
        <v>1.0455953494291075</v>
      </c>
      <c r="W27" s="46">
        <f t="shared" si="10"/>
        <v>4.3600259137163757</v>
      </c>
      <c r="X27" s="46">
        <f t="shared" si="11"/>
        <v>16.430784062457406</v>
      </c>
      <c r="Y27" s="46">
        <f t="shared" si="12"/>
        <v>49.292352187372209</v>
      </c>
      <c r="Z27" s="46">
        <f t="shared" si="13"/>
        <v>21.442173201506915</v>
      </c>
      <c r="AA27" s="46">
        <f t="shared" si="14"/>
        <v>640.80057843583882</v>
      </c>
      <c r="AB27" s="42">
        <f t="shared" si="15"/>
        <v>0.30037527114179946</v>
      </c>
      <c r="AC27" s="47">
        <f t="shared" si="16"/>
        <v>24.646176093686105</v>
      </c>
    </row>
    <row r="28" spans="1:29" x14ac:dyDescent="0.25">
      <c r="A28" s="11" t="s">
        <v>53</v>
      </c>
      <c r="B28">
        <v>219.85849999999999</v>
      </c>
      <c r="C28">
        <v>115.629655</v>
      </c>
      <c r="D28">
        <v>73.581804000000005</v>
      </c>
      <c r="E28">
        <v>93.453289999999996</v>
      </c>
      <c r="F28">
        <v>1645.6010000000001</v>
      </c>
      <c r="G28">
        <v>0</v>
      </c>
      <c r="H28">
        <v>50</v>
      </c>
      <c r="I28" s="4">
        <f t="shared" si="17"/>
        <v>2198.124249</v>
      </c>
      <c r="J28" s="1">
        <v>2.1</v>
      </c>
      <c r="K28" s="12">
        <f t="shared" si="0"/>
        <v>6595.7550000000001</v>
      </c>
      <c r="L28" s="2">
        <f t="shared" si="1"/>
        <v>6937.7793000000001</v>
      </c>
      <c r="M28" s="2">
        <f t="shared" si="2"/>
        <v>2207.4541200000003</v>
      </c>
      <c r="N28" s="2">
        <f t="shared" si="3"/>
        <v>1869.0657999999999</v>
      </c>
      <c r="O28" s="2">
        <f t="shared" si="4"/>
        <v>49368.030000000006</v>
      </c>
      <c r="P28" s="2">
        <f t="shared" si="5"/>
        <v>0</v>
      </c>
      <c r="Q28" s="2">
        <f t="shared" si="6"/>
        <v>265.35714285714283</v>
      </c>
      <c r="R28" s="4">
        <f t="shared" si="7"/>
        <v>67243.441362857149</v>
      </c>
      <c r="S28" s="23">
        <f t="shared" si="8"/>
        <v>30.591283178577569</v>
      </c>
      <c r="T28" s="22">
        <f t="shared" si="18"/>
        <v>6.86470060030233E-2</v>
      </c>
      <c r="U28" s="18">
        <f t="shared" si="19"/>
        <v>0.61782305402720972</v>
      </c>
      <c r="V28" s="2">
        <f t="shared" si="9"/>
        <v>8.7368916731120558E-2</v>
      </c>
      <c r="W28" s="21">
        <f t="shared" si="10"/>
        <v>0.36431946757318795</v>
      </c>
      <c r="X28" s="21">
        <f t="shared" si="11"/>
        <v>1.3729401200604661</v>
      </c>
      <c r="Y28" s="21">
        <f t="shared" si="12"/>
        <v>4.118820360181398</v>
      </c>
      <c r="Z28" s="21">
        <f t="shared" si="13"/>
        <v>1.7916868566789081</v>
      </c>
      <c r="AA28" s="21">
        <f t="shared" si="14"/>
        <v>53.544664682358174</v>
      </c>
      <c r="AB28" s="2">
        <f t="shared" si="15"/>
        <v>2.5099061569855398E-2</v>
      </c>
      <c r="AC28" s="19">
        <f t="shared" si="16"/>
        <v>2.059410180090699</v>
      </c>
    </row>
    <row r="29" spans="1:29" x14ac:dyDescent="0.25">
      <c r="A29" s="38" t="s">
        <v>54</v>
      </c>
      <c r="B29" s="39">
        <v>1479.9223300000001</v>
      </c>
      <c r="C29" s="39">
        <v>1203.1009100000001</v>
      </c>
      <c r="D29" s="39">
        <v>1411.490548</v>
      </c>
      <c r="E29" s="39">
        <v>21.241605</v>
      </c>
      <c r="F29" s="39">
        <v>45.417827899999999</v>
      </c>
      <c r="G29" s="39">
        <v>2.0425118000000002</v>
      </c>
      <c r="H29" s="39">
        <v>114.5008</v>
      </c>
      <c r="I29" s="40">
        <f t="shared" si="17"/>
        <v>4277.7165327000002</v>
      </c>
      <c r="J29" s="39">
        <v>196</v>
      </c>
      <c r="K29" s="41">
        <f t="shared" si="0"/>
        <v>44397.669900000001</v>
      </c>
      <c r="L29" s="42">
        <f t="shared" si="1"/>
        <v>72186.054600000003</v>
      </c>
      <c r="M29" s="42">
        <f t="shared" si="2"/>
        <v>42344.716439999997</v>
      </c>
      <c r="N29" s="42">
        <f t="shared" si="3"/>
        <v>424.83209999999997</v>
      </c>
      <c r="O29" s="42">
        <f t="shared" si="4"/>
        <v>1362.5348369999999</v>
      </c>
      <c r="P29" s="42">
        <f t="shared" si="5"/>
        <v>1593.1592040000003</v>
      </c>
      <c r="Q29" s="42">
        <f t="shared" si="6"/>
        <v>607.67210285714282</v>
      </c>
      <c r="R29" s="40">
        <f t="shared" si="7"/>
        <v>162916.63918385716</v>
      </c>
      <c r="S29" s="43">
        <f t="shared" si="8"/>
        <v>38.084954423342253</v>
      </c>
      <c r="T29" s="44">
        <f t="shared" si="18"/>
        <v>5.1463892491852814</v>
      </c>
      <c r="U29" s="45">
        <f t="shared" si="19"/>
        <v>46.317503242667534</v>
      </c>
      <c r="V29" s="42">
        <f t="shared" si="9"/>
        <v>6.5499499535085395</v>
      </c>
      <c r="W29" s="46">
        <f t="shared" si="10"/>
        <v>27.312622943890457</v>
      </c>
      <c r="X29" s="46">
        <f t="shared" si="11"/>
        <v>102.92778498370564</v>
      </c>
      <c r="Y29" s="46">
        <f t="shared" si="12"/>
        <v>308.78335495111691</v>
      </c>
      <c r="Z29" s="46">
        <f t="shared" si="13"/>
        <v>134.32075940373585</v>
      </c>
      <c r="AA29" s="46">
        <f t="shared" si="14"/>
        <v>4014.1836143645196</v>
      </c>
      <c r="AB29" s="42">
        <f t="shared" si="15"/>
        <v>1.8816485692333687</v>
      </c>
      <c r="AC29" s="47">
        <f t="shared" si="16"/>
        <v>154.39167747555845</v>
      </c>
    </row>
    <row r="30" spans="1:29" x14ac:dyDescent="0.25">
      <c r="A30" s="11" t="s">
        <v>55</v>
      </c>
      <c r="B30">
        <v>215.86696000000001</v>
      </c>
      <c r="C30">
        <v>365.65250500000002</v>
      </c>
      <c r="D30">
        <v>244.20058499999999</v>
      </c>
      <c r="E30">
        <v>179.38082</v>
      </c>
      <c r="F30">
        <v>17</v>
      </c>
      <c r="G30">
        <v>4.2929165999999999</v>
      </c>
      <c r="H30">
        <v>36</v>
      </c>
      <c r="I30" s="4">
        <f t="shared" si="17"/>
        <v>1062.3937866000001</v>
      </c>
      <c r="J30" s="1">
        <v>77.099999999999994</v>
      </c>
      <c r="K30" s="12">
        <f t="shared" si="0"/>
        <v>6476.0088000000005</v>
      </c>
      <c r="L30" s="2">
        <f t="shared" si="1"/>
        <v>21939.150300000001</v>
      </c>
      <c r="M30" s="2">
        <f t="shared" si="2"/>
        <v>7326.0175499999996</v>
      </c>
      <c r="N30" s="2">
        <f t="shared" si="3"/>
        <v>3587.6163999999999</v>
      </c>
      <c r="O30" s="2">
        <f t="shared" si="4"/>
        <v>510</v>
      </c>
      <c r="P30" s="2">
        <f t="shared" si="5"/>
        <v>3348.474948</v>
      </c>
      <c r="Q30" s="2">
        <f t="shared" si="6"/>
        <v>191.05714285714285</v>
      </c>
      <c r="R30" s="4">
        <f t="shared" si="7"/>
        <v>43378.325140857145</v>
      </c>
      <c r="S30" s="23">
        <f t="shared" si="8"/>
        <v>40.830740623664283</v>
      </c>
      <c r="T30" s="22">
        <f t="shared" si="18"/>
        <v>1.8882831617145619</v>
      </c>
      <c r="U30" s="18">
        <f t="shared" si="19"/>
        <v>16.994548455431058</v>
      </c>
      <c r="V30" s="21">
        <f t="shared" si="9"/>
        <v>2.403269478545806</v>
      </c>
      <c r="W30" s="21">
        <f t="shared" si="10"/>
        <v>10.021388493956568</v>
      </c>
      <c r="X30" s="21">
        <f t="shared" si="11"/>
        <v>37.765663234291239</v>
      </c>
      <c r="Y30" s="21">
        <f t="shared" si="12"/>
        <v>113.29698970287372</v>
      </c>
      <c r="Z30" s="21">
        <f t="shared" si="13"/>
        <v>49.284190520750066</v>
      </c>
      <c r="AA30" s="21">
        <f t="shared" si="14"/>
        <v>1472.8608661373582</v>
      </c>
      <c r="AB30" s="2">
        <f t="shared" si="15"/>
        <v>0.69040353100188678</v>
      </c>
      <c r="AC30" s="19">
        <f t="shared" si="16"/>
        <v>56.648494851436858</v>
      </c>
    </row>
    <row r="31" spans="1:29" x14ac:dyDescent="0.25">
      <c r="A31" s="11" t="s">
        <v>56</v>
      </c>
      <c r="B31">
        <v>662.73291500000005</v>
      </c>
      <c r="C31">
        <v>659.19987000000003</v>
      </c>
      <c r="D31">
        <v>517.05558299999996</v>
      </c>
      <c r="E31">
        <v>868.05001000000004</v>
      </c>
      <c r="F31">
        <v>6.8940000000000001</v>
      </c>
      <c r="G31">
        <v>4.9994000000000002E-3</v>
      </c>
      <c r="H31">
        <v>80.463200000000001</v>
      </c>
      <c r="I31" s="4">
        <f t="shared" si="17"/>
        <v>2794.4005773999997</v>
      </c>
      <c r="J31" s="1">
        <v>48.8</v>
      </c>
      <c r="K31" s="12">
        <f t="shared" si="0"/>
        <v>19881.987450000001</v>
      </c>
      <c r="L31" s="2">
        <f t="shared" si="1"/>
        <v>39551.992200000001</v>
      </c>
      <c r="M31" s="2">
        <f t="shared" si="2"/>
        <v>15511.667489999998</v>
      </c>
      <c r="N31" s="2">
        <f t="shared" si="3"/>
        <v>17361.000200000002</v>
      </c>
      <c r="O31" s="2">
        <f t="shared" si="4"/>
        <v>206.82</v>
      </c>
      <c r="P31" s="2">
        <f t="shared" si="5"/>
        <v>3.8995320000000002</v>
      </c>
      <c r="Q31" s="2">
        <f t="shared" si="6"/>
        <v>427.02969714285712</v>
      </c>
      <c r="R31" s="4">
        <f t="shared" si="7"/>
        <v>92944.39656914286</v>
      </c>
      <c r="S31" s="23">
        <f t="shared" si="8"/>
        <v>33.260942371984953</v>
      </c>
      <c r="T31" s="22">
        <f t="shared" si="18"/>
        <v>1.4671863308690642</v>
      </c>
      <c r="U31" s="18">
        <f t="shared" si="19"/>
        <v>13.204676977821578</v>
      </c>
      <c r="V31" s="21">
        <f t="shared" si="9"/>
        <v>1.8673280574697182</v>
      </c>
      <c r="W31" s="21">
        <f t="shared" si="10"/>
        <v>7.7865674559693909</v>
      </c>
      <c r="X31" s="21">
        <f t="shared" si="11"/>
        <v>29.343726617381286</v>
      </c>
      <c r="Y31" s="21">
        <f t="shared" si="12"/>
        <v>88.03117985214385</v>
      </c>
      <c r="Z31" s="21">
        <f t="shared" si="13"/>
        <v>38.293563235682576</v>
      </c>
      <c r="AA31" s="21">
        <f t="shared" si="14"/>
        <v>1144.4053380778701</v>
      </c>
      <c r="AB31" s="2">
        <f t="shared" si="15"/>
        <v>0.53644000222400168</v>
      </c>
      <c r="AC31" s="19">
        <f t="shared" si="16"/>
        <v>44.015589926071925</v>
      </c>
    </row>
    <row r="32" spans="1:29" x14ac:dyDescent="0.25">
      <c r="A32" s="11" t="s">
        <v>57</v>
      </c>
      <c r="B32">
        <v>82.151615000000007</v>
      </c>
      <c r="C32">
        <v>50.321019999999997</v>
      </c>
      <c r="D32">
        <v>54.903188499999999</v>
      </c>
      <c r="E32">
        <v>28.138539999999999</v>
      </c>
      <c r="F32">
        <v>1.819078</v>
      </c>
      <c r="G32">
        <v>0.1965712</v>
      </c>
      <c r="H32">
        <v>6.4016000000000002</v>
      </c>
      <c r="I32" s="4">
        <f t="shared" si="17"/>
        <v>223.93161269999999</v>
      </c>
      <c r="J32" s="1">
        <v>41.1</v>
      </c>
      <c r="K32" s="12">
        <f t="shared" si="0"/>
        <v>2464.5484500000002</v>
      </c>
      <c r="L32" s="2">
        <f t="shared" si="1"/>
        <v>3019.2611999999999</v>
      </c>
      <c r="M32" s="2">
        <f t="shared" si="2"/>
        <v>1647.0956550000001</v>
      </c>
      <c r="N32" s="2">
        <f t="shared" si="3"/>
        <v>562.77080000000001</v>
      </c>
      <c r="O32" s="2">
        <f t="shared" si="4"/>
        <v>54.572339999999997</v>
      </c>
      <c r="P32" s="2">
        <f t="shared" si="5"/>
        <v>153.325536</v>
      </c>
      <c r="Q32" s="2">
        <f t="shared" si="6"/>
        <v>33.974205714285716</v>
      </c>
      <c r="R32" s="4">
        <f t="shared" si="7"/>
        <v>7935.5481867142862</v>
      </c>
      <c r="S32" s="23">
        <f t="shared" si="8"/>
        <v>35.437373450909313</v>
      </c>
      <c r="T32" s="22">
        <f t="shared" si="18"/>
        <v>1.1597925014655788</v>
      </c>
      <c r="U32" s="18">
        <f t="shared" si="19"/>
        <v>10.438132513190208</v>
      </c>
      <c r="V32" s="21">
        <f t="shared" si="9"/>
        <v>1.4760995473198275</v>
      </c>
      <c r="W32" s="21">
        <f t="shared" si="10"/>
        <v>6.1551844899208925</v>
      </c>
      <c r="X32" s="21">
        <f t="shared" si="11"/>
        <v>23.195850029311575</v>
      </c>
      <c r="Y32" s="21">
        <f t="shared" si="12"/>
        <v>69.58755008793473</v>
      </c>
      <c r="Z32" s="21">
        <f t="shared" si="13"/>
        <v>30.270584288251609</v>
      </c>
      <c r="AA32" s="21">
        <f t="shared" si="14"/>
        <v>904.63815114315139</v>
      </c>
      <c r="AB32" s="2">
        <f t="shared" si="15"/>
        <v>0.42404913334835226</v>
      </c>
      <c r="AC32" s="19">
        <f t="shared" si="16"/>
        <v>34.793775043967365</v>
      </c>
    </row>
    <row r="33" spans="1:29" x14ac:dyDescent="0.25">
      <c r="A33" s="11" t="s">
        <v>58</v>
      </c>
      <c r="B33">
        <v>96.769019999999998</v>
      </c>
      <c r="C33">
        <v>18.280374999999999</v>
      </c>
      <c r="D33">
        <v>44.986854000000001</v>
      </c>
      <c r="E33">
        <v>9.7938650000000003</v>
      </c>
      <c r="F33">
        <v>1.6919999999999999</v>
      </c>
      <c r="G33">
        <v>5.8044000000000004E-3</v>
      </c>
      <c r="H33">
        <v>10.888</v>
      </c>
      <c r="I33" s="4">
        <f t="shared" si="17"/>
        <v>182.41591840000001</v>
      </c>
      <c r="J33" s="1">
        <v>25.7</v>
      </c>
      <c r="K33" s="12">
        <f t="shared" si="0"/>
        <v>2903.0706</v>
      </c>
      <c r="L33" s="2">
        <f t="shared" si="1"/>
        <v>1096.8225</v>
      </c>
      <c r="M33" s="2">
        <f t="shared" si="2"/>
        <v>1349.60562</v>
      </c>
      <c r="N33" s="2">
        <f t="shared" si="3"/>
        <v>195.87729999999999</v>
      </c>
      <c r="O33" s="2">
        <f t="shared" si="4"/>
        <v>50.76</v>
      </c>
      <c r="P33" s="2">
        <f t="shared" si="5"/>
        <v>4.5274320000000001</v>
      </c>
      <c r="Q33" s="2">
        <f t="shared" si="6"/>
        <v>57.784171428571426</v>
      </c>
      <c r="R33" s="4">
        <f t="shared" si="7"/>
        <v>5658.4476234285721</v>
      </c>
      <c r="S33" s="23">
        <f t="shared" si="8"/>
        <v>31.019483787707486</v>
      </c>
      <c r="T33" s="22">
        <f t="shared" si="18"/>
        <v>0.82851153087803764</v>
      </c>
      <c r="U33" s="18">
        <f t="shared" si="19"/>
        <v>7.4566037779023384</v>
      </c>
      <c r="V33" s="21">
        <f t="shared" si="9"/>
        <v>1.0544692211175024</v>
      </c>
      <c r="W33" s="21">
        <f t="shared" si="10"/>
        <v>4.397029053159871</v>
      </c>
      <c r="X33" s="21">
        <f t="shared" si="11"/>
        <v>16.570230617560753</v>
      </c>
      <c r="Y33" s="21">
        <f t="shared" si="12"/>
        <v>49.71069185268226</v>
      </c>
      <c r="Z33" s="21">
        <f t="shared" si="13"/>
        <v>21.624150955916782</v>
      </c>
      <c r="AA33" s="21">
        <f t="shared" si="14"/>
        <v>646.23899408486932</v>
      </c>
      <c r="AB33" s="2">
        <f t="shared" si="15"/>
        <v>0.30292452847728252</v>
      </c>
      <c r="AC33" s="19">
        <f t="shared" si="16"/>
        <v>24.85534592634113</v>
      </c>
    </row>
    <row r="34" spans="1:29" x14ac:dyDescent="0.25">
      <c r="A34" s="38" t="s">
        <v>59</v>
      </c>
      <c r="B34" s="39">
        <v>1011.937995</v>
      </c>
      <c r="C34" s="39">
        <v>4270.2509099999997</v>
      </c>
      <c r="D34" s="39">
        <v>880.21718899999996</v>
      </c>
      <c r="E34" s="39">
        <v>1298.2682500000001</v>
      </c>
      <c r="F34" s="39">
        <v>301.72300000000001</v>
      </c>
      <c r="G34" s="39">
        <v>46.9</v>
      </c>
      <c r="H34" s="39">
        <v>253.9924</v>
      </c>
      <c r="I34" s="40">
        <f t="shared" si="17"/>
        <v>8063.2897439999997</v>
      </c>
      <c r="J34" s="39">
        <v>127.4</v>
      </c>
      <c r="K34" s="41">
        <f t="shared" si="0"/>
        <v>30358.13985</v>
      </c>
      <c r="L34" s="42">
        <f t="shared" si="1"/>
        <v>256215.05459999997</v>
      </c>
      <c r="M34" s="42">
        <f t="shared" si="2"/>
        <v>26406.515670000001</v>
      </c>
      <c r="N34" s="42">
        <f t="shared" si="3"/>
        <v>25965.365000000002</v>
      </c>
      <c r="O34" s="42">
        <f t="shared" si="4"/>
        <v>9051.69</v>
      </c>
      <c r="P34" s="42">
        <f t="shared" si="5"/>
        <v>36582</v>
      </c>
      <c r="Q34" s="42">
        <f t="shared" si="6"/>
        <v>1347.9739514285714</v>
      </c>
      <c r="R34" s="40">
        <f t="shared" si="7"/>
        <v>385926.73907142848</v>
      </c>
      <c r="S34" s="43">
        <f t="shared" si="8"/>
        <v>47.862194132190481</v>
      </c>
      <c r="T34" s="44">
        <f t="shared" si="18"/>
        <v>2.6618086009206818</v>
      </c>
      <c r="U34" s="45">
        <f t="shared" si="19"/>
        <v>23.956277408286137</v>
      </c>
      <c r="V34" s="46">
        <f t="shared" si="9"/>
        <v>3.3877564011717767</v>
      </c>
      <c r="W34" s="46">
        <f t="shared" si="10"/>
        <v>14.126598503457618</v>
      </c>
      <c r="X34" s="46">
        <f t="shared" si="11"/>
        <v>53.23617201841364</v>
      </c>
      <c r="Y34" s="46">
        <f t="shared" si="12"/>
        <v>159.70851605524092</v>
      </c>
      <c r="Z34" s="46">
        <f t="shared" si="13"/>
        <v>69.473204484029793</v>
      </c>
      <c r="AA34" s="46">
        <f t="shared" si="14"/>
        <v>2076.2107087181316</v>
      </c>
      <c r="AB34" s="42">
        <f t="shared" si="15"/>
        <v>0.97322376971162439</v>
      </c>
      <c r="AC34" s="47">
        <f t="shared" si="16"/>
        <v>79.85425802762046</v>
      </c>
    </row>
    <row r="35" spans="1:29" x14ac:dyDescent="0.25">
      <c r="A35" s="38" t="s">
        <v>60</v>
      </c>
      <c r="B35" s="39">
        <v>283.62878999999998</v>
      </c>
      <c r="C35" s="39">
        <v>203.85541000000001</v>
      </c>
      <c r="D35" s="39">
        <v>116.316345</v>
      </c>
      <c r="E35" s="39">
        <v>30.220904999999998</v>
      </c>
      <c r="F35" s="39">
        <v>11.884</v>
      </c>
      <c r="G35" s="39">
        <v>0</v>
      </c>
      <c r="H35" s="39">
        <v>142.19999999999999</v>
      </c>
      <c r="I35" s="40">
        <f t="shared" si="17"/>
        <v>788.10545000000002</v>
      </c>
      <c r="J35" s="39">
        <v>10.6</v>
      </c>
      <c r="K35" s="41">
        <f t="shared" si="0"/>
        <v>8508.8636999999999</v>
      </c>
      <c r="L35" s="42">
        <f t="shared" si="1"/>
        <v>12231.3246</v>
      </c>
      <c r="M35" s="42">
        <f t="shared" si="2"/>
        <v>3489.49035</v>
      </c>
      <c r="N35" s="42">
        <f t="shared" si="3"/>
        <v>604.41809999999998</v>
      </c>
      <c r="O35" s="42">
        <f t="shared" si="4"/>
        <v>356.52</v>
      </c>
      <c r="P35" s="42">
        <f t="shared" si="5"/>
        <v>0</v>
      </c>
      <c r="Q35" s="42">
        <f t="shared" si="6"/>
        <v>754.67571428571421</v>
      </c>
      <c r="R35" s="40">
        <f t="shared" si="7"/>
        <v>25945.292464285714</v>
      </c>
      <c r="S35" s="43">
        <f t="shared" si="8"/>
        <v>32.921092557202485</v>
      </c>
      <c r="T35" s="44">
        <f t="shared" si="18"/>
        <v>0.32198202357901179</v>
      </c>
      <c r="U35" s="45">
        <f t="shared" si="19"/>
        <v>2.8978382122111062</v>
      </c>
      <c r="V35" s="46">
        <f t="shared" si="9"/>
        <v>0.40979530273692411</v>
      </c>
      <c r="W35" s="46">
        <f t="shared" si="10"/>
        <v>1.7088045965657555</v>
      </c>
      <c r="X35" s="46">
        <f t="shared" si="11"/>
        <v>6.439640471580236</v>
      </c>
      <c r="Y35" s="46">
        <f t="shared" si="12"/>
        <v>19.318921414740707</v>
      </c>
      <c r="Z35" s="46">
        <f t="shared" si="13"/>
        <v>8.4037308154122083</v>
      </c>
      <c r="AA35" s="46">
        <f t="shared" si="14"/>
        <v>251.1459783916292</v>
      </c>
      <c r="AB35" s="42">
        <f t="shared" si="15"/>
        <v>0.1177246773710762</v>
      </c>
      <c r="AC35" s="47">
        <f t="shared" si="16"/>
        <v>9.6594607073703536</v>
      </c>
    </row>
    <row r="36" spans="1:29" x14ac:dyDescent="0.25">
      <c r="A36" t="s">
        <v>61</v>
      </c>
      <c r="B36">
        <v>476.09327500000001</v>
      </c>
      <c r="C36">
        <v>192.49245500000001</v>
      </c>
      <c r="D36">
        <v>82.395381</v>
      </c>
      <c r="E36">
        <v>32.142490000000002</v>
      </c>
      <c r="F36">
        <v>0</v>
      </c>
      <c r="G36">
        <v>0.52808840000000001</v>
      </c>
      <c r="H36">
        <v>45.302799999999998</v>
      </c>
      <c r="I36" s="4">
        <f t="shared" si="17"/>
        <v>828.95448940000006</v>
      </c>
      <c r="J36" s="35">
        <v>27.3</v>
      </c>
      <c r="K36" s="2">
        <f t="shared" si="0"/>
        <v>14282.79825</v>
      </c>
      <c r="L36" s="2">
        <f t="shared" si="1"/>
        <v>11549.5473</v>
      </c>
      <c r="M36" s="2">
        <f t="shared" si="2"/>
        <v>2471.8614299999999</v>
      </c>
      <c r="N36" s="2">
        <f t="shared" si="3"/>
        <v>642.84980000000007</v>
      </c>
      <c r="O36" s="2">
        <f t="shared" si="4"/>
        <v>0</v>
      </c>
      <c r="P36" s="2">
        <f t="shared" si="5"/>
        <v>411.908952</v>
      </c>
      <c r="Q36" s="2">
        <f t="shared" si="6"/>
        <v>240.4284314285714</v>
      </c>
      <c r="R36" s="4">
        <f t="shared" si="7"/>
        <v>29599.394163428573</v>
      </c>
      <c r="S36" s="31">
        <f t="shared" si="8"/>
        <v>35.706898921378311</v>
      </c>
      <c r="T36" s="33">
        <f t="shared" si="18"/>
        <v>0.76455813371278336</v>
      </c>
      <c r="U36" s="21">
        <f t="shared" si="19"/>
        <v>6.88102320341505</v>
      </c>
      <c r="V36" s="21">
        <f t="shared" si="9"/>
        <v>0.97307398836172421</v>
      </c>
      <c r="W36" s="21">
        <f t="shared" si="10"/>
        <v>4.0576192382042713</v>
      </c>
      <c r="X36" s="21">
        <f t="shared" si="11"/>
        <v>15.291162674255666</v>
      </c>
      <c r="Y36" s="21">
        <f t="shared" si="12"/>
        <v>45.873488022766999</v>
      </c>
      <c r="Z36" s="21">
        <f t="shared" si="13"/>
        <v>19.954967289903646</v>
      </c>
      <c r="AA36" s="21">
        <f t="shared" si="14"/>
        <v>596.35534429597101</v>
      </c>
      <c r="AB36" s="2">
        <f t="shared" si="15"/>
        <v>0.27954156763873644</v>
      </c>
      <c r="AC36" s="19">
        <f t="shared" si="16"/>
        <v>22.936744011383499</v>
      </c>
    </row>
    <row r="37" spans="1:29" x14ac:dyDescent="0.25">
      <c r="A37" s="6" t="s">
        <v>62</v>
      </c>
      <c r="B37" s="6">
        <v>1740</v>
      </c>
      <c r="C37" s="6">
        <v>803</v>
      </c>
      <c r="D37" s="6">
        <v>1187</v>
      </c>
      <c r="E37" s="6">
        <v>2749</v>
      </c>
      <c r="F37" s="6">
        <v>220</v>
      </c>
      <c r="G37" s="6">
        <v>0</v>
      </c>
      <c r="H37" s="6">
        <v>339</v>
      </c>
      <c r="I37" s="16">
        <f t="shared" si="17"/>
        <v>7038</v>
      </c>
      <c r="J37" s="36">
        <v>25.7</v>
      </c>
      <c r="K37" s="8">
        <f t="shared" si="0"/>
        <v>52200</v>
      </c>
      <c r="L37" s="8">
        <f t="shared" si="1"/>
        <v>48180</v>
      </c>
      <c r="M37" s="8">
        <f t="shared" si="2"/>
        <v>35610</v>
      </c>
      <c r="N37" s="8">
        <f t="shared" si="3"/>
        <v>54980</v>
      </c>
      <c r="O37" s="8">
        <f t="shared" si="4"/>
        <v>6600</v>
      </c>
      <c r="P37" s="8">
        <f t="shared" si="5"/>
        <v>0</v>
      </c>
      <c r="Q37" s="8">
        <f t="shared" si="6"/>
        <v>1799.1214285714284</v>
      </c>
      <c r="R37" s="16">
        <f t="shared" si="7"/>
        <v>199369.12142857144</v>
      </c>
      <c r="S37" s="32">
        <f t="shared" si="8"/>
        <v>28.327525067998216</v>
      </c>
      <c r="T37" s="34">
        <f t="shared" si="18"/>
        <v>0.90724480653742146</v>
      </c>
      <c r="U37" s="7">
        <f t="shared" si="19"/>
        <v>8.1652032588367938</v>
      </c>
      <c r="V37" s="7">
        <f t="shared" si="9"/>
        <v>1.1546752083203546</v>
      </c>
      <c r="W37" s="7">
        <f t="shared" si="10"/>
        <v>4.814877794695029</v>
      </c>
      <c r="X37" s="7">
        <f t="shared" si="11"/>
        <v>18.144896130748428</v>
      </c>
      <c r="Y37" s="7">
        <f t="shared" si="12"/>
        <v>54.434688392245285</v>
      </c>
      <c r="Z37" s="7">
        <f t="shared" si="13"/>
        <v>23.679089450626702</v>
      </c>
      <c r="AA37" s="7">
        <f t="shared" si="14"/>
        <v>707.65094909918878</v>
      </c>
      <c r="AB37" s="8">
        <f t="shared" si="15"/>
        <v>0.33171138239024472</v>
      </c>
      <c r="AC37" s="20">
        <f t="shared" si="16"/>
        <v>27.217344196122642</v>
      </c>
    </row>
    <row r="38" spans="1:29" ht="15" customHeight="1" x14ac:dyDescent="0.25">
      <c r="AA38" s="21"/>
    </row>
    <row r="39" spans="1:29" s="136" customFormat="1" ht="15.75" x14ac:dyDescent="0.25">
      <c r="A39" s="132" t="s">
        <v>63</v>
      </c>
      <c r="B39" s="132"/>
      <c r="C39" s="132"/>
      <c r="D39" s="132"/>
      <c r="E39" s="132"/>
      <c r="F39" s="132"/>
      <c r="G39" s="132"/>
      <c r="H39" s="132"/>
      <c r="I39" s="132"/>
      <c r="J39" s="132"/>
      <c r="K39" s="133">
        <f>'Standardised values'!B34</f>
        <v>30</v>
      </c>
      <c r="L39" s="133">
        <f>'Standardised values'!D34</f>
        <v>60</v>
      </c>
      <c r="M39" s="133">
        <f>'Standardised values'!F34</f>
        <v>30</v>
      </c>
      <c r="N39" s="133">
        <f>'Standardised values'!H34</f>
        <v>20</v>
      </c>
      <c r="O39" s="133">
        <f>'Standardised values'!J34</f>
        <v>30</v>
      </c>
      <c r="P39" s="133">
        <f>'Standardised values'!L34</f>
        <v>780</v>
      </c>
      <c r="Q39" s="133">
        <f>'Standardised values'!N34</f>
        <v>5.3071428571428569</v>
      </c>
      <c r="R39" s="132"/>
      <c r="S39" s="132"/>
      <c r="T39" s="132"/>
      <c r="U39" s="132">
        <f>'Standardised values'!B39</f>
        <v>9</v>
      </c>
      <c r="V39" s="134">
        <f>'Standardised values'!B38</f>
        <v>1.2727272727272727</v>
      </c>
      <c r="W39" s="135">
        <f>'Standardised values'!N34</f>
        <v>5.3071428571428569</v>
      </c>
      <c r="X39" s="135">
        <f>'Standardised values'!H34</f>
        <v>20</v>
      </c>
      <c r="Y39" s="135">
        <f>'Standardised values'!D34</f>
        <v>60</v>
      </c>
      <c r="Z39" s="135">
        <f>'Standardised values'!B42</f>
        <v>26.1</v>
      </c>
      <c r="AA39" s="135">
        <f>'Standardised values'!L34</f>
        <v>780</v>
      </c>
      <c r="AB39" s="134">
        <f>'Standardised values'!B41</f>
        <v>0.36562500000000003</v>
      </c>
      <c r="AC39" s="135">
        <f>'Standardised values'!J34</f>
        <v>30</v>
      </c>
    </row>
    <row r="40" spans="1:29" x14ac:dyDescent="0.25">
      <c r="R40" s="30"/>
      <c r="S40" s="30"/>
      <c r="T40" s="30"/>
      <c r="U40" s="30"/>
    </row>
  </sheetData>
  <hyperlinks>
    <hyperlink ref="B4" r:id="rId1" xr:uid="{E78A1BD4-9A03-40C7-A47B-ECF739796CA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C5D30-5DA7-4CD1-BB08-045A0A7A7AC5}">
  <sheetPr>
    <tabColor theme="2" tint="-0.499984740745262"/>
  </sheetPr>
  <dimension ref="A2:T55"/>
  <sheetViews>
    <sheetView workbookViewId="0">
      <selection activeCell="P3" sqref="P3"/>
    </sheetView>
  </sheetViews>
  <sheetFormatPr defaultRowHeight="15" x14ac:dyDescent="0.25"/>
  <cols>
    <col min="1" max="1" width="35.7109375" customWidth="1"/>
  </cols>
  <sheetData>
    <row r="2" spans="1:18" ht="21" x14ac:dyDescent="0.35">
      <c r="A2" s="17" t="s">
        <v>64</v>
      </c>
    </row>
    <row r="3" spans="1:18" ht="18" customHeight="1" x14ac:dyDescent="0.35">
      <c r="A3" s="17"/>
    </row>
    <row r="4" spans="1:18" ht="15.75" x14ac:dyDescent="0.25">
      <c r="A4" s="119" t="s">
        <v>65</v>
      </c>
    </row>
    <row r="5" spans="1:18" ht="30" x14ac:dyDescent="0.25">
      <c r="A5" s="48"/>
      <c r="B5" s="137" t="s">
        <v>12</v>
      </c>
      <c r="C5" s="138" t="s">
        <v>66</v>
      </c>
      <c r="D5" s="139" t="s">
        <v>13</v>
      </c>
      <c r="E5" s="140" t="s">
        <v>66</v>
      </c>
      <c r="F5" s="139" t="s">
        <v>14</v>
      </c>
      <c r="G5" s="140" t="s">
        <v>66</v>
      </c>
      <c r="H5" s="141" t="s">
        <v>67</v>
      </c>
      <c r="I5" s="140" t="s">
        <v>66</v>
      </c>
      <c r="J5" s="139" t="s">
        <v>16</v>
      </c>
      <c r="K5" s="140" t="s">
        <v>66</v>
      </c>
      <c r="L5" s="142" t="s">
        <v>17</v>
      </c>
      <c r="M5" s="143" t="s">
        <v>66</v>
      </c>
      <c r="N5" s="139" t="s">
        <v>18</v>
      </c>
      <c r="O5" s="140" t="s">
        <v>66</v>
      </c>
      <c r="P5" s="139" t="s">
        <v>68</v>
      </c>
      <c r="R5" t="s">
        <v>69</v>
      </c>
    </row>
    <row r="6" spans="1:18" x14ac:dyDescent="0.25">
      <c r="A6" t="s">
        <v>32</v>
      </c>
      <c r="B6" s="49">
        <v>433</v>
      </c>
      <c r="C6" s="50">
        <f t="shared" ref="C6:C19" si="0">(B6/P6)*100</f>
        <v>45.771670190274847</v>
      </c>
      <c r="D6" s="49">
        <v>342.3</v>
      </c>
      <c r="E6" s="50">
        <f t="shared" ref="E6:E19" si="1">(D6/P6)*100</f>
        <v>36.183932346723047</v>
      </c>
      <c r="F6" s="49">
        <v>91.4</v>
      </c>
      <c r="G6" s="50">
        <f t="shared" ref="G6:G19" si="2">(F6/P6)*100</f>
        <v>9.661733615221987</v>
      </c>
      <c r="H6" s="49">
        <v>37.700000000000003</v>
      </c>
      <c r="I6" s="50">
        <f t="shared" ref="I6:I19" si="3">(H6/P6)*100</f>
        <v>3.985200845665962</v>
      </c>
      <c r="J6" s="49">
        <v>0</v>
      </c>
      <c r="K6" s="50">
        <f t="shared" ref="K6:K19" si="4">(J6/P6)*100</f>
        <v>0</v>
      </c>
      <c r="L6" s="51">
        <v>0</v>
      </c>
      <c r="M6" s="52">
        <f t="shared" ref="M6:M19" si="5">(L6/P6)*100</f>
        <v>0</v>
      </c>
      <c r="N6" s="49">
        <v>41.6</v>
      </c>
      <c r="O6" s="50">
        <f t="shared" ref="O6:O19" si="6">(N6/P6)*100</f>
        <v>4.397463002114165</v>
      </c>
      <c r="P6" s="21">
        <f t="shared" ref="P6:P19" si="7">B6+D6+F6+H6+J6+L6+N6</f>
        <v>946</v>
      </c>
      <c r="R6" t="s">
        <v>70</v>
      </c>
    </row>
    <row r="7" spans="1:18" x14ac:dyDescent="0.25">
      <c r="A7" t="s">
        <v>38</v>
      </c>
      <c r="B7" s="11">
        <v>377</v>
      </c>
      <c r="C7" s="53">
        <f t="shared" si="0"/>
        <v>15.998302567366856</v>
      </c>
      <c r="D7" s="11">
        <v>1737</v>
      </c>
      <c r="E7" s="54">
        <f t="shared" si="1"/>
        <v>73.711012094207504</v>
      </c>
      <c r="F7" s="11">
        <v>117</v>
      </c>
      <c r="G7" s="53">
        <f t="shared" si="2"/>
        <v>4.9649904519414392</v>
      </c>
      <c r="H7" s="11">
        <v>14.8</v>
      </c>
      <c r="I7" s="53">
        <f t="shared" si="3"/>
        <v>0.62805007426267778</v>
      </c>
      <c r="J7" s="11">
        <v>40.700000000000003</v>
      </c>
      <c r="K7" s="53">
        <f t="shared" si="4"/>
        <v>1.7271377042223639</v>
      </c>
      <c r="L7" s="55">
        <v>0</v>
      </c>
      <c r="M7" s="56">
        <f t="shared" si="5"/>
        <v>0</v>
      </c>
      <c r="N7" s="11">
        <v>70</v>
      </c>
      <c r="O7" s="53">
        <f t="shared" si="6"/>
        <v>2.9705071079991514</v>
      </c>
      <c r="P7" s="21">
        <f t="shared" si="7"/>
        <v>2356.5</v>
      </c>
      <c r="R7" s="2"/>
    </row>
    <row r="8" spans="1:18" x14ac:dyDescent="0.25">
      <c r="A8" s="39" t="s">
        <v>41</v>
      </c>
      <c r="B8" s="11">
        <v>2911</v>
      </c>
      <c r="C8" s="53">
        <f t="shared" si="0"/>
        <v>41.814499332059704</v>
      </c>
      <c r="D8" s="11">
        <v>1720</v>
      </c>
      <c r="E8" s="53">
        <f t="shared" si="1"/>
        <v>24.706609017912292</v>
      </c>
      <c r="F8" s="11">
        <v>989.9</v>
      </c>
      <c r="G8" s="53">
        <f t="shared" si="2"/>
        <v>14.219228062111267</v>
      </c>
      <c r="H8" s="11">
        <v>595</v>
      </c>
      <c r="I8" s="53">
        <f t="shared" si="3"/>
        <v>8.5467630032894277</v>
      </c>
      <c r="J8" s="11">
        <v>445.2</v>
      </c>
      <c r="K8" s="53">
        <f t="shared" si="4"/>
        <v>6.3949897295200886</v>
      </c>
      <c r="L8" s="55">
        <v>35.6</v>
      </c>
      <c r="M8" s="57">
        <f t="shared" si="5"/>
        <v>0.51136934944051027</v>
      </c>
      <c r="N8" s="11">
        <v>265</v>
      </c>
      <c r="O8" s="53">
        <f t="shared" si="6"/>
        <v>3.8065415056667198</v>
      </c>
      <c r="P8" s="21">
        <f t="shared" si="7"/>
        <v>6961.7</v>
      </c>
    </row>
    <row r="9" spans="1:18" x14ac:dyDescent="0.25">
      <c r="A9" s="39" t="s">
        <v>42</v>
      </c>
      <c r="B9" s="11">
        <v>2751</v>
      </c>
      <c r="C9" s="53">
        <f t="shared" si="0"/>
        <v>36.194987171896578</v>
      </c>
      <c r="D9" s="11">
        <v>3171</v>
      </c>
      <c r="E9" s="53">
        <f t="shared" si="1"/>
        <v>41.720939411880792</v>
      </c>
      <c r="F9" s="11">
        <v>985.6</v>
      </c>
      <c r="G9" s="53">
        <f t="shared" si="2"/>
        <v>12.967567923162948</v>
      </c>
      <c r="H9" s="11">
        <v>132</v>
      </c>
      <c r="I9" s="53">
        <f t="shared" si="3"/>
        <v>1.7367278468521805</v>
      </c>
      <c r="J9" s="11">
        <v>17.8</v>
      </c>
      <c r="K9" s="58">
        <f t="shared" si="4"/>
        <v>0.23419511874218799</v>
      </c>
      <c r="L9" s="55">
        <v>23.1</v>
      </c>
      <c r="M9" s="57">
        <f t="shared" si="5"/>
        <v>0.3039273731991316</v>
      </c>
      <c r="N9" s="11">
        <v>520</v>
      </c>
      <c r="O9" s="53">
        <f t="shared" si="6"/>
        <v>6.8416551542661654</v>
      </c>
      <c r="P9" s="21">
        <f t="shared" si="7"/>
        <v>7600.5000000000009</v>
      </c>
    </row>
    <row r="10" spans="1:18" x14ac:dyDescent="0.25">
      <c r="A10" s="39" t="s">
        <v>43</v>
      </c>
      <c r="B10" s="11">
        <v>76.900000000000006</v>
      </c>
      <c r="C10" s="58">
        <f t="shared" si="0"/>
        <v>6.736159775753328</v>
      </c>
      <c r="D10" s="11">
        <v>99.9</v>
      </c>
      <c r="E10" s="53">
        <f t="shared" si="1"/>
        <v>8.7508759635599151</v>
      </c>
      <c r="F10" s="11">
        <v>150.4</v>
      </c>
      <c r="G10" s="53">
        <f t="shared" si="2"/>
        <v>13.174491941135248</v>
      </c>
      <c r="H10" s="11">
        <v>680.1</v>
      </c>
      <c r="I10" s="54">
        <f t="shared" si="3"/>
        <v>59.574281709880864</v>
      </c>
      <c r="J10" s="11">
        <v>130</v>
      </c>
      <c r="K10" s="53">
        <f t="shared" si="4"/>
        <v>11.387526278906796</v>
      </c>
      <c r="L10" s="55">
        <v>2.1</v>
      </c>
      <c r="M10" s="57">
        <f t="shared" si="5"/>
        <v>0.18395234758234055</v>
      </c>
      <c r="N10" s="11">
        <v>2.2000000000000002</v>
      </c>
      <c r="O10" s="58">
        <f t="shared" si="6"/>
        <v>0.19271198318149962</v>
      </c>
      <c r="P10" s="21">
        <f t="shared" si="7"/>
        <v>1141.6000000000001</v>
      </c>
      <c r="R10" s="2"/>
    </row>
    <row r="11" spans="1:18" x14ac:dyDescent="0.25">
      <c r="A11" s="39" t="s">
        <v>44</v>
      </c>
      <c r="B11" s="11">
        <v>180</v>
      </c>
      <c r="C11" s="53">
        <f t="shared" si="0"/>
        <v>21.603456553048488</v>
      </c>
      <c r="D11" s="11">
        <v>321.39999999999998</v>
      </c>
      <c r="E11" s="53">
        <f t="shared" si="1"/>
        <v>38.574171867498805</v>
      </c>
      <c r="F11" s="11">
        <v>200.9</v>
      </c>
      <c r="G11" s="53">
        <f t="shared" si="2"/>
        <v>24.111857897263565</v>
      </c>
      <c r="H11" s="11">
        <v>74</v>
      </c>
      <c r="I11" s="53">
        <f t="shared" si="3"/>
        <v>8.8814210273643788</v>
      </c>
      <c r="J11" s="11">
        <v>27</v>
      </c>
      <c r="K11" s="53">
        <f t="shared" si="4"/>
        <v>3.2405184829572735</v>
      </c>
      <c r="L11" s="55">
        <v>5.5</v>
      </c>
      <c r="M11" s="57">
        <f t="shared" si="5"/>
        <v>0.66010561689870384</v>
      </c>
      <c r="N11" s="11">
        <v>24.4</v>
      </c>
      <c r="O11" s="53">
        <f t="shared" si="6"/>
        <v>2.928468554968795</v>
      </c>
      <c r="P11" s="21">
        <f t="shared" si="7"/>
        <v>833.19999999999993</v>
      </c>
      <c r="R11" s="2"/>
    </row>
    <row r="12" spans="1:18" x14ac:dyDescent="0.25">
      <c r="A12" s="39" t="s">
        <v>46</v>
      </c>
      <c r="B12" s="11">
        <v>1352</v>
      </c>
      <c r="C12" s="54">
        <f t="shared" si="0"/>
        <v>60.195903829029383</v>
      </c>
      <c r="D12" s="11">
        <v>289.5</v>
      </c>
      <c r="E12" s="53">
        <f t="shared" si="1"/>
        <v>12.889581478183437</v>
      </c>
      <c r="F12" s="11">
        <v>102</v>
      </c>
      <c r="G12" s="53">
        <f t="shared" si="2"/>
        <v>4.5414069456812109</v>
      </c>
      <c r="H12" s="11">
        <v>357.8</v>
      </c>
      <c r="I12" s="53">
        <f t="shared" si="3"/>
        <v>15.930543187889581</v>
      </c>
      <c r="J12" s="11">
        <v>44.7</v>
      </c>
      <c r="K12" s="53">
        <f t="shared" si="4"/>
        <v>1.9902048085485309</v>
      </c>
      <c r="L12" s="55">
        <v>0</v>
      </c>
      <c r="M12" s="56">
        <f t="shared" si="5"/>
        <v>0</v>
      </c>
      <c r="N12" s="11">
        <v>100</v>
      </c>
      <c r="O12" s="53">
        <f t="shared" si="6"/>
        <v>4.4523597506678536</v>
      </c>
      <c r="P12" s="21">
        <f t="shared" si="7"/>
        <v>2246</v>
      </c>
      <c r="R12" s="2"/>
    </row>
    <row r="13" spans="1:18" x14ac:dyDescent="0.25">
      <c r="A13" s="39" t="s">
        <v>47</v>
      </c>
      <c r="B13" s="11">
        <v>1458</v>
      </c>
      <c r="C13" s="53">
        <f t="shared" si="0"/>
        <v>39.233625746730524</v>
      </c>
      <c r="D13" s="11">
        <v>796.8</v>
      </c>
      <c r="E13" s="53">
        <f t="shared" si="1"/>
        <v>21.441257198213226</v>
      </c>
      <c r="F13" s="11">
        <v>666.7</v>
      </c>
      <c r="G13" s="53">
        <f t="shared" si="2"/>
        <v>17.940369194338302</v>
      </c>
      <c r="H13" s="11">
        <v>536.9</v>
      </c>
      <c r="I13" s="53">
        <f t="shared" si="3"/>
        <v>14.447553952962702</v>
      </c>
      <c r="J13" s="11">
        <v>53.9</v>
      </c>
      <c r="K13" s="53">
        <f t="shared" si="4"/>
        <v>1.4504063290457994</v>
      </c>
      <c r="L13" s="55">
        <v>27.3</v>
      </c>
      <c r="M13" s="59">
        <f t="shared" si="5"/>
        <v>0.73462138743878158</v>
      </c>
      <c r="N13" s="11">
        <v>176.6</v>
      </c>
      <c r="O13" s="53">
        <f t="shared" si="6"/>
        <v>4.7521661912706525</v>
      </c>
      <c r="P13" s="21">
        <f t="shared" si="7"/>
        <v>3716.2000000000003</v>
      </c>
      <c r="R13" s="2"/>
    </row>
    <row r="14" spans="1:18" x14ac:dyDescent="0.25">
      <c r="A14" t="s">
        <v>71</v>
      </c>
      <c r="B14" s="11">
        <v>1015</v>
      </c>
      <c r="C14" s="53">
        <f t="shared" si="0"/>
        <v>33.554828258785413</v>
      </c>
      <c r="D14" s="11">
        <v>1562</v>
      </c>
      <c r="E14" s="53">
        <f t="shared" si="1"/>
        <v>51.638070680022473</v>
      </c>
      <c r="F14" s="11">
        <v>330.9</v>
      </c>
      <c r="G14" s="53">
        <f t="shared" si="2"/>
        <v>10.939204601805018</v>
      </c>
      <c r="H14" s="11">
        <v>72</v>
      </c>
      <c r="I14" s="53">
        <f t="shared" si="3"/>
        <v>2.3802439750074385</v>
      </c>
      <c r="J14" s="11">
        <v>5.6</v>
      </c>
      <c r="K14" s="58">
        <f t="shared" si="4"/>
        <v>0.18513008694502298</v>
      </c>
      <c r="L14" s="55">
        <v>0.4</v>
      </c>
      <c r="M14" s="56">
        <f t="shared" si="5"/>
        <v>1.3223577638930213E-2</v>
      </c>
      <c r="N14" s="11">
        <v>39</v>
      </c>
      <c r="O14" s="53">
        <f t="shared" si="6"/>
        <v>1.2892988197956958</v>
      </c>
      <c r="P14" s="21">
        <f t="shared" si="7"/>
        <v>3024.9</v>
      </c>
      <c r="R14" s="2"/>
    </row>
    <row r="15" spans="1:18" x14ac:dyDescent="0.25">
      <c r="A15" s="39" t="s">
        <v>54</v>
      </c>
      <c r="B15" s="11">
        <v>1480</v>
      </c>
      <c r="C15" s="53">
        <f t="shared" si="0"/>
        <v>34.59884047129232</v>
      </c>
      <c r="D15" s="11">
        <v>1203</v>
      </c>
      <c r="E15" s="53">
        <f t="shared" si="1"/>
        <v>28.123246680381524</v>
      </c>
      <c r="F15" s="11">
        <v>1411.5</v>
      </c>
      <c r="G15" s="54">
        <f t="shared" si="2"/>
        <v>32.997475219749397</v>
      </c>
      <c r="H15" s="11">
        <v>21.2</v>
      </c>
      <c r="I15" s="58">
        <f t="shared" si="3"/>
        <v>0.49560501215634939</v>
      </c>
      <c r="J15" s="11">
        <v>45.4</v>
      </c>
      <c r="K15" s="53">
        <f t="shared" si="4"/>
        <v>1.0613428090518049</v>
      </c>
      <c r="L15" s="55">
        <v>2</v>
      </c>
      <c r="M15" s="56">
        <f t="shared" si="5"/>
        <v>4.6755189826070701E-2</v>
      </c>
      <c r="N15" s="11">
        <v>114.5</v>
      </c>
      <c r="O15" s="53">
        <f t="shared" si="6"/>
        <v>2.6767346175425475</v>
      </c>
      <c r="P15" s="21">
        <f t="shared" si="7"/>
        <v>4277.5999999999995</v>
      </c>
      <c r="R15" s="2"/>
    </row>
    <row r="16" spans="1:18" x14ac:dyDescent="0.25">
      <c r="A16" s="39" t="s">
        <v>59</v>
      </c>
      <c r="B16" s="11">
        <v>1012</v>
      </c>
      <c r="C16" s="53">
        <f t="shared" si="0"/>
        <v>12.550536994320014</v>
      </c>
      <c r="D16" s="11">
        <v>4270</v>
      </c>
      <c r="E16" s="53">
        <f t="shared" si="1"/>
        <v>52.955329017536037</v>
      </c>
      <c r="F16" s="11">
        <v>880.2</v>
      </c>
      <c r="G16" s="53">
        <f t="shared" si="2"/>
        <v>10.915990773123001</v>
      </c>
      <c r="H16" s="11">
        <v>1298.3</v>
      </c>
      <c r="I16" s="53">
        <f t="shared" si="3"/>
        <v>16.101148398938413</v>
      </c>
      <c r="J16" s="11">
        <v>302</v>
      </c>
      <c r="K16" s="53">
        <f t="shared" si="4"/>
        <v>3.7453183520599254</v>
      </c>
      <c r="L16" s="55">
        <v>46.9</v>
      </c>
      <c r="M16" s="57">
        <f t="shared" si="5"/>
        <v>0.58164049904506787</v>
      </c>
      <c r="N16" s="11">
        <v>254</v>
      </c>
      <c r="O16" s="53">
        <f t="shared" si="6"/>
        <v>3.1500359649775529</v>
      </c>
      <c r="P16" s="21">
        <f t="shared" si="7"/>
        <v>8063.4</v>
      </c>
      <c r="R16" s="2"/>
    </row>
    <row r="17" spans="1:20" x14ac:dyDescent="0.25">
      <c r="A17" s="39" t="s">
        <v>60</v>
      </c>
      <c r="B17" s="11">
        <v>284</v>
      </c>
      <c r="C17" s="53">
        <f t="shared" si="0"/>
        <v>36.017755231452128</v>
      </c>
      <c r="D17" s="11">
        <v>203.9</v>
      </c>
      <c r="E17" s="53">
        <f t="shared" si="1"/>
        <v>25.859226379201019</v>
      </c>
      <c r="F17" s="11">
        <v>116.3</v>
      </c>
      <c r="G17" s="53">
        <f t="shared" si="2"/>
        <v>14.749524413443247</v>
      </c>
      <c r="H17" s="11">
        <v>30.2</v>
      </c>
      <c r="I17" s="53">
        <f t="shared" si="3"/>
        <v>3.8300570703868102</v>
      </c>
      <c r="J17" s="11">
        <v>11.9</v>
      </c>
      <c r="K17" s="53">
        <f t="shared" si="4"/>
        <v>1.5091946734305643</v>
      </c>
      <c r="L17" s="55">
        <v>0</v>
      </c>
      <c r="M17" s="56">
        <f t="shared" si="5"/>
        <v>0</v>
      </c>
      <c r="N17" s="11">
        <v>142.19999999999999</v>
      </c>
      <c r="O17" s="54">
        <f t="shared" si="6"/>
        <v>18.034242232086239</v>
      </c>
      <c r="P17" s="21">
        <f t="shared" si="7"/>
        <v>788.5</v>
      </c>
      <c r="R17" s="2"/>
    </row>
    <row r="18" spans="1:20" x14ac:dyDescent="0.25">
      <c r="A18" t="s">
        <v>62</v>
      </c>
      <c r="B18" s="11">
        <v>1740</v>
      </c>
      <c r="C18" s="53">
        <f t="shared" si="0"/>
        <v>24.722932651321397</v>
      </c>
      <c r="D18" s="11">
        <v>803</v>
      </c>
      <c r="E18" s="53">
        <f t="shared" si="1"/>
        <v>11.40949133276499</v>
      </c>
      <c r="F18" s="11">
        <v>1187</v>
      </c>
      <c r="G18" s="53">
        <f t="shared" si="2"/>
        <v>16.865586814435922</v>
      </c>
      <c r="H18" s="11">
        <v>2749</v>
      </c>
      <c r="I18" s="53">
        <f t="shared" si="3"/>
        <v>39.059391872691108</v>
      </c>
      <c r="J18" s="11">
        <v>220</v>
      </c>
      <c r="K18" s="53">
        <f t="shared" si="4"/>
        <v>3.1258880363739703</v>
      </c>
      <c r="L18" s="55">
        <v>0</v>
      </c>
      <c r="M18" s="56">
        <f t="shared" si="5"/>
        <v>0</v>
      </c>
      <c r="N18" s="11">
        <v>339</v>
      </c>
      <c r="O18" s="53">
        <f t="shared" si="6"/>
        <v>4.8167092924126171</v>
      </c>
      <c r="P18" s="21">
        <f t="shared" si="7"/>
        <v>7038</v>
      </c>
      <c r="R18" s="2"/>
    </row>
    <row r="19" spans="1:20" x14ac:dyDescent="0.25">
      <c r="A19" s="39" t="s">
        <v>53</v>
      </c>
      <c r="B19" s="60">
        <v>220</v>
      </c>
      <c r="C19" s="61">
        <f t="shared" si="0"/>
        <v>10.005912584709147</v>
      </c>
      <c r="D19" s="60">
        <v>115.6</v>
      </c>
      <c r="E19" s="62">
        <f t="shared" si="1"/>
        <v>5.2576522490562603</v>
      </c>
      <c r="F19" s="60">
        <v>73.599999999999994</v>
      </c>
      <c r="G19" s="62">
        <f t="shared" si="2"/>
        <v>3.347432573793605</v>
      </c>
      <c r="H19" s="60">
        <v>93.5</v>
      </c>
      <c r="I19" s="61">
        <f t="shared" si="3"/>
        <v>4.2525128485013877</v>
      </c>
      <c r="J19" s="60">
        <v>1646</v>
      </c>
      <c r="K19" s="63">
        <f t="shared" si="4"/>
        <v>74.862418701960252</v>
      </c>
      <c r="L19" s="64">
        <v>0</v>
      </c>
      <c r="M19" s="65">
        <f t="shared" si="5"/>
        <v>0</v>
      </c>
      <c r="N19" s="60">
        <v>50</v>
      </c>
      <c r="O19" s="61">
        <f t="shared" si="6"/>
        <v>2.2740710419793517</v>
      </c>
      <c r="P19" s="21">
        <f t="shared" si="7"/>
        <v>2198.6999999999998</v>
      </c>
      <c r="R19" s="2"/>
    </row>
    <row r="20" spans="1:20" x14ac:dyDescent="0.25">
      <c r="A20" s="9" t="s">
        <v>72</v>
      </c>
      <c r="C20" s="2">
        <f>AVERAGE(C7:C18)</f>
        <v>30.26848571525468</v>
      </c>
      <c r="D20" s="66"/>
      <c r="E20" s="66">
        <f t="shared" ref="E20:O20" si="8">AVERAGE(E7:E18)</f>
        <v>32.648317593446833</v>
      </c>
      <c r="F20" s="66"/>
      <c r="G20" s="66">
        <f t="shared" si="8"/>
        <v>14.865641186515882</v>
      </c>
      <c r="H20" s="66"/>
      <c r="I20" s="66">
        <f t="shared" si="8"/>
        <v>14.300982260973493</v>
      </c>
      <c r="J20" s="66"/>
      <c r="K20" s="66">
        <f t="shared" si="8"/>
        <v>3.0043210341503603</v>
      </c>
      <c r="L20" s="67"/>
      <c r="M20" s="67">
        <f t="shared" si="8"/>
        <v>0.25296627842246133</v>
      </c>
      <c r="N20" s="66"/>
      <c r="O20" s="66">
        <f t="shared" si="8"/>
        <v>4.6592859312362913</v>
      </c>
      <c r="P20" s="21"/>
      <c r="R20" s="2"/>
    </row>
    <row r="21" spans="1:20" x14ac:dyDescent="0.25">
      <c r="C21" s="2"/>
      <c r="D21" s="2"/>
      <c r="E21" s="2"/>
      <c r="F21" s="2"/>
      <c r="G21" s="2"/>
      <c r="H21" s="2"/>
      <c r="I21" s="2"/>
      <c r="J21" s="2"/>
      <c r="K21" s="2"/>
      <c r="L21" s="68"/>
      <c r="M21" s="68"/>
      <c r="N21" s="2"/>
      <c r="O21" s="2"/>
      <c r="P21" s="21"/>
      <c r="R21" s="2"/>
    </row>
    <row r="22" spans="1:20" ht="15.75" x14ac:dyDescent="0.25">
      <c r="A22" s="119" t="s">
        <v>73</v>
      </c>
      <c r="C22" s="2"/>
      <c r="D22" s="2"/>
      <c r="E22" s="2"/>
      <c r="F22" s="2"/>
      <c r="G22" s="2"/>
      <c r="H22" s="2"/>
      <c r="I22" s="2"/>
      <c r="J22" s="2"/>
      <c r="K22" s="2"/>
      <c r="L22" s="68"/>
      <c r="M22" s="68"/>
      <c r="N22" s="2"/>
      <c r="O22" s="2"/>
      <c r="P22" s="21"/>
      <c r="R22" s="2"/>
    </row>
    <row r="23" spans="1:20" x14ac:dyDescent="0.25">
      <c r="A23" s="9"/>
      <c r="B23" s="49" t="s">
        <v>12</v>
      </c>
      <c r="C23" s="10"/>
      <c r="D23" s="49" t="s">
        <v>13</v>
      </c>
      <c r="E23" s="10"/>
      <c r="F23" s="49" t="s">
        <v>14</v>
      </c>
      <c r="G23" s="10"/>
      <c r="H23" s="49" t="s">
        <v>74</v>
      </c>
      <c r="I23" s="10"/>
      <c r="J23" s="49" t="s">
        <v>16</v>
      </c>
      <c r="K23" s="10"/>
      <c r="L23" s="51" t="s">
        <v>17</v>
      </c>
      <c r="M23" s="69"/>
      <c r="N23" s="49" t="s">
        <v>18</v>
      </c>
      <c r="O23" s="10"/>
      <c r="P23" s="9"/>
      <c r="Q23" s="9"/>
    </row>
    <row r="24" spans="1:20" x14ac:dyDescent="0.25">
      <c r="A24" s="70" t="s">
        <v>75</v>
      </c>
      <c r="B24" s="71">
        <f>B7</f>
        <v>377</v>
      </c>
      <c r="C24" s="72"/>
      <c r="D24" s="71">
        <f>D7</f>
        <v>1737</v>
      </c>
      <c r="E24" s="72"/>
      <c r="F24" s="71">
        <f>F7</f>
        <v>117</v>
      </c>
      <c r="G24" s="72"/>
      <c r="H24" s="71">
        <f>H7</f>
        <v>14.8</v>
      </c>
      <c r="I24" s="72"/>
      <c r="J24" s="71">
        <f>J7</f>
        <v>40.700000000000003</v>
      </c>
      <c r="K24" s="72"/>
      <c r="L24" s="71"/>
      <c r="M24" s="72"/>
      <c r="N24" s="71">
        <f>N7</f>
        <v>70</v>
      </c>
      <c r="O24" s="72"/>
      <c r="P24" s="73"/>
      <c r="Q24" s="9"/>
      <c r="R24" s="2"/>
    </row>
    <row r="25" spans="1:20" x14ac:dyDescent="0.25">
      <c r="A25" s="74" t="s">
        <v>76</v>
      </c>
      <c r="B25" s="75">
        <v>9425</v>
      </c>
      <c r="C25" s="76"/>
      <c r="D25" s="75">
        <v>72345</v>
      </c>
      <c r="E25" s="76"/>
      <c r="F25" s="75">
        <v>1196</v>
      </c>
      <c r="G25" s="76"/>
      <c r="H25" s="75">
        <v>15</v>
      </c>
      <c r="I25" s="76"/>
      <c r="J25" s="75">
        <v>1771</v>
      </c>
      <c r="K25" s="76"/>
      <c r="L25" s="75"/>
      <c r="M25" s="76"/>
      <c r="N25" s="75">
        <v>113</v>
      </c>
      <c r="O25" s="76"/>
      <c r="P25" s="2" t="s">
        <v>77</v>
      </c>
      <c r="R25" s="2"/>
    </row>
    <row r="26" spans="1:20" x14ac:dyDescent="0.25">
      <c r="A26" s="77" t="s">
        <v>78</v>
      </c>
      <c r="B26" s="78">
        <f>(B25*1000)/(B7*1000)</f>
        <v>25</v>
      </c>
      <c r="C26" s="79"/>
      <c r="D26" s="78">
        <f>(D25*1000)/(D7*1000)</f>
        <v>41.649395509499136</v>
      </c>
      <c r="E26" s="79"/>
      <c r="F26" s="78">
        <f>(F25*1000)/(F7*1000)</f>
        <v>10.222222222222221</v>
      </c>
      <c r="G26" s="79"/>
      <c r="H26" s="78">
        <f>(H25*1000)/(H7*1000)</f>
        <v>1.0135135135135136</v>
      </c>
      <c r="I26" s="79"/>
      <c r="J26" s="78">
        <f>(J25*1000)/(J7*1000)</f>
        <v>43.513513513513516</v>
      </c>
      <c r="K26" s="79"/>
      <c r="L26" s="80"/>
      <c r="M26" s="81"/>
      <c r="N26" s="78">
        <f>(N25*1000)/(N7*1000)</f>
        <v>1.6142857142857143</v>
      </c>
      <c r="O26" s="79"/>
      <c r="P26" s="82"/>
      <c r="Q26" s="82"/>
      <c r="R26" s="77"/>
      <c r="S26" s="77"/>
      <c r="T26" s="77"/>
    </row>
    <row r="27" spans="1:20" x14ac:dyDescent="0.25">
      <c r="A27" s="74" t="s">
        <v>79</v>
      </c>
      <c r="B27" s="75">
        <f>B14</f>
        <v>1015</v>
      </c>
      <c r="C27" s="76"/>
      <c r="D27" s="75">
        <f>D14</f>
        <v>1562</v>
      </c>
      <c r="E27" s="76"/>
      <c r="F27" s="75">
        <f>F14</f>
        <v>330.9</v>
      </c>
      <c r="G27" s="76"/>
      <c r="H27" s="75"/>
      <c r="I27" s="76"/>
      <c r="J27" s="75"/>
      <c r="K27" s="76"/>
      <c r="L27" s="75">
        <f>L14</f>
        <v>0.4</v>
      </c>
      <c r="M27" s="76"/>
      <c r="N27" s="75"/>
      <c r="O27" s="76"/>
      <c r="P27" s="21"/>
      <c r="Q27" s="77"/>
      <c r="R27" s="4"/>
      <c r="S27" s="77"/>
    </row>
    <row r="28" spans="1:20" x14ac:dyDescent="0.25">
      <c r="A28" s="74" t="s">
        <v>76</v>
      </c>
      <c r="B28" s="75">
        <f>12195+44208+5782</f>
        <v>62185</v>
      </c>
      <c r="C28" s="76"/>
      <c r="D28" s="75">
        <v>52011</v>
      </c>
      <c r="E28" s="76"/>
      <c r="F28" s="75">
        <f>5752+2184</f>
        <v>7936</v>
      </c>
      <c r="G28" s="76"/>
      <c r="H28" s="75"/>
      <c r="I28" s="76"/>
      <c r="J28" s="75"/>
      <c r="K28" s="76"/>
      <c r="L28" s="75">
        <v>377</v>
      </c>
      <c r="M28" s="76"/>
      <c r="N28" s="75"/>
      <c r="O28" s="76"/>
      <c r="P28" s="2" t="s">
        <v>80</v>
      </c>
    </row>
    <row r="29" spans="1:20" x14ac:dyDescent="0.25">
      <c r="A29" s="77" t="s">
        <v>81</v>
      </c>
      <c r="B29" s="78">
        <f>(B28*1000)/(B14*1000)</f>
        <v>61.266009852216747</v>
      </c>
      <c r="C29" s="79"/>
      <c r="D29" s="78">
        <f>(D28*1000)/(D14*1000)</f>
        <v>33.297695262483998</v>
      </c>
      <c r="E29" s="79"/>
      <c r="F29" s="78">
        <f>(F28*1000)/(F14*1000)</f>
        <v>23.983076458144456</v>
      </c>
      <c r="G29" s="83"/>
      <c r="H29" s="84"/>
      <c r="I29" s="83"/>
      <c r="J29" s="84"/>
      <c r="K29" s="83"/>
      <c r="L29" s="80">
        <f>(L28*1000)/(L14*1000)</f>
        <v>942.5</v>
      </c>
      <c r="M29" s="85"/>
      <c r="N29" s="84"/>
      <c r="O29" s="86"/>
      <c r="P29" s="87"/>
      <c r="Q29" s="88"/>
      <c r="R29" s="89"/>
      <c r="S29" s="88"/>
      <c r="T29" s="77"/>
    </row>
    <row r="30" spans="1:20" x14ac:dyDescent="0.25">
      <c r="A30" s="77" t="s">
        <v>82</v>
      </c>
      <c r="B30" s="90">
        <v>19.600000000000001</v>
      </c>
      <c r="C30" s="3"/>
      <c r="D30" s="13">
        <v>87.3</v>
      </c>
      <c r="E30" s="3"/>
      <c r="F30" s="13">
        <v>13.7</v>
      </c>
      <c r="G30" s="3"/>
      <c r="H30" s="13">
        <v>8.4</v>
      </c>
      <c r="I30" s="91"/>
      <c r="J30" s="13">
        <v>43.1</v>
      </c>
      <c r="K30" s="3"/>
      <c r="L30" s="90"/>
      <c r="M30" s="92"/>
      <c r="N30" s="13">
        <v>9</v>
      </c>
      <c r="O30" s="91"/>
      <c r="P30" s="2" t="s">
        <v>83</v>
      </c>
      <c r="T30" s="93"/>
    </row>
    <row r="31" spans="1:20" x14ac:dyDescent="0.25">
      <c r="A31" s="77" t="s">
        <v>84</v>
      </c>
      <c r="B31" s="90">
        <v>38</v>
      </c>
      <c r="C31" s="94"/>
      <c r="D31" s="90">
        <v>73</v>
      </c>
      <c r="E31" s="94"/>
      <c r="F31" s="90">
        <v>64</v>
      </c>
      <c r="G31" s="94"/>
      <c r="H31" s="90">
        <v>51</v>
      </c>
      <c r="I31" s="92"/>
      <c r="J31" s="90"/>
      <c r="K31" s="94"/>
      <c r="L31" s="90">
        <v>775</v>
      </c>
      <c r="M31" s="57"/>
      <c r="N31" s="11"/>
      <c r="O31" s="53"/>
      <c r="P31" s="21" t="s">
        <v>85</v>
      </c>
      <c r="R31" s="95"/>
    </row>
    <row r="32" spans="1:20" x14ac:dyDescent="0.25">
      <c r="A32" s="77" t="s">
        <v>86</v>
      </c>
      <c r="B32" s="90"/>
      <c r="C32" s="94"/>
      <c r="D32" s="90"/>
      <c r="E32" s="94"/>
      <c r="F32" s="90"/>
      <c r="G32" s="94"/>
      <c r="H32" s="90"/>
      <c r="I32" s="92"/>
      <c r="J32" s="90">
        <v>1</v>
      </c>
      <c r="K32" s="94"/>
      <c r="L32" s="90"/>
      <c r="M32" s="57"/>
      <c r="N32" s="11"/>
      <c r="O32" s="53"/>
      <c r="P32" s="21" t="s">
        <v>87</v>
      </c>
      <c r="R32" s="95"/>
    </row>
    <row r="33" spans="1:20" x14ac:dyDescent="0.25">
      <c r="A33" s="96" t="s">
        <v>88</v>
      </c>
      <c r="B33" s="90">
        <v>15.6</v>
      </c>
      <c r="C33" s="94"/>
      <c r="D33" s="90">
        <v>68.8</v>
      </c>
      <c r="E33" s="94"/>
      <c r="F33" s="90">
        <v>25.1</v>
      </c>
      <c r="G33" s="94"/>
      <c r="H33" s="55"/>
      <c r="I33" s="94"/>
      <c r="J33" s="55"/>
      <c r="K33" s="94"/>
      <c r="L33" s="55"/>
      <c r="M33" s="94"/>
      <c r="N33" s="55"/>
      <c r="O33" s="94"/>
      <c r="P33" s="5" t="s">
        <v>89</v>
      </c>
      <c r="Q33" s="5"/>
      <c r="R33" s="5"/>
      <c r="S33" s="5"/>
      <c r="T33" s="5"/>
    </row>
    <row r="34" spans="1:20" x14ac:dyDescent="0.25">
      <c r="A34" s="108" t="s">
        <v>90</v>
      </c>
      <c r="B34" s="109">
        <f>ROUND(AVERAGE(B26,B29,B30,B31,B33),-1)</f>
        <v>30</v>
      </c>
      <c r="C34" s="110"/>
      <c r="D34" s="109">
        <f>ROUND(AVERAGE(D26,D29,D30,D31,D33),-1)</f>
        <v>60</v>
      </c>
      <c r="E34" s="109"/>
      <c r="F34" s="109">
        <f>ROUND(AVERAGE(F26,F29,F30,F31,F33),-1)</f>
        <v>30</v>
      </c>
      <c r="G34" s="109"/>
      <c r="H34" s="109">
        <f>ROUND(AVERAGE(H26,H30,H31),-1)</f>
        <v>20</v>
      </c>
      <c r="I34" s="109"/>
      <c r="J34" s="109">
        <f>ROUND(AVERAGE(J26,J30,J32),-1)</f>
        <v>30</v>
      </c>
      <c r="K34" s="109"/>
      <c r="L34" s="111">
        <f>ROUND(L31,-1)</f>
        <v>780</v>
      </c>
      <c r="M34" s="111"/>
      <c r="N34" s="109">
        <f>AVERAGE(N30,N26)</f>
        <v>5.3071428571428569</v>
      </c>
      <c r="O34" s="112"/>
      <c r="P34" s="9"/>
      <c r="Q34" s="9"/>
    </row>
    <row r="35" spans="1:20" x14ac:dyDescent="0.25">
      <c r="A35" s="5"/>
      <c r="B35" s="129"/>
      <c r="C35" s="130"/>
      <c r="D35" s="129"/>
      <c r="E35" s="129"/>
      <c r="F35" s="129"/>
      <c r="G35" s="129"/>
      <c r="H35" s="129"/>
      <c r="I35" s="129"/>
      <c r="J35" s="129"/>
      <c r="K35" s="129"/>
      <c r="L35" s="131"/>
      <c r="M35" s="131"/>
      <c r="N35" s="129"/>
      <c r="O35" s="21"/>
    </row>
    <row r="36" spans="1:20" x14ac:dyDescent="0.25">
      <c r="A36" s="96" t="s">
        <v>91</v>
      </c>
      <c r="B36" s="129"/>
      <c r="C36" s="130"/>
      <c r="D36" s="129"/>
      <c r="E36" s="129"/>
      <c r="F36" s="129"/>
      <c r="G36" s="129"/>
      <c r="H36" s="129"/>
      <c r="I36" s="129"/>
      <c r="J36" s="129"/>
      <c r="K36" s="129"/>
      <c r="L36" s="5" t="s">
        <v>92</v>
      </c>
      <c r="M36" s="131"/>
      <c r="N36" s="129"/>
      <c r="O36" s="21"/>
    </row>
    <row r="37" spans="1:20" x14ac:dyDescent="0.25">
      <c r="A37" s="5" t="s">
        <v>93</v>
      </c>
      <c r="D37" s="5"/>
      <c r="F37" s="5"/>
      <c r="H37" s="5"/>
      <c r="M37" s="5"/>
    </row>
    <row r="38" spans="1:20" x14ac:dyDescent="0.25">
      <c r="A38" s="5" t="s">
        <v>24</v>
      </c>
      <c r="B38" s="117">
        <f>B34*0.7*600/9900</f>
        <v>1.2727272727272727</v>
      </c>
      <c r="C38" t="s">
        <v>94</v>
      </c>
      <c r="D38" s="5"/>
      <c r="F38" s="5"/>
      <c r="H38" s="5"/>
      <c r="L38" s="5"/>
      <c r="M38" s="5"/>
    </row>
    <row r="39" spans="1:20" x14ac:dyDescent="0.25">
      <c r="A39" s="5" t="s">
        <v>23</v>
      </c>
      <c r="B39" s="113">
        <f>B34*0.3</f>
        <v>9</v>
      </c>
      <c r="D39" s="5"/>
      <c r="H39" s="5"/>
      <c r="L39" s="5"/>
      <c r="M39" s="5"/>
    </row>
    <row r="40" spans="1:20" x14ac:dyDescent="0.25">
      <c r="A40" s="5" t="s">
        <v>95</v>
      </c>
      <c r="B40" s="5"/>
      <c r="D40" s="5"/>
      <c r="F40" s="5"/>
      <c r="H40" s="5"/>
      <c r="L40" s="5"/>
      <c r="M40" s="5"/>
    </row>
    <row r="41" spans="1:20" x14ac:dyDescent="0.25">
      <c r="A41" s="5" t="s">
        <v>30</v>
      </c>
      <c r="B41" s="117">
        <f>F34*0.13*1.5/16</f>
        <v>0.36562500000000003</v>
      </c>
      <c r="C41" t="s">
        <v>96</v>
      </c>
      <c r="D41" s="5"/>
      <c r="H41" s="5"/>
      <c r="L41" s="5"/>
      <c r="M41" s="5"/>
    </row>
    <row r="42" spans="1:20" x14ac:dyDescent="0.25">
      <c r="A42" s="5" t="s">
        <v>97</v>
      </c>
      <c r="B42" s="118">
        <f>F34*0.87</f>
        <v>26.1</v>
      </c>
      <c r="D42" s="5"/>
      <c r="H42" s="5"/>
      <c r="L42" s="5"/>
      <c r="M42" s="5"/>
    </row>
    <row r="43" spans="1:20" x14ac:dyDescent="0.25">
      <c r="A43" s="5"/>
      <c r="B43" s="5"/>
      <c r="D43" s="5"/>
      <c r="F43" s="5"/>
      <c r="H43" s="5"/>
      <c r="L43" s="5"/>
      <c r="M43" s="5"/>
    </row>
    <row r="44" spans="1:20" x14ac:dyDescent="0.25">
      <c r="A44" s="77" t="s">
        <v>98</v>
      </c>
    </row>
    <row r="45" spans="1:20" x14ac:dyDescent="0.25">
      <c r="A45" s="107" t="s">
        <v>89</v>
      </c>
      <c r="B45" t="s">
        <v>99</v>
      </c>
      <c r="C45" s="2"/>
      <c r="D45" s="103"/>
      <c r="E45" s="104"/>
      <c r="F45" s="105"/>
      <c r="G45" s="104"/>
      <c r="H45" s="104"/>
      <c r="I45" s="104"/>
      <c r="K45" s="104"/>
      <c r="L45" s="106"/>
      <c r="M45" s="106"/>
      <c r="N45" s="104"/>
      <c r="P45" s="103"/>
    </row>
    <row r="46" spans="1:20" x14ac:dyDescent="0.25">
      <c r="A46" s="102" t="s">
        <v>77</v>
      </c>
      <c r="B46" t="s">
        <v>100</v>
      </c>
      <c r="C46" s="2"/>
      <c r="D46" s="103"/>
      <c r="E46" s="104"/>
      <c r="F46" s="105"/>
      <c r="G46" s="104"/>
      <c r="H46" s="104"/>
      <c r="I46" s="104"/>
      <c r="K46" s="104"/>
      <c r="L46" s="106"/>
      <c r="M46" s="106"/>
      <c r="N46" s="104"/>
    </row>
    <row r="47" spans="1:20" x14ac:dyDescent="0.25">
      <c r="A47" t="s">
        <v>101</v>
      </c>
      <c r="B47" t="s">
        <v>102</v>
      </c>
      <c r="C47" s="2"/>
      <c r="D47" s="103"/>
      <c r="E47" s="104"/>
      <c r="F47" s="105"/>
      <c r="G47" s="104"/>
      <c r="H47" s="104"/>
      <c r="I47" s="104"/>
      <c r="J47" s="104"/>
      <c r="K47" s="104"/>
      <c r="L47" s="106"/>
      <c r="M47" s="106"/>
      <c r="N47" s="104"/>
      <c r="P47" s="103"/>
    </row>
    <row r="48" spans="1:20" x14ac:dyDescent="0.25">
      <c r="A48" t="s">
        <v>103</v>
      </c>
      <c r="B48" t="s">
        <v>104</v>
      </c>
    </row>
    <row r="49" spans="1:14" x14ac:dyDescent="0.25">
      <c r="A49" t="s">
        <v>105</v>
      </c>
      <c r="B49" t="s">
        <v>106</v>
      </c>
      <c r="L49" s="5"/>
      <c r="M49" s="5"/>
    </row>
    <row r="50" spans="1:14" x14ac:dyDescent="0.25">
      <c r="A50" t="s">
        <v>107</v>
      </c>
      <c r="B50" s="5" t="s">
        <v>108</v>
      </c>
      <c r="L50" s="5"/>
      <c r="M50" s="5"/>
    </row>
    <row r="51" spans="1:14" x14ac:dyDescent="0.25">
      <c r="A51" t="s">
        <v>109</v>
      </c>
      <c r="B51" t="s">
        <v>110</v>
      </c>
      <c r="L51" s="5"/>
      <c r="M51" s="5"/>
    </row>
    <row r="52" spans="1:14" x14ac:dyDescent="0.25">
      <c r="A52" t="s">
        <v>111</v>
      </c>
      <c r="B52" t="s">
        <v>112</v>
      </c>
      <c r="L52" s="5"/>
      <c r="M52" s="5"/>
    </row>
    <row r="53" spans="1:14" x14ac:dyDescent="0.25">
      <c r="A53" s="97" t="s">
        <v>80</v>
      </c>
      <c r="B53" t="s">
        <v>113</v>
      </c>
      <c r="E53" s="98"/>
      <c r="F53" s="99"/>
      <c r="G53" s="98"/>
      <c r="H53" s="98"/>
      <c r="I53" s="98"/>
      <c r="K53" s="100"/>
      <c r="L53" s="101"/>
      <c r="M53" s="101"/>
      <c r="N53" s="100"/>
    </row>
    <row r="54" spans="1:14" x14ac:dyDescent="0.25">
      <c r="A54" t="s">
        <v>114</v>
      </c>
      <c r="B54" s="5" t="s">
        <v>115</v>
      </c>
      <c r="L54" s="5"/>
      <c r="M54" s="5"/>
    </row>
    <row r="55" spans="1:14" x14ac:dyDescent="0.25">
      <c r="A55" t="s">
        <v>116</v>
      </c>
      <c r="B55" s="144" t="s">
        <v>117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D753B-D9C7-4C89-B2E5-669703BBD7CF}">
  <sheetPr>
    <tabColor theme="2" tint="-0.249977111117893"/>
  </sheetPr>
  <dimension ref="A2:Q23"/>
  <sheetViews>
    <sheetView topLeftCell="D1" workbookViewId="0">
      <selection activeCell="R12" sqref="R12"/>
    </sheetView>
  </sheetViews>
  <sheetFormatPr defaultRowHeight="15" x14ac:dyDescent="0.25"/>
  <sheetData>
    <row r="2" spans="1:17" ht="21" x14ac:dyDescent="0.35">
      <c r="A2" s="17" t="s">
        <v>132</v>
      </c>
    </row>
    <row r="4" spans="1:17" x14ac:dyDescent="0.25">
      <c r="A4" s="120"/>
    </row>
    <row r="5" spans="1:17" x14ac:dyDescent="0.25">
      <c r="A5" s="121"/>
      <c r="B5" s="145" t="s">
        <v>118</v>
      </c>
      <c r="C5" s="145"/>
      <c r="D5" s="145" t="s">
        <v>119</v>
      </c>
      <c r="E5" s="145"/>
      <c r="F5" s="146" t="s">
        <v>120</v>
      </c>
      <c r="G5" s="146"/>
      <c r="H5" s="122"/>
      <c r="I5" s="122"/>
      <c r="J5" s="122"/>
      <c r="K5" s="122"/>
      <c r="L5" s="122"/>
      <c r="M5" s="122"/>
      <c r="N5" s="122"/>
      <c r="O5" s="122"/>
      <c r="P5" s="122"/>
      <c r="Q5" s="122"/>
    </row>
    <row r="6" spans="1:17" x14ac:dyDescent="0.25">
      <c r="A6" s="123"/>
      <c r="B6" s="124" t="s">
        <v>20</v>
      </c>
      <c r="C6" s="125" t="s">
        <v>121</v>
      </c>
      <c r="D6" s="124" t="s">
        <v>20</v>
      </c>
      <c r="E6" s="125" t="s">
        <v>121</v>
      </c>
      <c r="F6" s="124" t="s">
        <v>20</v>
      </c>
      <c r="G6" s="125" t="s">
        <v>121</v>
      </c>
    </row>
    <row r="7" spans="1:17" x14ac:dyDescent="0.25">
      <c r="A7" s="120" t="s">
        <v>38</v>
      </c>
      <c r="B7" s="2">
        <v>34.1</v>
      </c>
      <c r="C7" s="126">
        <v>3</v>
      </c>
      <c r="D7">
        <v>40</v>
      </c>
      <c r="E7" s="98">
        <v>2</v>
      </c>
      <c r="F7">
        <v>13</v>
      </c>
      <c r="G7" s="98">
        <v>2</v>
      </c>
    </row>
    <row r="8" spans="1:17" x14ac:dyDescent="0.25">
      <c r="A8" s="120" t="s">
        <v>41</v>
      </c>
      <c r="B8" s="2">
        <v>38.9</v>
      </c>
      <c r="C8" s="126">
        <v>5</v>
      </c>
      <c r="D8">
        <v>58</v>
      </c>
      <c r="E8" s="98">
        <v>4</v>
      </c>
      <c r="F8">
        <v>19</v>
      </c>
      <c r="G8" s="98">
        <v>4</v>
      </c>
    </row>
    <row r="9" spans="1:17" x14ac:dyDescent="0.25">
      <c r="A9" s="120" t="s">
        <v>42</v>
      </c>
      <c r="B9" s="2">
        <v>69.900000000000006</v>
      </c>
      <c r="C9" s="126">
        <v>6</v>
      </c>
      <c r="D9">
        <v>98</v>
      </c>
      <c r="E9" s="98">
        <v>6</v>
      </c>
      <c r="F9">
        <v>33</v>
      </c>
      <c r="G9" s="98">
        <v>6</v>
      </c>
    </row>
    <row r="10" spans="1:17" x14ac:dyDescent="0.25">
      <c r="A10" s="120" t="s">
        <v>43</v>
      </c>
      <c r="B10" s="2">
        <v>89</v>
      </c>
      <c r="C10" s="126">
        <v>7</v>
      </c>
      <c r="D10">
        <v>183</v>
      </c>
      <c r="E10" s="98">
        <v>9</v>
      </c>
      <c r="F10">
        <v>61</v>
      </c>
      <c r="G10" s="98">
        <v>9</v>
      </c>
    </row>
    <row r="11" spans="1:17" x14ac:dyDescent="0.25">
      <c r="A11" s="120" t="s">
        <v>44</v>
      </c>
      <c r="B11" s="2">
        <v>111.2</v>
      </c>
      <c r="C11" s="126">
        <v>8</v>
      </c>
      <c r="D11">
        <v>148</v>
      </c>
      <c r="E11" s="98">
        <v>7</v>
      </c>
      <c r="F11">
        <v>49</v>
      </c>
      <c r="G11" s="98">
        <v>7</v>
      </c>
    </row>
    <row r="12" spans="1:17" x14ac:dyDescent="0.25">
      <c r="A12" s="120" t="s">
        <v>46</v>
      </c>
      <c r="B12" s="2">
        <v>33.6</v>
      </c>
      <c r="C12" s="126">
        <v>2</v>
      </c>
      <c r="D12">
        <v>64</v>
      </c>
      <c r="E12" s="98">
        <v>5</v>
      </c>
      <c r="F12">
        <v>21</v>
      </c>
      <c r="G12" s="98">
        <v>5</v>
      </c>
    </row>
    <row r="13" spans="1:17" x14ac:dyDescent="0.25">
      <c r="A13" s="120" t="s">
        <v>47</v>
      </c>
      <c r="B13" s="2">
        <v>157.5</v>
      </c>
      <c r="C13" s="126">
        <v>10</v>
      </c>
      <c r="D13">
        <v>240</v>
      </c>
      <c r="E13" s="98">
        <v>10</v>
      </c>
      <c r="F13">
        <v>80</v>
      </c>
      <c r="G13" s="98">
        <v>10</v>
      </c>
    </row>
    <row r="14" spans="1:17" x14ac:dyDescent="0.25">
      <c r="A14" s="120" t="s">
        <v>71</v>
      </c>
      <c r="B14" s="2">
        <v>37</v>
      </c>
      <c r="C14" s="126">
        <v>4</v>
      </c>
      <c r="D14">
        <v>49</v>
      </c>
      <c r="E14" s="98">
        <v>3</v>
      </c>
      <c r="F14">
        <v>16</v>
      </c>
      <c r="G14" s="98">
        <v>3</v>
      </c>
    </row>
    <row r="15" spans="1:17" x14ac:dyDescent="0.25">
      <c r="A15" s="120" t="s">
        <v>54</v>
      </c>
      <c r="B15" s="2">
        <v>196</v>
      </c>
      <c r="C15" s="126">
        <v>11</v>
      </c>
      <c r="D15">
        <v>308</v>
      </c>
      <c r="E15" s="98">
        <v>11</v>
      </c>
      <c r="F15">
        <v>103</v>
      </c>
      <c r="G15" s="98">
        <v>11</v>
      </c>
    </row>
    <row r="16" spans="1:17" x14ac:dyDescent="0.25">
      <c r="A16" s="120" t="s">
        <v>59</v>
      </c>
      <c r="B16" s="2">
        <v>127.4</v>
      </c>
      <c r="C16" s="126">
        <v>9</v>
      </c>
      <c r="D16">
        <v>159</v>
      </c>
      <c r="E16" s="98">
        <v>8</v>
      </c>
      <c r="F16">
        <v>53</v>
      </c>
      <c r="G16" s="98">
        <v>8</v>
      </c>
    </row>
    <row r="17" spans="1:15" x14ac:dyDescent="0.25">
      <c r="A17" s="123" t="s">
        <v>60</v>
      </c>
      <c r="B17" s="8">
        <v>10.6</v>
      </c>
      <c r="C17" s="127">
        <v>1</v>
      </c>
      <c r="D17" s="6">
        <v>19</v>
      </c>
      <c r="E17" s="128">
        <v>1</v>
      </c>
      <c r="F17" s="6">
        <v>6</v>
      </c>
      <c r="G17" s="128">
        <v>1</v>
      </c>
    </row>
    <row r="18" spans="1:15" x14ac:dyDescent="0.25">
      <c r="A18" s="120"/>
      <c r="B18" s="2"/>
      <c r="C18" s="2"/>
    </row>
    <row r="19" spans="1:15" x14ac:dyDescent="0.25">
      <c r="B19" s="2"/>
      <c r="C19" s="2"/>
      <c r="I19" s="147" t="s">
        <v>122</v>
      </c>
      <c r="J19" s="147"/>
      <c r="K19" s="147"/>
      <c r="L19" s="147"/>
      <c r="M19" s="147"/>
      <c r="N19" s="147"/>
      <c r="O19" s="147"/>
    </row>
    <row r="20" spans="1:15" x14ac:dyDescent="0.25">
      <c r="B20" s="2"/>
      <c r="C20" s="2"/>
      <c r="I20" s="147"/>
      <c r="J20" s="147"/>
      <c r="K20" s="147"/>
      <c r="L20" s="147"/>
      <c r="M20" s="147"/>
      <c r="N20" s="147"/>
      <c r="O20" s="147"/>
    </row>
    <row r="21" spans="1:15" ht="15" customHeight="1" x14ac:dyDescent="0.25">
      <c r="I21" s="148" t="s">
        <v>123</v>
      </c>
      <c r="J21" s="148"/>
      <c r="K21" s="148"/>
      <c r="L21" s="148"/>
      <c r="M21" s="148"/>
      <c r="N21" s="148"/>
      <c r="O21" s="148"/>
    </row>
    <row r="22" spans="1:15" x14ac:dyDescent="0.25">
      <c r="I22" s="148"/>
      <c r="J22" s="148"/>
      <c r="K22" s="148"/>
      <c r="L22" s="148"/>
      <c r="M22" s="148"/>
      <c r="N22" s="148"/>
      <c r="O22" s="148"/>
    </row>
    <row r="23" spans="1:15" x14ac:dyDescent="0.25">
      <c r="I23" s="148"/>
      <c r="J23" s="148"/>
      <c r="K23" s="148"/>
      <c r="L23" s="148"/>
      <c r="M23" s="148"/>
      <c r="N23" s="148"/>
      <c r="O23" s="148"/>
    </row>
  </sheetData>
  <mergeCells count="5">
    <mergeCell ref="B5:C5"/>
    <mergeCell ref="D5:E5"/>
    <mergeCell ref="F5:G5"/>
    <mergeCell ref="I19:O20"/>
    <mergeCell ref="I21:O2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5CBF7-3EDD-4B31-81A0-049259306FAD}">
  <sheetPr>
    <tabColor theme="2" tint="-9.9978637043366805E-2"/>
  </sheetPr>
  <dimension ref="A2:A29"/>
  <sheetViews>
    <sheetView topLeftCell="A3" workbookViewId="0">
      <selection activeCell="L19" sqref="L19"/>
    </sheetView>
  </sheetViews>
  <sheetFormatPr defaultRowHeight="15" x14ac:dyDescent="0.25"/>
  <sheetData>
    <row r="2" spans="1:1" ht="18.75" x14ac:dyDescent="0.3">
      <c r="A2" s="114" t="s">
        <v>127</v>
      </c>
    </row>
    <row r="29" spans="1:1" x14ac:dyDescent="0.25">
      <c r="A29" t="s">
        <v>133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5</vt:i4>
      </vt:variant>
    </vt:vector>
  </HeadingPairs>
  <TitlesOfParts>
    <vt:vector size="5" baseType="lpstr">
      <vt:lpstr>README</vt:lpstr>
      <vt:lpstr>Antibiotics use index</vt:lpstr>
      <vt:lpstr>Standardised values</vt:lpstr>
      <vt:lpstr>Simple indicator</vt:lpstr>
      <vt:lpstr>Fig.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Elin Röös</cp:lastModifiedBy>
  <cp:revision/>
  <dcterms:created xsi:type="dcterms:W3CDTF">2023-06-06T20:27:03Z</dcterms:created>
  <dcterms:modified xsi:type="dcterms:W3CDTF">2025-05-30T06:36:33Z</dcterms:modified>
  <cp:category/>
  <cp:contentStatus/>
</cp:coreProperties>
</file>