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fslotta\Documents\Planeat\"/>
    </mc:Choice>
  </mc:AlternateContent>
  <bookViews>
    <workbookView xWindow="-105" yWindow="-105" windowWidth="23250" windowHeight="12570"/>
  </bookViews>
  <sheets>
    <sheet name="README" sheetId="5" r:id="rId1"/>
    <sheet name="Empty survey" sheetId="1" r:id="rId2"/>
    <sheet name="Results" sheetId="4" r:id="rId3"/>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4" i="4" l="1"/>
  <c r="C14" i="4"/>
  <c r="D14" i="4"/>
  <c r="E14" i="4"/>
  <c r="F14" i="4"/>
  <c r="G14" i="4"/>
  <c r="H14" i="4"/>
  <c r="I14" i="4"/>
  <c r="J14" i="4"/>
  <c r="K14" i="4"/>
  <c r="L14" i="4"/>
  <c r="M14" i="4"/>
  <c r="N14" i="4"/>
  <c r="O14" i="4"/>
  <c r="P14" i="4"/>
  <c r="B19" i="4"/>
  <c r="C19" i="4"/>
  <c r="D19" i="4"/>
  <c r="E19" i="4"/>
  <c r="F19" i="4"/>
  <c r="G19" i="4"/>
  <c r="H19" i="4"/>
  <c r="I19" i="4"/>
  <c r="J19" i="4"/>
  <c r="K19" i="4"/>
  <c r="L19" i="4"/>
  <c r="M19" i="4"/>
  <c r="N19" i="4"/>
  <c r="O19" i="4"/>
  <c r="P19" i="4"/>
  <c r="B24" i="4"/>
  <c r="C24" i="4"/>
  <c r="D24" i="4"/>
  <c r="E24" i="4"/>
  <c r="F24" i="4"/>
  <c r="G24" i="4"/>
  <c r="H24" i="4"/>
  <c r="I24" i="4"/>
  <c r="J24" i="4"/>
  <c r="K24" i="4"/>
  <c r="L24" i="4"/>
  <c r="M24" i="4"/>
  <c r="N24" i="4"/>
  <c r="O24" i="4"/>
  <c r="P24" i="4"/>
  <c r="B29" i="4"/>
  <c r="C29" i="4"/>
  <c r="D29" i="4"/>
  <c r="E29" i="4"/>
  <c r="F29" i="4"/>
  <c r="G29" i="4"/>
  <c r="H29" i="4"/>
  <c r="I29" i="4"/>
  <c r="J29" i="4"/>
  <c r="K29" i="4"/>
  <c r="L29" i="4"/>
  <c r="M29" i="4"/>
  <c r="N29" i="4"/>
  <c r="O29" i="4"/>
  <c r="P29" i="4"/>
  <c r="T28" i="4"/>
  <c r="S28" i="4"/>
  <c r="R28" i="4"/>
  <c r="U28" i="4" s="1"/>
  <c r="T27" i="4"/>
  <c r="S27" i="4"/>
  <c r="R27" i="4"/>
  <c r="U27" i="4" s="1"/>
  <c r="T23" i="4"/>
  <c r="S23" i="4"/>
  <c r="R23" i="4"/>
  <c r="U23" i="4" s="1"/>
  <c r="T22" i="4"/>
  <c r="S22" i="4"/>
  <c r="R22" i="4"/>
  <c r="U22" i="4" s="1"/>
  <c r="T18" i="4"/>
  <c r="S18" i="4"/>
  <c r="R18" i="4"/>
  <c r="U18" i="4" s="1"/>
  <c r="T17" i="4"/>
  <c r="S17" i="4"/>
  <c r="R17" i="4"/>
  <c r="U17" i="4" s="1"/>
  <c r="T13" i="4"/>
  <c r="S13" i="4"/>
  <c r="R13" i="4"/>
  <c r="V13" i="4" s="1"/>
  <c r="T12" i="4"/>
  <c r="S12" i="4"/>
  <c r="R12" i="4"/>
  <c r="V12" i="4" s="1"/>
  <c r="T11" i="4"/>
  <c r="S11" i="4"/>
  <c r="R11" i="4"/>
  <c r="V11" i="4" s="1"/>
  <c r="T10" i="4"/>
  <c r="S10" i="4"/>
  <c r="R10" i="4"/>
  <c r="V10" i="4" s="1"/>
  <c r="T9" i="4"/>
  <c r="S9" i="4"/>
  <c r="R9" i="4"/>
  <c r="V9" i="4" s="1"/>
  <c r="T8" i="4"/>
  <c r="S8" i="4"/>
  <c r="R8" i="4"/>
  <c r="V8" i="4" s="1"/>
  <c r="T7" i="4"/>
  <c r="S7" i="4"/>
  <c r="R7" i="4"/>
  <c r="V7" i="4" s="1"/>
  <c r="T6" i="4"/>
  <c r="S6" i="4"/>
  <c r="R6" i="4"/>
  <c r="V6" i="4" s="1"/>
  <c r="T5" i="4"/>
  <c r="S5" i="4"/>
  <c r="R5" i="4"/>
  <c r="V5" i="4" s="1"/>
  <c r="T4" i="4"/>
  <c r="S4" i="4"/>
  <c r="R4" i="4"/>
  <c r="V4" i="4" s="1"/>
  <c r="V22" i="4" l="1"/>
  <c r="X8" i="4" s="1"/>
  <c r="V17" i="4"/>
  <c r="V27" i="4"/>
  <c r="Z12" i="4" s="1"/>
  <c r="X6" i="4"/>
  <c r="Z6" i="4" s="1"/>
  <c r="X5" i="4"/>
  <c r="Z5" i="4"/>
  <c r="R29" i="4"/>
  <c r="R24" i="4"/>
  <c r="R19" i="4"/>
  <c r="Z13" i="4" l="1"/>
  <c r="Z8" i="4"/>
  <c r="C17" i="1"/>
  <c r="C27" i="1"/>
  <c r="C32" i="1"/>
  <c r="C22" i="1"/>
  <c r="T3" i="4"/>
  <c r="S3" i="4"/>
  <c r="R3" i="4"/>
  <c r="R14" i="4" l="1"/>
  <c r="V3" i="4"/>
</calcChain>
</file>

<file path=xl/sharedStrings.xml><?xml version="1.0" encoding="utf-8"?>
<sst xmlns="http://schemas.openxmlformats.org/spreadsheetml/2006/main" count="110" uniqueCount="71">
  <si>
    <t>Advancing Indicators for Animal Welfare and Antibiotic Use in Sustainability Assessments of Diets</t>
  </si>
  <si>
    <t>by</t>
  </si>
  <si>
    <t xml:space="preserve">Lotta Rydhmer, Professor in Animal Breeding, Swedish University of Agricultural Sciences </t>
  </si>
  <si>
    <t>Elin Röös, Associate Professor in Sustainable Food Systems, Swedish University of Agricultural Sciences</t>
  </si>
  <si>
    <t>Empty survey</t>
  </si>
  <si>
    <t>Results</t>
  </si>
  <si>
    <t>Results from 15 respondents and calculations of ability</t>
  </si>
  <si>
    <t>More information about the questionnaire</t>
  </si>
  <si>
    <t>The questionnaire was sent out to 30 colleagues at the Faculty of Veterinary Medicine and Animal Science at SLU in March 2023.</t>
  </si>
  <si>
    <t>These 30 researchers were selected by the first author based on their research field. All of them had studied several of the species in the questionnaire. The response rate was 50%.</t>
  </si>
  <si>
    <t>After the workshop, the respondents were invited to revise their response and send in a new version. Eleven of them sent in a new version.</t>
  </si>
  <si>
    <t>Survey sent out to experts in animal science and veterinary medicine.</t>
  </si>
  <si>
    <t>Your task: Distribute 110,000 points, with most to the animals who have the highest ability to perceive negative effects of being used by humans</t>
  </si>
  <si>
    <t>You can give 10,000 points to all (no difference between species). You can give &lt;1 or 0 points to one or several.</t>
  </si>
  <si>
    <t>Animals' relative ability to perceive what they are exposed to</t>
  </si>
  <si>
    <t>Importance of species (group of species)</t>
  </si>
  <si>
    <t>Distribute  110,000</t>
  </si>
  <si>
    <t>Octopus, squid</t>
  </si>
  <si>
    <t>Meal worm</t>
  </si>
  <si>
    <t>Ruminants (including game)</t>
  </si>
  <si>
    <t>Poultry and game birds</t>
  </si>
  <si>
    <t>Lobster, crab, crayfish, shrimp</t>
  </si>
  <si>
    <t>Pig and wild boar</t>
  </si>
  <si>
    <t>Cricket and honey bee</t>
  </si>
  <si>
    <t>Mussels and oysters</t>
  </si>
  <si>
    <t>Horse and donkey</t>
  </si>
  <si>
    <t>Rabbit and hare</t>
  </si>
  <si>
    <t>Salmon and other bone fish</t>
  </si>
  <si>
    <t>Sum</t>
  </si>
  <si>
    <t>Shall sum to 110,000</t>
  </si>
  <si>
    <t>In the following questions you shall distribute 100 points.</t>
  </si>
  <si>
    <t>Importance of age, question 1</t>
  </si>
  <si>
    <t>Distribute 100</t>
  </si>
  <si>
    <t>Newly hatched chicken</t>
  </si>
  <si>
    <t>Chicken at standard age for slaughter (ca 5 weeks)</t>
  </si>
  <si>
    <t>Shall sum to 100</t>
  </si>
  <si>
    <t>Importance of age, question 2</t>
  </si>
  <si>
    <t>Lamb at standard age for slaughter (ca 6 months)</t>
  </si>
  <si>
    <t>Adult sheep</t>
  </si>
  <si>
    <t>Importance of genotype</t>
  </si>
  <si>
    <t>Domesticated pig</t>
  </si>
  <si>
    <t>Wild boar</t>
  </si>
  <si>
    <t>Summa</t>
  </si>
  <si>
    <t>Results from 15 experts in animal science and veterinary medicine</t>
  </si>
  <si>
    <t>Abilities used in animal welfare indices</t>
  </si>
  <si>
    <t>mean</t>
  </si>
  <si>
    <t>min</t>
  </si>
  <si>
    <t>max</t>
  </si>
  <si>
    <t>points/110000</t>
  </si>
  <si>
    <t>all</t>
  </si>
  <si>
    <t>cows, young 24 m</t>
  </si>
  <si>
    <t>lambs, calves 9 m</t>
  </si>
  <si>
    <t>non domest.</t>
  </si>
  <si>
    <t>lying hen</t>
  </si>
  <si>
    <t>chicken 5 w</t>
  </si>
  <si>
    <t>chicken 0 d</t>
  </si>
  <si>
    <t>sows</t>
  </si>
  <si>
    <t>sl. pigs</t>
  </si>
  <si>
    <t>rabbit</t>
  </si>
  <si>
    <t>salmon</t>
  </si>
  <si>
    <t>points/100</t>
  </si>
  <si>
    <t>ratio</t>
  </si>
  <si>
    <t>Explanation of the sheets:</t>
  </si>
  <si>
    <r>
      <t xml:space="preserve">An empty version of the questionnaire. </t>
    </r>
    <r>
      <rPr>
        <i/>
        <sz val="11"/>
        <color rgb="FF000000"/>
        <rFont val="Calibri"/>
        <family val="2"/>
      </rPr>
      <t>Try to fill it in!</t>
    </r>
    <r>
      <rPr>
        <sz val="11"/>
        <color rgb="FF000000"/>
        <rFont val="Calibri"/>
        <family val="2"/>
      </rPr>
      <t xml:space="preserve"> </t>
    </r>
  </si>
  <si>
    <r>
      <t>The individual responses (of which 11 are the 2nd version) are presented in</t>
    </r>
    <r>
      <rPr>
        <i/>
        <sz val="11"/>
        <color rgb="FF000000"/>
        <rFont val="Calibri"/>
        <family val="2"/>
        <scheme val="minor"/>
      </rPr>
      <t xml:space="preserve"> Results</t>
    </r>
    <r>
      <rPr>
        <sz val="11"/>
        <color rgb="FF000000"/>
        <rFont val="Calibri"/>
        <family val="2"/>
        <scheme val="minor"/>
      </rPr>
      <t>.</t>
    </r>
  </si>
  <si>
    <t>Supplementary Material 4 to</t>
  </si>
  <si>
    <t xml:space="preserve">Responses about animal age and domestication were combined with responses about species, in the calculation of  'ability to perceive negative effects of being handled by humans'. </t>
  </si>
  <si>
    <t>Examples of stated reasons for not responding was “I am not an expert on animals’ perceptions – my answer would not be scientific” and "If you cannot find a better method than this you should not develop an animal welfare index".</t>
  </si>
  <si>
    <t>The respondents were invited to a workshop where the average result from the first run and the consequences of using the result in an animal welfare index was presented and discussed.</t>
  </si>
  <si>
    <t xml:space="preserve">The respondents were informed that the result of the questionnaire would be used in animal welfare indices. The alternative, to base the evaluation of neurons and brain size, as done by Scherer et al (2028), was also described with relevant references. In the information sent out with the questionnaire, it was explained that their points would be used to calculate relative values. </t>
  </si>
  <si>
    <t xml:space="preserve">Two ‘nonsense examples’ of responses were provided to illustrate how the questionnaire should be answered; one with equal ability for all species (i.e. 10,000 points) and one with equal ability for all mammals (i.e. 27,500 points) and no ability (0 points) for all other species. The questionnaire included a sum function so that the respondent could increase and decrease weights for different species within the total 110,000 points.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</si>
</sst>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00"/>
    <numFmt numFmtId="165" formatCode="0.000"/>
  </numFmts>
  <fonts count="16" x14ac:knownFonts="1">
    <font>
      <sz val="11"/>
      <color theme="1"/>
      <name val="Calibri"/>
      <family val="2"/>
      <scheme val="minor"/>
    </font>
    <font>
      <b/>
      <sz val="11"/>
      <color theme="1"/>
      <name val="Calibri"/>
      <family val="2"/>
      <scheme val="minor"/>
    </font>
    <font>
      <i/>
      <sz val="11"/>
      <color theme="1"/>
      <name val="Calibri"/>
      <family val="2"/>
      <scheme val="minor"/>
    </font>
    <font>
      <sz val="11"/>
      <color theme="0" tint="-0.499984740745262"/>
      <name val="Calibri"/>
      <family val="2"/>
      <scheme val="minor"/>
    </font>
    <font>
      <sz val="8"/>
      <color theme="1"/>
      <name val="Calibri"/>
      <family val="2"/>
      <scheme val="minor"/>
    </font>
    <font>
      <i/>
      <sz val="8"/>
      <color theme="1"/>
      <name val="Calibri"/>
      <family val="2"/>
      <scheme val="minor"/>
    </font>
    <font>
      <i/>
      <sz val="11"/>
      <color theme="0" tint="-0.499984740745262"/>
      <name val="Calibri"/>
      <family val="2"/>
      <scheme val="minor"/>
    </font>
    <font>
      <i/>
      <sz val="8"/>
      <color theme="0" tint="-0.499984740745262"/>
      <name val="Calibri"/>
      <family val="2"/>
      <scheme val="minor"/>
    </font>
    <font>
      <sz val="12"/>
      <color theme="1"/>
      <name val="Calibri"/>
      <family val="2"/>
      <scheme val="minor"/>
    </font>
    <font>
      <sz val="16"/>
      <color theme="1"/>
      <name val="Calibri"/>
      <family val="2"/>
      <scheme val="minor"/>
    </font>
    <font>
      <i/>
      <sz val="14"/>
      <color theme="1"/>
      <name val="Calibri"/>
      <family val="2"/>
      <scheme val="minor"/>
    </font>
    <font>
      <sz val="11"/>
      <color rgb="FF000000"/>
      <name val="Calibri"/>
      <family val="2"/>
    </font>
    <font>
      <i/>
      <sz val="11"/>
      <color rgb="FF000000"/>
      <name val="Calibri"/>
      <family val="2"/>
    </font>
    <font>
      <b/>
      <sz val="11"/>
      <color rgb="FF000000"/>
      <name val="Calibri"/>
      <family val="2"/>
    </font>
    <font>
      <sz val="11"/>
      <color rgb="FF000000"/>
      <name val="Calibri"/>
      <family val="2"/>
      <scheme val="minor"/>
    </font>
    <font>
      <i/>
      <sz val="11"/>
      <color rgb="FF000000"/>
      <name val="Calibri"/>
      <family val="2"/>
      <scheme val="minor"/>
    </font>
  </fonts>
  <fills count="8">
    <fill>
      <patternFill patternType="none"/>
    </fill>
    <fill>
      <patternFill patternType="gray125"/>
    </fill>
    <fill>
      <patternFill patternType="solid">
        <fgColor theme="7"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6" tint="0.79998168889431442"/>
        <bgColor indexed="64"/>
      </patternFill>
    </fill>
  </fills>
  <borders count="16">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s>
  <cellStyleXfs count="1">
    <xf numFmtId="0" fontId="0" fillId="0" borderId="0"/>
  </cellStyleXfs>
  <cellXfs count="108">
    <xf numFmtId="0" fontId="0" fillId="0" borderId="0" xfId="0"/>
    <xf numFmtId="0" fontId="0" fillId="0" borderId="0" xfId="0" applyAlignment="1">
      <alignment horizontal="center" vertical="top"/>
    </xf>
    <xf numFmtId="0" fontId="0" fillId="3" borderId="2" xfId="0" applyFill="1" applyBorder="1" applyAlignment="1">
      <alignment horizontal="center" vertical="top"/>
    </xf>
    <xf numFmtId="0" fontId="0" fillId="4" borderId="2" xfId="0" applyFill="1" applyBorder="1" applyAlignment="1">
      <alignment horizontal="center" vertical="top"/>
    </xf>
    <xf numFmtId="0" fontId="0" fillId="5" borderId="2" xfId="0" applyFill="1" applyBorder="1" applyAlignment="1">
      <alignment horizontal="center" vertical="top"/>
    </xf>
    <xf numFmtId="0" fontId="0" fillId="0" borderId="3" xfId="0" applyBorder="1" applyAlignment="1">
      <alignment horizontal="center" vertical="top"/>
    </xf>
    <xf numFmtId="0" fontId="2" fillId="0" borderId="0" xfId="0" applyFont="1"/>
    <xf numFmtId="0" fontId="2" fillId="0" borderId="3" xfId="0" applyFont="1" applyBorder="1" applyAlignment="1">
      <alignment horizontal="center" vertical="top"/>
    </xf>
    <xf numFmtId="0" fontId="2" fillId="2" borderId="4" xfId="0" applyFont="1" applyFill="1" applyBorder="1" applyAlignment="1">
      <alignment horizontal="center" vertical="top" wrapText="1"/>
    </xf>
    <xf numFmtId="0" fontId="2" fillId="3" borderId="4" xfId="0" applyFont="1" applyFill="1" applyBorder="1" applyAlignment="1">
      <alignment horizontal="center" vertical="top" wrapText="1"/>
    </xf>
    <xf numFmtId="0" fontId="2" fillId="4" borderId="4" xfId="0" applyFont="1" applyFill="1" applyBorder="1" applyAlignment="1">
      <alignment horizontal="center" vertical="top" wrapText="1"/>
    </xf>
    <xf numFmtId="0" fontId="2" fillId="5" borderId="4" xfId="0" applyFont="1" applyFill="1" applyBorder="1" applyAlignment="1">
      <alignment horizontal="center" vertical="top" wrapText="1"/>
    </xf>
    <xf numFmtId="3" fontId="0" fillId="2" borderId="2" xfId="0" applyNumberFormat="1" applyFill="1" applyBorder="1" applyAlignment="1">
      <alignment horizontal="center" vertical="top"/>
    </xf>
    <xf numFmtId="3" fontId="2" fillId="2" borderId="4" xfId="0" applyNumberFormat="1" applyFont="1" applyFill="1" applyBorder="1" applyAlignment="1">
      <alignment horizontal="center" vertical="top"/>
    </xf>
    <xf numFmtId="0" fontId="2" fillId="3" borderId="4" xfId="0" applyFont="1" applyFill="1" applyBorder="1" applyAlignment="1">
      <alignment horizontal="center" vertical="top"/>
    </xf>
    <xf numFmtId="0" fontId="2" fillId="4" borderId="4" xfId="0" applyFont="1" applyFill="1" applyBorder="1" applyAlignment="1">
      <alignment horizontal="center" vertical="top"/>
    </xf>
    <xf numFmtId="0" fontId="3" fillId="0" borderId="0" xfId="0" applyFont="1"/>
    <xf numFmtId="164" fontId="0" fillId="0" borderId="0" xfId="0" applyNumberFormat="1"/>
    <xf numFmtId="0" fontId="0" fillId="0" borderId="5" xfId="0" applyBorder="1" applyAlignment="1">
      <alignment vertical="center" wrapText="1"/>
    </xf>
    <xf numFmtId="0" fontId="0" fillId="0" borderId="6" xfId="0" applyBorder="1" applyAlignment="1">
      <alignment horizontal="center" vertical="top"/>
    </xf>
    <xf numFmtId="0" fontId="0" fillId="0" borderId="7" xfId="0" applyBorder="1" applyAlignment="1">
      <alignment horizontal="center" vertical="top"/>
    </xf>
    <xf numFmtId="0" fontId="0" fillId="0" borderId="8" xfId="0" applyBorder="1" applyAlignment="1">
      <alignment horizontal="left" vertical="top" wrapText="1"/>
    </xf>
    <xf numFmtId="0" fontId="1" fillId="2" borderId="10" xfId="0" applyFont="1" applyFill="1" applyBorder="1" applyAlignment="1">
      <alignment wrapText="1"/>
    </xf>
    <xf numFmtId="0" fontId="0" fillId="0" borderId="9" xfId="0" applyBorder="1" applyAlignment="1">
      <alignment horizontal="center" vertical="top"/>
    </xf>
    <xf numFmtId="0" fontId="0" fillId="2" borderId="8" xfId="0" applyFill="1" applyBorder="1"/>
    <xf numFmtId="0" fontId="2" fillId="2" borderId="10" xfId="0" applyFont="1" applyFill="1" applyBorder="1" applyAlignment="1">
      <alignment vertical="top"/>
    </xf>
    <xf numFmtId="0" fontId="2" fillId="2" borderId="11" xfId="0" applyFont="1" applyFill="1" applyBorder="1" applyAlignment="1">
      <alignment horizontal="center" vertical="top" wrapText="1"/>
    </xf>
    <xf numFmtId="0" fontId="0" fillId="0" borderId="8" xfId="0" applyBorder="1"/>
    <xf numFmtId="0" fontId="1" fillId="3" borderId="10" xfId="0" applyFont="1" applyFill="1" applyBorder="1"/>
    <xf numFmtId="0" fontId="0" fillId="3" borderId="8" xfId="0" applyFill="1" applyBorder="1"/>
    <xf numFmtId="0" fontId="2" fillId="3" borderId="10" xfId="0" applyFont="1" applyFill="1" applyBorder="1"/>
    <xf numFmtId="0" fontId="2" fillId="3" borderId="11" xfId="0" applyFont="1" applyFill="1" applyBorder="1" applyAlignment="1">
      <alignment horizontal="center" vertical="top" wrapText="1"/>
    </xf>
    <xf numFmtId="0" fontId="2" fillId="0" borderId="8" xfId="0" applyFont="1" applyBorder="1"/>
    <xf numFmtId="0" fontId="2" fillId="0" borderId="9" xfId="0" applyFont="1" applyBorder="1" applyAlignment="1">
      <alignment horizontal="center" vertical="top"/>
    </xf>
    <xf numFmtId="0" fontId="1" fillId="4" borderId="10" xfId="0" applyFont="1" applyFill="1" applyBorder="1"/>
    <xf numFmtId="0" fontId="0" fillId="4" borderId="8" xfId="0" applyFill="1" applyBorder="1"/>
    <xf numFmtId="0" fontId="2" fillId="4" borderId="10" xfId="0" applyFont="1" applyFill="1" applyBorder="1" applyAlignment="1">
      <alignment vertical="top"/>
    </xf>
    <xf numFmtId="0" fontId="2" fillId="4" borderId="11" xfId="0" applyFont="1" applyFill="1" applyBorder="1" applyAlignment="1">
      <alignment horizontal="center" vertical="top" wrapText="1"/>
    </xf>
    <xf numFmtId="0" fontId="1" fillId="5" borderId="10" xfId="0" applyFont="1" applyFill="1" applyBorder="1"/>
    <xf numFmtId="0" fontId="0" fillId="5" borderId="8" xfId="0" applyFill="1" applyBorder="1"/>
    <xf numFmtId="0" fontId="2" fillId="5" borderId="12" xfId="0" applyFont="1" applyFill="1" applyBorder="1" applyAlignment="1">
      <alignment vertical="top"/>
    </xf>
    <xf numFmtId="0" fontId="2" fillId="5" borderId="13" xfId="0" applyFont="1" applyFill="1" applyBorder="1" applyAlignment="1">
      <alignment horizontal="center" vertical="top"/>
    </xf>
    <xf numFmtId="0" fontId="2" fillId="5" borderId="14" xfId="0" applyFont="1" applyFill="1" applyBorder="1" applyAlignment="1">
      <alignment horizontal="center" vertical="top" wrapText="1"/>
    </xf>
    <xf numFmtId="0" fontId="0" fillId="0" borderId="0" xfId="0" applyAlignment="1">
      <alignment vertical="top"/>
    </xf>
    <xf numFmtId="0" fontId="0" fillId="0" borderId="0" xfId="0" applyAlignment="1">
      <alignment horizontal="right" vertical="top"/>
    </xf>
    <xf numFmtId="0" fontId="1" fillId="2" borderId="10" xfId="0" applyFont="1" applyFill="1" applyBorder="1" applyAlignment="1">
      <alignment vertical="top" wrapText="1"/>
    </xf>
    <xf numFmtId="0" fontId="0" fillId="2" borderId="8" xfId="0" applyFill="1" applyBorder="1" applyAlignment="1">
      <alignment vertical="top" wrapText="1"/>
    </xf>
    <xf numFmtId="3" fontId="0" fillId="2" borderId="8" xfId="0" applyNumberFormat="1" applyFill="1" applyBorder="1" applyAlignment="1">
      <alignment horizontal="center" vertical="top"/>
    </xf>
    <xf numFmtId="3" fontId="0" fillId="0" borderId="0" xfId="0" applyNumberFormat="1" applyAlignment="1">
      <alignment horizontal="center" vertical="top"/>
    </xf>
    <xf numFmtId="0" fontId="0" fillId="0" borderId="0" xfId="0" applyAlignment="1">
      <alignment vertical="top" wrapText="1"/>
    </xf>
    <xf numFmtId="3" fontId="0" fillId="0" borderId="8" xfId="0" applyNumberFormat="1" applyBorder="1" applyAlignment="1">
      <alignment horizontal="center" vertical="top"/>
    </xf>
    <xf numFmtId="0" fontId="1" fillId="3" borderId="10" xfId="0" applyFont="1" applyFill="1" applyBorder="1" applyAlignment="1">
      <alignment vertical="top" wrapText="1"/>
    </xf>
    <xf numFmtId="0" fontId="0" fillId="3" borderId="8" xfId="0" applyFill="1" applyBorder="1" applyAlignment="1">
      <alignment vertical="top" wrapText="1"/>
    </xf>
    <xf numFmtId="3" fontId="0" fillId="3" borderId="8" xfId="0" applyNumberFormat="1" applyFill="1" applyBorder="1" applyAlignment="1">
      <alignment horizontal="center" vertical="top"/>
    </xf>
    <xf numFmtId="0" fontId="2" fillId="0" borderId="0" xfId="0" applyFont="1" applyAlignment="1">
      <alignment vertical="top" wrapText="1"/>
    </xf>
    <xf numFmtId="3" fontId="0" fillId="4" borderId="8" xfId="0" applyNumberFormat="1" applyFill="1" applyBorder="1" applyAlignment="1">
      <alignment horizontal="center" vertical="top"/>
    </xf>
    <xf numFmtId="3" fontId="0" fillId="5" borderId="8" xfId="0" applyNumberFormat="1" applyFill="1" applyBorder="1" applyAlignment="1">
      <alignment horizontal="center" vertical="top"/>
    </xf>
    <xf numFmtId="0" fontId="0" fillId="0" borderId="5" xfId="0" applyBorder="1" applyAlignment="1">
      <alignment horizontal="center" vertical="top"/>
    </xf>
    <xf numFmtId="3" fontId="0" fillId="0" borderId="9" xfId="0" applyNumberFormat="1" applyBorder="1" applyAlignment="1">
      <alignment horizontal="center" vertical="top"/>
    </xf>
    <xf numFmtId="0" fontId="0" fillId="0" borderId="8" xfId="0" applyBorder="1" applyAlignment="1">
      <alignment horizontal="center" vertical="top"/>
    </xf>
    <xf numFmtId="165" fontId="0" fillId="0" borderId="0" xfId="0" applyNumberFormat="1" applyAlignment="1">
      <alignment vertical="top"/>
    </xf>
    <xf numFmtId="165" fontId="0" fillId="7" borderId="0" xfId="0" applyNumberFormat="1" applyFill="1" applyAlignment="1">
      <alignment vertical="top"/>
    </xf>
    <xf numFmtId="165" fontId="0" fillId="6" borderId="0" xfId="0" applyNumberFormat="1" applyFill="1" applyAlignment="1">
      <alignment vertical="top"/>
    </xf>
    <xf numFmtId="3" fontId="0" fillId="0" borderId="0" xfId="0" applyNumberFormat="1" applyAlignment="1">
      <alignment horizontal="right" vertical="top"/>
    </xf>
    <xf numFmtId="165" fontId="0" fillId="0" borderId="0" xfId="0" applyNumberFormat="1" applyAlignment="1">
      <alignment horizontal="right" vertical="top"/>
    </xf>
    <xf numFmtId="0" fontId="4" fillId="0" borderId="0" xfId="0" applyFont="1" applyAlignment="1">
      <alignment horizontal="center" vertical="top"/>
    </xf>
    <xf numFmtId="3" fontId="4" fillId="0" borderId="2" xfId="0" applyNumberFormat="1" applyFont="1" applyBorder="1" applyAlignment="1">
      <alignment horizontal="center" vertical="top"/>
    </xf>
    <xf numFmtId="1" fontId="4" fillId="0" borderId="2" xfId="0" applyNumberFormat="1" applyFont="1" applyBorder="1" applyAlignment="1">
      <alignment horizontal="center" vertical="top"/>
    </xf>
    <xf numFmtId="0" fontId="4" fillId="0" borderId="3" xfId="0" applyFont="1" applyBorder="1" applyAlignment="1">
      <alignment horizontal="center" vertical="top"/>
    </xf>
    <xf numFmtId="0" fontId="4" fillId="0" borderId="0" xfId="0" applyFont="1" applyAlignment="1">
      <alignment vertical="top"/>
    </xf>
    <xf numFmtId="0" fontId="5" fillId="0" borderId="4" xfId="0" applyFont="1" applyBorder="1" applyAlignment="1">
      <alignment horizontal="center" vertical="top" wrapText="1"/>
    </xf>
    <xf numFmtId="0" fontId="4" fillId="0" borderId="2" xfId="0" applyFont="1" applyBorder="1" applyAlignment="1">
      <alignment horizontal="center" vertical="top"/>
    </xf>
    <xf numFmtId="0" fontId="5" fillId="0" borderId="3" xfId="0" applyFont="1" applyBorder="1" applyAlignment="1">
      <alignment horizontal="center" vertical="top"/>
    </xf>
    <xf numFmtId="0" fontId="6" fillId="2" borderId="10" xfId="0" applyFont="1" applyFill="1" applyBorder="1" applyAlignment="1">
      <alignment vertical="top" wrapText="1"/>
    </xf>
    <xf numFmtId="3" fontId="7" fillId="0" borderId="4" xfId="0" applyNumberFormat="1" applyFont="1" applyBorder="1" applyAlignment="1">
      <alignment horizontal="center" vertical="top"/>
    </xf>
    <xf numFmtId="3" fontId="6" fillId="0" borderId="4" xfId="0" applyNumberFormat="1" applyFont="1" applyBorder="1" applyAlignment="1">
      <alignment horizontal="center" vertical="top"/>
    </xf>
    <xf numFmtId="3" fontId="6" fillId="0" borderId="10" xfId="0" applyNumberFormat="1" applyFont="1" applyBorder="1" applyAlignment="1">
      <alignment horizontal="center" vertical="top"/>
    </xf>
    <xf numFmtId="3" fontId="6" fillId="0" borderId="1" xfId="0" applyNumberFormat="1" applyFont="1" applyBorder="1" applyAlignment="1">
      <alignment horizontal="center" vertical="top"/>
    </xf>
    <xf numFmtId="3" fontId="6" fillId="0" borderId="11" xfId="0" applyNumberFormat="1" applyFont="1" applyBorder="1" applyAlignment="1">
      <alignment horizontal="center" vertical="top"/>
    </xf>
    <xf numFmtId="3" fontId="6" fillId="0" borderId="0" xfId="0" applyNumberFormat="1" applyFont="1" applyAlignment="1">
      <alignment horizontal="right" vertical="top"/>
    </xf>
    <xf numFmtId="165" fontId="3" fillId="0" borderId="0" xfId="0" applyNumberFormat="1" applyFont="1" applyAlignment="1">
      <alignment vertical="top"/>
    </xf>
    <xf numFmtId="0" fontId="3" fillId="0" borderId="0" xfId="0" applyFont="1" applyAlignment="1">
      <alignment horizontal="right" vertical="top"/>
    </xf>
    <xf numFmtId="0" fontId="3" fillId="0" borderId="0" xfId="0" applyFont="1" applyAlignment="1">
      <alignment vertical="top"/>
    </xf>
    <xf numFmtId="0" fontId="6" fillId="3" borderId="10" xfId="0" applyFont="1" applyFill="1" applyBorder="1" applyAlignment="1">
      <alignment vertical="top" wrapText="1"/>
    </xf>
    <xf numFmtId="0" fontId="7" fillId="0" borderId="4" xfId="0" applyFont="1" applyBorder="1" applyAlignment="1">
      <alignment horizontal="center" vertical="top"/>
    </xf>
    <xf numFmtId="0" fontId="6" fillId="0" borderId="4" xfId="0" applyFont="1" applyBorder="1" applyAlignment="1">
      <alignment horizontal="center" vertical="top"/>
    </xf>
    <xf numFmtId="0" fontId="6" fillId="0" borderId="10" xfId="0" applyFont="1" applyBorder="1" applyAlignment="1">
      <alignment horizontal="center" vertical="top"/>
    </xf>
    <xf numFmtId="3" fontId="3" fillId="0" borderId="1" xfId="0" applyNumberFormat="1" applyFont="1" applyBorder="1" applyAlignment="1">
      <alignment horizontal="center" vertical="top"/>
    </xf>
    <xf numFmtId="3" fontId="3" fillId="0" borderId="11" xfId="0" applyNumberFormat="1" applyFont="1" applyBorder="1" applyAlignment="1">
      <alignment horizontal="center" vertical="top"/>
    </xf>
    <xf numFmtId="165" fontId="3" fillId="0" borderId="0" xfId="0" applyNumberFormat="1" applyFont="1" applyAlignment="1">
      <alignment horizontal="right" vertical="top"/>
    </xf>
    <xf numFmtId="0" fontId="6" fillId="4" borderId="10" xfId="0" applyFont="1" applyFill="1" applyBorder="1" applyAlignment="1">
      <alignment vertical="top"/>
    </xf>
    <xf numFmtId="0" fontId="6" fillId="5" borderId="12" xfId="0" applyFont="1" applyFill="1" applyBorder="1" applyAlignment="1">
      <alignment vertical="top"/>
    </xf>
    <xf numFmtId="0" fontId="6" fillId="0" borderId="12" xfId="0" applyFont="1" applyBorder="1" applyAlignment="1">
      <alignment horizontal="center" vertical="top"/>
    </xf>
    <xf numFmtId="3" fontId="3" fillId="0" borderId="15" xfId="0" applyNumberFormat="1" applyFont="1" applyBorder="1" applyAlignment="1">
      <alignment horizontal="center" vertical="top"/>
    </xf>
    <xf numFmtId="3" fontId="3" fillId="0" borderId="14" xfId="0" applyNumberFormat="1" applyFont="1" applyBorder="1" applyAlignment="1">
      <alignment horizontal="center" vertical="top"/>
    </xf>
    <xf numFmtId="0" fontId="8" fillId="0" borderId="0" xfId="0" applyFont="1"/>
    <xf numFmtId="0" fontId="9" fillId="0" borderId="0" xfId="0" applyFont="1"/>
    <xf numFmtId="0" fontId="10" fillId="0" borderId="0" xfId="0" applyFont="1"/>
    <xf numFmtId="0" fontId="1" fillId="0" borderId="0" xfId="0" applyFont="1"/>
    <xf numFmtId="0" fontId="0" fillId="0" borderId="0" xfId="0" applyFont="1"/>
    <xf numFmtId="0" fontId="11" fillId="0" borderId="0" xfId="0" applyFont="1"/>
    <xf numFmtId="0" fontId="13" fillId="0" borderId="0" xfId="0" applyFont="1"/>
    <xf numFmtId="0" fontId="14" fillId="0" borderId="0" xfId="0" applyFont="1"/>
    <xf numFmtId="0" fontId="2" fillId="0" borderId="3" xfId="0" applyFont="1" applyBorder="1" applyAlignment="1">
      <alignment horizontal="left" vertical="top" wrapText="1"/>
    </xf>
    <xf numFmtId="0" fontId="2" fillId="0" borderId="9" xfId="0" applyFont="1" applyBorder="1" applyAlignment="1">
      <alignment horizontal="left" vertical="top" wrapText="1"/>
    </xf>
    <xf numFmtId="0" fontId="0" fillId="0" borderId="0" xfId="0" applyAlignment="1">
      <alignment horizontal="left" vertical="top" wrapText="1"/>
    </xf>
    <xf numFmtId="165" fontId="0" fillId="6" borderId="0" xfId="0" applyNumberFormat="1" applyFill="1" applyAlignment="1">
      <alignment horizontal="center" vertical="top"/>
    </xf>
    <xf numFmtId="0" fontId="0" fillId="0" borderId="0" xfId="0"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1"/>
  </sheetPr>
  <dimension ref="B1:W29"/>
  <sheetViews>
    <sheetView tabSelected="1" workbookViewId="0">
      <selection activeCell="E27" sqref="E27"/>
    </sheetView>
  </sheetViews>
  <sheetFormatPr defaultRowHeight="15" x14ac:dyDescent="0.25"/>
  <cols>
    <col min="1" max="1" width="2.140625" customWidth="1"/>
    <col min="2" max="2" width="16.7109375" customWidth="1"/>
  </cols>
  <sheetData>
    <row r="1" spans="2:4" ht="21" x14ac:dyDescent="0.35">
      <c r="B1" s="96" t="s">
        <v>65</v>
      </c>
    </row>
    <row r="3" spans="2:4" ht="18.75" x14ac:dyDescent="0.3">
      <c r="B3" s="97" t="s">
        <v>0</v>
      </c>
    </row>
    <row r="5" spans="2:4" x14ac:dyDescent="0.25">
      <c r="B5" t="s">
        <v>1</v>
      </c>
    </row>
    <row r="6" spans="2:4" x14ac:dyDescent="0.25">
      <c r="B6" s="6" t="s">
        <v>2</v>
      </c>
    </row>
    <row r="7" spans="2:4" x14ac:dyDescent="0.25">
      <c r="B7" s="6" t="s">
        <v>3</v>
      </c>
    </row>
    <row r="8" spans="2:4" x14ac:dyDescent="0.25">
      <c r="B8" s="6"/>
    </row>
    <row r="9" spans="2:4" ht="16.5" customHeight="1" x14ac:dyDescent="0.25">
      <c r="B9" s="98" t="s">
        <v>62</v>
      </c>
      <c r="C9" s="99"/>
      <c r="D9" s="99"/>
    </row>
    <row r="10" spans="2:4" s="95" customFormat="1" ht="15.75" x14ac:dyDescent="0.25">
      <c r="B10" s="99" t="s">
        <v>4</v>
      </c>
      <c r="C10" s="100" t="s">
        <v>63</v>
      </c>
      <c r="D10" s="99"/>
    </row>
    <row r="11" spans="2:4" s="95" customFormat="1" ht="15.75" x14ac:dyDescent="0.25">
      <c r="B11" s="99" t="s">
        <v>5</v>
      </c>
      <c r="C11" s="100" t="s">
        <v>6</v>
      </c>
      <c r="D11" s="99"/>
    </row>
    <row r="12" spans="2:4" s="95" customFormat="1" ht="18" customHeight="1" x14ac:dyDescent="0.25">
      <c r="B12" s="100"/>
      <c r="C12" s="99"/>
      <c r="D12" s="99"/>
    </row>
    <row r="13" spans="2:4" s="95" customFormat="1" ht="18" customHeight="1" x14ac:dyDescent="0.25">
      <c r="B13" s="101" t="s">
        <v>7</v>
      </c>
      <c r="C13" s="99"/>
      <c r="D13" s="99"/>
    </row>
    <row r="14" spans="2:4" s="95" customFormat="1" ht="15.75" x14ac:dyDescent="0.25">
      <c r="B14" s="99" t="s">
        <v>66</v>
      </c>
      <c r="C14" s="99"/>
      <c r="D14" s="99"/>
    </row>
    <row r="15" spans="2:4" s="95" customFormat="1" ht="15.75" x14ac:dyDescent="0.25">
      <c r="B15" s="99" t="s">
        <v>8</v>
      </c>
      <c r="C15" s="99"/>
      <c r="D15" s="99"/>
    </row>
    <row r="16" spans="2:4" s="95" customFormat="1" ht="15.75" x14ac:dyDescent="0.25">
      <c r="B16" s="99" t="s">
        <v>9</v>
      </c>
      <c r="C16" s="99"/>
      <c r="D16" s="99"/>
    </row>
    <row r="17" spans="2:23" s="95" customFormat="1" ht="15.75" x14ac:dyDescent="0.25">
      <c r="B17" s="99" t="s">
        <v>67</v>
      </c>
      <c r="C17" s="99"/>
      <c r="D17" s="99"/>
    </row>
    <row r="18" spans="2:23" s="95" customFormat="1" ht="15.75" x14ac:dyDescent="0.25">
      <c r="B18" s="99" t="s">
        <v>68</v>
      </c>
      <c r="C18" s="99"/>
      <c r="D18" s="99"/>
    </row>
    <row r="19" spans="2:23" s="95" customFormat="1" ht="15.75" x14ac:dyDescent="0.25">
      <c r="B19" s="99" t="s">
        <v>10</v>
      </c>
      <c r="C19" s="99"/>
      <c r="D19" s="99"/>
    </row>
    <row r="20" spans="2:23" s="95" customFormat="1" ht="15.75" x14ac:dyDescent="0.25">
      <c r="B20" s="102" t="s">
        <v>64</v>
      </c>
      <c r="C20" s="99"/>
      <c r="D20" s="99"/>
    </row>
    <row r="22" spans="2:23" ht="30" customHeight="1" x14ac:dyDescent="0.25">
      <c r="B22" s="105" t="s">
        <v>69</v>
      </c>
      <c r="C22" s="105"/>
      <c r="D22" s="105"/>
      <c r="E22" s="105"/>
      <c r="F22" s="105"/>
      <c r="G22" s="105"/>
      <c r="H22" s="105"/>
      <c r="I22" s="105"/>
      <c r="J22" s="105"/>
      <c r="K22" s="105"/>
      <c r="L22" s="105"/>
      <c r="M22" s="105"/>
      <c r="N22" s="105"/>
      <c r="O22" s="105"/>
      <c r="P22" s="105"/>
      <c r="Q22" s="105"/>
      <c r="R22" s="105"/>
      <c r="S22" s="105"/>
      <c r="T22" s="105"/>
      <c r="U22" s="105"/>
      <c r="V22" s="105"/>
      <c r="W22" s="105"/>
    </row>
    <row r="23" spans="2:23" ht="28.5" customHeight="1" x14ac:dyDescent="0.25">
      <c r="B23" s="107" t="s">
        <v>70</v>
      </c>
      <c r="C23" s="107"/>
      <c r="D23" s="107"/>
      <c r="E23" s="107"/>
      <c r="F23" s="107"/>
      <c r="G23" s="107"/>
      <c r="H23" s="107"/>
      <c r="I23" s="107"/>
      <c r="J23" s="107"/>
      <c r="K23" s="107"/>
      <c r="L23" s="107"/>
      <c r="M23" s="107"/>
      <c r="N23" s="107"/>
      <c r="O23" s="107"/>
      <c r="P23" s="107"/>
      <c r="Q23" s="107"/>
      <c r="R23" s="107"/>
      <c r="S23" s="107"/>
      <c r="T23" s="107"/>
      <c r="U23" s="107"/>
      <c r="V23" s="107"/>
      <c r="W23" s="107"/>
    </row>
    <row r="25" spans="2:23" ht="15.75" customHeight="1" x14ac:dyDescent="0.25"/>
    <row r="28" spans="2:23" x14ac:dyDescent="0.25">
      <c r="B28" s="6"/>
    </row>
    <row r="29" spans="2:23" x14ac:dyDescent="0.25">
      <c r="B29" s="6"/>
    </row>
  </sheetData>
  <mergeCells count="2">
    <mergeCell ref="B22:W22"/>
    <mergeCell ref="B23:W23"/>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59999389629810485"/>
  </sheetPr>
  <dimension ref="B1:G32"/>
  <sheetViews>
    <sheetView workbookViewId="0">
      <selection activeCell="J11" sqref="J11"/>
    </sheetView>
  </sheetViews>
  <sheetFormatPr defaultRowHeight="15" x14ac:dyDescent="0.25"/>
  <cols>
    <col min="1" max="1" width="0.85546875" customWidth="1"/>
    <col min="2" max="2" width="46.5703125" customWidth="1"/>
    <col min="3" max="3" width="13.7109375" style="1" customWidth="1"/>
    <col min="4" max="4" width="11" style="1" customWidth="1"/>
    <col min="5" max="5" width="4.5703125" customWidth="1"/>
    <col min="6" max="6" width="4.42578125" customWidth="1"/>
  </cols>
  <sheetData>
    <row r="1" spans="2:7" x14ac:dyDescent="0.25">
      <c r="B1" t="s">
        <v>11</v>
      </c>
    </row>
    <row r="2" spans="2:7" ht="5.25" customHeight="1" thickBot="1" x14ac:dyDescent="0.3"/>
    <row r="3" spans="2:7" ht="45.75" customHeight="1" x14ac:dyDescent="0.25">
      <c r="B3" s="18" t="s">
        <v>12</v>
      </c>
      <c r="C3" s="19"/>
      <c r="D3" s="20"/>
    </row>
    <row r="4" spans="2:7" ht="47.25" customHeight="1" x14ac:dyDescent="0.25">
      <c r="B4" s="21" t="s">
        <v>13</v>
      </c>
      <c r="C4" s="103" t="s">
        <v>14</v>
      </c>
      <c r="D4" s="104"/>
      <c r="F4" s="16"/>
    </row>
    <row r="5" spans="2:7" ht="30" customHeight="1" x14ac:dyDescent="0.25">
      <c r="B5" s="22" t="s">
        <v>15</v>
      </c>
      <c r="C5" s="8" t="s">
        <v>16</v>
      </c>
      <c r="D5" s="23"/>
      <c r="F5" s="16"/>
    </row>
    <row r="6" spans="2:7" ht="16.5" customHeight="1" x14ac:dyDescent="0.25">
      <c r="B6" s="24" t="s">
        <v>17</v>
      </c>
      <c r="C6" s="12"/>
      <c r="D6" s="23"/>
      <c r="E6" s="17"/>
      <c r="F6" s="16"/>
    </row>
    <row r="7" spans="2:7" ht="15.75" customHeight="1" x14ac:dyDescent="0.25">
      <c r="B7" s="24" t="s">
        <v>18</v>
      </c>
      <c r="C7" s="12"/>
      <c r="D7" s="23"/>
      <c r="E7" s="17"/>
      <c r="F7" s="16"/>
    </row>
    <row r="8" spans="2:7" x14ac:dyDescent="0.25">
      <c r="B8" s="24" t="s">
        <v>19</v>
      </c>
      <c r="C8" s="12"/>
      <c r="D8" s="23"/>
      <c r="E8" s="17"/>
      <c r="F8" s="16"/>
    </row>
    <row r="9" spans="2:7" x14ac:dyDescent="0.25">
      <c r="B9" s="24" t="s">
        <v>20</v>
      </c>
      <c r="C9" s="12"/>
      <c r="D9" s="23"/>
      <c r="E9" s="17"/>
      <c r="F9" s="16"/>
    </row>
    <row r="10" spans="2:7" x14ac:dyDescent="0.25">
      <c r="B10" s="24" t="s">
        <v>21</v>
      </c>
      <c r="C10" s="12"/>
      <c r="D10" s="23"/>
      <c r="E10" s="17"/>
      <c r="F10" s="16"/>
    </row>
    <row r="11" spans="2:7" x14ac:dyDescent="0.25">
      <c r="B11" s="24" t="s">
        <v>22</v>
      </c>
      <c r="C11" s="12"/>
      <c r="D11" s="23"/>
      <c r="E11" s="17"/>
      <c r="F11" s="16"/>
    </row>
    <row r="12" spans="2:7" x14ac:dyDescent="0.25">
      <c r="B12" s="24" t="s">
        <v>23</v>
      </c>
      <c r="C12" s="12"/>
      <c r="D12" s="23"/>
      <c r="E12" s="17"/>
      <c r="F12" s="16"/>
    </row>
    <row r="13" spans="2:7" x14ac:dyDescent="0.25">
      <c r="B13" s="24" t="s">
        <v>24</v>
      </c>
      <c r="C13" s="12"/>
      <c r="D13" s="23"/>
      <c r="E13" s="17"/>
      <c r="F13" s="16"/>
    </row>
    <row r="14" spans="2:7" x14ac:dyDescent="0.25">
      <c r="B14" s="24" t="s">
        <v>25</v>
      </c>
      <c r="C14" s="12"/>
      <c r="D14" s="23"/>
      <c r="E14" s="17"/>
      <c r="F14" s="16"/>
      <c r="G14" s="6"/>
    </row>
    <row r="15" spans="2:7" x14ac:dyDescent="0.25">
      <c r="B15" s="24" t="s">
        <v>26</v>
      </c>
      <c r="C15" s="12"/>
      <c r="D15" s="23"/>
      <c r="E15" s="17"/>
      <c r="F15" s="16"/>
      <c r="G15" s="6"/>
    </row>
    <row r="16" spans="2:7" x14ac:dyDescent="0.25">
      <c r="B16" s="24" t="s">
        <v>27</v>
      </c>
      <c r="C16" s="12"/>
      <c r="D16" s="23"/>
      <c r="E16" s="17"/>
      <c r="F16" s="16"/>
    </row>
    <row r="17" spans="2:6" ht="30" x14ac:dyDescent="0.25">
      <c r="B17" s="25" t="s">
        <v>28</v>
      </c>
      <c r="C17" s="13">
        <f>SUM(C6:C16)</f>
        <v>0</v>
      </c>
      <c r="D17" s="26" t="s">
        <v>29</v>
      </c>
      <c r="F17" s="16"/>
    </row>
    <row r="18" spans="2:6" ht="30" customHeight="1" x14ac:dyDescent="0.25">
      <c r="B18" s="27" t="s">
        <v>30</v>
      </c>
      <c r="C18" s="5"/>
      <c r="D18" s="23"/>
    </row>
    <row r="19" spans="2:6" x14ac:dyDescent="0.25">
      <c r="B19" s="28" t="s">
        <v>31</v>
      </c>
      <c r="C19" s="9" t="s">
        <v>32</v>
      </c>
      <c r="D19" s="23"/>
    </row>
    <row r="20" spans="2:6" x14ac:dyDescent="0.25">
      <c r="B20" s="29" t="s">
        <v>33</v>
      </c>
      <c r="C20" s="2"/>
      <c r="D20" s="23"/>
    </row>
    <row r="21" spans="2:6" x14ac:dyDescent="0.25">
      <c r="B21" s="29" t="s">
        <v>34</v>
      </c>
      <c r="C21" s="2"/>
      <c r="D21" s="23"/>
    </row>
    <row r="22" spans="2:6" ht="30" x14ac:dyDescent="0.25">
      <c r="B22" s="30" t="s">
        <v>28</v>
      </c>
      <c r="C22" s="14">
        <f>SUM(C20:C21)</f>
        <v>0</v>
      </c>
      <c r="D22" s="31" t="s">
        <v>35</v>
      </c>
    </row>
    <row r="23" spans="2:6" ht="6" customHeight="1" x14ac:dyDescent="0.25">
      <c r="B23" s="32"/>
      <c r="C23" s="7"/>
      <c r="D23" s="33"/>
    </row>
    <row r="24" spans="2:6" x14ac:dyDescent="0.25">
      <c r="B24" s="34" t="s">
        <v>36</v>
      </c>
      <c r="C24" s="10" t="s">
        <v>32</v>
      </c>
      <c r="D24" s="23"/>
    </row>
    <row r="25" spans="2:6" x14ac:dyDescent="0.25">
      <c r="B25" s="35" t="s">
        <v>37</v>
      </c>
      <c r="C25" s="3"/>
      <c r="D25" s="23"/>
    </row>
    <row r="26" spans="2:6" x14ac:dyDescent="0.25">
      <c r="B26" s="35" t="s">
        <v>38</v>
      </c>
      <c r="C26" s="3"/>
      <c r="D26" s="23"/>
    </row>
    <row r="27" spans="2:6" ht="30" x14ac:dyDescent="0.25">
      <c r="B27" s="36" t="s">
        <v>28</v>
      </c>
      <c r="C27" s="15">
        <f>SUM(C25:C26)</f>
        <v>0</v>
      </c>
      <c r="D27" s="37" t="s">
        <v>35</v>
      </c>
    </row>
    <row r="28" spans="2:6" ht="6.75" customHeight="1" x14ac:dyDescent="0.25">
      <c r="B28" s="27"/>
      <c r="C28" s="5"/>
      <c r="D28" s="23"/>
    </row>
    <row r="29" spans="2:6" x14ac:dyDescent="0.25">
      <c r="B29" s="38" t="s">
        <v>39</v>
      </c>
      <c r="C29" s="11" t="s">
        <v>32</v>
      </c>
      <c r="D29" s="23"/>
    </row>
    <row r="30" spans="2:6" x14ac:dyDescent="0.25">
      <c r="B30" s="39" t="s">
        <v>40</v>
      </c>
      <c r="C30" s="4"/>
      <c r="D30" s="23"/>
    </row>
    <row r="31" spans="2:6" x14ac:dyDescent="0.25">
      <c r="B31" s="39" t="s">
        <v>41</v>
      </c>
      <c r="C31" s="4"/>
      <c r="D31" s="23"/>
    </row>
    <row r="32" spans="2:6" ht="30.75" thickBot="1" x14ac:dyDescent="0.3">
      <c r="B32" s="40" t="s">
        <v>42</v>
      </c>
      <c r="C32" s="41">
        <f>SUM(C30:C31)</f>
        <v>0</v>
      </c>
      <c r="D32" s="42" t="s">
        <v>35</v>
      </c>
    </row>
  </sheetData>
  <mergeCells count="1">
    <mergeCell ref="C4:D4"/>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59999389629810485"/>
  </sheetPr>
  <dimension ref="A1:Z29"/>
  <sheetViews>
    <sheetView workbookViewId="0">
      <selection activeCell="A32" sqref="A32"/>
    </sheetView>
  </sheetViews>
  <sheetFormatPr defaultColWidth="8.85546875" defaultRowHeight="15" x14ac:dyDescent="0.25"/>
  <cols>
    <col min="1" max="1" width="44.85546875" style="49" customWidth="1"/>
    <col min="2" max="10" width="6.5703125" style="65" customWidth="1"/>
    <col min="11" max="16" width="6.5703125" style="69" customWidth="1"/>
    <col min="17" max="17" width="0.85546875" style="43" customWidth="1"/>
    <col min="18" max="20" width="8.85546875" style="1"/>
    <col min="21" max="21" width="16.85546875" style="64" customWidth="1"/>
    <col min="22" max="22" width="8.85546875" style="60"/>
    <col min="23" max="23" width="16.7109375" style="64" customWidth="1"/>
    <col min="24" max="24" width="8.85546875" style="43"/>
    <col min="25" max="25" width="11.42578125" style="64" customWidth="1"/>
    <col min="26" max="16384" width="8.85546875" style="43"/>
  </cols>
  <sheetData>
    <row r="1" spans="1:26" ht="17.25" customHeight="1" thickBot="1" x14ac:dyDescent="0.3">
      <c r="A1" s="105" t="s">
        <v>43</v>
      </c>
      <c r="B1" s="105"/>
      <c r="C1" s="105"/>
      <c r="D1" s="105"/>
      <c r="E1" s="105"/>
      <c r="F1" s="105"/>
      <c r="G1" s="105"/>
      <c r="H1" s="105"/>
      <c r="I1" s="105"/>
      <c r="J1" s="105"/>
      <c r="K1" s="105"/>
      <c r="L1" s="105"/>
      <c r="M1" s="105"/>
      <c r="N1" s="105"/>
      <c r="O1" s="105"/>
      <c r="P1" s="105"/>
      <c r="U1" s="106" t="s">
        <v>44</v>
      </c>
      <c r="V1" s="106"/>
      <c r="W1" s="106"/>
      <c r="X1" s="106"/>
      <c r="Y1" s="106"/>
      <c r="Z1" s="106"/>
    </row>
    <row r="2" spans="1:26" x14ac:dyDescent="0.25">
      <c r="A2" s="45" t="s">
        <v>15</v>
      </c>
      <c r="B2" s="65">
        <v>1</v>
      </c>
      <c r="C2" s="65">
        <v>2</v>
      </c>
      <c r="D2" s="65">
        <v>3</v>
      </c>
      <c r="E2" s="65">
        <v>4</v>
      </c>
      <c r="F2" s="65">
        <v>5</v>
      </c>
      <c r="G2" s="65">
        <v>6</v>
      </c>
      <c r="H2" s="65">
        <v>7</v>
      </c>
      <c r="I2" s="65">
        <v>8</v>
      </c>
      <c r="J2" s="65">
        <v>9</v>
      </c>
      <c r="K2" s="65">
        <v>10</v>
      </c>
      <c r="L2" s="65">
        <v>11</v>
      </c>
      <c r="M2" s="65">
        <v>12</v>
      </c>
      <c r="N2" s="65">
        <v>13</v>
      </c>
      <c r="O2" s="65">
        <v>14</v>
      </c>
      <c r="P2" s="65">
        <v>15</v>
      </c>
      <c r="R2" s="57" t="s">
        <v>45</v>
      </c>
      <c r="S2" s="19" t="s">
        <v>46</v>
      </c>
      <c r="T2" s="20" t="s">
        <v>47</v>
      </c>
      <c r="U2" s="44"/>
      <c r="V2" s="60" t="s">
        <v>48</v>
      </c>
      <c r="W2" s="44"/>
      <c r="X2" s="60"/>
      <c r="Y2" s="44"/>
      <c r="Z2" s="60"/>
    </row>
    <row r="3" spans="1:26" ht="16.5" customHeight="1" x14ac:dyDescent="0.25">
      <c r="A3" s="46" t="s">
        <v>17</v>
      </c>
      <c r="B3" s="66">
        <v>2000</v>
      </c>
      <c r="C3" s="66">
        <v>2000</v>
      </c>
      <c r="D3" s="66">
        <v>8000</v>
      </c>
      <c r="E3" s="67">
        <v>17187.5</v>
      </c>
      <c r="F3" s="66">
        <v>4000</v>
      </c>
      <c r="G3" s="66">
        <v>11000</v>
      </c>
      <c r="H3" s="66">
        <v>5050</v>
      </c>
      <c r="I3" s="66">
        <v>10000</v>
      </c>
      <c r="J3" s="66">
        <v>11000</v>
      </c>
      <c r="K3" s="66">
        <v>1000</v>
      </c>
      <c r="L3" s="66">
        <v>11000</v>
      </c>
      <c r="M3" s="66">
        <v>14857.1</v>
      </c>
      <c r="N3" s="66">
        <v>10000</v>
      </c>
      <c r="O3" s="66">
        <v>11000</v>
      </c>
      <c r="P3" s="66">
        <v>5000</v>
      </c>
      <c r="R3" s="47">
        <f t="shared" ref="R3:R13" si="0">AVERAGE(B3:Q3)</f>
        <v>8206.3066666666673</v>
      </c>
      <c r="S3" s="48">
        <f t="shared" ref="S3:S13" si="1">MIN(B3:Q3)</f>
        <v>1000</v>
      </c>
      <c r="T3" s="58">
        <f t="shared" ref="T3:T13" si="2">MAX(B3:Q3)</f>
        <v>17187.5</v>
      </c>
      <c r="U3" s="63" t="s">
        <v>49</v>
      </c>
      <c r="V3" s="61">
        <f t="shared" ref="V3:V13" si="3">R3/110000</f>
        <v>7.460278787878788E-2</v>
      </c>
      <c r="W3" s="44"/>
      <c r="X3" s="60"/>
      <c r="Y3" s="44"/>
      <c r="Z3" s="60"/>
    </row>
    <row r="4" spans="1:26" ht="15.75" customHeight="1" x14ac:dyDescent="0.25">
      <c r="A4" s="46" t="s">
        <v>18</v>
      </c>
      <c r="B4" s="66">
        <v>100</v>
      </c>
      <c r="C4" s="66">
        <v>1</v>
      </c>
      <c r="D4" s="66">
        <v>1000</v>
      </c>
      <c r="E4" s="67">
        <v>1718.75</v>
      </c>
      <c r="F4" s="66">
        <v>300</v>
      </c>
      <c r="G4" s="66">
        <v>5500</v>
      </c>
      <c r="H4" s="66">
        <v>1</v>
      </c>
      <c r="I4" s="66">
        <v>0</v>
      </c>
      <c r="J4" s="66">
        <v>2000</v>
      </c>
      <c r="K4" s="66">
        <v>5</v>
      </c>
      <c r="L4" s="66">
        <v>10</v>
      </c>
      <c r="M4" s="66">
        <v>1000</v>
      </c>
      <c r="N4" s="66">
        <v>0</v>
      </c>
      <c r="O4" s="66">
        <v>500</v>
      </c>
      <c r="P4" s="66">
        <v>1000</v>
      </c>
      <c r="R4" s="47">
        <f t="shared" si="0"/>
        <v>875.7166666666667</v>
      </c>
      <c r="S4" s="48">
        <f t="shared" si="1"/>
        <v>0</v>
      </c>
      <c r="T4" s="58">
        <f t="shared" si="2"/>
        <v>5500</v>
      </c>
      <c r="U4" s="63" t="s">
        <v>49</v>
      </c>
      <c r="V4" s="61">
        <f t="shared" si="3"/>
        <v>7.9610606060606069E-3</v>
      </c>
      <c r="W4" s="44"/>
      <c r="X4" s="60"/>
      <c r="Y4" s="44"/>
      <c r="Z4" s="60"/>
    </row>
    <row r="5" spans="1:26" x14ac:dyDescent="0.25">
      <c r="A5" s="46" t="s">
        <v>19</v>
      </c>
      <c r="B5" s="66">
        <v>27000</v>
      </c>
      <c r="C5" s="66">
        <v>27499</v>
      </c>
      <c r="D5" s="66">
        <v>16000</v>
      </c>
      <c r="E5" s="67">
        <v>17187.5</v>
      </c>
      <c r="F5" s="66">
        <v>22900</v>
      </c>
      <c r="G5" s="66">
        <v>11000</v>
      </c>
      <c r="H5" s="66">
        <v>25000</v>
      </c>
      <c r="I5" s="66">
        <v>25000</v>
      </c>
      <c r="J5" s="66">
        <v>14000</v>
      </c>
      <c r="K5" s="66">
        <v>20000</v>
      </c>
      <c r="L5" s="66">
        <v>17500</v>
      </c>
      <c r="M5" s="66">
        <v>14857.1</v>
      </c>
      <c r="N5" s="66">
        <v>19000</v>
      </c>
      <c r="O5" s="66">
        <v>16750</v>
      </c>
      <c r="P5" s="66">
        <v>20000</v>
      </c>
      <c r="R5" s="47">
        <f t="shared" si="0"/>
        <v>19579.57333333333</v>
      </c>
      <c r="S5" s="48">
        <f t="shared" si="1"/>
        <v>11000</v>
      </c>
      <c r="T5" s="58">
        <f t="shared" si="2"/>
        <v>27499</v>
      </c>
      <c r="U5" s="63" t="s">
        <v>50</v>
      </c>
      <c r="V5" s="61">
        <f t="shared" si="3"/>
        <v>0.17799612121212119</v>
      </c>
      <c r="W5" s="44" t="s">
        <v>51</v>
      </c>
      <c r="X5" s="61">
        <f>V5*V22</f>
        <v>0.16518406107345951</v>
      </c>
      <c r="Y5" s="44" t="s">
        <v>52</v>
      </c>
      <c r="Z5" s="61">
        <f>V5/V27</f>
        <v>0.18774933333333332</v>
      </c>
    </row>
    <row r="6" spans="1:26" x14ac:dyDescent="0.25">
      <c r="A6" s="46" t="s">
        <v>20</v>
      </c>
      <c r="B6" s="66">
        <v>11500</v>
      </c>
      <c r="C6" s="66">
        <v>5000</v>
      </c>
      <c r="D6" s="66">
        <v>16000</v>
      </c>
      <c r="E6" s="67">
        <v>8593.75</v>
      </c>
      <c r="F6" s="66">
        <v>10000</v>
      </c>
      <c r="G6" s="66">
        <v>11000</v>
      </c>
      <c r="H6" s="66">
        <v>12500</v>
      </c>
      <c r="I6" s="66">
        <v>10000</v>
      </c>
      <c r="J6" s="66">
        <v>14000</v>
      </c>
      <c r="K6" s="66">
        <v>20000</v>
      </c>
      <c r="L6" s="66">
        <v>17000</v>
      </c>
      <c r="M6" s="66">
        <v>14857.1</v>
      </c>
      <c r="N6" s="66">
        <v>14000</v>
      </c>
      <c r="O6" s="66">
        <v>15000</v>
      </c>
      <c r="P6" s="66">
        <v>15000</v>
      </c>
      <c r="R6" s="47">
        <f t="shared" si="0"/>
        <v>12963.390000000001</v>
      </c>
      <c r="S6" s="48">
        <f t="shared" si="1"/>
        <v>5000</v>
      </c>
      <c r="T6" s="58">
        <f t="shared" si="2"/>
        <v>20000</v>
      </c>
      <c r="U6" s="63" t="s">
        <v>53</v>
      </c>
      <c r="V6" s="61">
        <f t="shared" si="3"/>
        <v>0.11784900000000001</v>
      </c>
      <c r="W6" s="44" t="s">
        <v>54</v>
      </c>
      <c r="X6" s="61">
        <f>V6*V22</f>
        <v>0.10936629562982006</v>
      </c>
      <c r="Y6" s="44" t="s">
        <v>55</v>
      </c>
      <c r="Z6" s="62">
        <f>X6*V17</f>
        <v>5.1466492061091794E-2</v>
      </c>
    </row>
    <row r="7" spans="1:26" x14ac:dyDescent="0.25">
      <c r="A7" s="46" t="s">
        <v>21</v>
      </c>
      <c r="B7" s="66">
        <v>1000</v>
      </c>
      <c r="C7" s="66">
        <v>10</v>
      </c>
      <c r="D7" s="66">
        <v>5000</v>
      </c>
      <c r="E7" s="67">
        <v>1718.75</v>
      </c>
      <c r="F7" s="66">
        <v>1800</v>
      </c>
      <c r="G7" s="66">
        <v>11000</v>
      </c>
      <c r="H7" s="66">
        <v>1000</v>
      </c>
      <c r="I7" s="66">
        <v>2500</v>
      </c>
      <c r="J7" s="66">
        <v>7000</v>
      </c>
      <c r="K7" s="66">
        <v>500</v>
      </c>
      <c r="L7" s="66">
        <v>4000</v>
      </c>
      <c r="M7" s="66">
        <v>3000</v>
      </c>
      <c r="N7" s="66">
        <v>3000</v>
      </c>
      <c r="O7" s="66">
        <v>5000</v>
      </c>
      <c r="P7" s="66">
        <v>2000</v>
      </c>
      <c r="R7" s="47">
        <f t="shared" si="0"/>
        <v>3235.25</v>
      </c>
      <c r="S7" s="48">
        <f t="shared" si="1"/>
        <v>10</v>
      </c>
      <c r="T7" s="58">
        <f t="shared" si="2"/>
        <v>11000</v>
      </c>
      <c r="U7" s="63" t="s">
        <v>49</v>
      </c>
      <c r="V7" s="61">
        <f t="shared" si="3"/>
        <v>2.9411363636363635E-2</v>
      </c>
      <c r="W7" s="44"/>
      <c r="X7" s="60"/>
      <c r="Y7" s="44"/>
      <c r="Z7" s="60"/>
    </row>
    <row r="8" spans="1:26" ht="13.5" customHeight="1" x14ac:dyDescent="0.25">
      <c r="A8" s="46" t="s">
        <v>22</v>
      </c>
      <c r="B8" s="66">
        <v>27000</v>
      </c>
      <c r="C8" s="66">
        <v>48000</v>
      </c>
      <c r="D8" s="66">
        <v>16000</v>
      </c>
      <c r="E8" s="67">
        <v>17187.5</v>
      </c>
      <c r="F8" s="66">
        <v>22900</v>
      </c>
      <c r="G8" s="66">
        <v>11000</v>
      </c>
      <c r="H8" s="66">
        <v>25000</v>
      </c>
      <c r="I8" s="66">
        <v>25000</v>
      </c>
      <c r="J8" s="66">
        <v>14000</v>
      </c>
      <c r="K8" s="66">
        <v>20000</v>
      </c>
      <c r="L8" s="66">
        <v>18000</v>
      </c>
      <c r="M8" s="66">
        <v>14857.1</v>
      </c>
      <c r="N8" s="66">
        <v>19000</v>
      </c>
      <c r="O8" s="66">
        <v>17000</v>
      </c>
      <c r="P8" s="66">
        <v>20000</v>
      </c>
      <c r="R8" s="47">
        <f t="shared" si="0"/>
        <v>20996.306666666664</v>
      </c>
      <c r="S8" s="48">
        <f t="shared" si="1"/>
        <v>11000</v>
      </c>
      <c r="T8" s="58">
        <f t="shared" si="2"/>
        <v>48000</v>
      </c>
      <c r="U8" s="63" t="s">
        <v>56</v>
      </c>
      <c r="V8" s="61">
        <f t="shared" si="3"/>
        <v>0.19087551515151513</v>
      </c>
      <c r="W8" s="44" t="s">
        <v>57</v>
      </c>
      <c r="X8" s="61">
        <f>V8*V22</f>
        <v>0.17713640352107188</v>
      </c>
      <c r="Y8" s="44" t="s">
        <v>52</v>
      </c>
      <c r="Z8" s="61">
        <f>V8/V27</f>
        <v>0.20133444748858445</v>
      </c>
    </row>
    <row r="9" spans="1:26" x14ac:dyDescent="0.25">
      <c r="A9" s="46" t="s">
        <v>23</v>
      </c>
      <c r="B9" s="66">
        <v>700</v>
      </c>
      <c r="C9" s="66">
        <v>10</v>
      </c>
      <c r="D9" s="66">
        <v>3000</v>
      </c>
      <c r="E9" s="67">
        <v>1718.75</v>
      </c>
      <c r="F9" s="66">
        <v>800</v>
      </c>
      <c r="G9" s="66">
        <v>11000</v>
      </c>
      <c r="H9" s="66">
        <v>10</v>
      </c>
      <c r="I9" s="66">
        <v>0</v>
      </c>
      <c r="J9" s="66">
        <v>7000</v>
      </c>
      <c r="K9" s="66">
        <v>100</v>
      </c>
      <c r="L9" s="66">
        <v>150</v>
      </c>
      <c r="M9" s="66">
        <v>1000</v>
      </c>
      <c r="N9" s="66">
        <v>1000</v>
      </c>
      <c r="O9" s="66">
        <v>2000</v>
      </c>
      <c r="P9" s="66">
        <v>1000</v>
      </c>
      <c r="R9" s="47">
        <f t="shared" si="0"/>
        <v>1965.9166666666667</v>
      </c>
      <c r="S9" s="48">
        <f t="shared" si="1"/>
        <v>0</v>
      </c>
      <c r="T9" s="58">
        <f t="shared" si="2"/>
        <v>11000</v>
      </c>
      <c r="U9" s="63" t="s">
        <v>49</v>
      </c>
      <c r="V9" s="61">
        <f t="shared" si="3"/>
        <v>1.7871969696969699E-2</v>
      </c>
      <c r="W9" s="44"/>
      <c r="X9" s="60"/>
      <c r="Y9" s="44"/>
      <c r="Z9" s="60"/>
    </row>
    <row r="10" spans="1:26" x14ac:dyDescent="0.25">
      <c r="A10" s="46" t="s">
        <v>24</v>
      </c>
      <c r="B10" s="66">
        <v>700</v>
      </c>
      <c r="C10" s="66">
        <v>10</v>
      </c>
      <c r="D10" s="66">
        <v>3000</v>
      </c>
      <c r="E10" s="67">
        <v>1718.75</v>
      </c>
      <c r="F10" s="66">
        <v>600</v>
      </c>
      <c r="G10" s="66">
        <v>5500</v>
      </c>
      <c r="H10" s="66">
        <v>9</v>
      </c>
      <c r="I10" s="66">
        <v>0</v>
      </c>
      <c r="J10" s="66">
        <v>2000</v>
      </c>
      <c r="K10" s="66">
        <v>5</v>
      </c>
      <c r="L10" s="66">
        <v>40</v>
      </c>
      <c r="M10" s="66">
        <v>1000</v>
      </c>
      <c r="N10" s="66">
        <v>0</v>
      </c>
      <c r="O10" s="66">
        <v>1000</v>
      </c>
      <c r="P10" s="66">
        <v>1000</v>
      </c>
      <c r="R10" s="47">
        <f t="shared" si="0"/>
        <v>1105.5166666666667</v>
      </c>
      <c r="S10" s="48">
        <f t="shared" si="1"/>
        <v>0</v>
      </c>
      <c r="T10" s="58">
        <f t="shared" si="2"/>
        <v>5500</v>
      </c>
      <c r="U10" s="63" t="s">
        <v>49</v>
      </c>
      <c r="V10" s="61">
        <f t="shared" si="3"/>
        <v>1.0050151515151515E-2</v>
      </c>
      <c r="W10" s="44"/>
      <c r="X10" s="60"/>
      <c r="Y10" s="44"/>
      <c r="Z10" s="60"/>
    </row>
    <row r="11" spans="1:26" x14ac:dyDescent="0.25">
      <c r="A11" s="46" t="s">
        <v>25</v>
      </c>
      <c r="B11" s="66">
        <v>27000</v>
      </c>
      <c r="C11" s="66">
        <v>25470</v>
      </c>
      <c r="D11" s="66">
        <v>16000</v>
      </c>
      <c r="E11" s="67">
        <v>17187.5</v>
      </c>
      <c r="F11" s="66">
        <v>22900</v>
      </c>
      <c r="G11" s="66">
        <v>11000</v>
      </c>
      <c r="H11" s="66">
        <v>25000</v>
      </c>
      <c r="I11" s="66">
        <v>25000</v>
      </c>
      <c r="J11" s="66">
        <v>14000</v>
      </c>
      <c r="K11" s="66">
        <v>20000</v>
      </c>
      <c r="L11" s="66">
        <v>18000</v>
      </c>
      <c r="M11" s="66">
        <v>14857.1</v>
      </c>
      <c r="N11" s="66">
        <v>19000</v>
      </c>
      <c r="O11" s="66">
        <v>16750</v>
      </c>
      <c r="P11" s="66">
        <v>20000</v>
      </c>
      <c r="R11" s="47">
        <f t="shared" si="0"/>
        <v>19477.64</v>
      </c>
      <c r="S11" s="48">
        <f t="shared" si="1"/>
        <v>11000</v>
      </c>
      <c r="T11" s="58">
        <f t="shared" si="2"/>
        <v>27000</v>
      </c>
      <c r="U11" s="63" t="s">
        <v>49</v>
      </c>
      <c r="V11" s="61">
        <f t="shared" si="3"/>
        <v>0.17706945454545453</v>
      </c>
      <c r="W11" s="44"/>
      <c r="X11" s="60"/>
      <c r="Y11" s="44"/>
      <c r="Z11" s="60"/>
    </row>
    <row r="12" spans="1:26" x14ac:dyDescent="0.25">
      <c r="A12" s="46" t="s">
        <v>26</v>
      </c>
      <c r="B12" s="66">
        <v>12000</v>
      </c>
      <c r="C12" s="66">
        <v>1000</v>
      </c>
      <c r="D12" s="66">
        <v>16000</v>
      </c>
      <c r="E12" s="67">
        <v>17187.5</v>
      </c>
      <c r="F12" s="66">
        <v>21300</v>
      </c>
      <c r="G12" s="66">
        <v>11000</v>
      </c>
      <c r="H12" s="66">
        <v>15000</v>
      </c>
      <c r="I12" s="66">
        <v>10000</v>
      </c>
      <c r="J12" s="66">
        <v>14000</v>
      </c>
      <c r="K12" s="66">
        <v>19390</v>
      </c>
      <c r="L12" s="66">
        <v>17500</v>
      </c>
      <c r="M12" s="66">
        <v>14857.1</v>
      </c>
      <c r="N12" s="66">
        <v>19000</v>
      </c>
      <c r="O12" s="66">
        <v>15000</v>
      </c>
      <c r="P12" s="66">
        <v>20000</v>
      </c>
      <c r="R12" s="47">
        <f t="shared" si="0"/>
        <v>14882.306666666667</v>
      </c>
      <c r="S12" s="48">
        <f t="shared" si="1"/>
        <v>1000</v>
      </c>
      <c r="T12" s="58">
        <f t="shared" si="2"/>
        <v>21300</v>
      </c>
      <c r="U12" s="63" t="s">
        <v>58</v>
      </c>
      <c r="V12" s="61">
        <f t="shared" si="3"/>
        <v>0.13529369696969698</v>
      </c>
      <c r="W12" s="44"/>
      <c r="X12" s="60"/>
      <c r="Y12" s="44" t="s">
        <v>52</v>
      </c>
      <c r="Z12" s="61">
        <f>V12/V27</f>
        <v>0.14270705022831051</v>
      </c>
    </row>
    <row r="13" spans="1:26" x14ac:dyDescent="0.25">
      <c r="A13" s="46" t="s">
        <v>27</v>
      </c>
      <c r="B13" s="66">
        <v>1000</v>
      </c>
      <c r="C13" s="66">
        <v>1000</v>
      </c>
      <c r="D13" s="66">
        <v>10000</v>
      </c>
      <c r="E13" s="67">
        <v>8593.75</v>
      </c>
      <c r="F13" s="66">
        <v>2500</v>
      </c>
      <c r="G13" s="66">
        <v>11000</v>
      </c>
      <c r="H13" s="66">
        <v>1430</v>
      </c>
      <c r="I13" s="66">
        <v>2500</v>
      </c>
      <c r="J13" s="66">
        <v>11000</v>
      </c>
      <c r="K13" s="66">
        <v>9000</v>
      </c>
      <c r="L13" s="66">
        <v>6800</v>
      </c>
      <c r="M13" s="66">
        <v>14857.1</v>
      </c>
      <c r="N13" s="66">
        <v>6000</v>
      </c>
      <c r="O13" s="66">
        <v>10000</v>
      </c>
      <c r="P13" s="66">
        <v>5000</v>
      </c>
      <c r="R13" s="47">
        <f t="shared" si="0"/>
        <v>6712.0566666666673</v>
      </c>
      <c r="S13" s="48">
        <f t="shared" si="1"/>
        <v>1000</v>
      </c>
      <c r="T13" s="58">
        <f t="shared" si="2"/>
        <v>14857.1</v>
      </c>
      <c r="U13" s="63" t="s">
        <v>59</v>
      </c>
      <c r="V13" s="61">
        <f t="shared" si="3"/>
        <v>6.1018696969696973E-2</v>
      </c>
      <c r="W13" s="44"/>
      <c r="X13" s="60"/>
      <c r="Y13" s="44" t="s">
        <v>52</v>
      </c>
      <c r="Z13" s="61">
        <f>V13/V27</f>
        <v>6.4362187214611871E-2</v>
      </c>
    </row>
    <row r="14" spans="1:26" s="82" customFormat="1" x14ac:dyDescent="0.25">
      <c r="A14" s="73" t="s">
        <v>28</v>
      </c>
      <c r="B14" s="74">
        <f>SUM(B3:B13)</f>
        <v>110000</v>
      </c>
      <c r="C14" s="74">
        <f t="shared" ref="C14:O14" si="4">SUM(C3:C13)</f>
        <v>110000</v>
      </c>
      <c r="D14" s="74">
        <f t="shared" si="4"/>
        <v>110000</v>
      </c>
      <c r="E14" s="74">
        <f t="shared" si="4"/>
        <v>110000</v>
      </c>
      <c r="F14" s="74">
        <f t="shared" si="4"/>
        <v>110000</v>
      </c>
      <c r="G14" s="74">
        <f t="shared" si="4"/>
        <v>110000</v>
      </c>
      <c r="H14" s="74">
        <f t="shared" si="4"/>
        <v>110000</v>
      </c>
      <c r="I14" s="74">
        <f t="shared" si="4"/>
        <v>110000</v>
      </c>
      <c r="J14" s="74">
        <f t="shared" si="4"/>
        <v>110000</v>
      </c>
      <c r="K14" s="74">
        <f t="shared" si="4"/>
        <v>110000</v>
      </c>
      <c r="L14" s="74">
        <f t="shared" si="4"/>
        <v>110000</v>
      </c>
      <c r="M14" s="74">
        <f t="shared" si="4"/>
        <v>109999.70000000001</v>
      </c>
      <c r="N14" s="74">
        <f t="shared" si="4"/>
        <v>110000</v>
      </c>
      <c r="O14" s="74">
        <f t="shared" si="4"/>
        <v>110000</v>
      </c>
      <c r="P14" s="74">
        <f>SUM(O3:O13)</f>
        <v>110000</v>
      </c>
      <c r="Q14" s="75"/>
      <c r="R14" s="76">
        <f t="shared" ref="R14" si="5">SUM(R3:R13)</f>
        <v>109999.98000000001</v>
      </c>
      <c r="S14" s="77"/>
      <c r="T14" s="78"/>
      <c r="U14" s="79"/>
      <c r="V14" s="80"/>
      <c r="W14" s="81"/>
      <c r="X14" s="80"/>
      <c r="Y14" s="81"/>
      <c r="Z14" s="80"/>
    </row>
    <row r="15" spans="1:26" ht="15" customHeight="1" x14ac:dyDescent="0.25">
      <c r="B15" s="68"/>
      <c r="R15" s="50"/>
      <c r="S15" s="48"/>
      <c r="T15" s="58"/>
    </row>
    <row r="16" spans="1:26" x14ac:dyDescent="0.25">
      <c r="A16" s="51" t="s">
        <v>31</v>
      </c>
      <c r="B16" s="70"/>
      <c r="R16" s="59"/>
      <c r="T16" s="23"/>
      <c r="U16" s="64" t="s">
        <v>60</v>
      </c>
      <c r="V16" s="60" t="s">
        <v>61</v>
      </c>
    </row>
    <row r="17" spans="1:25" x14ac:dyDescent="0.25">
      <c r="A17" s="52" t="s">
        <v>33</v>
      </c>
      <c r="B17" s="71">
        <v>20</v>
      </c>
      <c r="C17" s="71">
        <v>30</v>
      </c>
      <c r="D17" s="71">
        <v>20</v>
      </c>
      <c r="E17" s="71">
        <v>30</v>
      </c>
      <c r="F17" s="71">
        <v>35</v>
      </c>
      <c r="G17" s="71">
        <v>50</v>
      </c>
      <c r="H17" s="71">
        <v>40</v>
      </c>
      <c r="I17" s="71">
        <v>30</v>
      </c>
      <c r="J17" s="71">
        <v>10</v>
      </c>
      <c r="K17" s="71">
        <v>30</v>
      </c>
      <c r="L17" s="71">
        <v>40</v>
      </c>
      <c r="M17" s="71">
        <v>50</v>
      </c>
      <c r="N17" s="71">
        <v>45</v>
      </c>
      <c r="O17" s="71">
        <v>40</v>
      </c>
      <c r="P17" s="71">
        <v>10</v>
      </c>
      <c r="R17" s="53">
        <f>AVERAGE(B17:Q17)</f>
        <v>32</v>
      </c>
      <c r="S17" s="48">
        <f>MIN(B17:Q17)</f>
        <v>10</v>
      </c>
      <c r="T17" s="58">
        <f>MAX(B17:Q17)</f>
        <v>50</v>
      </c>
      <c r="U17" s="64">
        <f>R17/100</f>
        <v>0.32</v>
      </c>
      <c r="V17" s="60">
        <f>U17/U18</f>
        <v>0.47058823529411764</v>
      </c>
    </row>
    <row r="18" spans="1:25" ht="14.25" customHeight="1" x14ac:dyDescent="0.25">
      <c r="A18" s="52" t="s">
        <v>34</v>
      </c>
      <c r="B18" s="71">
        <v>80</v>
      </c>
      <c r="C18" s="71">
        <v>70</v>
      </c>
      <c r="D18" s="71">
        <v>80</v>
      </c>
      <c r="E18" s="71">
        <v>70</v>
      </c>
      <c r="F18" s="71">
        <v>65</v>
      </c>
      <c r="G18" s="71">
        <v>50</v>
      </c>
      <c r="H18" s="71">
        <v>60</v>
      </c>
      <c r="I18" s="71">
        <v>70</v>
      </c>
      <c r="J18" s="71">
        <v>90</v>
      </c>
      <c r="K18" s="71">
        <v>70</v>
      </c>
      <c r="L18" s="71">
        <v>60</v>
      </c>
      <c r="M18" s="71">
        <v>50</v>
      </c>
      <c r="N18" s="71">
        <v>55</v>
      </c>
      <c r="O18" s="71">
        <v>60</v>
      </c>
      <c r="P18" s="71">
        <v>90</v>
      </c>
      <c r="R18" s="53">
        <f>AVERAGE(B18:Q18)</f>
        <v>68</v>
      </c>
      <c r="S18" s="48">
        <f>MIN(B18:Q18)</f>
        <v>50</v>
      </c>
      <c r="T18" s="58">
        <f>MAX(B18:Q18)</f>
        <v>90</v>
      </c>
      <c r="U18" s="64">
        <f>R18/100</f>
        <v>0.68</v>
      </c>
      <c r="V18" s="60">
        <v>1</v>
      </c>
    </row>
    <row r="19" spans="1:25" s="82" customFormat="1" x14ac:dyDescent="0.25">
      <c r="A19" s="83" t="s">
        <v>28</v>
      </c>
      <c r="B19" s="84">
        <f>SUM(B17:B18)</f>
        <v>100</v>
      </c>
      <c r="C19" s="84">
        <f t="shared" ref="C19:P19" si="6">SUM(C17:C18)</f>
        <v>100</v>
      </c>
      <c r="D19" s="84">
        <f t="shared" si="6"/>
        <v>100</v>
      </c>
      <c r="E19" s="84">
        <f t="shared" si="6"/>
        <v>100</v>
      </c>
      <c r="F19" s="84">
        <f t="shared" si="6"/>
        <v>100</v>
      </c>
      <c r="G19" s="84">
        <f t="shared" si="6"/>
        <v>100</v>
      </c>
      <c r="H19" s="84">
        <f t="shared" si="6"/>
        <v>100</v>
      </c>
      <c r="I19" s="84">
        <f t="shared" si="6"/>
        <v>100</v>
      </c>
      <c r="J19" s="84">
        <f t="shared" si="6"/>
        <v>100</v>
      </c>
      <c r="K19" s="84">
        <f t="shared" si="6"/>
        <v>100</v>
      </c>
      <c r="L19" s="84">
        <f t="shared" si="6"/>
        <v>100</v>
      </c>
      <c r="M19" s="84">
        <f t="shared" si="6"/>
        <v>100</v>
      </c>
      <c r="N19" s="84">
        <f t="shared" si="6"/>
        <v>100</v>
      </c>
      <c r="O19" s="84">
        <f t="shared" si="6"/>
        <v>100</v>
      </c>
      <c r="P19" s="84">
        <f t="shared" si="6"/>
        <v>100</v>
      </c>
      <c r="Q19" s="85"/>
      <c r="R19" s="86">
        <f t="shared" ref="R19" si="7">SUM(R17:R18)</f>
        <v>100</v>
      </c>
      <c r="S19" s="87"/>
      <c r="T19" s="88"/>
      <c r="U19" s="89"/>
      <c r="V19" s="80"/>
      <c r="W19" s="89"/>
      <c r="Y19" s="89"/>
    </row>
    <row r="20" spans="1:25" ht="6" customHeight="1" x14ac:dyDescent="0.25">
      <c r="A20" s="54"/>
      <c r="B20" s="72"/>
      <c r="R20" s="50"/>
      <c r="S20" s="48"/>
      <c r="T20" s="58"/>
    </row>
    <row r="21" spans="1:25" x14ac:dyDescent="0.25">
      <c r="A21" s="34" t="s">
        <v>36</v>
      </c>
      <c r="B21" s="70"/>
      <c r="R21" s="50"/>
      <c r="S21" s="48"/>
      <c r="T21" s="58"/>
    </row>
    <row r="22" spans="1:25" x14ac:dyDescent="0.25">
      <c r="A22" s="35" t="s">
        <v>37</v>
      </c>
      <c r="B22" s="71">
        <v>45</v>
      </c>
      <c r="C22" s="71">
        <v>55</v>
      </c>
      <c r="D22" s="71">
        <v>50</v>
      </c>
      <c r="E22" s="71">
        <v>50</v>
      </c>
      <c r="F22" s="71">
        <v>47</v>
      </c>
      <c r="G22" s="71">
        <v>50</v>
      </c>
      <c r="H22" s="71">
        <v>45</v>
      </c>
      <c r="I22" s="71">
        <v>50</v>
      </c>
      <c r="J22" s="71">
        <v>50</v>
      </c>
      <c r="K22" s="71">
        <v>50</v>
      </c>
      <c r="L22" s="71">
        <v>40</v>
      </c>
      <c r="M22" s="71">
        <v>50</v>
      </c>
      <c r="N22" s="71">
        <v>50</v>
      </c>
      <c r="O22" s="71">
        <v>40</v>
      </c>
      <c r="P22" s="71">
        <v>50</v>
      </c>
      <c r="R22" s="55">
        <f>AVERAGE(B22:Q22)</f>
        <v>48.133333333333333</v>
      </c>
      <c r="S22" s="48">
        <f>MIN(B22:Q22)</f>
        <v>40</v>
      </c>
      <c r="T22" s="58">
        <f>MAX(B22:Q22)</f>
        <v>55</v>
      </c>
      <c r="U22" s="64">
        <f>R22/100</f>
        <v>0.48133333333333334</v>
      </c>
      <c r="V22" s="60">
        <f>U22/U23</f>
        <v>0.92802056555269918</v>
      </c>
    </row>
    <row r="23" spans="1:25" x14ac:dyDescent="0.25">
      <c r="A23" s="35" t="s">
        <v>38</v>
      </c>
      <c r="B23" s="71">
        <v>55</v>
      </c>
      <c r="C23" s="71">
        <v>45</v>
      </c>
      <c r="D23" s="71">
        <v>50</v>
      </c>
      <c r="E23" s="71">
        <v>50</v>
      </c>
      <c r="F23" s="71">
        <v>53</v>
      </c>
      <c r="G23" s="71">
        <v>50</v>
      </c>
      <c r="H23" s="71">
        <v>55</v>
      </c>
      <c r="I23" s="71">
        <v>50</v>
      </c>
      <c r="J23" s="71">
        <v>50</v>
      </c>
      <c r="K23" s="71">
        <v>50</v>
      </c>
      <c r="L23" s="71">
        <v>60</v>
      </c>
      <c r="M23" s="71">
        <v>50</v>
      </c>
      <c r="N23" s="71">
        <v>50</v>
      </c>
      <c r="O23" s="71">
        <v>60</v>
      </c>
      <c r="P23" s="71">
        <v>50</v>
      </c>
      <c r="R23" s="55">
        <f>AVERAGE(B23:Q23)</f>
        <v>51.866666666666667</v>
      </c>
      <c r="S23" s="48">
        <f>MIN(B23:Q23)</f>
        <v>45</v>
      </c>
      <c r="T23" s="58">
        <f>MAX(B23:Q23)</f>
        <v>60</v>
      </c>
      <c r="U23" s="64">
        <f>R23/100</f>
        <v>0.51866666666666672</v>
      </c>
      <c r="V23" s="60">
        <v>1</v>
      </c>
    </row>
    <row r="24" spans="1:25" s="82" customFormat="1" x14ac:dyDescent="0.25">
      <c r="A24" s="90" t="s">
        <v>28</v>
      </c>
      <c r="B24" s="84">
        <f>SUM(B22:B23)</f>
        <v>100</v>
      </c>
      <c r="C24" s="84">
        <f t="shared" ref="C24:P24" si="8">SUM(C22:C23)</f>
        <v>100</v>
      </c>
      <c r="D24" s="84">
        <f t="shared" si="8"/>
        <v>100</v>
      </c>
      <c r="E24" s="84">
        <f t="shared" si="8"/>
        <v>100</v>
      </c>
      <c r="F24" s="84">
        <f t="shared" si="8"/>
        <v>100</v>
      </c>
      <c r="G24" s="84">
        <f t="shared" si="8"/>
        <v>100</v>
      </c>
      <c r="H24" s="84">
        <f t="shared" si="8"/>
        <v>100</v>
      </c>
      <c r="I24" s="84">
        <f t="shared" si="8"/>
        <v>100</v>
      </c>
      <c r="J24" s="84">
        <f t="shared" si="8"/>
        <v>100</v>
      </c>
      <c r="K24" s="84">
        <f t="shared" si="8"/>
        <v>100</v>
      </c>
      <c r="L24" s="84">
        <f t="shared" si="8"/>
        <v>100</v>
      </c>
      <c r="M24" s="84">
        <f t="shared" si="8"/>
        <v>100</v>
      </c>
      <c r="N24" s="84">
        <f t="shared" si="8"/>
        <v>100</v>
      </c>
      <c r="O24" s="84">
        <f t="shared" si="8"/>
        <v>100</v>
      </c>
      <c r="P24" s="84">
        <f t="shared" si="8"/>
        <v>100</v>
      </c>
      <c r="Q24" s="85"/>
      <c r="R24" s="86">
        <f t="shared" ref="R24" si="9">SUM(R22:R23)</f>
        <v>100</v>
      </c>
      <c r="S24" s="87"/>
      <c r="T24" s="88"/>
      <c r="U24" s="89"/>
      <c r="V24" s="80"/>
      <c r="W24" s="89"/>
      <c r="Y24" s="89"/>
    </row>
    <row r="25" spans="1:25" ht="6.75" customHeight="1" x14ac:dyDescent="0.25">
      <c r="B25" s="68"/>
      <c r="R25" s="50"/>
      <c r="S25" s="48"/>
      <c r="T25" s="58"/>
    </row>
    <row r="26" spans="1:25" x14ac:dyDescent="0.25">
      <c r="A26" s="38" t="s">
        <v>39</v>
      </c>
      <c r="B26" s="70"/>
      <c r="R26" s="50"/>
      <c r="S26" s="48"/>
      <c r="T26" s="58"/>
    </row>
    <row r="27" spans="1:25" x14ac:dyDescent="0.25">
      <c r="A27" s="39" t="s">
        <v>40</v>
      </c>
      <c r="B27" s="71">
        <v>45</v>
      </c>
      <c r="C27" s="71">
        <v>70</v>
      </c>
      <c r="D27" s="71">
        <v>45</v>
      </c>
      <c r="E27" s="71">
        <v>50</v>
      </c>
      <c r="F27" s="71">
        <v>45</v>
      </c>
      <c r="G27" s="71">
        <v>50</v>
      </c>
      <c r="H27" s="71">
        <v>45</v>
      </c>
      <c r="I27" s="71">
        <v>50</v>
      </c>
      <c r="J27" s="71">
        <v>50</v>
      </c>
      <c r="K27" s="71">
        <v>40</v>
      </c>
      <c r="L27" s="71">
        <v>50</v>
      </c>
      <c r="M27" s="71">
        <v>50</v>
      </c>
      <c r="N27" s="71">
        <v>50</v>
      </c>
      <c r="O27" s="71">
        <v>50</v>
      </c>
      <c r="P27" s="71">
        <v>40</v>
      </c>
      <c r="R27" s="56">
        <f>AVERAGE(B27:Q27)</f>
        <v>48.666666666666664</v>
      </c>
      <c r="S27" s="48">
        <f>MIN(B27:Q27)</f>
        <v>40</v>
      </c>
      <c r="T27" s="58">
        <f>MAX(B27:Q27)</f>
        <v>70</v>
      </c>
      <c r="U27" s="64">
        <f>R27/100</f>
        <v>0.48666666666666664</v>
      </c>
      <c r="V27" s="60">
        <f>U27/U28</f>
        <v>0.94805194805194803</v>
      </c>
    </row>
    <row r="28" spans="1:25" x14ac:dyDescent="0.25">
      <c r="A28" s="39" t="s">
        <v>41</v>
      </c>
      <c r="B28" s="71">
        <v>55</v>
      </c>
      <c r="C28" s="71">
        <v>30</v>
      </c>
      <c r="D28" s="71">
        <v>55</v>
      </c>
      <c r="E28" s="71">
        <v>50</v>
      </c>
      <c r="F28" s="71">
        <v>55</v>
      </c>
      <c r="G28" s="71">
        <v>50</v>
      </c>
      <c r="H28" s="71">
        <v>55</v>
      </c>
      <c r="I28" s="71">
        <v>50</v>
      </c>
      <c r="J28" s="71">
        <v>50</v>
      </c>
      <c r="K28" s="71">
        <v>60</v>
      </c>
      <c r="L28" s="71">
        <v>50</v>
      </c>
      <c r="M28" s="71">
        <v>50</v>
      </c>
      <c r="N28" s="71">
        <v>50</v>
      </c>
      <c r="O28" s="71">
        <v>50</v>
      </c>
      <c r="P28" s="71">
        <v>60</v>
      </c>
      <c r="R28" s="56">
        <f>AVERAGE(B28:Q28)</f>
        <v>51.333333333333336</v>
      </c>
      <c r="S28" s="48">
        <f>MIN(B28:Q28)</f>
        <v>30</v>
      </c>
      <c r="T28" s="58">
        <f>MAX(B28:Q28)</f>
        <v>60</v>
      </c>
      <c r="U28" s="64">
        <f>R28/100</f>
        <v>0.51333333333333331</v>
      </c>
      <c r="V28" s="60">
        <v>1</v>
      </c>
    </row>
    <row r="29" spans="1:25" s="82" customFormat="1" ht="15.75" thickBot="1" x14ac:dyDescent="0.3">
      <c r="A29" s="91" t="s">
        <v>28</v>
      </c>
      <c r="B29" s="84">
        <f>SUM(B27:B28)</f>
        <v>100</v>
      </c>
      <c r="C29" s="84">
        <f t="shared" ref="C29:P29" si="10">SUM(C27:C28)</f>
        <v>100</v>
      </c>
      <c r="D29" s="84">
        <f t="shared" si="10"/>
        <v>100</v>
      </c>
      <c r="E29" s="84">
        <f t="shared" si="10"/>
        <v>100</v>
      </c>
      <c r="F29" s="84">
        <f t="shared" si="10"/>
        <v>100</v>
      </c>
      <c r="G29" s="84">
        <f t="shared" si="10"/>
        <v>100</v>
      </c>
      <c r="H29" s="84">
        <f t="shared" si="10"/>
        <v>100</v>
      </c>
      <c r="I29" s="84">
        <f t="shared" si="10"/>
        <v>100</v>
      </c>
      <c r="J29" s="84">
        <f t="shared" si="10"/>
        <v>100</v>
      </c>
      <c r="K29" s="84">
        <f t="shared" si="10"/>
        <v>100</v>
      </c>
      <c r="L29" s="84">
        <f t="shared" si="10"/>
        <v>100</v>
      </c>
      <c r="M29" s="84">
        <f t="shared" si="10"/>
        <v>100</v>
      </c>
      <c r="N29" s="84">
        <f t="shared" si="10"/>
        <v>100</v>
      </c>
      <c r="O29" s="84">
        <f t="shared" si="10"/>
        <v>100</v>
      </c>
      <c r="P29" s="84">
        <f t="shared" si="10"/>
        <v>100</v>
      </c>
      <c r="Q29" s="85"/>
      <c r="R29" s="92">
        <f t="shared" ref="R29" si="11">SUM(R27:R28)</f>
        <v>100</v>
      </c>
      <c r="S29" s="93"/>
      <c r="T29" s="94"/>
      <c r="U29" s="89"/>
      <c r="V29" s="80"/>
      <c r="W29" s="89"/>
      <c r="Y29" s="89"/>
    </row>
  </sheetData>
  <mergeCells count="2">
    <mergeCell ref="A1:P1"/>
    <mergeCell ref="U1:Z1"/>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README</vt:lpstr>
      <vt:lpstr>Empty survey</vt:lpstr>
      <vt:lpstr>Results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Lotta Rydhmer</dc:creator>
  <cp:keywords/>
  <dc:description/>
  <cp:lastModifiedBy>Lotta Rydhmer</cp:lastModifiedBy>
  <cp:revision/>
  <dcterms:created xsi:type="dcterms:W3CDTF">2023-02-01T09:42:49Z</dcterms:created>
  <dcterms:modified xsi:type="dcterms:W3CDTF">2025-05-22T11:59:21Z</dcterms:modified>
  <cp:category/>
  <cp:contentStatus/>
</cp:coreProperties>
</file>