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updateLinks="never" codeName="ThisWorkbook"/>
  <xr:revisionPtr revIDLastSave="0" documentId="13_ncr:1_{2AB2CB81-43A4-47F9-84F5-568BFD830C9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117" r:id="rId1"/>
    <sheet name="Diesel" sheetId="129" r:id="rId2"/>
    <sheet name="Argentina" sheetId="126" r:id="rId3"/>
    <sheet name="Pesticides" sheetId="127" r:id="rId4"/>
    <sheet name="Pesticides sources" sheetId="128" r:id="rId5"/>
    <sheet name="Sweden" sheetId="125" r:id="rId6"/>
    <sheet name="Defaults" sheetId="124" r:id="rId7"/>
    <sheet name="Reference list" sheetId="122" r:id="rId8"/>
  </sheets>
  <definedNames>
    <definedName name="_xlnm._FilterDatabase" localSheetId="2" hidden="1">Argentina!$A$5:$O$118</definedName>
    <definedName name="_xlnm._FilterDatabase" localSheetId="6" hidden="1">Defaults!$A$5:$J$118</definedName>
    <definedName name="_xlnm._FilterDatabase" localSheetId="5" hidden="1">Sweden!$A$5:$O$118</definedName>
    <definedName name="CF_biog_CH4">#REF!</definedName>
    <definedName name="CF_fossil_CH4">#REF!</definedName>
    <definedName name="CF_HCFC">#REF!</definedName>
    <definedName name="CF_N2O">#REF!</definedName>
    <definedName name="CH4_bio_codes">#REF!</definedName>
    <definedName name="CH4_bio_data">#REF!</definedName>
    <definedName name="CH4_codes">#REF!</definedName>
    <definedName name="CH4_data">#REF!</definedName>
    <definedName name="CO2_codes">#REF!</definedName>
    <definedName name="CO2_data">#REF!</definedName>
    <definedName name="CO2e_codes">#REF!</definedName>
    <definedName name="CO2e_data">#REF!</definedName>
    <definedName name="Crop_codes" localSheetId="2">Argentina!$A$6:$A$118</definedName>
    <definedName name="Crop_codes" localSheetId="6">Defaults!$A$6:$A$118</definedName>
    <definedName name="Crop_codes" localSheetId="5">Sweden!$A$6:$A$118</definedName>
    <definedName name="Crop_codes">#REF!</definedName>
    <definedName name="Crop_data" localSheetId="2">Argentina!$A$6:$J$118</definedName>
    <definedName name="Crop_data" localSheetId="6">Defaults!$A$6:$G$118</definedName>
    <definedName name="Crop_data" localSheetId="5">Sweden!$A$6:$J$118</definedName>
    <definedName name="Crop_data">#REF!</definedName>
    <definedName name="Crop_data_codes" localSheetId="2">Argentina!$A$6:$A$118</definedName>
    <definedName name="Crop_data_codes" localSheetId="6">Defaults!$A$6:$A$118</definedName>
    <definedName name="Crop_data_codes" localSheetId="5">Sweden!$A$6:$A$118</definedName>
    <definedName name="Crop_data_codes">#REF!</definedName>
    <definedName name="Crops">#REF!</definedName>
    <definedName name="EF_capital_goods_CH4">#REF!</definedName>
    <definedName name="EF_capital_goods_CO2">#REF!</definedName>
    <definedName name="EF_capital_goods_N2O">#REF!</definedName>
    <definedName name="EF_chips_CH4">#REF!</definedName>
    <definedName name="EF_chips_CO2">#REF!</definedName>
    <definedName name="EF_chips_N2O">#REF!</definedName>
    <definedName name="EF_diesel_CH4">#REF!</definedName>
    <definedName name="EF_diesel_CO2">#REF!</definedName>
    <definedName name="EF_diesel_N2O">#REF!</definedName>
    <definedName name="EF_district_heating_CH4">#REF!</definedName>
    <definedName name="EF_district_heating_CO2">#REF!</definedName>
    <definedName name="EF_district_heating_N2O">#REF!</definedName>
    <definedName name="EF_electricity_CH4">#REF!</definedName>
    <definedName name="EF_electricity_CO2">#REF!</definedName>
    <definedName name="EF_electricity_N2O">#REF!</definedName>
    <definedName name="EF_heating_oil_CH4">#REF!</definedName>
    <definedName name="EF_heating_oil_CO2">#REF!</definedName>
    <definedName name="EF_heating_oil_N2O">#REF!</definedName>
    <definedName name="EF_irrigation_CH4">#REF!</definedName>
    <definedName name="EF_irrigation_CO2">#REF!</definedName>
    <definedName name="EF_irrigation_N2O">#REF!</definedName>
    <definedName name="EF_min_fert_AN_CH4">#REF!</definedName>
    <definedName name="EF_min_fert_AN_CO2">#REF!</definedName>
    <definedName name="EF_min_fert_AN_N2O">#REF!</definedName>
    <definedName name="EF_min_fert_BAT_CH4">#REF!</definedName>
    <definedName name="EF_min_fert_BAT_CO2">#REF!</definedName>
    <definedName name="EF_min_fert_BAT_N2O">#REF!</definedName>
    <definedName name="EF_min_fert_CH4">#REF!</definedName>
    <definedName name="EF_min_fert_CO2">#REF!</definedName>
    <definedName name="EF_N2O_soils_crop_res">#REF!</definedName>
    <definedName name="EF_N2O_soils_indirect">#REF!</definedName>
    <definedName name="EF_N2O_soils_min_fert">#REF!</definedName>
    <definedName name="EF_natural_gas_CH4">#REF!</definedName>
    <definedName name="EF_natural_gas_CO2">#REF!</definedName>
    <definedName name="EF_natural_gas_N2O">#REF!</definedName>
    <definedName name="EF_NH3">#REF!</definedName>
    <definedName name="EF_other_fossil_CH4">#REF!</definedName>
    <definedName name="EF_other_fossil_CO2">#REF!</definedName>
    <definedName name="EF_other_fossil_N2O">#REF!</definedName>
    <definedName name="EF_other_renew_CH4">#REF!</definedName>
    <definedName name="EF_other_renew_CO2">#REF!</definedName>
    <definedName name="EF_other_renew_N2O">#REF!</definedName>
    <definedName name="EF_pellets_CH4">#REF!</definedName>
    <definedName name="EF_pellets_CO2">#REF!</definedName>
    <definedName name="EF_pellets_N2O">#REF!</definedName>
    <definedName name="Frac_AN">#REF!</definedName>
    <definedName name="Frac_BAT">#REF!</definedName>
    <definedName name="Heating_value_diesel">#REF!</definedName>
    <definedName name="Heating_value_oil">#REF!</definedName>
    <definedName name="N_to_NH3">#REF!</definedName>
    <definedName name="N2O_codes">#REF!</definedName>
    <definedName name="N2O_data">#REF!</definedName>
    <definedName name="No_species">#REF!</definedName>
    <definedName name="Post_harvest_energy_categories">#REF!</definedName>
    <definedName name="Post_harvest_energy_data">#REF!</definedName>
    <definedName name="Soil_carbon_categories">#REF!</definedName>
    <definedName name="Soil_carbon_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129" l="1"/>
  <c r="B118" i="129"/>
  <c r="A118" i="129"/>
  <c r="C117" i="129"/>
  <c r="B117" i="129"/>
  <c r="A117" i="129"/>
  <c r="C116" i="129"/>
  <c r="B116" i="129"/>
  <c r="A116" i="129"/>
  <c r="C115" i="129"/>
  <c r="B115" i="129"/>
  <c r="A115" i="129"/>
  <c r="C114" i="129"/>
  <c r="B114" i="129"/>
  <c r="A114" i="129"/>
  <c r="C113" i="129"/>
  <c r="B113" i="129"/>
  <c r="A113" i="129"/>
  <c r="C112" i="129"/>
  <c r="B112" i="129"/>
  <c r="A112" i="129"/>
  <c r="C111" i="129"/>
  <c r="B111" i="129"/>
  <c r="A111" i="129"/>
  <c r="C110" i="129"/>
  <c r="B110" i="129"/>
  <c r="A110" i="129"/>
  <c r="C109" i="129"/>
  <c r="B109" i="129"/>
  <c r="A109" i="129"/>
  <c r="C108" i="129"/>
  <c r="B108" i="129"/>
  <c r="A108" i="129"/>
  <c r="C107" i="129"/>
  <c r="B107" i="129"/>
  <c r="A107" i="129"/>
  <c r="C106" i="129"/>
  <c r="B106" i="129"/>
  <c r="A106" i="129"/>
  <c r="C105" i="129"/>
  <c r="B105" i="129"/>
  <c r="A105" i="129"/>
  <c r="C104" i="129"/>
  <c r="B104" i="129"/>
  <c r="A104" i="129"/>
  <c r="C103" i="129"/>
  <c r="B103" i="129"/>
  <c r="A103" i="129"/>
  <c r="C102" i="129"/>
  <c r="B102" i="129"/>
  <c r="A102" i="129"/>
  <c r="C101" i="129"/>
  <c r="B101" i="129"/>
  <c r="A101" i="129"/>
  <c r="C100" i="129"/>
  <c r="B100" i="129"/>
  <c r="A100" i="129"/>
  <c r="C99" i="129"/>
  <c r="B99" i="129"/>
  <c r="A99" i="129"/>
  <c r="C98" i="129"/>
  <c r="B98" i="129"/>
  <c r="A98" i="129"/>
  <c r="C97" i="129"/>
  <c r="B97" i="129"/>
  <c r="A97" i="129"/>
  <c r="C96" i="129"/>
  <c r="B96" i="129"/>
  <c r="A96" i="129"/>
  <c r="C95" i="129"/>
  <c r="B95" i="129"/>
  <c r="A95" i="129"/>
  <c r="C94" i="129"/>
  <c r="B94" i="129"/>
  <c r="A94" i="129"/>
  <c r="C93" i="129"/>
  <c r="B93" i="129"/>
  <c r="A93" i="129"/>
  <c r="C92" i="129"/>
  <c r="B92" i="129"/>
  <c r="A92" i="129"/>
  <c r="C91" i="129"/>
  <c r="B91" i="129"/>
  <c r="A91" i="129"/>
  <c r="C90" i="129"/>
  <c r="B90" i="129"/>
  <c r="A90" i="129"/>
  <c r="C89" i="129"/>
  <c r="B89" i="129"/>
  <c r="A89" i="129"/>
  <c r="C88" i="129"/>
  <c r="B88" i="129"/>
  <c r="A88" i="129"/>
  <c r="C87" i="129"/>
  <c r="B87" i="129"/>
  <c r="A87" i="129"/>
  <c r="C86" i="129"/>
  <c r="B86" i="129"/>
  <c r="A86" i="129"/>
  <c r="C85" i="129"/>
  <c r="B85" i="129"/>
  <c r="A85" i="129"/>
  <c r="C84" i="129"/>
  <c r="B84" i="129"/>
  <c r="A84" i="129"/>
  <c r="C83" i="129"/>
  <c r="B83" i="129"/>
  <c r="A83" i="129"/>
  <c r="C82" i="129"/>
  <c r="B82" i="129"/>
  <c r="A82" i="129"/>
  <c r="C81" i="129"/>
  <c r="B81" i="129"/>
  <c r="A81" i="129"/>
  <c r="C80" i="129"/>
  <c r="B80" i="129"/>
  <c r="A80" i="129"/>
  <c r="C79" i="129"/>
  <c r="B79" i="129"/>
  <c r="A79" i="129"/>
  <c r="C78" i="129"/>
  <c r="B78" i="129"/>
  <c r="A78" i="129"/>
  <c r="C77" i="129"/>
  <c r="B77" i="129"/>
  <c r="A77" i="129"/>
  <c r="C76" i="129"/>
  <c r="B76" i="129"/>
  <c r="A76" i="129"/>
  <c r="C75" i="129"/>
  <c r="B75" i="129"/>
  <c r="A75" i="129"/>
  <c r="C74" i="129"/>
  <c r="B74" i="129"/>
  <c r="A74" i="129"/>
  <c r="C73" i="129"/>
  <c r="B73" i="129"/>
  <c r="A73" i="129"/>
  <c r="C72" i="129"/>
  <c r="B72" i="129"/>
  <c r="A72" i="129"/>
  <c r="C71" i="129"/>
  <c r="B71" i="129"/>
  <c r="A71" i="129"/>
  <c r="C70" i="129"/>
  <c r="B70" i="129"/>
  <c r="A70" i="129"/>
  <c r="C69" i="129"/>
  <c r="B69" i="129"/>
  <c r="A69" i="129"/>
  <c r="C68" i="129"/>
  <c r="B68" i="129"/>
  <c r="A68" i="129"/>
  <c r="C67" i="129"/>
  <c r="B67" i="129"/>
  <c r="A67" i="129"/>
  <c r="C66" i="129"/>
  <c r="B66" i="129"/>
  <c r="A66" i="129"/>
  <c r="C65" i="129"/>
  <c r="B65" i="129"/>
  <c r="A65" i="129"/>
  <c r="C64" i="129"/>
  <c r="B64" i="129"/>
  <c r="A64" i="129"/>
  <c r="C63" i="129"/>
  <c r="B63" i="129"/>
  <c r="A63" i="129"/>
  <c r="C62" i="129"/>
  <c r="B62" i="129"/>
  <c r="A62" i="129"/>
  <c r="C61" i="129"/>
  <c r="B61" i="129"/>
  <c r="A61" i="129"/>
  <c r="C60" i="129"/>
  <c r="B60" i="129"/>
  <c r="A60" i="129"/>
  <c r="C59" i="129"/>
  <c r="B59" i="129"/>
  <c r="A59" i="129"/>
  <c r="C58" i="129"/>
  <c r="B58" i="129"/>
  <c r="A58" i="129"/>
  <c r="C57" i="129"/>
  <c r="B57" i="129"/>
  <c r="A57" i="129"/>
  <c r="C56" i="129"/>
  <c r="B56" i="129"/>
  <c r="A56" i="129"/>
  <c r="C55" i="129"/>
  <c r="B55" i="129"/>
  <c r="A55" i="129"/>
  <c r="C54" i="129"/>
  <c r="B54" i="129"/>
  <c r="A54" i="129"/>
  <c r="C53" i="129"/>
  <c r="B53" i="129"/>
  <c r="A53" i="129"/>
  <c r="C52" i="129"/>
  <c r="B52" i="129"/>
  <c r="A52" i="129"/>
  <c r="C51" i="129"/>
  <c r="B51" i="129"/>
  <c r="A51" i="129"/>
  <c r="C50" i="129"/>
  <c r="B50" i="129"/>
  <c r="A50" i="129"/>
  <c r="C49" i="129"/>
  <c r="B49" i="129"/>
  <c r="A49" i="129"/>
  <c r="C48" i="129"/>
  <c r="B48" i="129"/>
  <c r="A48" i="129"/>
  <c r="C47" i="129"/>
  <c r="B47" i="129"/>
  <c r="A47" i="129"/>
  <c r="C46" i="129"/>
  <c r="B46" i="129"/>
  <c r="A46" i="129"/>
  <c r="C45" i="129"/>
  <c r="B45" i="129"/>
  <c r="A45" i="129"/>
  <c r="C44" i="129"/>
  <c r="B44" i="129"/>
  <c r="A44" i="129"/>
  <c r="C43" i="129"/>
  <c r="B43" i="129"/>
  <c r="A43" i="129"/>
  <c r="C42" i="129"/>
  <c r="B42" i="129"/>
  <c r="A42" i="129"/>
  <c r="C41" i="129"/>
  <c r="B41" i="129"/>
  <c r="A41" i="129"/>
  <c r="C40" i="129"/>
  <c r="B40" i="129"/>
  <c r="A40" i="129"/>
  <c r="C39" i="129"/>
  <c r="B39" i="129"/>
  <c r="A39" i="129"/>
  <c r="C38" i="129"/>
  <c r="B38" i="129"/>
  <c r="A38" i="129"/>
  <c r="C37" i="129"/>
  <c r="B37" i="129"/>
  <c r="A37" i="129"/>
  <c r="C36" i="129"/>
  <c r="B36" i="129"/>
  <c r="A36" i="129"/>
  <c r="C35" i="129"/>
  <c r="B35" i="129"/>
  <c r="A35" i="129"/>
  <c r="C34" i="129"/>
  <c r="B34" i="129"/>
  <c r="A34" i="129"/>
  <c r="C33" i="129"/>
  <c r="B33" i="129"/>
  <c r="A33" i="129"/>
  <c r="C32" i="129"/>
  <c r="B32" i="129"/>
  <c r="A32" i="129"/>
  <c r="C31" i="129"/>
  <c r="B31" i="129"/>
  <c r="A31" i="129"/>
  <c r="C30" i="129"/>
  <c r="B30" i="129"/>
  <c r="A30" i="129"/>
  <c r="C29" i="129"/>
  <c r="B29" i="129"/>
  <c r="A29" i="129"/>
  <c r="C28" i="129"/>
  <c r="B28" i="129"/>
  <c r="A28" i="129"/>
  <c r="C27" i="129"/>
  <c r="B27" i="129"/>
  <c r="A27" i="129"/>
  <c r="C26" i="129"/>
  <c r="B26" i="129"/>
  <c r="A26" i="129"/>
  <c r="C25" i="129"/>
  <c r="B25" i="129"/>
  <c r="A25" i="129"/>
  <c r="C24" i="129"/>
  <c r="B24" i="129"/>
  <c r="A24" i="129"/>
  <c r="C23" i="129"/>
  <c r="B23" i="129"/>
  <c r="A23" i="129"/>
  <c r="C22" i="129"/>
  <c r="B22" i="129"/>
  <c r="A22" i="129"/>
  <c r="C21" i="129"/>
  <c r="B21" i="129"/>
  <c r="A21" i="129"/>
  <c r="C20" i="129"/>
  <c r="B20" i="129"/>
  <c r="A20" i="129"/>
  <c r="C19" i="129"/>
  <c r="B19" i="129"/>
  <c r="A19" i="129"/>
  <c r="C18" i="129"/>
  <c r="B18" i="129"/>
  <c r="A18" i="129"/>
  <c r="C17" i="129"/>
  <c r="B17" i="129"/>
  <c r="A17" i="129"/>
  <c r="C16" i="129"/>
  <c r="B16" i="129"/>
  <c r="A16" i="129"/>
  <c r="C15" i="129"/>
  <c r="B15" i="129"/>
  <c r="A15" i="129"/>
  <c r="C14" i="129"/>
  <c r="B14" i="129"/>
  <c r="A14" i="129"/>
  <c r="C13" i="129"/>
  <c r="B13" i="129"/>
  <c r="A13" i="129"/>
  <c r="C12" i="129"/>
  <c r="B12" i="129"/>
  <c r="A12" i="129"/>
  <c r="C11" i="129"/>
  <c r="B11" i="129"/>
  <c r="A11" i="129"/>
  <c r="C10" i="129"/>
  <c r="B10" i="129"/>
  <c r="A10" i="129"/>
  <c r="C9" i="129"/>
  <c r="B9" i="129"/>
  <c r="A9" i="129"/>
  <c r="C8" i="129"/>
  <c r="B8" i="129"/>
  <c r="A8" i="129"/>
  <c r="C7" i="129"/>
  <c r="B7" i="129"/>
  <c r="A7" i="129"/>
  <c r="C6" i="129"/>
  <c r="B6" i="129"/>
  <c r="A6" i="129"/>
  <c r="C118" i="128" l="1"/>
  <c r="B118" i="128"/>
  <c r="A118" i="128"/>
  <c r="C117" i="128"/>
  <c r="B117" i="128"/>
  <c r="A117" i="128"/>
  <c r="C116" i="128"/>
  <c r="B116" i="128"/>
  <c r="A116" i="128"/>
  <c r="C115" i="128"/>
  <c r="B115" i="128"/>
  <c r="A115" i="128"/>
  <c r="C114" i="128"/>
  <c r="B114" i="128"/>
  <c r="A114" i="128"/>
  <c r="C113" i="128"/>
  <c r="B113" i="128"/>
  <c r="A113" i="128"/>
  <c r="C112" i="128"/>
  <c r="B112" i="128"/>
  <c r="A112" i="128"/>
  <c r="C111" i="128"/>
  <c r="B111" i="128"/>
  <c r="A111" i="128"/>
  <c r="C110" i="128"/>
  <c r="B110" i="128"/>
  <c r="A110" i="128"/>
  <c r="C109" i="128"/>
  <c r="B109" i="128"/>
  <c r="A109" i="128"/>
  <c r="C108" i="128"/>
  <c r="B108" i="128"/>
  <c r="A108" i="128"/>
  <c r="C107" i="128"/>
  <c r="B107" i="128"/>
  <c r="A107" i="128"/>
  <c r="C106" i="128"/>
  <c r="B106" i="128"/>
  <c r="A106" i="128"/>
  <c r="C105" i="128"/>
  <c r="B105" i="128"/>
  <c r="A105" i="128"/>
  <c r="C104" i="128"/>
  <c r="B104" i="128"/>
  <c r="A104" i="128"/>
  <c r="C103" i="128"/>
  <c r="B103" i="128"/>
  <c r="A103" i="128"/>
  <c r="C102" i="128"/>
  <c r="B102" i="128"/>
  <c r="A102" i="128"/>
  <c r="C101" i="128"/>
  <c r="B101" i="128"/>
  <c r="A101" i="128"/>
  <c r="C100" i="128"/>
  <c r="B100" i="128"/>
  <c r="A100" i="128"/>
  <c r="C99" i="128"/>
  <c r="B99" i="128"/>
  <c r="A99" i="128"/>
  <c r="C98" i="128"/>
  <c r="B98" i="128"/>
  <c r="A98" i="128"/>
  <c r="C97" i="128"/>
  <c r="B97" i="128"/>
  <c r="A97" i="128"/>
  <c r="C96" i="128"/>
  <c r="B96" i="128"/>
  <c r="A96" i="128"/>
  <c r="C95" i="128"/>
  <c r="B95" i="128"/>
  <c r="A95" i="128"/>
  <c r="C94" i="128"/>
  <c r="B94" i="128"/>
  <c r="A94" i="128"/>
  <c r="C93" i="128"/>
  <c r="B93" i="128"/>
  <c r="A93" i="128"/>
  <c r="C92" i="128"/>
  <c r="B92" i="128"/>
  <c r="A92" i="128"/>
  <c r="C91" i="128"/>
  <c r="B91" i="128"/>
  <c r="A91" i="128"/>
  <c r="C90" i="128"/>
  <c r="B90" i="128"/>
  <c r="A90" i="128"/>
  <c r="C89" i="128"/>
  <c r="B89" i="128"/>
  <c r="A89" i="128"/>
  <c r="C88" i="128"/>
  <c r="B88" i="128"/>
  <c r="A88" i="128"/>
  <c r="C87" i="128"/>
  <c r="B87" i="128"/>
  <c r="A87" i="128"/>
  <c r="C86" i="128"/>
  <c r="B86" i="128"/>
  <c r="A86" i="128"/>
  <c r="C85" i="128"/>
  <c r="B85" i="128"/>
  <c r="A85" i="128"/>
  <c r="C84" i="128"/>
  <c r="B84" i="128"/>
  <c r="A84" i="128"/>
  <c r="C83" i="128"/>
  <c r="B83" i="128"/>
  <c r="A83" i="128"/>
  <c r="C82" i="128"/>
  <c r="B82" i="128"/>
  <c r="A82" i="128"/>
  <c r="C81" i="128"/>
  <c r="B81" i="128"/>
  <c r="A81" i="128"/>
  <c r="C80" i="128"/>
  <c r="B80" i="128"/>
  <c r="A80" i="128"/>
  <c r="C79" i="128"/>
  <c r="B79" i="128"/>
  <c r="A79" i="128"/>
  <c r="C78" i="128"/>
  <c r="B78" i="128"/>
  <c r="A78" i="128"/>
  <c r="C77" i="128"/>
  <c r="B77" i="128"/>
  <c r="A77" i="128"/>
  <c r="C76" i="128"/>
  <c r="B76" i="128"/>
  <c r="A76" i="128"/>
  <c r="C75" i="128"/>
  <c r="B75" i="128"/>
  <c r="A75" i="128"/>
  <c r="C74" i="128"/>
  <c r="B74" i="128"/>
  <c r="A74" i="128"/>
  <c r="C73" i="128"/>
  <c r="B73" i="128"/>
  <c r="A73" i="128"/>
  <c r="C72" i="128"/>
  <c r="B72" i="128"/>
  <c r="A72" i="128"/>
  <c r="C71" i="128"/>
  <c r="B71" i="128"/>
  <c r="A71" i="128"/>
  <c r="C70" i="128"/>
  <c r="B70" i="128"/>
  <c r="A70" i="128"/>
  <c r="C69" i="128"/>
  <c r="B69" i="128"/>
  <c r="A69" i="128"/>
  <c r="C68" i="128"/>
  <c r="B68" i="128"/>
  <c r="A68" i="128"/>
  <c r="C67" i="128"/>
  <c r="B67" i="128"/>
  <c r="A67" i="128"/>
  <c r="C66" i="128"/>
  <c r="B66" i="128"/>
  <c r="A66" i="128"/>
  <c r="C65" i="128"/>
  <c r="B65" i="128"/>
  <c r="A65" i="128"/>
  <c r="C64" i="128"/>
  <c r="B64" i="128"/>
  <c r="A64" i="128"/>
  <c r="C63" i="128"/>
  <c r="B63" i="128"/>
  <c r="A63" i="128"/>
  <c r="C62" i="128"/>
  <c r="B62" i="128"/>
  <c r="A62" i="128"/>
  <c r="C61" i="128"/>
  <c r="B61" i="128"/>
  <c r="A61" i="128"/>
  <c r="C60" i="128"/>
  <c r="B60" i="128"/>
  <c r="A60" i="128"/>
  <c r="C59" i="128"/>
  <c r="B59" i="128"/>
  <c r="A59" i="128"/>
  <c r="C58" i="128"/>
  <c r="B58" i="128"/>
  <c r="A58" i="128"/>
  <c r="C57" i="128"/>
  <c r="B57" i="128"/>
  <c r="A57" i="128"/>
  <c r="C56" i="128"/>
  <c r="B56" i="128"/>
  <c r="A56" i="128"/>
  <c r="C55" i="128"/>
  <c r="B55" i="128"/>
  <c r="A55" i="128"/>
  <c r="C54" i="128"/>
  <c r="B54" i="128"/>
  <c r="A54" i="128"/>
  <c r="C53" i="128"/>
  <c r="B53" i="128"/>
  <c r="A53" i="128"/>
  <c r="C52" i="128"/>
  <c r="B52" i="128"/>
  <c r="A52" i="128"/>
  <c r="C51" i="128"/>
  <c r="B51" i="128"/>
  <c r="A51" i="128"/>
  <c r="C50" i="128"/>
  <c r="B50" i="128"/>
  <c r="A50" i="128"/>
  <c r="C49" i="128"/>
  <c r="B49" i="128"/>
  <c r="A49" i="128"/>
  <c r="C48" i="128"/>
  <c r="B48" i="128"/>
  <c r="A48" i="128"/>
  <c r="C47" i="128"/>
  <c r="B47" i="128"/>
  <c r="A47" i="128"/>
  <c r="C46" i="128"/>
  <c r="B46" i="128"/>
  <c r="A46" i="128"/>
  <c r="C45" i="128"/>
  <c r="B45" i="128"/>
  <c r="A45" i="128"/>
  <c r="C44" i="128"/>
  <c r="B44" i="128"/>
  <c r="A44" i="128"/>
  <c r="C43" i="128"/>
  <c r="B43" i="128"/>
  <c r="A43" i="128"/>
  <c r="C42" i="128"/>
  <c r="B42" i="128"/>
  <c r="A42" i="128"/>
  <c r="C41" i="128"/>
  <c r="B41" i="128"/>
  <c r="A41" i="128"/>
  <c r="C40" i="128"/>
  <c r="B40" i="128"/>
  <c r="A40" i="128"/>
  <c r="C39" i="128"/>
  <c r="B39" i="128"/>
  <c r="A39" i="128"/>
  <c r="C38" i="128"/>
  <c r="B38" i="128"/>
  <c r="A38" i="128"/>
  <c r="C37" i="128"/>
  <c r="B37" i="128"/>
  <c r="A37" i="128"/>
  <c r="C36" i="128"/>
  <c r="B36" i="128"/>
  <c r="A36" i="128"/>
  <c r="C35" i="128"/>
  <c r="B35" i="128"/>
  <c r="A35" i="128"/>
  <c r="C34" i="128"/>
  <c r="B34" i="128"/>
  <c r="A34" i="128"/>
  <c r="C33" i="128"/>
  <c r="B33" i="128"/>
  <c r="A33" i="128"/>
  <c r="C32" i="128"/>
  <c r="B32" i="128"/>
  <c r="A32" i="128"/>
  <c r="C31" i="128"/>
  <c r="B31" i="128"/>
  <c r="A31" i="128"/>
  <c r="C30" i="128"/>
  <c r="B30" i="128"/>
  <c r="A30" i="128"/>
  <c r="C29" i="128"/>
  <c r="B29" i="128"/>
  <c r="A29" i="128"/>
  <c r="C28" i="128"/>
  <c r="B28" i="128"/>
  <c r="A28" i="128"/>
  <c r="C27" i="128"/>
  <c r="B27" i="128"/>
  <c r="A27" i="128"/>
  <c r="C26" i="128"/>
  <c r="B26" i="128"/>
  <c r="A26" i="128"/>
  <c r="C25" i="128"/>
  <c r="B25" i="128"/>
  <c r="A25" i="128"/>
  <c r="C24" i="128"/>
  <c r="B24" i="128"/>
  <c r="A24" i="128"/>
  <c r="C23" i="128"/>
  <c r="B23" i="128"/>
  <c r="A23" i="128"/>
  <c r="C22" i="128"/>
  <c r="B22" i="128"/>
  <c r="A22" i="128"/>
  <c r="C21" i="128"/>
  <c r="B21" i="128"/>
  <c r="A21" i="128"/>
  <c r="C20" i="128"/>
  <c r="B20" i="128"/>
  <c r="A20" i="128"/>
  <c r="C19" i="128"/>
  <c r="B19" i="128"/>
  <c r="A19" i="128"/>
  <c r="C18" i="128"/>
  <c r="B18" i="128"/>
  <c r="A18" i="128"/>
  <c r="C17" i="128"/>
  <c r="B17" i="128"/>
  <c r="A17" i="128"/>
  <c r="C16" i="128"/>
  <c r="B16" i="128"/>
  <c r="A16" i="128"/>
  <c r="C15" i="128"/>
  <c r="B15" i="128"/>
  <c r="A15" i="128"/>
  <c r="C14" i="128"/>
  <c r="B14" i="128"/>
  <c r="A14" i="128"/>
  <c r="C13" i="128"/>
  <c r="B13" i="128"/>
  <c r="A13" i="128"/>
  <c r="C12" i="128"/>
  <c r="B12" i="128"/>
  <c r="A12" i="128"/>
  <c r="C11" i="128"/>
  <c r="B11" i="128"/>
  <c r="A11" i="128"/>
  <c r="C10" i="128"/>
  <c r="B10" i="128"/>
  <c r="A10" i="128"/>
  <c r="C9" i="128"/>
  <c r="B9" i="128"/>
  <c r="A9" i="128"/>
  <c r="C8" i="128"/>
  <c r="B8" i="128"/>
  <c r="A8" i="128"/>
  <c r="C7" i="128"/>
  <c r="B7" i="128"/>
  <c r="A7" i="128"/>
  <c r="C6" i="128"/>
  <c r="B6" i="128"/>
  <c r="A6" i="128"/>
  <c r="A118" i="127"/>
  <c r="B118" i="127"/>
  <c r="C118" i="127"/>
  <c r="A105" i="127"/>
  <c r="B105" i="127"/>
  <c r="C105" i="127"/>
  <c r="A106" i="127"/>
  <c r="B106" i="127"/>
  <c r="C106" i="127"/>
  <c r="A107" i="127"/>
  <c r="B107" i="127"/>
  <c r="C107" i="127"/>
  <c r="A108" i="127"/>
  <c r="B108" i="127"/>
  <c r="C108" i="127"/>
  <c r="A109" i="127"/>
  <c r="B109" i="127"/>
  <c r="C109" i="127"/>
  <c r="A110" i="127"/>
  <c r="B110" i="127"/>
  <c r="C110" i="127"/>
  <c r="A111" i="127"/>
  <c r="B111" i="127"/>
  <c r="C111" i="127"/>
  <c r="A112" i="127"/>
  <c r="B112" i="127"/>
  <c r="C112" i="127"/>
  <c r="A113" i="127"/>
  <c r="B113" i="127"/>
  <c r="C113" i="127"/>
  <c r="A114" i="127"/>
  <c r="B114" i="127"/>
  <c r="C114" i="127"/>
  <c r="A115" i="127"/>
  <c r="B115" i="127"/>
  <c r="C115" i="127"/>
  <c r="A116" i="127"/>
  <c r="B116" i="127"/>
  <c r="C116" i="127"/>
  <c r="A117" i="127"/>
  <c r="B117" i="127"/>
  <c r="C117" i="127"/>
  <c r="A91" i="127"/>
  <c r="B91" i="127"/>
  <c r="C91" i="127"/>
  <c r="A92" i="127"/>
  <c r="B92" i="127"/>
  <c r="C92" i="127"/>
  <c r="A93" i="127"/>
  <c r="B93" i="127"/>
  <c r="C93" i="127"/>
  <c r="A94" i="127"/>
  <c r="B94" i="127"/>
  <c r="C94" i="127"/>
  <c r="A95" i="127"/>
  <c r="B95" i="127"/>
  <c r="C95" i="127"/>
  <c r="A96" i="127"/>
  <c r="B96" i="127"/>
  <c r="C96" i="127"/>
  <c r="A97" i="127"/>
  <c r="B97" i="127"/>
  <c r="C97" i="127"/>
  <c r="A98" i="127"/>
  <c r="B98" i="127"/>
  <c r="C98" i="127"/>
  <c r="A99" i="127"/>
  <c r="B99" i="127"/>
  <c r="C99" i="127"/>
  <c r="A100" i="127"/>
  <c r="B100" i="127"/>
  <c r="C100" i="127"/>
  <c r="A101" i="127"/>
  <c r="B101" i="127"/>
  <c r="C101" i="127"/>
  <c r="A102" i="127"/>
  <c r="B102" i="127"/>
  <c r="C102" i="127"/>
  <c r="A103" i="127"/>
  <c r="B103" i="127"/>
  <c r="C103" i="127"/>
  <c r="A104" i="127"/>
  <c r="B104" i="127"/>
  <c r="C104" i="127"/>
  <c r="A82" i="127"/>
  <c r="B82" i="127"/>
  <c r="C82" i="127"/>
  <c r="A83" i="127"/>
  <c r="B83" i="127"/>
  <c r="C83" i="127"/>
  <c r="A84" i="127"/>
  <c r="B84" i="127"/>
  <c r="C84" i="127"/>
  <c r="A85" i="127"/>
  <c r="B85" i="127"/>
  <c r="C85" i="127"/>
  <c r="A86" i="127"/>
  <c r="B86" i="127"/>
  <c r="C86" i="127"/>
  <c r="A87" i="127"/>
  <c r="B87" i="127"/>
  <c r="C87" i="127"/>
  <c r="A88" i="127"/>
  <c r="B88" i="127"/>
  <c r="C88" i="127"/>
  <c r="A89" i="127"/>
  <c r="B89" i="127"/>
  <c r="C89" i="127"/>
  <c r="A90" i="127"/>
  <c r="B90" i="127"/>
  <c r="C90" i="127"/>
  <c r="A66" i="127"/>
  <c r="B66" i="127"/>
  <c r="C66" i="127"/>
  <c r="A67" i="127"/>
  <c r="B67" i="127"/>
  <c r="C67" i="127"/>
  <c r="A68" i="127"/>
  <c r="B68" i="127"/>
  <c r="C68" i="127"/>
  <c r="A69" i="127"/>
  <c r="B69" i="127"/>
  <c r="C69" i="127"/>
  <c r="A70" i="127"/>
  <c r="B70" i="127"/>
  <c r="C70" i="127"/>
  <c r="A71" i="127"/>
  <c r="B71" i="127"/>
  <c r="C71" i="127"/>
  <c r="A72" i="127"/>
  <c r="B72" i="127"/>
  <c r="C72" i="127"/>
  <c r="A73" i="127"/>
  <c r="B73" i="127"/>
  <c r="C73" i="127"/>
  <c r="A74" i="127"/>
  <c r="B74" i="127"/>
  <c r="C74" i="127"/>
  <c r="A75" i="127"/>
  <c r="B75" i="127"/>
  <c r="C75" i="127"/>
  <c r="A76" i="127"/>
  <c r="B76" i="127"/>
  <c r="C76" i="127"/>
  <c r="A77" i="127"/>
  <c r="B77" i="127"/>
  <c r="C77" i="127"/>
  <c r="A78" i="127"/>
  <c r="B78" i="127"/>
  <c r="C78" i="127"/>
  <c r="A79" i="127"/>
  <c r="B79" i="127"/>
  <c r="C79" i="127"/>
  <c r="A80" i="127"/>
  <c r="B80" i="127"/>
  <c r="C80" i="127"/>
  <c r="A81" i="127"/>
  <c r="B81" i="127"/>
  <c r="C81" i="127"/>
  <c r="A55" i="127"/>
  <c r="B55" i="127"/>
  <c r="C55" i="127"/>
  <c r="A56" i="127"/>
  <c r="B56" i="127"/>
  <c r="C56" i="127"/>
  <c r="A57" i="127"/>
  <c r="B57" i="127"/>
  <c r="C57" i="127"/>
  <c r="A58" i="127"/>
  <c r="B58" i="127"/>
  <c r="C58" i="127"/>
  <c r="A59" i="127"/>
  <c r="B59" i="127"/>
  <c r="C59" i="127"/>
  <c r="A60" i="127"/>
  <c r="B60" i="127"/>
  <c r="C60" i="127"/>
  <c r="A61" i="127"/>
  <c r="B61" i="127"/>
  <c r="C61" i="127"/>
  <c r="A62" i="127"/>
  <c r="B62" i="127"/>
  <c r="C62" i="127"/>
  <c r="A63" i="127"/>
  <c r="B63" i="127"/>
  <c r="C63" i="127"/>
  <c r="A64" i="127"/>
  <c r="B64" i="127"/>
  <c r="C64" i="127"/>
  <c r="A65" i="127"/>
  <c r="B65" i="127"/>
  <c r="C65" i="127"/>
  <c r="A7" i="127"/>
  <c r="B7" i="127"/>
  <c r="C7" i="127"/>
  <c r="A8" i="127"/>
  <c r="B8" i="127"/>
  <c r="C8" i="127"/>
  <c r="A9" i="127"/>
  <c r="B9" i="127"/>
  <c r="C9" i="127"/>
  <c r="A10" i="127"/>
  <c r="B10" i="127"/>
  <c r="C10" i="127"/>
  <c r="A11" i="127"/>
  <c r="B11" i="127"/>
  <c r="C11" i="127"/>
  <c r="A12" i="127"/>
  <c r="B12" i="127"/>
  <c r="C12" i="127"/>
  <c r="A13" i="127"/>
  <c r="B13" i="127"/>
  <c r="C13" i="127"/>
  <c r="A14" i="127"/>
  <c r="B14" i="127"/>
  <c r="C14" i="127"/>
  <c r="A15" i="127"/>
  <c r="B15" i="127"/>
  <c r="C15" i="127"/>
  <c r="A16" i="127"/>
  <c r="B16" i="127"/>
  <c r="C16" i="127"/>
  <c r="A17" i="127"/>
  <c r="B17" i="127"/>
  <c r="C17" i="127"/>
  <c r="A18" i="127"/>
  <c r="B18" i="127"/>
  <c r="C18" i="127"/>
  <c r="A19" i="127"/>
  <c r="B19" i="127"/>
  <c r="C19" i="127"/>
  <c r="A20" i="127"/>
  <c r="B20" i="127"/>
  <c r="C20" i="127"/>
  <c r="A21" i="127"/>
  <c r="B21" i="127"/>
  <c r="C21" i="127"/>
  <c r="A22" i="127"/>
  <c r="B22" i="127"/>
  <c r="C22" i="127"/>
  <c r="A23" i="127"/>
  <c r="B23" i="127"/>
  <c r="C23" i="127"/>
  <c r="A24" i="127"/>
  <c r="B24" i="127"/>
  <c r="C24" i="127"/>
  <c r="A25" i="127"/>
  <c r="B25" i="127"/>
  <c r="C25" i="127"/>
  <c r="A26" i="127"/>
  <c r="B26" i="127"/>
  <c r="C26" i="127"/>
  <c r="A27" i="127"/>
  <c r="B27" i="127"/>
  <c r="C27" i="127"/>
  <c r="A28" i="127"/>
  <c r="B28" i="127"/>
  <c r="C28" i="127"/>
  <c r="A29" i="127"/>
  <c r="B29" i="127"/>
  <c r="C29" i="127"/>
  <c r="A30" i="127"/>
  <c r="B30" i="127"/>
  <c r="C30" i="127"/>
  <c r="A31" i="127"/>
  <c r="B31" i="127"/>
  <c r="C31" i="127"/>
  <c r="A32" i="127"/>
  <c r="B32" i="127"/>
  <c r="C32" i="127"/>
  <c r="A33" i="127"/>
  <c r="B33" i="127"/>
  <c r="C33" i="127"/>
  <c r="A34" i="127"/>
  <c r="B34" i="127"/>
  <c r="C34" i="127"/>
  <c r="A35" i="127"/>
  <c r="B35" i="127"/>
  <c r="C35" i="127"/>
  <c r="A36" i="127"/>
  <c r="B36" i="127"/>
  <c r="C36" i="127"/>
  <c r="A37" i="127"/>
  <c r="B37" i="127"/>
  <c r="C37" i="127"/>
  <c r="A38" i="127"/>
  <c r="B38" i="127"/>
  <c r="C38" i="127"/>
  <c r="A39" i="127"/>
  <c r="B39" i="127"/>
  <c r="C39" i="127"/>
  <c r="A40" i="127"/>
  <c r="B40" i="127"/>
  <c r="C40" i="127"/>
  <c r="A41" i="127"/>
  <c r="B41" i="127"/>
  <c r="C41" i="127"/>
  <c r="A42" i="127"/>
  <c r="B42" i="127"/>
  <c r="C42" i="127"/>
  <c r="A43" i="127"/>
  <c r="B43" i="127"/>
  <c r="C43" i="127"/>
  <c r="A44" i="127"/>
  <c r="B44" i="127"/>
  <c r="C44" i="127"/>
  <c r="A45" i="127"/>
  <c r="B45" i="127"/>
  <c r="C45" i="127"/>
  <c r="A46" i="127"/>
  <c r="B46" i="127"/>
  <c r="C46" i="127"/>
  <c r="A47" i="127"/>
  <c r="B47" i="127"/>
  <c r="C47" i="127"/>
  <c r="A48" i="127"/>
  <c r="B48" i="127"/>
  <c r="C48" i="127"/>
  <c r="A49" i="127"/>
  <c r="B49" i="127"/>
  <c r="C49" i="127"/>
  <c r="A50" i="127"/>
  <c r="B50" i="127"/>
  <c r="C50" i="127"/>
  <c r="A51" i="127"/>
  <c r="B51" i="127"/>
  <c r="C51" i="127"/>
  <c r="A52" i="127"/>
  <c r="B52" i="127"/>
  <c r="C52" i="127"/>
  <c r="A53" i="127"/>
  <c r="B53" i="127"/>
  <c r="C53" i="127"/>
  <c r="A54" i="127"/>
  <c r="B54" i="127"/>
  <c r="C54" i="127"/>
  <c r="B6" i="127"/>
  <c r="C6" i="127"/>
  <c r="A6" i="127"/>
  <c r="J118" i="126" l="1"/>
  <c r="I118" i="126"/>
  <c r="C118" i="126"/>
  <c r="B118" i="126"/>
  <c r="A118" i="126"/>
  <c r="J117" i="126"/>
  <c r="I117" i="126"/>
  <c r="C117" i="126"/>
  <c r="B117" i="126"/>
  <c r="A117" i="126"/>
  <c r="J116" i="126"/>
  <c r="I116" i="126"/>
  <c r="C116" i="126"/>
  <c r="B116" i="126"/>
  <c r="A116" i="126"/>
  <c r="C115" i="126"/>
  <c r="B115" i="126"/>
  <c r="A115" i="126"/>
  <c r="C114" i="126"/>
  <c r="B114" i="126"/>
  <c r="A114" i="126"/>
  <c r="C113" i="126"/>
  <c r="B113" i="126"/>
  <c r="A113" i="126"/>
  <c r="C112" i="126"/>
  <c r="B112" i="126"/>
  <c r="A112" i="126"/>
  <c r="C111" i="126"/>
  <c r="B111" i="126"/>
  <c r="A111" i="126"/>
  <c r="C110" i="126"/>
  <c r="B110" i="126"/>
  <c r="A110" i="126"/>
  <c r="J109" i="126"/>
  <c r="I109" i="126"/>
  <c r="C109" i="126"/>
  <c r="B109" i="126"/>
  <c r="A109" i="126"/>
  <c r="C108" i="126"/>
  <c r="B108" i="126"/>
  <c r="A108" i="126"/>
  <c r="J107" i="126"/>
  <c r="I107" i="126"/>
  <c r="C107" i="126"/>
  <c r="B107" i="126"/>
  <c r="A107" i="126"/>
  <c r="J106" i="126"/>
  <c r="I106" i="126"/>
  <c r="C106" i="126"/>
  <c r="B106" i="126"/>
  <c r="A106" i="126"/>
  <c r="C105" i="126"/>
  <c r="B105" i="126"/>
  <c r="A105" i="126"/>
  <c r="C104" i="126"/>
  <c r="B104" i="126"/>
  <c r="A104" i="126"/>
  <c r="C103" i="126"/>
  <c r="B103" i="126"/>
  <c r="A103" i="126"/>
  <c r="C102" i="126"/>
  <c r="B102" i="126"/>
  <c r="A102" i="126"/>
  <c r="J101" i="126"/>
  <c r="I101" i="126"/>
  <c r="C101" i="126"/>
  <c r="B101" i="126"/>
  <c r="A101" i="126"/>
  <c r="J100" i="126"/>
  <c r="I100" i="126"/>
  <c r="C100" i="126"/>
  <c r="B100" i="126"/>
  <c r="A100" i="126"/>
  <c r="J99" i="126"/>
  <c r="I99" i="126"/>
  <c r="C99" i="126"/>
  <c r="B99" i="126"/>
  <c r="A99" i="126"/>
  <c r="C98" i="126"/>
  <c r="B98" i="126"/>
  <c r="A98" i="126"/>
  <c r="J97" i="126"/>
  <c r="I97" i="126"/>
  <c r="C97" i="126"/>
  <c r="B97" i="126"/>
  <c r="A97" i="126"/>
  <c r="C96" i="126"/>
  <c r="B96" i="126"/>
  <c r="A96" i="126"/>
  <c r="J95" i="126"/>
  <c r="I95" i="126"/>
  <c r="C95" i="126"/>
  <c r="B95" i="126"/>
  <c r="A95" i="126"/>
  <c r="C94" i="126"/>
  <c r="B94" i="126"/>
  <c r="A94" i="126"/>
  <c r="J93" i="126"/>
  <c r="I93" i="126"/>
  <c r="C93" i="126"/>
  <c r="B93" i="126"/>
  <c r="A93" i="126"/>
  <c r="J92" i="126"/>
  <c r="I92" i="126"/>
  <c r="C92" i="126"/>
  <c r="B92" i="126"/>
  <c r="A92" i="126"/>
  <c r="J91" i="126"/>
  <c r="I91" i="126"/>
  <c r="C91" i="126"/>
  <c r="B91" i="126"/>
  <c r="A91" i="126"/>
  <c r="J90" i="126"/>
  <c r="I90" i="126"/>
  <c r="C90" i="126"/>
  <c r="B90" i="126"/>
  <c r="A90" i="126"/>
  <c r="C89" i="126"/>
  <c r="B89" i="126"/>
  <c r="A89" i="126"/>
  <c r="C88" i="126"/>
  <c r="B88" i="126"/>
  <c r="A88" i="126"/>
  <c r="J87" i="126"/>
  <c r="I87" i="126"/>
  <c r="C87" i="126"/>
  <c r="B87" i="126"/>
  <c r="A87" i="126"/>
  <c r="J86" i="126"/>
  <c r="I86" i="126"/>
  <c r="C86" i="126"/>
  <c r="B86" i="126"/>
  <c r="A86" i="126"/>
  <c r="C85" i="126"/>
  <c r="B85" i="126"/>
  <c r="A85" i="126"/>
  <c r="C84" i="126"/>
  <c r="B84" i="126"/>
  <c r="A84" i="126"/>
  <c r="J83" i="126"/>
  <c r="I83" i="126"/>
  <c r="C83" i="126"/>
  <c r="B83" i="126"/>
  <c r="A83" i="126"/>
  <c r="C82" i="126"/>
  <c r="B82" i="126"/>
  <c r="A82" i="126"/>
  <c r="C81" i="126"/>
  <c r="B81" i="126"/>
  <c r="A81" i="126"/>
  <c r="C80" i="126"/>
  <c r="B80" i="126"/>
  <c r="A80" i="126"/>
  <c r="I79" i="126"/>
  <c r="C79" i="126"/>
  <c r="B79" i="126"/>
  <c r="A79" i="126"/>
  <c r="J78" i="126"/>
  <c r="I78" i="126"/>
  <c r="C78" i="126"/>
  <c r="B78" i="126"/>
  <c r="A78" i="126"/>
  <c r="J77" i="126"/>
  <c r="I77" i="126"/>
  <c r="C77" i="126"/>
  <c r="B77" i="126"/>
  <c r="A77" i="126"/>
  <c r="C76" i="126"/>
  <c r="B76" i="126"/>
  <c r="A76" i="126"/>
  <c r="C75" i="126"/>
  <c r="B75" i="126"/>
  <c r="A75" i="126"/>
  <c r="J74" i="126"/>
  <c r="I74" i="126"/>
  <c r="C74" i="126"/>
  <c r="B74" i="126"/>
  <c r="A74" i="126"/>
  <c r="C73" i="126"/>
  <c r="B73" i="126"/>
  <c r="A73" i="126"/>
  <c r="J72" i="126"/>
  <c r="I72" i="126"/>
  <c r="C72" i="126"/>
  <c r="B72" i="126"/>
  <c r="A72" i="126"/>
  <c r="C71" i="126"/>
  <c r="B71" i="126"/>
  <c r="A71" i="126"/>
  <c r="C70" i="126"/>
  <c r="B70" i="126"/>
  <c r="A70" i="126"/>
  <c r="J69" i="126"/>
  <c r="I69" i="126"/>
  <c r="C69" i="126"/>
  <c r="B69" i="126"/>
  <c r="A69" i="126"/>
  <c r="C68" i="126"/>
  <c r="B68" i="126"/>
  <c r="A68" i="126"/>
  <c r="J67" i="126"/>
  <c r="I67" i="126"/>
  <c r="C67" i="126"/>
  <c r="B67" i="126"/>
  <c r="A67" i="126"/>
  <c r="C66" i="126"/>
  <c r="B66" i="126"/>
  <c r="A66" i="126"/>
  <c r="C65" i="126"/>
  <c r="B65" i="126"/>
  <c r="A65" i="126"/>
  <c r="J64" i="126"/>
  <c r="I64" i="126"/>
  <c r="C64" i="126"/>
  <c r="B64" i="126"/>
  <c r="A64" i="126"/>
  <c r="C63" i="126"/>
  <c r="B63" i="126"/>
  <c r="A63" i="126"/>
  <c r="C62" i="126"/>
  <c r="B62" i="126"/>
  <c r="A62" i="126"/>
  <c r="C61" i="126"/>
  <c r="B61" i="126"/>
  <c r="A61" i="126"/>
  <c r="C60" i="126"/>
  <c r="B60" i="126"/>
  <c r="A60" i="126"/>
  <c r="J59" i="126"/>
  <c r="I59" i="126"/>
  <c r="C59" i="126"/>
  <c r="B59" i="126"/>
  <c r="A59" i="126"/>
  <c r="C58" i="126"/>
  <c r="B58" i="126"/>
  <c r="A58" i="126"/>
  <c r="J57" i="126"/>
  <c r="I57" i="126"/>
  <c r="C57" i="126"/>
  <c r="B57" i="126"/>
  <c r="A57" i="126"/>
  <c r="J56" i="126"/>
  <c r="I56" i="126"/>
  <c r="C56" i="126"/>
  <c r="B56" i="126"/>
  <c r="A56" i="126"/>
  <c r="J55" i="126"/>
  <c r="C55" i="126"/>
  <c r="B55" i="126"/>
  <c r="A55" i="126"/>
  <c r="C54" i="126"/>
  <c r="B54" i="126"/>
  <c r="A54" i="126"/>
  <c r="J53" i="126"/>
  <c r="C53" i="126"/>
  <c r="B53" i="126"/>
  <c r="A53" i="126"/>
  <c r="C52" i="126"/>
  <c r="B52" i="126"/>
  <c r="A52" i="126"/>
  <c r="C51" i="126"/>
  <c r="B51" i="126"/>
  <c r="A51" i="126"/>
  <c r="C50" i="126"/>
  <c r="B50" i="126"/>
  <c r="A50" i="126"/>
  <c r="J49" i="126"/>
  <c r="I49" i="126"/>
  <c r="C49" i="126"/>
  <c r="B49" i="126"/>
  <c r="A49" i="126"/>
  <c r="C48" i="126"/>
  <c r="B48" i="126"/>
  <c r="A48" i="126"/>
  <c r="J47" i="126"/>
  <c r="I47" i="126"/>
  <c r="C47" i="126"/>
  <c r="B47" i="126"/>
  <c r="A47" i="126"/>
  <c r="C46" i="126"/>
  <c r="B46" i="126"/>
  <c r="A46" i="126"/>
  <c r="C45" i="126"/>
  <c r="B45" i="126"/>
  <c r="A45" i="126"/>
  <c r="C44" i="126"/>
  <c r="B44" i="126"/>
  <c r="A44" i="126"/>
  <c r="C43" i="126"/>
  <c r="B43" i="126"/>
  <c r="A43" i="126"/>
  <c r="C42" i="126"/>
  <c r="B42" i="126"/>
  <c r="A42" i="126"/>
  <c r="J41" i="126"/>
  <c r="I41" i="126"/>
  <c r="C41" i="126"/>
  <c r="B41" i="126"/>
  <c r="A41" i="126"/>
  <c r="J40" i="126"/>
  <c r="I40" i="126"/>
  <c r="C40" i="126"/>
  <c r="B40" i="126"/>
  <c r="A40" i="126"/>
  <c r="J39" i="126"/>
  <c r="I39" i="126"/>
  <c r="C39" i="126"/>
  <c r="B39" i="126"/>
  <c r="A39" i="126"/>
  <c r="J38" i="126"/>
  <c r="I38" i="126"/>
  <c r="C38" i="126"/>
  <c r="B38" i="126"/>
  <c r="A38" i="126"/>
  <c r="C37" i="126"/>
  <c r="B37" i="126"/>
  <c r="A37" i="126"/>
  <c r="C36" i="126"/>
  <c r="B36" i="126"/>
  <c r="A36" i="126"/>
  <c r="C35" i="126"/>
  <c r="B35" i="126"/>
  <c r="A35" i="126"/>
  <c r="C34" i="126"/>
  <c r="B34" i="126"/>
  <c r="A34" i="126"/>
  <c r="C33" i="126"/>
  <c r="B33" i="126"/>
  <c r="A33" i="126"/>
  <c r="C32" i="126"/>
  <c r="B32" i="126"/>
  <c r="A32" i="126"/>
  <c r="C31" i="126"/>
  <c r="B31" i="126"/>
  <c r="A31" i="126"/>
  <c r="C30" i="126"/>
  <c r="B30" i="126"/>
  <c r="A30" i="126"/>
  <c r="J29" i="126"/>
  <c r="I29" i="126"/>
  <c r="C29" i="126"/>
  <c r="B29" i="126"/>
  <c r="A29" i="126"/>
  <c r="J28" i="126"/>
  <c r="I28" i="126"/>
  <c r="C28" i="126"/>
  <c r="B28" i="126"/>
  <c r="A28" i="126"/>
  <c r="C27" i="126"/>
  <c r="B27" i="126"/>
  <c r="A27" i="126"/>
  <c r="J26" i="126"/>
  <c r="I26" i="126"/>
  <c r="C26" i="126"/>
  <c r="B26" i="126"/>
  <c r="A26" i="126"/>
  <c r="C25" i="126"/>
  <c r="B25" i="126"/>
  <c r="A25" i="126"/>
  <c r="J24" i="126"/>
  <c r="I24" i="126"/>
  <c r="C24" i="126"/>
  <c r="B24" i="126"/>
  <c r="A24" i="126"/>
  <c r="C23" i="126"/>
  <c r="B23" i="126"/>
  <c r="A23" i="126"/>
  <c r="J22" i="126"/>
  <c r="I22" i="126"/>
  <c r="C22" i="126"/>
  <c r="B22" i="126"/>
  <c r="A22" i="126"/>
  <c r="C21" i="126"/>
  <c r="B21" i="126"/>
  <c r="A21" i="126"/>
  <c r="J20" i="126"/>
  <c r="I20" i="126"/>
  <c r="C20" i="126"/>
  <c r="B20" i="126"/>
  <c r="A20" i="126"/>
  <c r="C19" i="126"/>
  <c r="B19" i="126"/>
  <c r="A19" i="126"/>
  <c r="C18" i="126"/>
  <c r="B18" i="126"/>
  <c r="A18" i="126"/>
  <c r="J17" i="126"/>
  <c r="I17" i="126"/>
  <c r="C17" i="126"/>
  <c r="B17" i="126"/>
  <c r="A17" i="126"/>
  <c r="C16" i="126"/>
  <c r="B16" i="126"/>
  <c r="A16" i="126"/>
  <c r="C15" i="126"/>
  <c r="B15" i="126"/>
  <c r="A15" i="126"/>
  <c r="C14" i="126"/>
  <c r="B14" i="126"/>
  <c r="A14" i="126"/>
  <c r="C13" i="126"/>
  <c r="B13" i="126"/>
  <c r="A13" i="126"/>
  <c r="C12" i="126"/>
  <c r="B12" i="126"/>
  <c r="A12" i="126"/>
  <c r="C11" i="126"/>
  <c r="B11" i="126"/>
  <c r="A11" i="126"/>
  <c r="C10" i="126"/>
  <c r="B10" i="126"/>
  <c r="A10" i="126"/>
  <c r="C9" i="126"/>
  <c r="B9" i="126"/>
  <c r="A9" i="126"/>
  <c r="I8" i="126"/>
  <c r="C8" i="126"/>
  <c r="B8" i="126"/>
  <c r="A8" i="126"/>
  <c r="C7" i="126"/>
  <c r="B7" i="126"/>
  <c r="A7" i="126"/>
  <c r="C6" i="126"/>
  <c r="B6" i="126"/>
  <c r="A6" i="126"/>
  <c r="D7" i="125"/>
  <c r="D8" i="125"/>
  <c r="D9" i="125"/>
  <c r="D10" i="125"/>
  <c r="D11" i="125"/>
  <c r="D12" i="125"/>
  <c r="D13" i="125"/>
  <c r="D14" i="125"/>
  <c r="D15" i="125"/>
  <c r="D16" i="125"/>
  <c r="D17" i="125"/>
  <c r="D18" i="125"/>
  <c r="D19" i="125"/>
  <c r="D20" i="125"/>
  <c r="D21" i="125"/>
  <c r="D22" i="125"/>
  <c r="D23" i="125"/>
  <c r="D24" i="125"/>
  <c r="D25" i="125"/>
  <c r="D26" i="125"/>
  <c r="D27" i="125"/>
  <c r="D28" i="125"/>
  <c r="D29" i="125"/>
  <c r="D30" i="125"/>
  <c r="D31" i="125"/>
  <c r="D32" i="125"/>
  <c r="D33" i="125"/>
  <c r="D34" i="125"/>
  <c r="D35" i="125"/>
  <c r="D36" i="125"/>
  <c r="D37" i="125"/>
  <c r="D38" i="125"/>
  <c r="D39" i="125"/>
  <c r="D40" i="125"/>
  <c r="D41" i="125"/>
  <c r="D42" i="125"/>
  <c r="D43" i="125"/>
  <c r="D44" i="125"/>
  <c r="D45" i="125"/>
  <c r="D46" i="125"/>
  <c r="D47" i="125"/>
  <c r="D48" i="125"/>
  <c r="D49" i="125"/>
  <c r="D50" i="125"/>
  <c r="D51" i="125"/>
  <c r="D52" i="125"/>
  <c r="D53" i="125"/>
  <c r="D54" i="125"/>
  <c r="D55" i="125"/>
  <c r="D56" i="125"/>
  <c r="D57" i="125"/>
  <c r="D58" i="125"/>
  <c r="D59" i="125"/>
  <c r="D60" i="125"/>
  <c r="D61" i="125"/>
  <c r="D62" i="125"/>
  <c r="D63" i="125"/>
  <c r="D64" i="125"/>
  <c r="D65" i="125"/>
  <c r="D66" i="125"/>
  <c r="D67" i="125"/>
  <c r="D68" i="125"/>
  <c r="D69" i="125"/>
  <c r="D70" i="125"/>
  <c r="D71" i="125"/>
  <c r="D72" i="125"/>
  <c r="D73" i="125"/>
  <c r="D74" i="125"/>
  <c r="D75" i="125"/>
  <c r="D76" i="125"/>
  <c r="D77" i="125"/>
  <c r="D78" i="125"/>
  <c r="D79" i="125"/>
  <c r="D80" i="125"/>
  <c r="D81" i="125"/>
  <c r="D82" i="125"/>
  <c r="D83" i="125"/>
  <c r="D84" i="125"/>
  <c r="D85" i="125"/>
  <c r="D86" i="125"/>
  <c r="D87" i="125"/>
  <c r="D88" i="125"/>
  <c r="D89" i="125"/>
  <c r="D90" i="125"/>
  <c r="D91" i="125"/>
  <c r="D92" i="125"/>
  <c r="D93" i="125"/>
  <c r="D94" i="125"/>
  <c r="D95" i="125"/>
  <c r="D96" i="125"/>
  <c r="D97" i="125"/>
  <c r="D98" i="125"/>
  <c r="D99" i="125"/>
  <c r="D100" i="125"/>
  <c r="D101" i="125"/>
  <c r="D102" i="125"/>
  <c r="D103" i="125"/>
  <c r="D104" i="125"/>
  <c r="D105" i="125"/>
  <c r="D106" i="125"/>
  <c r="D107" i="125"/>
  <c r="D108" i="125"/>
  <c r="D109" i="125"/>
  <c r="D110" i="125"/>
  <c r="D111" i="125"/>
  <c r="D112" i="125"/>
  <c r="D113" i="125"/>
  <c r="D114" i="125"/>
  <c r="D115" i="125"/>
  <c r="D116" i="125"/>
  <c r="D117" i="125"/>
  <c r="D118" i="125"/>
  <c r="D6" i="125"/>
  <c r="J118" i="125"/>
  <c r="J117" i="125"/>
  <c r="J116" i="125"/>
  <c r="J109" i="125"/>
  <c r="J107" i="125"/>
  <c r="J106" i="125"/>
  <c r="J101" i="125"/>
  <c r="J100" i="125"/>
  <c r="J99" i="125"/>
  <c r="J97" i="125"/>
  <c r="J95" i="125"/>
  <c r="J93" i="125"/>
  <c r="J92" i="125"/>
  <c r="J91" i="125"/>
  <c r="J90" i="125"/>
  <c r="J87" i="125"/>
  <c r="J86" i="125"/>
  <c r="J83" i="125"/>
  <c r="J78" i="125"/>
  <c r="J77" i="125"/>
  <c r="J74" i="125"/>
  <c r="J72" i="125"/>
  <c r="J69" i="125"/>
  <c r="J67" i="125"/>
  <c r="J64" i="125"/>
  <c r="J59" i="125"/>
  <c r="J57" i="125"/>
  <c r="J56" i="125"/>
  <c r="J55" i="125"/>
  <c r="J53" i="125"/>
  <c r="J49" i="125"/>
  <c r="J47" i="125"/>
  <c r="J41" i="125"/>
  <c r="J40" i="125"/>
  <c r="J39" i="125"/>
  <c r="J38" i="125"/>
  <c r="J29" i="125"/>
  <c r="J28" i="125"/>
  <c r="J26" i="125"/>
  <c r="J24" i="125"/>
  <c r="J22" i="125"/>
  <c r="J20" i="125"/>
  <c r="J17" i="125"/>
  <c r="J15" i="125"/>
  <c r="J14" i="125"/>
  <c r="J11" i="125"/>
  <c r="J8" i="125"/>
  <c r="I38" i="125"/>
  <c r="I8" i="125"/>
  <c r="I11" i="125"/>
  <c r="I14" i="125"/>
  <c r="I15" i="125"/>
  <c r="I16" i="125"/>
  <c r="I17" i="125"/>
  <c r="I20" i="125"/>
  <c r="I22" i="125"/>
  <c r="I24" i="125"/>
  <c r="I26" i="125"/>
  <c r="I28" i="125"/>
  <c r="I29" i="125"/>
  <c r="I39" i="125"/>
  <c r="I40" i="125"/>
  <c r="I41" i="125"/>
  <c r="I47" i="125"/>
  <c r="I49" i="125"/>
  <c r="I56" i="125"/>
  <c r="I57" i="125"/>
  <c r="I59" i="125"/>
  <c r="I64" i="125"/>
  <c r="I67" i="125"/>
  <c r="I69" i="125"/>
  <c r="I72" i="125"/>
  <c r="I74" i="125"/>
  <c r="I77" i="125"/>
  <c r="I78" i="125"/>
  <c r="I79" i="125"/>
  <c r="I83" i="125"/>
  <c r="I86" i="125"/>
  <c r="I87" i="125"/>
  <c r="I90" i="125"/>
  <c r="I91" i="125"/>
  <c r="I92" i="125"/>
  <c r="I93" i="125"/>
  <c r="I95" i="125"/>
  <c r="I97" i="125"/>
  <c r="I99" i="125"/>
  <c r="I100" i="125"/>
  <c r="I101" i="125"/>
  <c r="I106" i="125"/>
  <c r="I107" i="125"/>
  <c r="I118" i="125"/>
  <c r="I117" i="125"/>
  <c r="I116" i="125"/>
  <c r="I109" i="125"/>
  <c r="G79" i="125"/>
  <c r="G72" i="125"/>
  <c r="G69" i="125"/>
  <c r="G55" i="125"/>
  <c r="G20" i="125"/>
  <c r="G17" i="125"/>
  <c r="A7" i="125" l="1"/>
  <c r="B7" i="125"/>
  <c r="C7" i="125"/>
  <c r="A8" i="125"/>
  <c r="B8" i="125"/>
  <c r="C8" i="125"/>
  <c r="A9" i="125"/>
  <c r="B9" i="125"/>
  <c r="C9" i="125"/>
  <c r="A10" i="125"/>
  <c r="B10" i="125"/>
  <c r="C10" i="125"/>
  <c r="A11" i="125"/>
  <c r="B11" i="125"/>
  <c r="C11" i="125"/>
  <c r="A12" i="125"/>
  <c r="B12" i="125"/>
  <c r="C12" i="125"/>
  <c r="A13" i="125"/>
  <c r="B13" i="125"/>
  <c r="C13" i="125"/>
  <c r="A14" i="125"/>
  <c r="B14" i="125"/>
  <c r="C14" i="125"/>
  <c r="A15" i="125"/>
  <c r="B15" i="125"/>
  <c r="C15" i="125"/>
  <c r="A16" i="125"/>
  <c r="B16" i="125"/>
  <c r="C16" i="125"/>
  <c r="A17" i="125"/>
  <c r="B17" i="125"/>
  <c r="C17" i="125"/>
  <c r="A18" i="125"/>
  <c r="B18" i="125"/>
  <c r="C18" i="125"/>
  <c r="A19" i="125"/>
  <c r="B19" i="125"/>
  <c r="C19" i="125"/>
  <c r="A20" i="125"/>
  <c r="B20" i="125"/>
  <c r="C20" i="125"/>
  <c r="A21" i="125"/>
  <c r="B21" i="125"/>
  <c r="C21" i="125"/>
  <c r="A22" i="125"/>
  <c r="B22" i="125"/>
  <c r="C22" i="125"/>
  <c r="A23" i="125"/>
  <c r="B23" i="125"/>
  <c r="C23" i="125"/>
  <c r="A24" i="125"/>
  <c r="B24" i="125"/>
  <c r="C24" i="125"/>
  <c r="A25" i="125"/>
  <c r="B25" i="125"/>
  <c r="C25" i="125"/>
  <c r="A26" i="125"/>
  <c r="B26" i="125"/>
  <c r="C26" i="125"/>
  <c r="A27" i="125"/>
  <c r="B27" i="125"/>
  <c r="C27" i="125"/>
  <c r="A28" i="125"/>
  <c r="B28" i="125"/>
  <c r="C28" i="125"/>
  <c r="A29" i="125"/>
  <c r="B29" i="125"/>
  <c r="C29" i="125"/>
  <c r="A30" i="125"/>
  <c r="B30" i="125"/>
  <c r="C30" i="125"/>
  <c r="A31" i="125"/>
  <c r="B31" i="125"/>
  <c r="C31" i="125"/>
  <c r="A32" i="125"/>
  <c r="B32" i="125"/>
  <c r="C32" i="125"/>
  <c r="A33" i="125"/>
  <c r="B33" i="125"/>
  <c r="C33" i="125"/>
  <c r="A34" i="125"/>
  <c r="B34" i="125"/>
  <c r="C34" i="125"/>
  <c r="A35" i="125"/>
  <c r="B35" i="125"/>
  <c r="C35" i="125"/>
  <c r="A36" i="125"/>
  <c r="B36" i="125"/>
  <c r="C36" i="125"/>
  <c r="A37" i="125"/>
  <c r="B37" i="125"/>
  <c r="C37" i="125"/>
  <c r="A38" i="125"/>
  <c r="B38" i="125"/>
  <c r="C38" i="125"/>
  <c r="A39" i="125"/>
  <c r="B39" i="125"/>
  <c r="C39" i="125"/>
  <c r="A40" i="125"/>
  <c r="B40" i="125"/>
  <c r="C40" i="125"/>
  <c r="A41" i="125"/>
  <c r="B41" i="125"/>
  <c r="C41" i="125"/>
  <c r="A42" i="125"/>
  <c r="B42" i="125"/>
  <c r="C42" i="125"/>
  <c r="A43" i="125"/>
  <c r="B43" i="125"/>
  <c r="C43" i="125"/>
  <c r="A44" i="125"/>
  <c r="B44" i="125"/>
  <c r="C44" i="125"/>
  <c r="A45" i="125"/>
  <c r="B45" i="125"/>
  <c r="C45" i="125"/>
  <c r="A46" i="125"/>
  <c r="B46" i="125"/>
  <c r="C46" i="125"/>
  <c r="A47" i="125"/>
  <c r="B47" i="125"/>
  <c r="C47" i="125"/>
  <c r="A48" i="125"/>
  <c r="B48" i="125"/>
  <c r="C48" i="125"/>
  <c r="A49" i="125"/>
  <c r="B49" i="125"/>
  <c r="C49" i="125"/>
  <c r="A50" i="125"/>
  <c r="B50" i="125"/>
  <c r="C50" i="125"/>
  <c r="A51" i="125"/>
  <c r="B51" i="125"/>
  <c r="C51" i="125"/>
  <c r="A52" i="125"/>
  <c r="B52" i="125"/>
  <c r="C52" i="125"/>
  <c r="A53" i="125"/>
  <c r="B53" i="125"/>
  <c r="C53" i="125"/>
  <c r="A54" i="125"/>
  <c r="B54" i="125"/>
  <c r="C54" i="125"/>
  <c r="A55" i="125"/>
  <c r="B55" i="125"/>
  <c r="C55" i="125"/>
  <c r="A56" i="125"/>
  <c r="B56" i="125"/>
  <c r="C56" i="125"/>
  <c r="A57" i="125"/>
  <c r="B57" i="125"/>
  <c r="C57" i="125"/>
  <c r="A58" i="125"/>
  <c r="B58" i="125"/>
  <c r="C58" i="125"/>
  <c r="A59" i="125"/>
  <c r="B59" i="125"/>
  <c r="C59" i="125"/>
  <c r="A60" i="125"/>
  <c r="B60" i="125"/>
  <c r="C60" i="125"/>
  <c r="A61" i="125"/>
  <c r="B61" i="125"/>
  <c r="C61" i="125"/>
  <c r="A62" i="125"/>
  <c r="B62" i="125"/>
  <c r="C62" i="125"/>
  <c r="A63" i="125"/>
  <c r="B63" i="125"/>
  <c r="C63" i="125"/>
  <c r="A64" i="125"/>
  <c r="B64" i="125"/>
  <c r="C64" i="125"/>
  <c r="A65" i="125"/>
  <c r="B65" i="125"/>
  <c r="C65" i="125"/>
  <c r="A66" i="125"/>
  <c r="B66" i="125"/>
  <c r="C66" i="125"/>
  <c r="A67" i="125"/>
  <c r="B67" i="125"/>
  <c r="C67" i="125"/>
  <c r="A68" i="125"/>
  <c r="B68" i="125"/>
  <c r="C68" i="125"/>
  <c r="A69" i="125"/>
  <c r="B69" i="125"/>
  <c r="C69" i="125"/>
  <c r="A70" i="125"/>
  <c r="B70" i="125"/>
  <c r="C70" i="125"/>
  <c r="A71" i="125"/>
  <c r="B71" i="125"/>
  <c r="C71" i="125"/>
  <c r="A72" i="125"/>
  <c r="B72" i="125"/>
  <c r="C72" i="125"/>
  <c r="A73" i="125"/>
  <c r="B73" i="125"/>
  <c r="C73" i="125"/>
  <c r="A74" i="125"/>
  <c r="B74" i="125"/>
  <c r="C74" i="125"/>
  <c r="A75" i="125"/>
  <c r="B75" i="125"/>
  <c r="C75" i="125"/>
  <c r="A76" i="125"/>
  <c r="B76" i="125"/>
  <c r="C76" i="125"/>
  <c r="A77" i="125"/>
  <c r="B77" i="125"/>
  <c r="C77" i="125"/>
  <c r="A78" i="125"/>
  <c r="B78" i="125"/>
  <c r="C78" i="125"/>
  <c r="A79" i="125"/>
  <c r="B79" i="125"/>
  <c r="C79" i="125"/>
  <c r="A80" i="125"/>
  <c r="B80" i="125"/>
  <c r="C80" i="125"/>
  <c r="A81" i="125"/>
  <c r="B81" i="125"/>
  <c r="C81" i="125"/>
  <c r="A82" i="125"/>
  <c r="B82" i="125"/>
  <c r="C82" i="125"/>
  <c r="A83" i="125"/>
  <c r="B83" i="125"/>
  <c r="C83" i="125"/>
  <c r="A84" i="125"/>
  <c r="B84" i="125"/>
  <c r="C84" i="125"/>
  <c r="A85" i="125"/>
  <c r="B85" i="125"/>
  <c r="C85" i="125"/>
  <c r="A86" i="125"/>
  <c r="B86" i="125"/>
  <c r="C86" i="125"/>
  <c r="A87" i="125"/>
  <c r="B87" i="125"/>
  <c r="C87" i="125"/>
  <c r="A88" i="125"/>
  <c r="B88" i="125"/>
  <c r="C88" i="125"/>
  <c r="A89" i="125"/>
  <c r="B89" i="125"/>
  <c r="C89" i="125"/>
  <c r="A90" i="125"/>
  <c r="B90" i="125"/>
  <c r="C90" i="125"/>
  <c r="A91" i="125"/>
  <c r="B91" i="125"/>
  <c r="C91" i="125"/>
  <c r="A92" i="125"/>
  <c r="B92" i="125"/>
  <c r="C92" i="125"/>
  <c r="A93" i="125"/>
  <c r="B93" i="125"/>
  <c r="C93" i="125"/>
  <c r="A94" i="125"/>
  <c r="B94" i="125"/>
  <c r="C94" i="125"/>
  <c r="A95" i="125"/>
  <c r="B95" i="125"/>
  <c r="C95" i="125"/>
  <c r="A96" i="125"/>
  <c r="B96" i="125"/>
  <c r="C96" i="125"/>
  <c r="A97" i="125"/>
  <c r="B97" i="125"/>
  <c r="C97" i="125"/>
  <c r="A98" i="125"/>
  <c r="B98" i="125"/>
  <c r="C98" i="125"/>
  <c r="A99" i="125"/>
  <c r="B99" i="125"/>
  <c r="C99" i="125"/>
  <c r="A100" i="125"/>
  <c r="B100" i="125"/>
  <c r="C100" i="125"/>
  <c r="A101" i="125"/>
  <c r="B101" i="125"/>
  <c r="C101" i="125"/>
  <c r="A102" i="125"/>
  <c r="B102" i="125"/>
  <c r="C102" i="125"/>
  <c r="A103" i="125"/>
  <c r="B103" i="125"/>
  <c r="C103" i="125"/>
  <c r="A104" i="125"/>
  <c r="B104" i="125"/>
  <c r="C104" i="125"/>
  <c r="A105" i="125"/>
  <c r="B105" i="125"/>
  <c r="C105" i="125"/>
  <c r="A106" i="125"/>
  <c r="B106" i="125"/>
  <c r="C106" i="125"/>
  <c r="A107" i="125"/>
  <c r="B107" i="125"/>
  <c r="C107" i="125"/>
  <c r="A108" i="125"/>
  <c r="B108" i="125"/>
  <c r="C108" i="125"/>
  <c r="A109" i="125"/>
  <c r="B109" i="125"/>
  <c r="C109" i="125"/>
  <c r="A110" i="125"/>
  <c r="B110" i="125"/>
  <c r="C110" i="125"/>
  <c r="A111" i="125"/>
  <c r="B111" i="125"/>
  <c r="C111" i="125"/>
  <c r="A112" i="125"/>
  <c r="B112" i="125"/>
  <c r="C112" i="125"/>
  <c r="A113" i="125"/>
  <c r="B113" i="125"/>
  <c r="C113" i="125"/>
  <c r="A114" i="125"/>
  <c r="B114" i="125"/>
  <c r="C114" i="125"/>
  <c r="A115" i="125"/>
  <c r="B115" i="125"/>
  <c r="C115" i="125"/>
  <c r="A116" i="125"/>
  <c r="B116" i="125"/>
  <c r="C116" i="125"/>
  <c r="A117" i="125"/>
  <c r="B117" i="125"/>
  <c r="C117" i="125"/>
  <c r="A118" i="125"/>
  <c r="B118" i="125"/>
  <c r="C118" i="125"/>
  <c r="B6" i="125"/>
  <c r="C6" i="125"/>
  <c r="A6" i="125"/>
  <c r="E118" i="125"/>
  <c r="E117" i="125"/>
  <c r="E108" i="125"/>
  <c r="E107" i="125"/>
  <c r="E106" i="125"/>
  <c r="E92" i="125"/>
  <c r="E91" i="125"/>
  <c r="E40" i="125"/>
  <c r="E39" i="125"/>
  <c r="E38" i="125"/>
  <c r="E28" i="125"/>
  <c r="E22" i="125"/>
  <c r="E16" i="125"/>
  <c r="E15" i="125"/>
</calcChain>
</file>

<file path=xl/sharedStrings.xml><?xml version="1.0" encoding="utf-8"?>
<sst xmlns="http://schemas.openxmlformats.org/spreadsheetml/2006/main" count="859" uniqueCount="361">
  <si>
    <t>Introduction to the dataset</t>
  </si>
  <si>
    <t>Crops</t>
  </si>
  <si>
    <t>Pesticides</t>
  </si>
  <si>
    <t>Crop code</t>
  </si>
  <si>
    <t>Crop</t>
  </si>
  <si>
    <t>Category</t>
  </si>
  <si>
    <t>Grown in country</t>
  </si>
  <si>
    <t>Share</t>
  </si>
  <si>
    <t>01371</t>
  </si>
  <si>
    <t>01654</t>
  </si>
  <si>
    <t>01341</t>
  </si>
  <si>
    <t>01343</t>
  </si>
  <si>
    <t>01216</t>
  </si>
  <si>
    <t>01211</t>
  </si>
  <si>
    <t>01311</t>
  </si>
  <si>
    <t>01312</t>
  </si>
  <si>
    <t>0115</t>
  </si>
  <si>
    <t>0115_s</t>
  </si>
  <si>
    <t>0115_w</t>
  </si>
  <si>
    <t>01701</t>
  </si>
  <si>
    <t>01355.01</t>
  </si>
  <si>
    <t>01377</t>
  </si>
  <si>
    <t>01702</t>
  </si>
  <si>
    <t>01243</t>
  </si>
  <si>
    <t>01213_b</t>
  </si>
  <si>
    <t>01192</t>
  </si>
  <si>
    <t>01212</t>
  </si>
  <si>
    <t>01229</t>
  </si>
  <si>
    <t>01251</t>
  </si>
  <si>
    <t>01372</t>
  </si>
  <si>
    <t>01213_cf</t>
  </si>
  <si>
    <t>01213</t>
  </si>
  <si>
    <t>01199.90</t>
  </si>
  <si>
    <t>01344.02</t>
  </si>
  <si>
    <t>01373</t>
  </si>
  <si>
    <t>01703</t>
  </si>
  <si>
    <t>01231</t>
  </si>
  <si>
    <t>01640</t>
  </si>
  <si>
    <t>01460</t>
  </si>
  <si>
    <t>01610</t>
  </si>
  <si>
    <t>01232</t>
  </si>
  <si>
    <t>01232_gh</t>
  </si>
  <si>
    <t>01232_of</t>
  </si>
  <si>
    <t>01351.01</t>
  </si>
  <si>
    <t>01314</t>
  </si>
  <si>
    <t>01599.10</t>
  </si>
  <si>
    <t>01233</t>
  </si>
  <si>
    <t>01315</t>
  </si>
  <si>
    <t>01351.02</t>
  </si>
  <si>
    <t>01330</t>
  </si>
  <si>
    <t>01290.01</t>
  </si>
  <si>
    <t>01252</t>
  </si>
  <si>
    <t>0142</t>
  </si>
  <si>
    <t>01374</t>
  </si>
  <si>
    <t>01352</t>
  </si>
  <si>
    <t>01254</t>
  </si>
  <si>
    <t>01322</t>
  </si>
  <si>
    <t>01704</t>
  </si>
  <si>
    <t>01214</t>
  </si>
  <si>
    <t>01441</t>
  </si>
  <si>
    <t>01709.02</t>
  </si>
  <si>
    <t>0112</t>
  </si>
  <si>
    <t>01316</t>
  </si>
  <si>
    <t>0118</t>
  </si>
  <si>
    <t>01199.02</t>
  </si>
  <si>
    <t>01270</t>
  </si>
  <si>
    <t>0117</t>
  </si>
  <si>
    <t>01491.01</t>
  </si>
  <si>
    <t>01450</t>
  </si>
  <si>
    <t>01253.02</t>
  </si>
  <si>
    <t>01323</t>
  </si>
  <si>
    <t>01241.90</t>
  </si>
  <si>
    <t>01359.90</t>
  </si>
  <si>
    <t>01449.90</t>
  </si>
  <si>
    <t>01709.90</t>
  </si>
  <si>
    <t>01699</t>
  </si>
  <si>
    <t>01290.90</t>
  </si>
  <si>
    <t>01317</t>
  </si>
  <si>
    <t>01345</t>
  </si>
  <si>
    <t>01342.01</t>
  </si>
  <si>
    <t>01705</t>
  </si>
  <si>
    <t>01242</t>
  </si>
  <si>
    <t>01651</t>
  </si>
  <si>
    <t>01318</t>
  </si>
  <si>
    <t>01313</t>
  </si>
  <si>
    <t>01346</t>
  </si>
  <si>
    <t>01321</t>
  </si>
  <si>
    <t>01448</t>
  </si>
  <si>
    <t>01510</t>
  </si>
  <si>
    <t>01235</t>
  </si>
  <si>
    <t>01342.02</t>
  </si>
  <si>
    <t>01194</t>
  </si>
  <si>
    <t>01443</t>
  </si>
  <si>
    <t>01443_s</t>
  </si>
  <si>
    <t>01443_w</t>
  </si>
  <si>
    <t>01353.01</t>
  </si>
  <si>
    <t>0113</t>
  </si>
  <si>
    <t>0116</t>
  </si>
  <si>
    <t>0114</t>
  </si>
  <si>
    <t>01344.01</t>
  </si>
  <si>
    <t>0141</t>
  </si>
  <si>
    <t>01215</t>
  </si>
  <si>
    <t>01354</t>
  </si>
  <si>
    <t>01801</t>
  </si>
  <si>
    <t>01802</t>
  </si>
  <si>
    <t>01445</t>
  </si>
  <si>
    <t>01530</t>
  </si>
  <si>
    <t>01324</t>
  </si>
  <si>
    <t>01234</t>
  </si>
  <si>
    <t>01234_gh</t>
  </si>
  <si>
    <t>01234_of</t>
  </si>
  <si>
    <t>01191</t>
  </si>
  <si>
    <t>01929.02</t>
  </si>
  <si>
    <t>01709.01</t>
  </si>
  <si>
    <t>01376</t>
  </si>
  <si>
    <t>01221</t>
  </si>
  <si>
    <t>01221_gh</t>
  </si>
  <si>
    <t>01221_of</t>
  </si>
  <si>
    <t>0111</t>
  </si>
  <si>
    <t>0111_s</t>
  </si>
  <si>
    <t>0111_w</t>
  </si>
  <si>
    <t>Nutrient inputs</t>
  </si>
  <si>
    <t xml:space="preserve">Energy </t>
  </si>
  <si>
    <t>N fixation, kg N/ha</t>
  </si>
  <si>
    <t>Diesel use, l/ha</t>
  </si>
  <si>
    <t>Pesticide use,          kg a.i./ha</t>
  </si>
  <si>
    <t>Almonds, in shell</t>
  </si>
  <si>
    <t>Nuts</t>
  </si>
  <si>
    <t>Anise, badian, coriander, cumin, caraway, fennel and juniper berries, raw</t>
  </si>
  <si>
    <t>Vegetables</t>
  </si>
  <si>
    <t>Apples</t>
  </si>
  <si>
    <t>Fruits</t>
  </si>
  <si>
    <t>SBA, 2004</t>
  </si>
  <si>
    <t>SBA, 2011</t>
  </si>
  <si>
    <t>SS, 2022</t>
  </si>
  <si>
    <t>Apricots</t>
  </si>
  <si>
    <t>Artichokes</t>
  </si>
  <si>
    <t>Asparagus</t>
  </si>
  <si>
    <t>Jensen, 2013</t>
  </si>
  <si>
    <t>Baky et al., 2010, average for vegetables</t>
  </si>
  <si>
    <t>SS, 2022. Avg for vegetables</t>
  </si>
  <si>
    <t>Avocados</t>
  </si>
  <si>
    <t>Bananas</t>
  </si>
  <si>
    <t>Barley, average</t>
  </si>
  <si>
    <t>Cereals, incl feed</t>
  </si>
  <si>
    <t>Barley, spring</t>
  </si>
  <si>
    <t>Cereals</t>
  </si>
  <si>
    <t>SS, 2020</t>
  </si>
  <si>
    <t>Baky et al., 2010</t>
  </si>
  <si>
    <t>Barley, winter</t>
  </si>
  <si>
    <t>Beans, dry</t>
  </si>
  <si>
    <t>Pulses</t>
  </si>
  <si>
    <t>Tidåker et al, 2021</t>
  </si>
  <si>
    <t>Tidåker et al., 2021</t>
  </si>
  <si>
    <t>Tidåker et al, 2021, common bean conv</t>
  </si>
  <si>
    <t>Blueberries</t>
  </si>
  <si>
    <t>Berries</t>
  </si>
  <si>
    <t>Brazil nuts, in shell</t>
  </si>
  <si>
    <t>Broad beans and horse beans, dry</t>
  </si>
  <si>
    <t>Pulses, incl feed</t>
  </si>
  <si>
    <t>Lassaletta et al., 2014</t>
  </si>
  <si>
    <t>SS 2020</t>
  </si>
  <si>
    <t>Broad beans and horse beans, green</t>
  </si>
  <si>
    <t>Broccoli</t>
  </si>
  <si>
    <t>Marmolin &amp; Björkholm, n.d., Björkholm, A-M., pers. comm. (2019)</t>
  </si>
  <si>
    <t>Buckwheat</t>
  </si>
  <si>
    <t>Seeds</t>
  </si>
  <si>
    <t>Cabbages</t>
  </si>
  <si>
    <t>Cantaloupes and other melons</t>
  </si>
  <si>
    <t>Carrots and turnips</t>
  </si>
  <si>
    <t>Marmolin &amp; Björkholm, n.d.</t>
  </si>
  <si>
    <t>Cashew nuts, in shell</t>
  </si>
  <si>
    <t>Cauliflowers</t>
  </si>
  <si>
    <t>Cauliflowers and broccoli, average</t>
  </si>
  <si>
    <t>Cereals n.e.c.</t>
  </si>
  <si>
    <t>Cherries</t>
  </si>
  <si>
    <t>Chestnuts, in shell</t>
  </si>
  <si>
    <t>Chick peas, dry</t>
  </si>
  <si>
    <t>Chillies and peppers, green (Capsicum spp. and Pimenta spp.), raw</t>
  </si>
  <si>
    <t>Spices</t>
  </si>
  <si>
    <t>Cocoa beans</t>
  </si>
  <si>
    <t>Stimulants</t>
  </si>
  <si>
    <t>Coconut, in shell</t>
  </si>
  <si>
    <t>Coffee, green</t>
  </si>
  <si>
    <t>Cucumbers and gherkins, averrage</t>
  </si>
  <si>
    <t>approx strawberries</t>
  </si>
  <si>
    <t>Cucumbers and gherkins, greenhouse</t>
  </si>
  <si>
    <t>Davis et al. 2011</t>
  </si>
  <si>
    <t>Davis et al. (2011)</t>
  </si>
  <si>
    <t>Cucumbers and gherkins, openfield</t>
  </si>
  <si>
    <t>Currants</t>
  </si>
  <si>
    <t xml:space="preserve">SBA, undated. </t>
  </si>
  <si>
    <t>Baky et al., 2010, average for berries</t>
  </si>
  <si>
    <t>SS, 2022. Strawberry</t>
  </si>
  <si>
    <t>Dates</t>
  </si>
  <si>
    <t>Edible roots and tubers with high starch or inulin content, n.e.c., fresh</t>
  </si>
  <si>
    <t>Roots</t>
  </si>
  <si>
    <t>Eggplants (aubergines)</t>
  </si>
  <si>
    <t>Figs</t>
  </si>
  <si>
    <t>Gooseberries</t>
  </si>
  <si>
    <t>Grapes</t>
  </si>
  <si>
    <t>Baky et al., 2010, average for fruit</t>
  </si>
  <si>
    <t>SS, 2022. Avg for fruits</t>
  </si>
  <si>
    <t>Green corn (maize)</t>
  </si>
  <si>
    <t>Green garlic</t>
  </si>
  <si>
    <t>approx onions and challots</t>
  </si>
  <si>
    <t>approx onion and shallots</t>
  </si>
  <si>
    <t>Groundnuts, excluding shelled</t>
  </si>
  <si>
    <t>Hazelnuts, in shell</t>
  </si>
  <si>
    <t>Kiwi fruit</t>
  </si>
  <si>
    <t>Leeks and other alliaceous vegetables</t>
  </si>
  <si>
    <t>Marmolin &amp; Björkholm, n.d</t>
  </si>
  <si>
    <t>Lemons and limes</t>
  </si>
  <si>
    <t>Lentils, dry</t>
  </si>
  <si>
    <t>approx peas</t>
  </si>
  <si>
    <t>Lettuce and chicory</t>
  </si>
  <si>
    <t>Linseed</t>
  </si>
  <si>
    <t>Ludeman, 2022</t>
  </si>
  <si>
    <t>Lupins</t>
  </si>
  <si>
    <t>Maize (corn)</t>
  </si>
  <si>
    <t>Baky et al., 2010, average for cereals</t>
  </si>
  <si>
    <t>Mangoes, guavas and mangosteens</t>
  </si>
  <si>
    <t>Millet</t>
  </si>
  <si>
    <t>Mixed grain</t>
  </si>
  <si>
    <t>Mushrooms and truffles</t>
  </si>
  <si>
    <t>Mushrooms</t>
  </si>
  <si>
    <t>Oats</t>
  </si>
  <si>
    <t>Oil palm fruit</t>
  </si>
  <si>
    <t>Oil crops, tree</t>
  </si>
  <si>
    <t>Olives</t>
  </si>
  <si>
    <t>Onions and shallots, dry (excluding dehydrated)</t>
  </si>
  <si>
    <t>Oranges</t>
  </si>
  <si>
    <t>Other beans, green</t>
  </si>
  <si>
    <t>SS, 2020 Faba bean</t>
  </si>
  <si>
    <t>SS, 2022 Avg Fava Bean / Peas</t>
  </si>
  <si>
    <t>Other fruits, n.e.c.</t>
  </si>
  <si>
    <t>Other oil seeds, n.e.c.</t>
  </si>
  <si>
    <t>Oil crops</t>
  </si>
  <si>
    <t>Other pulses n.e.c.</t>
  </si>
  <si>
    <t>Other stimulant, spice and aromatic crops, n.e.c.</t>
  </si>
  <si>
    <t>Other vegetables, fresh n.e.c.</t>
  </si>
  <si>
    <t>mean all vegetables with data</t>
  </si>
  <si>
    <t>Papayas</t>
  </si>
  <si>
    <t>Peaches and nectarines</t>
  </si>
  <si>
    <t>Pears</t>
  </si>
  <si>
    <t>Peas, dry</t>
  </si>
  <si>
    <t>Peas, green</t>
  </si>
  <si>
    <t>Pepper (Piper spp.), raw</t>
  </si>
  <si>
    <t>Pineapples</t>
  </si>
  <si>
    <t>Plantains and cooking bananas</t>
  </si>
  <si>
    <t>Plums and sloes</t>
  </si>
  <si>
    <t>approx apples</t>
  </si>
  <si>
    <t>Pomelos and grapefruits</t>
  </si>
  <si>
    <t>Poppy seed</t>
  </si>
  <si>
    <t>Potatoes</t>
  </si>
  <si>
    <t>Pumpkins, squash and gourds</t>
  </si>
  <si>
    <t>Karlsson-Potter, 2023</t>
  </si>
  <si>
    <t>Quinces</t>
  </si>
  <si>
    <t>Other</t>
  </si>
  <si>
    <t>Quinoa</t>
  </si>
  <si>
    <t>Rape or colza seed, average</t>
  </si>
  <si>
    <t>Rape or colza seed, spring</t>
  </si>
  <si>
    <t>SS, 2020 (winter)</t>
  </si>
  <si>
    <t>Rape or colza seed, winter</t>
  </si>
  <si>
    <t>Raspberries</t>
  </si>
  <si>
    <t>Nilsson (2011)</t>
  </si>
  <si>
    <t>Rice</t>
  </si>
  <si>
    <t>Rye</t>
  </si>
  <si>
    <t>Sorghum</t>
  </si>
  <si>
    <t>Sour cherries</t>
  </si>
  <si>
    <t>approx raspberries</t>
  </si>
  <si>
    <t>Soya beans</t>
  </si>
  <si>
    <t>Spinach</t>
  </si>
  <si>
    <t>proportional as lettuce and chicory</t>
  </si>
  <si>
    <t>Strawberries</t>
  </si>
  <si>
    <t>Davis et al., 2011</t>
  </si>
  <si>
    <t>Sugar beet</t>
  </si>
  <si>
    <t>Sugar crops</t>
  </si>
  <si>
    <t>Sugar cane</t>
  </si>
  <si>
    <t>Sunflower seed</t>
  </si>
  <si>
    <t>Sweet potatoes</t>
  </si>
  <si>
    <t>Tangerines, mandarins, clementines</t>
  </si>
  <si>
    <t>Tomatoes, average</t>
  </si>
  <si>
    <t>Tomatoes, greenhouse</t>
  </si>
  <si>
    <t>Röös &amp; Karlsson, 2013</t>
  </si>
  <si>
    <t>Tomatoes, openfield</t>
  </si>
  <si>
    <t>Triticale</t>
  </si>
  <si>
    <t>True hemp, raw or retted</t>
  </si>
  <si>
    <t>Vetches</t>
  </si>
  <si>
    <t>Walnuts, in shell</t>
  </si>
  <si>
    <t>Watermelons</t>
  </si>
  <si>
    <t>Watermelons, greenhouse</t>
  </si>
  <si>
    <t>Watermelons, openfield</t>
  </si>
  <si>
    <t>Wheat, average</t>
  </si>
  <si>
    <t>Wheat, spring</t>
  </si>
  <si>
    <t>Wheat, winter</t>
  </si>
  <si>
    <t>Reference list</t>
  </si>
  <si>
    <t>Baky, A., Sundberg, M., Brown, N. 2010. Kartläggning av jordbrukets energianvändning. Ett projekt utfört på uppdrag av Jordbruksverket. JTI – Institutet för jordbruks- och miljöteknik, Uppsala, Sweden.</t>
  </si>
  <si>
    <t>Berglund, M., Cederberg, C., Clason, C., Henriksson, M., Törner, L. 2009. Jordbrukets klimatpåverkan – underlag för att beräkna växthusgasutsläpp på gårdsnivå och nulägesanalyser av exempelgårdar. Delrapport i JoKer-proJeKtet, Hushållningssällskapet Halland, Sweden.</t>
  </si>
  <si>
    <t>Chaudhary, A., Brooks, T.M. 2018. Land use intensity-specific global characterization factors to assess product biodiversity footprints. Environmental Science Technology 52, 5094–5104.</t>
  </si>
  <si>
    <t>Davis, J. Wallman, M., Sund, V., Emanuelsson, A., Cederberg, C., Sonesson, U. 2011. Emissions of greenhouse gases from production of horticultural products: analysis of 17 products cultivated in Sweden, SIK Institutet för livsmedel och bioteknik, Gothenburg, Sweden.</t>
  </si>
  <si>
    <t>Ecoinvent centre. 2023. Ecoinvent Database Version 3.9.1. Dübendorf, Switzerland: Swiss Centre for Life Cycle Inventories.</t>
  </si>
  <si>
    <t>Edström, M., Pettersson, O., Nilsson, L., Hörndahl, T. 2005. Jordbrukssektorns energianvändning. JTI-rapport Lantbruk &amp; Industri 342. JTI – Institutet för jordbruks- och miljöteknik, Uppsala, Sweden.</t>
  </si>
  <si>
    <t xml:space="preserve">SS. 2020. Gödselmedel i jordbruket 2018/19. Mineral- och stallgödsel till olika grödor samt hantering och lagring av stallgödsel. Use of fertilisers and animal manure in agriculture in 2018/19. MI 30 SM 2002. Statistics Sweden, Örebro, Sweden. </t>
  </si>
  <si>
    <t>EU. 2023. Eurostat Statistical Database. European Union.</t>
  </si>
  <si>
    <t>FAO. 2023. FAOSTAT Statistical Database. Food and Agricultural Organization of the United Nations.</t>
  </si>
  <si>
    <r>
      <t xml:space="preserve">Flysjö, A., Cederberg, C., Strid, I. 2008. </t>
    </r>
    <r>
      <rPr>
        <i/>
        <sz val="11"/>
        <rFont val="Calibri"/>
        <family val="2"/>
        <scheme val="minor"/>
      </rPr>
      <t>LCA-databas för konventionella fodermedel: miljöpåverkan i samband med produktion</t>
    </r>
    <r>
      <rPr>
        <sz val="11"/>
        <rFont val="Calibri"/>
        <family val="2"/>
        <scheme val="minor"/>
      </rPr>
      <t>, SIK Institutet för livsmedel och bioteknik, Gothenburg, Sweden.</t>
    </r>
  </si>
  <si>
    <r>
      <t>Frischknecht, R., Althaus, H.-J., Bauer, C., Doka, G., Heck, T., Jungbluth, N., Kellenberger, D., Nemecek, T. 2007. The environmental relevance of capital goods in life cycle assessments of products and services. International Journal of Life Cycle Assessment 12</t>
    </r>
    <r>
      <rPr>
        <b/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7-17.</t>
    </r>
  </si>
  <si>
    <t>Hutchings, N., Webb, J., Amon, B., Dämmgen, U., Van Der Hoek, K., Steinbrecher, R., Dore, C., Wiltshire, J., Sánchez Jiménez, B., Haenel, H.-D., Röseman, C., Misselbrook, T., Hayashi, K., Freibauer, Annette, Cellier, P., Butterbach-Bahl, K., Sutton, M., Skiba, U., Kroeze, C., … Mikkelsen, M. H. (2019). 3D Crop production and agricultural soils. In EMEP/EEA air pollutant emission inventory guidebook 2019. Publications Office of the European Union.</t>
  </si>
  <si>
    <t>IPCC. 2006. IPCC Guidelines for National Greenhouse Gas Inventories. Volume 4. Agriculture, Forestry and Other Land Use. The Intergovernmental Panel of Climate Change. Geneva, Switzerland.</t>
  </si>
  <si>
    <t>IPCC. 2019. 2019 Refinement to the 2006 IPCC Guidelines for National Greenhouse Gas Inventories. The Intergovernmental Panel of Climate Change. Geneva, Switzerland.</t>
  </si>
  <si>
    <t>IPCC. 2021. Climate change 2021: The physical science basis. Contribution of working group I to the sixth assessment report. Cambridge University Press.</t>
  </si>
  <si>
    <t xml:space="preserve">Jensen, K. 2013.Ekologisk odling av sparris. Länsstyrelsen i Västra Götalands Län. https://www.yumpu.com/sv/document/read/19707719/ekologisk-odling-av-sparris-lansstyrelserna </t>
  </si>
  <si>
    <t xml:space="preserve">Karlsson-Potter, H. 2023. N-use in the Mistra Food Future model. Unpublised data. </t>
  </si>
  <si>
    <t>Lassaletta, L.; Billen, G.; Grizzetti, B.; Anglade, J.; Garnier, J. 2014. 50 year trends in nitrogen use efficiency of world cropping systems: The relationship between yield and nitrogen input to cropland. Environmental Research Letters 9, 105011.</t>
  </si>
  <si>
    <t>SBA. 2011. Ekonomi i bärodling. Kalkyler för jordgubbar och hallon. Jordbruksinformation 13 – 2011. Swedish Board of Agriculture, Jönköping, Sweden.</t>
  </si>
  <si>
    <t>Marmolin, C., Björkholm, A.-M. n.d. Växtnäringsrekommendationer till frilandsgrönsaker. En sammanställning av rekommendationer som ges i Sverige, Norge, Finland, Tyskland, Holland och UK. Hushållningssällskapet Skaraborg och Kristianstad, Sweden.</t>
  </si>
  <si>
    <t xml:space="preserve">Mekonnen, M., Hoekstra, A. 2011. National water footprint accounts: The green, blue and grey water
footprint of production and consumption. Volume 2: Appendices. https://core.ac.uk/download/pdf/323867109.pdf </t>
  </si>
  <si>
    <t>SS. 2022. Växtskyddsmedel i jord- och trädgårdsbruket 2021 Användning i grödor. Plant protection products in agriculture and horticulture. Use in crops. MI 31 SM 2202. Statistics Sweden, Örebro, Sweden</t>
  </si>
  <si>
    <t xml:space="preserve">Muller, A., Schader, C., Scialabba, N., Bruggemann, J., Isensee, A., Erb, K-H., Smith, P., Klocke, P, Leiber, F., Stolze, M., Niggli, U. 2017. Strategies for feed the world sustainably with organic agriculture. Nature Communications 8, 1290. </t>
  </si>
  <si>
    <r>
      <t>Nilsson, T. 2011. Gödsling av hallon. LTJ-fakultetens faktablad. Fakta från Tillväxt Trädgård, nr 8.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Fakulteten för landskapsplanering, trädgårds- och jordbruksvetenskap 2011. Swedish University of Agricultural Sciences, Alnarp, Sweden.</t>
    </r>
  </si>
  <si>
    <t>NIR. 2020. Swedish National Inventory Report. Swedish Environmental Protection Agency, Stockholm, Sweden.</t>
  </si>
  <si>
    <r>
      <t>Röös, E., Karlsson, H. 2013. Effect of eating seasonal on the carbon footprint of Swedish vegetable consumption. Journal of Cleaner Production 59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63-72.</t>
    </r>
  </si>
  <si>
    <t>SBA 2004. Gödslings- och kalkningsråd för fruktodling 2004. Jordbruksinformation 5 – 2004. Swedish Board of Agriculture, Jönköping, Sweden.</t>
  </si>
  <si>
    <t>SBA. 2010. Energikartläggning av de areella näringarna. Regeringsuppdrag Jo 2009/1596. Rapport 2010:16. Swedish Board of Agriculture. Jönköping, Sweden.</t>
  </si>
  <si>
    <t>SBA. 2022. Energianvändning i växthus 2020. Tomat, gurka och prydnadsväxter. Swedish Board of Agriculture, Jönköping, Sweden.</t>
  </si>
  <si>
    <t>SBA. 2023. Trädgårdsproduktion 2022. The 2022 Horticultural Census. JO0607. Swedish Board of Agriculture.</t>
  </si>
  <si>
    <t>SBA. 2013. Kalkyler för svarta vinbär. Swedish Board of Agriculture. Undated. https://www2.jordbruksverket.se/webdav/files/SJV/trycksaker/Pdf_ovrigt/ovr291_4.pdf</t>
  </si>
  <si>
    <t xml:space="preserve">SS. 2020. Gödselmedel i jordbruket. Statistics Sweden. https://www.scb.se/contentassets/e6fdbf100cab433798eeae49cc857632/mi1001_2018b19_sm_mi30sm2002.pdf </t>
  </si>
  <si>
    <t>SS. 2022. https://www.scb.se/contentassets/6e042f0902bb449fb15edc4c1eb8e22c/mi0502_2021i20_br_mi31br2202.pdf</t>
  </si>
  <si>
    <t xml:space="preserve">Swedish Agency for Public Management. 2010. Effekter på priset för handelsgödsel när skatten på kväve i handelsgödsel avskaffas. Stockholm, Sweden. </t>
  </si>
  <si>
    <r>
      <t xml:space="preserve">Tidåker, P., Karlsson Potter, H., Carlsson, G. &amp; Röös, E. 2021. Towards sustainable consumption of legumes: How origin, processing and transport affect the environmental impact of pulses. </t>
    </r>
    <r>
      <rPr>
        <i/>
        <sz val="11"/>
        <color theme="1"/>
        <rFont val="Calibri"/>
        <family val="2"/>
        <scheme val="minor"/>
      </rPr>
      <t>Sustainable Production and Consumption</t>
    </r>
    <r>
      <rPr>
        <sz val="11"/>
        <color theme="1"/>
        <rFont val="Calibri"/>
        <family val="2"/>
        <scheme val="minor"/>
      </rPr>
      <t xml:space="preserve">, 27, 496–508. </t>
    </r>
  </si>
  <si>
    <t>Vicente-Vicente, J.L., García-Ruiz, R., Francaviglia, R., Aguilera, E.,  Smith, P. 2016. Soil carbon sequestration rates under Mediterranean woody crops using recommended management practices: A meta-analysis. Agriculture, Ecosystems and Environment. 235, 204-214.</t>
  </si>
  <si>
    <t>Vinsmo L-G, Olsson P., Reimers R. 2001. Miljöinventering av packerier och skalerier för potatis. (Environmental inventory of packaging and peeling plants for potatoes). Swedish Institute of Food and Biotechnoloy, Gothenburg, Sweden.</t>
  </si>
  <si>
    <t>Yara International. 2010. Klimatavtryck. Gödslingens klimatpåverkan och möjliga förbättringar.</t>
  </si>
  <si>
    <t>Personal Communication:</t>
  </si>
  <si>
    <t>Björkholm, A-M. 2019. Rådgivning grönsaker, bär och frukt, växtodling/Advisor vegetables, berries and fruits, plant production. Hushållningssällskapet.</t>
  </si>
  <si>
    <t>Default inputs per hectare</t>
  </si>
  <si>
    <t>This is a dataset that includes input data for calculating the environmental footprints.</t>
  </si>
  <si>
    <t>Fertilisers</t>
  </si>
  <si>
    <t>Nitrogen fixation</t>
  </si>
  <si>
    <t>Pesticide use, kg a.i./ha</t>
  </si>
  <si>
    <t>Min N fertiliser,            kg N/ha</t>
  </si>
  <si>
    <t>Min P fertiliser, kg P/ha</t>
  </si>
  <si>
    <t>Mineral N fertiliser, kg N/ha</t>
  </si>
  <si>
    <t>Min P fertilier, kg P/ha</t>
  </si>
  <si>
    <t>Inputs per hectare, Sweden</t>
  </si>
  <si>
    <t>Inputs per hectare, Argentina</t>
  </si>
  <si>
    <t>No</t>
  </si>
  <si>
    <t>Yes</t>
  </si>
  <si>
    <t>Pesticides per hectare and country</t>
  </si>
  <si>
    <t>AR</t>
  </si>
  <si>
    <t>AU</t>
  </si>
  <si>
    <t>AT</t>
  </si>
  <si>
    <t>BE</t>
  </si>
  <si>
    <t>BO</t>
  </si>
  <si>
    <t>BR</t>
  </si>
  <si>
    <t>BG</t>
  </si>
  <si>
    <t>Default</t>
  </si>
  <si>
    <t>Diesel use per hectare and country</t>
  </si>
  <si>
    <t>Ha en defaultkolumn som används om inget annat anges, problemet är för kvävet som vi vill skala mot skörden som vi inte har här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</si>
</sst>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"/>
    <numFmt numFmtId="168" formatCode="0.000E+00"/>
    <numFmt numFmtId="171" formatCode="0.000000"/>
    <numFmt numFmtId="179" formatCode="0.0000000000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theme="8"/>
      <name val="Calibri"/>
      <family val="2"/>
      <scheme val="minor"/>
    </font>
    <font>
      <sz val="16"/>
      <name val="Calibri"/>
      <family val="2"/>
      <scheme val="minor"/>
    </font>
    <font>
      <sz val="12"/>
      <color theme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 applyNumberFormat="0" applyBorder="0" applyAlignment="0"/>
    <xf numFmtId="0" fontId="2" fillId="0" borderId="0" applyNumberFormat="0" applyBorder="0" applyAlignment="0"/>
    <xf numFmtId="0" fontId="8" fillId="0" borderId="0"/>
    <xf numFmtId="0" fontId="9" fillId="0" borderId="0"/>
    <xf numFmtId="0" fontId="4" fillId="3" borderId="0" applyNumberFormat="0" applyBorder="0" applyAlignment="0" applyProtection="0">
      <alignment horizontal="right"/>
    </xf>
    <xf numFmtId="0" fontId="11" fillId="0" borderId="0"/>
    <xf numFmtId="0" fontId="12" fillId="0" borderId="0"/>
    <xf numFmtId="0" fontId="1" fillId="0" borderId="0"/>
    <xf numFmtId="0" fontId="11" fillId="0" borderId="0"/>
  </cellStyleXfs>
  <cellXfs count="151">
    <xf numFmtId="0" fontId="0" fillId="0" borderId="0" xfId="0"/>
    <xf numFmtId="0" fontId="4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13" fillId="0" borderId="0" xfId="0" applyFont="1"/>
    <xf numFmtId="1" fontId="14" fillId="0" borderId="0" xfId="0" applyNumberFormat="1" applyFont="1"/>
    <xf numFmtId="0" fontId="7" fillId="0" borderId="0" xfId="0" applyFont="1"/>
    <xf numFmtId="0" fontId="9" fillId="0" borderId="0" xfId="4"/>
    <xf numFmtId="0" fontId="4" fillId="0" borderId="0" xfId="8" applyFont="1" applyAlignment="1">
      <alignment horizontal="left" vertical="top"/>
    </xf>
    <xf numFmtId="0" fontId="6" fillId="0" borderId="0" xfId="4" applyFont="1" applyAlignment="1">
      <alignment horizontal="left"/>
    </xf>
    <xf numFmtId="0" fontId="2" fillId="0" borderId="0" xfId="8" applyFont="1" applyAlignment="1">
      <alignment horizontal="left" vertical="top"/>
    </xf>
    <xf numFmtId="0" fontId="7" fillId="0" borderId="0" xfId="0" applyFont="1" applyAlignment="1">
      <alignment horizontal="left"/>
    </xf>
    <xf numFmtId="0" fontId="4" fillId="0" borderId="0" xfId="8" applyFont="1" applyAlignment="1">
      <alignment horizontal="left"/>
    </xf>
    <xf numFmtId="1" fontId="9" fillId="0" borderId="0" xfId="4" applyNumberFormat="1"/>
    <xf numFmtId="0" fontId="0" fillId="0" borderId="0" xfId="4" applyFont="1"/>
    <xf numFmtId="0" fontId="0" fillId="0" borderId="0" xfId="8" applyFont="1" applyAlignment="1">
      <alignment horizontal="left" vertical="top"/>
    </xf>
    <xf numFmtId="0" fontId="18" fillId="0" borderId="0" xfId="0" applyFont="1" applyAlignment="1">
      <alignment horizontal="left"/>
    </xf>
    <xf numFmtId="165" fontId="0" fillId="0" borderId="0" xfId="4" applyNumberFormat="1" applyFont="1" applyAlignment="1">
      <alignment horizontal="left" vertical="center"/>
    </xf>
    <xf numFmtId="0" fontId="6" fillId="0" borderId="0" xfId="0" applyFont="1"/>
    <xf numFmtId="165" fontId="9" fillId="0" borderId="0" xfId="4" applyNumberFormat="1" applyAlignment="1">
      <alignment horizontal="left" vertical="center"/>
    </xf>
    <xf numFmtId="0" fontId="0" fillId="0" borderId="0" xfId="8" applyFont="1" applyAlignment="1">
      <alignment vertical="center"/>
    </xf>
    <xf numFmtId="0" fontId="4" fillId="0" borderId="0" xfId="8" applyFont="1" applyAlignment="1">
      <alignment horizontal="left" vertical="center"/>
    </xf>
    <xf numFmtId="0" fontId="0" fillId="0" borderId="0" xfId="0" applyAlignment="1">
      <alignment vertical="center"/>
    </xf>
    <xf numFmtId="171" fontId="0" fillId="0" borderId="0" xfId="0" applyNumberFormat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5" fillId="0" borderId="0" xfId="0" applyFont="1"/>
    <xf numFmtId="0" fontId="16" fillId="0" borderId="0" xfId="0" applyFont="1" applyBorder="1"/>
    <xf numFmtId="0" fontId="4" fillId="0" borderId="0" xfId="0" applyFont="1" applyBorder="1"/>
    <xf numFmtId="0" fontId="17" fillId="0" borderId="0" xfId="0" applyFont="1" applyBorder="1"/>
    <xf numFmtId="0" fontId="4" fillId="9" borderId="0" xfId="0" applyFont="1" applyFill="1" applyBorder="1"/>
    <xf numFmtId="2" fontId="0" fillId="9" borderId="0" xfId="0" applyNumberFormat="1" applyFill="1" applyBorder="1" applyAlignment="1">
      <alignment horizontal="left" vertical="center"/>
    </xf>
    <xf numFmtId="1" fontId="5" fillId="9" borderId="0" xfId="0" applyNumberFormat="1" applyFont="1" applyFill="1" applyBorder="1" applyAlignment="1">
      <alignment horizontal="left" vertical="top"/>
    </xf>
    <xf numFmtId="1" fontId="0" fillId="9" borderId="0" xfId="0" applyNumberFormat="1" applyFill="1" applyBorder="1" applyAlignment="1">
      <alignment horizontal="left" vertical="center"/>
    </xf>
    <xf numFmtId="2" fontId="5" fillId="9" borderId="0" xfId="0" applyNumberFormat="1" applyFont="1" applyFill="1" applyBorder="1" applyAlignment="1">
      <alignment horizontal="left" vertical="center"/>
    </xf>
    <xf numFmtId="1" fontId="5" fillId="7" borderId="0" xfId="0" applyNumberFormat="1" applyFont="1" applyFill="1" applyBorder="1" applyAlignment="1">
      <alignment horizontal="left" vertical="top"/>
    </xf>
    <xf numFmtId="2" fontId="0" fillId="7" borderId="0" xfId="0" applyNumberFormat="1" applyFill="1" applyBorder="1" applyAlignment="1">
      <alignment horizontal="left" vertical="center"/>
    </xf>
    <xf numFmtId="1" fontId="0" fillId="7" borderId="0" xfId="0" applyNumberFormat="1" applyFill="1" applyBorder="1" applyAlignment="1">
      <alignment horizontal="left" vertical="center"/>
    </xf>
    <xf numFmtId="2" fontId="5" fillId="7" borderId="0" xfId="0" applyNumberFormat="1" applyFont="1" applyFill="1" applyBorder="1" applyAlignment="1">
      <alignment horizontal="left" vertical="center"/>
    </xf>
    <xf numFmtId="11" fontId="5" fillId="7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top" wrapText="1"/>
    </xf>
    <xf numFmtId="1" fontId="0" fillId="2" borderId="0" xfId="0" applyNumberFormat="1" applyFill="1" applyBorder="1" applyAlignment="1">
      <alignment horizontal="left" vertical="top" wrapText="1"/>
    </xf>
    <xf numFmtId="1" fontId="4" fillId="2" borderId="0" xfId="0" applyNumberFormat="1" applyFont="1" applyFill="1" applyBorder="1" applyAlignment="1">
      <alignment horizontal="left" vertical="top" wrapText="1"/>
    </xf>
    <xf numFmtId="1" fontId="0" fillId="6" borderId="0" xfId="0" applyNumberFormat="1" applyFill="1" applyBorder="1" applyAlignment="1">
      <alignment horizontal="left" vertical="top" wrapText="1"/>
    </xf>
    <xf numFmtId="1" fontId="4" fillId="6" borderId="0" xfId="0" applyNumberFormat="1" applyFont="1" applyFill="1" applyBorder="1" applyAlignment="1">
      <alignment horizontal="left" vertical="top" wrapText="1"/>
    </xf>
    <xf numFmtId="168" fontId="0" fillId="6" borderId="0" xfId="0" applyNumberFormat="1" applyFill="1" applyBorder="1" applyAlignment="1">
      <alignment horizontal="left" vertical="top" wrapText="1"/>
    </xf>
    <xf numFmtId="49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left"/>
    </xf>
    <xf numFmtId="2" fontId="4" fillId="0" borderId="0" xfId="0" applyNumberFormat="1" applyFont="1" applyBorder="1" applyAlignment="1">
      <alignment horizontal="left" vertical="center" wrapText="1"/>
    </xf>
    <xf numFmtId="1" fontId="17" fillId="0" borderId="0" xfId="0" applyNumberFormat="1" applyFont="1" applyBorder="1"/>
    <xf numFmtId="1" fontId="16" fillId="0" borderId="0" xfId="0" applyNumberFormat="1" applyFont="1" applyBorder="1" applyAlignment="1">
      <alignment horizontal="right" vertical="center"/>
    </xf>
    <xf numFmtId="0" fontId="7" fillId="0" borderId="0" xfId="0" applyFont="1" applyBorder="1"/>
    <xf numFmtId="1" fontId="7" fillId="0" borderId="0" xfId="0" applyNumberFormat="1" applyFont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1" fontId="0" fillId="0" borderId="0" xfId="0" applyNumberFormat="1" applyBorder="1" applyAlignment="1">
      <alignment horizontal="left" vertical="center"/>
    </xf>
    <xf numFmtId="1" fontId="16" fillId="0" borderId="0" xfId="0" applyNumberFormat="1" applyFont="1" applyBorder="1" applyAlignment="1">
      <alignment horizontal="right"/>
    </xf>
    <xf numFmtId="1" fontId="16" fillId="0" borderId="0" xfId="0" applyNumberFormat="1" applyFont="1" applyBorder="1" applyAlignment="1">
      <alignment horizontal="left" vertical="center" wrapText="1"/>
    </xf>
    <xf numFmtId="2" fontId="0" fillId="0" borderId="0" xfId="0" applyNumberFormat="1" applyBorder="1" applyAlignment="1">
      <alignment horizontal="left" vertical="center"/>
    </xf>
    <xf numFmtId="1" fontId="0" fillId="0" borderId="0" xfId="0" applyNumberFormat="1" applyBorder="1" applyAlignment="1">
      <alignment horizontal="left" vertical="center" wrapText="1"/>
    </xf>
    <xf numFmtId="1" fontId="7" fillId="0" borderId="0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/>
    </xf>
    <xf numFmtId="0" fontId="16" fillId="0" borderId="0" xfId="0" applyFont="1" applyBorder="1" applyAlignment="1">
      <alignment horizontal="right"/>
    </xf>
    <xf numFmtId="11" fontId="0" fillId="0" borderId="0" xfId="0" applyNumberFormat="1" applyBorder="1" applyAlignment="1">
      <alignment horizontal="left" vertical="center"/>
    </xf>
    <xf numFmtId="1" fontId="7" fillId="0" borderId="0" xfId="0" applyNumberFormat="1" applyFont="1" applyBorder="1"/>
    <xf numFmtId="0" fontId="4" fillId="0" borderId="0" xfId="0" applyFont="1" applyBorder="1" applyAlignment="1">
      <alignment horizontal="left" vertical="center" wrapText="1"/>
    </xf>
    <xf numFmtId="0" fontId="7" fillId="8" borderId="0" xfId="0" applyFont="1" applyFill="1" applyBorder="1"/>
    <xf numFmtId="0" fontId="13" fillId="0" borderId="0" xfId="0" applyNumberFormat="1" applyFont="1" applyAlignment="1">
      <alignment horizontal="left" vertical="center"/>
    </xf>
    <xf numFmtId="0" fontId="14" fillId="0" borderId="0" xfId="0" applyNumberFormat="1" applyFont="1"/>
    <xf numFmtId="0" fontId="5" fillId="9" borderId="0" xfId="0" applyNumberFormat="1" applyFont="1" applyFill="1" applyBorder="1"/>
    <xf numFmtId="0" fontId="0" fillId="0" borderId="0" xfId="0" applyNumberFormat="1"/>
    <xf numFmtId="1" fontId="17" fillId="0" borderId="0" xfId="0" applyNumberFormat="1" applyFont="1" applyBorder="1" applyAlignment="1">
      <alignment horizontal="right" vertical="center"/>
    </xf>
    <xf numFmtId="1" fontId="17" fillId="0" borderId="0" xfId="0" applyNumberFormat="1" applyFont="1" applyBorder="1" applyAlignment="1">
      <alignment horizontal="right"/>
    </xf>
    <xf numFmtId="1" fontId="17" fillId="0" borderId="0" xfId="0" applyNumberFormat="1" applyFont="1" applyBorder="1" applyAlignment="1">
      <alignment horizontal="left" vertical="center" wrapText="1"/>
    </xf>
    <xf numFmtId="0" fontId="17" fillId="0" borderId="0" xfId="0" applyFont="1" applyBorder="1" applyAlignment="1">
      <alignment horizontal="right"/>
    </xf>
    <xf numFmtId="1" fontId="17" fillId="0" borderId="0" xfId="0" applyNumberFormat="1" applyFont="1" applyBorder="1" applyAlignment="1">
      <alignment horizontal="right" vertical="center" wrapText="1"/>
    </xf>
    <xf numFmtId="1" fontId="17" fillId="0" borderId="0" xfId="0" applyNumberFormat="1" applyFont="1" applyBorder="1" applyAlignment="1">
      <alignment horizontal="left" vertical="center"/>
    </xf>
    <xf numFmtId="1" fontId="19" fillId="0" borderId="0" xfId="0" applyNumberFormat="1" applyFont="1" applyBorder="1" applyAlignment="1">
      <alignment horizontal="left" vertical="center" wrapText="1"/>
    </xf>
    <xf numFmtId="1" fontId="17" fillId="2" borderId="0" xfId="0" applyNumberFormat="1" applyFont="1" applyFill="1" applyBorder="1"/>
    <xf numFmtId="0" fontId="17" fillId="2" borderId="0" xfId="0" applyFont="1" applyFill="1" applyBorder="1"/>
    <xf numFmtId="2" fontId="0" fillId="0" borderId="0" xfId="0" applyNumberFormat="1" applyFont="1" applyAlignment="1">
      <alignment horizontal="left" vertical="center"/>
    </xf>
    <xf numFmtId="1" fontId="20" fillId="0" borderId="0" xfId="0" applyNumberFormat="1" applyFont="1"/>
    <xf numFmtId="0" fontId="0" fillId="0" borderId="0" xfId="0" applyFont="1"/>
    <xf numFmtId="49" fontId="5" fillId="5" borderId="0" xfId="0" applyNumberFormat="1" applyFont="1" applyFill="1" applyBorder="1"/>
    <xf numFmtId="0" fontId="4" fillId="5" borderId="0" xfId="0" applyFont="1" applyFill="1" applyBorder="1"/>
    <xf numFmtId="2" fontId="0" fillId="5" borderId="0" xfId="0" applyNumberFormat="1" applyFont="1" applyFill="1" applyBorder="1" applyAlignment="1">
      <alignment horizontal="left" vertical="center"/>
    </xf>
    <xf numFmtId="2" fontId="5" fillId="5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top" wrapText="1"/>
    </xf>
    <xf numFmtId="2" fontId="0" fillId="4" borderId="0" xfId="0" applyNumberFormat="1" applyFont="1" applyFill="1" applyBorder="1" applyAlignment="1">
      <alignment horizontal="left" vertical="top" wrapText="1"/>
    </xf>
    <xf numFmtId="1" fontId="4" fillId="4" borderId="0" xfId="0" applyNumberFormat="1" applyFont="1" applyFill="1" applyBorder="1" applyAlignment="1">
      <alignment horizontal="left" vertical="top" wrapText="1"/>
    </xf>
    <xf numFmtId="0" fontId="0" fillId="0" borderId="0" xfId="0" applyFont="1" applyBorder="1"/>
    <xf numFmtId="2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1" fontId="0" fillId="4" borderId="0" xfId="0" applyNumberFormat="1" applyFont="1" applyFill="1" applyBorder="1" applyAlignment="1">
      <alignment horizontal="left" vertical="top" wrapText="1"/>
    </xf>
    <xf numFmtId="1" fontId="0" fillId="0" borderId="0" xfId="0" applyNumberFormat="1" applyFont="1" applyBorder="1" applyAlignment="1">
      <alignment horizontal="right" vertical="center"/>
    </xf>
    <xf numFmtId="1" fontId="0" fillId="0" borderId="0" xfId="0" applyNumberFormat="1" applyFont="1" applyBorder="1" applyAlignment="1">
      <alignment horizontal="right"/>
    </xf>
    <xf numFmtId="1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right"/>
    </xf>
    <xf numFmtId="1" fontId="0" fillId="0" borderId="0" xfId="0" applyNumberFormat="1" applyFont="1" applyBorder="1" applyAlignment="1">
      <alignment horizontal="right" vertical="center" wrapText="1"/>
    </xf>
    <xf numFmtId="1" fontId="0" fillId="0" borderId="0" xfId="0" applyNumberFormat="1" applyFont="1" applyBorder="1"/>
    <xf numFmtId="179" fontId="0" fillId="0" borderId="0" xfId="0" applyNumberFormat="1" applyFont="1" applyBorder="1"/>
    <xf numFmtId="1" fontId="0" fillId="0" borderId="0" xfId="0" applyNumberFormat="1" applyFont="1" applyBorder="1" applyAlignment="1">
      <alignment horizontal="left" vertical="center"/>
    </xf>
    <xf numFmtId="11" fontId="0" fillId="0" borderId="0" xfId="0" applyNumberFormat="1" applyFont="1" applyBorder="1" applyAlignment="1">
      <alignment horizontal="left" vertical="center"/>
    </xf>
    <xf numFmtId="0" fontId="17" fillId="0" borderId="0" xfId="0" applyFont="1"/>
    <xf numFmtId="1" fontId="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 wrapText="1"/>
    </xf>
    <xf numFmtId="1" fontId="4" fillId="0" borderId="0" xfId="0" applyNumberFormat="1" applyFont="1" applyBorder="1" applyAlignment="1">
      <alignment horizontal="left" vertical="center" wrapText="1"/>
    </xf>
    <xf numFmtId="1" fontId="4" fillId="0" borderId="0" xfId="0" applyNumberFormat="1" applyFont="1" applyBorder="1" applyAlignment="1">
      <alignment horizontal="right"/>
    </xf>
    <xf numFmtId="1" fontId="4" fillId="0" borderId="0" xfId="0" applyNumberFormat="1" applyFont="1" applyBorder="1" applyAlignment="1">
      <alignment horizontal="left" vertical="center"/>
    </xf>
    <xf numFmtId="11" fontId="4" fillId="0" borderId="0" xfId="0" applyNumberFormat="1" applyFont="1" applyBorder="1" applyAlignment="1">
      <alignment horizontal="left" vertical="center"/>
    </xf>
    <xf numFmtId="1" fontId="4" fillId="8" borderId="0" xfId="0" applyNumberFormat="1" applyFont="1" applyFill="1" applyBorder="1" applyAlignment="1">
      <alignment horizontal="right" vertical="center" wrapText="1"/>
    </xf>
    <xf numFmtId="1" fontId="4" fillId="4" borderId="0" xfId="0" applyNumberFormat="1" applyFont="1" applyFill="1" applyBorder="1"/>
    <xf numFmtId="0" fontId="4" fillId="4" borderId="0" xfId="0" applyFont="1" applyFill="1" applyBorder="1"/>
    <xf numFmtId="1" fontId="4" fillId="2" borderId="0" xfId="0" applyNumberFormat="1" applyFont="1" applyFill="1" applyBorder="1" applyAlignment="1">
      <alignment horizontal="right" vertical="center"/>
    </xf>
    <xf numFmtId="0" fontId="0" fillId="2" borderId="0" xfId="0" applyNumberFormat="1" applyFill="1" applyBorder="1" applyAlignment="1">
      <alignment horizontal="left" vertical="top" wrapText="1"/>
    </xf>
    <xf numFmtId="2" fontId="0" fillId="2" borderId="0" xfId="0" applyNumberFormat="1" applyFill="1" applyBorder="1" applyAlignment="1">
      <alignment horizontal="center" vertical="top" wrapText="1"/>
    </xf>
    <xf numFmtId="11" fontId="4" fillId="0" borderId="0" xfId="0" applyNumberFormat="1" applyFont="1" applyAlignment="1">
      <alignment horizontal="left" vertical="center"/>
    </xf>
    <xf numFmtId="1" fontId="21" fillId="0" borderId="0" xfId="0" applyNumberFormat="1" applyFont="1" applyAlignment="1">
      <alignment horizontal="left" vertical="center"/>
    </xf>
    <xf numFmtId="11" fontId="22" fillId="5" borderId="0" xfId="0" applyNumberFormat="1" applyFont="1" applyFill="1" applyBorder="1" applyAlignment="1">
      <alignment horizontal="left" vertical="center"/>
    </xf>
    <xf numFmtId="168" fontId="4" fillId="4" borderId="0" xfId="0" applyNumberFormat="1" applyFont="1" applyFill="1" applyBorder="1" applyAlignment="1">
      <alignment horizontal="left" vertical="top" wrapText="1"/>
    </xf>
    <xf numFmtId="2" fontId="4" fillId="0" borderId="0" xfId="0" applyNumberFormat="1" applyFont="1" applyBorder="1" applyAlignment="1">
      <alignment horizontal="right" vertical="center"/>
    </xf>
    <xf numFmtId="2" fontId="4" fillId="0" borderId="0" xfId="0" applyNumberFormat="1" applyFont="1" applyBorder="1" applyAlignment="1">
      <alignment horizontal="right"/>
    </xf>
    <xf numFmtId="2" fontId="4" fillId="0" borderId="0" xfId="0" applyNumberFormat="1" applyFont="1" applyBorder="1" applyAlignment="1">
      <alignment horizontal="left" vertical="center"/>
    </xf>
    <xf numFmtId="2" fontId="4" fillId="0" borderId="0" xfId="0" applyNumberFormat="1" applyFont="1" applyBorder="1"/>
    <xf numFmtId="2" fontId="4" fillId="4" borderId="0" xfId="0" applyNumberFormat="1" applyFont="1" applyFill="1" applyBorder="1"/>
    <xf numFmtId="49" fontId="0" fillId="4" borderId="0" xfId="0" applyNumberFormat="1" applyFill="1" applyBorder="1" applyAlignment="1">
      <alignment horizontal="left" vertical="top" wrapText="1"/>
    </xf>
    <xf numFmtId="11" fontId="22" fillId="9" borderId="0" xfId="0" applyNumberFormat="1" applyFont="1" applyFill="1" applyBorder="1" applyAlignment="1">
      <alignment horizontal="left" vertical="center"/>
    </xf>
    <xf numFmtId="168" fontId="4" fillId="2" borderId="0" xfId="0" applyNumberFormat="1" applyFont="1" applyFill="1" applyBorder="1" applyAlignment="1">
      <alignment horizontal="left" vertical="top" wrapText="1"/>
    </xf>
    <xf numFmtId="2" fontId="4" fillId="2" borderId="0" xfId="0" applyNumberFormat="1" applyFont="1" applyFill="1" applyBorder="1" applyAlignment="1">
      <alignment horizontal="right" vertical="center"/>
    </xf>
    <xf numFmtId="0" fontId="23" fillId="0" borderId="0" xfId="0" applyFont="1" applyBorder="1"/>
    <xf numFmtId="2" fontId="4" fillId="10" borderId="0" xfId="0" applyNumberFormat="1" applyFont="1" applyFill="1" applyBorder="1" applyAlignment="1">
      <alignment horizontal="right" vertical="center"/>
    </xf>
    <xf numFmtId="0" fontId="24" fillId="0" borderId="0" xfId="0" applyFont="1"/>
    <xf numFmtId="49" fontId="5" fillId="11" borderId="0" xfId="0" applyNumberFormat="1" applyFont="1" applyFill="1" applyBorder="1"/>
    <xf numFmtId="0" fontId="4" fillId="11" borderId="0" xfId="0" applyFont="1" applyFill="1" applyBorder="1"/>
    <xf numFmtId="49" fontId="0" fillId="12" borderId="0" xfId="0" applyNumberFormat="1" applyFill="1" applyBorder="1" applyAlignment="1">
      <alignment horizontal="left" vertical="top" wrapText="1"/>
    </xf>
    <xf numFmtId="0" fontId="4" fillId="12" borderId="0" xfId="0" applyFont="1" applyFill="1" applyBorder="1" applyAlignment="1">
      <alignment horizontal="center" vertical="top" wrapText="1"/>
    </xf>
    <xf numFmtId="49" fontId="5" fillId="13" borderId="0" xfId="0" applyNumberFormat="1" applyFont="1" applyFill="1" applyBorder="1"/>
    <xf numFmtId="0" fontId="4" fillId="13" borderId="0" xfId="0" applyFont="1" applyFill="1" applyBorder="1"/>
    <xf numFmtId="49" fontId="0" fillId="6" borderId="0" xfId="0" applyNumberFormat="1" applyFill="1" applyBorder="1" applyAlignment="1">
      <alignment horizontal="left" vertical="top" wrapText="1"/>
    </xf>
    <xf numFmtId="0" fontId="4" fillId="6" borderId="0" xfId="0" applyFont="1" applyFill="1" applyBorder="1" applyAlignment="1">
      <alignment horizontal="center" vertical="top" wrapText="1"/>
    </xf>
    <xf numFmtId="49" fontId="5" fillId="14" borderId="0" xfId="0" applyNumberFormat="1" applyFont="1" applyFill="1" applyBorder="1"/>
    <xf numFmtId="49" fontId="0" fillId="13" borderId="0" xfId="0" applyNumberFormat="1" applyFill="1" applyBorder="1" applyAlignment="1">
      <alignment horizontal="left" vertical="top" wrapText="1"/>
    </xf>
    <xf numFmtId="0" fontId="4" fillId="13" borderId="0" xfId="0" applyFont="1" applyFill="1" applyBorder="1" applyAlignment="1">
      <alignment horizontal="center" vertical="top" wrapText="1"/>
    </xf>
    <xf numFmtId="0" fontId="0" fillId="13" borderId="0" xfId="0" applyFill="1"/>
    <xf numFmtId="0" fontId="4" fillId="14" borderId="0" xfId="0" applyFont="1" applyFill="1" applyBorder="1"/>
    <xf numFmtId="0" fontId="0" fillId="14" borderId="0" xfId="0" applyFill="1"/>
  </cellXfs>
  <cellStyles count="10">
    <cellStyle name="Normal" xfId="0" builtinId="0"/>
    <cellStyle name="Normal 2" xfId="4" xr:uid="{00000000-0005-0000-0000-000001000000}"/>
    <cellStyle name="Normal 2 2" xfId="2" xr:uid="{00000000-0005-0000-0000-000002000000}"/>
    <cellStyle name="Normal 3" xfId="3" xr:uid="{00000000-0005-0000-0000-000003000000}"/>
    <cellStyle name="Normal 4" xfId="1" xr:uid="{00000000-0005-0000-0000-000004000000}"/>
    <cellStyle name="Normal 5" xfId="6" xr:uid="{00000000-0005-0000-0000-000005000000}"/>
    <cellStyle name="Normal 6" xfId="7" xr:uid="{00000000-0005-0000-0000-000006000000}"/>
    <cellStyle name="Normal 6 2" xfId="9" xr:uid="{00000000-0005-0000-0000-000007000000}"/>
    <cellStyle name="Normal 7" xfId="8" xr:uid="{00000000-0005-0000-0000-000008000000}"/>
    <cellStyle name="Validate" xfId="5" xr:uid="{00000000-0005-0000-0000-000009000000}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2:A6"/>
  <sheetViews>
    <sheetView workbookViewId="0">
      <selection activeCell="A6" sqref="A6"/>
    </sheetView>
  </sheetViews>
  <sheetFormatPr defaultColWidth="8.6328125" defaultRowHeight="14.5" x14ac:dyDescent="0.35"/>
  <sheetData>
    <row r="2" spans="1:1" ht="21" x14ac:dyDescent="0.5">
      <c r="A2" s="10" t="s">
        <v>0</v>
      </c>
    </row>
    <row r="4" spans="1:1" x14ac:dyDescent="0.35">
      <c r="A4" t="s">
        <v>338</v>
      </c>
    </row>
    <row r="6" spans="1:1" x14ac:dyDescent="0.35">
      <c r="A6" s="31" t="s">
        <v>339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C281-1C2D-4242-B9C6-E46FAA7787D7}">
  <sheetPr>
    <tabColor theme="2" tint="-0.749992370372631"/>
  </sheetPr>
  <dimension ref="A2:O125"/>
  <sheetViews>
    <sheetView tabSelected="1" zoomScale="80" zoomScaleNormal="80" workbookViewId="0">
      <selection activeCell="G22" sqref="G22"/>
    </sheetView>
  </sheetViews>
  <sheetFormatPr defaultRowHeight="14.5" x14ac:dyDescent="0.35"/>
  <cols>
    <col min="2" max="2" width="32.90625" customWidth="1"/>
    <col min="3" max="3" width="15.36328125" customWidth="1"/>
  </cols>
  <sheetData>
    <row r="2" spans="1:15" ht="18.5" x14ac:dyDescent="0.45">
      <c r="A2" s="136" t="s">
        <v>359</v>
      </c>
      <c r="D2" t="s">
        <v>360</v>
      </c>
    </row>
    <row r="4" spans="1:15" x14ac:dyDescent="0.35">
      <c r="A4" s="145" t="s">
        <v>1</v>
      </c>
      <c r="B4" s="149"/>
      <c r="C4" s="149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</row>
    <row r="5" spans="1:15" ht="29" x14ac:dyDescent="0.35">
      <c r="A5" s="146" t="s">
        <v>3</v>
      </c>
      <c r="B5" s="147" t="s">
        <v>4</v>
      </c>
      <c r="C5" s="147" t="s">
        <v>5</v>
      </c>
      <c r="D5" s="148" t="s">
        <v>358</v>
      </c>
      <c r="E5" s="148" t="s">
        <v>351</v>
      </c>
      <c r="F5" s="148" t="s">
        <v>352</v>
      </c>
      <c r="G5" s="148" t="s">
        <v>353</v>
      </c>
      <c r="H5" s="148" t="s">
        <v>354</v>
      </c>
      <c r="I5" s="148" t="s">
        <v>355</v>
      </c>
      <c r="J5" s="148" t="s">
        <v>356</v>
      </c>
      <c r="K5" s="148" t="s">
        <v>357</v>
      </c>
      <c r="L5" s="148"/>
      <c r="M5" s="148"/>
      <c r="N5" s="148"/>
      <c r="O5" s="148"/>
    </row>
    <row r="6" spans="1:15" x14ac:dyDescent="0.35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15" x14ac:dyDescent="0.35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15" x14ac:dyDescent="0.35">
      <c r="A8" s="6" t="str">
        <f>Defaults!A8</f>
        <v>01341</v>
      </c>
      <c r="B8" s="6" t="str">
        <f>Defaults!B8</f>
        <v>Apples</v>
      </c>
      <c r="C8" s="6" t="str">
        <f>Defaults!C8</f>
        <v>Fruits</v>
      </c>
      <c r="D8">
        <v>450</v>
      </c>
    </row>
    <row r="9" spans="1:15" x14ac:dyDescent="0.35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15" x14ac:dyDescent="0.35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15" x14ac:dyDescent="0.35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  <c r="D11">
        <v>140</v>
      </c>
    </row>
    <row r="12" spans="1:15" x14ac:dyDescent="0.35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15" x14ac:dyDescent="0.35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</row>
    <row r="14" spans="1:15" x14ac:dyDescent="0.35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  <c r="D14" s="148">
        <v>69.7</v>
      </c>
    </row>
    <row r="15" spans="1:15" x14ac:dyDescent="0.35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  <c r="D15">
        <v>70</v>
      </c>
    </row>
    <row r="16" spans="1:15" x14ac:dyDescent="0.35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  <c r="D16">
        <v>66.7</v>
      </c>
    </row>
    <row r="17" spans="1:4" x14ac:dyDescent="0.35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  <c r="D17">
        <v>65</v>
      </c>
    </row>
    <row r="18" spans="1:4" x14ac:dyDescent="0.35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4" x14ac:dyDescent="0.35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4" x14ac:dyDescent="0.35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  <c r="D20">
        <v>63.2</v>
      </c>
    </row>
    <row r="21" spans="1:4" x14ac:dyDescent="0.35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4" x14ac:dyDescent="0.35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  <c r="D22">
        <v>140</v>
      </c>
    </row>
    <row r="23" spans="1:4" x14ac:dyDescent="0.35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4" x14ac:dyDescent="0.35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  <c r="D24">
        <v>140</v>
      </c>
    </row>
    <row r="25" spans="1:4" x14ac:dyDescent="0.35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4" x14ac:dyDescent="0.35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  <c r="D26">
        <v>140</v>
      </c>
    </row>
    <row r="27" spans="1:4" x14ac:dyDescent="0.35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4" x14ac:dyDescent="0.35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  <c r="D28">
        <v>140</v>
      </c>
    </row>
    <row r="29" spans="1:4" x14ac:dyDescent="0.35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  <c r="D29" s="148">
        <v>140</v>
      </c>
    </row>
    <row r="30" spans="1:4" x14ac:dyDescent="0.35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4" x14ac:dyDescent="0.35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</row>
    <row r="32" spans="1:4" x14ac:dyDescent="0.35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4" x14ac:dyDescent="0.35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</row>
    <row r="34" spans="1:4" x14ac:dyDescent="0.35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4" x14ac:dyDescent="0.35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</row>
    <row r="36" spans="1:4" x14ac:dyDescent="0.35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4" x14ac:dyDescent="0.35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4" x14ac:dyDescent="0.35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  <c r="D38" s="148">
        <v>7</v>
      </c>
    </row>
    <row r="39" spans="1:4" x14ac:dyDescent="0.35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  <c r="D39">
        <v>0</v>
      </c>
    </row>
    <row r="40" spans="1:4" x14ac:dyDescent="0.35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  <c r="D40">
        <v>140</v>
      </c>
    </row>
    <row r="41" spans="1:4" x14ac:dyDescent="0.35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  <c r="D41">
        <v>300</v>
      </c>
    </row>
    <row r="42" spans="1:4" x14ac:dyDescent="0.35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4" x14ac:dyDescent="0.35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4" x14ac:dyDescent="0.35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4" x14ac:dyDescent="0.35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4" x14ac:dyDescent="0.35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4" x14ac:dyDescent="0.35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  <c r="D47">
        <v>450</v>
      </c>
    </row>
    <row r="48" spans="1:4" x14ac:dyDescent="0.35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4" x14ac:dyDescent="0.35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  <c r="D49">
        <v>140</v>
      </c>
    </row>
    <row r="50" spans="1:4" x14ac:dyDescent="0.35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</row>
    <row r="51" spans="1:4" x14ac:dyDescent="0.35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4" x14ac:dyDescent="0.35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4" x14ac:dyDescent="0.35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  <c r="D53">
        <v>140</v>
      </c>
    </row>
    <row r="54" spans="1:4" x14ac:dyDescent="0.35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4" x14ac:dyDescent="0.35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  <c r="D55">
        <v>79</v>
      </c>
    </row>
    <row r="56" spans="1:4" x14ac:dyDescent="0.35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  <c r="D56">
        <v>140</v>
      </c>
    </row>
    <row r="57" spans="1:4" x14ac:dyDescent="0.35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  <c r="D57">
        <v>65.400000000000006</v>
      </c>
    </row>
    <row r="58" spans="1:4" x14ac:dyDescent="0.35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4" x14ac:dyDescent="0.35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  <c r="D59">
        <v>69</v>
      </c>
    </row>
    <row r="60" spans="1:4" x14ac:dyDescent="0.35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4" x14ac:dyDescent="0.35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</row>
    <row r="62" spans="1:4" x14ac:dyDescent="0.35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4" x14ac:dyDescent="0.35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4" x14ac:dyDescent="0.35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  <c r="D64">
        <v>68.599999999999994</v>
      </c>
    </row>
    <row r="65" spans="1:4" x14ac:dyDescent="0.35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4" x14ac:dyDescent="0.35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4" x14ac:dyDescent="0.35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  <c r="D67">
        <v>140</v>
      </c>
    </row>
    <row r="68" spans="1:4" x14ac:dyDescent="0.35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4" x14ac:dyDescent="0.35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  <c r="D69">
        <v>61.1</v>
      </c>
    </row>
    <row r="70" spans="1:4" x14ac:dyDescent="0.35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4" x14ac:dyDescent="0.35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4" x14ac:dyDescent="0.35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  <c r="D72">
        <v>63.2</v>
      </c>
    </row>
    <row r="73" spans="1:4" x14ac:dyDescent="0.35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4" x14ac:dyDescent="0.35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  <c r="D74">
        <v>140</v>
      </c>
    </row>
    <row r="75" spans="1:4" x14ac:dyDescent="0.35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4" x14ac:dyDescent="0.35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4" x14ac:dyDescent="0.35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  <c r="D77">
        <v>450</v>
      </c>
    </row>
    <row r="78" spans="1:4" x14ac:dyDescent="0.35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  <c r="D78">
        <v>63.2</v>
      </c>
    </row>
    <row r="79" spans="1:4" x14ac:dyDescent="0.35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  <c r="D79">
        <v>63.2</v>
      </c>
    </row>
    <row r="80" spans="1:4" x14ac:dyDescent="0.35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4" x14ac:dyDescent="0.35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</row>
    <row r="82" spans="1:4" x14ac:dyDescent="0.35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4" x14ac:dyDescent="0.35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  <c r="D83">
        <v>450</v>
      </c>
    </row>
    <row r="84" spans="1:4" x14ac:dyDescent="0.35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4" x14ac:dyDescent="0.35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4" x14ac:dyDescent="0.35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  <c r="D86">
        <v>135.5</v>
      </c>
    </row>
    <row r="87" spans="1:4" x14ac:dyDescent="0.35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  <c r="D87">
        <v>140</v>
      </c>
    </row>
    <row r="88" spans="1:4" x14ac:dyDescent="0.35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4" x14ac:dyDescent="0.35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</row>
    <row r="90" spans="1:4" x14ac:dyDescent="0.35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  <c r="D90" s="148">
        <v>60</v>
      </c>
    </row>
    <row r="91" spans="1:4" x14ac:dyDescent="0.35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  <c r="D91">
        <v>60</v>
      </c>
    </row>
    <row r="92" spans="1:4" x14ac:dyDescent="0.35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  <c r="D92">
        <v>60</v>
      </c>
    </row>
    <row r="93" spans="1:4" x14ac:dyDescent="0.35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  <c r="D93">
        <v>300</v>
      </c>
    </row>
    <row r="94" spans="1:4" x14ac:dyDescent="0.35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4" x14ac:dyDescent="0.35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  <c r="D95">
        <v>68.7</v>
      </c>
    </row>
    <row r="96" spans="1:4" x14ac:dyDescent="0.35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</row>
    <row r="97" spans="1:4" x14ac:dyDescent="0.35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  <c r="D97">
        <v>450</v>
      </c>
    </row>
    <row r="98" spans="1:4" x14ac:dyDescent="0.35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</row>
    <row r="99" spans="1:4" x14ac:dyDescent="0.35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  <c r="D99">
        <v>140</v>
      </c>
    </row>
    <row r="100" spans="1:4" x14ac:dyDescent="0.35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  <c r="D100">
        <v>300</v>
      </c>
    </row>
    <row r="101" spans="1:4" x14ac:dyDescent="0.35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  <c r="D101">
        <v>130</v>
      </c>
    </row>
    <row r="102" spans="1:4" x14ac:dyDescent="0.35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4" x14ac:dyDescent="0.35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4" x14ac:dyDescent="0.35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4" x14ac:dyDescent="0.35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4" x14ac:dyDescent="0.35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  <c r="D106" s="148">
        <v>0</v>
      </c>
    </row>
    <row r="107" spans="1:4" x14ac:dyDescent="0.35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  <c r="D107">
        <v>0</v>
      </c>
    </row>
    <row r="108" spans="1:4" x14ac:dyDescent="0.35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4" x14ac:dyDescent="0.35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  <c r="D109">
        <v>66.7</v>
      </c>
    </row>
    <row r="110" spans="1:4" x14ac:dyDescent="0.35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4" x14ac:dyDescent="0.35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4" x14ac:dyDescent="0.35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4" x14ac:dyDescent="0.35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  <c r="D113" s="148"/>
    </row>
    <row r="114" spans="1:4" x14ac:dyDescent="0.35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4" x14ac:dyDescent="0.35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4" x14ac:dyDescent="0.35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  <c r="D116">
        <v>71</v>
      </c>
    </row>
    <row r="117" spans="1:4" x14ac:dyDescent="0.35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  <c r="D117">
        <v>71.900000000000006</v>
      </c>
    </row>
    <row r="118" spans="1:4" x14ac:dyDescent="0.35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  <c r="D118">
        <v>71.3</v>
      </c>
    </row>
    <row r="119" spans="1:4" x14ac:dyDescent="0.35">
      <c r="A119" s="6"/>
      <c r="B119" s="6"/>
      <c r="C119" s="6"/>
    </row>
    <row r="120" spans="1:4" x14ac:dyDescent="0.35">
      <c r="A120" s="6"/>
      <c r="B120" s="6"/>
      <c r="C120" s="6"/>
    </row>
    <row r="121" spans="1:4" x14ac:dyDescent="0.35">
      <c r="A121" s="6"/>
      <c r="B121" s="6"/>
      <c r="C121" s="6"/>
    </row>
    <row r="122" spans="1:4" x14ac:dyDescent="0.35">
      <c r="A122" s="6"/>
      <c r="B122" s="6"/>
      <c r="C122" s="6"/>
    </row>
    <row r="123" spans="1:4" x14ac:dyDescent="0.35">
      <c r="A123" s="6"/>
      <c r="B123" s="6"/>
      <c r="C123" s="6"/>
    </row>
    <row r="124" spans="1:4" x14ac:dyDescent="0.35">
      <c r="A124" s="6"/>
      <c r="B124" s="6"/>
      <c r="C124" s="6"/>
    </row>
    <row r="125" spans="1:4" x14ac:dyDescent="0.35">
      <c r="A125" s="6"/>
      <c r="B125" s="6"/>
      <c r="C12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FBC4-8051-447A-9AF4-33F051A47A93}">
  <sheetPr>
    <tabColor theme="4" tint="0.39997558519241921"/>
  </sheetPr>
  <dimension ref="A2:O229"/>
  <sheetViews>
    <sheetView topLeftCell="A2" zoomScale="80" zoomScaleNormal="80" workbookViewId="0">
      <selection activeCell="K11" sqref="K11"/>
    </sheetView>
  </sheetViews>
  <sheetFormatPr defaultColWidth="8.6328125" defaultRowHeight="14.5" x14ac:dyDescent="0.35"/>
  <cols>
    <col min="1" max="1" width="8.6328125" style="75"/>
    <col min="2" max="2" width="22.36328125" style="1" customWidth="1"/>
    <col min="3" max="3" width="17.6328125" style="1" customWidth="1"/>
    <col min="4" max="4" width="9.453125" style="1" customWidth="1"/>
    <col min="5" max="5" width="6.36328125" customWidth="1"/>
    <col min="6" max="6" width="12.6328125" style="9" customWidth="1"/>
    <col min="7" max="9" width="12.6328125" customWidth="1"/>
    <col min="10" max="10" width="12.6328125" style="1" customWidth="1"/>
    <col min="11" max="15" width="30.6328125" customWidth="1"/>
  </cols>
  <sheetData>
    <row r="2" spans="1:15" ht="21" x14ac:dyDescent="0.35">
      <c r="A2" s="72" t="s">
        <v>347</v>
      </c>
      <c r="E2" s="4"/>
      <c r="F2" s="8"/>
      <c r="G2" s="4"/>
      <c r="H2" s="29"/>
      <c r="I2" s="29"/>
      <c r="J2" s="121"/>
      <c r="L2" s="3"/>
    </row>
    <row r="3" spans="1:15" x14ac:dyDescent="0.35">
      <c r="A3" s="73"/>
      <c r="B3" s="11"/>
      <c r="C3" s="11"/>
      <c r="D3" s="11"/>
      <c r="E3" s="11"/>
      <c r="F3" s="11"/>
      <c r="G3" s="11"/>
      <c r="H3" s="11"/>
      <c r="I3" s="11"/>
      <c r="J3" s="122"/>
    </row>
    <row r="4" spans="1:15" x14ac:dyDescent="0.35">
      <c r="A4" s="74" t="s">
        <v>1</v>
      </c>
      <c r="B4" s="35"/>
      <c r="C4" s="35"/>
      <c r="D4" s="35"/>
      <c r="E4" s="36"/>
      <c r="F4" s="37" t="s">
        <v>121</v>
      </c>
      <c r="G4" s="36"/>
      <c r="H4" s="38"/>
      <c r="I4" s="39" t="s">
        <v>122</v>
      </c>
      <c r="J4" s="131" t="s">
        <v>2</v>
      </c>
      <c r="K4" s="40" t="s">
        <v>121</v>
      </c>
      <c r="L4" s="41"/>
      <c r="M4" s="42"/>
      <c r="N4" s="43" t="s">
        <v>122</v>
      </c>
      <c r="O4" s="44" t="s">
        <v>2</v>
      </c>
    </row>
    <row r="5" spans="1:15" s="7" customFormat="1" ht="51.5" customHeight="1" x14ac:dyDescent="0.35">
      <c r="A5" s="119" t="s">
        <v>3</v>
      </c>
      <c r="B5" s="45" t="s">
        <v>4</v>
      </c>
      <c r="C5" s="45" t="s">
        <v>5</v>
      </c>
      <c r="D5" s="45" t="s">
        <v>6</v>
      </c>
      <c r="E5" s="120" t="s">
        <v>7</v>
      </c>
      <c r="F5" s="46" t="s">
        <v>342</v>
      </c>
      <c r="G5" s="47" t="s">
        <v>123</v>
      </c>
      <c r="H5" s="47" t="s">
        <v>343</v>
      </c>
      <c r="I5" s="47" t="s">
        <v>124</v>
      </c>
      <c r="J5" s="132" t="s">
        <v>125</v>
      </c>
      <c r="K5" s="48" t="s">
        <v>344</v>
      </c>
      <c r="L5" s="49" t="s">
        <v>123</v>
      </c>
      <c r="M5" s="49" t="s">
        <v>345</v>
      </c>
      <c r="N5" s="49" t="s">
        <v>124</v>
      </c>
      <c r="O5" s="50" t="s">
        <v>341</v>
      </c>
    </row>
    <row r="6" spans="1:15" ht="15" customHeight="1" x14ac:dyDescent="0.35">
      <c r="A6" s="51" t="str">
        <f>Defaults!A6</f>
        <v>01371</v>
      </c>
      <c r="B6" s="51" t="str">
        <f>Defaults!B6</f>
        <v>Almonds, in shell</v>
      </c>
      <c r="C6" s="51" t="str">
        <f>Defaults!C6</f>
        <v>Nuts</v>
      </c>
      <c r="D6" s="1" t="s">
        <v>348</v>
      </c>
      <c r="E6" s="33"/>
      <c r="F6" s="34"/>
      <c r="G6" s="32"/>
      <c r="H6" s="34"/>
      <c r="I6" s="33"/>
      <c r="J6" s="33"/>
      <c r="K6" s="52"/>
      <c r="L6" s="52"/>
      <c r="M6" s="52"/>
      <c r="N6" s="52"/>
      <c r="O6" s="53"/>
    </row>
    <row r="7" spans="1:15" ht="15" customHeight="1" x14ac:dyDescent="0.35">
      <c r="A7" s="51" t="str">
        <f>Defaults!A7</f>
        <v>01654</v>
      </c>
      <c r="B7" s="51" t="str">
        <f>Defaults!B7</f>
        <v>Anise, badian, coriander, cumin, caraway, fennel and juniper berries, raw</v>
      </c>
      <c r="C7" s="51" t="str">
        <f>Defaults!C7</f>
        <v>Vegetables</v>
      </c>
      <c r="D7" s="1" t="s">
        <v>348</v>
      </c>
      <c r="E7" s="33"/>
      <c r="F7" s="34"/>
      <c r="G7" s="32"/>
      <c r="H7" s="34"/>
      <c r="I7" s="33"/>
      <c r="J7" s="33"/>
      <c r="K7" s="52"/>
      <c r="L7" s="52"/>
      <c r="M7" s="52"/>
      <c r="N7" s="52"/>
      <c r="O7" s="53"/>
    </row>
    <row r="8" spans="1:15" ht="15" customHeight="1" x14ac:dyDescent="0.35">
      <c r="A8" s="51" t="str">
        <f>Defaults!A8</f>
        <v>01341</v>
      </c>
      <c r="B8" s="51" t="str">
        <f>Defaults!B8</f>
        <v>Apples</v>
      </c>
      <c r="C8" s="51" t="str">
        <f>Defaults!C8</f>
        <v>Fruits</v>
      </c>
      <c r="D8" s="1" t="s">
        <v>349</v>
      </c>
      <c r="E8" s="54"/>
      <c r="F8" s="55"/>
      <c r="G8" s="56"/>
      <c r="H8" s="76"/>
      <c r="I8" s="109">
        <f>Defaults!F8</f>
        <v>450</v>
      </c>
      <c r="J8" s="135">
        <v>10.56</v>
      </c>
      <c r="K8" s="57" t="s">
        <v>132</v>
      </c>
      <c r="L8" s="57"/>
      <c r="M8" s="57" t="s">
        <v>132</v>
      </c>
      <c r="N8" s="58"/>
      <c r="O8" s="59"/>
    </row>
    <row r="9" spans="1:15" ht="15" customHeight="1" x14ac:dyDescent="0.35">
      <c r="A9" s="51" t="str">
        <f>Defaults!A9</f>
        <v>01343</v>
      </c>
      <c r="B9" s="51" t="str">
        <f>Defaults!B9</f>
        <v>Apricots</v>
      </c>
      <c r="C9" s="51" t="str">
        <f>Defaults!C9</f>
        <v>Fruits</v>
      </c>
      <c r="D9" s="1" t="s">
        <v>348</v>
      </c>
      <c r="E9" s="33"/>
      <c r="F9" s="34"/>
      <c r="G9" s="32"/>
      <c r="H9" s="34"/>
      <c r="I9" s="33"/>
      <c r="J9" s="33"/>
      <c r="K9" s="52"/>
      <c r="L9" s="52"/>
      <c r="M9" s="52"/>
      <c r="N9" s="60"/>
      <c r="O9" s="53"/>
    </row>
    <row r="10" spans="1:15" ht="15" customHeight="1" x14ac:dyDescent="0.35">
      <c r="A10" s="51" t="str">
        <f>Defaults!A10</f>
        <v>01216</v>
      </c>
      <c r="B10" s="51" t="str">
        <f>Defaults!B10</f>
        <v>Artichokes</v>
      </c>
      <c r="C10" s="51" t="str">
        <f>Defaults!C10</f>
        <v>Vegetables</v>
      </c>
      <c r="D10" s="1" t="s">
        <v>348</v>
      </c>
      <c r="E10" s="33"/>
      <c r="F10" s="34"/>
      <c r="G10" s="32"/>
      <c r="H10" s="34"/>
      <c r="I10" s="33"/>
      <c r="J10" s="33"/>
      <c r="K10" s="52"/>
      <c r="L10" s="52"/>
      <c r="M10" s="52"/>
      <c r="N10" s="52"/>
      <c r="O10" s="53"/>
    </row>
    <row r="11" spans="1:15" ht="15" customHeight="1" x14ac:dyDescent="0.35">
      <c r="A11" s="51" t="str">
        <f>Defaults!A11</f>
        <v>01211</v>
      </c>
      <c r="B11" s="51" t="str">
        <f>Defaults!B11</f>
        <v>Asparagus</v>
      </c>
      <c r="C11" s="51" t="str">
        <f>Defaults!C11</f>
        <v>Vegetables</v>
      </c>
      <c r="D11" s="1" t="s">
        <v>348</v>
      </c>
      <c r="E11" s="54"/>
      <c r="F11" s="34"/>
      <c r="G11" s="61"/>
      <c r="H11" s="77"/>
      <c r="I11" s="109"/>
      <c r="J11" s="125"/>
      <c r="K11" s="57" t="s">
        <v>138</v>
      </c>
      <c r="L11" s="57"/>
      <c r="M11" s="57" t="s">
        <v>138</v>
      </c>
      <c r="N11" s="58"/>
      <c r="O11" s="59"/>
    </row>
    <row r="12" spans="1:15" ht="15" customHeight="1" x14ac:dyDescent="0.35">
      <c r="A12" s="51" t="str">
        <f>Defaults!A12</f>
        <v>01311</v>
      </c>
      <c r="B12" s="51" t="str">
        <f>Defaults!B12</f>
        <v>Avocados</v>
      </c>
      <c r="C12" s="51" t="str">
        <f>Defaults!C12</f>
        <v>Vegetables</v>
      </c>
      <c r="D12" s="1" t="s">
        <v>348</v>
      </c>
      <c r="E12" s="54"/>
      <c r="F12" s="34"/>
      <c r="G12" s="62"/>
      <c r="H12" s="78"/>
      <c r="I12" s="111"/>
      <c r="J12" s="127"/>
      <c r="K12" s="52"/>
      <c r="L12" s="52"/>
      <c r="M12" s="52"/>
      <c r="N12" s="52"/>
      <c r="O12" s="63"/>
    </row>
    <row r="13" spans="1:15" ht="15" customHeight="1" x14ac:dyDescent="0.35">
      <c r="A13" s="51" t="str">
        <f>Defaults!A13</f>
        <v>01312</v>
      </c>
      <c r="B13" s="51" t="str">
        <f>Defaults!B13</f>
        <v>Bananas</v>
      </c>
      <c r="C13" s="51" t="str">
        <f>Defaults!C13</f>
        <v>Fruits</v>
      </c>
      <c r="D13" s="1" t="s">
        <v>348</v>
      </c>
      <c r="E13" s="33"/>
      <c r="F13" s="34"/>
      <c r="G13" s="32"/>
      <c r="H13" s="34"/>
      <c r="I13" s="33"/>
      <c r="J13" s="33"/>
      <c r="K13" s="52"/>
      <c r="L13" s="52"/>
      <c r="M13" s="52"/>
      <c r="N13" s="64"/>
      <c r="O13" s="53"/>
    </row>
    <row r="14" spans="1:15" ht="15" customHeight="1" x14ac:dyDescent="0.35">
      <c r="A14" s="51" t="str">
        <f>Defaults!A14</f>
        <v>0115</v>
      </c>
      <c r="B14" s="51" t="str">
        <f>Defaults!B14</f>
        <v>Barley, average</v>
      </c>
      <c r="C14" s="51" t="str">
        <f>Defaults!C14</f>
        <v>Cereals, incl feed</v>
      </c>
      <c r="D14" s="1" t="s">
        <v>348</v>
      </c>
      <c r="E14" s="33"/>
      <c r="F14" s="84"/>
      <c r="G14" s="32"/>
      <c r="H14" s="55"/>
      <c r="I14" s="118"/>
      <c r="J14" s="125"/>
      <c r="K14" s="57"/>
      <c r="L14" s="57"/>
      <c r="M14" s="57"/>
      <c r="N14" s="65"/>
      <c r="O14" s="66"/>
    </row>
    <row r="15" spans="1:15" ht="15" customHeight="1" x14ac:dyDescent="0.35">
      <c r="A15" s="51" t="str">
        <f>Defaults!A15</f>
        <v>0115_s</v>
      </c>
      <c r="B15" s="51" t="str">
        <f>Defaults!B15</f>
        <v>Barley, spring</v>
      </c>
      <c r="C15" s="51" t="str">
        <f>Defaults!C15</f>
        <v>Cereals</v>
      </c>
      <c r="D15" s="1" t="s">
        <v>348</v>
      </c>
      <c r="E15" s="33"/>
      <c r="F15" s="34"/>
      <c r="G15" s="56"/>
      <c r="H15" s="79"/>
      <c r="I15" s="109"/>
      <c r="J15" s="125"/>
      <c r="K15" s="57" t="s">
        <v>147</v>
      </c>
      <c r="L15" s="57"/>
      <c r="M15" s="57" t="s">
        <v>147</v>
      </c>
      <c r="N15" s="58"/>
      <c r="O15" s="59"/>
    </row>
    <row r="16" spans="1:15" ht="15" customHeight="1" x14ac:dyDescent="0.35">
      <c r="A16" s="51" t="str">
        <f>Defaults!A16</f>
        <v>0115_w</v>
      </c>
      <c r="B16" s="51" t="str">
        <f>Defaults!B16</f>
        <v>Barley, winter</v>
      </c>
      <c r="C16" s="51" t="str">
        <f>Defaults!C16</f>
        <v>Cereals</v>
      </c>
      <c r="D16" s="1" t="s">
        <v>348</v>
      </c>
      <c r="E16" s="33"/>
      <c r="F16" s="34"/>
      <c r="G16" s="67"/>
      <c r="H16" s="79"/>
      <c r="I16" s="109"/>
      <c r="J16" s="126"/>
      <c r="K16" s="57" t="s">
        <v>147</v>
      </c>
      <c r="L16" s="57"/>
      <c r="M16" s="57" t="s">
        <v>147</v>
      </c>
      <c r="N16" s="58"/>
      <c r="O16" s="59"/>
    </row>
    <row r="17" spans="1:15" ht="15" customHeight="1" x14ac:dyDescent="0.35">
      <c r="A17" s="51" t="str">
        <f>Defaults!A17</f>
        <v>01701</v>
      </c>
      <c r="B17" s="51" t="str">
        <f>Defaults!B17</f>
        <v>Beans, dry</v>
      </c>
      <c r="C17" s="51" t="str">
        <f>Defaults!C17</f>
        <v>Pulses</v>
      </c>
      <c r="D17" s="1" t="s">
        <v>349</v>
      </c>
      <c r="E17" s="54"/>
      <c r="F17" s="34"/>
      <c r="G17" s="103"/>
      <c r="H17" s="80"/>
      <c r="I17" s="109">
        <f>Defaults!F17</f>
        <v>65</v>
      </c>
      <c r="J17" s="125">
        <f>Defaults!G17</f>
        <v>1.1000000000000001</v>
      </c>
      <c r="K17" s="57" t="s">
        <v>153</v>
      </c>
      <c r="L17" s="57"/>
      <c r="M17" s="57" t="s">
        <v>152</v>
      </c>
      <c r="N17" s="57"/>
      <c r="O17" s="59"/>
    </row>
    <row r="18" spans="1:15" ht="15" customHeight="1" x14ac:dyDescent="0.35">
      <c r="A18" s="51" t="str">
        <f>Defaults!A18</f>
        <v>01355.01</v>
      </c>
      <c r="B18" s="51" t="str">
        <f>Defaults!B18</f>
        <v>Blueberries</v>
      </c>
      <c r="C18" s="51" t="str">
        <f>Defaults!C18</f>
        <v>Berries</v>
      </c>
      <c r="D18" s="1" t="s">
        <v>348</v>
      </c>
      <c r="E18" s="54"/>
      <c r="F18" s="34"/>
      <c r="G18" s="101"/>
      <c r="H18" s="78"/>
      <c r="I18" s="111"/>
      <c r="J18" s="127"/>
      <c r="K18" s="52"/>
      <c r="L18" s="52"/>
      <c r="M18" s="52"/>
      <c r="N18" s="68"/>
      <c r="O18" s="63"/>
    </row>
    <row r="19" spans="1:15" ht="15" customHeight="1" x14ac:dyDescent="0.35">
      <c r="A19" s="51" t="str">
        <f>Defaults!A19</f>
        <v>01377</v>
      </c>
      <c r="B19" s="51" t="str">
        <f>Defaults!B19</f>
        <v>Brazil nuts, in shell</v>
      </c>
      <c r="C19" s="51" t="str">
        <f>Defaults!C19</f>
        <v>Nuts</v>
      </c>
      <c r="D19" s="1" t="s">
        <v>348</v>
      </c>
      <c r="E19" s="33"/>
      <c r="F19" s="34"/>
      <c r="G19" s="95"/>
      <c r="H19" s="34"/>
      <c r="I19" s="33"/>
      <c r="J19" s="33"/>
      <c r="K19" s="52"/>
      <c r="L19" s="52"/>
      <c r="M19" s="52"/>
      <c r="N19" s="64"/>
      <c r="O19" s="53"/>
    </row>
    <row r="20" spans="1:15" ht="15" customHeight="1" x14ac:dyDescent="0.35">
      <c r="A20" s="51" t="str">
        <f>Defaults!A20</f>
        <v>01702</v>
      </c>
      <c r="B20" s="51" t="str">
        <f>Defaults!B20</f>
        <v>Broad beans and horse beans, dry</v>
      </c>
      <c r="C20" s="51" t="str">
        <f>Defaults!C20</f>
        <v>Pulses, incl feed</v>
      </c>
      <c r="D20" s="1" t="s">
        <v>348</v>
      </c>
      <c r="E20" s="54"/>
      <c r="F20" s="34"/>
      <c r="G20" s="103"/>
      <c r="H20" s="80"/>
      <c r="I20" s="109">
        <f>Defaults!F20</f>
        <v>63.2</v>
      </c>
      <c r="J20" s="125">
        <f>Defaults!G20</f>
        <v>0.61</v>
      </c>
      <c r="K20" s="57" t="s">
        <v>147</v>
      </c>
      <c r="L20" s="57"/>
      <c r="M20" s="57" t="s">
        <v>161</v>
      </c>
      <c r="N20" s="58"/>
      <c r="O20" s="59"/>
    </row>
    <row r="21" spans="1:15" ht="15" customHeight="1" x14ac:dyDescent="0.35">
      <c r="A21" s="51" t="str">
        <f>Defaults!A21</f>
        <v>01243</v>
      </c>
      <c r="B21" s="51" t="str">
        <f>Defaults!B21</f>
        <v>Broad beans and horse beans, green</v>
      </c>
      <c r="C21" s="51" t="str">
        <f>Defaults!C21</f>
        <v>Vegetables</v>
      </c>
      <c r="D21" s="1" t="s">
        <v>348</v>
      </c>
      <c r="E21" s="54"/>
      <c r="F21" s="34"/>
      <c r="G21" s="101"/>
      <c r="H21" s="78"/>
      <c r="I21" s="111"/>
      <c r="J21" s="127"/>
      <c r="K21" s="52"/>
      <c r="L21" s="52"/>
      <c r="M21" s="52"/>
      <c r="N21" s="60"/>
      <c r="O21" s="63"/>
    </row>
    <row r="22" spans="1:15" ht="15" customHeight="1" x14ac:dyDescent="0.35">
      <c r="A22" s="51" t="str">
        <f>Defaults!A22</f>
        <v>01213_b</v>
      </c>
      <c r="B22" s="51" t="str">
        <f>Defaults!B22</f>
        <v>Broccoli</v>
      </c>
      <c r="C22" s="51" t="str">
        <f>Defaults!C22</f>
        <v>Vegetables</v>
      </c>
      <c r="D22" s="1" t="s">
        <v>348</v>
      </c>
      <c r="E22" s="33"/>
      <c r="F22" s="34"/>
      <c r="G22" s="103"/>
      <c r="H22" s="80"/>
      <c r="I22" s="109">
        <f>Defaults!F22</f>
        <v>140</v>
      </c>
      <c r="J22" s="125">
        <f>Defaults!G22</f>
        <v>1.65</v>
      </c>
      <c r="K22" s="57" t="s">
        <v>164</v>
      </c>
      <c r="L22" s="57"/>
      <c r="M22" s="57" t="s">
        <v>164</v>
      </c>
      <c r="N22" s="57"/>
      <c r="O22" s="59"/>
    </row>
    <row r="23" spans="1:15" ht="15" customHeight="1" x14ac:dyDescent="0.35">
      <c r="A23" s="51" t="str">
        <f>Defaults!A23</f>
        <v>01192</v>
      </c>
      <c r="B23" s="51" t="str">
        <f>Defaults!B23</f>
        <v>Buckwheat</v>
      </c>
      <c r="C23" s="51" t="str">
        <f>Defaults!C23</f>
        <v>Seeds</v>
      </c>
      <c r="D23" s="1" t="s">
        <v>348</v>
      </c>
      <c r="E23" s="33"/>
      <c r="F23" s="34"/>
      <c r="G23" s="95"/>
      <c r="H23" s="34"/>
      <c r="I23" s="33"/>
      <c r="J23" s="33"/>
      <c r="K23" s="52"/>
      <c r="L23" s="52"/>
      <c r="M23" s="52"/>
      <c r="N23" s="52"/>
      <c r="O23" s="52"/>
    </row>
    <row r="24" spans="1:15" ht="15" customHeight="1" x14ac:dyDescent="0.35">
      <c r="A24" s="51" t="str">
        <f>Defaults!A24</f>
        <v>01212</v>
      </c>
      <c r="B24" s="51" t="str">
        <f>Defaults!B24</f>
        <v>Cabbages</v>
      </c>
      <c r="C24" s="51" t="str">
        <f>Defaults!C24</f>
        <v>Vegetables</v>
      </c>
      <c r="D24" s="1" t="s">
        <v>348</v>
      </c>
      <c r="E24" s="33"/>
      <c r="F24" s="55"/>
      <c r="G24" s="100"/>
      <c r="H24" s="77"/>
      <c r="I24" s="109">
        <f>Defaults!F24</f>
        <v>140</v>
      </c>
      <c r="J24" s="125">
        <f>Defaults!G24</f>
        <v>1.65</v>
      </c>
      <c r="K24" s="57" t="s">
        <v>164</v>
      </c>
      <c r="L24" s="52"/>
      <c r="M24" s="57" t="s">
        <v>164</v>
      </c>
      <c r="N24" s="57"/>
      <c r="O24" s="66"/>
    </row>
    <row r="25" spans="1:15" ht="15" customHeight="1" x14ac:dyDescent="0.35">
      <c r="A25" s="51" t="str">
        <f>Defaults!A25</f>
        <v>01229</v>
      </c>
      <c r="B25" s="51" t="str">
        <f>Defaults!B25</f>
        <v>Cantaloupes and other melons</v>
      </c>
      <c r="C25" s="51" t="str">
        <f>Defaults!C25</f>
        <v>Fruits</v>
      </c>
      <c r="D25" s="1" t="s">
        <v>348</v>
      </c>
      <c r="E25" s="54"/>
      <c r="F25" s="34"/>
      <c r="G25" s="95"/>
      <c r="H25" s="34"/>
      <c r="I25" s="33"/>
      <c r="J25" s="33"/>
      <c r="K25" s="52"/>
      <c r="L25" s="52"/>
      <c r="M25" s="52"/>
      <c r="N25" s="52"/>
      <c r="O25" s="52"/>
    </row>
    <row r="26" spans="1:15" ht="15" customHeight="1" x14ac:dyDescent="0.35">
      <c r="A26" s="51" t="str">
        <f>Defaults!A26</f>
        <v>01251</v>
      </c>
      <c r="B26" s="51" t="str">
        <f>Defaults!B26</f>
        <v>Carrots and turnips</v>
      </c>
      <c r="C26" s="51" t="str">
        <f>Defaults!C26</f>
        <v>Vegetables</v>
      </c>
      <c r="D26" s="1" t="s">
        <v>348</v>
      </c>
      <c r="E26" s="33"/>
      <c r="F26" s="34"/>
      <c r="G26" s="103"/>
      <c r="H26" s="80"/>
      <c r="I26" s="109">
        <f>Defaults!F26</f>
        <v>140</v>
      </c>
      <c r="J26" s="125">
        <f>Defaults!G26</f>
        <v>2.23</v>
      </c>
      <c r="K26" s="57" t="s">
        <v>170</v>
      </c>
      <c r="L26" s="57"/>
      <c r="M26" s="57" t="s">
        <v>170</v>
      </c>
      <c r="N26" s="57"/>
      <c r="O26" s="59"/>
    </row>
    <row r="27" spans="1:15" ht="15" customHeight="1" x14ac:dyDescent="0.35">
      <c r="A27" s="51" t="str">
        <f>Defaults!A27</f>
        <v>01372</v>
      </c>
      <c r="B27" s="51" t="str">
        <f>Defaults!B27</f>
        <v>Cashew nuts, in shell</v>
      </c>
      <c r="C27" s="51" t="str">
        <f>Defaults!C27</f>
        <v>Nuts</v>
      </c>
      <c r="D27" s="1" t="s">
        <v>348</v>
      </c>
      <c r="E27" s="33"/>
      <c r="F27" s="34"/>
      <c r="G27" s="95"/>
      <c r="H27" s="34"/>
      <c r="I27" s="33"/>
      <c r="J27" s="33"/>
      <c r="K27" s="52"/>
      <c r="L27" s="52"/>
      <c r="M27" s="52"/>
      <c r="N27" s="52"/>
      <c r="O27" s="52"/>
    </row>
    <row r="28" spans="1:15" ht="15" customHeight="1" x14ac:dyDescent="0.35">
      <c r="A28" s="51" t="str">
        <f>Defaults!A28</f>
        <v>01213_cf</v>
      </c>
      <c r="B28" s="51" t="str">
        <f>Defaults!B28</f>
        <v>Cauliflowers</v>
      </c>
      <c r="C28" s="51" t="str">
        <f>Defaults!C28</f>
        <v>Vegetables</v>
      </c>
      <c r="D28" s="1" t="s">
        <v>348</v>
      </c>
      <c r="E28" s="33"/>
      <c r="F28" s="34"/>
      <c r="G28" s="103"/>
      <c r="H28" s="80"/>
      <c r="I28" s="109">
        <f>Defaults!F28</f>
        <v>140</v>
      </c>
      <c r="J28" s="125">
        <f>Defaults!G28</f>
        <v>1.65</v>
      </c>
      <c r="K28" s="57" t="s">
        <v>164</v>
      </c>
      <c r="L28" s="57"/>
      <c r="M28" s="57" t="s">
        <v>164</v>
      </c>
      <c r="N28" s="57"/>
      <c r="O28" s="59"/>
    </row>
    <row r="29" spans="1:15" ht="15" customHeight="1" x14ac:dyDescent="0.35">
      <c r="A29" s="51" t="str">
        <f>Defaults!A29</f>
        <v>01213</v>
      </c>
      <c r="B29" s="51" t="str">
        <f>Defaults!B29</f>
        <v>Cauliflowers and broccoli, average</v>
      </c>
      <c r="C29" s="51" t="str">
        <f>Defaults!C29</f>
        <v>Vegetables</v>
      </c>
      <c r="D29" s="1" t="s">
        <v>348</v>
      </c>
      <c r="E29" s="33"/>
      <c r="F29" s="84"/>
      <c r="G29" s="104"/>
      <c r="H29" s="55"/>
      <c r="I29" s="109">
        <f>Defaults!F29</f>
        <v>140</v>
      </c>
      <c r="J29" s="125">
        <f>Defaults!G29</f>
        <v>1.65</v>
      </c>
      <c r="K29" s="57"/>
      <c r="L29" s="57"/>
      <c r="M29" s="57"/>
      <c r="N29" s="57"/>
      <c r="O29" s="66"/>
    </row>
    <row r="30" spans="1:15" ht="15" customHeight="1" x14ac:dyDescent="0.35">
      <c r="A30" s="51" t="str">
        <f>Defaults!A30</f>
        <v>01199.90</v>
      </c>
      <c r="B30" s="51" t="str">
        <f>Defaults!B30</f>
        <v>Cereals n.e.c.</v>
      </c>
      <c r="C30" s="51" t="str">
        <f>Defaults!C30</f>
        <v>Cereals</v>
      </c>
      <c r="D30" s="1" t="s">
        <v>348</v>
      </c>
      <c r="E30" s="33"/>
      <c r="F30" s="34"/>
      <c r="G30" s="95"/>
      <c r="H30" s="34"/>
      <c r="I30" s="33"/>
      <c r="J30" s="33"/>
      <c r="K30" s="52"/>
      <c r="L30" s="52"/>
      <c r="M30" s="52"/>
      <c r="N30" s="52"/>
      <c r="O30" s="53"/>
    </row>
    <row r="31" spans="1:15" ht="15" customHeight="1" x14ac:dyDescent="0.35">
      <c r="A31" s="51" t="str">
        <f>Defaults!A31</f>
        <v>01344.02</v>
      </c>
      <c r="B31" s="51" t="str">
        <f>Defaults!B31</f>
        <v>Cherries</v>
      </c>
      <c r="C31" s="51" t="str">
        <f>Defaults!C31</f>
        <v>Berries</v>
      </c>
      <c r="D31" s="1" t="s">
        <v>348</v>
      </c>
      <c r="E31" s="54"/>
      <c r="F31" s="34"/>
      <c r="G31" s="101"/>
      <c r="H31" s="78"/>
      <c r="I31" s="111"/>
      <c r="J31" s="127"/>
      <c r="K31" s="52"/>
      <c r="L31" s="52"/>
      <c r="M31" s="52"/>
      <c r="N31" s="52"/>
      <c r="O31" s="63"/>
    </row>
    <row r="32" spans="1:15" ht="15" customHeight="1" x14ac:dyDescent="0.35">
      <c r="A32" s="51" t="str">
        <f>Defaults!A32</f>
        <v>01373</v>
      </c>
      <c r="B32" s="51" t="str">
        <f>Defaults!B32</f>
        <v>Chestnuts, in shell</v>
      </c>
      <c r="C32" s="51" t="str">
        <f>Defaults!C32</f>
        <v>Nuts</v>
      </c>
      <c r="D32" s="1" t="s">
        <v>348</v>
      </c>
      <c r="E32" s="54"/>
      <c r="F32" s="34"/>
      <c r="G32" s="101"/>
      <c r="H32" s="78"/>
      <c r="I32" s="111"/>
      <c r="J32" s="127"/>
      <c r="K32" s="52"/>
      <c r="L32" s="52"/>
      <c r="M32" s="52"/>
      <c r="N32" s="52"/>
      <c r="O32" s="63"/>
    </row>
    <row r="33" spans="1:15" ht="15" customHeight="1" x14ac:dyDescent="0.35">
      <c r="A33" s="51" t="str">
        <f>Defaults!A33</f>
        <v>01703</v>
      </c>
      <c r="B33" s="51" t="str">
        <f>Defaults!B33</f>
        <v>Chick peas, dry</v>
      </c>
      <c r="C33" s="51" t="str">
        <f>Defaults!C33</f>
        <v>Pulses</v>
      </c>
      <c r="D33" s="1" t="s">
        <v>349</v>
      </c>
      <c r="E33" s="33"/>
      <c r="F33" s="34"/>
      <c r="G33" s="95"/>
      <c r="H33" s="34"/>
      <c r="I33" s="33"/>
      <c r="J33" s="33"/>
      <c r="K33" s="52"/>
      <c r="L33" s="52"/>
      <c r="M33" s="52"/>
      <c r="N33" s="52"/>
      <c r="O33" s="53"/>
    </row>
    <row r="34" spans="1:15" ht="15" customHeight="1" x14ac:dyDescent="0.35">
      <c r="A34" s="51" t="str">
        <f>Defaults!A34</f>
        <v>01231</v>
      </c>
      <c r="B34" s="51" t="str">
        <f>Defaults!B34</f>
        <v>Chillies and peppers, green (Capsicum spp. and Pimenta spp.), raw</v>
      </c>
      <c r="C34" s="51" t="str">
        <f>Defaults!C34</f>
        <v>Spices</v>
      </c>
      <c r="D34" s="1" t="s">
        <v>348</v>
      </c>
      <c r="E34" s="33"/>
      <c r="F34" s="34"/>
      <c r="G34" s="95"/>
      <c r="H34" s="34"/>
      <c r="I34" s="33"/>
      <c r="J34" s="33"/>
      <c r="K34" s="52"/>
      <c r="L34" s="52"/>
      <c r="M34" s="52"/>
      <c r="N34" s="52"/>
      <c r="O34" s="53"/>
    </row>
    <row r="35" spans="1:15" ht="15" customHeight="1" x14ac:dyDescent="0.35">
      <c r="A35" s="51" t="str">
        <f>Defaults!A35</f>
        <v>01640</v>
      </c>
      <c r="B35" s="51" t="str">
        <f>Defaults!B35</f>
        <v>Cocoa beans</v>
      </c>
      <c r="C35" s="51" t="str">
        <f>Defaults!C35</f>
        <v>Stimulants</v>
      </c>
      <c r="D35" s="1" t="s">
        <v>348</v>
      </c>
      <c r="E35" s="33"/>
      <c r="F35" s="34"/>
      <c r="G35" s="95"/>
      <c r="H35" s="34"/>
      <c r="I35" s="33"/>
      <c r="J35" s="33"/>
      <c r="K35" s="52"/>
      <c r="L35" s="52"/>
      <c r="M35" s="52"/>
      <c r="N35" s="52"/>
      <c r="O35" s="53"/>
    </row>
    <row r="36" spans="1:15" ht="15" customHeight="1" x14ac:dyDescent="0.35">
      <c r="A36" s="51" t="str">
        <f>Defaults!A36</f>
        <v>01460</v>
      </c>
      <c r="B36" s="51" t="str">
        <f>Defaults!B36</f>
        <v>Coconut, in shell</v>
      </c>
      <c r="C36" s="51" t="str">
        <f>Defaults!C36</f>
        <v>Nuts</v>
      </c>
      <c r="D36" s="1" t="s">
        <v>348</v>
      </c>
      <c r="E36" s="33"/>
      <c r="F36" s="34"/>
      <c r="G36" s="95"/>
      <c r="H36" s="34"/>
      <c r="I36" s="33"/>
      <c r="J36" s="33"/>
      <c r="K36" s="52"/>
      <c r="L36" s="52"/>
      <c r="M36" s="52"/>
      <c r="N36" s="52"/>
      <c r="O36" s="53"/>
    </row>
    <row r="37" spans="1:15" ht="15" customHeight="1" x14ac:dyDescent="0.35">
      <c r="A37" s="51" t="str">
        <f>Defaults!A37</f>
        <v>01610</v>
      </c>
      <c r="B37" s="51" t="str">
        <f>Defaults!B37</f>
        <v>Coffee, green</v>
      </c>
      <c r="C37" s="51" t="str">
        <f>Defaults!C37</f>
        <v>Stimulants</v>
      </c>
      <c r="D37" s="1" t="s">
        <v>348</v>
      </c>
      <c r="E37" s="33"/>
      <c r="F37" s="34"/>
      <c r="G37" s="95"/>
      <c r="H37" s="34"/>
      <c r="I37" s="33"/>
      <c r="J37" s="33"/>
      <c r="K37" s="52"/>
      <c r="L37" s="52"/>
      <c r="M37" s="52"/>
      <c r="N37" s="52"/>
      <c r="O37" s="53"/>
    </row>
    <row r="38" spans="1:15" ht="15" customHeight="1" x14ac:dyDescent="0.35">
      <c r="A38" s="51" t="str">
        <f>Defaults!A38</f>
        <v>01232</v>
      </c>
      <c r="B38" s="51" t="str">
        <f>Defaults!B38</f>
        <v>Cucumbers and gherkins, averrage</v>
      </c>
      <c r="C38" s="51" t="str">
        <f>Defaults!C38</f>
        <v>Vegetables</v>
      </c>
      <c r="D38" s="1" t="s">
        <v>348</v>
      </c>
      <c r="E38" s="33"/>
      <c r="F38" s="83"/>
      <c r="G38" s="104"/>
      <c r="H38" s="55"/>
      <c r="I38" s="118">
        <f>Defaults!F38</f>
        <v>7</v>
      </c>
      <c r="J38" s="133">
        <f>Defaults!G38</f>
        <v>1.65</v>
      </c>
      <c r="K38" s="57"/>
      <c r="L38" s="57"/>
      <c r="M38" s="57"/>
      <c r="N38" s="57"/>
      <c r="O38" s="66"/>
    </row>
    <row r="39" spans="1:15" ht="15" customHeight="1" x14ac:dyDescent="0.35">
      <c r="A39" s="51" t="str">
        <f>Defaults!A39</f>
        <v>01232_gh</v>
      </c>
      <c r="B39" s="51" t="str">
        <f>Defaults!B39</f>
        <v>Cucumbers and gherkins, greenhouse</v>
      </c>
      <c r="C39" s="51" t="str">
        <f>Defaults!C39</f>
        <v>Vegetables</v>
      </c>
      <c r="D39" s="1" t="s">
        <v>348</v>
      </c>
      <c r="E39" s="33"/>
      <c r="F39" s="55"/>
      <c r="G39" s="103"/>
      <c r="H39" s="76"/>
      <c r="I39" s="109">
        <f>Defaults!F39</f>
        <v>0</v>
      </c>
      <c r="J39" s="125">
        <f>Defaults!G39</f>
        <v>1.65</v>
      </c>
      <c r="K39" s="69" t="s">
        <v>187</v>
      </c>
      <c r="L39" s="57"/>
      <c r="M39" s="69" t="s">
        <v>188</v>
      </c>
      <c r="N39" s="57"/>
      <c r="O39" s="59"/>
    </row>
    <row r="40" spans="1:15" ht="15" customHeight="1" x14ac:dyDescent="0.35">
      <c r="A40" s="51" t="str">
        <f>Defaults!A40</f>
        <v>01232_of</v>
      </c>
      <c r="B40" s="51" t="str">
        <f>Defaults!B40</f>
        <v>Cucumbers and gherkins, openfield</v>
      </c>
      <c r="C40" s="51" t="str">
        <f>Defaults!C40</f>
        <v>Vegetables</v>
      </c>
      <c r="D40" s="1" t="s">
        <v>348</v>
      </c>
      <c r="E40" s="33"/>
      <c r="F40" s="34"/>
      <c r="G40" s="103"/>
      <c r="H40" s="76"/>
      <c r="I40" s="109">
        <f>Defaults!F40</f>
        <v>140</v>
      </c>
      <c r="J40" s="125">
        <f>Defaults!G40</f>
        <v>1.65</v>
      </c>
      <c r="K40" s="57" t="s">
        <v>164</v>
      </c>
      <c r="L40" s="57"/>
      <c r="M40" s="57" t="s">
        <v>164</v>
      </c>
      <c r="N40" s="58"/>
      <c r="O40" s="59"/>
    </row>
    <row r="41" spans="1:15" ht="15" customHeight="1" x14ac:dyDescent="0.35">
      <c r="A41" s="51" t="str">
        <f>Defaults!A41</f>
        <v>01351.01</v>
      </c>
      <c r="B41" s="51" t="str">
        <f>Defaults!B41</f>
        <v>Currants</v>
      </c>
      <c r="C41" s="51" t="str">
        <f>Defaults!C41</f>
        <v>Berries</v>
      </c>
      <c r="D41" s="1" t="s">
        <v>348</v>
      </c>
      <c r="E41" s="54"/>
      <c r="F41" s="34"/>
      <c r="G41" s="99"/>
      <c r="H41" s="80"/>
      <c r="I41" s="109">
        <f>Defaults!F41</f>
        <v>300</v>
      </c>
      <c r="J41" s="125">
        <f>Defaults!G41</f>
        <v>2.25</v>
      </c>
      <c r="K41" s="57" t="s">
        <v>191</v>
      </c>
      <c r="L41" s="57"/>
      <c r="M41" s="57" t="s">
        <v>191</v>
      </c>
      <c r="N41" s="58"/>
      <c r="O41" s="59"/>
    </row>
    <row r="42" spans="1:15" ht="15" customHeight="1" x14ac:dyDescent="0.35">
      <c r="A42" s="51" t="str">
        <f>Defaults!A42</f>
        <v>01314</v>
      </c>
      <c r="B42" s="51" t="str">
        <f>Defaults!B42</f>
        <v>Dates</v>
      </c>
      <c r="C42" s="51" t="str">
        <f>Defaults!C42</f>
        <v>Fruits</v>
      </c>
      <c r="D42" s="1" t="s">
        <v>348</v>
      </c>
      <c r="E42" s="54"/>
      <c r="F42" s="34"/>
      <c r="G42" s="101"/>
      <c r="H42" s="78"/>
      <c r="I42" s="113"/>
      <c r="J42" s="127"/>
      <c r="K42" s="52"/>
      <c r="L42" s="52"/>
      <c r="M42" s="52"/>
      <c r="N42" s="52"/>
      <c r="O42" s="63"/>
    </row>
    <row r="43" spans="1:15" ht="15" customHeight="1" x14ac:dyDescent="0.35">
      <c r="A43" s="51" t="str">
        <f>Defaults!A43</f>
        <v>01599.10</v>
      </c>
      <c r="B43" s="51" t="str">
        <f>Defaults!B43</f>
        <v>Edible roots and tubers with high starch or inulin content, n.e.c., fresh</v>
      </c>
      <c r="C43" s="51" t="str">
        <f>Defaults!C43</f>
        <v>Roots</v>
      </c>
      <c r="D43" s="1" t="s">
        <v>348</v>
      </c>
      <c r="E43" s="54"/>
      <c r="F43" s="34"/>
      <c r="G43" s="106"/>
      <c r="H43" s="81"/>
      <c r="I43" s="113"/>
      <c r="J43" s="127"/>
      <c r="K43" s="52"/>
      <c r="L43" s="52"/>
      <c r="M43" s="52"/>
      <c r="N43" s="52"/>
      <c r="O43" s="63"/>
    </row>
    <row r="44" spans="1:15" ht="15" customHeight="1" x14ac:dyDescent="0.35">
      <c r="A44" s="51" t="str">
        <f>Defaults!A44</f>
        <v>01233</v>
      </c>
      <c r="B44" s="51" t="str">
        <f>Defaults!B44</f>
        <v>Eggplants (aubergines)</v>
      </c>
      <c r="C44" s="51" t="str">
        <f>Defaults!C44</f>
        <v>Vegetables</v>
      </c>
      <c r="D44" s="1" t="s">
        <v>348</v>
      </c>
      <c r="E44" s="54"/>
      <c r="F44" s="34"/>
      <c r="G44" s="101"/>
      <c r="H44" s="78"/>
      <c r="I44" s="111"/>
      <c r="J44" s="127"/>
      <c r="K44" s="52"/>
      <c r="L44" s="52"/>
      <c r="M44" s="52"/>
      <c r="N44" s="52"/>
      <c r="O44" s="63"/>
    </row>
    <row r="45" spans="1:15" ht="15" customHeight="1" x14ac:dyDescent="0.35">
      <c r="A45" s="51" t="str">
        <f>Defaults!A45</f>
        <v>01315</v>
      </c>
      <c r="B45" s="51" t="str">
        <f>Defaults!B45</f>
        <v>Figs</v>
      </c>
      <c r="C45" s="51" t="str">
        <f>Defaults!C45</f>
        <v>Fruits</v>
      </c>
      <c r="D45" s="1" t="s">
        <v>348</v>
      </c>
      <c r="E45" s="54"/>
      <c r="F45" s="34"/>
      <c r="G45" s="106"/>
      <c r="H45" s="81"/>
      <c r="I45" s="113"/>
      <c r="J45" s="127"/>
      <c r="K45" s="52"/>
      <c r="L45" s="52"/>
      <c r="M45" s="52"/>
      <c r="N45" s="52"/>
      <c r="O45" s="63"/>
    </row>
    <row r="46" spans="1:15" ht="15" customHeight="1" x14ac:dyDescent="0.35">
      <c r="A46" s="51" t="str">
        <f>Defaults!A46</f>
        <v>01351.02</v>
      </c>
      <c r="B46" s="51" t="str">
        <f>Defaults!B46</f>
        <v>Gooseberries</v>
      </c>
      <c r="C46" s="51" t="str">
        <f>Defaults!C46</f>
        <v>Berries</v>
      </c>
      <c r="D46" s="1" t="s">
        <v>348</v>
      </c>
      <c r="E46" s="70"/>
      <c r="F46" s="34"/>
      <c r="G46" s="101"/>
      <c r="H46" s="78"/>
      <c r="I46" s="111"/>
      <c r="J46" s="127"/>
      <c r="K46" s="52"/>
      <c r="L46" s="52"/>
      <c r="M46" s="52"/>
      <c r="N46" s="52"/>
      <c r="O46" s="63"/>
    </row>
    <row r="47" spans="1:15" ht="15" customHeight="1" x14ac:dyDescent="0.35">
      <c r="A47" s="51" t="str">
        <f>Defaults!A47</f>
        <v>01330</v>
      </c>
      <c r="B47" s="51" t="str">
        <f>Defaults!B47</f>
        <v>Grapes</v>
      </c>
      <c r="C47" s="51" t="str">
        <f>Defaults!C47</f>
        <v>Fruits</v>
      </c>
      <c r="D47" s="1" t="s">
        <v>348</v>
      </c>
      <c r="E47" s="54"/>
      <c r="F47" s="55"/>
      <c r="G47" s="99"/>
      <c r="H47" s="80"/>
      <c r="I47" s="109">
        <f>Defaults!F47</f>
        <v>450</v>
      </c>
      <c r="J47" s="125">
        <f>Defaults!G47</f>
        <v>6.09</v>
      </c>
      <c r="K47" s="57" t="s">
        <v>185</v>
      </c>
      <c r="L47" s="57"/>
      <c r="M47" s="57" t="s">
        <v>185</v>
      </c>
      <c r="N47" s="58"/>
      <c r="O47" s="59"/>
    </row>
    <row r="48" spans="1:15" ht="15" customHeight="1" x14ac:dyDescent="0.35">
      <c r="A48" s="51" t="str">
        <f>Defaults!A48</f>
        <v>01290.01</v>
      </c>
      <c r="B48" s="51" t="str">
        <f>Defaults!B48</f>
        <v>Green corn (maize)</v>
      </c>
      <c r="C48" s="51" t="str">
        <f>Defaults!C48</f>
        <v>Vegetables</v>
      </c>
      <c r="D48" s="1" t="s">
        <v>348</v>
      </c>
      <c r="E48" s="54"/>
      <c r="F48" s="55"/>
      <c r="G48" s="107"/>
      <c r="H48" s="82"/>
      <c r="I48" s="114"/>
      <c r="J48" s="127"/>
      <c r="K48" s="52"/>
      <c r="L48" s="52"/>
      <c r="M48" s="52"/>
      <c r="N48" s="52"/>
      <c r="O48" s="63"/>
    </row>
    <row r="49" spans="1:15" ht="15" customHeight="1" x14ac:dyDescent="0.35">
      <c r="A49" s="51" t="str">
        <f>Defaults!A49</f>
        <v>01252</v>
      </c>
      <c r="B49" s="51" t="str">
        <f>Defaults!B49</f>
        <v>Green garlic</v>
      </c>
      <c r="C49" s="51" t="str">
        <f>Defaults!C49</f>
        <v>Vegetables</v>
      </c>
      <c r="D49" s="1" t="s">
        <v>348</v>
      </c>
      <c r="E49" s="54"/>
      <c r="F49" s="55"/>
      <c r="G49" s="99"/>
      <c r="H49" s="76"/>
      <c r="I49" s="109">
        <f>Defaults!F49</f>
        <v>140</v>
      </c>
      <c r="J49" s="125">
        <f>Defaults!G49</f>
        <v>1.65</v>
      </c>
      <c r="K49" s="57" t="s">
        <v>205</v>
      </c>
      <c r="L49" s="57"/>
      <c r="M49" s="57" t="s">
        <v>206</v>
      </c>
      <c r="N49" s="58"/>
      <c r="O49" s="59"/>
    </row>
    <row r="50" spans="1:15" ht="15" customHeight="1" x14ac:dyDescent="0.35">
      <c r="A50" s="51" t="str">
        <f>Defaults!A50</f>
        <v>0142</v>
      </c>
      <c r="B50" s="51" t="str">
        <f>Defaults!B50</f>
        <v>Groundnuts, excluding shelled</v>
      </c>
      <c r="C50" s="51" t="str">
        <f>Defaults!C50</f>
        <v>Nuts</v>
      </c>
      <c r="D50" s="1" t="s">
        <v>349</v>
      </c>
      <c r="E50" s="54"/>
      <c r="F50" s="55"/>
      <c r="G50" s="106"/>
      <c r="H50" s="81"/>
      <c r="I50" s="113"/>
      <c r="J50" s="127"/>
      <c r="K50" s="52"/>
      <c r="L50" s="52"/>
      <c r="M50" s="52"/>
      <c r="N50" s="52"/>
      <c r="O50" s="63"/>
    </row>
    <row r="51" spans="1:15" ht="15" customHeight="1" x14ac:dyDescent="0.35">
      <c r="A51" s="51" t="str">
        <f>Defaults!A51</f>
        <v>01374</v>
      </c>
      <c r="B51" s="51" t="str">
        <f>Defaults!B51</f>
        <v>Hazelnuts, in shell</v>
      </c>
      <c r="C51" s="51" t="str">
        <f>Defaults!C51</f>
        <v>Nuts</v>
      </c>
      <c r="D51" s="1" t="s">
        <v>348</v>
      </c>
      <c r="E51" s="70"/>
      <c r="F51" s="55"/>
      <c r="G51" s="101"/>
      <c r="H51" s="78"/>
      <c r="I51" s="111"/>
      <c r="J51" s="127"/>
      <c r="K51" s="52"/>
      <c r="L51" s="52"/>
      <c r="M51" s="52"/>
      <c r="N51" s="52"/>
      <c r="O51" s="63"/>
    </row>
    <row r="52" spans="1:15" ht="15" customHeight="1" x14ac:dyDescent="0.35">
      <c r="A52" s="51" t="str">
        <f>Defaults!A52</f>
        <v>01352</v>
      </c>
      <c r="B52" s="51" t="str">
        <f>Defaults!B52</f>
        <v>Kiwi fruit</v>
      </c>
      <c r="C52" s="51" t="str">
        <f>Defaults!C52</f>
        <v>Fruits</v>
      </c>
      <c r="D52" s="1" t="s">
        <v>348</v>
      </c>
      <c r="E52" s="70"/>
      <c r="F52" s="55"/>
      <c r="G52" s="101"/>
      <c r="H52" s="78"/>
      <c r="I52" s="111"/>
      <c r="J52" s="127"/>
      <c r="K52" s="52"/>
      <c r="L52" s="52"/>
      <c r="M52" s="52"/>
      <c r="N52" s="52"/>
      <c r="O52" s="63"/>
    </row>
    <row r="53" spans="1:15" ht="15" customHeight="1" x14ac:dyDescent="0.35">
      <c r="A53" s="51" t="str">
        <f>Defaults!A53</f>
        <v>01254</v>
      </c>
      <c r="B53" s="51" t="str">
        <f>Defaults!B53</f>
        <v>Leeks and other alliaceous vegetables</v>
      </c>
      <c r="C53" s="51" t="str">
        <f>Defaults!C53</f>
        <v>Vegetables</v>
      </c>
      <c r="D53" s="1" t="s">
        <v>348</v>
      </c>
      <c r="E53" s="54"/>
      <c r="F53" s="55"/>
      <c r="G53" s="99"/>
      <c r="H53" s="76"/>
      <c r="I53" s="109">
        <v>140</v>
      </c>
      <c r="J53" s="125">
        <f>Defaults!G53</f>
        <v>1.65</v>
      </c>
      <c r="K53" s="57" t="s">
        <v>211</v>
      </c>
      <c r="L53" s="57"/>
      <c r="M53" s="57" t="s">
        <v>211</v>
      </c>
      <c r="N53" s="58"/>
      <c r="O53" s="59"/>
    </row>
    <row r="54" spans="1:15" ht="15" customHeight="1" x14ac:dyDescent="0.35">
      <c r="A54" s="51" t="str">
        <f>Defaults!A54</f>
        <v>01322</v>
      </c>
      <c r="B54" s="51" t="str">
        <f>Defaults!B54</f>
        <v>Lemons and limes</v>
      </c>
      <c r="C54" s="51" t="str">
        <f>Defaults!C54</f>
        <v>Fruits</v>
      </c>
      <c r="D54" s="1" t="s">
        <v>349</v>
      </c>
      <c r="E54" s="70"/>
      <c r="F54" s="34"/>
      <c r="G54" s="101"/>
      <c r="H54" s="78"/>
      <c r="I54" s="111"/>
      <c r="J54" s="127"/>
      <c r="K54" s="52"/>
      <c r="L54" s="52"/>
      <c r="M54" s="52"/>
      <c r="N54" s="60"/>
      <c r="O54" s="63"/>
    </row>
    <row r="55" spans="1:15" ht="15" customHeight="1" x14ac:dyDescent="0.35">
      <c r="A55" s="51" t="str">
        <f>Defaults!A55</f>
        <v>01704</v>
      </c>
      <c r="B55" s="51" t="str">
        <f>Defaults!B55</f>
        <v>Lentils, dry</v>
      </c>
      <c r="C55" s="51" t="str">
        <f>Defaults!C55</f>
        <v>Pulses</v>
      </c>
      <c r="D55" s="1" t="s">
        <v>348</v>
      </c>
      <c r="E55" s="70"/>
      <c r="F55" s="34"/>
      <c r="G55" s="103"/>
      <c r="H55" s="80"/>
      <c r="I55" s="115">
        <v>79</v>
      </c>
      <c r="J55" s="125">
        <f>Defaults!G55</f>
        <v>0</v>
      </c>
      <c r="K55" s="57"/>
      <c r="L55" s="57"/>
      <c r="M55" s="57"/>
      <c r="N55" s="71"/>
      <c r="O55" s="59"/>
    </row>
    <row r="56" spans="1:15" ht="15" customHeight="1" x14ac:dyDescent="0.35">
      <c r="A56" s="51" t="str">
        <f>Defaults!A56</f>
        <v>01214</v>
      </c>
      <c r="B56" s="51" t="str">
        <f>Defaults!B56</f>
        <v>Lettuce and chicory</v>
      </c>
      <c r="C56" s="51" t="str">
        <f>Defaults!C56</f>
        <v>Vegetables</v>
      </c>
      <c r="D56" s="1" t="s">
        <v>348</v>
      </c>
      <c r="E56" s="70"/>
      <c r="F56" s="55"/>
      <c r="G56" s="99"/>
      <c r="H56" s="80"/>
      <c r="I56" s="109">
        <f>Defaults!F56</f>
        <v>140</v>
      </c>
      <c r="J56" s="125">
        <f>Defaults!G56</f>
        <v>1.65</v>
      </c>
      <c r="K56" s="57" t="s">
        <v>211</v>
      </c>
      <c r="L56" s="57"/>
      <c r="M56" s="57" t="s">
        <v>211</v>
      </c>
      <c r="N56" s="65"/>
      <c r="O56" s="59"/>
    </row>
    <row r="57" spans="1:15" ht="15" customHeight="1" x14ac:dyDescent="0.35">
      <c r="A57" s="51" t="str">
        <f>Defaults!A57</f>
        <v>01441</v>
      </c>
      <c r="B57" s="51" t="str">
        <f>Defaults!B57</f>
        <v>Linseed</v>
      </c>
      <c r="C57" s="51" t="str">
        <f>Defaults!C57</f>
        <v>Seeds</v>
      </c>
      <c r="D57" s="1" t="s">
        <v>348</v>
      </c>
      <c r="E57" s="70"/>
      <c r="F57" s="55"/>
      <c r="G57" s="99"/>
      <c r="H57" s="80"/>
      <c r="I57" s="109">
        <f>Defaults!F57</f>
        <v>65.400000000000006</v>
      </c>
      <c r="J57" s="125">
        <f>Defaults!G57</f>
        <v>0.7</v>
      </c>
      <c r="K57" s="57" t="s">
        <v>217</v>
      </c>
      <c r="L57" s="57"/>
      <c r="M57" s="57" t="s">
        <v>217</v>
      </c>
      <c r="N57" s="57"/>
      <c r="O57" s="59"/>
    </row>
    <row r="58" spans="1:15" ht="15" customHeight="1" x14ac:dyDescent="0.35">
      <c r="A58" s="51" t="str">
        <f>Defaults!A58</f>
        <v>01709.02</v>
      </c>
      <c r="B58" s="51" t="str">
        <f>Defaults!B58</f>
        <v>Lupins</v>
      </c>
      <c r="C58" s="51" t="str">
        <f>Defaults!C58</f>
        <v>Pulses</v>
      </c>
      <c r="D58" s="1" t="s">
        <v>348</v>
      </c>
      <c r="E58" s="54"/>
      <c r="F58" s="55"/>
      <c r="G58" s="106"/>
      <c r="H58" s="81"/>
      <c r="I58" s="113"/>
      <c r="J58" s="127"/>
      <c r="K58" s="52"/>
      <c r="L58" s="52"/>
      <c r="M58" s="52"/>
      <c r="N58" s="64"/>
      <c r="O58" s="63"/>
    </row>
    <row r="59" spans="1:15" ht="15" customHeight="1" x14ac:dyDescent="0.35">
      <c r="A59" s="51" t="str">
        <f>Defaults!A59</f>
        <v>0112</v>
      </c>
      <c r="B59" s="51" t="str">
        <f>Defaults!B59</f>
        <v>Maize (corn)</v>
      </c>
      <c r="C59" s="51" t="str">
        <f>Defaults!C59</f>
        <v>Cereals, incl feed</v>
      </c>
      <c r="D59" s="1" t="s">
        <v>348</v>
      </c>
      <c r="E59" s="54"/>
      <c r="F59" s="55"/>
      <c r="G59" s="99"/>
      <c r="H59" s="80"/>
      <c r="I59" s="109">
        <f>Defaults!F59</f>
        <v>69</v>
      </c>
      <c r="J59" s="125">
        <f>Defaults!G59</f>
        <v>0.11</v>
      </c>
      <c r="K59" s="57" t="s">
        <v>147</v>
      </c>
      <c r="L59" s="57"/>
      <c r="M59" s="57" t="s">
        <v>147</v>
      </c>
      <c r="N59" s="58"/>
      <c r="O59" s="59"/>
    </row>
    <row r="60" spans="1:15" ht="15" customHeight="1" x14ac:dyDescent="0.35">
      <c r="A60" s="51" t="str">
        <f>Defaults!A60</f>
        <v>01316</v>
      </c>
      <c r="B60" s="51" t="str">
        <f>Defaults!B60</f>
        <v>Mangoes, guavas and mangosteens</v>
      </c>
      <c r="C60" s="51" t="str">
        <f>Defaults!C60</f>
        <v>Fruits</v>
      </c>
      <c r="D60" s="1" t="s">
        <v>348</v>
      </c>
      <c r="E60" s="54"/>
      <c r="F60" s="55"/>
      <c r="G60" s="106"/>
      <c r="H60" s="81"/>
      <c r="I60" s="113"/>
      <c r="J60" s="127"/>
      <c r="K60" s="52"/>
      <c r="L60" s="52"/>
      <c r="M60" s="52" t="s">
        <v>147</v>
      </c>
      <c r="N60" s="64"/>
      <c r="O60" s="63"/>
    </row>
    <row r="61" spans="1:15" ht="15" customHeight="1" x14ac:dyDescent="0.35">
      <c r="A61" s="51" t="str">
        <f>Defaults!A61</f>
        <v>0118</v>
      </c>
      <c r="B61" s="51" t="str">
        <f>Defaults!B61</f>
        <v>Millet</v>
      </c>
      <c r="C61" s="51" t="str">
        <f>Defaults!C61</f>
        <v>Cereals</v>
      </c>
      <c r="D61" s="1" t="s">
        <v>348</v>
      </c>
      <c r="E61" s="54"/>
      <c r="F61" s="55"/>
      <c r="G61" s="101"/>
      <c r="H61" s="78"/>
      <c r="I61" s="111"/>
      <c r="J61" s="127"/>
      <c r="K61" s="52"/>
      <c r="L61" s="52"/>
      <c r="M61" s="52"/>
      <c r="N61" s="68"/>
      <c r="O61" s="63"/>
    </row>
    <row r="62" spans="1:15" ht="15" customHeight="1" x14ac:dyDescent="0.35">
      <c r="A62" s="51" t="str">
        <f>Defaults!A62</f>
        <v>01199.02</v>
      </c>
      <c r="B62" s="51" t="str">
        <f>Defaults!B62</f>
        <v>Mixed grain</v>
      </c>
      <c r="C62" s="51" t="str">
        <f>Defaults!C62</f>
        <v>Cereals</v>
      </c>
      <c r="D62" s="1" t="s">
        <v>348</v>
      </c>
      <c r="E62" s="70"/>
      <c r="F62" s="55"/>
      <c r="G62" s="101"/>
      <c r="H62" s="78"/>
      <c r="I62" s="111"/>
      <c r="J62" s="127"/>
      <c r="K62" s="52"/>
      <c r="L62" s="52"/>
      <c r="M62" s="52"/>
      <c r="N62" s="64"/>
      <c r="O62" s="63"/>
    </row>
    <row r="63" spans="1:15" ht="15" customHeight="1" x14ac:dyDescent="0.35">
      <c r="A63" s="51" t="str">
        <f>Defaults!A63</f>
        <v>01270</v>
      </c>
      <c r="B63" s="51" t="str">
        <f>Defaults!B63</f>
        <v>Mushrooms and truffles</v>
      </c>
      <c r="C63" s="51" t="str">
        <f>Defaults!C63</f>
        <v>Mushrooms</v>
      </c>
      <c r="D63" s="1" t="s">
        <v>348</v>
      </c>
      <c r="E63" s="70"/>
      <c r="F63" s="55"/>
      <c r="G63" s="101"/>
      <c r="H63" s="78"/>
      <c r="I63" s="111"/>
      <c r="J63" s="127"/>
      <c r="K63" s="52"/>
      <c r="L63" s="52"/>
      <c r="M63" s="52"/>
      <c r="N63" s="60"/>
      <c r="O63" s="63"/>
    </row>
    <row r="64" spans="1:15" ht="15" customHeight="1" x14ac:dyDescent="0.35">
      <c r="A64" s="51" t="str">
        <f>Defaults!A64</f>
        <v>0117</v>
      </c>
      <c r="B64" s="51" t="str">
        <f>Defaults!B64</f>
        <v>Oats</v>
      </c>
      <c r="C64" s="51" t="str">
        <f>Defaults!C64</f>
        <v>Cereals, incl feed</v>
      </c>
      <c r="D64" s="1" t="s">
        <v>348</v>
      </c>
      <c r="E64" s="33"/>
      <c r="F64" s="55"/>
      <c r="G64" s="100"/>
      <c r="H64" s="77"/>
      <c r="I64" s="109">
        <f>Defaults!F64</f>
        <v>68.599999999999994</v>
      </c>
      <c r="J64" s="125">
        <f>Defaults!G64</f>
        <v>0.45</v>
      </c>
      <c r="K64" s="57" t="s">
        <v>147</v>
      </c>
      <c r="L64" s="57"/>
      <c r="M64" s="57" t="s">
        <v>147</v>
      </c>
      <c r="N64" s="58"/>
      <c r="O64" s="59"/>
    </row>
    <row r="65" spans="1:15" ht="15" customHeight="1" x14ac:dyDescent="0.35">
      <c r="A65" s="51" t="str">
        <f>Defaults!A65</f>
        <v>01491.01</v>
      </c>
      <c r="B65" s="51" t="str">
        <f>Defaults!B65</f>
        <v>Oil palm fruit</v>
      </c>
      <c r="C65" s="51" t="str">
        <f>Defaults!C65</f>
        <v>Oil crops, tree</v>
      </c>
      <c r="D65" s="1" t="s">
        <v>348</v>
      </c>
      <c r="E65" s="33"/>
      <c r="F65" s="34"/>
      <c r="G65" s="95"/>
      <c r="H65" s="34"/>
      <c r="I65" s="33"/>
      <c r="J65" s="33"/>
      <c r="K65" s="52"/>
      <c r="L65" s="52"/>
      <c r="M65" s="52" t="s">
        <v>147</v>
      </c>
      <c r="N65" s="64"/>
      <c r="O65" s="53"/>
    </row>
    <row r="66" spans="1:15" ht="15" customHeight="1" x14ac:dyDescent="0.35">
      <c r="A66" s="51" t="str">
        <f>Defaults!A66</f>
        <v>01450</v>
      </c>
      <c r="B66" s="51" t="str">
        <f>Defaults!B66</f>
        <v>Olives</v>
      </c>
      <c r="C66" s="51" t="str">
        <f>Defaults!C66</f>
        <v>Oil crops, tree</v>
      </c>
      <c r="D66" s="1" t="s">
        <v>348</v>
      </c>
      <c r="E66" s="33"/>
      <c r="F66" s="34"/>
      <c r="G66" s="95"/>
      <c r="H66" s="34"/>
      <c r="I66" s="33"/>
      <c r="J66" s="33"/>
      <c r="K66" s="52"/>
      <c r="L66" s="52"/>
      <c r="M66" s="52"/>
      <c r="N66" s="64"/>
      <c r="O66" s="53"/>
    </row>
    <row r="67" spans="1:15" ht="15" customHeight="1" x14ac:dyDescent="0.35">
      <c r="A67" s="51" t="str">
        <f>Defaults!A67</f>
        <v>01253.02</v>
      </c>
      <c r="B67" s="51" t="str">
        <f>Defaults!B67</f>
        <v>Onions and shallots, dry (excluding dehydrated)</v>
      </c>
      <c r="C67" s="51" t="str">
        <f>Defaults!C67</f>
        <v>Vegetables</v>
      </c>
      <c r="D67" s="1" t="s">
        <v>348</v>
      </c>
      <c r="E67" s="33"/>
      <c r="F67" s="55"/>
      <c r="G67" s="100"/>
      <c r="H67" s="77"/>
      <c r="I67" s="109">
        <f>Defaults!F67</f>
        <v>140</v>
      </c>
      <c r="J67" s="125">
        <f>Defaults!G67</f>
        <v>4.71</v>
      </c>
      <c r="K67" s="57" t="s">
        <v>170</v>
      </c>
      <c r="L67" s="57"/>
      <c r="M67" s="57" t="s">
        <v>170</v>
      </c>
      <c r="N67" s="65"/>
      <c r="O67" s="59"/>
    </row>
    <row r="68" spans="1:15" ht="15" customHeight="1" x14ac:dyDescent="0.35">
      <c r="A68" s="51" t="str">
        <f>Defaults!A68</f>
        <v>01323</v>
      </c>
      <c r="B68" s="51" t="str">
        <f>Defaults!B68</f>
        <v>Oranges</v>
      </c>
      <c r="C68" s="51" t="str">
        <f>Defaults!C68</f>
        <v>Fruits</v>
      </c>
      <c r="D68" s="1" t="s">
        <v>348</v>
      </c>
      <c r="E68" s="33"/>
      <c r="F68" s="55"/>
      <c r="G68" s="95"/>
      <c r="H68" s="34"/>
      <c r="I68" s="33"/>
      <c r="J68" s="33"/>
      <c r="K68" s="52"/>
      <c r="L68" s="52"/>
      <c r="M68" s="52"/>
      <c r="N68" s="52"/>
      <c r="O68" s="53"/>
    </row>
    <row r="69" spans="1:15" ht="15" customHeight="1" x14ac:dyDescent="0.35">
      <c r="A69" s="51" t="str">
        <f>Defaults!A69</f>
        <v>01241.90</v>
      </c>
      <c r="B69" s="51" t="str">
        <f>Defaults!B69</f>
        <v>Other beans, green</v>
      </c>
      <c r="C69" s="51" t="str">
        <f>Defaults!C69</f>
        <v>Vegetables</v>
      </c>
      <c r="D69" s="1" t="s">
        <v>348</v>
      </c>
      <c r="E69" s="33"/>
      <c r="F69" s="55"/>
      <c r="G69" s="103"/>
      <c r="H69" s="77"/>
      <c r="I69" s="109">
        <f>Defaults!F69</f>
        <v>61.1</v>
      </c>
      <c r="J69" s="125">
        <f>Defaults!G69</f>
        <v>0.59499999999999997</v>
      </c>
      <c r="K69" s="57" t="s">
        <v>233</v>
      </c>
      <c r="L69" s="57"/>
      <c r="M69" s="57" t="s">
        <v>233</v>
      </c>
      <c r="N69" s="57"/>
      <c r="O69" s="66"/>
    </row>
    <row r="70" spans="1:15" ht="15" customHeight="1" x14ac:dyDescent="0.35">
      <c r="A70" s="51" t="str">
        <f>Defaults!A70</f>
        <v>01359.90</v>
      </c>
      <c r="B70" s="51" t="str">
        <f>Defaults!B70</f>
        <v>Other fruits, n.e.c.</v>
      </c>
      <c r="C70" s="51" t="str">
        <f>Defaults!C70</f>
        <v>Fruits</v>
      </c>
      <c r="D70" s="1" t="s">
        <v>348</v>
      </c>
      <c r="E70" s="33"/>
      <c r="F70" s="55"/>
      <c r="G70" s="95"/>
      <c r="H70" s="34"/>
      <c r="I70" s="33"/>
      <c r="J70" s="33"/>
      <c r="K70" s="52"/>
      <c r="L70" s="52"/>
      <c r="M70" s="52"/>
      <c r="N70" s="52"/>
      <c r="O70" s="53"/>
    </row>
    <row r="71" spans="1:15" ht="15" customHeight="1" x14ac:dyDescent="0.35">
      <c r="A71" s="51" t="str">
        <f>Defaults!A71</f>
        <v>01449.90</v>
      </c>
      <c r="B71" s="51" t="str">
        <f>Defaults!B71</f>
        <v>Other oil seeds, n.e.c.</v>
      </c>
      <c r="C71" s="51" t="str">
        <f>Defaults!C71</f>
        <v>Oil crops</v>
      </c>
      <c r="D71" s="1" t="s">
        <v>348</v>
      </c>
      <c r="E71" s="33"/>
      <c r="F71" s="55"/>
      <c r="G71" s="95"/>
      <c r="H71" s="34"/>
      <c r="I71" s="33"/>
      <c r="J71" s="33"/>
      <c r="K71" s="52"/>
      <c r="L71" s="52"/>
      <c r="M71" s="52"/>
      <c r="N71" s="52"/>
      <c r="O71" s="53"/>
    </row>
    <row r="72" spans="1:15" ht="15" customHeight="1" x14ac:dyDescent="0.35">
      <c r="A72" s="51" t="str">
        <f>Defaults!A72</f>
        <v>01709.90</v>
      </c>
      <c r="B72" s="51" t="str">
        <f>Defaults!B72</f>
        <v>Other pulses n.e.c.</v>
      </c>
      <c r="C72" s="51" t="str">
        <f>Defaults!C72</f>
        <v>Pulses</v>
      </c>
      <c r="D72" s="1" t="s">
        <v>348</v>
      </c>
      <c r="E72" s="33"/>
      <c r="F72" s="55"/>
      <c r="G72" s="103"/>
      <c r="H72" s="77"/>
      <c r="I72" s="109">
        <f>Defaults!F72</f>
        <v>63.2</v>
      </c>
      <c r="J72" s="125">
        <f>Defaults!G72</f>
        <v>0.59499999999999997</v>
      </c>
      <c r="K72" s="57" t="s">
        <v>233</v>
      </c>
      <c r="L72" s="57"/>
      <c r="M72" s="57" t="s">
        <v>233</v>
      </c>
      <c r="N72" s="57"/>
      <c r="O72" s="66"/>
    </row>
    <row r="73" spans="1:15" ht="15" customHeight="1" x14ac:dyDescent="0.35">
      <c r="A73" s="51" t="str">
        <f>Defaults!A73</f>
        <v>01699</v>
      </c>
      <c r="B73" s="51" t="str">
        <f>Defaults!B73</f>
        <v>Other stimulant, spice and aromatic crops, n.e.c.</v>
      </c>
      <c r="C73" s="51" t="str">
        <f>Defaults!C73</f>
        <v>Stimulants</v>
      </c>
      <c r="D73" s="1" t="s">
        <v>348</v>
      </c>
      <c r="E73" s="33"/>
      <c r="F73" s="55"/>
      <c r="G73" s="95"/>
      <c r="H73" s="34"/>
      <c r="I73" s="33"/>
      <c r="J73" s="33"/>
      <c r="K73" s="52"/>
      <c r="L73" s="52"/>
      <c r="M73" s="52"/>
      <c r="N73" s="52"/>
      <c r="O73" s="53"/>
    </row>
    <row r="74" spans="1:15" ht="15" customHeight="1" x14ac:dyDescent="0.35">
      <c r="A74" s="51" t="str">
        <f>Defaults!A74</f>
        <v>01290.90</v>
      </c>
      <c r="B74" s="51" t="str">
        <f>Defaults!B74</f>
        <v>Other vegetables, fresh n.e.c.</v>
      </c>
      <c r="C74" s="51" t="str">
        <f>Defaults!C74</f>
        <v>Vegetables</v>
      </c>
      <c r="D74" s="1" t="s">
        <v>348</v>
      </c>
      <c r="E74" s="33"/>
      <c r="F74" s="55"/>
      <c r="G74" s="100"/>
      <c r="H74" s="77"/>
      <c r="I74" s="109">
        <f>Defaults!F74</f>
        <v>140</v>
      </c>
      <c r="J74" s="125">
        <f>Defaults!G74</f>
        <v>1.65</v>
      </c>
      <c r="K74" s="57" t="s">
        <v>241</v>
      </c>
      <c r="L74" s="57"/>
      <c r="M74" s="57" t="s">
        <v>241</v>
      </c>
      <c r="N74" s="58"/>
      <c r="O74" s="66"/>
    </row>
    <row r="75" spans="1:15" ht="15" customHeight="1" x14ac:dyDescent="0.35">
      <c r="A75" s="51" t="str">
        <f>Defaults!A75</f>
        <v>01317</v>
      </c>
      <c r="B75" s="51" t="str">
        <f>Defaults!B75</f>
        <v>Papayas</v>
      </c>
      <c r="C75" s="51" t="str">
        <f>Defaults!C75</f>
        <v>Fruits</v>
      </c>
      <c r="D75" s="1" t="s">
        <v>348</v>
      </c>
      <c r="E75" s="33"/>
      <c r="F75" s="55"/>
      <c r="G75" s="95"/>
      <c r="H75" s="34"/>
      <c r="I75" s="33"/>
      <c r="J75" s="33"/>
      <c r="K75" s="52"/>
      <c r="L75" s="52"/>
      <c r="M75" s="52"/>
      <c r="N75" s="52"/>
      <c r="O75" s="53"/>
    </row>
    <row r="76" spans="1:15" ht="15" customHeight="1" x14ac:dyDescent="0.35">
      <c r="A76" s="51" t="str">
        <f>Defaults!A76</f>
        <v>01345</v>
      </c>
      <c r="B76" s="51" t="str">
        <f>Defaults!B76</f>
        <v>Peaches and nectarines</v>
      </c>
      <c r="C76" s="51" t="str">
        <f>Defaults!C76</f>
        <v>Fruits</v>
      </c>
      <c r="D76" s="1" t="s">
        <v>348</v>
      </c>
      <c r="E76" s="33"/>
      <c r="F76" s="55"/>
      <c r="G76" s="95"/>
      <c r="H76" s="34"/>
      <c r="I76" s="33"/>
      <c r="J76" s="33"/>
      <c r="K76" s="52"/>
      <c r="L76" s="52"/>
      <c r="M76" s="52"/>
      <c r="N76" s="52"/>
      <c r="O76" s="53"/>
    </row>
    <row r="77" spans="1:15" ht="15" customHeight="1" x14ac:dyDescent="0.35">
      <c r="A77" s="51" t="str">
        <f>Defaults!A77</f>
        <v>01342.01</v>
      </c>
      <c r="B77" s="51" t="str">
        <f>Defaults!B77</f>
        <v>Pears</v>
      </c>
      <c r="C77" s="51" t="str">
        <f>Defaults!C77</f>
        <v>Fruits</v>
      </c>
      <c r="D77" s="1" t="s">
        <v>349</v>
      </c>
      <c r="E77" s="33"/>
      <c r="F77" s="55"/>
      <c r="G77" s="100"/>
      <c r="H77" s="76"/>
      <c r="I77" s="109">
        <f>Defaults!F77</f>
        <v>450</v>
      </c>
      <c r="J77" s="125">
        <f>Defaults!G77</f>
        <v>6.09</v>
      </c>
      <c r="K77" s="57" t="s">
        <v>132</v>
      </c>
      <c r="L77" s="57"/>
      <c r="M77" s="57" t="s">
        <v>132</v>
      </c>
      <c r="N77" s="57"/>
      <c r="O77" s="66"/>
    </row>
    <row r="78" spans="1:15" ht="15" customHeight="1" x14ac:dyDescent="0.35">
      <c r="A78" s="51" t="str">
        <f>Defaults!A78</f>
        <v>01705</v>
      </c>
      <c r="B78" s="51" t="str">
        <f>Defaults!B78</f>
        <v>Peas, dry</v>
      </c>
      <c r="C78" s="51" t="str">
        <f>Defaults!C78</f>
        <v>Pulses, incl feed</v>
      </c>
      <c r="D78" s="1" t="s">
        <v>348</v>
      </c>
      <c r="E78" s="33"/>
      <c r="F78" s="34"/>
      <c r="G78" s="100"/>
      <c r="H78" s="77"/>
      <c r="I78" s="109">
        <f>Defaults!F78</f>
        <v>63.2</v>
      </c>
      <c r="J78" s="125">
        <f>Defaults!G78</f>
        <v>0.57999999999999996</v>
      </c>
      <c r="K78" s="57" t="s">
        <v>147</v>
      </c>
      <c r="L78" s="57"/>
      <c r="M78" s="57" t="s">
        <v>147</v>
      </c>
      <c r="N78" s="57"/>
      <c r="O78" s="59"/>
    </row>
    <row r="79" spans="1:15" ht="15" customHeight="1" x14ac:dyDescent="0.35">
      <c r="A79" s="51" t="str">
        <f>Defaults!A79</f>
        <v>01242</v>
      </c>
      <c r="B79" s="51" t="str">
        <f>Defaults!B79</f>
        <v>Peas, green</v>
      </c>
      <c r="C79" s="51" t="str">
        <f>Defaults!C79</f>
        <v>Vegetables</v>
      </c>
      <c r="D79" s="1" t="s">
        <v>348</v>
      </c>
      <c r="E79" s="33"/>
      <c r="F79" s="34"/>
      <c r="G79" s="103"/>
      <c r="H79" s="77"/>
      <c r="I79" s="109">
        <f>Defaults!F79</f>
        <v>63.2</v>
      </c>
      <c r="J79" s="126">
        <v>0.57999999999999996</v>
      </c>
      <c r="K79" s="57" t="s">
        <v>147</v>
      </c>
      <c r="L79" s="57"/>
      <c r="M79" s="57" t="s">
        <v>147</v>
      </c>
      <c r="N79" s="57"/>
      <c r="O79" s="59"/>
    </row>
    <row r="80" spans="1:15" ht="15" customHeight="1" x14ac:dyDescent="0.35">
      <c r="A80" s="51" t="str">
        <f>Defaults!A80</f>
        <v>01651</v>
      </c>
      <c r="B80" s="51" t="str">
        <f>Defaults!B80</f>
        <v>Pepper (Piper spp.), raw</v>
      </c>
      <c r="C80" s="51" t="str">
        <f>Defaults!C80</f>
        <v>Vegetables</v>
      </c>
      <c r="D80" s="1" t="s">
        <v>348</v>
      </c>
      <c r="E80" s="33"/>
      <c r="F80" s="34"/>
      <c r="G80" s="95"/>
      <c r="H80" s="34"/>
      <c r="I80" s="33"/>
      <c r="J80" s="33"/>
      <c r="K80" s="52"/>
      <c r="L80" s="52"/>
      <c r="M80" s="52"/>
      <c r="N80" s="52"/>
      <c r="O80" s="53"/>
    </row>
    <row r="81" spans="1:15" ht="15" customHeight="1" x14ac:dyDescent="0.35">
      <c r="A81" s="51" t="str">
        <f>Defaults!A81</f>
        <v>01318</v>
      </c>
      <c r="B81" s="51" t="str">
        <f>Defaults!B81</f>
        <v>Pineapples</v>
      </c>
      <c r="C81" s="51" t="str">
        <f>Defaults!C81</f>
        <v>Fruits</v>
      </c>
      <c r="D81" s="1" t="s">
        <v>348</v>
      </c>
      <c r="E81" s="33"/>
      <c r="F81" s="34"/>
      <c r="G81" s="95"/>
      <c r="H81" s="34"/>
      <c r="I81" s="33"/>
      <c r="J81" s="33"/>
      <c r="K81" s="52"/>
      <c r="L81" s="52"/>
      <c r="M81" s="52"/>
      <c r="N81" s="52"/>
      <c r="O81" s="53"/>
    </row>
    <row r="82" spans="1:15" ht="15" customHeight="1" x14ac:dyDescent="0.35">
      <c r="A82" s="51" t="str">
        <f>Defaults!A82</f>
        <v>01313</v>
      </c>
      <c r="B82" s="51" t="str">
        <f>Defaults!B82</f>
        <v>Plantains and cooking bananas</v>
      </c>
      <c r="C82" s="51" t="str">
        <f>Defaults!C82</f>
        <v>Fruits</v>
      </c>
      <c r="D82" s="1" t="s">
        <v>348</v>
      </c>
      <c r="E82" s="33"/>
      <c r="F82" s="34"/>
      <c r="G82" s="95"/>
      <c r="H82" s="34"/>
      <c r="I82" s="33"/>
      <c r="J82" s="33"/>
      <c r="K82" s="52"/>
      <c r="L82" s="52"/>
      <c r="M82" s="52"/>
      <c r="N82" s="52"/>
      <c r="O82" s="53"/>
    </row>
    <row r="83" spans="1:15" ht="15" customHeight="1" x14ac:dyDescent="0.35">
      <c r="A83" s="51" t="str">
        <f>Defaults!A83</f>
        <v>01346</v>
      </c>
      <c r="B83" s="51" t="str">
        <f>Defaults!B83</f>
        <v>Plums and sloes</v>
      </c>
      <c r="C83" s="51" t="str">
        <f>Defaults!C83</f>
        <v>Fruits</v>
      </c>
      <c r="D83" s="1" t="s">
        <v>348</v>
      </c>
      <c r="E83" s="33"/>
      <c r="F83" s="134"/>
      <c r="G83" s="100"/>
      <c r="H83" s="77"/>
      <c r="I83" s="109">
        <f>Defaults!F83</f>
        <v>450</v>
      </c>
      <c r="J83" s="125">
        <f>Defaults!G83</f>
        <v>6.09</v>
      </c>
      <c r="K83" s="57" t="s">
        <v>251</v>
      </c>
      <c r="L83" s="57"/>
      <c r="M83" s="57" t="s">
        <v>251</v>
      </c>
      <c r="N83" s="58"/>
      <c r="O83" s="66"/>
    </row>
    <row r="84" spans="1:15" ht="15" customHeight="1" x14ac:dyDescent="0.35">
      <c r="A84" s="51" t="str">
        <f>Defaults!A84</f>
        <v>01321</v>
      </c>
      <c r="B84" s="51" t="str">
        <f>Defaults!B84</f>
        <v>Pomelos and grapefruits</v>
      </c>
      <c r="C84" s="51" t="str">
        <f>Defaults!C84</f>
        <v>Fruits</v>
      </c>
      <c r="D84" s="1" t="s">
        <v>348</v>
      </c>
      <c r="E84" s="33"/>
      <c r="F84" s="34"/>
      <c r="G84" s="95"/>
      <c r="H84" s="34"/>
      <c r="I84" s="33"/>
      <c r="J84" s="33"/>
      <c r="K84" s="52"/>
      <c r="L84" s="52"/>
      <c r="M84" s="52"/>
      <c r="N84" s="52"/>
      <c r="O84" s="53"/>
    </row>
    <row r="85" spans="1:15" ht="15" customHeight="1" x14ac:dyDescent="0.35">
      <c r="A85" s="51" t="str">
        <f>Defaults!A85</f>
        <v>01448</v>
      </c>
      <c r="B85" s="51" t="str">
        <f>Defaults!B85</f>
        <v>Poppy seed</v>
      </c>
      <c r="C85" s="51" t="str">
        <f>Defaults!C85</f>
        <v>Seeds</v>
      </c>
      <c r="D85" s="1" t="s">
        <v>348</v>
      </c>
      <c r="E85" s="33"/>
      <c r="F85" s="34"/>
      <c r="G85" s="95"/>
      <c r="H85" s="34"/>
      <c r="I85" s="33"/>
      <c r="J85" s="33"/>
      <c r="K85" s="52"/>
      <c r="L85" s="52"/>
      <c r="M85" s="52"/>
      <c r="N85" s="52"/>
      <c r="O85" s="53"/>
    </row>
    <row r="86" spans="1:15" ht="15" customHeight="1" x14ac:dyDescent="0.35">
      <c r="A86" s="51" t="str">
        <f>Defaults!A86</f>
        <v>01510</v>
      </c>
      <c r="B86" s="51" t="str">
        <f>Defaults!B86</f>
        <v>Potatoes</v>
      </c>
      <c r="C86" s="51" t="str">
        <f>Defaults!C86</f>
        <v>Roots</v>
      </c>
      <c r="D86" s="1" t="s">
        <v>348</v>
      </c>
      <c r="E86" s="33"/>
      <c r="F86" s="34"/>
      <c r="G86" s="100"/>
      <c r="H86" s="79"/>
      <c r="I86" s="109">
        <f>Defaults!F86</f>
        <v>135.5</v>
      </c>
      <c r="J86" s="125">
        <f>Defaults!G86</f>
        <v>2.13</v>
      </c>
      <c r="K86" s="57" t="s">
        <v>147</v>
      </c>
      <c r="L86" s="57"/>
      <c r="M86" s="57" t="s">
        <v>147</v>
      </c>
      <c r="N86" s="57"/>
      <c r="O86" s="59"/>
    </row>
    <row r="87" spans="1:15" ht="15" customHeight="1" x14ac:dyDescent="0.35">
      <c r="A87" s="51" t="str">
        <f>Defaults!A87</f>
        <v>01235</v>
      </c>
      <c r="B87" s="51" t="str">
        <f>Defaults!B87</f>
        <v>Pumpkins, squash and gourds</v>
      </c>
      <c r="C87" s="51" t="str">
        <f>Defaults!C87</f>
        <v>Vegetables</v>
      </c>
      <c r="D87" s="1" t="s">
        <v>348</v>
      </c>
      <c r="E87" s="33"/>
      <c r="F87" s="55"/>
      <c r="G87" s="100"/>
      <c r="H87" s="77"/>
      <c r="I87" s="109">
        <f>Defaults!F87</f>
        <v>140</v>
      </c>
      <c r="J87" s="125">
        <f>Defaults!G87</f>
        <v>1.65</v>
      </c>
      <c r="K87" s="57" t="s">
        <v>256</v>
      </c>
      <c r="L87" s="57"/>
      <c r="M87" s="57"/>
      <c r="N87" s="58"/>
      <c r="O87" s="66"/>
    </row>
    <row r="88" spans="1:15" ht="15" customHeight="1" x14ac:dyDescent="0.35">
      <c r="A88" s="51" t="str">
        <f>Defaults!A88</f>
        <v>01342.02</v>
      </c>
      <c r="B88" s="51" t="str">
        <f>Defaults!B88</f>
        <v>Quinces</v>
      </c>
      <c r="C88" s="51" t="str">
        <f>Defaults!C88</f>
        <v>Other</v>
      </c>
      <c r="D88" s="1" t="s">
        <v>348</v>
      </c>
      <c r="E88" s="33"/>
      <c r="F88" s="55"/>
      <c r="G88" s="95"/>
      <c r="H88" s="34"/>
      <c r="I88" s="33"/>
      <c r="J88" s="33"/>
      <c r="K88" s="52"/>
      <c r="L88" s="52"/>
      <c r="M88" s="52"/>
      <c r="N88" s="52"/>
      <c r="O88" s="53"/>
    </row>
    <row r="89" spans="1:15" ht="15" customHeight="1" x14ac:dyDescent="0.35">
      <c r="A89" s="51" t="str">
        <f>Defaults!A89</f>
        <v>01194</v>
      </c>
      <c r="B89" s="51" t="str">
        <f>Defaults!B89</f>
        <v>Quinoa</v>
      </c>
      <c r="C89" s="51" t="str">
        <f>Defaults!C89</f>
        <v>Seeds</v>
      </c>
      <c r="D89" s="1" t="s">
        <v>348</v>
      </c>
      <c r="E89" s="33"/>
      <c r="F89" s="55"/>
      <c r="G89" s="95"/>
      <c r="H89" s="34"/>
      <c r="I89" s="33"/>
      <c r="J89" s="33"/>
      <c r="K89" s="52"/>
      <c r="L89" s="52"/>
      <c r="M89" s="52"/>
      <c r="N89" s="52"/>
      <c r="O89" s="53"/>
    </row>
    <row r="90" spans="1:15" ht="15" customHeight="1" x14ac:dyDescent="0.35">
      <c r="A90" s="51" t="str">
        <f>Defaults!A90</f>
        <v>01443</v>
      </c>
      <c r="B90" s="51" t="str">
        <f>Defaults!B90</f>
        <v>Rape or colza seed, average</v>
      </c>
      <c r="C90" s="51" t="str">
        <f>Defaults!C90</f>
        <v>Oil crops</v>
      </c>
      <c r="D90" s="1" t="s">
        <v>348</v>
      </c>
      <c r="E90" s="33"/>
      <c r="F90" s="83"/>
      <c r="G90" s="95"/>
      <c r="H90" s="77"/>
      <c r="I90" s="118">
        <f>Defaults!F90</f>
        <v>60</v>
      </c>
      <c r="J90" s="133">
        <f>Defaults!G90</f>
        <v>0.35900000000000004</v>
      </c>
      <c r="K90" s="52"/>
      <c r="L90" s="52"/>
      <c r="M90" s="52"/>
      <c r="N90" s="52"/>
      <c r="O90" s="53"/>
    </row>
    <row r="91" spans="1:15" ht="15" customHeight="1" x14ac:dyDescent="0.35">
      <c r="A91" s="51" t="str">
        <f>Defaults!A91</f>
        <v>01443_s</v>
      </c>
      <c r="B91" s="51" t="str">
        <f>Defaults!B91</f>
        <v>Rape or colza seed, spring</v>
      </c>
      <c r="C91" s="51" t="str">
        <f>Defaults!C91</f>
        <v>Oil crops</v>
      </c>
      <c r="D91" s="1" t="s">
        <v>348</v>
      </c>
      <c r="E91" s="33"/>
      <c r="F91" s="55"/>
      <c r="G91" s="100"/>
      <c r="H91" s="77"/>
      <c r="I91" s="109">
        <f>Defaults!F91</f>
        <v>60</v>
      </c>
      <c r="J91" s="125">
        <f>Defaults!G91</f>
        <v>0.26</v>
      </c>
      <c r="K91" s="57" t="s">
        <v>262</v>
      </c>
      <c r="L91" s="57"/>
      <c r="M91" s="57" t="s">
        <v>262</v>
      </c>
      <c r="N91" s="57"/>
      <c r="O91" s="59"/>
    </row>
    <row r="92" spans="1:15" ht="15" customHeight="1" x14ac:dyDescent="0.35">
      <c r="A92" s="51" t="str">
        <f>Defaults!A92</f>
        <v>01443_w</v>
      </c>
      <c r="B92" s="51" t="str">
        <f>Defaults!B92</f>
        <v>Rape or colza seed, winter</v>
      </c>
      <c r="C92" s="51" t="str">
        <f>Defaults!C92</f>
        <v>Oil crops</v>
      </c>
      <c r="D92" s="1" t="s">
        <v>348</v>
      </c>
      <c r="E92" s="33"/>
      <c r="F92" s="55"/>
      <c r="G92" s="100"/>
      <c r="H92" s="77"/>
      <c r="I92" s="109">
        <f>Defaults!F92</f>
        <v>60</v>
      </c>
      <c r="J92" s="125">
        <f>Defaults!G92</f>
        <v>0.37</v>
      </c>
      <c r="K92" s="57" t="s">
        <v>262</v>
      </c>
      <c r="L92" s="57"/>
      <c r="M92" s="57" t="s">
        <v>262</v>
      </c>
      <c r="N92" s="57"/>
      <c r="O92" s="59"/>
    </row>
    <row r="93" spans="1:15" ht="15" customHeight="1" x14ac:dyDescent="0.35">
      <c r="A93" s="51" t="str">
        <f>Defaults!A93</f>
        <v>01353.01</v>
      </c>
      <c r="B93" s="51" t="str">
        <f>Defaults!B93</f>
        <v>Raspberries</v>
      </c>
      <c r="C93" s="51" t="str">
        <f>Defaults!C93</f>
        <v>Berries</v>
      </c>
      <c r="D93" s="1" t="s">
        <v>348</v>
      </c>
      <c r="E93" s="33"/>
      <c r="F93" s="55"/>
      <c r="G93" s="100"/>
      <c r="H93" s="76"/>
      <c r="I93" s="109">
        <f>Defaults!F93</f>
        <v>300</v>
      </c>
      <c r="J93" s="125">
        <f>Defaults!G93</f>
        <v>2.25</v>
      </c>
      <c r="K93" s="57" t="s">
        <v>265</v>
      </c>
      <c r="L93" s="57"/>
      <c r="M93" s="57" t="s">
        <v>265</v>
      </c>
      <c r="N93" s="57"/>
      <c r="O93" s="59"/>
    </row>
    <row r="94" spans="1:15" ht="15" customHeight="1" x14ac:dyDescent="0.35">
      <c r="A94" s="51" t="str">
        <f>Defaults!A94</f>
        <v>0113</v>
      </c>
      <c r="B94" s="51" t="str">
        <f>Defaults!B94</f>
        <v>Rice</v>
      </c>
      <c r="C94" s="51" t="str">
        <f>Defaults!C94</f>
        <v>Cereals</v>
      </c>
      <c r="D94" s="1" t="s">
        <v>348</v>
      </c>
      <c r="E94" s="33"/>
      <c r="F94" s="55"/>
      <c r="G94" s="95"/>
      <c r="H94" s="34"/>
      <c r="I94" s="33"/>
      <c r="J94" s="33"/>
      <c r="K94" s="52"/>
      <c r="L94" s="52"/>
      <c r="M94" s="52"/>
      <c r="N94" s="52"/>
      <c r="O94" s="53"/>
    </row>
    <row r="95" spans="1:15" ht="15" customHeight="1" x14ac:dyDescent="0.35">
      <c r="A95" s="51" t="str">
        <f>Defaults!A95</f>
        <v>0116</v>
      </c>
      <c r="B95" s="51" t="str">
        <f>Defaults!B95</f>
        <v>Rye</v>
      </c>
      <c r="C95" s="51" t="str">
        <f>Defaults!C95</f>
        <v>Cereals, incl feed</v>
      </c>
      <c r="D95" s="1" t="s">
        <v>348</v>
      </c>
      <c r="E95" s="33"/>
      <c r="F95" s="55"/>
      <c r="G95" s="100"/>
      <c r="H95" s="77"/>
      <c r="I95" s="109">
        <f>Defaults!F95</f>
        <v>68.7</v>
      </c>
      <c r="J95" s="125">
        <f>Defaults!G95</f>
        <v>0.94</v>
      </c>
      <c r="K95" s="57" t="s">
        <v>147</v>
      </c>
      <c r="L95" s="57"/>
      <c r="M95" s="57" t="s">
        <v>147</v>
      </c>
      <c r="N95" s="57"/>
      <c r="O95" s="59"/>
    </row>
    <row r="96" spans="1:15" ht="15" customHeight="1" x14ac:dyDescent="0.35">
      <c r="A96" s="51" t="str">
        <f>Defaults!A96</f>
        <v>0114</v>
      </c>
      <c r="B96" s="51" t="str">
        <f>Defaults!B96</f>
        <v>Sorghum</v>
      </c>
      <c r="C96" s="51" t="str">
        <f>Defaults!C96</f>
        <v>Cereals</v>
      </c>
      <c r="D96" s="1" t="s">
        <v>349</v>
      </c>
      <c r="E96" s="33"/>
      <c r="F96" s="55"/>
      <c r="G96" s="95"/>
      <c r="H96" s="34"/>
      <c r="I96" s="33"/>
      <c r="J96" s="33"/>
      <c r="K96" s="52"/>
      <c r="L96" s="52"/>
      <c r="M96" s="52"/>
      <c r="N96" s="52"/>
      <c r="O96" s="53"/>
    </row>
    <row r="97" spans="1:15" ht="15" customHeight="1" x14ac:dyDescent="0.35">
      <c r="A97" s="51" t="str">
        <f>Defaults!A97</f>
        <v>01344.01</v>
      </c>
      <c r="B97" s="51" t="str">
        <f>Defaults!B97</f>
        <v>Sour cherries</v>
      </c>
      <c r="C97" s="51" t="str">
        <f>Defaults!C97</f>
        <v>Fruits</v>
      </c>
      <c r="D97" s="1" t="s">
        <v>348</v>
      </c>
      <c r="E97" s="33"/>
      <c r="F97" s="55"/>
      <c r="G97" s="100"/>
      <c r="H97" s="77"/>
      <c r="I97" s="109">
        <f>Defaults!F97</f>
        <v>450</v>
      </c>
      <c r="J97" s="125">
        <f>Defaults!G97</f>
        <v>6.09</v>
      </c>
      <c r="K97" s="57" t="s">
        <v>270</v>
      </c>
      <c r="L97" s="57"/>
      <c r="M97" s="57" t="s">
        <v>270</v>
      </c>
      <c r="N97" s="58"/>
      <c r="O97" s="66"/>
    </row>
    <row r="98" spans="1:15" ht="15" customHeight="1" x14ac:dyDescent="0.35">
      <c r="A98" s="51" t="str">
        <f>Defaults!A98</f>
        <v>0141</v>
      </c>
      <c r="B98" s="51" t="str">
        <f>Defaults!B98</f>
        <v>Soya beans</v>
      </c>
      <c r="C98" s="51" t="str">
        <f>Defaults!C98</f>
        <v>Pulses</v>
      </c>
      <c r="D98" s="33" t="s">
        <v>349</v>
      </c>
      <c r="E98" s="33"/>
      <c r="F98" s="55"/>
      <c r="G98" s="95"/>
      <c r="H98" s="34"/>
      <c r="I98" s="33"/>
      <c r="J98" s="33"/>
      <c r="K98" s="52"/>
      <c r="L98" s="52"/>
      <c r="M98" s="52"/>
      <c r="N98" s="52"/>
      <c r="O98" s="53"/>
    </row>
    <row r="99" spans="1:15" ht="15" customHeight="1" x14ac:dyDescent="0.35">
      <c r="A99" s="51" t="str">
        <f>Defaults!A99</f>
        <v>01215</v>
      </c>
      <c r="B99" s="51" t="str">
        <f>Defaults!B99</f>
        <v>Spinach</v>
      </c>
      <c r="C99" s="51" t="str">
        <f>Defaults!C99</f>
        <v>Vegetables</v>
      </c>
      <c r="D99" s="33" t="s">
        <v>348</v>
      </c>
      <c r="E99" s="33"/>
      <c r="F99" s="55"/>
      <c r="G99" s="100"/>
      <c r="H99" s="77"/>
      <c r="I99" s="109">
        <f>Defaults!F99</f>
        <v>140</v>
      </c>
      <c r="J99" s="125">
        <f>Defaults!G99</f>
        <v>1.65</v>
      </c>
      <c r="K99" s="57" t="s">
        <v>256</v>
      </c>
      <c r="L99" s="57"/>
      <c r="M99" s="57" t="s">
        <v>273</v>
      </c>
      <c r="N99" s="58"/>
      <c r="O99" s="66"/>
    </row>
    <row r="100" spans="1:15" ht="15" customHeight="1" x14ac:dyDescent="0.35">
      <c r="A100" s="51" t="str">
        <f>Defaults!A100</f>
        <v>01354</v>
      </c>
      <c r="B100" s="51" t="str">
        <f>Defaults!B100</f>
        <v>Strawberries</v>
      </c>
      <c r="C100" s="51" t="str">
        <f>Defaults!C100</f>
        <v>Fruits</v>
      </c>
      <c r="D100" s="33" t="s">
        <v>348</v>
      </c>
      <c r="E100" s="33"/>
      <c r="F100" s="55"/>
      <c r="G100" s="100"/>
      <c r="H100" s="77"/>
      <c r="I100" s="109">
        <f>Defaults!F100</f>
        <v>300</v>
      </c>
      <c r="J100" s="125">
        <f>Defaults!G100</f>
        <v>2.25</v>
      </c>
      <c r="K100" s="57" t="s">
        <v>275</v>
      </c>
      <c r="L100" s="57"/>
      <c r="M100" s="57" t="s">
        <v>275</v>
      </c>
      <c r="N100" s="57"/>
      <c r="O100" s="59"/>
    </row>
    <row r="101" spans="1:15" ht="15" customHeight="1" x14ac:dyDescent="0.35">
      <c r="A101" s="51" t="str">
        <f>Defaults!A101</f>
        <v>01801</v>
      </c>
      <c r="B101" s="51" t="str">
        <f>Defaults!B101</f>
        <v>Sugar beet</v>
      </c>
      <c r="C101" s="51" t="str">
        <f>Defaults!C101</f>
        <v>Sugar crops</v>
      </c>
      <c r="D101" s="33" t="s">
        <v>348</v>
      </c>
      <c r="E101" s="33"/>
      <c r="F101" s="55"/>
      <c r="G101" s="100"/>
      <c r="H101" s="77"/>
      <c r="I101" s="109">
        <f>Defaults!F101</f>
        <v>130</v>
      </c>
      <c r="J101" s="125">
        <f>Defaults!G101</f>
        <v>2.38</v>
      </c>
      <c r="K101" s="57" t="s">
        <v>147</v>
      </c>
      <c r="L101" s="57"/>
      <c r="M101" s="57" t="s">
        <v>147</v>
      </c>
      <c r="N101" s="57"/>
      <c r="O101" s="59"/>
    </row>
    <row r="102" spans="1:15" ht="15" customHeight="1" x14ac:dyDescent="0.35">
      <c r="A102" s="51" t="str">
        <f>Defaults!A102</f>
        <v>01802</v>
      </c>
      <c r="B102" s="51" t="str">
        <f>Defaults!B102</f>
        <v>Sugar cane</v>
      </c>
      <c r="C102" s="51" t="str">
        <f>Defaults!C102</f>
        <v>Sugar crops</v>
      </c>
      <c r="D102" s="33" t="s">
        <v>348</v>
      </c>
      <c r="E102" s="33"/>
      <c r="F102" s="34"/>
      <c r="G102" s="95"/>
      <c r="H102" s="34"/>
      <c r="I102" s="33"/>
      <c r="J102" s="33"/>
      <c r="K102" s="52"/>
      <c r="L102" s="52"/>
      <c r="M102" s="52"/>
      <c r="N102" s="52"/>
      <c r="O102" s="53"/>
    </row>
    <row r="103" spans="1:15" ht="15" customHeight="1" x14ac:dyDescent="0.35">
      <c r="A103" s="51" t="str">
        <f>Defaults!A103</f>
        <v>01445</v>
      </c>
      <c r="B103" s="51" t="str">
        <f>Defaults!B103</f>
        <v>Sunflower seed</v>
      </c>
      <c r="C103" s="51" t="str">
        <f>Defaults!C103</f>
        <v>Oil crops</v>
      </c>
      <c r="D103" s="33" t="s">
        <v>348</v>
      </c>
      <c r="E103" s="33"/>
      <c r="F103" s="34"/>
      <c r="G103" s="95"/>
      <c r="H103" s="34"/>
      <c r="I103" s="33"/>
      <c r="J103" s="33"/>
      <c r="K103" s="52"/>
      <c r="L103" s="52"/>
      <c r="M103" s="52"/>
      <c r="N103" s="52"/>
      <c r="O103" s="53"/>
    </row>
    <row r="104" spans="1:15" ht="15" customHeight="1" x14ac:dyDescent="0.35">
      <c r="A104" s="51" t="str">
        <f>Defaults!A104</f>
        <v>01530</v>
      </c>
      <c r="B104" s="51" t="str">
        <f>Defaults!B104</f>
        <v>Sweet potatoes</v>
      </c>
      <c r="C104" s="51" t="str">
        <f>Defaults!C104</f>
        <v>Roots</v>
      </c>
      <c r="D104" s="33" t="s">
        <v>348</v>
      </c>
      <c r="E104" s="33"/>
      <c r="F104" s="34"/>
      <c r="G104" s="95"/>
      <c r="H104" s="34"/>
      <c r="I104" s="33"/>
      <c r="J104" s="33"/>
      <c r="K104" s="52"/>
      <c r="L104" s="52"/>
      <c r="M104" s="52"/>
      <c r="N104" s="52"/>
      <c r="O104" s="53"/>
    </row>
    <row r="105" spans="1:15" ht="15" customHeight="1" x14ac:dyDescent="0.35">
      <c r="A105" s="51" t="str">
        <f>Defaults!A105</f>
        <v>01324</v>
      </c>
      <c r="B105" s="51" t="str">
        <f>Defaults!B105</f>
        <v>Tangerines, mandarins, clementines</v>
      </c>
      <c r="C105" s="51" t="str">
        <f>Defaults!C105</f>
        <v>Fruits</v>
      </c>
      <c r="D105" s="33" t="s">
        <v>348</v>
      </c>
      <c r="E105" s="33"/>
      <c r="F105" s="34"/>
      <c r="G105" s="95"/>
      <c r="H105" s="34"/>
      <c r="I105" s="33"/>
      <c r="J105" s="33"/>
      <c r="K105" s="52"/>
      <c r="L105" s="52"/>
      <c r="M105" s="52"/>
      <c r="N105" s="52"/>
      <c r="O105" s="53"/>
    </row>
    <row r="106" spans="1:15" ht="15" customHeight="1" x14ac:dyDescent="0.35">
      <c r="A106" s="51" t="str">
        <f>Defaults!A106</f>
        <v>01234</v>
      </c>
      <c r="B106" s="51" t="str">
        <f>Defaults!B106</f>
        <v>Tomatoes, average</v>
      </c>
      <c r="C106" s="51" t="str">
        <f>Defaults!C106</f>
        <v>Vegetables</v>
      </c>
      <c r="D106" s="33" t="s">
        <v>348</v>
      </c>
      <c r="E106" s="33"/>
      <c r="F106" s="84"/>
      <c r="G106" s="104"/>
      <c r="H106" s="55"/>
      <c r="I106" s="118">
        <f>Defaults!F106</f>
        <v>0</v>
      </c>
      <c r="J106" s="133">
        <f>Defaults!G106</f>
        <v>1.65</v>
      </c>
      <c r="K106" s="57"/>
      <c r="L106" s="57"/>
      <c r="M106" s="57"/>
      <c r="N106" s="57"/>
      <c r="O106" s="66"/>
    </row>
    <row r="107" spans="1:15" ht="15" customHeight="1" x14ac:dyDescent="0.35">
      <c r="A107" s="51" t="str">
        <f>Defaults!A107</f>
        <v>01234_gh</v>
      </c>
      <c r="B107" s="51" t="str">
        <f>Defaults!B107</f>
        <v>Tomatoes, greenhouse</v>
      </c>
      <c r="C107" s="51" t="str">
        <f>Defaults!C107</f>
        <v>Vegetables</v>
      </c>
      <c r="D107" s="33" t="s">
        <v>348</v>
      </c>
      <c r="E107" s="33"/>
      <c r="F107" s="34"/>
      <c r="G107" s="100"/>
      <c r="H107" s="76"/>
      <c r="I107" s="109">
        <f>Defaults!F107</f>
        <v>0</v>
      </c>
      <c r="J107" s="125">
        <f>Defaults!G107</f>
        <v>1.65</v>
      </c>
      <c r="K107" s="69" t="s">
        <v>284</v>
      </c>
      <c r="L107" s="57"/>
      <c r="M107" s="69" t="s">
        <v>284</v>
      </c>
      <c r="N107" s="57"/>
      <c r="O107" s="59"/>
    </row>
    <row r="108" spans="1:15" ht="15" customHeight="1" x14ac:dyDescent="0.35">
      <c r="A108" s="51" t="str">
        <f>Defaults!A108</f>
        <v>01234_of</v>
      </c>
      <c r="B108" s="51" t="str">
        <f>Defaults!B108</f>
        <v>Tomatoes, openfield</v>
      </c>
      <c r="C108" s="51" t="str">
        <f>Defaults!C108</f>
        <v>Vegetables</v>
      </c>
      <c r="D108" s="33" t="s">
        <v>348</v>
      </c>
      <c r="E108" s="33"/>
      <c r="F108" s="34"/>
      <c r="G108" s="100"/>
      <c r="H108" s="76"/>
      <c r="I108" s="112"/>
      <c r="J108" s="126"/>
      <c r="K108" s="52"/>
      <c r="L108" s="52"/>
      <c r="M108" s="52"/>
      <c r="N108" s="52"/>
      <c r="O108" s="63"/>
    </row>
    <row r="109" spans="1:15" ht="15" customHeight="1" x14ac:dyDescent="0.35">
      <c r="A109" s="51" t="str">
        <f>Defaults!A109</f>
        <v>01191</v>
      </c>
      <c r="B109" s="51" t="str">
        <f>Defaults!B109</f>
        <v>Triticale</v>
      </c>
      <c r="C109" s="51" t="str">
        <f>Defaults!C109</f>
        <v>Cereals</v>
      </c>
      <c r="D109" s="33" t="s">
        <v>348</v>
      </c>
      <c r="E109" s="33"/>
      <c r="F109" s="55"/>
      <c r="G109" s="100"/>
      <c r="H109" s="77"/>
      <c r="I109" s="109">
        <f>Defaults!F109</f>
        <v>66.7</v>
      </c>
      <c r="J109" s="125">
        <f>Defaults!G109</f>
        <v>0.61</v>
      </c>
      <c r="K109" s="57" t="s">
        <v>147</v>
      </c>
      <c r="L109" s="57"/>
      <c r="M109" s="57" t="s">
        <v>147</v>
      </c>
      <c r="N109" s="57"/>
      <c r="O109" s="59"/>
    </row>
    <row r="110" spans="1:15" ht="15" customHeight="1" x14ac:dyDescent="0.35">
      <c r="A110" s="51" t="str">
        <f>Defaults!A110</f>
        <v>01929.02</v>
      </c>
      <c r="B110" s="51" t="str">
        <f>Defaults!B110</f>
        <v>True hemp, raw or retted</v>
      </c>
      <c r="C110" s="51" t="str">
        <f>Defaults!C110</f>
        <v>Other</v>
      </c>
      <c r="D110" s="33" t="s">
        <v>348</v>
      </c>
      <c r="E110" s="33"/>
      <c r="F110" s="34"/>
      <c r="G110" s="95"/>
      <c r="H110" s="34"/>
      <c r="I110" s="33"/>
      <c r="J110" s="33"/>
      <c r="K110" s="52"/>
      <c r="L110" s="52"/>
      <c r="M110" s="52"/>
      <c r="N110" s="52"/>
      <c r="O110" s="53"/>
    </row>
    <row r="111" spans="1:15" ht="15" customHeight="1" x14ac:dyDescent="0.35">
      <c r="A111" s="51" t="str">
        <f>Defaults!A111</f>
        <v>01709.01</v>
      </c>
      <c r="B111" s="51" t="str">
        <f>Defaults!B111</f>
        <v>Vetches</v>
      </c>
      <c r="C111" s="51" t="str">
        <f>Defaults!C111</f>
        <v>Other</v>
      </c>
      <c r="D111" s="33" t="s">
        <v>348</v>
      </c>
      <c r="E111" s="33"/>
      <c r="F111" s="34"/>
      <c r="G111" s="95"/>
      <c r="H111" s="34"/>
      <c r="I111" s="33"/>
      <c r="J111" s="33"/>
      <c r="K111" s="52"/>
      <c r="L111" s="52"/>
      <c r="M111" s="52"/>
      <c r="N111" s="52"/>
      <c r="O111" s="53"/>
    </row>
    <row r="112" spans="1:15" ht="15" customHeight="1" x14ac:dyDescent="0.35">
      <c r="A112" s="51" t="str">
        <f>Defaults!A112</f>
        <v>01376</v>
      </c>
      <c r="B112" s="51" t="str">
        <f>Defaults!B112</f>
        <v>Walnuts, in shell</v>
      </c>
      <c r="C112" s="51" t="str">
        <f>Defaults!C112</f>
        <v>Nuts</v>
      </c>
      <c r="D112" s="33" t="s">
        <v>348</v>
      </c>
      <c r="E112" s="33"/>
      <c r="F112" s="34"/>
      <c r="G112" s="95"/>
      <c r="H112" s="34"/>
      <c r="I112" s="33"/>
      <c r="J112" s="33"/>
      <c r="K112" s="52"/>
      <c r="L112" s="52"/>
      <c r="M112" s="52"/>
      <c r="N112" s="52"/>
      <c r="O112" s="53"/>
    </row>
    <row r="113" spans="1:15" ht="15" customHeight="1" x14ac:dyDescent="0.35">
      <c r="A113" s="51" t="str">
        <f>Defaults!A113</f>
        <v>01221</v>
      </c>
      <c r="B113" s="51" t="str">
        <f>Defaults!B113</f>
        <v>Watermelons</v>
      </c>
      <c r="C113" s="51" t="str">
        <f>Defaults!C113</f>
        <v>Fruits</v>
      </c>
      <c r="D113" s="33" t="s">
        <v>348</v>
      </c>
      <c r="E113" s="33"/>
      <c r="F113" s="34"/>
      <c r="G113" s="95"/>
      <c r="H113" s="34"/>
      <c r="I113" s="33"/>
      <c r="J113" s="33"/>
      <c r="K113" s="52"/>
      <c r="L113" s="52"/>
      <c r="M113" s="52"/>
      <c r="N113" s="52"/>
      <c r="O113" s="53"/>
    </row>
    <row r="114" spans="1:15" ht="15" customHeight="1" x14ac:dyDescent="0.35">
      <c r="A114" s="51" t="str">
        <f>Defaults!A114</f>
        <v>01221_gh</v>
      </c>
      <c r="B114" s="51" t="str">
        <f>Defaults!B114</f>
        <v>Watermelons, greenhouse</v>
      </c>
      <c r="C114" s="51" t="str">
        <f>Defaults!C114</f>
        <v>Fruits</v>
      </c>
      <c r="D114" s="33" t="s">
        <v>348</v>
      </c>
      <c r="E114" s="33"/>
      <c r="F114" s="34"/>
      <c r="G114" s="95"/>
      <c r="H114" s="34"/>
      <c r="I114" s="33"/>
      <c r="J114" s="33"/>
      <c r="K114" s="52"/>
      <c r="L114" s="52"/>
      <c r="M114" s="52"/>
      <c r="N114" s="52"/>
      <c r="O114" s="53"/>
    </row>
    <row r="115" spans="1:15" ht="15" customHeight="1" x14ac:dyDescent="0.35">
      <c r="A115" s="51" t="str">
        <f>Defaults!A115</f>
        <v>01221_of</v>
      </c>
      <c r="B115" s="51" t="str">
        <f>Defaults!B115</f>
        <v>Watermelons, openfield</v>
      </c>
      <c r="C115" s="51" t="str">
        <f>Defaults!C115</f>
        <v>Fruits</v>
      </c>
      <c r="D115" s="33" t="s">
        <v>348</v>
      </c>
      <c r="E115" s="33"/>
      <c r="F115" s="34"/>
      <c r="G115" s="95"/>
      <c r="H115" s="34"/>
      <c r="I115" s="33"/>
      <c r="J115" s="33"/>
      <c r="K115" s="52"/>
      <c r="L115" s="52"/>
      <c r="M115" s="52"/>
      <c r="N115" s="52"/>
      <c r="O115" s="53"/>
    </row>
    <row r="116" spans="1:15" ht="15" customHeight="1" x14ac:dyDescent="0.35">
      <c r="A116" s="51" t="str">
        <f>Defaults!A116</f>
        <v>0111</v>
      </c>
      <c r="B116" s="51" t="str">
        <f>Defaults!B116</f>
        <v>Wheat, average</v>
      </c>
      <c r="C116" s="51" t="str">
        <f>Defaults!C116</f>
        <v>Cereals, incl feed</v>
      </c>
      <c r="D116" s="33" t="s">
        <v>348</v>
      </c>
      <c r="E116" s="33"/>
      <c r="F116" s="84"/>
      <c r="G116" s="95"/>
      <c r="H116" s="34"/>
      <c r="I116" s="109">
        <f>Defaults!F116</f>
        <v>71</v>
      </c>
      <c r="J116" s="125">
        <f>Defaults!G116</f>
        <v>0.74</v>
      </c>
      <c r="K116" s="57"/>
      <c r="L116" s="57"/>
      <c r="M116" s="57"/>
      <c r="N116" s="57"/>
      <c r="O116" s="66"/>
    </row>
    <row r="117" spans="1:15" ht="15" customHeight="1" x14ac:dyDescent="0.35">
      <c r="A117" s="51" t="str">
        <f>Defaults!A117</f>
        <v>0111_s</v>
      </c>
      <c r="B117" s="51" t="str">
        <f>Defaults!B117</f>
        <v>Wheat, spring</v>
      </c>
      <c r="C117" s="51" t="str">
        <f>Defaults!C117</f>
        <v>Cereals</v>
      </c>
      <c r="D117" s="33" t="s">
        <v>348</v>
      </c>
      <c r="E117" s="33"/>
      <c r="F117" s="34"/>
      <c r="G117" s="100"/>
      <c r="H117" s="79"/>
      <c r="I117" s="109">
        <f>Defaults!F117</f>
        <v>71.900000000000006</v>
      </c>
      <c r="J117" s="125">
        <f>Defaults!G117</f>
        <v>0.42</v>
      </c>
      <c r="K117" s="57" t="s">
        <v>147</v>
      </c>
      <c r="L117" s="57"/>
      <c r="M117" s="57" t="s">
        <v>147</v>
      </c>
      <c r="N117" s="58"/>
      <c r="O117" s="59"/>
    </row>
    <row r="118" spans="1:15" ht="15" customHeight="1" x14ac:dyDescent="0.35">
      <c r="A118" s="51" t="str">
        <f>Defaults!A118</f>
        <v>0111_w</v>
      </c>
      <c r="B118" s="51" t="str">
        <f>Defaults!B118</f>
        <v>Wheat, winter</v>
      </c>
      <c r="C118" s="51" t="str">
        <f>Defaults!C118</f>
        <v>Cereals</v>
      </c>
      <c r="D118" s="33" t="s">
        <v>348</v>
      </c>
      <c r="E118" s="33"/>
      <c r="F118" s="34"/>
      <c r="G118" s="100"/>
      <c r="H118" s="79"/>
      <c r="I118" s="109">
        <f>Defaults!F118</f>
        <v>71.3</v>
      </c>
      <c r="J118" s="125">
        <f>Defaults!G118</f>
        <v>0.77</v>
      </c>
      <c r="K118" s="57" t="s">
        <v>147</v>
      </c>
      <c r="L118" s="57"/>
      <c r="M118" s="57" t="s">
        <v>147</v>
      </c>
      <c r="N118" s="58"/>
      <c r="O118" s="59"/>
    </row>
    <row r="119" spans="1:15" x14ac:dyDescent="0.35">
      <c r="D119" s="33"/>
      <c r="I119" s="108"/>
      <c r="K119" s="12"/>
      <c r="L119" s="12"/>
      <c r="M119" s="12"/>
      <c r="N119" s="12"/>
      <c r="O119" s="17"/>
    </row>
    <row r="120" spans="1:15" x14ac:dyDescent="0.35">
      <c r="D120" s="33"/>
      <c r="I120" s="108"/>
      <c r="K120" s="12"/>
      <c r="L120" s="12"/>
      <c r="M120" s="12"/>
      <c r="N120" s="12"/>
      <c r="O120" s="17"/>
    </row>
    <row r="121" spans="1:15" x14ac:dyDescent="0.35">
      <c r="I121" s="108"/>
      <c r="K121" s="12"/>
      <c r="L121" s="12"/>
      <c r="M121" s="12"/>
      <c r="N121" s="12"/>
      <c r="O121" s="17"/>
    </row>
    <row r="122" spans="1:15" x14ac:dyDescent="0.35">
      <c r="I122" s="108"/>
      <c r="K122" s="12"/>
      <c r="L122" s="12"/>
      <c r="M122" s="12"/>
      <c r="N122" s="12"/>
      <c r="O122" s="17"/>
    </row>
    <row r="123" spans="1:15" x14ac:dyDescent="0.35">
      <c r="I123" s="108"/>
      <c r="K123" s="12"/>
      <c r="L123" s="12"/>
      <c r="M123" s="12"/>
      <c r="N123" s="12"/>
      <c r="O123" s="17"/>
    </row>
    <row r="124" spans="1:15" x14ac:dyDescent="0.35">
      <c r="I124" s="108"/>
      <c r="K124" s="12"/>
      <c r="L124" s="12"/>
      <c r="M124" s="12"/>
      <c r="N124" s="12"/>
      <c r="O124" s="17"/>
    </row>
    <row r="125" spans="1:15" x14ac:dyDescent="0.35">
      <c r="I125" s="108"/>
      <c r="K125" s="12"/>
      <c r="L125" s="12"/>
      <c r="M125" s="12"/>
      <c r="N125" s="12"/>
      <c r="O125" s="17"/>
    </row>
    <row r="126" spans="1:15" x14ac:dyDescent="0.35">
      <c r="K126" s="12"/>
      <c r="L126" s="12"/>
      <c r="M126" s="12"/>
      <c r="N126" s="12"/>
      <c r="O126" s="17"/>
    </row>
    <row r="127" spans="1:15" x14ac:dyDescent="0.35">
      <c r="K127" s="12"/>
      <c r="L127" s="12"/>
      <c r="M127" s="12"/>
      <c r="N127" s="12"/>
      <c r="O127" s="17"/>
    </row>
    <row r="128" spans="1:15" x14ac:dyDescent="0.35">
      <c r="K128" s="12"/>
      <c r="L128" s="12"/>
      <c r="M128" s="12"/>
      <c r="N128" s="12"/>
      <c r="O128" s="17"/>
    </row>
    <row r="129" spans="15:15" x14ac:dyDescent="0.35">
      <c r="O129" s="2"/>
    </row>
    <row r="130" spans="15:15" x14ac:dyDescent="0.35">
      <c r="O130" s="2"/>
    </row>
    <row r="131" spans="15:15" x14ac:dyDescent="0.35">
      <c r="O131" s="2"/>
    </row>
    <row r="132" spans="15:15" x14ac:dyDescent="0.35">
      <c r="O132" s="2"/>
    </row>
    <row r="133" spans="15:15" x14ac:dyDescent="0.35">
      <c r="O133" s="2"/>
    </row>
    <row r="134" spans="15:15" x14ac:dyDescent="0.35">
      <c r="O134" s="2"/>
    </row>
    <row r="135" spans="15:15" x14ac:dyDescent="0.35">
      <c r="O135" s="2"/>
    </row>
    <row r="136" spans="15:15" x14ac:dyDescent="0.35">
      <c r="O136" s="2"/>
    </row>
    <row r="137" spans="15:15" x14ac:dyDescent="0.35">
      <c r="O137" s="2"/>
    </row>
    <row r="138" spans="15:15" x14ac:dyDescent="0.35">
      <c r="O138" s="2"/>
    </row>
    <row r="139" spans="15:15" x14ac:dyDescent="0.35">
      <c r="O139" s="2"/>
    </row>
    <row r="140" spans="15:15" x14ac:dyDescent="0.35">
      <c r="O140" s="2"/>
    </row>
    <row r="141" spans="15:15" x14ac:dyDescent="0.35">
      <c r="O141" s="2"/>
    </row>
    <row r="142" spans="15:15" x14ac:dyDescent="0.35">
      <c r="O142" s="2"/>
    </row>
    <row r="143" spans="15:15" x14ac:dyDescent="0.35">
      <c r="O143" s="2"/>
    </row>
    <row r="144" spans="15:15" x14ac:dyDescent="0.35">
      <c r="O144" s="2"/>
    </row>
    <row r="145" spans="15:15" x14ac:dyDescent="0.35">
      <c r="O145" s="2"/>
    </row>
    <row r="146" spans="15:15" x14ac:dyDescent="0.35">
      <c r="O146" s="2"/>
    </row>
    <row r="147" spans="15:15" x14ac:dyDescent="0.35">
      <c r="O147" s="2"/>
    </row>
    <row r="148" spans="15:15" x14ac:dyDescent="0.35">
      <c r="O148" s="2"/>
    </row>
    <row r="149" spans="15:15" x14ac:dyDescent="0.35">
      <c r="O149" s="2"/>
    </row>
    <row r="150" spans="15:15" x14ac:dyDescent="0.35">
      <c r="O150" s="2"/>
    </row>
    <row r="151" spans="15:15" x14ac:dyDescent="0.35">
      <c r="O151" s="2"/>
    </row>
    <row r="152" spans="15:15" x14ac:dyDescent="0.35">
      <c r="O152" s="2"/>
    </row>
    <row r="153" spans="15:15" x14ac:dyDescent="0.35">
      <c r="O153" s="2"/>
    </row>
    <row r="154" spans="15:15" x14ac:dyDescent="0.35">
      <c r="O154" s="2"/>
    </row>
    <row r="155" spans="15:15" x14ac:dyDescent="0.35">
      <c r="O155" s="2"/>
    </row>
    <row r="156" spans="15:15" x14ac:dyDescent="0.35">
      <c r="O156" s="2"/>
    </row>
    <row r="157" spans="15:15" x14ac:dyDescent="0.35">
      <c r="O157" s="2"/>
    </row>
    <row r="158" spans="15:15" x14ac:dyDescent="0.35">
      <c r="O158" s="2"/>
    </row>
    <row r="159" spans="15:15" x14ac:dyDescent="0.35">
      <c r="O159" s="2"/>
    </row>
    <row r="160" spans="15:15" x14ac:dyDescent="0.35">
      <c r="O160" s="2"/>
    </row>
    <row r="161" spans="15:15" x14ac:dyDescent="0.35">
      <c r="O161" s="2"/>
    </row>
    <row r="162" spans="15:15" x14ac:dyDescent="0.35">
      <c r="O162" s="2"/>
    </row>
    <row r="163" spans="15:15" x14ac:dyDescent="0.35">
      <c r="O163" s="2"/>
    </row>
    <row r="164" spans="15:15" x14ac:dyDescent="0.35">
      <c r="O164" s="2"/>
    </row>
    <row r="165" spans="15:15" x14ac:dyDescent="0.35">
      <c r="O165" s="2"/>
    </row>
    <row r="166" spans="15:15" x14ac:dyDescent="0.35">
      <c r="O166" s="2"/>
    </row>
    <row r="167" spans="15:15" x14ac:dyDescent="0.35">
      <c r="O167" s="2"/>
    </row>
    <row r="168" spans="15:15" x14ac:dyDescent="0.35">
      <c r="O168" s="2"/>
    </row>
    <row r="169" spans="15:15" x14ac:dyDescent="0.35">
      <c r="O169" s="2"/>
    </row>
    <row r="170" spans="15:15" x14ac:dyDescent="0.35">
      <c r="O170" s="2"/>
    </row>
    <row r="171" spans="15:15" x14ac:dyDescent="0.35">
      <c r="O171" s="2"/>
    </row>
    <row r="172" spans="15:15" x14ac:dyDescent="0.35">
      <c r="O172" s="2"/>
    </row>
    <row r="173" spans="15:15" x14ac:dyDescent="0.35">
      <c r="O173" s="2"/>
    </row>
    <row r="174" spans="15:15" x14ac:dyDescent="0.35">
      <c r="O174" s="2"/>
    </row>
    <row r="175" spans="15:15" x14ac:dyDescent="0.35">
      <c r="O175" s="2"/>
    </row>
    <row r="176" spans="15:15" x14ac:dyDescent="0.35">
      <c r="O176" s="2"/>
    </row>
    <row r="177" spans="15:15" x14ac:dyDescent="0.35">
      <c r="O177" s="2"/>
    </row>
    <row r="178" spans="15:15" x14ac:dyDescent="0.35">
      <c r="O178" s="2"/>
    </row>
    <row r="179" spans="15:15" x14ac:dyDescent="0.35">
      <c r="O179" s="2"/>
    </row>
    <row r="180" spans="15:15" x14ac:dyDescent="0.35">
      <c r="O180" s="2"/>
    </row>
    <row r="181" spans="15:15" x14ac:dyDescent="0.35">
      <c r="O181" s="2"/>
    </row>
    <row r="182" spans="15:15" x14ac:dyDescent="0.35">
      <c r="O182" s="2"/>
    </row>
    <row r="183" spans="15:15" x14ac:dyDescent="0.35">
      <c r="O183" s="2"/>
    </row>
    <row r="184" spans="15:15" x14ac:dyDescent="0.35">
      <c r="O184" s="2"/>
    </row>
    <row r="185" spans="15:15" x14ac:dyDescent="0.35">
      <c r="O185" s="2"/>
    </row>
    <row r="186" spans="15:15" x14ac:dyDescent="0.35">
      <c r="O186" s="2"/>
    </row>
    <row r="187" spans="15:15" x14ac:dyDescent="0.35">
      <c r="O187" s="2"/>
    </row>
    <row r="188" spans="15:15" x14ac:dyDescent="0.35">
      <c r="O188" s="2"/>
    </row>
    <row r="189" spans="15:15" x14ac:dyDescent="0.35">
      <c r="O189" s="2"/>
    </row>
    <row r="190" spans="15:15" x14ac:dyDescent="0.35">
      <c r="O190" s="2"/>
    </row>
    <row r="191" spans="15:15" x14ac:dyDescent="0.35">
      <c r="O191" s="2"/>
    </row>
    <row r="192" spans="15:15" x14ac:dyDescent="0.35">
      <c r="O192" s="2"/>
    </row>
    <row r="193" spans="15:15" x14ac:dyDescent="0.35">
      <c r="O193" s="2"/>
    </row>
    <row r="194" spans="15:15" x14ac:dyDescent="0.35">
      <c r="O194" s="2"/>
    </row>
    <row r="195" spans="15:15" x14ac:dyDescent="0.35">
      <c r="O195" s="2"/>
    </row>
    <row r="196" spans="15:15" x14ac:dyDescent="0.35">
      <c r="O196" s="2"/>
    </row>
    <row r="197" spans="15:15" x14ac:dyDescent="0.35">
      <c r="O197" s="2"/>
    </row>
    <row r="198" spans="15:15" x14ac:dyDescent="0.35">
      <c r="O198" s="2"/>
    </row>
    <row r="199" spans="15:15" x14ac:dyDescent="0.35">
      <c r="O199" s="2"/>
    </row>
    <row r="200" spans="15:15" x14ac:dyDescent="0.35">
      <c r="O200" s="2"/>
    </row>
    <row r="201" spans="15:15" x14ac:dyDescent="0.35">
      <c r="O201" s="2"/>
    </row>
    <row r="202" spans="15:15" x14ac:dyDescent="0.35">
      <c r="O202" s="2"/>
    </row>
    <row r="203" spans="15:15" x14ac:dyDescent="0.35">
      <c r="O203" s="2"/>
    </row>
    <row r="204" spans="15:15" x14ac:dyDescent="0.35">
      <c r="O204" s="2"/>
    </row>
    <row r="205" spans="15:15" x14ac:dyDescent="0.35">
      <c r="O205" s="2"/>
    </row>
    <row r="206" spans="15:15" x14ac:dyDescent="0.35">
      <c r="O206" s="2"/>
    </row>
    <row r="207" spans="15:15" x14ac:dyDescent="0.35">
      <c r="O207" s="2"/>
    </row>
    <row r="208" spans="15:15" x14ac:dyDescent="0.35">
      <c r="O208" s="2"/>
    </row>
    <row r="209" spans="15:15" x14ac:dyDescent="0.35">
      <c r="O209" s="2"/>
    </row>
    <row r="210" spans="15:15" x14ac:dyDescent="0.35">
      <c r="O210" s="2"/>
    </row>
    <row r="211" spans="15:15" x14ac:dyDescent="0.35">
      <c r="O211" s="2"/>
    </row>
    <row r="212" spans="15:15" x14ac:dyDescent="0.35">
      <c r="O212" s="2"/>
    </row>
    <row r="213" spans="15:15" x14ac:dyDescent="0.35">
      <c r="O213" s="2"/>
    </row>
    <row r="214" spans="15:15" x14ac:dyDescent="0.35">
      <c r="O214" s="2"/>
    </row>
    <row r="215" spans="15:15" x14ac:dyDescent="0.35">
      <c r="O215" s="2"/>
    </row>
    <row r="216" spans="15:15" x14ac:dyDescent="0.35">
      <c r="O216" s="2"/>
    </row>
    <row r="217" spans="15:15" x14ac:dyDescent="0.35">
      <c r="O217" s="2"/>
    </row>
    <row r="218" spans="15:15" x14ac:dyDescent="0.35">
      <c r="O218" s="2"/>
    </row>
    <row r="219" spans="15:15" x14ac:dyDescent="0.35">
      <c r="O219" s="2"/>
    </row>
    <row r="220" spans="15:15" x14ac:dyDescent="0.35">
      <c r="O220" s="2"/>
    </row>
    <row r="221" spans="15:15" x14ac:dyDescent="0.35">
      <c r="O221" s="2"/>
    </row>
    <row r="222" spans="15:15" x14ac:dyDescent="0.35">
      <c r="O222" s="2"/>
    </row>
    <row r="223" spans="15:15" x14ac:dyDescent="0.35">
      <c r="O223" s="2"/>
    </row>
    <row r="224" spans="15:15" x14ac:dyDescent="0.35">
      <c r="O224" s="2"/>
    </row>
    <row r="225" spans="15:15" x14ac:dyDescent="0.35">
      <c r="O225" s="2"/>
    </row>
    <row r="226" spans="15:15" x14ac:dyDescent="0.35">
      <c r="O226" s="2"/>
    </row>
    <row r="227" spans="15:15" x14ac:dyDescent="0.35">
      <c r="O227" s="2"/>
    </row>
    <row r="228" spans="15:15" x14ac:dyDescent="0.35">
      <c r="O228" s="2"/>
    </row>
    <row r="229" spans="15:15" x14ac:dyDescent="0.35">
      <c r="O229" s="2"/>
    </row>
  </sheetData>
  <autoFilter ref="A5:O118" xr:uid="{00000000-0009-0000-0000-000002000000}">
    <sortState xmlns:xlrd2="http://schemas.microsoft.com/office/spreadsheetml/2017/richdata2" ref="A6:O118">
      <sortCondition ref="B5:B118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61DB-93DF-4918-A907-A34AB880867B}">
  <sheetPr>
    <tabColor theme="5" tint="0.59999389629810485"/>
  </sheetPr>
  <dimension ref="A2:K125"/>
  <sheetViews>
    <sheetView zoomScale="80" zoomScaleNormal="80" workbookViewId="0">
      <selection activeCell="K7" sqref="K7"/>
    </sheetView>
  </sheetViews>
  <sheetFormatPr defaultRowHeight="14.5" x14ac:dyDescent="0.35"/>
  <cols>
    <col min="2" max="2" width="32.90625" customWidth="1"/>
    <col min="3" max="3" width="15.36328125" customWidth="1"/>
  </cols>
  <sheetData>
    <row r="2" spans="1:11" ht="18.5" x14ac:dyDescent="0.45">
      <c r="A2" s="136" t="s">
        <v>350</v>
      </c>
    </row>
    <row r="4" spans="1:11" x14ac:dyDescent="0.35">
      <c r="A4" s="137" t="s">
        <v>1</v>
      </c>
      <c r="B4" s="138"/>
      <c r="C4" s="138"/>
    </row>
    <row r="5" spans="1:11" ht="29" x14ac:dyDescent="0.35">
      <c r="A5" s="139" t="s">
        <v>3</v>
      </c>
      <c r="B5" s="140" t="s">
        <v>4</v>
      </c>
      <c r="C5" s="140" t="s">
        <v>5</v>
      </c>
      <c r="D5" t="s">
        <v>358</v>
      </c>
      <c r="E5" t="s">
        <v>351</v>
      </c>
      <c r="F5" t="s">
        <v>352</v>
      </c>
      <c r="G5" t="s">
        <v>353</v>
      </c>
      <c r="H5" t="s">
        <v>354</v>
      </c>
      <c r="I5" t="s">
        <v>355</v>
      </c>
      <c r="J5" t="s">
        <v>356</v>
      </c>
      <c r="K5" t="s">
        <v>357</v>
      </c>
    </row>
    <row r="6" spans="1:11" x14ac:dyDescent="0.35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11" x14ac:dyDescent="0.35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11" x14ac:dyDescent="0.35">
      <c r="A8" s="6" t="str">
        <f>Defaults!A8</f>
        <v>01341</v>
      </c>
      <c r="B8" s="6" t="str">
        <f>Defaults!B8</f>
        <v>Apples</v>
      </c>
      <c r="C8" s="6" t="str">
        <f>Defaults!C8</f>
        <v>Fruits</v>
      </c>
    </row>
    <row r="9" spans="1:11" x14ac:dyDescent="0.35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11" x14ac:dyDescent="0.35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11" x14ac:dyDescent="0.35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</row>
    <row r="12" spans="1:11" x14ac:dyDescent="0.35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11" x14ac:dyDescent="0.35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</row>
    <row r="14" spans="1:11" x14ac:dyDescent="0.35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</row>
    <row r="15" spans="1:11" x14ac:dyDescent="0.35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</row>
    <row r="16" spans="1:11" x14ac:dyDescent="0.35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</row>
    <row r="17" spans="1:3" x14ac:dyDescent="0.35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</row>
    <row r="18" spans="1:3" x14ac:dyDescent="0.35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3" x14ac:dyDescent="0.35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3" x14ac:dyDescent="0.35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</row>
    <row r="21" spans="1:3" x14ac:dyDescent="0.35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3" x14ac:dyDescent="0.35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</row>
    <row r="23" spans="1:3" x14ac:dyDescent="0.35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3" x14ac:dyDescent="0.35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</row>
    <row r="25" spans="1:3" x14ac:dyDescent="0.35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3" x14ac:dyDescent="0.35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</row>
    <row r="27" spans="1:3" x14ac:dyDescent="0.35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3" x14ac:dyDescent="0.35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</row>
    <row r="29" spans="1:3" x14ac:dyDescent="0.35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</row>
    <row r="30" spans="1:3" x14ac:dyDescent="0.35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3" x14ac:dyDescent="0.35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</row>
    <row r="32" spans="1:3" x14ac:dyDescent="0.35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3" x14ac:dyDescent="0.35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</row>
    <row r="34" spans="1:3" x14ac:dyDescent="0.35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3" x14ac:dyDescent="0.35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</row>
    <row r="36" spans="1:3" x14ac:dyDescent="0.35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3" x14ac:dyDescent="0.35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3" x14ac:dyDescent="0.35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</row>
    <row r="39" spans="1:3" x14ac:dyDescent="0.35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</row>
    <row r="40" spans="1:3" x14ac:dyDescent="0.35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</row>
    <row r="41" spans="1:3" x14ac:dyDescent="0.35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</row>
    <row r="42" spans="1:3" x14ac:dyDescent="0.35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3" x14ac:dyDescent="0.35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3" x14ac:dyDescent="0.35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3" x14ac:dyDescent="0.35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3" x14ac:dyDescent="0.35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3" x14ac:dyDescent="0.35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</row>
    <row r="48" spans="1:3" x14ac:dyDescent="0.35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3" x14ac:dyDescent="0.35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</row>
    <row r="50" spans="1:3" x14ac:dyDescent="0.35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</row>
    <row r="51" spans="1:3" x14ac:dyDescent="0.35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3" x14ac:dyDescent="0.35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3" x14ac:dyDescent="0.35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</row>
    <row r="54" spans="1:3" x14ac:dyDescent="0.35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3" x14ac:dyDescent="0.35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</row>
    <row r="56" spans="1:3" x14ac:dyDescent="0.35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</row>
    <row r="57" spans="1:3" x14ac:dyDescent="0.35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</row>
    <row r="58" spans="1:3" x14ac:dyDescent="0.35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3" x14ac:dyDescent="0.35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</row>
    <row r="60" spans="1:3" x14ac:dyDescent="0.35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3" x14ac:dyDescent="0.35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</row>
    <row r="62" spans="1:3" x14ac:dyDescent="0.35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3" x14ac:dyDescent="0.35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3" x14ac:dyDescent="0.35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</row>
    <row r="65" spans="1:3" x14ac:dyDescent="0.35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3" x14ac:dyDescent="0.35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3" x14ac:dyDescent="0.35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</row>
    <row r="68" spans="1:3" x14ac:dyDescent="0.35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3" x14ac:dyDescent="0.35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</row>
    <row r="70" spans="1:3" x14ac:dyDescent="0.35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3" x14ac:dyDescent="0.35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3" x14ac:dyDescent="0.35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</row>
    <row r="73" spans="1:3" x14ac:dyDescent="0.35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3" x14ac:dyDescent="0.35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</row>
    <row r="75" spans="1:3" x14ac:dyDescent="0.35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3" x14ac:dyDescent="0.35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3" x14ac:dyDescent="0.35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</row>
    <row r="78" spans="1:3" x14ac:dyDescent="0.35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</row>
    <row r="79" spans="1:3" x14ac:dyDescent="0.35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</row>
    <row r="80" spans="1:3" x14ac:dyDescent="0.35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3" x14ac:dyDescent="0.35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</row>
    <row r="82" spans="1:3" x14ac:dyDescent="0.35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3" x14ac:dyDescent="0.35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</row>
    <row r="84" spans="1:3" x14ac:dyDescent="0.35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3" x14ac:dyDescent="0.35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3" x14ac:dyDescent="0.35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</row>
    <row r="87" spans="1:3" x14ac:dyDescent="0.35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</row>
    <row r="88" spans="1:3" x14ac:dyDescent="0.35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3" x14ac:dyDescent="0.35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</row>
    <row r="90" spans="1:3" x14ac:dyDescent="0.35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</row>
    <row r="91" spans="1:3" x14ac:dyDescent="0.35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</row>
    <row r="92" spans="1:3" x14ac:dyDescent="0.35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</row>
    <row r="93" spans="1:3" x14ac:dyDescent="0.35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</row>
    <row r="94" spans="1:3" x14ac:dyDescent="0.35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3" x14ac:dyDescent="0.35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</row>
    <row r="96" spans="1:3" x14ac:dyDescent="0.35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</row>
    <row r="97" spans="1:3" x14ac:dyDescent="0.35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</row>
    <row r="98" spans="1:3" x14ac:dyDescent="0.35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</row>
    <row r="99" spans="1:3" x14ac:dyDescent="0.35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</row>
    <row r="100" spans="1:3" x14ac:dyDescent="0.35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</row>
    <row r="101" spans="1:3" x14ac:dyDescent="0.35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</row>
    <row r="102" spans="1:3" x14ac:dyDescent="0.35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3" x14ac:dyDescent="0.35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3" x14ac:dyDescent="0.35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3" x14ac:dyDescent="0.35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3" x14ac:dyDescent="0.35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</row>
    <row r="107" spans="1:3" x14ac:dyDescent="0.35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</row>
    <row r="108" spans="1:3" x14ac:dyDescent="0.35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3" x14ac:dyDescent="0.35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</row>
    <row r="110" spans="1:3" x14ac:dyDescent="0.35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3" x14ac:dyDescent="0.35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3" x14ac:dyDescent="0.35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3" x14ac:dyDescent="0.35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</row>
    <row r="114" spans="1:3" x14ac:dyDescent="0.35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3" x14ac:dyDescent="0.35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3" x14ac:dyDescent="0.35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</row>
    <row r="117" spans="1:3" x14ac:dyDescent="0.35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</row>
    <row r="118" spans="1:3" x14ac:dyDescent="0.35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</row>
    <row r="119" spans="1:3" x14ac:dyDescent="0.35">
      <c r="A119" s="6"/>
      <c r="B119" s="6"/>
      <c r="C119" s="6"/>
    </row>
    <row r="120" spans="1:3" x14ac:dyDescent="0.35">
      <c r="A120" s="6"/>
      <c r="B120" s="6"/>
      <c r="C120" s="6"/>
    </row>
    <row r="121" spans="1:3" x14ac:dyDescent="0.35">
      <c r="A121" s="6"/>
      <c r="B121" s="6"/>
      <c r="C121" s="6"/>
    </row>
    <row r="122" spans="1:3" x14ac:dyDescent="0.35">
      <c r="A122" s="6"/>
      <c r="B122" s="6"/>
      <c r="C122" s="6"/>
    </row>
    <row r="123" spans="1:3" x14ac:dyDescent="0.35">
      <c r="A123" s="6"/>
      <c r="B123" s="6"/>
      <c r="C123" s="6"/>
    </row>
    <row r="124" spans="1:3" x14ac:dyDescent="0.35">
      <c r="A124" s="6"/>
      <c r="B124" s="6"/>
      <c r="C124" s="6"/>
    </row>
    <row r="125" spans="1:3" x14ac:dyDescent="0.35">
      <c r="A125" s="6"/>
      <c r="B125" s="6"/>
      <c r="C12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E4FD-C896-4366-BE50-62B8162E822E}">
  <sheetPr>
    <tabColor theme="6" tint="0.59999389629810485"/>
  </sheetPr>
  <dimension ref="A2:J125"/>
  <sheetViews>
    <sheetView zoomScale="80" zoomScaleNormal="80" workbookViewId="0">
      <selection activeCell="D10" sqref="D10"/>
    </sheetView>
  </sheetViews>
  <sheetFormatPr defaultRowHeight="14.5" x14ac:dyDescent="0.35"/>
  <cols>
    <col min="2" max="2" width="32.90625" customWidth="1"/>
    <col min="3" max="3" width="15.36328125" customWidth="1"/>
  </cols>
  <sheetData>
    <row r="2" spans="1:10" ht="18.5" x14ac:dyDescent="0.45">
      <c r="A2" s="136" t="s">
        <v>350</v>
      </c>
    </row>
    <row r="4" spans="1:10" x14ac:dyDescent="0.35">
      <c r="A4" s="141" t="s">
        <v>1</v>
      </c>
      <c r="B4" s="142"/>
      <c r="C4" s="142"/>
    </row>
    <row r="5" spans="1:10" ht="29" x14ac:dyDescent="0.35">
      <c r="A5" s="143" t="s">
        <v>3</v>
      </c>
      <c r="B5" s="144" t="s">
        <v>4</v>
      </c>
      <c r="C5" s="144" t="s">
        <v>5</v>
      </c>
      <c r="D5" t="s">
        <v>351</v>
      </c>
      <c r="E5" t="s">
        <v>352</v>
      </c>
      <c r="F5" t="s">
        <v>353</v>
      </c>
      <c r="G5" t="s">
        <v>354</v>
      </c>
      <c r="H5" t="s">
        <v>355</v>
      </c>
      <c r="I5" t="s">
        <v>356</v>
      </c>
      <c r="J5" t="s">
        <v>357</v>
      </c>
    </row>
    <row r="6" spans="1:10" x14ac:dyDescent="0.35">
      <c r="A6" s="6" t="str">
        <f>Defaults!A6</f>
        <v>01371</v>
      </c>
      <c r="B6" s="6" t="str">
        <f>Defaults!B6</f>
        <v>Almonds, in shell</v>
      </c>
      <c r="C6" s="6" t="str">
        <f>Defaults!C6</f>
        <v>Nuts</v>
      </c>
    </row>
    <row r="7" spans="1:10" x14ac:dyDescent="0.35">
      <c r="A7" s="6" t="str">
        <f>Defaults!A7</f>
        <v>01654</v>
      </c>
      <c r="B7" s="6" t="str">
        <f>Defaults!B7</f>
        <v>Anise, badian, coriander, cumin, caraway, fennel and juniper berries, raw</v>
      </c>
      <c r="C7" s="6" t="str">
        <f>Defaults!C7</f>
        <v>Vegetables</v>
      </c>
    </row>
    <row r="8" spans="1:10" x14ac:dyDescent="0.35">
      <c r="A8" s="6" t="str">
        <f>Defaults!A8</f>
        <v>01341</v>
      </c>
      <c r="B8" s="6" t="str">
        <f>Defaults!B8</f>
        <v>Apples</v>
      </c>
      <c r="C8" s="6" t="str">
        <f>Defaults!C8</f>
        <v>Fruits</v>
      </c>
    </row>
    <row r="9" spans="1:10" x14ac:dyDescent="0.35">
      <c r="A9" s="6" t="str">
        <f>Defaults!A9</f>
        <v>01343</v>
      </c>
      <c r="B9" s="6" t="str">
        <f>Defaults!B9</f>
        <v>Apricots</v>
      </c>
      <c r="C9" s="6" t="str">
        <f>Defaults!C9</f>
        <v>Fruits</v>
      </c>
    </row>
    <row r="10" spans="1:10" x14ac:dyDescent="0.35">
      <c r="A10" s="6" t="str">
        <f>Defaults!A10</f>
        <v>01216</v>
      </c>
      <c r="B10" s="6" t="str">
        <f>Defaults!B10</f>
        <v>Artichokes</v>
      </c>
      <c r="C10" s="6" t="str">
        <f>Defaults!C10</f>
        <v>Vegetables</v>
      </c>
    </row>
    <row r="11" spans="1:10" x14ac:dyDescent="0.35">
      <c r="A11" s="6" t="str">
        <f>Defaults!A11</f>
        <v>01211</v>
      </c>
      <c r="B11" s="6" t="str">
        <f>Defaults!B11</f>
        <v>Asparagus</v>
      </c>
      <c r="C11" s="6" t="str">
        <f>Defaults!C11</f>
        <v>Vegetables</v>
      </c>
    </row>
    <row r="12" spans="1:10" x14ac:dyDescent="0.35">
      <c r="A12" s="6" t="str">
        <f>Defaults!A12</f>
        <v>01311</v>
      </c>
      <c r="B12" s="6" t="str">
        <f>Defaults!B12</f>
        <v>Avocados</v>
      </c>
      <c r="C12" s="6" t="str">
        <f>Defaults!C12</f>
        <v>Vegetables</v>
      </c>
    </row>
    <row r="13" spans="1:10" x14ac:dyDescent="0.35">
      <c r="A13" s="6" t="str">
        <f>Defaults!A13</f>
        <v>01312</v>
      </c>
      <c r="B13" s="6" t="str">
        <f>Defaults!B13</f>
        <v>Bananas</v>
      </c>
      <c r="C13" s="6" t="str">
        <f>Defaults!C13</f>
        <v>Fruits</v>
      </c>
    </row>
    <row r="14" spans="1:10" x14ac:dyDescent="0.35">
      <c r="A14" s="6" t="str">
        <f>Defaults!A14</f>
        <v>0115</v>
      </c>
      <c r="B14" s="6" t="str">
        <f>Defaults!B14</f>
        <v>Barley, average</v>
      </c>
      <c r="C14" s="6" t="str">
        <f>Defaults!C14</f>
        <v>Cereals, incl feed</v>
      </c>
    </row>
    <row r="15" spans="1:10" x14ac:dyDescent="0.35">
      <c r="A15" s="6" t="str">
        <f>Defaults!A15</f>
        <v>0115_s</v>
      </c>
      <c r="B15" s="6" t="str">
        <f>Defaults!B15</f>
        <v>Barley, spring</v>
      </c>
      <c r="C15" s="6" t="str">
        <f>Defaults!C15</f>
        <v>Cereals</v>
      </c>
    </row>
    <row r="16" spans="1:10" x14ac:dyDescent="0.35">
      <c r="A16" s="6" t="str">
        <f>Defaults!A16</f>
        <v>0115_w</v>
      </c>
      <c r="B16" s="6" t="str">
        <f>Defaults!B16</f>
        <v>Barley, winter</v>
      </c>
      <c r="C16" s="6" t="str">
        <f>Defaults!C16</f>
        <v>Cereals</v>
      </c>
    </row>
    <row r="17" spans="1:3" x14ac:dyDescent="0.35">
      <c r="A17" s="6" t="str">
        <f>Defaults!A17</f>
        <v>01701</v>
      </c>
      <c r="B17" s="6" t="str">
        <f>Defaults!B17</f>
        <v>Beans, dry</v>
      </c>
      <c r="C17" s="6" t="str">
        <f>Defaults!C17</f>
        <v>Pulses</v>
      </c>
    </row>
    <row r="18" spans="1:3" x14ac:dyDescent="0.35">
      <c r="A18" s="6" t="str">
        <f>Defaults!A18</f>
        <v>01355.01</v>
      </c>
      <c r="B18" s="6" t="str">
        <f>Defaults!B18</f>
        <v>Blueberries</v>
      </c>
      <c r="C18" s="6" t="str">
        <f>Defaults!C18</f>
        <v>Berries</v>
      </c>
    </row>
    <row r="19" spans="1:3" x14ac:dyDescent="0.35">
      <c r="A19" s="6" t="str">
        <f>Defaults!A19</f>
        <v>01377</v>
      </c>
      <c r="B19" s="6" t="str">
        <f>Defaults!B19</f>
        <v>Brazil nuts, in shell</v>
      </c>
      <c r="C19" s="6" t="str">
        <f>Defaults!C19</f>
        <v>Nuts</v>
      </c>
    </row>
    <row r="20" spans="1:3" x14ac:dyDescent="0.35">
      <c r="A20" s="6" t="str">
        <f>Defaults!A20</f>
        <v>01702</v>
      </c>
      <c r="B20" s="6" t="str">
        <f>Defaults!B20</f>
        <v>Broad beans and horse beans, dry</v>
      </c>
      <c r="C20" s="6" t="str">
        <f>Defaults!C20</f>
        <v>Pulses, incl feed</v>
      </c>
    </row>
    <row r="21" spans="1:3" x14ac:dyDescent="0.35">
      <c r="A21" s="6" t="str">
        <f>Defaults!A21</f>
        <v>01243</v>
      </c>
      <c r="B21" s="6" t="str">
        <f>Defaults!B21</f>
        <v>Broad beans and horse beans, green</v>
      </c>
      <c r="C21" s="6" t="str">
        <f>Defaults!C21</f>
        <v>Vegetables</v>
      </c>
    </row>
    <row r="22" spans="1:3" x14ac:dyDescent="0.35">
      <c r="A22" s="6" t="str">
        <f>Defaults!A22</f>
        <v>01213_b</v>
      </c>
      <c r="B22" s="6" t="str">
        <f>Defaults!B22</f>
        <v>Broccoli</v>
      </c>
      <c r="C22" s="6" t="str">
        <f>Defaults!C22</f>
        <v>Vegetables</v>
      </c>
    </row>
    <row r="23" spans="1:3" x14ac:dyDescent="0.35">
      <c r="A23" s="6" t="str">
        <f>Defaults!A23</f>
        <v>01192</v>
      </c>
      <c r="B23" s="6" t="str">
        <f>Defaults!B23</f>
        <v>Buckwheat</v>
      </c>
      <c r="C23" s="6" t="str">
        <f>Defaults!C23</f>
        <v>Seeds</v>
      </c>
    </row>
    <row r="24" spans="1:3" x14ac:dyDescent="0.35">
      <c r="A24" s="6" t="str">
        <f>Defaults!A24</f>
        <v>01212</v>
      </c>
      <c r="B24" s="6" t="str">
        <f>Defaults!B24</f>
        <v>Cabbages</v>
      </c>
      <c r="C24" s="6" t="str">
        <f>Defaults!C24</f>
        <v>Vegetables</v>
      </c>
    </row>
    <row r="25" spans="1:3" x14ac:dyDescent="0.35">
      <c r="A25" s="6" t="str">
        <f>Defaults!A25</f>
        <v>01229</v>
      </c>
      <c r="B25" s="6" t="str">
        <f>Defaults!B25</f>
        <v>Cantaloupes and other melons</v>
      </c>
      <c r="C25" s="6" t="str">
        <f>Defaults!C25</f>
        <v>Fruits</v>
      </c>
    </row>
    <row r="26" spans="1:3" x14ac:dyDescent="0.35">
      <c r="A26" s="6" t="str">
        <f>Defaults!A26</f>
        <v>01251</v>
      </c>
      <c r="B26" s="6" t="str">
        <f>Defaults!B26</f>
        <v>Carrots and turnips</v>
      </c>
      <c r="C26" s="6" t="str">
        <f>Defaults!C26</f>
        <v>Vegetables</v>
      </c>
    </row>
    <row r="27" spans="1:3" x14ac:dyDescent="0.35">
      <c r="A27" s="6" t="str">
        <f>Defaults!A27</f>
        <v>01372</v>
      </c>
      <c r="B27" s="6" t="str">
        <f>Defaults!B27</f>
        <v>Cashew nuts, in shell</v>
      </c>
      <c r="C27" s="6" t="str">
        <f>Defaults!C27</f>
        <v>Nuts</v>
      </c>
    </row>
    <row r="28" spans="1:3" x14ac:dyDescent="0.35">
      <c r="A28" s="6" t="str">
        <f>Defaults!A28</f>
        <v>01213_cf</v>
      </c>
      <c r="B28" s="6" t="str">
        <f>Defaults!B28</f>
        <v>Cauliflowers</v>
      </c>
      <c r="C28" s="6" t="str">
        <f>Defaults!C28</f>
        <v>Vegetables</v>
      </c>
    </row>
    <row r="29" spans="1:3" x14ac:dyDescent="0.35">
      <c r="A29" s="6" t="str">
        <f>Defaults!A29</f>
        <v>01213</v>
      </c>
      <c r="B29" s="6" t="str">
        <f>Defaults!B29</f>
        <v>Cauliflowers and broccoli, average</v>
      </c>
      <c r="C29" s="6" t="str">
        <f>Defaults!C29</f>
        <v>Vegetables</v>
      </c>
    </row>
    <row r="30" spans="1:3" x14ac:dyDescent="0.35">
      <c r="A30" s="6" t="str">
        <f>Defaults!A30</f>
        <v>01199.90</v>
      </c>
      <c r="B30" s="6" t="str">
        <f>Defaults!B30</f>
        <v>Cereals n.e.c.</v>
      </c>
      <c r="C30" s="6" t="str">
        <f>Defaults!C30</f>
        <v>Cereals</v>
      </c>
    </row>
    <row r="31" spans="1:3" x14ac:dyDescent="0.35">
      <c r="A31" s="6" t="str">
        <f>Defaults!A31</f>
        <v>01344.02</v>
      </c>
      <c r="B31" s="6" t="str">
        <f>Defaults!B31</f>
        <v>Cherries</v>
      </c>
      <c r="C31" s="6" t="str">
        <f>Defaults!C31</f>
        <v>Berries</v>
      </c>
    </row>
    <row r="32" spans="1:3" x14ac:dyDescent="0.35">
      <c r="A32" s="6" t="str">
        <f>Defaults!A32</f>
        <v>01373</v>
      </c>
      <c r="B32" s="6" t="str">
        <f>Defaults!B32</f>
        <v>Chestnuts, in shell</v>
      </c>
      <c r="C32" s="6" t="str">
        <f>Defaults!C32</f>
        <v>Nuts</v>
      </c>
    </row>
    <row r="33" spans="1:3" x14ac:dyDescent="0.35">
      <c r="A33" s="6" t="str">
        <f>Defaults!A33</f>
        <v>01703</v>
      </c>
      <c r="B33" s="6" t="str">
        <f>Defaults!B33</f>
        <v>Chick peas, dry</v>
      </c>
      <c r="C33" s="6" t="str">
        <f>Defaults!C33</f>
        <v>Pulses</v>
      </c>
    </row>
    <row r="34" spans="1:3" x14ac:dyDescent="0.35">
      <c r="A34" s="6" t="str">
        <f>Defaults!A34</f>
        <v>01231</v>
      </c>
      <c r="B34" s="6" t="str">
        <f>Defaults!B34</f>
        <v>Chillies and peppers, green (Capsicum spp. and Pimenta spp.), raw</v>
      </c>
      <c r="C34" s="6" t="str">
        <f>Defaults!C34</f>
        <v>Spices</v>
      </c>
    </row>
    <row r="35" spans="1:3" x14ac:dyDescent="0.35">
      <c r="A35" s="6" t="str">
        <f>Defaults!A35</f>
        <v>01640</v>
      </c>
      <c r="B35" s="6" t="str">
        <f>Defaults!B35</f>
        <v>Cocoa beans</v>
      </c>
      <c r="C35" s="6" t="str">
        <f>Defaults!C35</f>
        <v>Stimulants</v>
      </c>
    </row>
    <row r="36" spans="1:3" x14ac:dyDescent="0.35">
      <c r="A36" s="6" t="str">
        <f>Defaults!A36</f>
        <v>01460</v>
      </c>
      <c r="B36" s="6" t="str">
        <f>Defaults!B36</f>
        <v>Coconut, in shell</v>
      </c>
      <c r="C36" s="6" t="str">
        <f>Defaults!C36</f>
        <v>Nuts</v>
      </c>
    </row>
    <row r="37" spans="1:3" x14ac:dyDescent="0.35">
      <c r="A37" s="6" t="str">
        <f>Defaults!A37</f>
        <v>01610</v>
      </c>
      <c r="B37" s="6" t="str">
        <f>Defaults!B37</f>
        <v>Coffee, green</v>
      </c>
      <c r="C37" s="6" t="str">
        <f>Defaults!C37</f>
        <v>Stimulants</v>
      </c>
    </row>
    <row r="38" spans="1:3" x14ac:dyDescent="0.35">
      <c r="A38" s="6" t="str">
        <f>Defaults!A38</f>
        <v>01232</v>
      </c>
      <c r="B38" s="6" t="str">
        <f>Defaults!B38</f>
        <v>Cucumbers and gherkins, averrage</v>
      </c>
      <c r="C38" s="6" t="str">
        <f>Defaults!C38</f>
        <v>Vegetables</v>
      </c>
    </row>
    <row r="39" spans="1:3" x14ac:dyDescent="0.35">
      <c r="A39" s="6" t="str">
        <f>Defaults!A39</f>
        <v>01232_gh</v>
      </c>
      <c r="B39" s="6" t="str">
        <f>Defaults!B39</f>
        <v>Cucumbers and gherkins, greenhouse</v>
      </c>
      <c r="C39" s="6" t="str">
        <f>Defaults!C39</f>
        <v>Vegetables</v>
      </c>
    </row>
    <row r="40" spans="1:3" x14ac:dyDescent="0.35">
      <c r="A40" s="6" t="str">
        <f>Defaults!A40</f>
        <v>01232_of</v>
      </c>
      <c r="B40" s="6" t="str">
        <f>Defaults!B40</f>
        <v>Cucumbers and gherkins, openfield</v>
      </c>
      <c r="C40" s="6" t="str">
        <f>Defaults!C40</f>
        <v>Vegetables</v>
      </c>
    </row>
    <row r="41" spans="1:3" x14ac:dyDescent="0.35">
      <c r="A41" s="6" t="str">
        <f>Defaults!A41</f>
        <v>01351.01</v>
      </c>
      <c r="B41" s="6" t="str">
        <f>Defaults!B41</f>
        <v>Currants</v>
      </c>
      <c r="C41" s="6" t="str">
        <f>Defaults!C41</f>
        <v>Berries</v>
      </c>
    </row>
    <row r="42" spans="1:3" x14ac:dyDescent="0.35">
      <c r="A42" s="6" t="str">
        <f>Defaults!A42</f>
        <v>01314</v>
      </c>
      <c r="B42" s="6" t="str">
        <f>Defaults!B42</f>
        <v>Dates</v>
      </c>
      <c r="C42" s="6" t="str">
        <f>Defaults!C42</f>
        <v>Fruits</v>
      </c>
    </row>
    <row r="43" spans="1:3" x14ac:dyDescent="0.35">
      <c r="A43" s="6" t="str">
        <f>Defaults!A43</f>
        <v>01599.10</v>
      </c>
      <c r="B43" s="6" t="str">
        <f>Defaults!B43</f>
        <v>Edible roots and tubers with high starch or inulin content, n.e.c., fresh</v>
      </c>
      <c r="C43" s="6" t="str">
        <f>Defaults!C43</f>
        <v>Roots</v>
      </c>
    </row>
    <row r="44" spans="1:3" x14ac:dyDescent="0.35">
      <c r="A44" s="6" t="str">
        <f>Defaults!A44</f>
        <v>01233</v>
      </c>
      <c r="B44" s="6" t="str">
        <f>Defaults!B44</f>
        <v>Eggplants (aubergines)</v>
      </c>
      <c r="C44" s="6" t="str">
        <f>Defaults!C44</f>
        <v>Vegetables</v>
      </c>
    </row>
    <row r="45" spans="1:3" x14ac:dyDescent="0.35">
      <c r="A45" s="6" t="str">
        <f>Defaults!A45</f>
        <v>01315</v>
      </c>
      <c r="B45" s="6" t="str">
        <f>Defaults!B45</f>
        <v>Figs</v>
      </c>
      <c r="C45" s="6" t="str">
        <f>Defaults!C45</f>
        <v>Fruits</v>
      </c>
    </row>
    <row r="46" spans="1:3" x14ac:dyDescent="0.35">
      <c r="A46" s="6" t="str">
        <f>Defaults!A46</f>
        <v>01351.02</v>
      </c>
      <c r="B46" s="6" t="str">
        <f>Defaults!B46</f>
        <v>Gooseberries</v>
      </c>
      <c r="C46" s="6" t="str">
        <f>Defaults!C46</f>
        <v>Berries</v>
      </c>
    </row>
    <row r="47" spans="1:3" x14ac:dyDescent="0.35">
      <c r="A47" s="6" t="str">
        <f>Defaults!A47</f>
        <v>01330</v>
      </c>
      <c r="B47" s="6" t="str">
        <f>Defaults!B47</f>
        <v>Grapes</v>
      </c>
      <c r="C47" s="6" t="str">
        <f>Defaults!C47</f>
        <v>Fruits</v>
      </c>
    </row>
    <row r="48" spans="1:3" x14ac:dyDescent="0.35">
      <c r="A48" s="6" t="str">
        <f>Defaults!A48</f>
        <v>01290.01</v>
      </c>
      <c r="B48" s="6" t="str">
        <f>Defaults!B48</f>
        <v>Green corn (maize)</v>
      </c>
      <c r="C48" s="6" t="str">
        <f>Defaults!C48</f>
        <v>Vegetables</v>
      </c>
    </row>
    <row r="49" spans="1:3" x14ac:dyDescent="0.35">
      <c r="A49" s="6" t="str">
        <f>Defaults!A49</f>
        <v>01252</v>
      </c>
      <c r="B49" s="6" t="str">
        <f>Defaults!B49</f>
        <v>Green garlic</v>
      </c>
      <c r="C49" s="6" t="str">
        <f>Defaults!C49</f>
        <v>Vegetables</v>
      </c>
    </row>
    <row r="50" spans="1:3" x14ac:dyDescent="0.35">
      <c r="A50" s="6" t="str">
        <f>Defaults!A50</f>
        <v>0142</v>
      </c>
      <c r="B50" s="6" t="str">
        <f>Defaults!B50</f>
        <v>Groundnuts, excluding shelled</v>
      </c>
      <c r="C50" s="6" t="str">
        <f>Defaults!C50</f>
        <v>Nuts</v>
      </c>
    </row>
    <row r="51" spans="1:3" x14ac:dyDescent="0.35">
      <c r="A51" s="6" t="str">
        <f>Defaults!A51</f>
        <v>01374</v>
      </c>
      <c r="B51" s="6" t="str">
        <f>Defaults!B51</f>
        <v>Hazelnuts, in shell</v>
      </c>
      <c r="C51" s="6" t="str">
        <f>Defaults!C51</f>
        <v>Nuts</v>
      </c>
    </row>
    <row r="52" spans="1:3" x14ac:dyDescent="0.35">
      <c r="A52" s="6" t="str">
        <f>Defaults!A52</f>
        <v>01352</v>
      </c>
      <c r="B52" s="6" t="str">
        <f>Defaults!B52</f>
        <v>Kiwi fruit</v>
      </c>
      <c r="C52" s="6" t="str">
        <f>Defaults!C52</f>
        <v>Fruits</v>
      </c>
    </row>
    <row r="53" spans="1:3" x14ac:dyDescent="0.35">
      <c r="A53" s="6" t="str">
        <f>Defaults!A53</f>
        <v>01254</v>
      </c>
      <c r="B53" s="6" t="str">
        <f>Defaults!B53</f>
        <v>Leeks and other alliaceous vegetables</v>
      </c>
      <c r="C53" s="6" t="str">
        <f>Defaults!C53</f>
        <v>Vegetables</v>
      </c>
    </row>
    <row r="54" spans="1:3" x14ac:dyDescent="0.35">
      <c r="A54" s="6" t="str">
        <f>Defaults!A54</f>
        <v>01322</v>
      </c>
      <c r="B54" s="6" t="str">
        <f>Defaults!B54</f>
        <v>Lemons and limes</v>
      </c>
      <c r="C54" s="6" t="str">
        <f>Defaults!C54</f>
        <v>Fruits</v>
      </c>
    </row>
    <row r="55" spans="1:3" x14ac:dyDescent="0.35">
      <c r="A55" s="6" t="str">
        <f>Defaults!A55</f>
        <v>01704</v>
      </c>
      <c r="B55" s="6" t="str">
        <f>Defaults!B55</f>
        <v>Lentils, dry</v>
      </c>
      <c r="C55" s="6" t="str">
        <f>Defaults!C55</f>
        <v>Pulses</v>
      </c>
    </row>
    <row r="56" spans="1:3" x14ac:dyDescent="0.35">
      <c r="A56" s="6" t="str">
        <f>Defaults!A56</f>
        <v>01214</v>
      </c>
      <c r="B56" s="6" t="str">
        <f>Defaults!B56</f>
        <v>Lettuce and chicory</v>
      </c>
      <c r="C56" s="6" t="str">
        <f>Defaults!C56</f>
        <v>Vegetables</v>
      </c>
    </row>
    <row r="57" spans="1:3" x14ac:dyDescent="0.35">
      <c r="A57" s="6" t="str">
        <f>Defaults!A57</f>
        <v>01441</v>
      </c>
      <c r="B57" s="6" t="str">
        <f>Defaults!B57</f>
        <v>Linseed</v>
      </c>
      <c r="C57" s="6" t="str">
        <f>Defaults!C57</f>
        <v>Seeds</v>
      </c>
    </row>
    <row r="58" spans="1:3" x14ac:dyDescent="0.35">
      <c r="A58" s="6" t="str">
        <f>Defaults!A58</f>
        <v>01709.02</v>
      </c>
      <c r="B58" s="6" t="str">
        <f>Defaults!B58</f>
        <v>Lupins</v>
      </c>
      <c r="C58" s="6" t="str">
        <f>Defaults!C58</f>
        <v>Pulses</v>
      </c>
    </row>
    <row r="59" spans="1:3" x14ac:dyDescent="0.35">
      <c r="A59" s="6" t="str">
        <f>Defaults!A59</f>
        <v>0112</v>
      </c>
      <c r="B59" s="6" t="str">
        <f>Defaults!B59</f>
        <v>Maize (corn)</v>
      </c>
      <c r="C59" s="6" t="str">
        <f>Defaults!C59</f>
        <v>Cereals, incl feed</v>
      </c>
    </row>
    <row r="60" spans="1:3" x14ac:dyDescent="0.35">
      <c r="A60" s="6" t="str">
        <f>Defaults!A60</f>
        <v>01316</v>
      </c>
      <c r="B60" s="6" t="str">
        <f>Defaults!B60</f>
        <v>Mangoes, guavas and mangosteens</v>
      </c>
      <c r="C60" s="6" t="str">
        <f>Defaults!C60</f>
        <v>Fruits</v>
      </c>
    </row>
    <row r="61" spans="1:3" x14ac:dyDescent="0.35">
      <c r="A61" s="6" t="str">
        <f>Defaults!A61</f>
        <v>0118</v>
      </c>
      <c r="B61" s="6" t="str">
        <f>Defaults!B61</f>
        <v>Millet</v>
      </c>
      <c r="C61" s="6" t="str">
        <f>Defaults!C61</f>
        <v>Cereals</v>
      </c>
    </row>
    <row r="62" spans="1:3" x14ac:dyDescent="0.35">
      <c r="A62" s="6" t="str">
        <f>Defaults!A62</f>
        <v>01199.02</v>
      </c>
      <c r="B62" s="6" t="str">
        <f>Defaults!B62</f>
        <v>Mixed grain</v>
      </c>
      <c r="C62" s="6" t="str">
        <f>Defaults!C62</f>
        <v>Cereals</v>
      </c>
    </row>
    <row r="63" spans="1:3" x14ac:dyDescent="0.35">
      <c r="A63" s="6" t="str">
        <f>Defaults!A63</f>
        <v>01270</v>
      </c>
      <c r="B63" s="6" t="str">
        <f>Defaults!B63</f>
        <v>Mushrooms and truffles</v>
      </c>
      <c r="C63" s="6" t="str">
        <f>Defaults!C63</f>
        <v>Mushrooms</v>
      </c>
    </row>
    <row r="64" spans="1:3" x14ac:dyDescent="0.35">
      <c r="A64" s="6" t="str">
        <f>Defaults!A64</f>
        <v>0117</v>
      </c>
      <c r="B64" s="6" t="str">
        <f>Defaults!B64</f>
        <v>Oats</v>
      </c>
      <c r="C64" s="6" t="str">
        <f>Defaults!C64</f>
        <v>Cereals, incl feed</v>
      </c>
    </row>
    <row r="65" spans="1:3" x14ac:dyDescent="0.35">
      <c r="A65" s="6" t="str">
        <f>Defaults!A65</f>
        <v>01491.01</v>
      </c>
      <c r="B65" s="6" t="str">
        <f>Defaults!B65</f>
        <v>Oil palm fruit</v>
      </c>
      <c r="C65" s="6" t="str">
        <f>Defaults!C65</f>
        <v>Oil crops, tree</v>
      </c>
    </row>
    <row r="66" spans="1:3" x14ac:dyDescent="0.35">
      <c r="A66" s="6" t="str">
        <f>Defaults!A66</f>
        <v>01450</v>
      </c>
      <c r="B66" s="6" t="str">
        <f>Defaults!B66</f>
        <v>Olives</v>
      </c>
      <c r="C66" s="6" t="str">
        <f>Defaults!C66</f>
        <v>Oil crops, tree</v>
      </c>
    </row>
    <row r="67" spans="1:3" x14ac:dyDescent="0.35">
      <c r="A67" s="6" t="str">
        <f>Defaults!A67</f>
        <v>01253.02</v>
      </c>
      <c r="B67" s="6" t="str">
        <f>Defaults!B67</f>
        <v>Onions and shallots, dry (excluding dehydrated)</v>
      </c>
      <c r="C67" s="6" t="str">
        <f>Defaults!C67</f>
        <v>Vegetables</v>
      </c>
    </row>
    <row r="68" spans="1:3" x14ac:dyDescent="0.35">
      <c r="A68" s="6" t="str">
        <f>Defaults!A68</f>
        <v>01323</v>
      </c>
      <c r="B68" s="6" t="str">
        <f>Defaults!B68</f>
        <v>Oranges</v>
      </c>
      <c r="C68" s="6" t="str">
        <f>Defaults!C68</f>
        <v>Fruits</v>
      </c>
    </row>
    <row r="69" spans="1:3" x14ac:dyDescent="0.35">
      <c r="A69" s="6" t="str">
        <f>Defaults!A69</f>
        <v>01241.90</v>
      </c>
      <c r="B69" s="6" t="str">
        <f>Defaults!B69</f>
        <v>Other beans, green</v>
      </c>
      <c r="C69" s="6" t="str">
        <f>Defaults!C69</f>
        <v>Vegetables</v>
      </c>
    </row>
    <row r="70" spans="1:3" x14ac:dyDescent="0.35">
      <c r="A70" s="6" t="str">
        <f>Defaults!A70</f>
        <v>01359.90</v>
      </c>
      <c r="B70" s="6" t="str">
        <f>Defaults!B70</f>
        <v>Other fruits, n.e.c.</v>
      </c>
      <c r="C70" s="6" t="str">
        <f>Defaults!C70</f>
        <v>Fruits</v>
      </c>
    </row>
    <row r="71" spans="1:3" x14ac:dyDescent="0.35">
      <c r="A71" s="6" t="str">
        <f>Defaults!A71</f>
        <v>01449.90</v>
      </c>
      <c r="B71" s="6" t="str">
        <f>Defaults!B71</f>
        <v>Other oil seeds, n.e.c.</v>
      </c>
      <c r="C71" s="6" t="str">
        <f>Defaults!C71</f>
        <v>Oil crops</v>
      </c>
    </row>
    <row r="72" spans="1:3" x14ac:dyDescent="0.35">
      <c r="A72" s="6" t="str">
        <f>Defaults!A72</f>
        <v>01709.90</v>
      </c>
      <c r="B72" s="6" t="str">
        <f>Defaults!B72</f>
        <v>Other pulses n.e.c.</v>
      </c>
      <c r="C72" s="6" t="str">
        <f>Defaults!C72</f>
        <v>Pulses</v>
      </c>
    </row>
    <row r="73" spans="1:3" x14ac:dyDescent="0.35">
      <c r="A73" s="6" t="str">
        <f>Defaults!A73</f>
        <v>01699</v>
      </c>
      <c r="B73" s="6" t="str">
        <f>Defaults!B73</f>
        <v>Other stimulant, spice and aromatic crops, n.e.c.</v>
      </c>
      <c r="C73" s="6" t="str">
        <f>Defaults!C73</f>
        <v>Stimulants</v>
      </c>
    </row>
    <row r="74" spans="1:3" x14ac:dyDescent="0.35">
      <c r="A74" s="6" t="str">
        <f>Defaults!A74</f>
        <v>01290.90</v>
      </c>
      <c r="B74" s="6" t="str">
        <f>Defaults!B74</f>
        <v>Other vegetables, fresh n.e.c.</v>
      </c>
      <c r="C74" s="6" t="str">
        <f>Defaults!C74</f>
        <v>Vegetables</v>
      </c>
    </row>
    <row r="75" spans="1:3" x14ac:dyDescent="0.35">
      <c r="A75" s="6" t="str">
        <f>Defaults!A75</f>
        <v>01317</v>
      </c>
      <c r="B75" s="6" t="str">
        <f>Defaults!B75</f>
        <v>Papayas</v>
      </c>
      <c r="C75" s="6" t="str">
        <f>Defaults!C75</f>
        <v>Fruits</v>
      </c>
    </row>
    <row r="76" spans="1:3" x14ac:dyDescent="0.35">
      <c r="A76" s="6" t="str">
        <f>Defaults!A76</f>
        <v>01345</v>
      </c>
      <c r="B76" s="6" t="str">
        <f>Defaults!B76</f>
        <v>Peaches and nectarines</v>
      </c>
      <c r="C76" s="6" t="str">
        <f>Defaults!C76</f>
        <v>Fruits</v>
      </c>
    </row>
    <row r="77" spans="1:3" x14ac:dyDescent="0.35">
      <c r="A77" s="6" t="str">
        <f>Defaults!A77</f>
        <v>01342.01</v>
      </c>
      <c r="B77" s="6" t="str">
        <f>Defaults!B77</f>
        <v>Pears</v>
      </c>
      <c r="C77" s="6" t="str">
        <f>Defaults!C77</f>
        <v>Fruits</v>
      </c>
    </row>
    <row r="78" spans="1:3" x14ac:dyDescent="0.35">
      <c r="A78" s="6" t="str">
        <f>Defaults!A78</f>
        <v>01705</v>
      </c>
      <c r="B78" s="6" t="str">
        <f>Defaults!B78</f>
        <v>Peas, dry</v>
      </c>
      <c r="C78" s="6" t="str">
        <f>Defaults!C78</f>
        <v>Pulses, incl feed</v>
      </c>
    </row>
    <row r="79" spans="1:3" x14ac:dyDescent="0.35">
      <c r="A79" s="6" t="str">
        <f>Defaults!A79</f>
        <v>01242</v>
      </c>
      <c r="B79" s="6" t="str">
        <f>Defaults!B79</f>
        <v>Peas, green</v>
      </c>
      <c r="C79" s="6" t="str">
        <f>Defaults!C79</f>
        <v>Vegetables</v>
      </c>
    </row>
    <row r="80" spans="1:3" x14ac:dyDescent="0.35">
      <c r="A80" s="6" t="str">
        <f>Defaults!A80</f>
        <v>01651</v>
      </c>
      <c r="B80" s="6" t="str">
        <f>Defaults!B80</f>
        <v>Pepper (Piper spp.), raw</v>
      </c>
      <c r="C80" s="6" t="str">
        <f>Defaults!C80</f>
        <v>Vegetables</v>
      </c>
    </row>
    <row r="81" spans="1:3" x14ac:dyDescent="0.35">
      <c r="A81" s="6" t="str">
        <f>Defaults!A81</f>
        <v>01318</v>
      </c>
      <c r="B81" s="6" t="str">
        <f>Defaults!B81</f>
        <v>Pineapples</v>
      </c>
      <c r="C81" s="6" t="str">
        <f>Defaults!C81</f>
        <v>Fruits</v>
      </c>
    </row>
    <row r="82" spans="1:3" x14ac:dyDescent="0.35">
      <c r="A82" s="6" t="str">
        <f>Defaults!A82</f>
        <v>01313</v>
      </c>
      <c r="B82" s="6" t="str">
        <f>Defaults!B82</f>
        <v>Plantains and cooking bananas</v>
      </c>
      <c r="C82" s="6" t="str">
        <f>Defaults!C82</f>
        <v>Fruits</v>
      </c>
    </row>
    <row r="83" spans="1:3" x14ac:dyDescent="0.35">
      <c r="A83" s="6" t="str">
        <f>Defaults!A83</f>
        <v>01346</v>
      </c>
      <c r="B83" s="6" t="str">
        <f>Defaults!B83</f>
        <v>Plums and sloes</v>
      </c>
      <c r="C83" s="6" t="str">
        <f>Defaults!C83</f>
        <v>Fruits</v>
      </c>
    </row>
    <row r="84" spans="1:3" x14ac:dyDescent="0.35">
      <c r="A84" s="6" t="str">
        <f>Defaults!A84</f>
        <v>01321</v>
      </c>
      <c r="B84" s="6" t="str">
        <f>Defaults!B84</f>
        <v>Pomelos and grapefruits</v>
      </c>
      <c r="C84" s="6" t="str">
        <f>Defaults!C84</f>
        <v>Fruits</v>
      </c>
    </row>
    <row r="85" spans="1:3" x14ac:dyDescent="0.35">
      <c r="A85" s="6" t="str">
        <f>Defaults!A85</f>
        <v>01448</v>
      </c>
      <c r="B85" s="6" t="str">
        <f>Defaults!B85</f>
        <v>Poppy seed</v>
      </c>
      <c r="C85" s="6" t="str">
        <f>Defaults!C85</f>
        <v>Seeds</v>
      </c>
    </row>
    <row r="86" spans="1:3" x14ac:dyDescent="0.35">
      <c r="A86" s="6" t="str">
        <f>Defaults!A86</f>
        <v>01510</v>
      </c>
      <c r="B86" s="6" t="str">
        <f>Defaults!B86</f>
        <v>Potatoes</v>
      </c>
      <c r="C86" s="6" t="str">
        <f>Defaults!C86</f>
        <v>Roots</v>
      </c>
    </row>
    <row r="87" spans="1:3" x14ac:dyDescent="0.35">
      <c r="A87" s="6" t="str">
        <f>Defaults!A87</f>
        <v>01235</v>
      </c>
      <c r="B87" s="6" t="str">
        <f>Defaults!B87</f>
        <v>Pumpkins, squash and gourds</v>
      </c>
      <c r="C87" s="6" t="str">
        <f>Defaults!C87</f>
        <v>Vegetables</v>
      </c>
    </row>
    <row r="88" spans="1:3" x14ac:dyDescent="0.35">
      <c r="A88" s="6" t="str">
        <f>Defaults!A88</f>
        <v>01342.02</v>
      </c>
      <c r="B88" s="6" t="str">
        <f>Defaults!B88</f>
        <v>Quinces</v>
      </c>
      <c r="C88" s="6" t="str">
        <f>Defaults!C88</f>
        <v>Other</v>
      </c>
    </row>
    <row r="89" spans="1:3" x14ac:dyDescent="0.35">
      <c r="A89" s="6" t="str">
        <f>Defaults!A89</f>
        <v>01194</v>
      </c>
      <c r="B89" s="6" t="str">
        <f>Defaults!B89</f>
        <v>Quinoa</v>
      </c>
      <c r="C89" s="6" t="str">
        <f>Defaults!C89</f>
        <v>Seeds</v>
      </c>
    </row>
    <row r="90" spans="1:3" x14ac:dyDescent="0.35">
      <c r="A90" s="6" t="str">
        <f>Defaults!A90</f>
        <v>01443</v>
      </c>
      <c r="B90" s="6" t="str">
        <f>Defaults!B90</f>
        <v>Rape or colza seed, average</v>
      </c>
      <c r="C90" s="6" t="str">
        <f>Defaults!C90</f>
        <v>Oil crops</v>
      </c>
    </row>
    <row r="91" spans="1:3" x14ac:dyDescent="0.35">
      <c r="A91" s="6" t="str">
        <f>Defaults!A91</f>
        <v>01443_s</v>
      </c>
      <c r="B91" s="6" t="str">
        <f>Defaults!B91</f>
        <v>Rape or colza seed, spring</v>
      </c>
      <c r="C91" s="6" t="str">
        <f>Defaults!C91</f>
        <v>Oil crops</v>
      </c>
    </row>
    <row r="92" spans="1:3" x14ac:dyDescent="0.35">
      <c r="A92" s="6" t="str">
        <f>Defaults!A92</f>
        <v>01443_w</v>
      </c>
      <c r="B92" s="6" t="str">
        <f>Defaults!B92</f>
        <v>Rape or colza seed, winter</v>
      </c>
      <c r="C92" s="6" t="str">
        <f>Defaults!C92</f>
        <v>Oil crops</v>
      </c>
    </row>
    <row r="93" spans="1:3" x14ac:dyDescent="0.35">
      <c r="A93" s="6" t="str">
        <f>Defaults!A93</f>
        <v>01353.01</v>
      </c>
      <c r="B93" s="6" t="str">
        <f>Defaults!B93</f>
        <v>Raspberries</v>
      </c>
      <c r="C93" s="6" t="str">
        <f>Defaults!C93</f>
        <v>Berries</v>
      </c>
    </row>
    <row r="94" spans="1:3" x14ac:dyDescent="0.35">
      <c r="A94" s="6" t="str">
        <f>Defaults!A94</f>
        <v>0113</v>
      </c>
      <c r="B94" s="6" t="str">
        <f>Defaults!B94</f>
        <v>Rice</v>
      </c>
      <c r="C94" s="6" t="str">
        <f>Defaults!C94</f>
        <v>Cereals</v>
      </c>
    </row>
    <row r="95" spans="1:3" x14ac:dyDescent="0.35">
      <c r="A95" s="6" t="str">
        <f>Defaults!A95</f>
        <v>0116</v>
      </c>
      <c r="B95" s="6" t="str">
        <f>Defaults!B95</f>
        <v>Rye</v>
      </c>
      <c r="C95" s="6" t="str">
        <f>Defaults!C95</f>
        <v>Cereals, incl feed</v>
      </c>
    </row>
    <row r="96" spans="1:3" x14ac:dyDescent="0.35">
      <c r="A96" s="6" t="str">
        <f>Defaults!A96</f>
        <v>0114</v>
      </c>
      <c r="B96" s="6" t="str">
        <f>Defaults!B96</f>
        <v>Sorghum</v>
      </c>
      <c r="C96" s="6" t="str">
        <f>Defaults!C96</f>
        <v>Cereals</v>
      </c>
    </row>
    <row r="97" spans="1:3" x14ac:dyDescent="0.35">
      <c r="A97" s="6" t="str">
        <f>Defaults!A97</f>
        <v>01344.01</v>
      </c>
      <c r="B97" s="6" t="str">
        <f>Defaults!B97</f>
        <v>Sour cherries</v>
      </c>
      <c r="C97" s="6" t="str">
        <f>Defaults!C97</f>
        <v>Fruits</v>
      </c>
    </row>
    <row r="98" spans="1:3" x14ac:dyDescent="0.35">
      <c r="A98" s="6" t="str">
        <f>Defaults!A98</f>
        <v>0141</v>
      </c>
      <c r="B98" s="6" t="str">
        <f>Defaults!B98</f>
        <v>Soya beans</v>
      </c>
      <c r="C98" s="6" t="str">
        <f>Defaults!C98</f>
        <v>Pulses</v>
      </c>
    </row>
    <row r="99" spans="1:3" x14ac:dyDescent="0.35">
      <c r="A99" s="6" t="str">
        <f>Defaults!A99</f>
        <v>01215</v>
      </c>
      <c r="B99" s="6" t="str">
        <f>Defaults!B99</f>
        <v>Spinach</v>
      </c>
      <c r="C99" s="6" t="str">
        <f>Defaults!C99</f>
        <v>Vegetables</v>
      </c>
    </row>
    <row r="100" spans="1:3" x14ac:dyDescent="0.35">
      <c r="A100" s="6" t="str">
        <f>Defaults!A100</f>
        <v>01354</v>
      </c>
      <c r="B100" s="6" t="str">
        <f>Defaults!B100</f>
        <v>Strawberries</v>
      </c>
      <c r="C100" s="6" t="str">
        <f>Defaults!C100</f>
        <v>Fruits</v>
      </c>
    </row>
    <row r="101" spans="1:3" x14ac:dyDescent="0.35">
      <c r="A101" s="6" t="str">
        <f>Defaults!A101</f>
        <v>01801</v>
      </c>
      <c r="B101" s="6" t="str">
        <f>Defaults!B101</f>
        <v>Sugar beet</v>
      </c>
      <c r="C101" s="6" t="str">
        <f>Defaults!C101</f>
        <v>Sugar crops</v>
      </c>
    </row>
    <row r="102" spans="1:3" x14ac:dyDescent="0.35">
      <c r="A102" s="6" t="str">
        <f>Defaults!A102</f>
        <v>01802</v>
      </c>
      <c r="B102" s="6" t="str">
        <f>Defaults!B102</f>
        <v>Sugar cane</v>
      </c>
      <c r="C102" s="6" t="str">
        <f>Defaults!C102</f>
        <v>Sugar crops</v>
      </c>
    </row>
    <row r="103" spans="1:3" x14ac:dyDescent="0.35">
      <c r="A103" s="6" t="str">
        <f>Defaults!A103</f>
        <v>01445</v>
      </c>
      <c r="B103" s="6" t="str">
        <f>Defaults!B103</f>
        <v>Sunflower seed</v>
      </c>
      <c r="C103" s="6" t="str">
        <f>Defaults!C103</f>
        <v>Oil crops</v>
      </c>
    </row>
    <row r="104" spans="1:3" x14ac:dyDescent="0.35">
      <c r="A104" s="6" t="str">
        <f>Defaults!A104</f>
        <v>01530</v>
      </c>
      <c r="B104" s="6" t="str">
        <f>Defaults!B104</f>
        <v>Sweet potatoes</v>
      </c>
      <c r="C104" s="6" t="str">
        <f>Defaults!C104</f>
        <v>Roots</v>
      </c>
    </row>
    <row r="105" spans="1:3" x14ac:dyDescent="0.35">
      <c r="A105" s="6" t="str">
        <f>Defaults!A105</f>
        <v>01324</v>
      </c>
      <c r="B105" s="6" t="str">
        <f>Defaults!B105</f>
        <v>Tangerines, mandarins, clementines</v>
      </c>
      <c r="C105" s="6" t="str">
        <f>Defaults!C105</f>
        <v>Fruits</v>
      </c>
    </row>
    <row r="106" spans="1:3" x14ac:dyDescent="0.35">
      <c r="A106" s="6" t="str">
        <f>Defaults!A106</f>
        <v>01234</v>
      </c>
      <c r="B106" s="6" t="str">
        <f>Defaults!B106</f>
        <v>Tomatoes, average</v>
      </c>
      <c r="C106" s="6" t="str">
        <f>Defaults!C106</f>
        <v>Vegetables</v>
      </c>
    </row>
    <row r="107" spans="1:3" x14ac:dyDescent="0.35">
      <c r="A107" s="6" t="str">
        <f>Defaults!A107</f>
        <v>01234_gh</v>
      </c>
      <c r="B107" s="6" t="str">
        <f>Defaults!B107</f>
        <v>Tomatoes, greenhouse</v>
      </c>
      <c r="C107" s="6" t="str">
        <f>Defaults!C107</f>
        <v>Vegetables</v>
      </c>
    </row>
    <row r="108" spans="1:3" x14ac:dyDescent="0.35">
      <c r="A108" s="6" t="str">
        <f>Defaults!A108</f>
        <v>01234_of</v>
      </c>
      <c r="B108" s="6" t="str">
        <f>Defaults!B108</f>
        <v>Tomatoes, openfield</v>
      </c>
      <c r="C108" s="6" t="str">
        <f>Defaults!C108</f>
        <v>Vegetables</v>
      </c>
    </row>
    <row r="109" spans="1:3" x14ac:dyDescent="0.35">
      <c r="A109" s="6" t="str">
        <f>Defaults!A109</f>
        <v>01191</v>
      </c>
      <c r="B109" s="6" t="str">
        <f>Defaults!B109</f>
        <v>Triticale</v>
      </c>
      <c r="C109" s="6" t="str">
        <f>Defaults!C109</f>
        <v>Cereals</v>
      </c>
    </row>
    <row r="110" spans="1:3" x14ac:dyDescent="0.35">
      <c r="A110" s="6" t="str">
        <f>Defaults!A110</f>
        <v>01929.02</v>
      </c>
      <c r="B110" s="6" t="str">
        <f>Defaults!B110</f>
        <v>True hemp, raw or retted</v>
      </c>
      <c r="C110" s="6" t="str">
        <f>Defaults!C110</f>
        <v>Other</v>
      </c>
    </row>
    <row r="111" spans="1:3" x14ac:dyDescent="0.35">
      <c r="A111" s="6" t="str">
        <f>Defaults!A111</f>
        <v>01709.01</v>
      </c>
      <c r="B111" s="6" t="str">
        <f>Defaults!B111</f>
        <v>Vetches</v>
      </c>
      <c r="C111" s="6" t="str">
        <f>Defaults!C111</f>
        <v>Other</v>
      </c>
    </row>
    <row r="112" spans="1:3" x14ac:dyDescent="0.35">
      <c r="A112" s="6" t="str">
        <f>Defaults!A112</f>
        <v>01376</v>
      </c>
      <c r="B112" s="6" t="str">
        <f>Defaults!B112</f>
        <v>Walnuts, in shell</v>
      </c>
      <c r="C112" s="6" t="str">
        <f>Defaults!C112</f>
        <v>Nuts</v>
      </c>
    </row>
    <row r="113" spans="1:3" x14ac:dyDescent="0.35">
      <c r="A113" s="6" t="str">
        <f>Defaults!A113</f>
        <v>01221</v>
      </c>
      <c r="B113" s="6" t="str">
        <f>Defaults!B113</f>
        <v>Watermelons</v>
      </c>
      <c r="C113" s="6" t="str">
        <f>Defaults!C113</f>
        <v>Fruits</v>
      </c>
    </row>
    <row r="114" spans="1:3" x14ac:dyDescent="0.35">
      <c r="A114" s="6" t="str">
        <f>Defaults!A114</f>
        <v>01221_gh</v>
      </c>
      <c r="B114" s="6" t="str">
        <f>Defaults!B114</f>
        <v>Watermelons, greenhouse</v>
      </c>
      <c r="C114" s="6" t="str">
        <f>Defaults!C114</f>
        <v>Fruits</v>
      </c>
    </row>
    <row r="115" spans="1:3" x14ac:dyDescent="0.35">
      <c r="A115" s="6" t="str">
        <f>Defaults!A115</f>
        <v>01221_of</v>
      </c>
      <c r="B115" s="6" t="str">
        <f>Defaults!B115</f>
        <v>Watermelons, openfield</v>
      </c>
      <c r="C115" s="6" t="str">
        <f>Defaults!C115</f>
        <v>Fruits</v>
      </c>
    </row>
    <row r="116" spans="1:3" x14ac:dyDescent="0.35">
      <c r="A116" s="6" t="str">
        <f>Defaults!A116</f>
        <v>0111</v>
      </c>
      <c r="B116" s="6" t="str">
        <f>Defaults!B116</f>
        <v>Wheat, average</v>
      </c>
      <c r="C116" s="6" t="str">
        <f>Defaults!C116</f>
        <v>Cereals, incl feed</v>
      </c>
    </row>
    <row r="117" spans="1:3" x14ac:dyDescent="0.35">
      <c r="A117" s="6" t="str">
        <f>Defaults!A117</f>
        <v>0111_s</v>
      </c>
      <c r="B117" s="6" t="str">
        <f>Defaults!B117</f>
        <v>Wheat, spring</v>
      </c>
      <c r="C117" s="6" t="str">
        <f>Defaults!C117</f>
        <v>Cereals</v>
      </c>
    </row>
    <row r="118" spans="1:3" x14ac:dyDescent="0.35">
      <c r="A118" s="6" t="str">
        <f>Defaults!A118</f>
        <v>0111_w</v>
      </c>
      <c r="B118" s="6" t="str">
        <f>Defaults!B118</f>
        <v>Wheat, winter</v>
      </c>
      <c r="C118" s="6" t="str">
        <f>Defaults!C118</f>
        <v>Cereals</v>
      </c>
    </row>
    <row r="119" spans="1:3" x14ac:dyDescent="0.35">
      <c r="A119" s="6"/>
      <c r="B119" s="6"/>
      <c r="C119" s="6"/>
    </row>
    <row r="120" spans="1:3" x14ac:dyDescent="0.35">
      <c r="A120" s="6"/>
      <c r="B120" s="6"/>
      <c r="C120" s="6"/>
    </row>
    <row r="121" spans="1:3" x14ac:dyDescent="0.35">
      <c r="A121" s="6"/>
      <c r="B121" s="6"/>
      <c r="C121" s="6"/>
    </row>
    <row r="122" spans="1:3" x14ac:dyDescent="0.35">
      <c r="A122" s="6"/>
      <c r="B122" s="6"/>
      <c r="C122" s="6"/>
    </row>
    <row r="123" spans="1:3" x14ac:dyDescent="0.35">
      <c r="A123" s="6"/>
      <c r="B123" s="6"/>
      <c r="C123" s="6"/>
    </row>
    <row r="124" spans="1:3" x14ac:dyDescent="0.35">
      <c r="A124" s="6"/>
      <c r="B124" s="6"/>
      <c r="C124" s="6"/>
    </row>
    <row r="125" spans="1:3" x14ac:dyDescent="0.35">
      <c r="A125" s="6"/>
      <c r="B125" s="6"/>
      <c r="C12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F8BC-BC7B-41C5-94D7-61908B9D954B}">
  <sheetPr>
    <tabColor theme="4" tint="0.39997558519241921"/>
  </sheetPr>
  <dimension ref="A2:O229"/>
  <sheetViews>
    <sheetView topLeftCell="A108" zoomScale="80" zoomScaleNormal="80" workbookViewId="0">
      <selection activeCell="I6" sqref="I6:I118"/>
    </sheetView>
  </sheetViews>
  <sheetFormatPr defaultColWidth="8.6328125" defaultRowHeight="14.5" x14ac:dyDescent="0.35"/>
  <cols>
    <col min="1" max="1" width="8.6328125" style="75"/>
    <col min="2" max="2" width="22.36328125" style="1" customWidth="1"/>
    <col min="3" max="3" width="17.6328125" style="1" customWidth="1"/>
    <col min="4" max="4" width="9.453125" style="1" customWidth="1"/>
    <col min="5" max="5" width="6.36328125" customWidth="1"/>
    <col min="6" max="6" width="12.6328125" style="9" customWidth="1"/>
    <col min="7" max="9" width="12.6328125" customWidth="1"/>
    <col min="10" max="10" width="12.6328125" style="1" customWidth="1"/>
    <col min="11" max="15" width="30.6328125" customWidth="1"/>
  </cols>
  <sheetData>
    <row r="2" spans="1:15" ht="21" x14ac:dyDescent="0.35">
      <c r="A2" s="72" t="s">
        <v>346</v>
      </c>
      <c r="E2" s="4"/>
      <c r="F2" s="8"/>
      <c r="G2" s="4"/>
      <c r="H2" s="29"/>
      <c r="I2" s="29"/>
      <c r="J2" s="121"/>
      <c r="L2" s="3"/>
    </row>
    <row r="3" spans="1:15" x14ac:dyDescent="0.35">
      <c r="A3" s="73"/>
      <c r="B3" s="11"/>
      <c r="C3" s="11"/>
      <c r="D3" s="11"/>
      <c r="E3" s="11"/>
      <c r="F3" s="11"/>
      <c r="G3" s="11"/>
      <c r="H3" s="11"/>
      <c r="I3" s="11"/>
      <c r="J3" s="122"/>
    </row>
    <row r="4" spans="1:15" x14ac:dyDescent="0.35">
      <c r="A4" s="74" t="s">
        <v>1</v>
      </c>
      <c r="B4" s="35"/>
      <c r="C4" s="35"/>
      <c r="D4" s="35"/>
      <c r="E4" s="36"/>
      <c r="F4" s="37" t="s">
        <v>121</v>
      </c>
      <c r="G4" s="36"/>
      <c r="H4" s="38"/>
      <c r="I4" s="39" t="s">
        <v>122</v>
      </c>
      <c r="J4" s="131" t="s">
        <v>2</v>
      </c>
      <c r="K4" s="40" t="s">
        <v>121</v>
      </c>
      <c r="L4" s="41"/>
      <c r="M4" s="42"/>
      <c r="N4" s="43" t="s">
        <v>122</v>
      </c>
      <c r="O4" s="44" t="s">
        <v>2</v>
      </c>
    </row>
    <row r="5" spans="1:15" s="7" customFormat="1" ht="51.5" customHeight="1" x14ac:dyDescent="0.35">
      <c r="A5" s="119" t="s">
        <v>3</v>
      </c>
      <c r="B5" s="45" t="s">
        <v>4</v>
      </c>
      <c r="C5" s="45" t="s">
        <v>5</v>
      </c>
      <c r="D5" s="45" t="s">
        <v>6</v>
      </c>
      <c r="E5" s="120" t="s">
        <v>7</v>
      </c>
      <c r="F5" s="46" t="s">
        <v>342</v>
      </c>
      <c r="G5" s="47" t="s">
        <v>123</v>
      </c>
      <c r="H5" s="47" t="s">
        <v>343</v>
      </c>
      <c r="I5" s="47" t="s">
        <v>124</v>
      </c>
      <c r="J5" s="132" t="s">
        <v>125</v>
      </c>
      <c r="K5" s="48" t="s">
        <v>344</v>
      </c>
      <c r="L5" s="49" t="s">
        <v>123</v>
      </c>
      <c r="M5" s="49" t="s">
        <v>345</v>
      </c>
      <c r="N5" s="49" t="s">
        <v>124</v>
      </c>
      <c r="O5" s="50" t="s">
        <v>341</v>
      </c>
    </row>
    <row r="6" spans="1:15" ht="15" customHeight="1" x14ac:dyDescent="0.35">
      <c r="A6" s="51" t="str">
        <f>Defaults!A6</f>
        <v>01371</v>
      </c>
      <c r="B6" s="51" t="str">
        <f>Defaults!B6</f>
        <v>Almonds, in shell</v>
      </c>
      <c r="C6" s="51" t="str">
        <f>Defaults!C6</f>
        <v>Nuts</v>
      </c>
      <c r="D6" s="33" t="str">
        <f>IF(ISBLANK(F6),"No","Yes")</f>
        <v>No</v>
      </c>
      <c r="E6" s="33"/>
      <c r="F6" s="34"/>
      <c r="G6" s="32"/>
      <c r="H6" s="34"/>
      <c r="I6" s="33"/>
      <c r="J6" s="33"/>
      <c r="K6" s="52"/>
      <c r="L6" s="52"/>
      <c r="M6" s="52"/>
      <c r="N6" s="52"/>
      <c r="O6" s="53"/>
    </row>
    <row r="7" spans="1:15" ht="15" customHeight="1" x14ac:dyDescent="0.35">
      <c r="A7" s="51" t="str">
        <f>Defaults!A7</f>
        <v>01654</v>
      </c>
      <c r="B7" s="51" t="str">
        <f>Defaults!B7</f>
        <v>Anise, badian, coriander, cumin, caraway, fennel and juniper berries, raw</v>
      </c>
      <c r="C7" s="51" t="str">
        <f>Defaults!C7</f>
        <v>Vegetables</v>
      </c>
      <c r="D7" s="33" t="str">
        <f>IF(ISBLANK(F7),"No","Yes")</f>
        <v>No</v>
      </c>
      <c r="E7" s="33"/>
      <c r="F7" s="34"/>
      <c r="G7" s="32"/>
      <c r="H7" s="34"/>
      <c r="I7" s="33"/>
      <c r="J7" s="33"/>
      <c r="K7" s="52"/>
      <c r="L7" s="52"/>
      <c r="M7" s="52"/>
      <c r="N7" s="52"/>
      <c r="O7" s="53"/>
    </row>
    <row r="8" spans="1:15" ht="15" customHeight="1" x14ac:dyDescent="0.35">
      <c r="A8" s="51" t="str">
        <f>Defaults!A8</f>
        <v>01341</v>
      </c>
      <c r="B8" s="51" t="str">
        <f>Defaults!B8</f>
        <v>Apples</v>
      </c>
      <c r="C8" s="51" t="str">
        <f>Defaults!C8</f>
        <v>Fruits</v>
      </c>
      <c r="D8" s="33" t="str">
        <f>IF(ISBLANK(F8),"No","Yes")</f>
        <v>Yes</v>
      </c>
      <c r="E8" s="54"/>
      <c r="F8" s="55">
        <v>41.000996934136801</v>
      </c>
      <c r="G8" s="56"/>
      <c r="H8" s="76">
        <v>6.0001458928005071</v>
      </c>
      <c r="I8" s="109">
        <f>Defaults!F8</f>
        <v>450</v>
      </c>
      <c r="J8" s="125">
        <f>Defaults!G8</f>
        <v>5.97</v>
      </c>
      <c r="K8" s="57" t="s">
        <v>132</v>
      </c>
      <c r="L8" s="57"/>
      <c r="M8" s="57" t="s">
        <v>132</v>
      </c>
      <c r="N8" s="58"/>
      <c r="O8" s="59"/>
    </row>
    <row r="9" spans="1:15" ht="15" customHeight="1" x14ac:dyDescent="0.35">
      <c r="A9" s="51" t="str">
        <f>Defaults!A9</f>
        <v>01343</v>
      </c>
      <c r="B9" s="51" t="str">
        <f>Defaults!B9</f>
        <v>Apricots</v>
      </c>
      <c r="C9" s="51" t="str">
        <f>Defaults!C9</f>
        <v>Fruits</v>
      </c>
      <c r="D9" s="33" t="str">
        <f>IF(ISBLANK(F9),"No","Yes")</f>
        <v>No</v>
      </c>
      <c r="E9" s="33"/>
      <c r="F9" s="34"/>
      <c r="G9" s="32"/>
      <c r="H9" s="34"/>
      <c r="I9" s="33"/>
      <c r="J9" s="33"/>
      <c r="K9" s="52"/>
      <c r="L9" s="52"/>
      <c r="M9" s="52"/>
      <c r="N9" s="60"/>
      <c r="O9" s="53"/>
    </row>
    <row r="10" spans="1:15" ht="15" customHeight="1" x14ac:dyDescent="0.35">
      <c r="A10" s="51" t="str">
        <f>Defaults!A10</f>
        <v>01216</v>
      </c>
      <c r="B10" s="51" t="str">
        <f>Defaults!B10</f>
        <v>Artichokes</v>
      </c>
      <c r="C10" s="51" t="str">
        <f>Defaults!C10</f>
        <v>Vegetables</v>
      </c>
      <c r="D10" s="33" t="str">
        <f>IF(ISBLANK(F10),"No","Yes")</f>
        <v>No</v>
      </c>
      <c r="E10" s="33"/>
      <c r="F10" s="34"/>
      <c r="G10" s="32"/>
      <c r="H10" s="34"/>
      <c r="I10" s="33"/>
      <c r="J10" s="33"/>
      <c r="K10" s="52"/>
      <c r="L10" s="52"/>
      <c r="M10" s="52"/>
      <c r="N10" s="52"/>
      <c r="O10" s="53"/>
    </row>
    <row r="11" spans="1:15" ht="15" customHeight="1" x14ac:dyDescent="0.35">
      <c r="A11" s="51" t="str">
        <f>Defaults!A11</f>
        <v>01211</v>
      </c>
      <c r="B11" s="51" t="str">
        <f>Defaults!B11</f>
        <v>Asparagus</v>
      </c>
      <c r="C11" s="51" t="str">
        <f>Defaults!C11</f>
        <v>Vegetables</v>
      </c>
      <c r="D11" s="33" t="str">
        <f>IF(ISBLANK(F11),"No","Yes")</f>
        <v>Yes</v>
      </c>
      <c r="E11" s="54"/>
      <c r="F11" s="34">
        <v>20</v>
      </c>
      <c r="G11" s="61"/>
      <c r="H11" s="77">
        <v>4</v>
      </c>
      <c r="I11" s="109">
        <f>Defaults!F11</f>
        <v>140</v>
      </c>
      <c r="J11" s="125">
        <f>Defaults!G11</f>
        <v>1.65</v>
      </c>
      <c r="K11" s="57" t="s">
        <v>138</v>
      </c>
      <c r="L11" s="57"/>
      <c r="M11" s="57" t="s">
        <v>138</v>
      </c>
      <c r="N11" s="58"/>
      <c r="O11" s="59"/>
    </row>
    <row r="12" spans="1:15" ht="15" customHeight="1" x14ac:dyDescent="0.35">
      <c r="A12" s="51" t="str">
        <f>Defaults!A12</f>
        <v>01311</v>
      </c>
      <c r="B12" s="51" t="str">
        <f>Defaults!B12</f>
        <v>Avocados</v>
      </c>
      <c r="C12" s="51" t="str">
        <f>Defaults!C12</f>
        <v>Vegetables</v>
      </c>
      <c r="D12" s="33" t="str">
        <f>IF(ISBLANK(F12),"No","Yes")</f>
        <v>No</v>
      </c>
      <c r="E12" s="54"/>
      <c r="F12" s="34"/>
      <c r="G12" s="62"/>
      <c r="H12" s="78"/>
      <c r="I12" s="111"/>
      <c r="J12" s="127"/>
      <c r="K12" s="52"/>
      <c r="L12" s="52"/>
      <c r="M12" s="52"/>
      <c r="N12" s="52"/>
      <c r="O12" s="63"/>
    </row>
    <row r="13" spans="1:15" ht="15" customHeight="1" x14ac:dyDescent="0.35">
      <c r="A13" s="51" t="str">
        <f>Defaults!A13</f>
        <v>01312</v>
      </c>
      <c r="B13" s="51" t="str">
        <f>Defaults!B13</f>
        <v>Bananas</v>
      </c>
      <c r="C13" s="51" t="str">
        <f>Defaults!C13</f>
        <v>Fruits</v>
      </c>
      <c r="D13" s="33" t="str">
        <f>IF(ISBLANK(F13),"No","Yes")</f>
        <v>No</v>
      </c>
      <c r="E13" s="33"/>
      <c r="F13" s="34"/>
      <c r="G13" s="32"/>
      <c r="H13" s="34"/>
      <c r="I13" s="33"/>
      <c r="J13" s="33"/>
      <c r="K13" s="52"/>
      <c r="L13" s="52"/>
      <c r="M13" s="52"/>
      <c r="N13" s="64"/>
      <c r="O13" s="53"/>
    </row>
    <row r="14" spans="1:15" ht="15" customHeight="1" x14ac:dyDescent="0.35">
      <c r="A14" s="51" t="str">
        <f>Defaults!A14</f>
        <v>0115</v>
      </c>
      <c r="B14" s="51" t="str">
        <f>Defaults!B14</f>
        <v>Barley, average</v>
      </c>
      <c r="C14" s="51" t="str">
        <f>Defaults!C14</f>
        <v>Cereals, incl feed</v>
      </c>
      <c r="D14" s="33" t="str">
        <f>IF(ISBLANK(F14),"No","Yes")</f>
        <v>Yes</v>
      </c>
      <c r="E14" s="33"/>
      <c r="F14" s="84">
        <v>94</v>
      </c>
      <c r="G14" s="32"/>
      <c r="H14" s="55">
        <v>7</v>
      </c>
      <c r="I14" s="118">
        <f>Defaults!F14</f>
        <v>69.7</v>
      </c>
      <c r="J14" s="125">
        <f>Defaults!G14</f>
        <v>0.52</v>
      </c>
      <c r="K14" s="57"/>
      <c r="L14" s="57"/>
      <c r="M14" s="57"/>
      <c r="N14" s="65"/>
      <c r="O14" s="66"/>
    </row>
    <row r="15" spans="1:15" ht="15" customHeight="1" x14ac:dyDescent="0.35">
      <c r="A15" s="51" t="str">
        <f>Defaults!A15</f>
        <v>0115_s</v>
      </c>
      <c r="B15" s="51" t="str">
        <f>Defaults!B15</f>
        <v>Barley, spring</v>
      </c>
      <c r="C15" s="51" t="str">
        <f>Defaults!C15</f>
        <v>Cereals</v>
      </c>
      <c r="D15" s="33" t="str">
        <f>IF(ISBLANK(F15),"No","Yes")</f>
        <v>Yes</v>
      </c>
      <c r="E15" s="33">
        <f>Defaults!D15</f>
        <v>90</v>
      </c>
      <c r="F15" s="34">
        <v>90</v>
      </c>
      <c r="G15" s="56"/>
      <c r="H15" s="79">
        <v>6.9999999999999991</v>
      </c>
      <c r="I15" s="109">
        <f>Defaults!F15</f>
        <v>70</v>
      </c>
      <c r="J15" s="125">
        <f>Defaults!G15</f>
        <v>0.47</v>
      </c>
      <c r="K15" s="57" t="s">
        <v>147</v>
      </c>
      <c r="L15" s="57"/>
      <c r="M15" s="57" t="s">
        <v>147</v>
      </c>
      <c r="N15" s="58"/>
      <c r="O15" s="59"/>
    </row>
    <row r="16" spans="1:15" ht="15" customHeight="1" x14ac:dyDescent="0.35">
      <c r="A16" s="51" t="str">
        <f>Defaults!A16</f>
        <v>0115_w</v>
      </c>
      <c r="B16" s="51" t="str">
        <f>Defaults!B16</f>
        <v>Barley, winter</v>
      </c>
      <c r="C16" s="51" t="str">
        <f>Defaults!C16</f>
        <v>Cereals</v>
      </c>
      <c r="D16" s="33" t="str">
        <f>IF(ISBLANK(F16),"No","Yes")</f>
        <v>Yes</v>
      </c>
      <c r="E16" s="33">
        <f>Defaults!D16</f>
        <v>10</v>
      </c>
      <c r="F16" s="34">
        <v>126</v>
      </c>
      <c r="G16" s="67"/>
      <c r="H16" s="79">
        <v>8</v>
      </c>
      <c r="I16" s="109">
        <f>Defaults!F16</f>
        <v>66.7</v>
      </c>
      <c r="J16" s="126">
        <v>1</v>
      </c>
      <c r="K16" s="57" t="s">
        <v>147</v>
      </c>
      <c r="L16" s="57"/>
      <c r="M16" s="57" t="s">
        <v>147</v>
      </c>
      <c r="N16" s="58"/>
      <c r="O16" s="59"/>
    </row>
    <row r="17" spans="1:15" ht="15" customHeight="1" x14ac:dyDescent="0.35">
      <c r="A17" s="51" t="str">
        <f>Defaults!A17</f>
        <v>01701</v>
      </c>
      <c r="B17" s="51" t="str">
        <f>Defaults!B17</f>
        <v>Beans, dry</v>
      </c>
      <c r="C17" s="51" t="str">
        <f>Defaults!C17</f>
        <v>Pulses</v>
      </c>
      <c r="D17" s="33" t="str">
        <f>IF(ISBLANK(F17),"No","Yes")</f>
        <v>Yes</v>
      </c>
      <c r="E17" s="54"/>
      <c r="F17" s="34">
        <v>30</v>
      </c>
      <c r="G17" s="103">
        <f>Defaults!E17</f>
        <v>25</v>
      </c>
      <c r="H17" s="80">
        <v>10</v>
      </c>
      <c r="I17" s="109">
        <f>Defaults!F17</f>
        <v>65</v>
      </c>
      <c r="J17" s="125">
        <f>Defaults!G17</f>
        <v>1.1000000000000001</v>
      </c>
      <c r="K17" s="57" t="s">
        <v>153</v>
      </c>
      <c r="L17" s="57"/>
      <c r="M17" s="57" t="s">
        <v>152</v>
      </c>
      <c r="N17" s="57"/>
      <c r="O17" s="59"/>
    </row>
    <row r="18" spans="1:15" ht="15" customHeight="1" x14ac:dyDescent="0.35">
      <c r="A18" s="51" t="str">
        <f>Defaults!A18</f>
        <v>01355.01</v>
      </c>
      <c r="B18" s="51" t="str">
        <f>Defaults!B18</f>
        <v>Blueberries</v>
      </c>
      <c r="C18" s="51" t="str">
        <f>Defaults!C18</f>
        <v>Berries</v>
      </c>
      <c r="D18" s="33" t="str">
        <f>IF(ISBLANK(F18),"No","Yes")</f>
        <v>No</v>
      </c>
      <c r="E18" s="54"/>
      <c r="F18" s="34"/>
      <c r="G18" s="101"/>
      <c r="H18" s="78"/>
      <c r="I18" s="111"/>
      <c r="J18" s="127"/>
      <c r="K18" s="52"/>
      <c r="L18" s="52"/>
      <c r="M18" s="52"/>
      <c r="N18" s="68"/>
      <c r="O18" s="63"/>
    </row>
    <row r="19" spans="1:15" ht="15" customHeight="1" x14ac:dyDescent="0.35">
      <c r="A19" s="51" t="str">
        <f>Defaults!A19</f>
        <v>01377</v>
      </c>
      <c r="B19" s="51" t="str">
        <f>Defaults!B19</f>
        <v>Brazil nuts, in shell</v>
      </c>
      <c r="C19" s="51" t="str">
        <f>Defaults!C19</f>
        <v>Nuts</v>
      </c>
      <c r="D19" s="33" t="str">
        <f>IF(ISBLANK(F19),"No","Yes")</f>
        <v>No</v>
      </c>
      <c r="E19" s="33"/>
      <c r="F19" s="34"/>
      <c r="G19" s="95"/>
      <c r="H19" s="34"/>
      <c r="I19" s="33"/>
      <c r="J19" s="33"/>
      <c r="K19" s="52"/>
      <c r="L19" s="52"/>
      <c r="M19" s="52"/>
      <c r="N19" s="64"/>
      <c r="O19" s="53"/>
    </row>
    <row r="20" spans="1:15" ht="15" customHeight="1" x14ac:dyDescent="0.35">
      <c r="A20" s="51" t="str">
        <f>Defaults!A20</f>
        <v>01702</v>
      </c>
      <c r="B20" s="51" t="str">
        <f>Defaults!B20</f>
        <v>Broad beans and horse beans, dry</v>
      </c>
      <c r="C20" s="51" t="str">
        <f>Defaults!C20</f>
        <v>Pulses, incl feed</v>
      </c>
      <c r="D20" s="33" t="str">
        <f>IF(ISBLANK(F20),"No","Yes")</f>
        <v>Yes</v>
      </c>
      <c r="E20" s="54"/>
      <c r="F20" s="34">
        <v>2</v>
      </c>
      <c r="G20" s="103">
        <f>Defaults!E20</f>
        <v>24</v>
      </c>
      <c r="H20" s="80">
        <v>4</v>
      </c>
      <c r="I20" s="109">
        <f>Defaults!F20</f>
        <v>63.2</v>
      </c>
      <c r="J20" s="125">
        <f>Defaults!G20</f>
        <v>0.61</v>
      </c>
      <c r="K20" s="57" t="s">
        <v>147</v>
      </c>
      <c r="L20" s="57"/>
      <c r="M20" s="57" t="s">
        <v>161</v>
      </c>
      <c r="N20" s="58"/>
      <c r="O20" s="59"/>
    </row>
    <row r="21" spans="1:15" ht="15" customHeight="1" x14ac:dyDescent="0.35">
      <c r="A21" s="51" t="str">
        <f>Defaults!A21</f>
        <v>01243</v>
      </c>
      <c r="B21" s="51" t="str">
        <f>Defaults!B21</f>
        <v>Broad beans and horse beans, green</v>
      </c>
      <c r="C21" s="51" t="str">
        <f>Defaults!C21</f>
        <v>Vegetables</v>
      </c>
      <c r="D21" s="33" t="str">
        <f>IF(ISBLANK(F21),"No","Yes")</f>
        <v>No</v>
      </c>
      <c r="E21" s="54"/>
      <c r="F21" s="34"/>
      <c r="G21" s="101"/>
      <c r="H21" s="78"/>
      <c r="I21" s="111"/>
      <c r="J21" s="127"/>
      <c r="K21" s="52"/>
      <c r="L21" s="52"/>
      <c r="M21" s="52"/>
      <c r="N21" s="60"/>
      <c r="O21" s="63"/>
    </row>
    <row r="22" spans="1:15" ht="15" customHeight="1" x14ac:dyDescent="0.35">
      <c r="A22" s="51" t="str">
        <f>Defaults!A22</f>
        <v>01213_b</v>
      </c>
      <c r="B22" s="51" t="str">
        <f>Defaults!B22</f>
        <v>Broccoli</v>
      </c>
      <c r="C22" s="51" t="str">
        <f>Defaults!C22</f>
        <v>Vegetables</v>
      </c>
      <c r="D22" s="33" t="str">
        <f>IF(ISBLANK(F22),"No","Yes")</f>
        <v>Yes</v>
      </c>
      <c r="E22" s="33">
        <f>Defaults!D22</f>
        <v>40</v>
      </c>
      <c r="F22" s="34">
        <v>150</v>
      </c>
      <c r="G22" s="103"/>
      <c r="H22" s="80">
        <v>22.944752181740999</v>
      </c>
      <c r="I22" s="109">
        <f>Defaults!F22</f>
        <v>140</v>
      </c>
      <c r="J22" s="125">
        <f>Defaults!G22</f>
        <v>1.65</v>
      </c>
      <c r="K22" s="57" t="s">
        <v>164</v>
      </c>
      <c r="L22" s="57"/>
      <c r="M22" s="57" t="s">
        <v>164</v>
      </c>
      <c r="N22" s="57"/>
      <c r="O22" s="59"/>
    </row>
    <row r="23" spans="1:15" ht="15" customHeight="1" x14ac:dyDescent="0.35">
      <c r="A23" s="51" t="str">
        <f>Defaults!A23</f>
        <v>01192</v>
      </c>
      <c r="B23" s="51" t="str">
        <f>Defaults!B23</f>
        <v>Buckwheat</v>
      </c>
      <c r="C23" s="51" t="str">
        <f>Defaults!C23</f>
        <v>Seeds</v>
      </c>
      <c r="D23" s="33" t="str">
        <f>IF(ISBLANK(F23),"No","Yes")</f>
        <v>No</v>
      </c>
      <c r="E23" s="33"/>
      <c r="F23" s="34"/>
      <c r="G23" s="95"/>
      <c r="H23" s="34"/>
      <c r="I23" s="33"/>
      <c r="J23" s="33"/>
      <c r="K23" s="52"/>
      <c r="L23" s="52"/>
      <c r="M23" s="52"/>
      <c r="N23" s="52"/>
      <c r="O23" s="52"/>
    </row>
    <row r="24" spans="1:15" ht="15" customHeight="1" x14ac:dyDescent="0.35">
      <c r="A24" s="51" t="str">
        <f>Defaults!A24</f>
        <v>01212</v>
      </c>
      <c r="B24" s="51" t="str">
        <f>Defaults!B24</f>
        <v>Cabbages</v>
      </c>
      <c r="C24" s="51" t="str">
        <f>Defaults!C24</f>
        <v>Vegetables</v>
      </c>
      <c r="D24" s="33" t="str">
        <f>IF(ISBLANK(F24),"No","Yes")</f>
        <v>Yes</v>
      </c>
      <c r="E24" s="33"/>
      <c r="F24" s="55">
        <v>200.00035800590709</v>
      </c>
      <c r="G24" s="100"/>
      <c r="H24" s="77">
        <v>16.000028640472568</v>
      </c>
      <c r="I24" s="109">
        <f>Defaults!F24</f>
        <v>140</v>
      </c>
      <c r="J24" s="125">
        <f>Defaults!G24</f>
        <v>1.65</v>
      </c>
      <c r="K24" s="57" t="s">
        <v>164</v>
      </c>
      <c r="L24" s="52"/>
      <c r="M24" s="57" t="s">
        <v>164</v>
      </c>
      <c r="N24" s="57"/>
      <c r="O24" s="66"/>
    </row>
    <row r="25" spans="1:15" ht="15" customHeight="1" x14ac:dyDescent="0.35">
      <c r="A25" s="51" t="str">
        <f>Defaults!A25</f>
        <v>01229</v>
      </c>
      <c r="B25" s="51" t="str">
        <f>Defaults!B25</f>
        <v>Cantaloupes and other melons</v>
      </c>
      <c r="C25" s="51" t="str">
        <f>Defaults!C25</f>
        <v>Fruits</v>
      </c>
      <c r="D25" s="33" t="str">
        <f>IF(ISBLANK(F25),"No","Yes")</f>
        <v>No</v>
      </c>
      <c r="E25" s="54"/>
      <c r="F25" s="34"/>
      <c r="G25" s="95"/>
      <c r="H25" s="34"/>
      <c r="I25" s="33"/>
      <c r="J25" s="33"/>
      <c r="K25" s="52"/>
      <c r="L25" s="52"/>
      <c r="M25" s="52"/>
      <c r="N25" s="52"/>
      <c r="O25" s="52"/>
    </row>
    <row r="26" spans="1:15" ht="15" customHeight="1" x14ac:dyDescent="0.35">
      <c r="A26" s="51" t="str">
        <f>Defaults!A26</f>
        <v>01251</v>
      </c>
      <c r="B26" s="51" t="str">
        <f>Defaults!B26</f>
        <v>Carrots and turnips</v>
      </c>
      <c r="C26" s="51" t="str">
        <f>Defaults!C26</f>
        <v>Vegetables</v>
      </c>
      <c r="D26" s="33" t="str">
        <f>IF(ISBLANK(F26),"No","Yes")</f>
        <v>Yes</v>
      </c>
      <c r="E26" s="33"/>
      <c r="F26" s="34">
        <v>83</v>
      </c>
      <c r="G26" s="103"/>
      <c r="H26" s="80">
        <v>29.745999999999999</v>
      </c>
      <c r="I26" s="109">
        <f>Defaults!F26</f>
        <v>140</v>
      </c>
      <c r="J26" s="125">
        <f>Defaults!G26</f>
        <v>2.23</v>
      </c>
      <c r="K26" s="57" t="s">
        <v>170</v>
      </c>
      <c r="L26" s="57"/>
      <c r="M26" s="57" t="s">
        <v>170</v>
      </c>
      <c r="N26" s="57"/>
      <c r="O26" s="59"/>
    </row>
    <row r="27" spans="1:15" ht="15" customHeight="1" x14ac:dyDescent="0.35">
      <c r="A27" s="51" t="str">
        <f>Defaults!A27</f>
        <v>01372</v>
      </c>
      <c r="B27" s="51" t="str">
        <f>Defaults!B27</f>
        <v>Cashew nuts, in shell</v>
      </c>
      <c r="C27" s="51" t="str">
        <f>Defaults!C27</f>
        <v>Nuts</v>
      </c>
      <c r="D27" s="33" t="str">
        <f>IF(ISBLANK(F27),"No","Yes")</f>
        <v>No</v>
      </c>
      <c r="E27" s="33"/>
      <c r="F27" s="34"/>
      <c r="G27" s="95"/>
      <c r="H27" s="34"/>
      <c r="I27" s="33"/>
      <c r="J27" s="33"/>
      <c r="K27" s="52"/>
      <c r="L27" s="52"/>
      <c r="M27" s="52"/>
      <c r="N27" s="52"/>
      <c r="O27" s="52"/>
    </row>
    <row r="28" spans="1:15" ht="15" customHeight="1" x14ac:dyDescent="0.35">
      <c r="A28" s="51" t="str">
        <f>Defaults!A28</f>
        <v>01213_cf</v>
      </c>
      <c r="B28" s="51" t="str">
        <f>Defaults!B28</f>
        <v>Cauliflowers</v>
      </c>
      <c r="C28" s="51" t="str">
        <f>Defaults!C28</f>
        <v>Vegetables</v>
      </c>
      <c r="D28" s="33" t="str">
        <f>IF(ISBLANK(F28),"No","Yes")</f>
        <v>Yes</v>
      </c>
      <c r="E28" s="33">
        <f>Defaults!D28</f>
        <v>60</v>
      </c>
      <c r="F28" s="34">
        <v>220</v>
      </c>
      <c r="G28" s="103"/>
      <c r="H28" s="80">
        <v>21.384</v>
      </c>
      <c r="I28" s="109">
        <f>Defaults!F28</f>
        <v>140</v>
      </c>
      <c r="J28" s="125">
        <f>Defaults!G28</f>
        <v>1.65</v>
      </c>
      <c r="K28" s="57" t="s">
        <v>164</v>
      </c>
      <c r="L28" s="57"/>
      <c r="M28" s="57" t="s">
        <v>164</v>
      </c>
      <c r="N28" s="57"/>
      <c r="O28" s="59"/>
    </row>
    <row r="29" spans="1:15" ht="15" customHeight="1" x14ac:dyDescent="0.35">
      <c r="A29" s="51" t="str">
        <f>Defaults!A29</f>
        <v>01213</v>
      </c>
      <c r="B29" s="51" t="str">
        <f>Defaults!B29</f>
        <v>Cauliflowers and broccoli, average</v>
      </c>
      <c r="C29" s="51" t="str">
        <f>Defaults!C29</f>
        <v>Vegetables</v>
      </c>
      <c r="D29" s="33" t="str">
        <f>IF(ISBLANK(F29),"No","Yes")</f>
        <v>Yes</v>
      </c>
      <c r="E29" s="33"/>
      <c r="F29" s="84">
        <v>192.00000000000003</v>
      </c>
      <c r="G29" s="104"/>
      <c r="H29" s="55">
        <v>22</v>
      </c>
      <c r="I29" s="109">
        <f>Defaults!F29</f>
        <v>140</v>
      </c>
      <c r="J29" s="125">
        <f>Defaults!G29</f>
        <v>1.65</v>
      </c>
      <c r="K29" s="57"/>
      <c r="L29" s="57"/>
      <c r="M29" s="57"/>
      <c r="N29" s="57"/>
      <c r="O29" s="66"/>
    </row>
    <row r="30" spans="1:15" ht="15" customHeight="1" x14ac:dyDescent="0.35">
      <c r="A30" s="51" t="str">
        <f>Defaults!A30</f>
        <v>01199.90</v>
      </c>
      <c r="B30" s="51" t="str">
        <f>Defaults!B30</f>
        <v>Cereals n.e.c.</v>
      </c>
      <c r="C30" s="51" t="str">
        <f>Defaults!C30</f>
        <v>Cereals</v>
      </c>
      <c r="D30" s="33" t="str">
        <f>IF(ISBLANK(F30),"No","Yes")</f>
        <v>No</v>
      </c>
      <c r="E30" s="33"/>
      <c r="F30" s="34"/>
      <c r="G30" s="95"/>
      <c r="H30" s="34"/>
      <c r="I30" s="33"/>
      <c r="J30" s="33"/>
      <c r="K30" s="52"/>
      <c r="L30" s="52"/>
      <c r="M30" s="52"/>
      <c r="N30" s="52"/>
      <c r="O30" s="53"/>
    </row>
    <row r="31" spans="1:15" ht="15" customHeight="1" x14ac:dyDescent="0.35">
      <c r="A31" s="51" t="str">
        <f>Defaults!A31</f>
        <v>01344.02</v>
      </c>
      <c r="B31" s="51" t="str">
        <f>Defaults!B31</f>
        <v>Cherries</v>
      </c>
      <c r="C31" s="51" t="str">
        <f>Defaults!C31</f>
        <v>Berries</v>
      </c>
      <c r="D31" s="33" t="str">
        <f>IF(ISBLANK(F31),"No","Yes")</f>
        <v>No</v>
      </c>
      <c r="E31" s="54"/>
      <c r="F31" s="34"/>
      <c r="G31" s="101"/>
      <c r="H31" s="78"/>
      <c r="I31" s="111"/>
      <c r="J31" s="127"/>
      <c r="K31" s="52"/>
      <c r="L31" s="52"/>
      <c r="M31" s="52"/>
      <c r="N31" s="52"/>
      <c r="O31" s="63"/>
    </row>
    <row r="32" spans="1:15" ht="15" customHeight="1" x14ac:dyDescent="0.35">
      <c r="A32" s="51" t="str">
        <f>Defaults!A32</f>
        <v>01373</v>
      </c>
      <c r="B32" s="51" t="str">
        <f>Defaults!B32</f>
        <v>Chestnuts, in shell</v>
      </c>
      <c r="C32" s="51" t="str">
        <f>Defaults!C32</f>
        <v>Nuts</v>
      </c>
      <c r="D32" s="33" t="str">
        <f>IF(ISBLANK(F32),"No","Yes")</f>
        <v>No</v>
      </c>
      <c r="E32" s="54"/>
      <c r="F32" s="34"/>
      <c r="G32" s="101"/>
      <c r="H32" s="78"/>
      <c r="I32" s="111"/>
      <c r="J32" s="127"/>
      <c r="K32" s="52"/>
      <c r="L32" s="52"/>
      <c r="M32" s="52"/>
      <c r="N32" s="52"/>
      <c r="O32" s="63"/>
    </row>
    <row r="33" spans="1:15" ht="15" customHeight="1" x14ac:dyDescent="0.35">
      <c r="A33" s="51" t="str">
        <f>Defaults!A33</f>
        <v>01703</v>
      </c>
      <c r="B33" s="51" t="str">
        <f>Defaults!B33</f>
        <v>Chick peas, dry</v>
      </c>
      <c r="C33" s="51" t="str">
        <f>Defaults!C33</f>
        <v>Pulses</v>
      </c>
      <c r="D33" s="33" t="str">
        <f>IF(ISBLANK(F33),"No","Yes")</f>
        <v>No</v>
      </c>
      <c r="E33" s="33"/>
      <c r="F33" s="34"/>
      <c r="G33" s="95"/>
      <c r="H33" s="34"/>
      <c r="I33" s="33"/>
      <c r="J33" s="33"/>
      <c r="K33" s="52"/>
      <c r="L33" s="52"/>
      <c r="M33" s="52"/>
      <c r="N33" s="52"/>
      <c r="O33" s="53"/>
    </row>
    <row r="34" spans="1:15" ht="15" customHeight="1" x14ac:dyDescent="0.35">
      <c r="A34" s="51" t="str">
        <f>Defaults!A34</f>
        <v>01231</v>
      </c>
      <c r="B34" s="51" t="str">
        <f>Defaults!B34</f>
        <v>Chillies and peppers, green (Capsicum spp. and Pimenta spp.), raw</v>
      </c>
      <c r="C34" s="51" t="str">
        <f>Defaults!C34</f>
        <v>Spices</v>
      </c>
      <c r="D34" s="33" t="str">
        <f>IF(ISBLANK(F34),"No","Yes")</f>
        <v>No</v>
      </c>
      <c r="E34" s="33"/>
      <c r="F34" s="34"/>
      <c r="G34" s="95"/>
      <c r="H34" s="34"/>
      <c r="I34" s="33"/>
      <c r="J34" s="33"/>
      <c r="K34" s="52"/>
      <c r="L34" s="52"/>
      <c r="M34" s="52"/>
      <c r="N34" s="52"/>
      <c r="O34" s="53"/>
    </row>
    <row r="35" spans="1:15" ht="15" customHeight="1" x14ac:dyDescent="0.35">
      <c r="A35" s="51" t="str">
        <f>Defaults!A35</f>
        <v>01640</v>
      </c>
      <c r="B35" s="51" t="str">
        <f>Defaults!B35</f>
        <v>Cocoa beans</v>
      </c>
      <c r="C35" s="51" t="str">
        <f>Defaults!C35</f>
        <v>Stimulants</v>
      </c>
      <c r="D35" s="33" t="str">
        <f>IF(ISBLANK(F35),"No","Yes")</f>
        <v>No</v>
      </c>
      <c r="E35" s="33"/>
      <c r="F35" s="34"/>
      <c r="G35" s="95"/>
      <c r="H35" s="34"/>
      <c r="I35" s="33"/>
      <c r="J35" s="33"/>
      <c r="K35" s="52"/>
      <c r="L35" s="52"/>
      <c r="M35" s="52"/>
      <c r="N35" s="52"/>
      <c r="O35" s="53"/>
    </row>
    <row r="36" spans="1:15" ht="15" customHeight="1" x14ac:dyDescent="0.35">
      <c r="A36" s="51" t="str">
        <f>Defaults!A36</f>
        <v>01460</v>
      </c>
      <c r="B36" s="51" t="str">
        <f>Defaults!B36</f>
        <v>Coconut, in shell</v>
      </c>
      <c r="C36" s="51" t="str">
        <f>Defaults!C36</f>
        <v>Nuts</v>
      </c>
      <c r="D36" s="33" t="str">
        <f>IF(ISBLANK(F36),"No","Yes")</f>
        <v>No</v>
      </c>
      <c r="E36" s="33"/>
      <c r="F36" s="34"/>
      <c r="G36" s="95"/>
      <c r="H36" s="34"/>
      <c r="I36" s="33"/>
      <c r="J36" s="33"/>
      <c r="K36" s="52"/>
      <c r="L36" s="52"/>
      <c r="M36" s="52"/>
      <c r="N36" s="52"/>
      <c r="O36" s="53"/>
    </row>
    <row r="37" spans="1:15" ht="15" customHeight="1" x14ac:dyDescent="0.35">
      <c r="A37" s="51" t="str">
        <f>Defaults!A37</f>
        <v>01610</v>
      </c>
      <c r="B37" s="51" t="str">
        <f>Defaults!B37</f>
        <v>Coffee, green</v>
      </c>
      <c r="C37" s="51" t="str">
        <f>Defaults!C37</f>
        <v>Stimulants</v>
      </c>
      <c r="D37" s="33" t="str">
        <f>IF(ISBLANK(F37),"No","Yes")</f>
        <v>No</v>
      </c>
      <c r="E37" s="33"/>
      <c r="F37" s="34"/>
      <c r="G37" s="95"/>
      <c r="H37" s="34"/>
      <c r="I37" s="33"/>
      <c r="J37" s="33"/>
      <c r="K37" s="52"/>
      <c r="L37" s="52"/>
      <c r="M37" s="52"/>
      <c r="N37" s="52"/>
      <c r="O37" s="53"/>
    </row>
    <row r="38" spans="1:15" ht="15" customHeight="1" x14ac:dyDescent="0.35">
      <c r="A38" s="51" t="str">
        <f>Defaults!A38</f>
        <v>01232</v>
      </c>
      <c r="B38" s="51" t="str">
        <f>Defaults!B38</f>
        <v>Cucumbers and gherkins, averrage</v>
      </c>
      <c r="C38" s="51" t="str">
        <f>Defaults!C38</f>
        <v>Vegetables</v>
      </c>
      <c r="D38" s="33" t="str">
        <f>IF(ISBLANK(F38),"No","Yes")</f>
        <v>Yes</v>
      </c>
      <c r="E38" s="33">
        <f>Defaults!D38</f>
        <v>0</v>
      </c>
      <c r="F38" s="83">
        <v>1385.8545100000001</v>
      </c>
      <c r="G38" s="104"/>
      <c r="H38" s="55">
        <v>7</v>
      </c>
      <c r="I38" s="118">
        <f>Defaults!F38</f>
        <v>7</v>
      </c>
      <c r="J38" s="133">
        <f>Defaults!G38</f>
        <v>1.65</v>
      </c>
      <c r="K38" s="57"/>
      <c r="L38" s="57"/>
      <c r="M38" s="57"/>
      <c r="N38" s="57"/>
      <c r="O38" s="66"/>
    </row>
    <row r="39" spans="1:15" ht="15" customHeight="1" x14ac:dyDescent="0.35">
      <c r="A39" s="51" t="str">
        <f>Defaults!A39</f>
        <v>01232_gh</v>
      </c>
      <c r="B39" s="51" t="str">
        <f>Defaults!B39</f>
        <v>Cucumbers and gherkins, greenhouse</v>
      </c>
      <c r="C39" s="51" t="str">
        <f>Defaults!C39</f>
        <v>Vegetables</v>
      </c>
      <c r="D39" s="33" t="str">
        <f>IF(ISBLANK(F39),"No","Yes")</f>
        <v>Yes</v>
      </c>
      <c r="E39" s="33">
        <f>Defaults!D39</f>
        <v>95</v>
      </c>
      <c r="F39" s="55">
        <v>1451.4258</v>
      </c>
      <c r="G39" s="103"/>
      <c r="H39" s="76">
        <v>703.72159999999997</v>
      </c>
      <c r="I39" s="109">
        <f>Defaults!F39</f>
        <v>0</v>
      </c>
      <c r="J39" s="125">
        <f>Defaults!G39</f>
        <v>1.65</v>
      </c>
      <c r="K39" s="69" t="s">
        <v>187</v>
      </c>
      <c r="L39" s="57"/>
      <c r="M39" s="69" t="s">
        <v>188</v>
      </c>
      <c r="N39" s="57"/>
      <c r="O39" s="59"/>
    </row>
    <row r="40" spans="1:15" ht="15" customHeight="1" x14ac:dyDescent="0.35">
      <c r="A40" s="51" t="str">
        <f>Defaults!A40</f>
        <v>01232_of</v>
      </c>
      <c r="B40" s="51" t="str">
        <f>Defaults!B40</f>
        <v>Cucumbers and gherkins, openfield</v>
      </c>
      <c r="C40" s="51" t="str">
        <f>Defaults!C40</f>
        <v>Vegetables</v>
      </c>
      <c r="D40" s="33" t="str">
        <f>IF(ISBLANK(F40),"No","Yes")</f>
        <v>Yes</v>
      </c>
      <c r="E40" s="33">
        <f>Defaults!D40</f>
        <v>5</v>
      </c>
      <c r="F40" s="34">
        <v>140</v>
      </c>
      <c r="G40" s="103"/>
      <c r="H40" s="76">
        <v>36.184615384615398</v>
      </c>
      <c r="I40" s="109">
        <f>Defaults!F40</f>
        <v>140</v>
      </c>
      <c r="J40" s="125">
        <f>Defaults!G40</f>
        <v>1.65</v>
      </c>
      <c r="K40" s="57" t="s">
        <v>164</v>
      </c>
      <c r="L40" s="57"/>
      <c r="M40" s="57" t="s">
        <v>164</v>
      </c>
      <c r="N40" s="58"/>
      <c r="O40" s="59"/>
    </row>
    <row r="41" spans="1:15" ht="15" customHeight="1" x14ac:dyDescent="0.35">
      <c r="A41" s="51" t="str">
        <f>Defaults!A41</f>
        <v>01351.01</v>
      </c>
      <c r="B41" s="51" t="str">
        <f>Defaults!B41</f>
        <v>Currants</v>
      </c>
      <c r="C41" s="51" t="str">
        <f>Defaults!C41</f>
        <v>Berries</v>
      </c>
      <c r="D41" s="33" t="str">
        <f>IF(ISBLANK(F41),"No","Yes")</f>
        <v>Yes</v>
      </c>
      <c r="E41" s="54"/>
      <c r="F41" s="34">
        <v>32</v>
      </c>
      <c r="G41" s="99"/>
      <c r="H41" s="80">
        <v>20</v>
      </c>
      <c r="I41" s="109">
        <f>Defaults!F41</f>
        <v>300</v>
      </c>
      <c r="J41" s="125">
        <f>Defaults!G41</f>
        <v>2.25</v>
      </c>
      <c r="K41" s="57" t="s">
        <v>191</v>
      </c>
      <c r="L41" s="57"/>
      <c r="M41" s="57" t="s">
        <v>191</v>
      </c>
      <c r="N41" s="58"/>
      <c r="O41" s="59"/>
    </row>
    <row r="42" spans="1:15" ht="15" customHeight="1" x14ac:dyDescent="0.35">
      <c r="A42" s="51" t="str">
        <f>Defaults!A42</f>
        <v>01314</v>
      </c>
      <c r="B42" s="51" t="str">
        <f>Defaults!B42</f>
        <v>Dates</v>
      </c>
      <c r="C42" s="51" t="str">
        <f>Defaults!C42</f>
        <v>Fruits</v>
      </c>
      <c r="D42" s="33" t="str">
        <f>IF(ISBLANK(F42),"No","Yes")</f>
        <v>No</v>
      </c>
      <c r="E42" s="54"/>
      <c r="F42" s="34"/>
      <c r="G42" s="101"/>
      <c r="H42" s="78"/>
      <c r="I42" s="113"/>
      <c r="J42" s="127"/>
      <c r="K42" s="52"/>
      <c r="L42" s="52"/>
      <c r="M42" s="52"/>
      <c r="N42" s="52"/>
      <c r="O42" s="63"/>
    </row>
    <row r="43" spans="1:15" ht="15" customHeight="1" x14ac:dyDescent="0.35">
      <c r="A43" s="51" t="str">
        <f>Defaults!A43</f>
        <v>01599.10</v>
      </c>
      <c r="B43" s="51" t="str">
        <f>Defaults!B43</f>
        <v>Edible roots and tubers with high starch or inulin content, n.e.c., fresh</v>
      </c>
      <c r="C43" s="51" t="str">
        <f>Defaults!C43</f>
        <v>Roots</v>
      </c>
      <c r="D43" s="33" t="str">
        <f>IF(ISBLANK(F43),"No","Yes")</f>
        <v>No</v>
      </c>
      <c r="E43" s="54"/>
      <c r="F43" s="34"/>
      <c r="G43" s="106"/>
      <c r="H43" s="81"/>
      <c r="I43" s="113"/>
      <c r="J43" s="127"/>
      <c r="K43" s="52"/>
      <c r="L43" s="52"/>
      <c r="M43" s="52"/>
      <c r="N43" s="52"/>
      <c r="O43" s="63"/>
    </row>
    <row r="44" spans="1:15" ht="15" customHeight="1" x14ac:dyDescent="0.35">
      <c r="A44" s="51" t="str">
        <f>Defaults!A44</f>
        <v>01233</v>
      </c>
      <c r="B44" s="51" t="str">
        <f>Defaults!B44</f>
        <v>Eggplants (aubergines)</v>
      </c>
      <c r="C44" s="51" t="str">
        <f>Defaults!C44</f>
        <v>Vegetables</v>
      </c>
      <c r="D44" s="33" t="str">
        <f>IF(ISBLANK(F44),"No","Yes")</f>
        <v>No</v>
      </c>
      <c r="E44" s="54"/>
      <c r="F44" s="34"/>
      <c r="G44" s="101"/>
      <c r="H44" s="78"/>
      <c r="I44" s="111"/>
      <c r="J44" s="127"/>
      <c r="K44" s="52"/>
      <c r="L44" s="52"/>
      <c r="M44" s="52"/>
      <c r="N44" s="52"/>
      <c r="O44" s="63"/>
    </row>
    <row r="45" spans="1:15" ht="15" customHeight="1" x14ac:dyDescent="0.35">
      <c r="A45" s="51" t="str">
        <f>Defaults!A45</f>
        <v>01315</v>
      </c>
      <c r="B45" s="51" t="str">
        <f>Defaults!B45</f>
        <v>Figs</v>
      </c>
      <c r="C45" s="51" t="str">
        <f>Defaults!C45</f>
        <v>Fruits</v>
      </c>
      <c r="D45" s="33" t="str">
        <f>IF(ISBLANK(F45),"No","Yes")</f>
        <v>No</v>
      </c>
      <c r="E45" s="54"/>
      <c r="F45" s="34"/>
      <c r="G45" s="106"/>
      <c r="H45" s="81"/>
      <c r="I45" s="113"/>
      <c r="J45" s="127"/>
      <c r="K45" s="52"/>
      <c r="L45" s="52"/>
      <c r="M45" s="52"/>
      <c r="N45" s="52"/>
      <c r="O45" s="63"/>
    </row>
    <row r="46" spans="1:15" ht="15" customHeight="1" x14ac:dyDescent="0.35">
      <c r="A46" s="51" t="str">
        <f>Defaults!A46</f>
        <v>01351.02</v>
      </c>
      <c r="B46" s="51" t="str">
        <f>Defaults!B46</f>
        <v>Gooseberries</v>
      </c>
      <c r="C46" s="51" t="str">
        <f>Defaults!C46</f>
        <v>Berries</v>
      </c>
      <c r="D46" s="33" t="str">
        <f>IF(ISBLANK(F46),"No","Yes")</f>
        <v>No</v>
      </c>
      <c r="E46" s="70"/>
      <c r="F46" s="34"/>
      <c r="G46" s="101"/>
      <c r="H46" s="78"/>
      <c r="I46" s="111"/>
      <c r="J46" s="127"/>
      <c r="K46" s="52"/>
      <c r="L46" s="52"/>
      <c r="M46" s="52"/>
      <c r="N46" s="52"/>
      <c r="O46" s="63"/>
    </row>
    <row r="47" spans="1:15" ht="15" customHeight="1" x14ac:dyDescent="0.35">
      <c r="A47" s="51" t="str">
        <f>Defaults!A47</f>
        <v>01330</v>
      </c>
      <c r="B47" s="51" t="str">
        <f>Defaults!B47</f>
        <v>Grapes</v>
      </c>
      <c r="C47" s="51" t="str">
        <f>Defaults!C47</f>
        <v>Fruits</v>
      </c>
      <c r="D47" s="33" t="str">
        <f>IF(ISBLANK(F47),"No","Yes")</f>
        <v>Yes</v>
      </c>
      <c r="E47" s="54"/>
      <c r="F47" s="55">
        <v>6.2508461827754793</v>
      </c>
      <c r="G47" s="99"/>
      <c r="H47" s="80">
        <v>2.6518741381471731</v>
      </c>
      <c r="I47" s="109">
        <f>Defaults!F47</f>
        <v>450</v>
      </c>
      <c r="J47" s="125">
        <f>Defaults!G47</f>
        <v>6.09</v>
      </c>
      <c r="K47" s="57" t="s">
        <v>185</v>
      </c>
      <c r="L47" s="57"/>
      <c r="M47" s="57" t="s">
        <v>185</v>
      </c>
      <c r="N47" s="58"/>
      <c r="O47" s="59"/>
    </row>
    <row r="48" spans="1:15" ht="15" customHeight="1" x14ac:dyDescent="0.35">
      <c r="A48" s="51" t="str">
        <f>Defaults!A48</f>
        <v>01290.01</v>
      </c>
      <c r="B48" s="51" t="str">
        <f>Defaults!B48</f>
        <v>Green corn (maize)</v>
      </c>
      <c r="C48" s="51" t="str">
        <f>Defaults!C48</f>
        <v>Vegetables</v>
      </c>
      <c r="D48" s="33" t="str">
        <f>IF(ISBLANK(F48),"No","Yes")</f>
        <v>No</v>
      </c>
      <c r="E48" s="54"/>
      <c r="F48" s="55"/>
      <c r="G48" s="107"/>
      <c r="H48" s="82"/>
      <c r="I48" s="114"/>
      <c r="J48" s="127"/>
      <c r="K48" s="52"/>
      <c r="L48" s="52"/>
      <c r="M48" s="52"/>
      <c r="N48" s="52"/>
      <c r="O48" s="63"/>
    </row>
    <row r="49" spans="1:15" ht="15" customHeight="1" x14ac:dyDescent="0.35">
      <c r="A49" s="51" t="str">
        <f>Defaults!A49</f>
        <v>01252</v>
      </c>
      <c r="B49" s="51" t="str">
        <f>Defaults!B49</f>
        <v>Green garlic</v>
      </c>
      <c r="C49" s="51" t="str">
        <f>Defaults!C49</f>
        <v>Vegetables</v>
      </c>
      <c r="D49" s="33" t="str">
        <f>IF(ISBLANK(F49),"No","Yes")</f>
        <v>Yes</v>
      </c>
      <c r="E49" s="54"/>
      <c r="F49" s="55">
        <v>11.387434554973822</v>
      </c>
      <c r="G49" s="99"/>
      <c r="H49" s="76">
        <v>3.4794938917975569</v>
      </c>
      <c r="I49" s="109">
        <f>Defaults!F49</f>
        <v>140</v>
      </c>
      <c r="J49" s="125">
        <f>Defaults!G49</f>
        <v>1.65</v>
      </c>
      <c r="K49" s="57" t="s">
        <v>205</v>
      </c>
      <c r="L49" s="57"/>
      <c r="M49" s="57" t="s">
        <v>206</v>
      </c>
      <c r="N49" s="58"/>
      <c r="O49" s="59"/>
    </row>
    <row r="50" spans="1:15" ht="15" customHeight="1" x14ac:dyDescent="0.35">
      <c r="A50" s="51" t="str">
        <f>Defaults!A50</f>
        <v>0142</v>
      </c>
      <c r="B50" s="51" t="str">
        <f>Defaults!B50</f>
        <v>Groundnuts, excluding shelled</v>
      </c>
      <c r="C50" s="51" t="str">
        <f>Defaults!C50</f>
        <v>Nuts</v>
      </c>
      <c r="D50" s="33" t="str">
        <f>IF(ISBLANK(F50),"No","Yes")</f>
        <v>No</v>
      </c>
      <c r="E50" s="54"/>
      <c r="F50" s="55"/>
      <c r="G50" s="106"/>
      <c r="H50" s="81"/>
      <c r="I50" s="113"/>
      <c r="J50" s="127"/>
      <c r="K50" s="52"/>
      <c r="L50" s="52"/>
      <c r="M50" s="52"/>
      <c r="N50" s="52"/>
      <c r="O50" s="63"/>
    </row>
    <row r="51" spans="1:15" ht="15" customHeight="1" x14ac:dyDescent="0.35">
      <c r="A51" s="51" t="str">
        <f>Defaults!A51</f>
        <v>01374</v>
      </c>
      <c r="B51" s="51" t="str">
        <f>Defaults!B51</f>
        <v>Hazelnuts, in shell</v>
      </c>
      <c r="C51" s="51" t="str">
        <f>Defaults!C51</f>
        <v>Nuts</v>
      </c>
      <c r="D51" s="33" t="str">
        <f>IF(ISBLANK(F51),"No","Yes")</f>
        <v>No</v>
      </c>
      <c r="E51" s="70"/>
      <c r="F51" s="55"/>
      <c r="G51" s="101"/>
      <c r="H51" s="78"/>
      <c r="I51" s="111"/>
      <c r="J51" s="127"/>
      <c r="K51" s="52"/>
      <c r="L51" s="52"/>
      <c r="M51" s="52"/>
      <c r="N51" s="52"/>
      <c r="O51" s="63"/>
    </row>
    <row r="52" spans="1:15" ht="15" customHeight="1" x14ac:dyDescent="0.35">
      <c r="A52" s="51" t="str">
        <f>Defaults!A52</f>
        <v>01352</v>
      </c>
      <c r="B52" s="51" t="str">
        <f>Defaults!B52</f>
        <v>Kiwi fruit</v>
      </c>
      <c r="C52" s="51" t="str">
        <f>Defaults!C52</f>
        <v>Fruits</v>
      </c>
      <c r="D52" s="33" t="str">
        <f>IF(ISBLANK(F52),"No","Yes")</f>
        <v>No</v>
      </c>
      <c r="E52" s="70"/>
      <c r="F52" s="55"/>
      <c r="G52" s="101"/>
      <c r="H52" s="78"/>
      <c r="I52" s="111"/>
      <c r="J52" s="127"/>
      <c r="K52" s="52"/>
      <c r="L52" s="52"/>
      <c r="M52" s="52"/>
      <c r="N52" s="52"/>
      <c r="O52" s="63"/>
    </row>
    <row r="53" spans="1:15" ht="15" customHeight="1" x14ac:dyDescent="0.35">
      <c r="A53" s="51" t="str">
        <f>Defaults!A53</f>
        <v>01254</v>
      </c>
      <c r="B53" s="51" t="str">
        <f>Defaults!B53</f>
        <v>Leeks and other alliaceous vegetables</v>
      </c>
      <c r="C53" s="51" t="str">
        <f>Defaults!C53</f>
        <v>Vegetables</v>
      </c>
      <c r="D53" s="33" t="str">
        <f>IF(ISBLANK(F53),"No","Yes")</f>
        <v>Yes</v>
      </c>
      <c r="E53" s="54"/>
      <c r="F53" s="55">
        <v>219.9992474773388</v>
      </c>
      <c r="G53" s="99"/>
      <c r="H53" s="76">
        <v>43.999849495467764</v>
      </c>
      <c r="I53" s="109">
        <v>140</v>
      </c>
      <c r="J53" s="125">
        <f>Defaults!G53</f>
        <v>1.65</v>
      </c>
      <c r="K53" s="57" t="s">
        <v>211</v>
      </c>
      <c r="L53" s="57"/>
      <c r="M53" s="57" t="s">
        <v>211</v>
      </c>
      <c r="N53" s="58"/>
      <c r="O53" s="59"/>
    </row>
    <row r="54" spans="1:15" ht="15" customHeight="1" x14ac:dyDescent="0.35">
      <c r="A54" s="51" t="str">
        <f>Defaults!A54</f>
        <v>01322</v>
      </c>
      <c r="B54" s="51" t="str">
        <f>Defaults!B54</f>
        <v>Lemons and limes</v>
      </c>
      <c r="C54" s="51" t="str">
        <f>Defaults!C54</f>
        <v>Fruits</v>
      </c>
      <c r="D54" s="33" t="str">
        <f>IF(ISBLANK(F54),"No","Yes")</f>
        <v>No</v>
      </c>
      <c r="E54" s="70"/>
      <c r="F54" s="34"/>
      <c r="G54" s="101"/>
      <c r="H54" s="78"/>
      <c r="I54" s="111"/>
      <c r="J54" s="127"/>
      <c r="K54" s="52"/>
      <c r="L54" s="52"/>
      <c r="M54" s="52"/>
      <c r="N54" s="60"/>
      <c r="O54" s="63"/>
    </row>
    <row r="55" spans="1:15" ht="15" customHeight="1" x14ac:dyDescent="0.35">
      <c r="A55" s="51" t="str">
        <f>Defaults!A55</f>
        <v>01704</v>
      </c>
      <c r="B55" s="51" t="str">
        <f>Defaults!B55</f>
        <v>Lentils, dry</v>
      </c>
      <c r="C55" s="51" t="str">
        <f>Defaults!C55</f>
        <v>Pulses</v>
      </c>
      <c r="D55" s="33" t="str">
        <f>IF(ISBLANK(F55),"No","Yes")</f>
        <v>Yes</v>
      </c>
      <c r="E55" s="70"/>
      <c r="F55" s="34">
        <v>0</v>
      </c>
      <c r="G55" s="103">
        <f>Defaults!E55</f>
        <v>63</v>
      </c>
      <c r="H55" s="80">
        <v>0</v>
      </c>
      <c r="I55" s="115">
        <v>79</v>
      </c>
      <c r="J55" s="125">
        <f>Defaults!G55</f>
        <v>0</v>
      </c>
      <c r="K55" s="57"/>
      <c r="L55" s="57"/>
      <c r="M55" s="57"/>
      <c r="N55" s="71"/>
      <c r="O55" s="59"/>
    </row>
    <row r="56" spans="1:15" ht="15" customHeight="1" x14ac:dyDescent="0.35">
      <c r="A56" s="51" t="str">
        <f>Defaults!A56</f>
        <v>01214</v>
      </c>
      <c r="B56" s="51" t="str">
        <f>Defaults!B56</f>
        <v>Lettuce and chicory</v>
      </c>
      <c r="C56" s="51" t="str">
        <f>Defaults!C56</f>
        <v>Vegetables</v>
      </c>
      <c r="D56" s="33" t="str">
        <f>IF(ISBLANK(F56),"No","Yes")</f>
        <v>Yes</v>
      </c>
      <c r="E56" s="70"/>
      <c r="F56" s="55">
        <v>103.99894409543754</v>
      </c>
      <c r="G56" s="99"/>
      <c r="H56" s="80">
        <v>20.999786788501808</v>
      </c>
      <c r="I56" s="109">
        <f>Defaults!F56</f>
        <v>140</v>
      </c>
      <c r="J56" s="125">
        <f>Defaults!G56</f>
        <v>1.65</v>
      </c>
      <c r="K56" s="57" t="s">
        <v>211</v>
      </c>
      <c r="L56" s="57"/>
      <c r="M56" s="57" t="s">
        <v>211</v>
      </c>
      <c r="N56" s="65"/>
      <c r="O56" s="59"/>
    </row>
    <row r="57" spans="1:15" ht="15" customHeight="1" x14ac:dyDescent="0.35">
      <c r="A57" s="51" t="str">
        <f>Defaults!A57</f>
        <v>01441</v>
      </c>
      <c r="B57" s="51" t="str">
        <f>Defaults!B57</f>
        <v>Linseed</v>
      </c>
      <c r="C57" s="51" t="str">
        <f>Defaults!C57</f>
        <v>Seeds</v>
      </c>
      <c r="D57" s="33" t="str">
        <f>IF(ISBLANK(F57),"No","Yes")</f>
        <v>Yes</v>
      </c>
      <c r="E57" s="70"/>
      <c r="F57" s="55">
        <v>60</v>
      </c>
      <c r="G57" s="99"/>
      <c r="H57" s="80">
        <v>15</v>
      </c>
      <c r="I57" s="109">
        <f>Defaults!F57</f>
        <v>65.400000000000006</v>
      </c>
      <c r="J57" s="125">
        <f>Defaults!G57</f>
        <v>0.7</v>
      </c>
      <c r="K57" s="57" t="s">
        <v>217</v>
      </c>
      <c r="L57" s="57"/>
      <c r="M57" s="57" t="s">
        <v>217</v>
      </c>
      <c r="N57" s="57"/>
      <c r="O57" s="59"/>
    </row>
    <row r="58" spans="1:15" ht="15" customHeight="1" x14ac:dyDescent="0.35">
      <c r="A58" s="51" t="str">
        <f>Defaults!A58</f>
        <v>01709.02</v>
      </c>
      <c r="B58" s="51" t="str">
        <f>Defaults!B58</f>
        <v>Lupins</v>
      </c>
      <c r="C58" s="51" t="str">
        <f>Defaults!C58</f>
        <v>Pulses</v>
      </c>
      <c r="D58" s="33" t="str">
        <f>IF(ISBLANK(F58),"No","Yes")</f>
        <v>No</v>
      </c>
      <c r="E58" s="54"/>
      <c r="F58" s="55"/>
      <c r="G58" s="106"/>
      <c r="H58" s="81"/>
      <c r="I58" s="113"/>
      <c r="J58" s="127"/>
      <c r="K58" s="52"/>
      <c r="L58" s="52"/>
      <c r="M58" s="52"/>
      <c r="N58" s="64"/>
      <c r="O58" s="63"/>
    </row>
    <row r="59" spans="1:15" ht="15" customHeight="1" x14ac:dyDescent="0.35">
      <c r="A59" s="51" t="str">
        <f>Defaults!A59</f>
        <v>0112</v>
      </c>
      <c r="B59" s="51" t="str">
        <f>Defaults!B59</f>
        <v>Maize (corn)</v>
      </c>
      <c r="C59" s="51" t="str">
        <f>Defaults!C59</f>
        <v>Cereals, incl feed</v>
      </c>
      <c r="D59" s="33" t="str">
        <f>IF(ISBLANK(F59),"No","Yes")</f>
        <v>Yes</v>
      </c>
      <c r="E59" s="54"/>
      <c r="F59" s="55">
        <v>131.99700453857793</v>
      </c>
      <c r="G59" s="99"/>
      <c r="H59" s="80">
        <v>36.999160363086233</v>
      </c>
      <c r="I59" s="109">
        <f>Defaults!F59</f>
        <v>69</v>
      </c>
      <c r="J59" s="125">
        <f>Defaults!G59</f>
        <v>0.11</v>
      </c>
      <c r="K59" s="57" t="s">
        <v>147</v>
      </c>
      <c r="L59" s="57"/>
      <c r="M59" s="57" t="s">
        <v>147</v>
      </c>
      <c r="N59" s="58"/>
      <c r="O59" s="59"/>
    </row>
    <row r="60" spans="1:15" ht="15" customHeight="1" x14ac:dyDescent="0.35">
      <c r="A60" s="51" t="str">
        <f>Defaults!A60</f>
        <v>01316</v>
      </c>
      <c r="B60" s="51" t="str">
        <f>Defaults!B60</f>
        <v>Mangoes, guavas and mangosteens</v>
      </c>
      <c r="C60" s="51" t="str">
        <f>Defaults!C60</f>
        <v>Fruits</v>
      </c>
      <c r="D60" s="33" t="str">
        <f>IF(ISBLANK(F60),"No","Yes")</f>
        <v>No</v>
      </c>
      <c r="E60" s="54"/>
      <c r="F60" s="55"/>
      <c r="G60" s="106"/>
      <c r="H60" s="81"/>
      <c r="I60" s="113"/>
      <c r="J60" s="127"/>
      <c r="K60" s="52"/>
      <c r="L60" s="52"/>
      <c r="M60" s="52" t="s">
        <v>147</v>
      </c>
      <c r="N60" s="64"/>
      <c r="O60" s="63"/>
    </row>
    <row r="61" spans="1:15" ht="15" customHeight="1" x14ac:dyDescent="0.35">
      <c r="A61" s="51" t="str">
        <f>Defaults!A61</f>
        <v>0118</v>
      </c>
      <c r="B61" s="51" t="str">
        <f>Defaults!B61</f>
        <v>Millet</v>
      </c>
      <c r="C61" s="51" t="str">
        <f>Defaults!C61</f>
        <v>Cereals</v>
      </c>
      <c r="D61" s="33" t="str">
        <f>IF(ISBLANK(F61),"No","Yes")</f>
        <v>No</v>
      </c>
      <c r="E61" s="54"/>
      <c r="F61" s="55"/>
      <c r="G61" s="101"/>
      <c r="H61" s="78"/>
      <c r="I61" s="111"/>
      <c r="J61" s="127"/>
      <c r="K61" s="52"/>
      <c r="L61" s="52"/>
      <c r="M61" s="52"/>
      <c r="N61" s="68"/>
      <c r="O61" s="63"/>
    </row>
    <row r="62" spans="1:15" ht="15" customHeight="1" x14ac:dyDescent="0.35">
      <c r="A62" s="51" t="str">
        <f>Defaults!A62</f>
        <v>01199.02</v>
      </c>
      <c r="B62" s="51" t="str">
        <f>Defaults!B62</f>
        <v>Mixed grain</v>
      </c>
      <c r="C62" s="51" t="str">
        <f>Defaults!C62</f>
        <v>Cereals</v>
      </c>
      <c r="D62" s="33" t="str">
        <f>IF(ISBLANK(F62),"No","Yes")</f>
        <v>No</v>
      </c>
      <c r="E62" s="70"/>
      <c r="F62" s="55"/>
      <c r="G62" s="101"/>
      <c r="H62" s="78"/>
      <c r="I62" s="111"/>
      <c r="J62" s="127"/>
      <c r="K62" s="52"/>
      <c r="L62" s="52"/>
      <c r="M62" s="52"/>
      <c r="N62" s="64"/>
      <c r="O62" s="63"/>
    </row>
    <row r="63" spans="1:15" ht="15" customHeight="1" x14ac:dyDescent="0.35">
      <c r="A63" s="51" t="str">
        <f>Defaults!A63</f>
        <v>01270</v>
      </c>
      <c r="B63" s="51" t="str">
        <f>Defaults!B63</f>
        <v>Mushrooms and truffles</v>
      </c>
      <c r="C63" s="51" t="str">
        <f>Defaults!C63</f>
        <v>Mushrooms</v>
      </c>
      <c r="D63" s="33" t="str">
        <f>IF(ISBLANK(F63),"No","Yes")</f>
        <v>No</v>
      </c>
      <c r="E63" s="70"/>
      <c r="F63" s="55"/>
      <c r="G63" s="101"/>
      <c r="H63" s="78"/>
      <c r="I63" s="111"/>
      <c r="J63" s="127"/>
      <c r="K63" s="52"/>
      <c r="L63" s="52"/>
      <c r="M63" s="52"/>
      <c r="N63" s="60"/>
      <c r="O63" s="63"/>
    </row>
    <row r="64" spans="1:15" ht="15" customHeight="1" x14ac:dyDescent="0.35">
      <c r="A64" s="51" t="str">
        <f>Defaults!A64</f>
        <v>0117</v>
      </c>
      <c r="B64" s="51" t="str">
        <f>Defaults!B64</f>
        <v>Oats</v>
      </c>
      <c r="C64" s="51" t="str">
        <f>Defaults!C64</f>
        <v>Cereals, incl feed</v>
      </c>
      <c r="D64" s="33" t="str">
        <f>IF(ISBLANK(F64),"No","Yes")</f>
        <v>Yes</v>
      </c>
      <c r="E64" s="33"/>
      <c r="F64" s="55">
        <v>70.992046843177178</v>
      </c>
      <c r="G64" s="100"/>
      <c r="H64" s="77">
        <v>14.998319755600814</v>
      </c>
      <c r="I64" s="109">
        <f>Defaults!F64</f>
        <v>68.599999999999994</v>
      </c>
      <c r="J64" s="125">
        <f>Defaults!G64</f>
        <v>0.45</v>
      </c>
      <c r="K64" s="57" t="s">
        <v>147</v>
      </c>
      <c r="L64" s="57"/>
      <c r="M64" s="57" t="s">
        <v>147</v>
      </c>
      <c r="N64" s="58"/>
      <c r="O64" s="59"/>
    </row>
    <row r="65" spans="1:15" ht="15" customHeight="1" x14ac:dyDescent="0.35">
      <c r="A65" s="51" t="str">
        <f>Defaults!A65</f>
        <v>01491.01</v>
      </c>
      <c r="B65" s="51" t="str">
        <f>Defaults!B65</f>
        <v>Oil palm fruit</v>
      </c>
      <c r="C65" s="51" t="str">
        <f>Defaults!C65</f>
        <v>Oil crops, tree</v>
      </c>
      <c r="D65" s="33" t="str">
        <f>IF(ISBLANK(F65),"No","Yes")</f>
        <v>No</v>
      </c>
      <c r="E65" s="33"/>
      <c r="F65" s="34"/>
      <c r="G65" s="95"/>
      <c r="H65" s="34"/>
      <c r="I65" s="33"/>
      <c r="J65" s="33"/>
      <c r="K65" s="52"/>
      <c r="L65" s="52"/>
      <c r="M65" s="52" t="s">
        <v>147</v>
      </c>
      <c r="N65" s="64"/>
      <c r="O65" s="53"/>
    </row>
    <row r="66" spans="1:15" ht="15" customHeight="1" x14ac:dyDescent="0.35">
      <c r="A66" s="51" t="str">
        <f>Defaults!A66</f>
        <v>01450</v>
      </c>
      <c r="B66" s="51" t="str">
        <f>Defaults!B66</f>
        <v>Olives</v>
      </c>
      <c r="C66" s="51" t="str">
        <f>Defaults!C66</f>
        <v>Oil crops, tree</v>
      </c>
      <c r="D66" s="33" t="str">
        <f>IF(ISBLANK(F66),"No","Yes")</f>
        <v>No</v>
      </c>
      <c r="E66" s="33"/>
      <c r="F66" s="34"/>
      <c r="G66" s="95"/>
      <c r="H66" s="34"/>
      <c r="I66" s="33"/>
      <c r="J66" s="33"/>
      <c r="K66" s="52"/>
      <c r="L66" s="52"/>
      <c r="M66" s="52"/>
      <c r="N66" s="64"/>
      <c r="O66" s="53"/>
    </row>
    <row r="67" spans="1:15" ht="15" customHeight="1" x14ac:dyDescent="0.35">
      <c r="A67" s="51" t="str">
        <f>Defaults!A67</f>
        <v>01253.02</v>
      </c>
      <c r="B67" s="51" t="str">
        <f>Defaults!B67</f>
        <v>Onions and shallots, dry (excluding dehydrated)</v>
      </c>
      <c r="C67" s="51" t="str">
        <f>Defaults!C67</f>
        <v>Vegetables</v>
      </c>
      <c r="D67" s="33" t="str">
        <f>IF(ISBLANK(F67),"No","Yes")</f>
        <v>Yes</v>
      </c>
      <c r="E67" s="33"/>
      <c r="F67" s="55">
        <v>143.99874345549739</v>
      </c>
      <c r="G67" s="100"/>
      <c r="H67" s="77">
        <v>43.999616055846424</v>
      </c>
      <c r="I67" s="109">
        <f>Defaults!F67</f>
        <v>140</v>
      </c>
      <c r="J67" s="125">
        <f>Defaults!G67</f>
        <v>4.71</v>
      </c>
      <c r="K67" s="57" t="s">
        <v>170</v>
      </c>
      <c r="L67" s="57"/>
      <c r="M67" s="57" t="s">
        <v>170</v>
      </c>
      <c r="N67" s="65"/>
      <c r="O67" s="59"/>
    </row>
    <row r="68" spans="1:15" ht="15" customHeight="1" x14ac:dyDescent="0.35">
      <c r="A68" s="51" t="str">
        <f>Defaults!A68</f>
        <v>01323</v>
      </c>
      <c r="B68" s="51" t="str">
        <f>Defaults!B68</f>
        <v>Oranges</v>
      </c>
      <c r="C68" s="51" t="str">
        <f>Defaults!C68</f>
        <v>Fruits</v>
      </c>
      <c r="D68" s="33" t="str">
        <f>IF(ISBLANK(F68),"No","Yes")</f>
        <v>No</v>
      </c>
      <c r="E68" s="33"/>
      <c r="F68" s="55"/>
      <c r="G68" s="95"/>
      <c r="H68" s="34"/>
      <c r="I68" s="33"/>
      <c r="J68" s="33"/>
      <c r="K68" s="52"/>
      <c r="L68" s="52"/>
      <c r="M68" s="52"/>
      <c r="N68" s="52"/>
      <c r="O68" s="53"/>
    </row>
    <row r="69" spans="1:15" ht="15" customHeight="1" x14ac:dyDescent="0.35">
      <c r="A69" s="51" t="str">
        <f>Defaults!A69</f>
        <v>01241.90</v>
      </c>
      <c r="B69" s="51" t="str">
        <f>Defaults!B69</f>
        <v>Other beans, green</v>
      </c>
      <c r="C69" s="51" t="str">
        <f>Defaults!C69</f>
        <v>Vegetables</v>
      </c>
      <c r="D69" s="33" t="str">
        <f>IF(ISBLANK(F69),"No","Yes")</f>
        <v>Yes</v>
      </c>
      <c r="E69" s="33"/>
      <c r="F69" s="55">
        <v>2.0001956181533647</v>
      </c>
      <c r="G69" s="103">
        <f>Defaults!E69</f>
        <v>24</v>
      </c>
      <c r="H69" s="77">
        <v>4.0003912363067293</v>
      </c>
      <c r="I69" s="109">
        <f>Defaults!F69</f>
        <v>61.1</v>
      </c>
      <c r="J69" s="125">
        <f>Defaults!G69</f>
        <v>0.59499999999999997</v>
      </c>
      <c r="K69" s="57" t="s">
        <v>233</v>
      </c>
      <c r="L69" s="57"/>
      <c r="M69" s="57" t="s">
        <v>233</v>
      </c>
      <c r="N69" s="57"/>
      <c r="O69" s="66"/>
    </row>
    <row r="70" spans="1:15" ht="15" customHeight="1" x14ac:dyDescent="0.35">
      <c r="A70" s="51" t="str">
        <f>Defaults!A70</f>
        <v>01359.90</v>
      </c>
      <c r="B70" s="51" t="str">
        <f>Defaults!B70</f>
        <v>Other fruits, n.e.c.</v>
      </c>
      <c r="C70" s="51" t="str">
        <f>Defaults!C70</f>
        <v>Fruits</v>
      </c>
      <c r="D70" s="33" t="str">
        <f>IF(ISBLANK(F70),"No","Yes")</f>
        <v>No</v>
      </c>
      <c r="E70" s="33"/>
      <c r="F70" s="55"/>
      <c r="G70" s="95"/>
      <c r="H70" s="34"/>
      <c r="I70" s="33"/>
      <c r="J70" s="33"/>
      <c r="K70" s="52"/>
      <c r="L70" s="52"/>
      <c r="M70" s="52"/>
      <c r="N70" s="52"/>
      <c r="O70" s="53"/>
    </row>
    <row r="71" spans="1:15" ht="15" customHeight="1" x14ac:dyDescent="0.35">
      <c r="A71" s="51" t="str">
        <f>Defaults!A71</f>
        <v>01449.90</v>
      </c>
      <c r="B71" s="51" t="str">
        <f>Defaults!B71</f>
        <v>Other oil seeds, n.e.c.</v>
      </c>
      <c r="C71" s="51" t="str">
        <f>Defaults!C71</f>
        <v>Oil crops</v>
      </c>
      <c r="D71" s="33" t="str">
        <f>IF(ISBLANK(F71),"No","Yes")</f>
        <v>No</v>
      </c>
      <c r="E71" s="33"/>
      <c r="F71" s="55"/>
      <c r="G71" s="95"/>
      <c r="H71" s="34"/>
      <c r="I71" s="33"/>
      <c r="J71" s="33"/>
      <c r="K71" s="52"/>
      <c r="L71" s="52"/>
      <c r="M71" s="52"/>
      <c r="N71" s="52"/>
      <c r="O71" s="53"/>
    </row>
    <row r="72" spans="1:15" ht="15" customHeight="1" x14ac:dyDescent="0.35">
      <c r="A72" s="51" t="str">
        <f>Defaults!A72</f>
        <v>01709.90</v>
      </c>
      <c r="B72" s="51" t="str">
        <f>Defaults!B72</f>
        <v>Other pulses n.e.c.</v>
      </c>
      <c r="C72" s="51" t="str">
        <f>Defaults!C72</f>
        <v>Pulses</v>
      </c>
      <c r="D72" s="33" t="str">
        <f>IF(ISBLANK(F72),"No","Yes")</f>
        <v>Yes</v>
      </c>
      <c r="E72" s="33"/>
      <c r="F72" s="55">
        <v>1.9994986631016041</v>
      </c>
      <c r="G72" s="103">
        <f>Defaults!E72</f>
        <v>24</v>
      </c>
      <c r="H72" s="77">
        <v>3.9989973262032081</v>
      </c>
      <c r="I72" s="109">
        <f>Defaults!F72</f>
        <v>63.2</v>
      </c>
      <c r="J72" s="125">
        <f>Defaults!G72</f>
        <v>0.59499999999999997</v>
      </c>
      <c r="K72" s="57" t="s">
        <v>233</v>
      </c>
      <c r="L72" s="57"/>
      <c r="M72" s="57" t="s">
        <v>233</v>
      </c>
      <c r="N72" s="57"/>
      <c r="O72" s="66"/>
    </row>
    <row r="73" spans="1:15" ht="15" customHeight="1" x14ac:dyDescent="0.35">
      <c r="A73" s="51" t="str">
        <f>Defaults!A73</f>
        <v>01699</v>
      </c>
      <c r="B73" s="51" t="str">
        <f>Defaults!B73</f>
        <v>Other stimulant, spice and aromatic crops, n.e.c.</v>
      </c>
      <c r="C73" s="51" t="str">
        <f>Defaults!C73</f>
        <v>Stimulants</v>
      </c>
      <c r="D73" s="33" t="str">
        <f>IF(ISBLANK(F73),"No","Yes")</f>
        <v>No</v>
      </c>
      <c r="E73" s="33"/>
      <c r="F73" s="55"/>
      <c r="G73" s="95"/>
      <c r="H73" s="34"/>
      <c r="I73" s="33"/>
      <c r="J73" s="33"/>
      <c r="K73" s="52"/>
      <c r="L73" s="52"/>
      <c r="M73" s="52"/>
      <c r="N73" s="52"/>
      <c r="O73" s="53"/>
    </row>
    <row r="74" spans="1:15" ht="15" customHeight="1" x14ac:dyDescent="0.35">
      <c r="A74" s="51" t="str">
        <f>Defaults!A74</f>
        <v>01290.90</v>
      </c>
      <c r="B74" s="51" t="str">
        <f>Defaults!B74</f>
        <v>Other vegetables, fresh n.e.c.</v>
      </c>
      <c r="C74" s="51" t="str">
        <f>Defaults!C74</f>
        <v>Vegetables</v>
      </c>
      <c r="D74" s="33" t="str">
        <f>IF(ISBLANK(F74),"No","Yes")</f>
        <v>Yes</v>
      </c>
      <c r="E74" s="33"/>
      <c r="F74" s="55">
        <v>131.99427061709758</v>
      </c>
      <c r="G74" s="100"/>
      <c r="H74" s="77">
        <v>29.998697867522175</v>
      </c>
      <c r="I74" s="109">
        <f>Defaults!F74</f>
        <v>140</v>
      </c>
      <c r="J74" s="125">
        <f>Defaults!G74</f>
        <v>1.65</v>
      </c>
      <c r="K74" s="57" t="s">
        <v>241</v>
      </c>
      <c r="L74" s="57"/>
      <c r="M74" s="57" t="s">
        <v>241</v>
      </c>
      <c r="N74" s="58"/>
      <c r="O74" s="66"/>
    </row>
    <row r="75" spans="1:15" ht="15" customHeight="1" x14ac:dyDescent="0.35">
      <c r="A75" s="51" t="str">
        <f>Defaults!A75</f>
        <v>01317</v>
      </c>
      <c r="B75" s="51" t="str">
        <f>Defaults!B75</f>
        <v>Papayas</v>
      </c>
      <c r="C75" s="51" t="str">
        <f>Defaults!C75</f>
        <v>Fruits</v>
      </c>
      <c r="D75" s="33" t="str">
        <f>IF(ISBLANK(F75),"No","Yes")</f>
        <v>No</v>
      </c>
      <c r="E75" s="33"/>
      <c r="F75" s="55"/>
      <c r="G75" s="95"/>
      <c r="H75" s="34"/>
      <c r="I75" s="33"/>
      <c r="J75" s="33"/>
      <c r="K75" s="52"/>
      <c r="L75" s="52"/>
      <c r="M75" s="52"/>
      <c r="N75" s="52"/>
      <c r="O75" s="53"/>
    </row>
    <row r="76" spans="1:15" ht="15" customHeight="1" x14ac:dyDescent="0.35">
      <c r="A76" s="51" t="str">
        <f>Defaults!A76</f>
        <v>01345</v>
      </c>
      <c r="B76" s="51" t="str">
        <f>Defaults!B76</f>
        <v>Peaches and nectarines</v>
      </c>
      <c r="C76" s="51" t="str">
        <f>Defaults!C76</f>
        <v>Fruits</v>
      </c>
      <c r="D76" s="33" t="str">
        <f>IF(ISBLANK(F76),"No","Yes")</f>
        <v>No</v>
      </c>
      <c r="E76" s="33"/>
      <c r="F76" s="55"/>
      <c r="G76" s="95"/>
      <c r="H76" s="34"/>
      <c r="I76" s="33"/>
      <c r="J76" s="33"/>
      <c r="K76" s="52"/>
      <c r="L76" s="52"/>
      <c r="M76" s="52"/>
      <c r="N76" s="52"/>
      <c r="O76" s="53"/>
    </row>
    <row r="77" spans="1:15" ht="15" customHeight="1" x14ac:dyDescent="0.35">
      <c r="A77" s="51" t="str">
        <f>Defaults!A77</f>
        <v>01342.01</v>
      </c>
      <c r="B77" s="51" t="str">
        <f>Defaults!B77</f>
        <v>Pears</v>
      </c>
      <c r="C77" s="51" t="str">
        <f>Defaults!C77</f>
        <v>Fruits</v>
      </c>
      <c r="D77" s="33" t="str">
        <f>IF(ISBLANK(F77),"No","Yes")</f>
        <v>Yes</v>
      </c>
      <c r="E77" s="33"/>
      <c r="F77" s="55">
        <v>48.001155234657041</v>
      </c>
      <c r="G77" s="100"/>
      <c r="H77" s="76">
        <v>6.5296571480144401</v>
      </c>
      <c r="I77" s="109">
        <f>Defaults!F77</f>
        <v>450</v>
      </c>
      <c r="J77" s="125">
        <f>Defaults!G77</f>
        <v>6.09</v>
      </c>
      <c r="K77" s="57" t="s">
        <v>132</v>
      </c>
      <c r="L77" s="57"/>
      <c r="M77" s="57" t="s">
        <v>132</v>
      </c>
      <c r="N77" s="57"/>
      <c r="O77" s="66"/>
    </row>
    <row r="78" spans="1:15" ht="15" customHeight="1" x14ac:dyDescent="0.35">
      <c r="A78" s="51" t="str">
        <f>Defaults!A78</f>
        <v>01705</v>
      </c>
      <c r="B78" s="51" t="str">
        <f>Defaults!B78</f>
        <v>Peas, dry</v>
      </c>
      <c r="C78" s="51" t="str">
        <f>Defaults!C78</f>
        <v>Pulses, incl feed</v>
      </c>
      <c r="D78" s="33" t="str">
        <f>IF(ISBLANK(F78),"No","Yes")</f>
        <v>Yes</v>
      </c>
      <c r="E78" s="33"/>
      <c r="F78" s="34">
        <v>0</v>
      </c>
      <c r="G78" s="100">
        <v>63</v>
      </c>
      <c r="H78" s="77">
        <v>5.0005739365293724</v>
      </c>
      <c r="I78" s="109">
        <f>Defaults!F78</f>
        <v>63.2</v>
      </c>
      <c r="J78" s="125">
        <f>Defaults!G78</f>
        <v>0.57999999999999996</v>
      </c>
      <c r="K78" s="57" t="s">
        <v>147</v>
      </c>
      <c r="L78" s="57"/>
      <c r="M78" s="57" t="s">
        <v>147</v>
      </c>
      <c r="N78" s="57"/>
      <c r="O78" s="59"/>
    </row>
    <row r="79" spans="1:15" ht="15" customHeight="1" x14ac:dyDescent="0.35">
      <c r="A79" s="51" t="str">
        <f>Defaults!A79</f>
        <v>01242</v>
      </c>
      <c r="B79" s="51" t="str">
        <f>Defaults!B79</f>
        <v>Peas, green</v>
      </c>
      <c r="C79" s="51" t="str">
        <f>Defaults!C79</f>
        <v>Vegetables</v>
      </c>
      <c r="D79" s="33" t="str">
        <f>IF(ISBLANK(F79),"No","Yes")</f>
        <v>Yes</v>
      </c>
      <c r="E79" s="33"/>
      <c r="F79" s="34">
        <v>0</v>
      </c>
      <c r="G79" s="103">
        <f>Defaults!E79</f>
        <v>63</v>
      </c>
      <c r="H79" s="77">
        <v>4.9996763754045306</v>
      </c>
      <c r="I79" s="109">
        <f>Defaults!F79</f>
        <v>63.2</v>
      </c>
      <c r="J79" s="126">
        <v>0.57999999999999996</v>
      </c>
      <c r="K79" s="57" t="s">
        <v>147</v>
      </c>
      <c r="L79" s="57"/>
      <c r="M79" s="57" t="s">
        <v>147</v>
      </c>
      <c r="N79" s="57"/>
      <c r="O79" s="59"/>
    </row>
    <row r="80" spans="1:15" ht="15" customHeight="1" x14ac:dyDescent="0.35">
      <c r="A80" s="51" t="str">
        <f>Defaults!A80</f>
        <v>01651</v>
      </c>
      <c r="B80" s="51" t="str">
        <f>Defaults!B80</f>
        <v>Pepper (Piper spp.), raw</v>
      </c>
      <c r="C80" s="51" t="str">
        <f>Defaults!C80</f>
        <v>Vegetables</v>
      </c>
      <c r="D80" s="33" t="str">
        <f>IF(ISBLANK(F80),"No","Yes")</f>
        <v>No</v>
      </c>
      <c r="E80" s="33"/>
      <c r="F80" s="34"/>
      <c r="G80" s="95"/>
      <c r="H80" s="34"/>
      <c r="I80" s="33"/>
      <c r="J80" s="33"/>
      <c r="K80" s="52"/>
      <c r="L80" s="52"/>
      <c r="M80" s="52"/>
      <c r="N80" s="52"/>
      <c r="O80" s="53"/>
    </row>
    <row r="81" spans="1:15" ht="15" customHeight="1" x14ac:dyDescent="0.35">
      <c r="A81" s="51" t="str">
        <f>Defaults!A81</f>
        <v>01318</v>
      </c>
      <c r="B81" s="51" t="str">
        <f>Defaults!B81</f>
        <v>Pineapples</v>
      </c>
      <c r="C81" s="51" t="str">
        <f>Defaults!C81</f>
        <v>Fruits</v>
      </c>
      <c r="D81" s="33" t="str">
        <f>IF(ISBLANK(F81),"No","Yes")</f>
        <v>No</v>
      </c>
      <c r="E81" s="33"/>
      <c r="F81" s="34"/>
      <c r="G81" s="95"/>
      <c r="H81" s="34"/>
      <c r="I81" s="33"/>
      <c r="J81" s="33"/>
      <c r="K81" s="52"/>
      <c r="L81" s="52"/>
      <c r="M81" s="52"/>
      <c r="N81" s="52"/>
      <c r="O81" s="53"/>
    </row>
    <row r="82" spans="1:15" ht="15" customHeight="1" x14ac:dyDescent="0.35">
      <c r="A82" s="51" t="str">
        <f>Defaults!A82</f>
        <v>01313</v>
      </c>
      <c r="B82" s="51" t="str">
        <f>Defaults!B82</f>
        <v>Plantains and cooking bananas</v>
      </c>
      <c r="C82" s="51" t="str">
        <f>Defaults!C82</f>
        <v>Fruits</v>
      </c>
      <c r="D82" s="33" t="str">
        <f>IF(ISBLANK(F82),"No","Yes")</f>
        <v>No</v>
      </c>
      <c r="E82" s="33"/>
      <c r="F82" s="34"/>
      <c r="G82" s="95"/>
      <c r="H82" s="34"/>
      <c r="I82" s="33"/>
      <c r="J82" s="33"/>
      <c r="K82" s="52"/>
      <c r="L82" s="52"/>
      <c r="M82" s="52"/>
      <c r="N82" s="52"/>
      <c r="O82" s="53"/>
    </row>
    <row r="83" spans="1:15" ht="15" customHeight="1" x14ac:dyDescent="0.35">
      <c r="A83" s="51" t="str">
        <f>Defaults!A83</f>
        <v>01346</v>
      </c>
      <c r="B83" s="51" t="str">
        <f>Defaults!B83</f>
        <v>Plums and sloes</v>
      </c>
      <c r="C83" s="51" t="str">
        <f>Defaults!C83</f>
        <v>Fruits</v>
      </c>
      <c r="D83" s="33" t="str">
        <f>IF(ISBLANK(F83),"No","Yes")</f>
        <v>Yes</v>
      </c>
      <c r="E83" s="33"/>
      <c r="F83" s="134">
        <v>41</v>
      </c>
      <c r="G83" s="100"/>
      <c r="H83" s="77">
        <v>6</v>
      </c>
      <c r="I83" s="109">
        <f>Defaults!F83</f>
        <v>450</v>
      </c>
      <c r="J83" s="125">
        <f>Defaults!G83</f>
        <v>6.09</v>
      </c>
      <c r="K83" s="57" t="s">
        <v>251</v>
      </c>
      <c r="L83" s="57"/>
      <c r="M83" s="57" t="s">
        <v>251</v>
      </c>
      <c r="N83" s="58"/>
      <c r="O83" s="66"/>
    </row>
    <row r="84" spans="1:15" ht="15" customHeight="1" x14ac:dyDescent="0.35">
      <c r="A84" s="51" t="str">
        <f>Defaults!A84</f>
        <v>01321</v>
      </c>
      <c r="B84" s="51" t="str">
        <f>Defaults!B84</f>
        <v>Pomelos and grapefruits</v>
      </c>
      <c r="C84" s="51" t="str">
        <f>Defaults!C84</f>
        <v>Fruits</v>
      </c>
      <c r="D84" s="33" t="str">
        <f>IF(ISBLANK(F84),"No","Yes")</f>
        <v>No</v>
      </c>
      <c r="E84" s="33"/>
      <c r="F84" s="34"/>
      <c r="G84" s="95"/>
      <c r="H84" s="34"/>
      <c r="I84" s="33"/>
      <c r="J84" s="33"/>
      <c r="K84" s="52"/>
      <c r="L84" s="52"/>
      <c r="M84" s="52"/>
      <c r="N84" s="52"/>
      <c r="O84" s="53"/>
    </row>
    <row r="85" spans="1:15" ht="15" customHeight="1" x14ac:dyDescent="0.35">
      <c r="A85" s="51" t="str">
        <f>Defaults!A85</f>
        <v>01448</v>
      </c>
      <c r="B85" s="51" t="str">
        <f>Defaults!B85</f>
        <v>Poppy seed</v>
      </c>
      <c r="C85" s="51" t="str">
        <f>Defaults!C85</f>
        <v>Seeds</v>
      </c>
      <c r="D85" s="33" t="str">
        <f>IF(ISBLANK(F85),"No","Yes")</f>
        <v>No</v>
      </c>
      <c r="E85" s="33"/>
      <c r="F85" s="34"/>
      <c r="G85" s="95"/>
      <c r="H85" s="34"/>
      <c r="I85" s="33"/>
      <c r="J85" s="33"/>
      <c r="K85" s="52"/>
      <c r="L85" s="52"/>
      <c r="M85" s="52"/>
      <c r="N85" s="52"/>
      <c r="O85" s="53"/>
    </row>
    <row r="86" spans="1:15" ht="15" customHeight="1" x14ac:dyDescent="0.35">
      <c r="A86" s="51" t="str">
        <f>Defaults!A86</f>
        <v>01510</v>
      </c>
      <c r="B86" s="51" t="str">
        <f>Defaults!B86</f>
        <v>Potatoes</v>
      </c>
      <c r="C86" s="51" t="str">
        <f>Defaults!C86</f>
        <v>Roots</v>
      </c>
      <c r="D86" s="33" t="str">
        <f>IF(ISBLANK(F86),"No","Yes")</f>
        <v>Yes</v>
      </c>
      <c r="E86" s="33"/>
      <c r="F86" s="34">
        <v>101</v>
      </c>
      <c r="G86" s="100"/>
      <c r="H86" s="79">
        <v>40.999999999999993</v>
      </c>
      <c r="I86" s="109">
        <f>Defaults!F86</f>
        <v>135.5</v>
      </c>
      <c r="J86" s="125">
        <f>Defaults!G86</f>
        <v>2.13</v>
      </c>
      <c r="K86" s="57" t="s">
        <v>147</v>
      </c>
      <c r="L86" s="57"/>
      <c r="M86" s="57" t="s">
        <v>147</v>
      </c>
      <c r="N86" s="57"/>
      <c r="O86" s="59"/>
    </row>
    <row r="87" spans="1:15" ht="15" customHeight="1" x14ac:dyDescent="0.35">
      <c r="A87" s="51" t="str">
        <f>Defaults!A87</f>
        <v>01235</v>
      </c>
      <c r="B87" s="51" t="str">
        <f>Defaults!B87</f>
        <v>Pumpkins, squash and gourds</v>
      </c>
      <c r="C87" s="51" t="str">
        <f>Defaults!C87</f>
        <v>Vegetables</v>
      </c>
      <c r="D87" s="33" t="str">
        <f>IF(ISBLANK(F87),"No","Yes")</f>
        <v>Yes</v>
      </c>
      <c r="E87" s="33"/>
      <c r="F87" s="55">
        <v>17.999882715781244</v>
      </c>
      <c r="G87" s="100"/>
      <c r="H87" s="77"/>
      <c r="I87" s="109">
        <f>Defaults!F87</f>
        <v>140</v>
      </c>
      <c r="J87" s="125">
        <f>Defaults!G87</f>
        <v>1.65</v>
      </c>
      <c r="K87" s="57" t="s">
        <v>256</v>
      </c>
      <c r="L87" s="57"/>
      <c r="M87" s="57"/>
      <c r="N87" s="58"/>
      <c r="O87" s="66"/>
    </row>
    <row r="88" spans="1:15" ht="15" customHeight="1" x14ac:dyDescent="0.35">
      <c r="A88" s="51" t="str">
        <f>Defaults!A88</f>
        <v>01342.02</v>
      </c>
      <c r="B88" s="51" t="str">
        <f>Defaults!B88</f>
        <v>Quinces</v>
      </c>
      <c r="C88" s="51" t="str">
        <f>Defaults!C88</f>
        <v>Other</v>
      </c>
      <c r="D88" s="33" t="str">
        <f>IF(ISBLANK(F88),"No","Yes")</f>
        <v>No</v>
      </c>
      <c r="E88" s="33"/>
      <c r="F88" s="55"/>
      <c r="G88" s="95"/>
      <c r="H88" s="34"/>
      <c r="I88" s="33"/>
      <c r="J88" s="33"/>
      <c r="K88" s="52"/>
      <c r="L88" s="52"/>
      <c r="M88" s="52"/>
      <c r="N88" s="52"/>
      <c r="O88" s="53"/>
    </row>
    <row r="89" spans="1:15" ht="15" customHeight="1" x14ac:dyDescent="0.35">
      <c r="A89" s="51" t="str">
        <f>Defaults!A89</f>
        <v>01194</v>
      </c>
      <c r="B89" s="51" t="str">
        <f>Defaults!B89</f>
        <v>Quinoa</v>
      </c>
      <c r="C89" s="51" t="str">
        <f>Defaults!C89</f>
        <v>Seeds</v>
      </c>
      <c r="D89" s="33" t="str">
        <f>IF(ISBLANK(F89),"No","Yes")</f>
        <v>No</v>
      </c>
      <c r="E89" s="33"/>
      <c r="F89" s="55"/>
      <c r="G89" s="95"/>
      <c r="H89" s="34"/>
      <c r="I89" s="33"/>
      <c r="J89" s="33"/>
      <c r="K89" s="52"/>
      <c r="L89" s="52"/>
      <c r="M89" s="52"/>
      <c r="N89" s="52"/>
      <c r="O89" s="53"/>
    </row>
    <row r="90" spans="1:15" ht="15" customHeight="1" x14ac:dyDescent="0.35">
      <c r="A90" s="51" t="str">
        <f>Defaults!A90</f>
        <v>01443</v>
      </c>
      <c r="B90" s="51" t="str">
        <f>Defaults!B90</f>
        <v>Rape or colza seed, average</v>
      </c>
      <c r="C90" s="51" t="str">
        <f>Defaults!C90</f>
        <v>Oil crops</v>
      </c>
      <c r="D90" s="33" t="str">
        <f>IF(ISBLANK(F90),"No","Yes")</f>
        <v>Yes</v>
      </c>
      <c r="E90" s="33"/>
      <c r="F90" s="83">
        <v>147</v>
      </c>
      <c r="G90" s="95"/>
      <c r="H90" s="77">
        <v>28.898261877172654</v>
      </c>
      <c r="I90" s="118">
        <f>Defaults!F90</f>
        <v>60</v>
      </c>
      <c r="J90" s="133">
        <f>Defaults!G90</f>
        <v>0.35900000000000004</v>
      </c>
      <c r="K90" s="52"/>
      <c r="L90" s="52"/>
      <c r="M90" s="52"/>
      <c r="N90" s="52"/>
      <c r="O90" s="53"/>
    </row>
    <row r="91" spans="1:15" ht="15" customHeight="1" x14ac:dyDescent="0.35">
      <c r="A91" s="51" t="str">
        <f>Defaults!A91</f>
        <v>01443_s</v>
      </c>
      <c r="B91" s="51" t="str">
        <f>Defaults!B91</f>
        <v>Rape or colza seed, spring</v>
      </c>
      <c r="C91" s="51" t="str">
        <f>Defaults!C91</f>
        <v>Oil crops</v>
      </c>
      <c r="D91" s="33" t="str">
        <f>IF(ISBLANK(F91),"No","Yes")</f>
        <v>Yes</v>
      </c>
      <c r="E91" s="33">
        <f>Defaults!D91</f>
        <v>10</v>
      </c>
      <c r="F91" s="55">
        <v>147</v>
      </c>
      <c r="G91" s="100"/>
      <c r="H91" s="77">
        <v>16</v>
      </c>
      <c r="I91" s="109">
        <f>Defaults!F91</f>
        <v>60</v>
      </c>
      <c r="J91" s="125">
        <f>Defaults!G91</f>
        <v>0.26</v>
      </c>
      <c r="K91" s="57" t="s">
        <v>262</v>
      </c>
      <c r="L91" s="57"/>
      <c r="M91" s="57" t="s">
        <v>262</v>
      </c>
      <c r="N91" s="57"/>
      <c r="O91" s="59"/>
    </row>
    <row r="92" spans="1:15" ht="15" customHeight="1" x14ac:dyDescent="0.35">
      <c r="A92" s="51" t="str">
        <f>Defaults!A92</f>
        <v>01443_w</v>
      </c>
      <c r="B92" s="51" t="str">
        <f>Defaults!B92</f>
        <v>Rape or colza seed, winter</v>
      </c>
      <c r="C92" s="51" t="str">
        <f>Defaults!C92</f>
        <v>Oil crops</v>
      </c>
      <c r="D92" s="33" t="str">
        <f>IF(ISBLANK(F92),"No","Yes")</f>
        <v>Yes</v>
      </c>
      <c r="E92" s="33">
        <f>Defaults!D92</f>
        <v>90</v>
      </c>
      <c r="F92" s="55">
        <v>147</v>
      </c>
      <c r="G92" s="100"/>
      <c r="H92" s="77">
        <v>16</v>
      </c>
      <c r="I92" s="109">
        <f>Defaults!F92</f>
        <v>60</v>
      </c>
      <c r="J92" s="125">
        <f>Defaults!G92</f>
        <v>0.37</v>
      </c>
      <c r="K92" s="57" t="s">
        <v>262</v>
      </c>
      <c r="L92" s="57"/>
      <c r="M92" s="57" t="s">
        <v>262</v>
      </c>
      <c r="N92" s="57"/>
      <c r="O92" s="59"/>
    </row>
    <row r="93" spans="1:15" ht="15" customHeight="1" x14ac:dyDescent="0.35">
      <c r="A93" s="51" t="str">
        <f>Defaults!A93</f>
        <v>01353.01</v>
      </c>
      <c r="B93" s="51" t="str">
        <f>Defaults!B93</f>
        <v>Raspberries</v>
      </c>
      <c r="C93" s="51" t="str">
        <f>Defaults!C93</f>
        <v>Berries</v>
      </c>
      <c r="D93" s="33" t="str">
        <f>IF(ISBLANK(F93),"No","Yes")</f>
        <v>Yes</v>
      </c>
      <c r="E93" s="33"/>
      <c r="F93" s="55">
        <v>100</v>
      </c>
      <c r="G93" s="100"/>
      <c r="H93" s="76">
        <v>12.5</v>
      </c>
      <c r="I93" s="109">
        <f>Defaults!F93</f>
        <v>300</v>
      </c>
      <c r="J93" s="125">
        <f>Defaults!G93</f>
        <v>2.25</v>
      </c>
      <c r="K93" s="57" t="s">
        <v>265</v>
      </c>
      <c r="L93" s="57"/>
      <c r="M93" s="57" t="s">
        <v>265</v>
      </c>
      <c r="N93" s="57"/>
      <c r="O93" s="59"/>
    </row>
    <row r="94" spans="1:15" ht="15" customHeight="1" x14ac:dyDescent="0.35">
      <c r="A94" s="51" t="str">
        <f>Defaults!A94</f>
        <v>0113</v>
      </c>
      <c r="B94" s="51" t="str">
        <f>Defaults!B94</f>
        <v>Rice</v>
      </c>
      <c r="C94" s="51" t="str">
        <f>Defaults!C94</f>
        <v>Cereals</v>
      </c>
      <c r="D94" s="33" t="str">
        <f>IF(ISBLANK(F94),"No","Yes")</f>
        <v>No</v>
      </c>
      <c r="E94" s="33"/>
      <c r="F94" s="55"/>
      <c r="G94" s="95"/>
      <c r="H94" s="34"/>
      <c r="I94" s="33"/>
      <c r="J94" s="33"/>
      <c r="K94" s="52"/>
      <c r="L94" s="52"/>
      <c r="M94" s="52"/>
      <c r="N94" s="52"/>
      <c r="O94" s="53"/>
    </row>
    <row r="95" spans="1:15" ht="15" customHeight="1" x14ac:dyDescent="0.35">
      <c r="A95" s="51" t="str">
        <f>Defaults!A95</f>
        <v>0116</v>
      </c>
      <c r="B95" s="51" t="str">
        <f>Defaults!B95</f>
        <v>Rye</v>
      </c>
      <c r="C95" s="51" t="str">
        <f>Defaults!C95</f>
        <v>Cereals, incl feed</v>
      </c>
      <c r="D95" s="33" t="str">
        <f>IF(ISBLANK(F95),"No","Yes")</f>
        <v>Yes</v>
      </c>
      <c r="E95" s="33"/>
      <c r="F95" s="55">
        <v>95.003821656050945</v>
      </c>
      <c r="G95" s="100"/>
      <c r="H95" s="77">
        <v>7.0002815957090174</v>
      </c>
      <c r="I95" s="109">
        <f>Defaults!F95</f>
        <v>68.7</v>
      </c>
      <c r="J95" s="125">
        <f>Defaults!G95</f>
        <v>0.94</v>
      </c>
      <c r="K95" s="57" t="s">
        <v>147</v>
      </c>
      <c r="L95" s="57"/>
      <c r="M95" s="57" t="s">
        <v>147</v>
      </c>
      <c r="N95" s="57"/>
      <c r="O95" s="59"/>
    </row>
    <row r="96" spans="1:15" ht="15" customHeight="1" x14ac:dyDescent="0.35">
      <c r="A96" s="51" t="str">
        <f>Defaults!A96</f>
        <v>0114</v>
      </c>
      <c r="B96" s="51" t="str">
        <f>Defaults!B96</f>
        <v>Sorghum</v>
      </c>
      <c r="C96" s="51" t="str">
        <f>Defaults!C96</f>
        <v>Cereals</v>
      </c>
      <c r="D96" s="33" t="str">
        <f>IF(ISBLANK(F96),"No","Yes")</f>
        <v>No</v>
      </c>
      <c r="E96" s="33"/>
      <c r="F96" s="55"/>
      <c r="G96" s="95"/>
      <c r="H96" s="34"/>
      <c r="I96" s="33"/>
      <c r="J96" s="33"/>
      <c r="K96" s="52"/>
      <c r="L96" s="52"/>
      <c r="M96" s="52"/>
      <c r="N96" s="52"/>
      <c r="O96" s="53"/>
    </row>
    <row r="97" spans="1:15" ht="15" customHeight="1" x14ac:dyDescent="0.35">
      <c r="A97" s="51" t="str">
        <f>Defaults!A97</f>
        <v>01344.01</v>
      </c>
      <c r="B97" s="51" t="str">
        <f>Defaults!B97</f>
        <v>Sour cherries</v>
      </c>
      <c r="C97" s="51" t="str">
        <f>Defaults!C97</f>
        <v>Fruits</v>
      </c>
      <c r="D97" s="33" t="str">
        <f>IF(ISBLANK(F97),"No","Yes")</f>
        <v>Yes</v>
      </c>
      <c r="E97" s="33"/>
      <c r="F97" s="55">
        <v>99.990651635963701</v>
      </c>
      <c r="G97" s="100"/>
      <c r="H97" s="77">
        <v>12.998784712675281</v>
      </c>
      <c r="I97" s="109">
        <f>Defaults!F97</f>
        <v>450</v>
      </c>
      <c r="J97" s="125">
        <f>Defaults!G97</f>
        <v>6.09</v>
      </c>
      <c r="K97" s="57" t="s">
        <v>270</v>
      </c>
      <c r="L97" s="57"/>
      <c r="M97" s="57" t="s">
        <v>270</v>
      </c>
      <c r="N97" s="58"/>
      <c r="O97" s="66"/>
    </row>
    <row r="98" spans="1:15" ht="15" customHeight="1" x14ac:dyDescent="0.35">
      <c r="A98" s="51" t="str">
        <f>Defaults!A98</f>
        <v>0141</v>
      </c>
      <c r="B98" s="51" t="str">
        <f>Defaults!B98</f>
        <v>Soya beans</v>
      </c>
      <c r="C98" s="51" t="str">
        <f>Defaults!C98</f>
        <v>Pulses</v>
      </c>
      <c r="D98" s="33" t="str">
        <f>IF(ISBLANK(F98),"No","Yes")</f>
        <v>No</v>
      </c>
      <c r="E98" s="33"/>
      <c r="F98" s="55"/>
      <c r="G98" s="95"/>
      <c r="H98" s="34"/>
      <c r="I98" s="33"/>
      <c r="J98" s="33"/>
      <c r="K98" s="52"/>
      <c r="L98" s="52"/>
      <c r="M98" s="52"/>
      <c r="N98" s="52"/>
      <c r="O98" s="53"/>
    </row>
    <row r="99" spans="1:15" ht="15" customHeight="1" x14ac:dyDescent="0.35">
      <c r="A99" s="51" t="str">
        <f>Defaults!A99</f>
        <v>01215</v>
      </c>
      <c r="B99" s="51" t="str">
        <f>Defaults!B99</f>
        <v>Spinach</v>
      </c>
      <c r="C99" s="51" t="str">
        <f>Defaults!C99</f>
        <v>Vegetables</v>
      </c>
      <c r="D99" s="33" t="str">
        <f>IF(ISBLANK(F99),"No","Yes")</f>
        <v>Yes</v>
      </c>
      <c r="E99" s="33"/>
      <c r="F99" s="55">
        <v>44.998221845893312</v>
      </c>
      <c r="G99" s="100"/>
      <c r="H99" s="77">
        <v>8.999644369178661</v>
      </c>
      <c r="I99" s="109">
        <f>Defaults!F99</f>
        <v>140</v>
      </c>
      <c r="J99" s="125">
        <f>Defaults!G99</f>
        <v>1.65</v>
      </c>
      <c r="K99" s="57" t="s">
        <v>256</v>
      </c>
      <c r="L99" s="57"/>
      <c r="M99" s="57" t="s">
        <v>273</v>
      </c>
      <c r="N99" s="58"/>
      <c r="O99" s="66"/>
    </row>
    <row r="100" spans="1:15" ht="15" customHeight="1" x14ac:dyDescent="0.35">
      <c r="A100" s="51" t="str">
        <f>Defaults!A100</f>
        <v>01354</v>
      </c>
      <c r="B100" s="51" t="str">
        <f>Defaults!B100</f>
        <v>Strawberries</v>
      </c>
      <c r="C100" s="51" t="str">
        <f>Defaults!C100</f>
        <v>Fruits</v>
      </c>
      <c r="D100" s="33" t="str">
        <f>IF(ISBLANK(F100),"No","Yes")</f>
        <v>Yes</v>
      </c>
      <c r="E100" s="33"/>
      <c r="F100" s="55">
        <v>32.999338097028954</v>
      </c>
      <c r="G100" s="100"/>
      <c r="H100" s="77">
        <v>13.999719192678953</v>
      </c>
      <c r="I100" s="109">
        <f>Defaults!F100</f>
        <v>300</v>
      </c>
      <c r="J100" s="125">
        <f>Defaults!G100</f>
        <v>2.25</v>
      </c>
      <c r="K100" s="57" t="s">
        <v>275</v>
      </c>
      <c r="L100" s="57"/>
      <c r="M100" s="57" t="s">
        <v>275</v>
      </c>
      <c r="N100" s="57"/>
      <c r="O100" s="59"/>
    </row>
    <row r="101" spans="1:15" ht="15" customHeight="1" x14ac:dyDescent="0.35">
      <c r="A101" s="51" t="str">
        <f>Defaults!A101</f>
        <v>01801</v>
      </c>
      <c r="B101" s="51" t="str">
        <f>Defaults!B101</f>
        <v>Sugar beet</v>
      </c>
      <c r="C101" s="51" t="str">
        <f>Defaults!C101</f>
        <v>Sugar crops</v>
      </c>
      <c r="D101" s="33" t="str">
        <f>IF(ISBLANK(F101),"No","Yes")</f>
        <v>Yes</v>
      </c>
      <c r="E101" s="33"/>
      <c r="F101" s="55">
        <v>104.9996533509409</v>
      </c>
      <c r="G101" s="100"/>
      <c r="H101" s="77">
        <v>23.99992076592935</v>
      </c>
      <c r="I101" s="109">
        <f>Defaults!F101</f>
        <v>130</v>
      </c>
      <c r="J101" s="125">
        <f>Defaults!G101</f>
        <v>2.38</v>
      </c>
      <c r="K101" s="57" t="s">
        <v>147</v>
      </c>
      <c r="L101" s="57"/>
      <c r="M101" s="57" t="s">
        <v>147</v>
      </c>
      <c r="N101" s="57"/>
      <c r="O101" s="59"/>
    </row>
    <row r="102" spans="1:15" ht="15" customHeight="1" x14ac:dyDescent="0.35">
      <c r="A102" s="51" t="str">
        <f>Defaults!A102</f>
        <v>01802</v>
      </c>
      <c r="B102" s="51" t="str">
        <f>Defaults!B102</f>
        <v>Sugar cane</v>
      </c>
      <c r="C102" s="51" t="str">
        <f>Defaults!C102</f>
        <v>Sugar crops</v>
      </c>
      <c r="D102" s="33" t="str">
        <f>IF(ISBLANK(F102),"No","Yes")</f>
        <v>No</v>
      </c>
      <c r="E102" s="33"/>
      <c r="F102" s="34"/>
      <c r="G102" s="95"/>
      <c r="H102" s="34"/>
      <c r="I102" s="33"/>
      <c r="J102" s="33"/>
      <c r="K102" s="52"/>
      <c r="L102" s="52"/>
      <c r="M102" s="52"/>
      <c r="N102" s="52"/>
      <c r="O102" s="53"/>
    </row>
    <row r="103" spans="1:15" ht="15" customHeight="1" x14ac:dyDescent="0.35">
      <c r="A103" s="51" t="str">
        <f>Defaults!A103</f>
        <v>01445</v>
      </c>
      <c r="B103" s="51" t="str">
        <f>Defaults!B103</f>
        <v>Sunflower seed</v>
      </c>
      <c r="C103" s="51" t="str">
        <f>Defaults!C103</f>
        <v>Oil crops</v>
      </c>
      <c r="D103" s="33" t="str">
        <f>IF(ISBLANK(F103),"No","Yes")</f>
        <v>No</v>
      </c>
      <c r="E103" s="33"/>
      <c r="F103" s="34"/>
      <c r="G103" s="95"/>
      <c r="H103" s="34"/>
      <c r="I103" s="33"/>
      <c r="J103" s="33"/>
      <c r="K103" s="52"/>
      <c r="L103" s="52"/>
      <c r="M103" s="52"/>
      <c r="N103" s="52"/>
      <c r="O103" s="53"/>
    </row>
    <row r="104" spans="1:15" ht="15" customHeight="1" x14ac:dyDescent="0.35">
      <c r="A104" s="51" t="str">
        <f>Defaults!A104</f>
        <v>01530</v>
      </c>
      <c r="B104" s="51" t="str">
        <f>Defaults!B104</f>
        <v>Sweet potatoes</v>
      </c>
      <c r="C104" s="51" t="str">
        <f>Defaults!C104</f>
        <v>Roots</v>
      </c>
      <c r="D104" s="33" t="str">
        <f>IF(ISBLANK(F104),"No","Yes")</f>
        <v>No</v>
      </c>
      <c r="E104" s="33"/>
      <c r="F104" s="34"/>
      <c r="G104" s="95"/>
      <c r="H104" s="34"/>
      <c r="I104" s="33"/>
      <c r="J104" s="33"/>
      <c r="K104" s="52"/>
      <c r="L104" s="52"/>
      <c r="M104" s="52"/>
      <c r="N104" s="52"/>
      <c r="O104" s="53"/>
    </row>
    <row r="105" spans="1:15" ht="15" customHeight="1" x14ac:dyDescent="0.35">
      <c r="A105" s="51" t="str">
        <f>Defaults!A105</f>
        <v>01324</v>
      </c>
      <c r="B105" s="51" t="str">
        <f>Defaults!B105</f>
        <v>Tangerines, mandarins, clementines</v>
      </c>
      <c r="C105" s="51" t="str">
        <f>Defaults!C105</f>
        <v>Fruits</v>
      </c>
      <c r="D105" s="33" t="str">
        <f>IF(ISBLANK(F105),"No","Yes")</f>
        <v>No</v>
      </c>
      <c r="E105" s="33"/>
      <c r="F105" s="34"/>
      <c r="G105" s="95"/>
      <c r="H105" s="34"/>
      <c r="I105" s="33"/>
      <c r="J105" s="33"/>
      <c r="K105" s="52"/>
      <c r="L105" s="52"/>
      <c r="M105" s="52"/>
      <c r="N105" s="52"/>
      <c r="O105" s="53"/>
    </row>
    <row r="106" spans="1:15" ht="15" customHeight="1" x14ac:dyDescent="0.35">
      <c r="A106" s="51" t="str">
        <f>Defaults!A106</f>
        <v>01234</v>
      </c>
      <c r="B106" s="51" t="str">
        <f>Defaults!B106</f>
        <v>Tomatoes, average</v>
      </c>
      <c r="C106" s="51" t="str">
        <f>Defaults!C106</f>
        <v>Vegetables</v>
      </c>
      <c r="D106" s="33" t="str">
        <f>IF(ISBLANK(F106),"No","Yes")</f>
        <v>Yes</v>
      </c>
      <c r="E106" s="33">
        <f>Defaults!D106</f>
        <v>0</v>
      </c>
      <c r="F106" s="84">
        <v>1181</v>
      </c>
      <c r="G106" s="104"/>
      <c r="H106" s="55">
        <v>0</v>
      </c>
      <c r="I106" s="118">
        <f>Defaults!F106</f>
        <v>0</v>
      </c>
      <c r="J106" s="133">
        <f>Defaults!G106</f>
        <v>1.65</v>
      </c>
      <c r="K106" s="57"/>
      <c r="L106" s="57"/>
      <c r="M106" s="57"/>
      <c r="N106" s="57"/>
      <c r="O106" s="66"/>
    </row>
    <row r="107" spans="1:15" ht="15" customHeight="1" x14ac:dyDescent="0.35">
      <c r="A107" s="51" t="str">
        <f>Defaults!A107</f>
        <v>01234_gh</v>
      </c>
      <c r="B107" s="51" t="str">
        <f>Defaults!B107</f>
        <v>Tomatoes, greenhouse</v>
      </c>
      <c r="C107" s="51" t="str">
        <f>Defaults!C107</f>
        <v>Vegetables</v>
      </c>
      <c r="D107" s="33" t="str">
        <f>IF(ISBLANK(F107),"No","Yes")</f>
        <v>Yes</v>
      </c>
      <c r="E107" s="33">
        <f>Defaults!D107</f>
        <v>100</v>
      </c>
      <c r="F107" s="34">
        <v>1181</v>
      </c>
      <c r="G107" s="100"/>
      <c r="H107" s="76">
        <v>326.53131785066398</v>
      </c>
      <c r="I107" s="109">
        <f>Defaults!F107</f>
        <v>0</v>
      </c>
      <c r="J107" s="125">
        <f>Defaults!G107</f>
        <v>1.65</v>
      </c>
      <c r="K107" s="69" t="s">
        <v>284</v>
      </c>
      <c r="L107" s="57"/>
      <c r="M107" s="69" t="s">
        <v>284</v>
      </c>
      <c r="N107" s="57"/>
      <c r="O107" s="59"/>
    </row>
    <row r="108" spans="1:15" ht="15" customHeight="1" x14ac:dyDescent="0.35">
      <c r="A108" s="51" t="str">
        <f>Defaults!A108</f>
        <v>01234_of</v>
      </c>
      <c r="B108" s="51" t="str">
        <f>Defaults!B108</f>
        <v>Tomatoes, openfield</v>
      </c>
      <c r="C108" s="51" t="str">
        <f>Defaults!C108</f>
        <v>Vegetables</v>
      </c>
      <c r="D108" s="33" t="str">
        <f>IF(ISBLANK(F108),"No","Yes")</f>
        <v>No</v>
      </c>
      <c r="E108" s="33">
        <f>Defaults!D108</f>
        <v>0</v>
      </c>
      <c r="F108" s="34"/>
      <c r="G108" s="100"/>
      <c r="H108" s="76"/>
      <c r="I108" s="112"/>
      <c r="J108" s="126"/>
      <c r="K108" s="52"/>
      <c r="L108" s="52"/>
      <c r="M108" s="52"/>
      <c r="N108" s="52"/>
      <c r="O108" s="63"/>
    </row>
    <row r="109" spans="1:15" ht="15" customHeight="1" x14ac:dyDescent="0.35">
      <c r="A109" s="51" t="str">
        <f>Defaults!A109</f>
        <v>01191</v>
      </c>
      <c r="B109" s="51" t="str">
        <f>Defaults!B109</f>
        <v>Triticale</v>
      </c>
      <c r="C109" s="51" t="str">
        <f>Defaults!C109</f>
        <v>Cereals</v>
      </c>
      <c r="D109" s="33" t="str">
        <f>IF(ISBLANK(F109),"No","Yes")</f>
        <v>Yes</v>
      </c>
      <c r="E109" s="33"/>
      <c r="F109" s="55">
        <v>105.99222303741747</v>
      </c>
      <c r="G109" s="100"/>
      <c r="H109" s="77">
        <v>40.99699192956713</v>
      </c>
      <c r="I109" s="109">
        <f>Defaults!F109</f>
        <v>66.7</v>
      </c>
      <c r="J109" s="125">
        <f>Defaults!G109</f>
        <v>0.61</v>
      </c>
      <c r="K109" s="57" t="s">
        <v>147</v>
      </c>
      <c r="L109" s="57"/>
      <c r="M109" s="57" t="s">
        <v>147</v>
      </c>
      <c r="N109" s="57"/>
      <c r="O109" s="59"/>
    </row>
    <row r="110" spans="1:15" ht="15" customHeight="1" x14ac:dyDescent="0.35">
      <c r="A110" s="51" t="str">
        <f>Defaults!A110</f>
        <v>01929.02</v>
      </c>
      <c r="B110" s="51" t="str">
        <f>Defaults!B110</f>
        <v>True hemp, raw or retted</v>
      </c>
      <c r="C110" s="51" t="str">
        <f>Defaults!C110</f>
        <v>Other</v>
      </c>
      <c r="D110" s="33" t="str">
        <f>IF(ISBLANK(F110),"No","Yes")</f>
        <v>No</v>
      </c>
      <c r="E110" s="33"/>
      <c r="F110" s="34"/>
      <c r="G110" s="95"/>
      <c r="H110" s="34"/>
      <c r="I110" s="33"/>
      <c r="J110" s="33"/>
      <c r="K110" s="52"/>
      <c r="L110" s="52"/>
      <c r="M110" s="52"/>
      <c r="N110" s="52"/>
      <c r="O110" s="53"/>
    </row>
    <row r="111" spans="1:15" ht="15" customHeight="1" x14ac:dyDescent="0.35">
      <c r="A111" s="51" t="str">
        <f>Defaults!A111</f>
        <v>01709.01</v>
      </c>
      <c r="B111" s="51" t="str">
        <f>Defaults!B111</f>
        <v>Vetches</v>
      </c>
      <c r="C111" s="51" t="str">
        <f>Defaults!C111</f>
        <v>Other</v>
      </c>
      <c r="D111" s="33" t="str">
        <f>IF(ISBLANK(F111),"No","Yes")</f>
        <v>No</v>
      </c>
      <c r="E111" s="33"/>
      <c r="F111" s="34"/>
      <c r="G111" s="95"/>
      <c r="H111" s="34"/>
      <c r="I111" s="33"/>
      <c r="J111" s="33"/>
      <c r="K111" s="52"/>
      <c r="L111" s="52"/>
      <c r="M111" s="52"/>
      <c r="N111" s="52"/>
      <c r="O111" s="53"/>
    </row>
    <row r="112" spans="1:15" ht="15" customHeight="1" x14ac:dyDescent="0.35">
      <c r="A112" s="51" t="str">
        <f>Defaults!A112</f>
        <v>01376</v>
      </c>
      <c r="B112" s="51" t="str">
        <f>Defaults!B112</f>
        <v>Walnuts, in shell</v>
      </c>
      <c r="C112" s="51" t="str">
        <f>Defaults!C112</f>
        <v>Nuts</v>
      </c>
      <c r="D112" s="33" t="str">
        <f>IF(ISBLANK(F112),"No","Yes")</f>
        <v>No</v>
      </c>
      <c r="E112" s="33"/>
      <c r="F112" s="34"/>
      <c r="G112" s="95"/>
      <c r="H112" s="34"/>
      <c r="I112" s="33"/>
      <c r="J112" s="33"/>
      <c r="K112" s="52"/>
      <c r="L112" s="52"/>
      <c r="M112" s="52"/>
      <c r="N112" s="52"/>
      <c r="O112" s="53"/>
    </row>
    <row r="113" spans="1:15" ht="15" customHeight="1" x14ac:dyDescent="0.35">
      <c r="A113" s="51" t="str">
        <f>Defaults!A113</f>
        <v>01221</v>
      </c>
      <c r="B113" s="51" t="str">
        <f>Defaults!B113</f>
        <v>Watermelons</v>
      </c>
      <c r="C113" s="51" t="str">
        <f>Defaults!C113</f>
        <v>Fruits</v>
      </c>
      <c r="D113" s="33" t="str">
        <f>IF(ISBLANK(F113),"No","Yes")</f>
        <v>No</v>
      </c>
      <c r="E113" s="33"/>
      <c r="F113" s="34"/>
      <c r="G113" s="95"/>
      <c r="H113" s="34"/>
      <c r="I113" s="33"/>
      <c r="J113" s="33"/>
      <c r="K113" s="52"/>
      <c r="L113" s="52"/>
      <c r="M113" s="52"/>
      <c r="N113" s="52"/>
      <c r="O113" s="53"/>
    </row>
    <row r="114" spans="1:15" ht="15" customHeight="1" x14ac:dyDescent="0.35">
      <c r="A114" s="51" t="str">
        <f>Defaults!A114</f>
        <v>01221_gh</v>
      </c>
      <c r="B114" s="51" t="str">
        <f>Defaults!B114</f>
        <v>Watermelons, greenhouse</v>
      </c>
      <c r="C114" s="51" t="str">
        <f>Defaults!C114</f>
        <v>Fruits</v>
      </c>
      <c r="D114" s="33" t="str">
        <f>IF(ISBLANK(F114),"No","Yes")</f>
        <v>No</v>
      </c>
      <c r="E114" s="33"/>
      <c r="F114" s="34"/>
      <c r="G114" s="95"/>
      <c r="H114" s="34"/>
      <c r="I114" s="33"/>
      <c r="J114" s="33"/>
      <c r="K114" s="52"/>
      <c r="L114" s="52"/>
      <c r="M114" s="52"/>
      <c r="N114" s="52"/>
      <c r="O114" s="53"/>
    </row>
    <row r="115" spans="1:15" ht="15" customHeight="1" x14ac:dyDescent="0.35">
      <c r="A115" s="51" t="str">
        <f>Defaults!A115</f>
        <v>01221_of</v>
      </c>
      <c r="B115" s="51" t="str">
        <f>Defaults!B115</f>
        <v>Watermelons, openfield</v>
      </c>
      <c r="C115" s="51" t="str">
        <f>Defaults!C115</f>
        <v>Fruits</v>
      </c>
      <c r="D115" s="33" t="str">
        <f>IF(ISBLANK(F115),"No","Yes")</f>
        <v>No</v>
      </c>
      <c r="E115" s="33"/>
      <c r="F115" s="34"/>
      <c r="G115" s="95"/>
      <c r="H115" s="34"/>
      <c r="I115" s="33"/>
      <c r="J115" s="33"/>
      <c r="K115" s="52"/>
      <c r="L115" s="52"/>
      <c r="M115" s="52"/>
      <c r="N115" s="52"/>
      <c r="O115" s="53"/>
    </row>
    <row r="116" spans="1:15" ht="15" customHeight="1" x14ac:dyDescent="0.35">
      <c r="A116" s="51" t="str">
        <f>Defaults!A116</f>
        <v>0111</v>
      </c>
      <c r="B116" s="51" t="str">
        <f>Defaults!B116</f>
        <v>Wheat, average</v>
      </c>
      <c r="C116" s="51" t="str">
        <f>Defaults!C116</f>
        <v>Cereals, incl feed</v>
      </c>
      <c r="D116" s="33" t="str">
        <f>IF(ISBLANK(F116),"No","Yes")</f>
        <v>Yes</v>
      </c>
      <c r="E116" s="33"/>
      <c r="F116" s="84">
        <v>153</v>
      </c>
      <c r="G116" s="95"/>
      <c r="H116" s="34">
        <v>14</v>
      </c>
      <c r="I116" s="109">
        <f>Defaults!F116</f>
        <v>71</v>
      </c>
      <c r="J116" s="125">
        <f>Defaults!G116</f>
        <v>0.74</v>
      </c>
      <c r="K116" s="57"/>
      <c r="L116" s="57"/>
      <c r="M116" s="57"/>
      <c r="N116" s="57"/>
      <c r="O116" s="66"/>
    </row>
    <row r="117" spans="1:15" ht="15" customHeight="1" x14ac:dyDescent="0.35">
      <c r="A117" s="51" t="str">
        <f>Defaults!A117</f>
        <v>0111_s</v>
      </c>
      <c r="B117" s="51" t="str">
        <f>Defaults!B117</f>
        <v>Wheat, spring</v>
      </c>
      <c r="C117" s="51" t="str">
        <f>Defaults!C117</f>
        <v>Cereals</v>
      </c>
      <c r="D117" s="33" t="str">
        <f>IF(ISBLANK(F117),"No","Yes")</f>
        <v>Yes</v>
      </c>
      <c r="E117" s="33">
        <f>Defaults!D117</f>
        <v>10</v>
      </c>
      <c r="F117" s="34">
        <v>99</v>
      </c>
      <c r="G117" s="100"/>
      <c r="H117" s="79">
        <v>15</v>
      </c>
      <c r="I117" s="109">
        <f>Defaults!F117</f>
        <v>71.900000000000006</v>
      </c>
      <c r="J117" s="125">
        <f>Defaults!G117</f>
        <v>0.42</v>
      </c>
      <c r="K117" s="57" t="s">
        <v>147</v>
      </c>
      <c r="L117" s="57"/>
      <c r="M117" s="57" t="s">
        <v>147</v>
      </c>
      <c r="N117" s="58"/>
      <c r="O117" s="59"/>
    </row>
    <row r="118" spans="1:15" ht="15" customHeight="1" x14ac:dyDescent="0.35">
      <c r="A118" s="51" t="str">
        <f>Defaults!A118</f>
        <v>0111_w</v>
      </c>
      <c r="B118" s="51" t="str">
        <f>Defaults!B118</f>
        <v>Wheat, winter</v>
      </c>
      <c r="C118" s="51" t="str">
        <f>Defaults!C118</f>
        <v>Cereals</v>
      </c>
      <c r="D118" s="33" t="str">
        <f>IF(ISBLANK(F118),"No","Yes")</f>
        <v>Yes</v>
      </c>
      <c r="E118" s="33">
        <f>Defaults!D118</f>
        <v>90</v>
      </c>
      <c r="F118" s="34">
        <v>159</v>
      </c>
      <c r="G118" s="100"/>
      <c r="H118" s="79">
        <v>14</v>
      </c>
      <c r="I118" s="109">
        <f>Defaults!F118</f>
        <v>71.3</v>
      </c>
      <c r="J118" s="125">
        <f>Defaults!G118</f>
        <v>0.77</v>
      </c>
      <c r="K118" s="57" t="s">
        <v>147</v>
      </c>
      <c r="L118" s="57"/>
      <c r="M118" s="57" t="s">
        <v>147</v>
      </c>
      <c r="N118" s="58"/>
      <c r="O118" s="59"/>
    </row>
    <row r="119" spans="1:15" x14ac:dyDescent="0.35">
      <c r="I119" s="108"/>
      <c r="K119" s="12"/>
      <c r="L119" s="12"/>
      <c r="M119" s="12"/>
      <c r="N119" s="12"/>
      <c r="O119" s="17"/>
    </row>
    <row r="120" spans="1:15" x14ac:dyDescent="0.35">
      <c r="I120" s="108"/>
      <c r="K120" s="12"/>
      <c r="L120" s="12"/>
      <c r="M120" s="12"/>
      <c r="N120" s="12"/>
      <c r="O120" s="17"/>
    </row>
    <row r="121" spans="1:15" x14ac:dyDescent="0.35">
      <c r="I121" s="108"/>
      <c r="K121" s="12"/>
      <c r="L121" s="12"/>
      <c r="M121" s="12"/>
      <c r="N121" s="12"/>
      <c r="O121" s="17"/>
    </row>
    <row r="122" spans="1:15" x14ac:dyDescent="0.35">
      <c r="I122" s="108"/>
      <c r="K122" s="12"/>
      <c r="L122" s="12"/>
      <c r="M122" s="12"/>
      <c r="N122" s="12"/>
      <c r="O122" s="17"/>
    </row>
    <row r="123" spans="1:15" x14ac:dyDescent="0.35">
      <c r="I123" s="108"/>
      <c r="K123" s="12"/>
      <c r="L123" s="12"/>
      <c r="M123" s="12"/>
      <c r="N123" s="12"/>
      <c r="O123" s="17"/>
    </row>
    <row r="124" spans="1:15" x14ac:dyDescent="0.35">
      <c r="I124" s="108"/>
      <c r="K124" s="12"/>
      <c r="L124" s="12"/>
      <c r="M124" s="12"/>
      <c r="N124" s="12"/>
      <c r="O124" s="17"/>
    </row>
    <row r="125" spans="1:15" x14ac:dyDescent="0.35">
      <c r="I125" s="108"/>
      <c r="K125" s="12"/>
      <c r="L125" s="12"/>
      <c r="M125" s="12"/>
      <c r="N125" s="12"/>
      <c r="O125" s="17"/>
    </row>
    <row r="126" spans="1:15" x14ac:dyDescent="0.35">
      <c r="K126" s="12"/>
      <c r="L126" s="12"/>
      <c r="M126" s="12"/>
      <c r="N126" s="12"/>
      <c r="O126" s="17"/>
    </row>
    <row r="127" spans="1:15" x14ac:dyDescent="0.35">
      <c r="K127" s="12"/>
      <c r="L127" s="12"/>
      <c r="M127" s="12"/>
      <c r="N127" s="12"/>
      <c r="O127" s="17"/>
    </row>
    <row r="128" spans="1:15" x14ac:dyDescent="0.35">
      <c r="K128" s="12"/>
      <c r="L128" s="12"/>
      <c r="M128" s="12"/>
      <c r="N128" s="12"/>
      <c r="O128" s="17"/>
    </row>
    <row r="129" spans="15:15" x14ac:dyDescent="0.35">
      <c r="O129" s="2"/>
    </row>
    <row r="130" spans="15:15" x14ac:dyDescent="0.35">
      <c r="O130" s="2"/>
    </row>
    <row r="131" spans="15:15" x14ac:dyDescent="0.35">
      <c r="O131" s="2"/>
    </row>
    <row r="132" spans="15:15" x14ac:dyDescent="0.35">
      <c r="O132" s="2"/>
    </row>
    <row r="133" spans="15:15" x14ac:dyDescent="0.35">
      <c r="O133" s="2"/>
    </row>
    <row r="134" spans="15:15" x14ac:dyDescent="0.35">
      <c r="O134" s="2"/>
    </row>
    <row r="135" spans="15:15" x14ac:dyDescent="0.35">
      <c r="O135" s="2"/>
    </row>
    <row r="136" spans="15:15" x14ac:dyDescent="0.35">
      <c r="O136" s="2"/>
    </row>
    <row r="137" spans="15:15" x14ac:dyDescent="0.35">
      <c r="O137" s="2"/>
    </row>
    <row r="138" spans="15:15" x14ac:dyDescent="0.35">
      <c r="O138" s="2"/>
    </row>
    <row r="139" spans="15:15" x14ac:dyDescent="0.35">
      <c r="O139" s="2"/>
    </row>
    <row r="140" spans="15:15" x14ac:dyDescent="0.35">
      <c r="O140" s="2"/>
    </row>
    <row r="141" spans="15:15" x14ac:dyDescent="0.35">
      <c r="O141" s="2"/>
    </row>
    <row r="142" spans="15:15" x14ac:dyDescent="0.35">
      <c r="O142" s="2"/>
    </row>
    <row r="143" spans="15:15" x14ac:dyDescent="0.35">
      <c r="O143" s="2"/>
    </row>
    <row r="144" spans="15:15" x14ac:dyDescent="0.35">
      <c r="O144" s="2"/>
    </row>
    <row r="145" spans="15:15" x14ac:dyDescent="0.35">
      <c r="O145" s="2"/>
    </row>
    <row r="146" spans="15:15" x14ac:dyDescent="0.35">
      <c r="O146" s="2"/>
    </row>
    <row r="147" spans="15:15" x14ac:dyDescent="0.35">
      <c r="O147" s="2"/>
    </row>
    <row r="148" spans="15:15" x14ac:dyDescent="0.35">
      <c r="O148" s="2"/>
    </row>
    <row r="149" spans="15:15" x14ac:dyDescent="0.35">
      <c r="O149" s="2"/>
    </row>
    <row r="150" spans="15:15" x14ac:dyDescent="0.35">
      <c r="O150" s="2"/>
    </row>
    <row r="151" spans="15:15" x14ac:dyDescent="0.35">
      <c r="O151" s="2"/>
    </row>
    <row r="152" spans="15:15" x14ac:dyDescent="0.35">
      <c r="O152" s="2"/>
    </row>
    <row r="153" spans="15:15" x14ac:dyDescent="0.35">
      <c r="O153" s="2"/>
    </row>
    <row r="154" spans="15:15" x14ac:dyDescent="0.35">
      <c r="O154" s="2"/>
    </row>
    <row r="155" spans="15:15" x14ac:dyDescent="0.35">
      <c r="O155" s="2"/>
    </row>
    <row r="156" spans="15:15" x14ac:dyDescent="0.35">
      <c r="O156" s="2"/>
    </row>
    <row r="157" spans="15:15" x14ac:dyDescent="0.35">
      <c r="O157" s="2"/>
    </row>
    <row r="158" spans="15:15" x14ac:dyDescent="0.35">
      <c r="O158" s="2"/>
    </row>
    <row r="159" spans="15:15" x14ac:dyDescent="0.35">
      <c r="O159" s="2"/>
    </row>
    <row r="160" spans="15:15" x14ac:dyDescent="0.35">
      <c r="O160" s="2"/>
    </row>
    <row r="161" spans="15:15" x14ac:dyDescent="0.35">
      <c r="O161" s="2"/>
    </row>
    <row r="162" spans="15:15" x14ac:dyDescent="0.35">
      <c r="O162" s="2"/>
    </row>
    <row r="163" spans="15:15" x14ac:dyDescent="0.35">
      <c r="O163" s="2"/>
    </row>
    <row r="164" spans="15:15" x14ac:dyDescent="0.35">
      <c r="O164" s="2"/>
    </row>
    <row r="165" spans="15:15" x14ac:dyDescent="0.35">
      <c r="O165" s="2"/>
    </row>
    <row r="166" spans="15:15" x14ac:dyDescent="0.35">
      <c r="O166" s="2"/>
    </row>
    <row r="167" spans="15:15" x14ac:dyDescent="0.35">
      <c r="O167" s="2"/>
    </row>
    <row r="168" spans="15:15" x14ac:dyDescent="0.35">
      <c r="O168" s="2"/>
    </row>
    <row r="169" spans="15:15" x14ac:dyDescent="0.35">
      <c r="O169" s="2"/>
    </row>
    <row r="170" spans="15:15" x14ac:dyDescent="0.35">
      <c r="O170" s="2"/>
    </row>
    <row r="171" spans="15:15" x14ac:dyDescent="0.35">
      <c r="O171" s="2"/>
    </row>
    <row r="172" spans="15:15" x14ac:dyDescent="0.35">
      <c r="O172" s="2"/>
    </row>
    <row r="173" spans="15:15" x14ac:dyDescent="0.35">
      <c r="O173" s="2"/>
    </row>
    <row r="174" spans="15:15" x14ac:dyDescent="0.35">
      <c r="O174" s="2"/>
    </row>
    <row r="175" spans="15:15" x14ac:dyDescent="0.35">
      <c r="O175" s="2"/>
    </row>
    <row r="176" spans="15:15" x14ac:dyDescent="0.35">
      <c r="O176" s="2"/>
    </row>
    <row r="177" spans="15:15" x14ac:dyDescent="0.35">
      <c r="O177" s="2"/>
    </row>
    <row r="178" spans="15:15" x14ac:dyDescent="0.35">
      <c r="O178" s="2"/>
    </row>
    <row r="179" spans="15:15" x14ac:dyDescent="0.35">
      <c r="O179" s="2"/>
    </row>
    <row r="180" spans="15:15" x14ac:dyDescent="0.35">
      <c r="O180" s="2"/>
    </row>
    <row r="181" spans="15:15" x14ac:dyDescent="0.35">
      <c r="O181" s="2"/>
    </row>
    <row r="182" spans="15:15" x14ac:dyDescent="0.35">
      <c r="O182" s="2"/>
    </row>
    <row r="183" spans="15:15" x14ac:dyDescent="0.35">
      <c r="O183" s="2"/>
    </row>
    <row r="184" spans="15:15" x14ac:dyDescent="0.35">
      <c r="O184" s="2"/>
    </row>
    <row r="185" spans="15:15" x14ac:dyDescent="0.35">
      <c r="O185" s="2"/>
    </row>
    <row r="186" spans="15:15" x14ac:dyDescent="0.35">
      <c r="O186" s="2"/>
    </row>
    <row r="187" spans="15:15" x14ac:dyDescent="0.35">
      <c r="O187" s="2"/>
    </row>
    <row r="188" spans="15:15" x14ac:dyDescent="0.35">
      <c r="O188" s="2"/>
    </row>
    <row r="189" spans="15:15" x14ac:dyDescent="0.35">
      <c r="O189" s="2"/>
    </row>
    <row r="190" spans="15:15" x14ac:dyDescent="0.35">
      <c r="O190" s="2"/>
    </row>
    <row r="191" spans="15:15" x14ac:dyDescent="0.35">
      <c r="O191" s="2"/>
    </row>
    <row r="192" spans="15:15" x14ac:dyDescent="0.35">
      <c r="O192" s="2"/>
    </row>
    <row r="193" spans="15:15" x14ac:dyDescent="0.35">
      <c r="O193" s="2"/>
    </row>
    <row r="194" spans="15:15" x14ac:dyDescent="0.35">
      <c r="O194" s="2"/>
    </row>
    <row r="195" spans="15:15" x14ac:dyDescent="0.35">
      <c r="O195" s="2"/>
    </row>
    <row r="196" spans="15:15" x14ac:dyDescent="0.35">
      <c r="O196" s="2"/>
    </row>
    <row r="197" spans="15:15" x14ac:dyDescent="0.35">
      <c r="O197" s="2"/>
    </row>
    <row r="198" spans="15:15" x14ac:dyDescent="0.35">
      <c r="O198" s="2"/>
    </row>
    <row r="199" spans="15:15" x14ac:dyDescent="0.35">
      <c r="O199" s="2"/>
    </row>
    <row r="200" spans="15:15" x14ac:dyDescent="0.35">
      <c r="O200" s="2"/>
    </row>
    <row r="201" spans="15:15" x14ac:dyDescent="0.35">
      <c r="O201" s="2"/>
    </row>
    <row r="202" spans="15:15" x14ac:dyDescent="0.35">
      <c r="O202" s="2"/>
    </row>
    <row r="203" spans="15:15" x14ac:dyDescent="0.35">
      <c r="O203" s="2"/>
    </row>
    <row r="204" spans="15:15" x14ac:dyDescent="0.35">
      <c r="O204" s="2"/>
    </row>
    <row r="205" spans="15:15" x14ac:dyDescent="0.35">
      <c r="O205" s="2"/>
    </row>
    <row r="206" spans="15:15" x14ac:dyDescent="0.35">
      <c r="O206" s="2"/>
    </row>
    <row r="207" spans="15:15" x14ac:dyDescent="0.35">
      <c r="O207" s="2"/>
    </row>
    <row r="208" spans="15:15" x14ac:dyDescent="0.35">
      <c r="O208" s="2"/>
    </row>
    <row r="209" spans="15:15" x14ac:dyDescent="0.35">
      <c r="O209" s="2"/>
    </row>
    <row r="210" spans="15:15" x14ac:dyDescent="0.35">
      <c r="O210" s="2"/>
    </row>
    <row r="211" spans="15:15" x14ac:dyDescent="0.35">
      <c r="O211" s="2"/>
    </row>
    <row r="212" spans="15:15" x14ac:dyDescent="0.35">
      <c r="O212" s="2"/>
    </row>
    <row r="213" spans="15:15" x14ac:dyDescent="0.35">
      <c r="O213" s="2"/>
    </row>
    <row r="214" spans="15:15" x14ac:dyDescent="0.35">
      <c r="O214" s="2"/>
    </row>
    <row r="215" spans="15:15" x14ac:dyDescent="0.35">
      <c r="O215" s="2"/>
    </row>
    <row r="216" spans="15:15" x14ac:dyDescent="0.35">
      <c r="O216" s="2"/>
    </row>
    <row r="217" spans="15:15" x14ac:dyDescent="0.35">
      <c r="O217" s="2"/>
    </row>
    <row r="218" spans="15:15" x14ac:dyDescent="0.35">
      <c r="O218" s="2"/>
    </row>
    <row r="219" spans="15:15" x14ac:dyDescent="0.35">
      <c r="O219" s="2"/>
    </row>
    <row r="220" spans="15:15" x14ac:dyDescent="0.35">
      <c r="O220" s="2"/>
    </row>
    <row r="221" spans="15:15" x14ac:dyDescent="0.35">
      <c r="O221" s="2"/>
    </row>
    <row r="222" spans="15:15" x14ac:dyDescent="0.35">
      <c r="O222" s="2"/>
    </row>
    <row r="223" spans="15:15" x14ac:dyDescent="0.35">
      <c r="O223" s="2"/>
    </row>
    <row r="224" spans="15:15" x14ac:dyDescent="0.35">
      <c r="O224" s="2"/>
    </row>
    <row r="225" spans="15:15" x14ac:dyDescent="0.35">
      <c r="O225" s="2"/>
    </row>
    <row r="226" spans="15:15" x14ac:dyDescent="0.35">
      <c r="O226" s="2"/>
    </row>
    <row r="227" spans="15:15" x14ac:dyDescent="0.35">
      <c r="O227" s="2"/>
    </row>
    <row r="228" spans="15:15" x14ac:dyDescent="0.35">
      <c r="O228" s="2"/>
    </row>
    <row r="229" spans="15:15" x14ac:dyDescent="0.35">
      <c r="O229" s="2"/>
    </row>
  </sheetData>
  <autoFilter ref="A5:O118" xr:uid="{00000000-0009-0000-0000-000002000000}">
    <sortState xmlns:xlrd2="http://schemas.microsoft.com/office/spreadsheetml/2017/richdata2" ref="A6:O118">
      <sortCondition ref="B5:B118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4089-7759-42A5-9D6C-37A3AA5CF3C0}">
  <sheetPr>
    <tabColor theme="9" tint="0.59999389629810485"/>
  </sheetPr>
  <dimension ref="A2:J229"/>
  <sheetViews>
    <sheetView zoomScale="80" zoomScaleNormal="80" workbookViewId="0">
      <selection activeCell="A4" sqref="A4:D5"/>
    </sheetView>
  </sheetViews>
  <sheetFormatPr defaultColWidth="8.6328125" defaultRowHeight="14.5" x14ac:dyDescent="0.35"/>
  <cols>
    <col min="1" max="1" width="8.6328125" style="6"/>
    <col min="2" max="2" width="22.36328125" style="1" customWidth="1"/>
    <col min="3" max="3" width="17.6328125" style="1" customWidth="1"/>
    <col min="4" max="4" width="6.36328125" style="87" customWidth="1"/>
    <col min="5" max="5" width="20.6328125" style="87" customWidth="1"/>
    <col min="6" max="6" width="20.6328125" customWidth="1"/>
    <col min="7" max="7" width="20.6328125" style="1" customWidth="1"/>
    <col min="8" max="10" width="30.6328125" customWidth="1"/>
  </cols>
  <sheetData>
    <row r="2" spans="1:10" ht="21" x14ac:dyDescent="0.35">
      <c r="A2" s="5" t="s">
        <v>337</v>
      </c>
      <c r="D2" s="85"/>
      <c r="E2" s="85"/>
      <c r="F2" s="29"/>
      <c r="G2" s="121"/>
      <c r="H2" s="3"/>
    </row>
    <row r="3" spans="1:10" x14ac:dyDescent="0.35">
      <c r="A3" s="11"/>
      <c r="B3" s="11"/>
      <c r="C3" s="11"/>
      <c r="D3" s="86"/>
      <c r="E3" s="86"/>
      <c r="F3" s="11"/>
      <c r="G3" s="122"/>
    </row>
    <row r="4" spans="1:10" x14ac:dyDescent="0.35">
      <c r="A4" s="88" t="s">
        <v>1</v>
      </c>
      <c r="B4" s="89"/>
      <c r="C4" s="89"/>
      <c r="D4" s="90"/>
      <c r="E4" s="91" t="s">
        <v>340</v>
      </c>
      <c r="F4" s="91" t="s">
        <v>122</v>
      </c>
      <c r="G4" s="123" t="s">
        <v>2</v>
      </c>
      <c r="H4" s="43" t="s">
        <v>340</v>
      </c>
      <c r="I4" s="43" t="s">
        <v>122</v>
      </c>
      <c r="J4" s="44" t="s">
        <v>2</v>
      </c>
    </row>
    <row r="5" spans="1:10" s="7" customFormat="1" ht="33" customHeight="1" x14ac:dyDescent="0.35">
      <c r="A5" s="130" t="s">
        <v>3</v>
      </c>
      <c r="B5" s="92" t="s">
        <v>4</v>
      </c>
      <c r="C5" s="92" t="s">
        <v>5</v>
      </c>
      <c r="D5" s="93" t="s">
        <v>7</v>
      </c>
      <c r="E5" s="98" t="s">
        <v>123</v>
      </c>
      <c r="F5" s="94" t="s">
        <v>124</v>
      </c>
      <c r="G5" s="124" t="s">
        <v>341</v>
      </c>
      <c r="H5" s="49" t="s">
        <v>123</v>
      </c>
      <c r="I5" s="49" t="s">
        <v>124</v>
      </c>
      <c r="J5" s="50" t="s">
        <v>341</v>
      </c>
    </row>
    <row r="6" spans="1:10" ht="15" customHeight="1" x14ac:dyDescent="0.35">
      <c r="A6" s="51" t="s">
        <v>8</v>
      </c>
      <c r="B6" s="33" t="s">
        <v>126</v>
      </c>
      <c r="C6" s="33" t="s">
        <v>127</v>
      </c>
      <c r="D6" s="95"/>
      <c r="E6" s="95"/>
      <c r="F6" s="33"/>
      <c r="G6" s="33"/>
      <c r="H6" s="52"/>
      <c r="I6" s="52"/>
      <c r="J6" s="53"/>
    </row>
    <row r="7" spans="1:10" ht="15" customHeight="1" x14ac:dyDescent="0.35">
      <c r="A7" s="51" t="s">
        <v>9</v>
      </c>
      <c r="B7" s="33" t="s">
        <v>128</v>
      </c>
      <c r="C7" s="30" t="s">
        <v>129</v>
      </c>
      <c r="D7" s="95"/>
      <c r="E7" s="95"/>
      <c r="F7" s="33"/>
      <c r="G7" s="33"/>
      <c r="H7" s="52"/>
      <c r="I7" s="52"/>
      <c r="J7" s="53"/>
    </row>
    <row r="8" spans="1:10" ht="15" customHeight="1" x14ac:dyDescent="0.35">
      <c r="A8" s="51" t="s">
        <v>10</v>
      </c>
      <c r="B8" s="30" t="s">
        <v>130</v>
      </c>
      <c r="C8" s="30" t="s">
        <v>131</v>
      </c>
      <c r="D8" s="96"/>
      <c r="E8" s="99"/>
      <c r="F8" s="109">
        <v>450</v>
      </c>
      <c r="G8" s="125">
        <v>5.97</v>
      </c>
      <c r="H8" s="57"/>
      <c r="I8" s="58" t="s">
        <v>133</v>
      </c>
      <c r="J8" s="59" t="s">
        <v>134</v>
      </c>
    </row>
    <row r="9" spans="1:10" ht="15" customHeight="1" x14ac:dyDescent="0.35">
      <c r="A9" s="51" t="s">
        <v>11</v>
      </c>
      <c r="B9" s="30" t="s">
        <v>135</v>
      </c>
      <c r="C9" s="30" t="s">
        <v>131</v>
      </c>
      <c r="D9" s="95"/>
      <c r="E9" s="95"/>
      <c r="F9" s="33"/>
      <c r="G9" s="33"/>
      <c r="H9" s="52"/>
      <c r="I9" s="60"/>
      <c r="J9" s="53"/>
    </row>
    <row r="10" spans="1:10" ht="15" customHeight="1" x14ac:dyDescent="0.35">
      <c r="A10" s="51" t="s">
        <v>12</v>
      </c>
      <c r="B10" s="33" t="s">
        <v>136</v>
      </c>
      <c r="C10" s="30" t="s">
        <v>129</v>
      </c>
      <c r="D10" s="95"/>
      <c r="E10" s="95"/>
      <c r="F10" s="33"/>
      <c r="G10" s="33"/>
      <c r="H10" s="52"/>
      <c r="I10" s="52"/>
      <c r="J10" s="53"/>
    </row>
    <row r="11" spans="1:10" ht="15" customHeight="1" x14ac:dyDescent="0.35">
      <c r="A11" s="51" t="s">
        <v>13</v>
      </c>
      <c r="B11" s="30" t="s">
        <v>137</v>
      </c>
      <c r="C11" s="30" t="s">
        <v>129</v>
      </c>
      <c r="D11" s="96"/>
      <c r="E11" s="100"/>
      <c r="F11" s="110">
        <v>140</v>
      </c>
      <c r="G11" s="126">
        <v>1.65</v>
      </c>
      <c r="H11" s="57"/>
      <c r="I11" s="58" t="s">
        <v>139</v>
      </c>
      <c r="J11" s="59" t="s">
        <v>140</v>
      </c>
    </row>
    <row r="12" spans="1:10" ht="15" customHeight="1" x14ac:dyDescent="0.35">
      <c r="A12" s="51" t="s">
        <v>14</v>
      </c>
      <c r="B12" s="30" t="s">
        <v>141</v>
      </c>
      <c r="C12" s="30" t="s">
        <v>129</v>
      </c>
      <c r="D12" s="96"/>
      <c r="E12" s="101"/>
      <c r="F12" s="111"/>
      <c r="G12" s="127"/>
      <c r="H12" s="52"/>
      <c r="I12" s="52"/>
      <c r="J12" s="63"/>
    </row>
    <row r="13" spans="1:10" ht="15" customHeight="1" x14ac:dyDescent="0.35">
      <c r="A13" s="51" t="s">
        <v>15</v>
      </c>
      <c r="B13" s="30" t="s">
        <v>142</v>
      </c>
      <c r="C13" s="30" t="s">
        <v>131</v>
      </c>
      <c r="D13" s="95"/>
      <c r="E13" s="95"/>
      <c r="F13" s="33"/>
      <c r="G13" s="33"/>
      <c r="H13" s="52"/>
      <c r="I13" s="64"/>
      <c r="J13" s="53"/>
    </row>
    <row r="14" spans="1:10" ht="15" customHeight="1" x14ac:dyDescent="0.35">
      <c r="A14" s="51" t="s">
        <v>16</v>
      </c>
      <c r="B14" s="30" t="s">
        <v>143</v>
      </c>
      <c r="C14" s="30" t="s">
        <v>144</v>
      </c>
      <c r="D14" s="95"/>
      <c r="E14" s="95"/>
      <c r="F14" s="116">
        <v>69.7</v>
      </c>
      <c r="G14" s="117">
        <v>0.52</v>
      </c>
      <c r="H14" s="57"/>
      <c r="I14" s="65"/>
      <c r="J14" s="66"/>
    </row>
    <row r="15" spans="1:10" ht="15" customHeight="1" x14ac:dyDescent="0.35">
      <c r="A15" s="51" t="s">
        <v>17</v>
      </c>
      <c r="B15" s="30" t="s">
        <v>145</v>
      </c>
      <c r="C15" s="30" t="s">
        <v>146</v>
      </c>
      <c r="D15" s="95">
        <v>90</v>
      </c>
      <c r="E15" s="99"/>
      <c r="F15" s="112">
        <v>70</v>
      </c>
      <c r="G15" s="126">
        <v>0.47</v>
      </c>
      <c r="H15" s="57"/>
      <c r="I15" s="58" t="s">
        <v>148</v>
      </c>
      <c r="J15" s="59" t="s">
        <v>134</v>
      </c>
    </row>
    <row r="16" spans="1:10" ht="15" customHeight="1" x14ac:dyDescent="0.35">
      <c r="A16" s="51" t="s">
        <v>18</v>
      </c>
      <c r="B16" s="30" t="s">
        <v>149</v>
      </c>
      <c r="C16" s="30" t="s">
        <v>146</v>
      </c>
      <c r="D16" s="95">
        <v>10</v>
      </c>
      <c r="E16" s="102"/>
      <c r="F16" s="112">
        <v>66.7</v>
      </c>
      <c r="G16" s="126">
        <v>1</v>
      </c>
      <c r="H16" s="57"/>
      <c r="I16" s="58" t="s">
        <v>148</v>
      </c>
      <c r="J16" s="59" t="s">
        <v>134</v>
      </c>
    </row>
    <row r="17" spans="1:10" ht="15" customHeight="1" x14ac:dyDescent="0.35">
      <c r="A17" s="51" t="s">
        <v>19</v>
      </c>
      <c r="B17" s="30" t="s">
        <v>150</v>
      </c>
      <c r="C17" s="30" t="s">
        <v>151</v>
      </c>
      <c r="D17" s="96"/>
      <c r="E17" s="103">
        <v>25</v>
      </c>
      <c r="F17" s="110">
        <v>65</v>
      </c>
      <c r="G17" s="125">
        <v>1.1000000000000001</v>
      </c>
      <c r="H17" s="57" t="s">
        <v>153</v>
      </c>
      <c r="I17" s="57" t="s">
        <v>154</v>
      </c>
      <c r="J17" s="59" t="s">
        <v>152</v>
      </c>
    </row>
    <row r="18" spans="1:10" ht="15" customHeight="1" x14ac:dyDescent="0.35">
      <c r="A18" s="51" t="s">
        <v>20</v>
      </c>
      <c r="B18" s="30" t="s">
        <v>155</v>
      </c>
      <c r="C18" s="30" t="s">
        <v>156</v>
      </c>
      <c r="D18" s="96"/>
      <c r="E18" s="101"/>
      <c r="F18" s="111"/>
      <c r="G18" s="127"/>
      <c r="H18" s="52"/>
      <c r="I18" s="68"/>
      <c r="J18" s="63"/>
    </row>
    <row r="19" spans="1:10" ht="15" customHeight="1" x14ac:dyDescent="0.35">
      <c r="A19" s="51" t="s">
        <v>21</v>
      </c>
      <c r="B19" s="30" t="s">
        <v>157</v>
      </c>
      <c r="C19" s="30" t="s">
        <v>127</v>
      </c>
      <c r="D19" s="95"/>
      <c r="E19" s="95"/>
      <c r="F19" s="33"/>
      <c r="G19" s="33"/>
      <c r="H19" s="52"/>
      <c r="I19" s="64"/>
      <c r="J19" s="53"/>
    </row>
    <row r="20" spans="1:10" ht="15" customHeight="1" x14ac:dyDescent="0.35">
      <c r="A20" s="51" t="s">
        <v>22</v>
      </c>
      <c r="B20" s="30" t="s">
        <v>158</v>
      </c>
      <c r="C20" s="30" t="s">
        <v>159</v>
      </c>
      <c r="D20" s="96"/>
      <c r="E20" s="103">
        <v>24</v>
      </c>
      <c r="F20" s="110">
        <v>63.2</v>
      </c>
      <c r="G20" s="125">
        <v>0.61</v>
      </c>
      <c r="H20" s="57" t="s">
        <v>160</v>
      </c>
      <c r="I20" s="58" t="s">
        <v>148</v>
      </c>
      <c r="J20" s="59" t="s">
        <v>134</v>
      </c>
    </row>
    <row r="21" spans="1:10" ht="15" customHeight="1" x14ac:dyDescent="0.35">
      <c r="A21" s="51" t="s">
        <v>23</v>
      </c>
      <c r="B21" s="30" t="s">
        <v>162</v>
      </c>
      <c r="C21" s="30" t="s">
        <v>129</v>
      </c>
      <c r="D21" s="96"/>
      <c r="E21" s="101"/>
      <c r="F21" s="111"/>
      <c r="G21" s="127"/>
      <c r="H21" s="52"/>
      <c r="I21" s="60"/>
      <c r="J21" s="63"/>
    </row>
    <row r="22" spans="1:10" ht="15" customHeight="1" x14ac:dyDescent="0.35">
      <c r="A22" s="51" t="s">
        <v>24</v>
      </c>
      <c r="B22" s="30" t="s">
        <v>163</v>
      </c>
      <c r="C22" s="30" t="s">
        <v>129</v>
      </c>
      <c r="D22" s="95">
        <v>40</v>
      </c>
      <c r="E22" s="103"/>
      <c r="F22" s="110">
        <v>140</v>
      </c>
      <c r="G22" s="126">
        <v>1.65</v>
      </c>
      <c r="H22" s="57"/>
      <c r="I22" s="57" t="s">
        <v>148</v>
      </c>
      <c r="J22" s="59" t="s">
        <v>140</v>
      </c>
    </row>
    <row r="23" spans="1:10" ht="15" customHeight="1" x14ac:dyDescent="0.35">
      <c r="A23" s="51" t="s">
        <v>25</v>
      </c>
      <c r="B23" s="30" t="s">
        <v>165</v>
      </c>
      <c r="C23" s="30" t="s">
        <v>166</v>
      </c>
      <c r="D23" s="95"/>
      <c r="E23" s="95"/>
      <c r="F23" s="33"/>
      <c r="G23" s="33"/>
      <c r="H23" s="52"/>
      <c r="I23" s="52"/>
      <c r="J23" s="52"/>
    </row>
    <row r="24" spans="1:10" ht="15" customHeight="1" x14ac:dyDescent="0.35">
      <c r="A24" s="51" t="s">
        <v>26</v>
      </c>
      <c r="B24" s="30" t="s">
        <v>167</v>
      </c>
      <c r="C24" s="30" t="s">
        <v>129</v>
      </c>
      <c r="D24" s="95"/>
      <c r="E24" s="100"/>
      <c r="F24" s="112">
        <v>140</v>
      </c>
      <c r="G24" s="126">
        <v>1.65</v>
      </c>
      <c r="H24" s="52"/>
      <c r="I24" s="57" t="s">
        <v>148</v>
      </c>
      <c r="J24" s="66" t="s">
        <v>140</v>
      </c>
    </row>
    <row r="25" spans="1:10" ht="15" customHeight="1" x14ac:dyDescent="0.35">
      <c r="A25" s="51" t="s">
        <v>27</v>
      </c>
      <c r="B25" s="30" t="s">
        <v>168</v>
      </c>
      <c r="C25" s="30" t="s">
        <v>131</v>
      </c>
      <c r="D25" s="96"/>
      <c r="E25" s="95"/>
      <c r="F25" s="33"/>
      <c r="G25" s="33"/>
      <c r="H25" s="52"/>
      <c r="I25" s="52"/>
      <c r="J25" s="52"/>
    </row>
    <row r="26" spans="1:10" ht="15" customHeight="1" x14ac:dyDescent="0.35">
      <c r="A26" s="51" t="s">
        <v>28</v>
      </c>
      <c r="B26" s="30" t="s">
        <v>169</v>
      </c>
      <c r="C26" s="30" t="s">
        <v>129</v>
      </c>
      <c r="D26" s="95"/>
      <c r="E26" s="103"/>
      <c r="F26" s="110">
        <v>140</v>
      </c>
      <c r="G26" s="125">
        <v>2.23</v>
      </c>
      <c r="H26" s="57"/>
      <c r="I26" s="57" t="s">
        <v>148</v>
      </c>
      <c r="J26" s="59" t="s">
        <v>134</v>
      </c>
    </row>
    <row r="27" spans="1:10" ht="15" customHeight="1" x14ac:dyDescent="0.35">
      <c r="A27" s="51" t="s">
        <v>29</v>
      </c>
      <c r="B27" s="33" t="s">
        <v>171</v>
      </c>
      <c r="C27" s="30" t="s">
        <v>127</v>
      </c>
      <c r="D27" s="95"/>
      <c r="E27" s="95"/>
      <c r="F27" s="33"/>
      <c r="G27" s="33"/>
      <c r="H27" s="52"/>
      <c r="I27" s="52"/>
      <c r="J27" s="52"/>
    </row>
    <row r="28" spans="1:10" ht="15" customHeight="1" x14ac:dyDescent="0.35">
      <c r="A28" s="51" t="s">
        <v>30</v>
      </c>
      <c r="B28" s="30" t="s">
        <v>172</v>
      </c>
      <c r="C28" s="30" t="s">
        <v>129</v>
      </c>
      <c r="D28" s="95">
        <v>60</v>
      </c>
      <c r="E28" s="103"/>
      <c r="F28" s="110">
        <v>140</v>
      </c>
      <c r="G28" s="126">
        <v>1.65</v>
      </c>
      <c r="H28" s="57"/>
      <c r="I28" s="57" t="s">
        <v>148</v>
      </c>
      <c r="J28" s="59" t="s">
        <v>140</v>
      </c>
    </row>
    <row r="29" spans="1:10" ht="15" customHeight="1" x14ac:dyDescent="0.35">
      <c r="A29" s="51" t="s">
        <v>31</v>
      </c>
      <c r="B29" s="33" t="s">
        <v>173</v>
      </c>
      <c r="C29" s="30" t="s">
        <v>129</v>
      </c>
      <c r="D29" s="95"/>
      <c r="E29" s="104"/>
      <c r="F29" s="117">
        <v>140</v>
      </c>
      <c r="G29" s="117">
        <v>1.65</v>
      </c>
      <c r="H29" s="57"/>
      <c r="I29" s="57"/>
      <c r="J29" s="66"/>
    </row>
    <row r="30" spans="1:10" ht="15" customHeight="1" x14ac:dyDescent="0.35">
      <c r="A30" s="51" t="s">
        <v>32</v>
      </c>
      <c r="B30" s="30" t="s">
        <v>174</v>
      </c>
      <c r="C30" s="30" t="s">
        <v>146</v>
      </c>
      <c r="D30" s="95"/>
      <c r="E30" s="95"/>
      <c r="F30" s="33"/>
      <c r="G30" s="33"/>
      <c r="H30" s="52"/>
      <c r="I30" s="52"/>
      <c r="J30" s="53"/>
    </row>
    <row r="31" spans="1:10" ht="15" customHeight="1" x14ac:dyDescent="0.35">
      <c r="A31" s="51" t="s">
        <v>33</v>
      </c>
      <c r="B31" s="30" t="s">
        <v>175</v>
      </c>
      <c r="C31" s="30" t="s">
        <v>156</v>
      </c>
      <c r="D31" s="96"/>
      <c r="E31" s="101"/>
      <c r="F31" s="111"/>
      <c r="G31" s="127"/>
      <c r="H31" s="52"/>
      <c r="I31" s="52"/>
      <c r="J31" s="63"/>
    </row>
    <row r="32" spans="1:10" ht="15" customHeight="1" x14ac:dyDescent="0.35">
      <c r="A32" s="51" t="s">
        <v>34</v>
      </c>
      <c r="B32" s="30" t="s">
        <v>176</v>
      </c>
      <c r="C32" s="30" t="s">
        <v>127</v>
      </c>
      <c r="D32" s="96"/>
      <c r="E32" s="101"/>
      <c r="F32" s="111"/>
      <c r="G32" s="127"/>
      <c r="H32" s="52"/>
      <c r="I32" s="52"/>
      <c r="J32" s="63"/>
    </row>
    <row r="33" spans="1:10" ht="15" customHeight="1" x14ac:dyDescent="0.35">
      <c r="A33" s="51" t="s">
        <v>35</v>
      </c>
      <c r="B33" s="30" t="s">
        <v>177</v>
      </c>
      <c r="C33" s="30" t="s">
        <v>151</v>
      </c>
      <c r="D33" s="95"/>
      <c r="E33" s="95"/>
      <c r="F33" s="33"/>
      <c r="G33" s="33"/>
      <c r="H33" s="52"/>
      <c r="I33" s="52"/>
      <c r="J33" s="53"/>
    </row>
    <row r="34" spans="1:10" ht="15" customHeight="1" x14ac:dyDescent="0.35">
      <c r="A34" s="51" t="s">
        <v>36</v>
      </c>
      <c r="B34" s="30" t="s">
        <v>178</v>
      </c>
      <c r="C34" s="30" t="s">
        <v>179</v>
      </c>
      <c r="D34" s="95"/>
      <c r="E34" s="95"/>
      <c r="F34" s="33"/>
      <c r="G34" s="33"/>
      <c r="H34" s="52"/>
      <c r="I34" s="52"/>
      <c r="J34" s="53"/>
    </row>
    <row r="35" spans="1:10" ht="15" customHeight="1" x14ac:dyDescent="0.35">
      <c r="A35" s="51" t="s">
        <v>37</v>
      </c>
      <c r="B35" s="33" t="s">
        <v>180</v>
      </c>
      <c r="C35" s="33" t="s">
        <v>181</v>
      </c>
      <c r="D35" s="95"/>
      <c r="E35" s="95"/>
      <c r="F35" s="33"/>
      <c r="G35" s="33"/>
      <c r="H35" s="52"/>
      <c r="I35" s="52"/>
      <c r="J35" s="53"/>
    </row>
    <row r="36" spans="1:10" ht="15" customHeight="1" x14ac:dyDescent="0.35">
      <c r="A36" s="51" t="s">
        <v>38</v>
      </c>
      <c r="B36" s="33" t="s">
        <v>182</v>
      </c>
      <c r="C36" s="33" t="s">
        <v>127</v>
      </c>
      <c r="D36" s="95"/>
      <c r="E36" s="95"/>
      <c r="F36" s="33"/>
      <c r="G36" s="33"/>
      <c r="H36" s="52"/>
      <c r="I36" s="52"/>
      <c r="J36" s="53"/>
    </row>
    <row r="37" spans="1:10" ht="15" customHeight="1" x14ac:dyDescent="0.35">
      <c r="A37" s="51" t="s">
        <v>39</v>
      </c>
      <c r="B37" s="33" t="s">
        <v>183</v>
      </c>
      <c r="C37" s="33" t="s">
        <v>181</v>
      </c>
      <c r="D37" s="95"/>
      <c r="E37" s="95"/>
      <c r="F37" s="33"/>
      <c r="G37" s="33"/>
      <c r="H37" s="52"/>
      <c r="I37" s="52"/>
      <c r="J37" s="53"/>
    </row>
    <row r="38" spans="1:10" ht="15" customHeight="1" x14ac:dyDescent="0.35">
      <c r="A38" s="51" t="s">
        <v>40</v>
      </c>
      <c r="B38" s="33" t="s">
        <v>184</v>
      </c>
      <c r="C38" s="33" t="s">
        <v>129</v>
      </c>
      <c r="D38" s="95"/>
      <c r="E38" s="105"/>
      <c r="F38" s="116">
        <v>7</v>
      </c>
      <c r="G38" s="129">
        <v>1.65</v>
      </c>
      <c r="H38" s="57"/>
      <c r="I38" s="57"/>
      <c r="J38" s="66"/>
    </row>
    <row r="39" spans="1:10" ht="15" customHeight="1" x14ac:dyDescent="0.35">
      <c r="A39" s="51" t="s">
        <v>41</v>
      </c>
      <c r="B39" s="30" t="s">
        <v>186</v>
      </c>
      <c r="C39" s="30" t="s">
        <v>129</v>
      </c>
      <c r="D39" s="95">
        <v>95</v>
      </c>
      <c r="E39" s="103"/>
      <c r="F39" s="110">
        <v>0</v>
      </c>
      <c r="G39" s="126">
        <v>1.65</v>
      </c>
      <c r="H39" s="57"/>
      <c r="I39" s="57"/>
      <c r="J39" s="59" t="s">
        <v>140</v>
      </c>
    </row>
    <row r="40" spans="1:10" ht="15" customHeight="1" x14ac:dyDescent="0.35">
      <c r="A40" s="51" t="s">
        <v>42</v>
      </c>
      <c r="B40" s="30" t="s">
        <v>189</v>
      </c>
      <c r="C40" s="30" t="s">
        <v>129</v>
      </c>
      <c r="D40" s="95">
        <v>5</v>
      </c>
      <c r="E40" s="103"/>
      <c r="F40" s="110">
        <v>140</v>
      </c>
      <c r="G40" s="126">
        <v>1.65</v>
      </c>
      <c r="H40" s="57"/>
      <c r="I40" s="58" t="s">
        <v>139</v>
      </c>
      <c r="J40" s="59" t="s">
        <v>140</v>
      </c>
    </row>
    <row r="41" spans="1:10" ht="15" customHeight="1" x14ac:dyDescent="0.35">
      <c r="A41" s="51" t="s">
        <v>43</v>
      </c>
      <c r="B41" s="30" t="s">
        <v>190</v>
      </c>
      <c r="C41" s="30" t="s">
        <v>156</v>
      </c>
      <c r="D41" s="96"/>
      <c r="E41" s="99"/>
      <c r="F41" s="109">
        <v>300</v>
      </c>
      <c r="G41" s="126">
        <v>2.25</v>
      </c>
      <c r="H41" s="57"/>
      <c r="I41" s="58" t="s">
        <v>192</v>
      </c>
      <c r="J41" s="59" t="s">
        <v>193</v>
      </c>
    </row>
    <row r="42" spans="1:10" ht="15" customHeight="1" x14ac:dyDescent="0.35">
      <c r="A42" s="51" t="s">
        <v>44</v>
      </c>
      <c r="B42" s="33" t="s">
        <v>194</v>
      </c>
      <c r="C42" s="33" t="s">
        <v>131</v>
      </c>
      <c r="D42" s="96"/>
      <c r="E42" s="101"/>
      <c r="F42" s="113"/>
      <c r="G42" s="127"/>
      <c r="H42" s="52"/>
      <c r="I42" s="52"/>
      <c r="J42" s="63"/>
    </row>
    <row r="43" spans="1:10" ht="15" customHeight="1" x14ac:dyDescent="0.35">
      <c r="A43" s="51" t="s">
        <v>45</v>
      </c>
      <c r="B43" s="33" t="s">
        <v>195</v>
      </c>
      <c r="C43" s="33" t="s">
        <v>196</v>
      </c>
      <c r="D43" s="96"/>
      <c r="E43" s="106"/>
      <c r="F43" s="113"/>
      <c r="G43" s="127"/>
      <c r="H43" s="52"/>
      <c r="I43" s="52"/>
      <c r="J43" s="63"/>
    </row>
    <row r="44" spans="1:10" ht="15" customHeight="1" x14ac:dyDescent="0.35">
      <c r="A44" s="51" t="s">
        <v>46</v>
      </c>
      <c r="B44" s="30" t="s">
        <v>197</v>
      </c>
      <c r="C44" s="30" t="s">
        <v>129</v>
      </c>
      <c r="D44" s="96"/>
      <c r="E44" s="101"/>
      <c r="F44" s="111"/>
      <c r="G44" s="127"/>
      <c r="H44" s="52"/>
      <c r="I44" s="52"/>
      <c r="J44" s="63"/>
    </row>
    <row r="45" spans="1:10" ht="15" customHeight="1" x14ac:dyDescent="0.35">
      <c r="A45" s="51" t="s">
        <v>47</v>
      </c>
      <c r="B45" s="30" t="s">
        <v>198</v>
      </c>
      <c r="C45" s="30" t="s">
        <v>131</v>
      </c>
      <c r="D45" s="96"/>
      <c r="E45" s="106"/>
      <c r="F45" s="113"/>
      <c r="G45" s="127"/>
      <c r="H45" s="52"/>
      <c r="I45" s="52"/>
      <c r="J45" s="63"/>
    </row>
    <row r="46" spans="1:10" ht="15" customHeight="1" x14ac:dyDescent="0.35">
      <c r="A46" s="51" t="s">
        <v>48</v>
      </c>
      <c r="B46" s="30" t="s">
        <v>199</v>
      </c>
      <c r="C46" s="30" t="s">
        <v>156</v>
      </c>
      <c r="D46" s="97"/>
      <c r="E46" s="101"/>
      <c r="F46" s="111"/>
      <c r="G46" s="127"/>
      <c r="H46" s="52"/>
      <c r="I46" s="52"/>
      <c r="J46" s="63"/>
    </row>
    <row r="47" spans="1:10" ht="15" customHeight="1" x14ac:dyDescent="0.35">
      <c r="A47" s="51" t="s">
        <v>49</v>
      </c>
      <c r="B47" s="30" t="s">
        <v>200</v>
      </c>
      <c r="C47" s="30" t="s">
        <v>131</v>
      </c>
      <c r="D47" s="96"/>
      <c r="E47" s="99"/>
      <c r="F47" s="110">
        <v>450</v>
      </c>
      <c r="G47" s="125">
        <v>6.09</v>
      </c>
      <c r="H47" s="57"/>
      <c r="I47" s="58" t="s">
        <v>201</v>
      </c>
      <c r="J47" s="59" t="s">
        <v>202</v>
      </c>
    </row>
    <row r="48" spans="1:10" ht="15" customHeight="1" x14ac:dyDescent="0.35">
      <c r="A48" s="51" t="s">
        <v>50</v>
      </c>
      <c r="B48" s="30" t="s">
        <v>203</v>
      </c>
      <c r="C48" s="30" t="s">
        <v>129</v>
      </c>
      <c r="D48" s="96"/>
      <c r="E48" s="107"/>
      <c r="F48" s="114"/>
      <c r="G48" s="127"/>
      <c r="H48" s="52"/>
      <c r="I48" s="52"/>
      <c r="J48" s="63"/>
    </row>
    <row r="49" spans="1:10" ht="15" customHeight="1" x14ac:dyDescent="0.35">
      <c r="A49" s="51" t="s">
        <v>51</v>
      </c>
      <c r="B49" s="30" t="s">
        <v>204</v>
      </c>
      <c r="C49" s="30" t="s">
        <v>129</v>
      </c>
      <c r="D49" s="96"/>
      <c r="E49" s="99"/>
      <c r="F49" s="109">
        <v>140</v>
      </c>
      <c r="G49" s="126">
        <v>1.65</v>
      </c>
      <c r="H49" s="57"/>
      <c r="I49" s="58" t="s">
        <v>139</v>
      </c>
      <c r="J49" s="59" t="s">
        <v>140</v>
      </c>
    </row>
    <row r="50" spans="1:10" ht="15" customHeight="1" x14ac:dyDescent="0.35">
      <c r="A50" s="51" t="s">
        <v>52</v>
      </c>
      <c r="B50" s="33" t="s">
        <v>207</v>
      </c>
      <c r="C50" s="33" t="s">
        <v>127</v>
      </c>
      <c r="D50" s="96"/>
      <c r="E50" s="106"/>
      <c r="F50" s="113"/>
      <c r="G50" s="127"/>
      <c r="H50" s="52"/>
      <c r="I50" s="52"/>
      <c r="J50" s="63"/>
    </row>
    <row r="51" spans="1:10" ht="15" customHeight="1" x14ac:dyDescent="0.35">
      <c r="A51" s="51" t="s">
        <v>53</v>
      </c>
      <c r="B51" s="33" t="s">
        <v>208</v>
      </c>
      <c r="C51" s="33" t="s">
        <v>127</v>
      </c>
      <c r="D51" s="97"/>
      <c r="E51" s="101"/>
      <c r="F51" s="111"/>
      <c r="G51" s="127"/>
      <c r="H51" s="52"/>
      <c r="I51" s="52"/>
      <c r="J51" s="63"/>
    </row>
    <row r="52" spans="1:10" ht="15" customHeight="1" x14ac:dyDescent="0.35">
      <c r="A52" s="51" t="s">
        <v>54</v>
      </c>
      <c r="B52" s="33" t="s">
        <v>209</v>
      </c>
      <c r="C52" s="33" t="s">
        <v>131</v>
      </c>
      <c r="D52" s="97"/>
      <c r="E52" s="101"/>
      <c r="F52" s="111"/>
      <c r="G52" s="127"/>
      <c r="H52" s="52"/>
      <c r="I52" s="52"/>
      <c r="J52" s="63"/>
    </row>
    <row r="53" spans="1:10" ht="15" customHeight="1" x14ac:dyDescent="0.35">
      <c r="A53" s="51" t="s">
        <v>55</v>
      </c>
      <c r="B53" s="30" t="s">
        <v>210</v>
      </c>
      <c r="C53" s="30" t="s">
        <v>129</v>
      </c>
      <c r="D53" s="96"/>
      <c r="E53" s="99"/>
      <c r="F53" s="109">
        <v>140</v>
      </c>
      <c r="G53" s="126">
        <v>1.65</v>
      </c>
      <c r="H53" s="57"/>
      <c r="I53" s="58" t="s">
        <v>148</v>
      </c>
      <c r="J53" s="59" t="s">
        <v>140</v>
      </c>
    </row>
    <row r="54" spans="1:10" ht="15" customHeight="1" x14ac:dyDescent="0.35">
      <c r="A54" s="51" t="s">
        <v>56</v>
      </c>
      <c r="B54" s="30" t="s">
        <v>212</v>
      </c>
      <c r="C54" s="30" t="s">
        <v>131</v>
      </c>
      <c r="D54" s="97"/>
      <c r="E54" s="101"/>
      <c r="F54" s="111"/>
      <c r="G54" s="127"/>
      <c r="H54" s="52"/>
      <c r="I54" s="60"/>
      <c r="J54" s="63"/>
    </row>
    <row r="55" spans="1:10" ht="15" customHeight="1" x14ac:dyDescent="0.35">
      <c r="A55" s="51" t="s">
        <v>57</v>
      </c>
      <c r="B55" s="33" t="s">
        <v>213</v>
      </c>
      <c r="C55" s="33" t="s">
        <v>151</v>
      </c>
      <c r="D55" s="97"/>
      <c r="E55" s="100">
        <v>63</v>
      </c>
      <c r="F55" s="115">
        <v>79</v>
      </c>
      <c r="G55" s="125">
        <v>0</v>
      </c>
      <c r="H55" s="57" t="s">
        <v>214</v>
      </c>
      <c r="I55" s="71" t="s">
        <v>152</v>
      </c>
      <c r="J55" s="59"/>
    </row>
    <row r="56" spans="1:10" ht="15" customHeight="1" x14ac:dyDescent="0.35">
      <c r="A56" s="51" t="s">
        <v>58</v>
      </c>
      <c r="B56" s="30" t="s">
        <v>215</v>
      </c>
      <c r="C56" s="30" t="s">
        <v>129</v>
      </c>
      <c r="D56" s="97"/>
      <c r="E56" s="99"/>
      <c r="F56" s="110">
        <v>140</v>
      </c>
      <c r="G56" s="126">
        <v>1.65</v>
      </c>
      <c r="H56" s="57"/>
      <c r="I56" s="65" t="s">
        <v>148</v>
      </c>
      <c r="J56" s="59" t="s">
        <v>140</v>
      </c>
    </row>
    <row r="57" spans="1:10" ht="15" customHeight="1" x14ac:dyDescent="0.35">
      <c r="A57" s="51" t="s">
        <v>59</v>
      </c>
      <c r="B57" s="30" t="s">
        <v>216</v>
      </c>
      <c r="C57" s="30" t="s">
        <v>166</v>
      </c>
      <c r="D57" s="97"/>
      <c r="E57" s="99"/>
      <c r="F57" s="110">
        <v>65.400000000000006</v>
      </c>
      <c r="G57" s="125">
        <v>0.7</v>
      </c>
      <c r="H57" s="57"/>
      <c r="I57" s="57" t="s">
        <v>148</v>
      </c>
      <c r="J57" s="59" t="s">
        <v>134</v>
      </c>
    </row>
    <row r="58" spans="1:10" ht="15" customHeight="1" x14ac:dyDescent="0.35">
      <c r="A58" s="51" t="s">
        <v>60</v>
      </c>
      <c r="B58" s="30" t="s">
        <v>218</v>
      </c>
      <c r="C58" s="30" t="s">
        <v>151</v>
      </c>
      <c r="D58" s="96"/>
      <c r="E58" s="106"/>
      <c r="F58" s="113"/>
      <c r="G58" s="127"/>
      <c r="H58" s="52"/>
      <c r="I58" s="64"/>
      <c r="J58" s="63"/>
    </row>
    <row r="59" spans="1:10" ht="15" customHeight="1" x14ac:dyDescent="0.35">
      <c r="A59" s="51" t="s">
        <v>61</v>
      </c>
      <c r="B59" s="30" t="s">
        <v>219</v>
      </c>
      <c r="C59" s="30" t="s">
        <v>144</v>
      </c>
      <c r="D59" s="96"/>
      <c r="E59" s="99"/>
      <c r="F59" s="110">
        <v>69</v>
      </c>
      <c r="G59" s="125">
        <v>0.11</v>
      </c>
      <c r="H59" s="57"/>
      <c r="I59" s="58" t="s">
        <v>220</v>
      </c>
      <c r="J59" s="59" t="s">
        <v>134</v>
      </c>
    </row>
    <row r="60" spans="1:10" ht="15" customHeight="1" x14ac:dyDescent="0.35">
      <c r="A60" s="51" t="s">
        <v>62</v>
      </c>
      <c r="B60" s="33" t="s">
        <v>221</v>
      </c>
      <c r="C60" s="33" t="s">
        <v>131</v>
      </c>
      <c r="D60" s="96"/>
      <c r="E60" s="106"/>
      <c r="F60" s="113"/>
      <c r="G60" s="127"/>
      <c r="H60" s="52"/>
      <c r="I60" s="64"/>
      <c r="J60" s="63"/>
    </row>
    <row r="61" spans="1:10" ht="15" customHeight="1" x14ac:dyDescent="0.35">
      <c r="A61" s="51" t="s">
        <v>63</v>
      </c>
      <c r="B61" s="30" t="s">
        <v>222</v>
      </c>
      <c r="C61" s="30" t="s">
        <v>146</v>
      </c>
      <c r="D61" s="96"/>
      <c r="E61" s="101"/>
      <c r="F61" s="111"/>
      <c r="G61" s="127"/>
      <c r="H61" s="52"/>
      <c r="I61" s="68"/>
      <c r="J61" s="63"/>
    </row>
    <row r="62" spans="1:10" ht="15" customHeight="1" x14ac:dyDescent="0.35">
      <c r="A62" s="51" t="s">
        <v>64</v>
      </c>
      <c r="B62" s="30" t="s">
        <v>223</v>
      </c>
      <c r="C62" s="30" t="s">
        <v>146</v>
      </c>
      <c r="D62" s="97"/>
      <c r="E62" s="101"/>
      <c r="F62" s="111"/>
      <c r="G62" s="127"/>
      <c r="H62" s="52"/>
      <c r="I62" s="64"/>
      <c r="J62" s="63"/>
    </row>
    <row r="63" spans="1:10" ht="15" customHeight="1" x14ac:dyDescent="0.35">
      <c r="A63" s="51" t="s">
        <v>65</v>
      </c>
      <c r="B63" s="30" t="s">
        <v>224</v>
      </c>
      <c r="C63" s="30" t="s">
        <v>225</v>
      </c>
      <c r="D63" s="97"/>
      <c r="E63" s="101"/>
      <c r="F63" s="111"/>
      <c r="G63" s="127"/>
      <c r="H63" s="52"/>
      <c r="I63" s="60"/>
      <c r="J63" s="63"/>
    </row>
    <row r="64" spans="1:10" ht="15" customHeight="1" x14ac:dyDescent="0.35">
      <c r="A64" s="51" t="s">
        <v>66</v>
      </c>
      <c r="B64" s="30" t="s">
        <v>226</v>
      </c>
      <c r="C64" s="30" t="s">
        <v>144</v>
      </c>
      <c r="D64" s="95"/>
      <c r="E64" s="100"/>
      <c r="F64" s="112">
        <v>68.599999999999994</v>
      </c>
      <c r="G64" s="126">
        <v>0.45</v>
      </c>
      <c r="H64" s="57"/>
      <c r="I64" s="58" t="s">
        <v>148</v>
      </c>
      <c r="J64" s="59" t="s">
        <v>134</v>
      </c>
    </row>
    <row r="65" spans="1:10" ht="15" customHeight="1" x14ac:dyDescent="0.35">
      <c r="A65" s="51" t="s">
        <v>67</v>
      </c>
      <c r="B65" s="33" t="s">
        <v>227</v>
      </c>
      <c r="C65" s="33" t="s">
        <v>228</v>
      </c>
      <c r="D65" s="95"/>
      <c r="E65" s="95"/>
      <c r="F65" s="33"/>
      <c r="G65" s="33"/>
      <c r="H65" s="52"/>
      <c r="I65" s="64"/>
      <c r="J65" s="53"/>
    </row>
    <row r="66" spans="1:10" ht="15" customHeight="1" x14ac:dyDescent="0.35">
      <c r="A66" s="51" t="s">
        <v>68</v>
      </c>
      <c r="B66" s="30" t="s">
        <v>229</v>
      </c>
      <c r="C66" s="30" t="s">
        <v>228</v>
      </c>
      <c r="D66" s="95"/>
      <c r="E66" s="95"/>
      <c r="F66" s="33"/>
      <c r="G66" s="33"/>
      <c r="H66" s="52"/>
      <c r="I66" s="64"/>
      <c r="J66" s="53"/>
    </row>
    <row r="67" spans="1:10" ht="15" customHeight="1" x14ac:dyDescent="0.35">
      <c r="A67" s="51" t="s">
        <v>69</v>
      </c>
      <c r="B67" s="30" t="s">
        <v>230</v>
      </c>
      <c r="C67" s="30" t="s">
        <v>129</v>
      </c>
      <c r="D67" s="95"/>
      <c r="E67" s="100"/>
      <c r="F67" s="112">
        <v>140</v>
      </c>
      <c r="G67" s="126">
        <v>4.71</v>
      </c>
      <c r="H67" s="57"/>
      <c r="I67" s="65" t="s">
        <v>148</v>
      </c>
      <c r="J67" s="59" t="s">
        <v>134</v>
      </c>
    </row>
    <row r="68" spans="1:10" ht="15" customHeight="1" x14ac:dyDescent="0.35">
      <c r="A68" s="51" t="s">
        <v>70</v>
      </c>
      <c r="B68" s="30" t="s">
        <v>231</v>
      </c>
      <c r="C68" s="30" t="s">
        <v>131</v>
      </c>
      <c r="D68" s="95"/>
      <c r="E68" s="95"/>
      <c r="F68" s="33"/>
      <c r="G68" s="33"/>
      <c r="H68" s="52"/>
      <c r="I68" s="52"/>
      <c r="J68" s="53"/>
    </row>
    <row r="69" spans="1:10" ht="15" customHeight="1" x14ac:dyDescent="0.35">
      <c r="A69" s="51" t="s">
        <v>71</v>
      </c>
      <c r="B69" s="30" t="s">
        <v>232</v>
      </c>
      <c r="C69" s="30" t="s">
        <v>129</v>
      </c>
      <c r="D69" s="95"/>
      <c r="E69" s="99">
        <v>24</v>
      </c>
      <c r="F69" s="112">
        <v>61.1</v>
      </c>
      <c r="G69" s="126">
        <v>0.59499999999999997</v>
      </c>
      <c r="H69" s="57" t="s">
        <v>160</v>
      </c>
      <c r="I69" s="57" t="s">
        <v>148</v>
      </c>
      <c r="J69" s="66" t="s">
        <v>234</v>
      </c>
    </row>
    <row r="70" spans="1:10" ht="15" customHeight="1" x14ac:dyDescent="0.35">
      <c r="A70" s="51" t="s">
        <v>72</v>
      </c>
      <c r="B70" s="33" t="s">
        <v>235</v>
      </c>
      <c r="C70" s="33" t="s">
        <v>131</v>
      </c>
      <c r="D70" s="95"/>
      <c r="E70" s="95"/>
      <c r="F70" s="33"/>
      <c r="G70" s="33"/>
      <c r="H70" s="52"/>
      <c r="I70" s="52"/>
      <c r="J70" s="53"/>
    </row>
    <row r="71" spans="1:10" ht="15" customHeight="1" x14ac:dyDescent="0.35">
      <c r="A71" s="51" t="s">
        <v>73</v>
      </c>
      <c r="B71" s="30" t="s">
        <v>236</v>
      </c>
      <c r="C71" s="30" t="s">
        <v>237</v>
      </c>
      <c r="D71" s="95"/>
      <c r="E71" s="95"/>
      <c r="F71" s="33"/>
      <c r="G71" s="33"/>
      <c r="H71" s="52"/>
      <c r="I71" s="52"/>
      <c r="J71" s="53"/>
    </row>
    <row r="72" spans="1:10" ht="15" customHeight="1" x14ac:dyDescent="0.35">
      <c r="A72" s="51" t="s">
        <v>74</v>
      </c>
      <c r="B72" s="30" t="s">
        <v>238</v>
      </c>
      <c r="C72" s="30" t="s">
        <v>151</v>
      </c>
      <c r="D72" s="95"/>
      <c r="E72" s="99">
        <v>24</v>
      </c>
      <c r="F72" s="112">
        <v>63.2</v>
      </c>
      <c r="G72" s="126">
        <v>0.59499999999999997</v>
      </c>
      <c r="H72" s="57" t="s">
        <v>160</v>
      </c>
      <c r="I72" s="57" t="s">
        <v>148</v>
      </c>
      <c r="J72" s="66" t="s">
        <v>234</v>
      </c>
    </row>
    <row r="73" spans="1:10" ht="15" customHeight="1" x14ac:dyDescent="0.35">
      <c r="A73" s="51" t="s">
        <v>75</v>
      </c>
      <c r="B73" s="30" t="s">
        <v>239</v>
      </c>
      <c r="C73" s="30" t="s">
        <v>181</v>
      </c>
      <c r="D73" s="95"/>
      <c r="E73" s="95"/>
      <c r="F73" s="33"/>
      <c r="G73" s="33"/>
      <c r="H73" s="52"/>
      <c r="I73" s="52"/>
      <c r="J73" s="53"/>
    </row>
    <row r="74" spans="1:10" ht="15" customHeight="1" x14ac:dyDescent="0.35">
      <c r="A74" s="51" t="s">
        <v>76</v>
      </c>
      <c r="B74" s="30" t="s">
        <v>240</v>
      </c>
      <c r="C74" s="30" t="s">
        <v>129</v>
      </c>
      <c r="D74" s="95"/>
      <c r="E74" s="100"/>
      <c r="F74" s="110">
        <v>140</v>
      </c>
      <c r="G74" s="126">
        <v>1.65</v>
      </c>
      <c r="H74" s="57"/>
      <c r="I74" s="58" t="s">
        <v>139</v>
      </c>
      <c r="J74" s="66" t="s">
        <v>140</v>
      </c>
    </row>
    <row r="75" spans="1:10" ht="15" customHeight="1" x14ac:dyDescent="0.35">
      <c r="A75" s="51" t="s">
        <v>77</v>
      </c>
      <c r="B75" s="33" t="s">
        <v>242</v>
      </c>
      <c r="C75" s="33" t="s">
        <v>131</v>
      </c>
      <c r="D75" s="95"/>
      <c r="E75" s="95"/>
      <c r="F75" s="33"/>
      <c r="G75" s="33"/>
      <c r="H75" s="52"/>
      <c r="I75" s="52"/>
      <c r="J75" s="53"/>
    </row>
    <row r="76" spans="1:10" ht="15" customHeight="1" x14ac:dyDescent="0.35">
      <c r="A76" s="51" t="s">
        <v>78</v>
      </c>
      <c r="B76" s="30" t="s">
        <v>243</v>
      </c>
      <c r="C76" s="30" t="s">
        <v>131</v>
      </c>
      <c r="D76" s="95"/>
      <c r="E76" s="95"/>
      <c r="F76" s="33"/>
      <c r="G76" s="33"/>
      <c r="H76" s="52"/>
      <c r="I76" s="52"/>
      <c r="J76" s="53"/>
    </row>
    <row r="77" spans="1:10" ht="15" customHeight="1" x14ac:dyDescent="0.35">
      <c r="A77" s="51" t="s">
        <v>79</v>
      </c>
      <c r="B77" s="30" t="s">
        <v>244</v>
      </c>
      <c r="C77" s="30" t="s">
        <v>131</v>
      </c>
      <c r="D77" s="95"/>
      <c r="E77" s="100"/>
      <c r="F77" s="112">
        <v>450</v>
      </c>
      <c r="G77" s="125">
        <v>6.09</v>
      </c>
      <c r="H77" s="57"/>
      <c r="I77" s="57" t="s">
        <v>133</v>
      </c>
      <c r="J77" s="66" t="s">
        <v>202</v>
      </c>
    </row>
    <row r="78" spans="1:10" ht="15" customHeight="1" x14ac:dyDescent="0.35">
      <c r="A78" s="51" t="s">
        <v>80</v>
      </c>
      <c r="B78" s="30" t="s">
        <v>245</v>
      </c>
      <c r="C78" s="30" t="s">
        <v>159</v>
      </c>
      <c r="D78" s="95"/>
      <c r="E78" s="100">
        <v>63</v>
      </c>
      <c r="F78" s="112">
        <v>63.2</v>
      </c>
      <c r="G78" s="126">
        <v>0.57999999999999996</v>
      </c>
      <c r="H78" s="57" t="s">
        <v>160</v>
      </c>
      <c r="I78" s="57" t="s">
        <v>148</v>
      </c>
      <c r="J78" s="59" t="s">
        <v>134</v>
      </c>
    </row>
    <row r="79" spans="1:10" ht="15" customHeight="1" x14ac:dyDescent="0.35">
      <c r="A79" s="51" t="s">
        <v>81</v>
      </c>
      <c r="B79" s="30" t="s">
        <v>246</v>
      </c>
      <c r="C79" s="30" t="s">
        <v>129</v>
      </c>
      <c r="D79" s="95"/>
      <c r="E79" s="100">
        <v>63</v>
      </c>
      <c r="F79" s="112">
        <v>63.2</v>
      </c>
      <c r="G79" s="126">
        <v>0.57999999999999996</v>
      </c>
      <c r="H79" s="57" t="s">
        <v>160</v>
      </c>
      <c r="I79" s="57" t="s">
        <v>148</v>
      </c>
      <c r="J79" s="59" t="s">
        <v>134</v>
      </c>
    </row>
    <row r="80" spans="1:10" ht="15" customHeight="1" x14ac:dyDescent="0.35">
      <c r="A80" s="51" t="s">
        <v>82</v>
      </c>
      <c r="B80" s="33" t="s">
        <v>247</v>
      </c>
      <c r="C80" s="33" t="s">
        <v>129</v>
      </c>
      <c r="D80" s="95"/>
      <c r="E80" s="95"/>
      <c r="F80" s="33"/>
      <c r="G80" s="33"/>
      <c r="H80" s="52"/>
      <c r="I80" s="52"/>
      <c r="J80" s="53"/>
    </row>
    <row r="81" spans="1:10" ht="15" customHeight="1" x14ac:dyDescent="0.35">
      <c r="A81" s="51" t="s">
        <v>83</v>
      </c>
      <c r="B81" s="33" t="s">
        <v>248</v>
      </c>
      <c r="C81" s="33" t="s">
        <v>131</v>
      </c>
      <c r="D81" s="95"/>
      <c r="E81" s="95"/>
      <c r="F81" s="33"/>
      <c r="G81" s="33"/>
      <c r="H81" s="52"/>
      <c r="I81" s="52"/>
      <c r="J81" s="53"/>
    </row>
    <row r="82" spans="1:10" ht="15" customHeight="1" x14ac:dyDescent="0.35">
      <c r="A82" s="51" t="s">
        <v>84</v>
      </c>
      <c r="B82" s="33" t="s">
        <v>249</v>
      </c>
      <c r="C82" s="33" t="s">
        <v>131</v>
      </c>
      <c r="D82" s="95"/>
      <c r="E82" s="95"/>
      <c r="F82" s="33"/>
      <c r="G82" s="33"/>
      <c r="H82" s="52"/>
      <c r="I82" s="52"/>
      <c r="J82" s="53"/>
    </row>
    <row r="83" spans="1:10" ht="15" customHeight="1" x14ac:dyDescent="0.35">
      <c r="A83" s="51" t="s">
        <v>85</v>
      </c>
      <c r="B83" s="30" t="s">
        <v>250</v>
      </c>
      <c r="C83" s="30" t="s">
        <v>131</v>
      </c>
      <c r="D83" s="95"/>
      <c r="E83" s="100"/>
      <c r="F83" s="112">
        <v>450</v>
      </c>
      <c r="G83" s="125">
        <v>6.09</v>
      </c>
      <c r="H83" s="57"/>
      <c r="I83" s="58" t="s">
        <v>201</v>
      </c>
      <c r="J83" s="66" t="s">
        <v>202</v>
      </c>
    </row>
    <row r="84" spans="1:10" ht="15" customHeight="1" x14ac:dyDescent="0.35">
      <c r="A84" s="51" t="s">
        <v>86</v>
      </c>
      <c r="B84" s="30" t="s">
        <v>252</v>
      </c>
      <c r="C84" s="30" t="s">
        <v>131</v>
      </c>
      <c r="D84" s="95"/>
      <c r="E84" s="95"/>
      <c r="F84" s="33"/>
      <c r="G84" s="33"/>
      <c r="H84" s="52"/>
      <c r="I84" s="52"/>
      <c r="J84" s="53"/>
    </row>
    <row r="85" spans="1:10" ht="15" customHeight="1" x14ac:dyDescent="0.35">
      <c r="A85" s="51" t="s">
        <v>87</v>
      </c>
      <c r="B85" s="30" t="s">
        <v>253</v>
      </c>
      <c r="C85" s="30" t="s">
        <v>166</v>
      </c>
      <c r="D85" s="95"/>
      <c r="E85" s="95"/>
      <c r="F85" s="33"/>
      <c r="G85" s="33"/>
      <c r="H85" s="52"/>
      <c r="I85" s="52"/>
      <c r="J85" s="53"/>
    </row>
    <row r="86" spans="1:10" ht="15" customHeight="1" x14ac:dyDescent="0.35">
      <c r="A86" s="51" t="s">
        <v>88</v>
      </c>
      <c r="B86" s="30" t="s">
        <v>254</v>
      </c>
      <c r="C86" s="30" t="s">
        <v>196</v>
      </c>
      <c r="D86" s="95"/>
      <c r="E86" s="100"/>
      <c r="F86" s="112">
        <v>135.5</v>
      </c>
      <c r="G86" s="126">
        <v>2.13</v>
      </c>
      <c r="H86" s="57"/>
      <c r="I86" s="57" t="s">
        <v>148</v>
      </c>
      <c r="J86" s="59" t="s">
        <v>134</v>
      </c>
    </row>
    <row r="87" spans="1:10" ht="15" customHeight="1" x14ac:dyDescent="0.35">
      <c r="A87" s="51" t="s">
        <v>89</v>
      </c>
      <c r="B87" s="30" t="s">
        <v>255</v>
      </c>
      <c r="C87" s="30" t="s">
        <v>129</v>
      </c>
      <c r="D87" s="95"/>
      <c r="E87" s="100"/>
      <c r="F87" s="112">
        <v>140</v>
      </c>
      <c r="G87" s="126">
        <v>1.65</v>
      </c>
      <c r="H87" s="57"/>
      <c r="I87" s="58" t="s">
        <v>139</v>
      </c>
      <c r="J87" s="66" t="s">
        <v>140</v>
      </c>
    </row>
    <row r="88" spans="1:10" ht="15" customHeight="1" x14ac:dyDescent="0.35">
      <c r="A88" s="51" t="s">
        <v>90</v>
      </c>
      <c r="B88" s="30" t="s">
        <v>257</v>
      </c>
      <c r="C88" s="30" t="s">
        <v>258</v>
      </c>
      <c r="D88" s="95"/>
      <c r="E88" s="95"/>
      <c r="F88" s="33"/>
      <c r="G88" s="33"/>
      <c r="H88" s="52"/>
      <c r="I88" s="52"/>
      <c r="J88" s="53"/>
    </row>
    <row r="89" spans="1:10" ht="15" customHeight="1" x14ac:dyDescent="0.35">
      <c r="A89" s="51" t="s">
        <v>91</v>
      </c>
      <c r="B89" s="33" t="s">
        <v>259</v>
      </c>
      <c r="C89" s="33" t="s">
        <v>166</v>
      </c>
      <c r="D89" s="95"/>
      <c r="E89" s="95"/>
      <c r="F89" s="33"/>
      <c r="G89" s="33"/>
      <c r="H89" s="52"/>
      <c r="I89" s="52"/>
      <c r="J89" s="53"/>
    </row>
    <row r="90" spans="1:10" ht="15" customHeight="1" x14ac:dyDescent="0.35">
      <c r="A90" s="51" t="s">
        <v>92</v>
      </c>
      <c r="B90" s="30" t="s">
        <v>260</v>
      </c>
      <c r="C90" s="30" t="s">
        <v>237</v>
      </c>
      <c r="D90" s="95"/>
      <c r="E90" s="95"/>
      <c r="F90" s="117">
        <v>60</v>
      </c>
      <c r="G90" s="129">
        <v>0.35900000000000004</v>
      </c>
      <c r="H90" s="52"/>
      <c r="I90" s="52"/>
      <c r="J90" s="53"/>
    </row>
    <row r="91" spans="1:10" ht="15" customHeight="1" x14ac:dyDescent="0.35">
      <c r="A91" s="51" t="s">
        <v>93</v>
      </c>
      <c r="B91" s="30" t="s">
        <v>261</v>
      </c>
      <c r="C91" s="30" t="s">
        <v>237</v>
      </c>
      <c r="D91" s="95">
        <v>10</v>
      </c>
      <c r="E91" s="100"/>
      <c r="F91" s="112">
        <v>60</v>
      </c>
      <c r="G91" s="126">
        <v>0.26</v>
      </c>
      <c r="H91" s="57"/>
      <c r="I91" s="57" t="s">
        <v>148</v>
      </c>
      <c r="J91" s="59" t="s">
        <v>134</v>
      </c>
    </row>
    <row r="92" spans="1:10" ht="15" customHeight="1" x14ac:dyDescent="0.35">
      <c r="A92" s="51" t="s">
        <v>94</v>
      </c>
      <c r="B92" s="30" t="s">
        <v>263</v>
      </c>
      <c r="C92" s="30" t="s">
        <v>237</v>
      </c>
      <c r="D92" s="95">
        <v>90</v>
      </c>
      <c r="E92" s="100"/>
      <c r="F92" s="112">
        <v>60</v>
      </c>
      <c r="G92" s="126">
        <v>0.37</v>
      </c>
      <c r="H92" s="57"/>
      <c r="I92" s="57" t="s">
        <v>148</v>
      </c>
      <c r="J92" s="59" t="s">
        <v>134</v>
      </c>
    </row>
    <row r="93" spans="1:10" ht="15" customHeight="1" x14ac:dyDescent="0.35">
      <c r="A93" s="51" t="s">
        <v>95</v>
      </c>
      <c r="B93" s="30" t="s">
        <v>264</v>
      </c>
      <c r="C93" s="30" t="s">
        <v>156</v>
      </c>
      <c r="D93" s="95"/>
      <c r="E93" s="100"/>
      <c r="F93" s="112">
        <v>300</v>
      </c>
      <c r="G93" s="126">
        <v>2.25</v>
      </c>
      <c r="H93" s="57"/>
      <c r="I93" s="57" t="s">
        <v>133</v>
      </c>
      <c r="J93" s="59" t="s">
        <v>193</v>
      </c>
    </row>
    <row r="94" spans="1:10" ht="15" customHeight="1" x14ac:dyDescent="0.35">
      <c r="A94" s="51" t="s">
        <v>96</v>
      </c>
      <c r="B94" s="30" t="s">
        <v>266</v>
      </c>
      <c r="C94" s="30" t="s">
        <v>146</v>
      </c>
      <c r="D94" s="95"/>
      <c r="E94" s="95"/>
      <c r="F94" s="33"/>
      <c r="G94" s="33"/>
      <c r="H94" s="52"/>
      <c r="I94" s="52"/>
      <c r="J94" s="53"/>
    </row>
    <row r="95" spans="1:10" ht="15" customHeight="1" x14ac:dyDescent="0.35">
      <c r="A95" s="51" t="s">
        <v>97</v>
      </c>
      <c r="B95" s="30" t="s">
        <v>267</v>
      </c>
      <c r="C95" s="30" t="s">
        <v>144</v>
      </c>
      <c r="D95" s="95"/>
      <c r="E95" s="100"/>
      <c r="F95" s="112">
        <v>68.7</v>
      </c>
      <c r="G95" s="126">
        <v>0.94</v>
      </c>
      <c r="H95" s="57"/>
      <c r="I95" s="57" t="s">
        <v>148</v>
      </c>
      <c r="J95" s="59" t="s">
        <v>134</v>
      </c>
    </row>
    <row r="96" spans="1:10" ht="15" customHeight="1" x14ac:dyDescent="0.35">
      <c r="A96" s="51" t="s">
        <v>98</v>
      </c>
      <c r="B96" s="30" t="s">
        <v>268</v>
      </c>
      <c r="C96" s="30" t="s">
        <v>146</v>
      </c>
      <c r="D96" s="95"/>
      <c r="E96" s="95"/>
      <c r="F96" s="33"/>
      <c r="G96" s="33"/>
      <c r="H96" s="52"/>
      <c r="I96" s="52"/>
      <c r="J96" s="53"/>
    </row>
    <row r="97" spans="1:10" ht="15" customHeight="1" x14ac:dyDescent="0.35">
      <c r="A97" s="51" t="s">
        <v>99</v>
      </c>
      <c r="B97" s="30" t="s">
        <v>269</v>
      </c>
      <c r="C97" s="30" t="s">
        <v>131</v>
      </c>
      <c r="D97" s="95"/>
      <c r="E97" s="100"/>
      <c r="F97" s="112">
        <v>450</v>
      </c>
      <c r="G97" s="125">
        <v>6.09</v>
      </c>
      <c r="H97" s="57"/>
      <c r="I97" s="58" t="s">
        <v>201</v>
      </c>
      <c r="J97" s="66" t="s">
        <v>202</v>
      </c>
    </row>
    <row r="98" spans="1:10" ht="15" customHeight="1" x14ac:dyDescent="0.35">
      <c r="A98" s="51" t="s">
        <v>100</v>
      </c>
      <c r="B98" s="30" t="s">
        <v>271</v>
      </c>
      <c r="C98" s="30" t="s">
        <v>151</v>
      </c>
      <c r="D98" s="95"/>
      <c r="E98" s="95"/>
      <c r="F98" s="33"/>
      <c r="G98" s="33"/>
      <c r="H98" s="52"/>
      <c r="I98" s="52"/>
      <c r="J98" s="53"/>
    </row>
    <row r="99" spans="1:10" ht="15" customHeight="1" x14ac:dyDescent="0.35">
      <c r="A99" s="51" t="s">
        <v>101</v>
      </c>
      <c r="B99" s="30" t="s">
        <v>272</v>
      </c>
      <c r="C99" s="30" t="s">
        <v>129</v>
      </c>
      <c r="D99" s="95"/>
      <c r="E99" s="100"/>
      <c r="F99" s="112">
        <v>140</v>
      </c>
      <c r="G99" s="126">
        <v>1.65</v>
      </c>
      <c r="H99" s="57"/>
      <c r="I99" s="58" t="s">
        <v>139</v>
      </c>
      <c r="J99" s="66" t="s">
        <v>140</v>
      </c>
    </row>
    <row r="100" spans="1:10" ht="15" customHeight="1" x14ac:dyDescent="0.35">
      <c r="A100" s="51" t="s">
        <v>102</v>
      </c>
      <c r="B100" s="30" t="s">
        <v>274</v>
      </c>
      <c r="C100" s="30" t="s">
        <v>131</v>
      </c>
      <c r="D100" s="95"/>
      <c r="E100" s="100"/>
      <c r="F100" s="112">
        <v>300</v>
      </c>
      <c r="G100" s="126">
        <v>2.25</v>
      </c>
      <c r="H100" s="57"/>
      <c r="I100" s="57" t="s">
        <v>133</v>
      </c>
      <c r="J100" s="59" t="s">
        <v>134</v>
      </c>
    </row>
    <row r="101" spans="1:10" ht="15" customHeight="1" x14ac:dyDescent="0.35">
      <c r="A101" s="51" t="s">
        <v>103</v>
      </c>
      <c r="B101" s="30" t="s">
        <v>276</v>
      </c>
      <c r="C101" s="30" t="s">
        <v>277</v>
      </c>
      <c r="D101" s="95"/>
      <c r="E101" s="100"/>
      <c r="F101" s="112">
        <v>130</v>
      </c>
      <c r="G101" s="126">
        <v>2.38</v>
      </c>
      <c r="H101" s="57"/>
      <c r="I101" s="57" t="s">
        <v>148</v>
      </c>
      <c r="J101" s="59" t="s">
        <v>134</v>
      </c>
    </row>
    <row r="102" spans="1:10" ht="15" customHeight="1" x14ac:dyDescent="0.35">
      <c r="A102" s="51" t="s">
        <v>104</v>
      </c>
      <c r="B102" s="30" t="s">
        <v>278</v>
      </c>
      <c r="C102" s="30" t="s">
        <v>277</v>
      </c>
      <c r="D102" s="95"/>
      <c r="E102" s="95"/>
      <c r="F102" s="33"/>
      <c r="G102" s="33"/>
      <c r="H102" s="52"/>
      <c r="I102" s="52"/>
      <c r="J102" s="53"/>
    </row>
    <row r="103" spans="1:10" ht="15" customHeight="1" x14ac:dyDescent="0.35">
      <c r="A103" s="51" t="s">
        <v>105</v>
      </c>
      <c r="B103" s="30" t="s">
        <v>279</v>
      </c>
      <c r="C103" s="30" t="s">
        <v>237</v>
      </c>
      <c r="D103" s="95"/>
      <c r="E103" s="95"/>
      <c r="F103" s="33"/>
      <c r="G103" s="33"/>
      <c r="H103" s="52"/>
      <c r="I103" s="52"/>
      <c r="J103" s="53"/>
    </row>
    <row r="104" spans="1:10" ht="15" customHeight="1" x14ac:dyDescent="0.35">
      <c r="A104" s="51" t="s">
        <v>106</v>
      </c>
      <c r="B104" s="33" t="s">
        <v>280</v>
      </c>
      <c r="C104" s="33" t="s">
        <v>196</v>
      </c>
      <c r="D104" s="95"/>
      <c r="E104" s="95"/>
      <c r="F104" s="33"/>
      <c r="G104" s="33"/>
      <c r="H104" s="52"/>
      <c r="I104" s="52"/>
      <c r="J104" s="53"/>
    </row>
    <row r="105" spans="1:10" ht="15" customHeight="1" x14ac:dyDescent="0.35">
      <c r="A105" s="51" t="s">
        <v>107</v>
      </c>
      <c r="B105" s="30" t="s">
        <v>281</v>
      </c>
      <c r="C105" s="30" t="s">
        <v>131</v>
      </c>
      <c r="D105" s="95"/>
      <c r="E105" s="95"/>
      <c r="F105" s="33"/>
      <c r="G105" s="33"/>
      <c r="H105" s="52"/>
      <c r="I105" s="52"/>
      <c r="J105" s="53"/>
    </row>
    <row r="106" spans="1:10" ht="15" customHeight="1" x14ac:dyDescent="0.35">
      <c r="A106" s="51" t="s">
        <v>108</v>
      </c>
      <c r="B106" s="30" t="s">
        <v>282</v>
      </c>
      <c r="C106" s="30" t="s">
        <v>129</v>
      </c>
      <c r="D106" s="95"/>
      <c r="E106" s="104"/>
      <c r="F106" s="116">
        <v>0</v>
      </c>
      <c r="G106" s="129">
        <v>1.65</v>
      </c>
      <c r="H106" s="57"/>
      <c r="I106" s="57"/>
      <c r="J106" s="66"/>
    </row>
    <row r="107" spans="1:10" ht="15" customHeight="1" x14ac:dyDescent="0.35">
      <c r="A107" s="51" t="s">
        <v>109</v>
      </c>
      <c r="B107" s="30" t="s">
        <v>283</v>
      </c>
      <c r="C107" s="30" t="s">
        <v>129</v>
      </c>
      <c r="D107" s="95">
        <v>100</v>
      </c>
      <c r="E107" s="100"/>
      <c r="F107" s="112">
        <v>0</v>
      </c>
      <c r="G107" s="126">
        <v>1.65</v>
      </c>
      <c r="H107" s="57"/>
      <c r="I107" s="57"/>
      <c r="J107" s="59" t="s">
        <v>140</v>
      </c>
    </row>
    <row r="108" spans="1:10" ht="15" customHeight="1" x14ac:dyDescent="0.35">
      <c r="A108" s="51" t="s">
        <v>110</v>
      </c>
      <c r="B108" s="30" t="s">
        <v>285</v>
      </c>
      <c r="C108" s="30" t="s">
        <v>129</v>
      </c>
      <c r="D108" s="95">
        <v>0</v>
      </c>
      <c r="E108" s="100"/>
      <c r="F108" s="112"/>
      <c r="G108" s="126"/>
      <c r="H108" s="52"/>
      <c r="I108" s="52"/>
      <c r="J108" s="63"/>
    </row>
    <row r="109" spans="1:10" ht="15" customHeight="1" x14ac:dyDescent="0.35">
      <c r="A109" s="51" t="s">
        <v>111</v>
      </c>
      <c r="B109" s="30" t="s">
        <v>286</v>
      </c>
      <c r="C109" s="30" t="s">
        <v>146</v>
      </c>
      <c r="D109" s="95"/>
      <c r="E109" s="100"/>
      <c r="F109" s="112">
        <v>66.7</v>
      </c>
      <c r="G109" s="126">
        <v>0.61</v>
      </c>
      <c r="H109" s="57"/>
      <c r="I109" s="57" t="s">
        <v>148</v>
      </c>
      <c r="J109" s="59" t="s">
        <v>134</v>
      </c>
    </row>
    <row r="110" spans="1:10" ht="15" customHeight="1" x14ac:dyDescent="0.35">
      <c r="A110" s="51" t="s">
        <v>112</v>
      </c>
      <c r="B110" s="30" t="s">
        <v>287</v>
      </c>
      <c r="C110" s="30" t="s">
        <v>258</v>
      </c>
      <c r="D110" s="95"/>
      <c r="E110" s="95"/>
      <c r="F110" s="33"/>
      <c r="G110" s="33"/>
      <c r="H110" s="52"/>
      <c r="I110" s="52"/>
      <c r="J110" s="53"/>
    </row>
    <row r="111" spans="1:10" ht="15" customHeight="1" x14ac:dyDescent="0.35">
      <c r="A111" s="51" t="s">
        <v>113</v>
      </c>
      <c r="B111" s="30" t="s">
        <v>288</v>
      </c>
      <c r="C111" s="30" t="s">
        <v>258</v>
      </c>
      <c r="D111" s="95"/>
      <c r="E111" s="95"/>
      <c r="F111" s="33"/>
      <c r="G111" s="33"/>
      <c r="H111" s="52"/>
      <c r="I111" s="52"/>
      <c r="J111" s="53"/>
    </row>
    <row r="112" spans="1:10" ht="15" customHeight="1" x14ac:dyDescent="0.35">
      <c r="A112" s="51" t="s">
        <v>114</v>
      </c>
      <c r="B112" s="30" t="s">
        <v>289</v>
      </c>
      <c r="C112" s="30" t="s">
        <v>127</v>
      </c>
      <c r="D112" s="95"/>
      <c r="E112" s="95"/>
      <c r="F112" s="33"/>
      <c r="G112" s="33"/>
      <c r="H112" s="52"/>
      <c r="I112" s="52"/>
      <c r="J112" s="53"/>
    </row>
    <row r="113" spans="1:10" ht="15" customHeight="1" x14ac:dyDescent="0.35">
      <c r="A113" s="51" t="s">
        <v>115</v>
      </c>
      <c r="B113" s="30" t="s">
        <v>290</v>
      </c>
      <c r="C113" s="30" t="s">
        <v>131</v>
      </c>
      <c r="D113" s="95"/>
      <c r="E113" s="95"/>
      <c r="F113" s="33"/>
      <c r="G113" s="33"/>
      <c r="H113" s="52"/>
      <c r="I113" s="52"/>
      <c r="J113" s="53"/>
    </row>
    <row r="114" spans="1:10" ht="15" customHeight="1" x14ac:dyDescent="0.35">
      <c r="A114" s="51" t="s">
        <v>116</v>
      </c>
      <c r="B114" s="30" t="s">
        <v>291</v>
      </c>
      <c r="C114" s="30" t="s">
        <v>131</v>
      </c>
      <c r="D114" s="95"/>
      <c r="E114" s="95"/>
      <c r="F114" s="33"/>
      <c r="G114" s="33"/>
      <c r="H114" s="52"/>
      <c r="I114" s="52"/>
      <c r="J114" s="53"/>
    </row>
    <row r="115" spans="1:10" ht="15" customHeight="1" x14ac:dyDescent="0.35">
      <c r="A115" s="51" t="s">
        <v>117</v>
      </c>
      <c r="B115" s="30" t="s">
        <v>292</v>
      </c>
      <c r="C115" s="30" t="s">
        <v>131</v>
      </c>
      <c r="D115" s="95"/>
      <c r="E115" s="95"/>
      <c r="F115" s="33"/>
      <c r="G115" s="33"/>
      <c r="H115" s="52"/>
      <c r="I115" s="52"/>
      <c r="J115" s="53"/>
    </row>
    <row r="116" spans="1:10" ht="15" customHeight="1" x14ac:dyDescent="0.35">
      <c r="A116" s="51" t="s">
        <v>118</v>
      </c>
      <c r="B116" s="30" t="s">
        <v>293</v>
      </c>
      <c r="C116" s="30" t="s">
        <v>144</v>
      </c>
      <c r="D116" s="95"/>
      <c r="E116" s="95"/>
      <c r="F116" s="33">
        <v>71</v>
      </c>
      <c r="G116" s="128">
        <v>0.74</v>
      </c>
      <c r="H116" s="57"/>
      <c r="I116" s="57"/>
      <c r="J116" s="66"/>
    </row>
    <row r="117" spans="1:10" ht="15" customHeight="1" x14ac:dyDescent="0.35">
      <c r="A117" s="51" t="s">
        <v>119</v>
      </c>
      <c r="B117" s="30" t="s">
        <v>294</v>
      </c>
      <c r="C117" s="30" t="s">
        <v>146</v>
      </c>
      <c r="D117" s="95">
        <v>10</v>
      </c>
      <c r="E117" s="100"/>
      <c r="F117" s="112">
        <v>71.900000000000006</v>
      </c>
      <c r="G117" s="126">
        <v>0.42</v>
      </c>
      <c r="H117" s="57"/>
      <c r="I117" s="58" t="s">
        <v>148</v>
      </c>
      <c r="J117" s="59" t="s">
        <v>134</v>
      </c>
    </row>
    <row r="118" spans="1:10" ht="15" customHeight="1" x14ac:dyDescent="0.35">
      <c r="A118" s="51" t="s">
        <v>120</v>
      </c>
      <c r="B118" s="30" t="s">
        <v>295</v>
      </c>
      <c r="C118" s="30" t="s">
        <v>146</v>
      </c>
      <c r="D118" s="95">
        <v>90</v>
      </c>
      <c r="E118" s="100"/>
      <c r="F118" s="112">
        <v>71.3</v>
      </c>
      <c r="G118" s="126">
        <v>0.77</v>
      </c>
      <c r="H118" s="57"/>
      <c r="I118" s="58" t="s">
        <v>148</v>
      </c>
      <c r="J118" s="59" t="s">
        <v>134</v>
      </c>
    </row>
    <row r="119" spans="1:10" x14ac:dyDescent="0.35">
      <c r="H119" s="12"/>
      <c r="I119" s="12"/>
      <c r="J119" s="17"/>
    </row>
    <row r="120" spans="1:10" x14ac:dyDescent="0.35">
      <c r="H120" s="12"/>
      <c r="I120" s="12"/>
      <c r="J120" s="17"/>
    </row>
    <row r="121" spans="1:10" x14ac:dyDescent="0.35">
      <c r="H121" s="12"/>
      <c r="I121" s="12"/>
      <c r="J121" s="17"/>
    </row>
    <row r="122" spans="1:10" x14ac:dyDescent="0.35">
      <c r="H122" s="12"/>
      <c r="I122" s="12"/>
      <c r="J122" s="17"/>
    </row>
    <row r="123" spans="1:10" x14ac:dyDescent="0.35">
      <c r="H123" s="12"/>
      <c r="I123" s="12"/>
      <c r="J123" s="17"/>
    </row>
    <row r="124" spans="1:10" x14ac:dyDescent="0.35">
      <c r="H124" s="12"/>
      <c r="I124" s="12"/>
      <c r="J124" s="17"/>
    </row>
    <row r="125" spans="1:10" x14ac:dyDescent="0.35">
      <c r="H125" s="12"/>
      <c r="I125" s="12"/>
      <c r="J125" s="17"/>
    </row>
    <row r="126" spans="1:10" x14ac:dyDescent="0.35">
      <c r="H126" s="12"/>
      <c r="I126" s="12"/>
      <c r="J126" s="17"/>
    </row>
    <row r="127" spans="1:10" x14ac:dyDescent="0.35">
      <c r="H127" s="12"/>
      <c r="I127" s="12"/>
      <c r="J127" s="17"/>
    </row>
    <row r="128" spans="1:10" x14ac:dyDescent="0.35">
      <c r="H128" s="12"/>
      <c r="I128" s="12"/>
      <c r="J128" s="17"/>
    </row>
    <row r="129" spans="10:10" x14ac:dyDescent="0.35">
      <c r="J129" s="2"/>
    </row>
    <row r="130" spans="10:10" x14ac:dyDescent="0.35">
      <c r="J130" s="2"/>
    </row>
    <row r="131" spans="10:10" x14ac:dyDescent="0.35">
      <c r="J131" s="2"/>
    </row>
    <row r="132" spans="10:10" x14ac:dyDescent="0.35">
      <c r="J132" s="2"/>
    </row>
    <row r="133" spans="10:10" x14ac:dyDescent="0.35">
      <c r="J133" s="2"/>
    </row>
    <row r="134" spans="10:10" x14ac:dyDescent="0.35">
      <c r="J134" s="2"/>
    </row>
    <row r="135" spans="10:10" x14ac:dyDescent="0.35">
      <c r="J135" s="2"/>
    </row>
    <row r="136" spans="10:10" x14ac:dyDescent="0.35">
      <c r="J136" s="2"/>
    </row>
    <row r="137" spans="10:10" x14ac:dyDescent="0.35">
      <c r="J137" s="2"/>
    </row>
    <row r="138" spans="10:10" x14ac:dyDescent="0.35">
      <c r="J138" s="2"/>
    </row>
    <row r="139" spans="10:10" x14ac:dyDescent="0.35">
      <c r="J139" s="2"/>
    </row>
    <row r="140" spans="10:10" x14ac:dyDescent="0.35">
      <c r="J140" s="2"/>
    </row>
    <row r="141" spans="10:10" x14ac:dyDescent="0.35">
      <c r="J141" s="2"/>
    </row>
    <row r="142" spans="10:10" x14ac:dyDescent="0.35">
      <c r="J142" s="2"/>
    </row>
    <row r="143" spans="10:10" x14ac:dyDescent="0.35">
      <c r="J143" s="2"/>
    </row>
    <row r="144" spans="10:10" x14ac:dyDescent="0.35">
      <c r="J144" s="2"/>
    </row>
    <row r="145" spans="10:10" x14ac:dyDescent="0.35">
      <c r="J145" s="2"/>
    </row>
    <row r="146" spans="10:10" x14ac:dyDescent="0.35">
      <c r="J146" s="2"/>
    </row>
    <row r="147" spans="10:10" x14ac:dyDescent="0.35">
      <c r="J147" s="2"/>
    </row>
    <row r="148" spans="10:10" x14ac:dyDescent="0.35">
      <c r="J148" s="2"/>
    </row>
    <row r="149" spans="10:10" x14ac:dyDescent="0.35">
      <c r="J149" s="2"/>
    </row>
    <row r="150" spans="10:10" x14ac:dyDescent="0.35">
      <c r="J150" s="2"/>
    </row>
    <row r="151" spans="10:10" x14ac:dyDescent="0.35">
      <c r="J151" s="2"/>
    </row>
    <row r="152" spans="10:10" x14ac:dyDescent="0.35">
      <c r="J152" s="2"/>
    </row>
    <row r="153" spans="10:10" x14ac:dyDescent="0.35">
      <c r="J153" s="2"/>
    </row>
    <row r="154" spans="10:10" x14ac:dyDescent="0.35">
      <c r="J154" s="2"/>
    </row>
    <row r="155" spans="10:10" x14ac:dyDescent="0.35">
      <c r="J155" s="2"/>
    </row>
    <row r="156" spans="10:10" x14ac:dyDescent="0.35">
      <c r="J156" s="2"/>
    </row>
    <row r="157" spans="10:10" x14ac:dyDescent="0.35">
      <c r="J157" s="2"/>
    </row>
    <row r="158" spans="10:10" x14ac:dyDescent="0.35">
      <c r="J158" s="2"/>
    </row>
    <row r="159" spans="10:10" x14ac:dyDescent="0.35">
      <c r="J159" s="2"/>
    </row>
    <row r="160" spans="10:10" x14ac:dyDescent="0.35">
      <c r="J160" s="2"/>
    </row>
    <row r="161" spans="10:10" x14ac:dyDescent="0.35">
      <c r="J161" s="2"/>
    </row>
    <row r="162" spans="10:10" x14ac:dyDescent="0.35">
      <c r="J162" s="2"/>
    </row>
    <row r="163" spans="10:10" x14ac:dyDescent="0.35">
      <c r="J163" s="2"/>
    </row>
    <row r="164" spans="10:10" x14ac:dyDescent="0.35">
      <c r="J164" s="2"/>
    </row>
    <row r="165" spans="10:10" x14ac:dyDescent="0.35">
      <c r="J165" s="2"/>
    </row>
    <row r="166" spans="10:10" x14ac:dyDescent="0.35">
      <c r="J166" s="2"/>
    </row>
    <row r="167" spans="10:10" x14ac:dyDescent="0.35">
      <c r="J167" s="2"/>
    </row>
    <row r="168" spans="10:10" x14ac:dyDescent="0.35">
      <c r="J168" s="2"/>
    </row>
    <row r="169" spans="10:10" x14ac:dyDescent="0.35">
      <c r="J169" s="2"/>
    </row>
    <row r="170" spans="10:10" x14ac:dyDescent="0.35">
      <c r="J170" s="2"/>
    </row>
    <row r="171" spans="10:10" x14ac:dyDescent="0.35">
      <c r="J171" s="2"/>
    </row>
    <row r="172" spans="10:10" x14ac:dyDescent="0.35">
      <c r="J172" s="2"/>
    </row>
    <row r="173" spans="10:10" x14ac:dyDescent="0.35">
      <c r="J173" s="2"/>
    </row>
    <row r="174" spans="10:10" x14ac:dyDescent="0.35">
      <c r="J174" s="2"/>
    </row>
    <row r="175" spans="10:10" x14ac:dyDescent="0.35">
      <c r="J175" s="2"/>
    </row>
    <row r="176" spans="10:10" x14ac:dyDescent="0.35">
      <c r="J176" s="2"/>
    </row>
    <row r="177" spans="10:10" x14ac:dyDescent="0.35">
      <c r="J177" s="2"/>
    </row>
    <row r="178" spans="10:10" x14ac:dyDescent="0.35">
      <c r="J178" s="2"/>
    </row>
    <row r="179" spans="10:10" x14ac:dyDescent="0.35">
      <c r="J179" s="2"/>
    </row>
    <row r="180" spans="10:10" x14ac:dyDescent="0.35">
      <c r="J180" s="2"/>
    </row>
    <row r="181" spans="10:10" x14ac:dyDescent="0.35">
      <c r="J181" s="2"/>
    </row>
    <row r="182" spans="10:10" x14ac:dyDescent="0.35">
      <c r="J182" s="2"/>
    </row>
    <row r="183" spans="10:10" x14ac:dyDescent="0.35">
      <c r="J183" s="2"/>
    </row>
    <row r="184" spans="10:10" x14ac:dyDescent="0.35">
      <c r="J184" s="2"/>
    </row>
    <row r="185" spans="10:10" x14ac:dyDescent="0.35">
      <c r="J185" s="2"/>
    </row>
    <row r="186" spans="10:10" x14ac:dyDescent="0.35">
      <c r="J186" s="2"/>
    </row>
    <row r="187" spans="10:10" x14ac:dyDescent="0.35">
      <c r="J187" s="2"/>
    </row>
    <row r="188" spans="10:10" x14ac:dyDescent="0.35">
      <c r="J188" s="2"/>
    </row>
    <row r="189" spans="10:10" x14ac:dyDescent="0.35">
      <c r="J189" s="2"/>
    </row>
    <row r="190" spans="10:10" x14ac:dyDescent="0.35">
      <c r="J190" s="2"/>
    </row>
    <row r="191" spans="10:10" x14ac:dyDescent="0.35">
      <c r="J191" s="2"/>
    </row>
    <row r="192" spans="10:10" x14ac:dyDescent="0.35">
      <c r="J192" s="2"/>
    </row>
    <row r="193" spans="10:10" x14ac:dyDescent="0.35">
      <c r="J193" s="2"/>
    </row>
    <row r="194" spans="10:10" x14ac:dyDescent="0.35">
      <c r="J194" s="2"/>
    </row>
    <row r="195" spans="10:10" x14ac:dyDescent="0.35">
      <c r="J195" s="2"/>
    </row>
    <row r="196" spans="10:10" x14ac:dyDescent="0.35">
      <c r="J196" s="2"/>
    </row>
    <row r="197" spans="10:10" x14ac:dyDescent="0.35">
      <c r="J197" s="2"/>
    </row>
    <row r="198" spans="10:10" x14ac:dyDescent="0.35">
      <c r="J198" s="2"/>
    </row>
    <row r="199" spans="10:10" x14ac:dyDescent="0.35">
      <c r="J199" s="2"/>
    </row>
    <row r="200" spans="10:10" x14ac:dyDescent="0.35">
      <c r="J200" s="2"/>
    </row>
    <row r="201" spans="10:10" x14ac:dyDescent="0.35">
      <c r="J201" s="2"/>
    </row>
    <row r="202" spans="10:10" x14ac:dyDescent="0.35">
      <c r="J202" s="2"/>
    </row>
    <row r="203" spans="10:10" x14ac:dyDescent="0.35">
      <c r="J203" s="2"/>
    </row>
    <row r="204" spans="10:10" x14ac:dyDescent="0.35">
      <c r="J204" s="2"/>
    </row>
    <row r="205" spans="10:10" x14ac:dyDescent="0.35">
      <c r="J205" s="2"/>
    </row>
    <row r="206" spans="10:10" x14ac:dyDescent="0.35">
      <c r="J206" s="2"/>
    </row>
    <row r="207" spans="10:10" x14ac:dyDescent="0.35">
      <c r="J207" s="2"/>
    </row>
    <row r="208" spans="10:10" x14ac:dyDescent="0.35">
      <c r="J208" s="2"/>
    </row>
    <row r="209" spans="10:10" x14ac:dyDescent="0.35">
      <c r="J209" s="2"/>
    </row>
    <row r="210" spans="10:10" x14ac:dyDescent="0.35">
      <c r="J210" s="2"/>
    </row>
    <row r="211" spans="10:10" x14ac:dyDescent="0.35">
      <c r="J211" s="2"/>
    </row>
    <row r="212" spans="10:10" x14ac:dyDescent="0.35">
      <c r="J212" s="2"/>
    </row>
    <row r="213" spans="10:10" x14ac:dyDescent="0.35">
      <c r="J213" s="2"/>
    </row>
    <row r="214" spans="10:10" x14ac:dyDescent="0.35">
      <c r="J214" s="2"/>
    </row>
    <row r="215" spans="10:10" x14ac:dyDescent="0.35">
      <c r="J215" s="2"/>
    </row>
    <row r="216" spans="10:10" x14ac:dyDescent="0.35">
      <c r="J216" s="2"/>
    </row>
    <row r="217" spans="10:10" x14ac:dyDescent="0.35">
      <c r="J217" s="2"/>
    </row>
    <row r="218" spans="10:10" x14ac:dyDescent="0.35">
      <c r="J218" s="2"/>
    </row>
    <row r="219" spans="10:10" x14ac:dyDescent="0.35">
      <c r="J219" s="2"/>
    </row>
    <row r="220" spans="10:10" x14ac:dyDescent="0.35">
      <c r="J220" s="2"/>
    </row>
    <row r="221" spans="10:10" x14ac:dyDescent="0.35">
      <c r="J221" s="2"/>
    </row>
    <row r="222" spans="10:10" x14ac:dyDescent="0.35">
      <c r="J222" s="2"/>
    </row>
    <row r="223" spans="10:10" x14ac:dyDescent="0.35">
      <c r="J223" s="2"/>
    </row>
    <row r="224" spans="10:10" x14ac:dyDescent="0.35">
      <c r="J224" s="2"/>
    </row>
    <row r="225" spans="10:10" x14ac:dyDescent="0.35">
      <c r="J225" s="2"/>
    </row>
    <row r="226" spans="10:10" x14ac:dyDescent="0.35">
      <c r="J226" s="2"/>
    </row>
    <row r="227" spans="10:10" x14ac:dyDescent="0.35">
      <c r="J227" s="2"/>
    </row>
    <row r="228" spans="10:10" x14ac:dyDescent="0.35">
      <c r="J228" s="2"/>
    </row>
    <row r="229" spans="10:10" x14ac:dyDescent="0.35">
      <c r="J229" s="2"/>
    </row>
  </sheetData>
  <autoFilter ref="A5:J118" xr:uid="{00000000-0009-0000-0000-000002000000}">
    <sortState xmlns:xlrd2="http://schemas.microsoft.com/office/spreadsheetml/2017/richdata2" ref="A6:J116">
      <sortCondition ref="B5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2:V42"/>
  <sheetViews>
    <sheetView zoomScale="80" zoomScaleNormal="80" workbookViewId="0">
      <selection activeCell="A37" sqref="A37"/>
    </sheetView>
  </sheetViews>
  <sheetFormatPr defaultColWidth="8.6328125" defaultRowHeight="14.5" x14ac:dyDescent="0.35"/>
  <cols>
    <col min="1" max="1" width="10.36328125" style="13" customWidth="1"/>
    <col min="2" max="4" width="8.6328125" style="13"/>
    <col min="5" max="5" width="12.36328125" style="13" customWidth="1"/>
    <col min="6" max="6" width="8.6328125" style="13"/>
    <col min="7" max="7" width="8.6328125" style="13" customWidth="1"/>
    <col min="8" max="16384" width="8.6328125" style="13"/>
  </cols>
  <sheetData>
    <row r="2" spans="1:22" ht="21" x14ac:dyDescent="0.5">
      <c r="A2" s="22" t="s">
        <v>296</v>
      </c>
    </row>
    <row r="3" spans="1:22" ht="14.25" customHeight="1" x14ac:dyDescent="0.5">
      <c r="A3" s="22"/>
    </row>
    <row r="4" spans="1:22" x14ac:dyDescent="0.35">
      <c r="A4" s="14" t="s">
        <v>297</v>
      </c>
    </row>
    <row r="5" spans="1:22" x14ac:dyDescent="0.35">
      <c r="A5" s="14" t="s">
        <v>298</v>
      </c>
    </row>
    <row r="6" spans="1:22" x14ac:dyDescent="0.35">
      <c r="A6" s="20" t="s">
        <v>299</v>
      </c>
    </row>
    <row r="7" spans="1:22" x14ac:dyDescent="0.35">
      <c r="A7" s="21" t="s">
        <v>300</v>
      </c>
    </row>
    <row r="8" spans="1:22" x14ac:dyDescent="0.35">
      <c r="A8" s="14" t="s">
        <v>301</v>
      </c>
    </row>
    <row r="9" spans="1:22" x14ac:dyDescent="0.35">
      <c r="A9" s="14" t="s">
        <v>302</v>
      </c>
      <c r="R9" s="21" t="s">
        <v>303</v>
      </c>
    </row>
    <row r="10" spans="1:22" x14ac:dyDescent="0.35">
      <c r="A10" s="20" t="s">
        <v>304</v>
      </c>
      <c r="V10" s="14"/>
    </row>
    <row r="11" spans="1:22" x14ac:dyDescent="0.35">
      <c r="A11" s="14" t="s">
        <v>305</v>
      </c>
    </row>
    <row r="12" spans="1:22" x14ac:dyDescent="0.35">
      <c r="A12" s="14" t="s">
        <v>306</v>
      </c>
      <c r="S12" s="19"/>
    </row>
    <row r="13" spans="1:22" x14ac:dyDescent="0.35">
      <c r="A13" s="16" t="s">
        <v>307</v>
      </c>
      <c r="S13" s="19"/>
    </row>
    <row r="14" spans="1:22" x14ac:dyDescent="0.35">
      <c r="A14" s="28" t="s">
        <v>308</v>
      </c>
      <c r="S14" s="19"/>
    </row>
    <row r="15" spans="1:22" x14ac:dyDescent="0.35">
      <c r="A15" s="14" t="s">
        <v>309</v>
      </c>
      <c r="S15" s="19"/>
    </row>
    <row r="16" spans="1:22" x14ac:dyDescent="0.35">
      <c r="A16" s="15" t="s">
        <v>310</v>
      </c>
    </row>
    <row r="17" spans="1:22" x14ac:dyDescent="0.35">
      <c r="A17" s="1" t="s">
        <v>311</v>
      </c>
    </row>
    <row r="18" spans="1:22" x14ac:dyDescent="0.35">
      <c r="A18" s="1" t="s">
        <v>312</v>
      </c>
    </row>
    <row r="19" spans="1:22" x14ac:dyDescent="0.35">
      <c r="A19" s="20" t="s">
        <v>313</v>
      </c>
      <c r="S19" s="19"/>
    </row>
    <row r="20" spans="1:22" x14ac:dyDescent="0.35">
      <c r="A20" s="18" t="s">
        <v>314</v>
      </c>
      <c r="R20" s="14" t="s">
        <v>315</v>
      </c>
    </row>
    <row r="21" spans="1:22" x14ac:dyDescent="0.35">
      <c r="A21" s="20" t="s">
        <v>316</v>
      </c>
    </row>
    <row r="22" spans="1:22" x14ac:dyDescent="0.35">
      <c r="A22" s="21" t="s">
        <v>317</v>
      </c>
      <c r="R22" s="14" t="s">
        <v>318</v>
      </c>
    </row>
    <row r="23" spans="1:22" x14ac:dyDescent="0.35">
      <c r="A23" s="21" t="s">
        <v>319</v>
      </c>
    </row>
    <row r="24" spans="1:22" x14ac:dyDescent="0.35">
      <c r="A24" s="14" t="s">
        <v>320</v>
      </c>
      <c r="V24" s="25"/>
    </row>
    <row r="25" spans="1:22" x14ac:dyDescent="0.35">
      <c r="A25" s="23" t="s">
        <v>321</v>
      </c>
    </row>
    <row r="26" spans="1:22" x14ac:dyDescent="0.35">
      <c r="A26" s="21" t="s">
        <v>322</v>
      </c>
    </row>
    <row r="27" spans="1:22" x14ac:dyDescent="0.35">
      <c r="A27" s="14" t="s">
        <v>323</v>
      </c>
      <c r="V27" s="14"/>
    </row>
    <row r="28" spans="1:22" x14ac:dyDescent="0.35">
      <c r="A28" s="14" t="s">
        <v>324</v>
      </c>
    </row>
    <row r="29" spans="1:22" x14ac:dyDescent="0.35">
      <c r="A29" s="20" t="s">
        <v>325</v>
      </c>
    </row>
    <row r="30" spans="1:22" x14ac:dyDescent="0.35">
      <c r="A30" s="20" t="s">
        <v>326</v>
      </c>
    </row>
    <row r="31" spans="1:22" x14ac:dyDescent="0.35">
      <c r="A31" s="20" t="s">
        <v>327</v>
      </c>
    </row>
    <row r="32" spans="1:22" x14ac:dyDescent="0.35">
      <c r="A32" s="20" t="s">
        <v>328</v>
      </c>
    </row>
    <row r="33" spans="1:1" x14ac:dyDescent="0.35">
      <c r="A33" s="20" t="s">
        <v>329</v>
      </c>
    </row>
    <row r="34" spans="1:1" x14ac:dyDescent="0.35">
      <c r="A34" s="20" t="s">
        <v>330</v>
      </c>
    </row>
    <row r="35" spans="1:1" x14ac:dyDescent="0.35">
      <c r="A35" s="26" t="s">
        <v>331</v>
      </c>
    </row>
    <row r="36" spans="1:1" x14ac:dyDescent="0.35">
      <c r="A36" s="14" t="s">
        <v>332</v>
      </c>
    </row>
    <row r="37" spans="1:1" x14ac:dyDescent="0.35">
      <c r="A37" s="24" t="s">
        <v>333</v>
      </c>
    </row>
    <row r="38" spans="1:1" x14ac:dyDescent="0.35">
      <c r="A38" s="14" t="s">
        <v>334</v>
      </c>
    </row>
    <row r="40" spans="1:1" x14ac:dyDescent="0.35">
      <c r="A40" s="20" t="s">
        <v>335</v>
      </c>
    </row>
    <row r="42" spans="1:1" x14ac:dyDescent="0.35">
      <c r="A42" s="27" t="s">
        <v>336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b5f8f8-e964-4ea5-9bc5-5fa83731a9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3BB68AE5C0F4C908E70EB4D1DDDC3" ma:contentTypeVersion="15" ma:contentTypeDescription="Skapa ett nytt dokument." ma:contentTypeScope="" ma:versionID="bc1901b771652496ef02f4cbdf878f9e">
  <xsd:schema xmlns:xsd="http://www.w3.org/2001/XMLSchema" xmlns:xs="http://www.w3.org/2001/XMLSchema" xmlns:p="http://schemas.microsoft.com/office/2006/metadata/properties" xmlns:ns3="31ffec6e-e0c6-46d3-bf16-e7019fdf1f95" xmlns:ns4="20b5f8f8-e964-4ea5-9bc5-5fa83731a92f" targetNamespace="http://schemas.microsoft.com/office/2006/metadata/properties" ma:root="true" ma:fieldsID="6c61e44642a1e9e2aad865b2f0b39e8f" ns3:_="" ns4:_="">
    <xsd:import namespace="31ffec6e-e0c6-46d3-bf16-e7019fdf1f95"/>
    <xsd:import namespace="20b5f8f8-e964-4ea5-9bc5-5fa83731a9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fec6e-e0c6-46d3-bf16-e7019fdf1f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5f8f8-e964-4ea5-9bc5-5fa83731a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ED23C-5EEB-4F10-AA20-79B788D8342E}">
  <ds:schemaRefs>
    <ds:schemaRef ds:uri="http://schemas.microsoft.com/office/2006/metadata/properties"/>
    <ds:schemaRef ds:uri="http://schemas.microsoft.com/office/infopath/2007/PartnerControls"/>
    <ds:schemaRef ds:uri="20b5f8f8-e964-4ea5-9bc5-5fa83731a92f"/>
  </ds:schemaRefs>
</ds:datastoreItem>
</file>

<file path=customXml/itemProps2.xml><?xml version="1.0" encoding="utf-8"?>
<ds:datastoreItem xmlns:ds="http://schemas.openxmlformats.org/officeDocument/2006/customXml" ds:itemID="{A16A6EDB-4C6A-433C-9B54-BF88B9AEEE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BF0A1B-B2BC-4159-BD4C-213AA0853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ffec6e-e0c6-46d3-bf16-e7019fdf1f95"/>
    <ds:schemaRef ds:uri="20b5f8f8-e964-4ea5-9bc5-5fa83731a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8</vt:i4>
      </vt:variant>
      <vt:variant>
        <vt:lpstr>Namngivna områden</vt:lpstr>
      </vt:variant>
      <vt:variant>
        <vt:i4>9</vt:i4>
      </vt:variant>
    </vt:vector>
  </HeadingPairs>
  <TitlesOfParts>
    <vt:vector size="17" baseType="lpstr">
      <vt:lpstr>README</vt:lpstr>
      <vt:lpstr>Diesel</vt:lpstr>
      <vt:lpstr>Argentina</vt:lpstr>
      <vt:lpstr>Pesticides</vt:lpstr>
      <vt:lpstr>Pesticides sources</vt:lpstr>
      <vt:lpstr>Sweden</vt:lpstr>
      <vt:lpstr>Defaults</vt:lpstr>
      <vt:lpstr>Reference list</vt:lpstr>
      <vt:lpstr>Argentina!Crop_codes</vt:lpstr>
      <vt:lpstr>Defaults!Crop_codes</vt:lpstr>
      <vt:lpstr>Sweden!Crop_codes</vt:lpstr>
      <vt:lpstr>Argentina!Crop_data</vt:lpstr>
      <vt:lpstr>Defaults!Crop_data</vt:lpstr>
      <vt:lpstr>Sweden!Crop_data</vt:lpstr>
      <vt:lpstr>Argentina!Crop_data_codes</vt:lpstr>
      <vt:lpstr>Defaults!Crop_data_codes</vt:lpstr>
      <vt:lpstr>Sweden!Crop_data_codes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2025-12-19T20:52:03Z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