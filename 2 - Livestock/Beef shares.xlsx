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2 - Livestock/"/>
    </mc:Choice>
  </mc:AlternateContent>
  <xr:revisionPtr revIDLastSave="166" documentId="8_{5D381839-E526-4E9B-96F9-83776944EEC7}" xr6:coauthVersionLast="47" xr6:coauthVersionMax="47" xr10:uidLastSave="{8C567584-E250-4895-BC07-95842430CFD9}"/>
  <bookViews>
    <workbookView xWindow="-96" yWindow="-96" windowWidth="23232" windowHeight="12552" activeTab="1" xr2:uid="{00000000-000D-0000-FFFF-FFFF00000000}"/>
  </bookViews>
  <sheets>
    <sheet name="README" sheetId="18" r:id="rId1"/>
    <sheet name="Summary" sheetId="34" r:id="rId2"/>
    <sheet name="Calculation" sheetId="29" r:id="rId3"/>
  </sheets>
  <externalReferences>
    <externalReference r:id="rId4"/>
  </externalReferences>
  <definedNames>
    <definedName name="Ability_to_perceive_handling">#REF!</definedName>
    <definedName name="BGBE">#REF!</definedName>
    <definedName name="Boars_per_sow">#REF!</definedName>
    <definedName name="Bonefree_outof_CW_AT">#REF!</definedName>
    <definedName name="Bonefree_outof_CW_BE">#REF!</definedName>
    <definedName name="Bonefree_outof_CW_BG">#REF!</definedName>
    <definedName name="Bonefree_outof_CW_BR">#REF!</definedName>
    <definedName name="Bonefree_outof_CW_CY">#REF!</definedName>
    <definedName name="Bonefree_outof_CW_CZ">#REF!</definedName>
    <definedName name="Bonefree_outof_CW_DE">#REF!</definedName>
    <definedName name="Bonefree_outof_CW_DK">#REF!</definedName>
    <definedName name="Bonefree_outof_CW_EE">#REF!</definedName>
    <definedName name="Bonefree_outof_CW_ES">#REF!</definedName>
    <definedName name="Bonefree_outof_CW_FI">#REF!</definedName>
    <definedName name="Bonefree_outof_CW_FR">#REF!</definedName>
    <definedName name="Bonefree_outof_CW_GB">#REF!</definedName>
    <definedName name="Bonefree_outof_CW_GR">#REF!</definedName>
    <definedName name="Bonefree_outof_CW_HR">#REF!</definedName>
    <definedName name="Bonefree_outof_CW_HU">#REF!</definedName>
    <definedName name="Bonefree_outof_CW_IE">#REF!</definedName>
    <definedName name="Bonefree_outof_CW_IT">#REF!</definedName>
    <definedName name="Bonefree_outof_CW_LT">#REF!</definedName>
    <definedName name="Bonefree_outof_CW_LV">#REF!</definedName>
    <definedName name="Bonefree_outof_CW_MT">#REF!</definedName>
    <definedName name="Bonefree_outof_CW_NL">#REF!</definedName>
    <definedName name="Bonefree_outof_CW_PL">#REF!</definedName>
    <definedName name="Bonefree_outof_CW_PT">#REF!</definedName>
    <definedName name="Bonefree_outof_CW_RO">#REF!</definedName>
    <definedName name="Bonefree_outof_CW_SE">#REF!</definedName>
    <definedName name="Bonefree_outof_CW_SI">#REF!</definedName>
    <definedName name="Bonefree_outof_CW_SK">#REF!</definedName>
    <definedName name="Bonefree_outof_CW_TH">#REF!</definedName>
    <definedName name="Bonefree_outof_CW_US">#REF!</definedName>
    <definedName name="CF_GWP_CH4_fossil">#REF!</definedName>
    <definedName name="CF_GWP_N2O">#REF!</definedName>
    <definedName name="CY">#REF!</definedName>
    <definedName name="EF_ammonia_AT">#REF!</definedName>
    <definedName name="EF_ammonia_BE">#REF!</definedName>
    <definedName name="EF_ammonia_BG">#REF!</definedName>
    <definedName name="EF_ammonia_BR">#REF!</definedName>
    <definedName name="EF_ammonia_CY">#REF!</definedName>
    <definedName name="EF_ammonia_CZ">#REF!</definedName>
    <definedName name="EF_ammonia_DE">#REF!</definedName>
    <definedName name="EF_ammonia_DK">#REF!</definedName>
    <definedName name="EF_ammonia_EE">#REF!</definedName>
    <definedName name="EF_ammonia_ES">#REF!</definedName>
    <definedName name="EF_ammonia_FI">#REF!</definedName>
    <definedName name="EF_ammonia_FR">#REF!</definedName>
    <definedName name="EF_ammonia_GB">#REF!</definedName>
    <definedName name="EF_ammonia_GR">#REF!</definedName>
    <definedName name="EF_ammonia_HR">#REF!</definedName>
    <definedName name="EF_ammonia_HU">#REF!</definedName>
    <definedName name="EF_ammonia_IE">#REF!</definedName>
    <definedName name="EF_ammonia_IT">#REF!</definedName>
    <definedName name="EF_ammonia_LT">#REF!</definedName>
    <definedName name="EF_ammonia_LV">#REF!</definedName>
    <definedName name="EF_ammonia_MT">#REF!</definedName>
    <definedName name="EF_ammonia_NL">#REF!</definedName>
    <definedName name="EF_ammonia_PL">#REF!</definedName>
    <definedName name="EF_ammonia_PT">#REF!</definedName>
    <definedName name="EF_ammonia_RO">#REF!</definedName>
    <definedName name="EF_ammonia_SE">#REF!</definedName>
    <definedName name="EF_ammonia_SI">#REF!</definedName>
    <definedName name="EF_ammonia_SK">#REF!</definedName>
    <definedName name="EF_ammonia_TH">#REF!</definedName>
    <definedName name="EF_ammonia_US">#REF!</definedName>
    <definedName name="EF_biofuel_CH4">#REF!</definedName>
    <definedName name="EF_biofuel_N2O">#REF!</definedName>
    <definedName name="EF_biofuels_CO2">#REF!</definedName>
    <definedName name="EF_CH4_manure_AT">#REF!</definedName>
    <definedName name="EF_CH4_manure_BE">#REF!</definedName>
    <definedName name="EF_CH4_manure_BG">#REF!</definedName>
    <definedName name="EF_CH4_manure_BR">#REF!</definedName>
    <definedName name="EF_CH4_manure_CY">#REF!</definedName>
    <definedName name="EF_CH4_manure_CZ">#REF!</definedName>
    <definedName name="EF_CH4_manure_DE">#REF!</definedName>
    <definedName name="EF_CH4_manure_DK">#REF!</definedName>
    <definedName name="EF_CH4_manure_EE">#REF!</definedName>
    <definedName name="EF_CH4_manure_ES">#REF!</definedName>
    <definedName name="EF_CH4_manure_FI">#REF!</definedName>
    <definedName name="EF_CH4_manure_FR">#REF!</definedName>
    <definedName name="EF_CH4_manure_GB">#REF!</definedName>
    <definedName name="EF_CH4_manure_GR">#REF!</definedName>
    <definedName name="EF_CH4_manure_HR">#REF!</definedName>
    <definedName name="EF_CH4_manure_HU">#REF!</definedName>
    <definedName name="EF_CH4_manure_IE">#REF!</definedName>
    <definedName name="EF_CH4_manure_IT">#REF!</definedName>
    <definedName name="EF_CH4_manure_LT">#REF!</definedName>
    <definedName name="EF_CH4_manure_LV">#REF!</definedName>
    <definedName name="EF_CH4_manure_MT">#REF!</definedName>
    <definedName name="EF_CH4_manure_NL">#REF!</definedName>
    <definedName name="EF_CH4_manure_PL">#REF!</definedName>
    <definedName name="EF_CH4_manure_PT">#REF!</definedName>
    <definedName name="EF_CH4_manure_RO">#REF!</definedName>
    <definedName name="EF_CH4_manure_SE">#REF!</definedName>
    <definedName name="EF_CH4_manure_SI">#REF!</definedName>
    <definedName name="EF_CH4_manure_SK">#REF!</definedName>
    <definedName name="EF_CH4_manure_TH">#REF!</definedName>
    <definedName name="EF_CH4_manure_US">#REF!</definedName>
    <definedName name="EF_el_CH4_AT">#REF!</definedName>
    <definedName name="EF_el_CH4_BE">#REF!</definedName>
    <definedName name="EF_el_CH4_BG">#REF!</definedName>
    <definedName name="EF_el_CH4_BR">#REF!</definedName>
    <definedName name="EF_el_CH4_CY">#REF!</definedName>
    <definedName name="EF_el_CH4_CZ">#REF!</definedName>
    <definedName name="EF_el_CH4_DE">#REF!</definedName>
    <definedName name="EF_el_CH4_DK">#REF!</definedName>
    <definedName name="EF_el_CH4_EE">#REF!</definedName>
    <definedName name="EF_el_CH4_ES">#REF!</definedName>
    <definedName name="EF_el_CH4_FI">#REF!</definedName>
    <definedName name="EF_el_CH4_FR">#REF!</definedName>
    <definedName name="EF_el_CH4_GB">#REF!</definedName>
    <definedName name="EF_el_CH4_GR">#REF!</definedName>
    <definedName name="EF_el_CH4_HR">#REF!</definedName>
    <definedName name="EF_el_CH4_HU">#REF!</definedName>
    <definedName name="EF_el_CH4_IE">#REF!</definedName>
    <definedName name="EF_el_CH4_IT">#REF!</definedName>
    <definedName name="EF_el_CH4_LT">#REF!</definedName>
    <definedName name="EF_el_CH4_LV">#REF!</definedName>
    <definedName name="EF_el_CH4_MT">#REF!</definedName>
    <definedName name="EF_el_CH4_NL">#REF!</definedName>
    <definedName name="EF_el_CH4_PL">#REF!</definedName>
    <definedName name="EF_el_CH4_PT">#REF!</definedName>
    <definedName name="EF_el_CH4_RO">#REF!</definedName>
    <definedName name="EF_el_CH4_SE">#REF!</definedName>
    <definedName name="EF_el_CH4_SI">#REF!</definedName>
    <definedName name="EF_el_CH4_SK">#REF!</definedName>
    <definedName name="EF_el_CH4_TH">#REF!</definedName>
    <definedName name="EF_el_CH4_US">#REF!</definedName>
    <definedName name="EF_el_CO2_AT">#REF!</definedName>
    <definedName name="EF_el_CO2_BE">#REF!</definedName>
    <definedName name="EF_el_CO2_BG">#REF!</definedName>
    <definedName name="EF_el_CO2_BR">#REF!</definedName>
    <definedName name="EF_el_CO2_CY">#REF!</definedName>
    <definedName name="EF_el_CO2_CZ">#REF!</definedName>
    <definedName name="EF_el_CO2_DE">#REF!</definedName>
    <definedName name="EF_el_CO2_DK">#REF!</definedName>
    <definedName name="EF_el_CO2_EE">#REF!</definedName>
    <definedName name="EF_el_CO2_ES">#REF!</definedName>
    <definedName name="EF_el_CO2_FI">#REF!</definedName>
    <definedName name="EF_el_CO2_FR">#REF!</definedName>
    <definedName name="EF_el_CO2_GB">#REF!</definedName>
    <definedName name="EF_el_CO2_GR">#REF!</definedName>
    <definedName name="EF_el_CO2_HR">#REF!</definedName>
    <definedName name="EF_el_CO2_HU">#REF!</definedName>
    <definedName name="EF_el_CO2_IE">#REF!</definedName>
    <definedName name="EF_el_CO2_IT">#REF!</definedName>
    <definedName name="EF_el_CO2_LT">#REF!</definedName>
    <definedName name="EF_el_CO2_LV">#REF!</definedName>
    <definedName name="EF_el_CO2_MT">#REF!</definedName>
    <definedName name="EF_el_CO2_NL">#REF!</definedName>
    <definedName name="EF_el_CO2_PL">#REF!</definedName>
    <definedName name="EF_el_CO2_PT">#REF!</definedName>
    <definedName name="EF_el_CO2_RO">#REF!</definedName>
    <definedName name="EF_el_CO2_SE">#REF!</definedName>
    <definedName name="EF_el_CO2_SI">#REF!</definedName>
    <definedName name="EF_el_CO2_SK">#REF!</definedName>
    <definedName name="EF_el_CO2_TH">#REF!</definedName>
    <definedName name="EF_el_CO2_US">#REF!</definedName>
    <definedName name="EF_el_N2O_AT">#REF!</definedName>
    <definedName name="EF_el_N2O_BE">#REF!</definedName>
    <definedName name="EF_el_N2O_BG">#REF!</definedName>
    <definedName name="EF_el_N2O_BR">#REF!</definedName>
    <definedName name="EF_el_N2O_CY">#REF!</definedName>
    <definedName name="EF_el_N2O_CZ">#REF!</definedName>
    <definedName name="EF_el_N2O_DE">#REF!</definedName>
    <definedName name="EF_el_N2O_DK">#REF!</definedName>
    <definedName name="EF_el_N2O_EE">#REF!</definedName>
    <definedName name="EF_el_N2O_ES">#REF!</definedName>
    <definedName name="EF_el_N2O_FI">#REF!</definedName>
    <definedName name="EF_el_N2O_FR">#REF!</definedName>
    <definedName name="EF_el_N2O_GB">#REF!</definedName>
    <definedName name="EF_el_N2O_GR">#REF!</definedName>
    <definedName name="EF_el_N2O_HR">#REF!</definedName>
    <definedName name="EF_el_N2O_HU">#REF!</definedName>
    <definedName name="EF_el_N2O_IE">#REF!</definedName>
    <definedName name="EF_el_N2O_IT">#REF!</definedName>
    <definedName name="EF_el_N2O_LT">#REF!</definedName>
    <definedName name="EF_el_N2O_LV">#REF!</definedName>
    <definedName name="EF_el_N2O_MT">#REF!</definedName>
    <definedName name="EF_el_N2O_NL">#REF!</definedName>
    <definedName name="EF_el_N2O_PL">#REF!</definedName>
    <definedName name="EF_el_N2O_PT">#REF!</definedName>
    <definedName name="EF_el_N2O_RO">#REF!</definedName>
    <definedName name="EF_el_N2O_SE">#REF!</definedName>
    <definedName name="EF_el_N2O_SI">#REF!</definedName>
    <definedName name="EF_el_N2O_SK">#REF!</definedName>
    <definedName name="EF_el_N2O_TH">#REF!</definedName>
    <definedName name="EF_el_N2O_US">#REF!</definedName>
    <definedName name="EF_electricity">#REF!</definedName>
    <definedName name="EF_ent_ferm_AT">#REF!</definedName>
    <definedName name="EF_ent_ferm_BE">#REF!</definedName>
    <definedName name="EF_ent_ferm_BG">#REF!</definedName>
    <definedName name="EF_ent_ferm_BR">#REF!</definedName>
    <definedName name="EF_ent_ferm_CY">#REF!</definedName>
    <definedName name="EF_ent_ferm_CZ">#REF!</definedName>
    <definedName name="EF_ent_ferm_DE">#REF!</definedName>
    <definedName name="EF_ent_ferm_DK">#REF!</definedName>
    <definedName name="EF_ent_ferm_EE">#REF!</definedName>
    <definedName name="EF_ent_ferm_ES">#REF!</definedName>
    <definedName name="EF_ent_ferm_FI">#REF!</definedName>
    <definedName name="EF_ent_ferm_FR">#REF!</definedName>
    <definedName name="EF_ent_ferm_GB">#REF!</definedName>
    <definedName name="EF_ent_ferm_GR">#REF!</definedName>
    <definedName name="EF_ent_ferm_HR">#REF!</definedName>
    <definedName name="EF_ent_ferm_HU">#REF!</definedName>
    <definedName name="EF_ent_ferm_IE">#REF!</definedName>
    <definedName name="EF_ent_ferm_IT">#REF!</definedName>
    <definedName name="EF_ent_ferm_LT">#REF!</definedName>
    <definedName name="EF_ent_ferm_LV">#REF!</definedName>
    <definedName name="EF_ent_ferm_MT">#REF!</definedName>
    <definedName name="EF_ent_ferm_NL">#REF!</definedName>
    <definedName name="EF_ent_ferm_PL">#REF!</definedName>
    <definedName name="EF_ent_ferm_PT">#REF!</definedName>
    <definedName name="EF_ent_ferm_RO">#REF!</definedName>
    <definedName name="EF_ent_ferm_SE">#REF!</definedName>
    <definedName name="EF_ent_ferm_SI">#REF!</definedName>
    <definedName name="EF_ent_ferm_SK">#REF!</definedName>
    <definedName name="EF_ent_ferm_TH">#REF!</definedName>
    <definedName name="EF_ent_ferm_US">#REF!</definedName>
    <definedName name="EF_GWP_CH4_biog">#REF!</definedName>
    <definedName name="EF_indirect_N2O_AT">#REF!</definedName>
    <definedName name="EF_indirect_N2O_BE">#REF!</definedName>
    <definedName name="EF_indirect_N2O_BG">#REF!</definedName>
    <definedName name="EF_indirect_N2O_BR">#REF!</definedName>
    <definedName name="EF_indirect_N2O_CY">#REF!</definedName>
    <definedName name="EF_indirect_N2O_CZ">#REF!</definedName>
    <definedName name="EF_indirect_N2O_DE">#REF!</definedName>
    <definedName name="EF_indirect_N2O_DK">#REF!</definedName>
    <definedName name="EF_indirect_N2O_EE">#REF!</definedName>
    <definedName name="EF_indirect_N2O_ES">#REF!</definedName>
    <definedName name="EF_indirect_N2O_FI">#REF!</definedName>
    <definedName name="EF_indirect_N2O_FR">#REF!</definedName>
    <definedName name="EF_indirect_N2O_GB">#REF!</definedName>
    <definedName name="EF_indirect_N2O_GR">#REF!</definedName>
    <definedName name="EF_indirect_N2O_HR">#REF!</definedName>
    <definedName name="EF_indirect_N2O_HU">#REF!</definedName>
    <definedName name="EF_indirect_N2O_IE">#REF!</definedName>
    <definedName name="EF_indirect_N2O_IT">#REF!</definedName>
    <definedName name="EF_indirect_N2O_LT">#REF!</definedName>
    <definedName name="EF_indirect_N2O_LV">#REF!</definedName>
    <definedName name="EF_indirect_N2O_MT">#REF!</definedName>
    <definedName name="EF_indirect_N2O_NL">#REF!</definedName>
    <definedName name="EF_indirect_N2O_PL">#REF!</definedName>
    <definedName name="EF_indirect_N2O_PT">#REF!</definedName>
    <definedName name="EF_indirect_N2O_RO">#REF!</definedName>
    <definedName name="EF_indirect_N2O_SE">#REF!</definedName>
    <definedName name="EF_indirect_N2O_SI">#REF!</definedName>
    <definedName name="EF_indirect_N2O_SK">#REF!</definedName>
    <definedName name="EF_indirect_N2O_TH">#REF!</definedName>
    <definedName name="EF_indirect_N2O_US">#REF!</definedName>
    <definedName name="EF_min_fert_AN_CH4">#REF!</definedName>
    <definedName name="EF_min_fert_AN_CO2">#REF!</definedName>
    <definedName name="EF_min_fert_AN_N2O">#REF!</definedName>
    <definedName name="EF_min_fert_BAT_CH4">#REF!</definedName>
    <definedName name="EF_min_fert_BAT_CO2">#REF!</definedName>
    <definedName name="EF_min_fert_BAT_N2O">#REF!</definedName>
    <definedName name="EF_N2O_diff_AT">#REF!</definedName>
    <definedName name="EF_N2O_diff_BE">#REF!</definedName>
    <definedName name="EF_N2O_diff_BG">#REF!</definedName>
    <definedName name="EF_N2O_diff_BR">#REF!</definedName>
    <definedName name="EF_N2O_diff_CY">#REF!</definedName>
    <definedName name="EF_N2O_diff_CZ">#REF!</definedName>
    <definedName name="EF_N2O_diff_DE">#REF!</definedName>
    <definedName name="EF_N2O_diff_DK">#REF!</definedName>
    <definedName name="EF_N2O_diff_EE">#REF!</definedName>
    <definedName name="EF_N2O_diff_ES">#REF!</definedName>
    <definedName name="EF_N2O_diff_FI">#REF!</definedName>
    <definedName name="EF_N2O_diff_FR">#REF!</definedName>
    <definedName name="EF_N2O_diff_GB">#REF!</definedName>
    <definedName name="EF_N2O_diff_GR">#REF!</definedName>
    <definedName name="EF_N2O_diff_HR">#REF!</definedName>
    <definedName name="EF_N2O_diff_HU">#REF!</definedName>
    <definedName name="EF_N2O_diff_IE">#REF!</definedName>
    <definedName name="EF_N2O_diff_IT">#REF!</definedName>
    <definedName name="EF_N2O_diff_LT">#REF!</definedName>
    <definedName name="EF_N2O_diff_LV">#REF!</definedName>
    <definedName name="EF_N2O_diff_MT">#REF!</definedName>
    <definedName name="EF_N2O_diff_NL">#REF!</definedName>
    <definedName name="EF_N2O_diff_PL">#REF!</definedName>
    <definedName name="EF_N2O_diff_PT">#REF!</definedName>
    <definedName name="EF_N2O_diff_RO">#REF!</definedName>
    <definedName name="EF_N2O_diff_SE">#REF!</definedName>
    <definedName name="EF_N2O_diff_SI">#REF!</definedName>
    <definedName name="EF_N2O_diff_SK">#REF!</definedName>
    <definedName name="EF_N2O_diff_TH">#REF!</definedName>
    <definedName name="EF_N2O_diff_US">#REF!</definedName>
    <definedName name="EF_N2O_manure_direct_AT">#REF!</definedName>
    <definedName name="EF_N2O_manure_direct_BE">#REF!</definedName>
    <definedName name="EF_N2O_manure_direct_BG">#REF!</definedName>
    <definedName name="EF_N2O_manure_direct_BR">#REF!</definedName>
    <definedName name="EF_N2O_manure_direct_CY">#REF!</definedName>
    <definedName name="EF_N2O_manure_direct_CZ">#REF!</definedName>
    <definedName name="EF_N2O_manure_direct_DE">#REF!</definedName>
    <definedName name="EF_N2O_manure_direct_DK">#REF!</definedName>
    <definedName name="EF_N2O_manure_direct_EE">#REF!</definedName>
    <definedName name="EF_N2O_manure_direct_ES">#REF!</definedName>
    <definedName name="EF_N2O_manure_direct_FI">#REF!</definedName>
    <definedName name="EF_N2O_manure_direct_FR">#REF!</definedName>
    <definedName name="EF_N2O_manure_direct_GB">#REF!</definedName>
    <definedName name="EF_N2O_manure_direct_GR">#REF!</definedName>
    <definedName name="EF_N2O_manure_direct_HR">#REF!</definedName>
    <definedName name="EF_N2O_manure_direct_HU">#REF!</definedName>
    <definedName name="EF_N2O_manure_direct_IE">#REF!</definedName>
    <definedName name="EF_N2O_manure_direct_IT">#REF!</definedName>
    <definedName name="EF_N2O_manure_direct_LT">#REF!</definedName>
    <definedName name="EF_N2O_manure_direct_LV">#REF!</definedName>
    <definedName name="EF_N2O_manure_direct_MT">#REF!</definedName>
    <definedName name="EF_N2O_manure_direct_NL">#REF!</definedName>
    <definedName name="EF_N2O_manure_direct_PL">#REF!</definedName>
    <definedName name="EF_N2O_manure_direct_PT">#REF!</definedName>
    <definedName name="EF_N2O_manure_direct_RO">#REF!</definedName>
    <definedName name="EF_N2O_manure_direct_SE">#REF!</definedName>
    <definedName name="EF_N2O_manure_direct_SI">#REF!</definedName>
    <definedName name="EF_N2O_manure_direct_SK">#REF!</definedName>
    <definedName name="EF_N2O_manure_direct_TH">#REF!</definedName>
    <definedName name="EF_N2O_manure_direct_US">#REF!</definedName>
    <definedName name="EF_oil_CH4">#REF!</definedName>
    <definedName name="EF_oil_CO2">#REF!</definedName>
    <definedName name="EF_oil_N2O">#REF!</definedName>
    <definedName name="Energy_slaughter_el_AT">#REF!</definedName>
    <definedName name="Energy_slaughter_el_BE">#REF!</definedName>
    <definedName name="Energy_slaughter_el_BG">#REF!</definedName>
    <definedName name="Energy_slaughter_el_BR">#REF!</definedName>
    <definedName name="Energy_slaughter_el_CY">#REF!</definedName>
    <definedName name="Energy_slaughter_el_CZ">#REF!</definedName>
    <definedName name="Energy_slaughter_el_DE">#REF!</definedName>
    <definedName name="Energy_slaughter_el_DK">#REF!</definedName>
    <definedName name="Energy_slaughter_el_EE">#REF!</definedName>
    <definedName name="Energy_slaughter_el_ES">#REF!</definedName>
    <definedName name="Energy_slaughter_el_FI">#REF!</definedName>
    <definedName name="Energy_slaughter_el_FR">#REF!</definedName>
    <definedName name="Energy_slaughter_el_GB">#REF!</definedName>
    <definedName name="Energy_slaughter_el_GR">#REF!</definedName>
    <definedName name="Energy_slaughter_el_HR">#REF!</definedName>
    <definedName name="Energy_slaughter_el_HU">#REF!</definedName>
    <definedName name="Energy_slaughter_el_IE">#REF!</definedName>
    <definedName name="Energy_slaughter_el_IT">#REF!</definedName>
    <definedName name="Energy_slaughter_el_LT">#REF!</definedName>
    <definedName name="Energy_slaughter_el_LV">#REF!</definedName>
    <definedName name="Energy_slaughter_el_MT">#REF!</definedName>
    <definedName name="Energy_slaughter_el_NL">#REF!</definedName>
    <definedName name="Energy_slaughter_el_PL">#REF!</definedName>
    <definedName name="Energy_slaughter_el_PT">#REF!</definedName>
    <definedName name="Energy_slaughter_el_RO">#REF!</definedName>
    <definedName name="Energy_slaughter_el_SE">#REF!</definedName>
    <definedName name="Energy_slaughter_el_SI">#REF!</definedName>
    <definedName name="Energy_slaughter_el_SK">#REF!</definedName>
    <definedName name="Energy_slaughter_el_TH">#REF!</definedName>
    <definedName name="Energy_slaughter_el_US">#REF!</definedName>
    <definedName name="Energy_slaughter_oil_AT">#REF!</definedName>
    <definedName name="Energy_slaughter_oil_BE">#REF!</definedName>
    <definedName name="Energy_slaughter_oil_BG">#REF!</definedName>
    <definedName name="Energy_slaughter_oil_BR">#REF!</definedName>
    <definedName name="Energy_slaughter_oil_CY">#REF!</definedName>
    <definedName name="Energy_slaughter_oil_CZ">#REF!</definedName>
    <definedName name="Energy_slaughter_oil_DE">#REF!</definedName>
    <definedName name="Energy_slaughter_oil_DK">#REF!</definedName>
    <definedName name="Energy_slaughter_oil_EE">#REF!</definedName>
    <definedName name="Energy_slaughter_oil_ES">#REF!</definedName>
    <definedName name="Energy_slaughter_oil_FI">#REF!</definedName>
    <definedName name="Energy_slaughter_oil_FR">#REF!</definedName>
    <definedName name="Energy_slaughter_oil_GB">#REF!</definedName>
    <definedName name="Energy_slaughter_oil_GR">#REF!</definedName>
    <definedName name="Energy_slaughter_oil_HR">#REF!</definedName>
    <definedName name="Energy_slaughter_oil_HU">#REF!</definedName>
    <definedName name="Energy_slaughter_oil_IE">#REF!</definedName>
    <definedName name="Energy_slaughter_oil_IT">#REF!</definedName>
    <definedName name="Energy_slaughter_oil_LT">#REF!</definedName>
    <definedName name="Energy_slaughter_oil_LV">#REF!</definedName>
    <definedName name="Energy_slaughter_oil_MT">#REF!</definedName>
    <definedName name="Energy_slaughter_oil_NL">#REF!</definedName>
    <definedName name="Energy_slaughter_oil_PL">#REF!</definedName>
    <definedName name="Energy_slaughter_oil_PT">#REF!</definedName>
    <definedName name="Energy_slaughter_oil_RO">#REF!</definedName>
    <definedName name="Energy_slaughter_oil_SE">#REF!</definedName>
    <definedName name="Energy_slaughter_oil_SI">#REF!</definedName>
    <definedName name="Energy_slaughter_oil_SK">#REF!</definedName>
    <definedName name="Energy_slaughter_oil_TH">#REF!</definedName>
    <definedName name="Energy_slaughter_oil_US">#REF!</definedName>
    <definedName name="Energy_stables_AT">#REF!</definedName>
    <definedName name="Energy_stables_BE">#REF!</definedName>
    <definedName name="Energy_stables_BG">#REF!</definedName>
    <definedName name="Energy_stables_BR">#REF!</definedName>
    <definedName name="Energy_stables_CY">#REF!</definedName>
    <definedName name="Energy_stables_CZ">#REF!</definedName>
    <definedName name="Energy_stables_DE">#REF!</definedName>
    <definedName name="Energy_stables_DK">#REF!</definedName>
    <definedName name="Energy_stables_EE">#REF!</definedName>
    <definedName name="Energy_stables_ES">#REF!</definedName>
    <definedName name="Energy_stables_FI">#REF!</definedName>
    <definedName name="Energy_stables_FR">#REF!</definedName>
    <definedName name="Energy_stables_GB">#REF!</definedName>
    <definedName name="Energy_stables_GR">#REF!</definedName>
    <definedName name="Energy_stables_HR">#REF!</definedName>
    <definedName name="Energy_stables_HU">#REF!</definedName>
    <definedName name="Energy_stables_IE">#REF!</definedName>
    <definedName name="Energy_stables_IT">#REF!</definedName>
    <definedName name="Energy_stables_LT">#REF!</definedName>
    <definedName name="Energy_stables_LV">#REF!</definedName>
    <definedName name="Energy_stables_MT">#REF!</definedName>
    <definedName name="Energy_stables_NL">#REF!</definedName>
    <definedName name="Energy_stables_PL">#REF!</definedName>
    <definedName name="Energy_stables_PT">#REF!</definedName>
    <definedName name="Energy_stables_RO">#REF!</definedName>
    <definedName name="Energy_stables_SE">#REF!</definedName>
    <definedName name="Energy_stables_SI">#REF!</definedName>
    <definedName name="Energy_stables_SK">#REF!</definedName>
    <definedName name="Energy_stables_TH">#REF!</definedName>
    <definedName name="Energy_stables_US">#REF!</definedName>
    <definedName name="Excreted_N_after_losses_DE">#REF!</definedName>
    <definedName name="Excreted_N_after_losses_DK">#REF!</definedName>
    <definedName name="Excreted_N_after_losses_ES">#REF!</definedName>
    <definedName name="Excreted_N_after_losses_FR">#REF!</definedName>
    <definedName name="Excreted_N_after_losses_GB">[1]Manure!$X$153</definedName>
    <definedName name="Excreted_N_after_losses_GR">#REF!</definedName>
    <definedName name="Excreted_N_after_losses_HU">#REF!</definedName>
    <definedName name="Excreted_N_after_losses_IE">#REF!</definedName>
    <definedName name="Excreted_N_after_losses_IT">#REF!</definedName>
    <definedName name="Excreted_N_after_losses_NL">#REF!</definedName>
    <definedName name="Excreted_N_after_losses_PL">#REF!</definedName>
    <definedName name="Excreted_N_after_losses_SE">#REF!</definedName>
    <definedName name="FCR_bonefree_incl_parents_AT">#REF!</definedName>
    <definedName name="FCR_bonefree_incl_parents_BE">#REF!</definedName>
    <definedName name="FCR_bonefree_incl_parents_BG">#REF!</definedName>
    <definedName name="FCR_bonefree_incl_parents_BR">#REF!</definedName>
    <definedName name="FCR_bonefree_incl_parents_CY">#REF!</definedName>
    <definedName name="FCR_bonefree_incl_parents_CZ">#REF!</definedName>
    <definedName name="FCR_bonefree_incl_parents_DE">#REF!</definedName>
    <definedName name="FCR_bonefree_incl_parents_DK">#REF!</definedName>
    <definedName name="FCR_bonefree_incl_parents_EE">#REF!</definedName>
    <definedName name="FCR_bonefree_incl_parents_ES">#REF!</definedName>
    <definedName name="FCR_bonefree_incl_parents_FI">#REF!</definedName>
    <definedName name="FCR_bonefree_incl_parents_FR">#REF!</definedName>
    <definedName name="FCR_bonefree_incl_parents_GB">#REF!</definedName>
    <definedName name="FCR_bonefree_incl_parents_GR">#REF!</definedName>
    <definedName name="FCR_bonefree_incl_parents_HR">#REF!</definedName>
    <definedName name="FCR_bonefree_incl_parents_HU">#REF!</definedName>
    <definedName name="FCR_bonefree_incl_parents_IE">#REF!</definedName>
    <definedName name="FCR_bonefree_incl_parents_IT">#REF!</definedName>
    <definedName name="FCR_bonefree_incl_parents_LT">#REF!</definedName>
    <definedName name="FCR_bonefree_incl_parents_LV">#REF!</definedName>
    <definedName name="FCR_bonefree_incl_parents_MT">#REF!</definedName>
    <definedName name="FCR_bonefree_incl_parents_NL">#REF!</definedName>
    <definedName name="FCR_bonefree_incl_parents_PL">#REF!</definedName>
    <definedName name="FCR_bonefree_incl_parents_PT">#REF!</definedName>
    <definedName name="FCR_bonefree_incl_parents_RO">#REF!</definedName>
    <definedName name="FCR_bonefree_incl_parents_SE">#REF!</definedName>
    <definedName name="FCR_bonefree_incl_parents_SI">#REF!</definedName>
    <definedName name="FCR_bonefree_incl_parents_SK">#REF!</definedName>
    <definedName name="FCR_bonefree_incl_parents_TH">#REF!</definedName>
    <definedName name="FCR_bonefree_incl_parents_US">#REF!</definedName>
    <definedName name="Frac_AN_AT">#REF!</definedName>
    <definedName name="Frac_AN_BE">#REF!</definedName>
    <definedName name="Frac_AN_BG">#REF!</definedName>
    <definedName name="Frac_AN_BR">#REF!</definedName>
    <definedName name="Frac_AN_CY">#REF!</definedName>
    <definedName name="Frac_AN_CZ">#REF!</definedName>
    <definedName name="Frac_AN_DE">#REF!</definedName>
    <definedName name="Frac_AN_DK">#REF!</definedName>
    <definedName name="Frac_AN_EE">#REF!</definedName>
    <definedName name="Frac_AN_ES">#REF!</definedName>
    <definedName name="Frac_AN_FI">#REF!</definedName>
    <definedName name="Frac_AN_FR">#REF!</definedName>
    <definedName name="Frac_AN_GB">#REF!</definedName>
    <definedName name="Frac_AN_GR">#REF!</definedName>
    <definedName name="Frac_AN_HR">#REF!</definedName>
    <definedName name="Frac_AN_HU">#REF!</definedName>
    <definedName name="Frac_AN_IE">#REF!</definedName>
    <definedName name="Frac_AN_IT">#REF!</definedName>
    <definedName name="Frac_AN_LT">#REF!</definedName>
    <definedName name="Frac_AN_LV">#REF!</definedName>
    <definedName name="Frac_AN_MT">#REF!</definedName>
    <definedName name="Frac_AN_NL">#REF!</definedName>
    <definedName name="Frac_AN_PL">#REF!</definedName>
    <definedName name="Frac_AN_PT">#REF!</definedName>
    <definedName name="Frac_AN_RO">#REF!</definedName>
    <definedName name="Frac_AN_SE">#REF!</definedName>
    <definedName name="Frac_AN_SI">#REF!</definedName>
    <definedName name="Frac_AN_SK">#REF!</definedName>
    <definedName name="Frac_AN_TH">#REF!</definedName>
    <definedName name="Frac_AN_US">#REF!</definedName>
    <definedName name="Frac_BAT_AT">#REF!</definedName>
    <definedName name="Frac_BAT_BE">#REF!</definedName>
    <definedName name="Frac_BAT_BG">#REF!</definedName>
    <definedName name="Frac_BAT_BR">#REF!</definedName>
    <definedName name="Frac_BAT_CY">#REF!</definedName>
    <definedName name="Frac_BAT_CZ">#REF!</definedName>
    <definedName name="Frac_BAT_DE">#REF!</definedName>
    <definedName name="Frac_BAT_DK">#REF!</definedName>
    <definedName name="Frac_BAT_EE">#REF!</definedName>
    <definedName name="Frac_BAT_ES">#REF!</definedName>
    <definedName name="Frac_BAT_FI">#REF!</definedName>
    <definedName name="Frac_BAT_FR">#REF!</definedName>
    <definedName name="Frac_BAT_GB">#REF!</definedName>
    <definedName name="Frac_BAT_GR">#REF!</definedName>
    <definedName name="Frac_BAT_HR">#REF!</definedName>
    <definedName name="Frac_BAT_HU">#REF!</definedName>
    <definedName name="Frac_BAT_IE">#REF!</definedName>
    <definedName name="Frac_BAT_IT">#REF!</definedName>
    <definedName name="Frac_BAT_LT">#REF!</definedName>
    <definedName name="Frac_BAT_LV">#REF!</definedName>
    <definedName name="Frac_BAT_MT">#REF!</definedName>
    <definedName name="Frac_BAT_NL">#REF!</definedName>
    <definedName name="Frac_BAT_PL">#REF!</definedName>
    <definedName name="Frac_BAT_PT">#REF!</definedName>
    <definedName name="Frac_BAT_RO">#REF!</definedName>
    <definedName name="Frac_BAT_SE">#REF!</definedName>
    <definedName name="Frac_BAT_SI">#REF!</definedName>
    <definedName name="Frac_BAT_SK">#REF!</definedName>
    <definedName name="Frac_BAT_TH">#REF!</definedName>
    <definedName name="Frac_BAT_US">#REF!</definedName>
    <definedName name="GBughter_el_AT">#REF!</definedName>
    <definedName name="GRAT">#REF!</definedName>
    <definedName name="Manure_repl_factor_AT">#REF!</definedName>
    <definedName name="Manure_repl_factor_BE">#REF!</definedName>
    <definedName name="Manure_repl_factor_BG">#REF!</definedName>
    <definedName name="Manure_repl_factor_BR">#REF!</definedName>
    <definedName name="Manure_repl_factor_CY">#REF!</definedName>
    <definedName name="Manure_repl_factor_CZ">#REF!</definedName>
    <definedName name="Manure_repl_factor_DE">#REF!</definedName>
    <definedName name="Manure_repl_factor_DK">#REF!</definedName>
    <definedName name="Manure_repl_factor_EE">#REF!</definedName>
    <definedName name="Manure_repl_factor_ES">#REF!</definedName>
    <definedName name="Manure_repl_factor_FI">#REF!</definedName>
    <definedName name="Manure_repl_factor_FR">#REF!</definedName>
    <definedName name="Manure_repl_factor_GB">#REF!</definedName>
    <definedName name="Manure_repl_factor_GR">#REF!</definedName>
    <definedName name="Manure_repl_factor_HR">#REF!</definedName>
    <definedName name="Manure_repl_factor_HU">#REF!</definedName>
    <definedName name="Manure_repl_factor_IE">#REF!</definedName>
    <definedName name="Manure_repl_factor_IT">#REF!</definedName>
    <definedName name="Manure_repl_factor_LT">#REF!</definedName>
    <definedName name="Manure_repl_factor_LV">#REF!</definedName>
    <definedName name="Manure_repl_factor_MT">#REF!</definedName>
    <definedName name="Manure_repl_factor_NL">#REF!</definedName>
    <definedName name="Manure_repl_factor_PL">#REF!</definedName>
    <definedName name="Manure_repl_factor_PT">#REF!</definedName>
    <definedName name="Manure_repl_factor_RO">#REF!</definedName>
    <definedName name="Manure_repl_factor_SE">#REF!</definedName>
    <definedName name="Manure_repl_factor_SI">#REF!</definedName>
    <definedName name="Manure_repl_factor_SK">#REF!</definedName>
    <definedName name="Manure_repl_factor_TH">#REF!</definedName>
    <definedName name="Manure_repl_factor_US">#REF!</definedName>
    <definedName name="Meat_yield">#REF!</definedName>
    <definedName name="NH3_per_kg_DE">#REF!</definedName>
    <definedName name="NH3_per_kg_DK">#REF!</definedName>
    <definedName name="NH3_per_kg_ES">#REF!</definedName>
    <definedName name="NH3_per_kg_FR">#REF!</definedName>
    <definedName name="NH3_per_kg_GR">#REF!</definedName>
    <definedName name="NH3_per_kg_HU">#REF!</definedName>
    <definedName name="NH3_per_kg_IE">#REF!</definedName>
    <definedName name="NH3_per_kg_IT">#REF!</definedName>
    <definedName name="NH3_per_kg_NL">#REF!</definedName>
    <definedName name="NH3_per_kg_PL">#REF!</definedName>
    <definedName name="NH3_per_kg_SE">#REF!</definedName>
    <definedName name="No_boars_DE">#REF!</definedName>
    <definedName name="No_boars_DK">#REF!</definedName>
    <definedName name="No_boars_ES">#REF!</definedName>
    <definedName name="No_boars_FR">#REF!</definedName>
    <definedName name="No_boars_GR">#REF!</definedName>
    <definedName name="No_boars_HU">#REF!</definedName>
    <definedName name="No_boars_IE">#REF!</definedName>
    <definedName name="No_boars_IT">#REF!</definedName>
    <definedName name="No_boars_NL">#REF!</definedName>
    <definedName name="No_boars_PL">#REF!</definedName>
    <definedName name="No_boars_SE">#REF!</definedName>
    <definedName name="No_fattening_pigs_DE">#REF!</definedName>
    <definedName name="No_fattening_pigs_DK">#REF!</definedName>
    <definedName name="No_fattening_pigs_ES">#REF!</definedName>
    <definedName name="No_fattening_pigs_FR">#REF!</definedName>
    <definedName name="No_fattening_pigs_GR">#REF!</definedName>
    <definedName name="No_fattening_pigs_HU">#REF!</definedName>
    <definedName name="No_fattening_pigs_IE">#REF!</definedName>
    <definedName name="No_fattening_pigs_IT">#REF!</definedName>
    <definedName name="No_fattening_pigs_NL">#REF!</definedName>
    <definedName name="No_fattening_pigs_PL">#REF!</definedName>
    <definedName name="No_fattening_pigs_SE">#REF!</definedName>
    <definedName name="No_piglets_DE">#REF!</definedName>
    <definedName name="No_piglets_DK">#REF!</definedName>
    <definedName name="No_piglets_ES">#REF!</definedName>
    <definedName name="No_piglets_FR">#REF!</definedName>
    <definedName name="No_piglets_GR">#REF!</definedName>
    <definedName name="No_piglets_HU">#REF!</definedName>
    <definedName name="No_piglets_IE">#REF!</definedName>
    <definedName name="No_piglets_IT">#REF!</definedName>
    <definedName name="No_piglets_NL">#REF!</definedName>
    <definedName name="No_piglets_PL">#REF!</definedName>
    <definedName name="No_piglets_SE">#REF!</definedName>
    <definedName name="No_recruit_sows_DE">#REF!</definedName>
    <definedName name="No_recruit_sows_DK">#REF!</definedName>
    <definedName name="No_recruit_sows_ES">#REF!</definedName>
    <definedName name="No_recruit_sows_FR">#REF!</definedName>
    <definedName name="No_recruit_sows_GR">#REF!</definedName>
    <definedName name="No_recruit_sows_HU">#REF!</definedName>
    <definedName name="No_recruit_sows_IE">#REF!</definedName>
    <definedName name="No_recruit_sows_IT">#REF!</definedName>
    <definedName name="No_recruit_sows_NL">#REF!</definedName>
    <definedName name="No_recruit_sows_PL">#REF!</definedName>
    <definedName name="No_recruit_sows_SE">#REF!</definedName>
    <definedName name="No_sows_DE">#REF!</definedName>
    <definedName name="No_sows_DK">#REF!</definedName>
    <definedName name="No_sows_ES">#REF!</definedName>
    <definedName name="No_sows_FR">#REF!</definedName>
    <definedName name="No_sows_GR">#REF!</definedName>
    <definedName name="No_sows_HU">#REF!</definedName>
    <definedName name="No_sows_IE">#REF!</definedName>
    <definedName name="No_sows_IT">#REF!</definedName>
    <definedName name="No_sows_NL">#REF!</definedName>
    <definedName name="No_sows_PL">#REF!</definedName>
    <definedName name="No_sows_SE">#REF!</definedName>
    <definedName name="Share_biofuels_AT">#REF!</definedName>
    <definedName name="Share_biofuels_BE">#REF!</definedName>
    <definedName name="Share_biofuels_BG">#REF!</definedName>
    <definedName name="Share_biofuels_BR">#REF!</definedName>
    <definedName name="Share_biofuels_CY">#REF!</definedName>
    <definedName name="Share_biofuels_CZ">#REF!</definedName>
    <definedName name="Share_biofuels_DE">#REF!</definedName>
    <definedName name="Share_biofuels_DK">#REF!</definedName>
    <definedName name="Share_biofuels_EE">#REF!</definedName>
    <definedName name="Share_biofuels_ES">#REF!</definedName>
    <definedName name="Share_biofuels_FI">#REF!</definedName>
    <definedName name="Share_biofuels_FR">#REF!</definedName>
    <definedName name="Share_biofuels_GB">#REF!</definedName>
    <definedName name="Share_biofuels_GR">#REF!</definedName>
    <definedName name="Share_biofuels_HR">#REF!</definedName>
    <definedName name="Share_biofuels_HU">#REF!</definedName>
    <definedName name="Share_biofuels_IE">#REF!</definedName>
    <definedName name="Share_biofuels_IT">#REF!</definedName>
    <definedName name="Share_biofuels_LT">#REF!</definedName>
    <definedName name="Share_biofuels_LV">#REF!</definedName>
    <definedName name="Share_biofuels_MT">#REF!</definedName>
    <definedName name="Share_biofuels_NL">#REF!</definedName>
    <definedName name="Share_biofuels_PL">#REF!</definedName>
    <definedName name="Share_biofuels_PT">#REF!</definedName>
    <definedName name="Share_biofuels_RO">#REF!</definedName>
    <definedName name="Share_biofuels_SE">#REF!</definedName>
    <definedName name="Share_biofuels_SI">#REF!</definedName>
    <definedName name="Share_biofuels_SK">#REF!</definedName>
    <definedName name="Share_biofuels_TH">#REF!</definedName>
    <definedName name="Share_biofuels_US">#REF!</definedName>
    <definedName name="Share_heating_AT">#REF!</definedName>
    <definedName name="Share_heating_BE">#REF!</definedName>
    <definedName name="Share_heating_BG">#REF!</definedName>
    <definedName name="Share_heating_BR">#REF!</definedName>
    <definedName name="Share_heating_CY">#REF!</definedName>
    <definedName name="Share_heating_CZ">#REF!</definedName>
    <definedName name="Share_heating_DE">#REF!</definedName>
    <definedName name="Share_heating_DK">#REF!</definedName>
    <definedName name="Share_heating_EE">#REF!</definedName>
    <definedName name="Share_heating_ES">#REF!</definedName>
    <definedName name="Share_heating_FI">#REF!</definedName>
    <definedName name="Share_heating_FR">#REF!</definedName>
    <definedName name="Share_heating_GB">#REF!</definedName>
    <definedName name="Share_heating_GR">#REF!</definedName>
    <definedName name="Share_heating_HR">#REF!</definedName>
    <definedName name="Share_heating_HU">#REF!</definedName>
    <definedName name="Share_heating_IE">#REF!</definedName>
    <definedName name="Share_heating_IT">#REF!</definedName>
    <definedName name="Share_heating_LT">#REF!</definedName>
    <definedName name="Share_heating_LV">#REF!</definedName>
    <definedName name="Share_heating_MT">#REF!</definedName>
    <definedName name="Share_heating_NL">#REF!</definedName>
    <definedName name="Share_heating_PL">#REF!</definedName>
    <definedName name="Share_heating_PT">#REF!</definedName>
    <definedName name="Share_heating_RO">#REF!</definedName>
    <definedName name="Share_heating_SE">#REF!</definedName>
    <definedName name="Share_heating_SI">#REF!</definedName>
    <definedName name="Share_heating_SK">#REF!</definedName>
    <definedName name="Share_heating_TH">#REF!</definedName>
    <definedName name="Share_heating_US">#REF!</definedName>
    <definedName name="Slaughter_age_AT">#REF!</definedName>
    <definedName name="Slaughter_age_BE">#REF!</definedName>
    <definedName name="Slaughter_age_BG">#REF!</definedName>
    <definedName name="Slaughter_age_BR">#REF!</definedName>
    <definedName name="Slaughter_age_CY">#REF!</definedName>
    <definedName name="Slaughter_age_CZ">#REF!</definedName>
    <definedName name="Slaughter_age_DE">#REF!</definedName>
    <definedName name="Slaughter_age_DK">#REF!</definedName>
    <definedName name="Slaughter_age_EE">#REF!</definedName>
    <definedName name="Slaughter_age_ES">#REF!</definedName>
    <definedName name="Slaughter_age_FI">#REF!</definedName>
    <definedName name="Slaughter_age_FR">#REF!</definedName>
    <definedName name="Slaughter_age_GB">#REF!</definedName>
    <definedName name="Slaughter_age_GR">#REF!</definedName>
    <definedName name="Slaughter_age_HR">#REF!</definedName>
    <definedName name="Slaughter_age_HU">#REF!</definedName>
    <definedName name="Slaughter_age_IE">#REF!</definedName>
    <definedName name="Slaughter_age_IT">#REF!</definedName>
    <definedName name="Slaughter_age_LT">#REF!</definedName>
    <definedName name="Slaughter_age_LV">#REF!</definedName>
    <definedName name="Slaughter_age_MT">#REF!</definedName>
    <definedName name="Slaughter_age_NL">#REF!</definedName>
    <definedName name="Slaughter_age_PL">#REF!</definedName>
    <definedName name="Slaughter_age_PT">#REF!</definedName>
    <definedName name="Slaughter_age_RO">#REF!</definedName>
    <definedName name="Slaughter_age_SE">#REF!</definedName>
    <definedName name="Slaughter_age_SI">#REF!</definedName>
    <definedName name="Slaughter_age_SK">#REF!</definedName>
    <definedName name="Slaughter_age_TH">#REF!</definedName>
    <definedName name="Slaughter_age_US">#REF!</definedName>
    <definedName name="Slaughter_duration_class">#REF!</definedName>
    <definedName name="Time_fattening_days_DE">#REF!</definedName>
    <definedName name="Time_fattening_days_DK">#REF!</definedName>
    <definedName name="Time_fattening_days_ES">#REF!</definedName>
    <definedName name="Time_fattening_days_FR">#REF!</definedName>
    <definedName name="Time_fattening_days_GR">#REF!</definedName>
    <definedName name="Time_fattening_days_HU">#REF!</definedName>
    <definedName name="Time_fattening_days_IE">#REF!</definedName>
    <definedName name="Time_fattening_days_IT">#REF!</definedName>
    <definedName name="Time_fattening_days_NL">#REF!</definedName>
    <definedName name="Time_fattening_days_PL">#REF!</definedName>
    <definedName name="Time_fattening_days_SE">#REF!</definedName>
    <definedName name="Time_to_weaning_SE">#REF!</definedName>
    <definedName name="Water_stables_AT">#REF!</definedName>
    <definedName name="Water_stables_BE">#REF!</definedName>
    <definedName name="Water_stables_BG">#REF!</definedName>
    <definedName name="Water_stables_BR">#REF!</definedName>
    <definedName name="Water_stables_CY">#REF!</definedName>
    <definedName name="Water_stables_CZ">#REF!</definedName>
    <definedName name="Water_stables_DE">#REF!</definedName>
    <definedName name="Water_stables_DK">#REF!</definedName>
    <definedName name="Water_stables_EE">#REF!</definedName>
    <definedName name="Water_stables_ES">#REF!</definedName>
    <definedName name="Water_stables_FI">#REF!</definedName>
    <definedName name="Water_stables_FR">#REF!</definedName>
    <definedName name="Water_stables_GB">#REF!</definedName>
    <definedName name="Water_stables_GR">#REF!</definedName>
    <definedName name="Water_stables_HR">#REF!</definedName>
    <definedName name="Water_stables_HU">#REF!</definedName>
    <definedName name="Water_stables_IE">#REF!</definedName>
    <definedName name="Water_stables_IT">#REF!</definedName>
    <definedName name="Water_stables_LT">#REF!</definedName>
    <definedName name="Water_stables_LV">#REF!</definedName>
    <definedName name="Water_stables_MT">#REF!</definedName>
    <definedName name="Water_stables_NL">#REF!</definedName>
    <definedName name="Water_stables_PL">#REF!</definedName>
    <definedName name="Water_stables_PT">#REF!</definedName>
    <definedName name="Water_stables_RO">#REF!</definedName>
    <definedName name="Water_stables_SE">#REF!</definedName>
    <definedName name="Water_stables_SI">#REF!</definedName>
    <definedName name="Water_stables_SK">#REF!</definedName>
    <definedName name="Water_stables_TH">#REF!</definedName>
    <definedName name="Water_stables_US">#REF!</definedName>
    <definedName name="Weight_ability_to_perceive_handling">#REF!</definedName>
    <definedName name="Weight_diseases">#REF!</definedName>
    <definedName name="Weight_mortality">#REF!</definedName>
    <definedName name="Weight_no_of_animal">#REF!</definedName>
    <definedName name="Weight_slaughter_duration_class">#REF!</definedName>
    <definedName name="Weight_spa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4" l="1"/>
  <c r="D15" i="34"/>
  <c r="E15" i="34"/>
  <c r="C15" i="34"/>
  <c r="F13" i="34"/>
  <c r="F12" i="34"/>
  <c r="F11" i="34"/>
  <c r="F10" i="34"/>
  <c r="F9" i="34"/>
  <c r="F8" i="34"/>
  <c r="F7" i="34"/>
  <c r="F6" i="34"/>
  <c r="F5" i="34"/>
  <c r="F4" i="34"/>
  <c r="F3" i="34"/>
  <c r="F2" i="34"/>
  <c r="E13" i="34"/>
  <c r="E12" i="34"/>
  <c r="E11" i="34"/>
  <c r="E10" i="34"/>
  <c r="E9" i="34"/>
  <c r="E8" i="34"/>
  <c r="E7" i="34"/>
  <c r="E6" i="34"/>
  <c r="E5" i="34"/>
  <c r="E4" i="34"/>
  <c r="E3" i="34"/>
  <c r="E2" i="34"/>
  <c r="D13" i="34"/>
  <c r="D12" i="34"/>
  <c r="D11" i="34"/>
  <c r="D10" i="34"/>
  <c r="D9" i="34"/>
  <c r="D8" i="34"/>
  <c r="D7" i="34"/>
  <c r="D6" i="34"/>
  <c r="D5" i="34"/>
  <c r="D4" i="34"/>
  <c r="D3" i="34"/>
  <c r="D2" i="34"/>
  <c r="C13" i="34"/>
  <c r="C12" i="34"/>
  <c r="C11" i="34"/>
  <c r="C10" i="34"/>
  <c r="C9" i="34"/>
  <c r="C8" i="34"/>
  <c r="C7" i="34"/>
  <c r="C6" i="34"/>
  <c r="C5" i="34"/>
  <c r="C4" i="34"/>
  <c r="C3" i="34"/>
  <c r="C2" i="34"/>
  <c r="B35" i="29" l="1"/>
  <c r="K33" i="29"/>
  <c r="K32" i="29"/>
  <c r="F33" i="29"/>
  <c r="F32" i="29"/>
  <c r="E33" i="29"/>
  <c r="E32" i="29"/>
  <c r="C32" i="29"/>
  <c r="C36" i="29" s="1"/>
  <c r="C38" i="29"/>
  <c r="C37" i="29"/>
  <c r="C35" i="29"/>
  <c r="C33" i="29"/>
  <c r="M32" i="29"/>
  <c r="M33" i="29" s="1"/>
  <c r="M30" i="29"/>
  <c r="M29" i="29"/>
  <c r="M31" i="29" s="1"/>
  <c r="L32" i="29"/>
  <c r="L33" i="29" s="1"/>
  <c r="L30" i="29"/>
  <c r="L29" i="29"/>
  <c r="L31" i="29" s="1"/>
  <c r="K30" i="29"/>
  <c r="K29" i="29"/>
  <c r="J32" i="29"/>
  <c r="J33" i="29" s="1"/>
  <c r="J30" i="29"/>
  <c r="J29" i="29"/>
  <c r="J31" i="29" s="1"/>
  <c r="I32" i="29"/>
  <c r="I33" i="29" s="1"/>
  <c r="I30" i="29"/>
  <c r="I29" i="29"/>
  <c r="I31" i="29" s="1"/>
  <c r="H32" i="29"/>
  <c r="H33" i="29" s="1"/>
  <c r="H30" i="29"/>
  <c r="H29" i="29"/>
  <c r="G32" i="29"/>
  <c r="G33" i="29" s="1"/>
  <c r="G30" i="29"/>
  <c r="G29" i="29"/>
  <c r="G31" i="29" s="1"/>
  <c r="F30" i="29"/>
  <c r="F29" i="29"/>
  <c r="E30" i="29"/>
  <c r="E29" i="29"/>
  <c r="C30" i="29"/>
  <c r="C29" i="29"/>
  <c r="D32" i="29"/>
  <c r="D33" i="29" s="1"/>
  <c r="D30" i="29"/>
  <c r="D29" i="29"/>
  <c r="B32" i="29"/>
  <c r="B33" i="29" s="1"/>
  <c r="B37" i="29" s="1"/>
  <c r="B29" i="29"/>
  <c r="K31" i="29" l="1"/>
  <c r="H31" i="29"/>
  <c r="F31" i="29"/>
  <c r="C40" i="29"/>
  <c r="C39" i="29"/>
  <c r="C48" i="29" s="1"/>
  <c r="E31" i="29"/>
  <c r="D31" i="29"/>
  <c r="C49" i="29" l="1"/>
  <c r="C47" i="29"/>
  <c r="C46" i="29"/>
  <c r="M35" i="29" l="1"/>
  <c r="M37" i="29"/>
  <c r="K35" i="29"/>
  <c r="K37" i="29"/>
  <c r="J35" i="29"/>
  <c r="J37" i="29"/>
  <c r="H35" i="29"/>
  <c r="H37" i="29"/>
  <c r="F35" i="29"/>
  <c r="F37" i="29"/>
  <c r="G37" i="29"/>
  <c r="E35" i="29"/>
  <c r="E37" i="29"/>
  <c r="D35" i="29"/>
  <c r="D37" i="29"/>
  <c r="B30" i="29"/>
  <c r="B36" i="29" s="1"/>
  <c r="G35" i="29"/>
  <c r="I35" i="29"/>
  <c r="I37" i="29"/>
  <c r="L37" i="29"/>
  <c r="L35" i="29"/>
  <c r="L38" i="29"/>
  <c r="B44" i="29" l="1"/>
  <c r="H36" i="29"/>
  <c r="M36" i="29"/>
  <c r="C43" i="29"/>
  <c r="J36" i="29"/>
  <c r="B31" i="29"/>
  <c r="D36" i="29"/>
  <c r="K36" i="29"/>
  <c r="M38" i="29"/>
  <c r="C31" i="29"/>
  <c r="K38" i="29"/>
  <c r="J38" i="29"/>
  <c r="H38" i="29"/>
  <c r="F38" i="29"/>
  <c r="F36" i="29"/>
  <c r="E36" i="29"/>
  <c r="E38" i="29"/>
  <c r="D38" i="29"/>
  <c r="B40" i="29"/>
  <c r="B38" i="29"/>
  <c r="L36" i="29"/>
  <c r="G36" i="29"/>
  <c r="G38" i="29"/>
  <c r="I36" i="29"/>
  <c r="I38" i="29"/>
  <c r="H40" i="29" l="1"/>
  <c r="H42" i="29" s="1"/>
  <c r="K40" i="29"/>
  <c r="K43" i="29" s="1"/>
  <c r="D49" i="29"/>
  <c r="J40" i="29"/>
  <c r="J42" i="29" s="1"/>
  <c r="M39" i="29"/>
  <c r="M49" i="29"/>
  <c r="F39" i="29"/>
  <c r="F48" i="29"/>
  <c r="D40" i="29"/>
  <c r="D44" i="29" s="1"/>
  <c r="L48" i="29"/>
  <c r="B49" i="29"/>
  <c r="B42" i="29"/>
  <c r="B43" i="29"/>
  <c r="M40" i="29"/>
  <c r="M42" i="29" s="1"/>
  <c r="M48" i="29"/>
  <c r="F40" i="29"/>
  <c r="F43" i="29" s="1"/>
  <c r="G39" i="29"/>
  <c r="G48" i="29" s="1"/>
  <c r="G40" i="29"/>
  <c r="G44" i="29" s="1"/>
  <c r="H39" i="29"/>
  <c r="H48" i="29" s="1"/>
  <c r="L39" i="29"/>
  <c r="J39" i="29"/>
  <c r="J48" i="29" s="1"/>
  <c r="K39" i="29"/>
  <c r="K48" i="29" s="1"/>
  <c r="D39" i="29"/>
  <c r="B39" i="29"/>
  <c r="E39" i="29"/>
  <c r="E48" i="29" s="1"/>
  <c r="M43" i="29"/>
  <c r="E40" i="29"/>
  <c r="K44" i="29"/>
  <c r="K42" i="29"/>
  <c r="J43" i="29"/>
  <c r="J44" i="29"/>
  <c r="H43" i="29"/>
  <c r="H44" i="29"/>
  <c r="C44" i="29"/>
  <c r="C42" i="29"/>
  <c r="L40" i="29"/>
  <c r="I39" i="29"/>
  <c r="I48" i="29" s="1"/>
  <c r="I40" i="29"/>
  <c r="D47" i="29" l="1"/>
  <c r="D46" i="29"/>
  <c r="B46" i="29"/>
  <c r="B47" i="29"/>
  <c r="B48" i="29"/>
  <c r="D48" i="29"/>
  <c r="G47" i="29"/>
  <c r="G46" i="29"/>
  <c r="K47" i="29"/>
  <c r="K46" i="29"/>
  <c r="D42" i="29"/>
  <c r="J49" i="29"/>
  <c r="I49" i="29"/>
  <c r="F46" i="29"/>
  <c r="F47" i="29"/>
  <c r="D43" i="29"/>
  <c r="M46" i="29"/>
  <c r="M47" i="29"/>
  <c r="J47" i="29"/>
  <c r="J46" i="29"/>
  <c r="L49" i="29"/>
  <c r="L46" i="29"/>
  <c r="L47" i="29"/>
  <c r="H49" i="29"/>
  <c r="E47" i="29"/>
  <c r="E46" i="29"/>
  <c r="I46" i="29"/>
  <c r="I47" i="29"/>
  <c r="G49" i="29"/>
  <c r="K49" i="29"/>
  <c r="M44" i="29"/>
  <c r="H47" i="29"/>
  <c r="H46" i="29"/>
  <c r="F49" i="29"/>
  <c r="E49" i="29"/>
  <c r="F44" i="29"/>
  <c r="F42" i="29"/>
  <c r="L44" i="29"/>
  <c r="L42" i="29"/>
  <c r="E42" i="29"/>
  <c r="E43" i="29"/>
  <c r="E44" i="29"/>
  <c r="L43" i="29"/>
  <c r="G42" i="29"/>
  <c r="G43" i="29"/>
  <c r="I42" i="29"/>
  <c r="I43" i="29"/>
  <c r="I44" i="29"/>
</calcChain>
</file>

<file path=xl/sharedStrings.xml><?xml version="1.0" encoding="utf-8"?>
<sst xmlns="http://schemas.openxmlformats.org/spreadsheetml/2006/main" count="106" uniqueCount="81">
  <si>
    <t>Read me</t>
  </si>
  <si>
    <t>Country</t>
  </si>
  <si>
    <t>Country code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</si>
  <si>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</si>
  <si>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</si>
  <si>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</si>
  <si>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</si>
  <si>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</si>
  <si>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</si>
  <si>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</si>
  <si>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</si>
  <si>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</si>
  <si>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</si>
  <si>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</si>
  <si>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</si>
  <si>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</si>
  <si>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</si>
  <si>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</si>
  <si>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PL</t>
  </si>
  <si>
    <t>Spain</t>
  </si>
  <si>
    <t>ES</t>
  </si>
  <si>
    <t>Sweden</t>
  </si>
  <si>
    <t>SE</t>
  </si>
  <si>
    <t>UK</t>
  </si>
  <si>
    <t>GB</t>
  </si>
  <si>
    <t>Denmark</t>
  </si>
  <si>
    <t>Total</t>
  </si>
  <si>
    <t>Bovine meat, total</t>
  </si>
  <si>
    <t xml:space="preserve"> - Adult cattle</t>
  </si>
  <si>
    <t xml:space="preserve">   -- Cow</t>
  </si>
  <si>
    <t xml:space="preserve">   -- Heifer</t>
  </si>
  <si>
    <t xml:space="preserve">   -- Bull</t>
  </si>
  <si>
    <t xml:space="preserve">   -- Bullock (stut)</t>
  </si>
  <si>
    <t xml:space="preserve"> - Calf </t>
  </si>
  <si>
    <t xml:space="preserve"> - Young cattle</t>
  </si>
  <si>
    <t>Recruitment rates</t>
  </si>
  <si>
    <t>Dairy cows</t>
  </si>
  <si>
    <t>Suckler cows</t>
  </si>
  <si>
    <t>Meat produced, thousand tons, from Eurostat</t>
  </si>
  <si>
    <t>Meat produced, thousand tons, calculated</t>
  </si>
  <si>
    <t>Slaughtering weight</t>
  </si>
  <si>
    <t>Ahlgren et al 2022, Tabell 10</t>
  </si>
  <si>
    <t>From suckler cows</t>
  </si>
  <si>
    <t>From dairy cows</t>
  </si>
  <si>
    <t>Mortality</t>
  </si>
  <si>
    <t>Total from cows</t>
  </si>
  <si>
    <t>From young animals suckler herds</t>
  </si>
  <si>
    <t>Young suckler animals</t>
  </si>
  <si>
    <t>Ahlgren et al 2022, Tabell 11</t>
  </si>
  <si>
    <t>Meat produced, thousand tons, in the systems defined by us</t>
  </si>
  <si>
    <t>Calves slaughtered app. 9 month</t>
  </si>
  <si>
    <t>Meat from suckler herds (cows+offspring)</t>
  </si>
  <si>
    <t>Meat from dairy offspring</t>
  </si>
  <si>
    <t>From dairy offspring</t>
  </si>
  <si>
    <t>(Dairy cows, for control)</t>
  </si>
  <si>
    <t>Shares (without dairy cows)</t>
  </si>
  <si>
    <t>Total without dairy cows</t>
  </si>
  <si>
    <t>Meat from dairy offspring sl.age. app 24m</t>
  </si>
  <si>
    <t xml:space="preserve">Poland </t>
  </si>
  <si>
    <t>Number of animals, thousands, from Eurostat</t>
  </si>
  <si>
    <t>Amount of beef produced in different systems</t>
  </si>
  <si>
    <t>Non dairy cows</t>
  </si>
  <si>
    <t>justera dessa så mängden kött från kor stämmer (gröna celler nedan)</t>
  </si>
  <si>
    <t>Ahlgren et al 2022, Tabell U i bilaga</t>
  </si>
  <si>
    <t>Shares with dairy cows</t>
  </si>
  <si>
    <t xml:space="preserve">
apro_mt_lscatl. 2022 (2019 for UK)</t>
  </si>
  <si>
    <t>apro_mt_pann. 2022 (2019 for UK)</t>
  </si>
  <si>
    <t>No of dairy cows * recruit rate * slaughtering weight * (1-mortality)</t>
  </si>
  <si>
    <t>No of suckler cows * recruit rate * slaughtering weight * (1-mortality)</t>
  </si>
  <si>
    <t>Sum of the two above</t>
  </si>
  <si>
    <t>Assuming every suckler cow has one calf per year - mortality -those that go into recruitment</t>
  </si>
  <si>
    <t>The rest of meat from offspring is from dairy offspring</t>
  </si>
  <si>
    <t>mycket större än den verkliga, detta kan bero på handel med djur mellan länder eller att varje ko inte</t>
  </si>
  <si>
    <t>För Frankrike, Spanien, Grekland och Ungern funkar inte detta för den beräknade köttmängden blir</t>
  </si>
  <si>
    <t>får en kalv per år och/eller andra slaktvikter -&gt; löser detta genom att dela det slaktade ungdjurköttet mellan</t>
  </si>
  <si>
    <t>mjölk och dikosystem baserat på antalet mjölkkor och dikor för dessa länder (gråmarkerade celler)</t>
  </si>
  <si>
    <t>File with shares of beef production from different systems.</t>
  </si>
  <si>
    <t>Shares_dairy_cows</t>
  </si>
  <si>
    <t>Shares_suckler</t>
  </si>
  <si>
    <t>Shares_dairy24m</t>
  </si>
  <si>
    <t>Shares_dairy9m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</si>
</sst>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8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0" fontId="0" fillId="3" borderId="0" xfId="0" applyFill="1"/>
    <xf numFmtId="1" fontId="0" fillId="4" borderId="0" xfId="0" applyNumberFormat="1" applyFill="1"/>
    <xf numFmtId="1" fontId="0" fillId="2" borderId="0" xfId="0" applyNumberFormat="1" applyFill="1"/>
    <xf numFmtId="1" fontId="4" fillId="0" borderId="0" xfId="2" applyNumberFormat="1" applyFont="1" applyAlignment="1">
      <alignment horizontal="right" vertical="center" shrinkToFit="1"/>
    </xf>
    <xf numFmtId="1" fontId="4" fillId="4" borderId="0" xfId="2" applyNumberFormat="1" applyFont="1" applyFill="1" applyAlignment="1">
      <alignment horizontal="right" vertical="center" shrinkToFit="1"/>
    </xf>
    <xf numFmtId="1" fontId="4" fillId="2" borderId="0" xfId="2" applyNumberFormat="1" applyFont="1" applyFill="1" applyAlignment="1">
      <alignment horizontal="right" vertical="center" shrinkToFit="1"/>
    </xf>
    <xf numFmtId="0" fontId="6" fillId="0" borderId="0" xfId="0" applyFont="1"/>
    <xf numFmtId="1" fontId="0" fillId="5" borderId="0" xfId="0" applyNumberFormat="1" applyFill="1"/>
    <xf numFmtId="11" fontId="0" fillId="0" borderId="0" xfId="0" applyNumberFormat="1"/>
  </cellXfs>
  <cellStyles count="3">
    <cellStyle name="Normal" xfId="0" builtinId="0"/>
    <cellStyle name="Normal 2" xfId="2" xr:uid="{BA1609CF-8B95-490F-94DC-87DF4599BD1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Calculation!$A$46</c:f>
              <c:strCache>
                <c:ptCount val="1"/>
                <c:pt idx="0">
                  <c:v>Calves slaughtered app. 9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Calculation!$B$46:$M$46</c:f>
              <c:numCache>
                <c:formatCode>0.00</c:formatCode>
                <c:ptCount val="12"/>
                <c:pt idx="0">
                  <c:v>0.27413694370848835</c:v>
                </c:pt>
                <c:pt idx="1">
                  <c:v>0.12964324023736351</c:v>
                </c:pt>
                <c:pt idx="2">
                  <c:v>4.8080526371145141E-2</c:v>
                </c:pt>
                <c:pt idx="3">
                  <c:v>0.24721679878392333</c:v>
                </c:pt>
                <c:pt idx="4">
                  <c:v>3.5460749704156032E-2</c:v>
                </c:pt>
                <c:pt idx="5">
                  <c:v>5.0831840550167812E-3</c:v>
                </c:pt>
                <c:pt idx="6">
                  <c:v>0.11522547056738708</c:v>
                </c:pt>
                <c:pt idx="7">
                  <c:v>0.5970659610042004</c:v>
                </c:pt>
                <c:pt idx="8">
                  <c:v>4.4803313439190934E-3</c:v>
                </c:pt>
                <c:pt idx="9">
                  <c:v>0.29286589179289724</c:v>
                </c:pt>
                <c:pt idx="10">
                  <c:v>1.4169088835115954E-2</c:v>
                </c:pt>
                <c:pt idx="11">
                  <c:v>8.7740817337142851E-3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A-4E4E-ABB4-CB5C9202CC29}"/>
            </c:ext>
          </c:extLst>
        </c:ser>
        <c:ser>
          <c:idx val="1"/>
          <c:order val="1"/>
          <c:tx>
            <c:strRef>
              <c:f>Calculation!$A$47</c:f>
              <c:strCache>
                <c:ptCount val="1"/>
                <c:pt idx="0">
                  <c:v>Meat from dairy offspring sl.age. app 24m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Calculation!$B$47:$M$47</c:f>
              <c:numCache>
                <c:formatCode>0.00</c:formatCode>
                <c:ptCount val="12"/>
                <c:pt idx="0">
                  <c:v>0.14501558937730585</c:v>
                </c:pt>
                <c:pt idx="1">
                  <c:v>0.2071734507724681</c:v>
                </c:pt>
                <c:pt idx="2">
                  <c:v>0.4735063381027555</c:v>
                </c:pt>
                <c:pt idx="3">
                  <c:v>0.19832566749443445</c:v>
                </c:pt>
                <c:pt idx="4">
                  <c:v>0.19118685741411717</c:v>
                </c:pt>
                <c:pt idx="5">
                  <c:v>0.40966963164288511</c:v>
                </c:pt>
                <c:pt idx="6">
                  <c:v>0.49241254125850636</c:v>
                </c:pt>
                <c:pt idx="7">
                  <c:v>5.5646926655090523E-2</c:v>
                </c:pt>
                <c:pt idx="8">
                  <c:v>0.64138201867639666</c:v>
                </c:pt>
                <c:pt idx="9">
                  <c:v>0.15267885251091157</c:v>
                </c:pt>
                <c:pt idx="10">
                  <c:v>0.30965431002801602</c:v>
                </c:pt>
                <c:pt idx="11">
                  <c:v>0.34851963841590905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A-4E4E-ABB4-CB5C9202CC29}"/>
            </c:ext>
          </c:extLst>
        </c:ser>
        <c:ser>
          <c:idx val="2"/>
          <c:order val="2"/>
          <c:tx>
            <c:strRef>
              <c:f>Calculation!$A$48</c:f>
              <c:strCache>
                <c:ptCount val="1"/>
                <c:pt idx="0">
                  <c:v>Meat from suckler herds (cows+offspring)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Calculation!$B$48:$M$48</c:f>
              <c:numCache>
                <c:formatCode>0.00</c:formatCode>
                <c:ptCount val="12"/>
                <c:pt idx="0">
                  <c:v>0.18670186363431251</c:v>
                </c:pt>
                <c:pt idx="1">
                  <c:v>0.43333431276319329</c:v>
                </c:pt>
                <c:pt idx="2">
                  <c:v>0.19493953280015844</c:v>
                </c:pt>
                <c:pt idx="3">
                  <c:v>0.48162401526317117</c:v>
                </c:pt>
                <c:pt idx="4">
                  <c:v>0.29895084563959107</c:v>
                </c:pt>
                <c:pt idx="5">
                  <c:v>0.43328957934399898</c:v>
                </c:pt>
                <c:pt idx="6">
                  <c:v>0.20511329504584486</c:v>
                </c:pt>
                <c:pt idx="7">
                  <c:v>3.3126356785010191E-2</c:v>
                </c:pt>
                <c:pt idx="8">
                  <c:v>7.8099951106181065E-2</c:v>
                </c:pt>
                <c:pt idx="9">
                  <c:v>0.49388291721983169</c:v>
                </c:pt>
                <c:pt idx="10">
                  <c:v>0.46763505677181033</c:v>
                </c:pt>
                <c:pt idx="11">
                  <c:v>0.50615022351360228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A-4E4E-ABB4-CB5C9202CC29}"/>
            </c:ext>
          </c:extLst>
        </c:ser>
        <c:ser>
          <c:idx val="3"/>
          <c:order val="3"/>
          <c:tx>
            <c:strRef>
              <c:f>Calculation!$A$49</c:f>
              <c:strCache>
                <c:ptCount val="1"/>
                <c:pt idx="0">
                  <c:v>Dairy cows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Calculation!$B$4:$M$4</c:f>
              <c:strCache>
                <c:ptCount val="12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 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</c:strCache>
            </c:strRef>
          </c:cat>
          <c:val>
            <c:numRef>
              <c:f>Calculation!$B$49:$M$49</c:f>
              <c:numCache>
                <c:formatCode>0.00</c:formatCode>
                <c:ptCount val="12"/>
                <c:pt idx="0">
                  <c:v>0.39414560327989323</c:v>
                </c:pt>
                <c:pt idx="1">
                  <c:v>0.22984899622697513</c:v>
                </c:pt>
                <c:pt idx="2">
                  <c:v>0.28347360272594085</c:v>
                </c:pt>
                <c:pt idx="3">
                  <c:v>7.2833518458471053E-2</c:v>
                </c:pt>
                <c:pt idx="4">
                  <c:v>0.47440154724213568</c:v>
                </c:pt>
                <c:pt idx="5">
                  <c:v>0.15195760495809912</c:v>
                </c:pt>
                <c:pt idx="6">
                  <c:v>0.18724869312826178</c:v>
                </c:pt>
                <c:pt idx="7">
                  <c:v>0.31416075555569883</c:v>
                </c:pt>
                <c:pt idx="8">
                  <c:v>0.2760376988735031</c:v>
                </c:pt>
                <c:pt idx="9">
                  <c:v>6.0572338476359677E-2</c:v>
                </c:pt>
                <c:pt idx="10">
                  <c:v>0.20854154436505778</c:v>
                </c:pt>
                <c:pt idx="11">
                  <c:v>0.13655605633677437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A-4E4E-ABB4-CB5C9202C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4186832"/>
        <c:axId val="1894868160"/>
      </c:barChart>
      <c:catAx>
        <c:axId val="207418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94868160"/>
        <c:crosses val="autoZero"/>
        <c:auto val="1"/>
        <c:lblAlgn val="ctr"/>
        <c:lblOffset val="100"/>
        <c:noMultiLvlLbl val="0"/>
      </c:catAx>
      <c:valAx>
        <c:axId val="18948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07418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53341</xdr:colOff>
      <xdr:row>18</xdr:row>
      <xdr:rowOff>0</xdr:rowOff>
    </xdr:from>
    <xdr:to>
      <xdr:col>29</xdr:col>
      <xdr:colOff>740</xdr:colOff>
      <xdr:row>30</xdr:row>
      <xdr:rowOff>42524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D1F50-35C1-449A-AAE2-E5EEFE35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1411" y="2895600"/>
          <a:ext cx="3789760" cy="2328524"/>
        </a:xfrm>
        <a:prstGeom prst="rect">
          <a:avLst/>
        </a:prstGeom>
      </xdr:spPr>
    </xdr:pic>
    <xdr:clientData/>
  </xdr:twoCellAnchor>
  <xdr:oneCellAnchor>
    <xdr:from>
      <xdr:col>18</xdr:col>
      <xdr:colOff>125681</xdr:colOff>
      <xdr:row>9</xdr:row>
      <xdr:rowOff>127032</xdr:rowOff>
    </xdr:from>
    <xdr:ext cx="3634740" cy="26136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E275EB-B525-4CB0-A883-C02CC26EB561}"/>
            </a:ext>
          </a:extLst>
        </xdr:cNvPr>
        <xdr:cNvSpPr txBox="1"/>
      </xdr:nvSpPr>
      <xdr:spPr>
        <a:xfrm>
          <a:off x="14950922" y="1863235"/>
          <a:ext cx="3634740" cy="26136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sv-SE" sz="1100"/>
            <a:t>Nötkött</a:t>
          </a:r>
          <a:r>
            <a:rPr lang="sv-SE" sz="1100" baseline="0"/>
            <a:t> kommer från fyra system:</a:t>
          </a:r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Mjölkkor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Dikor (cows) i proportioner i antal/rekg 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Kalvar (slaktade vid nio månader) - Calf and young cattle</a:t>
          </a: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Djur slaktade vid 24 mån - Adult cattle</a:t>
          </a: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För djur som slaktas vid X mån räknar vi ut någonslag medel vad de är på bete från Johans fodersiffror, X beräknas från hur många djur som finns mellan 1-2 och över 2 år</a:t>
          </a:r>
        </a:p>
        <a:p>
          <a:endParaRPr lang="sv-SE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sv-S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Overheaden från moderdjuren räknas ut som ett medel från  mjölk och dikor och läggs på kalvar och djur som slaktas vid 24 mån</a:t>
          </a:r>
          <a:endParaRPr lang="sv-SE" sz="1100"/>
        </a:p>
      </xdr:txBody>
    </xdr:sp>
    <xdr:clientData/>
  </xdr:oneCellAnchor>
  <xdr:twoCellAnchor>
    <xdr:from>
      <xdr:col>13</xdr:col>
      <xdr:colOff>289366</xdr:colOff>
      <xdr:row>37</xdr:row>
      <xdr:rowOff>84881</xdr:rowOff>
    </xdr:from>
    <xdr:to>
      <xdr:col>21</xdr:col>
      <xdr:colOff>520860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F83546-B7F5-9879-0962-558876A69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velantbruksuniversitet-my.sharepoint.com/personal/elin_roos_slu_se/Documents/Dokument/SLU/Projekt%2042%20-%20Plan'eat/WP3/2%20-%20Livestock/Suckler%20beef.xlsx" TargetMode="External"/><Relationship Id="rId1" Type="http://schemas.openxmlformats.org/officeDocument/2006/relationships/externalLinkPath" Target="Suckler%20be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igures"/>
      <sheetName val="Footprints, results per kg"/>
      <sheetName val="GHG detailed, results per kg"/>
      <sheetName val="Production"/>
      <sheetName val="Parameters, country spec"/>
      <sheetName val="Manure"/>
      <sheetName val="CO2 per kg feed"/>
      <sheetName val="CH4 per kg feed"/>
      <sheetName val="N2O per kg feed"/>
      <sheetName val="EFP per kg feed"/>
      <sheetName val="Parameters, general"/>
      <sheetName val="Forage crops, CF"/>
      <sheetName val="Forage crops, footprints"/>
      <sheetName val="Forage, input data per ha"/>
      <sheetName val="Off-farm feed"/>
      <sheetName val="References"/>
    </sheetNames>
    <sheetDataSet>
      <sheetData sheetId="0"/>
      <sheetData sheetId="1"/>
      <sheetData sheetId="2"/>
      <sheetData sheetId="3"/>
      <sheetData sheetId="4"/>
      <sheetData sheetId="5"/>
      <sheetData sheetId="6">
        <row r="153">
          <cell r="X153">
            <v>973.43973849553413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A4"/>
  <sheetViews>
    <sheetView zoomScale="80" zoomScaleNormal="80" workbookViewId="0">
      <selection activeCell="B18" sqref="B18"/>
    </sheetView>
  </sheetViews>
  <sheetFormatPr defaultRowHeight="15" x14ac:dyDescent="0.25"/>
  <cols>
    <col min="1" max="1" width="8.7109375" style="6"/>
    <col min="2" max="2" width="18.28515625" customWidth="1"/>
    <col min="3" max="3" width="31.5703125" customWidth="1"/>
    <col min="4" max="4" width="24.7109375" customWidth="1"/>
  </cols>
  <sheetData>
    <row r="2" spans="1:1" ht="21" x14ac:dyDescent="0.35">
      <c r="A2" s="7" t="s">
        <v>0</v>
      </c>
    </row>
    <row r="4" spans="1:1" x14ac:dyDescent="0.25">
      <c r="A4" s="6" t="s">
        <v>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7EFD-448E-4614-9C5F-B1DA907D416D}">
  <dimension ref="A1:F16"/>
  <sheetViews>
    <sheetView tabSelected="1" workbookViewId="0">
      <selection activeCell="C15" sqref="C15:F15"/>
    </sheetView>
  </sheetViews>
  <sheetFormatPr defaultRowHeight="15" x14ac:dyDescent="0.25"/>
  <cols>
    <col min="1" max="1" width="10.7109375" customWidth="1"/>
    <col min="2" max="2" width="13.42578125" customWidth="1"/>
    <col min="3" max="3" width="16.7109375" customWidth="1"/>
    <col min="4" max="4" width="13.7109375" customWidth="1"/>
    <col min="5" max="5" width="15.28515625" customWidth="1"/>
    <col min="6" max="6" width="14.7109375" customWidth="1"/>
  </cols>
  <sheetData>
    <row r="1" spans="1:6" x14ac:dyDescent="0.25">
      <c r="A1" t="s">
        <v>1</v>
      </c>
      <c r="B1" t="s">
        <v>2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25">
      <c r="A2" t="s">
        <v>25</v>
      </c>
      <c r="B2" t="s">
        <v>3</v>
      </c>
      <c r="C2" s="4">
        <f>Calculation!B49</f>
        <v>0.39414560327989323</v>
      </c>
      <c r="D2" s="4">
        <f>Calculation!B48</f>
        <v>0.18670186363431251</v>
      </c>
      <c r="E2" s="4">
        <f>Calculation!B47</f>
        <v>0.14501558937730585</v>
      </c>
      <c r="F2" s="4">
        <f>Calculation!B46</f>
        <v>0.27413694370848835</v>
      </c>
    </row>
    <row r="3" spans="1:6" x14ac:dyDescent="0.25">
      <c r="A3" t="s">
        <v>4</v>
      </c>
      <c r="B3" t="s">
        <v>5</v>
      </c>
      <c r="C3" s="4">
        <f>Calculation!C49</f>
        <v>0.22984899622697513</v>
      </c>
      <c r="D3" s="4">
        <f>Calculation!C48</f>
        <v>0.43333431276319329</v>
      </c>
      <c r="E3" s="4">
        <f>Calculation!C47</f>
        <v>0.2071734507724681</v>
      </c>
      <c r="F3" s="4">
        <f>Calculation!C46</f>
        <v>0.12964324023736351</v>
      </c>
    </row>
    <row r="4" spans="1:6" x14ac:dyDescent="0.25">
      <c r="A4" t="s">
        <v>6</v>
      </c>
      <c r="B4" t="s">
        <v>7</v>
      </c>
      <c r="C4" s="4">
        <f>Calculation!D49</f>
        <v>0.28347360272594085</v>
      </c>
      <c r="D4" s="4">
        <f>Calculation!D48</f>
        <v>0.19493953280015844</v>
      </c>
      <c r="E4" s="4">
        <f>Calculation!D47</f>
        <v>0.4735063381027555</v>
      </c>
      <c r="F4" s="4">
        <f>Calculation!D46</f>
        <v>4.8080526371145141E-2</v>
      </c>
    </row>
    <row r="5" spans="1:6" x14ac:dyDescent="0.25">
      <c r="A5" t="s">
        <v>8</v>
      </c>
      <c r="B5" t="s">
        <v>9</v>
      </c>
      <c r="C5" s="4">
        <f>Calculation!E49</f>
        <v>7.2833518458471053E-2</v>
      </c>
      <c r="D5" s="4">
        <f>Calculation!E48</f>
        <v>0.48162401526317117</v>
      </c>
      <c r="E5" s="4">
        <f>Calculation!E47</f>
        <v>0.19832566749443445</v>
      </c>
      <c r="F5" s="4">
        <f>Calculation!E46</f>
        <v>0.24721679878392333</v>
      </c>
    </row>
    <row r="6" spans="1:6" x14ac:dyDescent="0.25">
      <c r="A6" t="s">
        <v>10</v>
      </c>
      <c r="B6" t="s">
        <v>11</v>
      </c>
      <c r="C6" s="4">
        <f>Calculation!F49</f>
        <v>0.47440154724213568</v>
      </c>
      <c r="D6" s="4">
        <f>Calculation!F48</f>
        <v>0.29895084563959107</v>
      </c>
      <c r="E6" s="4">
        <f>Calculation!F47</f>
        <v>0.19118685741411717</v>
      </c>
      <c r="F6" s="4">
        <f>Calculation!F46</f>
        <v>3.5460749704156032E-2</v>
      </c>
    </row>
    <row r="7" spans="1:6" x14ac:dyDescent="0.25">
      <c r="A7" t="s">
        <v>12</v>
      </c>
      <c r="B7" t="s">
        <v>13</v>
      </c>
      <c r="C7" s="4">
        <f>Calculation!G49</f>
        <v>0.15195760495809912</v>
      </c>
      <c r="D7" s="4">
        <f>Calculation!G48</f>
        <v>0.43328957934399898</v>
      </c>
      <c r="E7" s="4">
        <f>Calculation!G47</f>
        <v>0.40966963164288511</v>
      </c>
      <c r="F7" s="4">
        <f>Calculation!G46</f>
        <v>5.0831840550167812E-3</v>
      </c>
    </row>
    <row r="8" spans="1:6" x14ac:dyDescent="0.25">
      <c r="A8" t="s">
        <v>14</v>
      </c>
      <c r="B8" t="s">
        <v>15</v>
      </c>
      <c r="C8" s="4">
        <f>Calculation!H49</f>
        <v>0.18724869312826178</v>
      </c>
      <c r="D8" s="4">
        <f>Calculation!H48</f>
        <v>0.20511329504584486</v>
      </c>
      <c r="E8" s="4">
        <f>Calculation!H47</f>
        <v>0.49241254125850636</v>
      </c>
      <c r="F8" s="4">
        <f>Calculation!H46</f>
        <v>0.11522547056738708</v>
      </c>
    </row>
    <row r="9" spans="1:6" x14ac:dyDescent="0.25">
      <c r="A9" t="s">
        <v>16</v>
      </c>
      <c r="B9" t="s">
        <v>17</v>
      </c>
      <c r="C9" s="4">
        <f>Calculation!I49</f>
        <v>0.31416075555569883</v>
      </c>
      <c r="D9" s="4">
        <f>Calculation!I48</f>
        <v>3.3126356785010191E-2</v>
      </c>
      <c r="E9" s="4">
        <f>Calculation!I47</f>
        <v>5.5646926655090523E-2</v>
      </c>
      <c r="F9" s="4">
        <f>Calculation!I46</f>
        <v>0.5970659610042004</v>
      </c>
    </row>
    <row r="10" spans="1:6" x14ac:dyDescent="0.25">
      <c r="A10" t="s">
        <v>58</v>
      </c>
      <c r="B10" t="s">
        <v>18</v>
      </c>
      <c r="C10" s="4">
        <f>Calculation!J49</f>
        <v>0.2760376988735031</v>
      </c>
      <c r="D10" s="4">
        <f>Calculation!J48</f>
        <v>7.8099951106181065E-2</v>
      </c>
      <c r="E10" s="4">
        <f>Calculation!J47</f>
        <v>0.64138201867639666</v>
      </c>
      <c r="F10" s="4">
        <f>Calculation!J46</f>
        <v>4.4803313439190934E-3</v>
      </c>
    </row>
    <row r="11" spans="1:6" x14ac:dyDescent="0.25">
      <c r="A11" t="s">
        <v>19</v>
      </c>
      <c r="B11" t="s">
        <v>20</v>
      </c>
      <c r="C11" s="4">
        <f>Calculation!K49</f>
        <v>6.0572338476359677E-2</v>
      </c>
      <c r="D11" s="4">
        <f>Calculation!K48</f>
        <v>0.49388291721983169</v>
      </c>
      <c r="E11" s="4">
        <f>Calculation!K47</f>
        <v>0.15267885251091157</v>
      </c>
      <c r="F11" s="4">
        <f>Calculation!K46</f>
        <v>0.29286589179289724</v>
      </c>
    </row>
    <row r="12" spans="1:6" x14ac:dyDescent="0.25">
      <c r="A12" t="s">
        <v>21</v>
      </c>
      <c r="B12" t="s">
        <v>22</v>
      </c>
      <c r="C12" s="4">
        <f>Calculation!L49</f>
        <v>0.20854154436505778</v>
      </c>
      <c r="D12" s="4">
        <f>Calculation!L48</f>
        <v>0.46763505677181033</v>
      </c>
      <c r="E12" s="4">
        <f>Calculation!L47</f>
        <v>0.30965431002801602</v>
      </c>
      <c r="F12" s="4">
        <f>Calculation!L46</f>
        <v>1.4169088835115954E-2</v>
      </c>
    </row>
    <row r="13" spans="1:6" x14ac:dyDescent="0.25">
      <c r="A13" t="s">
        <v>23</v>
      </c>
      <c r="B13" t="s">
        <v>24</v>
      </c>
      <c r="C13" s="4">
        <f>Calculation!M49</f>
        <v>0.13655605633677437</v>
      </c>
      <c r="D13" s="4">
        <f>Calculation!M48</f>
        <v>0.50615022351360228</v>
      </c>
      <c r="E13" s="4">
        <f>Calculation!M47</f>
        <v>0.34851963841590905</v>
      </c>
      <c r="F13" s="4">
        <f>Calculation!M46</f>
        <v>8.7740817337142851E-3</v>
      </c>
    </row>
    <row r="15" spans="1:6" x14ac:dyDescent="0.25">
      <c r="C15" s="4">
        <f>AVERAGE(C2:C13)</f>
        <v>0.23248149663559756</v>
      </c>
      <c r="D15" s="4">
        <f t="shared" ref="D15:F15" si="0">AVERAGE(D2:D13)</f>
        <v>0.31773732915722552</v>
      </c>
      <c r="E15" s="4">
        <f t="shared" si="0"/>
        <v>0.30209765186239967</v>
      </c>
      <c r="F15" s="4">
        <f t="shared" si="0"/>
        <v>0.14768352234477725</v>
      </c>
    </row>
    <row r="16" spans="1:6" x14ac:dyDescent="0.25">
      <c r="C16" s="17"/>
      <c r="D16" s="17"/>
      <c r="E16" s="17"/>
      <c r="F1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A593-BF97-4D2B-9C19-9B1E637CB642}">
  <sheetPr>
    <tabColor theme="4" tint="0.79998168889431442"/>
  </sheetPr>
  <dimension ref="A2:V49"/>
  <sheetViews>
    <sheetView topLeftCell="A28" zoomScale="79" workbookViewId="0">
      <selection activeCell="C57" sqref="C57"/>
    </sheetView>
  </sheetViews>
  <sheetFormatPr defaultRowHeight="15" x14ac:dyDescent="0.25"/>
  <cols>
    <col min="1" max="1" width="36.28515625" customWidth="1"/>
    <col min="2" max="12" width="10.7109375" customWidth="1"/>
    <col min="15" max="15" width="8.5703125" customWidth="1"/>
    <col min="16" max="16" width="12.42578125" customWidth="1"/>
    <col min="18" max="18" width="13.28515625" customWidth="1"/>
    <col min="20" max="21" width="12" bestFit="1" customWidth="1"/>
    <col min="22" max="22" width="11.28515625" bestFit="1" customWidth="1"/>
    <col min="23" max="23" width="12" bestFit="1" customWidth="1"/>
    <col min="25" max="25" width="12" bestFit="1" customWidth="1"/>
  </cols>
  <sheetData>
    <row r="2" spans="1:16" ht="21" x14ac:dyDescent="0.35">
      <c r="A2" s="1" t="s">
        <v>60</v>
      </c>
    </row>
    <row r="4" spans="1:16" x14ac:dyDescent="0.25">
      <c r="B4" t="s">
        <v>25</v>
      </c>
      <c r="C4" t="s">
        <v>4</v>
      </c>
      <c r="D4" t="s">
        <v>6</v>
      </c>
      <c r="E4" t="s">
        <v>8</v>
      </c>
      <c r="F4" t="s">
        <v>10</v>
      </c>
      <c r="G4" t="s">
        <v>12</v>
      </c>
      <c r="H4" t="s">
        <v>14</v>
      </c>
      <c r="I4" t="s">
        <v>16</v>
      </c>
      <c r="J4" t="s">
        <v>58</v>
      </c>
      <c r="K4" t="s">
        <v>19</v>
      </c>
      <c r="L4" t="s">
        <v>21</v>
      </c>
      <c r="M4" t="s">
        <v>23</v>
      </c>
    </row>
    <row r="5" spans="1:16" x14ac:dyDescent="0.25">
      <c r="A5" s="9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25">
      <c r="A6" t="s">
        <v>36</v>
      </c>
      <c r="B6">
        <v>0.27</v>
      </c>
      <c r="C6">
        <v>0.31</v>
      </c>
      <c r="D6">
        <v>0.23499999999999999</v>
      </c>
      <c r="E6" s="4">
        <v>0.1</v>
      </c>
      <c r="F6">
        <v>0.14000000000000001</v>
      </c>
      <c r="G6" s="4">
        <v>0.2</v>
      </c>
      <c r="H6">
        <v>0.24</v>
      </c>
      <c r="I6">
        <v>0.27</v>
      </c>
      <c r="J6">
        <v>0.23400000000000001</v>
      </c>
      <c r="K6">
        <v>0.17499999999999999</v>
      </c>
      <c r="L6" s="4">
        <v>0.3</v>
      </c>
      <c r="M6">
        <v>0.214</v>
      </c>
      <c r="N6" s="3" t="s">
        <v>62</v>
      </c>
    </row>
    <row r="7" spans="1:16" x14ac:dyDescent="0.25">
      <c r="A7" t="s">
        <v>37</v>
      </c>
      <c r="B7">
        <v>0.2</v>
      </c>
      <c r="C7">
        <v>0.19</v>
      </c>
      <c r="D7">
        <v>0.16</v>
      </c>
      <c r="E7">
        <v>0.08</v>
      </c>
      <c r="F7">
        <v>0.1</v>
      </c>
      <c r="G7">
        <v>0.1</v>
      </c>
      <c r="H7">
        <v>0.18</v>
      </c>
      <c r="I7">
        <v>0.2</v>
      </c>
      <c r="J7">
        <v>0.1</v>
      </c>
      <c r="K7">
        <v>0.1</v>
      </c>
      <c r="L7">
        <v>0.18</v>
      </c>
      <c r="M7">
        <v>0.15</v>
      </c>
      <c r="P7" t="s">
        <v>63</v>
      </c>
    </row>
    <row r="8" spans="1:16" x14ac:dyDescent="0.25">
      <c r="A8" s="9" t="s">
        <v>40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6" x14ac:dyDescent="0.25">
      <c r="A9" t="s">
        <v>36</v>
      </c>
      <c r="B9">
        <v>340</v>
      </c>
      <c r="C9">
        <v>340</v>
      </c>
      <c r="D9">
        <v>340</v>
      </c>
      <c r="E9">
        <v>340</v>
      </c>
      <c r="F9">
        <v>340</v>
      </c>
      <c r="G9">
        <v>340</v>
      </c>
      <c r="H9">
        <v>340</v>
      </c>
      <c r="I9">
        <v>340</v>
      </c>
      <c r="J9">
        <v>340</v>
      </c>
      <c r="K9">
        <v>340</v>
      </c>
      <c r="L9">
        <v>340</v>
      </c>
      <c r="M9">
        <v>340</v>
      </c>
    </row>
    <row r="10" spans="1:16" x14ac:dyDescent="0.25">
      <c r="A10" t="s">
        <v>37</v>
      </c>
      <c r="B10">
        <v>375</v>
      </c>
      <c r="C10">
        <v>375</v>
      </c>
      <c r="D10">
        <v>375</v>
      </c>
      <c r="E10">
        <v>375</v>
      </c>
      <c r="F10">
        <v>375</v>
      </c>
      <c r="G10">
        <v>375</v>
      </c>
      <c r="H10">
        <v>375</v>
      </c>
      <c r="I10">
        <v>375</v>
      </c>
      <c r="J10">
        <v>375</v>
      </c>
      <c r="K10">
        <v>375</v>
      </c>
      <c r="L10">
        <v>375</v>
      </c>
      <c r="M10">
        <v>375</v>
      </c>
      <c r="P10" t="s">
        <v>41</v>
      </c>
    </row>
    <row r="11" spans="1:16" x14ac:dyDescent="0.25">
      <c r="A11" t="s">
        <v>47</v>
      </c>
      <c r="B11">
        <v>320</v>
      </c>
      <c r="C11">
        <v>320</v>
      </c>
      <c r="D11">
        <v>320</v>
      </c>
      <c r="E11">
        <v>320</v>
      </c>
      <c r="F11">
        <v>320</v>
      </c>
      <c r="G11">
        <v>320</v>
      </c>
      <c r="H11">
        <v>320</v>
      </c>
      <c r="I11">
        <v>320</v>
      </c>
      <c r="J11">
        <v>320</v>
      </c>
      <c r="K11">
        <v>320</v>
      </c>
      <c r="L11">
        <v>320</v>
      </c>
      <c r="M11">
        <v>320</v>
      </c>
      <c r="P11" t="s">
        <v>48</v>
      </c>
    </row>
    <row r="12" spans="1:16" x14ac:dyDescent="0.25">
      <c r="A12" s="9" t="s">
        <v>44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6" x14ac:dyDescent="0.25">
      <c r="A13" t="s">
        <v>36</v>
      </c>
      <c r="B13">
        <v>0.08</v>
      </c>
      <c r="C13">
        <v>0.08</v>
      </c>
      <c r="D13">
        <v>0.08</v>
      </c>
      <c r="E13">
        <v>0.08</v>
      </c>
      <c r="F13">
        <v>0.08</v>
      </c>
      <c r="G13">
        <v>0.08</v>
      </c>
      <c r="H13">
        <v>0.08</v>
      </c>
      <c r="I13">
        <v>0.08</v>
      </c>
      <c r="J13">
        <v>0.08</v>
      </c>
      <c r="K13">
        <v>0.08</v>
      </c>
      <c r="L13">
        <v>0.08</v>
      </c>
      <c r="M13">
        <v>0.08</v>
      </c>
    </row>
    <row r="14" spans="1:16" x14ac:dyDescent="0.25">
      <c r="A14" t="s">
        <v>37</v>
      </c>
      <c r="B14">
        <v>0.04</v>
      </c>
      <c r="C14">
        <v>0.04</v>
      </c>
      <c r="D14">
        <v>0.04</v>
      </c>
      <c r="E14">
        <v>0.04</v>
      </c>
      <c r="F14">
        <v>0.04</v>
      </c>
      <c r="G14">
        <v>0.04</v>
      </c>
      <c r="H14">
        <v>0.04</v>
      </c>
      <c r="I14">
        <v>0.04</v>
      </c>
      <c r="J14">
        <v>0.04</v>
      </c>
      <c r="K14">
        <v>0.04</v>
      </c>
      <c r="L14">
        <v>0.04</v>
      </c>
      <c r="M14">
        <v>0.04</v>
      </c>
    </row>
    <row r="15" spans="1:16" x14ac:dyDescent="0.25">
      <c r="A15" t="s">
        <v>47</v>
      </c>
      <c r="B15">
        <v>0.04</v>
      </c>
      <c r="C15">
        <v>0.04</v>
      </c>
      <c r="D15">
        <v>0.04</v>
      </c>
      <c r="E15">
        <v>0.04</v>
      </c>
      <c r="F15">
        <v>0.04</v>
      </c>
      <c r="G15">
        <v>0.04</v>
      </c>
      <c r="H15">
        <v>0.04</v>
      </c>
      <c r="I15">
        <v>0.04</v>
      </c>
      <c r="J15">
        <v>0.04</v>
      </c>
      <c r="K15">
        <v>0.04</v>
      </c>
      <c r="L15">
        <v>0.04</v>
      </c>
      <c r="M15">
        <v>0.04</v>
      </c>
    </row>
    <row r="16" spans="1:16" x14ac:dyDescent="0.25">
      <c r="A16" s="9" t="s">
        <v>59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21" x14ac:dyDescent="0.25">
      <c r="A17" t="s">
        <v>36</v>
      </c>
      <c r="B17">
        <v>556</v>
      </c>
      <c r="C17">
        <v>3230</v>
      </c>
      <c r="D17">
        <v>3809</v>
      </c>
      <c r="E17">
        <v>81</v>
      </c>
      <c r="F17">
        <v>278</v>
      </c>
      <c r="G17">
        <v>1510</v>
      </c>
      <c r="H17">
        <v>1864</v>
      </c>
      <c r="I17">
        <v>1570</v>
      </c>
      <c r="J17">
        <v>2037</v>
      </c>
      <c r="K17">
        <v>810</v>
      </c>
      <c r="L17">
        <v>298</v>
      </c>
      <c r="M17">
        <v>1867</v>
      </c>
      <c r="P17" t="s">
        <v>65</v>
      </c>
      <c r="Q17" s="8"/>
    </row>
    <row r="18" spans="1:21" x14ac:dyDescent="0.25">
      <c r="A18" t="s">
        <v>61</v>
      </c>
      <c r="B18">
        <v>70</v>
      </c>
      <c r="C18">
        <v>3790</v>
      </c>
      <c r="D18">
        <v>610</v>
      </c>
      <c r="E18">
        <v>147</v>
      </c>
      <c r="F18">
        <v>143</v>
      </c>
      <c r="G18">
        <v>862</v>
      </c>
      <c r="H18">
        <v>484</v>
      </c>
      <c r="I18">
        <v>44</v>
      </c>
      <c r="J18">
        <v>135</v>
      </c>
      <c r="K18">
        <v>2078</v>
      </c>
      <c r="L18">
        <v>198</v>
      </c>
      <c r="M18">
        <v>1470</v>
      </c>
      <c r="P18" t="s">
        <v>65</v>
      </c>
      <c r="Q18" s="8"/>
    </row>
    <row r="19" spans="1:21" x14ac:dyDescent="0.25">
      <c r="A19" s="9" t="s">
        <v>38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21" x14ac:dyDescent="0.25">
      <c r="A20" t="s">
        <v>27</v>
      </c>
      <c r="B20" s="10">
        <v>119</v>
      </c>
      <c r="C20" s="13">
        <v>1361.31</v>
      </c>
      <c r="D20" s="13">
        <v>987.47</v>
      </c>
      <c r="E20" s="13">
        <v>35.53</v>
      </c>
      <c r="F20" s="13">
        <v>25.68</v>
      </c>
      <c r="G20" s="10">
        <v>621</v>
      </c>
      <c r="H20" s="10">
        <v>747.21</v>
      </c>
      <c r="I20" s="10">
        <v>422</v>
      </c>
      <c r="J20" s="10">
        <v>540.59</v>
      </c>
      <c r="K20" s="10">
        <v>731.53</v>
      </c>
      <c r="L20" s="10">
        <v>135</v>
      </c>
      <c r="M20" s="13">
        <v>914.39</v>
      </c>
      <c r="P20" t="s">
        <v>66</v>
      </c>
    </row>
    <row r="21" spans="1:21" x14ac:dyDescent="0.25">
      <c r="A21" t="s">
        <v>33</v>
      </c>
      <c r="B21" s="12">
        <v>0.14000000000000001</v>
      </c>
      <c r="C21" s="12">
        <v>160.13</v>
      </c>
      <c r="D21" s="12">
        <v>44.7</v>
      </c>
      <c r="E21" s="12">
        <v>1.26</v>
      </c>
      <c r="F21" s="12">
        <v>0.23</v>
      </c>
      <c r="G21" s="8">
        <v>2.5</v>
      </c>
      <c r="H21" s="12">
        <v>78.8</v>
      </c>
      <c r="I21" s="8">
        <v>220</v>
      </c>
      <c r="J21" s="12">
        <v>1.73</v>
      </c>
      <c r="K21" s="12">
        <v>11.57</v>
      </c>
      <c r="L21" s="8">
        <v>0.4</v>
      </c>
      <c r="M21" s="12">
        <v>4.13</v>
      </c>
      <c r="S21" s="4"/>
      <c r="T21" s="4"/>
      <c r="U21" s="4"/>
    </row>
    <row r="22" spans="1:21" x14ac:dyDescent="0.25">
      <c r="A22" t="s">
        <v>34</v>
      </c>
      <c r="B22" s="12">
        <v>32.520000000000003</v>
      </c>
      <c r="C22" s="12">
        <v>16.53</v>
      </c>
      <c r="D22" s="12">
        <v>2.79</v>
      </c>
      <c r="E22" s="12">
        <v>7.34</v>
      </c>
      <c r="F22" s="12">
        <v>0.68</v>
      </c>
      <c r="G22" s="8">
        <v>0.66</v>
      </c>
      <c r="H22" s="12">
        <v>7.31</v>
      </c>
      <c r="I22" s="8">
        <v>32</v>
      </c>
      <c r="J22" s="12">
        <v>0.69</v>
      </c>
      <c r="K22" s="12">
        <v>202.81</v>
      </c>
      <c r="L22" s="8">
        <v>1.5</v>
      </c>
      <c r="M22" s="12">
        <v>3.9</v>
      </c>
      <c r="S22" s="4"/>
      <c r="T22" s="4"/>
      <c r="U22" s="4"/>
    </row>
    <row r="23" spans="1:21" x14ac:dyDescent="0.25">
      <c r="A23" t="s">
        <v>28</v>
      </c>
      <c r="B23" s="12">
        <v>86.34</v>
      </c>
      <c r="C23" s="12">
        <v>1184.6400000000001</v>
      </c>
      <c r="D23" s="12">
        <v>939.99</v>
      </c>
      <c r="E23" s="12">
        <v>26.17</v>
      </c>
      <c r="F23" s="12">
        <v>24.77</v>
      </c>
      <c r="G23" s="8">
        <v>618</v>
      </c>
      <c r="H23" s="12">
        <v>661.1</v>
      </c>
      <c r="I23" s="8">
        <v>170</v>
      </c>
      <c r="J23" s="12">
        <v>538.16999999999996</v>
      </c>
      <c r="K23" s="12">
        <v>517.14</v>
      </c>
      <c r="L23" s="8">
        <v>133</v>
      </c>
      <c r="M23" s="12">
        <v>906.36</v>
      </c>
      <c r="S23" s="4"/>
      <c r="T23" s="4"/>
      <c r="U23" s="4"/>
    </row>
    <row r="24" spans="1:21" x14ac:dyDescent="0.25">
      <c r="A24" t="s">
        <v>29</v>
      </c>
      <c r="B24" s="14">
        <v>51.86</v>
      </c>
      <c r="C24" s="14">
        <v>571.08000000000004</v>
      </c>
      <c r="D24" s="14">
        <v>314.89</v>
      </c>
      <c r="E24" s="14">
        <v>7.26</v>
      </c>
      <c r="F24" s="14">
        <v>17.13</v>
      </c>
      <c r="G24" s="11">
        <v>125</v>
      </c>
      <c r="H24" s="14">
        <v>171.19</v>
      </c>
      <c r="I24" s="11">
        <v>136</v>
      </c>
      <c r="J24" s="14">
        <v>154.41</v>
      </c>
      <c r="K24" s="14">
        <v>118.67</v>
      </c>
      <c r="L24" s="11">
        <v>42</v>
      </c>
      <c r="M24" s="14">
        <v>203.56</v>
      </c>
      <c r="S24" s="4"/>
      <c r="T24" s="4"/>
      <c r="U24" s="4"/>
    </row>
    <row r="25" spans="1:21" x14ac:dyDescent="0.25">
      <c r="A25" t="s">
        <v>30</v>
      </c>
      <c r="B25" s="12">
        <v>16.05</v>
      </c>
      <c r="C25" s="12">
        <v>218.06</v>
      </c>
      <c r="D25" s="12">
        <v>163.19999999999999</v>
      </c>
      <c r="E25" s="12">
        <v>6.6</v>
      </c>
      <c r="F25" s="12">
        <v>2.66</v>
      </c>
      <c r="G25" s="8">
        <v>181</v>
      </c>
      <c r="H25" s="12">
        <v>190.61</v>
      </c>
      <c r="I25" s="8">
        <v>3.3</v>
      </c>
      <c r="J25" s="12">
        <v>85.89</v>
      </c>
      <c r="K25" s="12">
        <v>123.45</v>
      </c>
      <c r="L25" s="8">
        <v>20.399999999999999</v>
      </c>
      <c r="M25" s="12">
        <v>257.58</v>
      </c>
      <c r="S25" s="4"/>
      <c r="T25" s="4"/>
      <c r="U25" s="4"/>
    </row>
    <row r="26" spans="1:21" x14ac:dyDescent="0.25">
      <c r="A26" t="s">
        <v>31</v>
      </c>
      <c r="B26" s="12">
        <v>16.170000000000002</v>
      </c>
      <c r="C26" s="12">
        <v>343.42</v>
      </c>
      <c r="D26" s="12">
        <v>451.23</v>
      </c>
      <c r="E26" s="12">
        <v>12.34</v>
      </c>
      <c r="F26" s="12">
        <v>4.7699999999999996</v>
      </c>
      <c r="G26" s="8">
        <v>62</v>
      </c>
      <c r="H26" s="12">
        <v>298.14</v>
      </c>
      <c r="I26" s="8">
        <v>31</v>
      </c>
      <c r="J26" s="12">
        <v>297.87</v>
      </c>
      <c r="K26" s="12">
        <v>272.25</v>
      </c>
      <c r="L26" s="8">
        <v>60</v>
      </c>
      <c r="M26" s="12">
        <v>74.34</v>
      </c>
      <c r="S26" s="4"/>
      <c r="T26" s="4"/>
      <c r="U26" s="4"/>
    </row>
    <row r="27" spans="1:21" x14ac:dyDescent="0.25">
      <c r="A27" t="s">
        <v>32</v>
      </c>
      <c r="B27" s="12">
        <v>2.2599999999999998</v>
      </c>
      <c r="C27" s="12">
        <v>52.08</v>
      </c>
      <c r="D27" s="12">
        <v>10.67</v>
      </c>
      <c r="E27" s="12">
        <v>0.48</v>
      </c>
      <c r="F27" s="12">
        <v>0</v>
      </c>
      <c r="G27" s="8">
        <v>250</v>
      </c>
      <c r="H27" s="12">
        <v>1.1599999999999999</v>
      </c>
      <c r="I27" s="8">
        <v>0</v>
      </c>
      <c r="J27" s="12">
        <v>0</v>
      </c>
      <c r="K27" s="12">
        <v>2.78</v>
      </c>
      <c r="L27" s="8">
        <v>11</v>
      </c>
      <c r="M27" s="12">
        <v>370.89</v>
      </c>
      <c r="S27" s="4"/>
      <c r="T27" s="4"/>
      <c r="U27" s="4"/>
    </row>
    <row r="28" spans="1:21" x14ac:dyDescent="0.25">
      <c r="A28" s="9" t="s">
        <v>39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21" x14ac:dyDescent="0.25">
      <c r="A29" t="s">
        <v>43</v>
      </c>
      <c r="B29" s="8">
        <f t="shared" ref="B29:M29" si="0">B6*B9*B17*(1-B13)/1000</f>
        <v>46.957536000000005</v>
      </c>
      <c r="C29" s="8">
        <f t="shared" si="0"/>
        <v>313.20663999999999</v>
      </c>
      <c r="D29" s="8">
        <f t="shared" si="0"/>
        <v>279.99197200000003</v>
      </c>
      <c r="E29" s="8">
        <f t="shared" si="0"/>
        <v>2.5336800000000004</v>
      </c>
      <c r="F29" s="8">
        <f t="shared" si="0"/>
        <v>12.174176000000001</v>
      </c>
      <c r="G29" s="8">
        <f t="shared" si="0"/>
        <v>94.465600000000009</v>
      </c>
      <c r="H29" s="8">
        <f t="shared" si="0"/>
        <v>139.93420800000001</v>
      </c>
      <c r="I29" s="8">
        <f t="shared" si="0"/>
        <v>132.59592000000004</v>
      </c>
      <c r="J29" s="8">
        <f t="shared" si="0"/>
        <v>149.09862240000001</v>
      </c>
      <c r="K29" s="8">
        <f t="shared" si="0"/>
        <v>44.339399999999998</v>
      </c>
      <c r="L29" s="8">
        <f t="shared" si="0"/>
        <v>27.964320000000001</v>
      </c>
      <c r="M29" s="8">
        <f t="shared" si="0"/>
        <v>124.97548640000002</v>
      </c>
      <c r="N29" s="15" t="s">
        <v>67</v>
      </c>
    </row>
    <row r="30" spans="1:21" x14ac:dyDescent="0.25">
      <c r="A30" t="s">
        <v>42</v>
      </c>
      <c r="B30" s="8">
        <f t="shared" ref="B30:M30" si="1">B7*B10*B18*(1-B14)/1000</f>
        <v>5.04</v>
      </c>
      <c r="C30" s="8">
        <f t="shared" si="1"/>
        <v>259.23599999999999</v>
      </c>
      <c r="D30" s="8">
        <f t="shared" si="1"/>
        <v>35.136000000000003</v>
      </c>
      <c r="E30" s="8">
        <f t="shared" si="1"/>
        <v>4.2335999999999991</v>
      </c>
      <c r="F30" s="8">
        <f t="shared" si="1"/>
        <v>5.1479999999999997</v>
      </c>
      <c r="G30" s="8">
        <f t="shared" si="1"/>
        <v>31.032</v>
      </c>
      <c r="H30" s="8">
        <f t="shared" si="1"/>
        <v>31.363199999999996</v>
      </c>
      <c r="I30" s="8">
        <f t="shared" si="1"/>
        <v>3.1680000000000001</v>
      </c>
      <c r="J30" s="8">
        <f t="shared" si="1"/>
        <v>4.8600000000000003</v>
      </c>
      <c r="K30" s="8">
        <f t="shared" si="1"/>
        <v>74.808000000000007</v>
      </c>
      <c r="L30" s="8">
        <f t="shared" si="1"/>
        <v>12.830399999999999</v>
      </c>
      <c r="M30" s="8">
        <f t="shared" si="1"/>
        <v>79.38</v>
      </c>
      <c r="N30" s="15" t="s">
        <v>68</v>
      </c>
      <c r="T30" s="5"/>
    </row>
    <row r="31" spans="1:21" x14ac:dyDescent="0.25">
      <c r="A31" t="s">
        <v>45</v>
      </c>
      <c r="B31" s="11">
        <f t="shared" ref="B31:C31" si="2">SUM(B29:B30)</f>
        <v>51.997536000000004</v>
      </c>
      <c r="C31" s="11">
        <f t="shared" si="2"/>
        <v>572.44263999999998</v>
      </c>
      <c r="D31" s="11">
        <f t="shared" ref="D31:M31" si="3">SUM(D29:D30)</f>
        <v>315.12797200000006</v>
      </c>
      <c r="E31" s="11">
        <f t="shared" si="3"/>
        <v>6.7672799999999995</v>
      </c>
      <c r="F31" s="11">
        <f t="shared" si="3"/>
        <v>17.322175999999999</v>
      </c>
      <c r="G31" s="11">
        <f t="shared" si="3"/>
        <v>125.49760000000001</v>
      </c>
      <c r="H31" s="11">
        <f t="shared" si="3"/>
        <v>171.29740800000002</v>
      </c>
      <c r="I31" s="11">
        <f t="shared" si="3"/>
        <v>135.76392000000004</v>
      </c>
      <c r="J31" s="11">
        <f t="shared" si="3"/>
        <v>153.95862240000002</v>
      </c>
      <c r="K31" s="11">
        <f t="shared" si="3"/>
        <v>119.1474</v>
      </c>
      <c r="L31" s="11">
        <f t="shared" si="3"/>
        <v>40.794719999999998</v>
      </c>
      <c r="M31" s="11">
        <f t="shared" si="3"/>
        <v>204.35548640000002</v>
      </c>
      <c r="N31" s="15" t="s">
        <v>69</v>
      </c>
      <c r="T31" s="5"/>
    </row>
    <row r="32" spans="1:21" x14ac:dyDescent="0.25">
      <c r="A32" t="s">
        <v>46</v>
      </c>
      <c r="B32" s="8">
        <f>B18*B11*(1-B7)*(1-B15)/1000</f>
        <v>17.203200000000002</v>
      </c>
      <c r="C32" s="16">
        <f>SUM(C25:C27)*(C18/SUM(C17:C18))</f>
        <v>331.25247863247864</v>
      </c>
      <c r="D32" s="8">
        <f>D18*D11*(1-D7)*(1-D15)/1000</f>
        <v>157.40928</v>
      </c>
      <c r="E32" s="16">
        <f>SUM(E25:E27)*(E18/SUM(E17:E18))</f>
        <v>12.520789473684209</v>
      </c>
      <c r="F32" s="16">
        <f>SUM(F25:F27)*(F18/SUM(F17:F18))</f>
        <v>2.5237292161520193</v>
      </c>
      <c r="G32" s="8">
        <f>G18*G11*(1-G7)*(1-G15)/1000</f>
        <v>238.32575999999997</v>
      </c>
      <c r="H32" s="8">
        <f>H18*H11*(1-H7)*(1-H15)/1000</f>
        <v>121.921536</v>
      </c>
      <c r="I32" s="8">
        <f>I18*I11*(1-I7)*(1-I15)/1000</f>
        <v>10.813439999999998</v>
      </c>
      <c r="J32" s="8">
        <f>J18*J11*(1-J7)*(1-J15)/1000</f>
        <v>37.324799999999996</v>
      </c>
      <c r="K32" s="16">
        <f>SUM(K25:K27)*(K18/SUM(K17:K18))</f>
        <v>286.71795013850414</v>
      </c>
      <c r="L32" s="8">
        <f>L18*L11*(1-L7)*(1-L15)/1000</f>
        <v>49.876992000000008</v>
      </c>
      <c r="M32" s="8">
        <f>M18*M11*(1-M7)*(1-M15)/1000</f>
        <v>383.84639999999996</v>
      </c>
      <c r="N32" s="15" t="s">
        <v>70</v>
      </c>
      <c r="T32" s="5"/>
    </row>
    <row r="33" spans="1:22" x14ac:dyDescent="0.25">
      <c r="A33" t="s">
        <v>53</v>
      </c>
      <c r="B33" s="8">
        <f>SUM(B25:B27)-B32</f>
        <v>17.276799999999994</v>
      </c>
      <c r="C33" s="16">
        <f>SUM(C25:C27)*(C17/SUM(C17:C18))</f>
        <v>282.30752136752142</v>
      </c>
      <c r="D33" s="8">
        <f>SUM(D25:D27)-D32</f>
        <v>467.69072000000006</v>
      </c>
      <c r="E33" s="16">
        <f>SUM(E25:E27)*(E17/SUM(E17:E18))</f>
        <v>6.8992105263157883</v>
      </c>
      <c r="F33" s="16">
        <f>SUM(F25:F27)*(F17/SUM(F17:F18))</f>
        <v>4.9062707838479804</v>
      </c>
      <c r="G33" s="8">
        <f>SUM(G25:G27)-G32</f>
        <v>254.67424000000003</v>
      </c>
      <c r="H33" s="8">
        <f>SUM(H25:H27)-H32</f>
        <v>367.98846400000002</v>
      </c>
      <c r="I33" s="8">
        <f>SUM(I25:I27)-I32</f>
        <v>23.486559999999997</v>
      </c>
      <c r="J33" s="8">
        <f>SUM(J25:J27)-J32</f>
        <v>346.43520000000001</v>
      </c>
      <c r="K33" s="16">
        <f>SUM(K25:K27)*(K17/SUM(K17:K18))</f>
        <v>111.76204986149583</v>
      </c>
      <c r="L33" s="8">
        <f>SUM(L25:L27)-L32</f>
        <v>41.523007999999997</v>
      </c>
      <c r="M33" s="8">
        <f>SUM(M25:M27)-M32</f>
        <v>318.96359999999999</v>
      </c>
      <c r="N33" s="15" t="s">
        <v>71</v>
      </c>
      <c r="T33" s="5"/>
    </row>
    <row r="34" spans="1:22" x14ac:dyDescent="0.25">
      <c r="A34" s="9" t="s">
        <v>49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3" t="s">
        <v>73</v>
      </c>
    </row>
    <row r="35" spans="1:22" x14ac:dyDescent="0.25">
      <c r="A35" t="s">
        <v>50</v>
      </c>
      <c r="B35" s="8">
        <f>B21+B22</f>
        <v>32.660000000000004</v>
      </c>
      <c r="C35" s="8">
        <f>C21+C22</f>
        <v>176.66</v>
      </c>
      <c r="D35">
        <f t="shared" ref="D35:M35" si="4">D21+D22</f>
        <v>47.49</v>
      </c>
      <c r="E35">
        <f t="shared" si="4"/>
        <v>8.6</v>
      </c>
      <c r="F35">
        <f t="shared" si="4"/>
        <v>0.91</v>
      </c>
      <c r="G35">
        <f t="shared" si="4"/>
        <v>3.16</v>
      </c>
      <c r="H35">
        <f t="shared" si="4"/>
        <v>86.11</v>
      </c>
      <c r="I35">
        <f t="shared" si="4"/>
        <v>252</v>
      </c>
      <c r="J35">
        <f t="shared" si="4"/>
        <v>2.42</v>
      </c>
      <c r="K35">
        <f t="shared" si="4"/>
        <v>214.38</v>
      </c>
      <c r="L35">
        <f t="shared" si="4"/>
        <v>1.9</v>
      </c>
      <c r="M35">
        <f t="shared" si="4"/>
        <v>8.0299999999999994</v>
      </c>
      <c r="N35" s="3" t="s">
        <v>72</v>
      </c>
    </row>
    <row r="36" spans="1:22" x14ac:dyDescent="0.25">
      <c r="A36" t="s">
        <v>51</v>
      </c>
      <c r="B36" s="2">
        <f>B30+B32</f>
        <v>22.243200000000002</v>
      </c>
      <c r="C36" s="2">
        <f>C30+C32</f>
        <v>590.48847863247863</v>
      </c>
      <c r="D36" s="2">
        <f t="shared" ref="D36:M36" si="5">D30+D32</f>
        <v>192.54527999999999</v>
      </c>
      <c r="E36" s="2">
        <f t="shared" si="5"/>
        <v>16.754389473684206</v>
      </c>
      <c r="F36" s="2">
        <f t="shared" si="5"/>
        <v>7.671729216152019</v>
      </c>
      <c r="G36" s="2">
        <f t="shared" si="5"/>
        <v>269.35775999999998</v>
      </c>
      <c r="H36" s="2">
        <f t="shared" si="5"/>
        <v>153.28473600000001</v>
      </c>
      <c r="I36" s="2">
        <f t="shared" si="5"/>
        <v>13.981439999999999</v>
      </c>
      <c r="J36" s="2">
        <f t="shared" si="5"/>
        <v>42.184799999999996</v>
      </c>
      <c r="K36" s="2">
        <f t="shared" si="5"/>
        <v>361.52595013850413</v>
      </c>
      <c r="L36" s="2">
        <f t="shared" si="5"/>
        <v>62.707392000000006</v>
      </c>
      <c r="M36" s="2">
        <f t="shared" si="5"/>
        <v>463.22639999999996</v>
      </c>
      <c r="N36" s="3" t="s">
        <v>74</v>
      </c>
      <c r="T36" s="5"/>
    </row>
    <row r="37" spans="1:22" x14ac:dyDescent="0.25">
      <c r="A37" t="s">
        <v>52</v>
      </c>
      <c r="B37" s="2">
        <f>B33</f>
        <v>17.276799999999994</v>
      </c>
      <c r="C37" s="2">
        <f>C33</f>
        <v>282.30752136752142</v>
      </c>
      <c r="D37" s="2">
        <f t="shared" ref="D37:M37" si="6">D33</f>
        <v>467.69072000000006</v>
      </c>
      <c r="E37" s="2">
        <f t="shared" si="6"/>
        <v>6.8992105263157883</v>
      </c>
      <c r="F37" s="2">
        <f t="shared" si="6"/>
        <v>4.9062707838479804</v>
      </c>
      <c r="G37" s="2">
        <f t="shared" si="6"/>
        <v>254.67424000000003</v>
      </c>
      <c r="H37" s="2">
        <f t="shared" si="6"/>
        <v>367.98846400000002</v>
      </c>
      <c r="I37" s="2">
        <f t="shared" si="6"/>
        <v>23.486559999999997</v>
      </c>
      <c r="J37" s="2">
        <f t="shared" si="6"/>
        <v>346.43520000000001</v>
      </c>
      <c r="K37" s="2">
        <f t="shared" si="6"/>
        <v>111.76204986149583</v>
      </c>
      <c r="L37" s="2">
        <f t="shared" si="6"/>
        <v>41.523007999999997</v>
      </c>
      <c r="M37" s="2">
        <f t="shared" si="6"/>
        <v>318.96359999999999</v>
      </c>
      <c r="N37" s="3" t="s">
        <v>75</v>
      </c>
    </row>
    <row r="38" spans="1:22" x14ac:dyDescent="0.25">
      <c r="A38" t="s">
        <v>54</v>
      </c>
      <c r="B38" s="8">
        <f t="shared" ref="B38:M38" si="7">B29</f>
        <v>46.957536000000005</v>
      </c>
      <c r="C38" s="8">
        <f>C29</f>
        <v>313.20663999999999</v>
      </c>
      <c r="D38" s="8">
        <f t="shared" si="7"/>
        <v>279.99197200000003</v>
      </c>
      <c r="E38" s="8">
        <f t="shared" si="7"/>
        <v>2.5336800000000004</v>
      </c>
      <c r="F38" s="8">
        <f t="shared" si="7"/>
        <v>12.174176000000001</v>
      </c>
      <c r="G38" s="8">
        <f t="shared" si="7"/>
        <v>94.465600000000009</v>
      </c>
      <c r="H38" s="8">
        <f t="shared" si="7"/>
        <v>139.93420800000001</v>
      </c>
      <c r="I38" s="8">
        <f t="shared" si="7"/>
        <v>132.59592000000004</v>
      </c>
      <c r="J38" s="8">
        <f t="shared" si="7"/>
        <v>149.09862240000001</v>
      </c>
      <c r="K38" s="8">
        <f t="shared" si="7"/>
        <v>44.339399999999998</v>
      </c>
      <c r="L38" s="8">
        <f t="shared" si="7"/>
        <v>27.964320000000001</v>
      </c>
      <c r="M38" s="8">
        <f t="shared" si="7"/>
        <v>124.97548640000002</v>
      </c>
    </row>
    <row r="39" spans="1:22" x14ac:dyDescent="0.25">
      <c r="A39" t="s">
        <v>26</v>
      </c>
      <c r="B39" s="10">
        <f t="shared" ref="B39:M39" si="8">SUM(B35:B38)</f>
        <v>119.13753600000001</v>
      </c>
      <c r="C39" s="10">
        <f>SUM(C35:C38)</f>
        <v>1362.66264</v>
      </c>
      <c r="D39" s="10">
        <f t="shared" si="8"/>
        <v>987.71797200000015</v>
      </c>
      <c r="E39" s="10">
        <f t="shared" si="8"/>
        <v>34.787279999999996</v>
      </c>
      <c r="F39" s="10">
        <f t="shared" si="8"/>
        <v>25.662176000000002</v>
      </c>
      <c r="G39" s="10">
        <f t="shared" si="8"/>
        <v>621.6576</v>
      </c>
      <c r="H39" s="10">
        <f t="shared" si="8"/>
        <v>747.317408</v>
      </c>
      <c r="I39" s="10">
        <f t="shared" si="8"/>
        <v>422.06392000000005</v>
      </c>
      <c r="J39" s="10">
        <f t="shared" si="8"/>
        <v>540.13862240000003</v>
      </c>
      <c r="K39" s="10">
        <f t="shared" si="8"/>
        <v>732.00739999999985</v>
      </c>
      <c r="L39" s="10">
        <f t="shared" si="8"/>
        <v>134.09472</v>
      </c>
      <c r="M39" s="10">
        <f t="shared" si="8"/>
        <v>915.19548639999994</v>
      </c>
    </row>
    <row r="40" spans="1:22" x14ac:dyDescent="0.25">
      <c r="A40" t="s">
        <v>56</v>
      </c>
      <c r="B40" s="8">
        <f t="shared" ref="B40:M40" si="9">SUM(B35:B37)</f>
        <v>72.180000000000007</v>
      </c>
      <c r="C40" s="8">
        <f>SUM(C35:C37)</f>
        <v>1049.4560000000001</v>
      </c>
      <c r="D40" s="8">
        <f t="shared" si="9"/>
        <v>707.72600000000011</v>
      </c>
      <c r="E40" s="8">
        <f t="shared" si="9"/>
        <v>32.253599999999999</v>
      </c>
      <c r="F40" s="8">
        <f t="shared" si="9"/>
        <v>13.488</v>
      </c>
      <c r="G40" s="8">
        <f t="shared" si="9"/>
        <v>527.19200000000001</v>
      </c>
      <c r="H40" s="8">
        <f t="shared" si="9"/>
        <v>607.38319999999999</v>
      </c>
      <c r="I40" s="8">
        <f t="shared" si="9"/>
        <v>289.46800000000002</v>
      </c>
      <c r="J40" s="8">
        <f t="shared" si="9"/>
        <v>391.04</v>
      </c>
      <c r="K40" s="8">
        <f t="shared" si="9"/>
        <v>687.66799999999989</v>
      </c>
      <c r="L40" s="8">
        <f t="shared" si="9"/>
        <v>106.13040000000001</v>
      </c>
      <c r="M40" s="8">
        <f t="shared" si="9"/>
        <v>790.21999999999991</v>
      </c>
      <c r="T40" s="5"/>
    </row>
    <row r="41" spans="1:22" x14ac:dyDescent="0.25">
      <c r="A41" s="9" t="s">
        <v>55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T41" s="5"/>
      <c r="V41" s="5"/>
    </row>
    <row r="42" spans="1:22" x14ac:dyDescent="0.25">
      <c r="A42" t="s">
        <v>50</v>
      </c>
      <c r="B42" s="4">
        <f>B35/B$40</f>
        <v>0.45247991133277915</v>
      </c>
      <c r="C42" s="4">
        <f t="shared" ref="C42:M42" si="10">C35/C$40</f>
        <v>0.16833483252275463</v>
      </c>
      <c r="D42" s="4">
        <f t="shared" si="10"/>
        <v>6.7102240132480645E-2</v>
      </c>
      <c r="E42" s="4">
        <f t="shared" si="10"/>
        <v>0.26663690254731254</v>
      </c>
      <c r="F42" s="4">
        <f t="shared" si="10"/>
        <v>6.7467378410438913E-2</v>
      </c>
      <c r="G42" s="4">
        <f t="shared" si="10"/>
        <v>5.9940211535835144E-3</v>
      </c>
      <c r="H42" s="4">
        <f t="shared" si="10"/>
        <v>0.14177211355203767</v>
      </c>
      <c r="I42" s="4">
        <f t="shared" si="10"/>
        <v>0.87056254922823939</v>
      </c>
      <c r="J42" s="4">
        <f t="shared" si="10"/>
        <v>6.1886252045826508E-3</v>
      </c>
      <c r="K42" s="4">
        <f t="shared" si="10"/>
        <v>0.31174927435913846</v>
      </c>
      <c r="L42" s="4">
        <f t="shared" si="10"/>
        <v>1.7902504843098677E-2</v>
      </c>
      <c r="M42" s="4">
        <f t="shared" si="10"/>
        <v>1.0161727113968263E-2</v>
      </c>
      <c r="T42" s="5"/>
    </row>
    <row r="43" spans="1:22" x14ac:dyDescent="0.25">
      <c r="A43" t="s">
        <v>57</v>
      </c>
      <c r="B43" s="4">
        <f>B37/B$40</f>
        <v>0.23935716264893311</v>
      </c>
      <c r="C43" s="4">
        <f t="shared" ref="C43:M43" si="11">C37/C$40</f>
        <v>0.26900367558765814</v>
      </c>
      <c r="D43" s="4">
        <f t="shared" si="11"/>
        <v>0.66083586020578577</v>
      </c>
      <c r="E43" s="4">
        <f t="shared" si="11"/>
        <v>0.21390513078589021</v>
      </c>
      <c r="F43" s="4">
        <f t="shared" si="11"/>
        <v>0.36375079951423345</v>
      </c>
      <c r="G43" s="4">
        <f t="shared" si="11"/>
        <v>0.48307682969392557</v>
      </c>
      <c r="H43" s="4">
        <f t="shared" si="11"/>
        <v>0.60585881203167957</v>
      </c>
      <c r="I43" s="4">
        <f t="shared" si="11"/>
        <v>8.1136982326198384E-2</v>
      </c>
      <c r="J43" s="4">
        <f t="shared" si="11"/>
        <v>0.88593289689034371</v>
      </c>
      <c r="K43" s="4">
        <f t="shared" si="11"/>
        <v>0.16252326684024246</v>
      </c>
      <c r="L43" s="4">
        <f t="shared" si="11"/>
        <v>0.39124518516843426</v>
      </c>
      <c r="M43" s="4">
        <f t="shared" si="11"/>
        <v>0.40363898661132347</v>
      </c>
    </row>
    <row r="44" spans="1:22" x14ac:dyDescent="0.25">
      <c r="A44" t="s">
        <v>51</v>
      </c>
      <c r="B44" s="4">
        <f t="shared" ref="B44:M44" si="12">B36/B$40</f>
        <v>0.3081629260182876</v>
      </c>
      <c r="C44" s="4">
        <f t="shared" si="12"/>
        <v>0.56266149188958714</v>
      </c>
      <c r="D44" s="4">
        <f t="shared" si="12"/>
        <v>0.27206189966173344</v>
      </c>
      <c r="E44" s="4">
        <f t="shared" si="12"/>
        <v>0.51945796666679711</v>
      </c>
      <c r="F44" s="4">
        <f t="shared" si="12"/>
        <v>0.56878182207532768</v>
      </c>
      <c r="G44" s="4">
        <f t="shared" si="12"/>
        <v>0.51092914915249088</v>
      </c>
      <c r="H44" s="4">
        <f t="shared" si="12"/>
        <v>0.25236907441628287</v>
      </c>
      <c r="I44" s="4">
        <f t="shared" si="12"/>
        <v>4.8300468445562197E-2</v>
      </c>
      <c r="J44" s="4">
        <f t="shared" si="12"/>
        <v>0.10787847790507363</v>
      </c>
      <c r="K44" s="4">
        <f t="shared" si="12"/>
        <v>0.52572745880061922</v>
      </c>
      <c r="L44" s="4">
        <f t="shared" si="12"/>
        <v>0.59085230998846705</v>
      </c>
      <c r="M44" s="4">
        <f t="shared" si="12"/>
        <v>0.5861992862747083</v>
      </c>
    </row>
    <row r="45" spans="1:22" x14ac:dyDescent="0.25">
      <c r="A45" s="9" t="s">
        <v>64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22" x14ac:dyDescent="0.25">
      <c r="A46" t="s">
        <v>50</v>
      </c>
      <c r="B46" s="4">
        <f>B35/B$39</f>
        <v>0.27413694370848835</v>
      </c>
      <c r="C46" s="4">
        <f t="shared" ref="C46:M46" si="13">C35/C$39</f>
        <v>0.12964324023736351</v>
      </c>
      <c r="D46" s="4">
        <f t="shared" si="13"/>
        <v>4.8080526371145141E-2</v>
      </c>
      <c r="E46" s="4">
        <f t="shared" si="13"/>
        <v>0.24721679878392333</v>
      </c>
      <c r="F46" s="4">
        <f t="shared" si="13"/>
        <v>3.5460749704156032E-2</v>
      </c>
      <c r="G46" s="4">
        <f t="shared" si="13"/>
        <v>5.0831840550167812E-3</v>
      </c>
      <c r="H46" s="4">
        <f t="shared" si="13"/>
        <v>0.11522547056738708</v>
      </c>
      <c r="I46" s="4">
        <f t="shared" si="13"/>
        <v>0.5970659610042004</v>
      </c>
      <c r="J46" s="4">
        <f t="shared" si="13"/>
        <v>4.4803313439190934E-3</v>
      </c>
      <c r="K46" s="4">
        <f t="shared" si="13"/>
        <v>0.29286589179289724</v>
      </c>
      <c r="L46" s="4">
        <f t="shared" si="13"/>
        <v>1.4169088835115954E-2</v>
      </c>
      <c r="M46" s="4">
        <f t="shared" si="13"/>
        <v>8.7740817337142851E-3</v>
      </c>
    </row>
    <row r="47" spans="1:22" x14ac:dyDescent="0.25">
      <c r="A47" t="s">
        <v>57</v>
      </c>
      <c r="B47" s="4">
        <f>B37/B$39</f>
        <v>0.14501558937730585</v>
      </c>
      <c r="C47" s="4">
        <f t="shared" ref="C47:M47" si="14">C37/C$39</f>
        <v>0.2071734507724681</v>
      </c>
      <c r="D47" s="4">
        <f t="shared" si="14"/>
        <v>0.4735063381027555</v>
      </c>
      <c r="E47" s="4">
        <f t="shared" si="14"/>
        <v>0.19832566749443445</v>
      </c>
      <c r="F47" s="4">
        <f t="shared" si="14"/>
        <v>0.19118685741411717</v>
      </c>
      <c r="G47" s="4">
        <f t="shared" si="14"/>
        <v>0.40966963164288511</v>
      </c>
      <c r="H47" s="4">
        <f t="shared" si="14"/>
        <v>0.49241254125850636</v>
      </c>
      <c r="I47" s="4">
        <f t="shared" si="14"/>
        <v>5.5646926655090523E-2</v>
      </c>
      <c r="J47" s="4">
        <f t="shared" si="14"/>
        <v>0.64138201867639666</v>
      </c>
      <c r="K47" s="4">
        <f t="shared" si="14"/>
        <v>0.15267885251091157</v>
      </c>
      <c r="L47" s="4">
        <f t="shared" si="14"/>
        <v>0.30965431002801602</v>
      </c>
      <c r="M47" s="4">
        <f t="shared" si="14"/>
        <v>0.34851963841590905</v>
      </c>
    </row>
    <row r="48" spans="1:22" x14ac:dyDescent="0.25">
      <c r="A48" t="s">
        <v>51</v>
      </c>
      <c r="B48" s="4">
        <f>B36/B$39</f>
        <v>0.18670186363431251</v>
      </c>
      <c r="C48" s="4">
        <f t="shared" ref="C48:M48" si="15">C36/C$39</f>
        <v>0.43333431276319329</v>
      </c>
      <c r="D48" s="4">
        <f t="shared" si="15"/>
        <v>0.19493953280015844</v>
      </c>
      <c r="E48" s="4">
        <f t="shared" si="15"/>
        <v>0.48162401526317117</v>
      </c>
      <c r="F48" s="4">
        <f t="shared" si="15"/>
        <v>0.29895084563959107</v>
      </c>
      <c r="G48" s="4">
        <f t="shared" si="15"/>
        <v>0.43328957934399898</v>
      </c>
      <c r="H48" s="4">
        <f t="shared" si="15"/>
        <v>0.20511329504584486</v>
      </c>
      <c r="I48" s="4">
        <f t="shared" si="15"/>
        <v>3.3126356785010191E-2</v>
      </c>
      <c r="J48" s="4">
        <f t="shared" si="15"/>
        <v>7.8099951106181065E-2</v>
      </c>
      <c r="K48" s="4">
        <f t="shared" si="15"/>
        <v>0.49388291721983169</v>
      </c>
      <c r="L48" s="4">
        <f t="shared" si="15"/>
        <v>0.46763505677181033</v>
      </c>
      <c r="M48" s="4">
        <f t="shared" si="15"/>
        <v>0.50615022351360228</v>
      </c>
    </row>
    <row r="49" spans="1:13" x14ac:dyDescent="0.25">
      <c r="A49" t="s">
        <v>36</v>
      </c>
      <c r="B49" s="4">
        <f>B38/B$39</f>
        <v>0.39414560327989323</v>
      </c>
      <c r="C49" s="4">
        <f t="shared" ref="C49:M49" si="16">C38/C$39</f>
        <v>0.22984899622697513</v>
      </c>
      <c r="D49" s="4">
        <f t="shared" si="16"/>
        <v>0.28347360272594085</v>
      </c>
      <c r="E49" s="4">
        <f t="shared" si="16"/>
        <v>7.2833518458471053E-2</v>
      </c>
      <c r="F49" s="4">
        <f t="shared" si="16"/>
        <v>0.47440154724213568</v>
      </c>
      <c r="G49" s="4">
        <f t="shared" si="16"/>
        <v>0.15195760495809912</v>
      </c>
      <c r="H49" s="4">
        <f t="shared" si="16"/>
        <v>0.18724869312826178</v>
      </c>
      <c r="I49" s="4">
        <f t="shared" si="16"/>
        <v>0.31416075555569883</v>
      </c>
      <c r="J49" s="4">
        <f t="shared" si="16"/>
        <v>0.2760376988735031</v>
      </c>
      <c r="K49" s="4">
        <f t="shared" si="16"/>
        <v>6.0572338476359677E-2</v>
      </c>
      <c r="L49" s="4">
        <f t="shared" si="16"/>
        <v>0.20854154436505778</v>
      </c>
      <c r="M49" s="4">
        <f t="shared" si="16"/>
        <v>0.13655605633677437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14542-2642-452A-849B-1DD08CED073B}">
  <ds:schemaRefs>
    <ds:schemaRef ds:uri="http://purl.org/dc/dcmitype/"/>
    <ds:schemaRef ds:uri="http://purl.org/dc/elements/1.1/"/>
    <ds:schemaRef ds:uri="http://schemas.microsoft.com/office/2006/documentManagement/types"/>
    <ds:schemaRef ds:uri="31ffec6e-e0c6-46d3-bf16-e7019fdf1f95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0b5f8f8-e964-4ea5-9bc5-5fa83731a92f"/>
  </ds:schemaRefs>
</ds:datastoreItem>
</file>

<file path=customXml/itemProps2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2024-06-02T05:57:06Z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