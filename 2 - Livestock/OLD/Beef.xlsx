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2 - Livestock/"/>
    </mc:Choice>
  </mc:AlternateContent>
  <xr:revisionPtr revIDLastSave="2638" documentId="11_09BA258EDEF97A4B11A9FA457F2544DE673A65BC" xr6:coauthVersionLast="47" xr6:coauthVersionMax="47" xr10:uidLastSave="{79522DB1-C95E-49CA-9307-4CB4E5DB51D9}"/>
  <bookViews>
    <workbookView xWindow="-120" yWindow="-120" windowWidth="29040" windowHeight="17640" firstSheet="1" activeTab="1" xr2:uid="{00000000-000D-0000-FFFF-FFFF00000000}"/>
  </bookViews>
  <sheets>
    <sheet name="README" sheetId="18" r:id="rId1"/>
    <sheet name="Footprints, results per kg" sheetId="17" r:id="rId2"/>
    <sheet name="GHG detailed, results per kg" sheetId="32" r:id="rId3"/>
    <sheet name="GHG detailed, results per kg CW" sheetId="13" r:id="rId4"/>
    <sheet name="Data from Ahlgren et al" sheetId="30" r:id="rId5"/>
    <sheet name="Shares in prod syst" sheetId="29" r:id="rId6"/>
    <sheet name="CF Climate" sheetId="31" r:id="rId7"/>
    <sheet name="References" sheetId="21" r:id="rId8"/>
    <sheet name="Verification" sheetId="33" r:id="rId9"/>
  </sheets>
  <externalReferences>
    <externalReference r:id="rId10"/>
  </externalReferences>
  <definedNames>
    <definedName name="_xlnm._FilterDatabase" localSheetId="1" hidden="1">'Footprints, results per kg'!$D$6:$U$6</definedName>
    <definedName name="Ability_to_perceive_handling">#REF!</definedName>
    <definedName name="BGBE">#REF!</definedName>
    <definedName name="Boars_per_sow">#REF!</definedName>
    <definedName name="Bonefree_outof_CW_AT">#REF!</definedName>
    <definedName name="Bonefree_outof_CW_BE">#REF!</definedName>
    <definedName name="Bonefree_outof_CW_BG">#REF!</definedName>
    <definedName name="Bonefree_outof_CW_BR">#REF!</definedName>
    <definedName name="Bonefree_outof_CW_CY">#REF!</definedName>
    <definedName name="Bonefree_outof_CW_CZ">#REF!</definedName>
    <definedName name="Bonefree_outof_CW_DE">#REF!</definedName>
    <definedName name="Bonefree_outof_CW_DK">#REF!</definedName>
    <definedName name="Bonefree_outof_CW_EE">#REF!</definedName>
    <definedName name="Bonefree_outof_CW_ES">#REF!</definedName>
    <definedName name="Bonefree_outof_CW_FI">#REF!</definedName>
    <definedName name="Bonefree_outof_CW_FR">#REF!</definedName>
    <definedName name="Bonefree_outof_CW_GB">#REF!</definedName>
    <definedName name="Bonefree_outof_CW_GR">#REF!</definedName>
    <definedName name="Bonefree_outof_CW_HR">#REF!</definedName>
    <definedName name="Bonefree_outof_CW_HU">#REF!</definedName>
    <definedName name="Bonefree_outof_CW_IE">#REF!</definedName>
    <definedName name="Bonefree_outof_CW_IT">#REF!</definedName>
    <definedName name="Bonefree_outof_CW_LT">#REF!</definedName>
    <definedName name="Bonefree_outof_CW_LV">#REF!</definedName>
    <definedName name="Bonefree_outof_CW_MT">#REF!</definedName>
    <definedName name="Bonefree_outof_CW_NL">#REF!</definedName>
    <definedName name="Bonefree_outof_CW_PL">#REF!</definedName>
    <definedName name="Bonefree_outof_CW_PT">#REF!</definedName>
    <definedName name="Bonefree_outof_CW_RO">#REF!</definedName>
    <definedName name="Bonefree_outof_CW_SE">#REF!</definedName>
    <definedName name="Bonefree_outof_CW_SI">#REF!</definedName>
    <definedName name="Bonefree_outof_CW_SK">#REF!</definedName>
    <definedName name="Bonefree_outof_CW_TH">#REF!</definedName>
    <definedName name="Bonefree_outof_CW_US">#REF!</definedName>
    <definedName name="CF_GWP_CH4_fossil">#REF!</definedName>
    <definedName name="CF_GWP_N2O">#REF!</definedName>
    <definedName name="CY">#REF!</definedName>
    <definedName name="EF_ammonia_AT">#REF!</definedName>
    <definedName name="EF_ammonia_BE">#REF!</definedName>
    <definedName name="EF_ammonia_BG">#REF!</definedName>
    <definedName name="EF_ammonia_BR">#REF!</definedName>
    <definedName name="EF_ammonia_CY">#REF!</definedName>
    <definedName name="EF_ammonia_CZ">#REF!</definedName>
    <definedName name="EF_ammonia_DE">#REF!</definedName>
    <definedName name="EF_ammonia_DK">#REF!</definedName>
    <definedName name="EF_ammonia_EE">#REF!</definedName>
    <definedName name="EF_ammonia_ES">#REF!</definedName>
    <definedName name="EF_ammonia_FI">#REF!</definedName>
    <definedName name="EF_ammonia_FR">#REF!</definedName>
    <definedName name="EF_ammonia_GB">#REF!</definedName>
    <definedName name="EF_ammonia_GR">#REF!</definedName>
    <definedName name="EF_ammonia_HR">#REF!</definedName>
    <definedName name="EF_ammonia_HU">#REF!</definedName>
    <definedName name="EF_ammonia_IE">#REF!</definedName>
    <definedName name="EF_ammonia_IT">#REF!</definedName>
    <definedName name="EF_ammonia_LT">#REF!</definedName>
    <definedName name="EF_ammonia_LV">#REF!</definedName>
    <definedName name="EF_ammonia_MT">#REF!</definedName>
    <definedName name="EF_ammonia_NL">#REF!</definedName>
    <definedName name="EF_ammonia_PL">#REF!</definedName>
    <definedName name="EF_ammonia_PT">#REF!</definedName>
    <definedName name="EF_ammonia_RO">#REF!</definedName>
    <definedName name="EF_ammonia_SE">#REF!</definedName>
    <definedName name="EF_ammonia_SI">#REF!</definedName>
    <definedName name="EF_ammonia_SK">#REF!</definedName>
    <definedName name="EF_ammonia_TH">#REF!</definedName>
    <definedName name="EF_ammonia_US">#REF!</definedName>
    <definedName name="EF_biofuel_CH4">#REF!</definedName>
    <definedName name="EF_biofuel_N2O">#REF!</definedName>
    <definedName name="EF_biofuels_CO2">#REF!</definedName>
    <definedName name="EF_CH4_manure_AT">#REF!</definedName>
    <definedName name="EF_CH4_manure_BE">#REF!</definedName>
    <definedName name="EF_CH4_manure_BG">#REF!</definedName>
    <definedName name="EF_CH4_manure_BR">#REF!</definedName>
    <definedName name="EF_CH4_manure_CY">#REF!</definedName>
    <definedName name="EF_CH4_manure_CZ">#REF!</definedName>
    <definedName name="EF_CH4_manure_DE">#REF!</definedName>
    <definedName name="EF_CH4_manure_DK">#REF!</definedName>
    <definedName name="EF_CH4_manure_EE">#REF!</definedName>
    <definedName name="EF_CH4_manure_ES">#REF!</definedName>
    <definedName name="EF_CH4_manure_FI">#REF!</definedName>
    <definedName name="EF_CH4_manure_FR">#REF!</definedName>
    <definedName name="EF_CH4_manure_GB">#REF!</definedName>
    <definedName name="EF_CH4_manure_GR">#REF!</definedName>
    <definedName name="EF_CH4_manure_HR">#REF!</definedName>
    <definedName name="EF_CH4_manure_HU">#REF!</definedName>
    <definedName name="EF_CH4_manure_IE">#REF!</definedName>
    <definedName name="EF_CH4_manure_IT">#REF!</definedName>
    <definedName name="EF_CH4_manure_LT">#REF!</definedName>
    <definedName name="EF_CH4_manure_LV">#REF!</definedName>
    <definedName name="EF_CH4_manure_MT">#REF!</definedName>
    <definedName name="EF_CH4_manure_NL">#REF!</definedName>
    <definedName name="EF_CH4_manure_PL">#REF!</definedName>
    <definedName name="EF_CH4_manure_PT">#REF!</definedName>
    <definedName name="EF_CH4_manure_RO">#REF!</definedName>
    <definedName name="EF_CH4_manure_SE">#REF!</definedName>
    <definedName name="EF_CH4_manure_SI">#REF!</definedName>
    <definedName name="EF_CH4_manure_SK">#REF!</definedName>
    <definedName name="EF_CH4_manure_TH">#REF!</definedName>
    <definedName name="EF_CH4_manure_US">#REF!</definedName>
    <definedName name="EF_el_CH4_AT">#REF!</definedName>
    <definedName name="EF_el_CH4_BE">#REF!</definedName>
    <definedName name="EF_el_CH4_BG">#REF!</definedName>
    <definedName name="EF_el_CH4_BR">#REF!</definedName>
    <definedName name="EF_el_CH4_CY">#REF!</definedName>
    <definedName name="EF_el_CH4_CZ">#REF!</definedName>
    <definedName name="EF_el_CH4_DE">#REF!</definedName>
    <definedName name="EF_el_CH4_DK">#REF!</definedName>
    <definedName name="EF_el_CH4_EE">#REF!</definedName>
    <definedName name="EF_el_CH4_ES">#REF!</definedName>
    <definedName name="EF_el_CH4_FI">#REF!</definedName>
    <definedName name="EF_el_CH4_FR">#REF!</definedName>
    <definedName name="EF_el_CH4_GB">#REF!</definedName>
    <definedName name="EF_el_CH4_GR">#REF!</definedName>
    <definedName name="EF_el_CH4_HR">#REF!</definedName>
    <definedName name="EF_el_CH4_HU">#REF!</definedName>
    <definedName name="EF_el_CH4_IE">#REF!</definedName>
    <definedName name="EF_el_CH4_IT">#REF!</definedName>
    <definedName name="EF_el_CH4_LT">#REF!</definedName>
    <definedName name="EF_el_CH4_LV">#REF!</definedName>
    <definedName name="EF_el_CH4_MT">#REF!</definedName>
    <definedName name="EF_el_CH4_NL">#REF!</definedName>
    <definedName name="EF_el_CH4_PL">#REF!</definedName>
    <definedName name="EF_el_CH4_PT">#REF!</definedName>
    <definedName name="EF_el_CH4_RO">#REF!</definedName>
    <definedName name="EF_el_CH4_SE">#REF!</definedName>
    <definedName name="EF_el_CH4_SI">#REF!</definedName>
    <definedName name="EF_el_CH4_SK">#REF!</definedName>
    <definedName name="EF_el_CH4_TH">#REF!</definedName>
    <definedName name="EF_el_CH4_US">#REF!</definedName>
    <definedName name="EF_el_CO2_AT">#REF!</definedName>
    <definedName name="EF_el_CO2_BE">#REF!</definedName>
    <definedName name="EF_el_CO2_BG">#REF!</definedName>
    <definedName name="EF_el_CO2_BR">#REF!</definedName>
    <definedName name="EF_el_CO2_CY">#REF!</definedName>
    <definedName name="EF_el_CO2_CZ">#REF!</definedName>
    <definedName name="EF_el_CO2_DE">#REF!</definedName>
    <definedName name="EF_el_CO2_DK">#REF!</definedName>
    <definedName name="EF_el_CO2_EE">#REF!</definedName>
    <definedName name="EF_el_CO2_ES">#REF!</definedName>
    <definedName name="EF_el_CO2_FI">#REF!</definedName>
    <definedName name="EF_el_CO2_FR">#REF!</definedName>
    <definedName name="EF_el_CO2_GB">#REF!</definedName>
    <definedName name="EF_el_CO2_GR">#REF!</definedName>
    <definedName name="EF_el_CO2_HR">#REF!</definedName>
    <definedName name="EF_el_CO2_HU">#REF!</definedName>
    <definedName name="EF_el_CO2_IE">#REF!</definedName>
    <definedName name="EF_el_CO2_IT">#REF!</definedName>
    <definedName name="EF_el_CO2_LT">#REF!</definedName>
    <definedName name="EF_el_CO2_LV">#REF!</definedName>
    <definedName name="EF_el_CO2_MT">#REF!</definedName>
    <definedName name="EF_el_CO2_NL">#REF!</definedName>
    <definedName name="EF_el_CO2_PL">#REF!</definedName>
    <definedName name="EF_el_CO2_PT">#REF!</definedName>
    <definedName name="EF_el_CO2_RO">#REF!</definedName>
    <definedName name="EF_el_CO2_SE">#REF!</definedName>
    <definedName name="EF_el_CO2_SI">#REF!</definedName>
    <definedName name="EF_el_CO2_SK">#REF!</definedName>
    <definedName name="EF_el_CO2_TH">#REF!</definedName>
    <definedName name="EF_el_CO2_US">#REF!</definedName>
    <definedName name="EF_el_N2O_AT">#REF!</definedName>
    <definedName name="EF_el_N2O_BE">#REF!</definedName>
    <definedName name="EF_el_N2O_BG">#REF!</definedName>
    <definedName name="EF_el_N2O_BR">#REF!</definedName>
    <definedName name="EF_el_N2O_CY">#REF!</definedName>
    <definedName name="EF_el_N2O_CZ">#REF!</definedName>
    <definedName name="EF_el_N2O_DE">#REF!</definedName>
    <definedName name="EF_el_N2O_DK">#REF!</definedName>
    <definedName name="EF_el_N2O_EE">#REF!</definedName>
    <definedName name="EF_el_N2O_ES">#REF!</definedName>
    <definedName name="EF_el_N2O_FI">#REF!</definedName>
    <definedName name="EF_el_N2O_FR">#REF!</definedName>
    <definedName name="EF_el_N2O_GB">#REF!</definedName>
    <definedName name="EF_el_N2O_GR">#REF!</definedName>
    <definedName name="EF_el_N2O_HR">#REF!</definedName>
    <definedName name="EF_el_N2O_HU">#REF!</definedName>
    <definedName name="EF_el_N2O_IE">#REF!</definedName>
    <definedName name="EF_el_N2O_IT">#REF!</definedName>
    <definedName name="EF_el_N2O_LT">#REF!</definedName>
    <definedName name="EF_el_N2O_LV">#REF!</definedName>
    <definedName name="EF_el_N2O_MT">#REF!</definedName>
    <definedName name="EF_el_N2O_NL">#REF!</definedName>
    <definedName name="EF_el_N2O_PL">#REF!</definedName>
    <definedName name="EF_el_N2O_PT">#REF!</definedName>
    <definedName name="EF_el_N2O_RO">#REF!</definedName>
    <definedName name="EF_el_N2O_SE">#REF!</definedName>
    <definedName name="EF_el_N2O_SI">#REF!</definedName>
    <definedName name="EF_el_N2O_SK">#REF!</definedName>
    <definedName name="EF_el_N2O_TH">#REF!</definedName>
    <definedName name="EF_el_N2O_US">#REF!</definedName>
    <definedName name="EF_electricity">#REF!</definedName>
    <definedName name="EF_ent_ferm_AT">#REF!</definedName>
    <definedName name="EF_ent_ferm_BE">#REF!</definedName>
    <definedName name="EF_ent_ferm_BG">#REF!</definedName>
    <definedName name="EF_ent_ferm_BR">#REF!</definedName>
    <definedName name="EF_ent_ferm_CY">#REF!</definedName>
    <definedName name="EF_ent_ferm_CZ">#REF!</definedName>
    <definedName name="EF_ent_ferm_DE">#REF!</definedName>
    <definedName name="EF_ent_ferm_DK">#REF!</definedName>
    <definedName name="EF_ent_ferm_EE">#REF!</definedName>
    <definedName name="EF_ent_ferm_ES">#REF!</definedName>
    <definedName name="EF_ent_ferm_FI">#REF!</definedName>
    <definedName name="EF_ent_ferm_FR">#REF!</definedName>
    <definedName name="EF_ent_ferm_GB">#REF!</definedName>
    <definedName name="EF_ent_ferm_GR">#REF!</definedName>
    <definedName name="EF_ent_ferm_HR">#REF!</definedName>
    <definedName name="EF_ent_ferm_HU">#REF!</definedName>
    <definedName name="EF_ent_ferm_IE">#REF!</definedName>
    <definedName name="EF_ent_ferm_IT">#REF!</definedName>
    <definedName name="EF_ent_ferm_LT">#REF!</definedName>
    <definedName name="EF_ent_ferm_LV">#REF!</definedName>
    <definedName name="EF_ent_ferm_MT">#REF!</definedName>
    <definedName name="EF_ent_ferm_NL">#REF!</definedName>
    <definedName name="EF_ent_ferm_PL">#REF!</definedName>
    <definedName name="EF_ent_ferm_PT">#REF!</definedName>
    <definedName name="EF_ent_ferm_RO">#REF!</definedName>
    <definedName name="EF_ent_ferm_SE">#REF!</definedName>
    <definedName name="EF_ent_ferm_SI">#REF!</definedName>
    <definedName name="EF_ent_ferm_SK">#REF!</definedName>
    <definedName name="EF_ent_ferm_TH">#REF!</definedName>
    <definedName name="EF_ent_ferm_US">#REF!</definedName>
    <definedName name="EF_GWP_CH4_biog">#REF!</definedName>
    <definedName name="EF_indirect_N2O_AT">#REF!</definedName>
    <definedName name="EF_indirect_N2O_BE">#REF!</definedName>
    <definedName name="EF_indirect_N2O_BG">#REF!</definedName>
    <definedName name="EF_indirect_N2O_BR">#REF!</definedName>
    <definedName name="EF_indirect_N2O_CY">#REF!</definedName>
    <definedName name="EF_indirect_N2O_CZ">#REF!</definedName>
    <definedName name="EF_indirect_N2O_DE">#REF!</definedName>
    <definedName name="EF_indirect_N2O_DK">#REF!</definedName>
    <definedName name="EF_indirect_N2O_EE">#REF!</definedName>
    <definedName name="EF_indirect_N2O_ES">#REF!</definedName>
    <definedName name="EF_indirect_N2O_FI">#REF!</definedName>
    <definedName name="EF_indirect_N2O_FR">#REF!</definedName>
    <definedName name="EF_indirect_N2O_GB">#REF!</definedName>
    <definedName name="EF_indirect_N2O_GR">#REF!</definedName>
    <definedName name="EF_indirect_N2O_HR">#REF!</definedName>
    <definedName name="EF_indirect_N2O_HU">#REF!</definedName>
    <definedName name="EF_indirect_N2O_IE">#REF!</definedName>
    <definedName name="EF_indirect_N2O_IT">#REF!</definedName>
    <definedName name="EF_indirect_N2O_LT">#REF!</definedName>
    <definedName name="EF_indirect_N2O_LV">#REF!</definedName>
    <definedName name="EF_indirect_N2O_MT">#REF!</definedName>
    <definedName name="EF_indirect_N2O_NL">#REF!</definedName>
    <definedName name="EF_indirect_N2O_PL">#REF!</definedName>
    <definedName name="EF_indirect_N2O_PT">#REF!</definedName>
    <definedName name="EF_indirect_N2O_RO">#REF!</definedName>
    <definedName name="EF_indirect_N2O_SE">#REF!</definedName>
    <definedName name="EF_indirect_N2O_SI">#REF!</definedName>
    <definedName name="EF_indirect_N2O_SK">#REF!</definedName>
    <definedName name="EF_indirect_N2O_TH">#REF!</definedName>
    <definedName name="EF_indirect_N2O_US">#REF!</definedName>
    <definedName name="EF_min_fert_AN_CH4">#REF!</definedName>
    <definedName name="EF_min_fert_AN_CO2">#REF!</definedName>
    <definedName name="EF_min_fert_AN_N2O">#REF!</definedName>
    <definedName name="EF_min_fert_BAT_CH4">#REF!</definedName>
    <definedName name="EF_min_fert_BAT_CO2">#REF!</definedName>
    <definedName name="EF_min_fert_BAT_N2O">#REF!</definedName>
    <definedName name="EF_N2O_diff_AT">#REF!</definedName>
    <definedName name="EF_N2O_diff_BE">#REF!</definedName>
    <definedName name="EF_N2O_diff_BG">#REF!</definedName>
    <definedName name="EF_N2O_diff_BR">#REF!</definedName>
    <definedName name="EF_N2O_diff_CY">#REF!</definedName>
    <definedName name="EF_N2O_diff_CZ">#REF!</definedName>
    <definedName name="EF_N2O_diff_DE">#REF!</definedName>
    <definedName name="EF_N2O_diff_DK">#REF!</definedName>
    <definedName name="EF_N2O_diff_EE">#REF!</definedName>
    <definedName name="EF_N2O_diff_ES">#REF!</definedName>
    <definedName name="EF_N2O_diff_FI">#REF!</definedName>
    <definedName name="EF_N2O_diff_FR">#REF!</definedName>
    <definedName name="EF_N2O_diff_GB">#REF!</definedName>
    <definedName name="EF_N2O_diff_GR">#REF!</definedName>
    <definedName name="EF_N2O_diff_HR">#REF!</definedName>
    <definedName name="EF_N2O_diff_HU">#REF!</definedName>
    <definedName name="EF_N2O_diff_IE">#REF!</definedName>
    <definedName name="EF_N2O_diff_IT">#REF!</definedName>
    <definedName name="EF_N2O_diff_LT">#REF!</definedName>
    <definedName name="EF_N2O_diff_LV">#REF!</definedName>
    <definedName name="EF_N2O_diff_MT">#REF!</definedName>
    <definedName name="EF_N2O_diff_NL">#REF!</definedName>
    <definedName name="EF_N2O_diff_PL">#REF!</definedName>
    <definedName name="EF_N2O_diff_PT">#REF!</definedName>
    <definedName name="EF_N2O_diff_RO">#REF!</definedName>
    <definedName name="EF_N2O_diff_SE">#REF!</definedName>
    <definedName name="EF_N2O_diff_SI">#REF!</definedName>
    <definedName name="EF_N2O_diff_SK">#REF!</definedName>
    <definedName name="EF_N2O_diff_TH">#REF!</definedName>
    <definedName name="EF_N2O_diff_US">#REF!</definedName>
    <definedName name="EF_N2O_manure_direct_AT">#REF!</definedName>
    <definedName name="EF_N2O_manure_direct_BE">#REF!</definedName>
    <definedName name="EF_N2O_manure_direct_BG">#REF!</definedName>
    <definedName name="EF_N2O_manure_direct_BR">#REF!</definedName>
    <definedName name="EF_N2O_manure_direct_CY">#REF!</definedName>
    <definedName name="EF_N2O_manure_direct_CZ">#REF!</definedName>
    <definedName name="EF_N2O_manure_direct_DE">#REF!</definedName>
    <definedName name="EF_N2O_manure_direct_DK">#REF!</definedName>
    <definedName name="EF_N2O_manure_direct_EE">#REF!</definedName>
    <definedName name="EF_N2O_manure_direct_ES">#REF!</definedName>
    <definedName name="EF_N2O_manure_direct_FI">#REF!</definedName>
    <definedName name="EF_N2O_manure_direct_FR">#REF!</definedName>
    <definedName name="EF_N2O_manure_direct_GB">#REF!</definedName>
    <definedName name="EF_N2O_manure_direct_GR">#REF!</definedName>
    <definedName name="EF_N2O_manure_direct_HR">#REF!</definedName>
    <definedName name="EF_N2O_manure_direct_HU">#REF!</definedName>
    <definedName name="EF_N2O_manure_direct_IE">#REF!</definedName>
    <definedName name="EF_N2O_manure_direct_IT">#REF!</definedName>
    <definedName name="EF_N2O_manure_direct_LT">#REF!</definedName>
    <definedName name="EF_N2O_manure_direct_LV">#REF!</definedName>
    <definedName name="EF_N2O_manure_direct_MT">#REF!</definedName>
    <definedName name="EF_N2O_manure_direct_NL">#REF!</definedName>
    <definedName name="EF_N2O_manure_direct_PL">#REF!</definedName>
    <definedName name="EF_N2O_manure_direct_PT">#REF!</definedName>
    <definedName name="EF_N2O_manure_direct_RO">#REF!</definedName>
    <definedName name="EF_N2O_manure_direct_SE">#REF!</definedName>
    <definedName name="EF_N2O_manure_direct_SI">#REF!</definedName>
    <definedName name="EF_N2O_manure_direct_SK">#REF!</definedName>
    <definedName name="EF_N2O_manure_direct_TH">#REF!</definedName>
    <definedName name="EF_N2O_manure_direct_US">#REF!</definedName>
    <definedName name="EF_oil_CH4">#REF!</definedName>
    <definedName name="EF_oil_CO2">#REF!</definedName>
    <definedName name="EF_oil_N2O">#REF!</definedName>
    <definedName name="Energy_slaughter_el_AT">#REF!</definedName>
    <definedName name="Energy_slaughter_el_BE">#REF!</definedName>
    <definedName name="Energy_slaughter_el_BG">#REF!</definedName>
    <definedName name="Energy_slaughter_el_BR">#REF!</definedName>
    <definedName name="Energy_slaughter_el_CY">#REF!</definedName>
    <definedName name="Energy_slaughter_el_CZ">#REF!</definedName>
    <definedName name="Energy_slaughter_el_DE">#REF!</definedName>
    <definedName name="Energy_slaughter_el_DK">#REF!</definedName>
    <definedName name="Energy_slaughter_el_EE">#REF!</definedName>
    <definedName name="Energy_slaughter_el_ES">#REF!</definedName>
    <definedName name="Energy_slaughter_el_FI">#REF!</definedName>
    <definedName name="Energy_slaughter_el_FR">#REF!</definedName>
    <definedName name="Energy_slaughter_el_GB">#REF!</definedName>
    <definedName name="Energy_slaughter_el_GR">#REF!</definedName>
    <definedName name="Energy_slaughter_el_HR">#REF!</definedName>
    <definedName name="Energy_slaughter_el_HU">#REF!</definedName>
    <definedName name="Energy_slaughter_el_IE">#REF!</definedName>
    <definedName name="Energy_slaughter_el_IT">#REF!</definedName>
    <definedName name="Energy_slaughter_el_LT">#REF!</definedName>
    <definedName name="Energy_slaughter_el_LV">#REF!</definedName>
    <definedName name="Energy_slaughter_el_MT">#REF!</definedName>
    <definedName name="Energy_slaughter_el_NL">#REF!</definedName>
    <definedName name="Energy_slaughter_el_PL">#REF!</definedName>
    <definedName name="Energy_slaughter_el_PT">#REF!</definedName>
    <definedName name="Energy_slaughter_el_RO">#REF!</definedName>
    <definedName name="Energy_slaughter_el_SE">#REF!</definedName>
    <definedName name="Energy_slaughter_el_SI">#REF!</definedName>
    <definedName name="Energy_slaughter_el_SK">#REF!</definedName>
    <definedName name="Energy_slaughter_el_TH">#REF!</definedName>
    <definedName name="Energy_slaughter_el_US">#REF!</definedName>
    <definedName name="Energy_slaughter_oil_AT">#REF!</definedName>
    <definedName name="Energy_slaughter_oil_BE">#REF!</definedName>
    <definedName name="Energy_slaughter_oil_BG">#REF!</definedName>
    <definedName name="Energy_slaughter_oil_BR">#REF!</definedName>
    <definedName name="Energy_slaughter_oil_CY">#REF!</definedName>
    <definedName name="Energy_slaughter_oil_CZ">#REF!</definedName>
    <definedName name="Energy_slaughter_oil_DE">#REF!</definedName>
    <definedName name="Energy_slaughter_oil_DK">#REF!</definedName>
    <definedName name="Energy_slaughter_oil_EE">#REF!</definedName>
    <definedName name="Energy_slaughter_oil_ES">#REF!</definedName>
    <definedName name="Energy_slaughter_oil_FI">#REF!</definedName>
    <definedName name="Energy_slaughter_oil_FR">#REF!</definedName>
    <definedName name="Energy_slaughter_oil_GB">#REF!</definedName>
    <definedName name="Energy_slaughter_oil_GR">#REF!</definedName>
    <definedName name="Energy_slaughter_oil_HR">#REF!</definedName>
    <definedName name="Energy_slaughter_oil_HU">#REF!</definedName>
    <definedName name="Energy_slaughter_oil_IE">#REF!</definedName>
    <definedName name="Energy_slaughter_oil_IT">#REF!</definedName>
    <definedName name="Energy_slaughter_oil_LT">#REF!</definedName>
    <definedName name="Energy_slaughter_oil_LV">#REF!</definedName>
    <definedName name="Energy_slaughter_oil_MT">#REF!</definedName>
    <definedName name="Energy_slaughter_oil_NL">#REF!</definedName>
    <definedName name="Energy_slaughter_oil_PL">#REF!</definedName>
    <definedName name="Energy_slaughter_oil_PT">#REF!</definedName>
    <definedName name="Energy_slaughter_oil_RO">#REF!</definedName>
    <definedName name="Energy_slaughter_oil_SE">#REF!</definedName>
    <definedName name="Energy_slaughter_oil_SI">#REF!</definedName>
    <definedName name="Energy_slaughter_oil_SK">#REF!</definedName>
    <definedName name="Energy_slaughter_oil_TH">#REF!</definedName>
    <definedName name="Energy_slaughter_oil_US">#REF!</definedName>
    <definedName name="Energy_stables_AT">#REF!</definedName>
    <definedName name="Energy_stables_BE">#REF!</definedName>
    <definedName name="Energy_stables_BG">#REF!</definedName>
    <definedName name="Energy_stables_BR">#REF!</definedName>
    <definedName name="Energy_stables_CY">#REF!</definedName>
    <definedName name="Energy_stables_CZ">#REF!</definedName>
    <definedName name="Energy_stables_DE">#REF!</definedName>
    <definedName name="Energy_stables_DK">#REF!</definedName>
    <definedName name="Energy_stables_EE">#REF!</definedName>
    <definedName name="Energy_stables_ES">#REF!</definedName>
    <definedName name="Energy_stables_FI">#REF!</definedName>
    <definedName name="Energy_stables_FR">#REF!</definedName>
    <definedName name="Energy_stables_GB">#REF!</definedName>
    <definedName name="Energy_stables_GR">#REF!</definedName>
    <definedName name="Energy_stables_HR">#REF!</definedName>
    <definedName name="Energy_stables_HU">#REF!</definedName>
    <definedName name="Energy_stables_IE">#REF!</definedName>
    <definedName name="Energy_stables_IT">#REF!</definedName>
    <definedName name="Energy_stables_LT">#REF!</definedName>
    <definedName name="Energy_stables_LV">#REF!</definedName>
    <definedName name="Energy_stables_MT">#REF!</definedName>
    <definedName name="Energy_stables_NL">#REF!</definedName>
    <definedName name="Energy_stables_PL">#REF!</definedName>
    <definedName name="Energy_stables_PT">#REF!</definedName>
    <definedName name="Energy_stables_RO">#REF!</definedName>
    <definedName name="Energy_stables_SE">#REF!</definedName>
    <definedName name="Energy_stables_SI">#REF!</definedName>
    <definedName name="Energy_stables_SK">#REF!</definedName>
    <definedName name="Energy_stables_TH">#REF!</definedName>
    <definedName name="Energy_stables_US">#REF!</definedName>
    <definedName name="Excreted_N_after_losses_DE">#REF!</definedName>
    <definedName name="Excreted_N_after_losses_DK">#REF!</definedName>
    <definedName name="Excreted_N_after_losses_ES">#REF!</definedName>
    <definedName name="Excreted_N_after_losses_FR">#REF!</definedName>
    <definedName name="Excreted_N_after_losses_GB">[1]Manure!$X$153</definedName>
    <definedName name="Excreted_N_after_losses_GR">#REF!</definedName>
    <definedName name="Excreted_N_after_losses_HU">#REF!</definedName>
    <definedName name="Excreted_N_after_losses_IE">#REF!</definedName>
    <definedName name="Excreted_N_after_losses_IT">#REF!</definedName>
    <definedName name="Excreted_N_after_losses_NL">#REF!</definedName>
    <definedName name="Excreted_N_after_losses_PL">#REF!</definedName>
    <definedName name="Excreted_N_after_losses_SE">#REF!</definedName>
    <definedName name="FCR_bonefree_incl_parents_AT">#REF!</definedName>
    <definedName name="FCR_bonefree_incl_parents_BE">#REF!</definedName>
    <definedName name="FCR_bonefree_incl_parents_BG">#REF!</definedName>
    <definedName name="FCR_bonefree_incl_parents_BR">#REF!</definedName>
    <definedName name="FCR_bonefree_incl_parents_CY">#REF!</definedName>
    <definedName name="FCR_bonefree_incl_parents_CZ">#REF!</definedName>
    <definedName name="FCR_bonefree_incl_parents_DE">#REF!</definedName>
    <definedName name="FCR_bonefree_incl_parents_DK">#REF!</definedName>
    <definedName name="FCR_bonefree_incl_parents_EE">#REF!</definedName>
    <definedName name="FCR_bonefree_incl_parents_ES">#REF!</definedName>
    <definedName name="FCR_bonefree_incl_parents_FI">#REF!</definedName>
    <definedName name="FCR_bonefree_incl_parents_FR">#REF!</definedName>
    <definedName name="FCR_bonefree_incl_parents_GB">#REF!</definedName>
    <definedName name="FCR_bonefree_incl_parents_GR">#REF!</definedName>
    <definedName name="FCR_bonefree_incl_parents_HR">#REF!</definedName>
    <definedName name="FCR_bonefree_incl_parents_HU">#REF!</definedName>
    <definedName name="FCR_bonefree_incl_parents_IE">#REF!</definedName>
    <definedName name="FCR_bonefree_incl_parents_IT">#REF!</definedName>
    <definedName name="FCR_bonefree_incl_parents_LT">#REF!</definedName>
    <definedName name="FCR_bonefree_incl_parents_LV">#REF!</definedName>
    <definedName name="FCR_bonefree_incl_parents_MT">#REF!</definedName>
    <definedName name="FCR_bonefree_incl_parents_NL">#REF!</definedName>
    <definedName name="FCR_bonefree_incl_parents_PL">#REF!</definedName>
    <definedName name="FCR_bonefree_incl_parents_PT">#REF!</definedName>
    <definedName name="FCR_bonefree_incl_parents_RO">#REF!</definedName>
    <definedName name="FCR_bonefree_incl_parents_SE">#REF!</definedName>
    <definedName name="FCR_bonefree_incl_parents_SI">#REF!</definedName>
    <definedName name="FCR_bonefree_incl_parents_SK">#REF!</definedName>
    <definedName name="FCR_bonefree_incl_parents_TH">#REF!</definedName>
    <definedName name="FCR_bonefree_incl_parents_US">#REF!</definedName>
    <definedName name="Frac_AN_AT">#REF!</definedName>
    <definedName name="Frac_AN_BE">#REF!</definedName>
    <definedName name="Frac_AN_BG">#REF!</definedName>
    <definedName name="Frac_AN_BR">#REF!</definedName>
    <definedName name="Frac_AN_CY">#REF!</definedName>
    <definedName name="Frac_AN_CZ">#REF!</definedName>
    <definedName name="Frac_AN_DE">#REF!</definedName>
    <definedName name="Frac_AN_DK">#REF!</definedName>
    <definedName name="Frac_AN_EE">#REF!</definedName>
    <definedName name="Frac_AN_ES">#REF!</definedName>
    <definedName name="Frac_AN_FI">#REF!</definedName>
    <definedName name="Frac_AN_FR">#REF!</definedName>
    <definedName name="Frac_AN_GB">#REF!</definedName>
    <definedName name="Frac_AN_GR">#REF!</definedName>
    <definedName name="Frac_AN_HR">#REF!</definedName>
    <definedName name="Frac_AN_HU">#REF!</definedName>
    <definedName name="Frac_AN_IE">#REF!</definedName>
    <definedName name="Frac_AN_IT">#REF!</definedName>
    <definedName name="Frac_AN_LT">#REF!</definedName>
    <definedName name="Frac_AN_LV">#REF!</definedName>
    <definedName name="Frac_AN_MT">#REF!</definedName>
    <definedName name="Frac_AN_NL">#REF!</definedName>
    <definedName name="Frac_AN_PL">#REF!</definedName>
    <definedName name="Frac_AN_PT">#REF!</definedName>
    <definedName name="Frac_AN_RO">#REF!</definedName>
    <definedName name="Frac_AN_SE">#REF!</definedName>
    <definedName name="Frac_AN_SI">#REF!</definedName>
    <definedName name="Frac_AN_SK">#REF!</definedName>
    <definedName name="Frac_AN_TH">#REF!</definedName>
    <definedName name="Frac_AN_US">#REF!</definedName>
    <definedName name="Frac_BAT_AT">#REF!</definedName>
    <definedName name="Frac_BAT_BE">#REF!</definedName>
    <definedName name="Frac_BAT_BG">#REF!</definedName>
    <definedName name="Frac_BAT_BR">#REF!</definedName>
    <definedName name="Frac_BAT_CY">#REF!</definedName>
    <definedName name="Frac_BAT_CZ">#REF!</definedName>
    <definedName name="Frac_BAT_DE">#REF!</definedName>
    <definedName name="Frac_BAT_DK">#REF!</definedName>
    <definedName name="Frac_BAT_EE">#REF!</definedName>
    <definedName name="Frac_BAT_ES">#REF!</definedName>
    <definedName name="Frac_BAT_FI">#REF!</definedName>
    <definedName name="Frac_BAT_FR">#REF!</definedName>
    <definedName name="Frac_BAT_GB">#REF!</definedName>
    <definedName name="Frac_BAT_GR">#REF!</definedName>
    <definedName name="Frac_BAT_HR">#REF!</definedName>
    <definedName name="Frac_BAT_HU">#REF!</definedName>
    <definedName name="Frac_BAT_IE">#REF!</definedName>
    <definedName name="Frac_BAT_IT">#REF!</definedName>
    <definedName name="Frac_BAT_LT">#REF!</definedName>
    <definedName name="Frac_BAT_LV">#REF!</definedName>
    <definedName name="Frac_BAT_MT">#REF!</definedName>
    <definedName name="Frac_BAT_NL">#REF!</definedName>
    <definedName name="Frac_BAT_PL">#REF!</definedName>
    <definedName name="Frac_BAT_PT">#REF!</definedName>
    <definedName name="Frac_BAT_RO">#REF!</definedName>
    <definedName name="Frac_BAT_SE">#REF!</definedName>
    <definedName name="Frac_BAT_SI">#REF!</definedName>
    <definedName name="Frac_BAT_SK">#REF!</definedName>
    <definedName name="Frac_BAT_TH">#REF!</definedName>
    <definedName name="Frac_BAT_US">#REF!</definedName>
    <definedName name="GBughter_el_AT">#REF!</definedName>
    <definedName name="GRAT">#REF!</definedName>
    <definedName name="Manure_repl_factor_AT">#REF!</definedName>
    <definedName name="Manure_repl_factor_BE">#REF!</definedName>
    <definedName name="Manure_repl_factor_BG">#REF!</definedName>
    <definedName name="Manure_repl_factor_BR">#REF!</definedName>
    <definedName name="Manure_repl_factor_CY">#REF!</definedName>
    <definedName name="Manure_repl_factor_CZ">#REF!</definedName>
    <definedName name="Manure_repl_factor_DE">#REF!</definedName>
    <definedName name="Manure_repl_factor_DK">#REF!</definedName>
    <definedName name="Manure_repl_factor_EE">#REF!</definedName>
    <definedName name="Manure_repl_factor_ES">#REF!</definedName>
    <definedName name="Manure_repl_factor_FI">#REF!</definedName>
    <definedName name="Manure_repl_factor_FR">#REF!</definedName>
    <definedName name="Manure_repl_factor_GB">#REF!</definedName>
    <definedName name="Manure_repl_factor_GR">#REF!</definedName>
    <definedName name="Manure_repl_factor_HR">#REF!</definedName>
    <definedName name="Manure_repl_factor_HU">#REF!</definedName>
    <definedName name="Manure_repl_factor_IE">#REF!</definedName>
    <definedName name="Manure_repl_factor_IT">#REF!</definedName>
    <definedName name="Manure_repl_factor_LT">#REF!</definedName>
    <definedName name="Manure_repl_factor_LV">#REF!</definedName>
    <definedName name="Manure_repl_factor_MT">#REF!</definedName>
    <definedName name="Manure_repl_factor_NL">#REF!</definedName>
    <definedName name="Manure_repl_factor_PL">#REF!</definedName>
    <definedName name="Manure_repl_factor_PT">#REF!</definedName>
    <definedName name="Manure_repl_factor_RO">#REF!</definedName>
    <definedName name="Manure_repl_factor_SE">#REF!</definedName>
    <definedName name="Manure_repl_factor_SI">#REF!</definedName>
    <definedName name="Manure_repl_factor_SK">#REF!</definedName>
    <definedName name="Manure_repl_factor_TH">#REF!</definedName>
    <definedName name="Manure_repl_factor_US">#REF!</definedName>
    <definedName name="Meat_yield">'CF Climate'!$B$11</definedName>
    <definedName name="NH3_per_kg_DE">#REF!</definedName>
    <definedName name="NH3_per_kg_DK">#REF!</definedName>
    <definedName name="NH3_per_kg_ES">#REF!</definedName>
    <definedName name="NH3_per_kg_FR">#REF!</definedName>
    <definedName name="NH3_per_kg_GR">#REF!</definedName>
    <definedName name="NH3_per_kg_HU">#REF!</definedName>
    <definedName name="NH3_per_kg_IE">#REF!</definedName>
    <definedName name="NH3_per_kg_IT">#REF!</definedName>
    <definedName name="NH3_per_kg_NL">#REF!</definedName>
    <definedName name="NH3_per_kg_PL">#REF!</definedName>
    <definedName name="NH3_per_kg_SE">#REF!</definedName>
    <definedName name="No_boars_DE">#REF!</definedName>
    <definedName name="No_boars_DK">#REF!</definedName>
    <definedName name="No_boars_ES">#REF!</definedName>
    <definedName name="No_boars_FR">#REF!</definedName>
    <definedName name="No_boars_GR">#REF!</definedName>
    <definedName name="No_boars_HU">#REF!</definedName>
    <definedName name="No_boars_IE">#REF!</definedName>
    <definedName name="No_boars_IT">#REF!</definedName>
    <definedName name="No_boars_NL">#REF!</definedName>
    <definedName name="No_boars_PL">#REF!</definedName>
    <definedName name="No_boars_SE">#REF!</definedName>
    <definedName name="No_fattening_pigs_DE">#REF!</definedName>
    <definedName name="No_fattening_pigs_DK">#REF!</definedName>
    <definedName name="No_fattening_pigs_ES">#REF!</definedName>
    <definedName name="No_fattening_pigs_FR">#REF!</definedName>
    <definedName name="No_fattening_pigs_GR">#REF!</definedName>
    <definedName name="No_fattening_pigs_HU">#REF!</definedName>
    <definedName name="No_fattening_pigs_IE">#REF!</definedName>
    <definedName name="No_fattening_pigs_IT">#REF!</definedName>
    <definedName name="No_fattening_pigs_NL">#REF!</definedName>
    <definedName name="No_fattening_pigs_PL">#REF!</definedName>
    <definedName name="No_fattening_pigs_SE">#REF!</definedName>
    <definedName name="No_piglets_DE">#REF!</definedName>
    <definedName name="No_piglets_DK">#REF!</definedName>
    <definedName name="No_piglets_ES">#REF!</definedName>
    <definedName name="No_piglets_FR">#REF!</definedName>
    <definedName name="No_piglets_GR">#REF!</definedName>
    <definedName name="No_piglets_HU">#REF!</definedName>
    <definedName name="No_piglets_IE">#REF!</definedName>
    <definedName name="No_piglets_IT">#REF!</definedName>
    <definedName name="No_piglets_NL">#REF!</definedName>
    <definedName name="No_piglets_PL">#REF!</definedName>
    <definedName name="No_piglets_SE">#REF!</definedName>
    <definedName name="No_recruit_sows_DE">#REF!</definedName>
    <definedName name="No_recruit_sows_DK">#REF!</definedName>
    <definedName name="No_recruit_sows_ES">#REF!</definedName>
    <definedName name="No_recruit_sows_FR">#REF!</definedName>
    <definedName name="No_recruit_sows_GR">#REF!</definedName>
    <definedName name="No_recruit_sows_HU">#REF!</definedName>
    <definedName name="No_recruit_sows_IE">#REF!</definedName>
    <definedName name="No_recruit_sows_IT">#REF!</definedName>
    <definedName name="No_recruit_sows_NL">#REF!</definedName>
    <definedName name="No_recruit_sows_PL">#REF!</definedName>
    <definedName name="No_recruit_sows_SE">#REF!</definedName>
    <definedName name="No_sows_DE">#REF!</definedName>
    <definedName name="No_sows_DK">#REF!</definedName>
    <definedName name="No_sows_ES">#REF!</definedName>
    <definedName name="No_sows_FR">#REF!</definedName>
    <definedName name="No_sows_GR">#REF!</definedName>
    <definedName name="No_sows_HU">#REF!</definedName>
    <definedName name="No_sows_IE">#REF!</definedName>
    <definedName name="No_sows_IT">#REF!</definedName>
    <definedName name="No_sows_NL">#REF!</definedName>
    <definedName name="No_sows_PL">#REF!</definedName>
    <definedName name="No_sows_SE">#REF!</definedName>
    <definedName name="Share_biofuels_AT">#REF!</definedName>
    <definedName name="Share_biofuels_BE">#REF!</definedName>
    <definedName name="Share_biofuels_BG">#REF!</definedName>
    <definedName name="Share_biofuels_BR">#REF!</definedName>
    <definedName name="Share_biofuels_CY">#REF!</definedName>
    <definedName name="Share_biofuels_CZ">#REF!</definedName>
    <definedName name="Share_biofuels_DE">#REF!</definedName>
    <definedName name="Share_biofuels_DK">#REF!</definedName>
    <definedName name="Share_biofuels_EE">#REF!</definedName>
    <definedName name="Share_biofuels_ES">#REF!</definedName>
    <definedName name="Share_biofuels_FI">#REF!</definedName>
    <definedName name="Share_biofuels_FR">#REF!</definedName>
    <definedName name="Share_biofuels_GB">#REF!</definedName>
    <definedName name="Share_biofuels_GR">#REF!</definedName>
    <definedName name="Share_biofuels_HR">#REF!</definedName>
    <definedName name="Share_biofuels_HU">#REF!</definedName>
    <definedName name="Share_biofuels_IE">#REF!</definedName>
    <definedName name="Share_biofuels_IT">#REF!</definedName>
    <definedName name="Share_biofuels_LT">#REF!</definedName>
    <definedName name="Share_biofuels_LV">#REF!</definedName>
    <definedName name="Share_biofuels_MT">#REF!</definedName>
    <definedName name="Share_biofuels_NL">#REF!</definedName>
    <definedName name="Share_biofuels_PL">#REF!</definedName>
    <definedName name="Share_biofuels_PT">#REF!</definedName>
    <definedName name="Share_biofuels_RO">#REF!</definedName>
    <definedName name="Share_biofuels_SE">#REF!</definedName>
    <definedName name="Share_biofuels_SI">#REF!</definedName>
    <definedName name="Share_biofuels_SK">#REF!</definedName>
    <definedName name="Share_biofuels_TH">#REF!</definedName>
    <definedName name="Share_biofuels_US">#REF!</definedName>
    <definedName name="Share_heating_AT">#REF!</definedName>
    <definedName name="Share_heating_BE">#REF!</definedName>
    <definedName name="Share_heating_BG">#REF!</definedName>
    <definedName name="Share_heating_BR">#REF!</definedName>
    <definedName name="Share_heating_CY">#REF!</definedName>
    <definedName name="Share_heating_CZ">#REF!</definedName>
    <definedName name="Share_heating_DE">#REF!</definedName>
    <definedName name="Share_heating_DK">#REF!</definedName>
    <definedName name="Share_heating_EE">#REF!</definedName>
    <definedName name="Share_heating_ES">#REF!</definedName>
    <definedName name="Share_heating_FI">#REF!</definedName>
    <definedName name="Share_heating_FR">#REF!</definedName>
    <definedName name="Share_heating_GB">#REF!</definedName>
    <definedName name="Share_heating_GR">#REF!</definedName>
    <definedName name="Share_heating_HR">#REF!</definedName>
    <definedName name="Share_heating_HU">#REF!</definedName>
    <definedName name="Share_heating_IE">#REF!</definedName>
    <definedName name="Share_heating_IT">#REF!</definedName>
    <definedName name="Share_heating_LT">#REF!</definedName>
    <definedName name="Share_heating_LV">#REF!</definedName>
    <definedName name="Share_heating_MT">#REF!</definedName>
    <definedName name="Share_heating_NL">#REF!</definedName>
    <definedName name="Share_heating_PL">#REF!</definedName>
    <definedName name="Share_heating_PT">#REF!</definedName>
    <definedName name="Share_heating_RO">#REF!</definedName>
    <definedName name="Share_heating_SE">#REF!</definedName>
    <definedName name="Share_heating_SI">#REF!</definedName>
    <definedName name="Share_heating_SK">#REF!</definedName>
    <definedName name="Share_heating_TH">#REF!</definedName>
    <definedName name="Share_heating_US">#REF!</definedName>
    <definedName name="Slaughter_age_AT">#REF!</definedName>
    <definedName name="Slaughter_age_BE">#REF!</definedName>
    <definedName name="Slaughter_age_BG">#REF!</definedName>
    <definedName name="Slaughter_age_BR">#REF!</definedName>
    <definedName name="Slaughter_age_CY">#REF!</definedName>
    <definedName name="Slaughter_age_CZ">#REF!</definedName>
    <definedName name="Slaughter_age_DE">#REF!</definedName>
    <definedName name="Slaughter_age_DK">#REF!</definedName>
    <definedName name="Slaughter_age_EE">#REF!</definedName>
    <definedName name="Slaughter_age_ES">#REF!</definedName>
    <definedName name="Slaughter_age_FI">#REF!</definedName>
    <definedName name="Slaughter_age_FR">#REF!</definedName>
    <definedName name="Slaughter_age_GB">#REF!</definedName>
    <definedName name="Slaughter_age_GR">#REF!</definedName>
    <definedName name="Slaughter_age_HR">#REF!</definedName>
    <definedName name="Slaughter_age_HU">#REF!</definedName>
    <definedName name="Slaughter_age_IE">#REF!</definedName>
    <definedName name="Slaughter_age_IT">#REF!</definedName>
    <definedName name="Slaughter_age_LT">#REF!</definedName>
    <definedName name="Slaughter_age_LV">#REF!</definedName>
    <definedName name="Slaughter_age_MT">#REF!</definedName>
    <definedName name="Slaughter_age_NL">#REF!</definedName>
    <definedName name="Slaughter_age_PL">#REF!</definedName>
    <definedName name="Slaughter_age_PT">#REF!</definedName>
    <definedName name="Slaughter_age_RO">#REF!</definedName>
    <definedName name="Slaughter_age_SE">#REF!</definedName>
    <definedName name="Slaughter_age_SI">#REF!</definedName>
    <definedName name="Slaughter_age_SK">#REF!</definedName>
    <definedName name="Slaughter_age_TH">#REF!</definedName>
    <definedName name="Slaughter_age_US">#REF!</definedName>
    <definedName name="Slaughter_duration_class">#REF!</definedName>
    <definedName name="Time_fattening_days_DE">#REF!</definedName>
    <definedName name="Time_fattening_days_DK">#REF!</definedName>
    <definedName name="Time_fattening_days_ES">#REF!</definedName>
    <definedName name="Time_fattening_days_FR">#REF!</definedName>
    <definedName name="Time_fattening_days_GR">#REF!</definedName>
    <definedName name="Time_fattening_days_HU">#REF!</definedName>
    <definedName name="Time_fattening_days_IE">#REF!</definedName>
    <definedName name="Time_fattening_days_IT">#REF!</definedName>
    <definedName name="Time_fattening_days_NL">#REF!</definedName>
    <definedName name="Time_fattening_days_PL">#REF!</definedName>
    <definedName name="Time_fattening_days_SE">#REF!</definedName>
    <definedName name="Time_to_weaning_SE">#REF!</definedName>
    <definedName name="Water_stables_AT">#REF!</definedName>
    <definedName name="Water_stables_BE">#REF!</definedName>
    <definedName name="Water_stables_BG">#REF!</definedName>
    <definedName name="Water_stables_BR">#REF!</definedName>
    <definedName name="Water_stables_CY">#REF!</definedName>
    <definedName name="Water_stables_CZ">#REF!</definedName>
    <definedName name="Water_stables_DE">#REF!</definedName>
    <definedName name="Water_stables_DK">#REF!</definedName>
    <definedName name="Water_stables_EE">#REF!</definedName>
    <definedName name="Water_stables_ES">#REF!</definedName>
    <definedName name="Water_stables_FI">#REF!</definedName>
    <definedName name="Water_stables_FR">#REF!</definedName>
    <definedName name="Water_stables_GB">#REF!</definedName>
    <definedName name="Water_stables_GR">#REF!</definedName>
    <definedName name="Water_stables_HR">#REF!</definedName>
    <definedName name="Water_stables_HU">#REF!</definedName>
    <definedName name="Water_stables_IE">#REF!</definedName>
    <definedName name="Water_stables_IT">#REF!</definedName>
    <definedName name="Water_stables_LT">#REF!</definedName>
    <definedName name="Water_stables_LV">#REF!</definedName>
    <definedName name="Water_stables_MT">#REF!</definedName>
    <definedName name="Water_stables_NL">#REF!</definedName>
    <definedName name="Water_stables_PL">#REF!</definedName>
    <definedName name="Water_stables_PT">#REF!</definedName>
    <definedName name="Water_stables_RO">#REF!</definedName>
    <definedName name="Water_stables_SE">#REF!</definedName>
    <definedName name="Water_stables_SI">#REF!</definedName>
    <definedName name="Water_stables_SK">#REF!</definedName>
    <definedName name="Water_stables_TH">#REF!</definedName>
    <definedName name="Water_stables_US">#REF!</definedName>
    <definedName name="Weight_ability_to_perceive_handling">#REF!</definedName>
    <definedName name="Weight_diseases">#REF!</definedName>
    <definedName name="Weight_mortality">#REF!</definedName>
    <definedName name="Weight_no_of_animal">#REF!</definedName>
    <definedName name="Weight_slaughter_duration_class">#REF!</definedName>
    <definedName name="Weight_spa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7" l="1"/>
  <c r="O17" i="17"/>
  <c r="O16" i="17"/>
  <c r="O15" i="17"/>
  <c r="O14" i="17"/>
  <c r="O13" i="17"/>
  <c r="O12" i="17"/>
  <c r="O11" i="17"/>
  <c r="O10" i="17"/>
  <c r="O9" i="17"/>
  <c r="O8" i="17"/>
  <c r="O7" i="17"/>
  <c r="T33" i="30" l="1"/>
  <c r="F12" i="33" l="1"/>
  <c r="E12" i="33"/>
  <c r="E11" i="33"/>
  <c r="L18" i="17"/>
  <c r="L17" i="17"/>
  <c r="L16" i="17"/>
  <c r="L15" i="17"/>
  <c r="L14" i="17"/>
  <c r="L13" i="17"/>
  <c r="L12" i="17"/>
  <c r="L11" i="17"/>
  <c r="L10" i="17"/>
  <c r="L9" i="17"/>
  <c r="L8" i="17"/>
  <c r="L7" i="17"/>
  <c r="D6" i="33"/>
  <c r="T18" i="17" l="1"/>
  <c r="T17" i="17"/>
  <c r="T16" i="17"/>
  <c r="T15" i="17"/>
  <c r="T14" i="17"/>
  <c r="T13" i="17"/>
  <c r="T12" i="17"/>
  <c r="T11" i="17"/>
  <c r="T10" i="17"/>
  <c r="T9" i="17"/>
  <c r="T8" i="17"/>
  <c r="T7" i="17"/>
  <c r="M55" i="29" l="1"/>
  <c r="C55" i="29"/>
  <c r="D55" i="29"/>
  <c r="E55" i="29"/>
  <c r="F55" i="29"/>
  <c r="G55" i="29"/>
  <c r="H55" i="29"/>
  <c r="I55" i="29"/>
  <c r="J55" i="29"/>
  <c r="K55" i="29"/>
  <c r="L55" i="29"/>
  <c r="B55" i="29"/>
  <c r="G63" i="32"/>
  <c r="G58" i="32"/>
  <c r="G53" i="32"/>
  <c r="G48" i="32"/>
  <c r="G43" i="32"/>
  <c r="G38" i="32"/>
  <c r="G33" i="32"/>
  <c r="G28" i="32"/>
  <c r="G23" i="32"/>
  <c r="G18" i="32"/>
  <c r="G13" i="32"/>
  <c r="G8" i="32"/>
  <c r="R24" i="13"/>
  <c r="S24" i="13"/>
  <c r="H9" i="17"/>
  <c r="X63" i="32" l="1"/>
  <c r="W63" i="32"/>
  <c r="V63" i="32"/>
  <c r="U63" i="32"/>
  <c r="T63" i="32"/>
  <c r="S63" i="32"/>
  <c r="R63" i="32"/>
  <c r="P63" i="32"/>
  <c r="O63" i="32"/>
  <c r="N63" i="32"/>
  <c r="M63" i="32"/>
  <c r="L63" i="32"/>
  <c r="K63" i="32"/>
  <c r="J63" i="32"/>
  <c r="I63" i="32"/>
  <c r="H63" i="32"/>
  <c r="X58" i="32"/>
  <c r="W58" i="32"/>
  <c r="V58" i="32"/>
  <c r="U58" i="32"/>
  <c r="T58" i="32"/>
  <c r="S58" i="32"/>
  <c r="R58" i="32"/>
  <c r="P58" i="32"/>
  <c r="O58" i="32"/>
  <c r="N58" i="32"/>
  <c r="M58" i="32"/>
  <c r="L58" i="32"/>
  <c r="K58" i="32"/>
  <c r="J58" i="32"/>
  <c r="I58" i="32"/>
  <c r="H58" i="32"/>
  <c r="X53" i="32"/>
  <c r="W53" i="32"/>
  <c r="V53" i="32"/>
  <c r="U53" i="32"/>
  <c r="T53" i="32"/>
  <c r="S53" i="32"/>
  <c r="R53" i="32"/>
  <c r="P53" i="32"/>
  <c r="O53" i="32"/>
  <c r="N53" i="32"/>
  <c r="M53" i="32"/>
  <c r="L53" i="32"/>
  <c r="K53" i="32"/>
  <c r="J53" i="32"/>
  <c r="I53" i="32"/>
  <c r="H53" i="32"/>
  <c r="X48" i="32"/>
  <c r="W48" i="32"/>
  <c r="V48" i="32"/>
  <c r="U48" i="32"/>
  <c r="T48" i="32"/>
  <c r="S48" i="32"/>
  <c r="R48" i="32"/>
  <c r="P48" i="32"/>
  <c r="O48" i="32"/>
  <c r="N48" i="32"/>
  <c r="M48" i="32"/>
  <c r="L48" i="32"/>
  <c r="K48" i="32"/>
  <c r="J48" i="32"/>
  <c r="I48" i="32"/>
  <c r="H48" i="32"/>
  <c r="X43" i="32"/>
  <c r="W43" i="32"/>
  <c r="V43" i="32"/>
  <c r="U43" i="32"/>
  <c r="T43" i="32"/>
  <c r="S43" i="32"/>
  <c r="R43" i="32"/>
  <c r="P43" i="32"/>
  <c r="O43" i="32"/>
  <c r="N43" i="32"/>
  <c r="M43" i="32"/>
  <c r="L43" i="32"/>
  <c r="K43" i="32"/>
  <c r="J43" i="32"/>
  <c r="I43" i="32"/>
  <c r="H43" i="32"/>
  <c r="X38" i="32"/>
  <c r="W38" i="32"/>
  <c r="V38" i="32"/>
  <c r="U38" i="32"/>
  <c r="T38" i="32"/>
  <c r="S38" i="32"/>
  <c r="R38" i="32"/>
  <c r="P38" i="32"/>
  <c r="O38" i="32"/>
  <c r="N38" i="32"/>
  <c r="M38" i="32"/>
  <c r="L38" i="32"/>
  <c r="K38" i="32"/>
  <c r="J38" i="32"/>
  <c r="I38" i="32"/>
  <c r="H38" i="32"/>
  <c r="X33" i="32"/>
  <c r="W33" i="32"/>
  <c r="V33" i="32"/>
  <c r="U33" i="32"/>
  <c r="T33" i="32"/>
  <c r="S33" i="32"/>
  <c r="R33" i="32"/>
  <c r="P33" i="32"/>
  <c r="O33" i="32"/>
  <c r="N33" i="32"/>
  <c r="M33" i="32"/>
  <c r="L33" i="32"/>
  <c r="K33" i="32"/>
  <c r="J33" i="32"/>
  <c r="H12" i="17" s="1"/>
  <c r="I33" i="32"/>
  <c r="H33" i="32"/>
  <c r="X28" i="32"/>
  <c r="W28" i="32"/>
  <c r="V28" i="32"/>
  <c r="U28" i="32"/>
  <c r="T28" i="32"/>
  <c r="S28" i="32"/>
  <c r="R28" i="32"/>
  <c r="P28" i="32"/>
  <c r="O28" i="32"/>
  <c r="N28" i="32"/>
  <c r="M28" i="32"/>
  <c r="L28" i="32"/>
  <c r="K28" i="32"/>
  <c r="J28" i="32"/>
  <c r="I28" i="32"/>
  <c r="H28" i="32"/>
  <c r="T24" i="32"/>
  <c r="S24" i="32"/>
  <c r="X23" i="32"/>
  <c r="W23" i="32"/>
  <c r="V23" i="32"/>
  <c r="U23" i="32"/>
  <c r="T23" i="32"/>
  <c r="S23" i="32"/>
  <c r="R23" i="32"/>
  <c r="P23" i="32"/>
  <c r="O23" i="32"/>
  <c r="N23" i="32"/>
  <c r="M23" i="32"/>
  <c r="L23" i="32"/>
  <c r="K23" i="32"/>
  <c r="J23" i="32"/>
  <c r="I23" i="32"/>
  <c r="H23" i="32"/>
  <c r="X18" i="32"/>
  <c r="W18" i="32"/>
  <c r="V18" i="32"/>
  <c r="U18" i="32"/>
  <c r="T18" i="32"/>
  <c r="S18" i="32"/>
  <c r="R18" i="32"/>
  <c r="P18" i="32"/>
  <c r="O18" i="32"/>
  <c r="N18" i="32"/>
  <c r="M18" i="32"/>
  <c r="L18" i="32"/>
  <c r="K18" i="32"/>
  <c r="J18" i="32"/>
  <c r="I18" i="32"/>
  <c r="H18" i="32"/>
  <c r="X13" i="32"/>
  <c r="W13" i="32"/>
  <c r="V13" i="32"/>
  <c r="U13" i="32"/>
  <c r="T13" i="32"/>
  <c r="S13" i="32"/>
  <c r="R13" i="32"/>
  <c r="P13" i="32"/>
  <c r="O13" i="32"/>
  <c r="N13" i="32"/>
  <c r="M13" i="32"/>
  <c r="L13" i="32"/>
  <c r="K13" i="32"/>
  <c r="J13" i="32"/>
  <c r="I13" i="32"/>
  <c r="H13" i="32"/>
  <c r="H8" i="32"/>
  <c r="I8" i="32"/>
  <c r="J8" i="32"/>
  <c r="K8" i="32"/>
  <c r="L8" i="32"/>
  <c r="M8" i="32"/>
  <c r="N8" i="32"/>
  <c r="O8" i="32"/>
  <c r="P8" i="32"/>
  <c r="R8" i="32"/>
  <c r="S8" i="32"/>
  <c r="T8" i="32"/>
  <c r="U8" i="32"/>
  <c r="V8" i="32"/>
  <c r="W8" i="32"/>
  <c r="X8" i="32"/>
  <c r="H11" i="17"/>
  <c r="H10" i="17"/>
  <c r="G63" i="13"/>
  <c r="G58" i="13"/>
  <c r="G53" i="13"/>
  <c r="G48" i="13"/>
  <c r="G43" i="13"/>
  <c r="G38" i="13"/>
  <c r="G33" i="13"/>
  <c r="G28" i="13"/>
  <c r="G13" i="13"/>
  <c r="G23" i="13"/>
  <c r="W24" i="13"/>
  <c r="X24" i="32" s="1"/>
  <c r="V24" i="13"/>
  <c r="W24" i="32" s="1"/>
  <c r="U24" i="13"/>
  <c r="V24" i="32" s="1"/>
  <c r="T24" i="13"/>
  <c r="U24" i="32" s="1"/>
  <c r="Q24" i="13"/>
  <c r="R24" i="32" s="1"/>
  <c r="P24" i="13"/>
  <c r="P24" i="32" s="1"/>
  <c r="O24" i="13"/>
  <c r="O24" i="32" s="1"/>
  <c r="N24" i="13"/>
  <c r="N24" i="32" s="1"/>
  <c r="M24" i="13"/>
  <c r="M24" i="32" s="1"/>
  <c r="L24" i="13"/>
  <c r="L24" i="32" s="1"/>
  <c r="K24" i="13"/>
  <c r="K24" i="32" s="1"/>
  <c r="J24" i="13"/>
  <c r="J24" i="32" s="1"/>
  <c r="I24" i="13"/>
  <c r="I24" i="32" s="1"/>
  <c r="H24" i="13"/>
  <c r="H24" i="32" s="1"/>
  <c r="G24" i="32" l="1"/>
  <c r="H8" i="17"/>
  <c r="H14" i="17"/>
  <c r="H16" i="17"/>
  <c r="H17" i="17"/>
  <c r="H18" i="17"/>
  <c r="H7" i="17"/>
  <c r="I10" i="17"/>
  <c r="G24" i="13"/>
  <c r="G8" i="13"/>
  <c r="H15" i="17" l="1"/>
  <c r="H13" i="17"/>
  <c r="H64" i="13" l="1"/>
  <c r="H64" i="32" s="1"/>
  <c r="I64" i="13"/>
  <c r="I64" i="32" s="1"/>
  <c r="J64" i="13"/>
  <c r="J64" i="32" s="1"/>
  <c r="K64" i="13"/>
  <c r="K64" i="32" s="1"/>
  <c r="L64" i="13"/>
  <c r="L64" i="32" s="1"/>
  <c r="M64" i="13"/>
  <c r="M64" i="32" s="1"/>
  <c r="N64" i="13"/>
  <c r="N64" i="32" s="1"/>
  <c r="O64" i="13"/>
  <c r="O64" i="32" s="1"/>
  <c r="P64" i="13"/>
  <c r="P64" i="32" s="1"/>
  <c r="Q64" i="13"/>
  <c r="R64" i="32" s="1"/>
  <c r="R64" i="13"/>
  <c r="S64" i="32" s="1"/>
  <c r="S64" i="13"/>
  <c r="T64" i="32" s="1"/>
  <c r="T64" i="13"/>
  <c r="U64" i="32" s="1"/>
  <c r="U64" i="13"/>
  <c r="V64" i="32" s="1"/>
  <c r="V64" i="13"/>
  <c r="W64" i="32" s="1"/>
  <c r="W64" i="13"/>
  <c r="X64" i="32" s="1"/>
  <c r="H65" i="13"/>
  <c r="H65" i="32" s="1"/>
  <c r="I65" i="13"/>
  <c r="I65" i="32" s="1"/>
  <c r="J65" i="13"/>
  <c r="J65" i="32" s="1"/>
  <c r="K65" i="13"/>
  <c r="K65" i="32" s="1"/>
  <c r="L65" i="13"/>
  <c r="L65" i="32" s="1"/>
  <c r="M65" i="13"/>
  <c r="M65" i="32" s="1"/>
  <c r="N65" i="13"/>
  <c r="N65" i="32" s="1"/>
  <c r="O65" i="13"/>
  <c r="O65" i="32" s="1"/>
  <c r="P65" i="13"/>
  <c r="P65" i="32" s="1"/>
  <c r="Q65" i="13"/>
  <c r="R65" i="32" s="1"/>
  <c r="R65" i="13"/>
  <c r="S65" i="32" s="1"/>
  <c r="S65" i="13"/>
  <c r="T65" i="32" s="1"/>
  <c r="T65" i="13"/>
  <c r="U65" i="32" s="1"/>
  <c r="U65" i="13"/>
  <c r="V65" i="32" s="1"/>
  <c r="V65" i="13"/>
  <c r="W65" i="32" s="1"/>
  <c r="W65" i="13"/>
  <c r="X65" i="32" s="1"/>
  <c r="I62" i="13"/>
  <c r="J62" i="13"/>
  <c r="J62" i="32" s="1"/>
  <c r="J66" i="32" s="1"/>
  <c r="K62" i="13"/>
  <c r="K62" i="32" s="1"/>
  <c r="K66" i="32" s="1"/>
  <c r="L62" i="13"/>
  <c r="L62" i="32" s="1"/>
  <c r="L66" i="32" s="1"/>
  <c r="M62" i="13"/>
  <c r="M62" i="32" s="1"/>
  <c r="M66" i="32" s="1"/>
  <c r="N62" i="13"/>
  <c r="N62" i="32" s="1"/>
  <c r="N66" i="32" s="1"/>
  <c r="O62" i="13"/>
  <c r="O62" i="32" s="1"/>
  <c r="P62" i="13"/>
  <c r="P62" i="32" s="1"/>
  <c r="P66" i="32" s="1"/>
  <c r="Q62" i="13"/>
  <c r="R62" i="13"/>
  <c r="S62" i="32" s="1"/>
  <c r="S66" i="32" s="1"/>
  <c r="S62" i="13"/>
  <c r="T62" i="32" s="1"/>
  <c r="T66" i="32" s="1"/>
  <c r="T62" i="13"/>
  <c r="U62" i="32" s="1"/>
  <c r="U62" i="13"/>
  <c r="V62" i="32" s="1"/>
  <c r="V66" i="32" s="1"/>
  <c r="V62" i="13"/>
  <c r="W62" i="32" s="1"/>
  <c r="W66" i="32" s="1"/>
  <c r="W62" i="13"/>
  <c r="X62" i="32" s="1"/>
  <c r="H62" i="13"/>
  <c r="H62" i="32" s="1"/>
  <c r="C46" i="29"/>
  <c r="D46" i="29"/>
  <c r="E46" i="29"/>
  <c r="F46" i="29"/>
  <c r="G46" i="29"/>
  <c r="H46" i="29"/>
  <c r="I46" i="29"/>
  <c r="J46" i="29"/>
  <c r="K46" i="29"/>
  <c r="L46" i="29"/>
  <c r="M46" i="29"/>
  <c r="C47" i="29"/>
  <c r="D47" i="29"/>
  <c r="E47" i="29"/>
  <c r="F47" i="29"/>
  <c r="G47" i="29"/>
  <c r="H47" i="29"/>
  <c r="I47" i="29"/>
  <c r="J47" i="29"/>
  <c r="K47" i="29"/>
  <c r="L47" i="29"/>
  <c r="M47" i="29"/>
  <c r="C48" i="29"/>
  <c r="D48" i="29"/>
  <c r="E48" i="29"/>
  <c r="F48" i="29"/>
  <c r="G48" i="29"/>
  <c r="H48" i="29"/>
  <c r="I48" i="29"/>
  <c r="J48" i="29"/>
  <c r="K48" i="29"/>
  <c r="L48" i="29"/>
  <c r="M48" i="29"/>
  <c r="C49" i="29"/>
  <c r="D49" i="29"/>
  <c r="E49" i="29"/>
  <c r="F49" i="29"/>
  <c r="G49" i="29"/>
  <c r="H49" i="29"/>
  <c r="I49" i="29"/>
  <c r="J49" i="29"/>
  <c r="K49" i="29"/>
  <c r="L49" i="29"/>
  <c r="M49" i="29"/>
  <c r="B49" i="29"/>
  <c r="B48" i="29"/>
  <c r="B47" i="29"/>
  <c r="B46" i="29"/>
  <c r="B44" i="29"/>
  <c r="B43" i="29"/>
  <c r="B42" i="29"/>
  <c r="B37" i="29"/>
  <c r="B36" i="29"/>
  <c r="B35" i="29"/>
  <c r="K33" i="29"/>
  <c r="K32" i="29"/>
  <c r="F33" i="29"/>
  <c r="F32" i="29"/>
  <c r="E33" i="29"/>
  <c r="E32" i="29"/>
  <c r="C32" i="29"/>
  <c r="C36" i="29" s="1"/>
  <c r="C38" i="29"/>
  <c r="C37" i="29"/>
  <c r="C35" i="29"/>
  <c r="C33" i="29"/>
  <c r="M32" i="29"/>
  <c r="M33" i="29" s="1"/>
  <c r="M30" i="29"/>
  <c r="M29" i="29"/>
  <c r="M31" i="29" s="1"/>
  <c r="L32" i="29"/>
  <c r="L33" i="29" s="1"/>
  <c r="L30" i="29"/>
  <c r="L29" i="29"/>
  <c r="L31" i="29" s="1"/>
  <c r="K30" i="29"/>
  <c r="K29" i="29"/>
  <c r="J32" i="29"/>
  <c r="J33" i="29" s="1"/>
  <c r="J30" i="29"/>
  <c r="J29" i="29"/>
  <c r="J31" i="29" s="1"/>
  <c r="I32" i="29"/>
  <c r="I33" i="29" s="1"/>
  <c r="I30" i="29"/>
  <c r="I29" i="29"/>
  <c r="I31" i="29" s="1"/>
  <c r="H32" i="29"/>
  <c r="H33" i="29" s="1"/>
  <c r="H30" i="29"/>
  <c r="H29" i="29"/>
  <c r="G32" i="29"/>
  <c r="G33" i="29" s="1"/>
  <c r="G30" i="29"/>
  <c r="G29" i="29"/>
  <c r="G31" i="29" s="1"/>
  <c r="F30" i="29"/>
  <c r="F29" i="29"/>
  <c r="E30" i="29"/>
  <c r="E29" i="29"/>
  <c r="B33" i="29"/>
  <c r="C30" i="29"/>
  <c r="C29" i="29"/>
  <c r="D32" i="29"/>
  <c r="D33" i="29" s="1"/>
  <c r="D30" i="29"/>
  <c r="D29" i="29"/>
  <c r="B32" i="29"/>
  <c r="B29" i="29"/>
  <c r="X66" i="32" l="1"/>
  <c r="O66" i="32"/>
  <c r="H66" i="32"/>
  <c r="U66" i="32"/>
  <c r="Q66" i="13"/>
  <c r="R62" i="32"/>
  <c r="R66" i="32" s="1"/>
  <c r="I66" i="13"/>
  <c r="I62" i="32"/>
  <c r="I66" i="32" s="1"/>
  <c r="G65" i="32"/>
  <c r="J18" i="17" s="1"/>
  <c r="G64" i="32"/>
  <c r="I18" i="17" s="1"/>
  <c r="K66" i="13"/>
  <c r="V66" i="13"/>
  <c r="N66" i="13"/>
  <c r="R66" i="13"/>
  <c r="P66" i="13"/>
  <c r="H66" i="13"/>
  <c r="L66" i="13"/>
  <c r="T66" i="13"/>
  <c r="M66" i="13"/>
  <c r="U66" i="13"/>
  <c r="S66" i="13"/>
  <c r="J66" i="13"/>
  <c r="G65" i="13"/>
  <c r="W66" i="13"/>
  <c r="O66" i="13"/>
  <c r="G64" i="13"/>
  <c r="G62" i="13"/>
  <c r="K31" i="29"/>
  <c r="H31" i="29"/>
  <c r="F31" i="29"/>
  <c r="C40" i="29"/>
  <c r="C39" i="29"/>
  <c r="E31" i="29"/>
  <c r="D31" i="29"/>
  <c r="U57" i="30"/>
  <c r="U53" i="30"/>
  <c r="U49" i="30"/>
  <c r="U45" i="30"/>
  <c r="U56" i="30"/>
  <c r="U55" i="30"/>
  <c r="U54" i="30"/>
  <c r="U52" i="30"/>
  <c r="U50" i="30"/>
  <c r="U51" i="30"/>
  <c r="U48" i="30"/>
  <c r="U47" i="30"/>
  <c r="U46" i="30"/>
  <c r="U44" i="30"/>
  <c r="U43" i="30"/>
  <c r="U42" i="30"/>
  <c r="O56" i="30"/>
  <c r="O55" i="30"/>
  <c r="O52" i="30"/>
  <c r="O51" i="30"/>
  <c r="O48" i="30"/>
  <c r="O47" i="30"/>
  <c r="O44" i="30"/>
  <c r="O43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S54" i="30" s="1"/>
  <c r="D57" i="30"/>
  <c r="D54" i="30" s="1"/>
  <c r="G56" i="30"/>
  <c r="F56" i="30"/>
  <c r="N55" i="30"/>
  <c r="R54" i="30"/>
  <c r="M54" i="30"/>
  <c r="H54" i="30"/>
  <c r="S32" i="30"/>
  <c r="S50" i="30"/>
  <c r="E49" i="30"/>
  <c r="I49" i="30"/>
  <c r="J49" i="30"/>
  <c r="K49" i="30"/>
  <c r="L49" i="30"/>
  <c r="P49" i="30"/>
  <c r="Q49" i="30"/>
  <c r="S49" i="30"/>
  <c r="S46" i="30" s="1"/>
  <c r="E53" i="30"/>
  <c r="I53" i="30"/>
  <c r="J53" i="30"/>
  <c r="K53" i="30"/>
  <c r="L53" i="30"/>
  <c r="P53" i="30"/>
  <c r="Q53" i="30"/>
  <c r="S53" i="30"/>
  <c r="S42" i="30"/>
  <c r="E45" i="30"/>
  <c r="I45" i="30"/>
  <c r="J45" i="30"/>
  <c r="K45" i="30"/>
  <c r="L45" i="30"/>
  <c r="P45" i="30"/>
  <c r="Q45" i="30"/>
  <c r="S45" i="30"/>
  <c r="G62" i="32" l="1"/>
  <c r="G18" i="17" s="1"/>
  <c r="G66" i="32"/>
  <c r="F18" i="17" s="1"/>
  <c r="G66" i="13"/>
  <c r="D56" i="30"/>
  <c r="R31" i="30" l="1"/>
  <c r="R53" i="30" s="1"/>
  <c r="R50" i="30" s="1"/>
  <c r="R30" i="30"/>
  <c r="R49" i="30" s="1"/>
  <c r="R46" i="30" s="1"/>
  <c r="R29" i="30"/>
  <c r="H31" i="30"/>
  <c r="H53" i="30" s="1"/>
  <c r="H50" i="30" s="1"/>
  <c r="H30" i="30"/>
  <c r="H49" i="30" s="1"/>
  <c r="H46" i="30" s="1"/>
  <c r="H29" i="30"/>
  <c r="D31" i="30"/>
  <c r="D53" i="30" s="1"/>
  <c r="D30" i="30"/>
  <c r="D49" i="30" s="1"/>
  <c r="D29" i="30"/>
  <c r="O31" i="30"/>
  <c r="O53" i="30" s="1"/>
  <c r="O30" i="30"/>
  <c r="O49" i="30" s="1"/>
  <c r="O29" i="30"/>
  <c r="N31" i="30"/>
  <c r="N53" i="30" s="1"/>
  <c r="N51" i="30" s="1"/>
  <c r="N30" i="30"/>
  <c r="N49" i="30" s="1"/>
  <c r="N47" i="30" s="1"/>
  <c r="N29" i="30"/>
  <c r="G30" i="30"/>
  <c r="G49" i="30" s="1"/>
  <c r="G48" i="30" s="1"/>
  <c r="F31" i="30"/>
  <c r="F30" i="30"/>
  <c r="F49" i="30" s="1"/>
  <c r="F48" i="30" s="1"/>
  <c r="F29" i="30"/>
  <c r="G29" i="30" s="1"/>
  <c r="G45" i="30" l="1"/>
  <c r="G44" i="30" s="1"/>
  <c r="G32" i="30"/>
  <c r="M29" i="30"/>
  <c r="T29" i="30" s="1"/>
  <c r="R45" i="30"/>
  <c r="R42" i="30" s="1"/>
  <c r="R32" i="30"/>
  <c r="D45" i="30"/>
  <c r="D32" i="30"/>
  <c r="G31" i="30"/>
  <c r="F53" i="30"/>
  <c r="F52" i="30" s="1"/>
  <c r="N32" i="30"/>
  <c r="N45" i="30"/>
  <c r="N43" i="30" s="1"/>
  <c r="D46" i="30"/>
  <c r="D48" i="30"/>
  <c r="D52" i="30"/>
  <c r="D50" i="30"/>
  <c r="H32" i="30"/>
  <c r="H45" i="30"/>
  <c r="H42" i="30" s="1"/>
  <c r="F32" i="30"/>
  <c r="F45" i="30"/>
  <c r="F44" i="30" s="1"/>
  <c r="O32" i="30"/>
  <c r="O45" i="30"/>
  <c r="M30" i="30"/>
  <c r="T32" i="30" l="1"/>
  <c r="M31" i="30"/>
  <c r="M53" i="30" s="1"/>
  <c r="M50" i="30" s="1"/>
  <c r="G53" i="30"/>
  <c r="G52" i="30" s="1"/>
  <c r="D44" i="30"/>
  <c r="D42" i="30"/>
  <c r="T30" i="30"/>
  <c r="M49" i="30"/>
  <c r="M46" i="30" s="1"/>
  <c r="M32" i="30"/>
  <c r="M45" i="30"/>
  <c r="M42" i="30" s="1"/>
  <c r="T31" i="30" l="1"/>
  <c r="M35" i="29" l="1"/>
  <c r="M37" i="29"/>
  <c r="K35" i="29"/>
  <c r="K37" i="29"/>
  <c r="J35" i="29"/>
  <c r="J37" i="29"/>
  <c r="H35" i="29"/>
  <c r="H37" i="29"/>
  <c r="F35" i="29"/>
  <c r="F37" i="29"/>
  <c r="G37" i="29"/>
  <c r="E35" i="29"/>
  <c r="E37" i="29"/>
  <c r="D35" i="29"/>
  <c r="D37" i="29"/>
  <c r="B30" i="29"/>
  <c r="G35" i="29"/>
  <c r="I35" i="29"/>
  <c r="I37" i="29"/>
  <c r="L37" i="29"/>
  <c r="L35" i="29"/>
  <c r="L38" i="29"/>
  <c r="H36" i="29" l="1"/>
  <c r="H40" i="29" s="1"/>
  <c r="H42" i="29" s="1"/>
  <c r="M36" i="29"/>
  <c r="M40" i="29" s="1"/>
  <c r="M42" i="29" s="1"/>
  <c r="C43" i="29"/>
  <c r="J36" i="29"/>
  <c r="J40" i="29" s="1"/>
  <c r="J42" i="29" s="1"/>
  <c r="B31" i="29"/>
  <c r="D36" i="29"/>
  <c r="D40" i="29" s="1"/>
  <c r="D44" i="29" s="1"/>
  <c r="K36" i="29"/>
  <c r="K40" i="29" s="1"/>
  <c r="K43" i="29" s="1"/>
  <c r="M38" i="29"/>
  <c r="M39" i="29" s="1"/>
  <c r="C31" i="29"/>
  <c r="K38" i="29"/>
  <c r="J38" i="29"/>
  <c r="H38" i="29"/>
  <c r="F38" i="29"/>
  <c r="F36" i="29"/>
  <c r="F39" i="29" s="1"/>
  <c r="E36" i="29"/>
  <c r="E38" i="29"/>
  <c r="D38" i="29"/>
  <c r="B40" i="29"/>
  <c r="B38" i="29"/>
  <c r="L36" i="29"/>
  <c r="G36" i="29"/>
  <c r="G38" i="29"/>
  <c r="I36" i="29"/>
  <c r="I38" i="29"/>
  <c r="F40" i="29" l="1"/>
  <c r="F43" i="29" s="1"/>
  <c r="G39" i="29"/>
  <c r="G40" i="29"/>
  <c r="G44" i="29" s="1"/>
  <c r="H39" i="29"/>
  <c r="L39" i="29"/>
  <c r="J39" i="29"/>
  <c r="K39" i="29"/>
  <c r="D39" i="29"/>
  <c r="B39" i="29"/>
  <c r="E39" i="29"/>
  <c r="M43" i="29"/>
  <c r="M44" i="29"/>
  <c r="E40" i="29"/>
  <c r="D42" i="29"/>
  <c r="D43" i="29"/>
  <c r="K44" i="29"/>
  <c r="K42" i="29"/>
  <c r="J43" i="29"/>
  <c r="J44" i="29"/>
  <c r="H43" i="29"/>
  <c r="H44" i="29"/>
  <c r="C44" i="29"/>
  <c r="C42" i="29"/>
  <c r="L40" i="29"/>
  <c r="I39" i="29"/>
  <c r="I40" i="29"/>
  <c r="P29" i="13" l="1"/>
  <c r="P29" i="32" s="1"/>
  <c r="F44" i="29"/>
  <c r="F42" i="29"/>
  <c r="K30" i="13"/>
  <c r="K30" i="32" s="1"/>
  <c r="H27" i="13"/>
  <c r="H27" i="32" s="1"/>
  <c r="N30" i="13"/>
  <c r="N30" i="32" s="1"/>
  <c r="M29" i="13"/>
  <c r="M29" i="32" s="1"/>
  <c r="T27" i="13"/>
  <c r="U27" i="32" s="1"/>
  <c r="Q29" i="13"/>
  <c r="R29" i="32" s="1"/>
  <c r="W30" i="13"/>
  <c r="X30" i="32" s="1"/>
  <c r="V29" i="13"/>
  <c r="W29" i="32" s="1"/>
  <c r="U27" i="13"/>
  <c r="V27" i="32" s="1"/>
  <c r="L27" i="13"/>
  <c r="L27" i="32" s="1"/>
  <c r="J30" i="13"/>
  <c r="J30" i="32" s="1"/>
  <c r="I29" i="13"/>
  <c r="I29" i="32" s="1"/>
  <c r="M30" i="13"/>
  <c r="M30" i="32" s="1"/>
  <c r="R30" i="13"/>
  <c r="S30" i="32" s="1"/>
  <c r="O30" i="13"/>
  <c r="O30" i="32" s="1"/>
  <c r="N29" i="13"/>
  <c r="N29" i="32" s="1"/>
  <c r="M27" i="13"/>
  <c r="M27" i="32" s="1"/>
  <c r="M31" i="32" s="1"/>
  <c r="S30" i="13"/>
  <c r="T30" i="32" s="1"/>
  <c r="R29" i="13"/>
  <c r="S29" i="32" s="1"/>
  <c r="Q27" i="13"/>
  <c r="R27" i="32" s="1"/>
  <c r="V30" i="13"/>
  <c r="W30" i="32" s="1"/>
  <c r="P27" i="13"/>
  <c r="P27" i="32" s="1"/>
  <c r="P31" i="32" s="1"/>
  <c r="H29" i="13"/>
  <c r="H29" i="32" s="1"/>
  <c r="W29" i="13"/>
  <c r="X29" i="32" s="1"/>
  <c r="V27" i="13"/>
  <c r="W27" i="32" s="1"/>
  <c r="W31" i="32" s="1"/>
  <c r="T30" i="13"/>
  <c r="U30" i="32" s="1"/>
  <c r="I27" i="13"/>
  <c r="I27" i="32" s="1"/>
  <c r="I31" i="32" s="1"/>
  <c r="O29" i="13"/>
  <c r="O29" i="32" s="1"/>
  <c r="N27" i="13"/>
  <c r="N27" i="32" s="1"/>
  <c r="L30" i="13"/>
  <c r="L30" i="32" s="1"/>
  <c r="S29" i="13"/>
  <c r="T29" i="32" s="1"/>
  <c r="R27" i="13"/>
  <c r="S27" i="32" s="1"/>
  <c r="P30" i="13"/>
  <c r="P30" i="32" s="1"/>
  <c r="I30" i="13"/>
  <c r="I30" i="32" s="1"/>
  <c r="J29" i="13"/>
  <c r="J29" i="32" s="1"/>
  <c r="W27" i="13"/>
  <c r="X27" i="32" s="1"/>
  <c r="X31" i="32" s="1"/>
  <c r="U30" i="13"/>
  <c r="V30" i="32" s="1"/>
  <c r="T29" i="13"/>
  <c r="U29" i="32" s="1"/>
  <c r="K29" i="13"/>
  <c r="K29" i="32" s="1"/>
  <c r="J27" i="13"/>
  <c r="J27" i="32" s="1"/>
  <c r="H30" i="13"/>
  <c r="H30" i="32" s="1"/>
  <c r="K27" i="13"/>
  <c r="K27" i="32" s="1"/>
  <c r="K31" i="32" s="1"/>
  <c r="L44" i="29"/>
  <c r="L42" i="29"/>
  <c r="O27" i="13"/>
  <c r="O27" i="32" s="1"/>
  <c r="O31" i="32" s="1"/>
  <c r="U29" i="13"/>
  <c r="V29" i="32" s="1"/>
  <c r="L29" i="13"/>
  <c r="L29" i="32" s="1"/>
  <c r="S27" i="13"/>
  <c r="T27" i="32" s="1"/>
  <c r="T31" i="32" s="1"/>
  <c r="Q30" i="13"/>
  <c r="R30" i="32" s="1"/>
  <c r="E42" i="29"/>
  <c r="E43" i="29"/>
  <c r="E44" i="29"/>
  <c r="L43" i="29"/>
  <c r="G42" i="29"/>
  <c r="G43" i="29"/>
  <c r="I42" i="29"/>
  <c r="I43" i="29"/>
  <c r="I44" i="29"/>
  <c r="N31" i="32" l="1"/>
  <c r="U31" i="32"/>
  <c r="R31" i="32"/>
  <c r="L31" i="32"/>
  <c r="H31" i="32"/>
  <c r="G27" i="32"/>
  <c r="G11" i="17" s="1"/>
  <c r="G30" i="32"/>
  <c r="J11" i="17" s="1"/>
  <c r="V31" i="32"/>
  <c r="J31" i="32"/>
  <c r="S31" i="32"/>
  <c r="G29" i="32"/>
  <c r="I11" i="17" s="1"/>
  <c r="H31" i="13"/>
  <c r="P31" i="13"/>
  <c r="N31" i="13"/>
  <c r="T31" i="13"/>
  <c r="S31" i="13"/>
  <c r="K31" i="13"/>
  <c r="G29" i="13"/>
  <c r="G30" i="13"/>
  <c r="J31" i="13"/>
  <c r="L31" i="13"/>
  <c r="Q31" i="13"/>
  <c r="U31" i="13"/>
  <c r="I31" i="13"/>
  <c r="O31" i="13"/>
  <c r="W31" i="13"/>
  <c r="R31" i="13"/>
  <c r="V31" i="13"/>
  <c r="M31" i="13"/>
  <c r="H34" i="13"/>
  <c r="H34" i="32" s="1"/>
  <c r="P34" i="13"/>
  <c r="P34" i="32" s="1"/>
  <c r="H35" i="13"/>
  <c r="H35" i="32" s="1"/>
  <c r="P35" i="13"/>
  <c r="P35" i="32" s="1"/>
  <c r="I32" i="13"/>
  <c r="I32" i="32" s="1"/>
  <c r="Q32" i="13"/>
  <c r="R32" i="32" s="1"/>
  <c r="I34" i="13"/>
  <c r="I34" i="32" s="1"/>
  <c r="Q34" i="13"/>
  <c r="R34" i="32" s="1"/>
  <c r="I35" i="13"/>
  <c r="I35" i="32" s="1"/>
  <c r="Q35" i="13"/>
  <c r="R35" i="32" s="1"/>
  <c r="J32" i="13"/>
  <c r="J32" i="32" s="1"/>
  <c r="R32" i="13"/>
  <c r="S32" i="32" s="1"/>
  <c r="J34" i="13"/>
  <c r="J34" i="32" s="1"/>
  <c r="R34" i="13"/>
  <c r="S34" i="32" s="1"/>
  <c r="J35" i="13"/>
  <c r="J35" i="32" s="1"/>
  <c r="R35" i="13"/>
  <c r="S35" i="32" s="1"/>
  <c r="K32" i="13"/>
  <c r="K32" i="32" s="1"/>
  <c r="S32" i="13"/>
  <c r="T32" i="32" s="1"/>
  <c r="K34" i="13"/>
  <c r="K34" i="32" s="1"/>
  <c r="S34" i="13"/>
  <c r="T34" i="32" s="1"/>
  <c r="K35" i="13"/>
  <c r="K35" i="32" s="1"/>
  <c r="S35" i="13"/>
  <c r="T35" i="32" s="1"/>
  <c r="L32" i="13"/>
  <c r="L32" i="32" s="1"/>
  <c r="T32" i="13"/>
  <c r="U32" i="32" s="1"/>
  <c r="U36" i="32" s="1"/>
  <c r="W35" i="13"/>
  <c r="X35" i="32" s="1"/>
  <c r="L34" i="13"/>
  <c r="L34" i="32" s="1"/>
  <c r="T34" i="13"/>
  <c r="U34" i="32" s="1"/>
  <c r="L35" i="13"/>
  <c r="L35" i="32" s="1"/>
  <c r="T35" i="13"/>
  <c r="U35" i="32" s="1"/>
  <c r="M32" i="13"/>
  <c r="M32" i="32" s="1"/>
  <c r="U32" i="13"/>
  <c r="V32" i="32" s="1"/>
  <c r="O35" i="13"/>
  <c r="O35" i="32" s="1"/>
  <c r="M34" i="13"/>
  <c r="M34" i="32" s="1"/>
  <c r="U34" i="13"/>
  <c r="V34" i="32" s="1"/>
  <c r="M35" i="13"/>
  <c r="M35" i="32" s="1"/>
  <c r="U35" i="13"/>
  <c r="V35" i="32" s="1"/>
  <c r="N32" i="13"/>
  <c r="N32" i="32" s="1"/>
  <c r="V32" i="13"/>
  <c r="W32" i="32" s="1"/>
  <c r="P32" i="13"/>
  <c r="P32" i="32" s="1"/>
  <c r="P36" i="32" s="1"/>
  <c r="N34" i="13"/>
  <c r="N34" i="32" s="1"/>
  <c r="V34" i="13"/>
  <c r="W34" i="32" s="1"/>
  <c r="N35" i="13"/>
  <c r="N35" i="32" s="1"/>
  <c r="V35" i="13"/>
  <c r="W35" i="32" s="1"/>
  <c r="O32" i="13"/>
  <c r="O32" i="32" s="1"/>
  <c r="W32" i="13"/>
  <c r="X32" i="32" s="1"/>
  <c r="X36" i="32" s="1"/>
  <c r="O34" i="13"/>
  <c r="O34" i="32" s="1"/>
  <c r="W34" i="13"/>
  <c r="X34" i="32" s="1"/>
  <c r="H32" i="13"/>
  <c r="H32" i="32" s="1"/>
  <c r="H39" i="13"/>
  <c r="H39" i="32" s="1"/>
  <c r="P39" i="13"/>
  <c r="P39" i="32" s="1"/>
  <c r="H40" i="13"/>
  <c r="H40" i="32" s="1"/>
  <c r="P40" i="13"/>
  <c r="P40" i="32" s="1"/>
  <c r="I37" i="13"/>
  <c r="I37" i="32" s="1"/>
  <c r="I41" i="32" s="1"/>
  <c r="Q37" i="13"/>
  <c r="R37" i="32" s="1"/>
  <c r="I39" i="13"/>
  <c r="I39" i="32" s="1"/>
  <c r="Q39" i="13"/>
  <c r="R39" i="32" s="1"/>
  <c r="I40" i="13"/>
  <c r="I40" i="32" s="1"/>
  <c r="Q40" i="13"/>
  <c r="R40" i="32" s="1"/>
  <c r="J37" i="13"/>
  <c r="J37" i="32" s="1"/>
  <c r="J41" i="32" s="1"/>
  <c r="R37" i="13"/>
  <c r="S37" i="32" s="1"/>
  <c r="J39" i="13"/>
  <c r="J39" i="32" s="1"/>
  <c r="R39" i="13"/>
  <c r="S39" i="32" s="1"/>
  <c r="J40" i="13"/>
  <c r="J40" i="32" s="1"/>
  <c r="R40" i="13"/>
  <c r="S40" i="32" s="1"/>
  <c r="K37" i="13"/>
  <c r="K37" i="32" s="1"/>
  <c r="S37" i="13"/>
  <c r="T37" i="32" s="1"/>
  <c r="K39" i="13"/>
  <c r="K39" i="32" s="1"/>
  <c r="S39" i="13"/>
  <c r="T39" i="32" s="1"/>
  <c r="K40" i="13"/>
  <c r="K40" i="32" s="1"/>
  <c r="S40" i="13"/>
  <c r="T40" i="32" s="1"/>
  <c r="L37" i="13"/>
  <c r="L37" i="32" s="1"/>
  <c r="T37" i="13"/>
  <c r="U37" i="32" s="1"/>
  <c r="U41" i="32" s="1"/>
  <c r="L39" i="13"/>
  <c r="L39" i="32" s="1"/>
  <c r="T39" i="13"/>
  <c r="U39" i="32" s="1"/>
  <c r="L40" i="13"/>
  <c r="L40" i="32" s="1"/>
  <c r="T40" i="13"/>
  <c r="U40" i="32" s="1"/>
  <c r="M37" i="13"/>
  <c r="M37" i="32" s="1"/>
  <c r="M41" i="32" s="1"/>
  <c r="U37" i="13"/>
  <c r="V37" i="32" s="1"/>
  <c r="M39" i="13"/>
  <c r="M39" i="32" s="1"/>
  <c r="U39" i="13"/>
  <c r="V39" i="32" s="1"/>
  <c r="M40" i="13"/>
  <c r="M40" i="32" s="1"/>
  <c r="U40" i="13"/>
  <c r="V40" i="32" s="1"/>
  <c r="N37" i="13"/>
  <c r="N37" i="32" s="1"/>
  <c r="V37" i="13"/>
  <c r="W37" i="32" s="1"/>
  <c r="N39" i="13"/>
  <c r="N39" i="32" s="1"/>
  <c r="V39" i="13"/>
  <c r="W39" i="32" s="1"/>
  <c r="N40" i="13"/>
  <c r="N40" i="32" s="1"/>
  <c r="V40" i="13"/>
  <c r="W40" i="32" s="1"/>
  <c r="O37" i="13"/>
  <c r="O37" i="32" s="1"/>
  <c r="W37" i="13"/>
  <c r="X37" i="32" s="1"/>
  <c r="O39" i="13"/>
  <c r="O39" i="32" s="1"/>
  <c r="W39" i="13"/>
  <c r="X39" i="32" s="1"/>
  <c r="O40" i="13"/>
  <c r="O40" i="32" s="1"/>
  <c r="W40" i="13"/>
  <c r="X40" i="32" s="1"/>
  <c r="P37" i="13"/>
  <c r="P37" i="32" s="1"/>
  <c r="P41" i="32" s="1"/>
  <c r="H37" i="13"/>
  <c r="H37" i="32" s="1"/>
  <c r="N57" i="13"/>
  <c r="N57" i="32" s="1"/>
  <c r="V57" i="13"/>
  <c r="W57" i="32" s="1"/>
  <c r="O59" i="13"/>
  <c r="O59" i="32" s="1"/>
  <c r="W59" i="13"/>
  <c r="X59" i="32" s="1"/>
  <c r="O57" i="13"/>
  <c r="O57" i="32" s="1"/>
  <c r="W57" i="13"/>
  <c r="X57" i="32" s="1"/>
  <c r="P59" i="13"/>
  <c r="P59" i="32" s="1"/>
  <c r="Q60" i="13"/>
  <c r="R60" i="32" s="1"/>
  <c r="H57" i="13"/>
  <c r="H57" i="32" s="1"/>
  <c r="P57" i="13"/>
  <c r="P57" i="32" s="1"/>
  <c r="I59" i="13"/>
  <c r="I59" i="32" s="1"/>
  <c r="Q59" i="13"/>
  <c r="R59" i="32" s="1"/>
  <c r="J60" i="13"/>
  <c r="J60" i="32" s="1"/>
  <c r="R60" i="13"/>
  <c r="S60" i="32" s="1"/>
  <c r="I57" i="13"/>
  <c r="I57" i="32" s="1"/>
  <c r="Q57" i="13"/>
  <c r="R57" i="32" s="1"/>
  <c r="J59" i="13"/>
  <c r="J59" i="32" s="1"/>
  <c r="R59" i="13"/>
  <c r="S59" i="32" s="1"/>
  <c r="K60" i="13"/>
  <c r="K60" i="32" s="1"/>
  <c r="S60" i="13"/>
  <c r="T60" i="32" s="1"/>
  <c r="K57" i="13"/>
  <c r="K57" i="32" s="1"/>
  <c r="T59" i="13"/>
  <c r="U59" i="32" s="1"/>
  <c r="U60" i="13"/>
  <c r="V60" i="32" s="1"/>
  <c r="M57" i="13"/>
  <c r="M57" i="32" s="1"/>
  <c r="M61" i="32" s="1"/>
  <c r="H60" i="13"/>
  <c r="H60" i="32" s="1"/>
  <c r="J57" i="13"/>
  <c r="J57" i="32" s="1"/>
  <c r="R57" i="13"/>
  <c r="S57" i="32" s="1"/>
  <c r="S61" i="32" s="1"/>
  <c r="K59" i="13"/>
  <c r="K59" i="32" s="1"/>
  <c r="S59" i="13"/>
  <c r="T59" i="32" s="1"/>
  <c r="L60" i="13"/>
  <c r="L60" i="32" s="1"/>
  <c r="T60" i="13"/>
  <c r="U60" i="32" s="1"/>
  <c r="S57" i="13"/>
  <c r="T57" i="32" s="1"/>
  <c r="T61" i="32" s="1"/>
  <c r="M60" i="13"/>
  <c r="M60" i="32" s="1"/>
  <c r="U57" i="13"/>
  <c r="V57" i="32" s="1"/>
  <c r="O60" i="13"/>
  <c r="O60" i="32" s="1"/>
  <c r="H59" i="13"/>
  <c r="H59" i="32" s="1"/>
  <c r="T34" i="30"/>
  <c r="L59" i="13"/>
  <c r="L59" i="32" s="1"/>
  <c r="V59" i="13"/>
  <c r="W59" i="32" s="1"/>
  <c r="I60" i="13"/>
  <c r="I60" i="32" s="1"/>
  <c r="L57" i="13"/>
  <c r="L57" i="32" s="1"/>
  <c r="L61" i="32" s="1"/>
  <c r="T57" i="13"/>
  <c r="U57" i="32" s="1"/>
  <c r="M59" i="13"/>
  <c r="M59" i="32" s="1"/>
  <c r="U59" i="13"/>
  <c r="V59" i="32" s="1"/>
  <c r="N60" i="13"/>
  <c r="N60" i="32" s="1"/>
  <c r="V60" i="13"/>
  <c r="W60" i="32" s="1"/>
  <c r="N59" i="13"/>
  <c r="N59" i="32" s="1"/>
  <c r="W60" i="13"/>
  <c r="X60" i="32" s="1"/>
  <c r="P60" i="13"/>
  <c r="P60" i="32" s="1"/>
  <c r="G27" i="13"/>
  <c r="H42" i="13"/>
  <c r="H42" i="32" s="1"/>
  <c r="M44" i="13"/>
  <c r="M44" i="32" s="1"/>
  <c r="U44" i="13"/>
  <c r="V44" i="32" s="1"/>
  <c r="M45" i="13"/>
  <c r="M45" i="32" s="1"/>
  <c r="U45" i="13"/>
  <c r="V45" i="32" s="1"/>
  <c r="N42" i="13"/>
  <c r="N42" i="32" s="1"/>
  <c r="N46" i="32" s="1"/>
  <c r="V42" i="13"/>
  <c r="W42" i="32" s="1"/>
  <c r="N44" i="13"/>
  <c r="N44" i="32" s="1"/>
  <c r="V44" i="13"/>
  <c r="W44" i="32" s="1"/>
  <c r="N45" i="13"/>
  <c r="N45" i="32" s="1"/>
  <c r="V45" i="13"/>
  <c r="W45" i="32" s="1"/>
  <c r="O42" i="13"/>
  <c r="O42" i="32" s="1"/>
  <c r="W42" i="13"/>
  <c r="X42" i="32" s="1"/>
  <c r="O44" i="13"/>
  <c r="O44" i="32" s="1"/>
  <c r="W44" i="13"/>
  <c r="X44" i="32" s="1"/>
  <c r="O45" i="13"/>
  <c r="O45" i="32" s="1"/>
  <c r="W45" i="13"/>
  <c r="X45" i="32" s="1"/>
  <c r="P42" i="13"/>
  <c r="P42" i="32" s="1"/>
  <c r="H44" i="13"/>
  <c r="H44" i="32" s="1"/>
  <c r="P44" i="13"/>
  <c r="P44" i="32" s="1"/>
  <c r="H45" i="13"/>
  <c r="H45" i="32" s="1"/>
  <c r="P45" i="13"/>
  <c r="P45" i="32" s="1"/>
  <c r="I42" i="13"/>
  <c r="I42" i="32" s="1"/>
  <c r="Q42" i="13"/>
  <c r="R42" i="32" s="1"/>
  <c r="J45" i="13"/>
  <c r="J45" i="32" s="1"/>
  <c r="T44" i="13"/>
  <c r="U44" i="32" s="1"/>
  <c r="I44" i="13"/>
  <c r="I44" i="32" s="1"/>
  <c r="Q44" i="13"/>
  <c r="R44" i="32" s="1"/>
  <c r="I45" i="13"/>
  <c r="I45" i="32" s="1"/>
  <c r="Q45" i="13"/>
  <c r="R45" i="32" s="1"/>
  <c r="J42" i="13"/>
  <c r="J42" i="32" s="1"/>
  <c r="R42" i="13"/>
  <c r="S42" i="32" s="1"/>
  <c r="J44" i="13"/>
  <c r="J44" i="32" s="1"/>
  <c r="R44" i="13"/>
  <c r="S44" i="32" s="1"/>
  <c r="R45" i="13"/>
  <c r="S45" i="32" s="1"/>
  <c r="S42" i="13"/>
  <c r="T42" i="32" s="1"/>
  <c r="L44" i="13"/>
  <c r="L44" i="32" s="1"/>
  <c r="T45" i="13"/>
  <c r="U45" i="32" s="1"/>
  <c r="K42" i="13"/>
  <c r="K42" i="32" s="1"/>
  <c r="L45" i="13"/>
  <c r="L45" i="32" s="1"/>
  <c r="U42" i="13"/>
  <c r="V42" i="32" s="1"/>
  <c r="V46" i="32" s="1"/>
  <c r="K44" i="13"/>
  <c r="K44" i="32" s="1"/>
  <c r="S44" i="13"/>
  <c r="T44" i="32" s="1"/>
  <c r="K45" i="13"/>
  <c r="K45" i="32" s="1"/>
  <c r="S45" i="13"/>
  <c r="T45" i="32" s="1"/>
  <c r="L42" i="13"/>
  <c r="L42" i="32" s="1"/>
  <c r="L46" i="32" s="1"/>
  <c r="T42" i="13"/>
  <c r="U42" i="32" s="1"/>
  <c r="M42" i="13"/>
  <c r="M42" i="32" s="1"/>
  <c r="M46" i="32" s="1"/>
  <c r="H49" i="13"/>
  <c r="H49" i="32" s="1"/>
  <c r="P49" i="13"/>
  <c r="P49" i="32" s="1"/>
  <c r="H50" i="13"/>
  <c r="H50" i="32" s="1"/>
  <c r="P50" i="13"/>
  <c r="P50" i="32" s="1"/>
  <c r="I47" i="13"/>
  <c r="I47" i="32" s="1"/>
  <c r="Q47" i="13"/>
  <c r="R47" i="32" s="1"/>
  <c r="R51" i="32" s="1"/>
  <c r="I49" i="13"/>
  <c r="I49" i="32" s="1"/>
  <c r="Q49" i="13"/>
  <c r="R49" i="32" s="1"/>
  <c r="I50" i="13"/>
  <c r="I50" i="32" s="1"/>
  <c r="Q50" i="13"/>
  <c r="R50" i="32" s="1"/>
  <c r="J47" i="13"/>
  <c r="J47" i="32" s="1"/>
  <c r="R47" i="13"/>
  <c r="S47" i="32" s="1"/>
  <c r="J49" i="13"/>
  <c r="J49" i="32" s="1"/>
  <c r="R49" i="13"/>
  <c r="S49" i="32" s="1"/>
  <c r="J50" i="13"/>
  <c r="J50" i="32" s="1"/>
  <c r="R50" i="13"/>
  <c r="S50" i="32" s="1"/>
  <c r="K47" i="13"/>
  <c r="K47" i="32" s="1"/>
  <c r="K51" i="32" s="1"/>
  <c r="S47" i="13"/>
  <c r="T47" i="32" s="1"/>
  <c r="K49" i="13"/>
  <c r="K49" i="32" s="1"/>
  <c r="S49" i="13"/>
  <c r="T49" i="32" s="1"/>
  <c r="K50" i="13"/>
  <c r="K50" i="32" s="1"/>
  <c r="S50" i="13"/>
  <c r="T50" i="32" s="1"/>
  <c r="L47" i="13"/>
  <c r="L47" i="32" s="1"/>
  <c r="T47" i="13"/>
  <c r="U47" i="32" s="1"/>
  <c r="L49" i="13"/>
  <c r="L49" i="32" s="1"/>
  <c r="T49" i="13"/>
  <c r="U49" i="32" s="1"/>
  <c r="L50" i="13"/>
  <c r="L50" i="32" s="1"/>
  <c r="T50" i="13"/>
  <c r="U50" i="32" s="1"/>
  <c r="M47" i="13"/>
  <c r="M47" i="32" s="1"/>
  <c r="U47" i="13"/>
  <c r="V47" i="32" s="1"/>
  <c r="V51" i="32" s="1"/>
  <c r="M49" i="13"/>
  <c r="M49" i="32" s="1"/>
  <c r="U49" i="13"/>
  <c r="V49" i="32" s="1"/>
  <c r="M50" i="13"/>
  <c r="M50" i="32" s="1"/>
  <c r="U50" i="13"/>
  <c r="V50" i="32" s="1"/>
  <c r="N47" i="13"/>
  <c r="N47" i="32" s="1"/>
  <c r="N51" i="32" s="1"/>
  <c r="V47" i="13"/>
  <c r="W47" i="32" s="1"/>
  <c r="N49" i="13"/>
  <c r="N49" i="32" s="1"/>
  <c r="V49" i="13"/>
  <c r="W49" i="32" s="1"/>
  <c r="N50" i="13"/>
  <c r="N50" i="32" s="1"/>
  <c r="V50" i="13"/>
  <c r="W50" i="32" s="1"/>
  <c r="O47" i="13"/>
  <c r="O47" i="32" s="1"/>
  <c r="O51" i="32" s="1"/>
  <c r="W47" i="13"/>
  <c r="X47" i="32" s="1"/>
  <c r="O49" i="13"/>
  <c r="O49" i="32" s="1"/>
  <c r="W49" i="13"/>
  <c r="X49" i="32" s="1"/>
  <c r="O50" i="13"/>
  <c r="O50" i="32" s="1"/>
  <c r="W50" i="13"/>
  <c r="X50" i="32" s="1"/>
  <c r="P47" i="13"/>
  <c r="P47" i="32" s="1"/>
  <c r="P51" i="32" s="1"/>
  <c r="H47" i="13"/>
  <c r="H47" i="32" s="1"/>
  <c r="K52" i="13"/>
  <c r="K52" i="32" s="1"/>
  <c r="K56" i="32" s="1"/>
  <c r="J54" i="13"/>
  <c r="J54" i="32" s="1"/>
  <c r="K54" i="13"/>
  <c r="K54" i="32" s="1"/>
  <c r="S54" i="13"/>
  <c r="T54" i="32" s="1"/>
  <c r="K55" i="13"/>
  <c r="K55" i="32" s="1"/>
  <c r="S55" i="13"/>
  <c r="T55" i="32" s="1"/>
  <c r="L52" i="13"/>
  <c r="L52" i="32" s="1"/>
  <c r="T52" i="13"/>
  <c r="U52" i="32" s="1"/>
  <c r="L54" i="13"/>
  <c r="L54" i="32" s="1"/>
  <c r="T54" i="13"/>
  <c r="U54" i="32" s="1"/>
  <c r="L55" i="13"/>
  <c r="L55" i="32" s="1"/>
  <c r="T55" i="13"/>
  <c r="U55" i="32" s="1"/>
  <c r="M52" i="13"/>
  <c r="M52" i="32" s="1"/>
  <c r="U52" i="13"/>
  <c r="V52" i="32" s="1"/>
  <c r="V56" i="32" s="1"/>
  <c r="M54" i="13"/>
  <c r="M54" i="32" s="1"/>
  <c r="U54" i="13"/>
  <c r="V54" i="32" s="1"/>
  <c r="M55" i="13"/>
  <c r="M55" i="32" s="1"/>
  <c r="U55" i="13"/>
  <c r="V55" i="32" s="1"/>
  <c r="N52" i="13"/>
  <c r="N52" i="32" s="1"/>
  <c r="V52" i="13"/>
  <c r="W52" i="32" s="1"/>
  <c r="N55" i="13"/>
  <c r="N55" i="32" s="1"/>
  <c r="V55" i="13"/>
  <c r="W55" i="32" s="1"/>
  <c r="O52" i="13"/>
  <c r="O52" i="32" s="1"/>
  <c r="W52" i="13"/>
  <c r="X52" i="32" s="1"/>
  <c r="N54" i="13"/>
  <c r="N54" i="32" s="1"/>
  <c r="V54" i="13"/>
  <c r="W54" i="32" s="1"/>
  <c r="O54" i="13"/>
  <c r="O54" i="32" s="1"/>
  <c r="W54" i="13"/>
  <c r="X54" i="32" s="1"/>
  <c r="O55" i="13"/>
  <c r="O55" i="32" s="1"/>
  <c r="W55" i="13"/>
  <c r="X55" i="32" s="1"/>
  <c r="P52" i="13"/>
  <c r="P52" i="32" s="1"/>
  <c r="H52" i="13"/>
  <c r="H52" i="32" s="1"/>
  <c r="H54" i="13"/>
  <c r="H54" i="32" s="1"/>
  <c r="G54" i="32" s="1"/>
  <c r="I16" i="17" s="1"/>
  <c r="P54" i="13"/>
  <c r="P54" i="32" s="1"/>
  <c r="H55" i="13"/>
  <c r="H55" i="32" s="1"/>
  <c r="P55" i="13"/>
  <c r="P55" i="32" s="1"/>
  <c r="I52" i="13"/>
  <c r="I52" i="32" s="1"/>
  <c r="Q52" i="13"/>
  <c r="R52" i="32" s="1"/>
  <c r="R56" i="32" s="1"/>
  <c r="I54" i="13"/>
  <c r="I54" i="32" s="1"/>
  <c r="Q54" i="13"/>
  <c r="R54" i="32" s="1"/>
  <c r="I55" i="13"/>
  <c r="I55" i="32" s="1"/>
  <c r="Q55" i="13"/>
  <c r="R55" i="32" s="1"/>
  <c r="J52" i="13"/>
  <c r="J52" i="32" s="1"/>
  <c r="R52" i="13"/>
  <c r="S52" i="32" s="1"/>
  <c r="S56" i="32" s="1"/>
  <c r="R54" i="13"/>
  <c r="S54" i="32" s="1"/>
  <c r="J55" i="13"/>
  <c r="J55" i="32" s="1"/>
  <c r="R55" i="13"/>
  <c r="S55" i="32" s="1"/>
  <c r="S52" i="13"/>
  <c r="T52" i="32" s="1"/>
  <c r="Q22" i="13"/>
  <c r="R22" i="32" s="1"/>
  <c r="R26" i="32" s="1"/>
  <c r="K25" i="13"/>
  <c r="K25" i="32" s="1"/>
  <c r="S25" i="13"/>
  <c r="T25" i="32" s="1"/>
  <c r="L22" i="13"/>
  <c r="L22" i="32" s="1"/>
  <c r="L26" i="32" s="1"/>
  <c r="T22" i="13"/>
  <c r="U22" i="32" s="1"/>
  <c r="S22" i="13"/>
  <c r="T22" i="32" s="1"/>
  <c r="T26" i="32" s="1"/>
  <c r="L25" i="13"/>
  <c r="L25" i="32" s="1"/>
  <c r="T25" i="13"/>
  <c r="U25" i="32" s="1"/>
  <c r="M22" i="13"/>
  <c r="M22" i="32" s="1"/>
  <c r="U22" i="13"/>
  <c r="V22" i="32" s="1"/>
  <c r="I22" i="13"/>
  <c r="I22" i="32" s="1"/>
  <c r="R22" i="13"/>
  <c r="S22" i="32" s="1"/>
  <c r="K22" i="13"/>
  <c r="K22" i="32" s="1"/>
  <c r="M25" i="13"/>
  <c r="M25" i="32" s="1"/>
  <c r="U25" i="13"/>
  <c r="V25" i="32" s="1"/>
  <c r="N22" i="13"/>
  <c r="N22" i="32" s="1"/>
  <c r="N26" i="32" s="1"/>
  <c r="V22" i="13"/>
  <c r="W22" i="32" s="1"/>
  <c r="P25" i="13"/>
  <c r="P25" i="32" s="1"/>
  <c r="J22" i="13"/>
  <c r="J22" i="32" s="1"/>
  <c r="J26" i="32" s="1"/>
  <c r="R25" i="13"/>
  <c r="S25" i="32" s="1"/>
  <c r="N25" i="13"/>
  <c r="N25" i="32" s="1"/>
  <c r="V25" i="13"/>
  <c r="W25" i="32" s="1"/>
  <c r="O22" i="13"/>
  <c r="O22" i="32" s="1"/>
  <c r="W22" i="13"/>
  <c r="X22" i="32" s="1"/>
  <c r="H25" i="13"/>
  <c r="H25" i="32" s="1"/>
  <c r="Q25" i="13"/>
  <c r="R25" i="32" s="1"/>
  <c r="O25" i="13"/>
  <c r="O25" i="32" s="1"/>
  <c r="W25" i="13"/>
  <c r="X25" i="32" s="1"/>
  <c r="P22" i="13"/>
  <c r="P22" i="32" s="1"/>
  <c r="H22" i="13"/>
  <c r="H22" i="32" s="1"/>
  <c r="I25" i="13"/>
  <c r="I25" i="32" s="1"/>
  <c r="J25" i="13"/>
  <c r="J25" i="32" s="1"/>
  <c r="P20" i="13"/>
  <c r="P20" i="32" s="1"/>
  <c r="R19" i="13"/>
  <c r="S19" i="32" s="1"/>
  <c r="R20" i="13"/>
  <c r="S20" i="32" s="1"/>
  <c r="J17" i="13"/>
  <c r="J17" i="32" s="1"/>
  <c r="J19" i="13"/>
  <c r="J19" i="32" s="1"/>
  <c r="K19" i="13"/>
  <c r="K19" i="32" s="1"/>
  <c r="S19" i="13"/>
  <c r="T19" i="32" s="1"/>
  <c r="K20" i="13"/>
  <c r="K20" i="32" s="1"/>
  <c r="S20" i="13"/>
  <c r="T20" i="32" s="1"/>
  <c r="L17" i="13"/>
  <c r="L17" i="32" s="1"/>
  <c r="T17" i="13"/>
  <c r="U17" i="32" s="1"/>
  <c r="U21" i="32" s="1"/>
  <c r="L19" i="13"/>
  <c r="L19" i="32" s="1"/>
  <c r="T19" i="13"/>
  <c r="U19" i="32" s="1"/>
  <c r="L20" i="13"/>
  <c r="L20" i="32" s="1"/>
  <c r="T20" i="13"/>
  <c r="U20" i="32" s="1"/>
  <c r="M17" i="13"/>
  <c r="M17" i="32" s="1"/>
  <c r="U17" i="13"/>
  <c r="V17" i="32" s="1"/>
  <c r="U19" i="13"/>
  <c r="V19" i="32" s="1"/>
  <c r="M20" i="13"/>
  <c r="M20" i="32" s="1"/>
  <c r="U20" i="13"/>
  <c r="V20" i="32" s="1"/>
  <c r="N17" i="13"/>
  <c r="N17" i="32" s="1"/>
  <c r="V17" i="13"/>
  <c r="W17" i="32" s="1"/>
  <c r="W21" i="32" s="1"/>
  <c r="V19" i="13"/>
  <c r="W19" i="32" s="1"/>
  <c r="V20" i="13"/>
  <c r="W20" i="32" s="1"/>
  <c r="M19" i="13"/>
  <c r="M19" i="32" s="1"/>
  <c r="N20" i="13"/>
  <c r="N20" i="32" s="1"/>
  <c r="W17" i="13"/>
  <c r="X17" i="32" s="1"/>
  <c r="O17" i="13"/>
  <c r="O17" i="32" s="1"/>
  <c r="N19" i="13"/>
  <c r="N19" i="32" s="1"/>
  <c r="O19" i="13"/>
  <c r="O19" i="32" s="1"/>
  <c r="W19" i="13"/>
  <c r="X19" i="32" s="1"/>
  <c r="O20" i="13"/>
  <c r="O20" i="32" s="1"/>
  <c r="W20" i="13"/>
  <c r="X20" i="32" s="1"/>
  <c r="P17" i="13"/>
  <c r="P17" i="32" s="1"/>
  <c r="H17" i="13"/>
  <c r="H17" i="32" s="1"/>
  <c r="H19" i="13"/>
  <c r="H19" i="32" s="1"/>
  <c r="P19" i="13"/>
  <c r="P19" i="32" s="1"/>
  <c r="H20" i="13"/>
  <c r="H20" i="32" s="1"/>
  <c r="G20" i="32" s="1"/>
  <c r="J9" i="17" s="1"/>
  <c r="I17" i="13"/>
  <c r="I17" i="32" s="1"/>
  <c r="Q17" i="13"/>
  <c r="R17" i="32" s="1"/>
  <c r="I19" i="13"/>
  <c r="I19" i="32" s="1"/>
  <c r="Q19" i="13"/>
  <c r="R19" i="32" s="1"/>
  <c r="I20" i="13"/>
  <c r="I20" i="32" s="1"/>
  <c r="Q20" i="13"/>
  <c r="R20" i="32" s="1"/>
  <c r="R17" i="13"/>
  <c r="S17" i="32" s="1"/>
  <c r="J20" i="13"/>
  <c r="J20" i="32" s="1"/>
  <c r="K17" i="13"/>
  <c r="K17" i="32" s="1"/>
  <c r="S17" i="13"/>
  <c r="T17" i="32" s="1"/>
  <c r="H14" i="13"/>
  <c r="H14" i="32" s="1"/>
  <c r="Q14" i="13"/>
  <c r="R14" i="32" s="1"/>
  <c r="R12" i="13"/>
  <c r="S12" i="32" s="1"/>
  <c r="J15" i="13"/>
  <c r="J15" i="32" s="1"/>
  <c r="S12" i="13"/>
  <c r="T12" i="32" s="1"/>
  <c r="J14" i="13"/>
  <c r="J14" i="32" s="1"/>
  <c r="K14" i="13"/>
  <c r="K14" i="32" s="1"/>
  <c r="S14" i="13"/>
  <c r="T14" i="32" s="1"/>
  <c r="K15" i="13"/>
  <c r="K15" i="32" s="1"/>
  <c r="S15" i="13"/>
  <c r="T15" i="32" s="1"/>
  <c r="L12" i="13"/>
  <c r="L12" i="32" s="1"/>
  <c r="T12" i="13"/>
  <c r="U12" i="32" s="1"/>
  <c r="U16" i="32" s="1"/>
  <c r="T14" i="13"/>
  <c r="U14" i="32" s="1"/>
  <c r="L15" i="13"/>
  <c r="L15" i="32" s="1"/>
  <c r="T15" i="13"/>
  <c r="U15" i="32" s="1"/>
  <c r="M12" i="13"/>
  <c r="M12" i="32" s="1"/>
  <c r="U12" i="13"/>
  <c r="V12" i="32" s="1"/>
  <c r="M14" i="13"/>
  <c r="M14" i="32" s="1"/>
  <c r="M15" i="13"/>
  <c r="M15" i="32" s="1"/>
  <c r="U15" i="13"/>
  <c r="V15" i="32" s="1"/>
  <c r="N12" i="13"/>
  <c r="N12" i="32" s="1"/>
  <c r="V14" i="13"/>
  <c r="W14" i="32" s="1"/>
  <c r="V15" i="13"/>
  <c r="W15" i="32" s="1"/>
  <c r="W12" i="13"/>
  <c r="X12" i="32" s="1"/>
  <c r="L14" i="13"/>
  <c r="L14" i="32" s="1"/>
  <c r="U14" i="13"/>
  <c r="V14" i="32" s="1"/>
  <c r="V12" i="13"/>
  <c r="W12" i="32" s="1"/>
  <c r="N15" i="13"/>
  <c r="N15" i="32" s="1"/>
  <c r="O12" i="13"/>
  <c r="O12" i="32" s="1"/>
  <c r="N14" i="13"/>
  <c r="N14" i="32" s="1"/>
  <c r="O14" i="13"/>
  <c r="O14" i="32" s="1"/>
  <c r="W14" i="13"/>
  <c r="X14" i="32" s="1"/>
  <c r="O15" i="13"/>
  <c r="O15" i="32" s="1"/>
  <c r="W15" i="13"/>
  <c r="X15" i="32" s="1"/>
  <c r="P12" i="13"/>
  <c r="P12" i="32" s="1"/>
  <c r="P16" i="32" s="1"/>
  <c r="H12" i="13"/>
  <c r="H12" i="32" s="1"/>
  <c r="P14" i="13"/>
  <c r="P14" i="32" s="1"/>
  <c r="H15" i="13"/>
  <c r="H15" i="32" s="1"/>
  <c r="P15" i="13"/>
  <c r="P15" i="32" s="1"/>
  <c r="I12" i="13"/>
  <c r="I12" i="32" s="1"/>
  <c r="Q12" i="13"/>
  <c r="R12" i="32" s="1"/>
  <c r="I14" i="13"/>
  <c r="I14" i="32" s="1"/>
  <c r="I15" i="13"/>
  <c r="I15" i="32" s="1"/>
  <c r="Q15" i="13"/>
  <c r="R15" i="32" s="1"/>
  <c r="J12" i="13"/>
  <c r="J12" i="32" s="1"/>
  <c r="R14" i="13"/>
  <c r="S14" i="32" s="1"/>
  <c r="R15" i="13"/>
  <c r="S15" i="32" s="1"/>
  <c r="K12" i="13"/>
  <c r="K12" i="32" s="1"/>
  <c r="K9" i="13"/>
  <c r="K9" i="32" s="1"/>
  <c r="S9" i="13"/>
  <c r="T9" i="32" s="1"/>
  <c r="K10" i="13"/>
  <c r="K10" i="32" s="1"/>
  <c r="S10" i="13"/>
  <c r="T10" i="32" s="1"/>
  <c r="L7" i="13"/>
  <c r="L7" i="32" s="1"/>
  <c r="T7" i="13"/>
  <c r="U7" i="32" s="1"/>
  <c r="U11" i="32" s="1"/>
  <c r="I9" i="13"/>
  <c r="I9" i="32" s="1"/>
  <c r="J7" i="13"/>
  <c r="J7" i="32" s="1"/>
  <c r="R9" i="13"/>
  <c r="S9" i="32" s="1"/>
  <c r="S7" i="13"/>
  <c r="T7" i="32" s="1"/>
  <c r="L9" i="13"/>
  <c r="L9" i="32" s="1"/>
  <c r="T9" i="13"/>
  <c r="U9" i="32" s="1"/>
  <c r="L10" i="13"/>
  <c r="L10" i="32" s="1"/>
  <c r="T10" i="13"/>
  <c r="U10" i="32" s="1"/>
  <c r="M7" i="13"/>
  <c r="M7" i="32" s="1"/>
  <c r="U7" i="13"/>
  <c r="V7" i="32" s="1"/>
  <c r="Q10" i="13"/>
  <c r="R10" i="32" s="1"/>
  <c r="R10" i="13"/>
  <c r="S10" i="32" s="1"/>
  <c r="M9" i="13"/>
  <c r="M9" i="32" s="1"/>
  <c r="U9" i="13"/>
  <c r="V9" i="32" s="1"/>
  <c r="M10" i="13"/>
  <c r="M10" i="32" s="1"/>
  <c r="U10" i="13"/>
  <c r="V10" i="32" s="1"/>
  <c r="N7" i="13"/>
  <c r="N7" i="32" s="1"/>
  <c r="V7" i="13"/>
  <c r="W7" i="32" s="1"/>
  <c r="P9" i="13"/>
  <c r="P9" i="32" s="1"/>
  <c r="Q7" i="13"/>
  <c r="R7" i="32" s="1"/>
  <c r="K7" i="13"/>
  <c r="K7" i="32" s="1"/>
  <c r="N9" i="13"/>
  <c r="N9" i="32" s="1"/>
  <c r="V9" i="13"/>
  <c r="W9" i="32" s="1"/>
  <c r="N10" i="13"/>
  <c r="N10" i="32" s="1"/>
  <c r="V10" i="13"/>
  <c r="W10" i="32" s="1"/>
  <c r="O7" i="13"/>
  <c r="O7" i="32" s="1"/>
  <c r="W7" i="13"/>
  <c r="X7" i="32" s="1"/>
  <c r="H9" i="13"/>
  <c r="H9" i="32" s="1"/>
  <c r="H10" i="13"/>
  <c r="H10" i="32" s="1"/>
  <c r="P10" i="13"/>
  <c r="P10" i="32" s="1"/>
  <c r="I7" i="13"/>
  <c r="I7" i="32" s="1"/>
  <c r="Q9" i="13"/>
  <c r="R9" i="32" s="1"/>
  <c r="R7" i="13"/>
  <c r="S7" i="32" s="1"/>
  <c r="J10" i="13"/>
  <c r="J10" i="32" s="1"/>
  <c r="O9" i="13"/>
  <c r="O9" i="32" s="1"/>
  <c r="W9" i="13"/>
  <c r="X9" i="32" s="1"/>
  <c r="O10" i="13"/>
  <c r="O10" i="32" s="1"/>
  <c r="W10" i="13"/>
  <c r="X10" i="32" s="1"/>
  <c r="P7" i="13"/>
  <c r="P7" i="32" s="1"/>
  <c r="H7" i="13"/>
  <c r="H7" i="32" s="1"/>
  <c r="I10" i="13"/>
  <c r="I10" i="32" s="1"/>
  <c r="J9" i="13"/>
  <c r="J9" i="32" s="1"/>
  <c r="G31" i="32" l="1"/>
  <c r="F11" i="17" s="1"/>
  <c r="H41" i="32"/>
  <c r="G37" i="32"/>
  <c r="G13" i="17" s="1"/>
  <c r="G32" i="32"/>
  <c r="G12" i="17" s="1"/>
  <c r="H36" i="32"/>
  <c r="H16" i="32"/>
  <c r="G12" i="32"/>
  <c r="G8" i="17" s="1"/>
  <c r="O11" i="32"/>
  <c r="W11" i="32"/>
  <c r="V11" i="32"/>
  <c r="J11" i="32"/>
  <c r="K16" i="32"/>
  <c r="I16" i="32"/>
  <c r="X16" i="32"/>
  <c r="M16" i="32"/>
  <c r="T21" i="32"/>
  <c r="R21" i="32"/>
  <c r="M21" i="32"/>
  <c r="X26" i="32"/>
  <c r="T56" i="32"/>
  <c r="H56" i="32"/>
  <c r="G52" i="32"/>
  <c r="G16" i="17" s="1"/>
  <c r="X56" i="32"/>
  <c r="U56" i="32"/>
  <c r="G47" i="32"/>
  <c r="G15" i="17" s="1"/>
  <c r="H51" i="32"/>
  <c r="U51" i="32"/>
  <c r="S46" i="32"/>
  <c r="R46" i="32"/>
  <c r="U61" i="32"/>
  <c r="V61" i="32"/>
  <c r="J61" i="32"/>
  <c r="P61" i="32"/>
  <c r="W61" i="32"/>
  <c r="X41" i="32"/>
  <c r="T41" i="32"/>
  <c r="T36" i="32"/>
  <c r="G7" i="32"/>
  <c r="G7" i="17" s="1"/>
  <c r="H11" i="32"/>
  <c r="G19" i="32"/>
  <c r="I9" i="17" s="1"/>
  <c r="S11" i="32"/>
  <c r="N11" i="32"/>
  <c r="M11" i="32"/>
  <c r="K21" i="32"/>
  <c r="I21" i="32"/>
  <c r="O26" i="32"/>
  <c r="P56" i="32"/>
  <c r="O56" i="32"/>
  <c r="L56" i="32"/>
  <c r="L51" i="32"/>
  <c r="U46" i="32"/>
  <c r="K46" i="32"/>
  <c r="J46" i="32"/>
  <c r="I46" i="32"/>
  <c r="W46" i="32"/>
  <c r="G60" i="32"/>
  <c r="J17" i="17" s="1"/>
  <c r="G57" i="32"/>
  <c r="G17" i="17" s="1"/>
  <c r="H61" i="32"/>
  <c r="N61" i="32"/>
  <c r="O41" i="32"/>
  <c r="K41" i="32"/>
  <c r="G39" i="32"/>
  <c r="I13" i="17" s="1"/>
  <c r="K36" i="32"/>
  <c r="G34" i="32"/>
  <c r="G22" i="32"/>
  <c r="G10" i="17" s="1"/>
  <c r="H26" i="32"/>
  <c r="P11" i="32"/>
  <c r="I11" i="32"/>
  <c r="L11" i="32"/>
  <c r="J16" i="32"/>
  <c r="O16" i="32"/>
  <c r="N16" i="32"/>
  <c r="T16" i="32"/>
  <c r="S21" i="32"/>
  <c r="N21" i="32"/>
  <c r="P26" i="32"/>
  <c r="K26" i="32"/>
  <c r="U26" i="32"/>
  <c r="I56" i="32"/>
  <c r="M56" i="32"/>
  <c r="M51" i="32"/>
  <c r="I51" i="32"/>
  <c r="G45" i="32"/>
  <c r="J14" i="17" s="1"/>
  <c r="X46" i="32"/>
  <c r="I61" i="32"/>
  <c r="L41" i="32"/>
  <c r="V36" i="32"/>
  <c r="L36" i="32"/>
  <c r="G15" i="32"/>
  <c r="J8" i="17" s="1"/>
  <c r="S26" i="32"/>
  <c r="W56" i="32"/>
  <c r="W51" i="32"/>
  <c r="S51" i="32"/>
  <c r="T46" i="32"/>
  <c r="O46" i="32"/>
  <c r="X61" i="32"/>
  <c r="V41" i="32"/>
  <c r="R41" i="32"/>
  <c r="W36" i="32"/>
  <c r="M36" i="32"/>
  <c r="R36" i="32"/>
  <c r="R61" i="32"/>
  <c r="K11" i="32"/>
  <c r="W16" i="32"/>
  <c r="S16" i="32"/>
  <c r="G17" i="32"/>
  <c r="G9" i="17" s="1"/>
  <c r="H21" i="32"/>
  <c r="X21" i="32"/>
  <c r="I26" i="32"/>
  <c r="J56" i="32"/>
  <c r="G55" i="32"/>
  <c r="J16" i="17" s="1"/>
  <c r="N56" i="32"/>
  <c r="J51" i="32"/>
  <c r="G50" i="32"/>
  <c r="J15" i="17" s="1"/>
  <c r="G44" i="32"/>
  <c r="I14" i="17" s="1"/>
  <c r="K61" i="32"/>
  <c r="O61" i="32"/>
  <c r="N36" i="32"/>
  <c r="I12" i="17"/>
  <c r="I36" i="32"/>
  <c r="J21" i="32"/>
  <c r="G10" i="32"/>
  <c r="J7" i="17" s="1"/>
  <c r="L16" i="32"/>
  <c r="G9" i="32"/>
  <c r="I7" i="17" s="1"/>
  <c r="R11" i="32"/>
  <c r="T11" i="32"/>
  <c r="P21" i="32"/>
  <c r="L21" i="32"/>
  <c r="V26" i="32"/>
  <c r="X51" i="32"/>
  <c r="T51" i="32"/>
  <c r="P46" i="32"/>
  <c r="G59" i="32"/>
  <c r="I17" i="17" s="1"/>
  <c r="W41" i="32"/>
  <c r="S41" i="32"/>
  <c r="O36" i="32"/>
  <c r="S36" i="32"/>
  <c r="O21" i="32"/>
  <c r="X11" i="32"/>
  <c r="R16" i="32"/>
  <c r="V16" i="32"/>
  <c r="G14" i="32"/>
  <c r="I8" i="17" s="1"/>
  <c r="V21" i="32"/>
  <c r="G25" i="32"/>
  <c r="J10" i="17" s="1"/>
  <c r="W26" i="32"/>
  <c r="M26" i="32"/>
  <c r="G49" i="32"/>
  <c r="I15" i="17" s="1"/>
  <c r="G42" i="32"/>
  <c r="G14" i="17" s="1"/>
  <c r="H46" i="32"/>
  <c r="N41" i="32"/>
  <c r="G40" i="32"/>
  <c r="J13" i="17" s="1"/>
  <c r="J36" i="32"/>
  <c r="G35" i="32"/>
  <c r="J12" i="17" s="1"/>
  <c r="H16" i="13"/>
  <c r="Q11" i="13"/>
  <c r="K11" i="13"/>
  <c r="V11" i="13"/>
  <c r="O11" i="13"/>
  <c r="R11" i="13"/>
  <c r="S11" i="13"/>
  <c r="W11" i="13"/>
  <c r="J11" i="13"/>
  <c r="M11" i="13"/>
  <c r="U11" i="13"/>
  <c r="T11" i="13"/>
  <c r="N11" i="13"/>
  <c r="H11" i="13"/>
  <c r="P11" i="13"/>
  <c r="I11" i="13"/>
  <c r="L11" i="13"/>
  <c r="G9" i="13"/>
  <c r="O21" i="13"/>
  <c r="P21" i="13"/>
  <c r="K21" i="13"/>
  <c r="T21" i="13"/>
  <c r="L21" i="13"/>
  <c r="J21" i="13"/>
  <c r="G19" i="13"/>
  <c r="W21" i="13"/>
  <c r="S21" i="13"/>
  <c r="Q21" i="13"/>
  <c r="M21" i="13"/>
  <c r="I21" i="13"/>
  <c r="G20" i="13"/>
  <c r="V21" i="13"/>
  <c r="U21" i="13"/>
  <c r="R21" i="13"/>
  <c r="N21" i="13"/>
  <c r="R41" i="13"/>
  <c r="V41" i="13"/>
  <c r="J41" i="13"/>
  <c r="J46" i="13"/>
  <c r="V46" i="13"/>
  <c r="J26" i="13"/>
  <c r="Q61" i="13"/>
  <c r="K56" i="13"/>
  <c r="T56" i="13"/>
  <c r="K26" i="13"/>
  <c r="S16" i="13"/>
  <c r="N41" i="13"/>
  <c r="J16" i="13"/>
  <c r="V56" i="13"/>
  <c r="J56" i="13"/>
  <c r="S56" i="13"/>
  <c r="W56" i="13"/>
  <c r="M51" i="13"/>
  <c r="P26" i="13"/>
  <c r="S26" i="13"/>
  <c r="T26" i="13"/>
  <c r="M26" i="13"/>
  <c r="U16" i="13"/>
  <c r="Q16" i="13"/>
  <c r="N16" i="13"/>
  <c r="G54" i="13"/>
  <c r="W51" i="13"/>
  <c r="S51" i="13"/>
  <c r="G25" i="13"/>
  <c r="O26" i="13"/>
  <c r="V26" i="13"/>
  <c r="I26" i="13"/>
  <c r="O16" i="13"/>
  <c r="K16" i="13"/>
  <c r="I56" i="13"/>
  <c r="M56" i="13"/>
  <c r="R56" i="13"/>
  <c r="G55" i="13"/>
  <c r="N56" i="13"/>
  <c r="P56" i="13"/>
  <c r="O56" i="13"/>
  <c r="L56" i="13"/>
  <c r="Q56" i="13"/>
  <c r="U56" i="13"/>
  <c r="O51" i="13"/>
  <c r="K51" i="13"/>
  <c r="G49" i="13"/>
  <c r="T51" i="13"/>
  <c r="P51" i="13"/>
  <c r="L51" i="13"/>
  <c r="U51" i="13"/>
  <c r="Q51" i="13"/>
  <c r="I51" i="13"/>
  <c r="V51" i="13"/>
  <c r="R51" i="13"/>
  <c r="N51" i="13"/>
  <c r="J51" i="13"/>
  <c r="G50" i="13"/>
  <c r="P41" i="13"/>
  <c r="L41" i="13"/>
  <c r="U41" i="13"/>
  <c r="Q41" i="13"/>
  <c r="M41" i="13"/>
  <c r="I41" i="13"/>
  <c r="G40" i="13"/>
  <c r="W41" i="13"/>
  <c r="S41" i="13"/>
  <c r="O41" i="13"/>
  <c r="K41" i="13"/>
  <c r="G39" i="13"/>
  <c r="T41" i="13"/>
  <c r="G31" i="13"/>
  <c r="W26" i="13"/>
  <c r="R26" i="13"/>
  <c r="N26" i="13"/>
  <c r="U26" i="13"/>
  <c r="Q26" i="13"/>
  <c r="L26" i="13"/>
  <c r="T16" i="13"/>
  <c r="P16" i="13"/>
  <c r="V16" i="13"/>
  <c r="R16" i="13"/>
  <c r="L16" i="13"/>
  <c r="G14" i="13"/>
  <c r="I16" i="13"/>
  <c r="W16" i="13"/>
  <c r="M16" i="13"/>
  <c r="G15" i="13"/>
  <c r="G10" i="13"/>
  <c r="M46" i="13"/>
  <c r="T46" i="13"/>
  <c r="K46" i="13"/>
  <c r="T61" i="13"/>
  <c r="U61" i="13"/>
  <c r="U36" i="13"/>
  <c r="W46" i="13"/>
  <c r="S61" i="13"/>
  <c r="M61" i="13"/>
  <c r="T36" i="13"/>
  <c r="P46" i="13"/>
  <c r="J61" i="13"/>
  <c r="P61" i="13"/>
  <c r="V61" i="13"/>
  <c r="S36" i="13"/>
  <c r="R46" i="13"/>
  <c r="Q46" i="13"/>
  <c r="J36" i="13"/>
  <c r="G32" i="13"/>
  <c r="H36" i="13"/>
  <c r="S46" i="13"/>
  <c r="O46" i="13"/>
  <c r="I61" i="13"/>
  <c r="P36" i="13"/>
  <c r="L36" i="13"/>
  <c r="G44" i="13"/>
  <c r="W61" i="13"/>
  <c r="V36" i="13"/>
  <c r="M36" i="13"/>
  <c r="Q36" i="13"/>
  <c r="K61" i="13"/>
  <c r="O61" i="13"/>
  <c r="W36" i="13"/>
  <c r="N36" i="13"/>
  <c r="I36" i="13"/>
  <c r="G45" i="13"/>
  <c r="H41" i="13"/>
  <c r="G37" i="13"/>
  <c r="U46" i="13"/>
  <c r="H46" i="13"/>
  <c r="G42" i="13"/>
  <c r="G59" i="13"/>
  <c r="O36" i="13"/>
  <c r="R36" i="13"/>
  <c r="G47" i="13"/>
  <c r="H51" i="13"/>
  <c r="R61" i="13"/>
  <c r="G35" i="13"/>
  <c r="I46" i="13"/>
  <c r="L46" i="13"/>
  <c r="N46" i="13"/>
  <c r="L61" i="13"/>
  <c r="G60" i="13"/>
  <c r="H61" i="13"/>
  <c r="G57" i="13"/>
  <c r="N61" i="13"/>
  <c r="G34" i="13"/>
  <c r="K36" i="13"/>
  <c r="G52" i="13"/>
  <c r="H56" i="13"/>
  <c r="G22" i="13"/>
  <c r="H26" i="13"/>
  <c r="G17" i="13"/>
  <c r="H21" i="13"/>
  <c r="G12" i="13"/>
  <c r="G7" i="13"/>
  <c r="G16" i="32" l="1"/>
  <c r="F8" i="17" s="1"/>
  <c r="G46" i="32"/>
  <c r="F14" i="17" s="1"/>
  <c r="G41" i="32"/>
  <c r="F13" i="17" s="1"/>
  <c r="G56" i="32"/>
  <c r="F16" i="17" s="1"/>
  <c r="G36" i="32"/>
  <c r="F12" i="17" s="1"/>
  <c r="G11" i="32"/>
  <c r="F7" i="17" s="1"/>
  <c r="G21" i="32"/>
  <c r="F9" i="17" s="1"/>
  <c r="G51" i="32"/>
  <c r="F15" i="17" s="1"/>
  <c r="G26" i="32"/>
  <c r="F10" i="17" s="1"/>
  <c r="G61" i="32"/>
  <c r="F17" i="17" s="1"/>
  <c r="G11" i="13"/>
  <c r="G21" i="13"/>
  <c r="G56" i="13"/>
  <c r="G41" i="13"/>
  <c r="G26" i="13"/>
  <c r="G16" i="13"/>
  <c r="G51" i="13"/>
  <c r="G61" i="13"/>
  <c r="G36" i="13"/>
  <c r="G4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tc={779619D6-BB57-4836-9034-EE4844C43809}</author>
  </authors>
  <commentList>
    <comment ref="M55" authorId="0" shapeId="0" xr:uid="{779619D6-BB57-4836-9034-EE4844C43809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data, approx with Ireland.</t>
      </text>
    </comment>
  </commentList>
</comments>
</file>

<file path=xl/sharedStrings.xml><?xml version="1.0" encoding="utf-8"?>
<sst xmlns="http://schemas.openxmlformats.org/spreadsheetml/2006/main" count="1141" uniqueCount="268">
  <si>
    <t>Read me</t>
  </si>
  <si>
    <t>This is a file that contains the environmental footprint data from beef.</t>
  </si>
  <si>
    <t xml:space="preserve">Beef comes from a range of different systems with great variation in impact. </t>
  </si>
  <si>
    <t>Here we assess the beef footprint based on beef from the following sources:</t>
  </si>
  <si>
    <t xml:space="preserve"> 1. Culled dairy cows</t>
  </si>
  <si>
    <t xml:space="preserve"> 2. Suckler herds (meat from both the mother animal and the offspring assumed to be raised at 'medium intensity')</t>
  </si>
  <si>
    <t xml:space="preserve"> 3. Dairy calves slaughtered at young age raised at high intensity</t>
  </si>
  <si>
    <t xml:space="preserve"> 4. Dairy offspring raise at 'medium intensity' and slaughtered at a higher age</t>
  </si>
  <si>
    <t>We calculate the share of meat that comes from these different systems for the different countries based on data from Eurostat (see tab 'Shares in prod syst')</t>
  </si>
  <si>
    <t>These shares are used to establish a weighted average of the footprints per kg of beef.</t>
  </si>
  <si>
    <t>The different footprints are gathered from the following sources:</t>
  </si>
  <si>
    <t>Climate, land use, ammonia</t>
  </si>
  <si>
    <t>Ahlgren et al. (2022) using the following systems to represent the different production systems above:</t>
  </si>
  <si>
    <r>
      <t>1. Calculated in Milk.xlsx</t>
    </r>
    <r>
      <rPr>
        <sz val="11"/>
        <color rgb="FFFF0000"/>
        <rFont val="Calibri"/>
        <family val="2"/>
        <scheme val="minor"/>
      </rPr>
      <t xml:space="preserve"> (but for now 3 is used)</t>
    </r>
  </si>
  <si>
    <t>2. Köttrasstut, Gsk</t>
  </si>
  <si>
    <t>3. Mjölkrastjur, Gsk</t>
  </si>
  <si>
    <t>4. Mjölkrasstut, Gsk</t>
  </si>
  <si>
    <t>N and P input, pesticides</t>
  </si>
  <si>
    <t>From Moberg et al (2021) Table S6</t>
  </si>
  <si>
    <t>Water</t>
  </si>
  <si>
    <t>From Mekonnen et al (2011)</t>
  </si>
  <si>
    <t>Biodiversity</t>
  </si>
  <si>
    <t>Ludvig</t>
  </si>
  <si>
    <t>Animal welfare</t>
  </si>
  <si>
    <t>Calculated for each system and aggregated based on the shares of production systems in different countries</t>
  </si>
  <si>
    <t>Antibiotics</t>
  </si>
  <si>
    <t>???</t>
  </si>
  <si>
    <t>Color codes:</t>
  </si>
  <si>
    <t>Results</t>
  </si>
  <si>
    <t>Sheets for input</t>
  </si>
  <si>
    <t>Intermediate calculations</t>
  </si>
  <si>
    <t>Footprints (per kg of bonefree meat)</t>
  </si>
  <si>
    <t>* Adjusted for manure</t>
  </si>
  <si>
    <t>Att göra</t>
  </si>
  <si>
    <t>Beräkna utifrån nya markanvändningen men måste få med betet också</t>
  </si>
  <si>
    <t>Animal products</t>
  </si>
  <si>
    <t>Climate</t>
  </si>
  <si>
    <t>Land</t>
  </si>
  <si>
    <t>Nitrogen*</t>
  </si>
  <si>
    <t>Phosphorus</t>
  </si>
  <si>
    <t>Pesticides</t>
  </si>
  <si>
    <t>Ammonia</t>
  </si>
  <si>
    <t>Labour</t>
  </si>
  <si>
    <t>Use of antibiotics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</si>
  <si>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</si>
  <si>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</si>
  <si>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</si>
  <si>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</si>
  <si>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</si>
  <si>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</si>
  <si>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</si>
  <si>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</si>
  <si>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</si>
  <si>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</si>
  <si>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</si>
  <si>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</si>
  <si>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</si>
  <si>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</si>
  <si>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</si>
  <si>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</si>
  <si>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</si>
  <si>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</si>
  <si>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</si>
  <si>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</si>
  <si>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>Bovine meat</t>
  </si>
  <si>
    <t>Red meat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</si>
  <si>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</si>
  <si>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</si>
  <si>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</si>
  <si>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</si>
  <si>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</si>
  <si>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</si>
  <si>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</si>
  <si>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</si>
  <si>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</si>
  <si>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</si>
  <si>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</si>
  <si>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</si>
  <si>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</si>
  <si>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</si>
  <si>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</si>
  <si>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</si>
  <si>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</si>
  <si>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</si>
  <si>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</si>
  <si>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</si>
  <si>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</si>
  <si>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</si>
  <si>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UK</t>
  </si>
  <si>
    <t>GB</t>
  </si>
  <si>
    <t>* Production of mineral fertiliser is adjusted to account for the N supplied by manure.</t>
  </si>
  <si>
    <t>GHG emissions (per kg of bonefree weight)</t>
  </si>
  <si>
    <t>** Adjusted for use of manure instead of mineral fertiliser (lower emission factor for manure)</t>
  </si>
  <si>
    <t>*** Calculated as percentage of direct emissions due to assumption due to data limitations regarding nitrogen leaching and volatilization from soils in different regions.</t>
  </si>
  <si>
    <t>Animals</t>
  </si>
  <si>
    <t>Stables</t>
  </si>
  <si>
    <t>Slaughter</t>
  </si>
  <si>
    <t>Sum</t>
  </si>
  <si>
    <t>Inputs</t>
  </si>
  <si>
    <t>Soil emissions</t>
  </si>
  <si>
    <t>Energy use</t>
  </si>
  <si>
    <t>Land use change</t>
  </si>
  <si>
    <t>Feed processing</t>
  </si>
  <si>
    <t>Transports</t>
  </si>
  <si>
    <t>FoodEx code</t>
  </si>
  <si>
    <t>FoodEx name</t>
  </si>
  <si>
    <t>Food Ex category (L1)</t>
  </si>
  <si>
    <t>Gas</t>
  </si>
  <si>
    <t>GHG</t>
  </si>
  <si>
    <t>Production of mineral fertilizer*</t>
  </si>
  <si>
    <t xml:space="preserve">Production of capital goods </t>
  </si>
  <si>
    <t>Direct emissions**</t>
  </si>
  <si>
    <t>Indirect emissions***</t>
  </si>
  <si>
    <t>Diesel use field mach</t>
  </si>
  <si>
    <t>Energy use in greenhouses</t>
  </si>
  <si>
    <t>Energy use for irrigation</t>
  </si>
  <si>
    <t>Energy use for post-harvest proc</t>
  </si>
  <si>
    <t>LUC emissions</t>
  </si>
  <si>
    <t>Feed transports</t>
  </si>
  <si>
    <t>Enteric fermentation*</t>
  </si>
  <si>
    <t>Manure management - tot</t>
  </si>
  <si>
    <t>Manure management - direct</t>
  </si>
  <si>
    <t>Manure management - indirect</t>
  </si>
  <si>
    <t>Energy use in stables</t>
  </si>
  <si>
    <t>Energy use for slaughter</t>
  </si>
  <si>
    <t>A01QV</t>
  </si>
  <si>
    <t>Bovine muscle</t>
  </si>
  <si>
    <t>Meat and meat products</t>
  </si>
  <si>
    <t>Denmark</t>
  </si>
  <si>
    <t>CO2</t>
  </si>
  <si>
    <t>CH4, fossil</t>
  </si>
  <si>
    <t>CH4, biogenic</t>
  </si>
  <si>
    <t>N2O</t>
  </si>
  <si>
    <t>CO2e</t>
  </si>
  <si>
    <t>Hungary</t>
  </si>
  <si>
    <t xml:space="preserve">Ireland </t>
  </si>
  <si>
    <t>Netherland</t>
  </si>
  <si>
    <t>GHG emissions (per kg of meat carcass weight)</t>
  </si>
  <si>
    <t>Data from Ahlgren et al (2022), per kg of carcass weight</t>
  </si>
  <si>
    <t>Figur 7:</t>
  </si>
  <si>
    <t>Figur 4. Markanvändning, m2 per kg slaktvikt</t>
  </si>
  <si>
    <t>Figur 10. Kväveutsläpp, kg NH3 per kg slaktvikt</t>
  </si>
  <si>
    <t>Metan fodersmältning</t>
  </si>
  <si>
    <t>Gödsellagring</t>
  </si>
  <si>
    <t>Lustgas från mineraljordar</t>
  </si>
  <si>
    <t>Energi (på gård och för mineralgödseltillverkning)</t>
  </si>
  <si>
    <t>Övrigt (CH4 bete, indirekt N2O, transporter)</t>
  </si>
  <si>
    <t>Summa</t>
  </si>
  <si>
    <t>Åkermark</t>
  </si>
  <si>
    <t>Bete</t>
  </si>
  <si>
    <t>Ammoniak</t>
  </si>
  <si>
    <t>Mjölkrastjur</t>
  </si>
  <si>
    <t>Gns</t>
  </si>
  <si>
    <t>Gsk</t>
  </si>
  <si>
    <t>Nn</t>
  </si>
  <si>
    <t>Mjölkrasstut</t>
  </si>
  <si>
    <t>Köttrastjur</t>
  </si>
  <si>
    <t>Köttrasstut</t>
  </si>
  <si>
    <t>Köttraskviga</t>
  </si>
  <si>
    <t>Transferred into our categories</t>
  </si>
  <si>
    <t>Production of mineral fertilizer [1]</t>
  </si>
  <si>
    <t>Indirect emissions [2]</t>
  </si>
  <si>
    <t>Diesel use field mach [1]</t>
  </si>
  <si>
    <t>Feed transports [3]</t>
  </si>
  <si>
    <t xml:space="preserve">Manure management - tot </t>
  </si>
  <si>
    <t>Energy use in stables [1]</t>
  </si>
  <si>
    <t>Energy use for slaughter [4]</t>
  </si>
  <si>
    <t>Summa:</t>
  </si>
  <si>
    <t>Mjölkko</t>
  </si>
  <si>
    <t>Approx.  Mjölkrastjur</t>
  </si>
  <si>
    <t>Medel Sverige</t>
  </si>
  <si>
    <t>kg COe per CW</t>
  </si>
  <si>
    <t>Ahlgren et al har 19 kg CO2e men har då inte med slakt</t>
  </si>
  <si>
    <t>[1] The post "Energi" is divided as follows 50% on Production of mineral fertiliser, 30% on Diesel use field machinary and 20% on Energy use in stables (based on approximate shares for Pig)</t>
  </si>
  <si>
    <t>kg COe per slaktvikt</t>
  </si>
  <si>
    <t>[2] Calculated as 10% of direct emissions and these are then deducted from "Övrigt"</t>
  </si>
  <si>
    <t>[3] "Övrigt" minus indirect N2O</t>
  </si>
  <si>
    <t>[4] From Moberg et al (2019)</t>
  </si>
  <si>
    <t>Divided upon different gases (converted back to the gases with AR6 GWP-values with was used in Ahlgren et al. (2022))</t>
  </si>
  <si>
    <t>Production of mineral fertilizer [5]</t>
  </si>
  <si>
    <t>Indirect emissions</t>
  </si>
  <si>
    <t>Manure management - tot [6]</t>
  </si>
  <si>
    <t>CH4</t>
  </si>
  <si>
    <t>[5] Divided 50/50 on CO2 and CH4 based on approximate shares for Pig</t>
  </si>
  <si>
    <t>[6] Divided 50/50 on CH4 and N2O based on approximate shares for Pig</t>
  </si>
  <si>
    <t>Amount of beef produced in different systems</t>
  </si>
  <si>
    <t xml:space="preserve">Poland </t>
  </si>
  <si>
    <t>Recruitment rates</t>
  </si>
  <si>
    <t>Dairy cows</t>
  </si>
  <si>
    <t>justera dessa så mängden kött från kor stämmer (gröna celler nedan)</t>
  </si>
  <si>
    <t>Suckler cows</t>
  </si>
  <si>
    <t>Ahlgren et al 2022, Tabell U i bilaga</t>
  </si>
  <si>
    <t>Slaughtering weight</t>
  </si>
  <si>
    <t>Ahlgren et al 2022, Tabell 10</t>
  </si>
  <si>
    <t>Young suckler animals</t>
  </si>
  <si>
    <t>Ahlgren et al 2022, Tabell 11</t>
  </si>
  <si>
    <t>Mortality</t>
  </si>
  <si>
    <t>Number of animals, thousands, from Eurostat</t>
  </si>
  <si>
    <t xml:space="preserve">
apro_mt_lscatl. 2022 (2019 for UK)</t>
  </si>
  <si>
    <t>Non dairy cows</t>
  </si>
  <si>
    <t>Meat produced, thousand tons, from Eurostat</t>
  </si>
  <si>
    <t>Bovine meat, total</t>
  </si>
  <si>
    <t>apro_mt_pann. 2022 (2019 for UK)</t>
  </si>
  <si>
    <t xml:space="preserve"> - Calf </t>
  </si>
  <si>
    <t xml:space="preserve"> - Young cattle</t>
  </si>
  <si>
    <t xml:space="preserve"> - Adult cattle</t>
  </si>
  <si>
    <t xml:space="preserve">   -- Cow</t>
  </si>
  <si>
    <t xml:space="preserve">   -- Heifer</t>
  </si>
  <si>
    <t xml:space="preserve">   -- Bull</t>
  </si>
  <si>
    <t xml:space="preserve">   -- Bullock (stut)</t>
  </si>
  <si>
    <t>Meat produced, thousand tons, calculated</t>
  </si>
  <si>
    <t>From dairy cows</t>
  </si>
  <si>
    <t>No of dairy cows * recruit rate * slaughtering weight * (1-mortality)</t>
  </si>
  <si>
    <t>From suckler cows</t>
  </si>
  <si>
    <t>No of suckler cows * recruit rate * slaughtering weight * (1-mortality)</t>
  </si>
  <si>
    <t>Total from cows</t>
  </si>
  <si>
    <t>Sum of the two above</t>
  </si>
  <si>
    <t>From young animals suckler herds</t>
  </si>
  <si>
    <t>Assuming every suckler cow has one calf per year - mortality -those that go into recruitment</t>
  </si>
  <si>
    <t>From dairy offspring</t>
  </si>
  <si>
    <t>The rest of meat from offspring is from dairy offspring</t>
  </si>
  <si>
    <t>Meat produced, thousand tons, in the systems defined by us</t>
  </si>
  <si>
    <t>För Frankrike, Spanien, Grekland och Ungern funkar inte detta för den beräknade köttmängden blir</t>
  </si>
  <si>
    <t>Calves slaughtered app. 9 month</t>
  </si>
  <si>
    <t>mycket större än den verkliga, detta kan bero på handel med djur mellan länder eller att varje ko inte</t>
  </si>
  <si>
    <t>Meat from suckler herds (cows+offspring)</t>
  </si>
  <si>
    <t>får en kalv per år och/eller andra slaktvikter -&gt; löser detta genom att dela det slaktade ungdjurköttet mellan</t>
  </si>
  <si>
    <t>Meat from dairy offspring</t>
  </si>
  <si>
    <t>mjölk och dikosystem baserat på antalet mjölkkor och dikor för dessa länder (gråmarkerade celler)</t>
  </si>
  <si>
    <t>(Dairy cows, for control)</t>
  </si>
  <si>
    <t>Total</t>
  </si>
  <si>
    <t>Total without dairy cows</t>
  </si>
  <si>
    <t>Shares (without dairy cows)</t>
  </si>
  <si>
    <t>Meat from dairy offspring sl.age. app 24m</t>
  </si>
  <si>
    <t>Shares with dairy cows</t>
  </si>
  <si>
    <t>From sheet Animal welfare index.xlsx</t>
  </si>
  <si>
    <t>Weighted average</t>
  </si>
  <si>
    <t>Data on grazing:</t>
  </si>
  <si>
    <t>https://www.mdpi.com/2071-1050/12/3/1098</t>
  </si>
  <si>
    <t>Characterisation factors</t>
  </si>
  <si>
    <t>Characterisations factors</t>
  </si>
  <si>
    <t>Meat yield</t>
  </si>
  <si>
    <t>Carcass weight to bonefree</t>
  </si>
  <si>
    <t>References</t>
  </si>
  <si>
    <t xml:space="preserve">Landquist et al. 2020. Uppdaterad och utökad livscykelanalys av svensk grisproduktion. RISE Rapport 2020:59. https://www.diva-portal.org/smash/get/diva2:1516404/FULLTEXT03.pdf </t>
  </si>
  <si>
    <t>Verification</t>
  </si>
  <si>
    <t>Moberg et al 2019</t>
  </si>
  <si>
    <t>Ahlgren et al 2023</t>
  </si>
  <si>
    <t>Cropland (m2/kg)</t>
  </si>
  <si>
    <t>Pasture (m2/kg)</t>
  </si>
  <si>
    <t>Share</t>
  </si>
  <si>
    <t>Moberg et al 2019, average beef on the Swedish market</t>
  </si>
  <si>
    <t>Sweden, average</t>
  </si>
  <si>
    <t>Sweden, suckler</t>
  </si>
  <si>
    <t>Sweden, dairy cows</t>
  </si>
  <si>
    <t>Sweden, heifers</t>
  </si>
  <si>
    <t>Sweden, bulls</t>
  </si>
  <si>
    <t>Sweden, steers</t>
  </si>
  <si>
    <t>Sweden, calves</t>
  </si>
  <si>
    <t>Irland, dairy calves</t>
  </si>
  <si>
    <t>Irland, suckler</t>
  </si>
  <si>
    <t>Germany&amp;Poland, dairy</t>
  </si>
  <si>
    <t>Germany&amp;Poland, heifers</t>
  </si>
  <si>
    <t>Germany&amp;Poland, bulls</t>
  </si>
  <si>
    <t>Germany&amp;Poland, calves</t>
  </si>
  <si>
    <t>RoE</t>
  </si>
  <si>
    <t>RoW</t>
  </si>
  <si>
    <t>Moberg et al 2020, average beef on the Swedish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</si>
</sst>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E+00"/>
    <numFmt numFmtId="167" formatCode="0.000E+00"/>
    <numFmt numFmtId="168" formatCode="0.0000"/>
  </numFmts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9" tint="-0.249977111117893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4" fillId="0" borderId="0"/>
  </cellStyleXfs>
  <cellXfs count="130">
    <xf numFmtId="0" fontId="0" fillId="0" borderId="0" xfId="0"/>
    <xf numFmtId="0" fontId="3" fillId="0" borderId="0" xfId="0" applyFont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6" fillId="0" borderId="0" xfId="0" applyFont="1"/>
    <xf numFmtId="3" fontId="0" fillId="0" borderId="0" xfId="0" applyNumberFormat="1"/>
    <xf numFmtId="2" fontId="6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/>
    </xf>
    <xf numFmtId="166" fontId="6" fillId="0" borderId="0" xfId="0" applyNumberFormat="1" applyFont="1"/>
    <xf numFmtId="11" fontId="6" fillId="0" borderId="0" xfId="0" applyNumberFormat="1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6" fillId="3" borderId="0" xfId="0" applyFont="1" applyFill="1"/>
    <xf numFmtId="11" fontId="0" fillId="0" borderId="0" xfId="0" applyNumberFormat="1"/>
    <xf numFmtId="0" fontId="10" fillId="7" borderId="0" xfId="0" applyFont="1" applyFill="1"/>
    <xf numFmtId="0" fontId="9" fillId="7" borderId="0" xfId="0" applyFont="1" applyFill="1"/>
    <xf numFmtId="166" fontId="9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0" fillId="3" borderId="0" xfId="0" applyFont="1" applyFill="1"/>
    <xf numFmtId="166" fontId="10" fillId="3" borderId="0" xfId="0" applyNumberFormat="1" applyFont="1" applyFill="1"/>
    <xf numFmtId="0" fontId="8" fillId="7" borderId="0" xfId="0" applyFont="1" applyFill="1"/>
    <xf numFmtId="0" fontId="7" fillId="3" borderId="0" xfId="0" applyFont="1" applyFill="1"/>
    <xf numFmtId="0" fontId="3" fillId="0" borderId="0" xfId="0" applyFont="1" applyAlignment="1">
      <alignment horizontal="left"/>
    </xf>
    <xf numFmtId="0" fontId="10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6" fontId="0" fillId="2" borderId="0" xfId="0" applyNumberFormat="1" applyFill="1" applyAlignment="1">
      <alignment vertical="center" wrapText="1"/>
    </xf>
    <xf numFmtId="1" fontId="6" fillId="2" borderId="0" xfId="0" applyNumberFormat="1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167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7" fillId="7" borderId="0" xfId="0" applyFont="1" applyFill="1"/>
    <xf numFmtId="0" fontId="11" fillId="0" borderId="0" xfId="0" applyFon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1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0" xfId="0" applyNumberFormat="1" applyFont="1"/>
    <xf numFmtId="1" fontId="0" fillId="0" borderId="0" xfId="0" applyNumberFormat="1"/>
    <xf numFmtId="0" fontId="0" fillId="9" borderId="0" xfId="0" applyFill="1"/>
    <xf numFmtId="0" fontId="0" fillId="0" borderId="1" xfId="0" applyBorder="1"/>
    <xf numFmtId="3" fontId="0" fillId="0" borderId="1" xfId="0" applyNumberFormat="1" applyBorder="1"/>
    <xf numFmtId="0" fontId="0" fillId="8" borderId="0" xfId="0" applyFill="1"/>
    <xf numFmtId="0" fontId="0" fillId="4" borderId="3" xfId="0" applyFill="1" applyBorder="1" applyAlignment="1">
      <alignment horizontal="left" vertical="top"/>
    </xf>
    <xf numFmtId="0" fontId="6" fillId="4" borderId="3" xfId="0" applyFont="1" applyFill="1" applyBorder="1"/>
    <xf numFmtId="3" fontId="0" fillId="4" borderId="3" xfId="0" applyNumberFormat="1" applyFill="1" applyBorder="1"/>
    <xf numFmtId="11" fontId="6" fillId="4" borderId="3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6" fillId="0" borderId="1" xfId="0" applyFont="1" applyBorder="1"/>
    <xf numFmtId="3" fontId="0" fillId="0" borderId="1" xfId="0" applyNumberFormat="1" applyBorder="1" applyAlignment="1">
      <alignment horizontal="left" vertical="top"/>
    </xf>
    <xf numFmtId="11" fontId="6" fillId="4" borderId="4" xfId="0" applyNumberFormat="1" applyFont="1" applyFill="1" applyBorder="1" applyAlignment="1">
      <alignment horizontal="left" vertical="top"/>
    </xf>
    <xf numFmtId="0" fontId="0" fillId="5" borderId="3" xfId="0" applyFill="1" applyBorder="1"/>
    <xf numFmtId="0" fontId="0" fillId="4" borderId="3" xfId="0" applyFill="1" applyBorder="1"/>
    <xf numFmtId="0" fontId="12" fillId="0" borderId="0" xfId="0" applyFont="1" applyAlignment="1">
      <alignment horizontal="left"/>
    </xf>
    <xf numFmtId="0" fontId="2" fillId="0" borderId="0" xfId="0" applyFont="1"/>
    <xf numFmtId="1" fontId="6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0" fillId="0" borderId="2" xfId="0" applyBorder="1"/>
    <xf numFmtId="0" fontId="0" fillId="0" borderId="7" xfId="0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13" fillId="0" borderId="0" xfId="0" applyFont="1" applyAlignment="1">
      <alignment horizontal="left"/>
    </xf>
    <xf numFmtId="1" fontId="0" fillId="9" borderId="0" xfId="0" applyNumberFormat="1" applyFill="1"/>
    <xf numFmtId="1" fontId="0" fillId="2" borderId="0" xfId="0" applyNumberFormat="1" applyFill="1"/>
    <xf numFmtId="0" fontId="0" fillId="0" borderId="8" xfId="0" applyBorder="1"/>
    <xf numFmtId="0" fontId="0" fillId="0" borderId="9" xfId="0" applyBorder="1"/>
    <xf numFmtId="0" fontId="0" fillId="9" borderId="7" xfId="0" applyFill="1" applyBorder="1"/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6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6" fontId="0" fillId="2" borderId="9" xfId="0" applyNumberFormat="1" applyFill="1" applyBorder="1" applyAlignment="1">
      <alignment horizontal="center" vertical="center" wrapText="1"/>
    </xf>
    <xf numFmtId="0" fontId="0" fillId="5" borderId="10" xfId="0" applyFill="1" applyBorder="1"/>
    <xf numFmtId="11" fontId="6" fillId="5" borderId="3" xfId="0" applyNumberFormat="1" applyFont="1" applyFill="1" applyBorder="1" applyAlignment="1">
      <alignment horizontal="left" vertical="top"/>
    </xf>
    <xf numFmtId="0" fontId="0" fillId="5" borderId="11" xfId="0" applyFill="1" applyBorder="1"/>
    <xf numFmtId="0" fontId="2" fillId="5" borderId="0" xfId="0" applyFont="1" applyFill="1"/>
    <xf numFmtId="0" fontId="0" fillId="0" borderId="0" xfId="0" applyAlignment="1">
      <alignment horizontal="right" vertical="top"/>
    </xf>
    <xf numFmtId="0" fontId="10" fillId="7" borderId="0" xfId="0" applyFont="1" applyFill="1" applyAlignment="1">
      <alignment horizontal="right"/>
    </xf>
    <xf numFmtId="166" fontId="2" fillId="3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164" fontId="0" fillId="0" borderId="1" xfId="0" applyNumberFormat="1" applyBorder="1" applyAlignment="1">
      <alignment vertical="top"/>
    </xf>
    <xf numFmtId="164" fontId="6" fillId="0" borderId="1" xfId="0" applyNumberFormat="1" applyFont="1" applyBorder="1"/>
    <xf numFmtId="164" fontId="0" fillId="0" borderId="0" xfId="0" applyNumberFormat="1" applyAlignment="1">
      <alignment vertical="top"/>
    </xf>
    <xf numFmtId="2" fontId="6" fillId="4" borderId="5" xfId="0" applyNumberFormat="1" applyFont="1" applyFill="1" applyBorder="1"/>
    <xf numFmtId="164" fontId="6" fillId="4" borderId="12" xfId="0" applyNumberFormat="1" applyFont="1" applyFill="1" applyBorder="1"/>
    <xf numFmtId="164" fontId="6" fillId="4" borderId="0" xfId="0" applyNumberFormat="1" applyFont="1" applyFill="1"/>
    <xf numFmtId="164" fontId="6" fillId="4" borderId="6" xfId="0" applyNumberFormat="1" applyFont="1" applyFill="1" applyBorder="1"/>
    <xf numFmtId="164" fontId="6" fillId="4" borderId="3" xfId="0" applyNumberFormat="1" applyFont="1" applyFill="1" applyBorder="1"/>
    <xf numFmtId="164" fontId="6" fillId="0" borderId="3" xfId="0" applyNumberFormat="1" applyFont="1" applyBorder="1"/>
    <xf numFmtId="1" fontId="6" fillId="0" borderId="0" xfId="2" applyNumberFormat="1" applyFont="1" applyAlignment="1">
      <alignment horizontal="right" vertical="center" shrinkToFit="1"/>
    </xf>
    <xf numFmtId="1" fontId="6" fillId="9" borderId="0" xfId="2" applyNumberFormat="1" applyFont="1" applyFill="1" applyAlignment="1">
      <alignment horizontal="right" vertical="center" shrinkToFit="1"/>
    </xf>
    <xf numFmtId="1" fontId="6" fillId="2" borderId="0" xfId="2" applyNumberFormat="1" applyFont="1" applyFill="1" applyAlignment="1">
      <alignment horizontal="right" vertical="center" shrinkToFit="1"/>
    </xf>
    <xf numFmtId="0" fontId="15" fillId="0" borderId="0" xfId="0" applyFont="1"/>
    <xf numFmtId="1" fontId="0" fillId="10" borderId="0" xfId="0" applyNumberFormat="1" applyFill="1"/>
    <xf numFmtId="0" fontId="0" fillId="9" borderId="2" xfId="0" applyFill="1" applyBorder="1"/>
    <xf numFmtId="2" fontId="0" fillId="9" borderId="0" xfId="0" applyNumberFormat="1" applyFill="1"/>
    <xf numFmtId="164" fontId="1" fillId="0" borderId="0" xfId="0" applyNumberFormat="1" applyFont="1"/>
    <xf numFmtId="168" fontId="6" fillId="0" borderId="0" xfId="0" applyNumberFormat="1" applyFont="1"/>
    <xf numFmtId="166" fontId="0" fillId="0" borderId="0" xfId="0" applyNumberFormat="1"/>
  </cellXfs>
  <cellStyles count="3">
    <cellStyle name="Normal" xfId="0" builtinId="0"/>
    <cellStyle name="Normal 2" xfId="2" xr:uid="{BA1609CF-8B95-490F-94DC-87DF4599BD1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'Shares in prod syst'!$A$46</c:f>
              <c:strCache>
                <c:ptCount val="1"/>
                <c:pt idx="0">
                  <c:v>Calves slaughtered app. 9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'Shares in prod syst'!$B$4:$M$4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'Shares in prod syst'!$B$46:$M$46</c:f>
              <c:numCache>
                <c:formatCode>0.00</c:formatCode>
                <c:ptCount val="12"/>
                <c:pt idx="0">
                  <c:v>0.27413694370848835</c:v>
                </c:pt>
                <c:pt idx="1">
                  <c:v>0.12964324023736351</c:v>
                </c:pt>
                <c:pt idx="2">
                  <c:v>4.8080526371145141E-2</c:v>
                </c:pt>
                <c:pt idx="3">
                  <c:v>0.24721679878392333</c:v>
                </c:pt>
                <c:pt idx="4">
                  <c:v>3.5460749704156032E-2</c:v>
                </c:pt>
                <c:pt idx="5">
                  <c:v>5.0831840550167812E-3</c:v>
                </c:pt>
                <c:pt idx="6">
                  <c:v>0.11522547056738708</c:v>
                </c:pt>
                <c:pt idx="7">
                  <c:v>0.5970659610042004</c:v>
                </c:pt>
                <c:pt idx="8">
                  <c:v>4.4803313439190934E-3</c:v>
                </c:pt>
                <c:pt idx="9">
                  <c:v>0.29286589179289724</c:v>
                </c:pt>
                <c:pt idx="10">
                  <c:v>1.4169088835115954E-2</c:v>
                </c:pt>
                <c:pt idx="11">
                  <c:v>8.7740817337142851E-3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A-4E4E-ABB4-CB5C9202CC29}"/>
            </c:ext>
          </c:extLst>
        </c:ser>
        <c:ser>
          <c:idx val="1"/>
          <c:order val="1"/>
          <c:tx>
            <c:strRef>
              <c:f>'Shares in prod syst'!$A$47</c:f>
              <c:strCache>
                <c:ptCount val="1"/>
                <c:pt idx="0">
                  <c:v>Meat from dairy offspring sl.age. app 24m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'Shares in prod syst'!$B$4:$M$4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'Shares in prod syst'!$B$47:$M$47</c:f>
              <c:numCache>
                <c:formatCode>0.00</c:formatCode>
                <c:ptCount val="12"/>
                <c:pt idx="0">
                  <c:v>0.14501558937730585</c:v>
                </c:pt>
                <c:pt idx="1">
                  <c:v>0.2071734507724681</c:v>
                </c:pt>
                <c:pt idx="2">
                  <c:v>0.4735063381027555</c:v>
                </c:pt>
                <c:pt idx="3">
                  <c:v>0.19832566749443445</c:v>
                </c:pt>
                <c:pt idx="4">
                  <c:v>0.19118685741411717</c:v>
                </c:pt>
                <c:pt idx="5">
                  <c:v>0.40966963164288511</c:v>
                </c:pt>
                <c:pt idx="6">
                  <c:v>0.49241254125850636</c:v>
                </c:pt>
                <c:pt idx="7">
                  <c:v>5.5646926655090523E-2</c:v>
                </c:pt>
                <c:pt idx="8">
                  <c:v>0.64138201867639666</c:v>
                </c:pt>
                <c:pt idx="9">
                  <c:v>0.15267885251091157</c:v>
                </c:pt>
                <c:pt idx="10">
                  <c:v>0.30965431002801602</c:v>
                </c:pt>
                <c:pt idx="11">
                  <c:v>0.34851963841590905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A-4E4E-ABB4-CB5C9202CC29}"/>
            </c:ext>
          </c:extLst>
        </c:ser>
        <c:ser>
          <c:idx val="2"/>
          <c:order val="2"/>
          <c:tx>
            <c:strRef>
              <c:f>'Shares in prod syst'!$A$48</c:f>
              <c:strCache>
                <c:ptCount val="1"/>
                <c:pt idx="0">
                  <c:v>Meat from suckler herds (cows+offspring)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'Shares in prod syst'!$B$4:$M$4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'Shares in prod syst'!$B$48:$M$48</c:f>
              <c:numCache>
                <c:formatCode>0.00</c:formatCode>
                <c:ptCount val="12"/>
                <c:pt idx="0">
                  <c:v>0.18670186363431251</c:v>
                </c:pt>
                <c:pt idx="1">
                  <c:v>0.43333431276319329</c:v>
                </c:pt>
                <c:pt idx="2">
                  <c:v>0.19493953280015844</c:v>
                </c:pt>
                <c:pt idx="3">
                  <c:v>0.48162401526317117</c:v>
                </c:pt>
                <c:pt idx="4">
                  <c:v>0.29895084563959107</c:v>
                </c:pt>
                <c:pt idx="5">
                  <c:v>0.43328957934399898</c:v>
                </c:pt>
                <c:pt idx="6">
                  <c:v>0.20511329504584486</c:v>
                </c:pt>
                <c:pt idx="7">
                  <c:v>3.3126356785010191E-2</c:v>
                </c:pt>
                <c:pt idx="8">
                  <c:v>7.8099951106181065E-2</c:v>
                </c:pt>
                <c:pt idx="9">
                  <c:v>0.49388291721983169</c:v>
                </c:pt>
                <c:pt idx="10">
                  <c:v>0.46763505677181033</c:v>
                </c:pt>
                <c:pt idx="11">
                  <c:v>0.50615022351360228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A-4E4E-ABB4-CB5C9202CC29}"/>
            </c:ext>
          </c:extLst>
        </c:ser>
        <c:ser>
          <c:idx val="3"/>
          <c:order val="3"/>
          <c:tx>
            <c:strRef>
              <c:f>'Shares in prod syst'!$A$49</c:f>
              <c:strCache>
                <c:ptCount val="1"/>
                <c:pt idx="0">
                  <c:v>Dairy cows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'Shares in prod syst'!$B$4:$M$4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'Shares in prod syst'!$B$49:$M$49</c:f>
              <c:numCache>
                <c:formatCode>0.00</c:formatCode>
                <c:ptCount val="12"/>
                <c:pt idx="0">
                  <c:v>0.39414560327989323</c:v>
                </c:pt>
                <c:pt idx="1">
                  <c:v>0.22984899622697513</c:v>
                </c:pt>
                <c:pt idx="2">
                  <c:v>0.28347360272594085</c:v>
                </c:pt>
                <c:pt idx="3">
                  <c:v>7.2833518458471053E-2</c:v>
                </c:pt>
                <c:pt idx="4">
                  <c:v>0.47440154724213568</c:v>
                </c:pt>
                <c:pt idx="5">
                  <c:v>0.15195760495809912</c:v>
                </c:pt>
                <c:pt idx="6">
                  <c:v>0.18724869312826178</c:v>
                </c:pt>
                <c:pt idx="7">
                  <c:v>0.31416075555569883</c:v>
                </c:pt>
                <c:pt idx="8">
                  <c:v>0.2760376988735031</c:v>
                </c:pt>
                <c:pt idx="9">
                  <c:v>6.0572338476359677E-2</c:v>
                </c:pt>
                <c:pt idx="10">
                  <c:v>0.20854154436505778</c:v>
                </c:pt>
                <c:pt idx="11">
                  <c:v>0.13655605633677437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A-4E4E-ABB4-CB5C9202C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4186832"/>
        <c:axId val="1894868160"/>
      </c:barChart>
      <c:catAx>
        <c:axId val="207418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868160"/>
        <c:crosses val="autoZero"/>
        <c:auto val="1"/>
        <c:lblAlgn val="ctr"/>
        <c:lblOffset val="100"/>
        <c:noMultiLvlLbl val="0"/>
      </c:catAx>
      <c:valAx>
        <c:axId val="18948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8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53341</xdr:colOff>
      <xdr:row>18</xdr:row>
      <xdr:rowOff>0</xdr:rowOff>
    </xdr:from>
    <xdr:to>
      <xdr:col>29</xdr:col>
      <xdr:colOff>740</xdr:colOff>
      <xdr:row>30</xdr:row>
      <xdr:rowOff>42524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D1F50-35C1-449A-AAE2-E5EEFE35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1411" y="2895600"/>
          <a:ext cx="3789760" cy="2328524"/>
        </a:xfrm>
        <a:prstGeom prst="rect">
          <a:avLst/>
        </a:prstGeom>
      </xdr:spPr>
    </xdr:pic>
    <xdr:clientData/>
  </xdr:twoCellAnchor>
  <xdr:oneCellAnchor>
    <xdr:from>
      <xdr:col>18</xdr:col>
      <xdr:colOff>125681</xdr:colOff>
      <xdr:row>9</xdr:row>
      <xdr:rowOff>127032</xdr:rowOff>
    </xdr:from>
    <xdr:ext cx="3634740" cy="26136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E275EB-B525-4CB0-A883-C02CC26EB561}"/>
            </a:ext>
          </a:extLst>
        </xdr:cNvPr>
        <xdr:cNvSpPr txBox="1"/>
      </xdr:nvSpPr>
      <xdr:spPr>
        <a:xfrm>
          <a:off x="14950922" y="1863235"/>
          <a:ext cx="3634740" cy="26136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sv-SE" sz="1100"/>
            <a:t>Nötkött</a:t>
          </a:r>
          <a:r>
            <a:rPr lang="sv-SE" sz="1100" baseline="0"/>
            <a:t> kommer från fyra system:</a:t>
          </a:r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Mjölkkor</a:t>
          </a: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Dikor (cows) i proportioner i antal/rekg </a:t>
          </a: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Kalvar (slaktade vid nio månader) - Calf and young cattle</a:t>
          </a: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Djur slaktade vid 24 mån - Adult cattle</a:t>
          </a:r>
        </a:p>
        <a:p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För djur som slaktas vid X mån räknar vi ut någonslag medel vad de är på bete från Johans fodersiffror, X beräknas från hur många djur som finns mellan 1-2 och över 2 år</a:t>
          </a:r>
        </a:p>
        <a:p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Overheaden från moderdjuren räknas ut som ett medel från  mjölk och dikor och läggs på kalvar och djur som slaktas vid 24 mån</a:t>
          </a:r>
          <a:endParaRPr lang="sv-SE" sz="1100"/>
        </a:p>
      </xdr:txBody>
    </xdr:sp>
    <xdr:clientData/>
  </xdr:oneCellAnchor>
  <xdr:twoCellAnchor>
    <xdr:from>
      <xdr:col>13</xdr:col>
      <xdr:colOff>289366</xdr:colOff>
      <xdr:row>37</xdr:row>
      <xdr:rowOff>84881</xdr:rowOff>
    </xdr:from>
    <xdr:to>
      <xdr:col>21</xdr:col>
      <xdr:colOff>520860</xdr:colOff>
      <xdr:row>57</xdr:row>
      <xdr:rowOff>57873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F83546-B7F5-9879-0962-558876A69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velantbruksuniversitet-my.sharepoint.com/personal/elin_roos_slu_se/Documents/Dokument/SLU/Projekt%2042%20-%20Plan'eat/WP3/2%20-%20Livestock/Suckler%20beef.xlsx" TargetMode="External"/><Relationship Id="rId1" Type="http://schemas.openxmlformats.org/officeDocument/2006/relationships/externalLinkPath" Target="Suckler%20be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igures"/>
      <sheetName val="Footprints, results per kg"/>
      <sheetName val="GHG detailed, results per kg"/>
      <sheetName val="Production"/>
      <sheetName val="Parameters, country spec"/>
      <sheetName val="Manure"/>
      <sheetName val="CO2 per kg feed"/>
      <sheetName val="CH4 per kg feed"/>
      <sheetName val="N2O per kg feed"/>
      <sheetName val="EFP per kg feed"/>
      <sheetName val="Parameters, general"/>
      <sheetName val="Forage crops, CF"/>
      <sheetName val="Forage crops, footprints"/>
      <sheetName val="Forage, input data per ha"/>
      <sheetName val="Off-farm feed"/>
      <sheetName val="References"/>
    </sheetNames>
    <sheetDataSet>
      <sheetData sheetId="0"/>
      <sheetData sheetId="1"/>
      <sheetData sheetId="2"/>
      <sheetData sheetId="3"/>
      <sheetData sheetId="4">
        <row r="5">
          <cell r="B5">
            <v>10</v>
          </cell>
          <cell r="C5">
            <v>10</v>
          </cell>
          <cell r="D5">
            <v>10</v>
          </cell>
          <cell r="E5">
            <v>10</v>
          </cell>
          <cell r="F5">
            <v>10</v>
          </cell>
          <cell r="G5">
            <v>10</v>
          </cell>
          <cell r="H5">
            <v>10</v>
          </cell>
          <cell r="I5">
            <v>10</v>
          </cell>
          <cell r="J5">
            <v>10</v>
          </cell>
          <cell r="K5">
            <v>10</v>
          </cell>
          <cell r="L5">
            <v>10</v>
          </cell>
          <cell r="M5">
            <v>10</v>
          </cell>
        </row>
        <row r="6">
          <cell r="B6">
            <v>3.6</v>
          </cell>
          <cell r="C6">
            <v>3.6</v>
          </cell>
          <cell r="D6">
            <v>3.6</v>
          </cell>
          <cell r="E6">
            <v>3.6</v>
          </cell>
          <cell r="F6">
            <v>3.6</v>
          </cell>
          <cell r="G6">
            <v>3.6</v>
          </cell>
          <cell r="H6">
            <v>3.6</v>
          </cell>
          <cell r="I6">
            <v>3.6</v>
          </cell>
          <cell r="J6">
            <v>3.6</v>
          </cell>
          <cell r="K6">
            <v>3.6</v>
          </cell>
          <cell r="L6">
            <v>3.6</v>
          </cell>
          <cell r="M6">
            <v>3.6</v>
          </cell>
        </row>
        <row r="7">
          <cell r="B7">
            <v>15.479999999999999</v>
          </cell>
          <cell r="C7">
            <v>15.479999999999999</v>
          </cell>
          <cell r="D7">
            <v>15.479999999999999</v>
          </cell>
          <cell r="E7">
            <v>15.479999999999999</v>
          </cell>
          <cell r="F7">
            <v>15.479999999999999</v>
          </cell>
          <cell r="G7">
            <v>15.479999999999999</v>
          </cell>
          <cell r="H7">
            <v>15.479999999999999</v>
          </cell>
          <cell r="I7">
            <v>15.479999999999999</v>
          </cell>
          <cell r="J7">
            <v>15.479999999999999</v>
          </cell>
          <cell r="K7">
            <v>15.479999999999999</v>
          </cell>
          <cell r="L7">
            <v>15.479999999999999</v>
          </cell>
          <cell r="M7">
            <v>15.479999999999999</v>
          </cell>
        </row>
        <row r="21">
          <cell r="B21">
            <v>41.795999999999992</v>
          </cell>
          <cell r="C21">
            <v>41.795999999999992</v>
          </cell>
          <cell r="D21">
            <v>41.795999999999992</v>
          </cell>
          <cell r="E21">
            <v>41.795999999999992</v>
          </cell>
          <cell r="F21">
            <v>41.795999999999992</v>
          </cell>
          <cell r="G21">
            <v>41.795999999999992</v>
          </cell>
          <cell r="H21">
            <v>41.795999999999992</v>
          </cell>
          <cell r="I21">
            <v>41.795999999999992</v>
          </cell>
          <cell r="J21">
            <v>41.795999999999992</v>
          </cell>
          <cell r="K21">
            <v>41.795999999999992</v>
          </cell>
          <cell r="L21">
            <v>41.795999999999992</v>
          </cell>
          <cell r="M21">
            <v>41.795999999999992</v>
          </cell>
        </row>
      </sheetData>
      <sheetData sheetId="5">
        <row r="51">
          <cell r="B51">
            <v>4408.8888888888887</v>
          </cell>
          <cell r="C51">
            <v>4408.8888888888887</v>
          </cell>
          <cell r="D51">
            <v>4408.8888888888887</v>
          </cell>
          <cell r="E51">
            <v>4408.8888888888887</v>
          </cell>
          <cell r="F51">
            <v>4408.8888888888887</v>
          </cell>
          <cell r="G51">
            <v>4408.8888888888887</v>
          </cell>
          <cell r="H51">
            <v>4408.8888888888887</v>
          </cell>
          <cell r="I51">
            <v>4408.8888888888887</v>
          </cell>
          <cell r="J51">
            <v>4408.8888888888887</v>
          </cell>
          <cell r="K51">
            <v>4408.8888888888887</v>
          </cell>
          <cell r="L51">
            <v>4408.8888888888887</v>
          </cell>
          <cell r="M51">
            <v>4408.8888888888887</v>
          </cell>
        </row>
        <row r="52">
          <cell r="B52">
            <v>2040.5555555555554</v>
          </cell>
          <cell r="C52">
            <v>2040.5555555555554</v>
          </cell>
          <cell r="D52">
            <v>2040.5555555555554</v>
          </cell>
          <cell r="E52">
            <v>2040.5555555555554</v>
          </cell>
          <cell r="F52">
            <v>2040.5555555555554</v>
          </cell>
          <cell r="G52">
            <v>2040.5555555555554</v>
          </cell>
          <cell r="H52">
            <v>2040.5555555555554</v>
          </cell>
          <cell r="I52">
            <v>2040.5555555555554</v>
          </cell>
          <cell r="J52">
            <v>2040.5555555555554</v>
          </cell>
          <cell r="K52">
            <v>2040.5555555555554</v>
          </cell>
          <cell r="L52">
            <v>2040.5555555555554</v>
          </cell>
          <cell r="M52">
            <v>2040.5555555555554</v>
          </cell>
        </row>
      </sheetData>
      <sheetData sheetId="6">
        <row r="153">
          <cell r="X153">
            <v>973.43973849553413</v>
          </cell>
        </row>
      </sheetData>
      <sheetData sheetId="7"/>
      <sheetData sheetId="8"/>
      <sheetData sheetId="9"/>
      <sheetData sheetId="10">
        <row r="20">
          <cell r="I20">
            <v>1.1671156123314362E-2</v>
          </cell>
        </row>
        <row r="21">
          <cell r="I21">
            <v>1.1671156123314362E-2</v>
          </cell>
        </row>
        <row r="36">
          <cell r="I36">
            <v>3.6929890271552329E-2</v>
          </cell>
        </row>
        <row r="37">
          <cell r="I37">
            <v>3.6924029810287161E-2</v>
          </cell>
        </row>
        <row r="52">
          <cell r="I52">
            <v>1.0480318106588556E-2</v>
          </cell>
        </row>
        <row r="53">
          <cell r="I53">
            <v>1.0480318106588556E-2</v>
          </cell>
        </row>
        <row r="68">
          <cell r="I68">
            <v>8.6267831069317236E-2</v>
          </cell>
        </row>
        <row r="69">
          <cell r="I69">
            <v>8.6177404763893156E-2</v>
          </cell>
        </row>
        <row r="84">
          <cell r="I84">
            <v>3.2258354919086508E-3</v>
          </cell>
        </row>
        <row r="85">
          <cell r="I85">
            <v>3.2237767530413435E-3</v>
          </cell>
        </row>
        <row r="100">
          <cell r="I100">
            <v>5.2985275717269903E-3</v>
          </cell>
        </row>
        <row r="101">
          <cell r="I101">
            <v>5.2549816310949963E-3</v>
          </cell>
        </row>
        <row r="116">
          <cell r="I116">
            <v>3.4157633527296324E-2</v>
          </cell>
        </row>
        <row r="117">
          <cell r="I117">
            <v>3.4156286984394955E-2</v>
          </cell>
        </row>
        <row r="132">
          <cell r="I132">
            <v>1.1839600195308161E-2</v>
          </cell>
        </row>
        <row r="133">
          <cell r="I133">
            <v>1.1835662131277343E-2</v>
          </cell>
        </row>
        <row r="148">
          <cell r="I148">
            <v>4.4476559724239105E-3</v>
          </cell>
        </row>
        <row r="149">
          <cell r="I149">
            <v>4.4454366971694104E-3</v>
          </cell>
        </row>
        <row r="164">
          <cell r="I164">
            <v>8.9380928454992237E-2</v>
          </cell>
        </row>
        <row r="165">
          <cell r="I165">
            <v>8.8523949983905337E-2</v>
          </cell>
        </row>
        <row r="180">
          <cell r="I180">
            <v>2.1585976084474366E-5</v>
          </cell>
        </row>
        <row r="181">
          <cell r="I181">
            <v>0</v>
          </cell>
        </row>
        <row r="196">
          <cell r="I196">
            <v>3.6189463180689671E-3</v>
          </cell>
        </row>
        <row r="197">
          <cell r="I197">
            <v>0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in Röös" id="{01C5129D-721E-44C1-8BB0-E6E21B93166B}" userId="S::elin.roos@slu.se::cba22b96-ba66-4a82-a248-f4a722382a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5" dT="2024-02-21T13:07:50.74" personId="{01C5129D-721E-44C1-8BB0-E6E21B93166B}" id="{779619D6-BB57-4836-9034-EE4844C43809}">
    <text>Missing data, approx with Ireland.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C35"/>
  <sheetViews>
    <sheetView zoomScale="80" zoomScaleNormal="80" workbookViewId="0">
      <selection activeCell="D30" sqref="D30"/>
    </sheetView>
  </sheetViews>
  <sheetFormatPr defaultRowHeight="14.45"/>
  <cols>
    <col min="1" max="1" width="8.7109375" style="15"/>
    <col min="2" max="2" width="18.28515625" customWidth="1"/>
    <col min="3" max="3" width="31.5703125" customWidth="1"/>
    <col min="4" max="4" width="24.7109375" customWidth="1"/>
  </cols>
  <sheetData>
    <row r="2" spans="1:1" ht="21">
      <c r="A2" s="38" t="s">
        <v>0</v>
      </c>
    </row>
    <row r="4" spans="1:1">
      <c r="A4" s="15" t="s">
        <v>1</v>
      </c>
    </row>
    <row r="6" spans="1:1">
      <c r="A6" s="15" t="s">
        <v>2</v>
      </c>
    </row>
    <row r="7" spans="1:1">
      <c r="A7" s="15" t="s">
        <v>3</v>
      </c>
    </row>
    <row r="8" spans="1:1">
      <c r="A8" s="15" t="s">
        <v>4</v>
      </c>
    </row>
    <row r="9" spans="1:1">
      <c r="A9" s="15" t="s">
        <v>5</v>
      </c>
    </row>
    <row r="10" spans="1:1">
      <c r="A10" s="15" t="s">
        <v>6</v>
      </c>
    </row>
    <row r="11" spans="1:1">
      <c r="A11" s="15" t="s">
        <v>7</v>
      </c>
    </row>
    <row r="13" spans="1:1">
      <c r="A13" s="15" t="s">
        <v>8</v>
      </c>
    </row>
    <row r="15" spans="1:1">
      <c r="A15" s="15" t="s">
        <v>9</v>
      </c>
    </row>
    <row r="17" spans="1:3">
      <c r="A17" s="15" t="s">
        <v>10</v>
      </c>
    </row>
    <row r="19" spans="1:3">
      <c r="A19" s="15" t="s">
        <v>11</v>
      </c>
      <c r="C19" t="s">
        <v>12</v>
      </c>
    </row>
    <row r="20" spans="1:3">
      <c r="C20" t="s">
        <v>13</v>
      </c>
    </row>
    <row r="21" spans="1:3">
      <c r="C21" t="s">
        <v>14</v>
      </c>
    </row>
    <row r="22" spans="1:3">
      <c r="C22" t="s">
        <v>15</v>
      </c>
    </row>
    <row r="23" spans="1:3">
      <c r="C23" t="s">
        <v>16</v>
      </c>
    </row>
    <row r="24" spans="1:3">
      <c r="A24" s="15" t="s">
        <v>17</v>
      </c>
      <c r="C24" t="s">
        <v>18</v>
      </c>
    </row>
    <row r="25" spans="1:3">
      <c r="A25" s="15" t="s">
        <v>19</v>
      </c>
      <c r="C25" s="11" t="s">
        <v>20</v>
      </c>
    </row>
    <row r="26" spans="1:3">
      <c r="A26" s="15" t="s">
        <v>21</v>
      </c>
      <c r="C26" s="5" t="s">
        <v>22</v>
      </c>
    </row>
    <row r="27" spans="1:3">
      <c r="A27" s="15" t="s">
        <v>23</v>
      </c>
      <c r="C27" t="s">
        <v>24</v>
      </c>
    </row>
    <row r="28" spans="1:3">
      <c r="A28" s="15" t="s">
        <v>25</v>
      </c>
      <c r="C28" t="s">
        <v>26</v>
      </c>
    </row>
    <row r="31" spans="1:3">
      <c r="A31" s="15" t="s">
        <v>27</v>
      </c>
    </row>
    <row r="33" spans="1:2">
      <c r="A33" s="51"/>
      <c r="B33" t="s">
        <v>28</v>
      </c>
    </row>
    <row r="34" spans="1:2">
      <c r="A34" s="58"/>
      <c r="B34" t="s">
        <v>29</v>
      </c>
    </row>
    <row r="35" spans="1:2">
      <c r="A35" s="59"/>
      <c r="B35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9" tint="0.59999389629810485"/>
  </sheetPr>
  <dimension ref="A2:U20"/>
  <sheetViews>
    <sheetView tabSelected="1" zoomScale="85" zoomScaleNormal="85" workbookViewId="0">
      <selection activeCell="L7" sqref="L7"/>
    </sheetView>
  </sheetViews>
  <sheetFormatPr defaultRowHeight="14.45"/>
  <cols>
    <col min="1" max="1" width="11.28515625" style="15" customWidth="1"/>
    <col min="2" max="2" width="22.7109375" customWidth="1"/>
    <col min="3" max="3" width="25.42578125" customWidth="1"/>
    <col min="4" max="4" width="16.42578125" customWidth="1"/>
    <col min="5" max="11" width="10.5703125" customWidth="1"/>
    <col min="12" max="13" width="14.7109375" customWidth="1"/>
    <col min="14" max="14" width="14.7109375" style="10" customWidth="1"/>
    <col min="15" max="16" width="14.7109375" customWidth="1"/>
    <col min="17" max="17" width="25" customWidth="1"/>
    <col min="18" max="20" width="14.7109375" customWidth="1"/>
    <col min="21" max="21" width="15.7109375" customWidth="1"/>
  </cols>
  <sheetData>
    <row r="2" spans="1:21" ht="21">
      <c r="A2" s="38" t="s">
        <v>31</v>
      </c>
      <c r="D2" s="5"/>
      <c r="M2" s="79" t="s">
        <v>32</v>
      </c>
    </row>
    <row r="3" spans="1:21">
      <c r="M3" s="5" t="s">
        <v>33</v>
      </c>
      <c r="N3" s="5" t="s">
        <v>33</v>
      </c>
      <c r="P3" s="5" t="s">
        <v>33</v>
      </c>
      <c r="Q3" s="5" t="s">
        <v>34</v>
      </c>
      <c r="R3" s="5"/>
      <c r="S3" s="6"/>
      <c r="T3" s="6"/>
      <c r="U3" s="6"/>
    </row>
    <row r="4" spans="1:21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3"/>
      <c r="P4" s="55"/>
      <c r="Q4" s="53"/>
      <c r="R4" s="55"/>
      <c r="S4" s="56"/>
      <c r="T4" s="56"/>
      <c r="U4" s="56"/>
    </row>
    <row r="5" spans="1:21">
      <c r="A5" s="40" t="s">
        <v>35</v>
      </c>
      <c r="B5" s="22"/>
      <c r="C5" s="22"/>
      <c r="D5" s="28"/>
      <c r="E5" s="28"/>
      <c r="F5" s="83" t="s">
        <v>36</v>
      </c>
      <c r="G5" s="28"/>
      <c r="H5" s="28"/>
      <c r="I5" s="28"/>
      <c r="J5" s="28"/>
      <c r="K5" s="28"/>
      <c r="L5" s="20" t="s">
        <v>37</v>
      </c>
      <c r="M5" s="20" t="s">
        <v>38</v>
      </c>
      <c r="N5" s="20" t="s">
        <v>39</v>
      </c>
      <c r="O5" s="20" t="s">
        <v>19</v>
      </c>
      <c r="P5" s="21" t="s">
        <v>40</v>
      </c>
      <c r="Q5" s="21" t="s">
        <v>21</v>
      </c>
      <c r="R5" s="21" t="s">
        <v>41</v>
      </c>
      <c r="S5" s="21" t="s">
        <v>42</v>
      </c>
      <c r="T5" s="33" t="s">
        <v>23</v>
      </c>
      <c r="U5" s="33" t="s">
        <v>43</v>
      </c>
    </row>
    <row r="6" spans="1:21" s="7" customFormat="1" ht="43.15">
      <c r="A6" s="42" t="s">
        <v>44</v>
      </c>
      <c r="B6" s="41" t="s">
        <v>45</v>
      </c>
      <c r="C6" s="41" t="s">
        <v>46</v>
      </c>
      <c r="D6" s="43" t="s">
        <v>47</v>
      </c>
      <c r="E6" s="44" t="s">
        <v>48</v>
      </c>
      <c r="F6" s="82" t="s">
        <v>49</v>
      </c>
      <c r="G6" s="81" t="s">
        <v>50</v>
      </c>
      <c r="H6" s="82" t="s">
        <v>51</v>
      </c>
      <c r="I6" s="82" t="s">
        <v>52</v>
      </c>
      <c r="J6" s="82" t="s">
        <v>53</v>
      </c>
      <c r="K6" s="81" t="s">
        <v>54</v>
      </c>
      <c r="L6" s="47" t="s">
        <v>55</v>
      </c>
      <c r="M6" s="47" t="s">
        <v>56</v>
      </c>
      <c r="N6" s="47" t="s">
        <v>57</v>
      </c>
      <c r="O6" s="48" t="s">
        <v>58</v>
      </c>
      <c r="P6" s="49" t="s">
        <v>59</v>
      </c>
      <c r="Q6" s="50" t="s">
        <v>60</v>
      </c>
      <c r="R6" s="50" t="s">
        <v>61</v>
      </c>
      <c r="S6" s="50" t="s">
        <v>62</v>
      </c>
      <c r="T6" s="27" t="s">
        <v>63</v>
      </c>
      <c r="U6" s="46"/>
    </row>
    <row r="7" spans="1:21">
      <c r="A7" s="10">
        <v>21111.02</v>
      </c>
      <c r="B7" s="10" t="s">
        <v>64</v>
      </c>
      <c r="C7" s="11" t="s">
        <v>65</v>
      </c>
      <c r="D7" t="s">
        <v>66</v>
      </c>
      <c r="E7" t="s">
        <v>67</v>
      </c>
      <c r="F7" s="4">
        <f>'GHG detailed, results per kg'!G11</f>
        <v>24.491332339555012</v>
      </c>
      <c r="G7" s="9">
        <f>'GHG detailed, results per kg'!G7</f>
        <v>3.6306622889634594</v>
      </c>
      <c r="H7">
        <f>'GHG detailed, results per kg'!G8</f>
        <v>0</v>
      </c>
      <c r="I7" s="23">
        <f>'GHG detailed, results per kg'!G9</f>
        <v>0.5282212063584123</v>
      </c>
      <c r="J7" s="23">
        <f>'GHG detailed, results per kg'!G10</f>
        <v>2.4171053036316555E-2</v>
      </c>
      <c r="L7" s="13">
        <f>('Shares in prod syst'!$B$46*'Data from Ahlgren et al'!$K$8+'Shares in prod syst'!$B$47*'Data from Ahlgren et al'!$K$12+'Shares in prod syst'!$B$48*'Data from Ahlgren et al'!$K$20+'Shares in prod syst'!$B$49*'Data from Ahlgren et al'!$K$8)/0.7</f>
        <v>27.381064424325753</v>
      </c>
      <c r="M7" s="14">
        <v>0.39287935763715631</v>
      </c>
      <c r="N7" s="14">
        <v>1.5901371090528284E-2</v>
      </c>
      <c r="O7" s="128">
        <f>([1]Production!$B$5*'[1]Parameters, country spec'!$B$51*'[1]EFP per kg feed'!I20+([1]Production!$B$6+[1]Production!$B$7)*'[1]Parameters, country spec'!$B$52*'[1]EFP per kg feed'!I21)/[1]Production!$B$21</f>
        <v>23.183337252358577</v>
      </c>
      <c r="P7" s="16">
        <v>0.8190839283378184</v>
      </c>
      <c r="Q7" s="16">
        <v>2.2515202409350168E-9</v>
      </c>
      <c r="R7" s="13">
        <v>0.21242025874545406</v>
      </c>
      <c r="S7" s="8"/>
      <c r="T7" s="3">
        <f>'Shares in prod syst'!B55</f>
        <v>1.5511431985962526E-2</v>
      </c>
      <c r="U7">
        <v>19.399999999999999</v>
      </c>
    </row>
    <row r="8" spans="1:21">
      <c r="A8" s="10">
        <v>21111.02</v>
      </c>
      <c r="B8" s="10" t="s">
        <v>64</v>
      </c>
      <c r="C8" s="11" t="s">
        <v>65</v>
      </c>
      <c r="D8" t="s">
        <v>68</v>
      </c>
      <c r="E8" t="s">
        <v>69</v>
      </c>
      <c r="F8" s="4">
        <f>'GHG detailed, results per kg'!G16</f>
        <v>30.653247705549802</v>
      </c>
      <c r="G8" s="9">
        <f>'GHG detailed, results per kg'!G12</f>
        <v>4.2563773996390868</v>
      </c>
      <c r="H8">
        <f>'GHG detailed, results per kg'!G13</f>
        <v>0</v>
      </c>
      <c r="I8" s="23">
        <f>'GHG detailed, results per kg'!G14</f>
        <v>0.67564199543455694</v>
      </c>
      <c r="J8" s="23">
        <f>'GHG detailed, results per kg'!G15</f>
        <v>2.9870096810174645E-2</v>
      </c>
      <c r="L8" s="13">
        <f>('Shares in prod syst'!$C$46*'Data from Ahlgren et al'!$K$8+'Shares in prod syst'!$C$47*'Data from Ahlgren et al'!$K$12+'Shares in prod syst'!$C$48*'Data from Ahlgren et al'!$K$20+'Shares in prod syst'!$C$49*'Data from Ahlgren et al'!$K$8)/0.7</f>
        <v>28.435204925661289</v>
      </c>
      <c r="M8" s="14">
        <v>0.48443560104374972</v>
      </c>
      <c r="N8" s="14">
        <v>3.8066570434078066E-2</v>
      </c>
      <c r="O8" s="128">
        <f>([1]Production!$C$5*'[1]Parameters, country spec'!$C$51*'[1]EFP per kg feed'!I36+([1]Production!$C$6+[1]Production!$C$7)*'[1]Parameters, country spec'!$C$52*'[1]EFP per kg feed'!I37)/[1]Production!C21</f>
        <v>73.351292484665706</v>
      </c>
      <c r="P8" s="16">
        <v>1.7710491350858</v>
      </c>
      <c r="Q8" s="16">
        <v>1.4163738183306307E-8</v>
      </c>
      <c r="R8" s="13">
        <v>0.21144095981787578</v>
      </c>
      <c r="S8" s="8"/>
      <c r="T8" s="3">
        <f>'Shares in prod syst'!C55</f>
        <v>1.5018661581165032E-2</v>
      </c>
      <c r="U8">
        <v>38.1</v>
      </c>
    </row>
    <row r="9" spans="1:21">
      <c r="A9" s="10">
        <v>21111.02</v>
      </c>
      <c r="B9" s="10" t="s">
        <v>64</v>
      </c>
      <c r="C9" s="11" t="s">
        <v>65</v>
      </c>
      <c r="D9" t="s">
        <v>70</v>
      </c>
      <c r="E9" t="s">
        <v>71</v>
      </c>
      <c r="F9" s="4">
        <f>'GHG detailed, results per kg'!G21</f>
        <v>27.640824918101107</v>
      </c>
      <c r="G9" s="9">
        <f>'GHG detailed, results per kg'!G17</f>
        <v>3.8638939587592946</v>
      </c>
      <c r="H9">
        <f>'GHG detailed, results per kg'!G18</f>
        <v>0</v>
      </c>
      <c r="I9" s="23">
        <f>'GHG detailed, results per kg'!G19</f>
        <v>0.60987052903666927</v>
      </c>
      <c r="J9" s="23">
        <f>'GHG detailed, results per kg'!G20</f>
        <v>2.6778119689933117E-2</v>
      </c>
      <c r="L9" s="13">
        <f>('Shares in prod syst'!$D$46*'Data from Ahlgren et al'!$K$8+'Shares in prod syst'!$D$47*'Data from Ahlgren et al'!$K$12+'Shares in prod syst'!$D$48*'Data from Ahlgren et al'!$K$20+'Shares in prod syst'!$D$49*'Data from Ahlgren et al'!$K$8)/0.7</f>
        <v>25.551046826842303</v>
      </c>
      <c r="M9" s="14">
        <v>0.39972858964409919</v>
      </c>
      <c r="N9" s="14">
        <v>1.9914925389803301E-2</v>
      </c>
      <c r="O9" s="128">
        <f>([1]Production!$D$5*'[1]Parameters, country spec'!$D$51*'[1]EFP per kg feed'!I52+([1]Production!$D$6+[1]Production!$D$7)*'[1]Parameters, country spec'!$D$52*'[1]EFP per kg feed'!I53)/[1]Production!$D$21</f>
        <v>20.817881845628552</v>
      </c>
      <c r="P9" s="16">
        <v>1.0667983860365213</v>
      </c>
      <c r="Q9" s="16">
        <v>2.1447671045261058E-9</v>
      </c>
      <c r="R9" s="13">
        <v>0.23798811313421631</v>
      </c>
      <c r="S9" s="8"/>
      <c r="T9" s="3">
        <f>'Shares in prod syst'!D55</f>
        <v>1.5002947798242286E-2</v>
      </c>
      <c r="U9">
        <v>50.4</v>
      </c>
    </row>
    <row r="10" spans="1:21">
      <c r="A10" s="10">
        <v>21111.02</v>
      </c>
      <c r="B10" s="10" t="s">
        <v>64</v>
      </c>
      <c r="C10" s="11" t="s">
        <v>65</v>
      </c>
      <c r="D10" t="s">
        <v>72</v>
      </c>
      <c r="E10" t="s">
        <v>73</v>
      </c>
      <c r="F10" s="4">
        <f>'GHG detailed, results per kg'!G26</f>
        <v>32.102287254569831</v>
      </c>
      <c r="G10" s="9">
        <f>'GHG detailed, results per kg'!G22</f>
        <v>4.3652178293194623</v>
      </c>
      <c r="H10">
        <f>'GHG detailed, results per kg'!G23</f>
        <v>0</v>
      </c>
      <c r="I10" s="23">
        <f>'GHG detailed, results per kg'!G24</f>
        <v>0.71556993341835229</v>
      </c>
      <c r="J10" s="23">
        <f>'GHG detailed, results per kg'!G25</f>
        <v>3.0830334150017766E-2</v>
      </c>
      <c r="L10" s="13">
        <f>('Shares in prod syst'!$E$46*'Data from Ahlgren et al'!$K$8+'Shares in prod syst'!$E$47*'Data from Ahlgren et al'!$K$12+'Shares in prod syst'!$E$48*'Data from Ahlgren et al'!$K$20+'Shares in prod syst'!$E$49*'Data from Ahlgren et al'!$K$8)/0.7</f>
        <v>28.761704844392785</v>
      </c>
      <c r="M10" s="14">
        <v>0.77038120002619304</v>
      </c>
      <c r="N10" s="14">
        <v>8.6791142342629052E-2</v>
      </c>
      <c r="O10" s="128">
        <f>([1]Production!$E$5*'[1]Parameters, country spec'!$E$51*'[1]EFP per kg feed'!I68+([1]Production!$E$6+[1]Production!$E$7)*'[1]Parameters, country spec'!$E$52*'[1]EFP per kg feed'!I69)/[1]Production!$E$21</f>
        <v>171.276358031798</v>
      </c>
      <c r="P10" s="16">
        <v>2.1588876378323825</v>
      </c>
      <c r="Q10" s="16">
        <v>1.8194035086133504E-7</v>
      </c>
      <c r="R10" s="13">
        <v>0.25261273010310781</v>
      </c>
      <c r="S10" s="8"/>
      <c r="T10" s="3">
        <f>'Shares in prod syst'!E55</f>
        <v>1.7647318325110236E-2</v>
      </c>
      <c r="U10">
        <v>111.7</v>
      </c>
    </row>
    <row r="11" spans="1:21">
      <c r="A11" s="10">
        <v>21111.02</v>
      </c>
      <c r="B11" s="10" t="s">
        <v>64</v>
      </c>
      <c r="C11" s="11" t="s">
        <v>65</v>
      </c>
      <c r="D11" t="s">
        <v>74</v>
      </c>
      <c r="E11" t="s">
        <v>75</v>
      </c>
      <c r="F11" s="4">
        <f>'GHG detailed, results per kg'!G31</f>
        <v>27.457043848863893</v>
      </c>
      <c r="G11" s="9">
        <f>'GHG detailed, results per kg'!G27</f>
        <v>3.9270738113064345</v>
      </c>
      <c r="H11">
        <f>'GHG detailed, results per kg'!G28</f>
        <v>0</v>
      </c>
      <c r="I11" s="23">
        <f>'GHG detailed, results per kg'!G29</f>
        <v>0.59951947786835236</v>
      </c>
      <c r="J11" s="23">
        <f>'GHG detailed, results per kg'!G30</f>
        <v>2.689723126414632E-2</v>
      </c>
      <c r="L11" s="13">
        <f>('Shares in prod syst'!$F$46*'Data from Ahlgren et al'!$K$8+'Shares in prod syst'!$F$47*'Data from Ahlgren et al'!$K$12+'Shares in prod syst'!$F$48*'Data from Ahlgren et al'!$K$20+'Shares in prod syst'!$F$49*'Data from Ahlgren et al'!$K$8)/0.7</f>
        <v>27.758651361288422</v>
      </c>
      <c r="M11" s="14">
        <v>0.78493394557296459</v>
      </c>
      <c r="N11" s="14">
        <v>6.3892939025037149E-2</v>
      </c>
      <c r="O11" s="128">
        <f>([1]Production!$F$5*'[1]Parameters, country spec'!$F$51*'[1]EFP per kg feed'!I84+([1]Production!$F$6+[1]Production!$F$7)*'[1]Parameters, country spec'!$F$52*'[1]EFP per kg feed'!I85)/[1]Production!$F$21</f>
        <v>6.4058135210105229</v>
      </c>
      <c r="P11" s="16">
        <v>2.5117464442122599</v>
      </c>
      <c r="Q11" s="16">
        <v>4.6190020231008497E-9</v>
      </c>
      <c r="R11" s="13">
        <v>0.25604649649897193</v>
      </c>
      <c r="S11" s="8"/>
      <c r="T11" s="3">
        <f>'Shares in prod syst'!F55</f>
        <v>1.633790554339612E-2</v>
      </c>
      <c r="U11">
        <v>102.5</v>
      </c>
    </row>
    <row r="12" spans="1:21">
      <c r="A12" s="10">
        <v>21111.02</v>
      </c>
      <c r="B12" s="10" t="s">
        <v>64</v>
      </c>
      <c r="C12" s="11" t="s">
        <v>65</v>
      </c>
      <c r="D12" t="s">
        <v>76</v>
      </c>
      <c r="E12" t="s">
        <v>77</v>
      </c>
      <c r="F12" s="4">
        <f>'GHG detailed, results per kg'!G36</f>
        <v>32.478388061822656</v>
      </c>
      <c r="G12" s="9">
        <f>'GHG detailed, results per kg'!G32</f>
        <v>4.3879948185099291</v>
      </c>
      <c r="H12">
        <f>'GHG detailed, results per kg'!G33</f>
        <v>0</v>
      </c>
      <c r="I12" s="23">
        <f>'GHG detailed, results per kg'!G34</f>
        <v>0.72321563928570531</v>
      </c>
      <c r="J12" s="23">
        <f>'GHG detailed, results per kg'!G35</f>
        <v>3.1368391877650871E-2</v>
      </c>
      <c r="L12" s="13">
        <f>('Shares in prod syst'!$G$46*'Data from Ahlgren et al'!$K$8+'Shares in prod syst'!$G$47*'Data from Ahlgren et al'!$K$12+'Shares in prod syst'!$G$48*'Data from Ahlgren et al'!$K$20+'Shares in prod syst'!$G$49*'Data from Ahlgren et al'!$K$8)/0.7</f>
        <v>27.277828272577796</v>
      </c>
      <c r="M12" s="14">
        <v>0.59205666279449232</v>
      </c>
      <c r="N12" s="14">
        <v>3.6357790069827034E-2</v>
      </c>
      <c r="O12" s="128">
        <f>([1]Production!$G$5*'[1]Parameters, country spec'!$G$51*'[1]EFP per kg feed'!I100+([1]Production!$G$6+[1]Production!$G$7)*'[1]Parameters, country spec'!$G$52*'[1]EFP per kg feed'!I101)/[1]Production!$G$21</f>
        <v>10.484319006922002</v>
      </c>
      <c r="P12" s="16">
        <v>3.1877281917365075</v>
      </c>
      <c r="Q12" s="16">
        <v>1.4763207687658534E-9</v>
      </c>
      <c r="R12" s="13">
        <v>0.21090107057974303</v>
      </c>
      <c r="S12" s="8"/>
      <c r="T12" s="3">
        <f>'Shares in prod syst'!G55</f>
        <v>1.3176995477091733E-2</v>
      </c>
      <c r="U12">
        <v>40.6</v>
      </c>
    </row>
    <row r="13" spans="1:21">
      <c r="A13" s="10">
        <v>21111.02</v>
      </c>
      <c r="B13" s="10" t="s">
        <v>64</v>
      </c>
      <c r="C13" s="11" t="s">
        <v>65</v>
      </c>
      <c r="D13" t="s">
        <v>78</v>
      </c>
      <c r="E13" t="s">
        <v>79</v>
      </c>
      <c r="F13" s="4">
        <f>'GHG detailed, results per kg'!G41</f>
        <v>28.042385446716168</v>
      </c>
      <c r="G13" s="9">
        <f>'GHG detailed, results per kg'!G37</f>
        <v>3.9003356994590241</v>
      </c>
      <c r="H13">
        <f>'GHG detailed, results per kg'!G38</f>
        <v>0</v>
      </c>
      <c r="I13" s="23">
        <f>'GHG detailed, results per kg'!G39</f>
        <v>0.61979304334241681</v>
      </c>
      <c r="J13" s="23">
        <f>'GHG detailed, results per kg'!G40</f>
        <v>2.7134203578798123E-2</v>
      </c>
      <c r="L13" s="13">
        <f>('Shares in prod syst'!$H$46*'Data from Ahlgren et al'!$K$8+'Shares in prod syst'!$H$47*'Data from Ahlgren et al'!$K$12+'Shares in prod syst'!$H$48*'Data from Ahlgren et al'!$K$20+'Shares in prod syst'!$H$49*'Data from Ahlgren et al'!$K$8)/0.7</f>
        <v>25.501147164499081</v>
      </c>
      <c r="M13" s="14">
        <v>0.56074497442206395</v>
      </c>
      <c r="N13" s="14">
        <v>3.4194009003252646E-2</v>
      </c>
      <c r="O13" s="128">
        <f>([1]Production!$H$5*'[1]Parameters, country spec'!$H$51*'[1]EFP per kg feed'!I116+([1]Production!$H$6+[1]Production!$H$7)*'[1]Parameters, country spec'!$H$52*'[1]EFP per kg feed'!I117)/[1]Production!$H$21</f>
        <v>67.848745226466406</v>
      </c>
      <c r="P13" s="16">
        <v>1.9859225056638456</v>
      </c>
      <c r="Q13" s="16">
        <v>5.7557650882508996E-8</v>
      </c>
      <c r="R13" s="13">
        <v>0.33933505905984529</v>
      </c>
      <c r="S13" s="8"/>
      <c r="T13" s="3">
        <f>'Shares in prod syst'!H55</f>
        <v>1.8516203595168479E-2</v>
      </c>
      <c r="U13">
        <v>129.1</v>
      </c>
    </row>
    <row r="14" spans="1:21">
      <c r="A14" s="10">
        <v>21111.02</v>
      </c>
      <c r="B14" s="10" t="s">
        <v>64</v>
      </c>
      <c r="C14" s="11" t="s">
        <v>65</v>
      </c>
      <c r="D14" t="s">
        <v>80</v>
      </c>
      <c r="E14" t="s">
        <v>81</v>
      </c>
      <c r="F14" s="4">
        <f>'GHG detailed, results per kg'!G46</f>
        <v>20.197474813524298</v>
      </c>
      <c r="G14" s="9">
        <f>'GHG detailed, results per kg'!G42</f>
        <v>3.2080792584361504</v>
      </c>
      <c r="H14">
        <f>'GHG detailed, results per kg'!G43</f>
        <v>0</v>
      </c>
      <c r="I14" s="23">
        <f>'GHG detailed, results per kg'!G44</f>
        <v>0.42451505676438384</v>
      </c>
      <c r="J14" s="23">
        <f>'GHG detailed, results per kg'!G45</f>
        <v>2.0247212536446103E-2</v>
      </c>
      <c r="L14" s="13">
        <f>('Shares in prod syst'!$I$46*'Data from Ahlgren et al'!$K$8+'Shares in prod syst'!$I$47*'Data from Ahlgren et al'!$K$12+'Shares in prod syst'!$I$48*'Data from Ahlgren et al'!$K$20+'Shares in prod syst'!$I$49*'Data from Ahlgren et al'!$K$8)/0.7</f>
        <v>27.014168172170972</v>
      </c>
      <c r="M14" s="14">
        <v>1.0370691274624357</v>
      </c>
      <c r="N14" s="14">
        <v>2.5728359145490723E-2</v>
      </c>
      <c r="O14" s="128">
        <f>([1]Production!$I$5*'[1]Parameters, country spec'!$I$51*'[1]EFP per kg feed'!I132+([1]Production!$I$6+[1]Production!$I$7)*'[1]Parameters, country spec'!$I$52*'[1]EFP per kg feed'!I133)/[1]Production!$I$21</f>
        <v>23.514262603754776</v>
      </c>
      <c r="P14" s="16">
        <v>2.123075167891054</v>
      </c>
      <c r="Q14" s="16">
        <v>3.6414625205494729E-9</v>
      </c>
      <c r="R14" s="13">
        <v>0.17542994254158112</v>
      </c>
      <c r="S14" s="8"/>
      <c r="T14" s="3">
        <f>'Shares in prod syst'!I55</f>
        <v>2.1441075591488175E-2</v>
      </c>
      <c r="U14">
        <v>32.1</v>
      </c>
    </row>
    <row r="15" spans="1:21">
      <c r="A15" s="10">
        <v>21111.02</v>
      </c>
      <c r="B15" s="10" t="s">
        <v>64</v>
      </c>
      <c r="C15" s="11" t="s">
        <v>65</v>
      </c>
      <c r="D15" t="s">
        <v>82</v>
      </c>
      <c r="E15" t="s">
        <v>83</v>
      </c>
      <c r="F15" s="4">
        <f>'GHG detailed, results per kg'!G51</f>
        <v>26.501178330680219</v>
      </c>
      <c r="G15" s="9">
        <f>'GHG detailed, results per kg'!G47</f>
        <v>3.6958258601876843</v>
      </c>
      <c r="H15">
        <f>'GHG detailed, results per kg'!G38</f>
        <v>0</v>
      </c>
      <c r="I15" s="23">
        <f>'GHG detailed, results per kg'!G49</f>
        <v>0.58641304162707009</v>
      </c>
      <c r="J15" s="23">
        <f>'GHG detailed, results per kg'!G50</f>
        <v>2.5539195408650687E-2</v>
      </c>
      <c r="L15" s="13">
        <f>('Shares in prod syst'!$J$46*'Data from Ahlgren et al'!$K$8+'Shares in prod syst'!$J$47*'Data from Ahlgren et al'!$K$12+'Shares in prod syst'!$J$48*'Data from Ahlgren et al'!$K$20+'Shares in prod syst'!$J$49*'Data from Ahlgren et al'!$K$8)/0.7</f>
        <v>23.924102471027339</v>
      </c>
      <c r="M15" s="14">
        <v>0.62792156672928578</v>
      </c>
      <c r="N15" s="14">
        <v>5.3780362873833754E-2</v>
      </c>
      <c r="O15" s="128">
        <f>([1]Production!$J$5*'[1]Parameters, country spec'!$J$51*'[1]EFP per kg feed'!I148+([1]Production!$J$6+[1]Production!$J$7)*'[1]Parameters, country spec'!$J$52*'[1]EFP per kg feed'!I149)/[1]Production!$J$21</f>
        <v>8.8326622945845372</v>
      </c>
      <c r="P15" s="16">
        <v>2.7832697093553156</v>
      </c>
      <c r="Q15" s="16">
        <v>4.3043857140316688E-9</v>
      </c>
      <c r="R15" s="13">
        <v>0.27758662239041215</v>
      </c>
      <c r="S15" s="8"/>
      <c r="T15" s="3">
        <f>'Shares in prod syst'!J55</f>
        <v>1.6488161331954999E-2</v>
      </c>
      <c r="U15">
        <v>134.69999999999999</v>
      </c>
    </row>
    <row r="16" spans="1:21">
      <c r="A16" s="10">
        <v>21111.02</v>
      </c>
      <c r="B16" s="10" t="s">
        <v>64</v>
      </c>
      <c r="C16" s="11" t="s">
        <v>65</v>
      </c>
      <c r="D16" t="s">
        <v>84</v>
      </c>
      <c r="E16" t="s">
        <v>85</v>
      </c>
      <c r="F16" s="4">
        <f>'GHG detailed, results per kg'!G56</f>
        <v>31.536945090127514</v>
      </c>
      <c r="G16" s="9">
        <f>'GHG detailed, results per kg'!G52</f>
        <v>4.3646161206423812</v>
      </c>
      <c r="H16">
        <f>'GHG detailed, results per kg'!G53</f>
        <v>0</v>
      </c>
      <c r="I16" s="23">
        <f>'GHG detailed, results per kg'!G54</f>
        <v>0.69543787426126324</v>
      </c>
      <c r="J16" s="23">
        <f>'GHG detailed, results per kg'!G55</f>
        <v>3.0752770565681389E-2</v>
      </c>
      <c r="L16" s="13">
        <f>('Shares in prod syst'!$K$46*'Data from Ahlgren et al'!$K$8+'Shares in prod syst'!$K$47*'Data from Ahlgren et al'!$K$12+'Shares in prod syst'!$K$48*'Data from Ahlgren et al'!$K$20+'Shares in prod syst'!$K$49*'Data from Ahlgren et al'!$K$8)/0.7</f>
        <v>29.092594655479552</v>
      </c>
      <c r="M16" s="14">
        <v>0.69861559521319794</v>
      </c>
      <c r="N16" s="14">
        <v>6.6744879646670086E-2</v>
      </c>
      <c r="O16" s="128">
        <f>([1]Production!$K$5*'[1]Parameters, country spec'!$K$51*'[1]EFP per kg feed'!I164+([1]Production!$K$6+[1]Production!$K$7)*'[1]Parameters, country spec'!$K$52*'[1]EFP per kg feed'!I165)/[1]Production!$K$21</f>
        <v>176.74609023163114</v>
      </c>
      <c r="P16" s="16">
        <v>2.6239911177923059</v>
      </c>
      <c r="Q16" s="16">
        <v>1.6644677358040323E-7</v>
      </c>
      <c r="R16" s="13">
        <v>0.1814083968920272</v>
      </c>
      <c r="S16" s="8"/>
      <c r="T16" s="3">
        <f>'Shares in prod syst'!K55</f>
        <v>1.6086334205998493E-2</v>
      </c>
      <c r="U16">
        <v>95.7</v>
      </c>
    </row>
    <row r="17" spans="1:21">
      <c r="A17" s="10">
        <v>21111.02</v>
      </c>
      <c r="B17" s="10" t="s">
        <v>64</v>
      </c>
      <c r="C17" s="11" t="s">
        <v>65</v>
      </c>
      <c r="D17" s="12" t="s">
        <v>86</v>
      </c>
      <c r="E17" s="12" t="s">
        <v>87</v>
      </c>
      <c r="F17" s="4">
        <f>'GHG detailed, results per kg'!G61</f>
        <v>32.356460266703117</v>
      </c>
      <c r="G17" s="9">
        <f>'GHG detailed, results per kg'!G57</f>
        <v>4.4044399218624921</v>
      </c>
      <c r="H17">
        <f>'GHG detailed, results per kg'!G58</f>
        <v>0</v>
      </c>
      <c r="I17" s="23">
        <f>'GHG detailed, results per kg'!G59</f>
        <v>0.71820140018086598</v>
      </c>
      <c r="J17" s="23">
        <f>'GHG detailed, results per kg'!G60</f>
        <v>3.1357445201308565E-2</v>
      </c>
      <c r="K17" s="12"/>
      <c r="L17" s="13">
        <f>('Shares in prod syst'!$L$46*'Data from Ahlgren et al'!$K$8+'Shares in prod syst'!$L$47*'Data from Ahlgren et al'!$K$12+'Shares in prod syst'!$L$48*'Data from Ahlgren et al'!$K$20+'Shares in prod syst'!$L$49*'Data from Ahlgren et al'!$K$8)/0.7</f>
        <v>28.045604267107404</v>
      </c>
      <c r="M17" s="14">
        <v>0.74075572038336257</v>
      </c>
      <c r="N17" s="14">
        <v>6.084968857639165E-3</v>
      </c>
      <c r="O17" s="128">
        <f>([1]Production!$L$5*'[1]Parameters, country spec'!$L$51*'[1]EFP per kg feed'!I180+([1]Production!$L$6+[1]Production!$L$7)*'[1]Parameters, country spec'!$L$52*'[1]EFP per kg feed'!I181)/[1]Production!$L$21</f>
        <v>2.2770162243913376E-2</v>
      </c>
      <c r="P17" s="16">
        <v>1.7649507393547349E-2</v>
      </c>
      <c r="Q17" s="16">
        <v>-4.3908667682075745E-9</v>
      </c>
      <c r="R17" s="13">
        <v>0.20378096408845922</v>
      </c>
      <c r="S17" s="8"/>
      <c r="T17" s="3">
        <f>'Shares in prod syst'!L55</f>
        <v>1.1209703795600622E-2</v>
      </c>
      <c r="U17" s="14">
        <v>10.1</v>
      </c>
    </row>
    <row r="18" spans="1:21">
      <c r="A18" s="10">
        <v>21111.02</v>
      </c>
      <c r="B18" s="10" t="s">
        <v>64</v>
      </c>
      <c r="C18" s="11" t="s">
        <v>65</v>
      </c>
      <c r="D18" s="12" t="s">
        <v>88</v>
      </c>
      <c r="E18" s="12" t="s">
        <v>89</v>
      </c>
      <c r="F18" s="4">
        <f>'GHG detailed, results per kg'!G66</f>
        <v>33.581688926150413</v>
      </c>
      <c r="G18" s="9">
        <f>'GHG detailed, results per kg'!G62</f>
        <v>4.5211218137028872</v>
      </c>
      <c r="H18">
        <f>'GHG detailed, results per kg'!G63</f>
        <v>0</v>
      </c>
      <c r="I18" s="23">
        <f>'GHG detailed, results per kg'!G64</f>
        <v>0.74807710304158226</v>
      </c>
      <c r="J18" s="23">
        <f>'GHG detailed, results per kg'!G65</f>
        <v>3.2463316228295999E-2</v>
      </c>
      <c r="K18" s="12"/>
      <c r="L18" s="13">
        <f>('Shares in prod syst'!$M$46*'Data from Ahlgren et al'!$K$8+'Shares in prod syst'!$M$47*'Data from Ahlgren et al'!$K$12+'Shares in prod syst'!$M$48*'Data from Ahlgren et al'!$K$20+'Shares in prod syst'!$M$49*'Data from Ahlgren et al'!$K$8)/0.7</f>
        <v>28.043603343415391</v>
      </c>
      <c r="M18" s="14">
        <v>0.8582145919979971</v>
      </c>
      <c r="N18" s="14">
        <v>4.8203505795424442E-2</v>
      </c>
      <c r="O18" s="128">
        <f>([1]Production!$M$5*'[1]Parameters, country spec'!$M$51*'[1]EFP per kg feed'!I196+([1]Production!$M$6+[1]Production!$M$7)*'[1]Parameters, country spec'!$M$52*'[1]EFP per kg feed'!I197)/[1]Production!$M$21</f>
        <v>3.8174782781174343</v>
      </c>
      <c r="P18" s="16">
        <v>0.63437034337427955</v>
      </c>
      <c r="Q18" s="16">
        <v>3.8526631331745251E-9</v>
      </c>
      <c r="R18" s="13">
        <v>0.2049668585040933</v>
      </c>
      <c r="S18" s="8"/>
      <c r="T18" s="3">
        <f>'Shares in prod syst'!M55</f>
        <v>1.3176995477091733E-2</v>
      </c>
      <c r="U18">
        <v>29.8</v>
      </c>
    </row>
    <row r="19" spans="1:21">
      <c r="J19" s="23"/>
      <c r="M19" s="23"/>
    </row>
    <row r="20" spans="1:21">
      <c r="Q20" s="12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FDA-6C1D-4D06-8E53-A966C65AD473}">
  <sheetPr>
    <tabColor theme="9" tint="0.59999389629810485"/>
  </sheetPr>
  <dimension ref="A1:Y69"/>
  <sheetViews>
    <sheetView zoomScale="80" zoomScaleNormal="80" workbookViewId="0">
      <selection activeCell="A7" sqref="A7:C7"/>
    </sheetView>
  </sheetViews>
  <sheetFormatPr defaultRowHeight="14.45"/>
  <cols>
    <col min="1" max="1" width="8.28515625" style="15" customWidth="1"/>
    <col min="2" max="2" width="22.5703125" customWidth="1"/>
    <col min="3" max="3" width="27.28515625" customWidth="1"/>
    <col min="4" max="5" width="10.28515625" customWidth="1"/>
    <col min="6" max="6" width="7.7109375" customWidth="1"/>
    <col min="7" max="7" width="9.28515625" style="107" customWidth="1"/>
    <col min="8" max="20" width="14.7109375" customWidth="1"/>
    <col min="21" max="22" width="14.7109375" style="6" customWidth="1"/>
    <col min="23" max="24" width="14.7109375" customWidth="1"/>
  </cols>
  <sheetData>
    <row r="1" spans="1:24">
      <c r="H1" s="79" t="s">
        <v>90</v>
      </c>
    </row>
    <row r="2" spans="1:24" ht="21">
      <c r="A2" s="38" t="s">
        <v>91</v>
      </c>
      <c r="D2" s="89"/>
      <c r="H2" s="79" t="s">
        <v>92</v>
      </c>
    </row>
    <row r="3" spans="1:24">
      <c r="H3" s="79" t="s">
        <v>93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4">
      <c r="A4" s="39"/>
      <c r="B4" s="24"/>
      <c r="C4" s="24"/>
      <c r="D4" s="24"/>
      <c r="E4" s="24"/>
      <c r="F4" s="24"/>
      <c r="G4" s="108"/>
      <c r="H4" s="25"/>
      <c r="I4" s="25"/>
      <c r="J4" s="26"/>
      <c r="K4" s="26"/>
      <c r="L4" s="26"/>
      <c r="M4" s="26"/>
      <c r="N4" s="26"/>
      <c r="O4" s="26"/>
      <c r="P4" s="26"/>
      <c r="Q4" s="26"/>
      <c r="R4" s="26"/>
      <c r="S4" s="25" t="s">
        <v>94</v>
      </c>
      <c r="T4" s="25"/>
      <c r="U4" s="36"/>
      <c r="V4" s="36"/>
      <c r="W4" s="26" t="s">
        <v>95</v>
      </c>
      <c r="X4" s="26" t="s">
        <v>96</v>
      </c>
    </row>
    <row r="5" spans="1:24">
      <c r="A5" s="40" t="s">
        <v>35</v>
      </c>
      <c r="B5" s="22"/>
      <c r="C5" s="22"/>
      <c r="D5" s="28"/>
      <c r="E5" s="28"/>
      <c r="F5" s="29"/>
      <c r="G5" s="109" t="s">
        <v>97</v>
      </c>
      <c r="H5" s="30" t="s">
        <v>98</v>
      </c>
      <c r="I5" s="31"/>
      <c r="J5" s="30" t="s">
        <v>99</v>
      </c>
      <c r="K5" s="32"/>
      <c r="L5" s="33" t="s">
        <v>100</v>
      </c>
      <c r="M5" s="32"/>
      <c r="N5" s="32"/>
      <c r="O5" s="32"/>
      <c r="P5" s="33" t="s">
        <v>101</v>
      </c>
      <c r="Q5" s="33" t="s">
        <v>102</v>
      </c>
      <c r="R5" s="33" t="s">
        <v>103</v>
      </c>
      <c r="S5" s="34"/>
      <c r="T5" s="34"/>
      <c r="U5" s="37"/>
      <c r="V5" s="37"/>
      <c r="W5" s="35"/>
      <c r="X5" s="35"/>
    </row>
    <row r="6" spans="1:24" ht="43.15">
      <c r="A6" s="42" t="s">
        <v>104</v>
      </c>
      <c r="B6" s="41" t="s">
        <v>105</v>
      </c>
      <c r="C6" s="41" t="s">
        <v>106</v>
      </c>
      <c r="D6" s="43" t="s">
        <v>47</v>
      </c>
      <c r="E6" s="44" t="s">
        <v>48</v>
      </c>
      <c r="F6" s="43" t="s">
        <v>107</v>
      </c>
      <c r="G6" s="110" t="s">
        <v>108</v>
      </c>
      <c r="H6" s="27" t="s">
        <v>109</v>
      </c>
      <c r="I6" s="27" t="s">
        <v>110</v>
      </c>
      <c r="J6" s="27" t="s">
        <v>111</v>
      </c>
      <c r="K6" s="27" t="s">
        <v>112</v>
      </c>
      <c r="L6" s="27" t="s">
        <v>113</v>
      </c>
      <c r="M6" s="27" t="s">
        <v>114</v>
      </c>
      <c r="N6" s="27" t="s">
        <v>115</v>
      </c>
      <c r="O6" s="27" t="s">
        <v>116</v>
      </c>
      <c r="P6" s="27" t="s">
        <v>117</v>
      </c>
      <c r="Q6" s="27" t="s">
        <v>102</v>
      </c>
      <c r="R6" s="27" t="s">
        <v>118</v>
      </c>
      <c r="S6" s="44" t="s">
        <v>119</v>
      </c>
      <c r="T6" s="44" t="s">
        <v>120</v>
      </c>
      <c r="U6" s="45" t="s">
        <v>121</v>
      </c>
      <c r="V6" s="45" t="s">
        <v>122</v>
      </c>
      <c r="W6" s="27" t="s">
        <v>123</v>
      </c>
      <c r="X6" s="27" t="s">
        <v>124</v>
      </c>
    </row>
    <row r="7" spans="1:24">
      <c r="A7" s="73" t="s">
        <v>125</v>
      </c>
      <c r="B7" s="73" t="s">
        <v>126</v>
      </c>
      <c r="C7" s="74" t="s">
        <v>127</v>
      </c>
      <c r="D7" s="67" t="s">
        <v>128</v>
      </c>
      <c r="E7" s="67" t="s">
        <v>67</v>
      </c>
      <c r="F7" s="75" t="s">
        <v>129</v>
      </c>
      <c r="G7" s="111">
        <f>SUM(H7:X7)</f>
        <v>3.6306622889634594</v>
      </c>
      <c r="H7" s="112">
        <f>'GHG detailed, results per kg CW'!H7/Meat_yield</f>
        <v>0.64063350896926474</v>
      </c>
      <c r="I7" s="112">
        <f>'GHG detailed, results per kg CW'!I7/Meat_yield</f>
        <v>0</v>
      </c>
      <c r="J7" s="112">
        <f>'GHG detailed, results per kg CW'!J7/Meat_yield</f>
        <v>0</v>
      </c>
      <c r="K7" s="112">
        <f>'GHG detailed, results per kg CW'!K7/Meat_yield</f>
        <v>0</v>
      </c>
      <c r="L7" s="112">
        <f>'GHG detailed, results per kg CW'!L7/Meat_yield</f>
        <v>0.76876021076311751</v>
      </c>
      <c r="M7" s="112">
        <f>'GHG detailed, results per kg CW'!M7/Meat_yield</f>
        <v>0</v>
      </c>
      <c r="N7" s="112">
        <f>'GHG detailed, results per kg CW'!N7/Meat_yield</f>
        <v>0</v>
      </c>
      <c r="O7" s="112">
        <f>'GHG detailed, results per kg CW'!O7/Meat_yield</f>
        <v>0</v>
      </c>
      <c r="P7" s="112">
        <f>'GHG detailed, results per kg CW'!P7/Meat_yield</f>
        <v>0</v>
      </c>
      <c r="Q7" s="112">
        <v>0</v>
      </c>
      <c r="R7" s="112">
        <f>'GHG detailed, results per kg CW'!Q7/Meat_yield</f>
        <v>1.0230474763413804</v>
      </c>
      <c r="S7" s="112">
        <f>'GHG detailed, results per kg CW'!R7/Meat_yield</f>
        <v>0</v>
      </c>
      <c r="T7" s="112">
        <f>'GHG detailed, results per kg CW'!S7/Meat_yield</f>
        <v>0</v>
      </c>
      <c r="U7" s="112">
        <f>'GHG detailed, results per kg CW'!T7/Meat_yield</f>
        <v>0</v>
      </c>
      <c r="V7" s="112">
        <f>'GHG detailed, results per kg CW'!U7/Meat_yield</f>
        <v>0</v>
      </c>
      <c r="W7" s="112">
        <f>'GHG detailed, results per kg CW'!V7/Meat_yield</f>
        <v>0.51250680717541164</v>
      </c>
      <c r="X7" s="112">
        <f>'GHG detailed, results per kg CW'!W7/Meat_yield</f>
        <v>0.68571428571428561</v>
      </c>
    </row>
    <row r="8" spans="1:24">
      <c r="A8" s="10" t="s">
        <v>125</v>
      </c>
      <c r="B8" s="10" t="s">
        <v>126</v>
      </c>
      <c r="C8" s="11" t="s">
        <v>127</v>
      </c>
      <c r="D8" s="12" t="s">
        <v>128</v>
      </c>
      <c r="E8" s="12" t="s">
        <v>67</v>
      </c>
      <c r="F8" s="10" t="s">
        <v>130</v>
      </c>
      <c r="G8" s="113">
        <f>SUM(H8:X8)</f>
        <v>0</v>
      </c>
      <c r="H8" s="14">
        <f>'GHG detailed, results per kg CW'!H8/Meat_yield</f>
        <v>0</v>
      </c>
      <c r="I8" s="14">
        <f>'GHG detailed, results per kg CW'!I8/Meat_yield</f>
        <v>0</v>
      </c>
      <c r="J8" s="14">
        <f>'GHG detailed, results per kg CW'!J8/Meat_yield</f>
        <v>0</v>
      </c>
      <c r="K8" s="14">
        <f>'GHG detailed, results per kg CW'!K8/Meat_yield</f>
        <v>0</v>
      </c>
      <c r="L8" s="14">
        <f>'GHG detailed, results per kg CW'!L8/Meat_yield</f>
        <v>0</v>
      </c>
      <c r="M8" s="14">
        <f>'GHG detailed, results per kg CW'!M8/Meat_yield</f>
        <v>0</v>
      </c>
      <c r="N8" s="14">
        <f>'GHG detailed, results per kg CW'!N8/Meat_yield</f>
        <v>0</v>
      </c>
      <c r="O8" s="14">
        <f>'GHG detailed, results per kg CW'!O8/Meat_yield</f>
        <v>0</v>
      </c>
      <c r="P8" s="14">
        <f>'GHG detailed, results per kg CW'!P8/Meat_yield</f>
        <v>0</v>
      </c>
      <c r="Q8" s="14">
        <v>0</v>
      </c>
      <c r="R8" s="14">
        <f>'GHG detailed, results per kg CW'!Q8/Meat_yield</f>
        <v>0</v>
      </c>
      <c r="S8" s="14">
        <f>'GHG detailed, results per kg CW'!R8/Meat_yield</f>
        <v>0</v>
      </c>
      <c r="T8" s="14">
        <f>'GHG detailed, results per kg CW'!S8/Meat_yield</f>
        <v>0</v>
      </c>
      <c r="U8" s="14">
        <f>'GHG detailed, results per kg CW'!T8/Meat_yield</f>
        <v>0</v>
      </c>
      <c r="V8" s="14">
        <f>'GHG detailed, results per kg CW'!U8/Meat_yield</f>
        <v>0</v>
      </c>
      <c r="W8" s="14">
        <f>'GHG detailed, results per kg CW'!V8/Meat_yield</f>
        <v>0</v>
      </c>
      <c r="X8" s="14">
        <f>'GHG detailed, results per kg CW'!W8/Meat_yield</f>
        <v>0</v>
      </c>
    </row>
    <row r="9" spans="1:24">
      <c r="A9" s="10" t="s">
        <v>125</v>
      </c>
      <c r="B9" s="10" t="s">
        <v>126</v>
      </c>
      <c r="C9" s="11" t="s">
        <v>127</v>
      </c>
      <c r="D9" s="12" t="s">
        <v>128</v>
      </c>
      <c r="E9" s="12" t="s">
        <v>67</v>
      </c>
      <c r="F9" s="10" t="s">
        <v>131</v>
      </c>
      <c r="G9" s="113">
        <f>SUM(H9:T9)+SUM(W9:X9)</f>
        <v>0.5282212063584123</v>
      </c>
      <c r="H9" s="14">
        <f>'GHG detailed, results per kg CW'!H9/Meat_yield</f>
        <v>0</v>
      </c>
      <c r="I9" s="14">
        <f>'GHG detailed, results per kg CW'!I9/Meat_yield</f>
        <v>0</v>
      </c>
      <c r="J9" s="14">
        <f>'GHG detailed, results per kg CW'!J9/Meat_yield</f>
        <v>0</v>
      </c>
      <c r="K9" s="14">
        <f>'GHG detailed, results per kg CW'!K9/Meat_yield</f>
        <v>0</v>
      </c>
      <c r="L9" s="14">
        <f>'GHG detailed, results per kg CW'!L9/Meat_yield</f>
        <v>0</v>
      </c>
      <c r="M9" s="14">
        <f>'GHG detailed, results per kg CW'!M9/Meat_yield</f>
        <v>0</v>
      </c>
      <c r="N9" s="14">
        <f>'GHG detailed, results per kg CW'!N9/Meat_yield</f>
        <v>0</v>
      </c>
      <c r="O9" s="14">
        <f>'GHG detailed, results per kg CW'!O9/Meat_yield</f>
        <v>0</v>
      </c>
      <c r="P9" s="14">
        <f>'GHG detailed, results per kg CW'!P9/Meat_yield</f>
        <v>0</v>
      </c>
      <c r="Q9" s="14">
        <v>0</v>
      </c>
      <c r="R9" s="14">
        <f>'GHG detailed, results per kg CW'!Q9/Meat_yield</f>
        <v>0</v>
      </c>
      <c r="S9" s="14">
        <f>'GHG detailed, results per kg CW'!R9/Meat_yield</f>
        <v>0.42063228594043794</v>
      </c>
      <c r="T9" s="14">
        <f>'GHG detailed, results per kg CW'!S9/Meat_yield</f>
        <v>0.10758892041797435</v>
      </c>
      <c r="U9" s="14">
        <f>'GHG detailed, results per kg CW'!T9/Meat_yield</f>
        <v>0</v>
      </c>
      <c r="V9" s="14">
        <f>'GHG detailed, results per kg CW'!U9/Meat_yield</f>
        <v>0</v>
      </c>
      <c r="W9" s="14">
        <f>'GHG detailed, results per kg CW'!V9/Meat_yield</f>
        <v>0</v>
      </c>
      <c r="X9" s="14">
        <f>'GHG detailed, results per kg CW'!W9/Meat_yield</f>
        <v>0</v>
      </c>
    </row>
    <row r="10" spans="1:24" ht="15" thickBot="1">
      <c r="A10" s="10" t="s">
        <v>125</v>
      </c>
      <c r="B10" s="10" t="s">
        <v>126</v>
      </c>
      <c r="C10" s="11" t="s">
        <v>127</v>
      </c>
      <c r="D10" s="12" t="s">
        <v>128</v>
      </c>
      <c r="E10" s="12" t="s">
        <v>67</v>
      </c>
      <c r="F10" s="17" t="s">
        <v>132</v>
      </c>
      <c r="G10" s="113">
        <f>SUM(H10:T10)+SUM(W10:X10)</f>
        <v>2.4171053036316555E-2</v>
      </c>
      <c r="H10" s="14">
        <f>'GHG detailed, results per kg CW'!H10/Meat_yield</f>
        <v>2.3466428899973067E-3</v>
      </c>
      <c r="I10" s="14">
        <f>'GHG detailed, results per kg CW'!I10/Meat_yield</f>
        <v>0</v>
      </c>
      <c r="J10" s="14">
        <f>'GHG detailed, results per kg CW'!J10/Meat_yield</f>
        <v>1.0167043352180645E-2</v>
      </c>
      <c r="K10" s="14">
        <f>'GHG detailed, results per kg CW'!K10/Meat_yield</f>
        <v>1.0167043352180645E-3</v>
      </c>
      <c r="L10" s="14">
        <f>'GHG detailed, results per kg CW'!L10/Meat_yield</f>
        <v>0</v>
      </c>
      <c r="M10" s="14">
        <f>'GHG detailed, results per kg CW'!M10/Meat_yield</f>
        <v>0</v>
      </c>
      <c r="N10" s="14">
        <f>'GHG detailed, results per kg CW'!N10/Meat_yield</f>
        <v>0</v>
      </c>
      <c r="O10" s="14">
        <f>'GHG detailed, results per kg CW'!O10/Meat_yield</f>
        <v>0</v>
      </c>
      <c r="P10" s="14">
        <f>'GHG detailed, results per kg CW'!P10/Meat_yield</f>
        <v>0</v>
      </c>
      <c r="Q10" s="14">
        <v>0</v>
      </c>
      <c r="R10" s="14">
        <f>'GHG detailed, results per kg CW'!Q10/Meat_yield</f>
        <v>0</v>
      </c>
      <c r="S10" s="14">
        <f>'GHG detailed, results per kg CW'!R10/Meat_yield</f>
        <v>0</v>
      </c>
      <c r="T10" s="14">
        <f>'GHG detailed, results per kg CW'!S10/Meat_yield</f>
        <v>1.0640662458920539E-2</v>
      </c>
      <c r="U10" s="14">
        <f>'GHG detailed, results per kg CW'!T10/Meat_yield</f>
        <v>0</v>
      </c>
      <c r="V10" s="14">
        <f>'GHG detailed, results per kg CW'!U10/Meat_yield</f>
        <v>0</v>
      </c>
      <c r="W10" s="14">
        <f>'GHG detailed, results per kg CW'!V10/Meat_yield</f>
        <v>0</v>
      </c>
      <c r="X10" s="14">
        <f>'GHG detailed, results per kg CW'!W10/Meat_yield</f>
        <v>0</v>
      </c>
    </row>
    <row r="11" spans="1:24" ht="15" thickTop="1">
      <c r="A11" s="69" t="s">
        <v>125</v>
      </c>
      <c r="B11" s="69" t="s">
        <v>126</v>
      </c>
      <c r="C11" s="70" t="s">
        <v>127</v>
      </c>
      <c r="D11" s="71" t="s">
        <v>128</v>
      </c>
      <c r="E11" s="71" t="s">
        <v>67</v>
      </c>
      <c r="F11" s="72" t="s">
        <v>133</v>
      </c>
      <c r="G11" s="114">
        <f>SUM(H11:X11)</f>
        <v>24.491332339555012</v>
      </c>
      <c r="H11" s="115">
        <f>SUMPRODUCT(H7:H10,'CF Climate'!$B$5:$B$8)</f>
        <v>1.2812670179385295</v>
      </c>
      <c r="I11" s="116">
        <f>SUMPRODUCT(I7:I10,'CF Climate'!$B$5:$B$8)</f>
        <v>0</v>
      </c>
      <c r="J11" s="116">
        <f>SUMPRODUCT(J7:J10,'CF Climate'!$B$5:$B$8)</f>
        <v>2.7756028351453161</v>
      </c>
      <c r="K11" s="116">
        <f>SUMPRODUCT(K7:K10,'CF Climate'!$B$5:$B$8)</f>
        <v>0.2775602835145316</v>
      </c>
      <c r="L11" s="116">
        <f>SUMPRODUCT(L7:L10,'CF Climate'!$B$5:$B$8)</f>
        <v>0.76876021076311751</v>
      </c>
      <c r="M11" s="116">
        <f>SUMPRODUCT(M7:M10,'CF Climate'!$B$5:$B$8)</f>
        <v>0</v>
      </c>
      <c r="N11" s="116">
        <f>SUMPRODUCT(N7:N10,'CF Climate'!$B$5:$B$8)</f>
        <v>0</v>
      </c>
      <c r="O11" s="116">
        <f>SUMPRODUCT(O7:O10,'CF Climate'!$B$5:$B$8)</f>
        <v>0</v>
      </c>
      <c r="P11" s="116">
        <f>SUMPRODUCT(P7:P10,'CF Climate'!$B$5:$B$8)</f>
        <v>0</v>
      </c>
      <c r="Q11" s="116">
        <v>0</v>
      </c>
      <c r="R11" s="116">
        <f>SUMPRODUCT(R7:R10,'CF Climate'!$B$5:$B$8)</f>
        <v>1.0230474763413804</v>
      </c>
      <c r="S11" s="116">
        <f>SUMPRODUCT(S7:S10,'CF Climate'!$B$5:$B$8)</f>
        <v>11.357071720391824</v>
      </c>
      <c r="T11" s="116">
        <f>SUMPRODUCT(T7:T10,'CF Climate'!$B$5:$B$8)</f>
        <v>5.8098017025706152</v>
      </c>
      <c r="U11" s="116">
        <f>SUMPRODUCT(U7:U10,'CF Climate'!$B$5:$B$8)</f>
        <v>0</v>
      </c>
      <c r="V11" s="116">
        <f>SUMPRODUCT(V7:V10,'CF Climate'!$B$5:$B$8)</f>
        <v>0</v>
      </c>
      <c r="W11" s="116">
        <f>SUMPRODUCT(W7:W10,'CF Climate'!$B$5:$B$8)</f>
        <v>0.51250680717541164</v>
      </c>
      <c r="X11" s="116">
        <f>SUMPRODUCT(X7:X10,'CF Climate'!$B$5:$B$8)</f>
        <v>0.68571428571428561</v>
      </c>
    </row>
    <row r="12" spans="1:24">
      <c r="A12" s="10" t="s">
        <v>125</v>
      </c>
      <c r="B12" s="10" t="s">
        <v>126</v>
      </c>
      <c r="C12" s="11" t="s">
        <v>127</v>
      </c>
      <c r="D12" s="12" t="s">
        <v>68</v>
      </c>
      <c r="E12" s="12" t="s">
        <v>69</v>
      </c>
      <c r="F12" s="18" t="s">
        <v>129</v>
      </c>
      <c r="G12" s="111">
        <f>SUM(H12:X12)</f>
        <v>4.2563773996390868</v>
      </c>
      <c r="H12" s="112">
        <f>'GHG detailed, results per kg CW'!H12/Meat_yield</f>
        <v>0.68293422121995795</v>
      </c>
      <c r="I12" s="112">
        <f>'GHG detailed, results per kg CW'!I12/Meat_yield</f>
        <v>0</v>
      </c>
      <c r="J12" s="112">
        <f>'GHG detailed, results per kg CW'!J12/Meat_yield</f>
        <v>0</v>
      </c>
      <c r="K12" s="112">
        <f>'GHG detailed, results per kg CW'!K12/Meat_yield</f>
        <v>0</v>
      </c>
      <c r="L12" s="112">
        <f>'GHG detailed, results per kg CW'!L12/Meat_yield</f>
        <v>0.81952106546394943</v>
      </c>
      <c r="M12" s="112">
        <f>'GHG detailed, results per kg CW'!M12/Meat_yield</f>
        <v>0</v>
      </c>
      <c r="N12" s="112">
        <f>'GHG detailed, results per kg CW'!N12/Meat_yield</f>
        <v>0</v>
      </c>
      <c r="O12" s="112">
        <f>'GHG detailed, results per kg CW'!O12/Meat_yield</f>
        <v>0</v>
      </c>
      <c r="P12" s="112">
        <f>'GHG detailed, results per kg CW'!P12/Meat_yield</f>
        <v>0</v>
      </c>
      <c r="Q12" s="112">
        <v>0</v>
      </c>
      <c r="R12" s="112">
        <f>'GHG detailed, results per kg CW'!Q12/Meat_yield</f>
        <v>1.5218604502649276</v>
      </c>
      <c r="S12" s="112">
        <f>'GHG detailed, results per kg CW'!R12/Meat_yield</f>
        <v>0</v>
      </c>
      <c r="T12" s="112">
        <f>'GHG detailed, results per kg CW'!S12/Meat_yield</f>
        <v>0</v>
      </c>
      <c r="U12" s="112">
        <f>'GHG detailed, results per kg CW'!T12/Meat_yield</f>
        <v>0</v>
      </c>
      <c r="V12" s="112">
        <f>'GHG detailed, results per kg CW'!U12/Meat_yield</f>
        <v>0</v>
      </c>
      <c r="W12" s="112">
        <f>'GHG detailed, results per kg CW'!V12/Meat_yield</f>
        <v>0.54634737697596625</v>
      </c>
      <c r="X12" s="112">
        <f>'GHG detailed, results per kg CW'!W12/Meat_yield</f>
        <v>0.68571428571428572</v>
      </c>
    </row>
    <row r="13" spans="1:24">
      <c r="A13" s="10" t="s">
        <v>125</v>
      </c>
      <c r="B13" s="10" t="s">
        <v>126</v>
      </c>
      <c r="C13" s="11" t="s">
        <v>127</v>
      </c>
      <c r="D13" s="12" t="s">
        <v>68</v>
      </c>
      <c r="E13" s="12" t="s">
        <v>69</v>
      </c>
      <c r="F13" s="10" t="s">
        <v>130</v>
      </c>
      <c r="G13" s="113">
        <f>SUM(H13:X13)</f>
        <v>0</v>
      </c>
      <c r="H13" s="14">
        <f>'GHG detailed, results per kg CW'!H13/Meat_yield</f>
        <v>0</v>
      </c>
      <c r="I13" s="14">
        <f>'GHG detailed, results per kg CW'!I13/Meat_yield</f>
        <v>0</v>
      </c>
      <c r="J13" s="14">
        <f>'GHG detailed, results per kg CW'!J13/Meat_yield</f>
        <v>0</v>
      </c>
      <c r="K13" s="14">
        <f>'GHG detailed, results per kg CW'!K13/Meat_yield</f>
        <v>0</v>
      </c>
      <c r="L13" s="14">
        <f>'GHG detailed, results per kg CW'!L13/Meat_yield</f>
        <v>0</v>
      </c>
      <c r="M13" s="14">
        <f>'GHG detailed, results per kg CW'!M13/Meat_yield</f>
        <v>0</v>
      </c>
      <c r="N13" s="14">
        <f>'GHG detailed, results per kg CW'!N13/Meat_yield</f>
        <v>0</v>
      </c>
      <c r="O13" s="14">
        <f>'GHG detailed, results per kg CW'!O13/Meat_yield</f>
        <v>0</v>
      </c>
      <c r="P13" s="14">
        <f>'GHG detailed, results per kg CW'!P13/Meat_yield</f>
        <v>0</v>
      </c>
      <c r="Q13" s="14">
        <v>0</v>
      </c>
      <c r="R13" s="14">
        <f>'GHG detailed, results per kg CW'!Q13/Meat_yield</f>
        <v>0</v>
      </c>
      <c r="S13" s="14">
        <f>'GHG detailed, results per kg CW'!R13/Meat_yield</f>
        <v>0</v>
      </c>
      <c r="T13" s="14">
        <f>'GHG detailed, results per kg CW'!S13/Meat_yield</f>
        <v>0</v>
      </c>
      <c r="U13" s="14">
        <f>'GHG detailed, results per kg CW'!T13/Meat_yield</f>
        <v>0</v>
      </c>
      <c r="V13" s="14">
        <f>'GHG detailed, results per kg CW'!U13/Meat_yield</f>
        <v>0</v>
      </c>
      <c r="W13" s="14">
        <f>'GHG detailed, results per kg CW'!V13/Meat_yield</f>
        <v>0</v>
      </c>
      <c r="X13" s="14">
        <f>'GHG detailed, results per kg CW'!W13/Meat_yield</f>
        <v>0</v>
      </c>
    </row>
    <row r="14" spans="1:24">
      <c r="A14" s="10" t="s">
        <v>125</v>
      </c>
      <c r="B14" s="10" t="s">
        <v>126</v>
      </c>
      <c r="C14" s="11" t="s">
        <v>127</v>
      </c>
      <c r="D14" s="12" t="s">
        <v>68</v>
      </c>
      <c r="E14" s="12" t="s">
        <v>69</v>
      </c>
      <c r="F14" s="10" t="s">
        <v>131</v>
      </c>
      <c r="G14" s="113">
        <f>SUM(H14:T14)+SUM(W14:X14)</f>
        <v>0.67564199543455694</v>
      </c>
      <c r="H14" s="14">
        <f>'GHG detailed, results per kg CW'!H14/Meat_yield</f>
        <v>0</v>
      </c>
      <c r="I14" s="14">
        <f>'GHG detailed, results per kg CW'!I14/Meat_yield</f>
        <v>0</v>
      </c>
      <c r="J14" s="14">
        <f>'GHG detailed, results per kg CW'!J14/Meat_yield</f>
        <v>0</v>
      </c>
      <c r="K14" s="14">
        <f>'GHG detailed, results per kg CW'!K14/Meat_yield</f>
        <v>0</v>
      </c>
      <c r="L14" s="14">
        <f>'GHG detailed, results per kg CW'!L14/Meat_yield</f>
        <v>0</v>
      </c>
      <c r="M14" s="14">
        <f>'GHG detailed, results per kg CW'!M14/Meat_yield</f>
        <v>0</v>
      </c>
      <c r="N14" s="14">
        <f>'GHG detailed, results per kg CW'!N14/Meat_yield</f>
        <v>0</v>
      </c>
      <c r="O14" s="14">
        <f>'GHG detailed, results per kg CW'!O14/Meat_yield</f>
        <v>0</v>
      </c>
      <c r="P14" s="14">
        <f>'GHG detailed, results per kg CW'!P14/Meat_yield</f>
        <v>0</v>
      </c>
      <c r="Q14" s="14">
        <v>0</v>
      </c>
      <c r="R14" s="14">
        <f>'GHG detailed, results per kg CW'!Q14/Meat_yield</f>
        <v>0</v>
      </c>
      <c r="S14" s="14">
        <f>'GHG detailed, results per kg CW'!R14/Meat_yield</f>
        <v>0.53166582324097345</v>
      </c>
      <c r="T14" s="14">
        <f>'GHG detailed, results per kg CW'!S14/Meat_yield</f>
        <v>0.14397617219358344</v>
      </c>
      <c r="U14" s="14">
        <f>'GHG detailed, results per kg CW'!T14/Meat_yield</f>
        <v>0</v>
      </c>
      <c r="V14" s="14">
        <f>'GHG detailed, results per kg CW'!U14/Meat_yield</f>
        <v>0</v>
      </c>
      <c r="W14" s="14">
        <f>'GHG detailed, results per kg CW'!V14/Meat_yield</f>
        <v>0</v>
      </c>
      <c r="X14" s="14">
        <f>'GHG detailed, results per kg CW'!W14/Meat_yield</f>
        <v>0</v>
      </c>
    </row>
    <row r="15" spans="1:24" ht="15" thickBot="1">
      <c r="A15" s="10" t="s">
        <v>125</v>
      </c>
      <c r="B15" s="10" t="s">
        <v>126</v>
      </c>
      <c r="C15" s="11" t="s">
        <v>127</v>
      </c>
      <c r="D15" s="12" t="s">
        <v>68</v>
      </c>
      <c r="E15" s="12" t="s">
        <v>69</v>
      </c>
      <c r="F15" s="17" t="s">
        <v>132</v>
      </c>
      <c r="G15" s="113">
        <f>SUM(H15:T15)+SUM(W15:X15)</f>
        <v>2.9870096810174645E-2</v>
      </c>
      <c r="H15" s="14">
        <f>'GHG detailed, results per kg CW'!H15/Meat_yield</f>
        <v>2.5015905539192596E-3</v>
      </c>
      <c r="I15" s="14">
        <f>'GHG detailed, results per kg CW'!I15/Meat_yield</f>
        <v>0</v>
      </c>
      <c r="J15" s="14">
        <f>'GHG detailed, results per kg CW'!J15/Meat_yield</f>
        <v>1.1935549646123769E-2</v>
      </c>
      <c r="K15" s="14">
        <f>'GHG detailed, results per kg CW'!K15/Meat_yield</f>
        <v>1.1935549646123771E-3</v>
      </c>
      <c r="L15" s="14">
        <f>'GHG detailed, results per kg CW'!L15/Meat_yield</f>
        <v>0</v>
      </c>
      <c r="M15" s="14">
        <f>'GHG detailed, results per kg CW'!M15/Meat_yield</f>
        <v>0</v>
      </c>
      <c r="N15" s="14">
        <f>'GHG detailed, results per kg CW'!N15/Meat_yield</f>
        <v>0</v>
      </c>
      <c r="O15" s="14">
        <f>'GHG detailed, results per kg CW'!O15/Meat_yield</f>
        <v>0</v>
      </c>
      <c r="P15" s="14">
        <f>'GHG detailed, results per kg CW'!P15/Meat_yield</f>
        <v>0</v>
      </c>
      <c r="Q15" s="14">
        <v>0</v>
      </c>
      <c r="R15" s="14">
        <f>'GHG detailed, results per kg CW'!Q15/Meat_yield</f>
        <v>0</v>
      </c>
      <c r="S15" s="14">
        <f>'GHG detailed, results per kg CW'!R15/Meat_yield</f>
        <v>0</v>
      </c>
      <c r="T15" s="14">
        <f>'GHG detailed, results per kg CW'!S15/Meat_yield</f>
        <v>1.4239401645519241E-2</v>
      </c>
      <c r="U15" s="14">
        <f>'GHG detailed, results per kg CW'!T15/Meat_yield</f>
        <v>0</v>
      </c>
      <c r="V15" s="14">
        <f>'GHG detailed, results per kg CW'!U15/Meat_yield</f>
        <v>0</v>
      </c>
      <c r="W15" s="14">
        <f>'GHG detailed, results per kg CW'!V15/Meat_yield</f>
        <v>0</v>
      </c>
      <c r="X15" s="14">
        <f>'GHG detailed, results per kg CW'!W15/Meat_yield</f>
        <v>0</v>
      </c>
    </row>
    <row r="16" spans="1:24" ht="15" thickTop="1">
      <c r="A16" s="69" t="s">
        <v>125</v>
      </c>
      <c r="B16" s="69" t="s">
        <v>126</v>
      </c>
      <c r="C16" s="70" t="s">
        <v>127</v>
      </c>
      <c r="D16" s="19" t="s">
        <v>68</v>
      </c>
      <c r="E16" s="19" t="s">
        <v>69</v>
      </c>
      <c r="F16" s="76" t="s">
        <v>133</v>
      </c>
      <c r="G16" s="114">
        <f t="shared" ref="G16:G61" si="0">SUM(H16:X16)</f>
        <v>30.653247705549802</v>
      </c>
      <c r="H16" s="117">
        <f>SUMPRODUCT(H12:H15,'CF Climate'!$B$5:$B$8)</f>
        <v>1.3658684424399157</v>
      </c>
      <c r="I16" s="118">
        <f>SUMPRODUCT(I12:I15,'CF Climate'!$B$5:$B$8)</f>
        <v>0</v>
      </c>
      <c r="J16" s="118">
        <f>SUMPRODUCT(J12:J15,'CF Climate'!$B$5:$B$8)</f>
        <v>3.258405053391789</v>
      </c>
      <c r="K16" s="118">
        <f>SUMPRODUCT(K12:K15,'CF Climate'!$B$5:$B$8)</f>
        <v>0.32584050533917891</v>
      </c>
      <c r="L16" s="118">
        <f>SUMPRODUCT(L12:L15,'CF Climate'!$B$5:$B$8)</f>
        <v>0.81952106546394943</v>
      </c>
      <c r="M16" s="118">
        <f>SUMPRODUCT(M12:M15,'CF Climate'!$B$5:$B$8)</f>
        <v>0</v>
      </c>
      <c r="N16" s="118">
        <f>SUMPRODUCT(N12:N15,'CF Climate'!$B$5:$B$8)</f>
        <v>0</v>
      </c>
      <c r="O16" s="118">
        <f>SUMPRODUCT(O12:O15,'CF Climate'!$B$5:$B$8)</f>
        <v>0</v>
      </c>
      <c r="P16" s="118">
        <f>SUMPRODUCT(P12:P15,'CF Climate'!$B$5:$B$8)</f>
        <v>0</v>
      </c>
      <c r="Q16" s="118">
        <v>0</v>
      </c>
      <c r="R16" s="118">
        <f>SUMPRODUCT(R12:R15,'CF Climate'!$B$5:$B$8)</f>
        <v>1.5218604502649276</v>
      </c>
      <c r="S16" s="118">
        <f>SUMPRODUCT(S12:S15,'CF Climate'!$B$5:$B$8)</f>
        <v>14.354977227506282</v>
      </c>
      <c r="T16" s="118">
        <f>SUMPRODUCT(T12:T15,'CF Climate'!$B$5:$B$8)</f>
        <v>7.7747132984535057</v>
      </c>
      <c r="U16" s="118">
        <f>SUMPRODUCT(U12:U15,'CF Climate'!$B$5:$B$8)</f>
        <v>0</v>
      </c>
      <c r="V16" s="118">
        <f>SUMPRODUCT(V12:V15,'CF Climate'!$B$5:$B$8)</f>
        <v>0</v>
      </c>
      <c r="W16" s="118">
        <f>SUMPRODUCT(W12:W15,'CF Climate'!$B$5:$B$8)</f>
        <v>0.54634737697596625</v>
      </c>
      <c r="X16" s="118">
        <f>SUMPRODUCT(X12:X15,'CF Climate'!$B$5:$B$8)</f>
        <v>0.68571428571428572</v>
      </c>
    </row>
    <row r="17" spans="1:24">
      <c r="A17" s="73" t="s">
        <v>125</v>
      </c>
      <c r="B17" s="73" t="s">
        <v>126</v>
      </c>
      <c r="C17" s="74" t="s">
        <v>127</v>
      </c>
      <c r="D17" s="67" t="s">
        <v>70</v>
      </c>
      <c r="E17" s="67" t="s">
        <v>71</v>
      </c>
      <c r="F17" s="75" t="s">
        <v>129</v>
      </c>
      <c r="G17" s="111">
        <f>SUM(H17:X17)</f>
        <v>3.8638939587592946</v>
      </c>
      <c r="H17" s="112">
        <f>'GHG detailed, results per kg CW'!H17/Meat_yield</f>
        <v>0.600511892833969</v>
      </c>
      <c r="I17" s="112">
        <f>'GHG detailed, results per kg CW'!I17/Meat_yield</f>
        <v>0</v>
      </c>
      <c r="J17" s="112">
        <f>'GHG detailed, results per kg CW'!J17/Meat_yield</f>
        <v>0</v>
      </c>
      <c r="K17" s="112">
        <f>'GHG detailed, results per kg CW'!K17/Meat_yield</f>
        <v>0</v>
      </c>
      <c r="L17" s="112">
        <f>'GHG detailed, results per kg CW'!L17/Meat_yield</f>
        <v>0.72061427140076295</v>
      </c>
      <c r="M17" s="112">
        <f>'GHG detailed, results per kg CW'!M17/Meat_yield</f>
        <v>0</v>
      </c>
      <c r="N17" s="112">
        <f>'GHG detailed, results per kg CW'!N17/Meat_yield</f>
        <v>0</v>
      </c>
      <c r="O17" s="112">
        <f>'GHG detailed, results per kg CW'!O17/Meat_yield</f>
        <v>0</v>
      </c>
      <c r="P17" s="112">
        <f>'GHG detailed, results per kg CW'!P17/Meat_yield</f>
        <v>0</v>
      </c>
      <c r="Q17" s="112">
        <v>0</v>
      </c>
      <c r="R17" s="112">
        <f>'GHG detailed, results per kg CW'!Q17/Meat_yield</f>
        <v>1.3766439945431015</v>
      </c>
      <c r="S17" s="112">
        <f>'GHG detailed, results per kg CW'!R17/Meat_yield</f>
        <v>0</v>
      </c>
      <c r="T17" s="112">
        <f>'GHG detailed, results per kg CW'!S17/Meat_yield</f>
        <v>0</v>
      </c>
      <c r="U17" s="112">
        <f>'GHG detailed, results per kg CW'!T17/Meat_yield</f>
        <v>0</v>
      </c>
      <c r="V17" s="112">
        <f>'GHG detailed, results per kg CW'!U17/Meat_yield</f>
        <v>0</v>
      </c>
      <c r="W17" s="112">
        <f>'GHG detailed, results per kg CW'!V17/Meat_yield</f>
        <v>0.48040951426717526</v>
      </c>
      <c r="X17" s="112">
        <f>'GHG detailed, results per kg CW'!W17/Meat_yield</f>
        <v>0.68571428571428561</v>
      </c>
    </row>
    <row r="18" spans="1:24">
      <c r="A18" s="10" t="s">
        <v>125</v>
      </c>
      <c r="B18" s="10" t="s">
        <v>126</v>
      </c>
      <c r="C18" s="11" t="s">
        <v>127</v>
      </c>
      <c r="D18" s="12" t="s">
        <v>70</v>
      </c>
      <c r="E18" s="12" t="s">
        <v>71</v>
      </c>
      <c r="F18" s="10" t="s">
        <v>130</v>
      </c>
      <c r="G18" s="113">
        <f>SUM(H18:X18)</f>
        <v>0</v>
      </c>
      <c r="H18" s="14">
        <f>'GHG detailed, results per kg CW'!H18/Meat_yield</f>
        <v>0</v>
      </c>
      <c r="I18" s="14">
        <f>'GHG detailed, results per kg CW'!I18/Meat_yield</f>
        <v>0</v>
      </c>
      <c r="J18" s="14">
        <f>'GHG detailed, results per kg CW'!J18/Meat_yield</f>
        <v>0</v>
      </c>
      <c r="K18" s="14">
        <f>'GHG detailed, results per kg CW'!K18/Meat_yield</f>
        <v>0</v>
      </c>
      <c r="L18" s="14">
        <f>'GHG detailed, results per kg CW'!L18/Meat_yield</f>
        <v>0</v>
      </c>
      <c r="M18" s="14">
        <f>'GHG detailed, results per kg CW'!M18/Meat_yield</f>
        <v>0</v>
      </c>
      <c r="N18" s="14">
        <f>'GHG detailed, results per kg CW'!N18/Meat_yield</f>
        <v>0</v>
      </c>
      <c r="O18" s="14">
        <f>'GHG detailed, results per kg CW'!O18/Meat_yield</f>
        <v>0</v>
      </c>
      <c r="P18" s="14">
        <f>'GHG detailed, results per kg CW'!P18/Meat_yield</f>
        <v>0</v>
      </c>
      <c r="Q18" s="14">
        <v>0</v>
      </c>
      <c r="R18" s="14">
        <f>'GHG detailed, results per kg CW'!Q18/Meat_yield</f>
        <v>0</v>
      </c>
      <c r="S18" s="14">
        <f>'GHG detailed, results per kg CW'!R18/Meat_yield</f>
        <v>0</v>
      </c>
      <c r="T18" s="14">
        <f>'GHG detailed, results per kg CW'!S18/Meat_yield</f>
        <v>0</v>
      </c>
      <c r="U18" s="14">
        <f>'GHG detailed, results per kg CW'!T18/Meat_yield</f>
        <v>0</v>
      </c>
      <c r="V18" s="14">
        <f>'GHG detailed, results per kg CW'!U18/Meat_yield</f>
        <v>0</v>
      </c>
      <c r="W18" s="14">
        <f>'GHG detailed, results per kg CW'!V18/Meat_yield</f>
        <v>0</v>
      </c>
      <c r="X18" s="14">
        <f>'GHG detailed, results per kg CW'!W18/Meat_yield</f>
        <v>0</v>
      </c>
    </row>
    <row r="19" spans="1:24">
      <c r="A19" s="10" t="s">
        <v>125</v>
      </c>
      <c r="B19" s="10" t="s">
        <v>126</v>
      </c>
      <c r="C19" s="11" t="s">
        <v>127</v>
      </c>
      <c r="D19" s="12" t="s">
        <v>70</v>
      </c>
      <c r="E19" s="12" t="s">
        <v>71</v>
      </c>
      <c r="F19" s="10" t="s">
        <v>131</v>
      </c>
      <c r="G19" s="113">
        <f>SUM(H19:T19)+SUM(W19:X19)</f>
        <v>0.60987052903666927</v>
      </c>
      <c r="H19" s="14">
        <f>'GHG detailed, results per kg CW'!H19/Meat_yield</f>
        <v>0</v>
      </c>
      <c r="I19" s="14">
        <f>'GHG detailed, results per kg CW'!I19/Meat_yield</f>
        <v>0</v>
      </c>
      <c r="J19" s="14">
        <f>'GHG detailed, results per kg CW'!J19/Meat_yield</f>
        <v>0</v>
      </c>
      <c r="K19" s="14">
        <f>'GHG detailed, results per kg CW'!K19/Meat_yield</f>
        <v>0</v>
      </c>
      <c r="L19" s="14">
        <f>'GHG detailed, results per kg CW'!L19/Meat_yield</f>
        <v>0</v>
      </c>
      <c r="M19" s="14">
        <f>'GHG detailed, results per kg CW'!M19/Meat_yield</f>
        <v>0</v>
      </c>
      <c r="N19" s="14">
        <f>'GHG detailed, results per kg CW'!N19/Meat_yield</f>
        <v>0</v>
      </c>
      <c r="O19" s="14">
        <f>'GHG detailed, results per kg CW'!O19/Meat_yield</f>
        <v>0</v>
      </c>
      <c r="P19" s="14">
        <f>'GHG detailed, results per kg CW'!P19/Meat_yield</f>
        <v>0</v>
      </c>
      <c r="Q19" s="14">
        <v>0</v>
      </c>
      <c r="R19" s="14">
        <f>'GHG detailed, results per kg CW'!Q19/Meat_yield</f>
        <v>0</v>
      </c>
      <c r="S19" s="14">
        <f>'GHG detailed, results per kg CW'!R19/Meat_yield</f>
        <v>0.48260139792379325</v>
      </c>
      <c r="T19" s="14">
        <f>'GHG detailed, results per kg CW'!S19/Meat_yield</f>
        <v>0.12726913111287597</v>
      </c>
      <c r="U19" s="14">
        <f>'GHG detailed, results per kg CW'!T19/Meat_yield</f>
        <v>0</v>
      </c>
      <c r="V19" s="14">
        <f>'GHG detailed, results per kg CW'!U19/Meat_yield</f>
        <v>0</v>
      </c>
      <c r="W19" s="14">
        <f>'GHG detailed, results per kg CW'!V19/Meat_yield</f>
        <v>0</v>
      </c>
      <c r="X19" s="14">
        <f>'GHG detailed, results per kg CW'!W19/Meat_yield</f>
        <v>0</v>
      </c>
    </row>
    <row r="20" spans="1:24" ht="15" thickBot="1">
      <c r="A20" s="10" t="s">
        <v>125</v>
      </c>
      <c r="B20" s="10" t="s">
        <v>126</v>
      </c>
      <c r="C20" s="11" t="s">
        <v>127</v>
      </c>
      <c r="D20" s="12" t="s">
        <v>70</v>
      </c>
      <c r="E20" s="12" t="s">
        <v>71</v>
      </c>
      <c r="F20" s="17" t="s">
        <v>132</v>
      </c>
      <c r="G20" s="113">
        <f>SUM(H20:T20)+SUM(W20:X20)</f>
        <v>2.6778119689933117E-2</v>
      </c>
      <c r="H20" s="14">
        <f>'GHG detailed, results per kg CW'!H20/Meat_yield</f>
        <v>2.1996772631280919E-3</v>
      </c>
      <c r="I20" s="14">
        <f>'GHG detailed, results per kg CW'!I20/Meat_yield</f>
        <v>0</v>
      </c>
      <c r="J20" s="14">
        <f>'GHG detailed, results per kg CW'!J20/Meat_yield</f>
        <v>1.090125954868505E-2</v>
      </c>
      <c r="K20" s="14">
        <f>'GHG detailed, results per kg CW'!K20/Meat_yield</f>
        <v>1.090125954868505E-3</v>
      </c>
      <c r="L20" s="14">
        <f>'GHG detailed, results per kg CW'!L20/Meat_yield</f>
        <v>0</v>
      </c>
      <c r="M20" s="14">
        <f>'GHG detailed, results per kg CW'!M20/Meat_yield</f>
        <v>0</v>
      </c>
      <c r="N20" s="14">
        <f>'GHG detailed, results per kg CW'!N20/Meat_yield</f>
        <v>0</v>
      </c>
      <c r="O20" s="14">
        <f>'GHG detailed, results per kg CW'!O20/Meat_yield</f>
        <v>0</v>
      </c>
      <c r="P20" s="14">
        <f>'GHG detailed, results per kg CW'!P20/Meat_yield</f>
        <v>0</v>
      </c>
      <c r="Q20" s="14">
        <v>0</v>
      </c>
      <c r="R20" s="14">
        <f>'GHG detailed, results per kg CW'!Q20/Meat_yield</f>
        <v>0</v>
      </c>
      <c r="S20" s="14">
        <f>'GHG detailed, results per kg CW'!R20/Meat_yield</f>
        <v>0</v>
      </c>
      <c r="T20" s="14">
        <f>'GHG detailed, results per kg CW'!S20/Meat_yield</f>
        <v>1.2587056923251471E-2</v>
      </c>
      <c r="U20" s="14">
        <f>'GHG detailed, results per kg CW'!T20/Meat_yield</f>
        <v>0</v>
      </c>
      <c r="V20" s="14">
        <f>'GHG detailed, results per kg CW'!U20/Meat_yield</f>
        <v>0</v>
      </c>
      <c r="W20" s="14">
        <f>'GHG detailed, results per kg CW'!V20/Meat_yield</f>
        <v>0</v>
      </c>
      <c r="X20" s="14">
        <f>'GHG detailed, results per kg CW'!W20/Meat_yield</f>
        <v>0</v>
      </c>
    </row>
    <row r="21" spans="1:24" ht="15" thickTop="1">
      <c r="A21" s="69" t="s">
        <v>125</v>
      </c>
      <c r="B21" s="69" t="s">
        <v>126</v>
      </c>
      <c r="C21" s="70" t="s">
        <v>127</v>
      </c>
      <c r="D21" s="71" t="s">
        <v>70</v>
      </c>
      <c r="E21" s="71" t="s">
        <v>71</v>
      </c>
      <c r="F21" s="72" t="s">
        <v>133</v>
      </c>
      <c r="G21" s="114">
        <f t="shared" si="0"/>
        <v>27.640824918101107</v>
      </c>
      <c r="H21" s="115">
        <f>SUMPRODUCT(H17:H20,'CF Climate'!$B$5:$B$8)</f>
        <v>1.201023785667938</v>
      </c>
      <c r="I21" s="116">
        <f>SUMPRODUCT(I17:I20,'CF Climate'!$B$5:$B$8)</f>
        <v>0</v>
      </c>
      <c r="J21" s="116">
        <f>SUMPRODUCT(J17:J20,'CF Climate'!$B$5:$B$8)</f>
        <v>2.9760438567910188</v>
      </c>
      <c r="K21" s="116">
        <f>SUMPRODUCT(K17:K20,'CF Climate'!$B$5:$B$8)</f>
        <v>0.29760438567910186</v>
      </c>
      <c r="L21" s="116">
        <f>SUMPRODUCT(L17:L20,'CF Climate'!$B$5:$B$8)</f>
        <v>0.72061427140076295</v>
      </c>
      <c r="M21" s="116">
        <f>SUMPRODUCT(M17:M20,'CF Climate'!$B$5:$B$8)</f>
        <v>0</v>
      </c>
      <c r="N21" s="116">
        <f>SUMPRODUCT(N17:N20,'CF Climate'!$B$5:$B$8)</f>
        <v>0</v>
      </c>
      <c r="O21" s="116">
        <f>SUMPRODUCT(O17:O20,'CF Climate'!$B$5:$B$8)</f>
        <v>0</v>
      </c>
      <c r="P21" s="116">
        <f>SUMPRODUCT(P17:P20,'CF Climate'!$B$5:$B$8)</f>
        <v>0</v>
      </c>
      <c r="Q21" s="116">
        <v>0</v>
      </c>
      <c r="R21" s="116">
        <f>SUMPRODUCT(R17:R20,'CF Climate'!$B$5:$B$8)</f>
        <v>1.3766439945431015</v>
      </c>
      <c r="S21" s="116">
        <f>SUMPRODUCT(S17:S20,'CF Climate'!$B$5:$B$8)</f>
        <v>13.030237743942418</v>
      </c>
      <c r="T21" s="116">
        <f>SUMPRODUCT(T17:T20,'CF Climate'!$B$5:$B$8)</f>
        <v>6.8725330800953026</v>
      </c>
      <c r="U21" s="116">
        <f>SUMPRODUCT(U17:U20,'CF Climate'!$B$5:$B$8)</f>
        <v>0</v>
      </c>
      <c r="V21" s="116">
        <f>SUMPRODUCT(V17:V20,'CF Climate'!$B$5:$B$8)</f>
        <v>0</v>
      </c>
      <c r="W21" s="116">
        <f>SUMPRODUCT(W17:W20,'CF Climate'!$B$5:$B$8)</f>
        <v>0.48040951426717526</v>
      </c>
      <c r="X21" s="116">
        <f>SUMPRODUCT(X17:X20,'CF Climate'!$B$5:$B$8)</f>
        <v>0.68571428571428561</v>
      </c>
    </row>
    <row r="22" spans="1:24">
      <c r="A22" s="10" t="s">
        <v>125</v>
      </c>
      <c r="B22" s="10" t="s">
        <v>126</v>
      </c>
      <c r="C22" s="11" t="s">
        <v>127</v>
      </c>
      <c r="D22" s="12" t="s">
        <v>72</v>
      </c>
      <c r="E22" s="12" t="s">
        <v>73</v>
      </c>
      <c r="F22" s="18" t="s">
        <v>129</v>
      </c>
      <c r="G22" s="111">
        <f>SUM(H22:X22)</f>
        <v>4.3652178293194623</v>
      </c>
      <c r="H22" s="112">
        <f>'GHG detailed, results per kg CW'!H22/Meat_yield</f>
        <v>0.69389097437192315</v>
      </c>
      <c r="I22" s="112">
        <f>'GHG detailed, results per kg CW'!I22/Meat_yield</f>
        <v>0</v>
      </c>
      <c r="J22" s="112">
        <f>'GHG detailed, results per kg CW'!J22/Meat_yield</f>
        <v>0</v>
      </c>
      <c r="K22" s="112">
        <f>'GHG detailed, results per kg CW'!K22/Meat_yield</f>
        <v>0</v>
      </c>
      <c r="L22" s="112">
        <f>'GHG detailed, results per kg CW'!L22/Meat_yield</f>
        <v>0.83266916924630763</v>
      </c>
      <c r="M22" s="112">
        <f>'GHG detailed, results per kg CW'!M22/Meat_yield</f>
        <v>0</v>
      </c>
      <c r="N22" s="112">
        <f>'GHG detailed, results per kg CW'!N22/Meat_yield</f>
        <v>0</v>
      </c>
      <c r="O22" s="112">
        <f>'GHG detailed, results per kg CW'!O22/Meat_yield</f>
        <v>0</v>
      </c>
      <c r="P22" s="112">
        <f>'GHG detailed, results per kg CW'!P22/Meat_yield</f>
        <v>0</v>
      </c>
      <c r="Q22" s="112">
        <v>0</v>
      </c>
      <c r="R22" s="112">
        <f>'GHG detailed, results per kg CW'!Q22/Meat_yield</f>
        <v>1.5978306204894073</v>
      </c>
      <c r="S22" s="112">
        <f>'GHG detailed, results per kg CW'!R22/Meat_yield</f>
        <v>0</v>
      </c>
      <c r="T22" s="112">
        <f>'GHG detailed, results per kg CW'!S22/Meat_yield</f>
        <v>0</v>
      </c>
      <c r="U22" s="112">
        <f>'GHG detailed, results per kg CW'!T22/Meat_yield</f>
        <v>0</v>
      </c>
      <c r="V22" s="112">
        <f>'GHG detailed, results per kg CW'!U22/Meat_yield</f>
        <v>0</v>
      </c>
      <c r="W22" s="112">
        <f>'GHG detailed, results per kg CW'!V22/Meat_yield</f>
        <v>0.55511277949753846</v>
      </c>
      <c r="X22" s="112">
        <f>'GHG detailed, results per kg CW'!W22/Meat_yield</f>
        <v>0.68571428571428572</v>
      </c>
    </row>
    <row r="23" spans="1:24">
      <c r="A23" s="10" t="s">
        <v>125</v>
      </c>
      <c r="B23" s="10" t="s">
        <v>126</v>
      </c>
      <c r="C23" s="11" t="s">
        <v>127</v>
      </c>
      <c r="D23" s="12" t="s">
        <v>72</v>
      </c>
      <c r="E23" s="12" t="s">
        <v>73</v>
      </c>
      <c r="F23" s="10" t="s">
        <v>130</v>
      </c>
      <c r="G23" s="113">
        <f>SUM(H23:X23)</f>
        <v>0</v>
      </c>
      <c r="H23" s="14">
        <f>'GHG detailed, results per kg CW'!H23/Meat_yield</f>
        <v>0</v>
      </c>
      <c r="I23" s="14">
        <f>'GHG detailed, results per kg CW'!I23/Meat_yield</f>
        <v>0</v>
      </c>
      <c r="J23" s="14">
        <f>'GHG detailed, results per kg CW'!J23/Meat_yield</f>
        <v>0</v>
      </c>
      <c r="K23" s="14">
        <f>'GHG detailed, results per kg CW'!K23/Meat_yield</f>
        <v>0</v>
      </c>
      <c r="L23" s="14">
        <f>'GHG detailed, results per kg CW'!L23/Meat_yield</f>
        <v>0</v>
      </c>
      <c r="M23" s="14">
        <f>'GHG detailed, results per kg CW'!M23/Meat_yield</f>
        <v>0</v>
      </c>
      <c r="N23" s="14">
        <f>'GHG detailed, results per kg CW'!N23/Meat_yield</f>
        <v>0</v>
      </c>
      <c r="O23" s="14">
        <f>'GHG detailed, results per kg CW'!O23/Meat_yield</f>
        <v>0</v>
      </c>
      <c r="P23" s="14">
        <f>'GHG detailed, results per kg CW'!P23/Meat_yield</f>
        <v>0</v>
      </c>
      <c r="Q23" s="14">
        <v>0</v>
      </c>
      <c r="R23" s="14">
        <f>'GHG detailed, results per kg CW'!Q23/Meat_yield</f>
        <v>0</v>
      </c>
      <c r="S23" s="14">
        <f>'GHG detailed, results per kg CW'!R23/Meat_yield</f>
        <v>0</v>
      </c>
      <c r="T23" s="14">
        <f>'GHG detailed, results per kg CW'!S23/Meat_yield</f>
        <v>0</v>
      </c>
      <c r="U23" s="14">
        <f>'GHG detailed, results per kg CW'!T23/Meat_yield</f>
        <v>0</v>
      </c>
      <c r="V23" s="14">
        <f>'GHG detailed, results per kg CW'!U23/Meat_yield</f>
        <v>0</v>
      </c>
      <c r="W23" s="14">
        <f>'GHG detailed, results per kg CW'!V23/Meat_yield</f>
        <v>0</v>
      </c>
      <c r="X23" s="14">
        <f>'GHG detailed, results per kg CW'!W23/Meat_yield</f>
        <v>0</v>
      </c>
    </row>
    <row r="24" spans="1:24">
      <c r="A24" s="10" t="s">
        <v>125</v>
      </c>
      <c r="B24" s="10" t="s">
        <v>126</v>
      </c>
      <c r="C24" s="11" t="s">
        <v>127</v>
      </c>
      <c r="D24" s="12" t="s">
        <v>72</v>
      </c>
      <c r="E24" s="12" t="s">
        <v>73</v>
      </c>
      <c r="F24" s="10" t="s">
        <v>131</v>
      </c>
      <c r="G24" s="113">
        <f>SUM(H24:T24)+SUM(W24:X24)</f>
        <v>0.71556993341835229</v>
      </c>
      <c r="H24" s="14">
        <f>'GHG detailed, results per kg CW'!H24/Meat_yield</f>
        <v>2.5417251808495353E-3</v>
      </c>
      <c r="I24" s="14">
        <f>'GHG detailed, results per kg CW'!I24/Meat_yield</f>
        <v>0</v>
      </c>
      <c r="J24" s="14">
        <f>'GHG detailed, results per kg CW'!J24/Meat_yield</f>
        <v>1.2238343330694561E-2</v>
      </c>
      <c r="K24" s="14">
        <f>'GHG detailed, results per kg CW'!K24/Meat_yield</f>
        <v>1.2238343330694562E-3</v>
      </c>
      <c r="L24" s="14">
        <f>'GHG detailed, results per kg CW'!L24/Meat_yield</f>
        <v>0</v>
      </c>
      <c r="M24" s="14">
        <f>'GHG detailed, results per kg CW'!M24/Meat_yield</f>
        <v>0</v>
      </c>
      <c r="N24" s="14">
        <f>'GHG detailed, results per kg CW'!N24/Meat_yield</f>
        <v>0</v>
      </c>
      <c r="O24" s="14">
        <f>'GHG detailed, results per kg CW'!O24/Meat_yield</f>
        <v>0</v>
      </c>
      <c r="P24" s="14">
        <f>'GHG detailed, results per kg CW'!P24/Meat_yield</f>
        <v>0</v>
      </c>
      <c r="Q24" s="14">
        <v>0</v>
      </c>
      <c r="R24" s="14">
        <f>'GHG detailed, results per kg CW'!Q24/Meat_yield</f>
        <v>0</v>
      </c>
      <c r="S24" s="14">
        <f>'GHG detailed, results per kg CW'!R24/Meat_yield</f>
        <v>0.54965433626354065</v>
      </c>
      <c r="T24" s="14">
        <f>'GHG detailed, results per kg CW'!S24/Meat_yield</f>
        <v>0.14991169431019816</v>
      </c>
      <c r="U24" s="14">
        <f>'GHG detailed, results per kg CW'!T24/Meat_yield</f>
        <v>0</v>
      </c>
      <c r="V24" s="14">
        <f>'GHG detailed, results per kg CW'!U24/Meat_yield</f>
        <v>0</v>
      </c>
      <c r="W24" s="14">
        <f>'GHG detailed, results per kg CW'!V24/Meat_yield</f>
        <v>0</v>
      </c>
      <c r="X24" s="14">
        <f>'GHG detailed, results per kg CW'!W24/Meat_yield</f>
        <v>0</v>
      </c>
    </row>
    <row r="25" spans="1:24" ht="15" thickBot="1">
      <c r="A25" s="10" t="s">
        <v>125</v>
      </c>
      <c r="B25" s="10" t="s">
        <v>126</v>
      </c>
      <c r="C25" s="11" t="s">
        <v>127</v>
      </c>
      <c r="D25" s="12" t="s">
        <v>72</v>
      </c>
      <c r="E25" s="12" t="s">
        <v>73</v>
      </c>
      <c r="F25" s="17" t="s">
        <v>132</v>
      </c>
      <c r="G25" s="113">
        <f>SUM(H25:T25)+SUM(W25:X25)</f>
        <v>3.0830334150017766E-2</v>
      </c>
      <c r="H25" s="14">
        <f>'GHG detailed, results per kg CW'!H25/Meat_yield</f>
        <v>2.5417251808495353E-3</v>
      </c>
      <c r="I25" s="14">
        <f>'GHG detailed, results per kg CW'!I25/Meat_yield</f>
        <v>0</v>
      </c>
      <c r="J25" s="14">
        <f>'GHG detailed, results per kg CW'!J25/Meat_yield</f>
        <v>1.2238343330694561E-2</v>
      </c>
      <c r="K25" s="14">
        <f>'GHG detailed, results per kg CW'!K25/Meat_yield</f>
        <v>1.2238343330694562E-3</v>
      </c>
      <c r="L25" s="14">
        <f>'GHG detailed, results per kg CW'!L25/Meat_yield</f>
        <v>0</v>
      </c>
      <c r="M25" s="14">
        <f>'GHG detailed, results per kg CW'!M25/Meat_yield</f>
        <v>0</v>
      </c>
      <c r="N25" s="14">
        <f>'GHG detailed, results per kg CW'!N25/Meat_yield</f>
        <v>0</v>
      </c>
      <c r="O25" s="14">
        <f>'GHG detailed, results per kg CW'!O25/Meat_yield</f>
        <v>0</v>
      </c>
      <c r="P25" s="14">
        <f>'GHG detailed, results per kg CW'!P25/Meat_yield</f>
        <v>0</v>
      </c>
      <c r="Q25" s="14">
        <v>0</v>
      </c>
      <c r="R25" s="14">
        <f>'GHG detailed, results per kg CW'!Q25/Meat_yield</f>
        <v>0</v>
      </c>
      <c r="S25" s="14">
        <f>'GHG detailed, results per kg CW'!R25/Meat_yield</f>
        <v>0</v>
      </c>
      <c r="T25" s="14">
        <f>'GHG detailed, results per kg CW'!S25/Meat_yield</f>
        <v>1.4826431305404213E-2</v>
      </c>
      <c r="U25" s="14">
        <f>'GHG detailed, results per kg CW'!T25/Meat_yield</f>
        <v>0</v>
      </c>
      <c r="V25" s="14">
        <f>'GHG detailed, results per kg CW'!U25/Meat_yield</f>
        <v>0</v>
      </c>
      <c r="W25" s="14">
        <f>'GHG detailed, results per kg CW'!V25/Meat_yield</f>
        <v>0</v>
      </c>
      <c r="X25" s="14">
        <f>'GHG detailed, results per kg CW'!W25/Meat_yield</f>
        <v>0</v>
      </c>
    </row>
    <row r="26" spans="1:24" ht="15" thickTop="1">
      <c r="A26" s="69" t="s">
        <v>125</v>
      </c>
      <c r="B26" s="69" t="s">
        <v>126</v>
      </c>
      <c r="C26" s="70" t="s">
        <v>127</v>
      </c>
      <c r="D26" s="19" t="s">
        <v>72</v>
      </c>
      <c r="E26" s="19" t="s">
        <v>73</v>
      </c>
      <c r="F26" s="72" t="s">
        <v>133</v>
      </c>
      <c r="G26" s="114">
        <f t="shared" si="0"/>
        <v>32.102287254569831</v>
      </c>
      <c r="H26" s="115">
        <f>SUMPRODUCT(H22:H25,'CF Climate'!$B$5:$B$8)</f>
        <v>1.4564085286267838</v>
      </c>
      <c r="I26" s="116">
        <f>SUMPRODUCT(I22:I25,'CF Climate'!$B$5:$B$8)</f>
        <v>0</v>
      </c>
      <c r="J26" s="116">
        <f>SUMPRODUCT(J22:J25,'CF Climate'!$B$5:$B$8)</f>
        <v>3.6715029992083683</v>
      </c>
      <c r="K26" s="116">
        <f>SUMPRODUCT(K22:K25,'CF Climate'!$B$5:$B$8)</f>
        <v>0.36715029992083686</v>
      </c>
      <c r="L26" s="116">
        <f>SUMPRODUCT(L22:L25,'CF Climate'!$B$5:$B$8)</f>
        <v>0.83266916924630763</v>
      </c>
      <c r="M26" s="116">
        <f>SUMPRODUCT(M22:M25,'CF Climate'!$B$5:$B$8)</f>
        <v>0</v>
      </c>
      <c r="N26" s="116">
        <f>SUMPRODUCT(N22:N25,'CF Climate'!$B$5:$B$8)</f>
        <v>0</v>
      </c>
      <c r="O26" s="116">
        <f>SUMPRODUCT(O22:O25,'CF Climate'!$B$5:$B$8)</f>
        <v>0</v>
      </c>
      <c r="P26" s="116">
        <f>SUMPRODUCT(P22:P25,'CF Climate'!$B$5:$B$8)</f>
        <v>0</v>
      </c>
      <c r="Q26" s="116">
        <v>0</v>
      </c>
      <c r="R26" s="116">
        <f>SUMPRODUCT(R22:R25,'CF Climate'!$B$5:$B$8)</f>
        <v>1.5978306204894073</v>
      </c>
      <c r="S26" s="116">
        <f>SUMPRODUCT(S22:S25,'CF Climate'!$B$5:$B$8)</f>
        <v>14.840667079115597</v>
      </c>
      <c r="T26" s="116">
        <f>SUMPRODUCT(T22:T25,'CF Climate'!$B$5:$B$8)</f>
        <v>8.0952314927507008</v>
      </c>
      <c r="U26" s="116">
        <f>SUMPRODUCT(U22:U25,'CF Climate'!$B$5:$B$8)</f>
        <v>0</v>
      </c>
      <c r="V26" s="116">
        <f>SUMPRODUCT(V22:V25,'CF Climate'!$B$5:$B$8)</f>
        <v>0</v>
      </c>
      <c r="W26" s="116">
        <f>SUMPRODUCT(W22:W25,'CF Climate'!$B$5:$B$8)</f>
        <v>0.55511277949753846</v>
      </c>
      <c r="X26" s="116">
        <f>SUMPRODUCT(X22:X25,'CF Climate'!$B$5:$B$8)</f>
        <v>0.68571428571428572</v>
      </c>
    </row>
    <row r="27" spans="1:24">
      <c r="A27" s="73" t="s">
        <v>125</v>
      </c>
      <c r="B27" s="73" t="s">
        <v>126</v>
      </c>
      <c r="C27" s="74" t="s">
        <v>127</v>
      </c>
      <c r="D27" s="67" t="s">
        <v>134</v>
      </c>
      <c r="E27" s="67" t="s">
        <v>75</v>
      </c>
      <c r="F27" s="75" t="s">
        <v>129</v>
      </c>
      <c r="G27" s="111">
        <f>SUM(H27:X27)</f>
        <v>3.9270738113064345</v>
      </c>
      <c r="H27" s="112">
        <f>'GHG detailed, results per kg CW'!H27/Meat_yield</f>
        <v>0.65761035446546878</v>
      </c>
      <c r="I27" s="112">
        <f>'GHG detailed, results per kg CW'!I27/Meat_yield</f>
        <v>0</v>
      </c>
      <c r="J27" s="112">
        <f>'GHG detailed, results per kg CW'!J27/Meat_yield</f>
        <v>0</v>
      </c>
      <c r="K27" s="112">
        <f>'GHG detailed, results per kg CW'!K27/Meat_yield</f>
        <v>0</v>
      </c>
      <c r="L27" s="112">
        <f>'GHG detailed, results per kg CW'!L27/Meat_yield</f>
        <v>0.78913242535856243</v>
      </c>
      <c r="M27" s="112">
        <f>'GHG detailed, results per kg CW'!M27/Meat_yield</f>
        <v>0</v>
      </c>
      <c r="N27" s="112">
        <f>'GHG detailed, results per kg CW'!N27/Meat_yield</f>
        <v>0</v>
      </c>
      <c r="O27" s="112">
        <f>'GHG detailed, results per kg CW'!O27/Meat_yield</f>
        <v>0</v>
      </c>
      <c r="P27" s="112">
        <f>'GHG detailed, results per kg CW'!P27/Meat_yield</f>
        <v>0</v>
      </c>
      <c r="Q27" s="112">
        <v>0</v>
      </c>
      <c r="R27" s="112">
        <f>'GHG detailed, results per kg CW'!Q27/Meat_yield</f>
        <v>1.2685284621957424</v>
      </c>
      <c r="S27" s="112">
        <f>'GHG detailed, results per kg CW'!R27/Meat_yield</f>
        <v>0</v>
      </c>
      <c r="T27" s="112">
        <f>'GHG detailed, results per kg CW'!S27/Meat_yield</f>
        <v>0</v>
      </c>
      <c r="U27" s="112">
        <f>'GHG detailed, results per kg CW'!T27/Meat_yield</f>
        <v>0</v>
      </c>
      <c r="V27" s="112">
        <f>'GHG detailed, results per kg CW'!U27/Meat_yield</f>
        <v>0</v>
      </c>
      <c r="W27" s="112">
        <f>'GHG detailed, results per kg CW'!V27/Meat_yield</f>
        <v>0.52608828357237503</v>
      </c>
      <c r="X27" s="112">
        <f>'GHG detailed, results per kg CW'!W27/Meat_yield</f>
        <v>0.68571428571428572</v>
      </c>
    </row>
    <row r="28" spans="1:24">
      <c r="A28" s="10" t="s">
        <v>125</v>
      </c>
      <c r="B28" s="10" t="s">
        <v>126</v>
      </c>
      <c r="C28" s="11" t="s">
        <v>127</v>
      </c>
      <c r="D28" s="12" t="s">
        <v>134</v>
      </c>
      <c r="E28" s="12" t="s">
        <v>75</v>
      </c>
      <c r="F28" s="10" t="s">
        <v>130</v>
      </c>
      <c r="G28" s="113">
        <f>SUM(H28:X28)</f>
        <v>0</v>
      </c>
      <c r="H28" s="14">
        <f>'GHG detailed, results per kg CW'!H28/Meat_yield</f>
        <v>0</v>
      </c>
      <c r="I28" s="14">
        <f>'GHG detailed, results per kg CW'!I28/Meat_yield</f>
        <v>0</v>
      </c>
      <c r="J28" s="14">
        <f>'GHG detailed, results per kg CW'!J28/Meat_yield</f>
        <v>0</v>
      </c>
      <c r="K28" s="14">
        <f>'GHG detailed, results per kg CW'!K28/Meat_yield</f>
        <v>0</v>
      </c>
      <c r="L28" s="14">
        <f>'GHG detailed, results per kg CW'!L28/Meat_yield</f>
        <v>0</v>
      </c>
      <c r="M28" s="14">
        <f>'GHG detailed, results per kg CW'!M28/Meat_yield</f>
        <v>0</v>
      </c>
      <c r="N28" s="14">
        <f>'GHG detailed, results per kg CW'!N28/Meat_yield</f>
        <v>0</v>
      </c>
      <c r="O28" s="14">
        <f>'GHG detailed, results per kg CW'!O28/Meat_yield</f>
        <v>0</v>
      </c>
      <c r="P28" s="14">
        <f>'GHG detailed, results per kg CW'!P28/Meat_yield</f>
        <v>0</v>
      </c>
      <c r="Q28" s="14">
        <v>0</v>
      </c>
      <c r="R28" s="14">
        <f>'GHG detailed, results per kg CW'!Q28/Meat_yield</f>
        <v>0</v>
      </c>
      <c r="S28" s="14">
        <f>'GHG detailed, results per kg CW'!R28/Meat_yield</f>
        <v>0</v>
      </c>
      <c r="T28" s="14">
        <f>'GHG detailed, results per kg CW'!S28/Meat_yield</f>
        <v>0</v>
      </c>
      <c r="U28" s="14">
        <f>'GHG detailed, results per kg CW'!T28/Meat_yield</f>
        <v>0</v>
      </c>
      <c r="V28" s="14">
        <f>'GHG detailed, results per kg CW'!U28/Meat_yield</f>
        <v>0</v>
      </c>
      <c r="W28" s="14">
        <f>'GHG detailed, results per kg CW'!V28/Meat_yield</f>
        <v>0</v>
      </c>
      <c r="X28" s="14">
        <f>'GHG detailed, results per kg CW'!W28/Meat_yield</f>
        <v>0</v>
      </c>
    </row>
    <row r="29" spans="1:24">
      <c r="A29" s="10" t="s">
        <v>125</v>
      </c>
      <c r="B29" s="10" t="s">
        <v>126</v>
      </c>
      <c r="C29" s="11" t="s">
        <v>127</v>
      </c>
      <c r="D29" s="12" t="s">
        <v>134</v>
      </c>
      <c r="E29" s="12" t="s">
        <v>75</v>
      </c>
      <c r="F29" s="10" t="s">
        <v>131</v>
      </c>
      <c r="G29" s="113">
        <f>SUM(H29:T29)+SUM(W29:X29)</f>
        <v>0.59951947786835236</v>
      </c>
      <c r="H29" s="14">
        <f>'GHG detailed, results per kg CW'!H29/Meat_yield</f>
        <v>0</v>
      </c>
      <c r="I29" s="14">
        <f>'GHG detailed, results per kg CW'!I29/Meat_yield</f>
        <v>0</v>
      </c>
      <c r="J29" s="14">
        <f>'GHG detailed, results per kg CW'!J29/Meat_yield</f>
        <v>0</v>
      </c>
      <c r="K29" s="14">
        <f>'GHG detailed, results per kg CW'!K29/Meat_yield</f>
        <v>0</v>
      </c>
      <c r="L29" s="14">
        <f>'GHG detailed, results per kg CW'!L29/Meat_yield</f>
        <v>0</v>
      </c>
      <c r="M29" s="14">
        <f>'GHG detailed, results per kg CW'!M29/Meat_yield</f>
        <v>0</v>
      </c>
      <c r="N29" s="14">
        <f>'GHG detailed, results per kg CW'!N29/Meat_yield</f>
        <v>0</v>
      </c>
      <c r="O29" s="14">
        <f>'GHG detailed, results per kg CW'!O29/Meat_yield</f>
        <v>0</v>
      </c>
      <c r="P29" s="14">
        <f>'GHG detailed, results per kg CW'!P29/Meat_yield</f>
        <v>0</v>
      </c>
      <c r="Q29" s="14">
        <v>0</v>
      </c>
      <c r="R29" s="14">
        <f>'GHG detailed, results per kg CW'!Q29/Meat_yield</f>
        <v>0</v>
      </c>
      <c r="S29" s="14">
        <f>'GHG detailed, results per kg CW'!R29/Meat_yield</f>
        <v>0.47435821461455907</v>
      </c>
      <c r="T29" s="14">
        <f>'GHG detailed, results per kg CW'!S29/Meat_yield</f>
        <v>0.12516126325379326</v>
      </c>
      <c r="U29" s="14">
        <f>'GHG detailed, results per kg CW'!T29/Meat_yield</f>
        <v>0</v>
      </c>
      <c r="V29" s="14">
        <f>'GHG detailed, results per kg CW'!U29/Meat_yield</f>
        <v>0</v>
      </c>
      <c r="W29" s="14">
        <f>'GHG detailed, results per kg CW'!V29/Meat_yield</f>
        <v>0</v>
      </c>
      <c r="X29" s="14">
        <f>'GHG detailed, results per kg CW'!W29/Meat_yield</f>
        <v>0</v>
      </c>
    </row>
    <row r="30" spans="1:24" ht="15" thickBot="1">
      <c r="A30" s="10" t="s">
        <v>125</v>
      </c>
      <c r="B30" s="10" t="s">
        <v>126</v>
      </c>
      <c r="C30" s="11" t="s">
        <v>127</v>
      </c>
      <c r="D30" s="12" t="s">
        <v>134</v>
      </c>
      <c r="E30" s="12" t="s">
        <v>75</v>
      </c>
      <c r="F30" s="17" t="s">
        <v>132</v>
      </c>
      <c r="G30" s="113">
        <f>SUM(H30:T30)+SUM(W30:X30)</f>
        <v>2.689723126414632E-2</v>
      </c>
      <c r="H30" s="14">
        <f>'GHG detailed, results per kg CW'!H30/Meat_yield</f>
        <v>2.4088291372361494E-3</v>
      </c>
      <c r="I30" s="14">
        <f>'GHG detailed, results per kg CW'!I30/Meat_yield</f>
        <v>0</v>
      </c>
      <c r="J30" s="14">
        <f>'GHG detailed, results per kg CW'!J30/Meat_yield</f>
        <v>1.1008923319327539E-2</v>
      </c>
      <c r="K30" s="14">
        <f>'GHG detailed, results per kg CW'!K30/Meat_yield</f>
        <v>1.1008923319327537E-3</v>
      </c>
      <c r="L30" s="14">
        <f>'GHG detailed, results per kg CW'!L30/Meat_yield</f>
        <v>0</v>
      </c>
      <c r="M30" s="14">
        <f>'GHG detailed, results per kg CW'!M30/Meat_yield</f>
        <v>0</v>
      </c>
      <c r="N30" s="14">
        <f>'GHG detailed, results per kg CW'!N30/Meat_yield</f>
        <v>0</v>
      </c>
      <c r="O30" s="14">
        <f>'GHG detailed, results per kg CW'!O30/Meat_yield</f>
        <v>0</v>
      </c>
      <c r="P30" s="14">
        <f>'GHG detailed, results per kg CW'!P30/Meat_yield</f>
        <v>0</v>
      </c>
      <c r="Q30" s="14">
        <v>0</v>
      </c>
      <c r="R30" s="14">
        <f>'GHG detailed, results per kg CW'!Q30/Meat_yield</f>
        <v>0</v>
      </c>
      <c r="S30" s="14">
        <f>'GHG detailed, results per kg CW'!R30/Meat_yield</f>
        <v>0</v>
      </c>
      <c r="T30" s="14">
        <f>'GHG detailed, results per kg CW'!S30/Meat_yield</f>
        <v>1.2378586475649879E-2</v>
      </c>
      <c r="U30" s="14">
        <f>'GHG detailed, results per kg CW'!T30/Meat_yield</f>
        <v>0</v>
      </c>
      <c r="V30" s="14">
        <f>'GHG detailed, results per kg CW'!U30/Meat_yield</f>
        <v>0</v>
      </c>
      <c r="W30" s="14">
        <f>'GHG detailed, results per kg CW'!V30/Meat_yield</f>
        <v>0</v>
      </c>
      <c r="X30" s="14">
        <f>'GHG detailed, results per kg CW'!W30/Meat_yield</f>
        <v>0</v>
      </c>
    </row>
    <row r="31" spans="1:24" ht="15" thickTop="1">
      <c r="A31" s="69" t="s">
        <v>125</v>
      </c>
      <c r="B31" s="69" t="s">
        <v>126</v>
      </c>
      <c r="C31" s="70" t="s">
        <v>127</v>
      </c>
      <c r="D31" s="71" t="s">
        <v>134</v>
      </c>
      <c r="E31" s="71" t="s">
        <v>75</v>
      </c>
      <c r="F31" s="72" t="s">
        <v>133</v>
      </c>
      <c r="G31" s="114">
        <f t="shared" si="0"/>
        <v>27.457043848863893</v>
      </c>
      <c r="H31" s="115">
        <f>SUMPRODUCT(H27:H30,'CF Climate'!$B$5:$B$8)</f>
        <v>1.3152207089309376</v>
      </c>
      <c r="I31" s="116">
        <f>SUMPRODUCT(I27:I30,'CF Climate'!$B$5:$B$8)</f>
        <v>0</v>
      </c>
      <c r="J31" s="116">
        <f>SUMPRODUCT(J27:J30,'CF Climate'!$B$5:$B$8)</f>
        <v>3.0054360661764181</v>
      </c>
      <c r="K31" s="116">
        <f>SUMPRODUCT(K27:K30,'CF Climate'!$B$5:$B$8)</f>
        <v>0.30054360661764173</v>
      </c>
      <c r="L31" s="116">
        <f>SUMPRODUCT(L27:L30,'CF Climate'!$B$5:$B$8)</f>
        <v>0.78913242535856243</v>
      </c>
      <c r="M31" s="116">
        <f>SUMPRODUCT(M27:M30,'CF Climate'!$B$5:$B$8)</f>
        <v>0</v>
      </c>
      <c r="N31" s="116">
        <f>SUMPRODUCT(N27:N30,'CF Climate'!$B$5:$B$8)</f>
        <v>0</v>
      </c>
      <c r="O31" s="116">
        <f>SUMPRODUCT(O27:O30,'CF Climate'!$B$5:$B$8)</f>
        <v>0</v>
      </c>
      <c r="P31" s="116">
        <f>SUMPRODUCT(P27:P30,'CF Climate'!$B$5:$B$8)</f>
        <v>0</v>
      </c>
      <c r="Q31" s="116">
        <v>0</v>
      </c>
      <c r="R31" s="116">
        <f>SUMPRODUCT(R27:R30,'CF Climate'!$B$5:$B$8)</f>
        <v>1.2685284621957424</v>
      </c>
      <c r="S31" s="116">
        <f>SUMPRODUCT(S27:S30,'CF Climate'!$B$5:$B$8)</f>
        <v>12.807671794593094</v>
      </c>
      <c r="T31" s="116">
        <f>SUMPRODUCT(T27:T30,'CF Climate'!$B$5:$B$8)</f>
        <v>6.7587082157048348</v>
      </c>
      <c r="U31" s="116">
        <f>SUMPRODUCT(U27:U30,'CF Climate'!$B$5:$B$8)</f>
        <v>0</v>
      </c>
      <c r="V31" s="116">
        <f>SUMPRODUCT(V27:V30,'CF Climate'!$B$5:$B$8)</f>
        <v>0</v>
      </c>
      <c r="W31" s="116">
        <f>SUMPRODUCT(W27:W30,'CF Climate'!$B$5:$B$8)</f>
        <v>0.52608828357237503</v>
      </c>
      <c r="X31" s="116">
        <f>SUMPRODUCT(X27:X30,'CF Climate'!$B$5:$B$8)</f>
        <v>0.68571428571428572</v>
      </c>
    </row>
    <row r="32" spans="1:24">
      <c r="A32" s="73" t="s">
        <v>125</v>
      </c>
      <c r="B32" s="73" t="s">
        <v>126</v>
      </c>
      <c r="C32" s="74" t="s">
        <v>127</v>
      </c>
      <c r="D32" s="67" t="s">
        <v>135</v>
      </c>
      <c r="E32" s="67" t="s">
        <v>77</v>
      </c>
      <c r="F32" s="75" t="s">
        <v>129</v>
      </c>
      <c r="G32" s="111">
        <f>SUM(H32:X32)</f>
        <v>4.3879948185099291</v>
      </c>
      <c r="H32" s="112">
        <f>'GHG detailed, results per kg CW'!H32/Meat_yield</f>
        <v>0.65715857830165636</v>
      </c>
      <c r="I32" s="112">
        <f>'GHG detailed, results per kg CW'!I32/Meat_yield</f>
        <v>0</v>
      </c>
      <c r="J32" s="112">
        <f>'GHG detailed, results per kg CW'!J32/Meat_yield</f>
        <v>0</v>
      </c>
      <c r="K32" s="112">
        <f>'GHG detailed, results per kg CW'!K32/Meat_yield</f>
        <v>0</v>
      </c>
      <c r="L32" s="112">
        <f>'GHG detailed, results per kg CW'!L32/Meat_yield</f>
        <v>0.78859029396198765</v>
      </c>
      <c r="M32" s="112">
        <f>'GHG detailed, results per kg CW'!M32/Meat_yield</f>
        <v>0</v>
      </c>
      <c r="N32" s="112">
        <f>'GHG detailed, results per kg CW'!N32/Meat_yield</f>
        <v>0</v>
      </c>
      <c r="O32" s="112">
        <f>'GHG detailed, results per kg CW'!O32/Meat_yield</f>
        <v>0</v>
      </c>
      <c r="P32" s="112">
        <f>'GHG detailed, results per kg CW'!P32/Meat_yield</f>
        <v>0</v>
      </c>
      <c r="Q32" s="112">
        <v>0</v>
      </c>
      <c r="R32" s="112">
        <f>'GHG detailed, results per kg CW'!Q32/Meat_yield</f>
        <v>1.730804797890674</v>
      </c>
      <c r="S32" s="112">
        <f>'GHG detailed, results per kg CW'!R32/Meat_yield</f>
        <v>0</v>
      </c>
      <c r="T32" s="112">
        <f>'GHG detailed, results per kg CW'!S32/Meat_yield</f>
        <v>0</v>
      </c>
      <c r="U32" s="112">
        <f>'GHG detailed, results per kg CW'!T32/Meat_yield</f>
        <v>0</v>
      </c>
      <c r="V32" s="112">
        <f>'GHG detailed, results per kg CW'!U32/Meat_yield</f>
        <v>0</v>
      </c>
      <c r="W32" s="112">
        <f>'GHG detailed, results per kg CW'!V32/Meat_yield</f>
        <v>0.52572686264132507</v>
      </c>
      <c r="X32" s="112">
        <f>'GHG detailed, results per kg CW'!W32/Meat_yield</f>
        <v>0.68571428571428572</v>
      </c>
    </row>
    <row r="33" spans="1:24">
      <c r="A33" s="10" t="s">
        <v>125</v>
      </c>
      <c r="B33" s="10" t="s">
        <v>126</v>
      </c>
      <c r="C33" s="11" t="s">
        <v>127</v>
      </c>
      <c r="D33" s="12" t="s">
        <v>135</v>
      </c>
      <c r="E33" s="12" t="s">
        <v>77</v>
      </c>
      <c r="F33" s="10" t="s">
        <v>130</v>
      </c>
      <c r="G33" s="113">
        <f>SUM(H33:X33)</f>
        <v>0</v>
      </c>
      <c r="H33" s="14">
        <f>'GHG detailed, results per kg CW'!H33/Meat_yield</f>
        <v>0</v>
      </c>
      <c r="I33" s="14">
        <f>'GHG detailed, results per kg CW'!I33/Meat_yield</f>
        <v>0</v>
      </c>
      <c r="J33" s="14">
        <f>'GHG detailed, results per kg CW'!J33/Meat_yield</f>
        <v>0</v>
      </c>
      <c r="K33" s="14">
        <f>'GHG detailed, results per kg CW'!K33/Meat_yield</f>
        <v>0</v>
      </c>
      <c r="L33" s="14">
        <f>'GHG detailed, results per kg CW'!L33/Meat_yield</f>
        <v>0</v>
      </c>
      <c r="M33" s="14">
        <f>'GHG detailed, results per kg CW'!M33/Meat_yield</f>
        <v>0</v>
      </c>
      <c r="N33" s="14">
        <f>'GHG detailed, results per kg CW'!N33/Meat_yield</f>
        <v>0</v>
      </c>
      <c r="O33" s="14">
        <f>'GHG detailed, results per kg CW'!O33/Meat_yield</f>
        <v>0</v>
      </c>
      <c r="P33" s="14">
        <f>'GHG detailed, results per kg CW'!P33/Meat_yield</f>
        <v>0</v>
      </c>
      <c r="Q33" s="14">
        <v>0</v>
      </c>
      <c r="R33" s="14">
        <f>'GHG detailed, results per kg CW'!Q33/Meat_yield</f>
        <v>0</v>
      </c>
      <c r="S33" s="14">
        <f>'GHG detailed, results per kg CW'!R33/Meat_yield</f>
        <v>0</v>
      </c>
      <c r="T33" s="14">
        <f>'GHG detailed, results per kg CW'!S33/Meat_yield</f>
        <v>0</v>
      </c>
      <c r="U33" s="14">
        <f>'GHG detailed, results per kg CW'!T33/Meat_yield</f>
        <v>0</v>
      </c>
      <c r="V33" s="14">
        <f>'GHG detailed, results per kg CW'!U33/Meat_yield</f>
        <v>0</v>
      </c>
      <c r="W33" s="14">
        <f>'GHG detailed, results per kg CW'!V33/Meat_yield</f>
        <v>0</v>
      </c>
      <c r="X33" s="14">
        <f>'GHG detailed, results per kg CW'!W33/Meat_yield</f>
        <v>0</v>
      </c>
    </row>
    <row r="34" spans="1:24">
      <c r="A34" s="10" t="s">
        <v>125</v>
      </c>
      <c r="B34" s="10" t="s">
        <v>126</v>
      </c>
      <c r="C34" s="11" t="s">
        <v>127</v>
      </c>
      <c r="D34" s="12" t="s">
        <v>135</v>
      </c>
      <c r="E34" s="12" t="s">
        <v>77</v>
      </c>
      <c r="F34" s="10" t="s">
        <v>131</v>
      </c>
      <c r="G34" s="113">
        <f>SUM(H34:T34)+SUM(W34:X34)</f>
        <v>0.72321563928570531</v>
      </c>
      <c r="H34" s="14">
        <f>'GHG detailed, results per kg CW'!H34/Meat_yield</f>
        <v>0</v>
      </c>
      <c r="I34" s="14">
        <f>'GHG detailed, results per kg CW'!I34/Meat_yield</f>
        <v>0</v>
      </c>
      <c r="J34" s="14">
        <f>'GHG detailed, results per kg CW'!J34/Meat_yield</f>
        <v>0</v>
      </c>
      <c r="K34" s="14">
        <f>'GHG detailed, results per kg CW'!K34/Meat_yield</f>
        <v>0</v>
      </c>
      <c r="L34" s="14">
        <f>'GHG detailed, results per kg CW'!L34/Meat_yield</f>
        <v>0</v>
      </c>
      <c r="M34" s="14">
        <f>'GHG detailed, results per kg CW'!M34/Meat_yield</f>
        <v>0</v>
      </c>
      <c r="N34" s="14">
        <f>'GHG detailed, results per kg CW'!N34/Meat_yield</f>
        <v>0</v>
      </c>
      <c r="O34" s="14">
        <f>'GHG detailed, results per kg CW'!O34/Meat_yield</f>
        <v>0</v>
      </c>
      <c r="P34" s="14">
        <f>'GHG detailed, results per kg CW'!P34/Meat_yield</f>
        <v>0</v>
      </c>
      <c r="Q34" s="14">
        <v>0</v>
      </c>
      <c r="R34" s="14">
        <f>'GHG detailed, results per kg CW'!Q34/Meat_yield</f>
        <v>0</v>
      </c>
      <c r="S34" s="14">
        <f>'GHG detailed, results per kg CW'!R34/Meat_yield</f>
        <v>0.56779048143744582</v>
      </c>
      <c r="T34" s="14">
        <f>'GHG detailed, results per kg CW'!S34/Meat_yield</f>
        <v>0.15542515784825953</v>
      </c>
      <c r="U34" s="14">
        <f>'GHG detailed, results per kg CW'!T34/Meat_yield</f>
        <v>0</v>
      </c>
      <c r="V34" s="14">
        <f>'GHG detailed, results per kg CW'!U34/Meat_yield</f>
        <v>0</v>
      </c>
      <c r="W34" s="14">
        <f>'GHG detailed, results per kg CW'!V34/Meat_yield</f>
        <v>0</v>
      </c>
      <c r="X34" s="14">
        <f>'GHG detailed, results per kg CW'!W34/Meat_yield</f>
        <v>0</v>
      </c>
    </row>
    <row r="35" spans="1:24" ht="15" thickBot="1">
      <c r="A35" s="10" t="s">
        <v>125</v>
      </c>
      <c r="B35" s="10" t="s">
        <v>126</v>
      </c>
      <c r="C35" s="11" t="s">
        <v>127</v>
      </c>
      <c r="D35" s="12" t="s">
        <v>135</v>
      </c>
      <c r="E35" s="12" t="s">
        <v>77</v>
      </c>
      <c r="F35" s="17" t="s">
        <v>132</v>
      </c>
      <c r="G35" s="113">
        <f>SUM(H35:T35)+SUM(W35:X35)</f>
        <v>3.1368391877650871E-2</v>
      </c>
      <c r="H35" s="14">
        <f>'GHG detailed, results per kg CW'!H35/Meat_yield</f>
        <v>2.4071742794932465E-3</v>
      </c>
      <c r="I35" s="14">
        <f>'GHG detailed, results per kg CW'!I35/Meat_yield</f>
        <v>0</v>
      </c>
      <c r="J35" s="14">
        <f>'GHG detailed, results per kg CW'!J35/Meat_yield</f>
        <v>1.2354089718261822E-2</v>
      </c>
      <c r="K35" s="14">
        <f>'GHG detailed, results per kg CW'!K35/Meat_yield</f>
        <v>1.2354089718261822E-3</v>
      </c>
      <c r="L35" s="14">
        <f>'GHG detailed, results per kg CW'!L35/Meat_yield</f>
        <v>0</v>
      </c>
      <c r="M35" s="14">
        <f>'GHG detailed, results per kg CW'!M35/Meat_yield</f>
        <v>0</v>
      </c>
      <c r="N35" s="14">
        <f>'GHG detailed, results per kg CW'!N35/Meat_yield</f>
        <v>0</v>
      </c>
      <c r="O35" s="14">
        <f>'GHG detailed, results per kg CW'!O35/Meat_yield</f>
        <v>0</v>
      </c>
      <c r="P35" s="14">
        <f>'GHG detailed, results per kg CW'!P35/Meat_yield</f>
        <v>0</v>
      </c>
      <c r="Q35" s="14">
        <v>0</v>
      </c>
      <c r="R35" s="14">
        <f>'GHG detailed, results per kg CW'!Q35/Meat_yield</f>
        <v>0</v>
      </c>
      <c r="S35" s="14">
        <f>'GHG detailed, results per kg CW'!R35/Meat_yield</f>
        <v>0</v>
      </c>
      <c r="T35" s="14">
        <f>'GHG detailed, results per kg CW'!S35/Meat_yield</f>
        <v>1.5371718908069621E-2</v>
      </c>
      <c r="U35" s="14">
        <f>'GHG detailed, results per kg CW'!T35/Meat_yield</f>
        <v>0</v>
      </c>
      <c r="V35" s="14">
        <f>'GHG detailed, results per kg CW'!U35/Meat_yield</f>
        <v>0</v>
      </c>
      <c r="W35" s="14">
        <f>'GHG detailed, results per kg CW'!V35/Meat_yield</f>
        <v>0</v>
      </c>
      <c r="X35" s="14">
        <f>'GHG detailed, results per kg CW'!W35/Meat_yield</f>
        <v>0</v>
      </c>
    </row>
    <row r="36" spans="1:24" ht="15" thickTop="1">
      <c r="A36" s="69" t="s">
        <v>125</v>
      </c>
      <c r="B36" s="69" t="s">
        <v>126</v>
      </c>
      <c r="C36" s="70" t="s">
        <v>127</v>
      </c>
      <c r="D36" s="19" t="s">
        <v>135</v>
      </c>
      <c r="E36" s="19" t="s">
        <v>77</v>
      </c>
      <c r="F36" s="72" t="s">
        <v>133</v>
      </c>
      <c r="G36" s="114">
        <f t="shared" si="0"/>
        <v>32.478388061822656</v>
      </c>
      <c r="H36" s="115">
        <f>SUMPRODUCT(H32:H35,'CF Climate'!$B$5:$B$8)</f>
        <v>1.3143171566033125</v>
      </c>
      <c r="I36" s="116">
        <f>SUMPRODUCT(I32:I35,'CF Climate'!$B$5:$B$8)</f>
        <v>0</v>
      </c>
      <c r="J36" s="116">
        <f>SUMPRODUCT(J32:J35,'CF Climate'!$B$5:$B$8)</f>
        <v>3.3726664930854775</v>
      </c>
      <c r="K36" s="116">
        <f>SUMPRODUCT(K32:K35,'CF Climate'!$B$5:$B$8)</f>
        <v>0.33726664930854772</v>
      </c>
      <c r="L36" s="116">
        <f>SUMPRODUCT(L32:L35,'CF Climate'!$B$5:$B$8)</f>
        <v>0.78859029396198765</v>
      </c>
      <c r="M36" s="116">
        <f>SUMPRODUCT(M32:M35,'CF Climate'!$B$5:$B$8)</f>
        <v>0</v>
      </c>
      <c r="N36" s="116">
        <f>SUMPRODUCT(N32:N35,'CF Climate'!$B$5:$B$8)</f>
        <v>0</v>
      </c>
      <c r="O36" s="116">
        <f>SUMPRODUCT(O32:O35,'CF Climate'!$B$5:$B$8)</f>
        <v>0</v>
      </c>
      <c r="P36" s="116">
        <f>SUMPRODUCT(P32:P35,'CF Climate'!$B$5:$B$8)</f>
        <v>0</v>
      </c>
      <c r="Q36" s="118">
        <v>0</v>
      </c>
      <c r="R36" s="116">
        <f>SUMPRODUCT(R32:R35,'CF Climate'!$B$5:$B$8)</f>
        <v>1.730804797890674</v>
      </c>
      <c r="S36" s="116">
        <f>SUMPRODUCT(S32:S35,'CF Climate'!$B$5:$B$8)</f>
        <v>15.330342998811037</v>
      </c>
      <c r="T36" s="116">
        <f>SUMPRODUCT(T32:T35,'CF Climate'!$B$5:$B$8)</f>
        <v>8.392958523806012</v>
      </c>
      <c r="U36" s="116">
        <f>SUMPRODUCT(U32:U35,'CF Climate'!$B$5:$B$8)</f>
        <v>0</v>
      </c>
      <c r="V36" s="116">
        <f>SUMPRODUCT(V32:V35,'CF Climate'!$B$5:$B$8)</f>
        <v>0</v>
      </c>
      <c r="W36" s="116">
        <f>SUMPRODUCT(W32:W35,'CF Climate'!$B$5:$B$8)</f>
        <v>0.52572686264132507</v>
      </c>
      <c r="X36" s="116">
        <f>SUMPRODUCT(X32:X35,'CF Climate'!$B$5:$B$8)</f>
        <v>0.68571428571428572</v>
      </c>
    </row>
    <row r="37" spans="1:24">
      <c r="A37" s="73" t="s">
        <v>125</v>
      </c>
      <c r="B37" s="73" t="s">
        <v>126</v>
      </c>
      <c r="C37" s="74" t="s">
        <v>127</v>
      </c>
      <c r="D37" s="67" t="s">
        <v>78</v>
      </c>
      <c r="E37" s="67" t="s">
        <v>79</v>
      </c>
      <c r="F37" s="75" t="s">
        <v>129</v>
      </c>
      <c r="G37" s="111">
        <f>SUM(H37:X37)</f>
        <v>3.9003356994590241</v>
      </c>
      <c r="H37" s="112">
        <f>'GHG detailed, results per kg CW'!H37/Meat_yield</f>
        <v>0.60017737774618907</v>
      </c>
      <c r="I37" s="112">
        <f>'GHG detailed, results per kg CW'!I37/Meat_yield</f>
        <v>0</v>
      </c>
      <c r="J37" s="112">
        <f>'GHG detailed, results per kg CW'!J37/Meat_yield</f>
        <v>0</v>
      </c>
      <c r="K37" s="112">
        <f>'GHG detailed, results per kg CW'!K37/Meat_yield</f>
        <v>0</v>
      </c>
      <c r="L37" s="112">
        <f>'GHG detailed, results per kg CW'!L37/Meat_yield</f>
        <v>0.72021285329542695</v>
      </c>
      <c r="M37" s="112">
        <f>'GHG detailed, results per kg CW'!M37/Meat_yield</f>
        <v>0</v>
      </c>
      <c r="N37" s="112">
        <f>'GHG detailed, results per kg CW'!N37/Meat_yield</f>
        <v>0</v>
      </c>
      <c r="O37" s="112">
        <f>'GHG detailed, results per kg CW'!O37/Meat_yield</f>
        <v>0</v>
      </c>
      <c r="P37" s="112">
        <f>'GHG detailed, results per kg CW'!P37/Meat_yield</f>
        <v>0</v>
      </c>
      <c r="Q37" s="112">
        <v>0</v>
      </c>
      <c r="R37" s="112">
        <f>'GHG detailed, results per kg CW'!Q37/Meat_yield</f>
        <v>1.4140892805061704</v>
      </c>
      <c r="S37" s="112">
        <f>'GHG detailed, results per kg CW'!R37/Meat_yield</f>
        <v>0</v>
      </c>
      <c r="T37" s="112">
        <f>'GHG detailed, results per kg CW'!S37/Meat_yield</f>
        <v>0</v>
      </c>
      <c r="U37" s="112">
        <f>'GHG detailed, results per kg CW'!T37/Meat_yield</f>
        <v>0</v>
      </c>
      <c r="V37" s="112">
        <f>'GHG detailed, results per kg CW'!U37/Meat_yield</f>
        <v>0</v>
      </c>
      <c r="W37" s="112">
        <f>'GHG detailed, results per kg CW'!V37/Meat_yield</f>
        <v>0.48014190219695135</v>
      </c>
      <c r="X37" s="112">
        <f>'GHG detailed, results per kg CW'!W37/Meat_yield</f>
        <v>0.68571428571428583</v>
      </c>
    </row>
    <row r="38" spans="1:24">
      <c r="A38" s="10" t="s">
        <v>125</v>
      </c>
      <c r="B38" s="10" t="s">
        <v>126</v>
      </c>
      <c r="C38" s="11" t="s">
        <v>127</v>
      </c>
      <c r="D38" s="12" t="s">
        <v>78</v>
      </c>
      <c r="E38" s="12" t="s">
        <v>79</v>
      </c>
      <c r="F38" s="10" t="s">
        <v>130</v>
      </c>
      <c r="G38" s="113">
        <f>SUM(H38:X38)</f>
        <v>0</v>
      </c>
      <c r="H38" s="14">
        <f>'GHG detailed, results per kg CW'!H38/Meat_yield</f>
        <v>0</v>
      </c>
      <c r="I38" s="14">
        <f>'GHG detailed, results per kg CW'!I38/Meat_yield</f>
        <v>0</v>
      </c>
      <c r="J38" s="14">
        <f>'GHG detailed, results per kg CW'!J38/Meat_yield</f>
        <v>0</v>
      </c>
      <c r="K38" s="14">
        <f>'GHG detailed, results per kg CW'!K38/Meat_yield</f>
        <v>0</v>
      </c>
      <c r="L38" s="14">
        <f>'GHG detailed, results per kg CW'!L38/Meat_yield</f>
        <v>0</v>
      </c>
      <c r="M38" s="14">
        <f>'GHG detailed, results per kg CW'!M38/Meat_yield</f>
        <v>0</v>
      </c>
      <c r="N38" s="14">
        <f>'GHG detailed, results per kg CW'!N38/Meat_yield</f>
        <v>0</v>
      </c>
      <c r="O38" s="14">
        <f>'GHG detailed, results per kg CW'!O38/Meat_yield</f>
        <v>0</v>
      </c>
      <c r="P38" s="14">
        <f>'GHG detailed, results per kg CW'!P38/Meat_yield</f>
        <v>0</v>
      </c>
      <c r="Q38" s="14">
        <v>0</v>
      </c>
      <c r="R38" s="14">
        <f>'GHG detailed, results per kg CW'!Q38/Meat_yield</f>
        <v>0</v>
      </c>
      <c r="S38" s="14">
        <f>'GHG detailed, results per kg CW'!R38/Meat_yield</f>
        <v>0</v>
      </c>
      <c r="T38" s="14">
        <f>'GHG detailed, results per kg CW'!S38/Meat_yield</f>
        <v>0</v>
      </c>
      <c r="U38" s="14">
        <f>'GHG detailed, results per kg CW'!T38/Meat_yield</f>
        <v>0</v>
      </c>
      <c r="V38" s="14">
        <f>'GHG detailed, results per kg CW'!U38/Meat_yield</f>
        <v>0</v>
      </c>
      <c r="W38" s="14">
        <f>'GHG detailed, results per kg CW'!V38/Meat_yield</f>
        <v>0</v>
      </c>
      <c r="X38" s="14">
        <f>'GHG detailed, results per kg CW'!W38/Meat_yield</f>
        <v>0</v>
      </c>
    </row>
    <row r="39" spans="1:24">
      <c r="A39" s="10" t="s">
        <v>125</v>
      </c>
      <c r="B39" s="10" t="s">
        <v>126</v>
      </c>
      <c r="C39" s="11" t="s">
        <v>127</v>
      </c>
      <c r="D39" s="12" t="s">
        <v>78</v>
      </c>
      <c r="E39" s="12" t="s">
        <v>79</v>
      </c>
      <c r="F39" s="10" t="s">
        <v>131</v>
      </c>
      <c r="G39" s="113">
        <f>SUM(H39:T39)+SUM(W39:X39)</f>
        <v>0.61979304334241681</v>
      </c>
      <c r="H39" s="14">
        <f>'GHG detailed, results per kg CW'!H39/Meat_yield</f>
        <v>0</v>
      </c>
      <c r="I39" s="14">
        <f>'GHG detailed, results per kg CW'!I39/Meat_yield</f>
        <v>0</v>
      </c>
      <c r="J39" s="14">
        <f>'GHG detailed, results per kg CW'!J39/Meat_yield</f>
        <v>0</v>
      </c>
      <c r="K39" s="14">
        <f>'GHG detailed, results per kg CW'!K39/Meat_yield</f>
        <v>0</v>
      </c>
      <c r="L39" s="14">
        <f>'GHG detailed, results per kg CW'!L39/Meat_yield</f>
        <v>0</v>
      </c>
      <c r="M39" s="14">
        <f>'GHG detailed, results per kg CW'!M39/Meat_yield</f>
        <v>0</v>
      </c>
      <c r="N39" s="14">
        <f>'GHG detailed, results per kg CW'!N39/Meat_yield</f>
        <v>0</v>
      </c>
      <c r="O39" s="14">
        <f>'GHG detailed, results per kg CW'!O39/Meat_yield</f>
        <v>0</v>
      </c>
      <c r="P39" s="14">
        <f>'GHG detailed, results per kg CW'!P39/Meat_yield</f>
        <v>0</v>
      </c>
      <c r="Q39" s="14">
        <v>0</v>
      </c>
      <c r="R39" s="14">
        <f>'GHG detailed, results per kg CW'!Q39/Meat_yield</f>
        <v>0</v>
      </c>
      <c r="S39" s="14">
        <f>'GHG detailed, results per kg CW'!R39/Meat_yield</f>
        <v>0.49009845825822496</v>
      </c>
      <c r="T39" s="14">
        <f>'GHG detailed, results per kg CW'!S39/Meat_yield</f>
        <v>0.1296945850841919</v>
      </c>
      <c r="U39" s="14">
        <f>'GHG detailed, results per kg CW'!T39/Meat_yield</f>
        <v>0</v>
      </c>
      <c r="V39" s="14">
        <f>'GHG detailed, results per kg CW'!U39/Meat_yield</f>
        <v>0</v>
      </c>
      <c r="W39" s="14">
        <f>'GHG detailed, results per kg CW'!V39/Meat_yield</f>
        <v>0</v>
      </c>
      <c r="X39" s="14">
        <f>'GHG detailed, results per kg CW'!W39/Meat_yield</f>
        <v>0</v>
      </c>
    </row>
    <row r="40" spans="1:24" ht="15" thickBot="1">
      <c r="A40" s="10" t="s">
        <v>125</v>
      </c>
      <c r="B40" s="10" t="s">
        <v>126</v>
      </c>
      <c r="C40" s="11" t="s">
        <v>127</v>
      </c>
      <c r="D40" s="12" t="s">
        <v>78</v>
      </c>
      <c r="E40" s="12" t="s">
        <v>79</v>
      </c>
      <c r="F40" s="17" t="s">
        <v>132</v>
      </c>
      <c r="G40" s="113">
        <f>SUM(H40:T40)+SUM(W40:X40)</f>
        <v>2.7134203578798123E-2</v>
      </c>
      <c r="H40" s="14">
        <f>'GHG detailed, results per kg CW'!H40/Meat_yield</f>
        <v>2.1984519331362234E-3</v>
      </c>
      <c r="I40" s="14">
        <f>'GHG detailed, results per kg CW'!I40/Meat_yield</f>
        <v>0</v>
      </c>
      <c r="J40" s="14">
        <f>'GHG detailed, results per kg CW'!J40/Meat_yield</f>
        <v>1.1008013326648412E-2</v>
      </c>
      <c r="K40" s="14">
        <f>'GHG detailed, results per kg CW'!K40/Meat_yield</f>
        <v>1.1008013326648412E-3</v>
      </c>
      <c r="L40" s="14">
        <f>'GHG detailed, results per kg CW'!L40/Meat_yield</f>
        <v>0</v>
      </c>
      <c r="M40" s="14">
        <f>'GHG detailed, results per kg CW'!M40/Meat_yield</f>
        <v>0</v>
      </c>
      <c r="N40" s="14">
        <f>'GHG detailed, results per kg CW'!N40/Meat_yield</f>
        <v>0</v>
      </c>
      <c r="O40" s="14">
        <f>'GHG detailed, results per kg CW'!O40/Meat_yield</f>
        <v>0</v>
      </c>
      <c r="P40" s="14">
        <f>'GHG detailed, results per kg CW'!P40/Meat_yield</f>
        <v>0</v>
      </c>
      <c r="Q40" s="14">
        <v>0</v>
      </c>
      <c r="R40" s="14">
        <f>'GHG detailed, results per kg CW'!Q40/Meat_yield</f>
        <v>0</v>
      </c>
      <c r="S40" s="14">
        <f>'GHG detailed, results per kg CW'!R40/Meat_yield</f>
        <v>0</v>
      </c>
      <c r="T40" s="14">
        <f>'GHG detailed, results per kg CW'!S40/Meat_yield</f>
        <v>1.2826936986348647E-2</v>
      </c>
      <c r="U40" s="14">
        <f>'GHG detailed, results per kg CW'!T40/Meat_yield</f>
        <v>0</v>
      </c>
      <c r="V40" s="14">
        <f>'GHG detailed, results per kg CW'!U40/Meat_yield</f>
        <v>0</v>
      </c>
      <c r="W40" s="14">
        <f>'GHG detailed, results per kg CW'!V40/Meat_yield</f>
        <v>0</v>
      </c>
      <c r="X40" s="14">
        <f>'GHG detailed, results per kg CW'!W40/Meat_yield</f>
        <v>0</v>
      </c>
    </row>
    <row r="41" spans="1:24" ht="15" thickTop="1">
      <c r="A41" s="69" t="s">
        <v>125</v>
      </c>
      <c r="B41" s="69" t="s">
        <v>126</v>
      </c>
      <c r="C41" s="70" t="s">
        <v>127</v>
      </c>
      <c r="D41" s="71" t="s">
        <v>78</v>
      </c>
      <c r="E41" s="71" t="s">
        <v>79</v>
      </c>
      <c r="F41" s="72" t="s">
        <v>133</v>
      </c>
      <c r="G41" s="114">
        <f t="shared" si="0"/>
        <v>28.042385446716168</v>
      </c>
      <c r="H41" s="117">
        <f>SUMPRODUCT(H37:H40,'CF Climate'!$B$5:$B$8)</f>
        <v>1.2003547554923779</v>
      </c>
      <c r="I41" s="118">
        <f>SUMPRODUCT(I37:I40,'CF Climate'!$B$5:$B$8)</f>
        <v>0</v>
      </c>
      <c r="J41" s="118">
        <f>SUMPRODUCT(J37:J40,'CF Climate'!$B$5:$B$8)</f>
        <v>3.0051876381750167</v>
      </c>
      <c r="K41" s="118">
        <f>SUMPRODUCT(K37:K40,'CF Climate'!$B$5:$B$8)</f>
        <v>0.30051876381750164</v>
      </c>
      <c r="L41" s="118">
        <f>SUMPRODUCT(L37:L40,'CF Climate'!$B$5:$B$8)</f>
        <v>0.72021285329542695</v>
      </c>
      <c r="M41" s="118">
        <f>SUMPRODUCT(M37:M40,'CF Climate'!$B$5:$B$8)</f>
        <v>0</v>
      </c>
      <c r="N41" s="118">
        <f>SUMPRODUCT(N37:N40,'CF Climate'!$B$5:$B$8)</f>
        <v>0</v>
      </c>
      <c r="O41" s="118">
        <f>SUMPRODUCT(O37:O40,'CF Climate'!$B$5:$B$8)</f>
        <v>0</v>
      </c>
      <c r="P41" s="118">
        <f>SUMPRODUCT(P37:P40,'CF Climate'!$B$5:$B$8)</f>
        <v>0</v>
      </c>
      <c r="Q41" s="116">
        <v>0</v>
      </c>
      <c r="R41" s="118">
        <f>SUMPRODUCT(R37:R40,'CF Climate'!$B$5:$B$8)</f>
        <v>1.4140892805061704</v>
      </c>
      <c r="S41" s="118">
        <f>SUMPRODUCT(S37:S40,'CF Climate'!$B$5:$B$8)</f>
        <v>13.232658372972073</v>
      </c>
      <c r="T41" s="118">
        <f>SUMPRODUCT(T37:T40,'CF Climate'!$B$5:$B$8)</f>
        <v>7.0035075945463623</v>
      </c>
      <c r="U41" s="118">
        <f>SUMPRODUCT(U37:U40,'CF Climate'!$B$5:$B$8)</f>
        <v>0</v>
      </c>
      <c r="V41" s="118">
        <f>SUMPRODUCT(V37:V40,'CF Climate'!$B$5:$B$8)</f>
        <v>0</v>
      </c>
      <c r="W41" s="118">
        <f>SUMPRODUCT(W37:W40,'CF Climate'!$B$5:$B$8)</f>
        <v>0.48014190219695135</v>
      </c>
      <c r="X41" s="118">
        <f>SUMPRODUCT(X37:X40,'CF Climate'!$B$5:$B$8)</f>
        <v>0.68571428571428583</v>
      </c>
    </row>
    <row r="42" spans="1:24">
      <c r="A42" s="73" t="s">
        <v>125</v>
      </c>
      <c r="B42" s="73" t="s">
        <v>126</v>
      </c>
      <c r="C42" s="74" t="s">
        <v>127</v>
      </c>
      <c r="D42" t="s">
        <v>136</v>
      </c>
      <c r="E42" s="12" t="s">
        <v>81</v>
      </c>
      <c r="F42" s="75" t="s">
        <v>129</v>
      </c>
      <c r="G42" s="111">
        <f>SUM(H42:X42)</f>
        <v>3.2080792584361504</v>
      </c>
      <c r="H42" s="112">
        <f>'GHG detailed, results per kg CW'!H42/Meat_yield</f>
        <v>0.62073995432137541</v>
      </c>
      <c r="I42" s="112">
        <f>'GHG detailed, results per kg CW'!I42/Meat_yield</f>
        <v>0</v>
      </c>
      <c r="J42" s="112">
        <f>'GHG detailed, results per kg CW'!J42/Meat_yield</f>
        <v>0</v>
      </c>
      <c r="K42" s="112">
        <f>'GHG detailed, results per kg CW'!K42/Meat_yield</f>
        <v>0</v>
      </c>
      <c r="L42" s="112">
        <f>'GHG detailed, results per kg CW'!L42/Meat_yield</f>
        <v>0.74488794518565049</v>
      </c>
      <c r="M42" s="112">
        <f>'GHG detailed, results per kg CW'!M42/Meat_yield</f>
        <v>0</v>
      </c>
      <c r="N42" s="112">
        <f>'GHG detailed, results per kg CW'!N42/Meat_yield</f>
        <v>0</v>
      </c>
      <c r="O42" s="112">
        <f>'GHG detailed, results per kg CW'!O42/Meat_yield</f>
        <v>0</v>
      </c>
      <c r="P42" s="112">
        <f>'GHG detailed, results per kg CW'!P42/Meat_yield</f>
        <v>0</v>
      </c>
      <c r="Q42" s="112">
        <v>0</v>
      </c>
      <c r="R42" s="112">
        <f>'GHG detailed, results per kg CW'!Q42/Meat_yield</f>
        <v>0.66014510975773832</v>
      </c>
      <c r="S42" s="112">
        <f>'GHG detailed, results per kg CW'!R42/Meat_yield</f>
        <v>0</v>
      </c>
      <c r="T42" s="112">
        <f>'GHG detailed, results per kg CW'!S42/Meat_yield</f>
        <v>0</v>
      </c>
      <c r="U42" s="112">
        <f>'GHG detailed, results per kg CW'!T42/Meat_yield</f>
        <v>0</v>
      </c>
      <c r="V42" s="112">
        <f>'GHG detailed, results per kg CW'!U42/Meat_yield</f>
        <v>0</v>
      </c>
      <c r="W42" s="112">
        <f>'GHG detailed, results per kg CW'!V42/Meat_yield</f>
        <v>0.49659196345710038</v>
      </c>
      <c r="X42" s="112">
        <f>'GHG detailed, results per kg CW'!W42/Meat_yield</f>
        <v>0.68571428571428572</v>
      </c>
    </row>
    <row r="43" spans="1:24">
      <c r="A43" s="10" t="s">
        <v>125</v>
      </c>
      <c r="B43" s="10" t="s">
        <v>126</v>
      </c>
      <c r="C43" s="11" t="s">
        <v>127</v>
      </c>
      <c r="D43" t="s">
        <v>136</v>
      </c>
      <c r="E43" s="12" t="s">
        <v>81</v>
      </c>
      <c r="F43" s="10" t="s">
        <v>130</v>
      </c>
      <c r="G43" s="113">
        <f>SUM(H43:X43)</f>
        <v>0</v>
      </c>
      <c r="H43" s="14">
        <f>'GHG detailed, results per kg CW'!H43/Meat_yield</f>
        <v>0</v>
      </c>
      <c r="I43" s="14">
        <f>'GHG detailed, results per kg CW'!I43/Meat_yield</f>
        <v>0</v>
      </c>
      <c r="J43" s="14">
        <f>'GHG detailed, results per kg CW'!J43/Meat_yield</f>
        <v>0</v>
      </c>
      <c r="K43" s="14">
        <f>'GHG detailed, results per kg CW'!K43/Meat_yield</f>
        <v>0</v>
      </c>
      <c r="L43" s="14">
        <f>'GHG detailed, results per kg CW'!L43/Meat_yield</f>
        <v>0</v>
      </c>
      <c r="M43" s="14">
        <f>'GHG detailed, results per kg CW'!M43/Meat_yield</f>
        <v>0</v>
      </c>
      <c r="N43" s="14">
        <f>'GHG detailed, results per kg CW'!N43/Meat_yield</f>
        <v>0</v>
      </c>
      <c r="O43" s="14">
        <f>'GHG detailed, results per kg CW'!O43/Meat_yield</f>
        <v>0</v>
      </c>
      <c r="P43" s="14">
        <f>'GHG detailed, results per kg CW'!P43/Meat_yield</f>
        <v>0</v>
      </c>
      <c r="Q43" s="14">
        <v>0</v>
      </c>
      <c r="R43" s="14">
        <f>'GHG detailed, results per kg CW'!Q43/Meat_yield</f>
        <v>0</v>
      </c>
      <c r="S43" s="14">
        <f>'GHG detailed, results per kg CW'!R43/Meat_yield</f>
        <v>0</v>
      </c>
      <c r="T43" s="14">
        <f>'GHG detailed, results per kg CW'!S43/Meat_yield</f>
        <v>0</v>
      </c>
      <c r="U43" s="14">
        <f>'GHG detailed, results per kg CW'!T43/Meat_yield</f>
        <v>0</v>
      </c>
      <c r="V43" s="14">
        <f>'GHG detailed, results per kg CW'!U43/Meat_yield</f>
        <v>0</v>
      </c>
      <c r="W43" s="14">
        <f>'GHG detailed, results per kg CW'!V43/Meat_yield</f>
        <v>0</v>
      </c>
      <c r="X43" s="14">
        <f>'GHG detailed, results per kg CW'!W43/Meat_yield</f>
        <v>0</v>
      </c>
    </row>
    <row r="44" spans="1:24">
      <c r="A44" s="10" t="s">
        <v>125</v>
      </c>
      <c r="B44" s="10" t="s">
        <v>126</v>
      </c>
      <c r="C44" s="11" t="s">
        <v>127</v>
      </c>
      <c r="D44" t="s">
        <v>136</v>
      </c>
      <c r="E44" s="12" t="s">
        <v>81</v>
      </c>
      <c r="F44" s="10" t="s">
        <v>131</v>
      </c>
      <c r="G44" s="113">
        <f>SUM(H44:T44)+SUM(W44:X44)</f>
        <v>0.42451505676438384</v>
      </c>
      <c r="H44" s="14">
        <f>'GHG detailed, results per kg CW'!H44/Meat_yield</f>
        <v>0</v>
      </c>
      <c r="I44" s="14">
        <f>'GHG detailed, results per kg CW'!I44/Meat_yield</f>
        <v>0</v>
      </c>
      <c r="J44" s="14">
        <f>'GHG detailed, results per kg CW'!J44/Meat_yield</f>
        <v>0</v>
      </c>
      <c r="K44" s="14">
        <f>'GHG detailed, results per kg CW'!K44/Meat_yield</f>
        <v>0</v>
      </c>
      <c r="L44" s="14">
        <f>'GHG detailed, results per kg CW'!L44/Meat_yield</f>
        <v>0</v>
      </c>
      <c r="M44" s="14">
        <f>'GHG detailed, results per kg CW'!M44/Meat_yield</f>
        <v>0</v>
      </c>
      <c r="N44" s="14">
        <f>'GHG detailed, results per kg CW'!N44/Meat_yield</f>
        <v>0</v>
      </c>
      <c r="O44" s="14">
        <f>'GHG detailed, results per kg CW'!O44/Meat_yield</f>
        <v>0</v>
      </c>
      <c r="P44" s="14">
        <f>'GHG detailed, results per kg CW'!P44/Meat_yield</f>
        <v>0</v>
      </c>
      <c r="Q44" s="14">
        <v>0</v>
      </c>
      <c r="R44" s="14">
        <f>'GHG detailed, results per kg CW'!Q44/Meat_yield</f>
        <v>0</v>
      </c>
      <c r="S44" s="14">
        <f>'GHG detailed, results per kg CW'!R44/Meat_yield</f>
        <v>0.34245008068887967</v>
      </c>
      <c r="T44" s="14">
        <f>'GHG detailed, results per kg CW'!S44/Meat_yield</f>
        <v>8.2064976075504198E-2</v>
      </c>
      <c r="U44" s="14">
        <f>'GHG detailed, results per kg CW'!T44/Meat_yield</f>
        <v>0</v>
      </c>
      <c r="V44" s="14">
        <f>'GHG detailed, results per kg CW'!U44/Meat_yield</f>
        <v>0</v>
      </c>
      <c r="W44" s="14">
        <f>'GHG detailed, results per kg CW'!V44/Meat_yield</f>
        <v>0</v>
      </c>
      <c r="X44" s="14">
        <f>'GHG detailed, results per kg CW'!W44/Meat_yield</f>
        <v>0</v>
      </c>
    </row>
    <row r="45" spans="1:24" ht="15" thickBot="1">
      <c r="A45" s="10" t="s">
        <v>125</v>
      </c>
      <c r="B45" s="10" t="s">
        <v>126</v>
      </c>
      <c r="C45" s="11" t="s">
        <v>127</v>
      </c>
      <c r="D45" t="s">
        <v>136</v>
      </c>
      <c r="E45" s="12" t="s">
        <v>81</v>
      </c>
      <c r="F45" s="17" t="s">
        <v>132</v>
      </c>
      <c r="G45" s="113">
        <f>SUM(H45:T45)+SUM(W45:X45)</f>
        <v>2.0247212536446103E-2</v>
      </c>
      <c r="H45" s="14">
        <f>'GHG detailed, results per kg CW'!H45/Meat_yield</f>
        <v>2.2737727264519245E-3</v>
      </c>
      <c r="I45" s="14">
        <f>'GHG detailed, results per kg CW'!I45/Meat_yield</f>
        <v>0</v>
      </c>
      <c r="J45" s="14">
        <f>'GHG detailed, results per kg CW'!J45/Meat_yield</f>
        <v>8.9610213589403839E-3</v>
      </c>
      <c r="K45" s="14">
        <f>'GHG detailed, results per kg CW'!K45/Meat_yield</f>
        <v>8.9610213589403839E-4</v>
      </c>
      <c r="L45" s="14">
        <f>'GHG detailed, results per kg CW'!L45/Meat_yield</f>
        <v>0</v>
      </c>
      <c r="M45" s="14">
        <f>'GHG detailed, results per kg CW'!M45/Meat_yield</f>
        <v>0</v>
      </c>
      <c r="N45" s="14">
        <f>'GHG detailed, results per kg CW'!N45/Meat_yield</f>
        <v>0</v>
      </c>
      <c r="O45" s="14">
        <f>'GHG detailed, results per kg CW'!O45/Meat_yield</f>
        <v>0</v>
      </c>
      <c r="P45" s="14">
        <f>'GHG detailed, results per kg CW'!P45/Meat_yield</f>
        <v>0</v>
      </c>
      <c r="Q45" s="14">
        <v>0</v>
      </c>
      <c r="R45" s="14">
        <f>'GHG detailed, results per kg CW'!Q45/Meat_yield</f>
        <v>0</v>
      </c>
      <c r="S45" s="14">
        <f>'GHG detailed, results per kg CW'!R45/Meat_yield</f>
        <v>0</v>
      </c>
      <c r="T45" s="14">
        <f>'GHG detailed, results per kg CW'!S45/Meat_yield</f>
        <v>8.1163163151597544E-3</v>
      </c>
      <c r="U45" s="14">
        <f>'GHG detailed, results per kg CW'!T45/Meat_yield</f>
        <v>0</v>
      </c>
      <c r="V45" s="14">
        <f>'GHG detailed, results per kg CW'!U45/Meat_yield</f>
        <v>0</v>
      </c>
      <c r="W45" s="14">
        <f>'GHG detailed, results per kg CW'!V45/Meat_yield</f>
        <v>0</v>
      </c>
      <c r="X45" s="14">
        <f>'GHG detailed, results per kg CW'!W45/Meat_yield</f>
        <v>0</v>
      </c>
    </row>
    <row r="46" spans="1:24" ht="15" thickTop="1">
      <c r="A46" s="69" t="s">
        <v>125</v>
      </c>
      <c r="B46" s="69" t="s">
        <v>126</v>
      </c>
      <c r="C46" s="70" t="s">
        <v>127</v>
      </c>
      <c r="D46" s="78" t="s">
        <v>136</v>
      </c>
      <c r="E46" s="71" t="s">
        <v>81</v>
      </c>
      <c r="F46" s="72" t="s">
        <v>133</v>
      </c>
      <c r="G46" s="114">
        <f t="shared" si="0"/>
        <v>20.197474813524298</v>
      </c>
      <c r="H46" s="115">
        <f>SUMPRODUCT(H42:H45,'CF Climate'!$B$5:$B$8)</f>
        <v>1.2414799086427508</v>
      </c>
      <c r="I46" s="116">
        <f>SUMPRODUCT(I42:I45,'CF Climate'!$B$5:$B$8)</f>
        <v>0</v>
      </c>
      <c r="J46" s="116">
        <f>SUMPRODUCT(J42:J45,'CF Climate'!$B$5:$B$8)</f>
        <v>2.4463588309907247</v>
      </c>
      <c r="K46" s="116">
        <f>SUMPRODUCT(K42:K45,'CF Climate'!$B$5:$B$8)</f>
        <v>0.24463588309907247</v>
      </c>
      <c r="L46" s="116">
        <f>SUMPRODUCT(L42:L45,'CF Climate'!$B$5:$B$8)</f>
        <v>0.74488794518565049</v>
      </c>
      <c r="M46" s="116">
        <f>SUMPRODUCT(M42:M45,'CF Climate'!$B$5:$B$8)</f>
        <v>0</v>
      </c>
      <c r="N46" s="116">
        <f>SUMPRODUCT(N42:N45,'CF Climate'!$B$5:$B$8)</f>
        <v>0</v>
      </c>
      <c r="O46" s="116">
        <f>SUMPRODUCT(O42:O45,'CF Climate'!$B$5:$B$8)</f>
        <v>0</v>
      </c>
      <c r="P46" s="116">
        <f>SUMPRODUCT(P42:P45,'CF Climate'!$B$5:$B$8)</f>
        <v>0</v>
      </c>
      <c r="Q46" s="116">
        <v>0</v>
      </c>
      <c r="R46" s="116">
        <f>SUMPRODUCT(R42:R45,'CF Climate'!$B$5:$B$8)</f>
        <v>0.66014510975773832</v>
      </c>
      <c r="S46" s="116">
        <f>SUMPRODUCT(S42:S45,'CF Climate'!$B$5:$B$8)</f>
        <v>9.2461521785997505</v>
      </c>
      <c r="T46" s="116">
        <f>SUMPRODUCT(T42:T45,'CF Climate'!$B$5:$B$8)</f>
        <v>4.4315087080772262</v>
      </c>
      <c r="U46" s="116">
        <f>SUMPRODUCT(U42:U45,'CF Climate'!$B$5:$B$8)</f>
        <v>0</v>
      </c>
      <c r="V46" s="116">
        <f>SUMPRODUCT(V42:V45,'CF Climate'!$B$5:$B$8)</f>
        <v>0</v>
      </c>
      <c r="W46" s="116">
        <f>SUMPRODUCT(W42:W45,'CF Climate'!$B$5:$B$8)</f>
        <v>0.49659196345710038</v>
      </c>
      <c r="X46" s="116">
        <f>SUMPRODUCT(X42:X45,'CF Climate'!$B$5:$B$8)</f>
        <v>0.68571428571428572</v>
      </c>
    </row>
    <row r="47" spans="1:24">
      <c r="A47" s="73" t="s">
        <v>125</v>
      </c>
      <c r="B47" s="73" t="s">
        <v>126</v>
      </c>
      <c r="C47" s="74" t="s">
        <v>127</v>
      </c>
      <c r="D47" t="s">
        <v>82</v>
      </c>
      <c r="E47" s="12" t="s">
        <v>83</v>
      </c>
      <c r="F47" s="75" t="s">
        <v>129</v>
      </c>
      <c r="G47" s="111">
        <f>SUM(H47:X47)</f>
        <v>3.6958258601876843</v>
      </c>
      <c r="H47" s="112">
        <f>'GHG detailed, results per kg CW'!H47/Meat_yield</f>
        <v>0.55536417496446799</v>
      </c>
      <c r="I47" s="112">
        <f>'GHG detailed, results per kg CW'!I47/Meat_yield</f>
        <v>0</v>
      </c>
      <c r="J47" s="112">
        <f>'GHG detailed, results per kg CW'!J47/Meat_yield</f>
        <v>0</v>
      </c>
      <c r="K47" s="112">
        <f>'GHG detailed, results per kg CW'!K47/Meat_yield</f>
        <v>0</v>
      </c>
      <c r="L47" s="112">
        <f>'GHG detailed, results per kg CW'!L47/Meat_yield</f>
        <v>0.66643700995736166</v>
      </c>
      <c r="M47" s="112">
        <f>'GHG detailed, results per kg CW'!M47/Meat_yield</f>
        <v>0</v>
      </c>
      <c r="N47" s="112">
        <f>'GHG detailed, results per kg CW'!N47/Meat_yield</f>
        <v>0</v>
      </c>
      <c r="O47" s="112">
        <f>'GHG detailed, results per kg CW'!O47/Meat_yield</f>
        <v>0</v>
      </c>
      <c r="P47" s="112">
        <f>'GHG detailed, results per kg CW'!P47/Meat_yield</f>
        <v>0</v>
      </c>
      <c r="Q47" s="112">
        <v>0</v>
      </c>
      <c r="R47" s="112">
        <f>'GHG detailed, results per kg CW'!Q47/Meat_yield</f>
        <v>1.3440190495799946</v>
      </c>
      <c r="S47" s="112">
        <f>'GHG detailed, results per kg CW'!R47/Meat_yield</f>
        <v>0</v>
      </c>
      <c r="T47" s="112">
        <f>'GHG detailed, results per kg CW'!S47/Meat_yield</f>
        <v>0</v>
      </c>
      <c r="U47" s="112">
        <f>'GHG detailed, results per kg CW'!T47/Meat_yield</f>
        <v>0</v>
      </c>
      <c r="V47" s="112">
        <f>'GHG detailed, results per kg CW'!U47/Meat_yield</f>
        <v>0</v>
      </c>
      <c r="W47" s="112">
        <f>'GHG detailed, results per kg CW'!V47/Meat_yield</f>
        <v>0.44429133997157449</v>
      </c>
      <c r="X47" s="112">
        <f>'GHG detailed, results per kg CW'!W47/Meat_yield</f>
        <v>0.68571428571428561</v>
      </c>
    </row>
    <row r="48" spans="1:24">
      <c r="A48" s="10" t="s">
        <v>125</v>
      </c>
      <c r="B48" s="10" t="s">
        <v>126</v>
      </c>
      <c r="C48" s="11" t="s">
        <v>127</v>
      </c>
      <c r="D48" t="s">
        <v>82</v>
      </c>
      <c r="E48" s="12" t="s">
        <v>83</v>
      </c>
      <c r="F48" s="10" t="s">
        <v>130</v>
      </c>
      <c r="G48" s="113">
        <f>SUM(H48:X48)</f>
        <v>0</v>
      </c>
      <c r="H48" s="14">
        <f>'GHG detailed, results per kg CW'!H48/Meat_yield</f>
        <v>0</v>
      </c>
      <c r="I48" s="14">
        <f>'GHG detailed, results per kg CW'!I48/Meat_yield</f>
        <v>0</v>
      </c>
      <c r="J48" s="14">
        <f>'GHG detailed, results per kg CW'!J48/Meat_yield</f>
        <v>0</v>
      </c>
      <c r="K48" s="14">
        <f>'GHG detailed, results per kg CW'!K48/Meat_yield</f>
        <v>0</v>
      </c>
      <c r="L48" s="14">
        <f>'GHG detailed, results per kg CW'!L48/Meat_yield</f>
        <v>0</v>
      </c>
      <c r="M48" s="14">
        <f>'GHG detailed, results per kg CW'!M48/Meat_yield</f>
        <v>0</v>
      </c>
      <c r="N48" s="14">
        <f>'GHG detailed, results per kg CW'!N48/Meat_yield</f>
        <v>0</v>
      </c>
      <c r="O48" s="14">
        <f>'GHG detailed, results per kg CW'!O48/Meat_yield</f>
        <v>0</v>
      </c>
      <c r="P48" s="14">
        <f>'GHG detailed, results per kg CW'!P48/Meat_yield</f>
        <v>0</v>
      </c>
      <c r="Q48" s="14">
        <v>0</v>
      </c>
      <c r="R48" s="14">
        <f>'GHG detailed, results per kg CW'!Q48/Meat_yield</f>
        <v>0</v>
      </c>
      <c r="S48" s="14">
        <f>'GHG detailed, results per kg CW'!R48/Meat_yield</f>
        <v>0</v>
      </c>
      <c r="T48" s="14">
        <f>'GHG detailed, results per kg CW'!S48/Meat_yield</f>
        <v>0</v>
      </c>
      <c r="U48" s="14">
        <f>'GHG detailed, results per kg CW'!T48/Meat_yield</f>
        <v>0</v>
      </c>
      <c r="V48" s="14">
        <f>'GHG detailed, results per kg CW'!U48/Meat_yield</f>
        <v>0</v>
      </c>
      <c r="W48" s="14">
        <f>'GHG detailed, results per kg CW'!V48/Meat_yield</f>
        <v>0</v>
      </c>
      <c r="X48" s="14">
        <f>'GHG detailed, results per kg CW'!W48/Meat_yield</f>
        <v>0</v>
      </c>
    </row>
    <row r="49" spans="1:25">
      <c r="A49" s="10" t="s">
        <v>125</v>
      </c>
      <c r="B49" s="10" t="s">
        <v>126</v>
      </c>
      <c r="C49" s="11" t="s">
        <v>127</v>
      </c>
      <c r="D49" t="s">
        <v>82</v>
      </c>
      <c r="E49" s="12" t="s">
        <v>83</v>
      </c>
      <c r="F49" s="10" t="s">
        <v>131</v>
      </c>
      <c r="G49" s="113">
        <f>SUM(H49:T49)+SUM(W49:X49)</f>
        <v>0.58641304162707009</v>
      </c>
      <c r="H49" s="14">
        <f>'GHG detailed, results per kg CW'!H49/Meat_yield</f>
        <v>0</v>
      </c>
      <c r="I49" s="14">
        <f>'GHG detailed, results per kg CW'!I49/Meat_yield</f>
        <v>0</v>
      </c>
      <c r="J49" s="14">
        <f>'GHG detailed, results per kg CW'!J49/Meat_yield</f>
        <v>0</v>
      </c>
      <c r="K49" s="14">
        <f>'GHG detailed, results per kg CW'!K49/Meat_yield</f>
        <v>0</v>
      </c>
      <c r="L49" s="14">
        <f>'GHG detailed, results per kg CW'!L49/Meat_yield</f>
        <v>0</v>
      </c>
      <c r="M49" s="14">
        <f>'GHG detailed, results per kg CW'!M49/Meat_yield</f>
        <v>0</v>
      </c>
      <c r="N49" s="14">
        <f>'GHG detailed, results per kg CW'!N49/Meat_yield</f>
        <v>0</v>
      </c>
      <c r="O49" s="14">
        <f>'GHG detailed, results per kg CW'!O49/Meat_yield</f>
        <v>0</v>
      </c>
      <c r="P49" s="14">
        <f>'GHG detailed, results per kg CW'!P49/Meat_yield</f>
        <v>0</v>
      </c>
      <c r="Q49" s="14">
        <v>0</v>
      </c>
      <c r="R49" s="14">
        <f>'GHG detailed, results per kg CW'!Q49/Meat_yield</f>
        <v>0</v>
      </c>
      <c r="S49" s="14">
        <f>'GHG detailed, results per kg CW'!R49/Meat_yield</f>
        <v>0.46521972667547989</v>
      </c>
      <c r="T49" s="14">
        <f>'GHG detailed, results per kg CW'!S49/Meat_yield</f>
        <v>0.12119331495159025</v>
      </c>
      <c r="U49" s="14">
        <f>'GHG detailed, results per kg CW'!T49/Meat_yield</f>
        <v>0</v>
      </c>
      <c r="V49" s="14">
        <f>'GHG detailed, results per kg CW'!U49/Meat_yield</f>
        <v>0</v>
      </c>
      <c r="W49" s="14">
        <f>'GHG detailed, results per kg CW'!V49/Meat_yield</f>
        <v>0</v>
      </c>
      <c r="X49" s="14">
        <f>'GHG detailed, results per kg CW'!W49/Meat_yield</f>
        <v>0</v>
      </c>
    </row>
    <row r="50" spans="1:25" ht="15" thickBot="1">
      <c r="A50" s="10" t="s">
        <v>125</v>
      </c>
      <c r="B50" s="10" t="s">
        <v>126</v>
      </c>
      <c r="C50" s="11" t="s">
        <v>127</v>
      </c>
      <c r="D50" t="s">
        <v>82</v>
      </c>
      <c r="E50" s="12" t="s">
        <v>83</v>
      </c>
      <c r="F50" s="17" t="s">
        <v>132</v>
      </c>
      <c r="G50" s="113">
        <f>SUM(H50:T50)+SUM(W50:X50)</f>
        <v>2.5539195408650687E-2</v>
      </c>
      <c r="H50" s="14">
        <f>'GHG detailed, results per kg CW'!H50/Meat_yield</f>
        <v>2.0343010071958538E-3</v>
      </c>
      <c r="I50" s="14">
        <f>'GHG detailed, results per kg CW'!I50/Meat_yield</f>
        <v>0</v>
      </c>
      <c r="J50" s="14">
        <f>'GHG detailed, results per kg CW'!J50/Meat_yield</f>
        <v>1.0471583975705072E-2</v>
      </c>
      <c r="K50" s="14">
        <f>'GHG detailed, results per kg CW'!K50/Meat_yield</f>
        <v>1.0471583975705072E-3</v>
      </c>
      <c r="L50" s="14">
        <f>'GHG detailed, results per kg CW'!L50/Meat_yield</f>
        <v>0</v>
      </c>
      <c r="M50" s="14">
        <f>'GHG detailed, results per kg CW'!M50/Meat_yield</f>
        <v>0</v>
      </c>
      <c r="N50" s="14">
        <f>'GHG detailed, results per kg CW'!N50/Meat_yield</f>
        <v>0</v>
      </c>
      <c r="O50" s="14">
        <f>'GHG detailed, results per kg CW'!O50/Meat_yield</f>
        <v>0</v>
      </c>
      <c r="P50" s="14">
        <f>'GHG detailed, results per kg CW'!P50/Meat_yield</f>
        <v>0</v>
      </c>
      <c r="Q50" s="14">
        <v>0</v>
      </c>
      <c r="R50" s="14">
        <f>'GHG detailed, results per kg CW'!Q50/Meat_yield</f>
        <v>0</v>
      </c>
      <c r="S50" s="14">
        <f>'GHG detailed, results per kg CW'!R50/Meat_yield</f>
        <v>0</v>
      </c>
      <c r="T50" s="14">
        <f>'GHG detailed, results per kg CW'!S50/Meat_yield</f>
        <v>1.1986152028179254E-2</v>
      </c>
      <c r="U50" s="14">
        <f>'GHG detailed, results per kg CW'!T50/Meat_yield</f>
        <v>0</v>
      </c>
      <c r="V50" s="14">
        <f>'GHG detailed, results per kg CW'!U50/Meat_yield</f>
        <v>0</v>
      </c>
      <c r="W50" s="14">
        <f>'GHG detailed, results per kg CW'!V50/Meat_yield</f>
        <v>0</v>
      </c>
      <c r="X50" s="14">
        <f>'GHG detailed, results per kg CW'!W50/Meat_yield</f>
        <v>0</v>
      </c>
    </row>
    <row r="51" spans="1:25" ht="15" thickTop="1">
      <c r="A51" s="69" t="s">
        <v>125</v>
      </c>
      <c r="B51" s="69" t="s">
        <v>126</v>
      </c>
      <c r="C51" s="70" t="s">
        <v>127</v>
      </c>
      <c r="D51" s="78" t="s">
        <v>82</v>
      </c>
      <c r="E51" s="19" t="s">
        <v>83</v>
      </c>
      <c r="F51" s="72" t="s">
        <v>133</v>
      </c>
      <c r="G51" s="114">
        <f t="shared" si="0"/>
        <v>26.501178330680219</v>
      </c>
      <c r="H51" s="115">
        <f>SUMPRODUCT(H47:H50,'CF Climate'!$B$5:$B$8)</f>
        <v>1.110728349928936</v>
      </c>
      <c r="I51" s="116">
        <f>SUMPRODUCT(I47:I50,'CF Climate'!$B$5:$B$8)</f>
        <v>0</v>
      </c>
      <c r="J51" s="116">
        <f>SUMPRODUCT(J47:J50,'CF Climate'!$B$5:$B$8)</f>
        <v>2.8587424253674847</v>
      </c>
      <c r="K51" s="116">
        <f>SUMPRODUCT(K47:K50,'CF Climate'!$B$5:$B$8)</f>
        <v>0.28587424253674848</v>
      </c>
      <c r="L51" s="116">
        <f>SUMPRODUCT(L47:L50,'CF Climate'!$B$5:$B$8)</f>
        <v>0.66643700995736166</v>
      </c>
      <c r="M51" s="116">
        <f>SUMPRODUCT(M47:M50,'CF Climate'!$B$5:$B$8)</f>
        <v>0</v>
      </c>
      <c r="N51" s="116">
        <f>SUMPRODUCT(N47:N50,'CF Climate'!$B$5:$B$8)</f>
        <v>0</v>
      </c>
      <c r="O51" s="116">
        <f>SUMPRODUCT(O47:O50,'CF Climate'!$B$5:$B$8)</f>
        <v>0</v>
      </c>
      <c r="P51" s="116">
        <f>SUMPRODUCT(P47:P50,'CF Climate'!$B$5:$B$8)</f>
        <v>0</v>
      </c>
      <c r="Q51" s="116">
        <v>0</v>
      </c>
      <c r="R51" s="116">
        <f>SUMPRODUCT(R47:R50,'CF Climate'!$B$5:$B$8)</f>
        <v>1.3440190495799946</v>
      </c>
      <c r="S51" s="116">
        <f>SUMPRODUCT(S47:S50,'CF Climate'!$B$5:$B$8)</f>
        <v>12.560932620237956</v>
      </c>
      <c r="T51" s="116">
        <f>SUMPRODUCT(T47:T50,'CF Climate'!$B$5:$B$8)</f>
        <v>6.5444390073858738</v>
      </c>
      <c r="U51" s="116">
        <f>SUMPRODUCT(U47:U50,'CF Climate'!$B$5:$B$8)</f>
        <v>0</v>
      </c>
      <c r="V51" s="116">
        <f>SUMPRODUCT(V47:V50,'CF Climate'!$B$5:$B$8)</f>
        <v>0</v>
      </c>
      <c r="W51" s="116">
        <f>SUMPRODUCT(W47:W50,'CF Climate'!$B$5:$B$8)</f>
        <v>0.44429133997157449</v>
      </c>
      <c r="X51" s="116">
        <f>SUMPRODUCT(X47:X50,'CF Climate'!$B$5:$B$8)</f>
        <v>0.68571428571428561</v>
      </c>
    </row>
    <row r="52" spans="1:25">
      <c r="A52" s="73" t="s">
        <v>125</v>
      </c>
      <c r="B52" s="73" t="s">
        <v>126</v>
      </c>
      <c r="C52" s="74" t="s">
        <v>127</v>
      </c>
      <c r="D52" t="s">
        <v>84</v>
      </c>
      <c r="E52" s="67" t="s">
        <v>85</v>
      </c>
      <c r="F52" s="75" t="s">
        <v>129</v>
      </c>
      <c r="G52" s="111">
        <f>SUM(H52:X52)</f>
        <v>4.3646161206423812</v>
      </c>
      <c r="H52" s="112">
        <f>'GHG detailed, results per kg CW'!H52/Meat_yield</f>
        <v>0.70219497641620887</v>
      </c>
      <c r="I52" s="112">
        <f>'GHG detailed, results per kg CW'!I52/Meat_yield</f>
        <v>0</v>
      </c>
      <c r="J52" s="112">
        <f>'GHG detailed, results per kg CW'!J52/Meat_yield</f>
        <v>0</v>
      </c>
      <c r="K52" s="112">
        <f>'GHG detailed, results per kg CW'!K52/Meat_yield</f>
        <v>0</v>
      </c>
      <c r="L52" s="112">
        <f>'GHG detailed, results per kg CW'!L52/Meat_yield</f>
        <v>0.84263397169945053</v>
      </c>
      <c r="M52" s="112">
        <f>'GHG detailed, results per kg CW'!M52/Meat_yield</f>
        <v>0</v>
      </c>
      <c r="N52" s="112">
        <f>'GHG detailed, results per kg CW'!N52/Meat_yield</f>
        <v>0</v>
      </c>
      <c r="O52" s="112">
        <f>'GHG detailed, results per kg CW'!O52/Meat_yield</f>
        <v>0</v>
      </c>
      <c r="P52" s="112">
        <f>'GHG detailed, results per kg CW'!P52/Meat_yield</f>
        <v>0</v>
      </c>
      <c r="Q52" s="112">
        <v>0</v>
      </c>
      <c r="R52" s="112">
        <f>'GHG detailed, results per kg CW'!Q52/Meat_yield</f>
        <v>1.572316905679469</v>
      </c>
      <c r="S52" s="112">
        <f>'GHG detailed, results per kg CW'!R52/Meat_yield</f>
        <v>0</v>
      </c>
      <c r="T52" s="112">
        <f>'GHG detailed, results per kg CW'!S52/Meat_yield</f>
        <v>0</v>
      </c>
      <c r="U52" s="112">
        <f>'GHG detailed, results per kg CW'!T52/Meat_yield</f>
        <v>0</v>
      </c>
      <c r="V52" s="112">
        <f>'GHG detailed, results per kg CW'!U52/Meat_yield</f>
        <v>0</v>
      </c>
      <c r="W52" s="112">
        <f>'GHG detailed, results per kg CW'!V52/Meat_yield</f>
        <v>0.5617559811329671</v>
      </c>
      <c r="X52" s="112">
        <f>'GHG detailed, results per kg CW'!W52/Meat_yield</f>
        <v>0.68571428571428594</v>
      </c>
    </row>
    <row r="53" spans="1:25">
      <c r="A53" s="10" t="s">
        <v>125</v>
      </c>
      <c r="B53" s="10" t="s">
        <v>126</v>
      </c>
      <c r="C53" s="11" t="s">
        <v>127</v>
      </c>
      <c r="D53" t="s">
        <v>84</v>
      </c>
      <c r="E53" s="12" t="s">
        <v>85</v>
      </c>
      <c r="F53" s="10" t="s">
        <v>130</v>
      </c>
      <c r="G53" s="113">
        <f>SUM(H53:X53)</f>
        <v>0</v>
      </c>
      <c r="H53" s="14">
        <f>'GHG detailed, results per kg CW'!H53/Meat_yield</f>
        <v>0</v>
      </c>
      <c r="I53" s="14">
        <f>'GHG detailed, results per kg CW'!I53/Meat_yield</f>
        <v>0</v>
      </c>
      <c r="J53" s="14">
        <f>'GHG detailed, results per kg CW'!J53/Meat_yield</f>
        <v>0</v>
      </c>
      <c r="K53" s="14">
        <f>'GHG detailed, results per kg CW'!K53/Meat_yield</f>
        <v>0</v>
      </c>
      <c r="L53" s="14">
        <f>'GHG detailed, results per kg CW'!L53/Meat_yield</f>
        <v>0</v>
      </c>
      <c r="M53" s="14">
        <f>'GHG detailed, results per kg CW'!M53/Meat_yield</f>
        <v>0</v>
      </c>
      <c r="N53" s="14">
        <f>'GHG detailed, results per kg CW'!N53/Meat_yield</f>
        <v>0</v>
      </c>
      <c r="O53" s="14">
        <f>'GHG detailed, results per kg CW'!O53/Meat_yield</f>
        <v>0</v>
      </c>
      <c r="P53" s="14">
        <f>'GHG detailed, results per kg CW'!P53/Meat_yield</f>
        <v>0</v>
      </c>
      <c r="Q53" s="14">
        <v>0</v>
      </c>
      <c r="R53" s="14">
        <f>'GHG detailed, results per kg CW'!Q53/Meat_yield</f>
        <v>0</v>
      </c>
      <c r="S53" s="14">
        <f>'GHG detailed, results per kg CW'!R53/Meat_yield</f>
        <v>0</v>
      </c>
      <c r="T53" s="14">
        <f>'GHG detailed, results per kg CW'!S53/Meat_yield</f>
        <v>0</v>
      </c>
      <c r="U53" s="14">
        <f>'GHG detailed, results per kg CW'!T53/Meat_yield</f>
        <v>0</v>
      </c>
      <c r="V53" s="14">
        <f>'GHG detailed, results per kg CW'!U53/Meat_yield</f>
        <v>0</v>
      </c>
      <c r="W53" s="14">
        <f>'GHG detailed, results per kg CW'!V53/Meat_yield</f>
        <v>0</v>
      </c>
      <c r="X53" s="14">
        <f>'GHG detailed, results per kg CW'!W53/Meat_yield</f>
        <v>0</v>
      </c>
    </row>
    <row r="54" spans="1:25">
      <c r="A54" s="10" t="s">
        <v>125</v>
      </c>
      <c r="B54" s="10" t="s">
        <v>126</v>
      </c>
      <c r="C54" s="11" t="s">
        <v>127</v>
      </c>
      <c r="D54" t="s">
        <v>84</v>
      </c>
      <c r="E54" s="12" t="s">
        <v>85</v>
      </c>
      <c r="F54" s="10" t="s">
        <v>131</v>
      </c>
      <c r="G54" s="113">
        <f>SUM(H54:T54)+SUM(W54:X54)</f>
        <v>0.69543787426126324</v>
      </c>
      <c r="H54" s="14">
        <f>'GHG detailed, results per kg CW'!H54/Meat_yield</f>
        <v>0</v>
      </c>
      <c r="I54" s="14">
        <f>'GHG detailed, results per kg CW'!I54/Meat_yield</f>
        <v>0</v>
      </c>
      <c r="J54" s="14">
        <f>'GHG detailed, results per kg CW'!J54/Meat_yield</f>
        <v>0</v>
      </c>
      <c r="K54" s="14">
        <f>'GHG detailed, results per kg CW'!K54/Meat_yield</f>
        <v>0</v>
      </c>
      <c r="L54" s="14">
        <f>'GHG detailed, results per kg CW'!L54/Meat_yield</f>
        <v>0</v>
      </c>
      <c r="M54" s="14">
        <f>'GHG detailed, results per kg CW'!M54/Meat_yield</f>
        <v>0</v>
      </c>
      <c r="N54" s="14">
        <f>'GHG detailed, results per kg CW'!N54/Meat_yield</f>
        <v>0</v>
      </c>
      <c r="O54" s="14">
        <f>'GHG detailed, results per kg CW'!O54/Meat_yield</f>
        <v>0</v>
      </c>
      <c r="P54" s="14">
        <f>'GHG detailed, results per kg CW'!P54/Meat_yield</f>
        <v>0</v>
      </c>
      <c r="Q54" s="14">
        <v>0</v>
      </c>
      <c r="R54" s="14">
        <f>'GHG detailed, results per kg CW'!Q54/Meat_yield</f>
        <v>0</v>
      </c>
      <c r="S54" s="14">
        <f>'GHG detailed, results per kg CW'!R54/Meat_yield</f>
        <v>0.54647450045221568</v>
      </c>
      <c r="T54" s="14">
        <f>'GHG detailed, results per kg CW'!S54/Meat_yield</f>
        <v>0.14896337380904759</v>
      </c>
      <c r="U54" s="14">
        <f>'GHG detailed, results per kg CW'!T54/Meat_yield</f>
        <v>0</v>
      </c>
      <c r="V54" s="14">
        <f>'GHG detailed, results per kg CW'!U54/Meat_yield</f>
        <v>0</v>
      </c>
      <c r="W54" s="14">
        <f>'GHG detailed, results per kg CW'!V54/Meat_yield</f>
        <v>0</v>
      </c>
      <c r="X54" s="14">
        <f>'GHG detailed, results per kg CW'!W54/Meat_yield</f>
        <v>0</v>
      </c>
    </row>
    <row r="55" spans="1:25" ht="15" thickBot="1">
      <c r="A55" s="10" t="s">
        <v>125</v>
      </c>
      <c r="B55" s="10" t="s">
        <v>126</v>
      </c>
      <c r="C55" s="11" t="s">
        <v>127</v>
      </c>
      <c r="D55" t="s">
        <v>84</v>
      </c>
      <c r="E55" s="12" t="s">
        <v>85</v>
      </c>
      <c r="F55" s="17" t="s">
        <v>132</v>
      </c>
      <c r="G55" s="113">
        <f>SUM(H55:T55)+SUM(W55:X55)</f>
        <v>3.0752770565681389E-2</v>
      </c>
      <c r="H55" s="14">
        <f>'GHG detailed, results per kg CW'!H55/Meat_yield</f>
        <v>2.5721427707553436E-3</v>
      </c>
      <c r="I55" s="14">
        <f>'GHG detailed, results per kg CW'!I55/Meat_yield</f>
        <v>0</v>
      </c>
      <c r="J55" s="14">
        <f>'GHG detailed, results per kg CW'!J55/Meat_yield</f>
        <v>1.2225442208360058E-2</v>
      </c>
      <c r="K55" s="14">
        <f>'GHG detailed, results per kg CW'!K55/Meat_yield</f>
        <v>1.2225442208360058E-3</v>
      </c>
      <c r="L55" s="14">
        <f>'GHG detailed, results per kg CW'!L55/Meat_yield</f>
        <v>0</v>
      </c>
      <c r="M55" s="14">
        <f>'GHG detailed, results per kg CW'!M55/Meat_yield</f>
        <v>0</v>
      </c>
      <c r="N55" s="14">
        <f>'GHG detailed, results per kg CW'!N55/Meat_yield</f>
        <v>0</v>
      </c>
      <c r="O55" s="14">
        <f>'GHG detailed, results per kg CW'!O55/Meat_yield</f>
        <v>0</v>
      </c>
      <c r="P55" s="14">
        <f>'GHG detailed, results per kg CW'!P55/Meat_yield</f>
        <v>0</v>
      </c>
      <c r="Q55" s="14">
        <v>0</v>
      </c>
      <c r="R55" s="14">
        <f>'GHG detailed, results per kg CW'!Q55/Meat_yield</f>
        <v>0</v>
      </c>
      <c r="S55" s="14">
        <f>'GHG detailed, results per kg CW'!R55/Meat_yield</f>
        <v>0</v>
      </c>
      <c r="T55" s="14">
        <f>'GHG detailed, results per kg CW'!S55/Meat_yield</f>
        <v>1.4732641365729982E-2</v>
      </c>
      <c r="U55" s="14">
        <f>'GHG detailed, results per kg CW'!T55/Meat_yield</f>
        <v>0</v>
      </c>
      <c r="V55" s="14">
        <f>'GHG detailed, results per kg CW'!U55/Meat_yield</f>
        <v>0</v>
      </c>
      <c r="W55" s="14">
        <f>'GHG detailed, results per kg CW'!V55/Meat_yield</f>
        <v>0</v>
      </c>
      <c r="X55" s="14">
        <f>'GHG detailed, results per kg CW'!W55/Meat_yield</f>
        <v>0</v>
      </c>
    </row>
    <row r="56" spans="1:25" ht="15" thickTop="1">
      <c r="A56" s="69" t="s">
        <v>125</v>
      </c>
      <c r="B56" s="69" t="s">
        <v>126</v>
      </c>
      <c r="C56" s="70" t="s">
        <v>127</v>
      </c>
      <c r="D56" s="78" t="s">
        <v>84</v>
      </c>
      <c r="E56" s="71" t="s">
        <v>85</v>
      </c>
      <c r="F56" s="72" t="s">
        <v>133</v>
      </c>
      <c r="G56" s="114">
        <f t="shared" si="0"/>
        <v>31.536945090127514</v>
      </c>
      <c r="H56" s="117">
        <f>SUMPRODUCT(H52:H55,'CF Climate'!$B$5:$B$8)</f>
        <v>1.4043899528324175</v>
      </c>
      <c r="I56" s="118">
        <f>SUMPRODUCT(I52:I55,'CF Climate'!$B$5:$B$8)</f>
        <v>0</v>
      </c>
      <c r="J56" s="118">
        <f>SUMPRODUCT(J52:J55,'CF Climate'!$B$5:$B$8)</f>
        <v>3.3375457228822958</v>
      </c>
      <c r="K56" s="118">
        <f>SUMPRODUCT(K52:K55,'CF Climate'!$B$5:$B$8)</f>
        <v>0.33375457228822958</v>
      </c>
      <c r="L56" s="118">
        <f>SUMPRODUCT(L52:L55,'CF Climate'!$B$5:$B$8)</f>
        <v>0.84263397169945053</v>
      </c>
      <c r="M56" s="118">
        <f>SUMPRODUCT(M52:M55,'CF Climate'!$B$5:$B$8)</f>
        <v>0</v>
      </c>
      <c r="N56" s="118">
        <f>SUMPRODUCT(N52:N55,'CF Climate'!$B$5:$B$8)</f>
        <v>0</v>
      </c>
      <c r="O56" s="118">
        <f>SUMPRODUCT(O52:O55,'CF Climate'!$B$5:$B$8)</f>
        <v>0</v>
      </c>
      <c r="P56" s="118">
        <f>SUMPRODUCT(P52:P55,'CF Climate'!$B$5:$B$8)</f>
        <v>0</v>
      </c>
      <c r="Q56" s="118">
        <v>0</v>
      </c>
      <c r="R56" s="118">
        <f>SUMPRODUCT(R52:R55,'CF Climate'!$B$5:$B$8)</f>
        <v>1.572316905679469</v>
      </c>
      <c r="S56" s="118">
        <f>SUMPRODUCT(S52:S55,'CF Climate'!$B$5:$B$8)</f>
        <v>14.754811512209823</v>
      </c>
      <c r="T56" s="118">
        <f>SUMPRODUCT(T52:T55,'CF Climate'!$B$5:$B$8)</f>
        <v>8.0440221856885703</v>
      </c>
      <c r="U56" s="118">
        <f>SUMPRODUCT(U52:U55,'CF Climate'!$B$5:$B$8)</f>
        <v>0</v>
      </c>
      <c r="V56" s="118">
        <f>SUMPRODUCT(V52:V55,'CF Climate'!$B$5:$B$8)</f>
        <v>0</v>
      </c>
      <c r="W56" s="118">
        <f>SUMPRODUCT(W52:W55,'CF Climate'!$B$5:$B$8)</f>
        <v>0.5617559811329671</v>
      </c>
      <c r="X56" s="118">
        <f>SUMPRODUCT(X52:X55,'CF Climate'!$B$5:$B$8)</f>
        <v>0.68571428571428594</v>
      </c>
    </row>
    <row r="57" spans="1:25">
      <c r="A57" s="10" t="s">
        <v>125</v>
      </c>
      <c r="B57" s="10" t="s">
        <v>126</v>
      </c>
      <c r="C57" s="11" t="s">
        <v>127</v>
      </c>
      <c r="D57" s="12" t="s">
        <v>86</v>
      </c>
      <c r="E57" s="12" t="s">
        <v>87</v>
      </c>
      <c r="F57" s="18" t="s">
        <v>129</v>
      </c>
      <c r="G57" s="111">
        <f>SUM(H57:X57)</f>
        <v>4.4044399218624921</v>
      </c>
      <c r="H57" s="112">
        <f>'GHG detailed, results per kg CW'!H57/Meat_yield</f>
        <v>0.67687710893935438</v>
      </c>
      <c r="I57" s="112">
        <f>'GHG detailed, results per kg CW'!I57/Meat_yield</f>
        <v>0</v>
      </c>
      <c r="J57" s="112">
        <f>'GHG detailed, results per kg CW'!J57/Meat_yield</f>
        <v>0</v>
      </c>
      <c r="K57" s="112">
        <f>'GHG detailed, results per kg CW'!K57/Meat_yield</f>
        <v>0</v>
      </c>
      <c r="L57" s="112">
        <f>'GHG detailed, results per kg CW'!L57/Meat_yield</f>
        <v>0.81225253072722536</v>
      </c>
      <c r="M57" s="112">
        <f>'GHG detailed, results per kg CW'!M57/Meat_yield</f>
        <v>0</v>
      </c>
      <c r="N57" s="112">
        <f>'GHG detailed, results per kg CW'!N57/Meat_yield</f>
        <v>0</v>
      </c>
      <c r="O57" s="112">
        <f>'GHG detailed, results per kg CW'!O57/Meat_yield</f>
        <v>0</v>
      </c>
      <c r="P57" s="112">
        <f>'GHG detailed, results per kg CW'!P57/Meat_yield</f>
        <v>0</v>
      </c>
      <c r="Q57" s="112">
        <v>0</v>
      </c>
      <c r="R57" s="112">
        <f>'GHG detailed, results per kg CW'!Q57/Meat_yield</f>
        <v>1.6880943093301433</v>
      </c>
      <c r="S57" s="112">
        <f>'GHG detailed, results per kg CW'!R57/Meat_yield</f>
        <v>0</v>
      </c>
      <c r="T57" s="112">
        <f>'GHG detailed, results per kg CW'!S57/Meat_yield</f>
        <v>0</v>
      </c>
      <c r="U57" s="112">
        <f>'GHG detailed, results per kg CW'!T57/Meat_yield</f>
        <v>0</v>
      </c>
      <c r="V57" s="112">
        <f>'GHG detailed, results per kg CW'!U57/Meat_yield</f>
        <v>0</v>
      </c>
      <c r="W57" s="112">
        <f>'GHG detailed, results per kg CW'!V57/Meat_yield</f>
        <v>0.54150168715148361</v>
      </c>
      <c r="X57" s="112">
        <f>'GHG detailed, results per kg CW'!W57/Meat_yield</f>
        <v>0.68571428571428572</v>
      </c>
      <c r="Y57" s="14"/>
    </row>
    <row r="58" spans="1:25">
      <c r="A58" s="10" t="s">
        <v>125</v>
      </c>
      <c r="B58" s="10" t="s">
        <v>126</v>
      </c>
      <c r="C58" s="11" t="s">
        <v>127</v>
      </c>
      <c r="D58" s="12" t="s">
        <v>86</v>
      </c>
      <c r="E58" s="12" t="s">
        <v>87</v>
      </c>
      <c r="F58" s="10" t="s">
        <v>130</v>
      </c>
      <c r="G58" s="113">
        <f>SUM(H58:X58)</f>
        <v>0</v>
      </c>
      <c r="H58" s="14">
        <f>'GHG detailed, results per kg CW'!H58/Meat_yield</f>
        <v>0</v>
      </c>
      <c r="I58" s="14">
        <f>'GHG detailed, results per kg CW'!I58/Meat_yield</f>
        <v>0</v>
      </c>
      <c r="J58" s="14">
        <f>'GHG detailed, results per kg CW'!J58/Meat_yield</f>
        <v>0</v>
      </c>
      <c r="K58" s="14">
        <f>'GHG detailed, results per kg CW'!K58/Meat_yield</f>
        <v>0</v>
      </c>
      <c r="L58" s="14">
        <f>'GHG detailed, results per kg CW'!L58/Meat_yield</f>
        <v>0</v>
      </c>
      <c r="M58" s="14">
        <f>'GHG detailed, results per kg CW'!M58/Meat_yield</f>
        <v>0</v>
      </c>
      <c r="N58" s="14">
        <f>'GHG detailed, results per kg CW'!N58/Meat_yield</f>
        <v>0</v>
      </c>
      <c r="O58" s="14">
        <f>'GHG detailed, results per kg CW'!O58/Meat_yield</f>
        <v>0</v>
      </c>
      <c r="P58" s="14">
        <f>'GHG detailed, results per kg CW'!P58/Meat_yield</f>
        <v>0</v>
      </c>
      <c r="Q58" s="14">
        <v>0</v>
      </c>
      <c r="R58" s="14">
        <f>'GHG detailed, results per kg CW'!Q58/Meat_yield</f>
        <v>0</v>
      </c>
      <c r="S58" s="14">
        <f>'GHG detailed, results per kg CW'!R58/Meat_yield</f>
        <v>0</v>
      </c>
      <c r="T58" s="14">
        <f>'GHG detailed, results per kg CW'!S58/Meat_yield</f>
        <v>0</v>
      </c>
      <c r="U58" s="14">
        <f>'GHG detailed, results per kg CW'!T58/Meat_yield</f>
        <v>0</v>
      </c>
      <c r="V58" s="14">
        <f>'GHG detailed, results per kg CW'!U58/Meat_yield</f>
        <v>0</v>
      </c>
      <c r="W58" s="14">
        <f>'GHG detailed, results per kg CW'!V58/Meat_yield</f>
        <v>0</v>
      </c>
      <c r="X58" s="14">
        <f>'GHG detailed, results per kg CW'!W58/Meat_yield</f>
        <v>0</v>
      </c>
      <c r="Y58" s="14"/>
    </row>
    <row r="59" spans="1:25">
      <c r="A59" s="10" t="s">
        <v>125</v>
      </c>
      <c r="B59" s="10" t="s">
        <v>126</v>
      </c>
      <c r="C59" s="11" t="s">
        <v>127</v>
      </c>
      <c r="D59" s="12" t="s">
        <v>86</v>
      </c>
      <c r="E59" s="12" t="s">
        <v>87</v>
      </c>
      <c r="F59" s="10" t="s">
        <v>131</v>
      </c>
      <c r="G59" s="113">
        <f>SUM(H59:T59)+SUM(W59:X59)</f>
        <v>0.71820140018086598</v>
      </c>
      <c r="H59" s="14">
        <f>'GHG detailed, results per kg CW'!H59/Meat_yield</f>
        <v>0</v>
      </c>
      <c r="I59" s="14">
        <f>'GHG detailed, results per kg CW'!I59/Meat_yield</f>
        <v>0</v>
      </c>
      <c r="J59" s="14">
        <f>'GHG detailed, results per kg CW'!J59/Meat_yield</f>
        <v>0</v>
      </c>
      <c r="K59" s="14">
        <f>'GHG detailed, results per kg CW'!K59/Meat_yield</f>
        <v>0</v>
      </c>
      <c r="L59" s="14">
        <f>'GHG detailed, results per kg CW'!L59/Meat_yield</f>
        <v>0</v>
      </c>
      <c r="M59" s="14">
        <f>'GHG detailed, results per kg CW'!M59/Meat_yield</f>
        <v>0</v>
      </c>
      <c r="N59" s="14">
        <f>'GHG detailed, results per kg CW'!N59/Meat_yield</f>
        <v>0</v>
      </c>
      <c r="O59" s="14">
        <f>'GHG detailed, results per kg CW'!O59/Meat_yield</f>
        <v>0</v>
      </c>
      <c r="P59" s="14">
        <f>'GHG detailed, results per kg CW'!P59/Meat_yield</f>
        <v>0</v>
      </c>
      <c r="Q59" s="14">
        <v>0</v>
      </c>
      <c r="R59" s="14">
        <f>'GHG detailed, results per kg CW'!Q59/Meat_yield</f>
        <v>0</v>
      </c>
      <c r="S59" s="14">
        <f>'GHG detailed, results per kg CW'!R59/Meat_yield</f>
        <v>0.56385643027917665</v>
      </c>
      <c r="T59" s="14">
        <f>'GHG detailed, results per kg CW'!S59/Meat_yield</f>
        <v>0.15434496990168931</v>
      </c>
      <c r="U59" s="14">
        <f>'GHG detailed, results per kg CW'!T59/Meat_yield</f>
        <v>0</v>
      </c>
      <c r="V59" s="14">
        <f>'GHG detailed, results per kg CW'!U59/Meat_yield</f>
        <v>0</v>
      </c>
      <c r="W59" s="14">
        <f>'GHG detailed, results per kg CW'!V59/Meat_yield</f>
        <v>0</v>
      </c>
      <c r="X59" s="14">
        <f>'GHG detailed, results per kg CW'!W59/Meat_yield</f>
        <v>0</v>
      </c>
      <c r="Y59" s="14"/>
    </row>
    <row r="60" spans="1:25" ht="15" thickBot="1">
      <c r="A60" s="10" t="s">
        <v>125</v>
      </c>
      <c r="B60" s="10" t="s">
        <v>126</v>
      </c>
      <c r="C60" s="11" t="s">
        <v>127</v>
      </c>
      <c r="D60" s="12" t="s">
        <v>86</v>
      </c>
      <c r="E60" s="12" t="s">
        <v>87</v>
      </c>
      <c r="F60" s="17" t="s">
        <v>132</v>
      </c>
      <c r="G60" s="113">
        <f>SUM(H60:T60)+SUM(W60:X60)</f>
        <v>3.1357445201308565E-2</v>
      </c>
      <c r="H60" s="14">
        <f>'GHG detailed, results per kg CW'!H60/Meat_yield</f>
        <v>2.4794033294481851E-3</v>
      </c>
      <c r="I60" s="14">
        <f>'GHG detailed, results per kg CW'!I60/Meat_yield</f>
        <v>0</v>
      </c>
      <c r="J60" s="14">
        <f>'GHG detailed, results per kg CW'!J60/Meat_yield</f>
        <v>1.2375595217023888E-2</v>
      </c>
      <c r="K60" s="14">
        <f>'GHG detailed, results per kg CW'!K60/Meat_yield</f>
        <v>1.237559521702389E-3</v>
      </c>
      <c r="L60" s="14">
        <f>'GHG detailed, results per kg CW'!L60/Meat_yield</f>
        <v>0</v>
      </c>
      <c r="M60" s="14">
        <f>'GHG detailed, results per kg CW'!M60/Meat_yield</f>
        <v>0</v>
      </c>
      <c r="N60" s="14">
        <f>'GHG detailed, results per kg CW'!N60/Meat_yield</f>
        <v>0</v>
      </c>
      <c r="O60" s="14">
        <f>'GHG detailed, results per kg CW'!O60/Meat_yield</f>
        <v>0</v>
      </c>
      <c r="P60" s="14">
        <f>'GHG detailed, results per kg CW'!P60/Meat_yield</f>
        <v>0</v>
      </c>
      <c r="Q60" s="14">
        <v>0</v>
      </c>
      <c r="R60" s="14">
        <f>'GHG detailed, results per kg CW'!Q60/Meat_yield</f>
        <v>0</v>
      </c>
      <c r="S60" s="14">
        <f>'GHG detailed, results per kg CW'!R60/Meat_yield</f>
        <v>0</v>
      </c>
      <c r="T60" s="14">
        <f>'GHG detailed, results per kg CW'!S60/Meat_yield</f>
        <v>1.5264887133134106E-2</v>
      </c>
      <c r="U60" s="14">
        <f>'GHG detailed, results per kg CW'!T60/Meat_yield</f>
        <v>0</v>
      </c>
      <c r="V60" s="14">
        <f>'GHG detailed, results per kg CW'!U60/Meat_yield</f>
        <v>0</v>
      </c>
      <c r="W60" s="14">
        <f>'GHG detailed, results per kg CW'!V60/Meat_yield</f>
        <v>0</v>
      </c>
      <c r="X60" s="14">
        <f>'GHG detailed, results per kg CW'!W60/Meat_yield</f>
        <v>0</v>
      </c>
      <c r="Y60" s="14"/>
    </row>
    <row r="61" spans="1:25" ht="15" thickTop="1">
      <c r="A61" s="69" t="s">
        <v>125</v>
      </c>
      <c r="B61" s="69" t="s">
        <v>126</v>
      </c>
      <c r="C61" s="70" t="s">
        <v>127</v>
      </c>
      <c r="D61" s="71" t="s">
        <v>86</v>
      </c>
      <c r="E61" s="71" t="s">
        <v>87</v>
      </c>
      <c r="F61" s="72" t="s">
        <v>133</v>
      </c>
      <c r="G61" s="114">
        <f t="shared" si="0"/>
        <v>32.356460266703117</v>
      </c>
      <c r="H61" s="115">
        <f>SUMPRODUCT(H57:H60,'CF Climate'!$B$5:$B$8)</f>
        <v>1.3537542178787088</v>
      </c>
      <c r="I61" s="116">
        <f>SUMPRODUCT(I57:I60,'CF Climate'!$B$5:$B$8)</f>
        <v>0</v>
      </c>
      <c r="J61" s="116">
        <f>SUMPRODUCT(J57:J60,'CF Climate'!$B$5:$B$8)</f>
        <v>3.3785374942475213</v>
      </c>
      <c r="K61" s="116">
        <f>SUMPRODUCT(K57:K60,'CF Climate'!$B$5:$B$8)</f>
        <v>0.33785374942475221</v>
      </c>
      <c r="L61" s="116">
        <f>SUMPRODUCT(L57:L60,'CF Climate'!$B$5:$B$8)</f>
        <v>0.81225253072722536</v>
      </c>
      <c r="M61" s="116">
        <f>SUMPRODUCT(M57:M60,'CF Climate'!$B$5:$B$8)</f>
        <v>0</v>
      </c>
      <c r="N61" s="116">
        <f>SUMPRODUCT(N57:N60,'CF Climate'!$B$5:$B$8)</f>
        <v>0</v>
      </c>
      <c r="O61" s="116">
        <f>SUMPRODUCT(O57:O60,'CF Climate'!$B$5:$B$8)</f>
        <v>0</v>
      </c>
      <c r="P61" s="116">
        <f>SUMPRODUCT(P57:P60,'CF Climate'!$B$5:$B$8)</f>
        <v>0</v>
      </c>
      <c r="Q61" s="116">
        <v>0</v>
      </c>
      <c r="R61" s="116">
        <f>SUMPRODUCT(R57:R60,'CF Climate'!$B$5:$B$8)</f>
        <v>1.6880943093301433</v>
      </c>
      <c r="S61" s="116">
        <f>SUMPRODUCT(S57:S60,'CF Climate'!$B$5:$B$8)</f>
        <v>15.224123617537769</v>
      </c>
      <c r="T61" s="116">
        <f>SUMPRODUCT(T57:T60,'CF Climate'!$B$5:$B$8)</f>
        <v>8.3346283746912224</v>
      </c>
      <c r="U61" s="116">
        <f>SUMPRODUCT(U57:U60,'CF Climate'!$B$5:$B$8)</f>
        <v>0</v>
      </c>
      <c r="V61" s="116">
        <f>SUMPRODUCT(V57:V60,'CF Climate'!$B$5:$B$8)</f>
        <v>0</v>
      </c>
      <c r="W61" s="116">
        <f>SUMPRODUCT(W57:W60,'CF Climate'!$B$5:$B$8)</f>
        <v>0.54150168715148361</v>
      </c>
      <c r="X61" s="116">
        <f>SUMPRODUCT(X57:X60,'CF Climate'!$B$5:$B$8)</f>
        <v>0.68571428571428572</v>
      </c>
    </row>
    <row r="62" spans="1:25">
      <c r="A62" s="10" t="s">
        <v>125</v>
      </c>
      <c r="B62" s="10" t="s">
        <v>126</v>
      </c>
      <c r="C62" s="11" t="s">
        <v>127</v>
      </c>
      <c r="D62" s="12" t="s">
        <v>88</v>
      </c>
      <c r="E62" s="12" t="s">
        <v>89</v>
      </c>
      <c r="F62" s="18" t="s">
        <v>129</v>
      </c>
      <c r="G62" s="111">
        <f>SUM(H62:X62)</f>
        <v>4.5211218137028872</v>
      </c>
      <c r="H62" s="112">
        <f>'GHG detailed, results per kg CW'!H62/Meat_yield</f>
        <v>0.67977270763423425</v>
      </c>
      <c r="I62" s="112">
        <f>'GHG detailed, results per kg CW'!I62/Meat_yield</f>
        <v>0</v>
      </c>
      <c r="J62" s="112">
        <f>'GHG detailed, results per kg CW'!J62/Meat_yield</f>
        <v>0</v>
      </c>
      <c r="K62" s="112">
        <f>'GHG detailed, results per kg CW'!K62/Meat_yield</f>
        <v>0</v>
      </c>
      <c r="L62" s="112">
        <f>'GHG detailed, results per kg CW'!L62/Meat_yield</f>
        <v>0.81572724916108097</v>
      </c>
      <c r="M62" s="112">
        <f>'GHG detailed, results per kg CW'!M62/Meat_yield</f>
        <v>0</v>
      </c>
      <c r="N62" s="112">
        <f>'GHG detailed, results per kg CW'!N62/Meat_yield</f>
        <v>0</v>
      </c>
      <c r="O62" s="112">
        <f>'GHG detailed, results per kg CW'!O62/Meat_yield</f>
        <v>0</v>
      </c>
      <c r="P62" s="112">
        <f>'GHG detailed, results per kg CW'!P62/Meat_yield</f>
        <v>0</v>
      </c>
      <c r="Q62" s="112">
        <v>0</v>
      </c>
      <c r="R62" s="112">
        <f>'GHG detailed, results per kg CW'!Q62/Meat_yield</f>
        <v>1.7960894050858986</v>
      </c>
      <c r="S62" s="112">
        <f>'GHG detailed, results per kg CW'!R62/Meat_yield</f>
        <v>0</v>
      </c>
      <c r="T62" s="112">
        <f>'GHG detailed, results per kg CW'!S62/Meat_yield</f>
        <v>0</v>
      </c>
      <c r="U62" s="112">
        <f>'GHG detailed, results per kg CW'!T62/Meat_yield</f>
        <v>0</v>
      </c>
      <c r="V62" s="112">
        <f>'GHG detailed, results per kg CW'!U62/Meat_yield</f>
        <v>0</v>
      </c>
      <c r="W62" s="112">
        <f>'GHG detailed, results per kg CW'!V62/Meat_yield</f>
        <v>0.54381816610738731</v>
      </c>
      <c r="X62" s="112">
        <f>'GHG detailed, results per kg CW'!W62/Meat_yield</f>
        <v>0.68571428571428572</v>
      </c>
    </row>
    <row r="63" spans="1:25">
      <c r="A63" s="10" t="s">
        <v>125</v>
      </c>
      <c r="B63" s="10" t="s">
        <v>126</v>
      </c>
      <c r="C63" s="11" t="s">
        <v>127</v>
      </c>
      <c r="D63" s="12" t="s">
        <v>88</v>
      </c>
      <c r="E63" s="12" t="s">
        <v>89</v>
      </c>
      <c r="F63" s="10" t="s">
        <v>130</v>
      </c>
      <c r="G63" s="113">
        <f>SUM(H63:X63)</f>
        <v>0</v>
      </c>
      <c r="H63" s="14">
        <f>'GHG detailed, results per kg CW'!H63/Meat_yield</f>
        <v>0</v>
      </c>
      <c r="I63" s="14">
        <f>'GHG detailed, results per kg CW'!I63/Meat_yield</f>
        <v>0</v>
      </c>
      <c r="J63" s="14">
        <f>'GHG detailed, results per kg CW'!J63/Meat_yield</f>
        <v>0</v>
      </c>
      <c r="K63" s="14">
        <f>'GHG detailed, results per kg CW'!K63/Meat_yield</f>
        <v>0</v>
      </c>
      <c r="L63" s="14">
        <f>'GHG detailed, results per kg CW'!L63/Meat_yield</f>
        <v>0</v>
      </c>
      <c r="M63" s="14">
        <f>'GHG detailed, results per kg CW'!M63/Meat_yield</f>
        <v>0</v>
      </c>
      <c r="N63" s="14">
        <f>'GHG detailed, results per kg CW'!N63/Meat_yield</f>
        <v>0</v>
      </c>
      <c r="O63" s="14">
        <f>'GHG detailed, results per kg CW'!O63/Meat_yield</f>
        <v>0</v>
      </c>
      <c r="P63" s="14">
        <f>'GHG detailed, results per kg CW'!P63/Meat_yield</f>
        <v>0</v>
      </c>
      <c r="Q63" s="14">
        <v>0</v>
      </c>
      <c r="R63" s="14">
        <f>'GHG detailed, results per kg CW'!Q63/Meat_yield</f>
        <v>0</v>
      </c>
      <c r="S63" s="14">
        <f>'GHG detailed, results per kg CW'!R63/Meat_yield</f>
        <v>0</v>
      </c>
      <c r="T63" s="14">
        <f>'GHG detailed, results per kg CW'!S63/Meat_yield</f>
        <v>0</v>
      </c>
      <c r="U63" s="14">
        <f>'GHG detailed, results per kg CW'!T63/Meat_yield</f>
        <v>0</v>
      </c>
      <c r="V63" s="14">
        <f>'GHG detailed, results per kg CW'!U63/Meat_yield</f>
        <v>0</v>
      </c>
      <c r="W63" s="14">
        <f>'GHG detailed, results per kg CW'!V63/Meat_yield</f>
        <v>0</v>
      </c>
      <c r="X63" s="14">
        <f>'GHG detailed, results per kg CW'!W63/Meat_yield</f>
        <v>0</v>
      </c>
    </row>
    <row r="64" spans="1:25">
      <c r="A64" s="10" t="s">
        <v>125</v>
      </c>
      <c r="B64" s="10" t="s">
        <v>126</v>
      </c>
      <c r="C64" s="11" t="s">
        <v>127</v>
      </c>
      <c r="D64" s="12" t="s">
        <v>88</v>
      </c>
      <c r="E64" s="12" t="s">
        <v>89</v>
      </c>
      <c r="F64" s="10" t="s">
        <v>131</v>
      </c>
      <c r="G64" s="113">
        <f>SUM(H64:T64)+SUM(W64:X64)</f>
        <v>0.74807710304158226</v>
      </c>
      <c r="H64" s="14">
        <f>'GHG detailed, results per kg CW'!H64/Meat_yield</f>
        <v>0</v>
      </c>
      <c r="I64" s="14">
        <f>'GHG detailed, results per kg CW'!I64/Meat_yield</f>
        <v>0</v>
      </c>
      <c r="J64" s="14">
        <f>'GHG detailed, results per kg CW'!J64/Meat_yield</f>
        <v>0</v>
      </c>
      <c r="K64" s="14">
        <f>'GHG detailed, results per kg CW'!K64/Meat_yield</f>
        <v>0</v>
      </c>
      <c r="L64" s="14">
        <f>'GHG detailed, results per kg CW'!L64/Meat_yield</f>
        <v>0</v>
      </c>
      <c r="M64" s="14">
        <f>'GHG detailed, results per kg CW'!M64/Meat_yield</f>
        <v>0</v>
      </c>
      <c r="N64" s="14">
        <f>'GHG detailed, results per kg CW'!N64/Meat_yield</f>
        <v>0</v>
      </c>
      <c r="O64" s="14">
        <f>'GHG detailed, results per kg CW'!O64/Meat_yield</f>
        <v>0</v>
      </c>
      <c r="P64" s="14">
        <f>'GHG detailed, results per kg CW'!P64/Meat_yield</f>
        <v>0</v>
      </c>
      <c r="Q64" s="14">
        <v>0</v>
      </c>
      <c r="R64" s="14">
        <f>'GHG detailed, results per kg CW'!Q64/Meat_yield</f>
        <v>0</v>
      </c>
      <c r="S64" s="14">
        <f>'GHG detailed, results per kg CW'!R64/Meat_yield</f>
        <v>0.58640028757651042</v>
      </c>
      <c r="T64" s="14">
        <f>'GHG detailed, results per kg CW'!S64/Meat_yield</f>
        <v>0.16167681546507179</v>
      </c>
      <c r="U64" s="14">
        <f>'GHG detailed, results per kg CW'!T64/Meat_yield</f>
        <v>0</v>
      </c>
      <c r="V64" s="14">
        <f>'GHG detailed, results per kg CW'!U64/Meat_yield</f>
        <v>0</v>
      </c>
      <c r="W64" s="14">
        <f>'GHG detailed, results per kg CW'!V64/Meat_yield</f>
        <v>0</v>
      </c>
      <c r="X64" s="14">
        <f>'GHG detailed, results per kg CW'!W64/Meat_yield</f>
        <v>0</v>
      </c>
    </row>
    <row r="65" spans="1:24" ht="15" thickBot="1">
      <c r="A65" s="10" t="s">
        <v>125</v>
      </c>
      <c r="B65" s="10" t="s">
        <v>126</v>
      </c>
      <c r="C65" s="11" t="s">
        <v>127</v>
      </c>
      <c r="D65" s="12" t="s">
        <v>88</v>
      </c>
      <c r="E65" s="12" t="s">
        <v>89</v>
      </c>
      <c r="F65" s="17" t="s">
        <v>132</v>
      </c>
      <c r="G65" s="113">
        <f>SUM(H65:T65)+SUM(W65:X65)</f>
        <v>3.2463316228295999E-2</v>
      </c>
      <c r="H65" s="14">
        <f>'GHG detailed, results per kg CW'!H65/Meat_yield</f>
        <v>2.4900099180741181E-3</v>
      </c>
      <c r="I65" s="14">
        <f>'GHG detailed, results per kg CW'!I65/Meat_yield</f>
        <v>0</v>
      </c>
      <c r="J65" s="14">
        <f>'GHG detailed, results per kg CW'!J65/Meat_yield</f>
        <v>1.2712083267178273E-2</v>
      </c>
      <c r="K65" s="14">
        <f>'GHG detailed, results per kg CW'!K65/Meat_yield</f>
        <v>1.2712083267178273E-3</v>
      </c>
      <c r="L65" s="14">
        <f>'GHG detailed, results per kg CW'!L65/Meat_yield</f>
        <v>0</v>
      </c>
      <c r="M65" s="14">
        <f>'GHG detailed, results per kg CW'!M65/Meat_yield</f>
        <v>0</v>
      </c>
      <c r="N65" s="14">
        <f>'GHG detailed, results per kg CW'!N65/Meat_yield</f>
        <v>0</v>
      </c>
      <c r="O65" s="14">
        <f>'GHG detailed, results per kg CW'!O65/Meat_yield</f>
        <v>0</v>
      </c>
      <c r="P65" s="14">
        <f>'GHG detailed, results per kg CW'!P65/Meat_yield</f>
        <v>0</v>
      </c>
      <c r="Q65" s="14">
        <v>0</v>
      </c>
      <c r="R65" s="14">
        <f>'GHG detailed, results per kg CW'!Q65/Meat_yield</f>
        <v>0</v>
      </c>
      <c r="S65" s="14">
        <f>'GHG detailed, results per kg CW'!R65/Meat_yield</f>
        <v>0</v>
      </c>
      <c r="T65" s="14">
        <f>'GHG detailed, results per kg CW'!S65/Meat_yield</f>
        <v>1.5990014716325777E-2</v>
      </c>
      <c r="U65" s="14">
        <f>'GHG detailed, results per kg CW'!T65/Meat_yield</f>
        <v>0</v>
      </c>
      <c r="V65" s="14">
        <f>'GHG detailed, results per kg CW'!U65/Meat_yield</f>
        <v>0</v>
      </c>
      <c r="W65" s="14">
        <f>'GHG detailed, results per kg CW'!V65/Meat_yield</f>
        <v>0</v>
      </c>
      <c r="X65" s="14">
        <f>'GHG detailed, results per kg CW'!W65/Meat_yield</f>
        <v>0</v>
      </c>
    </row>
    <row r="66" spans="1:24" ht="15" thickTop="1">
      <c r="A66" s="69" t="s">
        <v>125</v>
      </c>
      <c r="B66" s="69" t="s">
        <v>126</v>
      </c>
      <c r="C66" s="70" t="s">
        <v>127</v>
      </c>
      <c r="D66" s="71" t="s">
        <v>88</v>
      </c>
      <c r="E66" s="71" t="s">
        <v>89</v>
      </c>
      <c r="F66" s="72" t="s">
        <v>133</v>
      </c>
      <c r="G66" s="114">
        <f t="shared" ref="G66" si="1">SUM(H66:X66)</f>
        <v>33.581688926150413</v>
      </c>
      <c r="H66" s="117">
        <f>SUMPRODUCT(H62:H65,'CF Climate'!$B$5:$B$8)</f>
        <v>1.3595454152684685</v>
      </c>
      <c r="I66" s="118">
        <f>SUMPRODUCT(I62:I65,'CF Climate'!$B$5:$B$8)</f>
        <v>0</v>
      </c>
      <c r="J66" s="118">
        <f>SUMPRODUCT(J62:J65,'CF Climate'!$B$5:$B$8)</f>
        <v>3.4703987319396687</v>
      </c>
      <c r="K66" s="118">
        <f>SUMPRODUCT(K62:K65,'CF Climate'!$B$5:$B$8)</f>
        <v>0.34703987319396684</v>
      </c>
      <c r="L66" s="118">
        <f>SUMPRODUCT(L62:L65,'CF Climate'!$B$5:$B$8)</f>
        <v>0.81572724916108097</v>
      </c>
      <c r="M66" s="118">
        <f>SUMPRODUCT(M62:M65,'CF Climate'!$B$5:$B$8)</f>
        <v>0</v>
      </c>
      <c r="N66" s="118">
        <f>SUMPRODUCT(N62:N65,'CF Climate'!$B$5:$B$8)</f>
        <v>0</v>
      </c>
      <c r="O66" s="118">
        <f>SUMPRODUCT(O62:O65,'CF Climate'!$B$5:$B$8)</f>
        <v>0</v>
      </c>
      <c r="P66" s="118">
        <f>SUMPRODUCT(P62:P65,'CF Climate'!$B$5:$B$8)</f>
        <v>0</v>
      </c>
      <c r="Q66" s="118">
        <v>0</v>
      </c>
      <c r="R66" s="118">
        <f>SUMPRODUCT(R62:R65,'CF Climate'!$B$5:$B$8)</f>
        <v>1.7960894050858986</v>
      </c>
      <c r="S66" s="118">
        <f>SUMPRODUCT(S62:S65,'CF Climate'!$B$5:$B$8)</f>
        <v>15.832807764565782</v>
      </c>
      <c r="T66" s="118">
        <f>SUMPRODUCT(T62:T65,'CF Climate'!$B$5:$B$8)</f>
        <v>8.7305480351138751</v>
      </c>
      <c r="U66" s="118">
        <f>SUMPRODUCT(U62:U65,'CF Climate'!$B$5:$B$8)</f>
        <v>0</v>
      </c>
      <c r="V66" s="118">
        <f>SUMPRODUCT(V62:V65,'CF Climate'!$B$5:$B$8)</f>
        <v>0</v>
      </c>
      <c r="W66" s="118">
        <f>SUMPRODUCT(W62:W65,'CF Climate'!$B$5:$B$8)</f>
        <v>0.54381816610738731</v>
      </c>
      <c r="X66" s="118">
        <f>SUMPRODUCT(X62:X65,'CF Climate'!$B$5:$B$8)</f>
        <v>0.68571428571428572</v>
      </c>
    </row>
    <row r="67" spans="1:24">
      <c r="U67"/>
      <c r="V67"/>
    </row>
    <row r="68" spans="1:24">
      <c r="U68"/>
      <c r="V68"/>
    </row>
    <row r="69" spans="1:24">
      <c r="U69"/>
      <c r="V6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tabColor theme="9" tint="0.59999389629810485"/>
  </sheetPr>
  <dimension ref="A1:X69"/>
  <sheetViews>
    <sheetView topLeftCell="A5" zoomScale="80" zoomScaleNormal="80" workbookViewId="0">
      <selection activeCell="F7" sqref="F7:F10"/>
    </sheetView>
  </sheetViews>
  <sheetFormatPr defaultRowHeight="14.45"/>
  <cols>
    <col min="1" max="1" width="8.28515625" style="15" customWidth="1"/>
    <col min="2" max="2" width="22.5703125" customWidth="1"/>
    <col min="3" max="3" width="27.28515625" customWidth="1"/>
    <col min="4" max="5" width="10.28515625" customWidth="1"/>
    <col min="6" max="6" width="7.7109375" customWidth="1"/>
    <col min="7" max="7" width="9.28515625" style="107" customWidth="1"/>
    <col min="8" max="19" width="14.7109375" customWidth="1"/>
    <col min="20" max="21" width="14.7109375" style="6" customWidth="1"/>
    <col min="22" max="23" width="14.7109375" customWidth="1"/>
  </cols>
  <sheetData>
    <row r="1" spans="1:23">
      <c r="H1" s="79" t="s">
        <v>90</v>
      </c>
    </row>
    <row r="2" spans="1:23" ht="21">
      <c r="A2" s="38" t="s">
        <v>137</v>
      </c>
      <c r="D2" s="89"/>
      <c r="H2" s="79" t="s">
        <v>92</v>
      </c>
    </row>
    <row r="3" spans="1:23">
      <c r="H3" s="79" t="s">
        <v>93</v>
      </c>
      <c r="J3" s="5"/>
      <c r="K3" s="6"/>
      <c r="L3" s="6"/>
      <c r="M3" s="6"/>
      <c r="N3" s="6"/>
      <c r="O3" s="6"/>
      <c r="P3" s="6"/>
      <c r="Q3" s="6"/>
      <c r="R3" s="6"/>
      <c r="S3" s="6"/>
    </row>
    <row r="4" spans="1:23">
      <c r="A4" s="39"/>
      <c r="B4" s="24"/>
      <c r="C4" s="24"/>
      <c r="D4" s="24"/>
      <c r="E4" s="24"/>
      <c r="F4" s="24"/>
      <c r="G4" s="108"/>
      <c r="H4" s="25"/>
      <c r="I4" s="25"/>
      <c r="J4" s="26"/>
      <c r="K4" s="26"/>
      <c r="L4" s="26"/>
      <c r="M4" s="26"/>
      <c r="N4" s="26"/>
      <c r="O4" s="26"/>
      <c r="P4" s="26"/>
      <c r="Q4" s="26"/>
      <c r="R4" s="25" t="s">
        <v>94</v>
      </c>
      <c r="S4" s="25"/>
      <c r="T4" s="36"/>
      <c r="U4" s="36"/>
      <c r="V4" s="26" t="s">
        <v>95</v>
      </c>
      <c r="W4" s="26" t="s">
        <v>96</v>
      </c>
    </row>
    <row r="5" spans="1:23">
      <c r="A5" s="40" t="s">
        <v>35</v>
      </c>
      <c r="B5" s="22"/>
      <c r="C5" s="22"/>
      <c r="D5" s="28"/>
      <c r="E5" s="28"/>
      <c r="F5" s="29"/>
      <c r="G5" s="109" t="s">
        <v>97</v>
      </c>
      <c r="H5" s="30" t="s">
        <v>98</v>
      </c>
      <c r="I5" s="31"/>
      <c r="J5" s="30" t="s">
        <v>99</v>
      </c>
      <c r="K5" s="32"/>
      <c r="L5" s="33" t="s">
        <v>100</v>
      </c>
      <c r="M5" s="32"/>
      <c r="N5" s="32"/>
      <c r="O5" s="32"/>
      <c r="P5" s="33" t="s">
        <v>101</v>
      </c>
      <c r="Q5" s="33" t="s">
        <v>103</v>
      </c>
      <c r="R5" s="34"/>
      <c r="S5" s="34"/>
      <c r="T5" s="37"/>
      <c r="U5" s="37"/>
      <c r="V5" s="35"/>
      <c r="W5" s="35"/>
    </row>
    <row r="6" spans="1:23" ht="43.15">
      <c r="A6" s="42" t="s">
        <v>104</v>
      </c>
      <c r="B6" s="41" t="s">
        <v>105</v>
      </c>
      <c r="C6" s="41" t="s">
        <v>106</v>
      </c>
      <c r="D6" s="43" t="s">
        <v>47</v>
      </c>
      <c r="E6" s="44" t="s">
        <v>48</v>
      </c>
      <c r="F6" s="43" t="s">
        <v>107</v>
      </c>
      <c r="G6" s="110" t="s">
        <v>108</v>
      </c>
      <c r="H6" s="27" t="s">
        <v>109</v>
      </c>
      <c r="I6" s="27" t="s">
        <v>110</v>
      </c>
      <c r="J6" s="27" t="s">
        <v>111</v>
      </c>
      <c r="K6" s="27" t="s">
        <v>112</v>
      </c>
      <c r="L6" s="27" t="s">
        <v>113</v>
      </c>
      <c r="M6" s="27" t="s">
        <v>114</v>
      </c>
      <c r="N6" s="27" t="s">
        <v>115</v>
      </c>
      <c r="O6" s="27" t="s">
        <v>116</v>
      </c>
      <c r="P6" s="27" t="s">
        <v>117</v>
      </c>
      <c r="Q6" s="27" t="s">
        <v>118</v>
      </c>
      <c r="R6" s="44" t="s">
        <v>119</v>
      </c>
      <c r="S6" s="44" t="s">
        <v>120</v>
      </c>
      <c r="T6" s="45" t="s">
        <v>121</v>
      </c>
      <c r="U6" s="45" t="s">
        <v>122</v>
      </c>
      <c r="V6" s="27" t="s">
        <v>123</v>
      </c>
      <c r="W6" s="27" t="s">
        <v>124</v>
      </c>
    </row>
    <row r="7" spans="1:23">
      <c r="A7" s="73" t="s">
        <v>125</v>
      </c>
      <c r="B7" s="73" t="s">
        <v>126</v>
      </c>
      <c r="C7" s="74" t="s">
        <v>127</v>
      </c>
      <c r="D7" s="67" t="s">
        <v>128</v>
      </c>
      <c r="E7" s="67" t="s">
        <v>67</v>
      </c>
      <c r="F7" s="75" t="s">
        <v>129</v>
      </c>
      <c r="G7" s="111">
        <f t="shared" ref="G7:G61" si="0">SUM(H7:W7)</f>
        <v>2.5414636022744217</v>
      </c>
      <c r="H7" s="112">
        <f>'Shares in prod syst'!$B$46*'Data from Ahlgren et al'!D42+'Shares in prod syst'!$B$47*'Data from Ahlgren et al'!D46+'Shares in prod syst'!$B$48*'Data from Ahlgren et al'!D50+'Shares in prod syst'!$B$49*'Data from Ahlgren et al'!D54</f>
        <v>0.44844345627848525</v>
      </c>
      <c r="I7" s="112">
        <f>'Shares in prod syst'!$B$46*'Data from Ahlgren et al'!E42+'Shares in prod syst'!$B$47*'Data from Ahlgren et al'!E46+'Shares in prod syst'!$B$48*'Data from Ahlgren et al'!E50+'Shares in prod syst'!$B$49*'Data from Ahlgren et al'!E54</f>
        <v>0</v>
      </c>
      <c r="J7" s="112">
        <f>'Shares in prod syst'!$B$46*'Data from Ahlgren et al'!F42+'Shares in prod syst'!$B$47*'Data from Ahlgren et al'!F46+'Shares in prod syst'!$B$48*'Data from Ahlgren et al'!F50+'Shares in prod syst'!$B$49*'Data from Ahlgren et al'!F54</f>
        <v>0</v>
      </c>
      <c r="K7" s="112">
        <f>'Shares in prod syst'!$B$46*'Data from Ahlgren et al'!G42+'Shares in prod syst'!$B$47*'Data from Ahlgren et al'!G46+'Shares in prod syst'!$B$48*'Data from Ahlgren et al'!G50+'Shares in prod syst'!$B$49*'Data from Ahlgren et al'!G54</f>
        <v>0</v>
      </c>
      <c r="L7" s="112">
        <f>'Shares in prod syst'!$B$46*'Data from Ahlgren et al'!H42+'Shares in prod syst'!$B$47*'Data from Ahlgren et al'!H46+'Shares in prod syst'!$B$48*'Data from Ahlgren et al'!H50+'Shares in prod syst'!$B$49*'Data from Ahlgren et al'!H54</f>
        <v>0.53813214753418226</v>
      </c>
      <c r="M7" s="112">
        <f>'Shares in prod syst'!$B$46*'Data from Ahlgren et al'!I42+'Shares in prod syst'!$B$47*'Data from Ahlgren et al'!I46+'Shares in prod syst'!$B$48*'Data from Ahlgren et al'!I50+'Shares in prod syst'!$B$49*'Data from Ahlgren et al'!I54</f>
        <v>0</v>
      </c>
      <c r="N7" s="112">
        <f>'Shares in prod syst'!$B$46*'Data from Ahlgren et al'!J42+'Shares in prod syst'!$B$47*'Data from Ahlgren et al'!J46+'Shares in prod syst'!$B$48*'Data from Ahlgren et al'!J50+'Shares in prod syst'!$B$49*'Data from Ahlgren et al'!J54</f>
        <v>0</v>
      </c>
      <c r="O7" s="112">
        <f>'Shares in prod syst'!$B$46*'Data from Ahlgren et al'!K42+'Shares in prod syst'!$B$47*'Data from Ahlgren et al'!K46+'Shares in prod syst'!$B$48*'Data from Ahlgren et al'!K50+'Shares in prod syst'!$B$49*'Data from Ahlgren et al'!K54</f>
        <v>0</v>
      </c>
      <c r="P7" s="112">
        <f>'Shares in prod syst'!$B$46*'Data from Ahlgren et al'!L42+'Shares in prod syst'!$B$47*'Data from Ahlgren et al'!L46+'Shares in prod syst'!$B$48*'Data from Ahlgren et al'!L50+'Shares in prod syst'!$B$49*'Data from Ahlgren et al'!L54</f>
        <v>0</v>
      </c>
      <c r="Q7" s="112">
        <f>'Shares in prod syst'!$B$46*'Data from Ahlgren et al'!M42+'Shares in prod syst'!$B$47*'Data from Ahlgren et al'!M46+'Shares in prod syst'!$B$48*'Data from Ahlgren et al'!M50+'Shares in prod syst'!$B$49*'Data from Ahlgren et al'!M54</f>
        <v>0.71613323343896629</v>
      </c>
      <c r="R7" s="112">
        <f>'Shares in prod syst'!$B$46*'Data from Ahlgren et al'!N42+'Shares in prod syst'!$B$47*'Data from Ahlgren et al'!N46+'Shares in prod syst'!$B$48*'Data from Ahlgren et al'!N50+'Shares in prod syst'!$B$49*'Data from Ahlgren et al'!N54</f>
        <v>0</v>
      </c>
      <c r="S7" s="112">
        <f>'Shares in prod syst'!$B$46*'Data from Ahlgren et al'!O42+'Shares in prod syst'!$B$47*'Data from Ahlgren et al'!O46+'Shares in prod syst'!$B$48*'Data from Ahlgren et al'!O50+'Shares in prod syst'!$B$49*'Data from Ahlgren et al'!O54</f>
        <v>0</v>
      </c>
      <c r="T7" s="112">
        <f>'Shares in prod syst'!$B$46*'Data from Ahlgren et al'!P42+'Shares in prod syst'!$B$47*'Data from Ahlgren et al'!P46+'Shares in prod syst'!$B$48*'Data from Ahlgren et al'!P50+'Shares in prod syst'!$B$49*'Data from Ahlgren et al'!P54</f>
        <v>0</v>
      </c>
      <c r="U7" s="112">
        <f>'Shares in prod syst'!$B$46*'Data from Ahlgren et al'!Q42+'Shares in prod syst'!$B$47*'Data from Ahlgren et al'!Q46+'Shares in prod syst'!$B$48*'Data from Ahlgren et al'!Q50+'Shares in prod syst'!$B$49*'Data from Ahlgren et al'!Q54</f>
        <v>0</v>
      </c>
      <c r="V7" s="112">
        <f>'Shares in prod syst'!$B$46*'Data from Ahlgren et al'!R42+'Shares in prod syst'!$B$47*'Data from Ahlgren et al'!R46+'Shares in prod syst'!$B$48*'Data from Ahlgren et al'!R50+'Shares in prod syst'!$B$49*'Data from Ahlgren et al'!R54</f>
        <v>0.35875476502278814</v>
      </c>
      <c r="W7" s="112">
        <f>'Shares in prod syst'!$B$46*'Data from Ahlgren et al'!S42+'Shares in prod syst'!$B$47*'Data from Ahlgren et al'!S46+'Shares in prod syst'!$B$48*'Data from Ahlgren et al'!S50+'Shares in prod syst'!$B$49*'Data from Ahlgren et al'!S54</f>
        <v>0.47999999999999993</v>
      </c>
    </row>
    <row r="8" spans="1:23">
      <c r="A8" s="10" t="s">
        <v>125</v>
      </c>
      <c r="B8" s="10" t="s">
        <v>126</v>
      </c>
      <c r="C8" s="11" t="s">
        <v>127</v>
      </c>
      <c r="D8" s="12" t="s">
        <v>128</v>
      </c>
      <c r="E8" s="12" t="s">
        <v>67</v>
      </c>
      <c r="F8" s="10" t="s">
        <v>130</v>
      </c>
      <c r="G8" s="113">
        <f>SUM(H8:W8)</f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</row>
    <row r="9" spans="1:23">
      <c r="A9" s="10" t="s">
        <v>125</v>
      </c>
      <c r="B9" s="10" t="s">
        <v>126</v>
      </c>
      <c r="C9" s="11" t="s">
        <v>127</v>
      </c>
      <c r="D9" s="12" t="s">
        <v>128</v>
      </c>
      <c r="E9" s="12" t="s">
        <v>67</v>
      </c>
      <c r="F9" s="10" t="s">
        <v>131</v>
      </c>
      <c r="G9" s="113">
        <f>SUM(H9:W9)</f>
        <v>0.36975484445088858</v>
      </c>
      <c r="H9" s="14">
        <f>'Shares in prod syst'!$B$46*'Data from Ahlgren et al'!D43+'Shares in prod syst'!$B$47*'Data from Ahlgren et al'!D47+'Shares in prod syst'!$B$48*'Data from Ahlgren et al'!D51+'Shares in prod syst'!$B$49*'Data from Ahlgren et al'!D55</f>
        <v>0</v>
      </c>
      <c r="I9" s="14">
        <f>'Shares in prod syst'!$B$46*'Data from Ahlgren et al'!E43+'Shares in prod syst'!$B$47*'Data from Ahlgren et al'!E47+'Shares in prod syst'!$B$48*'Data from Ahlgren et al'!E51+'Shares in prod syst'!$B$49*'Data from Ahlgren et al'!E55</f>
        <v>0</v>
      </c>
      <c r="J9" s="14">
        <f>'Shares in prod syst'!$B$46*'Data from Ahlgren et al'!F43+'Shares in prod syst'!$B$47*'Data from Ahlgren et al'!F47+'Shares in prod syst'!$B$48*'Data from Ahlgren et al'!F51+'Shares in prod syst'!$B$49*'Data from Ahlgren et al'!F55</f>
        <v>0</v>
      </c>
      <c r="K9" s="14">
        <f>'Shares in prod syst'!$B$46*'Data from Ahlgren et al'!G43+'Shares in prod syst'!$B$47*'Data from Ahlgren et al'!G47+'Shares in prod syst'!$B$48*'Data from Ahlgren et al'!G51+'Shares in prod syst'!$B$49*'Data from Ahlgren et al'!G55</f>
        <v>0</v>
      </c>
      <c r="L9" s="14">
        <f>'Shares in prod syst'!$B$46*'Data from Ahlgren et al'!H43+'Shares in prod syst'!$B$47*'Data from Ahlgren et al'!H47+'Shares in prod syst'!$B$48*'Data from Ahlgren et al'!H51+'Shares in prod syst'!$B$49*'Data from Ahlgren et al'!H55</f>
        <v>0</v>
      </c>
      <c r="M9" s="14">
        <f>'Shares in prod syst'!$B$46*'Data from Ahlgren et al'!I43+'Shares in prod syst'!$B$47*'Data from Ahlgren et al'!I47+'Shares in prod syst'!$B$48*'Data from Ahlgren et al'!I51+'Shares in prod syst'!$B$49*'Data from Ahlgren et al'!I55</f>
        <v>0</v>
      </c>
      <c r="N9" s="14">
        <f>'Shares in prod syst'!$B$46*'Data from Ahlgren et al'!J43+'Shares in prod syst'!$B$47*'Data from Ahlgren et al'!J47+'Shares in prod syst'!$B$48*'Data from Ahlgren et al'!J51+'Shares in prod syst'!$B$49*'Data from Ahlgren et al'!J55</f>
        <v>0</v>
      </c>
      <c r="O9" s="14">
        <f>'Shares in prod syst'!$B$46*'Data from Ahlgren et al'!K43+'Shares in prod syst'!$B$47*'Data from Ahlgren et al'!K47+'Shares in prod syst'!$B$48*'Data from Ahlgren et al'!K51+'Shares in prod syst'!$B$49*'Data from Ahlgren et al'!K55</f>
        <v>0</v>
      </c>
      <c r="P9" s="14">
        <f>'Shares in prod syst'!$B$46*'Data from Ahlgren et al'!L43+'Shares in prod syst'!$B$47*'Data from Ahlgren et al'!L47+'Shares in prod syst'!$B$48*'Data from Ahlgren et al'!L51+'Shares in prod syst'!$B$49*'Data from Ahlgren et al'!L55</f>
        <v>0</v>
      </c>
      <c r="Q9" s="14">
        <f>'Shares in prod syst'!$B$46*'Data from Ahlgren et al'!M43+'Shares in prod syst'!$B$47*'Data from Ahlgren et al'!M47+'Shares in prod syst'!$B$48*'Data from Ahlgren et al'!M51+'Shares in prod syst'!$B$49*'Data from Ahlgren et al'!M55</f>
        <v>0</v>
      </c>
      <c r="R9" s="14">
        <f>'Shares in prod syst'!$B$46*'Data from Ahlgren et al'!N43+'Shares in prod syst'!$B$47*'Data from Ahlgren et al'!N47+'Shares in prod syst'!$B$48*'Data from Ahlgren et al'!N51+'Shares in prod syst'!$B$49*'Data from Ahlgren et al'!N55</f>
        <v>0.29444260015830653</v>
      </c>
      <c r="S9" s="14">
        <f>'Shares in prod syst'!$B$46*'Data from Ahlgren et al'!O43+'Shares in prod syst'!$B$47*'Data from Ahlgren et al'!O47+'Shares in prod syst'!$B$48*'Data from Ahlgren et al'!O51+'Shares in prod syst'!$B$49*'Data from Ahlgren et al'!O55</f>
        <v>7.5312244292582042E-2</v>
      </c>
      <c r="T9" s="14">
        <f>'Shares in prod syst'!$B$46*'Data from Ahlgren et al'!P43+'Shares in prod syst'!$B$47*'Data from Ahlgren et al'!P47+'Shares in prod syst'!$B$48*'Data from Ahlgren et al'!P51+'Shares in prod syst'!$B$49*'Data from Ahlgren et al'!P55</f>
        <v>0</v>
      </c>
      <c r="U9" s="14">
        <f>'Shares in prod syst'!$B$46*'Data from Ahlgren et al'!Q43+'Shares in prod syst'!$B$47*'Data from Ahlgren et al'!Q47+'Shares in prod syst'!$B$48*'Data from Ahlgren et al'!Q51+'Shares in prod syst'!$B$49*'Data from Ahlgren et al'!Q55</f>
        <v>0</v>
      </c>
      <c r="V9" s="14">
        <f>'Shares in prod syst'!$B$46*'Data from Ahlgren et al'!R43+'Shares in prod syst'!$B$47*'Data from Ahlgren et al'!R47+'Shares in prod syst'!$B$48*'Data from Ahlgren et al'!R51+'Shares in prod syst'!$B$49*'Data from Ahlgren et al'!R55</f>
        <v>0</v>
      </c>
      <c r="W9" s="14">
        <f>'Shares in prod syst'!$B$46*'Data from Ahlgren et al'!S43+'Shares in prod syst'!$B$47*'Data from Ahlgren et al'!S47+'Shares in prod syst'!$B$48*'Data from Ahlgren et al'!S51+'Shares in prod syst'!$B$49*'Data from Ahlgren et al'!S55</f>
        <v>0</v>
      </c>
    </row>
    <row r="10" spans="1:23" ht="15" thickBot="1">
      <c r="A10" s="10" t="s">
        <v>125</v>
      </c>
      <c r="B10" s="10" t="s">
        <v>126</v>
      </c>
      <c r="C10" s="11" t="s">
        <v>127</v>
      </c>
      <c r="D10" s="12" t="s">
        <v>128</v>
      </c>
      <c r="E10" s="12" t="s">
        <v>67</v>
      </c>
      <c r="F10" s="17" t="s">
        <v>132</v>
      </c>
      <c r="G10" s="113">
        <f t="shared" si="0"/>
        <v>1.6919737125421587E-2</v>
      </c>
      <c r="H10" s="14">
        <f>'Shares in prod syst'!$B$46*'Data from Ahlgren et al'!D44+'Shares in prod syst'!$B$47*'Data from Ahlgren et al'!D48+'Shares in prod syst'!$B$48*'Data from Ahlgren et al'!D52+'Shares in prod syst'!$B$49*'Data from Ahlgren et al'!D56</f>
        <v>1.6426500229981145E-3</v>
      </c>
      <c r="I10" s="14">
        <f>'Shares in prod syst'!$B$46*'Data from Ahlgren et al'!E44+'Shares in prod syst'!$B$47*'Data from Ahlgren et al'!E48+'Shares in prod syst'!$B$48*'Data from Ahlgren et al'!E52+'Shares in prod syst'!$B$49*'Data from Ahlgren et al'!E56</f>
        <v>0</v>
      </c>
      <c r="J10" s="14">
        <f>'Shares in prod syst'!$B$46*'Data from Ahlgren et al'!F44+'Shares in prod syst'!$B$47*'Data from Ahlgren et al'!F48+'Shares in prod syst'!$B$48*'Data from Ahlgren et al'!F52+'Shares in prod syst'!$B$49*'Data from Ahlgren et al'!F56</f>
        <v>7.1169303465264512E-3</v>
      </c>
      <c r="K10" s="14">
        <f>'Shares in prod syst'!$B$46*'Data from Ahlgren et al'!G44+'Shares in prod syst'!$B$47*'Data from Ahlgren et al'!G48+'Shares in prod syst'!$B$48*'Data from Ahlgren et al'!G52+'Shares in prod syst'!$B$49*'Data from Ahlgren et al'!G56</f>
        <v>7.1169303465264512E-4</v>
      </c>
      <c r="L10" s="14">
        <f>'Shares in prod syst'!$B$46*'Data from Ahlgren et al'!H44+'Shares in prod syst'!$B$47*'Data from Ahlgren et al'!H48+'Shares in prod syst'!$B$48*'Data from Ahlgren et al'!H52+'Shares in prod syst'!$B$49*'Data from Ahlgren et al'!H56</f>
        <v>0</v>
      </c>
      <c r="M10" s="14">
        <f>'Shares in prod syst'!$B$46*'Data from Ahlgren et al'!I44+'Shares in prod syst'!$B$47*'Data from Ahlgren et al'!I48+'Shares in prod syst'!$B$48*'Data from Ahlgren et al'!I52+'Shares in prod syst'!$B$49*'Data from Ahlgren et al'!I56</f>
        <v>0</v>
      </c>
      <c r="N10" s="14">
        <f>'Shares in prod syst'!$B$46*'Data from Ahlgren et al'!J44+'Shares in prod syst'!$B$47*'Data from Ahlgren et al'!J48+'Shares in prod syst'!$B$48*'Data from Ahlgren et al'!J52+'Shares in prod syst'!$B$49*'Data from Ahlgren et al'!J56</f>
        <v>0</v>
      </c>
      <c r="O10" s="14">
        <f>'Shares in prod syst'!$B$46*'Data from Ahlgren et al'!K44+'Shares in prod syst'!$B$47*'Data from Ahlgren et al'!K48+'Shares in prod syst'!$B$48*'Data from Ahlgren et al'!K52+'Shares in prod syst'!$B$49*'Data from Ahlgren et al'!K56</f>
        <v>0</v>
      </c>
      <c r="P10" s="14">
        <f>'Shares in prod syst'!$B$46*'Data from Ahlgren et al'!L44+'Shares in prod syst'!$B$47*'Data from Ahlgren et al'!L48+'Shares in prod syst'!$B$48*'Data from Ahlgren et al'!L52+'Shares in prod syst'!$B$49*'Data from Ahlgren et al'!L56</f>
        <v>0</v>
      </c>
      <c r="Q10" s="14">
        <f>'Shares in prod syst'!$B$46*'Data from Ahlgren et al'!M44+'Shares in prod syst'!$B$47*'Data from Ahlgren et al'!M48+'Shares in prod syst'!$B$48*'Data from Ahlgren et al'!M52+'Shares in prod syst'!$B$49*'Data from Ahlgren et al'!M56</f>
        <v>0</v>
      </c>
      <c r="R10" s="14">
        <f>'Shares in prod syst'!$B$46*'Data from Ahlgren et al'!N44+'Shares in prod syst'!$B$47*'Data from Ahlgren et al'!N48+'Shares in prod syst'!$B$48*'Data from Ahlgren et al'!N52+'Shares in prod syst'!$B$49*'Data from Ahlgren et al'!N56</f>
        <v>0</v>
      </c>
      <c r="S10" s="14">
        <f>'Shares in prod syst'!$B$46*'Data from Ahlgren et al'!O44+'Shares in prod syst'!$B$47*'Data from Ahlgren et al'!O48+'Shares in prod syst'!$B$48*'Data from Ahlgren et al'!O52+'Shares in prod syst'!$B$49*'Data from Ahlgren et al'!O56</f>
        <v>7.4484637212443774E-3</v>
      </c>
      <c r="T10" s="14">
        <f>'Shares in prod syst'!$B$46*'Data from Ahlgren et al'!P44+'Shares in prod syst'!$B$47*'Data from Ahlgren et al'!P48+'Shares in prod syst'!$B$48*'Data from Ahlgren et al'!P52+'Shares in prod syst'!$B$49*'Data from Ahlgren et al'!P56</f>
        <v>0</v>
      </c>
      <c r="U10" s="14">
        <f>'Shares in prod syst'!$B$46*'Data from Ahlgren et al'!Q44+'Shares in prod syst'!$B$47*'Data from Ahlgren et al'!Q48+'Shares in prod syst'!$B$48*'Data from Ahlgren et al'!Q52+'Shares in prod syst'!$B$49*'Data from Ahlgren et al'!Q56</f>
        <v>0</v>
      </c>
      <c r="V10" s="14">
        <f>'Shares in prod syst'!$B$46*'Data from Ahlgren et al'!R44+'Shares in prod syst'!$B$47*'Data from Ahlgren et al'!R48+'Shares in prod syst'!$B$48*'Data from Ahlgren et al'!R52+'Shares in prod syst'!$B$49*'Data from Ahlgren et al'!R56</f>
        <v>0</v>
      </c>
      <c r="W10" s="14">
        <f>'Shares in prod syst'!$B$46*'Data from Ahlgren et al'!S44+'Shares in prod syst'!$B$47*'Data from Ahlgren et al'!S48+'Shares in prod syst'!$B$48*'Data from Ahlgren et al'!S52+'Shares in prod syst'!$B$49*'Data from Ahlgren et al'!S56</f>
        <v>0</v>
      </c>
    </row>
    <row r="11" spans="1:23" ht="15" thickTop="1">
      <c r="A11" s="69" t="s">
        <v>125</v>
      </c>
      <c r="B11" s="69" t="s">
        <v>126</v>
      </c>
      <c r="C11" s="70" t="s">
        <v>127</v>
      </c>
      <c r="D11" s="71" t="s">
        <v>128</v>
      </c>
      <c r="E11" s="71" t="s">
        <v>67</v>
      </c>
      <c r="F11" s="72" t="s">
        <v>133</v>
      </c>
      <c r="G11" s="114">
        <f>SUM(H11:W11)</f>
        <v>17.143932637688508</v>
      </c>
      <c r="H11" s="115">
        <f>SUMPRODUCT(H7:H10,'CF Climate'!$B$5:$B$8)</f>
        <v>0.89688691255697051</v>
      </c>
      <c r="I11" s="116">
        <f>SUMPRODUCT(I7:I10,'CF Climate'!$B$5:$B$8)</f>
        <v>0</v>
      </c>
      <c r="J11" s="116">
        <f>SUMPRODUCT(J7:J10,'CF Climate'!$B$5:$B$8)</f>
        <v>1.9429219846017212</v>
      </c>
      <c r="K11" s="116">
        <f>SUMPRODUCT(K7:K10,'CF Climate'!$B$5:$B$8)</f>
        <v>0.19429219846017212</v>
      </c>
      <c r="L11" s="116">
        <f>SUMPRODUCT(L7:L10,'CF Climate'!$B$5:$B$8)</f>
        <v>0.53813214753418226</v>
      </c>
      <c r="M11" s="116">
        <f>SUMPRODUCT(M7:M10,'CF Climate'!$B$5:$B$8)</f>
        <v>0</v>
      </c>
      <c r="N11" s="116">
        <f>SUMPRODUCT(N7:N10,'CF Climate'!$B$5:$B$8)</f>
        <v>0</v>
      </c>
      <c r="O11" s="116">
        <f>SUMPRODUCT(O7:O10,'CF Climate'!$B$5:$B$8)</f>
        <v>0</v>
      </c>
      <c r="P11" s="116">
        <f>SUMPRODUCT(P7:P10,'CF Climate'!$B$5:$B$8)</f>
        <v>0</v>
      </c>
      <c r="Q11" s="116">
        <f>SUMPRODUCT(Q7:Q10,'CF Climate'!$B$5:$B$8)</f>
        <v>0.71613323343896629</v>
      </c>
      <c r="R11" s="116">
        <f>SUMPRODUCT(R7:R10,'CF Climate'!$B$5:$B$8)</f>
        <v>7.949950204274276</v>
      </c>
      <c r="S11" s="116">
        <f>SUMPRODUCT(S7:S10,'CF Climate'!$B$5:$B$8)</f>
        <v>4.06686119179943</v>
      </c>
      <c r="T11" s="116">
        <f>SUMPRODUCT(T7:T10,'CF Climate'!$B$5:$B$8)</f>
        <v>0</v>
      </c>
      <c r="U11" s="116">
        <f>SUMPRODUCT(U7:U10,'CF Climate'!$B$5:$B$8)</f>
        <v>0</v>
      </c>
      <c r="V11" s="116">
        <f>SUMPRODUCT(V7:V10,'CF Climate'!$B$5:$B$8)</f>
        <v>0.35875476502278814</v>
      </c>
      <c r="W11" s="116">
        <f>SUMPRODUCT(W7:W10,'CF Climate'!$B$5:$B$8)</f>
        <v>0.47999999999999993</v>
      </c>
    </row>
    <row r="12" spans="1:23">
      <c r="A12" s="10" t="s">
        <v>125</v>
      </c>
      <c r="B12" s="10" t="s">
        <v>126</v>
      </c>
      <c r="C12" s="11" t="s">
        <v>127</v>
      </c>
      <c r="D12" s="12" t="s">
        <v>68</v>
      </c>
      <c r="E12" s="12" t="s">
        <v>69</v>
      </c>
      <c r="F12" s="18" t="s">
        <v>129</v>
      </c>
      <c r="G12" s="113">
        <f t="shared" si="0"/>
        <v>2.9794641797473607</v>
      </c>
      <c r="H12" s="112">
        <f>'Shares in prod syst'!$C$46*'Data from Ahlgren et al'!D42+'Shares in prod syst'!$C$47*'Data from Ahlgren et al'!D46+'Shares in prod syst'!$C$48*'Data from Ahlgren et al'!D50+'Shares in prod syst'!$C$49*'Data from Ahlgren et al'!D54</f>
        <v>0.47805395485397051</v>
      </c>
      <c r="I12" s="112">
        <f>'Shares in prod syst'!$C$46*'Data from Ahlgren et al'!E42+'Shares in prod syst'!$C$47*'Data from Ahlgren et al'!E46+'Shares in prod syst'!$C$48*'Data from Ahlgren et al'!E50+'Shares in prod syst'!$C$49*'Data from Ahlgren et al'!E54</f>
        <v>0</v>
      </c>
      <c r="J12" s="112">
        <f>'Shares in prod syst'!$C$46*'Data from Ahlgren et al'!F42+'Shares in prod syst'!$C$47*'Data from Ahlgren et al'!F46+'Shares in prod syst'!$C$48*'Data from Ahlgren et al'!F50+'Shares in prod syst'!$C$49*'Data from Ahlgren et al'!F54</f>
        <v>0</v>
      </c>
      <c r="K12" s="112">
        <f>'Shares in prod syst'!$C$46*'Data from Ahlgren et al'!G42+'Shares in prod syst'!$C$47*'Data from Ahlgren et al'!G46+'Shares in prod syst'!$C$48*'Data from Ahlgren et al'!G50+'Shares in prod syst'!$C$49*'Data from Ahlgren et al'!G54</f>
        <v>0</v>
      </c>
      <c r="L12" s="112">
        <f>'Shares in prod syst'!$C$46*'Data from Ahlgren et al'!H42+'Shares in prod syst'!$C$47*'Data from Ahlgren et al'!H46+'Shares in prod syst'!$C$48*'Data from Ahlgren et al'!H50+'Shares in prod syst'!$C$49*'Data from Ahlgren et al'!H54</f>
        <v>0.57366474582476457</v>
      </c>
      <c r="M12" s="112">
        <f>'Shares in prod syst'!$C$46*'Data from Ahlgren et al'!I42+'Shares in prod syst'!$C$47*'Data from Ahlgren et al'!I46+'Shares in prod syst'!$C$48*'Data from Ahlgren et al'!I50+'Shares in prod syst'!$C$49*'Data from Ahlgren et al'!I54</f>
        <v>0</v>
      </c>
      <c r="N12" s="112">
        <f>'Shares in prod syst'!$C$46*'Data from Ahlgren et al'!J42+'Shares in prod syst'!$C$47*'Data from Ahlgren et al'!J46+'Shares in prod syst'!$C$48*'Data from Ahlgren et al'!J50+'Shares in prod syst'!$C$49*'Data from Ahlgren et al'!J54</f>
        <v>0</v>
      </c>
      <c r="O12" s="112">
        <f>'Shares in prod syst'!$C$46*'Data from Ahlgren et al'!K42+'Shares in prod syst'!$C$47*'Data from Ahlgren et al'!K46+'Shares in prod syst'!$C$48*'Data from Ahlgren et al'!K50+'Shares in prod syst'!$C$49*'Data from Ahlgren et al'!K54</f>
        <v>0</v>
      </c>
      <c r="P12" s="112">
        <f>'Shares in prod syst'!$C$46*'Data from Ahlgren et al'!L42+'Shares in prod syst'!$C$47*'Data from Ahlgren et al'!L46+'Shares in prod syst'!$C$48*'Data from Ahlgren et al'!L50+'Shares in prod syst'!$C$49*'Data from Ahlgren et al'!L54</f>
        <v>0</v>
      </c>
      <c r="Q12" s="112">
        <f>'Shares in prod syst'!$C$46*'Data from Ahlgren et al'!M42+'Shares in prod syst'!$C$47*'Data from Ahlgren et al'!M46+'Shares in prod syst'!$C$48*'Data from Ahlgren et al'!M50+'Shares in prod syst'!$C$49*'Data from Ahlgren et al'!M54</f>
        <v>1.0653023151854493</v>
      </c>
      <c r="R12" s="112">
        <f>'Shares in prod syst'!$C$46*'Data from Ahlgren et al'!N42+'Shares in prod syst'!$C$47*'Data from Ahlgren et al'!N46+'Shares in prod syst'!$C$48*'Data from Ahlgren et al'!N50+'Shares in prod syst'!$C$49*'Data from Ahlgren et al'!N54</f>
        <v>0</v>
      </c>
      <c r="S12" s="112">
        <f>'Shares in prod syst'!$C$46*'Data from Ahlgren et al'!O42+'Shares in prod syst'!$C$47*'Data from Ahlgren et al'!O46+'Shares in prod syst'!$C$48*'Data from Ahlgren et al'!O50+'Shares in prod syst'!$C$49*'Data from Ahlgren et al'!O54</f>
        <v>0</v>
      </c>
      <c r="T12" s="112">
        <f>'Shares in prod syst'!$C$46*'Data from Ahlgren et al'!P42+'Shares in prod syst'!$C$47*'Data from Ahlgren et al'!P46+'Shares in prod syst'!$C$48*'Data from Ahlgren et al'!P50+'Shares in prod syst'!$C$49*'Data from Ahlgren et al'!P54</f>
        <v>0</v>
      </c>
      <c r="U12" s="112">
        <f>'Shares in prod syst'!$C$46*'Data from Ahlgren et al'!Q42+'Shares in prod syst'!$C$47*'Data from Ahlgren et al'!Q46+'Shares in prod syst'!$C$48*'Data from Ahlgren et al'!Q50+'Shares in prod syst'!$C$49*'Data from Ahlgren et al'!Q54</f>
        <v>0</v>
      </c>
      <c r="V12" s="112">
        <f>'Shares in prod syst'!$C$46*'Data from Ahlgren et al'!R42+'Shares in prod syst'!$C$47*'Data from Ahlgren et al'!R46+'Shares in prod syst'!$C$48*'Data from Ahlgren et al'!R50+'Shares in prod syst'!$C$49*'Data from Ahlgren et al'!R54</f>
        <v>0.38244316388317634</v>
      </c>
      <c r="W12" s="112">
        <f>'Shares in prod syst'!$C$46*'Data from Ahlgren et al'!S42+'Shares in prod syst'!$C$47*'Data from Ahlgren et al'!S46+'Shares in prod syst'!$C$48*'Data from Ahlgren et al'!S50+'Shares in prod syst'!$C$49*'Data from Ahlgren et al'!S54</f>
        <v>0.48</v>
      </c>
    </row>
    <row r="13" spans="1:23">
      <c r="A13" s="10" t="s">
        <v>125</v>
      </c>
      <c r="B13" s="10" t="s">
        <v>126</v>
      </c>
      <c r="C13" s="11" t="s">
        <v>127</v>
      </c>
      <c r="D13" s="12" t="s">
        <v>68</v>
      </c>
      <c r="E13" s="12" t="s">
        <v>69</v>
      </c>
      <c r="F13" s="10" t="s">
        <v>130</v>
      </c>
      <c r="G13" s="113">
        <f t="shared" si="0"/>
        <v>0</v>
      </c>
      <c r="H13" s="113">
        <v>0</v>
      </c>
      <c r="I13" s="113">
        <v>0</v>
      </c>
      <c r="J13" s="113">
        <v>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</row>
    <row r="14" spans="1:23">
      <c r="A14" s="10" t="s">
        <v>125</v>
      </c>
      <c r="B14" s="10" t="s">
        <v>126</v>
      </c>
      <c r="C14" s="11" t="s">
        <v>127</v>
      </c>
      <c r="D14" s="12" t="s">
        <v>68</v>
      </c>
      <c r="E14" s="12" t="s">
        <v>69</v>
      </c>
      <c r="F14" s="10" t="s">
        <v>131</v>
      </c>
      <c r="G14" s="113">
        <f t="shared" si="0"/>
        <v>0.47294939680418979</v>
      </c>
      <c r="H14" s="14">
        <f>'Shares in prod syst'!$C$46*'Data from Ahlgren et al'!D43+'Shares in prod syst'!$C$47*'Data from Ahlgren et al'!D47+'Shares in prod syst'!$C$48*'Data from Ahlgren et al'!D51+'Shares in prod syst'!$C$49*'Data from Ahlgren et al'!D55</f>
        <v>0</v>
      </c>
      <c r="I14" s="14">
        <f>'Shares in prod syst'!$C$46*'Data from Ahlgren et al'!E43+'Shares in prod syst'!$C$47*'Data from Ahlgren et al'!E47+'Shares in prod syst'!$C$48*'Data from Ahlgren et al'!E51+'Shares in prod syst'!$C$49*'Data from Ahlgren et al'!E55</f>
        <v>0</v>
      </c>
      <c r="J14" s="14">
        <f>'Shares in prod syst'!$C$46*'Data from Ahlgren et al'!F43+'Shares in prod syst'!$C$47*'Data from Ahlgren et al'!F47+'Shares in prod syst'!$C$48*'Data from Ahlgren et al'!F51+'Shares in prod syst'!$C$49*'Data from Ahlgren et al'!F55</f>
        <v>0</v>
      </c>
      <c r="K14" s="14">
        <f>'Shares in prod syst'!$C$46*'Data from Ahlgren et al'!G43+'Shares in prod syst'!$C$47*'Data from Ahlgren et al'!G47+'Shares in prod syst'!$C$48*'Data from Ahlgren et al'!G51+'Shares in prod syst'!$C$49*'Data from Ahlgren et al'!G55</f>
        <v>0</v>
      </c>
      <c r="L14" s="14">
        <f>'Shares in prod syst'!$C$46*'Data from Ahlgren et al'!H43+'Shares in prod syst'!$C$47*'Data from Ahlgren et al'!H47+'Shares in prod syst'!$C$48*'Data from Ahlgren et al'!H51+'Shares in prod syst'!$C$49*'Data from Ahlgren et al'!H55</f>
        <v>0</v>
      </c>
      <c r="M14" s="14">
        <f>'Shares in prod syst'!$C$46*'Data from Ahlgren et al'!I43+'Shares in prod syst'!$C$47*'Data from Ahlgren et al'!I47+'Shares in prod syst'!$C$48*'Data from Ahlgren et al'!I51+'Shares in prod syst'!$C$49*'Data from Ahlgren et al'!I55</f>
        <v>0</v>
      </c>
      <c r="N14" s="14">
        <f>'Shares in prod syst'!$C$46*'Data from Ahlgren et al'!J43+'Shares in prod syst'!$C$47*'Data from Ahlgren et al'!J47+'Shares in prod syst'!$C$48*'Data from Ahlgren et al'!J51+'Shares in prod syst'!$C$49*'Data from Ahlgren et al'!J55</f>
        <v>0</v>
      </c>
      <c r="O14" s="14">
        <f>'Shares in prod syst'!$C$46*'Data from Ahlgren et al'!K43+'Shares in prod syst'!$C$47*'Data from Ahlgren et al'!K47+'Shares in prod syst'!$C$48*'Data from Ahlgren et al'!K51+'Shares in prod syst'!$C$49*'Data from Ahlgren et al'!K55</f>
        <v>0</v>
      </c>
      <c r="P14" s="14">
        <f>'Shares in prod syst'!$C$46*'Data from Ahlgren et al'!L43+'Shares in prod syst'!$C$47*'Data from Ahlgren et al'!L47+'Shares in prod syst'!$C$48*'Data from Ahlgren et al'!L51+'Shares in prod syst'!$C$49*'Data from Ahlgren et al'!L55</f>
        <v>0</v>
      </c>
      <c r="Q14" s="14">
        <f>'Shares in prod syst'!$C$46*'Data from Ahlgren et al'!M43+'Shares in prod syst'!$C$47*'Data from Ahlgren et al'!M47+'Shares in prod syst'!$C$48*'Data from Ahlgren et al'!M51+'Shares in prod syst'!$C$49*'Data from Ahlgren et al'!M55</f>
        <v>0</v>
      </c>
      <c r="R14" s="14">
        <f>'Shares in prod syst'!$C$46*'Data from Ahlgren et al'!N43+'Shares in prod syst'!$C$47*'Data from Ahlgren et al'!N47+'Shares in prod syst'!$C$48*'Data from Ahlgren et al'!N51+'Shares in prod syst'!$C$49*'Data from Ahlgren et al'!N55</f>
        <v>0.37216607626868137</v>
      </c>
      <c r="S14" s="14">
        <f>'Shares in prod syst'!$C$46*'Data from Ahlgren et al'!O43+'Shares in prod syst'!$C$47*'Data from Ahlgren et al'!O47+'Shares in prod syst'!$C$48*'Data from Ahlgren et al'!O51+'Shares in prod syst'!$C$49*'Data from Ahlgren et al'!O55</f>
        <v>0.1007833205355084</v>
      </c>
      <c r="T14" s="14">
        <f>'Shares in prod syst'!$C$46*'Data from Ahlgren et al'!P43+'Shares in prod syst'!$C$47*'Data from Ahlgren et al'!P47+'Shares in prod syst'!$C$48*'Data from Ahlgren et al'!P51+'Shares in prod syst'!$C$49*'Data from Ahlgren et al'!P55</f>
        <v>0</v>
      </c>
      <c r="U14" s="14">
        <f>'Shares in prod syst'!$C$46*'Data from Ahlgren et al'!Q43+'Shares in prod syst'!$C$47*'Data from Ahlgren et al'!Q47+'Shares in prod syst'!$C$48*'Data from Ahlgren et al'!Q51+'Shares in prod syst'!$C$49*'Data from Ahlgren et al'!Q55</f>
        <v>0</v>
      </c>
      <c r="V14" s="14">
        <f>'Shares in prod syst'!$C$46*'Data from Ahlgren et al'!R43+'Shares in prod syst'!$C$47*'Data from Ahlgren et al'!R47+'Shares in prod syst'!$C$48*'Data from Ahlgren et al'!R51+'Shares in prod syst'!$C$49*'Data from Ahlgren et al'!R55</f>
        <v>0</v>
      </c>
      <c r="W14" s="14">
        <f>'Shares in prod syst'!$C$46*'Data from Ahlgren et al'!S43+'Shares in prod syst'!$C$47*'Data from Ahlgren et al'!S47+'Shares in prod syst'!$C$48*'Data from Ahlgren et al'!S51+'Shares in prod syst'!$C$49*'Data from Ahlgren et al'!S55</f>
        <v>0</v>
      </c>
    </row>
    <row r="15" spans="1:23" ht="15" thickBot="1">
      <c r="A15" s="10" t="s">
        <v>125</v>
      </c>
      <c r="B15" s="10" t="s">
        <v>126</v>
      </c>
      <c r="C15" s="11" t="s">
        <v>127</v>
      </c>
      <c r="D15" s="12" t="s">
        <v>68</v>
      </c>
      <c r="E15" s="12" t="s">
        <v>69</v>
      </c>
      <c r="F15" s="17" t="s">
        <v>132</v>
      </c>
      <c r="G15" s="113">
        <f t="shared" si="0"/>
        <v>2.0909067767122251E-2</v>
      </c>
      <c r="H15" s="14">
        <f>'Shares in prod syst'!$C$46*'Data from Ahlgren et al'!D44+'Shares in prod syst'!$C$47*'Data from Ahlgren et al'!D48+'Shares in prod syst'!$C$48*'Data from Ahlgren et al'!D52+'Shares in prod syst'!$C$49*'Data from Ahlgren et al'!D56</f>
        <v>1.7511133877434815E-3</v>
      </c>
      <c r="I15" s="14">
        <f>'Shares in prod syst'!$C$46*'Data from Ahlgren et al'!E44+'Shares in prod syst'!$C$47*'Data from Ahlgren et al'!E48+'Shares in prod syst'!$C$48*'Data from Ahlgren et al'!E52+'Shares in prod syst'!$C$49*'Data from Ahlgren et al'!E56</f>
        <v>0</v>
      </c>
      <c r="J15" s="14">
        <f>'Shares in prod syst'!$C$46*'Data from Ahlgren et al'!F44+'Shares in prod syst'!$C$47*'Data from Ahlgren et al'!F48+'Shares in prod syst'!$C$48*'Data from Ahlgren et al'!F52+'Shares in prod syst'!$C$49*'Data from Ahlgren et al'!F56</f>
        <v>8.3548847522866374E-3</v>
      </c>
      <c r="K15" s="14">
        <f>'Shares in prod syst'!$C$46*'Data from Ahlgren et al'!G44+'Shares in prod syst'!$C$47*'Data from Ahlgren et al'!G48+'Shares in prod syst'!$C$48*'Data from Ahlgren et al'!G52+'Shares in prod syst'!$C$49*'Data from Ahlgren et al'!G56</f>
        <v>8.3548847522866383E-4</v>
      </c>
      <c r="L15" s="14">
        <f>'Shares in prod syst'!$C$46*'Data from Ahlgren et al'!H44+'Shares in prod syst'!$C$47*'Data from Ahlgren et al'!H48+'Shares in prod syst'!$C$48*'Data from Ahlgren et al'!H52+'Shares in prod syst'!$C$49*'Data from Ahlgren et al'!H56</f>
        <v>0</v>
      </c>
      <c r="M15" s="14">
        <f>'Shares in prod syst'!$C$46*'Data from Ahlgren et al'!I44+'Shares in prod syst'!$C$47*'Data from Ahlgren et al'!I48+'Shares in prod syst'!$C$48*'Data from Ahlgren et al'!I52+'Shares in prod syst'!$C$49*'Data from Ahlgren et al'!I56</f>
        <v>0</v>
      </c>
      <c r="N15" s="14">
        <f>'Shares in prod syst'!$C$46*'Data from Ahlgren et al'!J44+'Shares in prod syst'!$C$47*'Data from Ahlgren et al'!J48+'Shares in prod syst'!$C$48*'Data from Ahlgren et al'!J52+'Shares in prod syst'!$C$49*'Data from Ahlgren et al'!J56</f>
        <v>0</v>
      </c>
      <c r="O15" s="14">
        <f>'Shares in prod syst'!$C$46*'Data from Ahlgren et al'!K44+'Shares in prod syst'!$C$47*'Data from Ahlgren et al'!K48+'Shares in prod syst'!$C$48*'Data from Ahlgren et al'!K52+'Shares in prod syst'!$C$49*'Data from Ahlgren et al'!K56</f>
        <v>0</v>
      </c>
      <c r="P15" s="14">
        <f>'Shares in prod syst'!$C$46*'Data from Ahlgren et al'!L44+'Shares in prod syst'!$C$47*'Data from Ahlgren et al'!L48+'Shares in prod syst'!$C$48*'Data from Ahlgren et al'!L52+'Shares in prod syst'!$C$49*'Data from Ahlgren et al'!L56</f>
        <v>0</v>
      </c>
      <c r="Q15" s="14">
        <f>'Shares in prod syst'!$C$46*'Data from Ahlgren et al'!M44+'Shares in prod syst'!$C$47*'Data from Ahlgren et al'!M48+'Shares in prod syst'!$C$48*'Data from Ahlgren et al'!M52+'Shares in prod syst'!$C$49*'Data from Ahlgren et al'!M56</f>
        <v>0</v>
      </c>
      <c r="R15" s="14">
        <f>'Shares in prod syst'!$C$46*'Data from Ahlgren et al'!N44+'Shares in prod syst'!$C$47*'Data from Ahlgren et al'!N48+'Shares in prod syst'!$C$48*'Data from Ahlgren et al'!N52+'Shares in prod syst'!$C$49*'Data from Ahlgren et al'!N56</f>
        <v>0</v>
      </c>
      <c r="S15" s="14">
        <f>'Shares in prod syst'!$C$46*'Data from Ahlgren et al'!O44+'Shares in prod syst'!$C$47*'Data from Ahlgren et al'!O48+'Shares in prod syst'!$C$48*'Data from Ahlgren et al'!O52+'Shares in prod syst'!$C$49*'Data from Ahlgren et al'!O56</f>
        <v>9.9675811518634676E-3</v>
      </c>
      <c r="T15" s="14">
        <f>'Shares in prod syst'!$C$46*'Data from Ahlgren et al'!P44+'Shares in prod syst'!$C$47*'Data from Ahlgren et al'!P48+'Shares in prod syst'!$C$48*'Data from Ahlgren et al'!P52+'Shares in prod syst'!$C$49*'Data from Ahlgren et al'!P56</f>
        <v>0</v>
      </c>
      <c r="U15" s="14">
        <f>'Shares in prod syst'!$C$46*'Data from Ahlgren et al'!Q44+'Shares in prod syst'!$C$47*'Data from Ahlgren et al'!Q48+'Shares in prod syst'!$C$48*'Data from Ahlgren et al'!Q52+'Shares in prod syst'!$C$49*'Data from Ahlgren et al'!Q56</f>
        <v>0</v>
      </c>
      <c r="V15" s="14">
        <f>'Shares in prod syst'!$C$46*'Data from Ahlgren et al'!R44+'Shares in prod syst'!$C$47*'Data from Ahlgren et al'!R48+'Shares in prod syst'!$C$48*'Data from Ahlgren et al'!R52+'Shares in prod syst'!$C$49*'Data from Ahlgren et al'!R56</f>
        <v>0</v>
      </c>
      <c r="W15" s="14">
        <f>'Shares in prod syst'!$C$46*'Data from Ahlgren et al'!S44+'Shares in prod syst'!$C$47*'Data from Ahlgren et al'!S48+'Shares in prod syst'!$C$48*'Data from Ahlgren et al'!S52+'Shares in prod syst'!$C$49*'Data from Ahlgren et al'!S56</f>
        <v>0</v>
      </c>
    </row>
    <row r="16" spans="1:23" ht="15" thickTop="1">
      <c r="A16" s="69" t="s">
        <v>125</v>
      </c>
      <c r="B16" s="69" t="s">
        <v>126</v>
      </c>
      <c r="C16" s="70" t="s">
        <v>127</v>
      </c>
      <c r="D16" s="19" t="s">
        <v>68</v>
      </c>
      <c r="E16" s="19" t="s">
        <v>69</v>
      </c>
      <c r="F16" s="76" t="s">
        <v>133</v>
      </c>
      <c r="G16" s="114">
        <f t="shared" si="0"/>
        <v>21.457273393884861</v>
      </c>
      <c r="H16" s="117">
        <f>SUMPRODUCT(H12:H15,'CF Climate'!$B$5:$B$8)</f>
        <v>0.95610790970794102</v>
      </c>
      <c r="I16" s="118">
        <f>SUMPRODUCT(I12:I15,'CF Climate'!$B$5:$B$8)</f>
        <v>0</v>
      </c>
      <c r="J16" s="118">
        <f>SUMPRODUCT(J12:J15,'CF Climate'!$B$5:$B$8)</f>
        <v>2.280883537374252</v>
      </c>
      <c r="K16" s="118">
        <f>SUMPRODUCT(K12:K15,'CF Climate'!$B$5:$B$8)</f>
        <v>0.22808835373742523</v>
      </c>
      <c r="L16" s="118">
        <f>SUMPRODUCT(L12:L15,'CF Climate'!$B$5:$B$8)</f>
        <v>0.57366474582476457</v>
      </c>
      <c r="M16" s="118">
        <f>SUMPRODUCT(M12:M15,'CF Climate'!$B$5:$B$8)</f>
        <v>0</v>
      </c>
      <c r="N16" s="118">
        <f>SUMPRODUCT(N12:N15,'CF Climate'!$B$5:$B$8)</f>
        <v>0</v>
      </c>
      <c r="O16" s="118">
        <f>SUMPRODUCT(O12:O15,'CF Climate'!$B$5:$B$8)</f>
        <v>0</v>
      </c>
      <c r="P16" s="118">
        <f>SUMPRODUCT(P12:P15,'CF Climate'!$B$5:$B$8)</f>
        <v>0</v>
      </c>
      <c r="Q16" s="118">
        <f>SUMPRODUCT(Q12:Q15,'CF Climate'!$B$5:$B$8)</f>
        <v>1.0653023151854493</v>
      </c>
      <c r="R16" s="118">
        <f>SUMPRODUCT(R12:R15,'CF Climate'!$B$5:$B$8)</f>
        <v>10.048484059254397</v>
      </c>
      <c r="S16" s="118">
        <f>SUMPRODUCT(S12:S15,'CF Climate'!$B$5:$B$8)</f>
        <v>5.4422993089174536</v>
      </c>
      <c r="T16" s="118">
        <f>SUMPRODUCT(T12:T15,'CF Climate'!$B$5:$B$8)</f>
        <v>0</v>
      </c>
      <c r="U16" s="118">
        <f>SUMPRODUCT(U12:U15,'CF Climate'!$B$5:$B$8)</f>
        <v>0</v>
      </c>
      <c r="V16" s="118">
        <f>SUMPRODUCT(V12:V15,'CF Climate'!$B$5:$B$8)</f>
        <v>0.38244316388317634</v>
      </c>
      <c r="W16" s="118">
        <f>SUMPRODUCT(W12:W15,'CF Climate'!$B$5:$B$8)</f>
        <v>0.48</v>
      </c>
    </row>
    <row r="17" spans="1:23">
      <c r="A17" s="73" t="s">
        <v>125</v>
      </c>
      <c r="B17" s="73" t="s">
        <v>126</v>
      </c>
      <c r="C17" s="74" t="s">
        <v>127</v>
      </c>
      <c r="D17" s="67" t="s">
        <v>70</v>
      </c>
      <c r="E17" s="67" t="s">
        <v>71</v>
      </c>
      <c r="F17" s="75" t="s">
        <v>129</v>
      </c>
      <c r="G17" s="113">
        <f t="shared" si="0"/>
        <v>2.704725771131506</v>
      </c>
      <c r="H17" s="14">
        <f>'Shares in prod syst'!$D$46*'Data from Ahlgren et al'!D42+'Shares in prod syst'!$D$47*'Data from Ahlgren et al'!D46+'Shares in prod syst'!$D$48*'Data from Ahlgren et al'!D50+'Shares in prod syst'!$D$49*'Data from Ahlgren et al'!D54</f>
        <v>0.42035832498377829</v>
      </c>
      <c r="I17" s="14">
        <f>'Shares in prod syst'!$D$46*'Data from Ahlgren et al'!E42+'Shares in prod syst'!$D$47*'Data from Ahlgren et al'!E46+'Shares in prod syst'!$D$48*'Data from Ahlgren et al'!E50+'Shares in prod syst'!$D$49*'Data from Ahlgren et al'!E54</f>
        <v>0</v>
      </c>
      <c r="J17" s="14">
        <f>'Shares in prod syst'!$D$46*'Data from Ahlgren et al'!F42+'Shares in prod syst'!$D$47*'Data from Ahlgren et al'!F46+'Shares in prod syst'!$D$48*'Data from Ahlgren et al'!F50+'Shares in prod syst'!$D$49*'Data from Ahlgren et al'!F54</f>
        <v>0</v>
      </c>
      <c r="K17" s="14">
        <f>'Shares in prod syst'!$D$46*'Data from Ahlgren et al'!G42+'Shares in prod syst'!$D$47*'Data from Ahlgren et al'!G46+'Shares in prod syst'!$D$48*'Data from Ahlgren et al'!G50+'Shares in prod syst'!$D$49*'Data from Ahlgren et al'!G54</f>
        <v>0</v>
      </c>
      <c r="L17" s="14">
        <f>'Shares in prod syst'!$D$46*'Data from Ahlgren et al'!H42+'Shares in prod syst'!$D$47*'Data from Ahlgren et al'!H46+'Shares in prod syst'!$D$48*'Data from Ahlgren et al'!H50+'Shares in prod syst'!$D$49*'Data from Ahlgren et al'!H54</f>
        <v>0.50442998998053401</v>
      </c>
      <c r="M17" s="14">
        <f>'Shares in prod syst'!$D$46*'Data from Ahlgren et al'!I42+'Shares in prod syst'!$D$47*'Data from Ahlgren et al'!I46+'Shares in prod syst'!$D$48*'Data from Ahlgren et al'!I50+'Shares in prod syst'!$D$49*'Data from Ahlgren et al'!I54</f>
        <v>0</v>
      </c>
      <c r="N17" s="14">
        <f>'Shares in prod syst'!$D$46*'Data from Ahlgren et al'!J42+'Shares in prod syst'!$D$47*'Data from Ahlgren et al'!J46+'Shares in prod syst'!$D$48*'Data from Ahlgren et al'!J50+'Shares in prod syst'!$D$49*'Data from Ahlgren et al'!J54</f>
        <v>0</v>
      </c>
      <c r="O17" s="14">
        <f>'Shares in prod syst'!$D$46*'Data from Ahlgren et al'!K42+'Shares in prod syst'!$D$47*'Data from Ahlgren et al'!K46+'Shares in prod syst'!$D$48*'Data from Ahlgren et al'!K50+'Shares in prod syst'!$D$49*'Data from Ahlgren et al'!K54</f>
        <v>0</v>
      </c>
      <c r="P17" s="14">
        <f>'Shares in prod syst'!$D$46*'Data from Ahlgren et al'!L42+'Shares in prod syst'!$D$47*'Data from Ahlgren et al'!L46+'Shares in prod syst'!$D$48*'Data from Ahlgren et al'!L50+'Shares in prod syst'!$D$49*'Data from Ahlgren et al'!L54</f>
        <v>0</v>
      </c>
      <c r="Q17" s="14">
        <f>'Shares in prod syst'!$D$46*'Data from Ahlgren et al'!M42+'Shares in prod syst'!$D$47*'Data from Ahlgren et al'!M46+'Shares in prod syst'!$D$48*'Data from Ahlgren et al'!M50+'Shares in prod syst'!$D$49*'Data from Ahlgren et al'!M54</f>
        <v>0.96365079618017102</v>
      </c>
      <c r="R17" s="14">
        <f>'Shares in prod syst'!$D$46*'Data from Ahlgren et al'!N42+'Shares in prod syst'!$D$47*'Data from Ahlgren et al'!N46+'Shares in prod syst'!$D$48*'Data from Ahlgren et al'!N50+'Shares in prod syst'!$D$49*'Data from Ahlgren et al'!N54</f>
        <v>0</v>
      </c>
      <c r="S17" s="14">
        <f>'Shares in prod syst'!$D$46*'Data from Ahlgren et al'!O42+'Shares in prod syst'!$D$47*'Data from Ahlgren et al'!O46+'Shares in prod syst'!$D$48*'Data from Ahlgren et al'!O50+'Shares in prod syst'!$D$49*'Data from Ahlgren et al'!O54</f>
        <v>0</v>
      </c>
      <c r="T17" s="14">
        <f>'Shares in prod syst'!$D$46*'Data from Ahlgren et al'!P42+'Shares in prod syst'!$D$47*'Data from Ahlgren et al'!P46+'Shares in prod syst'!$D$48*'Data from Ahlgren et al'!P50+'Shares in prod syst'!$D$49*'Data from Ahlgren et al'!P54</f>
        <v>0</v>
      </c>
      <c r="U17" s="14">
        <f>'Shares in prod syst'!$D$46*'Data from Ahlgren et al'!Q42+'Shares in prod syst'!$D$47*'Data from Ahlgren et al'!Q46+'Shares in prod syst'!$D$48*'Data from Ahlgren et al'!Q50+'Shares in prod syst'!$D$49*'Data from Ahlgren et al'!Q54</f>
        <v>0</v>
      </c>
      <c r="V17" s="14">
        <f>'Shares in prod syst'!$D$46*'Data from Ahlgren et al'!R42+'Shares in prod syst'!$D$47*'Data from Ahlgren et al'!R46+'Shares in prod syst'!$D$48*'Data from Ahlgren et al'!R50+'Shares in prod syst'!$D$49*'Data from Ahlgren et al'!R54</f>
        <v>0.33628665998702267</v>
      </c>
      <c r="W17" s="14">
        <f>'Shares in prod syst'!$D$46*'Data from Ahlgren et al'!S42+'Shares in prod syst'!$D$47*'Data from Ahlgren et al'!S46+'Shares in prod syst'!$D$48*'Data from Ahlgren et al'!S50+'Shares in prod syst'!$D$49*'Data from Ahlgren et al'!S54</f>
        <v>0.47999999999999993</v>
      </c>
    </row>
    <row r="18" spans="1:23">
      <c r="A18" s="10" t="s">
        <v>125</v>
      </c>
      <c r="B18" s="10" t="s">
        <v>126</v>
      </c>
      <c r="C18" s="11" t="s">
        <v>127</v>
      </c>
      <c r="D18" s="12" t="s">
        <v>70</v>
      </c>
      <c r="E18" s="12" t="s">
        <v>71</v>
      </c>
      <c r="F18" s="10" t="s">
        <v>130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</row>
    <row r="19" spans="1:23">
      <c r="A19" s="10" t="s">
        <v>125</v>
      </c>
      <c r="B19" s="10" t="s">
        <v>126</v>
      </c>
      <c r="C19" s="11" t="s">
        <v>127</v>
      </c>
      <c r="D19" s="12" t="s">
        <v>70</v>
      </c>
      <c r="E19" s="12" t="s">
        <v>71</v>
      </c>
      <c r="F19" s="10" t="s">
        <v>131</v>
      </c>
      <c r="G19" s="113">
        <f t="shared" si="0"/>
        <v>0.42690937032566845</v>
      </c>
      <c r="H19" s="14">
        <f>'Shares in prod syst'!$D$46*'Data from Ahlgren et al'!D43+'Shares in prod syst'!$D$47*'Data from Ahlgren et al'!D47+'Shares in prod syst'!$D$48*'Data from Ahlgren et al'!D51+'Shares in prod syst'!$D$49*'Data from Ahlgren et al'!D55</f>
        <v>0</v>
      </c>
      <c r="I19" s="14">
        <f>'Shares in prod syst'!$D$46*'Data from Ahlgren et al'!E43+'Shares in prod syst'!$D$47*'Data from Ahlgren et al'!E47+'Shares in prod syst'!$D$48*'Data from Ahlgren et al'!E51+'Shares in prod syst'!$D$49*'Data from Ahlgren et al'!E55</f>
        <v>0</v>
      </c>
      <c r="J19" s="14">
        <f>'Shares in prod syst'!$D$46*'Data from Ahlgren et al'!F43+'Shares in prod syst'!$D$47*'Data from Ahlgren et al'!F47+'Shares in prod syst'!$D$48*'Data from Ahlgren et al'!F51+'Shares in prod syst'!$D$49*'Data from Ahlgren et al'!F55</f>
        <v>0</v>
      </c>
      <c r="K19" s="14">
        <f>'Shares in prod syst'!$D$46*'Data from Ahlgren et al'!G43+'Shares in prod syst'!$D$47*'Data from Ahlgren et al'!G47+'Shares in prod syst'!$D$48*'Data from Ahlgren et al'!G51+'Shares in prod syst'!$D$49*'Data from Ahlgren et al'!G55</f>
        <v>0</v>
      </c>
      <c r="L19" s="14">
        <f>'Shares in prod syst'!$D$46*'Data from Ahlgren et al'!H43+'Shares in prod syst'!$D$47*'Data from Ahlgren et al'!H47+'Shares in prod syst'!$D$48*'Data from Ahlgren et al'!H51+'Shares in prod syst'!$D$49*'Data from Ahlgren et al'!H55</f>
        <v>0</v>
      </c>
      <c r="M19" s="14">
        <f>'Shares in prod syst'!$D$46*'Data from Ahlgren et al'!I43+'Shares in prod syst'!$D$47*'Data from Ahlgren et al'!I47+'Shares in prod syst'!$D$48*'Data from Ahlgren et al'!I51+'Shares in prod syst'!$D$49*'Data from Ahlgren et al'!I55</f>
        <v>0</v>
      </c>
      <c r="N19" s="14">
        <f>'Shares in prod syst'!$D$46*'Data from Ahlgren et al'!J43+'Shares in prod syst'!$D$47*'Data from Ahlgren et al'!J47+'Shares in prod syst'!$D$48*'Data from Ahlgren et al'!J51+'Shares in prod syst'!$D$49*'Data from Ahlgren et al'!J55</f>
        <v>0</v>
      </c>
      <c r="O19" s="14">
        <f>'Shares in prod syst'!$D$46*'Data from Ahlgren et al'!K43+'Shares in prod syst'!$D$47*'Data from Ahlgren et al'!K47+'Shares in prod syst'!$D$48*'Data from Ahlgren et al'!K51+'Shares in prod syst'!$D$49*'Data from Ahlgren et al'!K55</f>
        <v>0</v>
      </c>
      <c r="P19" s="14">
        <f>'Shares in prod syst'!$D$46*'Data from Ahlgren et al'!L43+'Shares in prod syst'!$D$47*'Data from Ahlgren et al'!L47+'Shares in prod syst'!$D$48*'Data from Ahlgren et al'!L51+'Shares in prod syst'!$D$49*'Data from Ahlgren et al'!L55</f>
        <v>0</v>
      </c>
      <c r="Q19" s="14">
        <f>'Shares in prod syst'!$D$46*'Data from Ahlgren et al'!M43+'Shares in prod syst'!$D$47*'Data from Ahlgren et al'!M47+'Shares in prod syst'!$D$48*'Data from Ahlgren et al'!M51+'Shares in prod syst'!$D$49*'Data from Ahlgren et al'!M55</f>
        <v>0</v>
      </c>
      <c r="R19" s="14">
        <f>'Shares in prod syst'!$D$46*'Data from Ahlgren et al'!N43+'Shares in prod syst'!$D$47*'Data from Ahlgren et al'!N47+'Shares in prod syst'!$D$48*'Data from Ahlgren et al'!N51+'Shares in prod syst'!$D$49*'Data from Ahlgren et al'!N55</f>
        <v>0.33782097854665527</v>
      </c>
      <c r="S19" s="14">
        <f>'Shares in prod syst'!$D$46*'Data from Ahlgren et al'!O43+'Shares in prod syst'!$D$47*'Data from Ahlgren et al'!O47+'Shares in prod syst'!$D$48*'Data from Ahlgren et al'!O51+'Shares in prod syst'!$D$49*'Data from Ahlgren et al'!O55</f>
        <v>8.9088391779013176E-2</v>
      </c>
      <c r="T19" s="14">
        <f>'Shares in prod syst'!$D$46*'Data from Ahlgren et al'!P43+'Shares in prod syst'!$D$47*'Data from Ahlgren et al'!P47+'Shares in prod syst'!$D$48*'Data from Ahlgren et al'!P51+'Shares in prod syst'!$D$49*'Data from Ahlgren et al'!P55</f>
        <v>0</v>
      </c>
      <c r="U19" s="14">
        <f>'Shares in prod syst'!$D$46*'Data from Ahlgren et al'!Q43+'Shares in prod syst'!$D$47*'Data from Ahlgren et al'!Q47+'Shares in prod syst'!$D$48*'Data from Ahlgren et al'!Q51+'Shares in prod syst'!$D$49*'Data from Ahlgren et al'!Q55</f>
        <v>0</v>
      </c>
      <c r="V19" s="14">
        <f>'Shares in prod syst'!$D$46*'Data from Ahlgren et al'!R43+'Shares in prod syst'!$D$47*'Data from Ahlgren et al'!R47+'Shares in prod syst'!$D$48*'Data from Ahlgren et al'!R51+'Shares in prod syst'!$D$49*'Data from Ahlgren et al'!R55</f>
        <v>0</v>
      </c>
      <c r="W19" s="14">
        <f>'Shares in prod syst'!$D$46*'Data from Ahlgren et al'!S43+'Shares in prod syst'!$D$47*'Data from Ahlgren et al'!S47+'Shares in prod syst'!$D$48*'Data from Ahlgren et al'!S51+'Shares in prod syst'!$D$49*'Data from Ahlgren et al'!S55</f>
        <v>0</v>
      </c>
    </row>
    <row r="20" spans="1:23" ht="15" thickBot="1">
      <c r="A20" s="10" t="s">
        <v>125</v>
      </c>
      <c r="B20" s="10" t="s">
        <v>126</v>
      </c>
      <c r="C20" s="11" t="s">
        <v>127</v>
      </c>
      <c r="D20" s="12" t="s">
        <v>70</v>
      </c>
      <c r="E20" s="12" t="s">
        <v>71</v>
      </c>
      <c r="F20" s="17" t="s">
        <v>132</v>
      </c>
      <c r="G20" s="113">
        <f t="shared" si="0"/>
        <v>1.874468378295318E-2</v>
      </c>
      <c r="H20" s="14">
        <f>'Shares in prod syst'!$D$46*'Data from Ahlgren et al'!D44+'Shares in prod syst'!$D$47*'Data from Ahlgren et al'!D48+'Shares in prod syst'!$D$48*'Data from Ahlgren et al'!D52+'Shares in prod syst'!$D$49*'Data from Ahlgren et al'!D56</f>
        <v>1.5397740841896642E-3</v>
      </c>
      <c r="I20" s="14">
        <f>'Shares in prod syst'!$D$46*'Data from Ahlgren et al'!E44+'Shares in prod syst'!$D$47*'Data from Ahlgren et al'!E48+'Shares in prod syst'!$D$48*'Data from Ahlgren et al'!E52+'Shares in prod syst'!$D$49*'Data from Ahlgren et al'!E56</f>
        <v>0</v>
      </c>
      <c r="J20" s="14">
        <f>'Shares in prod syst'!$D$46*'Data from Ahlgren et al'!F44+'Shares in prod syst'!$D$47*'Data from Ahlgren et al'!F48+'Shares in prod syst'!$D$48*'Data from Ahlgren et al'!F52+'Shares in prod syst'!$D$49*'Data from Ahlgren et al'!F56</f>
        <v>7.6308816840795343E-3</v>
      </c>
      <c r="K20" s="14">
        <f>'Shares in prod syst'!$D$46*'Data from Ahlgren et al'!G44+'Shares in prod syst'!$D$47*'Data from Ahlgren et al'!G48+'Shares in prod syst'!$D$48*'Data from Ahlgren et al'!G52+'Shares in prod syst'!$D$49*'Data from Ahlgren et al'!G56</f>
        <v>7.6308816840795336E-4</v>
      </c>
      <c r="L20" s="14">
        <f>'Shares in prod syst'!$D$46*'Data from Ahlgren et al'!H44+'Shares in prod syst'!$D$47*'Data from Ahlgren et al'!H48+'Shares in prod syst'!$D$48*'Data from Ahlgren et al'!H52+'Shares in prod syst'!$D$49*'Data from Ahlgren et al'!H56</f>
        <v>0</v>
      </c>
      <c r="M20" s="14">
        <f>'Shares in prod syst'!$D$46*'Data from Ahlgren et al'!I44+'Shares in prod syst'!$D$47*'Data from Ahlgren et al'!I48+'Shares in prod syst'!$D$48*'Data from Ahlgren et al'!I52+'Shares in prod syst'!$D$49*'Data from Ahlgren et al'!I56</f>
        <v>0</v>
      </c>
      <c r="N20" s="14">
        <f>'Shares in prod syst'!$D$46*'Data from Ahlgren et al'!J44+'Shares in prod syst'!$D$47*'Data from Ahlgren et al'!J48+'Shares in prod syst'!$D$48*'Data from Ahlgren et al'!J52+'Shares in prod syst'!$D$49*'Data from Ahlgren et al'!J56</f>
        <v>0</v>
      </c>
      <c r="O20" s="14">
        <f>'Shares in prod syst'!$D$46*'Data from Ahlgren et al'!K44+'Shares in prod syst'!$D$47*'Data from Ahlgren et al'!K48+'Shares in prod syst'!$D$48*'Data from Ahlgren et al'!K52+'Shares in prod syst'!$D$49*'Data from Ahlgren et al'!K56</f>
        <v>0</v>
      </c>
      <c r="P20" s="14">
        <f>'Shares in prod syst'!$D$46*'Data from Ahlgren et al'!L44+'Shares in prod syst'!$D$47*'Data from Ahlgren et al'!L48+'Shares in prod syst'!$D$48*'Data from Ahlgren et al'!L52+'Shares in prod syst'!$D$49*'Data from Ahlgren et al'!L56</f>
        <v>0</v>
      </c>
      <c r="Q20" s="14">
        <f>'Shares in prod syst'!$D$46*'Data from Ahlgren et al'!M44+'Shares in prod syst'!$D$47*'Data from Ahlgren et al'!M48+'Shares in prod syst'!$D$48*'Data from Ahlgren et al'!M52+'Shares in prod syst'!$D$49*'Data from Ahlgren et al'!M56</f>
        <v>0</v>
      </c>
      <c r="R20" s="14">
        <f>'Shares in prod syst'!$D$46*'Data from Ahlgren et al'!N44+'Shares in prod syst'!$D$47*'Data from Ahlgren et al'!N48+'Shares in prod syst'!$D$48*'Data from Ahlgren et al'!N52+'Shares in prod syst'!$D$49*'Data from Ahlgren et al'!N56</f>
        <v>0</v>
      </c>
      <c r="S20" s="14">
        <f>'Shares in prod syst'!$D$46*'Data from Ahlgren et al'!O44+'Shares in prod syst'!$D$47*'Data from Ahlgren et al'!O48+'Shares in prod syst'!$D$48*'Data from Ahlgren et al'!O52+'Shares in prod syst'!$D$49*'Data from Ahlgren et al'!O56</f>
        <v>8.8109398462760287E-3</v>
      </c>
      <c r="T20" s="14">
        <f>'Shares in prod syst'!$D$46*'Data from Ahlgren et al'!P44+'Shares in prod syst'!$D$47*'Data from Ahlgren et al'!P48+'Shares in prod syst'!$D$48*'Data from Ahlgren et al'!P52+'Shares in prod syst'!$D$49*'Data from Ahlgren et al'!P56</f>
        <v>0</v>
      </c>
      <c r="U20" s="14">
        <f>'Shares in prod syst'!$D$46*'Data from Ahlgren et al'!Q44+'Shares in prod syst'!$D$47*'Data from Ahlgren et al'!Q48+'Shares in prod syst'!$D$48*'Data from Ahlgren et al'!Q52+'Shares in prod syst'!$D$49*'Data from Ahlgren et al'!Q56</f>
        <v>0</v>
      </c>
      <c r="V20" s="14">
        <f>'Shares in prod syst'!$D$46*'Data from Ahlgren et al'!R44+'Shares in prod syst'!$D$47*'Data from Ahlgren et al'!R48+'Shares in prod syst'!$D$48*'Data from Ahlgren et al'!R52+'Shares in prod syst'!$D$49*'Data from Ahlgren et al'!R56</f>
        <v>0</v>
      </c>
      <c r="W20" s="14">
        <f>'Shares in prod syst'!$D$46*'Data from Ahlgren et al'!S44+'Shares in prod syst'!$D$47*'Data from Ahlgren et al'!S48+'Shares in prod syst'!$D$48*'Data from Ahlgren et al'!S52+'Shares in prod syst'!$D$49*'Data from Ahlgren et al'!S56</f>
        <v>0</v>
      </c>
    </row>
    <row r="21" spans="1:23" ht="15" thickTop="1">
      <c r="A21" s="69" t="s">
        <v>125</v>
      </c>
      <c r="B21" s="69" t="s">
        <v>126</v>
      </c>
      <c r="C21" s="70" t="s">
        <v>127</v>
      </c>
      <c r="D21" s="71" t="s">
        <v>70</v>
      </c>
      <c r="E21" s="71" t="s">
        <v>71</v>
      </c>
      <c r="F21" s="72" t="s">
        <v>133</v>
      </c>
      <c r="G21" s="114">
        <f t="shared" si="0"/>
        <v>19.34857744267077</v>
      </c>
      <c r="H21" s="115">
        <f>SUMPRODUCT(H17:H20,'CF Climate'!$B$5:$B$8)</f>
        <v>0.84071664996755668</v>
      </c>
      <c r="I21" s="116">
        <f>SUMPRODUCT(I17:I20,'CF Climate'!$B$5:$B$8)</f>
        <v>0</v>
      </c>
      <c r="J21" s="116">
        <f>SUMPRODUCT(J17:J20,'CF Climate'!$B$5:$B$8)</f>
        <v>2.0832306997537127</v>
      </c>
      <c r="K21" s="116">
        <f>SUMPRODUCT(K17:K20,'CF Climate'!$B$5:$B$8)</f>
        <v>0.20832306997537126</v>
      </c>
      <c r="L21" s="116">
        <f>SUMPRODUCT(L17:L20,'CF Climate'!$B$5:$B$8)</f>
        <v>0.50442998998053401</v>
      </c>
      <c r="M21" s="116">
        <f>SUMPRODUCT(M17:M20,'CF Climate'!$B$5:$B$8)</f>
        <v>0</v>
      </c>
      <c r="N21" s="116">
        <f>SUMPRODUCT(N17:N20,'CF Climate'!$B$5:$B$8)</f>
        <v>0</v>
      </c>
      <c r="O21" s="116">
        <f>SUMPRODUCT(O17:O20,'CF Climate'!$B$5:$B$8)</f>
        <v>0</v>
      </c>
      <c r="P21" s="116">
        <f>SUMPRODUCT(P17:P20,'CF Climate'!$B$5:$B$8)</f>
        <v>0</v>
      </c>
      <c r="Q21" s="116">
        <f>SUMPRODUCT(Q17:Q20,'CF Climate'!$B$5:$B$8)</f>
        <v>0.96365079618017102</v>
      </c>
      <c r="R21" s="116">
        <f>SUMPRODUCT(R17:R20,'CF Climate'!$B$5:$B$8)</f>
        <v>9.1211664207596925</v>
      </c>
      <c r="S21" s="116">
        <f>SUMPRODUCT(S17:S20,'CF Climate'!$B$5:$B$8)</f>
        <v>4.8107731560667117</v>
      </c>
      <c r="T21" s="116">
        <f>SUMPRODUCT(T17:T20,'CF Climate'!$B$5:$B$8)</f>
        <v>0</v>
      </c>
      <c r="U21" s="116">
        <f>SUMPRODUCT(U17:U20,'CF Climate'!$B$5:$B$8)</f>
        <v>0</v>
      </c>
      <c r="V21" s="116">
        <f>SUMPRODUCT(V17:V20,'CF Climate'!$B$5:$B$8)</f>
        <v>0.33628665998702267</v>
      </c>
      <c r="W21" s="116">
        <f>SUMPRODUCT(W17:W20,'CF Climate'!$B$5:$B$8)</f>
        <v>0.47999999999999993</v>
      </c>
    </row>
    <row r="22" spans="1:23">
      <c r="A22" s="10" t="s">
        <v>125</v>
      </c>
      <c r="B22" s="10" t="s">
        <v>126</v>
      </c>
      <c r="C22" s="11" t="s">
        <v>127</v>
      </c>
      <c r="D22" s="12" t="s">
        <v>72</v>
      </c>
      <c r="E22" s="12" t="s">
        <v>73</v>
      </c>
      <c r="F22" s="18" t="s">
        <v>129</v>
      </c>
      <c r="G22" s="113">
        <f t="shared" si="0"/>
        <v>3.0556524805236234</v>
      </c>
      <c r="H22" s="112">
        <f>'Shares in prod syst'!$E$46*'Data from Ahlgren et al'!D42+'Shares in prod syst'!$E$47*'Data from Ahlgren et al'!D46+'Shares in prod syst'!$E$48*'Data from Ahlgren et al'!D50+'Shares in prod syst'!$E$49*'Data from Ahlgren et al'!D54</f>
        <v>0.48572368206034616</v>
      </c>
      <c r="I22" s="112">
        <f>'Shares in prod syst'!$E$46*'Data from Ahlgren et al'!E42+'Shares in prod syst'!$E$47*'Data from Ahlgren et al'!E46+'Shares in prod syst'!$E$48*'Data from Ahlgren et al'!E50+'Shares in prod syst'!$E$49*'Data from Ahlgren et al'!E54</f>
        <v>0</v>
      </c>
      <c r="J22" s="112">
        <f>'Shares in prod syst'!$E$46*'Data from Ahlgren et al'!F42+'Shares in prod syst'!$E$47*'Data from Ahlgren et al'!F46+'Shares in prod syst'!$E$48*'Data from Ahlgren et al'!F50+'Shares in prod syst'!$E$49*'Data from Ahlgren et al'!F54</f>
        <v>0</v>
      </c>
      <c r="K22" s="112">
        <f>'Shares in prod syst'!$E$46*'Data from Ahlgren et al'!G42+'Shares in prod syst'!$E$47*'Data from Ahlgren et al'!G46+'Shares in prod syst'!$E$48*'Data from Ahlgren et al'!G50+'Shares in prod syst'!$E$49*'Data from Ahlgren et al'!G54</f>
        <v>0</v>
      </c>
      <c r="L22" s="112">
        <f>'Shares in prod syst'!$E$46*'Data from Ahlgren et al'!H42+'Shares in prod syst'!$E$47*'Data from Ahlgren et al'!H46+'Shares in prod syst'!$E$48*'Data from Ahlgren et al'!H50+'Shares in prod syst'!$E$49*'Data from Ahlgren et al'!H54</f>
        <v>0.58286841847241533</v>
      </c>
      <c r="M22" s="112">
        <f>'Shares in prod syst'!$E$46*'Data from Ahlgren et al'!I42+'Shares in prod syst'!$E$47*'Data from Ahlgren et al'!I46+'Shares in prod syst'!$E$48*'Data from Ahlgren et al'!I50+'Shares in prod syst'!$E$49*'Data from Ahlgren et al'!I54</f>
        <v>0</v>
      </c>
      <c r="N22" s="112">
        <f>'Shares in prod syst'!$E$46*'Data from Ahlgren et al'!J42+'Shares in prod syst'!$E$47*'Data from Ahlgren et al'!J46+'Shares in prod syst'!$E$48*'Data from Ahlgren et al'!J50+'Shares in prod syst'!$E$49*'Data from Ahlgren et al'!J54</f>
        <v>0</v>
      </c>
      <c r="O22" s="112">
        <f>'Shares in prod syst'!$E$46*'Data from Ahlgren et al'!K42+'Shares in prod syst'!$E$47*'Data from Ahlgren et al'!K46+'Shares in prod syst'!$E$48*'Data from Ahlgren et al'!K50+'Shares in prod syst'!$E$49*'Data from Ahlgren et al'!K54</f>
        <v>0</v>
      </c>
      <c r="P22" s="112">
        <f>'Shares in prod syst'!$E$46*'Data from Ahlgren et al'!L42+'Shares in prod syst'!$E$47*'Data from Ahlgren et al'!L46+'Shares in prod syst'!$E$48*'Data from Ahlgren et al'!L50+'Shares in prod syst'!$E$49*'Data from Ahlgren et al'!L54</f>
        <v>0</v>
      </c>
      <c r="Q22" s="112">
        <f>'Shares in prod syst'!$E$46*'Data from Ahlgren et al'!M42+'Shares in prod syst'!$E$47*'Data from Ahlgren et al'!M46+'Shares in prod syst'!$E$48*'Data from Ahlgren et al'!M50+'Shares in prod syst'!$E$49*'Data from Ahlgren et al'!M54</f>
        <v>1.1184814343425851</v>
      </c>
      <c r="R22" s="112">
        <f>'Shares in prod syst'!$E$46*'Data from Ahlgren et al'!N42+'Shares in prod syst'!$E$47*'Data from Ahlgren et al'!N46+'Shares in prod syst'!$E$48*'Data from Ahlgren et al'!N50+'Shares in prod syst'!$E$49*'Data from Ahlgren et al'!N54</f>
        <v>0</v>
      </c>
      <c r="S22" s="112">
        <f>'Shares in prod syst'!$E$46*'Data from Ahlgren et al'!O42+'Shares in prod syst'!$E$47*'Data from Ahlgren et al'!O46+'Shares in prod syst'!$E$48*'Data from Ahlgren et al'!O50+'Shares in prod syst'!$E$49*'Data from Ahlgren et al'!O54</f>
        <v>0</v>
      </c>
      <c r="T22" s="112">
        <f>'Shares in prod syst'!$E$46*'Data from Ahlgren et al'!P42+'Shares in prod syst'!$E$47*'Data from Ahlgren et al'!P46+'Shares in prod syst'!$E$48*'Data from Ahlgren et al'!P50+'Shares in prod syst'!$E$49*'Data from Ahlgren et al'!P54</f>
        <v>0</v>
      </c>
      <c r="U22" s="112">
        <f>'Shares in prod syst'!$E$46*'Data from Ahlgren et al'!Q42+'Shares in prod syst'!$E$47*'Data from Ahlgren et al'!Q46+'Shares in prod syst'!$E$48*'Data from Ahlgren et al'!Q50+'Shares in prod syst'!$E$49*'Data from Ahlgren et al'!Q54</f>
        <v>0</v>
      </c>
      <c r="V22" s="112">
        <f>'Shares in prod syst'!$E$46*'Data from Ahlgren et al'!R42+'Shares in prod syst'!$E$47*'Data from Ahlgren et al'!R46+'Shares in prod syst'!$E$48*'Data from Ahlgren et al'!R50+'Shares in prod syst'!$E$49*'Data from Ahlgren et al'!R54</f>
        <v>0.38857894564827689</v>
      </c>
      <c r="W22" s="112">
        <f>'Shares in prod syst'!$E$46*'Data from Ahlgren et al'!S42+'Shares in prod syst'!$E$47*'Data from Ahlgren et al'!S46+'Shares in prod syst'!$E$48*'Data from Ahlgren et al'!S50+'Shares in prod syst'!$E$49*'Data from Ahlgren et al'!S54</f>
        <v>0.48</v>
      </c>
    </row>
    <row r="23" spans="1:23">
      <c r="A23" s="10" t="s">
        <v>125</v>
      </c>
      <c r="B23" s="10" t="s">
        <v>126</v>
      </c>
      <c r="C23" s="11" t="s">
        <v>127</v>
      </c>
      <c r="D23" s="12" t="s">
        <v>72</v>
      </c>
      <c r="E23" s="12" t="s">
        <v>73</v>
      </c>
      <c r="F23" s="10" t="s">
        <v>130</v>
      </c>
      <c r="G23" s="113">
        <f t="shared" si="0"/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</row>
    <row r="24" spans="1:23">
      <c r="A24" s="10" t="s">
        <v>125</v>
      </c>
      <c r="B24" s="10" t="s">
        <v>126</v>
      </c>
      <c r="C24" s="11" t="s">
        <v>127</v>
      </c>
      <c r="D24" s="12" t="s">
        <v>72</v>
      </c>
      <c r="E24" s="12" t="s">
        <v>73</v>
      </c>
      <c r="F24" s="10" t="s">
        <v>131</v>
      </c>
      <c r="G24" s="113">
        <f t="shared" ref="G24" si="1">SUM(H24:W24)</f>
        <v>0.50089895339284662</v>
      </c>
      <c r="H24" s="14">
        <f>'Shares in prod syst'!$E$46*'Data from Ahlgren et al'!D44+'Shares in prod syst'!$E$47*'Data from Ahlgren et al'!D48+'Shares in prod syst'!$E$48*'Data from Ahlgren et al'!D52+'Shares in prod syst'!$E$49*'Data from Ahlgren et al'!D56</f>
        <v>1.7792076265946745E-3</v>
      </c>
      <c r="I24" s="14">
        <f>'Shares in prod syst'!$E$46*'Data from Ahlgren et al'!E44+'Shares in prod syst'!$E$47*'Data from Ahlgren et al'!E48+'Shares in prod syst'!$E$48*'Data from Ahlgren et al'!E52+'Shares in prod syst'!$E$49*'Data from Ahlgren et al'!E56</f>
        <v>0</v>
      </c>
      <c r="J24" s="14">
        <f>'Shares in prod syst'!$E$46*'Data from Ahlgren et al'!F44+'Shares in prod syst'!$E$47*'Data from Ahlgren et al'!F48+'Shares in prod syst'!$E$48*'Data from Ahlgren et al'!F52+'Shares in prod syst'!$E$49*'Data from Ahlgren et al'!F56</f>
        <v>8.5668403314861918E-3</v>
      </c>
      <c r="K24" s="14">
        <f>'Shares in prod syst'!$E$46*'Data from Ahlgren et al'!G44+'Shares in prod syst'!$E$47*'Data from Ahlgren et al'!G48+'Shares in prod syst'!$E$48*'Data from Ahlgren et al'!G52+'Shares in prod syst'!$E$49*'Data from Ahlgren et al'!G56</f>
        <v>8.5668403314861929E-4</v>
      </c>
      <c r="L24" s="14">
        <f>'Shares in prod syst'!$E$46*'Data from Ahlgren et al'!H44+'Shares in prod syst'!$E$47*'Data from Ahlgren et al'!H48+'Shares in prod syst'!$E$48*'Data from Ahlgren et al'!H52+'Shares in prod syst'!$E$49*'Data from Ahlgren et al'!H56</f>
        <v>0</v>
      </c>
      <c r="M24" s="14">
        <f>'Shares in prod syst'!$E$46*'Data from Ahlgren et al'!I44+'Shares in prod syst'!$E$47*'Data from Ahlgren et al'!I48+'Shares in prod syst'!$E$48*'Data from Ahlgren et al'!I52+'Shares in prod syst'!$E$49*'Data from Ahlgren et al'!I56</f>
        <v>0</v>
      </c>
      <c r="N24" s="14">
        <f>'Shares in prod syst'!$E$46*'Data from Ahlgren et al'!J44+'Shares in prod syst'!$E$47*'Data from Ahlgren et al'!J48+'Shares in prod syst'!$E$48*'Data from Ahlgren et al'!J52+'Shares in prod syst'!$E$49*'Data from Ahlgren et al'!J56</f>
        <v>0</v>
      </c>
      <c r="O24" s="14">
        <f>'Shares in prod syst'!$E$46*'Data from Ahlgren et al'!K44+'Shares in prod syst'!$E$47*'Data from Ahlgren et al'!K48+'Shares in prod syst'!$E$48*'Data from Ahlgren et al'!K52+'Shares in prod syst'!$E$49*'Data from Ahlgren et al'!K56</f>
        <v>0</v>
      </c>
      <c r="P24" s="14">
        <f>'Shares in prod syst'!$E$46*'Data from Ahlgren et al'!L44+'Shares in prod syst'!$E$47*'Data from Ahlgren et al'!L48+'Shares in prod syst'!$E$48*'Data from Ahlgren et al'!L52+'Shares in prod syst'!$E$49*'Data from Ahlgren et al'!L56</f>
        <v>0</v>
      </c>
      <c r="Q24" s="14">
        <f>'Shares in prod syst'!$E$46*'Data from Ahlgren et al'!M44+'Shares in prod syst'!$E$47*'Data from Ahlgren et al'!M48+'Shares in prod syst'!$E$48*'Data from Ahlgren et al'!M52+'Shares in prod syst'!$E$49*'Data from Ahlgren et al'!M56</f>
        <v>0</v>
      </c>
      <c r="R24" s="14">
        <f>'Shares in prod syst'!$E$46*'Data from Ahlgren et al'!N43+'Shares in prod syst'!$E$47*'Data from Ahlgren et al'!N47+'Shares in prod syst'!$E$48*'Data from Ahlgren et al'!N51+'Shares in prod syst'!$E$49*'Data from Ahlgren et al'!N55</f>
        <v>0.38475803538447845</v>
      </c>
      <c r="S24" s="14">
        <f>'Shares in prod syst'!$E$46*'Data from Ahlgren et al'!O43+'Shares in prod syst'!$E$47*'Data from Ahlgren et al'!O47+'Shares in prod syst'!$E$48*'Data from Ahlgren et al'!O51+'Shares in prod syst'!$E$49*'Data from Ahlgren et al'!O55</f>
        <v>0.10493818601713871</v>
      </c>
      <c r="T24" s="14">
        <f>'Shares in prod syst'!$E$46*'Data from Ahlgren et al'!P44+'Shares in prod syst'!$E$47*'Data from Ahlgren et al'!P48+'Shares in prod syst'!$E$48*'Data from Ahlgren et al'!P52+'Shares in prod syst'!$E$49*'Data from Ahlgren et al'!P56</f>
        <v>0</v>
      </c>
      <c r="U24" s="14">
        <f>'Shares in prod syst'!$E$46*'Data from Ahlgren et al'!Q44+'Shares in prod syst'!$E$47*'Data from Ahlgren et al'!Q48+'Shares in prod syst'!$E$48*'Data from Ahlgren et al'!Q52+'Shares in prod syst'!$E$49*'Data from Ahlgren et al'!Q56</f>
        <v>0</v>
      </c>
      <c r="V24" s="14">
        <f>'Shares in prod syst'!$E$46*'Data from Ahlgren et al'!R44+'Shares in prod syst'!$E$47*'Data from Ahlgren et al'!R48+'Shares in prod syst'!$E$48*'Data from Ahlgren et al'!R52+'Shares in prod syst'!$E$49*'Data from Ahlgren et al'!R56</f>
        <v>0</v>
      </c>
      <c r="W24" s="14">
        <f>'Shares in prod syst'!$E$46*'Data from Ahlgren et al'!S44+'Shares in prod syst'!$E$47*'Data from Ahlgren et al'!S48+'Shares in prod syst'!$E$48*'Data from Ahlgren et al'!S52+'Shares in prod syst'!$E$49*'Data from Ahlgren et al'!S56</f>
        <v>0</v>
      </c>
    </row>
    <row r="25" spans="1:23" ht="15" thickBot="1">
      <c r="A25" s="10" t="s">
        <v>125</v>
      </c>
      <c r="B25" s="10" t="s">
        <v>126</v>
      </c>
      <c r="C25" s="11" t="s">
        <v>127</v>
      </c>
      <c r="D25" s="12" t="s">
        <v>72</v>
      </c>
      <c r="E25" s="12" t="s">
        <v>73</v>
      </c>
      <c r="F25" s="17" t="s">
        <v>132</v>
      </c>
      <c r="G25" s="113">
        <f t="shared" si="0"/>
        <v>2.1581233905012435E-2</v>
      </c>
      <c r="H25" s="14">
        <f>'Shares in prod syst'!$E$46*'Data from Ahlgren et al'!D44+'Shares in prod syst'!$E$47*'Data from Ahlgren et al'!D48+'Shares in prod syst'!$E$48*'Data from Ahlgren et al'!D52+'Shares in prod syst'!$E$49*'Data from Ahlgren et al'!D56</f>
        <v>1.7792076265946745E-3</v>
      </c>
      <c r="I25" s="14">
        <f>'Shares in prod syst'!$E$46*'Data from Ahlgren et al'!E44+'Shares in prod syst'!$E$47*'Data from Ahlgren et al'!E48+'Shares in prod syst'!$E$48*'Data from Ahlgren et al'!E52+'Shares in prod syst'!$E$49*'Data from Ahlgren et al'!E56</f>
        <v>0</v>
      </c>
      <c r="J25" s="14">
        <f>'Shares in prod syst'!$E$46*'Data from Ahlgren et al'!F44+'Shares in prod syst'!$E$47*'Data from Ahlgren et al'!F48+'Shares in prod syst'!$E$48*'Data from Ahlgren et al'!F52+'Shares in prod syst'!$E$49*'Data from Ahlgren et al'!F56</f>
        <v>8.5668403314861918E-3</v>
      </c>
      <c r="K25" s="14">
        <f>'Shares in prod syst'!$E$46*'Data from Ahlgren et al'!G44+'Shares in prod syst'!$E$47*'Data from Ahlgren et al'!G48+'Shares in prod syst'!$E$48*'Data from Ahlgren et al'!G52+'Shares in prod syst'!$E$49*'Data from Ahlgren et al'!G56</f>
        <v>8.5668403314861929E-4</v>
      </c>
      <c r="L25" s="14">
        <f>'Shares in prod syst'!$E$46*'Data from Ahlgren et al'!H44+'Shares in prod syst'!$E$47*'Data from Ahlgren et al'!H48+'Shares in prod syst'!$E$48*'Data from Ahlgren et al'!H52+'Shares in prod syst'!$E$49*'Data from Ahlgren et al'!H56</f>
        <v>0</v>
      </c>
      <c r="M25" s="14">
        <f>'Shares in prod syst'!$E$46*'Data from Ahlgren et al'!I44+'Shares in prod syst'!$E$47*'Data from Ahlgren et al'!I48+'Shares in prod syst'!$E$48*'Data from Ahlgren et al'!I52+'Shares in prod syst'!$E$49*'Data from Ahlgren et al'!I56</f>
        <v>0</v>
      </c>
      <c r="N25" s="14">
        <f>'Shares in prod syst'!$E$46*'Data from Ahlgren et al'!J44+'Shares in prod syst'!$E$47*'Data from Ahlgren et al'!J48+'Shares in prod syst'!$E$48*'Data from Ahlgren et al'!J52+'Shares in prod syst'!$E$49*'Data from Ahlgren et al'!J56</f>
        <v>0</v>
      </c>
      <c r="O25" s="14">
        <f>'Shares in prod syst'!$E$46*'Data from Ahlgren et al'!K44+'Shares in prod syst'!$E$47*'Data from Ahlgren et al'!K48+'Shares in prod syst'!$E$48*'Data from Ahlgren et al'!K52+'Shares in prod syst'!$E$49*'Data from Ahlgren et al'!K56</f>
        <v>0</v>
      </c>
      <c r="P25" s="14">
        <f>'Shares in prod syst'!$E$46*'Data from Ahlgren et al'!L44+'Shares in prod syst'!$E$47*'Data from Ahlgren et al'!L48+'Shares in prod syst'!$E$48*'Data from Ahlgren et al'!L52+'Shares in prod syst'!$E$49*'Data from Ahlgren et al'!L56</f>
        <v>0</v>
      </c>
      <c r="Q25" s="14">
        <f>'Shares in prod syst'!$E$46*'Data from Ahlgren et al'!M44+'Shares in prod syst'!$E$47*'Data from Ahlgren et al'!M48+'Shares in prod syst'!$E$48*'Data from Ahlgren et al'!M52+'Shares in prod syst'!$E$49*'Data from Ahlgren et al'!M56</f>
        <v>0</v>
      </c>
      <c r="R25" s="14">
        <f>'Shares in prod syst'!$E$46*'Data from Ahlgren et al'!N44+'Shares in prod syst'!$E$47*'Data from Ahlgren et al'!N48+'Shares in prod syst'!$E$48*'Data from Ahlgren et al'!N52+'Shares in prod syst'!$E$49*'Data from Ahlgren et al'!N56</f>
        <v>0</v>
      </c>
      <c r="S25" s="14">
        <f>'Shares in prod syst'!$E$46*'Data from Ahlgren et al'!O44+'Shares in prod syst'!$E$47*'Data from Ahlgren et al'!O48+'Shares in prod syst'!$E$48*'Data from Ahlgren et al'!O52+'Shares in prod syst'!$E$49*'Data from Ahlgren et al'!O56</f>
        <v>1.0378501913782949E-2</v>
      </c>
      <c r="T25" s="14">
        <f>'Shares in prod syst'!$E$46*'Data from Ahlgren et al'!P44+'Shares in prod syst'!$E$47*'Data from Ahlgren et al'!P48+'Shares in prod syst'!$E$48*'Data from Ahlgren et al'!P52+'Shares in prod syst'!$E$49*'Data from Ahlgren et al'!P56</f>
        <v>0</v>
      </c>
      <c r="U25" s="14">
        <f>'Shares in prod syst'!$E$46*'Data from Ahlgren et al'!Q44+'Shares in prod syst'!$E$47*'Data from Ahlgren et al'!Q48+'Shares in prod syst'!$E$48*'Data from Ahlgren et al'!Q52+'Shares in prod syst'!$E$49*'Data from Ahlgren et al'!Q56</f>
        <v>0</v>
      </c>
      <c r="V25" s="14">
        <f>'Shares in prod syst'!$E$46*'Data from Ahlgren et al'!R44+'Shares in prod syst'!$E$47*'Data from Ahlgren et al'!R48+'Shares in prod syst'!$E$48*'Data from Ahlgren et al'!R52+'Shares in prod syst'!$E$49*'Data from Ahlgren et al'!R56</f>
        <v>0</v>
      </c>
      <c r="W25" s="14">
        <f>'Shares in prod syst'!$E$46*'Data from Ahlgren et al'!S44+'Shares in prod syst'!$E$47*'Data from Ahlgren et al'!S48+'Shares in prod syst'!$E$48*'Data from Ahlgren et al'!S52+'Shares in prod syst'!$E$49*'Data from Ahlgren et al'!S56</f>
        <v>0</v>
      </c>
    </row>
    <row r="26" spans="1:23" ht="15" thickTop="1">
      <c r="A26" s="69" t="s">
        <v>125</v>
      </c>
      <c r="B26" s="69" t="s">
        <v>126</v>
      </c>
      <c r="C26" s="70" t="s">
        <v>127</v>
      </c>
      <c r="D26" s="19" t="s">
        <v>72</v>
      </c>
      <c r="E26" s="19" t="s">
        <v>73</v>
      </c>
      <c r="F26" s="72" t="s">
        <v>133</v>
      </c>
      <c r="G26" s="114">
        <f t="shared" si="0"/>
        <v>22.471601078198876</v>
      </c>
      <c r="H26" s="115">
        <f>SUMPRODUCT(H22:H25,'CF Climate'!$B$5:$B$8)</f>
        <v>1.0194859700387484</v>
      </c>
      <c r="I26" s="116">
        <f>SUMPRODUCT(I22:I25,'CF Climate'!$B$5:$B$8)</f>
        <v>0</v>
      </c>
      <c r="J26" s="116">
        <f>SUMPRODUCT(J22:J25,'CF Climate'!$B$5:$B$8)</f>
        <v>2.5700520994458578</v>
      </c>
      <c r="K26" s="116">
        <f>SUMPRODUCT(K22:K25,'CF Climate'!$B$5:$B$8)</f>
        <v>0.25700520994458581</v>
      </c>
      <c r="L26" s="116">
        <f>SUMPRODUCT(L22:L25,'CF Climate'!$B$5:$B$8)</f>
        <v>0.58286841847241533</v>
      </c>
      <c r="M26" s="116">
        <f>SUMPRODUCT(M22:M25,'CF Climate'!$B$5:$B$8)</f>
        <v>0</v>
      </c>
      <c r="N26" s="116">
        <f>SUMPRODUCT(N22:N25,'CF Climate'!$B$5:$B$8)</f>
        <v>0</v>
      </c>
      <c r="O26" s="116">
        <f>SUMPRODUCT(O22:O25,'CF Climate'!$B$5:$B$8)</f>
        <v>0</v>
      </c>
      <c r="P26" s="116">
        <f>SUMPRODUCT(P22:P25,'CF Climate'!$B$5:$B$8)</f>
        <v>0</v>
      </c>
      <c r="Q26" s="116">
        <f>SUMPRODUCT(Q22:Q25,'CF Climate'!$B$5:$B$8)</f>
        <v>1.1184814343425851</v>
      </c>
      <c r="R26" s="116">
        <f>SUMPRODUCT(R22:R25,'CF Climate'!$B$5:$B$8)</f>
        <v>10.388466955380919</v>
      </c>
      <c r="S26" s="116">
        <f>SUMPRODUCT(S22:S25,'CF Climate'!$B$5:$B$8)</f>
        <v>5.6666620449254896</v>
      </c>
      <c r="T26" s="116">
        <f>SUMPRODUCT(T22:T25,'CF Climate'!$B$5:$B$8)</f>
        <v>0</v>
      </c>
      <c r="U26" s="116">
        <f>SUMPRODUCT(U22:U25,'CF Climate'!$B$5:$B$8)</f>
        <v>0</v>
      </c>
      <c r="V26" s="116">
        <f>SUMPRODUCT(V22:V25,'CF Climate'!$B$5:$B$8)</f>
        <v>0.38857894564827689</v>
      </c>
      <c r="W26" s="116">
        <f>SUMPRODUCT(W22:W25,'CF Climate'!$B$5:$B$8)</f>
        <v>0.48</v>
      </c>
    </row>
    <row r="27" spans="1:23">
      <c r="A27" s="73" t="s">
        <v>125</v>
      </c>
      <c r="B27" s="73" t="s">
        <v>126</v>
      </c>
      <c r="C27" s="74" t="s">
        <v>127</v>
      </c>
      <c r="D27" s="67" t="s">
        <v>134</v>
      </c>
      <c r="E27" s="67" t="s">
        <v>75</v>
      </c>
      <c r="F27" s="75" t="s">
        <v>129</v>
      </c>
      <c r="G27" s="113">
        <f t="shared" si="0"/>
        <v>2.7489516679145036</v>
      </c>
      <c r="H27" s="112">
        <f>'Shares in prod syst'!$F$46*'Data from Ahlgren et al'!D42+'Shares in prod syst'!$F$47*'Data from Ahlgren et al'!D46+'Shares in prod syst'!$F$48*'Data from Ahlgren et al'!D50+'Shares in prod syst'!$F$49*'Data from Ahlgren et al'!D54</f>
        <v>0.46032724812582809</v>
      </c>
      <c r="I27" s="112">
        <f>'Shares in prod syst'!$F$46*'Data from Ahlgren et al'!E42+'Shares in prod syst'!$F$47*'Data from Ahlgren et al'!E46+'Shares in prod syst'!$F$48*'Data from Ahlgren et al'!E50+'Shares in prod syst'!$F$49*'Data from Ahlgren et al'!E54</f>
        <v>0</v>
      </c>
      <c r="J27" s="112">
        <f>'Shares in prod syst'!$F$46*'Data from Ahlgren et al'!F42+'Shares in prod syst'!$F$47*'Data from Ahlgren et al'!F46+'Shares in prod syst'!$F$48*'Data from Ahlgren et al'!F50+'Shares in prod syst'!$F$49*'Data from Ahlgren et al'!F54</f>
        <v>0</v>
      </c>
      <c r="K27" s="112">
        <f>'Shares in prod syst'!$F$46*'Data from Ahlgren et al'!G42+'Shares in prod syst'!$F$47*'Data from Ahlgren et al'!G46+'Shares in prod syst'!$F$48*'Data from Ahlgren et al'!G50+'Shares in prod syst'!$F$49*'Data from Ahlgren et al'!G54</f>
        <v>0</v>
      </c>
      <c r="L27" s="112">
        <f>'Shares in prod syst'!$F$46*'Data from Ahlgren et al'!H42+'Shares in prod syst'!$F$47*'Data from Ahlgren et al'!H46+'Shares in prod syst'!$F$48*'Data from Ahlgren et al'!H50+'Shares in prod syst'!$F$49*'Data from Ahlgren et al'!H54</f>
        <v>0.55239269775099364</v>
      </c>
      <c r="M27" s="112">
        <f>'Shares in prod syst'!$F$46*'Data from Ahlgren et al'!I42+'Shares in prod syst'!$F$47*'Data from Ahlgren et al'!I46+'Shares in prod syst'!$F$48*'Data from Ahlgren et al'!I50+'Shares in prod syst'!$F$49*'Data from Ahlgren et al'!I54</f>
        <v>0</v>
      </c>
      <c r="N27" s="112">
        <f>'Shares in prod syst'!$F$46*'Data from Ahlgren et al'!J42+'Shares in prod syst'!$F$47*'Data from Ahlgren et al'!J46+'Shares in prod syst'!$F$48*'Data from Ahlgren et al'!J50+'Shares in prod syst'!$F$49*'Data from Ahlgren et al'!J54</f>
        <v>0</v>
      </c>
      <c r="O27" s="112">
        <f>'Shares in prod syst'!$F$46*'Data from Ahlgren et al'!K42+'Shares in prod syst'!$F$47*'Data from Ahlgren et al'!K46+'Shares in prod syst'!$F$48*'Data from Ahlgren et al'!K50+'Shares in prod syst'!$F$49*'Data from Ahlgren et al'!K54</f>
        <v>0</v>
      </c>
      <c r="P27" s="112">
        <f>'Shares in prod syst'!$F$46*'Data from Ahlgren et al'!L42+'Shares in prod syst'!$F$47*'Data from Ahlgren et al'!L46+'Shares in prod syst'!$F$48*'Data from Ahlgren et al'!L50+'Shares in prod syst'!$F$49*'Data from Ahlgren et al'!L54</f>
        <v>0</v>
      </c>
      <c r="Q27" s="112">
        <f>'Shares in prod syst'!$F$46*'Data from Ahlgren et al'!M42+'Shares in prod syst'!$F$47*'Data from Ahlgren et al'!M46+'Shares in prod syst'!$F$48*'Data from Ahlgren et al'!M50+'Shares in prod syst'!$F$49*'Data from Ahlgren et al'!M54</f>
        <v>0.88796992353701965</v>
      </c>
      <c r="R27" s="112">
        <f>'Shares in prod syst'!$F$46*'Data from Ahlgren et al'!N42+'Shares in prod syst'!$F$47*'Data from Ahlgren et al'!N46+'Shares in prod syst'!$F$48*'Data from Ahlgren et al'!N50+'Shares in prod syst'!$F$49*'Data from Ahlgren et al'!N54</f>
        <v>0</v>
      </c>
      <c r="S27" s="112">
        <f>'Shares in prod syst'!$F$46*'Data from Ahlgren et al'!O42+'Shares in prod syst'!$F$47*'Data from Ahlgren et al'!O46+'Shares in prod syst'!$F$48*'Data from Ahlgren et al'!O50+'Shares in prod syst'!$F$49*'Data from Ahlgren et al'!O54</f>
        <v>0</v>
      </c>
      <c r="T27" s="112">
        <f>'Shares in prod syst'!$F$46*'Data from Ahlgren et al'!P42+'Shares in prod syst'!$F$47*'Data from Ahlgren et al'!P46+'Shares in prod syst'!$F$48*'Data from Ahlgren et al'!P50+'Shares in prod syst'!$F$49*'Data from Ahlgren et al'!P54</f>
        <v>0</v>
      </c>
      <c r="U27" s="112">
        <f>'Shares in prod syst'!$F$46*'Data from Ahlgren et al'!Q42+'Shares in prod syst'!$F$47*'Data from Ahlgren et al'!Q46+'Shares in prod syst'!$F$48*'Data from Ahlgren et al'!Q50+'Shares in prod syst'!$F$49*'Data from Ahlgren et al'!Q54</f>
        <v>0</v>
      </c>
      <c r="V27" s="112">
        <f>'Shares in prod syst'!$F$46*'Data from Ahlgren et al'!R42+'Shares in prod syst'!$F$47*'Data from Ahlgren et al'!R46+'Shares in prod syst'!$F$48*'Data from Ahlgren et al'!R50+'Shares in prod syst'!$F$49*'Data from Ahlgren et al'!R54</f>
        <v>0.36826179850066249</v>
      </c>
      <c r="W27" s="112">
        <f>'Shares in prod syst'!$F$46*'Data from Ahlgren et al'!S42+'Shares in prod syst'!$F$47*'Data from Ahlgren et al'!S46+'Shares in prod syst'!$F$48*'Data from Ahlgren et al'!S50+'Shares in prod syst'!$F$49*'Data from Ahlgren et al'!S54</f>
        <v>0.48</v>
      </c>
    </row>
    <row r="28" spans="1:23">
      <c r="A28" s="10" t="s">
        <v>125</v>
      </c>
      <c r="B28" s="10" t="s">
        <v>126</v>
      </c>
      <c r="C28" s="11" t="s">
        <v>127</v>
      </c>
      <c r="D28" s="12" t="s">
        <v>134</v>
      </c>
      <c r="E28" s="12" t="s">
        <v>75</v>
      </c>
      <c r="F28" s="10" t="s">
        <v>130</v>
      </c>
      <c r="G28" s="113">
        <f t="shared" ref="G28" si="2">SUM(H28:W28)</f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</row>
    <row r="29" spans="1:23">
      <c r="A29" s="10" t="s">
        <v>125</v>
      </c>
      <c r="B29" s="10" t="s">
        <v>126</v>
      </c>
      <c r="C29" s="11" t="s">
        <v>127</v>
      </c>
      <c r="D29" s="12" t="s">
        <v>134</v>
      </c>
      <c r="E29" s="12" t="s">
        <v>75</v>
      </c>
      <c r="F29" s="10" t="s">
        <v>131</v>
      </c>
      <c r="G29" s="113">
        <f t="shared" si="0"/>
        <v>0.41966363450784661</v>
      </c>
      <c r="H29" s="14">
        <f>'Shares in prod syst'!$F$46*'Data from Ahlgren et al'!D43+'Shares in prod syst'!$F$47*'Data from Ahlgren et al'!D47+'Shares in prod syst'!$F$48*'Data from Ahlgren et al'!D51+'Shares in prod syst'!$F$49*'Data from Ahlgren et al'!D55</f>
        <v>0</v>
      </c>
      <c r="I29" s="14">
        <f>'Shares in prod syst'!$F$46*'Data from Ahlgren et al'!E43+'Shares in prod syst'!$F$47*'Data from Ahlgren et al'!E47+'Shares in prod syst'!$F$48*'Data from Ahlgren et al'!E51+'Shares in prod syst'!$F$49*'Data from Ahlgren et al'!E55</f>
        <v>0</v>
      </c>
      <c r="J29" s="14">
        <f>'Shares in prod syst'!$F$46*'Data from Ahlgren et al'!F43+'Shares in prod syst'!$F$47*'Data from Ahlgren et al'!F47+'Shares in prod syst'!$F$48*'Data from Ahlgren et al'!F51+'Shares in prod syst'!$F$49*'Data from Ahlgren et al'!F55</f>
        <v>0</v>
      </c>
      <c r="K29" s="14">
        <f>'Shares in prod syst'!$F$46*'Data from Ahlgren et al'!G43+'Shares in prod syst'!$F$47*'Data from Ahlgren et al'!G47+'Shares in prod syst'!$F$48*'Data from Ahlgren et al'!G51+'Shares in prod syst'!$F$49*'Data from Ahlgren et al'!G55</f>
        <v>0</v>
      </c>
      <c r="L29" s="14">
        <f>'Shares in prod syst'!$F$46*'Data from Ahlgren et al'!H43+'Shares in prod syst'!$F$47*'Data from Ahlgren et al'!H47+'Shares in prod syst'!$F$48*'Data from Ahlgren et al'!H51+'Shares in prod syst'!$F$49*'Data from Ahlgren et al'!H55</f>
        <v>0</v>
      </c>
      <c r="M29" s="14">
        <f>'Shares in prod syst'!$F$46*'Data from Ahlgren et al'!I43+'Shares in prod syst'!$F$47*'Data from Ahlgren et al'!I47+'Shares in prod syst'!$F$48*'Data from Ahlgren et al'!I51+'Shares in prod syst'!$F$49*'Data from Ahlgren et al'!I55</f>
        <v>0</v>
      </c>
      <c r="N29" s="14">
        <f>'Shares in prod syst'!$F$46*'Data from Ahlgren et al'!J43+'Shares in prod syst'!$F$47*'Data from Ahlgren et al'!J47+'Shares in prod syst'!$F$48*'Data from Ahlgren et al'!J51+'Shares in prod syst'!$F$49*'Data from Ahlgren et al'!J55</f>
        <v>0</v>
      </c>
      <c r="O29" s="14">
        <f>'Shares in prod syst'!$F$46*'Data from Ahlgren et al'!K43+'Shares in prod syst'!$F$47*'Data from Ahlgren et al'!K47+'Shares in prod syst'!$F$48*'Data from Ahlgren et al'!K51+'Shares in prod syst'!$F$49*'Data from Ahlgren et al'!K55</f>
        <v>0</v>
      </c>
      <c r="P29" s="14">
        <f>'Shares in prod syst'!$F$46*'Data from Ahlgren et al'!L43+'Shares in prod syst'!$F$47*'Data from Ahlgren et al'!L47+'Shares in prod syst'!$F$48*'Data from Ahlgren et al'!L51+'Shares in prod syst'!$F$49*'Data from Ahlgren et al'!L55</f>
        <v>0</v>
      </c>
      <c r="Q29" s="14">
        <f>'Shares in prod syst'!$F$46*'Data from Ahlgren et al'!M43+'Shares in prod syst'!$F$47*'Data from Ahlgren et al'!M47+'Shares in prod syst'!$F$48*'Data from Ahlgren et al'!M51+'Shares in prod syst'!$F$49*'Data from Ahlgren et al'!M55</f>
        <v>0</v>
      </c>
      <c r="R29" s="14">
        <f>'Shares in prod syst'!$F$46*'Data from Ahlgren et al'!N43+'Shares in prod syst'!$F$47*'Data from Ahlgren et al'!N47+'Shares in prod syst'!$F$48*'Data from Ahlgren et al'!N51+'Shares in prod syst'!$F$49*'Data from Ahlgren et al'!N55</f>
        <v>0.33205075023019132</v>
      </c>
      <c r="S29" s="14">
        <f>'Shares in prod syst'!$F$46*'Data from Ahlgren et al'!O43+'Shares in prod syst'!$F$47*'Data from Ahlgren et al'!O47+'Shares in prod syst'!$F$48*'Data from Ahlgren et al'!O51+'Shares in prod syst'!$F$49*'Data from Ahlgren et al'!O55</f>
        <v>8.7612884277655276E-2</v>
      </c>
      <c r="T29" s="14">
        <f>'Shares in prod syst'!$F$46*'Data from Ahlgren et al'!P43+'Shares in prod syst'!$F$47*'Data from Ahlgren et al'!P47+'Shares in prod syst'!$F$48*'Data from Ahlgren et al'!P51+'Shares in prod syst'!$F$49*'Data from Ahlgren et al'!P55</f>
        <v>0</v>
      </c>
      <c r="U29" s="14">
        <f>'Shares in prod syst'!$F$46*'Data from Ahlgren et al'!Q43+'Shares in prod syst'!$F$47*'Data from Ahlgren et al'!Q47+'Shares in prod syst'!$F$48*'Data from Ahlgren et al'!Q51+'Shares in prod syst'!$F$49*'Data from Ahlgren et al'!Q55</f>
        <v>0</v>
      </c>
      <c r="V29" s="14">
        <f>'Shares in prod syst'!$F$46*'Data from Ahlgren et al'!R43+'Shares in prod syst'!$F$47*'Data from Ahlgren et al'!R47+'Shares in prod syst'!$F$48*'Data from Ahlgren et al'!R51+'Shares in prod syst'!$F$49*'Data from Ahlgren et al'!R55</f>
        <v>0</v>
      </c>
      <c r="W29" s="14">
        <f>'Shares in prod syst'!$F$46*'Data from Ahlgren et al'!S43+'Shares in prod syst'!$F$47*'Data from Ahlgren et al'!S47+'Shares in prod syst'!$F$48*'Data from Ahlgren et al'!S51+'Shares in prod syst'!$F$49*'Data from Ahlgren et al'!S55</f>
        <v>0</v>
      </c>
    </row>
    <row r="30" spans="1:23" ht="15" thickBot="1">
      <c r="A30" s="10" t="s">
        <v>125</v>
      </c>
      <c r="B30" s="10" t="s">
        <v>126</v>
      </c>
      <c r="C30" s="11" t="s">
        <v>127</v>
      </c>
      <c r="D30" s="12" t="s">
        <v>134</v>
      </c>
      <c r="E30" s="12" t="s">
        <v>75</v>
      </c>
      <c r="F30" s="17" t="s">
        <v>132</v>
      </c>
      <c r="G30" s="113">
        <f t="shared" si="0"/>
        <v>1.8828061884902422E-2</v>
      </c>
      <c r="H30" s="14">
        <f>'Shares in prod syst'!$F$46*'Data from Ahlgren et al'!D44+'Shares in prod syst'!$F$47*'Data from Ahlgren et al'!D48+'Shares in prod syst'!$F$48*'Data from Ahlgren et al'!D52+'Shares in prod syst'!$F$49*'Data from Ahlgren et al'!D56</f>
        <v>1.6861803960653045E-3</v>
      </c>
      <c r="I30" s="14">
        <f>'Shares in prod syst'!$F$46*'Data from Ahlgren et al'!E44+'Shares in prod syst'!$F$47*'Data from Ahlgren et al'!E48+'Shares in prod syst'!$F$48*'Data from Ahlgren et al'!E52+'Shares in prod syst'!$F$49*'Data from Ahlgren et al'!E56</f>
        <v>0</v>
      </c>
      <c r="J30" s="14">
        <f>'Shares in prod syst'!$F$46*'Data from Ahlgren et al'!F44+'Shares in prod syst'!$F$47*'Data from Ahlgren et al'!F48+'Shares in prod syst'!$F$48*'Data from Ahlgren et al'!F52+'Shares in prod syst'!$F$49*'Data from Ahlgren et al'!F56</f>
        <v>7.7062463235292762E-3</v>
      </c>
      <c r="K30" s="14">
        <f>'Shares in prod syst'!$F$46*'Data from Ahlgren et al'!G44+'Shares in prod syst'!$F$47*'Data from Ahlgren et al'!G48+'Shares in prod syst'!$F$48*'Data from Ahlgren et al'!G52+'Shares in prod syst'!$F$49*'Data from Ahlgren et al'!G56</f>
        <v>7.7062463235292753E-4</v>
      </c>
      <c r="L30" s="14">
        <f>'Shares in prod syst'!$F$46*'Data from Ahlgren et al'!H44+'Shares in prod syst'!$F$47*'Data from Ahlgren et al'!H48+'Shares in prod syst'!$F$48*'Data from Ahlgren et al'!H52+'Shares in prod syst'!$F$49*'Data from Ahlgren et al'!H56</f>
        <v>0</v>
      </c>
      <c r="M30" s="14">
        <f>'Shares in prod syst'!$F$46*'Data from Ahlgren et al'!I44+'Shares in prod syst'!$F$47*'Data from Ahlgren et al'!I48+'Shares in prod syst'!$F$48*'Data from Ahlgren et al'!I52+'Shares in prod syst'!$F$49*'Data from Ahlgren et al'!I56</f>
        <v>0</v>
      </c>
      <c r="N30" s="14">
        <f>'Shares in prod syst'!$F$46*'Data from Ahlgren et al'!J44+'Shares in prod syst'!$F$47*'Data from Ahlgren et al'!J48+'Shares in prod syst'!$F$48*'Data from Ahlgren et al'!J52+'Shares in prod syst'!$F$49*'Data from Ahlgren et al'!J56</f>
        <v>0</v>
      </c>
      <c r="O30" s="14">
        <f>'Shares in prod syst'!$F$46*'Data from Ahlgren et al'!K44+'Shares in prod syst'!$F$47*'Data from Ahlgren et al'!K48+'Shares in prod syst'!$F$48*'Data from Ahlgren et al'!K52+'Shares in prod syst'!$F$49*'Data from Ahlgren et al'!K56</f>
        <v>0</v>
      </c>
      <c r="P30" s="14">
        <f>'Shares in prod syst'!$F$46*'Data from Ahlgren et al'!L44+'Shares in prod syst'!$F$47*'Data from Ahlgren et al'!L48+'Shares in prod syst'!$F$48*'Data from Ahlgren et al'!L52+'Shares in prod syst'!$F$49*'Data from Ahlgren et al'!L56</f>
        <v>0</v>
      </c>
      <c r="Q30" s="14">
        <f>'Shares in prod syst'!$F$46*'Data from Ahlgren et al'!M44+'Shares in prod syst'!$F$47*'Data from Ahlgren et al'!M48+'Shares in prod syst'!$F$48*'Data from Ahlgren et al'!M52+'Shares in prod syst'!$F$49*'Data from Ahlgren et al'!M56</f>
        <v>0</v>
      </c>
      <c r="R30" s="14">
        <f>'Shares in prod syst'!$F$46*'Data from Ahlgren et al'!N44+'Shares in prod syst'!$F$47*'Data from Ahlgren et al'!N48+'Shares in prod syst'!$F$48*'Data from Ahlgren et al'!N52+'Shares in prod syst'!$F$49*'Data from Ahlgren et al'!N56</f>
        <v>0</v>
      </c>
      <c r="S30" s="14">
        <f>'Shares in prod syst'!$F$46*'Data from Ahlgren et al'!O44+'Shares in prod syst'!$F$47*'Data from Ahlgren et al'!O48+'Shares in prod syst'!$F$48*'Data from Ahlgren et al'!O52+'Shares in prod syst'!$F$49*'Data from Ahlgren et al'!O56</f>
        <v>8.6650105329549153E-3</v>
      </c>
      <c r="T30" s="14">
        <f>'Shares in prod syst'!$F$46*'Data from Ahlgren et al'!P44+'Shares in prod syst'!$F$47*'Data from Ahlgren et al'!P48+'Shares in prod syst'!$F$48*'Data from Ahlgren et al'!P52+'Shares in prod syst'!$F$49*'Data from Ahlgren et al'!P56</f>
        <v>0</v>
      </c>
      <c r="U30" s="14">
        <f>'Shares in prod syst'!$F$46*'Data from Ahlgren et al'!Q44+'Shares in prod syst'!$F$47*'Data from Ahlgren et al'!Q48+'Shares in prod syst'!$F$48*'Data from Ahlgren et al'!Q52+'Shares in prod syst'!$F$49*'Data from Ahlgren et al'!Q56</f>
        <v>0</v>
      </c>
      <c r="V30" s="14">
        <f>'Shares in prod syst'!$F$46*'Data from Ahlgren et al'!R44+'Shares in prod syst'!$F$47*'Data from Ahlgren et al'!R48+'Shares in prod syst'!$F$48*'Data from Ahlgren et al'!R52+'Shares in prod syst'!$F$49*'Data from Ahlgren et al'!R56</f>
        <v>0</v>
      </c>
      <c r="W30" s="14">
        <f>'Shares in prod syst'!$F$46*'Data from Ahlgren et al'!S44+'Shares in prod syst'!$F$47*'Data from Ahlgren et al'!S48+'Shares in prod syst'!$F$48*'Data from Ahlgren et al'!S52+'Shares in prod syst'!$F$49*'Data from Ahlgren et al'!S56</f>
        <v>0</v>
      </c>
    </row>
    <row r="31" spans="1:23" ht="15" thickTop="1">
      <c r="A31" s="69" t="s">
        <v>125</v>
      </c>
      <c r="B31" s="69" t="s">
        <v>126</v>
      </c>
      <c r="C31" s="70" t="s">
        <v>127</v>
      </c>
      <c r="D31" s="71" t="s">
        <v>134</v>
      </c>
      <c r="E31" s="71" t="s">
        <v>75</v>
      </c>
      <c r="F31" s="72" t="s">
        <v>133</v>
      </c>
      <c r="G31" s="114">
        <f t="shared" si="0"/>
        <v>19.219930694204724</v>
      </c>
      <c r="H31" s="115">
        <f>SUMPRODUCT(H27:H30,'CF Climate'!$B$5:$B$8)</f>
        <v>0.9206544962516563</v>
      </c>
      <c r="I31" s="116">
        <f>SUMPRODUCT(I27:I30,'CF Climate'!$B$5:$B$8)</f>
        <v>0</v>
      </c>
      <c r="J31" s="116">
        <f>SUMPRODUCT(J27:J30,'CF Climate'!$B$5:$B$8)</f>
        <v>2.1038052463234922</v>
      </c>
      <c r="K31" s="116">
        <f>SUMPRODUCT(K27:K30,'CF Climate'!$B$5:$B$8)</f>
        <v>0.21038052463234921</v>
      </c>
      <c r="L31" s="116">
        <f>SUMPRODUCT(L27:L30,'CF Climate'!$B$5:$B$8)</f>
        <v>0.55239269775099364</v>
      </c>
      <c r="M31" s="116">
        <f>SUMPRODUCT(M27:M30,'CF Climate'!$B$5:$B$8)</f>
        <v>0</v>
      </c>
      <c r="N31" s="116">
        <f>SUMPRODUCT(N27:N30,'CF Climate'!$B$5:$B$8)</f>
        <v>0</v>
      </c>
      <c r="O31" s="116">
        <f>SUMPRODUCT(O27:O30,'CF Climate'!$B$5:$B$8)</f>
        <v>0</v>
      </c>
      <c r="P31" s="116">
        <f>SUMPRODUCT(P27:P30,'CF Climate'!$B$5:$B$8)</f>
        <v>0</v>
      </c>
      <c r="Q31" s="116">
        <f>SUMPRODUCT(Q27:Q30,'CF Climate'!$B$5:$B$8)</f>
        <v>0.88796992353701965</v>
      </c>
      <c r="R31" s="116">
        <f>SUMPRODUCT(R27:R30,'CF Climate'!$B$5:$B$8)</f>
        <v>8.9653702562151647</v>
      </c>
      <c r="S31" s="116">
        <f>SUMPRODUCT(S27:S30,'CF Climate'!$B$5:$B$8)</f>
        <v>4.7310957509933846</v>
      </c>
      <c r="T31" s="116">
        <f>SUMPRODUCT(T27:T30,'CF Climate'!$B$5:$B$8)</f>
        <v>0</v>
      </c>
      <c r="U31" s="116">
        <f>SUMPRODUCT(U27:U30,'CF Climate'!$B$5:$B$8)</f>
        <v>0</v>
      </c>
      <c r="V31" s="116">
        <f>SUMPRODUCT(V27:V30,'CF Climate'!$B$5:$B$8)</f>
        <v>0.36826179850066249</v>
      </c>
      <c r="W31" s="116">
        <f>SUMPRODUCT(W27:W30,'CF Climate'!$B$5:$B$8)</f>
        <v>0.48</v>
      </c>
    </row>
    <row r="32" spans="1:23">
      <c r="A32" s="73" t="s">
        <v>125</v>
      </c>
      <c r="B32" s="73" t="s">
        <v>126</v>
      </c>
      <c r="C32" s="74" t="s">
        <v>127</v>
      </c>
      <c r="D32" s="67" t="s">
        <v>135</v>
      </c>
      <c r="E32" s="67" t="s">
        <v>77</v>
      </c>
      <c r="F32" s="75" t="s">
        <v>129</v>
      </c>
      <c r="G32" s="113">
        <f t="shared" si="0"/>
        <v>3.0715963729569498</v>
      </c>
      <c r="H32" s="112">
        <f>'Shares in prod syst'!$G$46*'Data from Ahlgren et al'!D42+'Shares in prod syst'!$G$47*'Data from Ahlgren et al'!D46+'Shares in prod syst'!$G$48*'Data from Ahlgren et al'!D50+'Shares in prod syst'!$G$49*'Data from Ahlgren et al'!D54</f>
        <v>0.46001100481115942</v>
      </c>
      <c r="I32" s="112">
        <f>'Shares in prod syst'!$G$46*'Data from Ahlgren et al'!E42+'Shares in prod syst'!$G$47*'Data from Ahlgren et al'!E46+'Shares in prod syst'!$G$48*'Data from Ahlgren et al'!E50+'Shares in prod syst'!$G$49*'Data from Ahlgren et al'!E54</f>
        <v>0</v>
      </c>
      <c r="J32" s="112">
        <f>'Shares in prod syst'!$G$46*'Data from Ahlgren et al'!F42+'Shares in prod syst'!$G$47*'Data from Ahlgren et al'!F46+'Shares in prod syst'!$G$48*'Data from Ahlgren et al'!F50+'Shares in prod syst'!$G$49*'Data from Ahlgren et al'!F54</f>
        <v>0</v>
      </c>
      <c r="K32" s="112">
        <f>'Shares in prod syst'!$G$46*'Data from Ahlgren et al'!G42+'Shares in prod syst'!$G$47*'Data from Ahlgren et al'!G46+'Shares in prod syst'!$G$48*'Data from Ahlgren et al'!G50+'Shares in prod syst'!$G$49*'Data from Ahlgren et al'!G54</f>
        <v>0</v>
      </c>
      <c r="L32" s="112">
        <f>'Shares in prod syst'!$G$46*'Data from Ahlgren et al'!H42+'Shares in prod syst'!$G$47*'Data from Ahlgren et al'!H46+'Shares in prod syst'!$G$48*'Data from Ahlgren et al'!H50+'Shares in prod syst'!$G$49*'Data from Ahlgren et al'!H54</f>
        <v>0.5520132057733913</v>
      </c>
      <c r="M32" s="112">
        <f>'Shares in prod syst'!$G$46*'Data from Ahlgren et al'!I42+'Shares in prod syst'!$G$47*'Data from Ahlgren et al'!I46+'Shares in prod syst'!$G$48*'Data from Ahlgren et al'!I50+'Shares in prod syst'!$G$49*'Data from Ahlgren et al'!I54</f>
        <v>0</v>
      </c>
      <c r="N32" s="112">
        <f>'Shares in prod syst'!$G$46*'Data from Ahlgren et al'!J42+'Shares in prod syst'!$G$47*'Data from Ahlgren et al'!J46+'Shares in prod syst'!$G$48*'Data from Ahlgren et al'!J50+'Shares in prod syst'!$G$49*'Data from Ahlgren et al'!J54</f>
        <v>0</v>
      </c>
      <c r="O32" s="112">
        <f>'Shares in prod syst'!$G$46*'Data from Ahlgren et al'!K42+'Shares in prod syst'!$G$47*'Data from Ahlgren et al'!K46+'Shares in prod syst'!$G$48*'Data from Ahlgren et al'!K50+'Shares in prod syst'!$G$49*'Data from Ahlgren et al'!K54</f>
        <v>0</v>
      </c>
      <c r="P32" s="112">
        <f>'Shares in prod syst'!$G$46*'Data from Ahlgren et al'!L42+'Shares in prod syst'!$G$47*'Data from Ahlgren et al'!L46+'Shares in prod syst'!$G$48*'Data from Ahlgren et al'!L50+'Shares in prod syst'!$G$49*'Data from Ahlgren et al'!L54</f>
        <v>0</v>
      </c>
      <c r="Q32" s="112">
        <f>'Shares in prod syst'!$G$46*'Data from Ahlgren et al'!M42+'Shares in prod syst'!$G$47*'Data from Ahlgren et al'!M46+'Shares in prod syst'!$G$48*'Data from Ahlgren et al'!M50+'Shares in prod syst'!$G$49*'Data from Ahlgren et al'!M54</f>
        <v>1.2115633585234717</v>
      </c>
      <c r="R32" s="112">
        <f>'Shares in prod syst'!$G$46*'Data from Ahlgren et al'!N42+'Shares in prod syst'!$G$47*'Data from Ahlgren et al'!N46+'Shares in prod syst'!$G$48*'Data from Ahlgren et al'!N50+'Shares in prod syst'!$G$49*'Data from Ahlgren et al'!N54</f>
        <v>0</v>
      </c>
      <c r="S32" s="112">
        <f>'Shares in prod syst'!$G$46*'Data from Ahlgren et al'!O42+'Shares in prod syst'!$G$47*'Data from Ahlgren et al'!O46+'Shares in prod syst'!$G$48*'Data from Ahlgren et al'!O50+'Shares in prod syst'!$G$49*'Data from Ahlgren et al'!O54</f>
        <v>0</v>
      </c>
      <c r="T32" s="112">
        <f>'Shares in prod syst'!$G$46*'Data from Ahlgren et al'!P42+'Shares in prod syst'!$G$47*'Data from Ahlgren et al'!P46+'Shares in prod syst'!$G$48*'Data from Ahlgren et al'!P50+'Shares in prod syst'!$G$49*'Data from Ahlgren et al'!P54</f>
        <v>0</v>
      </c>
      <c r="U32" s="112">
        <f>'Shares in prod syst'!$G$46*'Data from Ahlgren et al'!Q42+'Shares in prod syst'!$G$47*'Data from Ahlgren et al'!Q46+'Shares in prod syst'!$G$48*'Data from Ahlgren et al'!Q50+'Shares in prod syst'!$G$49*'Data from Ahlgren et al'!Q54</f>
        <v>0</v>
      </c>
      <c r="V32" s="112">
        <f>'Shares in prod syst'!$G$46*'Data from Ahlgren et al'!R42+'Shares in prod syst'!$G$47*'Data from Ahlgren et al'!R46+'Shares in prod syst'!$G$48*'Data from Ahlgren et al'!R50+'Shares in prod syst'!$G$49*'Data from Ahlgren et al'!R54</f>
        <v>0.36800880384892753</v>
      </c>
      <c r="W32" s="112">
        <f>'Shares in prod syst'!$G$46*'Data from Ahlgren et al'!S42+'Shares in prod syst'!$G$47*'Data from Ahlgren et al'!S46+'Shares in prod syst'!$G$48*'Data from Ahlgren et al'!S50+'Shares in prod syst'!$G$49*'Data from Ahlgren et al'!S54</f>
        <v>0.48</v>
      </c>
    </row>
    <row r="33" spans="1:23">
      <c r="A33" s="10" t="s">
        <v>125</v>
      </c>
      <c r="B33" s="10" t="s">
        <v>126</v>
      </c>
      <c r="C33" s="11" t="s">
        <v>127</v>
      </c>
      <c r="D33" s="12" t="s">
        <v>135</v>
      </c>
      <c r="E33" s="12" t="s">
        <v>77</v>
      </c>
      <c r="F33" s="10" t="s">
        <v>130</v>
      </c>
      <c r="G33" s="113">
        <f t="shared" ref="G33" si="3">SUM(H33:W33)</f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</row>
    <row r="34" spans="1:23">
      <c r="A34" s="10" t="s">
        <v>125</v>
      </c>
      <c r="B34" s="10" t="s">
        <v>126</v>
      </c>
      <c r="C34" s="11" t="s">
        <v>127</v>
      </c>
      <c r="D34" s="12" t="s">
        <v>135</v>
      </c>
      <c r="E34" s="12" t="s">
        <v>77</v>
      </c>
      <c r="F34" s="10" t="s">
        <v>131</v>
      </c>
      <c r="G34" s="113">
        <f t="shared" si="0"/>
        <v>0.50625094749999366</v>
      </c>
      <c r="H34" s="14">
        <f>'Shares in prod syst'!$G$46*'Data from Ahlgren et al'!D43+'Shares in prod syst'!$G$47*'Data from Ahlgren et al'!D47+'Shares in prod syst'!$G$48*'Data from Ahlgren et al'!D51+'Shares in prod syst'!$G$49*'Data from Ahlgren et al'!D55</f>
        <v>0</v>
      </c>
      <c r="I34" s="14">
        <f>'Shares in prod syst'!$G$46*'Data from Ahlgren et al'!E43+'Shares in prod syst'!$G$47*'Data from Ahlgren et al'!E47+'Shares in prod syst'!$G$48*'Data from Ahlgren et al'!E51+'Shares in prod syst'!$G$49*'Data from Ahlgren et al'!E55</f>
        <v>0</v>
      </c>
      <c r="J34" s="14">
        <f>'Shares in prod syst'!$G$46*'Data from Ahlgren et al'!F43+'Shares in prod syst'!$G$47*'Data from Ahlgren et al'!F47+'Shares in prod syst'!$G$48*'Data from Ahlgren et al'!F51+'Shares in prod syst'!$G$49*'Data from Ahlgren et al'!F55</f>
        <v>0</v>
      </c>
      <c r="K34" s="14">
        <f>'Shares in prod syst'!$G$46*'Data from Ahlgren et al'!G43+'Shares in prod syst'!$G$47*'Data from Ahlgren et al'!G47+'Shares in prod syst'!$G$48*'Data from Ahlgren et al'!G51+'Shares in prod syst'!$G$49*'Data from Ahlgren et al'!G55</f>
        <v>0</v>
      </c>
      <c r="L34" s="14">
        <f>'Shares in prod syst'!$G$46*'Data from Ahlgren et al'!H43+'Shares in prod syst'!$G$47*'Data from Ahlgren et al'!H47+'Shares in prod syst'!$G$48*'Data from Ahlgren et al'!H51+'Shares in prod syst'!$G$49*'Data from Ahlgren et al'!H55</f>
        <v>0</v>
      </c>
      <c r="M34" s="14">
        <f>'Shares in prod syst'!$G$46*'Data from Ahlgren et al'!I43+'Shares in prod syst'!$G$47*'Data from Ahlgren et al'!I47+'Shares in prod syst'!$G$48*'Data from Ahlgren et al'!I51+'Shares in prod syst'!$G$49*'Data from Ahlgren et al'!I55</f>
        <v>0</v>
      </c>
      <c r="N34" s="14">
        <f>'Shares in prod syst'!$G$46*'Data from Ahlgren et al'!J43+'Shares in prod syst'!$G$47*'Data from Ahlgren et al'!J47+'Shares in prod syst'!$G$48*'Data from Ahlgren et al'!J51+'Shares in prod syst'!$G$49*'Data from Ahlgren et al'!J55</f>
        <v>0</v>
      </c>
      <c r="O34" s="14">
        <f>'Shares in prod syst'!$G$46*'Data from Ahlgren et al'!K43+'Shares in prod syst'!$G$47*'Data from Ahlgren et al'!K47+'Shares in prod syst'!$G$48*'Data from Ahlgren et al'!K51+'Shares in prod syst'!$G$49*'Data from Ahlgren et al'!K55</f>
        <v>0</v>
      </c>
      <c r="P34" s="14">
        <f>'Shares in prod syst'!$G$46*'Data from Ahlgren et al'!L43+'Shares in prod syst'!$G$47*'Data from Ahlgren et al'!L47+'Shares in prod syst'!$G$48*'Data from Ahlgren et al'!L51+'Shares in prod syst'!$G$49*'Data from Ahlgren et al'!L55</f>
        <v>0</v>
      </c>
      <c r="Q34" s="14">
        <f>'Shares in prod syst'!$G$46*'Data from Ahlgren et al'!M43+'Shares in prod syst'!$G$47*'Data from Ahlgren et al'!M47+'Shares in prod syst'!$G$48*'Data from Ahlgren et al'!M51+'Shares in prod syst'!$G$49*'Data from Ahlgren et al'!M55</f>
        <v>0</v>
      </c>
      <c r="R34" s="14">
        <f>'Shares in prod syst'!$G$46*'Data from Ahlgren et al'!N43+'Shares in prod syst'!$G$47*'Data from Ahlgren et al'!N47+'Shares in prod syst'!$G$48*'Data from Ahlgren et al'!N51+'Shares in prod syst'!$G$49*'Data from Ahlgren et al'!N55</f>
        <v>0.39745333700621205</v>
      </c>
      <c r="S34" s="14">
        <f>'Shares in prod syst'!$G$46*'Data from Ahlgren et al'!O43+'Shares in prod syst'!$G$47*'Data from Ahlgren et al'!O47+'Shares in prod syst'!$G$48*'Data from Ahlgren et al'!O51+'Shares in prod syst'!$G$49*'Data from Ahlgren et al'!O55</f>
        <v>0.10879761049378166</v>
      </c>
      <c r="T34" s="14">
        <f>'Shares in prod syst'!$G$46*'Data from Ahlgren et al'!P43+'Shares in prod syst'!$G$47*'Data from Ahlgren et al'!P47+'Shares in prod syst'!$G$48*'Data from Ahlgren et al'!P51+'Shares in prod syst'!$G$49*'Data from Ahlgren et al'!P55</f>
        <v>0</v>
      </c>
      <c r="U34" s="14">
        <f>'Shares in prod syst'!$G$46*'Data from Ahlgren et al'!Q43+'Shares in prod syst'!$G$47*'Data from Ahlgren et al'!Q47+'Shares in prod syst'!$G$48*'Data from Ahlgren et al'!Q51+'Shares in prod syst'!$G$49*'Data from Ahlgren et al'!Q55</f>
        <v>0</v>
      </c>
      <c r="V34" s="14">
        <f>'Shares in prod syst'!$G$46*'Data from Ahlgren et al'!R43+'Shares in prod syst'!$G$47*'Data from Ahlgren et al'!R47+'Shares in prod syst'!$G$48*'Data from Ahlgren et al'!R51+'Shares in prod syst'!$G$49*'Data from Ahlgren et al'!R55</f>
        <v>0</v>
      </c>
      <c r="W34" s="14">
        <f>'Shares in prod syst'!$G$46*'Data from Ahlgren et al'!S43+'Shares in prod syst'!$G$47*'Data from Ahlgren et al'!S47+'Shares in prod syst'!$G$48*'Data from Ahlgren et al'!S51+'Shares in prod syst'!$G$49*'Data from Ahlgren et al'!S55</f>
        <v>0</v>
      </c>
    </row>
    <row r="35" spans="1:23" ht="15" thickBot="1">
      <c r="A35" s="10" t="s">
        <v>125</v>
      </c>
      <c r="B35" s="10" t="s">
        <v>126</v>
      </c>
      <c r="C35" s="11" t="s">
        <v>127</v>
      </c>
      <c r="D35" s="12" t="s">
        <v>135</v>
      </c>
      <c r="E35" s="12" t="s">
        <v>77</v>
      </c>
      <c r="F35" s="17" t="s">
        <v>132</v>
      </c>
      <c r="G35" s="113">
        <f t="shared" si="0"/>
        <v>2.195787431435561E-2</v>
      </c>
      <c r="H35" s="14">
        <f>'Shares in prod syst'!$G$46*'Data from Ahlgren et al'!D44+'Shares in prod syst'!$G$47*'Data from Ahlgren et al'!D48+'Shares in prod syst'!$G$48*'Data from Ahlgren et al'!D52+'Shares in prod syst'!$G$49*'Data from Ahlgren et al'!D56</f>
        <v>1.6850219956452725E-3</v>
      </c>
      <c r="I35" s="14">
        <f>'Shares in prod syst'!$G$46*'Data from Ahlgren et al'!E44+'Shares in prod syst'!$G$47*'Data from Ahlgren et al'!E48+'Shares in prod syst'!$G$48*'Data from Ahlgren et al'!E52+'Shares in prod syst'!$G$49*'Data from Ahlgren et al'!E56</f>
        <v>0</v>
      </c>
      <c r="J35" s="14">
        <f>'Shares in prod syst'!$G$46*'Data from Ahlgren et al'!F44+'Shares in prod syst'!$G$47*'Data from Ahlgren et al'!F48+'Shares in prod syst'!$G$48*'Data from Ahlgren et al'!F52+'Shares in prod syst'!$G$49*'Data from Ahlgren et al'!F56</f>
        <v>8.6478628027832748E-3</v>
      </c>
      <c r="K35" s="14">
        <f>'Shares in prod syst'!$G$46*'Data from Ahlgren et al'!G44+'Shares in prod syst'!$G$47*'Data from Ahlgren et al'!G48+'Shares in prod syst'!$G$48*'Data from Ahlgren et al'!G52+'Shares in prod syst'!$G$49*'Data from Ahlgren et al'!G56</f>
        <v>8.6478628027832744E-4</v>
      </c>
      <c r="L35" s="14">
        <f>'Shares in prod syst'!$G$46*'Data from Ahlgren et al'!H44+'Shares in prod syst'!$G$47*'Data from Ahlgren et al'!H48+'Shares in prod syst'!$G$48*'Data from Ahlgren et al'!H52+'Shares in prod syst'!$G$49*'Data from Ahlgren et al'!H56</f>
        <v>0</v>
      </c>
      <c r="M35" s="14">
        <f>'Shares in prod syst'!$G$46*'Data from Ahlgren et al'!I44+'Shares in prod syst'!$G$47*'Data from Ahlgren et al'!I48+'Shares in prod syst'!$G$48*'Data from Ahlgren et al'!I52+'Shares in prod syst'!$G$49*'Data from Ahlgren et al'!I56</f>
        <v>0</v>
      </c>
      <c r="N35" s="14">
        <f>'Shares in prod syst'!$G$46*'Data from Ahlgren et al'!J44+'Shares in prod syst'!$G$47*'Data from Ahlgren et al'!J48+'Shares in prod syst'!$G$48*'Data from Ahlgren et al'!J52+'Shares in prod syst'!$G$49*'Data from Ahlgren et al'!J56</f>
        <v>0</v>
      </c>
      <c r="O35" s="14">
        <f>'Shares in prod syst'!$G$46*'Data from Ahlgren et al'!K44+'Shares in prod syst'!$G$47*'Data from Ahlgren et al'!K48+'Shares in prod syst'!$G$48*'Data from Ahlgren et al'!K52+'Shares in prod syst'!$G$49*'Data from Ahlgren et al'!K56</f>
        <v>0</v>
      </c>
      <c r="P35" s="14">
        <f>'Shares in prod syst'!$G$46*'Data from Ahlgren et al'!L44+'Shares in prod syst'!$G$47*'Data from Ahlgren et al'!L48+'Shares in prod syst'!$G$48*'Data from Ahlgren et al'!L52+'Shares in prod syst'!$G$49*'Data from Ahlgren et al'!L56</f>
        <v>0</v>
      </c>
      <c r="Q35" s="14">
        <f>'Shares in prod syst'!$G$46*'Data from Ahlgren et al'!M44+'Shares in prod syst'!$G$47*'Data from Ahlgren et al'!M48+'Shares in prod syst'!$G$48*'Data from Ahlgren et al'!M52+'Shares in prod syst'!$G$49*'Data from Ahlgren et al'!M56</f>
        <v>0</v>
      </c>
      <c r="R35" s="14">
        <f>'Shares in prod syst'!$G$46*'Data from Ahlgren et al'!N44+'Shares in prod syst'!$G$47*'Data from Ahlgren et al'!N48+'Shares in prod syst'!$G$48*'Data from Ahlgren et al'!N52+'Shares in prod syst'!$G$49*'Data from Ahlgren et al'!N56</f>
        <v>0</v>
      </c>
      <c r="S35" s="14">
        <f>'Shares in prod syst'!$G$46*'Data from Ahlgren et al'!O44+'Shares in prod syst'!$G$47*'Data from Ahlgren et al'!O48+'Shares in prod syst'!$G$48*'Data from Ahlgren et al'!O52+'Shares in prod syst'!$G$49*'Data from Ahlgren et al'!O56</f>
        <v>1.0760203235648734E-2</v>
      </c>
      <c r="T35" s="14">
        <f>'Shares in prod syst'!$G$46*'Data from Ahlgren et al'!P44+'Shares in prod syst'!$G$47*'Data from Ahlgren et al'!P48+'Shares in prod syst'!$G$48*'Data from Ahlgren et al'!P52+'Shares in prod syst'!$G$49*'Data from Ahlgren et al'!P56</f>
        <v>0</v>
      </c>
      <c r="U35" s="14">
        <f>'Shares in prod syst'!$G$46*'Data from Ahlgren et al'!Q44+'Shares in prod syst'!$G$47*'Data from Ahlgren et al'!Q48+'Shares in prod syst'!$G$48*'Data from Ahlgren et al'!Q52+'Shares in prod syst'!$G$49*'Data from Ahlgren et al'!Q56</f>
        <v>0</v>
      </c>
      <c r="V35" s="14">
        <f>'Shares in prod syst'!$G$46*'Data from Ahlgren et al'!R44+'Shares in prod syst'!$G$47*'Data from Ahlgren et al'!R48+'Shares in prod syst'!$G$48*'Data from Ahlgren et al'!R52+'Shares in prod syst'!$G$49*'Data from Ahlgren et al'!R56</f>
        <v>0</v>
      </c>
      <c r="W35" s="14">
        <f>'Shares in prod syst'!$G$46*'Data from Ahlgren et al'!S44+'Shares in prod syst'!$G$47*'Data from Ahlgren et al'!S48+'Shares in prod syst'!$G$48*'Data from Ahlgren et al'!S52+'Shares in prod syst'!$G$49*'Data from Ahlgren et al'!S56</f>
        <v>0</v>
      </c>
    </row>
    <row r="36" spans="1:23" ht="15" thickTop="1">
      <c r="A36" s="69" t="s">
        <v>125</v>
      </c>
      <c r="B36" s="69" t="s">
        <v>126</v>
      </c>
      <c r="C36" s="70" t="s">
        <v>127</v>
      </c>
      <c r="D36" s="19" t="s">
        <v>135</v>
      </c>
      <c r="E36" s="19" t="s">
        <v>77</v>
      </c>
      <c r="F36" s="72" t="s">
        <v>133</v>
      </c>
      <c r="G36" s="114">
        <f t="shared" si="0"/>
        <v>22.734871643275859</v>
      </c>
      <c r="H36" s="115">
        <f>SUMPRODUCT(H32:H35,'CF Climate'!$B$5:$B$8)</f>
        <v>0.92002200962231884</v>
      </c>
      <c r="I36" s="116">
        <f>SUMPRODUCT(I32:I35,'CF Climate'!$B$5:$B$8)</f>
        <v>0</v>
      </c>
      <c r="J36" s="116">
        <f>SUMPRODUCT(J32:J35,'CF Climate'!$B$5:$B$8)</f>
        <v>2.3608665451598339</v>
      </c>
      <c r="K36" s="116">
        <f>SUMPRODUCT(K32:K35,'CF Climate'!$B$5:$B$8)</f>
        <v>0.2360866545159834</v>
      </c>
      <c r="L36" s="116">
        <f>SUMPRODUCT(L32:L35,'CF Climate'!$B$5:$B$8)</f>
        <v>0.5520132057733913</v>
      </c>
      <c r="M36" s="116">
        <f>SUMPRODUCT(M32:M35,'CF Climate'!$B$5:$B$8)</f>
        <v>0</v>
      </c>
      <c r="N36" s="116">
        <f>SUMPRODUCT(N32:N35,'CF Climate'!$B$5:$B$8)</f>
        <v>0</v>
      </c>
      <c r="O36" s="116">
        <f>SUMPRODUCT(O32:O35,'CF Climate'!$B$5:$B$8)</f>
        <v>0</v>
      </c>
      <c r="P36" s="116">
        <f>SUMPRODUCT(P32:P35,'CF Climate'!$B$5:$B$8)</f>
        <v>0</v>
      </c>
      <c r="Q36" s="116">
        <f>SUMPRODUCT(Q32:Q35,'CF Climate'!$B$5:$B$8)</f>
        <v>1.2115633585234717</v>
      </c>
      <c r="R36" s="116">
        <f>SUMPRODUCT(R32:R35,'CF Climate'!$B$5:$B$8)</f>
        <v>10.731240099167726</v>
      </c>
      <c r="S36" s="116">
        <f>SUMPRODUCT(S32:S35,'CF Climate'!$B$5:$B$8)</f>
        <v>5.8750709666642091</v>
      </c>
      <c r="T36" s="116">
        <f>SUMPRODUCT(T32:T35,'CF Climate'!$B$5:$B$8)</f>
        <v>0</v>
      </c>
      <c r="U36" s="116">
        <f>SUMPRODUCT(U32:U35,'CF Climate'!$B$5:$B$8)</f>
        <v>0</v>
      </c>
      <c r="V36" s="116">
        <f>SUMPRODUCT(V32:V35,'CF Climate'!$B$5:$B$8)</f>
        <v>0.36800880384892753</v>
      </c>
      <c r="W36" s="116">
        <f>SUMPRODUCT(W32:W35,'CF Climate'!$B$5:$B$8)</f>
        <v>0.48</v>
      </c>
    </row>
    <row r="37" spans="1:23">
      <c r="A37" s="73" t="s">
        <v>125</v>
      </c>
      <c r="B37" s="73" t="s">
        <v>126</v>
      </c>
      <c r="C37" s="74" t="s">
        <v>127</v>
      </c>
      <c r="D37" s="67" t="s">
        <v>78</v>
      </c>
      <c r="E37" s="67" t="s">
        <v>79</v>
      </c>
      <c r="F37" s="75" t="s">
        <v>129</v>
      </c>
      <c r="G37" s="113">
        <f t="shared" si="0"/>
        <v>2.7302349896213163</v>
      </c>
      <c r="H37" s="112">
        <f>'Shares in prod syst'!$H$46*'Data from Ahlgren et al'!D42+'Shares in prod syst'!$H$47*'Data from Ahlgren et al'!D46+'Shares in prod syst'!$H$48*'Data from Ahlgren et al'!D50+'Shares in prod syst'!$H$49*'Data from Ahlgren et al'!D54</f>
        <v>0.42012416442233236</v>
      </c>
      <c r="I37" s="112">
        <f>'Shares in prod syst'!$H$46*'Data from Ahlgren et al'!E42+'Shares in prod syst'!$H$47*'Data from Ahlgren et al'!E46+'Shares in prod syst'!$H$48*'Data from Ahlgren et al'!E50+'Shares in prod syst'!$H$49*'Data from Ahlgren et al'!E54</f>
        <v>0</v>
      </c>
      <c r="J37" s="112">
        <f>'Shares in prod syst'!$H$46*'Data from Ahlgren et al'!F42+'Shares in prod syst'!$H$47*'Data from Ahlgren et al'!F46+'Shares in prod syst'!$H$48*'Data from Ahlgren et al'!F50+'Shares in prod syst'!$H$49*'Data from Ahlgren et al'!F54</f>
        <v>0</v>
      </c>
      <c r="K37" s="112">
        <f>'Shares in prod syst'!$H$46*'Data from Ahlgren et al'!G42+'Shares in prod syst'!$H$47*'Data from Ahlgren et al'!G46+'Shares in prod syst'!$H$48*'Data from Ahlgren et al'!G50+'Shares in prod syst'!$H$49*'Data from Ahlgren et al'!G54</f>
        <v>0</v>
      </c>
      <c r="L37" s="112">
        <f>'Shares in prod syst'!$H$46*'Data from Ahlgren et al'!H42+'Shares in prod syst'!$H$47*'Data from Ahlgren et al'!H46+'Shares in prod syst'!$H$48*'Data from Ahlgren et al'!H50+'Shares in prod syst'!$H$49*'Data from Ahlgren et al'!H54</f>
        <v>0.50414899730679885</v>
      </c>
      <c r="M37" s="112">
        <f>'Shares in prod syst'!$H$46*'Data from Ahlgren et al'!I42+'Shares in prod syst'!$H$47*'Data from Ahlgren et al'!I46+'Shares in prod syst'!$H$48*'Data from Ahlgren et al'!I50+'Shares in prod syst'!$H$49*'Data from Ahlgren et al'!I54</f>
        <v>0</v>
      </c>
      <c r="N37" s="112">
        <f>'Shares in prod syst'!$H$46*'Data from Ahlgren et al'!J42+'Shares in prod syst'!$H$47*'Data from Ahlgren et al'!J46+'Shares in prod syst'!$H$48*'Data from Ahlgren et al'!J50+'Shares in prod syst'!$H$49*'Data from Ahlgren et al'!J54</f>
        <v>0</v>
      </c>
      <c r="O37" s="112">
        <f>'Shares in prod syst'!$H$46*'Data from Ahlgren et al'!K42+'Shares in prod syst'!$H$47*'Data from Ahlgren et al'!K46+'Shares in prod syst'!$H$48*'Data from Ahlgren et al'!K50+'Shares in prod syst'!$H$49*'Data from Ahlgren et al'!K54</f>
        <v>0</v>
      </c>
      <c r="P37" s="112">
        <f>'Shares in prod syst'!$H$46*'Data from Ahlgren et al'!L42+'Shares in prod syst'!$H$47*'Data from Ahlgren et al'!L46+'Shares in prod syst'!$H$48*'Data from Ahlgren et al'!L50+'Shares in prod syst'!$H$49*'Data from Ahlgren et al'!L54</f>
        <v>0</v>
      </c>
      <c r="Q37" s="112">
        <f>'Shares in prod syst'!$H$46*'Data from Ahlgren et al'!M42+'Shares in prod syst'!$H$47*'Data from Ahlgren et al'!M46+'Shares in prod syst'!$H$48*'Data from Ahlgren et al'!M50+'Shares in prod syst'!$H$49*'Data from Ahlgren et al'!M54</f>
        <v>0.98986249635431922</v>
      </c>
      <c r="R37" s="112">
        <f>'Shares in prod syst'!$H$46*'Data from Ahlgren et al'!N42+'Shares in prod syst'!$H$47*'Data from Ahlgren et al'!N46+'Shares in prod syst'!$H$48*'Data from Ahlgren et al'!N50+'Shares in prod syst'!$H$49*'Data from Ahlgren et al'!N54</f>
        <v>0</v>
      </c>
      <c r="S37" s="112">
        <f>'Shares in prod syst'!$H$46*'Data from Ahlgren et al'!O42+'Shares in prod syst'!$H$47*'Data from Ahlgren et al'!O46+'Shares in prod syst'!$H$48*'Data from Ahlgren et al'!O50+'Shares in prod syst'!$H$49*'Data from Ahlgren et al'!O54</f>
        <v>0</v>
      </c>
      <c r="T37" s="112">
        <f>'Shares in prod syst'!$H$46*'Data from Ahlgren et al'!P42+'Shares in prod syst'!$H$47*'Data from Ahlgren et al'!P46+'Shares in prod syst'!$H$48*'Data from Ahlgren et al'!P50+'Shares in prod syst'!$H$49*'Data from Ahlgren et al'!P54</f>
        <v>0</v>
      </c>
      <c r="U37" s="112">
        <f>'Shares in prod syst'!$H$46*'Data from Ahlgren et al'!Q42+'Shares in prod syst'!$H$47*'Data from Ahlgren et al'!Q46+'Shares in prod syst'!$H$48*'Data from Ahlgren et al'!Q50+'Shares in prod syst'!$H$49*'Data from Ahlgren et al'!Q54</f>
        <v>0</v>
      </c>
      <c r="V37" s="112">
        <f>'Shares in prod syst'!$H$46*'Data from Ahlgren et al'!R42+'Shares in prod syst'!$H$47*'Data from Ahlgren et al'!R46+'Shares in prod syst'!$H$48*'Data from Ahlgren et al'!R50+'Shares in prod syst'!$H$49*'Data from Ahlgren et al'!R54</f>
        <v>0.33609933153786592</v>
      </c>
      <c r="W37" s="112">
        <f>'Shares in prod syst'!$H$46*'Data from Ahlgren et al'!S42+'Shares in prod syst'!$H$47*'Data from Ahlgren et al'!S46+'Shares in prod syst'!$H$48*'Data from Ahlgren et al'!S50+'Shares in prod syst'!$H$49*'Data from Ahlgren et al'!S54</f>
        <v>0.48000000000000004</v>
      </c>
    </row>
    <row r="38" spans="1:23">
      <c r="A38" s="10" t="s">
        <v>125</v>
      </c>
      <c r="B38" s="10" t="s">
        <v>126</v>
      </c>
      <c r="C38" s="11" t="s">
        <v>127</v>
      </c>
      <c r="D38" s="12" t="s">
        <v>78</v>
      </c>
      <c r="E38" s="12" t="s">
        <v>79</v>
      </c>
      <c r="F38" s="10" t="s">
        <v>130</v>
      </c>
      <c r="G38" s="113">
        <f t="shared" ref="G38" si="4">SUM(H38:W38)</f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</row>
    <row r="39" spans="1:23">
      <c r="A39" s="10" t="s">
        <v>125</v>
      </c>
      <c r="B39" s="10" t="s">
        <v>126</v>
      </c>
      <c r="C39" s="11" t="s">
        <v>127</v>
      </c>
      <c r="D39" s="12" t="s">
        <v>78</v>
      </c>
      <c r="E39" s="12" t="s">
        <v>79</v>
      </c>
      <c r="F39" s="10" t="s">
        <v>131</v>
      </c>
      <c r="G39" s="113">
        <f t="shared" si="0"/>
        <v>0.43385513033969181</v>
      </c>
      <c r="H39" s="14">
        <f>'Shares in prod syst'!$H$46*'Data from Ahlgren et al'!D43+'Shares in prod syst'!$H$47*'Data from Ahlgren et al'!D47+'Shares in prod syst'!$H$48*'Data from Ahlgren et al'!D51+'Shares in prod syst'!$H$49*'Data from Ahlgren et al'!D55</f>
        <v>0</v>
      </c>
      <c r="I39" s="14">
        <f>'Shares in prod syst'!$H$46*'Data from Ahlgren et al'!E43+'Shares in prod syst'!$H$47*'Data from Ahlgren et al'!E47+'Shares in prod syst'!$H$48*'Data from Ahlgren et al'!E51+'Shares in prod syst'!$H$49*'Data from Ahlgren et al'!E55</f>
        <v>0</v>
      </c>
      <c r="J39" s="14">
        <f>'Shares in prod syst'!$H$46*'Data from Ahlgren et al'!F43+'Shares in prod syst'!$H$47*'Data from Ahlgren et al'!F47+'Shares in prod syst'!$H$48*'Data from Ahlgren et al'!F51+'Shares in prod syst'!$H$49*'Data from Ahlgren et al'!F55</f>
        <v>0</v>
      </c>
      <c r="K39" s="14">
        <f>'Shares in prod syst'!$H$46*'Data from Ahlgren et al'!G43+'Shares in prod syst'!$H$47*'Data from Ahlgren et al'!G47+'Shares in prod syst'!$H$48*'Data from Ahlgren et al'!G51+'Shares in prod syst'!$H$49*'Data from Ahlgren et al'!G55</f>
        <v>0</v>
      </c>
      <c r="L39" s="14">
        <f>'Shares in prod syst'!$H$46*'Data from Ahlgren et al'!H43+'Shares in prod syst'!$H$47*'Data from Ahlgren et al'!H47+'Shares in prod syst'!$H$48*'Data from Ahlgren et al'!H51+'Shares in prod syst'!$H$49*'Data from Ahlgren et al'!H55</f>
        <v>0</v>
      </c>
      <c r="M39" s="14">
        <f>'Shares in prod syst'!$H$46*'Data from Ahlgren et al'!I43+'Shares in prod syst'!$H$47*'Data from Ahlgren et al'!I47+'Shares in prod syst'!$H$48*'Data from Ahlgren et al'!I51+'Shares in prod syst'!$H$49*'Data from Ahlgren et al'!I55</f>
        <v>0</v>
      </c>
      <c r="N39" s="14">
        <f>'Shares in prod syst'!$H$46*'Data from Ahlgren et al'!J43+'Shares in prod syst'!$H$47*'Data from Ahlgren et al'!J47+'Shares in prod syst'!$H$48*'Data from Ahlgren et al'!J51+'Shares in prod syst'!$H$49*'Data from Ahlgren et al'!J55</f>
        <v>0</v>
      </c>
      <c r="O39" s="14">
        <f>'Shares in prod syst'!$H$46*'Data from Ahlgren et al'!K43+'Shares in prod syst'!$H$47*'Data from Ahlgren et al'!K47+'Shares in prod syst'!$H$48*'Data from Ahlgren et al'!K51+'Shares in prod syst'!$H$49*'Data from Ahlgren et al'!K55</f>
        <v>0</v>
      </c>
      <c r="P39" s="14">
        <f>'Shares in prod syst'!$H$46*'Data from Ahlgren et al'!L43+'Shares in prod syst'!$H$47*'Data from Ahlgren et al'!L47+'Shares in prod syst'!$H$48*'Data from Ahlgren et al'!L51+'Shares in prod syst'!$H$49*'Data from Ahlgren et al'!L55</f>
        <v>0</v>
      </c>
      <c r="Q39" s="14">
        <f>'Shares in prod syst'!$H$46*'Data from Ahlgren et al'!M43+'Shares in prod syst'!$H$47*'Data from Ahlgren et al'!M47+'Shares in prod syst'!$H$48*'Data from Ahlgren et al'!M51+'Shares in prod syst'!$H$49*'Data from Ahlgren et al'!M55</f>
        <v>0</v>
      </c>
      <c r="R39" s="14">
        <f>'Shares in prod syst'!$H$46*'Data from Ahlgren et al'!N43+'Shares in prod syst'!$H$47*'Data from Ahlgren et al'!N47+'Shares in prod syst'!$H$48*'Data from Ahlgren et al'!N51+'Shares in prod syst'!$H$49*'Data from Ahlgren et al'!N55</f>
        <v>0.34306892078075746</v>
      </c>
      <c r="S39" s="14">
        <f>'Shares in prod syst'!$H$46*'Data from Ahlgren et al'!O43+'Shares in prod syst'!$H$47*'Data from Ahlgren et al'!O47+'Shares in prod syst'!$H$48*'Data from Ahlgren et al'!O51+'Shares in prod syst'!$H$49*'Data from Ahlgren et al'!O55</f>
        <v>9.0786209558934322E-2</v>
      </c>
      <c r="T39" s="14">
        <f>'Shares in prod syst'!$H$46*'Data from Ahlgren et al'!P43+'Shares in prod syst'!$H$47*'Data from Ahlgren et al'!P47+'Shares in prod syst'!$H$48*'Data from Ahlgren et al'!P51+'Shares in prod syst'!$H$49*'Data from Ahlgren et al'!P55</f>
        <v>0</v>
      </c>
      <c r="U39" s="14">
        <f>'Shares in prod syst'!$H$46*'Data from Ahlgren et al'!Q43+'Shares in prod syst'!$H$47*'Data from Ahlgren et al'!Q47+'Shares in prod syst'!$H$48*'Data from Ahlgren et al'!Q51+'Shares in prod syst'!$H$49*'Data from Ahlgren et al'!Q55</f>
        <v>0</v>
      </c>
      <c r="V39" s="14">
        <f>'Shares in prod syst'!$H$46*'Data from Ahlgren et al'!R43+'Shares in prod syst'!$H$47*'Data from Ahlgren et al'!R47+'Shares in prod syst'!$H$48*'Data from Ahlgren et al'!R51+'Shares in prod syst'!$H$49*'Data from Ahlgren et al'!R55</f>
        <v>0</v>
      </c>
      <c r="W39" s="14">
        <f>'Shares in prod syst'!$H$46*'Data from Ahlgren et al'!S43+'Shares in prod syst'!$H$47*'Data from Ahlgren et al'!S47+'Shares in prod syst'!$H$48*'Data from Ahlgren et al'!S51+'Shares in prod syst'!$H$49*'Data from Ahlgren et al'!S55</f>
        <v>0</v>
      </c>
    </row>
    <row r="40" spans="1:23" ht="15" thickBot="1">
      <c r="A40" s="10" t="s">
        <v>125</v>
      </c>
      <c r="B40" s="10" t="s">
        <v>126</v>
      </c>
      <c r="C40" s="11" t="s">
        <v>127</v>
      </c>
      <c r="D40" s="12" t="s">
        <v>78</v>
      </c>
      <c r="E40" s="12" t="s">
        <v>79</v>
      </c>
      <c r="F40" s="17" t="s">
        <v>132</v>
      </c>
      <c r="G40" s="113">
        <f t="shared" si="0"/>
        <v>1.8993942505158685E-2</v>
      </c>
      <c r="H40" s="14">
        <f>'Shares in prod syst'!$H$46*'Data from Ahlgren et al'!D44+'Shares in prod syst'!$H$47*'Data from Ahlgren et al'!D48+'Shares in prod syst'!$H$48*'Data from Ahlgren et al'!D52+'Shares in prod syst'!$H$49*'Data from Ahlgren et al'!D56</f>
        <v>1.5389163531953564E-3</v>
      </c>
      <c r="I40" s="14">
        <f>'Shares in prod syst'!$H$46*'Data from Ahlgren et al'!E44+'Shares in prod syst'!$H$47*'Data from Ahlgren et al'!E48+'Shares in prod syst'!$H$48*'Data from Ahlgren et al'!E52+'Shares in prod syst'!$H$49*'Data from Ahlgren et al'!E56</f>
        <v>0</v>
      </c>
      <c r="J40" s="14">
        <f>'Shares in prod syst'!$H$46*'Data from Ahlgren et al'!F44+'Shares in prod syst'!$H$47*'Data from Ahlgren et al'!F48+'Shares in prod syst'!$H$48*'Data from Ahlgren et al'!F52+'Shares in prod syst'!$H$49*'Data from Ahlgren et al'!F56</f>
        <v>7.7056093286538875E-3</v>
      </c>
      <c r="K40" s="14">
        <f>'Shares in prod syst'!$H$46*'Data from Ahlgren et al'!G44+'Shares in prod syst'!$H$47*'Data from Ahlgren et al'!G48+'Shares in prod syst'!$H$48*'Data from Ahlgren et al'!G52+'Shares in prod syst'!$H$49*'Data from Ahlgren et al'!G56</f>
        <v>7.7056093286538877E-4</v>
      </c>
      <c r="L40" s="14">
        <f>'Shares in prod syst'!$H$46*'Data from Ahlgren et al'!H44+'Shares in prod syst'!$H$47*'Data from Ahlgren et al'!H48+'Shares in prod syst'!$H$48*'Data from Ahlgren et al'!H52+'Shares in prod syst'!$H$49*'Data from Ahlgren et al'!H56</f>
        <v>0</v>
      </c>
      <c r="M40" s="14">
        <f>'Shares in prod syst'!$H$46*'Data from Ahlgren et al'!I44+'Shares in prod syst'!$H$47*'Data from Ahlgren et al'!I48+'Shares in prod syst'!$H$48*'Data from Ahlgren et al'!I52+'Shares in prod syst'!$H$49*'Data from Ahlgren et al'!I56</f>
        <v>0</v>
      </c>
      <c r="N40" s="14">
        <f>'Shares in prod syst'!$H$46*'Data from Ahlgren et al'!J44+'Shares in prod syst'!$H$47*'Data from Ahlgren et al'!J48+'Shares in prod syst'!$H$48*'Data from Ahlgren et al'!J52+'Shares in prod syst'!$H$49*'Data from Ahlgren et al'!J56</f>
        <v>0</v>
      </c>
      <c r="O40" s="14">
        <f>'Shares in prod syst'!$H$46*'Data from Ahlgren et al'!K44+'Shares in prod syst'!$H$47*'Data from Ahlgren et al'!K48+'Shares in prod syst'!$H$48*'Data from Ahlgren et al'!K52+'Shares in prod syst'!$H$49*'Data from Ahlgren et al'!K56</f>
        <v>0</v>
      </c>
      <c r="P40" s="14">
        <f>'Shares in prod syst'!$H$46*'Data from Ahlgren et al'!L44+'Shares in prod syst'!$H$47*'Data from Ahlgren et al'!L48+'Shares in prod syst'!$H$48*'Data from Ahlgren et al'!L52+'Shares in prod syst'!$H$49*'Data from Ahlgren et al'!L56</f>
        <v>0</v>
      </c>
      <c r="Q40" s="14">
        <f>'Shares in prod syst'!$H$46*'Data from Ahlgren et al'!M44+'Shares in prod syst'!$H$47*'Data from Ahlgren et al'!M48+'Shares in prod syst'!$H$48*'Data from Ahlgren et al'!M52+'Shares in prod syst'!$H$49*'Data from Ahlgren et al'!M56</f>
        <v>0</v>
      </c>
      <c r="R40" s="14">
        <f>'Shares in prod syst'!$H$46*'Data from Ahlgren et al'!N44+'Shares in prod syst'!$H$47*'Data from Ahlgren et al'!N48+'Shares in prod syst'!$H$48*'Data from Ahlgren et al'!N52+'Shares in prod syst'!$H$49*'Data from Ahlgren et al'!N56</f>
        <v>0</v>
      </c>
      <c r="S40" s="14">
        <f>'Shares in prod syst'!$H$46*'Data from Ahlgren et al'!O44+'Shares in prod syst'!$H$47*'Data from Ahlgren et al'!O48+'Shares in prod syst'!$H$48*'Data from Ahlgren et al'!O52+'Shares in prod syst'!$H$49*'Data from Ahlgren et al'!O56</f>
        <v>8.9788558904440527E-3</v>
      </c>
      <c r="T40" s="14">
        <f>'Shares in prod syst'!$H$46*'Data from Ahlgren et al'!P44+'Shares in prod syst'!$H$47*'Data from Ahlgren et al'!P48+'Shares in prod syst'!$H$48*'Data from Ahlgren et al'!P52+'Shares in prod syst'!$H$49*'Data from Ahlgren et al'!P56</f>
        <v>0</v>
      </c>
      <c r="U40" s="14">
        <f>'Shares in prod syst'!$H$46*'Data from Ahlgren et al'!Q44+'Shares in prod syst'!$H$47*'Data from Ahlgren et al'!Q48+'Shares in prod syst'!$H$48*'Data from Ahlgren et al'!Q52+'Shares in prod syst'!$H$49*'Data from Ahlgren et al'!Q56</f>
        <v>0</v>
      </c>
      <c r="V40" s="14">
        <f>'Shares in prod syst'!$H$46*'Data from Ahlgren et al'!R44+'Shares in prod syst'!$H$47*'Data from Ahlgren et al'!R48+'Shares in prod syst'!$H$48*'Data from Ahlgren et al'!R52+'Shares in prod syst'!$H$49*'Data from Ahlgren et al'!R56</f>
        <v>0</v>
      </c>
      <c r="W40" s="14">
        <f>'Shares in prod syst'!$H$46*'Data from Ahlgren et al'!S44+'Shares in prod syst'!$H$47*'Data from Ahlgren et al'!S48+'Shares in prod syst'!$H$48*'Data from Ahlgren et al'!S52+'Shares in prod syst'!$H$49*'Data from Ahlgren et al'!S56</f>
        <v>0</v>
      </c>
    </row>
    <row r="41" spans="1:23" ht="15" thickTop="1">
      <c r="A41" s="69" t="s">
        <v>125</v>
      </c>
      <c r="B41" s="69" t="s">
        <v>126</v>
      </c>
      <c r="C41" s="70" t="s">
        <v>127</v>
      </c>
      <c r="D41" s="71" t="s">
        <v>78</v>
      </c>
      <c r="E41" s="71" t="s">
        <v>79</v>
      </c>
      <c r="F41" s="72" t="s">
        <v>133</v>
      </c>
      <c r="G41" s="114">
        <f t="shared" si="0"/>
        <v>19.629669812701316</v>
      </c>
      <c r="H41" s="117">
        <f>SUMPRODUCT(H37:H40,'CF Climate'!$B$5:$B$8)</f>
        <v>0.84024832884466472</v>
      </c>
      <c r="I41" s="118">
        <f>SUMPRODUCT(I37:I40,'CF Climate'!$B$5:$B$8)</f>
        <v>0</v>
      </c>
      <c r="J41" s="118">
        <f>SUMPRODUCT(J37:J40,'CF Climate'!$B$5:$B$8)</f>
        <v>2.1036313467225112</v>
      </c>
      <c r="K41" s="118">
        <f>SUMPRODUCT(K37:K40,'CF Climate'!$B$5:$B$8)</f>
        <v>0.21036313467225112</v>
      </c>
      <c r="L41" s="118">
        <f>SUMPRODUCT(L37:L40,'CF Climate'!$B$5:$B$8)</f>
        <v>0.50414899730679885</v>
      </c>
      <c r="M41" s="118">
        <f>SUMPRODUCT(M37:M40,'CF Climate'!$B$5:$B$8)</f>
        <v>0</v>
      </c>
      <c r="N41" s="118">
        <f>SUMPRODUCT(N37:N40,'CF Climate'!$B$5:$B$8)</f>
        <v>0</v>
      </c>
      <c r="O41" s="118">
        <f>SUMPRODUCT(O37:O40,'CF Climate'!$B$5:$B$8)</f>
        <v>0</v>
      </c>
      <c r="P41" s="118">
        <f>SUMPRODUCT(P37:P40,'CF Climate'!$B$5:$B$8)</f>
        <v>0</v>
      </c>
      <c r="Q41" s="118">
        <f>SUMPRODUCT(Q37:Q40,'CF Climate'!$B$5:$B$8)</f>
        <v>0.98986249635431922</v>
      </c>
      <c r="R41" s="118">
        <f>SUMPRODUCT(R37:R40,'CF Climate'!$B$5:$B$8)</f>
        <v>9.2628608610804513</v>
      </c>
      <c r="S41" s="118">
        <f>SUMPRODUCT(S37:S40,'CF Climate'!$B$5:$B$8)</f>
        <v>4.9024553161824524</v>
      </c>
      <c r="T41" s="118">
        <f>SUMPRODUCT(T37:T40,'CF Climate'!$B$5:$B$8)</f>
        <v>0</v>
      </c>
      <c r="U41" s="118">
        <f>SUMPRODUCT(U37:U40,'CF Climate'!$B$5:$B$8)</f>
        <v>0</v>
      </c>
      <c r="V41" s="118">
        <f>SUMPRODUCT(V37:V40,'CF Climate'!$B$5:$B$8)</f>
        <v>0.33609933153786592</v>
      </c>
      <c r="W41" s="118">
        <f>SUMPRODUCT(W37:W40,'CF Climate'!$B$5:$B$8)</f>
        <v>0.48000000000000004</v>
      </c>
    </row>
    <row r="42" spans="1:23">
      <c r="A42" s="73" t="s">
        <v>125</v>
      </c>
      <c r="B42" s="73" t="s">
        <v>126</v>
      </c>
      <c r="C42" s="74" t="s">
        <v>127</v>
      </c>
      <c r="D42" t="s">
        <v>136</v>
      </c>
      <c r="E42" s="12" t="s">
        <v>81</v>
      </c>
      <c r="F42" s="75" t="s">
        <v>129</v>
      </c>
      <c r="G42" s="113">
        <f t="shared" si="0"/>
        <v>2.2456554809053051</v>
      </c>
      <c r="H42" s="112">
        <f>'Shares in prod syst'!$I$46*'Data from Ahlgren et al'!D42+'Shares in prod syst'!$I$47*'Data from Ahlgren et al'!D46+'Shares in prod syst'!$I$48*'Data from Ahlgren et al'!D50+'Shares in prod syst'!$I$49*'Data from Ahlgren et al'!D54</f>
        <v>0.43451796802496273</v>
      </c>
      <c r="I42" s="112">
        <f>'Shares in prod syst'!$I$46*'Data from Ahlgren et al'!E42+'Shares in prod syst'!$I$47*'Data from Ahlgren et al'!E46+'Shares in prod syst'!$I$48*'Data from Ahlgren et al'!E50+'Shares in prod syst'!$I$49*'Data from Ahlgren et al'!E54</f>
        <v>0</v>
      </c>
      <c r="J42" s="112">
        <f>'Shares in prod syst'!$I$46*'Data from Ahlgren et al'!F42+'Shares in prod syst'!$I$47*'Data from Ahlgren et al'!F46+'Shares in prod syst'!$I$48*'Data from Ahlgren et al'!F50+'Shares in prod syst'!$I$49*'Data from Ahlgren et al'!F54</f>
        <v>0</v>
      </c>
      <c r="K42" s="112">
        <f>'Shares in prod syst'!$I$46*'Data from Ahlgren et al'!G42+'Shares in prod syst'!$I$47*'Data from Ahlgren et al'!G46+'Shares in prod syst'!$I$48*'Data from Ahlgren et al'!G50+'Shares in prod syst'!$I$49*'Data from Ahlgren et al'!G54</f>
        <v>0</v>
      </c>
      <c r="L42" s="112">
        <f>'Shares in prod syst'!$I$46*'Data from Ahlgren et al'!H42+'Shares in prod syst'!$I$47*'Data from Ahlgren et al'!H46+'Shares in prod syst'!$I$48*'Data from Ahlgren et al'!H50+'Shares in prod syst'!$I$49*'Data from Ahlgren et al'!H54</f>
        <v>0.52142156162995534</v>
      </c>
      <c r="M42" s="112">
        <f>'Shares in prod syst'!$I$46*'Data from Ahlgren et al'!I42+'Shares in prod syst'!$I$47*'Data from Ahlgren et al'!I46+'Shares in prod syst'!$I$48*'Data from Ahlgren et al'!I50+'Shares in prod syst'!$I$49*'Data from Ahlgren et al'!I54</f>
        <v>0</v>
      </c>
      <c r="N42" s="112">
        <f>'Shares in prod syst'!$I$46*'Data from Ahlgren et al'!J42+'Shares in prod syst'!$I$47*'Data from Ahlgren et al'!J46+'Shares in prod syst'!$I$48*'Data from Ahlgren et al'!J50+'Shares in prod syst'!$I$49*'Data from Ahlgren et al'!J54</f>
        <v>0</v>
      </c>
      <c r="O42" s="112">
        <f>'Shares in prod syst'!$I$46*'Data from Ahlgren et al'!K42+'Shares in prod syst'!$I$47*'Data from Ahlgren et al'!K46+'Shares in prod syst'!$I$48*'Data from Ahlgren et al'!K50+'Shares in prod syst'!$I$49*'Data from Ahlgren et al'!K54</f>
        <v>0</v>
      </c>
      <c r="P42" s="112">
        <f>'Shares in prod syst'!$I$46*'Data from Ahlgren et al'!L42+'Shares in prod syst'!$I$47*'Data from Ahlgren et al'!L46+'Shares in prod syst'!$I$48*'Data from Ahlgren et al'!L50+'Shares in prod syst'!$I$49*'Data from Ahlgren et al'!L54</f>
        <v>0</v>
      </c>
      <c r="Q42" s="112">
        <f>'Shares in prod syst'!$I$46*'Data from Ahlgren et al'!M42+'Shares in prod syst'!$I$47*'Data from Ahlgren et al'!M46+'Shares in prod syst'!$I$48*'Data from Ahlgren et al'!M50+'Shares in prod syst'!$I$49*'Data from Ahlgren et al'!M54</f>
        <v>0.4621015768304168</v>
      </c>
      <c r="R42" s="112">
        <f>'Shares in prod syst'!$I$46*'Data from Ahlgren et al'!N42+'Shares in prod syst'!$I$47*'Data from Ahlgren et al'!N46+'Shares in prod syst'!$I$48*'Data from Ahlgren et al'!N50+'Shares in prod syst'!$I$49*'Data from Ahlgren et al'!N54</f>
        <v>0</v>
      </c>
      <c r="S42" s="112">
        <f>'Shares in prod syst'!$I$46*'Data from Ahlgren et al'!O42+'Shares in prod syst'!$I$47*'Data from Ahlgren et al'!O46+'Shares in prod syst'!$I$48*'Data from Ahlgren et al'!O50+'Shares in prod syst'!$I$49*'Data from Ahlgren et al'!O54</f>
        <v>0</v>
      </c>
      <c r="T42" s="112">
        <f>'Shares in prod syst'!$I$46*'Data from Ahlgren et al'!P42+'Shares in prod syst'!$I$47*'Data from Ahlgren et al'!P46+'Shares in prod syst'!$I$48*'Data from Ahlgren et al'!P50+'Shares in prod syst'!$I$49*'Data from Ahlgren et al'!P54</f>
        <v>0</v>
      </c>
      <c r="U42" s="112">
        <f>'Shares in prod syst'!$I$46*'Data from Ahlgren et al'!Q42+'Shares in prod syst'!$I$47*'Data from Ahlgren et al'!Q46+'Shares in prod syst'!$I$48*'Data from Ahlgren et al'!Q50+'Shares in prod syst'!$I$49*'Data from Ahlgren et al'!Q54</f>
        <v>0</v>
      </c>
      <c r="V42" s="112">
        <f>'Shares in prod syst'!$I$46*'Data from Ahlgren et al'!R42+'Shares in prod syst'!$I$47*'Data from Ahlgren et al'!R46+'Shares in prod syst'!$I$48*'Data from Ahlgren et al'!R50+'Shares in prod syst'!$I$49*'Data from Ahlgren et al'!R54</f>
        <v>0.34761437441997023</v>
      </c>
      <c r="W42" s="112">
        <f>'Shares in prod syst'!$I$46*'Data from Ahlgren et al'!S42+'Shares in prod syst'!$I$47*'Data from Ahlgren et al'!S46+'Shares in prod syst'!$I$48*'Data from Ahlgren et al'!S50+'Shares in prod syst'!$I$49*'Data from Ahlgren et al'!S54</f>
        <v>0.48</v>
      </c>
    </row>
    <row r="43" spans="1:23">
      <c r="A43" s="10" t="s">
        <v>125</v>
      </c>
      <c r="B43" s="10" t="s">
        <v>126</v>
      </c>
      <c r="C43" s="11" t="s">
        <v>127</v>
      </c>
      <c r="D43" t="s">
        <v>136</v>
      </c>
      <c r="E43" s="12" t="s">
        <v>81</v>
      </c>
      <c r="F43" s="10" t="s">
        <v>130</v>
      </c>
      <c r="G43" s="113">
        <f t="shared" ref="G43" si="5">SUM(H43:W43)</f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</row>
    <row r="44" spans="1:23">
      <c r="A44" s="10" t="s">
        <v>125</v>
      </c>
      <c r="B44" s="10" t="s">
        <v>126</v>
      </c>
      <c r="C44" s="11" t="s">
        <v>127</v>
      </c>
      <c r="D44" t="s">
        <v>136</v>
      </c>
      <c r="E44" s="12" t="s">
        <v>81</v>
      </c>
      <c r="F44" s="10" t="s">
        <v>131</v>
      </c>
      <c r="G44" s="113">
        <f t="shared" si="0"/>
        <v>0.29716053973506867</v>
      </c>
      <c r="H44" s="14">
        <f>'Shares in prod syst'!$I$46*'Data from Ahlgren et al'!D43+'Shares in prod syst'!$I$47*'Data from Ahlgren et al'!D47+'Shares in prod syst'!$I$48*'Data from Ahlgren et al'!D51+'Shares in prod syst'!$I$49*'Data from Ahlgren et al'!D55</f>
        <v>0</v>
      </c>
      <c r="I44" s="14">
        <f>'Shares in prod syst'!$I$46*'Data from Ahlgren et al'!E43+'Shares in prod syst'!$I$47*'Data from Ahlgren et al'!E47+'Shares in prod syst'!$I$48*'Data from Ahlgren et al'!E51+'Shares in prod syst'!$I$49*'Data from Ahlgren et al'!E55</f>
        <v>0</v>
      </c>
      <c r="J44" s="14">
        <f>'Shares in prod syst'!$I$46*'Data from Ahlgren et al'!F43+'Shares in prod syst'!$I$47*'Data from Ahlgren et al'!F47+'Shares in prod syst'!$I$48*'Data from Ahlgren et al'!F51+'Shares in prod syst'!$I$49*'Data from Ahlgren et al'!F55</f>
        <v>0</v>
      </c>
      <c r="K44" s="14">
        <f>'Shares in prod syst'!$I$46*'Data from Ahlgren et al'!G43+'Shares in prod syst'!$I$47*'Data from Ahlgren et al'!G47+'Shares in prod syst'!$I$48*'Data from Ahlgren et al'!G51+'Shares in prod syst'!$I$49*'Data from Ahlgren et al'!G55</f>
        <v>0</v>
      </c>
      <c r="L44" s="14">
        <f>'Shares in prod syst'!$I$46*'Data from Ahlgren et al'!H43+'Shares in prod syst'!$I$47*'Data from Ahlgren et al'!H47+'Shares in prod syst'!$I$48*'Data from Ahlgren et al'!H51+'Shares in prod syst'!$I$49*'Data from Ahlgren et al'!H55</f>
        <v>0</v>
      </c>
      <c r="M44" s="14">
        <f>'Shares in prod syst'!$I$46*'Data from Ahlgren et al'!I43+'Shares in prod syst'!$I$47*'Data from Ahlgren et al'!I47+'Shares in prod syst'!$I$48*'Data from Ahlgren et al'!I51+'Shares in prod syst'!$I$49*'Data from Ahlgren et al'!I55</f>
        <v>0</v>
      </c>
      <c r="N44" s="14">
        <f>'Shares in prod syst'!$I$46*'Data from Ahlgren et al'!J43+'Shares in prod syst'!$I$47*'Data from Ahlgren et al'!J47+'Shares in prod syst'!$I$48*'Data from Ahlgren et al'!J51+'Shares in prod syst'!$I$49*'Data from Ahlgren et al'!J55</f>
        <v>0</v>
      </c>
      <c r="O44" s="14">
        <f>'Shares in prod syst'!$I$46*'Data from Ahlgren et al'!K43+'Shares in prod syst'!$I$47*'Data from Ahlgren et al'!K47+'Shares in prod syst'!$I$48*'Data from Ahlgren et al'!K51+'Shares in prod syst'!$I$49*'Data from Ahlgren et al'!K55</f>
        <v>0</v>
      </c>
      <c r="P44" s="14">
        <f>'Shares in prod syst'!$I$46*'Data from Ahlgren et al'!L43+'Shares in prod syst'!$I$47*'Data from Ahlgren et al'!L47+'Shares in prod syst'!$I$48*'Data from Ahlgren et al'!L51+'Shares in prod syst'!$I$49*'Data from Ahlgren et al'!L55</f>
        <v>0</v>
      </c>
      <c r="Q44" s="14">
        <f>'Shares in prod syst'!$I$46*'Data from Ahlgren et al'!M43+'Shares in prod syst'!$I$47*'Data from Ahlgren et al'!M47+'Shares in prod syst'!$I$48*'Data from Ahlgren et al'!M51+'Shares in prod syst'!$I$49*'Data from Ahlgren et al'!M55</f>
        <v>0</v>
      </c>
      <c r="R44" s="14">
        <f>'Shares in prod syst'!$I$46*'Data from Ahlgren et al'!N43+'Shares in prod syst'!$I$47*'Data from Ahlgren et al'!N47+'Shares in prod syst'!$I$48*'Data from Ahlgren et al'!N51+'Shares in prod syst'!$I$49*'Data from Ahlgren et al'!N55</f>
        <v>0.23971505648221575</v>
      </c>
      <c r="S44" s="14">
        <f>'Shares in prod syst'!$I$46*'Data from Ahlgren et al'!O43+'Shares in prod syst'!$I$47*'Data from Ahlgren et al'!O47+'Shares in prod syst'!$I$48*'Data from Ahlgren et al'!O51+'Shares in prod syst'!$I$49*'Data from Ahlgren et al'!O55</f>
        <v>5.7445483252852939E-2</v>
      </c>
      <c r="T44" s="14">
        <f>'Shares in prod syst'!$I$46*'Data from Ahlgren et al'!P43+'Shares in prod syst'!$I$47*'Data from Ahlgren et al'!P47+'Shares in prod syst'!$I$48*'Data from Ahlgren et al'!P51+'Shares in prod syst'!$I$49*'Data from Ahlgren et al'!P55</f>
        <v>0</v>
      </c>
      <c r="U44" s="14">
        <f>'Shares in prod syst'!$I$46*'Data from Ahlgren et al'!Q43+'Shares in prod syst'!$I$47*'Data from Ahlgren et al'!Q47+'Shares in prod syst'!$I$48*'Data from Ahlgren et al'!Q51+'Shares in prod syst'!$I$49*'Data from Ahlgren et al'!Q55</f>
        <v>0</v>
      </c>
      <c r="V44" s="14">
        <f>'Shares in prod syst'!$I$46*'Data from Ahlgren et al'!R43+'Shares in prod syst'!$I$47*'Data from Ahlgren et al'!R47+'Shares in prod syst'!$I$48*'Data from Ahlgren et al'!R51+'Shares in prod syst'!$I$49*'Data from Ahlgren et al'!R55</f>
        <v>0</v>
      </c>
      <c r="W44" s="14">
        <f>'Shares in prod syst'!$I$46*'Data from Ahlgren et al'!S43+'Shares in prod syst'!$I$47*'Data from Ahlgren et al'!S47+'Shares in prod syst'!$I$48*'Data from Ahlgren et al'!S51+'Shares in prod syst'!$I$49*'Data from Ahlgren et al'!S55</f>
        <v>0</v>
      </c>
    </row>
    <row r="45" spans="1:23" ht="15" thickBot="1">
      <c r="A45" s="10" t="s">
        <v>125</v>
      </c>
      <c r="B45" s="10" t="s">
        <v>126</v>
      </c>
      <c r="C45" s="11" t="s">
        <v>127</v>
      </c>
      <c r="D45" t="s">
        <v>136</v>
      </c>
      <c r="E45" s="12" t="s">
        <v>81</v>
      </c>
      <c r="F45" s="17" t="s">
        <v>132</v>
      </c>
      <c r="G45" s="113">
        <f t="shared" si="0"/>
        <v>1.417304877551227E-2</v>
      </c>
      <c r="H45" s="14">
        <f>'Shares in prod syst'!$I$46*'Data from Ahlgren et al'!D44+'Shares in prod syst'!$I$47*'Data from Ahlgren et al'!D48+'Shares in prod syst'!$I$48*'Data from Ahlgren et al'!D52+'Shares in prod syst'!$I$49*'Data from Ahlgren et al'!D56</f>
        <v>1.5916409085163471E-3</v>
      </c>
      <c r="I45" s="14">
        <f>'Shares in prod syst'!$I$46*'Data from Ahlgren et al'!E44+'Shares in prod syst'!$I$47*'Data from Ahlgren et al'!E48+'Shares in prod syst'!$I$48*'Data from Ahlgren et al'!E52+'Shares in prod syst'!$I$49*'Data from Ahlgren et al'!E56</f>
        <v>0</v>
      </c>
      <c r="J45" s="14">
        <f>'Shares in prod syst'!$I$46*'Data from Ahlgren et al'!F44+'Shares in prod syst'!$I$47*'Data from Ahlgren et al'!F48+'Shares in prod syst'!$I$48*'Data from Ahlgren et al'!F52+'Shares in prod syst'!$I$49*'Data from Ahlgren et al'!F56</f>
        <v>6.2727149512582688E-3</v>
      </c>
      <c r="K45" s="14">
        <f>'Shares in prod syst'!$I$46*'Data from Ahlgren et al'!G44+'Shares in prod syst'!$I$47*'Data from Ahlgren et al'!G48+'Shares in prod syst'!$I$48*'Data from Ahlgren et al'!G52+'Shares in prod syst'!$I$49*'Data from Ahlgren et al'!G56</f>
        <v>6.2727149512582683E-4</v>
      </c>
      <c r="L45" s="14">
        <f>'Shares in prod syst'!$I$46*'Data from Ahlgren et al'!H44+'Shares in prod syst'!$I$47*'Data from Ahlgren et al'!H48+'Shares in prod syst'!$I$48*'Data from Ahlgren et al'!H52+'Shares in prod syst'!$I$49*'Data from Ahlgren et al'!H56</f>
        <v>0</v>
      </c>
      <c r="M45" s="14">
        <f>'Shares in prod syst'!$I$46*'Data from Ahlgren et al'!I44+'Shares in prod syst'!$I$47*'Data from Ahlgren et al'!I48+'Shares in prod syst'!$I$48*'Data from Ahlgren et al'!I52+'Shares in prod syst'!$I$49*'Data from Ahlgren et al'!I56</f>
        <v>0</v>
      </c>
      <c r="N45" s="14">
        <f>'Shares in prod syst'!$I$46*'Data from Ahlgren et al'!J44+'Shares in prod syst'!$I$47*'Data from Ahlgren et al'!J48+'Shares in prod syst'!$I$48*'Data from Ahlgren et al'!J52+'Shares in prod syst'!$I$49*'Data from Ahlgren et al'!J56</f>
        <v>0</v>
      </c>
      <c r="O45" s="14">
        <f>'Shares in prod syst'!$I$46*'Data from Ahlgren et al'!K44+'Shares in prod syst'!$I$47*'Data from Ahlgren et al'!K48+'Shares in prod syst'!$I$48*'Data from Ahlgren et al'!K52+'Shares in prod syst'!$I$49*'Data from Ahlgren et al'!K56</f>
        <v>0</v>
      </c>
      <c r="P45" s="14">
        <f>'Shares in prod syst'!$I$46*'Data from Ahlgren et al'!L44+'Shares in prod syst'!$I$47*'Data from Ahlgren et al'!L48+'Shares in prod syst'!$I$48*'Data from Ahlgren et al'!L52+'Shares in prod syst'!$I$49*'Data from Ahlgren et al'!L56</f>
        <v>0</v>
      </c>
      <c r="Q45" s="14">
        <f>'Shares in prod syst'!$I$46*'Data from Ahlgren et al'!M44+'Shares in prod syst'!$I$47*'Data from Ahlgren et al'!M48+'Shares in prod syst'!$I$48*'Data from Ahlgren et al'!M52+'Shares in prod syst'!$I$49*'Data from Ahlgren et al'!M56</f>
        <v>0</v>
      </c>
      <c r="R45" s="14">
        <f>'Shares in prod syst'!$I$46*'Data from Ahlgren et al'!N44+'Shares in prod syst'!$I$47*'Data from Ahlgren et al'!N48+'Shares in prod syst'!$I$48*'Data from Ahlgren et al'!N52+'Shares in prod syst'!$I$49*'Data from Ahlgren et al'!N56</f>
        <v>0</v>
      </c>
      <c r="S45" s="14">
        <f>'Shares in prod syst'!$I$46*'Data from Ahlgren et al'!O44+'Shares in prod syst'!$I$47*'Data from Ahlgren et al'!O48+'Shares in prod syst'!$I$48*'Data from Ahlgren et al'!O52+'Shares in prod syst'!$I$49*'Data from Ahlgren et al'!O56</f>
        <v>5.6814214206118282E-3</v>
      </c>
      <c r="T45" s="14">
        <f>'Shares in prod syst'!$I$46*'Data from Ahlgren et al'!P44+'Shares in prod syst'!$I$47*'Data from Ahlgren et al'!P48+'Shares in prod syst'!$I$48*'Data from Ahlgren et al'!P52+'Shares in prod syst'!$I$49*'Data from Ahlgren et al'!P56</f>
        <v>0</v>
      </c>
      <c r="U45" s="14">
        <f>'Shares in prod syst'!$I$46*'Data from Ahlgren et al'!Q44+'Shares in prod syst'!$I$47*'Data from Ahlgren et al'!Q48+'Shares in prod syst'!$I$48*'Data from Ahlgren et al'!Q52+'Shares in prod syst'!$I$49*'Data from Ahlgren et al'!Q56</f>
        <v>0</v>
      </c>
      <c r="V45" s="14">
        <f>'Shares in prod syst'!$I$46*'Data from Ahlgren et al'!R44+'Shares in prod syst'!$I$47*'Data from Ahlgren et al'!R48+'Shares in prod syst'!$I$48*'Data from Ahlgren et al'!R52+'Shares in prod syst'!$I$49*'Data from Ahlgren et al'!R56</f>
        <v>0</v>
      </c>
      <c r="W45" s="14">
        <f>'Shares in prod syst'!$I$46*'Data from Ahlgren et al'!S44+'Shares in prod syst'!$I$47*'Data from Ahlgren et al'!S48+'Shares in prod syst'!$I$48*'Data from Ahlgren et al'!S52+'Shares in prod syst'!$I$49*'Data from Ahlgren et al'!S56</f>
        <v>0</v>
      </c>
    </row>
    <row r="46" spans="1:23" ht="15" thickTop="1">
      <c r="A46" s="69" t="s">
        <v>125</v>
      </c>
      <c r="B46" s="69" t="s">
        <v>126</v>
      </c>
      <c r="C46" s="70" t="s">
        <v>127</v>
      </c>
      <c r="D46" s="78" t="s">
        <v>136</v>
      </c>
      <c r="E46" s="71" t="s">
        <v>81</v>
      </c>
      <c r="F46" s="72" t="s">
        <v>133</v>
      </c>
      <c r="G46" s="114">
        <f t="shared" si="0"/>
        <v>14.13823236946701</v>
      </c>
      <c r="H46" s="115">
        <f>SUMPRODUCT(H42:H45,'CF Climate'!$B$5:$B$8)</f>
        <v>0.86903593604992546</v>
      </c>
      <c r="I46" s="116">
        <f>SUMPRODUCT(I42:I45,'CF Climate'!$B$5:$B$8)</f>
        <v>0</v>
      </c>
      <c r="J46" s="116">
        <f>SUMPRODUCT(J42:J45,'CF Climate'!$B$5:$B$8)</f>
        <v>1.7124511816935073</v>
      </c>
      <c r="K46" s="116">
        <f>SUMPRODUCT(K42:K45,'CF Climate'!$B$5:$B$8)</f>
        <v>0.17124511816935073</v>
      </c>
      <c r="L46" s="116">
        <f>SUMPRODUCT(L42:L45,'CF Climate'!$B$5:$B$8)</f>
        <v>0.52142156162995534</v>
      </c>
      <c r="M46" s="116">
        <f>SUMPRODUCT(M42:M45,'CF Climate'!$B$5:$B$8)</f>
        <v>0</v>
      </c>
      <c r="N46" s="116">
        <f>SUMPRODUCT(N42:N45,'CF Climate'!$B$5:$B$8)</f>
        <v>0</v>
      </c>
      <c r="O46" s="116">
        <f>SUMPRODUCT(O42:O45,'CF Climate'!$B$5:$B$8)</f>
        <v>0</v>
      </c>
      <c r="P46" s="116">
        <f>SUMPRODUCT(P42:P45,'CF Climate'!$B$5:$B$8)</f>
        <v>0</v>
      </c>
      <c r="Q46" s="116">
        <f>SUMPRODUCT(Q42:Q45,'CF Climate'!$B$5:$B$8)</f>
        <v>0.4621015768304168</v>
      </c>
      <c r="R46" s="116">
        <f>SUMPRODUCT(R42:R45,'CF Climate'!$B$5:$B$8)</f>
        <v>6.4723065250198255</v>
      </c>
      <c r="S46" s="116">
        <f>SUMPRODUCT(S42:S45,'CF Climate'!$B$5:$B$8)</f>
        <v>3.1020560956540582</v>
      </c>
      <c r="T46" s="116">
        <f>SUMPRODUCT(T42:T45,'CF Climate'!$B$5:$B$8)</f>
        <v>0</v>
      </c>
      <c r="U46" s="116">
        <f>SUMPRODUCT(U42:U45,'CF Climate'!$B$5:$B$8)</f>
        <v>0</v>
      </c>
      <c r="V46" s="116">
        <f>SUMPRODUCT(V42:V45,'CF Climate'!$B$5:$B$8)</f>
        <v>0.34761437441997023</v>
      </c>
      <c r="W46" s="116">
        <f>SUMPRODUCT(W42:W45,'CF Climate'!$B$5:$B$8)</f>
        <v>0.48</v>
      </c>
    </row>
    <row r="47" spans="1:23">
      <c r="A47" s="73" t="s">
        <v>125</v>
      </c>
      <c r="B47" s="73" t="s">
        <v>126</v>
      </c>
      <c r="C47" s="74" t="s">
        <v>127</v>
      </c>
      <c r="D47" t="s">
        <v>82</v>
      </c>
      <c r="E47" s="12" t="s">
        <v>83</v>
      </c>
      <c r="F47" s="75" t="s">
        <v>129</v>
      </c>
      <c r="G47" s="113">
        <f t="shared" si="0"/>
        <v>2.5870781021313789</v>
      </c>
      <c r="H47" s="112">
        <f>'Shares in prod syst'!$J$46*'Data from Ahlgren et al'!D42+'Shares in prod syst'!$J$47*'Data from Ahlgren et al'!D46+'Shares in prod syst'!$J$48*'Data from Ahlgren et al'!D50+'Shares in prod syst'!$J$49*'Data from Ahlgren et al'!D54</f>
        <v>0.38875492247512761</v>
      </c>
      <c r="I47" s="112">
        <f>'Shares in prod syst'!$J$46*'Data from Ahlgren et al'!E42+'Shares in prod syst'!$J$47*'Data from Ahlgren et al'!E46+'Shares in prod syst'!$J$48*'Data from Ahlgren et al'!E50+'Shares in prod syst'!$J$49*'Data from Ahlgren et al'!E54</f>
        <v>0</v>
      </c>
      <c r="J47" s="112">
        <f>'Shares in prod syst'!$J$46*'Data from Ahlgren et al'!F42+'Shares in prod syst'!$J$47*'Data from Ahlgren et al'!F46+'Shares in prod syst'!$J$48*'Data from Ahlgren et al'!F50+'Shares in prod syst'!$J$49*'Data from Ahlgren et al'!F54</f>
        <v>0</v>
      </c>
      <c r="K47" s="112">
        <f>'Shares in prod syst'!$J$46*'Data from Ahlgren et al'!G42+'Shares in prod syst'!$J$47*'Data from Ahlgren et al'!G46+'Shares in prod syst'!$J$48*'Data from Ahlgren et al'!G50+'Shares in prod syst'!$J$49*'Data from Ahlgren et al'!G54</f>
        <v>0</v>
      </c>
      <c r="L47" s="112">
        <f>'Shares in prod syst'!$J$46*'Data from Ahlgren et al'!H42+'Shares in prod syst'!$J$47*'Data from Ahlgren et al'!H46+'Shares in prod syst'!$J$48*'Data from Ahlgren et al'!H50+'Shares in prod syst'!$J$49*'Data from Ahlgren et al'!H54</f>
        <v>0.46650590697015309</v>
      </c>
      <c r="M47" s="112">
        <f>'Shares in prod syst'!$J$46*'Data from Ahlgren et al'!I42+'Shares in prod syst'!$J$47*'Data from Ahlgren et al'!I46+'Shares in prod syst'!$J$48*'Data from Ahlgren et al'!I50+'Shares in prod syst'!$J$49*'Data from Ahlgren et al'!I54</f>
        <v>0</v>
      </c>
      <c r="N47" s="112">
        <f>'Shares in prod syst'!$J$46*'Data from Ahlgren et al'!J42+'Shares in prod syst'!$J$47*'Data from Ahlgren et al'!J46+'Shares in prod syst'!$J$48*'Data from Ahlgren et al'!J50+'Shares in prod syst'!$J$49*'Data from Ahlgren et al'!J54</f>
        <v>0</v>
      </c>
      <c r="O47" s="112">
        <f>'Shares in prod syst'!$J$46*'Data from Ahlgren et al'!K42+'Shares in prod syst'!$J$47*'Data from Ahlgren et al'!K46+'Shares in prod syst'!$J$48*'Data from Ahlgren et al'!K50+'Shares in prod syst'!$J$49*'Data from Ahlgren et al'!K54</f>
        <v>0</v>
      </c>
      <c r="P47" s="112">
        <f>'Shares in prod syst'!$J$46*'Data from Ahlgren et al'!L42+'Shares in prod syst'!$J$47*'Data from Ahlgren et al'!L46+'Shares in prod syst'!$J$48*'Data from Ahlgren et al'!L50+'Shares in prod syst'!$J$49*'Data from Ahlgren et al'!L54</f>
        <v>0</v>
      </c>
      <c r="Q47" s="112">
        <f>'Shares in prod syst'!$J$46*'Data from Ahlgren et al'!M42+'Shares in prod syst'!$J$47*'Data from Ahlgren et al'!M46+'Shares in prod syst'!$J$48*'Data from Ahlgren et al'!M50+'Shares in prod syst'!$J$49*'Data from Ahlgren et al'!M54</f>
        <v>0.94081333470599615</v>
      </c>
      <c r="R47" s="112">
        <f>'Shares in prod syst'!$J$46*'Data from Ahlgren et al'!N42+'Shares in prod syst'!$J$47*'Data from Ahlgren et al'!N46+'Shares in prod syst'!$J$48*'Data from Ahlgren et al'!N50+'Shares in prod syst'!$J$49*'Data from Ahlgren et al'!N54</f>
        <v>0</v>
      </c>
      <c r="S47" s="112">
        <f>'Shares in prod syst'!$J$46*'Data from Ahlgren et al'!O42+'Shares in prod syst'!$J$47*'Data from Ahlgren et al'!O46+'Shares in prod syst'!$J$48*'Data from Ahlgren et al'!O50+'Shares in prod syst'!$J$49*'Data from Ahlgren et al'!O54</f>
        <v>0</v>
      </c>
      <c r="T47" s="112">
        <f>'Shares in prod syst'!$J$46*'Data from Ahlgren et al'!P42+'Shares in prod syst'!$J$47*'Data from Ahlgren et al'!P46+'Shares in prod syst'!$J$48*'Data from Ahlgren et al'!P50+'Shares in prod syst'!$J$49*'Data from Ahlgren et al'!P54</f>
        <v>0</v>
      </c>
      <c r="U47" s="112">
        <f>'Shares in prod syst'!$J$46*'Data from Ahlgren et al'!Q42+'Shares in prod syst'!$J$47*'Data from Ahlgren et al'!Q46+'Shares in prod syst'!$J$48*'Data from Ahlgren et al'!Q50+'Shares in prod syst'!$J$49*'Data from Ahlgren et al'!Q54</f>
        <v>0</v>
      </c>
      <c r="V47" s="112">
        <f>'Shares in prod syst'!$J$46*'Data from Ahlgren et al'!R42+'Shares in prod syst'!$J$47*'Data from Ahlgren et al'!R46+'Shares in prod syst'!$J$48*'Data from Ahlgren et al'!R50+'Shares in prod syst'!$J$49*'Data from Ahlgren et al'!R54</f>
        <v>0.31100393798010212</v>
      </c>
      <c r="W47" s="112">
        <f>'Shares in prod syst'!$J$46*'Data from Ahlgren et al'!S42+'Shares in prod syst'!$J$47*'Data from Ahlgren et al'!S46+'Shares in prod syst'!$J$48*'Data from Ahlgren et al'!S50+'Shares in prod syst'!$J$49*'Data from Ahlgren et al'!S54</f>
        <v>0.47999999999999993</v>
      </c>
    </row>
    <row r="48" spans="1:23">
      <c r="A48" s="10" t="s">
        <v>125</v>
      </c>
      <c r="B48" s="10" t="s">
        <v>126</v>
      </c>
      <c r="C48" s="11" t="s">
        <v>127</v>
      </c>
      <c r="D48" t="s">
        <v>82</v>
      </c>
      <c r="E48" s="12" t="s">
        <v>83</v>
      </c>
      <c r="F48" s="10" t="s">
        <v>130</v>
      </c>
      <c r="G48" s="113">
        <f t="shared" ref="G48" si="6">SUM(H48:W48)</f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</row>
    <row r="49" spans="1:24">
      <c r="A49" s="10" t="s">
        <v>125</v>
      </c>
      <c r="B49" s="10" t="s">
        <v>126</v>
      </c>
      <c r="C49" s="11" t="s">
        <v>127</v>
      </c>
      <c r="D49" t="s">
        <v>82</v>
      </c>
      <c r="E49" s="12" t="s">
        <v>83</v>
      </c>
      <c r="F49" s="10" t="s">
        <v>131</v>
      </c>
      <c r="G49" s="113">
        <f t="shared" si="0"/>
        <v>0.41048912913894908</v>
      </c>
      <c r="H49" s="14">
        <f>'Shares in prod syst'!$J$46*'Data from Ahlgren et al'!D43+'Shares in prod syst'!$J$47*'Data from Ahlgren et al'!D47+'Shares in prod syst'!$J$48*'Data from Ahlgren et al'!D51+'Shares in prod syst'!$J$49*'Data from Ahlgren et al'!D55</f>
        <v>0</v>
      </c>
      <c r="I49" s="14">
        <f>'Shares in prod syst'!$J$46*'Data from Ahlgren et al'!E43+'Shares in prod syst'!$J$47*'Data from Ahlgren et al'!E47+'Shares in prod syst'!$J$48*'Data from Ahlgren et al'!E51+'Shares in prod syst'!$J$49*'Data from Ahlgren et al'!E55</f>
        <v>0</v>
      </c>
      <c r="J49" s="14">
        <f>'Shares in prod syst'!$J$46*'Data from Ahlgren et al'!F43+'Shares in prod syst'!$J$47*'Data from Ahlgren et al'!F47+'Shares in prod syst'!$J$48*'Data from Ahlgren et al'!F51+'Shares in prod syst'!$J$49*'Data from Ahlgren et al'!F55</f>
        <v>0</v>
      </c>
      <c r="K49" s="14">
        <f>'Shares in prod syst'!$J$46*'Data from Ahlgren et al'!G43+'Shares in prod syst'!$J$47*'Data from Ahlgren et al'!G47+'Shares in prod syst'!$J$48*'Data from Ahlgren et al'!G51+'Shares in prod syst'!$J$49*'Data from Ahlgren et al'!G55</f>
        <v>0</v>
      </c>
      <c r="L49" s="14">
        <f>'Shares in prod syst'!$J$46*'Data from Ahlgren et al'!H43+'Shares in prod syst'!$J$47*'Data from Ahlgren et al'!H47+'Shares in prod syst'!$J$48*'Data from Ahlgren et al'!H51+'Shares in prod syst'!$J$49*'Data from Ahlgren et al'!H55</f>
        <v>0</v>
      </c>
      <c r="M49" s="14">
        <f>'Shares in prod syst'!$J$46*'Data from Ahlgren et al'!I43+'Shares in prod syst'!$J$47*'Data from Ahlgren et al'!I47+'Shares in prod syst'!$J$48*'Data from Ahlgren et al'!I51+'Shares in prod syst'!$J$49*'Data from Ahlgren et al'!I55</f>
        <v>0</v>
      </c>
      <c r="N49" s="14">
        <f>'Shares in prod syst'!$J$46*'Data from Ahlgren et al'!J43+'Shares in prod syst'!$J$47*'Data from Ahlgren et al'!J47+'Shares in prod syst'!$J$48*'Data from Ahlgren et al'!J51+'Shares in prod syst'!$J$49*'Data from Ahlgren et al'!J55</f>
        <v>0</v>
      </c>
      <c r="O49" s="14">
        <f>'Shares in prod syst'!$J$46*'Data from Ahlgren et al'!K43+'Shares in prod syst'!$J$47*'Data from Ahlgren et al'!K47+'Shares in prod syst'!$J$48*'Data from Ahlgren et al'!K51+'Shares in prod syst'!$J$49*'Data from Ahlgren et al'!K55</f>
        <v>0</v>
      </c>
      <c r="P49" s="14">
        <f>'Shares in prod syst'!$J$46*'Data from Ahlgren et al'!L43+'Shares in prod syst'!$J$47*'Data from Ahlgren et al'!L47+'Shares in prod syst'!$J$48*'Data from Ahlgren et al'!L51+'Shares in prod syst'!$J$49*'Data from Ahlgren et al'!L55</f>
        <v>0</v>
      </c>
      <c r="Q49" s="14">
        <f>'Shares in prod syst'!$J$46*'Data from Ahlgren et al'!M43+'Shares in prod syst'!$J$47*'Data from Ahlgren et al'!M47+'Shares in prod syst'!$J$48*'Data from Ahlgren et al'!M51+'Shares in prod syst'!$J$49*'Data from Ahlgren et al'!M55</f>
        <v>0</v>
      </c>
      <c r="R49" s="14">
        <f>'Shares in prod syst'!$J$46*'Data from Ahlgren et al'!N43+'Shares in prod syst'!$J$47*'Data from Ahlgren et al'!N47+'Shares in prod syst'!$J$48*'Data from Ahlgren et al'!N51+'Shares in prod syst'!$J$49*'Data from Ahlgren et al'!N55</f>
        <v>0.32565380867283589</v>
      </c>
      <c r="S49" s="14">
        <f>'Shares in prod syst'!$J$46*'Data from Ahlgren et al'!O43+'Shares in prod syst'!$J$47*'Data from Ahlgren et al'!O47+'Shares in prod syst'!$J$48*'Data from Ahlgren et al'!O51+'Shares in prod syst'!$J$49*'Data from Ahlgren et al'!O55</f>
        <v>8.4835320466113168E-2</v>
      </c>
      <c r="T49" s="14">
        <f>'Shares in prod syst'!$J$46*'Data from Ahlgren et al'!P43+'Shares in prod syst'!$J$47*'Data from Ahlgren et al'!P47+'Shares in prod syst'!$J$48*'Data from Ahlgren et al'!P51+'Shares in prod syst'!$J$49*'Data from Ahlgren et al'!P55</f>
        <v>0</v>
      </c>
      <c r="U49" s="14">
        <f>'Shares in prod syst'!$J$46*'Data from Ahlgren et al'!Q43+'Shares in prod syst'!$J$47*'Data from Ahlgren et al'!Q47+'Shares in prod syst'!$J$48*'Data from Ahlgren et al'!Q51+'Shares in prod syst'!$J$49*'Data from Ahlgren et al'!Q55</f>
        <v>0</v>
      </c>
      <c r="V49" s="14">
        <f>'Shares in prod syst'!$J$46*'Data from Ahlgren et al'!R43+'Shares in prod syst'!$J$47*'Data from Ahlgren et al'!R47+'Shares in prod syst'!$J$48*'Data from Ahlgren et al'!R51+'Shares in prod syst'!$J$49*'Data from Ahlgren et al'!R55</f>
        <v>0</v>
      </c>
      <c r="W49" s="14">
        <f>'Shares in prod syst'!$J$46*'Data from Ahlgren et al'!S43+'Shares in prod syst'!$J$47*'Data from Ahlgren et al'!S47+'Shares in prod syst'!$J$48*'Data from Ahlgren et al'!S51+'Shares in prod syst'!$J$49*'Data from Ahlgren et al'!S55</f>
        <v>0</v>
      </c>
    </row>
    <row r="50" spans="1:24" ht="15" thickBot="1">
      <c r="A50" s="10" t="s">
        <v>125</v>
      </c>
      <c r="B50" s="10" t="s">
        <v>126</v>
      </c>
      <c r="C50" s="11" t="s">
        <v>127</v>
      </c>
      <c r="D50" t="s">
        <v>82</v>
      </c>
      <c r="E50" s="12" t="s">
        <v>83</v>
      </c>
      <c r="F50" s="17" t="s">
        <v>132</v>
      </c>
      <c r="G50" s="113">
        <f t="shared" si="0"/>
        <v>1.7877436786055478E-2</v>
      </c>
      <c r="H50" s="14">
        <f>'Shares in prod syst'!$J$46*'Data from Ahlgren et al'!D44+'Shares in prod syst'!$J$47*'Data from Ahlgren et al'!D48+'Shares in prod syst'!$J$48*'Data from Ahlgren et al'!D52+'Shares in prod syst'!$J$49*'Data from Ahlgren et al'!D56</f>
        <v>1.4240107050370976E-3</v>
      </c>
      <c r="I50" s="14">
        <f>'Shares in prod syst'!$J$46*'Data from Ahlgren et al'!E44+'Shares in prod syst'!$J$47*'Data from Ahlgren et al'!E48+'Shares in prod syst'!$J$48*'Data from Ahlgren et al'!E52+'Shares in prod syst'!$J$49*'Data from Ahlgren et al'!E56</f>
        <v>0</v>
      </c>
      <c r="J50" s="14">
        <f>'Shares in prod syst'!$J$46*'Data from Ahlgren et al'!F44+'Shares in prod syst'!$J$47*'Data from Ahlgren et al'!F48+'Shares in prod syst'!$J$48*'Data from Ahlgren et al'!F52+'Shares in prod syst'!$J$49*'Data from Ahlgren et al'!F56</f>
        <v>7.3301087829935494E-3</v>
      </c>
      <c r="K50" s="14">
        <f>'Shares in prod syst'!$J$46*'Data from Ahlgren et al'!G44+'Shares in prod syst'!$J$47*'Data from Ahlgren et al'!G48+'Shares in prod syst'!$J$48*'Data from Ahlgren et al'!G52+'Shares in prod syst'!$J$49*'Data from Ahlgren et al'!G56</f>
        <v>7.3301087829935499E-4</v>
      </c>
      <c r="L50" s="14">
        <f>'Shares in prod syst'!$J$46*'Data from Ahlgren et al'!H44+'Shares in prod syst'!$J$47*'Data from Ahlgren et al'!H48+'Shares in prod syst'!$J$48*'Data from Ahlgren et al'!H52+'Shares in prod syst'!$J$49*'Data from Ahlgren et al'!H56</f>
        <v>0</v>
      </c>
      <c r="M50" s="14">
        <f>'Shares in prod syst'!$J$46*'Data from Ahlgren et al'!I44+'Shares in prod syst'!$J$47*'Data from Ahlgren et al'!I48+'Shares in prod syst'!$J$48*'Data from Ahlgren et al'!I52+'Shares in prod syst'!$J$49*'Data from Ahlgren et al'!I56</f>
        <v>0</v>
      </c>
      <c r="N50" s="14">
        <f>'Shares in prod syst'!$J$46*'Data from Ahlgren et al'!J44+'Shares in prod syst'!$J$47*'Data from Ahlgren et al'!J48+'Shares in prod syst'!$J$48*'Data from Ahlgren et al'!J52+'Shares in prod syst'!$J$49*'Data from Ahlgren et al'!J56</f>
        <v>0</v>
      </c>
      <c r="O50" s="14">
        <f>'Shares in prod syst'!$J$46*'Data from Ahlgren et al'!K44+'Shares in prod syst'!$J$47*'Data from Ahlgren et al'!K48+'Shares in prod syst'!$J$48*'Data from Ahlgren et al'!K52+'Shares in prod syst'!$J$49*'Data from Ahlgren et al'!K56</f>
        <v>0</v>
      </c>
      <c r="P50" s="14">
        <f>'Shares in prod syst'!$J$46*'Data from Ahlgren et al'!L44+'Shares in prod syst'!$J$47*'Data from Ahlgren et al'!L48+'Shares in prod syst'!$J$48*'Data from Ahlgren et al'!L52+'Shares in prod syst'!$J$49*'Data from Ahlgren et al'!L56</f>
        <v>0</v>
      </c>
      <c r="Q50" s="14">
        <f>'Shares in prod syst'!$J$46*'Data from Ahlgren et al'!M44+'Shares in prod syst'!$J$47*'Data from Ahlgren et al'!M48+'Shares in prod syst'!$J$48*'Data from Ahlgren et al'!M52+'Shares in prod syst'!$J$49*'Data from Ahlgren et al'!M56</f>
        <v>0</v>
      </c>
      <c r="R50" s="14">
        <f>'Shares in prod syst'!$J$46*'Data from Ahlgren et al'!N44+'Shares in prod syst'!$J$47*'Data from Ahlgren et al'!N48+'Shares in prod syst'!$J$48*'Data from Ahlgren et al'!N52+'Shares in prod syst'!$J$49*'Data from Ahlgren et al'!N56</f>
        <v>0</v>
      </c>
      <c r="S50" s="14">
        <f>'Shares in prod syst'!$J$46*'Data from Ahlgren et al'!O44+'Shares in prod syst'!$J$47*'Data from Ahlgren et al'!O48+'Shares in prod syst'!$J$48*'Data from Ahlgren et al'!O52+'Shares in prod syst'!$J$49*'Data from Ahlgren et al'!O56</f>
        <v>8.3903064197254767E-3</v>
      </c>
      <c r="T50" s="14">
        <f>'Shares in prod syst'!$J$46*'Data from Ahlgren et al'!P44+'Shares in prod syst'!$J$47*'Data from Ahlgren et al'!P48+'Shares in prod syst'!$J$48*'Data from Ahlgren et al'!P52+'Shares in prod syst'!$J$49*'Data from Ahlgren et al'!P56</f>
        <v>0</v>
      </c>
      <c r="U50" s="14">
        <f>'Shares in prod syst'!$J$46*'Data from Ahlgren et al'!Q44+'Shares in prod syst'!$J$47*'Data from Ahlgren et al'!Q48+'Shares in prod syst'!$J$48*'Data from Ahlgren et al'!Q52+'Shares in prod syst'!$J$49*'Data from Ahlgren et al'!Q56</f>
        <v>0</v>
      </c>
      <c r="V50" s="14">
        <f>'Shares in prod syst'!$J$46*'Data from Ahlgren et al'!R44+'Shares in prod syst'!$J$47*'Data from Ahlgren et al'!R48+'Shares in prod syst'!$J$48*'Data from Ahlgren et al'!R52+'Shares in prod syst'!$J$49*'Data from Ahlgren et al'!R56</f>
        <v>0</v>
      </c>
      <c r="W50" s="14">
        <f>'Shares in prod syst'!$J$46*'Data from Ahlgren et al'!S44+'Shares in prod syst'!$J$47*'Data from Ahlgren et al'!S48+'Shares in prod syst'!$J$48*'Data from Ahlgren et al'!S52+'Shares in prod syst'!$J$49*'Data from Ahlgren et al'!S56</f>
        <v>0</v>
      </c>
    </row>
    <row r="51" spans="1:24" ht="15" thickTop="1">
      <c r="A51" s="69" t="s">
        <v>125</v>
      </c>
      <c r="B51" s="69" t="s">
        <v>126</v>
      </c>
      <c r="C51" s="70" t="s">
        <v>127</v>
      </c>
      <c r="D51" s="78" t="s">
        <v>82</v>
      </c>
      <c r="E51" s="19" t="s">
        <v>83</v>
      </c>
      <c r="F51" s="72" t="s">
        <v>133</v>
      </c>
      <c r="G51" s="114">
        <f t="shared" si="0"/>
        <v>18.550824831476152</v>
      </c>
      <c r="H51" s="115">
        <f>SUMPRODUCT(H47:H50,'CF Climate'!$B$5:$B$8)</f>
        <v>0.77750984495025532</v>
      </c>
      <c r="I51" s="116">
        <f>SUMPRODUCT(I47:I50,'CF Climate'!$B$5:$B$8)</f>
        <v>0</v>
      </c>
      <c r="J51" s="116">
        <f>SUMPRODUCT(J47:J50,'CF Climate'!$B$5:$B$8)</f>
        <v>2.0011196977572392</v>
      </c>
      <c r="K51" s="116">
        <f>SUMPRODUCT(K47:K50,'CF Climate'!$B$5:$B$8)</f>
        <v>0.2001119697757239</v>
      </c>
      <c r="L51" s="116">
        <f>SUMPRODUCT(L47:L50,'CF Climate'!$B$5:$B$8)</f>
        <v>0.46650590697015309</v>
      </c>
      <c r="M51" s="116">
        <f>SUMPRODUCT(M47:M50,'CF Climate'!$B$5:$B$8)</f>
        <v>0</v>
      </c>
      <c r="N51" s="116">
        <f>SUMPRODUCT(N47:N50,'CF Climate'!$B$5:$B$8)</f>
        <v>0</v>
      </c>
      <c r="O51" s="116">
        <f>SUMPRODUCT(O47:O50,'CF Climate'!$B$5:$B$8)</f>
        <v>0</v>
      </c>
      <c r="P51" s="116">
        <f>SUMPRODUCT(P47:P50,'CF Climate'!$B$5:$B$8)</f>
        <v>0</v>
      </c>
      <c r="Q51" s="116">
        <f>SUMPRODUCT(Q47:Q50,'CF Climate'!$B$5:$B$8)</f>
        <v>0.94081333470599615</v>
      </c>
      <c r="R51" s="116">
        <f>SUMPRODUCT(R47:R50,'CF Climate'!$B$5:$B$8)</f>
        <v>8.7926528341665691</v>
      </c>
      <c r="S51" s="116">
        <f>SUMPRODUCT(S47:S50,'CF Climate'!$B$5:$B$8)</f>
        <v>4.5811073051701108</v>
      </c>
      <c r="T51" s="116">
        <f>SUMPRODUCT(T47:T50,'CF Climate'!$B$5:$B$8)</f>
        <v>0</v>
      </c>
      <c r="U51" s="116">
        <f>SUMPRODUCT(U47:U50,'CF Climate'!$B$5:$B$8)</f>
        <v>0</v>
      </c>
      <c r="V51" s="116">
        <f>SUMPRODUCT(V47:V50,'CF Climate'!$B$5:$B$8)</f>
        <v>0.31100393798010212</v>
      </c>
      <c r="W51" s="116">
        <f>SUMPRODUCT(W47:W50,'CF Climate'!$B$5:$B$8)</f>
        <v>0.47999999999999993</v>
      </c>
    </row>
    <row r="52" spans="1:24">
      <c r="A52" s="73" t="s">
        <v>125</v>
      </c>
      <c r="B52" s="73" t="s">
        <v>126</v>
      </c>
      <c r="C52" s="74" t="s">
        <v>127</v>
      </c>
      <c r="D52" t="s">
        <v>84</v>
      </c>
      <c r="E52" s="67" t="s">
        <v>85</v>
      </c>
      <c r="F52" s="75" t="s">
        <v>129</v>
      </c>
      <c r="G52" s="113">
        <f t="shared" si="0"/>
        <v>3.0552312844496665</v>
      </c>
      <c r="H52" s="112">
        <f>'Shares in prod syst'!$K$46*'Data from Ahlgren et al'!D42+'Shares in prod syst'!$K$47*'Data from Ahlgren et al'!D46+'Shares in prod syst'!$K$48*'Data from Ahlgren et al'!D50+'Shares in prod syst'!$K$49*'Data from Ahlgren et al'!D54</f>
        <v>0.49153648349134621</v>
      </c>
      <c r="I52" s="112">
        <f>'Shares in prod syst'!$K$46*'Data from Ahlgren et al'!E42+'Shares in prod syst'!$K$47*'Data from Ahlgren et al'!E46+'Shares in prod syst'!$K$48*'Data from Ahlgren et al'!E50+'Shares in prod syst'!$K$49*'Data from Ahlgren et al'!E54</f>
        <v>0</v>
      </c>
      <c r="J52" s="112">
        <f>'Shares in prod syst'!$K$46*'Data from Ahlgren et al'!F42+'Shares in prod syst'!$K$47*'Data from Ahlgren et al'!F46+'Shares in prod syst'!$K$48*'Data from Ahlgren et al'!F50+'Shares in prod syst'!$K$49*'Data from Ahlgren et al'!F54</f>
        <v>0</v>
      </c>
      <c r="K52" s="112">
        <f>'Shares in prod syst'!$K$46*'Data from Ahlgren et al'!G42+'Shares in prod syst'!$K$47*'Data from Ahlgren et al'!G46+'Shares in prod syst'!$K$48*'Data from Ahlgren et al'!G50+'Shares in prod syst'!$K$49*'Data from Ahlgren et al'!G54</f>
        <v>0</v>
      </c>
      <c r="L52" s="112">
        <f>'Shares in prod syst'!$K$46*'Data from Ahlgren et al'!H42+'Shares in prod syst'!$K$47*'Data from Ahlgren et al'!H46+'Shares in prod syst'!$K$48*'Data from Ahlgren et al'!H50+'Shares in prod syst'!$K$49*'Data from Ahlgren et al'!H54</f>
        <v>0.58984378018961536</v>
      </c>
      <c r="M52" s="112">
        <f>'Shares in prod syst'!$K$46*'Data from Ahlgren et al'!I42+'Shares in prod syst'!$K$47*'Data from Ahlgren et al'!I46+'Shares in prod syst'!$K$48*'Data from Ahlgren et al'!I50+'Shares in prod syst'!$K$49*'Data from Ahlgren et al'!I54</f>
        <v>0</v>
      </c>
      <c r="N52" s="112">
        <f>'Shares in prod syst'!$K$46*'Data from Ahlgren et al'!J42+'Shares in prod syst'!$K$47*'Data from Ahlgren et al'!J46+'Shares in prod syst'!$K$48*'Data from Ahlgren et al'!J50+'Shares in prod syst'!$K$49*'Data from Ahlgren et al'!J54</f>
        <v>0</v>
      </c>
      <c r="O52" s="112">
        <f>'Shares in prod syst'!$K$46*'Data from Ahlgren et al'!K42+'Shares in prod syst'!$K$47*'Data from Ahlgren et al'!K46+'Shares in prod syst'!$K$48*'Data from Ahlgren et al'!K50+'Shares in prod syst'!$K$49*'Data from Ahlgren et al'!K54</f>
        <v>0</v>
      </c>
      <c r="P52" s="112">
        <f>'Shares in prod syst'!$K$46*'Data from Ahlgren et al'!L42+'Shares in prod syst'!$K$47*'Data from Ahlgren et al'!L46+'Shares in prod syst'!$K$48*'Data from Ahlgren et al'!L50+'Shares in prod syst'!$K$49*'Data from Ahlgren et al'!L54</f>
        <v>0</v>
      </c>
      <c r="Q52" s="112">
        <f>'Shares in prod syst'!$K$46*'Data from Ahlgren et al'!M42+'Shares in prod syst'!$K$47*'Data from Ahlgren et al'!M46+'Shares in prod syst'!$K$48*'Data from Ahlgren et al'!M50+'Shares in prod syst'!$K$49*'Data from Ahlgren et al'!M54</f>
        <v>1.1006218339756282</v>
      </c>
      <c r="R52" s="112">
        <f>'Shares in prod syst'!$K$46*'Data from Ahlgren et al'!N42+'Shares in prod syst'!$K$47*'Data from Ahlgren et al'!N46+'Shares in prod syst'!$K$48*'Data from Ahlgren et al'!N50+'Shares in prod syst'!$K$49*'Data from Ahlgren et al'!N54</f>
        <v>0</v>
      </c>
      <c r="S52" s="112">
        <f>'Shares in prod syst'!$K$46*'Data from Ahlgren et al'!O42+'Shares in prod syst'!$K$47*'Data from Ahlgren et al'!O46+'Shares in prod syst'!$K$48*'Data from Ahlgren et al'!O50+'Shares in prod syst'!$K$49*'Data from Ahlgren et al'!O54</f>
        <v>0</v>
      </c>
      <c r="T52" s="112">
        <f>'Shares in prod syst'!$K$46*'Data from Ahlgren et al'!P42+'Shares in prod syst'!$K$47*'Data from Ahlgren et al'!P46+'Shares in prod syst'!$K$48*'Data from Ahlgren et al'!P50+'Shares in prod syst'!$K$49*'Data from Ahlgren et al'!P54</f>
        <v>0</v>
      </c>
      <c r="U52" s="112">
        <f>'Shares in prod syst'!$K$46*'Data from Ahlgren et al'!Q42+'Shares in prod syst'!$K$47*'Data from Ahlgren et al'!Q46+'Shares in prod syst'!$K$48*'Data from Ahlgren et al'!Q50+'Shares in prod syst'!$K$49*'Data from Ahlgren et al'!Q54</f>
        <v>0</v>
      </c>
      <c r="V52" s="112">
        <f>'Shares in prod syst'!$K$46*'Data from Ahlgren et al'!R42+'Shares in prod syst'!$K$47*'Data from Ahlgren et al'!R46+'Shares in prod syst'!$K$48*'Data from Ahlgren et al'!R50+'Shares in prod syst'!$K$49*'Data from Ahlgren et al'!R54</f>
        <v>0.39322918679307695</v>
      </c>
      <c r="W52" s="112">
        <f>'Shares in prod syst'!$K$46*'Data from Ahlgren et al'!S42+'Shares in prod syst'!$K$47*'Data from Ahlgren et al'!S46+'Shares in prod syst'!$K$48*'Data from Ahlgren et al'!S50+'Shares in prod syst'!$K$49*'Data from Ahlgren et al'!S54</f>
        <v>0.48000000000000009</v>
      </c>
    </row>
    <row r="53" spans="1:24">
      <c r="A53" s="10" t="s">
        <v>125</v>
      </c>
      <c r="B53" s="10" t="s">
        <v>126</v>
      </c>
      <c r="C53" s="11" t="s">
        <v>127</v>
      </c>
      <c r="D53" t="s">
        <v>84</v>
      </c>
      <c r="E53" s="12" t="s">
        <v>85</v>
      </c>
      <c r="F53" s="10" t="s">
        <v>130</v>
      </c>
      <c r="G53" s="113">
        <f t="shared" ref="G53" si="7">SUM(H53:W53)</f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</row>
    <row r="54" spans="1:24">
      <c r="A54" s="10" t="s">
        <v>125</v>
      </c>
      <c r="B54" s="10" t="s">
        <v>126</v>
      </c>
      <c r="C54" s="11" t="s">
        <v>127</v>
      </c>
      <c r="D54" t="s">
        <v>84</v>
      </c>
      <c r="E54" s="12" t="s">
        <v>85</v>
      </c>
      <c r="F54" s="10" t="s">
        <v>131</v>
      </c>
      <c r="G54" s="113">
        <f t="shared" si="0"/>
        <v>0.48680651198288427</v>
      </c>
      <c r="H54" s="14">
        <f>'Shares in prod syst'!$K$46*'Data from Ahlgren et al'!D43+'Shares in prod syst'!$K$47*'Data from Ahlgren et al'!D47+'Shares in prod syst'!$K$48*'Data from Ahlgren et al'!D51+'Shares in prod syst'!$K$49*'Data from Ahlgren et al'!D55</f>
        <v>0</v>
      </c>
      <c r="I54" s="14">
        <f>'Shares in prod syst'!$K$46*'Data from Ahlgren et al'!E43+'Shares in prod syst'!$K$47*'Data from Ahlgren et al'!E47+'Shares in prod syst'!$K$48*'Data from Ahlgren et al'!E51+'Shares in prod syst'!$K$49*'Data from Ahlgren et al'!E55</f>
        <v>0</v>
      </c>
      <c r="J54" s="14">
        <f>'Shares in prod syst'!$K$46*'Data from Ahlgren et al'!F43+'Shares in prod syst'!$K$47*'Data from Ahlgren et al'!F47+'Shares in prod syst'!$K$48*'Data from Ahlgren et al'!F51+'Shares in prod syst'!$K$49*'Data from Ahlgren et al'!F55</f>
        <v>0</v>
      </c>
      <c r="K54" s="14">
        <f>'Shares in prod syst'!$K$46*'Data from Ahlgren et al'!G43+'Shares in prod syst'!$K$47*'Data from Ahlgren et al'!G47+'Shares in prod syst'!$K$48*'Data from Ahlgren et al'!G51+'Shares in prod syst'!$K$49*'Data from Ahlgren et al'!G55</f>
        <v>0</v>
      </c>
      <c r="L54" s="14">
        <f>'Shares in prod syst'!$K$46*'Data from Ahlgren et al'!H43+'Shares in prod syst'!$K$47*'Data from Ahlgren et al'!H47+'Shares in prod syst'!$K$48*'Data from Ahlgren et al'!H51+'Shares in prod syst'!$K$49*'Data from Ahlgren et al'!H55</f>
        <v>0</v>
      </c>
      <c r="M54" s="14">
        <f>'Shares in prod syst'!$K$46*'Data from Ahlgren et al'!I43+'Shares in prod syst'!$K$47*'Data from Ahlgren et al'!I47+'Shares in prod syst'!$K$48*'Data from Ahlgren et al'!I51+'Shares in prod syst'!$K$49*'Data from Ahlgren et al'!I55</f>
        <v>0</v>
      </c>
      <c r="N54" s="14">
        <f>'Shares in prod syst'!$K$46*'Data from Ahlgren et al'!J43+'Shares in prod syst'!$K$47*'Data from Ahlgren et al'!J47+'Shares in prod syst'!$K$48*'Data from Ahlgren et al'!J51+'Shares in prod syst'!$K$49*'Data from Ahlgren et al'!J55</f>
        <v>0</v>
      </c>
      <c r="O54" s="14">
        <f>'Shares in prod syst'!$K$46*'Data from Ahlgren et al'!K43+'Shares in prod syst'!$K$47*'Data from Ahlgren et al'!K47+'Shares in prod syst'!$K$48*'Data from Ahlgren et al'!K51+'Shares in prod syst'!$K$49*'Data from Ahlgren et al'!K55</f>
        <v>0</v>
      </c>
      <c r="P54" s="14">
        <f>'Shares in prod syst'!$K$46*'Data from Ahlgren et al'!L43+'Shares in prod syst'!$K$47*'Data from Ahlgren et al'!L47+'Shares in prod syst'!$K$48*'Data from Ahlgren et al'!L51+'Shares in prod syst'!$K$49*'Data from Ahlgren et al'!L55</f>
        <v>0</v>
      </c>
      <c r="Q54" s="14">
        <f>'Shares in prod syst'!$K$46*'Data from Ahlgren et al'!M43+'Shares in prod syst'!$K$47*'Data from Ahlgren et al'!M47+'Shares in prod syst'!$K$48*'Data from Ahlgren et al'!M51+'Shares in prod syst'!$K$49*'Data from Ahlgren et al'!M55</f>
        <v>0</v>
      </c>
      <c r="R54" s="14">
        <f>'Shares in prod syst'!$K$46*'Data from Ahlgren et al'!N43+'Shares in prod syst'!$K$47*'Data from Ahlgren et al'!N47+'Shares in prod syst'!$K$48*'Data from Ahlgren et al'!N51+'Shares in prod syst'!$K$49*'Data from Ahlgren et al'!N55</f>
        <v>0.38253215031655097</v>
      </c>
      <c r="S54" s="14">
        <f>'Shares in prod syst'!$K$46*'Data from Ahlgren et al'!O43+'Shares in prod syst'!$K$47*'Data from Ahlgren et al'!O47+'Shares in prod syst'!$K$48*'Data from Ahlgren et al'!O51+'Shares in prod syst'!$K$49*'Data from Ahlgren et al'!O55</f>
        <v>0.1042743616663333</v>
      </c>
      <c r="T54" s="14">
        <f>'Shares in prod syst'!$K$46*'Data from Ahlgren et al'!P43+'Shares in prod syst'!$K$47*'Data from Ahlgren et al'!P47+'Shares in prod syst'!$K$48*'Data from Ahlgren et al'!P51+'Shares in prod syst'!$K$49*'Data from Ahlgren et al'!P55</f>
        <v>0</v>
      </c>
      <c r="U54" s="14">
        <f>'Shares in prod syst'!$K$46*'Data from Ahlgren et al'!Q43+'Shares in prod syst'!$K$47*'Data from Ahlgren et al'!Q47+'Shares in prod syst'!$K$48*'Data from Ahlgren et al'!Q51+'Shares in prod syst'!$K$49*'Data from Ahlgren et al'!Q55</f>
        <v>0</v>
      </c>
      <c r="V54" s="14">
        <f>'Shares in prod syst'!$K$46*'Data from Ahlgren et al'!R43+'Shares in prod syst'!$K$47*'Data from Ahlgren et al'!R47+'Shares in prod syst'!$K$48*'Data from Ahlgren et al'!R51+'Shares in prod syst'!$K$49*'Data from Ahlgren et al'!R55</f>
        <v>0</v>
      </c>
      <c r="W54" s="14">
        <f>'Shares in prod syst'!$K$46*'Data from Ahlgren et al'!S43+'Shares in prod syst'!$K$47*'Data from Ahlgren et al'!S47+'Shares in prod syst'!$K$48*'Data from Ahlgren et al'!S51+'Shares in prod syst'!$K$49*'Data from Ahlgren et al'!S55</f>
        <v>0</v>
      </c>
    </row>
    <row r="55" spans="1:24" ht="15" thickBot="1">
      <c r="A55" s="10" t="s">
        <v>125</v>
      </c>
      <c r="B55" s="10" t="s">
        <v>126</v>
      </c>
      <c r="C55" s="11" t="s">
        <v>127</v>
      </c>
      <c r="D55" t="s">
        <v>84</v>
      </c>
      <c r="E55" s="12" t="s">
        <v>85</v>
      </c>
      <c r="F55" s="17" t="s">
        <v>132</v>
      </c>
      <c r="G55" s="113">
        <f t="shared" si="0"/>
        <v>2.1526939395976972E-2</v>
      </c>
      <c r="H55" s="14">
        <f>'Shares in prod syst'!$K$46*'Data from Ahlgren et al'!D44+'Shares in prod syst'!$K$47*'Data from Ahlgren et al'!D48+'Shares in prod syst'!$K$48*'Data from Ahlgren et al'!D52+'Shares in prod syst'!$K$49*'Data from Ahlgren et al'!D56</f>
        <v>1.8004999395287403E-3</v>
      </c>
      <c r="I55" s="14">
        <f>'Shares in prod syst'!$K$46*'Data from Ahlgren et al'!E44+'Shares in prod syst'!$K$47*'Data from Ahlgren et al'!E48+'Shares in prod syst'!$K$48*'Data from Ahlgren et al'!E52+'Shares in prod syst'!$K$49*'Data from Ahlgren et al'!E56</f>
        <v>0</v>
      </c>
      <c r="J55" s="14">
        <f>'Shares in prod syst'!$K$46*'Data from Ahlgren et al'!F44+'Shares in prod syst'!$K$47*'Data from Ahlgren et al'!F48+'Shares in prod syst'!$K$48*'Data from Ahlgren et al'!F52+'Shares in prod syst'!$K$49*'Data from Ahlgren et al'!F56</f>
        <v>8.5578095458520402E-3</v>
      </c>
      <c r="K55" s="14">
        <f>'Shares in prod syst'!$K$46*'Data from Ahlgren et al'!G44+'Shares in prod syst'!$K$47*'Data from Ahlgren et al'!G48+'Shares in prod syst'!$K$48*'Data from Ahlgren et al'!G52+'Shares in prod syst'!$K$49*'Data from Ahlgren et al'!G56</f>
        <v>8.5578095458520396E-4</v>
      </c>
      <c r="L55" s="14">
        <f>'Shares in prod syst'!$K$46*'Data from Ahlgren et al'!H44+'Shares in prod syst'!$K$47*'Data from Ahlgren et al'!H48+'Shares in prod syst'!$K$48*'Data from Ahlgren et al'!H52+'Shares in prod syst'!$K$49*'Data from Ahlgren et al'!H56</f>
        <v>0</v>
      </c>
      <c r="M55" s="14">
        <f>'Shares in prod syst'!$K$46*'Data from Ahlgren et al'!I44+'Shares in prod syst'!$K$47*'Data from Ahlgren et al'!I48+'Shares in prod syst'!$K$48*'Data from Ahlgren et al'!I52+'Shares in prod syst'!$K$49*'Data from Ahlgren et al'!I56</f>
        <v>0</v>
      </c>
      <c r="N55" s="14">
        <f>'Shares in prod syst'!$K$46*'Data from Ahlgren et al'!J44+'Shares in prod syst'!$K$47*'Data from Ahlgren et al'!J48+'Shares in prod syst'!$K$48*'Data from Ahlgren et al'!J52+'Shares in prod syst'!$K$49*'Data from Ahlgren et al'!J56</f>
        <v>0</v>
      </c>
      <c r="O55" s="14">
        <f>'Shares in prod syst'!$K$46*'Data from Ahlgren et al'!K44+'Shares in prod syst'!$K$47*'Data from Ahlgren et al'!K48+'Shares in prod syst'!$K$48*'Data from Ahlgren et al'!K52+'Shares in prod syst'!$K$49*'Data from Ahlgren et al'!K56</f>
        <v>0</v>
      </c>
      <c r="P55" s="14">
        <f>'Shares in prod syst'!$K$46*'Data from Ahlgren et al'!L44+'Shares in prod syst'!$K$47*'Data from Ahlgren et al'!L48+'Shares in prod syst'!$K$48*'Data from Ahlgren et al'!L52+'Shares in prod syst'!$K$49*'Data from Ahlgren et al'!L56</f>
        <v>0</v>
      </c>
      <c r="Q55" s="14">
        <f>'Shares in prod syst'!$K$46*'Data from Ahlgren et al'!M44+'Shares in prod syst'!$K$47*'Data from Ahlgren et al'!M48+'Shares in prod syst'!$K$48*'Data from Ahlgren et al'!M52+'Shares in prod syst'!$K$49*'Data from Ahlgren et al'!M56</f>
        <v>0</v>
      </c>
      <c r="R55" s="14">
        <f>'Shares in prod syst'!$K$46*'Data from Ahlgren et al'!N44+'Shares in prod syst'!$K$47*'Data from Ahlgren et al'!N48+'Shares in prod syst'!$K$48*'Data from Ahlgren et al'!N52+'Shares in prod syst'!$K$49*'Data from Ahlgren et al'!N56</f>
        <v>0</v>
      </c>
      <c r="S55" s="14">
        <f>'Shares in prod syst'!$K$46*'Data from Ahlgren et al'!O44+'Shares in prod syst'!$K$47*'Data from Ahlgren et al'!O48+'Shares in prod syst'!$K$48*'Data from Ahlgren et al'!O52+'Shares in prod syst'!$K$49*'Data from Ahlgren et al'!O56</f>
        <v>1.0312848956010987E-2</v>
      </c>
      <c r="T55" s="14">
        <f>'Shares in prod syst'!$K$46*'Data from Ahlgren et al'!P44+'Shares in prod syst'!$K$47*'Data from Ahlgren et al'!P48+'Shares in prod syst'!$K$48*'Data from Ahlgren et al'!P52+'Shares in prod syst'!$K$49*'Data from Ahlgren et al'!P56</f>
        <v>0</v>
      </c>
      <c r="U55" s="14">
        <f>'Shares in prod syst'!$K$46*'Data from Ahlgren et al'!Q44+'Shares in prod syst'!$K$47*'Data from Ahlgren et al'!Q48+'Shares in prod syst'!$K$48*'Data from Ahlgren et al'!Q52+'Shares in prod syst'!$K$49*'Data from Ahlgren et al'!Q56</f>
        <v>0</v>
      </c>
      <c r="V55" s="14">
        <f>'Shares in prod syst'!$K$46*'Data from Ahlgren et al'!R44+'Shares in prod syst'!$K$47*'Data from Ahlgren et al'!R48+'Shares in prod syst'!$K$48*'Data from Ahlgren et al'!R52+'Shares in prod syst'!$K$49*'Data from Ahlgren et al'!R56</f>
        <v>0</v>
      </c>
      <c r="W55" s="14">
        <f>'Shares in prod syst'!$K$46*'Data from Ahlgren et al'!S44+'Shares in prod syst'!$K$47*'Data from Ahlgren et al'!S48+'Shares in prod syst'!$K$48*'Data from Ahlgren et al'!S52+'Shares in prod syst'!$K$49*'Data from Ahlgren et al'!S56</f>
        <v>0</v>
      </c>
    </row>
    <row r="56" spans="1:24" ht="15" thickTop="1">
      <c r="A56" s="69" t="s">
        <v>125</v>
      </c>
      <c r="B56" s="69" t="s">
        <v>126</v>
      </c>
      <c r="C56" s="70" t="s">
        <v>127</v>
      </c>
      <c r="D56" s="78" t="s">
        <v>84</v>
      </c>
      <c r="E56" s="71" t="s">
        <v>85</v>
      </c>
      <c r="F56" s="72" t="s">
        <v>133</v>
      </c>
      <c r="G56" s="114">
        <f t="shared" si="0"/>
        <v>22.075861563089259</v>
      </c>
      <c r="H56" s="117">
        <f>SUMPRODUCT(H52:H55,'CF Climate'!$B$5:$B$8)</f>
        <v>0.98307296698269231</v>
      </c>
      <c r="I56" s="118">
        <f>SUMPRODUCT(I52:I55,'CF Climate'!$B$5:$B$8)</f>
        <v>0</v>
      </c>
      <c r="J56" s="118">
        <f>SUMPRODUCT(J52:J55,'CF Climate'!$B$5:$B$8)</f>
        <v>2.336282006017607</v>
      </c>
      <c r="K56" s="118">
        <f>SUMPRODUCT(K52:K55,'CF Climate'!$B$5:$B$8)</f>
        <v>0.23362820060176068</v>
      </c>
      <c r="L56" s="118">
        <f>SUMPRODUCT(L52:L55,'CF Climate'!$B$5:$B$8)</f>
        <v>0.58984378018961536</v>
      </c>
      <c r="M56" s="118">
        <f>SUMPRODUCT(M52:M55,'CF Climate'!$B$5:$B$8)</f>
        <v>0</v>
      </c>
      <c r="N56" s="118">
        <f>SUMPRODUCT(N52:N55,'CF Climate'!$B$5:$B$8)</f>
        <v>0</v>
      </c>
      <c r="O56" s="118">
        <f>SUMPRODUCT(O52:O55,'CF Climate'!$B$5:$B$8)</f>
        <v>0</v>
      </c>
      <c r="P56" s="118">
        <f>SUMPRODUCT(P52:P55,'CF Climate'!$B$5:$B$8)</f>
        <v>0</v>
      </c>
      <c r="Q56" s="118">
        <f>SUMPRODUCT(Q52:Q55,'CF Climate'!$B$5:$B$8)</f>
        <v>1.1006218339756282</v>
      </c>
      <c r="R56" s="118">
        <f>SUMPRODUCT(R52:R55,'CF Climate'!$B$5:$B$8)</f>
        <v>10.328368058546877</v>
      </c>
      <c r="S56" s="118">
        <f>SUMPRODUCT(S52:S55,'CF Climate'!$B$5:$B$8)</f>
        <v>5.630815529981998</v>
      </c>
      <c r="T56" s="118">
        <f>SUMPRODUCT(T52:T55,'CF Climate'!$B$5:$B$8)</f>
        <v>0</v>
      </c>
      <c r="U56" s="118">
        <f>SUMPRODUCT(U52:U55,'CF Climate'!$B$5:$B$8)</f>
        <v>0</v>
      </c>
      <c r="V56" s="118">
        <f>SUMPRODUCT(V52:V55,'CF Climate'!$B$5:$B$8)</f>
        <v>0.39322918679307695</v>
      </c>
      <c r="W56" s="118">
        <f>SUMPRODUCT(W52:W55,'CF Climate'!$B$5:$B$8)</f>
        <v>0.48000000000000009</v>
      </c>
    </row>
    <row r="57" spans="1:24">
      <c r="A57" s="10" t="s">
        <v>125</v>
      </c>
      <c r="B57" s="10" t="s">
        <v>126</v>
      </c>
      <c r="C57" s="11" t="s">
        <v>127</v>
      </c>
      <c r="D57" s="12" t="s">
        <v>86</v>
      </c>
      <c r="E57" s="12" t="s">
        <v>87</v>
      </c>
      <c r="F57" s="18" t="s">
        <v>129</v>
      </c>
      <c r="G57" s="113">
        <f t="shared" si="0"/>
        <v>3.0831079453037447</v>
      </c>
      <c r="H57" s="112">
        <f>'Shares in prod syst'!$L$46*'Data from Ahlgren et al'!D42+'Shares in prod syst'!$L$47*'Data from Ahlgren et al'!D46+'Shares in prod syst'!$L$48*'Data from Ahlgren et al'!D50+'Shares in prod syst'!$L$49*'Data from Ahlgren et al'!D54</f>
        <v>0.47381397625754806</v>
      </c>
      <c r="I57" s="112">
        <f>'Shares in prod syst'!$L$46*'Data from Ahlgren et al'!E42+'Shares in prod syst'!$L$47*'Data from Ahlgren et al'!E46+'Shares in prod syst'!$L$48*'Data from Ahlgren et al'!E50+'Shares in prod syst'!$L$49*'Data from Ahlgren et al'!E54</f>
        <v>0</v>
      </c>
      <c r="J57" s="112">
        <f>'Shares in prod syst'!$L$46*'Data from Ahlgren et al'!F42+'Shares in prod syst'!$L$47*'Data from Ahlgren et al'!F46+'Shares in prod syst'!$L$48*'Data from Ahlgren et al'!F50+'Shares in prod syst'!$L$49*'Data from Ahlgren et al'!F54</f>
        <v>0</v>
      </c>
      <c r="K57" s="112">
        <f>'Shares in prod syst'!$L$46*'Data from Ahlgren et al'!G42+'Shares in prod syst'!$L$47*'Data from Ahlgren et al'!G46+'Shares in prod syst'!$L$48*'Data from Ahlgren et al'!G50+'Shares in prod syst'!$L$49*'Data from Ahlgren et al'!G54</f>
        <v>0</v>
      </c>
      <c r="L57" s="112">
        <f>'Shares in prod syst'!$L$46*'Data from Ahlgren et al'!H42+'Shares in prod syst'!$L$47*'Data from Ahlgren et al'!H46+'Shares in prod syst'!$L$48*'Data from Ahlgren et al'!H50+'Shares in prod syst'!$L$49*'Data from Ahlgren et al'!H54</f>
        <v>0.56857677150905772</v>
      </c>
      <c r="M57" s="112">
        <f>'Shares in prod syst'!$L$46*'Data from Ahlgren et al'!I42+'Shares in prod syst'!$L$47*'Data from Ahlgren et al'!I46+'Shares in prod syst'!$L$48*'Data from Ahlgren et al'!I50+'Shares in prod syst'!$L$49*'Data from Ahlgren et al'!I54</f>
        <v>0</v>
      </c>
      <c r="N57" s="112">
        <f>'Shares in prod syst'!$L$46*'Data from Ahlgren et al'!J42+'Shares in prod syst'!$L$47*'Data from Ahlgren et al'!J46+'Shares in prod syst'!$L$48*'Data from Ahlgren et al'!J50+'Shares in prod syst'!$L$49*'Data from Ahlgren et al'!J54</f>
        <v>0</v>
      </c>
      <c r="O57" s="112">
        <f>'Shares in prod syst'!$L$46*'Data from Ahlgren et al'!K42+'Shares in prod syst'!$L$47*'Data from Ahlgren et al'!K46+'Shares in prod syst'!$L$48*'Data from Ahlgren et al'!K50+'Shares in prod syst'!$L$49*'Data from Ahlgren et al'!K54</f>
        <v>0</v>
      </c>
      <c r="P57" s="112">
        <f>'Shares in prod syst'!$L$46*'Data from Ahlgren et al'!L42+'Shares in prod syst'!$L$47*'Data from Ahlgren et al'!L46+'Shares in prod syst'!$L$48*'Data from Ahlgren et al'!L50+'Shares in prod syst'!$L$49*'Data from Ahlgren et al'!L54</f>
        <v>0</v>
      </c>
      <c r="Q57" s="112">
        <f>'Shares in prod syst'!$L$46*'Data from Ahlgren et al'!M42+'Shares in prod syst'!$L$47*'Data from Ahlgren et al'!M46+'Shares in prod syst'!$L$48*'Data from Ahlgren et al'!M50+'Shares in prod syst'!$L$49*'Data from Ahlgren et al'!M54</f>
        <v>1.1816660165311001</v>
      </c>
      <c r="R57" s="112">
        <f>'Shares in prod syst'!$L$46*'Data from Ahlgren et al'!N42+'Shares in prod syst'!$L$47*'Data from Ahlgren et al'!N46+'Shares in prod syst'!$L$48*'Data from Ahlgren et al'!N50+'Shares in prod syst'!$L$49*'Data from Ahlgren et al'!N54</f>
        <v>0</v>
      </c>
      <c r="S57" s="112">
        <f>'Shares in prod syst'!$L$46*'Data from Ahlgren et al'!O42+'Shares in prod syst'!$L$47*'Data from Ahlgren et al'!O46+'Shares in prod syst'!$L$48*'Data from Ahlgren et al'!O50+'Shares in prod syst'!$L$49*'Data from Ahlgren et al'!O54</f>
        <v>0</v>
      </c>
      <c r="T57" s="112">
        <f>'Shares in prod syst'!$L$46*'Data from Ahlgren et al'!P42+'Shares in prod syst'!$L$47*'Data from Ahlgren et al'!P46+'Shares in prod syst'!$L$48*'Data from Ahlgren et al'!P50+'Shares in prod syst'!$L$49*'Data from Ahlgren et al'!P54</f>
        <v>0</v>
      </c>
      <c r="U57" s="112">
        <f>'Shares in prod syst'!$L$46*'Data from Ahlgren et al'!Q42+'Shares in prod syst'!$L$47*'Data from Ahlgren et al'!Q46+'Shares in prod syst'!$L$48*'Data from Ahlgren et al'!Q50+'Shares in prod syst'!$L$49*'Data from Ahlgren et al'!Q54</f>
        <v>0</v>
      </c>
      <c r="V57" s="112">
        <f>'Shares in prod syst'!$L$46*'Data from Ahlgren et al'!R42+'Shares in prod syst'!$L$47*'Data from Ahlgren et al'!R46+'Shares in prod syst'!$L$48*'Data from Ahlgren et al'!R50+'Shares in prod syst'!$L$49*'Data from Ahlgren et al'!R54</f>
        <v>0.37905118100603852</v>
      </c>
      <c r="W57" s="112">
        <f>'Shares in prod syst'!$L$46*'Data from Ahlgren et al'!S42+'Shares in prod syst'!$L$47*'Data from Ahlgren et al'!S46+'Shares in prod syst'!$L$48*'Data from Ahlgren et al'!S50+'Shares in prod syst'!$L$49*'Data from Ahlgren et al'!S54</f>
        <v>0.48</v>
      </c>
      <c r="X57" s="14"/>
    </row>
    <row r="58" spans="1:24">
      <c r="A58" s="10" t="s">
        <v>125</v>
      </c>
      <c r="B58" s="10" t="s">
        <v>126</v>
      </c>
      <c r="C58" s="11" t="s">
        <v>127</v>
      </c>
      <c r="D58" s="12" t="s">
        <v>86</v>
      </c>
      <c r="E58" s="12" t="s">
        <v>87</v>
      </c>
      <c r="F58" s="10" t="s">
        <v>130</v>
      </c>
      <c r="G58" s="113">
        <f t="shared" ref="G58" si="8">SUM(H58:W58)</f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/>
    </row>
    <row r="59" spans="1:24">
      <c r="A59" s="10" t="s">
        <v>125</v>
      </c>
      <c r="B59" s="10" t="s">
        <v>126</v>
      </c>
      <c r="C59" s="11" t="s">
        <v>127</v>
      </c>
      <c r="D59" s="12" t="s">
        <v>86</v>
      </c>
      <c r="E59" s="12" t="s">
        <v>87</v>
      </c>
      <c r="F59" s="10" t="s">
        <v>131</v>
      </c>
      <c r="G59" s="113">
        <f t="shared" si="0"/>
        <v>0.50274098012660617</v>
      </c>
      <c r="H59" s="14">
        <f>'Shares in prod syst'!$L$46*'Data from Ahlgren et al'!D43+'Shares in prod syst'!$L$47*'Data from Ahlgren et al'!D47+'Shares in prod syst'!$L$48*'Data from Ahlgren et al'!D51+'Shares in prod syst'!$L$49*'Data from Ahlgren et al'!D55</f>
        <v>0</v>
      </c>
      <c r="I59" s="14">
        <f>'Shares in prod syst'!$L$46*'Data from Ahlgren et al'!E43+'Shares in prod syst'!$L$47*'Data from Ahlgren et al'!E47+'Shares in prod syst'!$L$48*'Data from Ahlgren et al'!E51+'Shares in prod syst'!$L$49*'Data from Ahlgren et al'!E55</f>
        <v>0</v>
      </c>
      <c r="J59" s="14">
        <f>'Shares in prod syst'!$L$46*'Data from Ahlgren et al'!F43+'Shares in prod syst'!$L$47*'Data from Ahlgren et al'!F47+'Shares in prod syst'!$L$48*'Data from Ahlgren et al'!F51+'Shares in prod syst'!$L$49*'Data from Ahlgren et al'!F55</f>
        <v>0</v>
      </c>
      <c r="K59" s="14">
        <f>'Shares in prod syst'!$L$46*'Data from Ahlgren et al'!G43+'Shares in prod syst'!$L$47*'Data from Ahlgren et al'!G47+'Shares in prod syst'!$L$48*'Data from Ahlgren et al'!G51+'Shares in prod syst'!$L$49*'Data from Ahlgren et al'!G55</f>
        <v>0</v>
      </c>
      <c r="L59" s="14">
        <f>'Shares in prod syst'!$L$46*'Data from Ahlgren et al'!H43+'Shares in prod syst'!$L$47*'Data from Ahlgren et al'!H47+'Shares in prod syst'!$L$48*'Data from Ahlgren et al'!H51+'Shares in prod syst'!$L$49*'Data from Ahlgren et al'!H55</f>
        <v>0</v>
      </c>
      <c r="M59" s="14">
        <f>'Shares in prod syst'!$L$46*'Data from Ahlgren et al'!I43+'Shares in prod syst'!$L$47*'Data from Ahlgren et al'!I47+'Shares in prod syst'!$L$48*'Data from Ahlgren et al'!I51+'Shares in prod syst'!$L$49*'Data from Ahlgren et al'!I55</f>
        <v>0</v>
      </c>
      <c r="N59" s="14">
        <f>'Shares in prod syst'!$L$46*'Data from Ahlgren et al'!J43+'Shares in prod syst'!$L$47*'Data from Ahlgren et al'!J47+'Shares in prod syst'!$L$48*'Data from Ahlgren et al'!J51+'Shares in prod syst'!$L$49*'Data from Ahlgren et al'!J55</f>
        <v>0</v>
      </c>
      <c r="O59" s="14">
        <f>'Shares in prod syst'!$L$46*'Data from Ahlgren et al'!K43+'Shares in prod syst'!$L$47*'Data from Ahlgren et al'!K47+'Shares in prod syst'!$L$48*'Data from Ahlgren et al'!K51+'Shares in prod syst'!$L$49*'Data from Ahlgren et al'!K55</f>
        <v>0</v>
      </c>
      <c r="P59" s="14">
        <f>'Shares in prod syst'!$L$46*'Data from Ahlgren et al'!L43+'Shares in prod syst'!$L$47*'Data from Ahlgren et al'!L47+'Shares in prod syst'!$L$48*'Data from Ahlgren et al'!L51+'Shares in prod syst'!$L$49*'Data from Ahlgren et al'!L55</f>
        <v>0</v>
      </c>
      <c r="Q59" s="14">
        <f>'Shares in prod syst'!$L$46*'Data from Ahlgren et al'!M43+'Shares in prod syst'!$L$47*'Data from Ahlgren et al'!M47+'Shares in prod syst'!$L$48*'Data from Ahlgren et al'!M51+'Shares in prod syst'!$L$49*'Data from Ahlgren et al'!M55</f>
        <v>0</v>
      </c>
      <c r="R59" s="14">
        <f>'Shares in prod syst'!$L$46*'Data from Ahlgren et al'!N43+'Shares in prod syst'!$L$47*'Data from Ahlgren et al'!N47+'Shares in prod syst'!$L$48*'Data from Ahlgren et al'!N51+'Shares in prod syst'!$L$49*'Data from Ahlgren et al'!N55</f>
        <v>0.39469950119542363</v>
      </c>
      <c r="S59" s="14">
        <f>'Shares in prod syst'!$L$46*'Data from Ahlgren et al'!O43+'Shares in prod syst'!$L$47*'Data from Ahlgren et al'!O47+'Shares in prod syst'!$L$48*'Data from Ahlgren et al'!O51+'Shares in prod syst'!$L$49*'Data from Ahlgren et al'!O55</f>
        <v>0.1080414789311825</v>
      </c>
      <c r="T59" s="14">
        <f>'Shares in prod syst'!$L$46*'Data from Ahlgren et al'!P43+'Shares in prod syst'!$L$47*'Data from Ahlgren et al'!P47+'Shares in prod syst'!$L$48*'Data from Ahlgren et al'!P51+'Shares in prod syst'!$L$49*'Data from Ahlgren et al'!P55</f>
        <v>0</v>
      </c>
      <c r="U59" s="14">
        <f>'Shares in prod syst'!$L$46*'Data from Ahlgren et al'!Q43+'Shares in prod syst'!$L$47*'Data from Ahlgren et al'!Q47+'Shares in prod syst'!$L$48*'Data from Ahlgren et al'!Q51+'Shares in prod syst'!$L$49*'Data from Ahlgren et al'!Q55</f>
        <v>0</v>
      </c>
      <c r="V59" s="14">
        <f>'Shares in prod syst'!$L$46*'Data from Ahlgren et al'!R43+'Shares in prod syst'!$L$47*'Data from Ahlgren et al'!R47+'Shares in prod syst'!$L$48*'Data from Ahlgren et al'!R51+'Shares in prod syst'!$L$49*'Data from Ahlgren et al'!R55</f>
        <v>0</v>
      </c>
      <c r="W59" s="14">
        <f>'Shares in prod syst'!$L$46*'Data from Ahlgren et al'!S43+'Shares in prod syst'!$L$47*'Data from Ahlgren et al'!S47+'Shares in prod syst'!$L$48*'Data from Ahlgren et al'!S51+'Shares in prod syst'!$L$49*'Data from Ahlgren et al'!S55</f>
        <v>0</v>
      </c>
      <c r="X59" s="14"/>
    </row>
    <row r="60" spans="1:24" ht="15" thickBot="1">
      <c r="A60" s="10" t="s">
        <v>125</v>
      </c>
      <c r="B60" s="10" t="s">
        <v>126</v>
      </c>
      <c r="C60" s="11" t="s">
        <v>127</v>
      </c>
      <c r="D60" s="12" t="s">
        <v>86</v>
      </c>
      <c r="E60" s="12" t="s">
        <v>87</v>
      </c>
      <c r="F60" s="17" t="s">
        <v>132</v>
      </c>
      <c r="G60" s="113">
        <f t="shared" si="0"/>
        <v>2.1950211640915998E-2</v>
      </c>
      <c r="H60" s="119">
        <f>'Shares in prod syst'!$L$46*'Data from Ahlgren et al'!D44+'Shares in prod syst'!$L$47*'Data from Ahlgren et al'!D48+'Shares in prod syst'!$L$48*'Data from Ahlgren et al'!D52+'Shares in prod syst'!$L$49*'Data from Ahlgren et al'!D56</f>
        <v>1.7355823306137294E-3</v>
      </c>
      <c r="I60" s="119">
        <f>'Shares in prod syst'!$L$46*'Data from Ahlgren et al'!E44+'Shares in prod syst'!$L$47*'Data from Ahlgren et al'!E48+'Shares in prod syst'!$L$48*'Data from Ahlgren et al'!E52+'Shares in prod syst'!$L$49*'Data from Ahlgren et al'!E56</f>
        <v>0</v>
      </c>
      <c r="J60" s="119">
        <f>'Shares in prod syst'!$L$46*'Data from Ahlgren et al'!F44+'Shares in prod syst'!$L$47*'Data from Ahlgren et al'!F48+'Shares in prod syst'!$L$48*'Data from Ahlgren et al'!F52+'Shares in prod syst'!$L$49*'Data from Ahlgren et al'!F56</f>
        <v>8.6629166519167217E-3</v>
      </c>
      <c r="K60" s="119">
        <f>'Shares in prod syst'!$L$46*'Data from Ahlgren et al'!G44+'Shares in prod syst'!$L$47*'Data from Ahlgren et al'!G48+'Shares in prod syst'!$L$48*'Data from Ahlgren et al'!G52+'Shares in prod syst'!$L$49*'Data from Ahlgren et al'!G56</f>
        <v>8.6629166519167219E-4</v>
      </c>
      <c r="L60" s="119">
        <f>'Shares in prod syst'!$L$46*'Data from Ahlgren et al'!H44+'Shares in prod syst'!$L$47*'Data from Ahlgren et al'!H48+'Shares in prod syst'!$L$48*'Data from Ahlgren et al'!H52+'Shares in prod syst'!$L$49*'Data from Ahlgren et al'!H56</f>
        <v>0</v>
      </c>
      <c r="M60" s="119">
        <f>'Shares in prod syst'!$L$46*'Data from Ahlgren et al'!I44+'Shares in prod syst'!$L$47*'Data from Ahlgren et al'!I48+'Shares in prod syst'!$L$48*'Data from Ahlgren et al'!I52+'Shares in prod syst'!$L$49*'Data from Ahlgren et al'!I56</f>
        <v>0</v>
      </c>
      <c r="N60" s="119">
        <f>'Shares in prod syst'!$L$46*'Data from Ahlgren et al'!J44+'Shares in prod syst'!$L$47*'Data from Ahlgren et al'!J48+'Shares in prod syst'!$L$48*'Data from Ahlgren et al'!J52+'Shares in prod syst'!$L$49*'Data from Ahlgren et al'!J56</f>
        <v>0</v>
      </c>
      <c r="O60" s="119">
        <f>'Shares in prod syst'!$L$46*'Data from Ahlgren et al'!K44+'Shares in prod syst'!$L$47*'Data from Ahlgren et al'!K48+'Shares in prod syst'!$L$48*'Data from Ahlgren et al'!K52+'Shares in prod syst'!$L$49*'Data from Ahlgren et al'!K56</f>
        <v>0</v>
      </c>
      <c r="P60" s="119">
        <f>'Shares in prod syst'!$L$46*'Data from Ahlgren et al'!L44+'Shares in prod syst'!$L$47*'Data from Ahlgren et al'!L48+'Shares in prod syst'!$L$48*'Data from Ahlgren et al'!L52+'Shares in prod syst'!$L$49*'Data from Ahlgren et al'!L56</f>
        <v>0</v>
      </c>
      <c r="Q60" s="119">
        <f>'Shares in prod syst'!$L$46*'Data from Ahlgren et al'!M44+'Shares in prod syst'!$L$47*'Data from Ahlgren et al'!M48+'Shares in prod syst'!$L$48*'Data from Ahlgren et al'!M52+'Shares in prod syst'!$L$49*'Data from Ahlgren et al'!M56</f>
        <v>0</v>
      </c>
      <c r="R60" s="119">
        <f>'Shares in prod syst'!$L$46*'Data from Ahlgren et al'!N44+'Shares in prod syst'!$L$47*'Data from Ahlgren et al'!N48+'Shares in prod syst'!$L$48*'Data from Ahlgren et al'!N52+'Shares in prod syst'!$L$49*'Data from Ahlgren et al'!N56</f>
        <v>0</v>
      </c>
      <c r="S60" s="119">
        <f>'Shares in prod syst'!$L$46*'Data from Ahlgren et al'!O44+'Shares in prod syst'!$L$47*'Data from Ahlgren et al'!O48+'Shares in prod syst'!$L$48*'Data from Ahlgren et al'!O52+'Shares in prod syst'!$L$49*'Data from Ahlgren et al'!O56</f>
        <v>1.0685420993193874E-2</v>
      </c>
      <c r="T60" s="119">
        <f>'Shares in prod syst'!$L$46*'Data from Ahlgren et al'!P44+'Shares in prod syst'!$L$47*'Data from Ahlgren et al'!P48+'Shares in prod syst'!$L$48*'Data from Ahlgren et al'!P52+'Shares in prod syst'!$L$49*'Data from Ahlgren et al'!P56</f>
        <v>0</v>
      </c>
      <c r="U60" s="119">
        <f>'Shares in prod syst'!$L$46*'Data from Ahlgren et al'!Q44+'Shares in prod syst'!$L$47*'Data from Ahlgren et al'!Q48+'Shares in prod syst'!$L$48*'Data from Ahlgren et al'!Q52+'Shares in prod syst'!$L$49*'Data from Ahlgren et al'!Q56</f>
        <v>0</v>
      </c>
      <c r="V60" s="119">
        <f>'Shares in prod syst'!$L$46*'Data from Ahlgren et al'!R44+'Shares in prod syst'!$L$47*'Data from Ahlgren et al'!R48+'Shares in prod syst'!$L$48*'Data from Ahlgren et al'!R52+'Shares in prod syst'!$L$49*'Data from Ahlgren et al'!R56</f>
        <v>0</v>
      </c>
      <c r="W60" s="119">
        <f>'Shares in prod syst'!$L$46*'Data from Ahlgren et al'!S44+'Shares in prod syst'!$L$47*'Data from Ahlgren et al'!S48+'Shares in prod syst'!$L$48*'Data from Ahlgren et al'!S52+'Shares in prod syst'!$L$49*'Data from Ahlgren et al'!S56</f>
        <v>0</v>
      </c>
      <c r="X60" s="14"/>
    </row>
    <row r="61" spans="1:24" ht="15" thickTop="1">
      <c r="A61" s="69" t="s">
        <v>125</v>
      </c>
      <c r="B61" s="69" t="s">
        <v>126</v>
      </c>
      <c r="C61" s="70" t="s">
        <v>127</v>
      </c>
      <c r="D61" s="71" t="s">
        <v>86</v>
      </c>
      <c r="E61" s="71" t="s">
        <v>87</v>
      </c>
      <c r="F61" s="72" t="s">
        <v>133</v>
      </c>
      <c r="G61" s="114">
        <f t="shared" si="0"/>
        <v>22.649522186692177</v>
      </c>
      <c r="H61" s="115">
        <f>SUMPRODUCT(H57:H60,'CF Climate'!$B$5:$B$8)</f>
        <v>0.94762795251509613</v>
      </c>
      <c r="I61" s="116">
        <f>SUMPRODUCT(I57:I60,'CF Climate'!$B$5:$B$8)</f>
        <v>0</v>
      </c>
      <c r="J61" s="116">
        <f>SUMPRODUCT(J57:J60,'CF Climate'!$B$5:$B$8)</f>
        <v>2.3649762459732648</v>
      </c>
      <c r="K61" s="116">
        <f>SUMPRODUCT(K57:K60,'CF Climate'!$B$5:$B$8)</f>
        <v>0.23649762459732651</v>
      </c>
      <c r="L61" s="116">
        <f>SUMPRODUCT(L57:L60,'CF Climate'!$B$5:$B$8)</f>
        <v>0.56857677150905772</v>
      </c>
      <c r="M61" s="116">
        <f>SUMPRODUCT(M57:M60,'CF Climate'!$B$5:$B$8)</f>
        <v>0</v>
      </c>
      <c r="N61" s="116">
        <f>SUMPRODUCT(N57:N60,'CF Climate'!$B$5:$B$8)</f>
        <v>0</v>
      </c>
      <c r="O61" s="116">
        <f>SUMPRODUCT(O57:O60,'CF Climate'!$B$5:$B$8)</f>
        <v>0</v>
      </c>
      <c r="P61" s="116">
        <f>SUMPRODUCT(P57:P60,'CF Climate'!$B$5:$B$8)</f>
        <v>0</v>
      </c>
      <c r="Q61" s="116">
        <f>SUMPRODUCT(Q57:Q60,'CF Climate'!$B$5:$B$8)</f>
        <v>1.1816660165311001</v>
      </c>
      <c r="R61" s="116">
        <f>SUMPRODUCT(R57:R60,'CF Climate'!$B$5:$B$8)</f>
        <v>10.656886532276438</v>
      </c>
      <c r="S61" s="116">
        <f>SUMPRODUCT(S57:S60,'CF Climate'!$B$5:$B$8)</f>
        <v>5.8342398622838552</v>
      </c>
      <c r="T61" s="116">
        <f>SUMPRODUCT(T57:T60,'CF Climate'!$B$5:$B$8)</f>
        <v>0</v>
      </c>
      <c r="U61" s="116">
        <f>SUMPRODUCT(U57:U60,'CF Climate'!$B$5:$B$8)</f>
        <v>0</v>
      </c>
      <c r="V61" s="116">
        <f>SUMPRODUCT(V57:V60,'CF Climate'!$B$5:$B$8)</f>
        <v>0.37905118100603852</v>
      </c>
      <c r="W61" s="116">
        <f>SUMPRODUCT(W57:W60,'CF Climate'!$B$5:$B$8)</f>
        <v>0.48</v>
      </c>
    </row>
    <row r="62" spans="1:24">
      <c r="A62" s="10" t="s">
        <v>125</v>
      </c>
      <c r="B62" s="10" t="s">
        <v>126</v>
      </c>
      <c r="C62" s="11" t="s">
        <v>127</v>
      </c>
      <c r="D62" s="12" t="s">
        <v>88</v>
      </c>
      <c r="E62" s="12" t="s">
        <v>89</v>
      </c>
      <c r="F62" s="18" t="s">
        <v>129</v>
      </c>
      <c r="G62" s="113">
        <f t="shared" ref="G62:G66" si="9">SUM(H62:W62)</f>
        <v>3.1647852695920209</v>
      </c>
      <c r="H62" s="112">
        <f>'Shares in prod syst'!$M$46*'Data from Ahlgren et al'!D42+'Shares in prod syst'!$M$47*'Data from Ahlgren et al'!D46+'Shares in prod syst'!$M$48*'Data from Ahlgren et al'!D50+'Shares in prod syst'!$M$49*'Data from Ahlgren et al'!D54</f>
        <v>0.47584089534396395</v>
      </c>
      <c r="I62" s="112">
        <f>'Shares in prod syst'!$M$46*'Data from Ahlgren et al'!E42+'Shares in prod syst'!$M$47*'Data from Ahlgren et al'!E46+'Shares in prod syst'!$M$48*'Data from Ahlgren et al'!E50+'Shares in prod syst'!$M$49*'Data from Ahlgren et al'!E54</f>
        <v>0</v>
      </c>
      <c r="J62" s="112">
        <f>'Shares in prod syst'!$M$46*'Data from Ahlgren et al'!F42+'Shares in prod syst'!$M$47*'Data from Ahlgren et al'!F46+'Shares in prod syst'!$M$48*'Data from Ahlgren et al'!F50+'Shares in prod syst'!$M$49*'Data from Ahlgren et al'!F54</f>
        <v>0</v>
      </c>
      <c r="K62" s="112">
        <f>'Shares in prod syst'!$M$46*'Data from Ahlgren et al'!G42+'Shares in prod syst'!$M$47*'Data from Ahlgren et al'!G46+'Shares in prod syst'!$M$48*'Data from Ahlgren et al'!G50+'Shares in prod syst'!$M$49*'Data from Ahlgren et al'!G54</f>
        <v>0</v>
      </c>
      <c r="L62" s="112">
        <f>'Shares in prod syst'!$M$46*'Data from Ahlgren et al'!H42+'Shares in prod syst'!$M$47*'Data from Ahlgren et al'!H46+'Shares in prod syst'!$M$48*'Data from Ahlgren et al'!H50+'Shares in prod syst'!$M$49*'Data from Ahlgren et al'!H54</f>
        <v>0.57100907441275661</v>
      </c>
      <c r="M62" s="112">
        <f>'Shares in prod syst'!$M$46*'Data from Ahlgren et al'!I42+'Shares in prod syst'!$M$47*'Data from Ahlgren et al'!I46+'Shares in prod syst'!$M$48*'Data from Ahlgren et al'!I50+'Shares in prod syst'!$M$49*'Data from Ahlgren et al'!I54</f>
        <v>0</v>
      </c>
      <c r="N62" s="112">
        <f>'Shares in prod syst'!$M$46*'Data from Ahlgren et al'!J42+'Shares in prod syst'!$M$47*'Data from Ahlgren et al'!J46+'Shares in prod syst'!$M$48*'Data from Ahlgren et al'!J50+'Shares in prod syst'!$M$49*'Data from Ahlgren et al'!J54</f>
        <v>0</v>
      </c>
      <c r="O62" s="112">
        <f>'Shares in prod syst'!$M$46*'Data from Ahlgren et al'!K42+'Shares in prod syst'!$M$47*'Data from Ahlgren et al'!K46+'Shares in prod syst'!$M$48*'Data from Ahlgren et al'!K50+'Shares in prod syst'!$M$49*'Data from Ahlgren et al'!K54</f>
        <v>0</v>
      </c>
      <c r="P62" s="112">
        <f>'Shares in prod syst'!$M$46*'Data from Ahlgren et al'!L42+'Shares in prod syst'!$M$47*'Data from Ahlgren et al'!L46+'Shares in prod syst'!$M$48*'Data from Ahlgren et al'!L50+'Shares in prod syst'!$M$49*'Data from Ahlgren et al'!L54</f>
        <v>0</v>
      </c>
      <c r="Q62" s="112">
        <f>'Shares in prod syst'!$M$46*'Data from Ahlgren et al'!M42+'Shares in prod syst'!$M$47*'Data from Ahlgren et al'!M46+'Shares in prod syst'!$M$48*'Data from Ahlgren et al'!M50+'Shares in prod syst'!$M$49*'Data from Ahlgren et al'!M54</f>
        <v>1.257262583560129</v>
      </c>
      <c r="R62" s="112">
        <f>'Shares in prod syst'!$M$46*'Data from Ahlgren et al'!N42+'Shares in prod syst'!$M$47*'Data from Ahlgren et al'!N46+'Shares in prod syst'!$M$48*'Data from Ahlgren et al'!N50+'Shares in prod syst'!$M$49*'Data from Ahlgren et al'!N54</f>
        <v>0</v>
      </c>
      <c r="S62" s="112">
        <f>'Shares in prod syst'!$M$46*'Data from Ahlgren et al'!O42+'Shares in prod syst'!$M$47*'Data from Ahlgren et al'!O46+'Shares in prod syst'!$M$48*'Data from Ahlgren et al'!O50+'Shares in prod syst'!$M$49*'Data from Ahlgren et al'!O54</f>
        <v>0</v>
      </c>
      <c r="T62" s="112">
        <f>'Shares in prod syst'!$M$46*'Data from Ahlgren et al'!P42+'Shares in prod syst'!$M$47*'Data from Ahlgren et al'!P46+'Shares in prod syst'!$M$48*'Data from Ahlgren et al'!P50+'Shares in prod syst'!$M$49*'Data from Ahlgren et al'!P54</f>
        <v>0</v>
      </c>
      <c r="U62" s="112">
        <f>'Shares in prod syst'!$M$46*'Data from Ahlgren et al'!Q42+'Shares in prod syst'!$M$47*'Data from Ahlgren et al'!Q46+'Shares in prod syst'!$M$48*'Data from Ahlgren et al'!Q50+'Shares in prod syst'!$M$49*'Data from Ahlgren et al'!Q54</f>
        <v>0</v>
      </c>
      <c r="V62" s="112">
        <f>'Shares in prod syst'!$M$46*'Data from Ahlgren et al'!R42+'Shares in prod syst'!$M$47*'Data from Ahlgren et al'!R46+'Shares in prod syst'!$M$48*'Data from Ahlgren et al'!R50+'Shares in prod syst'!$M$49*'Data from Ahlgren et al'!R54</f>
        <v>0.38067271627517113</v>
      </c>
      <c r="W62" s="112">
        <f>'Shares in prod syst'!$M$46*'Data from Ahlgren et al'!S42+'Shares in prod syst'!$M$47*'Data from Ahlgren et al'!S46+'Shares in prod syst'!$M$48*'Data from Ahlgren et al'!S50+'Shares in prod syst'!$M$49*'Data from Ahlgren et al'!S54</f>
        <v>0.48</v>
      </c>
    </row>
    <row r="63" spans="1:24">
      <c r="A63" s="10" t="s">
        <v>125</v>
      </c>
      <c r="B63" s="10" t="s">
        <v>126</v>
      </c>
      <c r="C63" s="11" t="s">
        <v>127</v>
      </c>
      <c r="D63" s="12" t="s">
        <v>88</v>
      </c>
      <c r="E63" s="12" t="s">
        <v>89</v>
      </c>
      <c r="F63" s="10" t="s">
        <v>130</v>
      </c>
      <c r="G63" s="113">
        <f t="shared" ref="G63" si="10">SUM(H63:W63)</f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</row>
    <row r="64" spans="1:24">
      <c r="A64" s="10" t="s">
        <v>125</v>
      </c>
      <c r="B64" s="10" t="s">
        <v>126</v>
      </c>
      <c r="C64" s="11" t="s">
        <v>127</v>
      </c>
      <c r="D64" s="12" t="s">
        <v>88</v>
      </c>
      <c r="E64" s="12" t="s">
        <v>89</v>
      </c>
      <c r="F64" s="10" t="s">
        <v>131</v>
      </c>
      <c r="G64" s="113">
        <f t="shared" si="9"/>
        <v>0.52365397212910758</v>
      </c>
      <c r="H64" s="14">
        <f>'Shares in prod syst'!$M$46*'Data from Ahlgren et al'!D43+'Shares in prod syst'!$M$47*'Data from Ahlgren et al'!D47+'Shares in prod syst'!$M$48*'Data from Ahlgren et al'!D51+'Shares in prod syst'!$M$49*'Data from Ahlgren et al'!D55</f>
        <v>0</v>
      </c>
      <c r="I64" s="14">
        <f>'Shares in prod syst'!$M$46*'Data from Ahlgren et al'!E43+'Shares in prod syst'!$M$47*'Data from Ahlgren et al'!E47+'Shares in prod syst'!$M$48*'Data from Ahlgren et al'!E51+'Shares in prod syst'!$M$49*'Data from Ahlgren et al'!E55</f>
        <v>0</v>
      </c>
      <c r="J64" s="14">
        <f>'Shares in prod syst'!$M$46*'Data from Ahlgren et al'!F43+'Shares in prod syst'!$M$47*'Data from Ahlgren et al'!F47+'Shares in prod syst'!$M$48*'Data from Ahlgren et al'!F51+'Shares in prod syst'!$M$49*'Data from Ahlgren et al'!F55</f>
        <v>0</v>
      </c>
      <c r="K64" s="14">
        <f>'Shares in prod syst'!$M$46*'Data from Ahlgren et al'!G43+'Shares in prod syst'!$M$47*'Data from Ahlgren et al'!G47+'Shares in prod syst'!$M$48*'Data from Ahlgren et al'!G51+'Shares in prod syst'!$M$49*'Data from Ahlgren et al'!G55</f>
        <v>0</v>
      </c>
      <c r="L64" s="14">
        <f>'Shares in prod syst'!$M$46*'Data from Ahlgren et al'!H43+'Shares in prod syst'!$M$47*'Data from Ahlgren et al'!H47+'Shares in prod syst'!$M$48*'Data from Ahlgren et al'!H51+'Shares in prod syst'!$M$49*'Data from Ahlgren et al'!H55</f>
        <v>0</v>
      </c>
      <c r="M64" s="14">
        <f>'Shares in prod syst'!$M$46*'Data from Ahlgren et al'!I43+'Shares in prod syst'!$M$47*'Data from Ahlgren et al'!I47+'Shares in prod syst'!$M$48*'Data from Ahlgren et al'!I51+'Shares in prod syst'!$M$49*'Data from Ahlgren et al'!I55</f>
        <v>0</v>
      </c>
      <c r="N64" s="14">
        <f>'Shares in prod syst'!$M$46*'Data from Ahlgren et al'!J43+'Shares in prod syst'!$M$47*'Data from Ahlgren et al'!J47+'Shares in prod syst'!$M$48*'Data from Ahlgren et al'!J51+'Shares in prod syst'!$M$49*'Data from Ahlgren et al'!J55</f>
        <v>0</v>
      </c>
      <c r="O64" s="14">
        <f>'Shares in prod syst'!$M$46*'Data from Ahlgren et al'!K43+'Shares in prod syst'!$M$47*'Data from Ahlgren et al'!K47+'Shares in prod syst'!$M$48*'Data from Ahlgren et al'!K51+'Shares in prod syst'!$M$49*'Data from Ahlgren et al'!K55</f>
        <v>0</v>
      </c>
      <c r="P64" s="14">
        <f>'Shares in prod syst'!$M$46*'Data from Ahlgren et al'!L43+'Shares in prod syst'!$M$47*'Data from Ahlgren et al'!L47+'Shares in prod syst'!$M$48*'Data from Ahlgren et al'!L51+'Shares in prod syst'!$M$49*'Data from Ahlgren et al'!L55</f>
        <v>0</v>
      </c>
      <c r="Q64" s="14">
        <f>'Shares in prod syst'!$M$46*'Data from Ahlgren et al'!M43+'Shares in prod syst'!$M$47*'Data from Ahlgren et al'!M47+'Shares in prod syst'!$M$48*'Data from Ahlgren et al'!M51+'Shares in prod syst'!$M$49*'Data from Ahlgren et al'!M55</f>
        <v>0</v>
      </c>
      <c r="R64" s="14">
        <f>'Shares in prod syst'!$M$46*'Data from Ahlgren et al'!N43+'Shares in prod syst'!$M$47*'Data from Ahlgren et al'!N47+'Shares in prod syst'!$M$48*'Data from Ahlgren et al'!N51+'Shares in prod syst'!$M$49*'Data from Ahlgren et al'!N55</f>
        <v>0.41048020130355728</v>
      </c>
      <c r="S64" s="14">
        <f>'Shares in prod syst'!$M$46*'Data from Ahlgren et al'!O43+'Shares in prod syst'!$M$47*'Data from Ahlgren et al'!O47+'Shares in prod syst'!$M$48*'Data from Ahlgren et al'!O51+'Shares in prod syst'!$M$49*'Data from Ahlgren et al'!O55</f>
        <v>0.11317377082555025</v>
      </c>
      <c r="T64" s="14">
        <f>'Shares in prod syst'!$M$46*'Data from Ahlgren et al'!P43+'Shares in prod syst'!$M$47*'Data from Ahlgren et al'!P47+'Shares in prod syst'!$M$48*'Data from Ahlgren et al'!P51+'Shares in prod syst'!$M$49*'Data from Ahlgren et al'!P55</f>
        <v>0</v>
      </c>
      <c r="U64" s="14">
        <f>'Shares in prod syst'!$M$46*'Data from Ahlgren et al'!Q43+'Shares in prod syst'!$M$47*'Data from Ahlgren et al'!Q47+'Shares in prod syst'!$M$48*'Data from Ahlgren et al'!Q51+'Shares in prod syst'!$M$49*'Data from Ahlgren et al'!Q55</f>
        <v>0</v>
      </c>
      <c r="V64" s="14">
        <f>'Shares in prod syst'!$M$46*'Data from Ahlgren et al'!R43+'Shares in prod syst'!$M$47*'Data from Ahlgren et al'!R47+'Shares in prod syst'!$M$48*'Data from Ahlgren et al'!R51+'Shares in prod syst'!$M$49*'Data from Ahlgren et al'!R55</f>
        <v>0</v>
      </c>
      <c r="W64" s="14">
        <f>'Shares in prod syst'!$M$46*'Data from Ahlgren et al'!S43+'Shares in prod syst'!$M$47*'Data from Ahlgren et al'!S47+'Shares in prod syst'!$M$48*'Data from Ahlgren et al'!S51+'Shares in prod syst'!$M$49*'Data from Ahlgren et al'!S55</f>
        <v>0</v>
      </c>
    </row>
    <row r="65" spans="1:23" ht="15" thickBot="1">
      <c r="A65" s="10" t="s">
        <v>125</v>
      </c>
      <c r="B65" s="10" t="s">
        <v>126</v>
      </c>
      <c r="C65" s="11" t="s">
        <v>127</v>
      </c>
      <c r="D65" s="12" t="s">
        <v>88</v>
      </c>
      <c r="E65" s="12" t="s">
        <v>89</v>
      </c>
      <c r="F65" s="17" t="s">
        <v>132</v>
      </c>
      <c r="G65" s="113">
        <f t="shared" si="9"/>
        <v>2.2724321359807197E-2</v>
      </c>
      <c r="H65" s="119">
        <f>'Shares in prod syst'!$M$46*'Data from Ahlgren et al'!D44+'Shares in prod syst'!$M$47*'Data from Ahlgren et al'!D48+'Shares in prod syst'!$M$48*'Data from Ahlgren et al'!D52+'Shares in prod syst'!$M$49*'Data from Ahlgren et al'!D56</f>
        <v>1.7430069426518824E-3</v>
      </c>
      <c r="I65" s="119">
        <f>'Shares in prod syst'!$M$46*'Data from Ahlgren et al'!E44+'Shares in prod syst'!$M$47*'Data from Ahlgren et al'!E48+'Shares in prod syst'!$M$48*'Data from Ahlgren et al'!E52+'Shares in prod syst'!$M$49*'Data from Ahlgren et al'!E56</f>
        <v>0</v>
      </c>
      <c r="J65" s="119">
        <f>'Shares in prod syst'!$M$46*'Data from Ahlgren et al'!F44+'Shares in prod syst'!$M$47*'Data from Ahlgren et al'!F48+'Shares in prod syst'!$M$48*'Data from Ahlgren et al'!F52+'Shares in prod syst'!$M$49*'Data from Ahlgren et al'!F56</f>
        <v>8.8984582870247908E-3</v>
      </c>
      <c r="K65" s="119">
        <f>'Shares in prod syst'!$M$46*'Data from Ahlgren et al'!G44+'Shares in prod syst'!$M$47*'Data from Ahlgren et al'!G48+'Shares in prod syst'!$M$48*'Data from Ahlgren et al'!G52+'Shares in prod syst'!$M$49*'Data from Ahlgren et al'!G56</f>
        <v>8.8984582870247904E-4</v>
      </c>
      <c r="L65" s="119">
        <f>'Shares in prod syst'!$M$46*'Data from Ahlgren et al'!H44+'Shares in prod syst'!$M$47*'Data from Ahlgren et al'!H48+'Shares in prod syst'!$M$48*'Data from Ahlgren et al'!H52+'Shares in prod syst'!$M$49*'Data from Ahlgren et al'!H56</f>
        <v>0</v>
      </c>
      <c r="M65" s="119">
        <f>'Shares in prod syst'!$M$46*'Data from Ahlgren et al'!I44+'Shares in prod syst'!$M$47*'Data from Ahlgren et al'!I48+'Shares in prod syst'!$M$48*'Data from Ahlgren et al'!I52+'Shares in prod syst'!$M$49*'Data from Ahlgren et al'!I56</f>
        <v>0</v>
      </c>
      <c r="N65" s="119">
        <f>'Shares in prod syst'!$M$46*'Data from Ahlgren et al'!J44+'Shares in prod syst'!$M$47*'Data from Ahlgren et al'!J48+'Shares in prod syst'!$M$48*'Data from Ahlgren et al'!J52+'Shares in prod syst'!$M$49*'Data from Ahlgren et al'!J56</f>
        <v>0</v>
      </c>
      <c r="O65" s="119">
        <f>'Shares in prod syst'!$M$46*'Data from Ahlgren et al'!K44+'Shares in prod syst'!$M$47*'Data from Ahlgren et al'!K48+'Shares in prod syst'!$M$48*'Data from Ahlgren et al'!K52+'Shares in prod syst'!$M$49*'Data from Ahlgren et al'!K56</f>
        <v>0</v>
      </c>
      <c r="P65" s="119">
        <f>'Shares in prod syst'!$M$46*'Data from Ahlgren et al'!L44+'Shares in prod syst'!$M$47*'Data from Ahlgren et al'!L48+'Shares in prod syst'!$M$48*'Data from Ahlgren et al'!L52+'Shares in prod syst'!$M$49*'Data from Ahlgren et al'!L56</f>
        <v>0</v>
      </c>
      <c r="Q65" s="119">
        <f>'Shares in prod syst'!$M$46*'Data from Ahlgren et al'!M44+'Shares in prod syst'!$M$47*'Data from Ahlgren et al'!M48+'Shares in prod syst'!$M$48*'Data from Ahlgren et al'!M52+'Shares in prod syst'!$M$49*'Data from Ahlgren et al'!M56</f>
        <v>0</v>
      </c>
      <c r="R65" s="119">
        <f>'Shares in prod syst'!$M$46*'Data from Ahlgren et al'!N44+'Shares in prod syst'!$M$47*'Data from Ahlgren et al'!N48+'Shares in prod syst'!$M$48*'Data from Ahlgren et al'!N52+'Shares in prod syst'!$M$49*'Data from Ahlgren et al'!N56</f>
        <v>0</v>
      </c>
      <c r="S65" s="119">
        <f>'Shares in prod syst'!$M$46*'Data from Ahlgren et al'!O44+'Shares in prod syst'!$M$47*'Data from Ahlgren et al'!O48+'Shares in prod syst'!$M$48*'Data from Ahlgren et al'!O52+'Shares in prod syst'!$M$49*'Data from Ahlgren et al'!O56</f>
        <v>1.1193010301428044E-2</v>
      </c>
      <c r="T65" s="119">
        <f>'Shares in prod syst'!$M$46*'Data from Ahlgren et al'!P44+'Shares in prod syst'!$M$47*'Data from Ahlgren et al'!P48+'Shares in prod syst'!$M$48*'Data from Ahlgren et al'!P52+'Shares in prod syst'!$M$49*'Data from Ahlgren et al'!P56</f>
        <v>0</v>
      </c>
      <c r="U65" s="119">
        <f>'Shares in prod syst'!$M$46*'Data from Ahlgren et al'!Q44+'Shares in prod syst'!$M$47*'Data from Ahlgren et al'!Q48+'Shares in prod syst'!$M$48*'Data from Ahlgren et al'!Q52+'Shares in prod syst'!$M$49*'Data from Ahlgren et al'!Q56</f>
        <v>0</v>
      </c>
      <c r="V65" s="119">
        <f>'Shares in prod syst'!$M$46*'Data from Ahlgren et al'!R44+'Shares in prod syst'!$M$47*'Data from Ahlgren et al'!R48+'Shares in prod syst'!$M$48*'Data from Ahlgren et al'!R52+'Shares in prod syst'!$M$49*'Data from Ahlgren et al'!R56</f>
        <v>0</v>
      </c>
      <c r="W65" s="119">
        <f>'Shares in prod syst'!$M$46*'Data from Ahlgren et al'!S44+'Shares in prod syst'!$M$47*'Data from Ahlgren et al'!S48+'Shares in prod syst'!$M$48*'Data from Ahlgren et al'!S52+'Shares in prod syst'!$M$49*'Data from Ahlgren et al'!S56</f>
        <v>0</v>
      </c>
    </row>
    <row r="66" spans="1:23" ht="15" thickTop="1">
      <c r="A66" s="69" t="s">
        <v>125</v>
      </c>
      <c r="B66" s="69" t="s">
        <v>126</v>
      </c>
      <c r="C66" s="70" t="s">
        <v>127</v>
      </c>
      <c r="D66" s="71" t="s">
        <v>88</v>
      </c>
      <c r="E66" s="71" t="s">
        <v>89</v>
      </c>
      <c r="F66" s="72" t="s">
        <v>133</v>
      </c>
      <c r="G66" s="114">
        <f t="shared" si="9"/>
        <v>23.507182248305288</v>
      </c>
      <c r="H66" s="117">
        <f>SUMPRODUCT(H62:H65,'CF Climate'!$B$5:$B$8)</f>
        <v>0.9516817906879278</v>
      </c>
      <c r="I66" s="118">
        <f>SUMPRODUCT(I62:I65,'CF Climate'!$B$5:$B$8)</f>
        <v>0</v>
      </c>
      <c r="J66" s="118">
        <f>SUMPRODUCT(J62:J65,'CF Climate'!$B$5:$B$8)</f>
        <v>2.4292791123577677</v>
      </c>
      <c r="K66" s="118">
        <f>SUMPRODUCT(K62:K65,'CF Climate'!$B$5:$B$8)</f>
        <v>0.24292791123577678</v>
      </c>
      <c r="L66" s="118">
        <f>SUMPRODUCT(L62:L65,'CF Climate'!$B$5:$B$8)</f>
        <v>0.57100907441275661</v>
      </c>
      <c r="M66" s="118">
        <f>SUMPRODUCT(M62:M65,'CF Climate'!$B$5:$B$8)</f>
        <v>0</v>
      </c>
      <c r="N66" s="118">
        <f>SUMPRODUCT(N62:N65,'CF Climate'!$B$5:$B$8)</f>
        <v>0</v>
      </c>
      <c r="O66" s="118">
        <f>SUMPRODUCT(O62:O65,'CF Climate'!$B$5:$B$8)</f>
        <v>0</v>
      </c>
      <c r="P66" s="118">
        <f>SUMPRODUCT(P62:P65,'CF Climate'!$B$5:$B$8)</f>
        <v>0</v>
      </c>
      <c r="Q66" s="118">
        <f>SUMPRODUCT(Q62:Q65,'CF Climate'!$B$5:$B$8)</f>
        <v>1.257262583560129</v>
      </c>
      <c r="R66" s="118">
        <f>SUMPRODUCT(R62:R65,'CF Climate'!$B$5:$B$8)</f>
        <v>11.082965435196046</v>
      </c>
      <c r="S66" s="118">
        <f>SUMPRODUCT(S62:S65,'CF Climate'!$B$5:$B$8)</f>
        <v>6.1113836245797124</v>
      </c>
      <c r="T66" s="118">
        <f>SUMPRODUCT(T62:T65,'CF Climate'!$B$5:$B$8)</f>
        <v>0</v>
      </c>
      <c r="U66" s="118">
        <f>SUMPRODUCT(U62:U65,'CF Climate'!$B$5:$B$8)</f>
        <v>0</v>
      </c>
      <c r="V66" s="118">
        <f>SUMPRODUCT(V62:V65,'CF Climate'!$B$5:$B$8)</f>
        <v>0.38067271627517113</v>
      </c>
      <c r="W66" s="118">
        <f>SUMPRODUCT(W62:W65,'CF Climate'!$B$5:$B$8)</f>
        <v>0.48</v>
      </c>
    </row>
    <row r="67" spans="1:23">
      <c r="T67"/>
      <c r="U67"/>
    </row>
    <row r="68" spans="1:23">
      <c r="T68"/>
      <c r="U68"/>
    </row>
    <row r="69" spans="1:23">
      <c r="T69"/>
      <c r="U6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DCDC-96D9-4AC5-9C2B-C71E7DB6CD67}">
  <sheetPr>
    <tabColor theme="4" tint="0.59999389629810485"/>
  </sheetPr>
  <dimension ref="A2:W60"/>
  <sheetViews>
    <sheetView zoomScale="73" workbookViewId="0">
      <selection activeCell="I8" sqref="I8"/>
    </sheetView>
  </sheetViews>
  <sheetFormatPr defaultRowHeight="14.45"/>
  <cols>
    <col min="1" max="1" width="20.7109375" customWidth="1"/>
    <col min="2" max="3" width="6.7109375" customWidth="1"/>
    <col min="4" max="13" width="20.7109375" customWidth="1"/>
    <col min="14" max="15" width="12" bestFit="1" customWidth="1"/>
    <col min="18" max="18" width="12" bestFit="1" customWidth="1"/>
    <col min="19" max="19" width="16.7109375" customWidth="1"/>
    <col min="20" max="21" width="12" bestFit="1" customWidth="1"/>
  </cols>
  <sheetData>
    <row r="2" spans="1:15" ht="21">
      <c r="A2" s="1" t="s">
        <v>138</v>
      </c>
    </row>
    <row r="4" spans="1:15">
      <c r="A4" s="80" t="s">
        <v>139</v>
      </c>
      <c r="K4" t="s">
        <v>140</v>
      </c>
      <c r="N4" t="s">
        <v>141</v>
      </c>
    </row>
    <row r="6" spans="1:15" s="98" customFormat="1" ht="43.15">
      <c r="A6" s="95"/>
      <c r="B6" s="96"/>
      <c r="C6" s="96"/>
      <c r="D6" s="96" t="s">
        <v>142</v>
      </c>
      <c r="E6" s="96" t="s">
        <v>143</v>
      </c>
      <c r="F6" s="96" t="s">
        <v>144</v>
      </c>
      <c r="G6" s="96" t="s">
        <v>145</v>
      </c>
      <c r="H6" s="96" t="s">
        <v>146</v>
      </c>
      <c r="I6" s="97" t="s">
        <v>147</v>
      </c>
      <c r="K6" s="95" t="s">
        <v>148</v>
      </c>
      <c r="L6" s="97" t="s">
        <v>149</v>
      </c>
      <c r="N6" s="95" t="s">
        <v>150</v>
      </c>
      <c r="O6" s="97"/>
    </row>
    <row r="7" spans="1:15">
      <c r="A7" s="84" t="s">
        <v>151</v>
      </c>
      <c r="B7" t="s">
        <v>152</v>
      </c>
      <c r="D7">
        <v>5.9394412106313297</v>
      </c>
      <c r="E7">
        <v>2.88211486154121</v>
      </c>
      <c r="F7">
        <v>1.89853787445953</v>
      </c>
      <c r="G7">
        <v>1.8519476966291999</v>
      </c>
      <c r="H7">
        <v>0.56060773366533601</v>
      </c>
      <c r="I7" s="85">
        <v>13.132649376926601</v>
      </c>
      <c r="K7" s="84"/>
      <c r="L7" s="85"/>
      <c r="N7" s="84"/>
      <c r="O7" s="85"/>
    </row>
    <row r="8" spans="1:15">
      <c r="A8" s="84"/>
      <c r="B8" s="65" t="s">
        <v>153</v>
      </c>
      <c r="C8" s="65"/>
      <c r="D8" s="65">
        <v>6.0308873048824898</v>
      </c>
      <c r="E8" s="65">
        <v>2.8161769348251258</v>
      </c>
      <c r="F8" s="65">
        <v>1.6483626116990797</v>
      </c>
      <c r="G8" s="65">
        <v>1.7390150065454608</v>
      </c>
      <c r="H8" s="65">
        <v>0.54586337222386216</v>
      </c>
      <c r="I8" s="94">
        <v>12.780305230176019</v>
      </c>
      <c r="K8" s="125">
        <v>19</v>
      </c>
      <c r="L8" s="94"/>
      <c r="N8" s="125">
        <v>6.5000000000000002E-2</v>
      </c>
      <c r="O8" s="94"/>
    </row>
    <row r="9" spans="1:15">
      <c r="A9" s="84"/>
      <c r="B9" t="s">
        <v>154</v>
      </c>
      <c r="D9">
        <v>6.8351618159079166</v>
      </c>
      <c r="E9">
        <v>3.4765195166373135</v>
      </c>
      <c r="F9">
        <v>1.4313500022084424</v>
      </c>
      <c r="G9">
        <v>1.1974131818893261</v>
      </c>
      <c r="H9">
        <v>0.77106148112275119</v>
      </c>
      <c r="I9" s="85">
        <v>13.711505997765752</v>
      </c>
      <c r="K9" s="84"/>
      <c r="L9" s="85"/>
      <c r="N9" s="84"/>
      <c r="O9" s="85"/>
    </row>
    <row r="10" spans="1:15">
      <c r="A10" s="84"/>
      <c r="D10">
        <v>0</v>
      </c>
      <c r="E10">
        <v>0</v>
      </c>
      <c r="F10">
        <v>0</v>
      </c>
      <c r="G10">
        <v>0</v>
      </c>
      <c r="H10">
        <v>0</v>
      </c>
      <c r="I10" s="85">
        <v>0</v>
      </c>
      <c r="K10" s="84"/>
      <c r="L10" s="85"/>
      <c r="N10" s="84"/>
      <c r="O10" s="85"/>
    </row>
    <row r="11" spans="1:15">
      <c r="A11" s="84" t="s">
        <v>155</v>
      </c>
      <c r="B11" t="s">
        <v>152</v>
      </c>
      <c r="D11">
        <v>9.3648111245130394</v>
      </c>
      <c r="E11">
        <v>5.1842116192546301</v>
      </c>
      <c r="F11">
        <v>2.13016788941193</v>
      </c>
      <c r="G11">
        <v>1.4139095652390301</v>
      </c>
      <c r="H11">
        <v>1.3523137133862999</v>
      </c>
      <c r="I11" s="85">
        <v>19.445413911804899</v>
      </c>
      <c r="K11" s="84"/>
      <c r="L11" s="85"/>
      <c r="N11" s="84"/>
      <c r="O11" s="85"/>
    </row>
    <row r="12" spans="1:15">
      <c r="A12" s="84"/>
      <c r="B12" s="65" t="s">
        <v>153</v>
      </c>
      <c r="C12" s="65"/>
      <c r="D12" s="65">
        <v>9.4042775133532768</v>
      </c>
      <c r="E12" s="65">
        <v>4.9544741677615765</v>
      </c>
      <c r="F12" s="65">
        <v>2.0436285847119771</v>
      </c>
      <c r="G12" s="65">
        <v>1.3827302585039318</v>
      </c>
      <c r="H12" s="65">
        <v>1.3079528728264227</v>
      </c>
      <c r="I12" s="94">
        <v>19.093063397157188</v>
      </c>
      <c r="K12" s="125">
        <v>15</v>
      </c>
      <c r="L12" s="94">
        <v>32</v>
      </c>
      <c r="N12" s="125">
        <v>0.14000000000000001</v>
      </c>
      <c r="O12" s="94"/>
    </row>
    <row r="13" spans="1:15">
      <c r="A13" s="84"/>
      <c r="B13" t="s">
        <v>154</v>
      </c>
      <c r="D13">
        <v>9.1819520076433072</v>
      </c>
      <c r="E13">
        <v>5.2227794219578403</v>
      </c>
      <c r="F13">
        <v>1.9496079428323896</v>
      </c>
      <c r="G13">
        <v>1.4743933631500732</v>
      </c>
      <c r="H13">
        <v>1.2326822279712826</v>
      </c>
      <c r="I13" s="85">
        <v>19.061414963554892</v>
      </c>
      <c r="K13" s="84"/>
      <c r="L13" s="85"/>
      <c r="N13" s="84"/>
      <c r="O13" s="85"/>
    </row>
    <row r="14" spans="1:15">
      <c r="A14" s="84"/>
      <c r="D14">
        <v>0</v>
      </c>
      <c r="E14">
        <v>0</v>
      </c>
      <c r="F14">
        <v>0</v>
      </c>
      <c r="G14">
        <v>0</v>
      </c>
      <c r="H14">
        <v>0</v>
      </c>
      <c r="I14" s="85">
        <v>0</v>
      </c>
      <c r="K14" s="84"/>
      <c r="L14" s="85"/>
      <c r="N14" s="84"/>
      <c r="O14" s="85"/>
    </row>
    <row r="15" spans="1:15">
      <c r="A15" s="84" t="s">
        <v>156</v>
      </c>
      <c r="B15" t="s">
        <v>152</v>
      </c>
      <c r="D15">
        <v>9.7546916412359153</v>
      </c>
      <c r="E15">
        <v>4.5214700456641079</v>
      </c>
      <c r="F15">
        <v>3.1126182356412455</v>
      </c>
      <c r="G15">
        <v>2.8078332000519559</v>
      </c>
      <c r="H15">
        <v>1.346709409840986</v>
      </c>
      <c r="I15" s="85">
        <v>21.54332253243421</v>
      </c>
      <c r="K15" s="84"/>
      <c r="L15" s="85"/>
      <c r="N15" s="84"/>
      <c r="O15" s="85"/>
    </row>
    <row r="16" spans="1:15">
      <c r="A16" s="84"/>
      <c r="B16" t="s">
        <v>153</v>
      </c>
      <c r="D16">
        <v>9.4449020442696252</v>
      </c>
      <c r="E16">
        <v>4.104075652096471</v>
      </c>
      <c r="F16">
        <v>2.7241794773553445</v>
      </c>
      <c r="G16">
        <v>2.7355111099528204</v>
      </c>
      <c r="H16">
        <v>0.95530801070138949</v>
      </c>
      <c r="I16" s="85">
        <v>19.963976294375652</v>
      </c>
      <c r="K16" s="84"/>
      <c r="L16" s="85"/>
      <c r="N16" s="84"/>
      <c r="O16" s="85"/>
    </row>
    <row r="17" spans="1:20">
      <c r="A17" s="84"/>
      <c r="B17" t="s">
        <v>154</v>
      </c>
      <c r="D17">
        <v>12.474300404856706</v>
      </c>
      <c r="E17">
        <v>6.2141619854510273</v>
      </c>
      <c r="F17">
        <v>2.599327084287558</v>
      </c>
      <c r="G17">
        <v>1.8053221173120155</v>
      </c>
      <c r="H17">
        <v>1.9545607194445136</v>
      </c>
      <c r="I17" s="85">
        <v>25.047672311351825</v>
      </c>
      <c r="K17" s="84"/>
      <c r="L17" s="85"/>
      <c r="N17" s="84"/>
      <c r="O17" s="85"/>
    </row>
    <row r="18" spans="1:20">
      <c r="A18" s="84"/>
      <c r="D18">
        <v>0</v>
      </c>
      <c r="E18">
        <v>0</v>
      </c>
      <c r="F18">
        <v>0</v>
      </c>
      <c r="G18">
        <v>0</v>
      </c>
      <c r="H18">
        <v>0</v>
      </c>
      <c r="I18" s="85">
        <v>0</v>
      </c>
      <c r="K18" s="84"/>
      <c r="L18" s="85"/>
      <c r="N18" s="84"/>
      <c r="O18" s="85"/>
    </row>
    <row r="19" spans="1:20">
      <c r="A19" s="84" t="s">
        <v>157</v>
      </c>
      <c r="B19" t="s">
        <v>152</v>
      </c>
      <c r="D19">
        <v>13.594746183723807</v>
      </c>
      <c r="E19">
        <v>8.2248390755655052</v>
      </c>
      <c r="F19">
        <v>3.0881711705265111</v>
      </c>
      <c r="G19">
        <v>2.3886297698531815</v>
      </c>
      <c r="H19">
        <v>2.1976081041213424</v>
      </c>
      <c r="I19" s="85">
        <v>29.493994303790348</v>
      </c>
      <c r="K19" s="84"/>
      <c r="L19" s="85"/>
      <c r="N19" s="84"/>
      <c r="O19" s="85"/>
    </row>
    <row r="20" spans="1:20">
      <c r="A20" s="84"/>
      <c r="B20" s="65" t="s">
        <v>153</v>
      </c>
      <c r="C20" s="65"/>
      <c r="D20" s="65">
        <v>13.689454296540402</v>
      </c>
      <c r="E20" s="65">
        <v>7.8541439115152158</v>
      </c>
      <c r="F20" s="65">
        <v>2.9190496859859021</v>
      </c>
      <c r="G20" s="65">
        <v>2.3090449956425179</v>
      </c>
      <c r="H20" s="65">
        <v>1.906573954549565</v>
      </c>
      <c r="I20" s="94">
        <v>28.678266844233605</v>
      </c>
      <c r="K20" s="125">
        <v>23</v>
      </c>
      <c r="L20" s="94">
        <v>60</v>
      </c>
      <c r="N20" s="125">
        <v>0.18</v>
      </c>
      <c r="O20" s="94"/>
    </row>
    <row r="21" spans="1:20">
      <c r="A21" s="84"/>
      <c r="B21" t="s">
        <v>154</v>
      </c>
      <c r="D21">
        <v>14.491576499624658</v>
      </c>
      <c r="E21">
        <v>8.7824226304571447</v>
      </c>
      <c r="F21">
        <v>3.0233839000897724</v>
      </c>
      <c r="G21">
        <v>2.6707161050410404</v>
      </c>
      <c r="H21">
        <v>2.118329028803696</v>
      </c>
      <c r="I21" s="85">
        <v>31.086428164016315</v>
      </c>
      <c r="K21" s="84"/>
      <c r="L21" s="85"/>
      <c r="N21" s="84"/>
      <c r="O21" s="85"/>
    </row>
    <row r="22" spans="1:20">
      <c r="A22" s="84"/>
      <c r="D22">
        <v>0</v>
      </c>
      <c r="E22">
        <v>0</v>
      </c>
      <c r="F22">
        <v>0</v>
      </c>
      <c r="G22">
        <v>0</v>
      </c>
      <c r="H22">
        <v>0</v>
      </c>
      <c r="I22" s="85">
        <v>0</v>
      </c>
      <c r="K22" s="84"/>
      <c r="L22" s="85"/>
      <c r="N22" s="84"/>
      <c r="O22" s="85"/>
    </row>
    <row r="23" spans="1:20">
      <c r="A23" s="84" t="s">
        <v>158</v>
      </c>
      <c r="B23" t="s">
        <v>152</v>
      </c>
      <c r="D23">
        <v>13.907648385446674</v>
      </c>
      <c r="E23">
        <v>8.5957447384440986</v>
      </c>
      <c r="F23">
        <v>3.2616992438777075</v>
      </c>
      <c r="G23">
        <v>2.5718151447741162</v>
      </c>
      <c r="H23">
        <v>2.3764583078787855</v>
      </c>
      <c r="I23" s="85">
        <v>30.713365820421384</v>
      </c>
      <c r="K23" s="84"/>
      <c r="L23" s="85"/>
      <c r="N23" s="84"/>
      <c r="O23" s="85"/>
    </row>
    <row r="24" spans="1:20">
      <c r="A24" s="84"/>
      <c r="B24" t="s">
        <v>153</v>
      </c>
      <c r="D24">
        <v>13.904951800584357</v>
      </c>
      <c r="E24">
        <v>8.8263539038160754</v>
      </c>
      <c r="F24">
        <v>3.0343767985365622</v>
      </c>
      <c r="G24">
        <v>2.5609937749558229</v>
      </c>
      <c r="H24">
        <v>2.0811067008237254</v>
      </c>
      <c r="I24" s="85">
        <v>30.407782978716543</v>
      </c>
      <c r="K24" s="84"/>
      <c r="L24" s="85"/>
      <c r="N24" s="84"/>
      <c r="O24" s="85"/>
    </row>
    <row r="25" spans="1:20">
      <c r="A25" s="86"/>
      <c r="B25" s="87" t="s">
        <v>154</v>
      </c>
      <c r="C25" s="87"/>
      <c r="D25" s="87">
        <v>15.00803622070935</v>
      </c>
      <c r="E25" s="87">
        <v>9.5766716769404781</v>
      </c>
      <c r="F25" s="87">
        <v>3.2329498171469657</v>
      </c>
      <c r="G25" s="87">
        <v>2.9705949940309138</v>
      </c>
      <c r="H25" s="87">
        <v>2.3363038774725093</v>
      </c>
      <c r="I25" s="88">
        <v>33.124556586300216</v>
      </c>
      <c r="K25" s="86"/>
      <c r="L25" s="88"/>
      <c r="N25" s="86"/>
      <c r="O25" s="88"/>
    </row>
    <row r="27" spans="1:20">
      <c r="A27" s="80" t="s">
        <v>159</v>
      </c>
    </row>
    <row r="28" spans="1:20" ht="57.6">
      <c r="D28" s="27" t="s">
        <v>160</v>
      </c>
      <c r="E28" s="27" t="s">
        <v>110</v>
      </c>
      <c r="F28" s="27" t="s">
        <v>111</v>
      </c>
      <c r="G28" s="27" t="s">
        <v>161</v>
      </c>
      <c r="H28" s="27" t="s">
        <v>162</v>
      </c>
      <c r="I28" s="27" t="s">
        <v>114</v>
      </c>
      <c r="J28" s="27" t="s">
        <v>115</v>
      </c>
      <c r="K28" s="27" t="s">
        <v>116</v>
      </c>
      <c r="L28" s="27" t="s">
        <v>117</v>
      </c>
      <c r="M28" s="27" t="s">
        <v>163</v>
      </c>
      <c r="N28" s="44" t="s">
        <v>119</v>
      </c>
      <c r="O28" s="44" t="s">
        <v>164</v>
      </c>
      <c r="P28" s="45" t="s">
        <v>121</v>
      </c>
      <c r="Q28" s="45" t="s">
        <v>122</v>
      </c>
      <c r="R28" s="27" t="s">
        <v>165</v>
      </c>
      <c r="S28" s="27" t="s">
        <v>166</v>
      </c>
      <c r="T28" t="s">
        <v>167</v>
      </c>
    </row>
    <row r="29" spans="1:20">
      <c r="A29" t="s">
        <v>151</v>
      </c>
      <c r="B29" t="s">
        <v>153</v>
      </c>
      <c r="D29">
        <f>0.5*G8</f>
        <v>0.86950750327273041</v>
      </c>
      <c r="F29">
        <f>F8</f>
        <v>1.6483626116990797</v>
      </c>
      <c r="G29">
        <f>F29*0.1</f>
        <v>0.16483626116990799</v>
      </c>
      <c r="H29">
        <f>0.3*G8</f>
        <v>0.52170450196363827</v>
      </c>
      <c r="M29">
        <f>H8-G29</f>
        <v>0.38102711105395415</v>
      </c>
      <c r="N29">
        <f>D8</f>
        <v>6.0308873048824898</v>
      </c>
      <c r="O29">
        <f>E8</f>
        <v>2.8161769348251258</v>
      </c>
      <c r="R29">
        <f>G8*0.2</f>
        <v>0.3478030013090922</v>
      </c>
      <c r="S29">
        <v>0.48</v>
      </c>
      <c r="T29">
        <f>SUM(D29:S29)</f>
        <v>13.260305230176019</v>
      </c>
    </row>
    <row r="30" spans="1:20">
      <c r="A30" t="s">
        <v>155</v>
      </c>
      <c r="B30" t="s">
        <v>153</v>
      </c>
      <c r="D30">
        <f>0.5*G12</f>
        <v>0.69136512925196592</v>
      </c>
      <c r="F30">
        <f>F12</f>
        <v>2.0436285847119771</v>
      </c>
      <c r="G30">
        <f t="shared" ref="G30:G31" si="0">F30*0.1</f>
        <v>0.20436285847119773</v>
      </c>
      <c r="H30">
        <f>0.3*G12</f>
        <v>0.41481907755117953</v>
      </c>
      <c r="M30">
        <f>H12-G30</f>
        <v>1.1035900143552251</v>
      </c>
      <c r="N30">
        <f>D12</f>
        <v>9.4042775133532768</v>
      </c>
      <c r="O30">
        <f>E12</f>
        <v>4.9544741677615765</v>
      </c>
      <c r="R30">
        <f>G12*0.2</f>
        <v>0.27654605170078639</v>
      </c>
      <c r="S30">
        <v>0.48</v>
      </c>
      <c r="T30">
        <f>SUM(D30:S30)</f>
        <v>19.573063397157185</v>
      </c>
    </row>
    <row r="31" spans="1:20">
      <c r="A31" t="s">
        <v>157</v>
      </c>
      <c r="B31" t="s">
        <v>153</v>
      </c>
      <c r="D31">
        <f>0.5*G20</f>
        <v>1.1545224978212589</v>
      </c>
      <c r="F31">
        <f>F20</f>
        <v>2.9190496859859021</v>
      </c>
      <c r="G31">
        <f t="shared" si="0"/>
        <v>0.29190496859859022</v>
      </c>
      <c r="H31">
        <f>0.3*G20</f>
        <v>0.69271349869275534</v>
      </c>
      <c r="M31">
        <f>H20-G31</f>
        <v>1.6146689859509749</v>
      </c>
      <c r="N31">
        <f>D20</f>
        <v>13.689454296540402</v>
      </c>
      <c r="O31">
        <f>E20</f>
        <v>7.8541439115152158</v>
      </c>
      <c r="R31">
        <f>G20*0.2</f>
        <v>0.46180899912850359</v>
      </c>
      <c r="S31">
        <v>0.48</v>
      </c>
      <c r="T31">
        <f>SUM(D31:S31)</f>
        <v>29.158266844233605</v>
      </c>
    </row>
    <row r="32" spans="1:20">
      <c r="A32" t="s">
        <v>168</v>
      </c>
      <c r="B32" s="5" t="s">
        <v>169</v>
      </c>
      <c r="D32">
        <f>D29</f>
        <v>0.86950750327273041</v>
      </c>
      <c r="F32">
        <f t="shared" ref="F32:T32" si="1">F29</f>
        <v>1.6483626116990797</v>
      </c>
      <c r="G32">
        <f t="shared" si="1"/>
        <v>0.16483626116990799</v>
      </c>
      <c r="H32">
        <f t="shared" si="1"/>
        <v>0.52170450196363827</v>
      </c>
      <c r="M32">
        <f t="shared" si="1"/>
        <v>0.38102711105395415</v>
      </c>
      <c r="N32">
        <f t="shared" si="1"/>
        <v>6.0308873048824898</v>
      </c>
      <c r="O32">
        <f t="shared" si="1"/>
        <v>2.8161769348251258</v>
      </c>
      <c r="R32">
        <f t="shared" si="1"/>
        <v>0.3478030013090922</v>
      </c>
      <c r="S32">
        <f t="shared" si="1"/>
        <v>0.48</v>
      </c>
      <c r="T32">
        <f t="shared" si="1"/>
        <v>13.260305230176019</v>
      </c>
    </row>
    <row r="33" spans="1:23">
      <c r="S33" t="s">
        <v>170</v>
      </c>
      <c r="T33">
        <f>SUMPRODUCT(T29:T32,'Shares in prod syst'!L46:L49)</f>
        <v>22.649522186692177</v>
      </c>
      <c r="U33" t="s">
        <v>171</v>
      </c>
      <c r="W33" t="s">
        <v>172</v>
      </c>
    </row>
    <row r="34" spans="1:23">
      <c r="A34" t="s">
        <v>173</v>
      </c>
      <c r="T34">
        <f>T33/0.7</f>
        <v>32.35646026670311</v>
      </c>
      <c r="U34" t="s">
        <v>174</v>
      </c>
    </row>
    <row r="35" spans="1:23">
      <c r="A35" t="s">
        <v>175</v>
      </c>
    </row>
    <row r="36" spans="1:23">
      <c r="A36" t="s">
        <v>176</v>
      </c>
    </row>
    <row r="37" spans="1:23">
      <c r="A37" t="s">
        <v>177</v>
      </c>
    </row>
    <row r="39" spans="1:23">
      <c r="A39" s="80" t="s">
        <v>178</v>
      </c>
    </row>
    <row r="41" spans="1:23" ht="57.6">
      <c r="A41" s="92"/>
      <c r="B41" s="66"/>
      <c r="C41" s="66"/>
      <c r="D41" s="99" t="s">
        <v>179</v>
      </c>
      <c r="E41" s="99" t="s">
        <v>110</v>
      </c>
      <c r="F41" s="99" t="s">
        <v>111</v>
      </c>
      <c r="G41" s="99" t="s">
        <v>180</v>
      </c>
      <c r="H41" s="99" t="s">
        <v>113</v>
      </c>
      <c r="I41" s="99" t="s">
        <v>114</v>
      </c>
      <c r="J41" s="99" t="s">
        <v>115</v>
      </c>
      <c r="K41" s="99" t="s">
        <v>116</v>
      </c>
      <c r="L41" s="99" t="s">
        <v>117</v>
      </c>
      <c r="M41" s="99" t="s">
        <v>118</v>
      </c>
      <c r="N41" s="100" t="s">
        <v>119</v>
      </c>
      <c r="O41" s="100" t="s">
        <v>181</v>
      </c>
      <c r="P41" s="101" t="s">
        <v>121</v>
      </c>
      <c r="Q41" s="101" t="s">
        <v>122</v>
      </c>
      <c r="R41" s="99" t="s">
        <v>123</v>
      </c>
      <c r="S41" s="102" t="s">
        <v>124</v>
      </c>
      <c r="U41" t="s">
        <v>147</v>
      </c>
    </row>
    <row r="42" spans="1:23">
      <c r="A42" s="92" t="s">
        <v>151</v>
      </c>
      <c r="B42" s="66" t="s">
        <v>153</v>
      </c>
      <c r="C42" s="75" t="s">
        <v>129</v>
      </c>
      <c r="D42" s="66">
        <f>D45/2</f>
        <v>0.4347537516363652</v>
      </c>
      <c r="E42" s="66"/>
      <c r="F42" s="66"/>
      <c r="G42" s="66"/>
      <c r="H42" s="66">
        <f>H45</f>
        <v>0.52170450196363827</v>
      </c>
      <c r="I42" s="66"/>
      <c r="J42" s="66"/>
      <c r="K42" s="66"/>
      <c r="L42" s="66"/>
      <c r="M42" s="66">
        <f>M45</f>
        <v>0.38102711105395415</v>
      </c>
      <c r="N42" s="66"/>
      <c r="O42" s="66"/>
      <c r="P42" s="66"/>
      <c r="Q42" s="66"/>
      <c r="R42" s="66">
        <f>R45</f>
        <v>0.3478030013090922</v>
      </c>
      <c r="S42" s="93">
        <f>S45</f>
        <v>0.48</v>
      </c>
      <c r="U42">
        <f>SUM(D42:S42)</f>
        <v>2.16528836596305</v>
      </c>
    </row>
    <row r="43" spans="1:23">
      <c r="A43" s="84"/>
      <c r="C43" s="10" t="s">
        <v>182</v>
      </c>
      <c r="N43">
        <f>N45/27</f>
        <v>0.22336619647712924</v>
      </c>
      <c r="O43">
        <f>O45/2/27</f>
        <v>5.2151424718983812E-2</v>
      </c>
      <c r="S43" s="85"/>
      <c r="U43">
        <f>SUM(D43:S43)</f>
        <v>0.27551762119611306</v>
      </c>
    </row>
    <row r="44" spans="1:23">
      <c r="A44" s="84"/>
      <c r="C44" s="17" t="s">
        <v>132</v>
      </c>
      <c r="D44">
        <f>D45/2/273</f>
        <v>1.5925045847485905E-3</v>
      </c>
      <c r="F44">
        <f>F45/273</f>
        <v>6.037958284612014E-3</v>
      </c>
      <c r="G44">
        <f>G45/273</f>
        <v>6.037958284612014E-4</v>
      </c>
      <c r="O44">
        <f>O45/2/273</f>
        <v>5.1578332139654319E-3</v>
      </c>
      <c r="S44" s="85"/>
      <c r="U44">
        <f>SUM(D44:S44)</f>
        <v>1.3392091911787238E-2</v>
      </c>
    </row>
    <row r="45" spans="1:23">
      <c r="A45" s="103"/>
      <c r="B45" s="77"/>
      <c r="C45" s="104" t="s">
        <v>133</v>
      </c>
      <c r="D45" s="77">
        <f>D29</f>
        <v>0.86950750327273041</v>
      </c>
      <c r="E45" s="77">
        <f t="shared" ref="E45:S45" si="2">E29</f>
        <v>0</v>
      </c>
      <c r="F45" s="77">
        <f t="shared" si="2"/>
        <v>1.6483626116990797</v>
      </c>
      <c r="G45" s="77">
        <f t="shared" si="2"/>
        <v>0.16483626116990799</v>
      </c>
      <c r="H45" s="77">
        <f t="shared" si="2"/>
        <v>0.52170450196363827</v>
      </c>
      <c r="I45" s="77">
        <f t="shared" si="2"/>
        <v>0</v>
      </c>
      <c r="J45" s="77">
        <f t="shared" si="2"/>
        <v>0</v>
      </c>
      <c r="K45" s="77">
        <f t="shared" si="2"/>
        <v>0</v>
      </c>
      <c r="L45" s="77">
        <f t="shared" si="2"/>
        <v>0</v>
      </c>
      <c r="M45" s="77">
        <f t="shared" si="2"/>
        <v>0.38102711105395415</v>
      </c>
      <c r="N45" s="77">
        <f t="shared" si="2"/>
        <v>6.0308873048824898</v>
      </c>
      <c r="O45" s="77">
        <f t="shared" si="2"/>
        <v>2.8161769348251258</v>
      </c>
      <c r="P45" s="77">
        <f t="shared" si="2"/>
        <v>0</v>
      </c>
      <c r="Q45" s="77">
        <f t="shared" si="2"/>
        <v>0</v>
      </c>
      <c r="R45" s="77">
        <f t="shared" si="2"/>
        <v>0.3478030013090922</v>
      </c>
      <c r="S45" s="105">
        <f t="shared" si="2"/>
        <v>0.48</v>
      </c>
      <c r="U45" s="106" t="e">
        <f>SUMPRODUCT(U42:U44,'CF Climate'!$B$5:$B$8)</f>
        <v>#VALUE!</v>
      </c>
    </row>
    <row r="46" spans="1:23">
      <c r="A46" s="92" t="s">
        <v>155</v>
      </c>
      <c r="B46" s="66" t="s">
        <v>153</v>
      </c>
      <c r="C46" s="75" t="s">
        <v>129</v>
      </c>
      <c r="D46" s="66">
        <f>D49/2</f>
        <v>0.34568256462598296</v>
      </c>
      <c r="E46" s="66"/>
      <c r="F46" s="66"/>
      <c r="G46" s="66"/>
      <c r="H46" s="66">
        <f>H49</f>
        <v>0.41481907755117953</v>
      </c>
      <c r="I46" s="66"/>
      <c r="J46" s="66"/>
      <c r="K46" s="66"/>
      <c r="L46" s="66"/>
      <c r="M46" s="66">
        <f>M49</f>
        <v>1.1035900143552251</v>
      </c>
      <c r="N46" s="66"/>
      <c r="O46" s="66"/>
      <c r="P46" s="66"/>
      <c r="Q46" s="66"/>
      <c r="R46" s="66">
        <f>R49</f>
        <v>0.27654605170078639</v>
      </c>
      <c r="S46" s="93">
        <f>S49</f>
        <v>0.48</v>
      </c>
      <c r="U46">
        <f>SUM(D46:S46)</f>
        <v>2.6206377082331738</v>
      </c>
    </row>
    <row r="47" spans="1:23">
      <c r="A47" s="84"/>
      <c r="C47" s="10" t="s">
        <v>182</v>
      </c>
      <c r="N47">
        <f>N49/27</f>
        <v>0.34830657456863989</v>
      </c>
      <c r="O47">
        <f>O49/2/27</f>
        <v>9.1749521625214381E-2</v>
      </c>
      <c r="S47" s="85"/>
      <c r="U47">
        <f>SUM(D47:S47)</f>
        <v>0.44005609619385427</v>
      </c>
    </row>
    <row r="48" spans="1:23">
      <c r="A48" s="84"/>
      <c r="C48" s="17" t="s">
        <v>132</v>
      </c>
      <c r="D48">
        <f>D49/2/273</f>
        <v>1.2662365004614761E-3</v>
      </c>
      <c r="F48">
        <f>F49/273</f>
        <v>7.485818991618964E-3</v>
      </c>
      <c r="G48">
        <f>G49/273</f>
        <v>7.4858189916189642E-4</v>
      </c>
      <c r="O48">
        <f>O49/2/273</f>
        <v>9.0741285123838392E-3</v>
      </c>
      <c r="S48" s="85"/>
      <c r="U48">
        <f>SUM(D48:S48)</f>
        <v>1.8574765903626174E-2</v>
      </c>
    </row>
    <row r="49" spans="1:21">
      <c r="A49" s="103"/>
      <c r="B49" s="77"/>
      <c r="C49" s="104" t="s">
        <v>133</v>
      </c>
      <c r="D49" s="77">
        <f>D30</f>
        <v>0.69136512925196592</v>
      </c>
      <c r="E49" s="77">
        <f t="shared" ref="E49:S49" si="3">E30</f>
        <v>0</v>
      </c>
      <c r="F49" s="77">
        <f t="shared" si="3"/>
        <v>2.0436285847119771</v>
      </c>
      <c r="G49" s="77">
        <f t="shared" si="3"/>
        <v>0.20436285847119773</v>
      </c>
      <c r="H49" s="77">
        <f t="shared" si="3"/>
        <v>0.41481907755117953</v>
      </c>
      <c r="I49" s="77">
        <f t="shared" si="3"/>
        <v>0</v>
      </c>
      <c r="J49" s="77">
        <f t="shared" si="3"/>
        <v>0</v>
      </c>
      <c r="K49" s="77">
        <f t="shared" si="3"/>
        <v>0</v>
      </c>
      <c r="L49" s="77">
        <f t="shared" si="3"/>
        <v>0</v>
      </c>
      <c r="M49" s="77">
        <f t="shared" si="3"/>
        <v>1.1035900143552251</v>
      </c>
      <c r="N49" s="77">
        <f t="shared" si="3"/>
        <v>9.4042775133532768</v>
      </c>
      <c r="O49" s="77">
        <f t="shared" si="3"/>
        <v>4.9544741677615765</v>
      </c>
      <c r="P49" s="77">
        <f t="shared" si="3"/>
        <v>0</v>
      </c>
      <c r="Q49" s="77">
        <f t="shared" si="3"/>
        <v>0</v>
      </c>
      <c r="R49" s="77">
        <f t="shared" si="3"/>
        <v>0.27654605170078639</v>
      </c>
      <c r="S49" s="105">
        <f t="shared" si="3"/>
        <v>0.48</v>
      </c>
      <c r="U49" s="106" t="e">
        <f>SUMPRODUCT(U46:U48,'CF Climate'!$B$5:$B$8)</f>
        <v>#VALUE!</v>
      </c>
    </row>
    <row r="50" spans="1:21">
      <c r="A50" s="92" t="s">
        <v>157</v>
      </c>
      <c r="B50" s="66" t="s">
        <v>153</v>
      </c>
      <c r="C50" s="75" t="s">
        <v>129</v>
      </c>
      <c r="D50" s="66">
        <f>D53/2</f>
        <v>0.57726124891062947</v>
      </c>
      <c r="E50" s="66"/>
      <c r="F50" s="66"/>
      <c r="G50" s="66"/>
      <c r="H50" s="66">
        <f>H53</f>
        <v>0.69271349869275534</v>
      </c>
      <c r="I50" s="66"/>
      <c r="J50" s="66"/>
      <c r="K50" s="66"/>
      <c r="L50" s="66"/>
      <c r="M50" s="66">
        <f>M53</f>
        <v>1.6146689859509749</v>
      </c>
      <c r="N50" s="66"/>
      <c r="O50" s="66"/>
      <c r="P50" s="66"/>
      <c r="Q50" s="66"/>
      <c r="R50" s="66">
        <f>R53</f>
        <v>0.46180899912850359</v>
      </c>
      <c r="S50" s="93">
        <f>S53</f>
        <v>0.48</v>
      </c>
      <c r="U50">
        <f>SUM(D50:S50)</f>
        <v>3.8264527326828635</v>
      </c>
    </row>
    <row r="51" spans="1:21">
      <c r="A51" s="84"/>
      <c r="C51" s="10" t="s">
        <v>182</v>
      </c>
      <c r="N51">
        <f>N53/27</f>
        <v>0.50701682579779273</v>
      </c>
      <c r="O51">
        <f>O53/2/27</f>
        <v>0.145447109472504</v>
      </c>
      <c r="S51" s="85"/>
      <c r="U51">
        <f>SUM(D51:S51)</f>
        <v>0.65246393527029678</v>
      </c>
    </row>
    <row r="52" spans="1:21">
      <c r="A52" s="84"/>
      <c r="C52" s="17" t="s">
        <v>132</v>
      </c>
      <c r="D52">
        <f>D53/2/273</f>
        <v>2.114510069269705E-3</v>
      </c>
      <c r="F52">
        <f>F53/273</f>
        <v>1.0692489692256052E-2</v>
      </c>
      <c r="G52">
        <f>G53/273</f>
        <v>1.0692489692256052E-3</v>
      </c>
      <c r="O52">
        <f>O53/2/273</f>
        <v>1.4384878958819076E-2</v>
      </c>
      <c r="S52" s="85"/>
      <c r="U52">
        <f>SUM(D52:S52)</f>
        <v>2.8261127689570439E-2</v>
      </c>
    </row>
    <row r="53" spans="1:21">
      <c r="A53" s="103"/>
      <c r="B53" s="77"/>
      <c r="C53" s="104" t="s">
        <v>133</v>
      </c>
      <c r="D53" s="77">
        <f>D31</f>
        <v>1.1545224978212589</v>
      </c>
      <c r="E53" s="77">
        <f t="shared" ref="E53:S53" si="4">E31</f>
        <v>0</v>
      </c>
      <c r="F53" s="77">
        <f t="shared" si="4"/>
        <v>2.9190496859859021</v>
      </c>
      <c r="G53" s="77">
        <f t="shared" si="4"/>
        <v>0.29190496859859022</v>
      </c>
      <c r="H53" s="77">
        <f t="shared" si="4"/>
        <v>0.69271349869275534</v>
      </c>
      <c r="I53" s="77">
        <f t="shared" si="4"/>
        <v>0</v>
      </c>
      <c r="J53" s="77">
        <f t="shared" si="4"/>
        <v>0</v>
      </c>
      <c r="K53" s="77">
        <f t="shared" si="4"/>
        <v>0</v>
      </c>
      <c r="L53" s="77">
        <f t="shared" si="4"/>
        <v>0</v>
      </c>
      <c r="M53" s="77">
        <f t="shared" si="4"/>
        <v>1.6146689859509749</v>
      </c>
      <c r="N53" s="77">
        <f t="shared" si="4"/>
        <v>13.689454296540402</v>
      </c>
      <c r="O53" s="77">
        <f t="shared" si="4"/>
        <v>7.8541439115152158</v>
      </c>
      <c r="P53" s="77">
        <f t="shared" si="4"/>
        <v>0</v>
      </c>
      <c r="Q53" s="77">
        <f t="shared" si="4"/>
        <v>0</v>
      </c>
      <c r="R53" s="77">
        <f t="shared" si="4"/>
        <v>0.46180899912850359</v>
      </c>
      <c r="S53" s="105">
        <f t="shared" si="4"/>
        <v>0.48</v>
      </c>
      <c r="U53" s="106" t="e">
        <f>SUMPRODUCT(U50:U52,'CF Climate'!$B$5:$B$8)</f>
        <v>#VALUE!</v>
      </c>
    </row>
    <row r="54" spans="1:21">
      <c r="A54" s="92" t="s">
        <v>168</v>
      </c>
      <c r="B54" s="66" t="s">
        <v>153</v>
      </c>
      <c r="C54" s="75" t="s">
        <v>129</v>
      </c>
      <c r="D54" s="66">
        <f>D57/2</f>
        <v>0.4347537516363652</v>
      </c>
      <c r="E54" s="66"/>
      <c r="F54" s="66"/>
      <c r="G54" s="66"/>
      <c r="H54" s="66">
        <f>H57</f>
        <v>0.52170450196363827</v>
      </c>
      <c r="I54" s="66"/>
      <c r="J54" s="66"/>
      <c r="K54" s="66"/>
      <c r="L54" s="66"/>
      <c r="M54" s="66">
        <f>M57</f>
        <v>0.38102711105395415</v>
      </c>
      <c r="N54" s="66"/>
      <c r="O54" s="66"/>
      <c r="P54" s="66"/>
      <c r="Q54" s="66"/>
      <c r="R54" s="66">
        <f>R57</f>
        <v>0.3478030013090922</v>
      </c>
      <c r="S54" s="93">
        <f>S57</f>
        <v>0.48</v>
      </c>
      <c r="U54">
        <f>SUM(D54:S54)</f>
        <v>2.16528836596305</v>
      </c>
    </row>
    <row r="55" spans="1:21">
      <c r="A55" s="84"/>
      <c r="C55" s="10" t="s">
        <v>182</v>
      </c>
      <c r="N55">
        <f>N57/27</f>
        <v>0.22336619647712924</v>
      </c>
      <c r="O55">
        <f>O57/2/27</f>
        <v>5.2151424718983812E-2</v>
      </c>
      <c r="S55" s="85"/>
      <c r="U55">
        <f>SUM(D55:S55)</f>
        <v>0.27551762119611306</v>
      </c>
    </row>
    <row r="56" spans="1:21">
      <c r="A56" s="84"/>
      <c r="C56" s="17" t="s">
        <v>132</v>
      </c>
      <c r="D56">
        <f>D57/2/273</f>
        <v>1.5925045847485905E-3</v>
      </c>
      <c r="F56">
        <f>F57/273</f>
        <v>6.037958284612014E-3</v>
      </c>
      <c r="G56">
        <f>G57/273</f>
        <v>6.037958284612014E-4</v>
      </c>
      <c r="O56">
        <f>O57/2/273</f>
        <v>5.1578332139654319E-3</v>
      </c>
      <c r="S56" s="85"/>
      <c r="U56">
        <f>SUM(D56:S56)</f>
        <v>1.3392091911787238E-2</v>
      </c>
    </row>
    <row r="57" spans="1:21">
      <c r="A57" s="103"/>
      <c r="B57" s="77"/>
      <c r="C57" s="104" t="s">
        <v>133</v>
      </c>
      <c r="D57" s="77">
        <f>D32</f>
        <v>0.86950750327273041</v>
      </c>
      <c r="E57" s="77">
        <f t="shared" ref="E57:S57" si="5">E32</f>
        <v>0</v>
      </c>
      <c r="F57" s="77">
        <f t="shared" si="5"/>
        <v>1.6483626116990797</v>
      </c>
      <c r="G57" s="77">
        <f t="shared" si="5"/>
        <v>0.16483626116990799</v>
      </c>
      <c r="H57" s="77">
        <f t="shared" si="5"/>
        <v>0.52170450196363827</v>
      </c>
      <c r="I57" s="77">
        <f t="shared" si="5"/>
        <v>0</v>
      </c>
      <c r="J57" s="77">
        <f t="shared" si="5"/>
        <v>0</v>
      </c>
      <c r="K57" s="77">
        <f t="shared" si="5"/>
        <v>0</v>
      </c>
      <c r="L57" s="77">
        <f t="shared" si="5"/>
        <v>0</v>
      </c>
      <c r="M57" s="77">
        <f t="shared" si="5"/>
        <v>0.38102711105395415</v>
      </c>
      <c r="N57" s="77">
        <f t="shared" si="5"/>
        <v>6.0308873048824898</v>
      </c>
      <c r="O57" s="77">
        <f t="shared" si="5"/>
        <v>2.8161769348251258</v>
      </c>
      <c r="P57" s="77">
        <f t="shared" si="5"/>
        <v>0</v>
      </c>
      <c r="Q57" s="77">
        <f t="shared" si="5"/>
        <v>0</v>
      </c>
      <c r="R57" s="77">
        <f t="shared" si="5"/>
        <v>0.3478030013090922</v>
      </c>
      <c r="S57" s="77">
        <f t="shared" si="5"/>
        <v>0.48</v>
      </c>
      <c r="U57" s="106" t="e">
        <f>SUMPRODUCT(U54:U56,'CF Climate'!$B$5:$B$8)</f>
        <v>#VALUE!</v>
      </c>
    </row>
    <row r="59" spans="1:21">
      <c r="A59" t="s">
        <v>183</v>
      </c>
    </row>
    <row r="60" spans="1:21">
      <c r="A60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A593-BF97-4D2B-9C19-9B1E637CB642}">
  <sheetPr>
    <tabColor theme="4" tint="0.79998168889431442"/>
  </sheetPr>
  <dimension ref="A2:V59"/>
  <sheetViews>
    <sheetView zoomScale="79" workbookViewId="0">
      <pane ySplit="1245" topLeftCell="A33" activePane="bottomLeft"/>
      <selection pane="bottomLeft" activeCell="L48" sqref="L48"/>
    </sheetView>
  </sheetViews>
  <sheetFormatPr defaultRowHeight="14.45"/>
  <cols>
    <col min="1" max="1" width="36.28515625" customWidth="1"/>
    <col min="2" max="12" width="10.7109375" customWidth="1"/>
    <col min="15" max="15" width="8.5703125" customWidth="1"/>
    <col min="16" max="16" width="12.42578125" customWidth="1"/>
    <col min="18" max="18" width="13.28515625" customWidth="1"/>
    <col min="20" max="21" width="12" bestFit="1" customWidth="1"/>
    <col min="22" max="22" width="11.28515625" bestFit="1" customWidth="1"/>
    <col min="23" max="23" width="12" bestFit="1" customWidth="1"/>
    <col min="25" max="25" width="12" bestFit="1" customWidth="1"/>
  </cols>
  <sheetData>
    <row r="2" spans="1:16" ht="21">
      <c r="A2" s="1" t="s">
        <v>185</v>
      </c>
    </row>
    <row r="4" spans="1:16">
      <c r="B4" t="s">
        <v>128</v>
      </c>
      <c r="C4" t="s">
        <v>68</v>
      </c>
      <c r="D4" t="s">
        <v>70</v>
      </c>
      <c r="E4" t="s">
        <v>72</v>
      </c>
      <c r="F4" t="s">
        <v>74</v>
      </c>
      <c r="G4" t="s">
        <v>76</v>
      </c>
      <c r="H4" t="s">
        <v>78</v>
      </c>
      <c r="I4" t="s">
        <v>80</v>
      </c>
      <c r="J4" t="s">
        <v>186</v>
      </c>
      <c r="K4" t="s">
        <v>84</v>
      </c>
      <c r="L4" t="s">
        <v>86</v>
      </c>
      <c r="M4" t="s">
        <v>88</v>
      </c>
    </row>
    <row r="5" spans="1:16">
      <c r="A5" s="68" t="s">
        <v>187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</row>
    <row r="6" spans="1:16">
      <c r="A6" t="s">
        <v>188</v>
      </c>
      <c r="B6">
        <v>0.27</v>
      </c>
      <c r="C6">
        <v>0.31</v>
      </c>
      <c r="D6">
        <v>0.23499999999999999</v>
      </c>
      <c r="E6">
        <v>0.1</v>
      </c>
      <c r="F6">
        <v>0.14000000000000001</v>
      </c>
      <c r="G6">
        <v>0.2</v>
      </c>
      <c r="H6">
        <v>0.24</v>
      </c>
      <c r="I6">
        <v>0.27</v>
      </c>
      <c r="J6">
        <v>0.23400000000000001</v>
      </c>
      <c r="K6">
        <v>0.17499999999999999</v>
      </c>
      <c r="L6">
        <v>0.3</v>
      </c>
      <c r="M6">
        <v>0.214</v>
      </c>
      <c r="N6" s="5" t="s">
        <v>189</v>
      </c>
    </row>
    <row r="7" spans="1:16">
      <c r="A7" t="s">
        <v>190</v>
      </c>
      <c r="B7">
        <v>0.2</v>
      </c>
      <c r="C7">
        <v>0.19</v>
      </c>
      <c r="D7">
        <v>0.16</v>
      </c>
      <c r="E7">
        <v>0.08</v>
      </c>
      <c r="F7">
        <v>0.1</v>
      </c>
      <c r="G7">
        <v>0.1</v>
      </c>
      <c r="H7">
        <v>0.18</v>
      </c>
      <c r="I7">
        <v>0.2</v>
      </c>
      <c r="J7">
        <v>0.1</v>
      </c>
      <c r="K7">
        <v>0.1</v>
      </c>
      <c r="L7">
        <v>0.18</v>
      </c>
      <c r="M7">
        <v>0.15</v>
      </c>
      <c r="P7" t="s">
        <v>191</v>
      </c>
    </row>
    <row r="8" spans="1:16">
      <c r="A8" s="68" t="s">
        <v>192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6">
      <c r="A9" t="s">
        <v>188</v>
      </c>
      <c r="B9">
        <v>340</v>
      </c>
      <c r="C9">
        <v>340</v>
      </c>
      <c r="D9">
        <v>340</v>
      </c>
      <c r="E9">
        <v>340</v>
      </c>
      <c r="F9">
        <v>340</v>
      </c>
      <c r="G9">
        <v>340</v>
      </c>
      <c r="H9">
        <v>340</v>
      </c>
      <c r="I9">
        <v>340</v>
      </c>
      <c r="J9">
        <v>340</v>
      </c>
      <c r="K9">
        <v>340</v>
      </c>
      <c r="L9">
        <v>340</v>
      </c>
      <c r="M9">
        <v>340</v>
      </c>
    </row>
    <row r="10" spans="1:16">
      <c r="A10" t="s">
        <v>190</v>
      </c>
      <c r="B10">
        <v>375</v>
      </c>
      <c r="C10">
        <v>375</v>
      </c>
      <c r="D10">
        <v>375</v>
      </c>
      <c r="E10">
        <v>375</v>
      </c>
      <c r="F10">
        <v>375</v>
      </c>
      <c r="G10">
        <v>375</v>
      </c>
      <c r="H10">
        <v>375</v>
      </c>
      <c r="I10">
        <v>375</v>
      </c>
      <c r="J10">
        <v>375</v>
      </c>
      <c r="K10">
        <v>375</v>
      </c>
      <c r="L10">
        <v>375</v>
      </c>
      <c r="M10">
        <v>375</v>
      </c>
      <c r="P10" t="s">
        <v>193</v>
      </c>
    </row>
    <row r="11" spans="1:16">
      <c r="A11" t="s">
        <v>194</v>
      </c>
      <c r="B11">
        <v>320</v>
      </c>
      <c r="C11">
        <v>320</v>
      </c>
      <c r="D11">
        <v>320</v>
      </c>
      <c r="E11">
        <v>320</v>
      </c>
      <c r="F11">
        <v>320</v>
      </c>
      <c r="G11">
        <v>320</v>
      </c>
      <c r="H11">
        <v>320</v>
      </c>
      <c r="I11">
        <v>320</v>
      </c>
      <c r="J11">
        <v>320</v>
      </c>
      <c r="K11">
        <v>320</v>
      </c>
      <c r="L11">
        <v>320</v>
      </c>
      <c r="M11">
        <v>320</v>
      </c>
      <c r="P11" t="s">
        <v>195</v>
      </c>
    </row>
    <row r="12" spans="1:16">
      <c r="A12" s="68" t="s">
        <v>196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1:16">
      <c r="A13" t="s">
        <v>188</v>
      </c>
      <c r="B13">
        <v>0.08</v>
      </c>
      <c r="C13">
        <v>0.08</v>
      </c>
      <c r="D13">
        <v>0.08</v>
      </c>
      <c r="E13">
        <v>0.08</v>
      </c>
      <c r="F13">
        <v>0.08</v>
      </c>
      <c r="G13">
        <v>0.08</v>
      </c>
      <c r="H13">
        <v>0.08</v>
      </c>
      <c r="I13">
        <v>0.08</v>
      </c>
      <c r="J13">
        <v>0.08</v>
      </c>
      <c r="K13">
        <v>0.08</v>
      </c>
      <c r="L13">
        <v>0.08</v>
      </c>
      <c r="M13">
        <v>0.08</v>
      </c>
    </row>
    <row r="14" spans="1:16">
      <c r="A14" t="s">
        <v>190</v>
      </c>
      <c r="B14">
        <v>0.04</v>
      </c>
      <c r="C14">
        <v>0.04</v>
      </c>
      <c r="D14">
        <v>0.04</v>
      </c>
      <c r="E14">
        <v>0.04</v>
      </c>
      <c r="F14">
        <v>0.04</v>
      </c>
      <c r="G14">
        <v>0.04</v>
      </c>
      <c r="H14">
        <v>0.04</v>
      </c>
      <c r="I14">
        <v>0.04</v>
      </c>
      <c r="J14">
        <v>0.04</v>
      </c>
      <c r="K14">
        <v>0.04</v>
      </c>
      <c r="L14">
        <v>0.04</v>
      </c>
      <c r="M14">
        <v>0.04</v>
      </c>
    </row>
    <row r="15" spans="1:16">
      <c r="A15" t="s">
        <v>194</v>
      </c>
      <c r="B15">
        <v>0.04</v>
      </c>
      <c r="C15">
        <v>0.04</v>
      </c>
      <c r="D15">
        <v>0.04</v>
      </c>
      <c r="E15">
        <v>0.04</v>
      </c>
      <c r="F15">
        <v>0.04</v>
      </c>
      <c r="G15">
        <v>0.04</v>
      </c>
      <c r="H15">
        <v>0.04</v>
      </c>
      <c r="I15">
        <v>0.04</v>
      </c>
      <c r="J15">
        <v>0.04</v>
      </c>
      <c r="K15">
        <v>0.04</v>
      </c>
      <c r="L15">
        <v>0.04</v>
      </c>
      <c r="M15">
        <v>0.04</v>
      </c>
    </row>
    <row r="16" spans="1:16">
      <c r="A16" s="68" t="s">
        <v>197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1:21">
      <c r="A17" t="s">
        <v>188</v>
      </c>
      <c r="B17">
        <v>556</v>
      </c>
      <c r="C17">
        <v>3230</v>
      </c>
      <c r="D17">
        <v>3809</v>
      </c>
      <c r="E17">
        <v>81</v>
      </c>
      <c r="F17">
        <v>278</v>
      </c>
      <c r="G17">
        <v>1510</v>
      </c>
      <c r="H17">
        <v>1864</v>
      </c>
      <c r="I17">
        <v>1570</v>
      </c>
      <c r="J17">
        <v>2037</v>
      </c>
      <c r="K17">
        <v>810</v>
      </c>
      <c r="L17">
        <v>298</v>
      </c>
      <c r="M17">
        <v>1867</v>
      </c>
      <c r="P17" t="s">
        <v>198</v>
      </c>
      <c r="Q17" s="64"/>
    </row>
    <row r="18" spans="1:21">
      <c r="A18" t="s">
        <v>199</v>
      </c>
      <c r="B18">
        <v>70</v>
      </c>
      <c r="C18">
        <v>3790</v>
      </c>
      <c r="D18">
        <v>610</v>
      </c>
      <c r="E18">
        <v>147</v>
      </c>
      <c r="F18">
        <v>143</v>
      </c>
      <c r="G18">
        <v>862</v>
      </c>
      <c r="H18">
        <v>484</v>
      </c>
      <c r="I18">
        <v>44</v>
      </c>
      <c r="J18">
        <v>135</v>
      </c>
      <c r="K18">
        <v>2078</v>
      </c>
      <c r="L18">
        <v>198</v>
      </c>
      <c r="M18">
        <v>1470</v>
      </c>
      <c r="P18" t="s">
        <v>198</v>
      </c>
      <c r="Q18" s="64"/>
    </row>
    <row r="19" spans="1:21">
      <c r="A19" s="68" t="s">
        <v>200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1:21">
      <c r="A20" t="s">
        <v>201</v>
      </c>
      <c r="B20" s="90">
        <v>119</v>
      </c>
      <c r="C20" s="121">
        <v>1361.31</v>
      </c>
      <c r="D20" s="121">
        <v>987.47</v>
      </c>
      <c r="E20" s="121">
        <v>35.53</v>
      </c>
      <c r="F20" s="121">
        <v>25.68</v>
      </c>
      <c r="G20" s="90">
        <v>621</v>
      </c>
      <c r="H20" s="90">
        <v>747.21</v>
      </c>
      <c r="I20" s="90">
        <v>422</v>
      </c>
      <c r="J20" s="90">
        <v>540.59</v>
      </c>
      <c r="K20" s="90">
        <v>731.53</v>
      </c>
      <c r="L20" s="90">
        <v>135</v>
      </c>
      <c r="M20" s="121">
        <v>914.39</v>
      </c>
      <c r="P20" t="s">
        <v>202</v>
      </c>
    </row>
    <row r="21" spans="1:21">
      <c r="A21" t="s">
        <v>203</v>
      </c>
      <c r="B21" s="120">
        <v>0.14000000000000001</v>
      </c>
      <c r="C21" s="120">
        <v>160.13</v>
      </c>
      <c r="D21" s="120">
        <v>44.7</v>
      </c>
      <c r="E21" s="120">
        <v>1.26</v>
      </c>
      <c r="F21" s="120">
        <v>0.23</v>
      </c>
      <c r="G21" s="64">
        <v>2.5</v>
      </c>
      <c r="H21" s="120">
        <v>78.8</v>
      </c>
      <c r="I21" s="64">
        <v>220</v>
      </c>
      <c r="J21" s="120">
        <v>1.73</v>
      </c>
      <c r="K21" s="120">
        <v>11.57</v>
      </c>
      <c r="L21" s="64">
        <v>0.4</v>
      </c>
      <c r="M21" s="120">
        <v>4.13</v>
      </c>
      <c r="S21" s="9"/>
      <c r="T21" s="9"/>
      <c r="U21" s="9"/>
    </row>
    <row r="22" spans="1:21">
      <c r="A22" t="s">
        <v>204</v>
      </c>
      <c r="B22" s="120">
        <v>32.520000000000003</v>
      </c>
      <c r="C22" s="120">
        <v>16.53</v>
      </c>
      <c r="D22" s="120">
        <v>2.79</v>
      </c>
      <c r="E22" s="120">
        <v>7.34</v>
      </c>
      <c r="F22" s="120">
        <v>0.68</v>
      </c>
      <c r="G22" s="64">
        <v>0.66</v>
      </c>
      <c r="H22" s="120">
        <v>7.31</v>
      </c>
      <c r="I22" s="64">
        <v>32</v>
      </c>
      <c r="J22" s="120">
        <v>0.69</v>
      </c>
      <c r="K22" s="120">
        <v>202.81</v>
      </c>
      <c r="L22" s="64">
        <v>1.5</v>
      </c>
      <c r="M22" s="120">
        <v>3.9</v>
      </c>
      <c r="S22" s="9"/>
      <c r="T22" s="9"/>
      <c r="U22" s="9"/>
    </row>
    <row r="23" spans="1:21">
      <c r="A23" t="s">
        <v>205</v>
      </c>
      <c r="B23" s="120">
        <v>86.34</v>
      </c>
      <c r="C23" s="120">
        <v>1184.6400000000001</v>
      </c>
      <c r="D23" s="120">
        <v>939.99</v>
      </c>
      <c r="E23" s="120">
        <v>26.17</v>
      </c>
      <c r="F23" s="120">
        <v>24.77</v>
      </c>
      <c r="G23" s="64">
        <v>618</v>
      </c>
      <c r="H23" s="120">
        <v>661.1</v>
      </c>
      <c r="I23" s="64">
        <v>170</v>
      </c>
      <c r="J23" s="120">
        <v>538.16999999999996</v>
      </c>
      <c r="K23" s="120">
        <v>517.14</v>
      </c>
      <c r="L23" s="64">
        <v>133</v>
      </c>
      <c r="M23" s="120">
        <v>906.36</v>
      </c>
      <c r="S23" s="9"/>
      <c r="T23" s="9"/>
      <c r="U23" s="9"/>
    </row>
    <row r="24" spans="1:21">
      <c r="A24" t="s">
        <v>206</v>
      </c>
      <c r="B24" s="122">
        <v>51.86</v>
      </c>
      <c r="C24" s="122">
        <v>571.08000000000004</v>
      </c>
      <c r="D24" s="122">
        <v>314.89</v>
      </c>
      <c r="E24" s="122">
        <v>7.26</v>
      </c>
      <c r="F24" s="122">
        <v>17.13</v>
      </c>
      <c r="G24" s="91">
        <v>125</v>
      </c>
      <c r="H24" s="122">
        <v>171.19</v>
      </c>
      <c r="I24" s="91">
        <v>136</v>
      </c>
      <c r="J24" s="122">
        <v>154.41</v>
      </c>
      <c r="K24" s="122">
        <v>118.67</v>
      </c>
      <c r="L24" s="91">
        <v>42</v>
      </c>
      <c r="M24" s="122">
        <v>203.56</v>
      </c>
      <c r="S24" s="9"/>
      <c r="T24" s="9"/>
      <c r="U24" s="9"/>
    </row>
    <row r="25" spans="1:21">
      <c r="A25" t="s">
        <v>207</v>
      </c>
      <c r="B25" s="120">
        <v>16.05</v>
      </c>
      <c r="C25" s="120">
        <v>218.06</v>
      </c>
      <c r="D25" s="120">
        <v>163.19999999999999</v>
      </c>
      <c r="E25" s="120">
        <v>6.6</v>
      </c>
      <c r="F25" s="120">
        <v>2.66</v>
      </c>
      <c r="G25" s="64">
        <v>181</v>
      </c>
      <c r="H25" s="120">
        <v>190.61</v>
      </c>
      <c r="I25" s="64">
        <v>3.3</v>
      </c>
      <c r="J25" s="120">
        <v>85.89</v>
      </c>
      <c r="K25" s="120">
        <v>123.45</v>
      </c>
      <c r="L25" s="64">
        <v>20.399999999999999</v>
      </c>
      <c r="M25" s="120">
        <v>257.58</v>
      </c>
      <c r="S25" s="9"/>
      <c r="T25" s="9"/>
      <c r="U25" s="9"/>
    </row>
    <row r="26" spans="1:21">
      <c r="A26" t="s">
        <v>208</v>
      </c>
      <c r="B26" s="120">
        <v>16.170000000000002</v>
      </c>
      <c r="C26" s="120">
        <v>343.42</v>
      </c>
      <c r="D26" s="120">
        <v>451.23</v>
      </c>
      <c r="E26" s="120">
        <v>12.34</v>
      </c>
      <c r="F26" s="120">
        <v>4.7699999999999996</v>
      </c>
      <c r="G26" s="64">
        <v>62</v>
      </c>
      <c r="H26" s="120">
        <v>298.14</v>
      </c>
      <c r="I26" s="64">
        <v>31</v>
      </c>
      <c r="J26" s="120">
        <v>297.87</v>
      </c>
      <c r="K26" s="120">
        <v>272.25</v>
      </c>
      <c r="L26" s="64">
        <v>60</v>
      </c>
      <c r="M26" s="120">
        <v>74.34</v>
      </c>
      <c r="S26" s="9"/>
      <c r="T26" s="9"/>
      <c r="U26" s="9"/>
    </row>
    <row r="27" spans="1:21">
      <c r="A27" t="s">
        <v>209</v>
      </c>
      <c r="B27" s="120">
        <v>2.2599999999999998</v>
      </c>
      <c r="C27" s="120">
        <v>52.08</v>
      </c>
      <c r="D27" s="120">
        <v>10.67</v>
      </c>
      <c r="E27" s="120">
        <v>0.48</v>
      </c>
      <c r="F27" s="120">
        <v>0</v>
      </c>
      <c r="G27" s="64">
        <v>250</v>
      </c>
      <c r="H27" s="120">
        <v>1.1599999999999999</v>
      </c>
      <c r="I27" s="64">
        <v>0</v>
      </c>
      <c r="J27" s="120">
        <v>0</v>
      </c>
      <c r="K27" s="120">
        <v>2.78</v>
      </c>
      <c r="L27" s="64">
        <v>11</v>
      </c>
      <c r="M27" s="120">
        <v>370.89</v>
      </c>
      <c r="S27" s="9"/>
      <c r="T27" s="9"/>
      <c r="U27" s="9"/>
    </row>
    <row r="28" spans="1:21">
      <c r="A28" s="68" t="s">
        <v>210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</row>
    <row r="29" spans="1:21">
      <c r="A29" t="s">
        <v>211</v>
      </c>
      <c r="B29" s="64">
        <f t="shared" ref="B29:M29" si="0">B6*B9*B17*(1-B13)/1000</f>
        <v>46.957536000000005</v>
      </c>
      <c r="C29" s="64">
        <f t="shared" si="0"/>
        <v>313.20663999999999</v>
      </c>
      <c r="D29" s="64">
        <f t="shared" si="0"/>
        <v>279.99197200000003</v>
      </c>
      <c r="E29" s="64">
        <f t="shared" si="0"/>
        <v>2.5336800000000004</v>
      </c>
      <c r="F29" s="64">
        <f t="shared" si="0"/>
        <v>12.174176000000001</v>
      </c>
      <c r="G29" s="64">
        <f t="shared" si="0"/>
        <v>94.465600000000009</v>
      </c>
      <c r="H29" s="64">
        <f t="shared" si="0"/>
        <v>139.93420800000001</v>
      </c>
      <c r="I29" s="64">
        <f t="shared" si="0"/>
        <v>132.59592000000004</v>
      </c>
      <c r="J29" s="64">
        <f t="shared" si="0"/>
        <v>149.09862240000001</v>
      </c>
      <c r="K29" s="64">
        <f t="shared" si="0"/>
        <v>44.339399999999998</v>
      </c>
      <c r="L29" s="64">
        <f t="shared" si="0"/>
        <v>27.964320000000001</v>
      </c>
      <c r="M29" s="64">
        <f t="shared" si="0"/>
        <v>124.97548640000002</v>
      </c>
      <c r="N29" s="123" t="s">
        <v>212</v>
      </c>
    </row>
    <row r="30" spans="1:21">
      <c r="A30" t="s">
        <v>213</v>
      </c>
      <c r="B30" s="64">
        <f t="shared" ref="B30:M30" si="1">B7*B10*B18*(1-B14)/1000</f>
        <v>5.04</v>
      </c>
      <c r="C30" s="64">
        <f t="shared" si="1"/>
        <v>259.23599999999999</v>
      </c>
      <c r="D30" s="64">
        <f t="shared" si="1"/>
        <v>35.136000000000003</v>
      </c>
      <c r="E30" s="64">
        <f t="shared" si="1"/>
        <v>4.2335999999999991</v>
      </c>
      <c r="F30" s="64">
        <f t="shared" si="1"/>
        <v>5.1479999999999997</v>
      </c>
      <c r="G30" s="64">
        <f t="shared" si="1"/>
        <v>31.032</v>
      </c>
      <c r="H30" s="64">
        <f t="shared" si="1"/>
        <v>31.363199999999996</v>
      </c>
      <c r="I30" s="64">
        <f t="shared" si="1"/>
        <v>3.1680000000000001</v>
      </c>
      <c r="J30" s="64">
        <f t="shared" si="1"/>
        <v>4.8600000000000003</v>
      </c>
      <c r="K30" s="64">
        <f t="shared" si="1"/>
        <v>74.808000000000007</v>
      </c>
      <c r="L30" s="64">
        <f t="shared" si="1"/>
        <v>12.830399999999999</v>
      </c>
      <c r="M30" s="64">
        <f t="shared" si="1"/>
        <v>79.38</v>
      </c>
      <c r="N30" s="123" t="s">
        <v>214</v>
      </c>
      <c r="T30" s="12"/>
    </row>
    <row r="31" spans="1:21">
      <c r="A31" t="s">
        <v>215</v>
      </c>
      <c r="B31" s="91">
        <f t="shared" ref="B31:C31" si="2">SUM(B29:B30)</f>
        <v>51.997536000000004</v>
      </c>
      <c r="C31" s="91">
        <f t="shared" si="2"/>
        <v>572.44263999999998</v>
      </c>
      <c r="D31" s="91">
        <f t="shared" ref="D31:M31" si="3">SUM(D29:D30)</f>
        <v>315.12797200000006</v>
      </c>
      <c r="E31" s="91">
        <f t="shared" si="3"/>
        <v>6.7672799999999995</v>
      </c>
      <c r="F31" s="91">
        <f t="shared" si="3"/>
        <v>17.322175999999999</v>
      </c>
      <c r="G31" s="91">
        <f t="shared" si="3"/>
        <v>125.49760000000001</v>
      </c>
      <c r="H31" s="91">
        <f t="shared" si="3"/>
        <v>171.29740800000002</v>
      </c>
      <c r="I31" s="91">
        <f t="shared" si="3"/>
        <v>135.76392000000004</v>
      </c>
      <c r="J31" s="91">
        <f t="shared" si="3"/>
        <v>153.95862240000002</v>
      </c>
      <c r="K31" s="91">
        <f t="shared" si="3"/>
        <v>119.1474</v>
      </c>
      <c r="L31" s="91">
        <f t="shared" si="3"/>
        <v>40.794719999999998</v>
      </c>
      <c r="M31" s="91">
        <f t="shared" si="3"/>
        <v>204.35548640000002</v>
      </c>
      <c r="N31" s="123" t="s">
        <v>216</v>
      </c>
      <c r="T31" s="12"/>
    </row>
    <row r="32" spans="1:21">
      <c r="A32" t="s">
        <v>217</v>
      </c>
      <c r="B32" s="64">
        <f>B18*B11*(1-B7)*(1-B15)/1000</f>
        <v>17.203200000000002</v>
      </c>
      <c r="C32" s="124">
        <f>SUM(C25:C27)*(C18/SUM(C17:C18))</f>
        <v>331.25247863247864</v>
      </c>
      <c r="D32" s="64">
        <f>D18*D11*(1-D7)*(1-D15)/1000</f>
        <v>157.40928</v>
      </c>
      <c r="E32" s="124">
        <f>SUM(E25:E27)*(E18/SUM(E17:E18))</f>
        <v>12.520789473684209</v>
      </c>
      <c r="F32" s="124">
        <f>SUM(F25:F27)*(F18/SUM(F17:F18))</f>
        <v>2.5237292161520193</v>
      </c>
      <c r="G32" s="64">
        <f>G18*G11*(1-G7)*(1-G15)/1000</f>
        <v>238.32575999999997</v>
      </c>
      <c r="H32" s="64">
        <f>H18*H11*(1-H7)*(1-H15)/1000</f>
        <v>121.921536</v>
      </c>
      <c r="I32" s="64">
        <f>I18*I11*(1-I7)*(1-I15)/1000</f>
        <v>10.813439999999998</v>
      </c>
      <c r="J32" s="64">
        <f>J18*J11*(1-J7)*(1-J15)/1000</f>
        <v>37.324799999999996</v>
      </c>
      <c r="K32" s="124">
        <f>SUM(K25:K27)*(K18/SUM(K17:K18))</f>
        <v>286.71795013850414</v>
      </c>
      <c r="L32" s="64">
        <f>L18*L11*(1-L7)*(1-L15)/1000</f>
        <v>49.876992000000008</v>
      </c>
      <c r="M32" s="64">
        <f>M18*M11*(1-M7)*(1-M15)/1000</f>
        <v>383.84639999999996</v>
      </c>
      <c r="N32" s="123" t="s">
        <v>218</v>
      </c>
      <c r="T32" s="12"/>
    </row>
    <row r="33" spans="1:22">
      <c r="A33" t="s">
        <v>219</v>
      </c>
      <c r="B33" s="64">
        <f>SUM(B25:B27)-B32</f>
        <v>17.276799999999994</v>
      </c>
      <c r="C33" s="124">
        <f>SUM(C25:C27)*(C17/SUM(C17:C18))</f>
        <v>282.30752136752142</v>
      </c>
      <c r="D33" s="64">
        <f>SUM(D25:D27)-D32</f>
        <v>467.69072000000006</v>
      </c>
      <c r="E33" s="124">
        <f>SUM(E25:E27)*(E17/SUM(E17:E18))</f>
        <v>6.8992105263157883</v>
      </c>
      <c r="F33" s="124">
        <f>SUM(F25:F27)*(F17/SUM(F17:F18))</f>
        <v>4.9062707838479804</v>
      </c>
      <c r="G33" s="64">
        <f>SUM(G25:G27)-G32</f>
        <v>254.67424000000003</v>
      </c>
      <c r="H33" s="64">
        <f>SUM(H25:H27)-H32</f>
        <v>367.98846400000002</v>
      </c>
      <c r="I33" s="64">
        <f>SUM(I25:I27)-I32</f>
        <v>23.486559999999997</v>
      </c>
      <c r="J33" s="64">
        <f>SUM(J25:J27)-J32</f>
        <v>346.43520000000001</v>
      </c>
      <c r="K33" s="124">
        <f>SUM(K25:K27)*(K17/SUM(K17:K18))</f>
        <v>111.76204986149583</v>
      </c>
      <c r="L33" s="64">
        <f>SUM(L25:L27)-L32</f>
        <v>41.523007999999997</v>
      </c>
      <c r="M33" s="64">
        <f>SUM(M25:M27)-M32</f>
        <v>318.96359999999999</v>
      </c>
      <c r="N33" s="123" t="s">
        <v>220</v>
      </c>
      <c r="T33" s="12"/>
    </row>
    <row r="34" spans="1:22">
      <c r="A34" s="68" t="s">
        <v>221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5" t="s">
        <v>222</v>
      </c>
    </row>
    <row r="35" spans="1:22">
      <c r="A35" t="s">
        <v>223</v>
      </c>
      <c r="B35" s="64">
        <f>B21+B22</f>
        <v>32.660000000000004</v>
      </c>
      <c r="C35" s="64">
        <f>C21+C22</f>
        <v>176.66</v>
      </c>
      <c r="D35">
        <f t="shared" ref="D35:M35" si="4">D21+D22</f>
        <v>47.49</v>
      </c>
      <c r="E35">
        <f t="shared" si="4"/>
        <v>8.6</v>
      </c>
      <c r="F35">
        <f t="shared" si="4"/>
        <v>0.91</v>
      </c>
      <c r="G35">
        <f t="shared" si="4"/>
        <v>3.16</v>
      </c>
      <c r="H35">
        <f t="shared" si="4"/>
        <v>86.11</v>
      </c>
      <c r="I35">
        <f t="shared" si="4"/>
        <v>252</v>
      </c>
      <c r="J35">
        <f t="shared" si="4"/>
        <v>2.42</v>
      </c>
      <c r="K35">
        <f t="shared" si="4"/>
        <v>214.38</v>
      </c>
      <c r="L35">
        <f t="shared" si="4"/>
        <v>1.9</v>
      </c>
      <c r="M35">
        <f t="shared" si="4"/>
        <v>8.0299999999999994</v>
      </c>
      <c r="N35" s="5" t="s">
        <v>224</v>
      </c>
    </row>
    <row r="36" spans="1:22">
      <c r="A36" t="s">
        <v>225</v>
      </c>
      <c r="B36" s="4">
        <f>B30+B32</f>
        <v>22.243200000000002</v>
      </c>
      <c r="C36" s="4">
        <f>C30+C32</f>
        <v>590.48847863247863</v>
      </c>
      <c r="D36" s="4">
        <f t="shared" ref="D36:M36" si="5">D30+D32</f>
        <v>192.54527999999999</v>
      </c>
      <c r="E36" s="4">
        <f t="shared" si="5"/>
        <v>16.754389473684206</v>
      </c>
      <c r="F36" s="4">
        <f t="shared" si="5"/>
        <v>7.671729216152019</v>
      </c>
      <c r="G36" s="4">
        <f t="shared" si="5"/>
        <v>269.35775999999998</v>
      </c>
      <c r="H36" s="4">
        <f t="shared" si="5"/>
        <v>153.28473600000001</v>
      </c>
      <c r="I36" s="4">
        <f t="shared" si="5"/>
        <v>13.981439999999999</v>
      </c>
      <c r="J36" s="4">
        <f t="shared" si="5"/>
        <v>42.184799999999996</v>
      </c>
      <c r="K36" s="4">
        <f t="shared" si="5"/>
        <v>361.52595013850413</v>
      </c>
      <c r="L36" s="4">
        <f t="shared" si="5"/>
        <v>62.707392000000006</v>
      </c>
      <c r="M36" s="4">
        <f t="shared" si="5"/>
        <v>463.22639999999996</v>
      </c>
      <c r="N36" s="5" t="s">
        <v>226</v>
      </c>
      <c r="T36" s="12"/>
    </row>
    <row r="37" spans="1:22">
      <c r="A37" t="s">
        <v>227</v>
      </c>
      <c r="B37" s="4">
        <f>B33</f>
        <v>17.276799999999994</v>
      </c>
      <c r="C37" s="4">
        <f>C33</f>
        <v>282.30752136752142</v>
      </c>
      <c r="D37" s="4">
        <f t="shared" ref="D37:M37" si="6">D33</f>
        <v>467.69072000000006</v>
      </c>
      <c r="E37" s="4">
        <f t="shared" si="6"/>
        <v>6.8992105263157883</v>
      </c>
      <c r="F37" s="4">
        <f t="shared" si="6"/>
        <v>4.9062707838479804</v>
      </c>
      <c r="G37" s="4">
        <f t="shared" si="6"/>
        <v>254.67424000000003</v>
      </c>
      <c r="H37" s="4">
        <f t="shared" si="6"/>
        <v>367.98846400000002</v>
      </c>
      <c r="I37" s="4">
        <f t="shared" si="6"/>
        <v>23.486559999999997</v>
      </c>
      <c r="J37" s="4">
        <f t="shared" si="6"/>
        <v>346.43520000000001</v>
      </c>
      <c r="K37" s="4">
        <f t="shared" si="6"/>
        <v>111.76204986149583</v>
      </c>
      <c r="L37" s="4">
        <f t="shared" si="6"/>
        <v>41.523007999999997</v>
      </c>
      <c r="M37" s="4">
        <f t="shared" si="6"/>
        <v>318.96359999999999</v>
      </c>
      <c r="N37" s="5" t="s">
        <v>228</v>
      </c>
    </row>
    <row r="38" spans="1:22">
      <c r="A38" t="s">
        <v>229</v>
      </c>
      <c r="B38" s="64">
        <f t="shared" ref="B38:M38" si="7">B29</f>
        <v>46.957536000000005</v>
      </c>
      <c r="C38" s="64">
        <f>C29</f>
        <v>313.20663999999999</v>
      </c>
      <c r="D38" s="64">
        <f t="shared" si="7"/>
        <v>279.99197200000003</v>
      </c>
      <c r="E38" s="64">
        <f t="shared" si="7"/>
        <v>2.5336800000000004</v>
      </c>
      <c r="F38" s="64">
        <f t="shared" si="7"/>
        <v>12.174176000000001</v>
      </c>
      <c r="G38" s="64">
        <f t="shared" si="7"/>
        <v>94.465600000000009</v>
      </c>
      <c r="H38" s="64">
        <f t="shared" si="7"/>
        <v>139.93420800000001</v>
      </c>
      <c r="I38" s="64">
        <f t="shared" si="7"/>
        <v>132.59592000000004</v>
      </c>
      <c r="J38" s="64">
        <f t="shared" si="7"/>
        <v>149.09862240000001</v>
      </c>
      <c r="K38" s="64">
        <f t="shared" si="7"/>
        <v>44.339399999999998</v>
      </c>
      <c r="L38" s="64">
        <f t="shared" si="7"/>
        <v>27.964320000000001</v>
      </c>
      <c r="M38" s="64">
        <f t="shared" si="7"/>
        <v>124.97548640000002</v>
      </c>
    </row>
    <row r="39" spans="1:22">
      <c r="A39" t="s">
        <v>230</v>
      </c>
      <c r="B39" s="90">
        <f t="shared" ref="B39:M39" si="8">SUM(B35:B38)</f>
        <v>119.13753600000001</v>
      </c>
      <c r="C39" s="90">
        <f>SUM(C35:C38)</f>
        <v>1362.66264</v>
      </c>
      <c r="D39" s="90">
        <f t="shared" si="8"/>
        <v>987.71797200000015</v>
      </c>
      <c r="E39" s="90">
        <f t="shared" si="8"/>
        <v>34.787279999999996</v>
      </c>
      <c r="F39" s="90">
        <f t="shared" si="8"/>
        <v>25.662176000000002</v>
      </c>
      <c r="G39" s="90">
        <f t="shared" si="8"/>
        <v>621.6576</v>
      </c>
      <c r="H39" s="90">
        <f t="shared" si="8"/>
        <v>747.317408</v>
      </c>
      <c r="I39" s="90">
        <f t="shared" si="8"/>
        <v>422.06392000000005</v>
      </c>
      <c r="J39" s="90">
        <f t="shared" si="8"/>
        <v>540.13862240000003</v>
      </c>
      <c r="K39" s="90">
        <f t="shared" si="8"/>
        <v>732.00739999999985</v>
      </c>
      <c r="L39" s="90">
        <f t="shared" si="8"/>
        <v>134.09472</v>
      </c>
      <c r="M39" s="90">
        <f t="shared" si="8"/>
        <v>915.19548639999994</v>
      </c>
    </row>
    <row r="40" spans="1:22">
      <c r="A40" t="s">
        <v>231</v>
      </c>
      <c r="B40" s="64">
        <f t="shared" ref="B40:M40" si="9">SUM(B35:B37)</f>
        <v>72.180000000000007</v>
      </c>
      <c r="C40" s="64">
        <f>SUM(C35:C37)</f>
        <v>1049.4560000000001</v>
      </c>
      <c r="D40" s="64">
        <f t="shared" si="9"/>
        <v>707.72600000000011</v>
      </c>
      <c r="E40" s="64">
        <f t="shared" si="9"/>
        <v>32.253599999999999</v>
      </c>
      <c r="F40" s="64">
        <f t="shared" si="9"/>
        <v>13.488</v>
      </c>
      <c r="G40" s="64">
        <f t="shared" si="9"/>
        <v>527.19200000000001</v>
      </c>
      <c r="H40" s="64">
        <f t="shared" si="9"/>
        <v>607.38319999999999</v>
      </c>
      <c r="I40" s="64">
        <f t="shared" si="9"/>
        <v>289.46800000000002</v>
      </c>
      <c r="J40" s="64">
        <f t="shared" si="9"/>
        <v>391.04</v>
      </c>
      <c r="K40" s="64">
        <f t="shared" si="9"/>
        <v>687.66799999999989</v>
      </c>
      <c r="L40" s="64">
        <f t="shared" si="9"/>
        <v>106.13040000000001</v>
      </c>
      <c r="M40" s="64">
        <f t="shared" si="9"/>
        <v>790.21999999999991</v>
      </c>
      <c r="T40" s="12"/>
    </row>
    <row r="41" spans="1:22">
      <c r="A41" s="68" t="s">
        <v>232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T41" s="12"/>
      <c r="V41" s="12"/>
    </row>
    <row r="42" spans="1:22">
      <c r="A42" t="s">
        <v>223</v>
      </c>
      <c r="B42" s="9">
        <f>B35/B$40</f>
        <v>0.45247991133277915</v>
      </c>
      <c r="C42" s="9">
        <f t="shared" ref="C42:M42" si="10">C35/C$40</f>
        <v>0.16833483252275463</v>
      </c>
      <c r="D42" s="9">
        <f t="shared" si="10"/>
        <v>6.7102240132480645E-2</v>
      </c>
      <c r="E42" s="9">
        <f t="shared" si="10"/>
        <v>0.26663690254731254</v>
      </c>
      <c r="F42" s="9">
        <f t="shared" si="10"/>
        <v>6.7467378410438913E-2</v>
      </c>
      <c r="G42" s="9">
        <f t="shared" si="10"/>
        <v>5.9940211535835144E-3</v>
      </c>
      <c r="H42" s="9">
        <f t="shared" si="10"/>
        <v>0.14177211355203767</v>
      </c>
      <c r="I42" s="9">
        <f t="shared" si="10"/>
        <v>0.87056254922823939</v>
      </c>
      <c r="J42" s="9">
        <f t="shared" si="10"/>
        <v>6.1886252045826508E-3</v>
      </c>
      <c r="K42" s="9">
        <f t="shared" si="10"/>
        <v>0.31174927435913846</v>
      </c>
      <c r="L42" s="9">
        <f t="shared" si="10"/>
        <v>1.7902504843098677E-2</v>
      </c>
      <c r="M42" s="9">
        <f t="shared" si="10"/>
        <v>1.0161727113968263E-2</v>
      </c>
      <c r="T42" s="12"/>
    </row>
    <row r="43" spans="1:22">
      <c r="A43" t="s">
        <v>233</v>
      </c>
      <c r="B43" s="9">
        <f>B37/B$40</f>
        <v>0.23935716264893311</v>
      </c>
      <c r="C43" s="9">
        <f t="shared" ref="C43:M43" si="11">C37/C$40</f>
        <v>0.26900367558765814</v>
      </c>
      <c r="D43" s="9">
        <f t="shared" si="11"/>
        <v>0.66083586020578577</v>
      </c>
      <c r="E43" s="9">
        <f t="shared" si="11"/>
        <v>0.21390513078589021</v>
      </c>
      <c r="F43" s="9">
        <f t="shared" si="11"/>
        <v>0.36375079951423345</v>
      </c>
      <c r="G43" s="9">
        <f t="shared" si="11"/>
        <v>0.48307682969392557</v>
      </c>
      <c r="H43" s="9">
        <f t="shared" si="11"/>
        <v>0.60585881203167957</v>
      </c>
      <c r="I43" s="9">
        <f t="shared" si="11"/>
        <v>8.1136982326198384E-2</v>
      </c>
      <c r="J43" s="9">
        <f t="shared" si="11"/>
        <v>0.88593289689034371</v>
      </c>
      <c r="K43" s="9">
        <f t="shared" si="11"/>
        <v>0.16252326684024246</v>
      </c>
      <c r="L43" s="9">
        <f t="shared" si="11"/>
        <v>0.39124518516843426</v>
      </c>
      <c r="M43" s="9">
        <f t="shared" si="11"/>
        <v>0.40363898661132347</v>
      </c>
    </row>
    <row r="44" spans="1:22">
      <c r="A44" t="s">
        <v>225</v>
      </c>
      <c r="B44" s="9">
        <f t="shared" ref="B44:M44" si="12">B36/B$40</f>
        <v>0.3081629260182876</v>
      </c>
      <c r="C44" s="9">
        <f t="shared" si="12"/>
        <v>0.56266149188958714</v>
      </c>
      <c r="D44" s="9">
        <f t="shared" si="12"/>
        <v>0.27206189966173344</v>
      </c>
      <c r="E44" s="9">
        <f t="shared" si="12"/>
        <v>0.51945796666679711</v>
      </c>
      <c r="F44" s="9">
        <f t="shared" si="12"/>
        <v>0.56878182207532768</v>
      </c>
      <c r="G44" s="9">
        <f t="shared" si="12"/>
        <v>0.51092914915249088</v>
      </c>
      <c r="H44" s="9">
        <f t="shared" si="12"/>
        <v>0.25236907441628287</v>
      </c>
      <c r="I44" s="9">
        <f t="shared" si="12"/>
        <v>4.8300468445562197E-2</v>
      </c>
      <c r="J44" s="9">
        <f t="shared" si="12"/>
        <v>0.10787847790507363</v>
      </c>
      <c r="K44" s="9">
        <f t="shared" si="12"/>
        <v>0.52572745880061922</v>
      </c>
      <c r="L44" s="9">
        <f t="shared" si="12"/>
        <v>0.59085230998846705</v>
      </c>
      <c r="M44" s="9">
        <f t="shared" si="12"/>
        <v>0.5861992862747083</v>
      </c>
    </row>
    <row r="45" spans="1:22">
      <c r="A45" s="68" t="s">
        <v>234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1:22">
      <c r="A46" t="s">
        <v>223</v>
      </c>
      <c r="B46" s="9">
        <f>B35/B$39</f>
        <v>0.27413694370848835</v>
      </c>
      <c r="C46" s="9">
        <f t="shared" ref="C46:M46" si="13">C35/C$39</f>
        <v>0.12964324023736351</v>
      </c>
      <c r="D46" s="9">
        <f t="shared" si="13"/>
        <v>4.8080526371145141E-2</v>
      </c>
      <c r="E46" s="9">
        <f t="shared" si="13"/>
        <v>0.24721679878392333</v>
      </c>
      <c r="F46" s="9">
        <f t="shared" si="13"/>
        <v>3.5460749704156032E-2</v>
      </c>
      <c r="G46" s="9">
        <f t="shared" si="13"/>
        <v>5.0831840550167812E-3</v>
      </c>
      <c r="H46" s="9">
        <f t="shared" si="13"/>
        <v>0.11522547056738708</v>
      </c>
      <c r="I46" s="9">
        <f t="shared" si="13"/>
        <v>0.5970659610042004</v>
      </c>
      <c r="J46" s="9">
        <f t="shared" si="13"/>
        <v>4.4803313439190934E-3</v>
      </c>
      <c r="K46" s="9">
        <f t="shared" si="13"/>
        <v>0.29286589179289724</v>
      </c>
      <c r="L46" s="9">
        <f t="shared" si="13"/>
        <v>1.4169088835115954E-2</v>
      </c>
      <c r="M46" s="9">
        <f t="shared" si="13"/>
        <v>8.7740817337142851E-3</v>
      </c>
    </row>
    <row r="47" spans="1:22">
      <c r="A47" t="s">
        <v>233</v>
      </c>
      <c r="B47" s="9">
        <f>B37/B$39</f>
        <v>0.14501558937730585</v>
      </c>
      <c r="C47" s="9">
        <f t="shared" ref="C47:M47" si="14">C37/C$39</f>
        <v>0.2071734507724681</v>
      </c>
      <c r="D47" s="9">
        <f t="shared" si="14"/>
        <v>0.4735063381027555</v>
      </c>
      <c r="E47" s="9">
        <f t="shared" si="14"/>
        <v>0.19832566749443445</v>
      </c>
      <c r="F47" s="9">
        <f t="shared" si="14"/>
        <v>0.19118685741411717</v>
      </c>
      <c r="G47" s="9">
        <f t="shared" si="14"/>
        <v>0.40966963164288511</v>
      </c>
      <c r="H47" s="9">
        <f t="shared" si="14"/>
        <v>0.49241254125850636</v>
      </c>
      <c r="I47" s="9">
        <f t="shared" si="14"/>
        <v>5.5646926655090523E-2</v>
      </c>
      <c r="J47" s="9">
        <f t="shared" si="14"/>
        <v>0.64138201867639666</v>
      </c>
      <c r="K47" s="9">
        <f t="shared" si="14"/>
        <v>0.15267885251091157</v>
      </c>
      <c r="L47" s="9">
        <f t="shared" si="14"/>
        <v>0.30965431002801602</v>
      </c>
      <c r="M47" s="9">
        <f t="shared" si="14"/>
        <v>0.34851963841590905</v>
      </c>
    </row>
    <row r="48" spans="1:22">
      <c r="A48" t="s">
        <v>225</v>
      </c>
      <c r="B48" s="9">
        <f>B36/B$39</f>
        <v>0.18670186363431251</v>
      </c>
      <c r="C48" s="9">
        <f t="shared" ref="C48:M48" si="15">C36/C$39</f>
        <v>0.43333431276319329</v>
      </c>
      <c r="D48" s="9">
        <f t="shared" si="15"/>
        <v>0.19493953280015844</v>
      </c>
      <c r="E48" s="9">
        <f t="shared" si="15"/>
        <v>0.48162401526317117</v>
      </c>
      <c r="F48" s="9">
        <f t="shared" si="15"/>
        <v>0.29895084563959107</v>
      </c>
      <c r="G48" s="9">
        <f t="shared" si="15"/>
        <v>0.43328957934399898</v>
      </c>
      <c r="H48" s="9">
        <f t="shared" si="15"/>
        <v>0.20511329504584486</v>
      </c>
      <c r="I48" s="9">
        <f t="shared" si="15"/>
        <v>3.3126356785010191E-2</v>
      </c>
      <c r="J48" s="9">
        <f t="shared" si="15"/>
        <v>7.8099951106181065E-2</v>
      </c>
      <c r="K48" s="9">
        <f t="shared" si="15"/>
        <v>0.49388291721983169</v>
      </c>
      <c r="L48" s="9">
        <f t="shared" si="15"/>
        <v>0.46763505677181033</v>
      </c>
      <c r="M48" s="9">
        <f t="shared" si="15"/>
        <v>0.50615022351360228</v>
      </c>
    </row>
    <row r="49" spans="1:13">
      <c r="A49" t="s">
        <v>188</v>
      </c>
      <c r="B49" s="9">
        <f>B38/B$39</f>
        <v>0.39414560327989323</v>
      </c>
      <c r="C49" s="9">
        <f t="shared" ref="C49:M49" si="16">C38/C$39</f>
        <v>0.22984899622697513</v>
      </c>
      <c r="D49" s="9">
        <f t="shared" si="16"/>
        <v>0.28347360272594085</v>
      </c>
      <c r="E49" s="9">
        <f t="shared" si="16"/>
        <v>7.2833518458471053E-2</v>
      </c>
      <c r="F49" s="9">
        <f t="shared" si="16"/>
        <v>0.47440154724213568</v>
      </c>
      <c r="G49" s="9">
        <f t="shared" si="16"/>
        <v>0.15195760495809912</v>
      </c>
      <c r="H49" s="9">
        <f t="shared" si="16"/>
        <v>0.18724869312826178</v>
      </c>
      <c r="I49" s="9">
        <f t="shared" si="16"/>
        <v>0.31416075555569883</v>
      </c>
      <c r="J49" s="9">
        <f t="shared" si="16"/>
        <v>0.2760376988735031</v>
      </c>
      <c r="K49" s="9">
        <f t="shared" si="16"/>
        <v>6.0572338476359677E-2</v>
      </c>
      <c r="L49" s="9">
        <f t="shared" si="16"/>
        <v>0.20854154436505778</v>
      </c>
      <c r="M49" s="9">
        <f t="shared" si="16"/>
        <v>0.13655605633677437</v>
      </c>
    </row>
    <row r="51" spans="1:13">
      <c r="A51" s="65" t="s">
        <v>23</v>
      </c>
      <c r="B51" s="65" t="s">
        <v>235</v>
      </c>
      <c r="C51" s="65"/>
      <c r="D51" s="126"/>
      <c r="E51" s="65"/>
      <c r="F51" s="65"/>
      <c r="G51" s="65"/>
      <c r="H51" s="65"/>
      <c r="I51" s="65"/>
      <c r="J51" s="65"/>
      <c r="K51" s="65"/>
      <c r="L51" s="126"/>
      <c r="M51" s="65"/>
    </row>
    <row r="52" spans="1:13">
      <c r="A52" t="s">
        <v>223</v>
      </c>
      <c r="B52" s="3">
        <v>1.9425645582238898E-2</v>
      </c>
      <c r="C52" s="3">
        <v>2.4967570831253484E-2</v>
      </c>
      <c r="D52" s="3">
        <v>2.269628999149341E-2</v>
      </c>
      <c r="E52" s="3">
        <v>2.4967570831253484E-2</v>
      </c>
      <c r="F52" s="3">
        <v>2.4967570831253484E-2</v>
      </c>
      <c r="G52" s="3">
        <v>2.4967570831253484E-2</v>
      </c>
      <c r="H52" s="3">
        <v>2.4967570831253484E-2</v>
      </c>
      <c r="I52" s="3">
        <v>2.269628999149341E-2</v>
      </c>
      <c r="J52" s="3">
        <v>2.4967570831253484E-2</v>
      </c>
      <c r="K52" s="3">
        <v>2.4967570831253484E-2</v>
      </c>
      <c r="L52" s="3">
        <v>2.244851389988322E-2</v>
      </c>
    </row>
    <row r="53" spans="1:13">
      <c r="A53" t="s">
        <v>233</v>
      </c>
      <c r="B53" s="3">
        <v>1.0097630311467322E-2</v>
      </c>
      <c r="C53" s="3">
        <v>1.2397950984777134E-2</v>
      </c>
      <c r="D53" s="3">
        <v>1.4213512231902375E-2</v>
      </c>
      <c r="E53" s="3">
        <v>1.4346135093783055E-2</v>
      </c>
      <c r="F53" s="3">
        <v>1.5086993839461365E-2</v>
      </c>
      <c r="G53" s="3">
        <v>1.2590025474397436E-2</v>
      </c>
      <c r="H53" s="3">
        <v>1.7144934799678893E-2</v>
      </c>
      <c r="I53" s="3">
        <v>1.2676916314939952E-2</v>
      </c>
      <c r="J53" s="3">
        <v>1.6294319202788982E-2</v>
      </c>
      <c r="K53" s="3">
        <v>1.1382700111069821E-2</v>
      </c>
      <c r="L53" s="3">
        <v>1.0564096929116629E-2</v>
      </c>
    </row>
    <row r="54" spans="1:13">
      <c r="A54" t="s">
        <v>225</v>
      </c>
      <c r="B54" s="3">
        <v>1.3969160762196725E-2</v>
      </c>
      <c r="C54" s="3">
        <v>1.3295125843787513E-2</v>
      </c>
      <c r="D54" s="3">
        <v>1.5022968375519618E-2</v>
      </c>
      <c r="E54" s="3">
        <v>1.5249223574055898E-2</v>
      </c>
      <c r="F54" s="3">
        <v>1.611426836624583E-2</v>
      </c>
      <c r="G54" s="3">
        <v>1.3593645516132067E-2</v>
      </c>
      <c r="H54" s="3">
        <v>1.8184036568988277E-2</v>
      </c>
      <c r="I54" s="3">
        <v>1.3539595049919325E-2</v>
      </c>
      <c r="J54" s="3">
        <v>1.7593620307646538E-2</v>
      </c>
      <c r="K54" s="3">
        <v>1.2273961348817742E-2</v>
      </c>
      <c r="L54" s="3">
        <v>1.1296675996321915E-2</v>
      </c>
    </row>
    <row r="55" spans="1:13">
      <c r="A55" t="s">
        <v>236</v>
      </c>
      <c r="B55" s="3">
        <f>SUMPRODUCT(B42:B44,B52:B54)</f>
        <v>1.5511431985962526E-2</v>
      </c>
      <c r="C55" s="3">
        <f t="shared" ref="C55:L55" si="17">SUMPRODUCT(C42:C44,C52:C54)</f>
        <v>1.5018661581165032E-2</v>
      </c>
      <c r="D55" s="3">
        <f t="shared" si="17"/>
        <v>1.5002947798242286E-2</v>
      </c>
      <c r="E55" s="3">
        <f t="shared" si="17"/>
        <v>1.7647318325110236E-2</v>
      </c>
      <c r="F55" s="3">
        <f t="shared" si="17"/>
        <v>1.633790554339612E-2</v>
      </c>
      <c r="G55" s="3">
        <f t="shared" si="17"/>
        <v>1.3176995477091733E-2</v>
      </c>
      <c r="H55" s="3">
        <f t="shared" si="17"/>
        <v>1.8516203595168479E-2</v>
      </c>
      <c r="I55" s="3">
        <f t="shared" si="17"/>
        <v>2.1441075591488175E-2</v>
      </c>
      <c r="J55" s="3">
        <f t="shared" si="17"/>
        <v>1.6488161331954999E-2</v>
      </c>
      <c r="K55" s="3">
        <f t="shared" si="17"/>
        <v>1.6086334205998493E-2</v>
      </c>
      <c r="L55" s="3">
        <f t="shared" si="17"/>
        <v>1.1209703795600622E-2</v>
      </c>
      <c r="M55" s="127">
        <f>G55</f>
        <v>1.3176995477091733E-2</v>
      </c>
    </row>
    <row r="58" spans="1:13">
      <c r="A58" t="s">
        <v>237</v>
      </c>
    </row>
    <row r="59" spans="1:13">
      <c r="A59" t="s">
        <v>238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CBB4-8644-4322-A6D6-1657321AF28C}">
  <dimension ref="A2:F11"/>
  <sheetViews>
    <sheetView workbookViewId="0">
      <selection activeCell="C10" sqref="C10"/>
    </sheetView>
  </sheetViews>
  <sheetFormatPr defaultRowHeight="14.45"/>
  <cols>
    <col min="1" max="1" width="23.42578125" customWidth="1"/>
  </cols>
  <sheetData>
    <row r="2" spans="1:6" ht="21">
      <c r="A2" s="1" t="s">
        <v>239</v>
      </c>
    </row>
    <row r="4" spans="1:6">
      <c r="A4" s="60" t="s">
        <v>240</v>
      </c>
      <c r="B4" s="60"/>
    </row>
    <row r="5" spans="1:6">
      <c r="A5" s="57" t="s">
        <v>129</v>
      </c>
      <c r="B5" s="61">
        <v>1</v>
      </c>
      <c r="F5" s="75"/>
    </row>
    <row r="6" spans="1:6">
      <c r="A6" s="2" t="s">
        <v>130</v>
      </c>
      <c r="B6" s="62">
        <v>29.8</v>
      </c>
      <c r="F6" s="10"/>
    </row>
    <row r="7" spans="1:6">
      <c r="A7" s="2" t="s">
        <v>131</v>
      </c>
      <c r="B7" s="62">
        <v>27</v>
      </c>
      <c r="F7" s="10"/>
    </row>
    <row r="8" spans="1:6">
      <c r="A8" s="2" t="s">
        <v>132</v>
      </c>
      <c r="B8" s="63">
        <v>273</v>
      </c>
      <c r="F8" s="17"/>
    </row>
    <row r="10" spans="1:6">
      <c r="A10" s="60" t="s">
        <v>241</v>
      </c>
      <c r="B10" s="60"/>
    </row>
    <row r="11" spans="1:6">
      <c r="A11" s="2" t="s">
        <v>242</v>
      </c>
      <c r="B11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2:A4"/>
  <sheetViews>
    <sheetView workbookViewId="0">
      <selection activeCell="N10" sqref="N10"/>
    </sheetView>
  </sheetViews>
  <sheetFormatPr defaultRowHeight="14.45"/>
  <sheetData>
    <row r="2" spans="1:1" ht="21">
      <c r="A2" s="1" t="s">
        <v>243</v>
      </c>
    </row>
    <row r="4" spans="1:1">
      <c r="A4" t="s">
        <v>244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C0BB-203E-4EA2-866D-B50BF560F5C2}">
  <dimension ref="A2:F24"/>
  <sheetViews>
    <sheetView zoomScale="109" workbookViewId="0">
      <selection activeCell="F14" sqref="F14"/>
    </sheetView>
  </sheetViews>
  <sheetFormatPr defaultRowHeight="14.45"/>
  <cols>
    <col min="1" max="1" width="46.7109375" customWidth="1"/>
    <col min="2" max="2" width="15.28515625" customWidth="1"/>
    <col min="3" max="3" width="16.5703125" customWidth="1"/>
  </cols>
  <sheetData>
    <row r="2" spans="1:6" ht="21">
      <c r="A2" s="1" t="s">
        <v>245</v>
      </c>
    </row>
    <row r="3" spans="1:6">
      <c r="B3" t="s">
        <v>246</v>
      </c>
      <c r="E3" t="s">
        <v>247</v>
      </c>
    </row>
    <row r="4" spans="1:6">
      <c r="B4" t="s">
        <v>248</v>
      </c>
      <c r="C4" t="s">
        <v>249</v>
      </c>
      <c r="D4" t="s">
        <v>250</v>
      </c>
      <c r="E4" t="s">
        <v>248</v>
      </c>
      <c r="F4" t="s">
        <v>249</v>
      </c>
    </row>
    <row r="6" spans="1:6">
      <c r="A6" t="s">
        <v>251</v>
      </c>
      <c r="B6">
        <v>29</v>
      </c>
      <c r="C6">
        <v>62</v>
      </c>
      <c r="D6" s="80">
        <f>SUMPRODUCT(B8:B21,D8:D21)</f>
        <v>29.4</v>
      </c>
    </row>
    <row r="7" spans="1:6">
      <c r="A7" t="s">
        <v>252</v>
      </c>
      <c r="B7">
        <v>18</v>
      </c>
      <c r="C7">
        <v>28</v>
      </c>
    </row>
    <row r="8" spans="1:6">
      <c r="A8" t="s">
        <v>253</v>
      </c>
      <c r="B8">
        <v>41</v>
      </c>
      <c r="C8">
        <v>88</v>
      </c>
      <c r="D8">
        <v>0.24</v>
      </c>
    </row>
    <row r="9" spans="1:6">
      <c r="A9" t="s">
        <v>254</v>
      </c>
      <c r="B9">
        <v>20</v>
      </c>
      <c r="C9">
        <v>23</v>
      </c>
      <c r="D9">
        <v>0.13</v>
      </c>
    </row>
    <row r="10" spans="1:6">
      <c r="A10" t="s">
        <v>255</v>
      </c>
      <c r="B10">
        <v>27</v>
      </c>
      <c r="C10">
        <v>75</v>
      </c>
      <c r="D10">
        <v>0.02</v>
      </c>
    </row>
    <row r="11" spans="1:6">
      <c r="A11" t="s">
        <v>256</v>
      </c>
      <c r="B11">
        <v>32</v>
      </c>
      <c r="C11">
        <v>0</v>
      </c>
      <c r="D11">
        <v>0.1</v>
      </c>
      <c r="E11" s="64">
        <f>(19/0.7)</f>
        <v>27.142857142857146</v>
      </c>
      <c r="F11" s="64">
        <v>0</v>
      </c>
    </row>
    <row r="12" spans="1:6">
      <c r="A12" t="s">
        <v>257</v>
      </c>
      <c r="B12">
        <v>27</v>
      </c>
      <c r="C12">
        <v>76</v>
      </c>
      <c r="D12">
        <v>0.03</v>
      </c>
      <c r="E12" s="64">
        <f>(23/0.7)</f>
        <v>32.857142857142861</v>
      </c>
      <c r="F12" s="64">
        <f>60/0.7</f>
        <v>85.714285714285722</v>
      </c>
    </row>
    <row r="13" spans="1:6">
      <c r="A13" t="s">
        <v>258</v>
      </c>
      <c r="B13">
        <v>17</v>
      </c>
      <c r="D13">
        <v>0.01</v>
      </c>
    </row>
    <row r="14" spans="1:6">
      <c r="A14" t="s">
        <v>259</v>
      </c>
      <c r="B14">
        <v>11</v>
      </c>
      <c r="C14">
        <v>65</v>
      </c>
      <c r="D14">
        <v>0.01</v>
      </c>
    </row>
    <row r="15" spans="1:6">
      <c r="A15" t="s">
        <v>260</v>
      </c>
      <c r="B15">
        <v>31</v>
      </c>
      <c r="C15">
        <v>11</v>
      </c>
      <c r="D15">
        <v>0.11</v>
      </c>
    </row>
    <row r="16" spans="1:6">
      <c r="A16" t="s">
        <v>261</v>
      </c>
      <c r="B16">
        <v>25</v>
      </c>
      <c r="C16">
        <v>13</v>
      </c>
      <c r="D16">
        <v>0.05</v>
      </c>
    </row>
    <row r="17" spans="1:4">
      <c r="A17" t="s">
        <v>262</v>
      </c>
      <c r="B17">
        <v>37</v>
      </c>
      <c r="C17">
        <v>40</v>
      </c>
      <c r="D17">
        <v>0.02</v>
      </c>
    </row>
    <row r="18" spans="1:4">
      <c r="A18" t="s">
        <v>263</v>
      </c>
      <c r="B18">
        <v>32</v>
      </c>
      <c r="D18">
        <v>7.0000000000000007E-2</v>
      </c>
    </row>
    <row r="19" spans="1:4">
      <c r="A19" t="s">
        <v>264</v>
      </c>
      <c r="B19">
        <v>17</v>
      </c>
      <c r="D19">
        <v>0.01</v>
      </c>
    </row>
    <row r="20" spans="1:4">
      <c r="A20" t="s">
        <v>265</v>
      </c>
      <c r="B20">
        <v>27</v>
      </c>
      <c r="C20">
        <v>75</v>
      </c>
      <c r="D20">
        <v>0.16</v>
      </c>
    </row>
    <row r="21" spans="1:4">
      <c r="A21" t="s">
        <v>266</v>
      </c>
      <c r="B21" s="5">
        <v>0</v>
      </c>
      <c r="C21" s="5">
        <v>0</v>
      </c>
      <c r="D21">
        <v>0.04</v>
      </c>
    </row>
    <row r="24" spans="1:4">
      <c r="A24" t="s">
        <v>267</v>
      </c>
      <c r="B24">
        <v>36</v>
      </c>
      <c r="C24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C9466767-CC6B-4313-B005-51AE488866D6}"/>
</file>

<file path=customXml/itemProps2.xml><?xml version="1.0" encoding="utf-8"?>
<ds:datastoreItem xmlns:ds="http://schemas.openxmlformats.org/officeDocument/2006/customXml" ds:itemID="{95AA8BD2-4DFD-46C4-AB5A-9922D802D05E}"/>
</file>

<file path=customXml/itemProps3.xml><?xml version="1.0" encoding="utf-8"?>
<ds:datastoreItem xmlns:ds="http://schemas.openxmlformats.org/officeDocument/2006/customXml" ds:itemID="{35C14542-2642-452A-849B-1DD08CED0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Ludvig Karlsson</cp:lastModifiedBy>
  <cp:revision/>
  <dcterms:created xsi:type="dcterms:W3CDTF">2015-06-05T18:19:34Z</dcterms:created>
  <dcterms:modified xsi:type="dcterms:W3CDTF">2024-04-09T14:10:21Z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