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R scripts/"/>
    </mc:Choice>
  </mc:AlternateContent>
  <xr:revisionPtr revIDLastSave="4446" documentId="11_68180DEFE5EFFBC1ECF92EFF7B6F5A260CB79E35" xr6:coauthVersionLast="47" xr6:coauthVersionMax="47" xr10:uidLastSave="{C383F70E-0780-4C32-8FB2-22AD80159C08}"/>
  <bookViews>
    <workbookView xWindow="-108" yWindow="-108" windowWidth="23256" windowHeight="12576" xr2:uid="{00000000-000D-0000-FFFF-FFFF00000000}"/>
  </bookViews>
  <sheets>
    <sheet name="Approximations" sheetId="6" r:id="rId1"/>
  </sheets>
  <definedNames>
    <definedName name="_xlnm._FilterDatabase" localSheetId="0" hidden="1">Approximations!$A$1:$O$182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2" i="6" l="1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</calcChain>
</file>

<file path=xl/sharedStrings.xml><?xml version="1.0" encoding="utf-8"?>
<sst xmlns="http://schemas.openxmlformats.org/spreadsheetml/2006/main" count="1838" uniqueCount="379">
  <si>
    <t>Country</t>
  </si>
  <si>
    <t xml:space="preserve">Artichokes </t>
  </si>
  <si>
    <t xml:space="preserve">Bananas </t>
  </si>
  <si>
    <t xml:space="preserve">Beans, dry </t>
  </si>
  <si>
    <t xml:space="preserve">Buckwheat </t>
  </si>
  <si>
    <t xml:space="preserve">Canary seed </t>
  </si>
  <si>
    <t xml:space="preserve">Cassava </t>
  </si>
  <si>
    <t xml:space="preserve">Cranberries </t>
  </si>
  <si>
    <t xml:space="preserve">Dates </t>
  </si>
  <si>
    <t xml:space="preserve">Fonio </t>
  </si>
  <si>
    <t xml:space="preserve">Kola nuts </t>
  </si>
  <si>
    <t xml:space="preserve">Linseed </t>
  </si>
  <si>
    <t xml:space="preserve">Pears </t>
  </si>
  <si>
    <t xml:space="preserve">Persimmons </t>
  </si>
  <si>
    <t xml:space="preserve">Pineapples </t>
  </si>
  <si>
    <t xml:space="preserve">Plantains and others </t>
  </si>
  <si>
    <t xml:space="preserve">Quinoa </t>
  </si>
  <si>
    <t xml:space="preserve">Sesame seed </t>
  </si>
  <si>
    <t xml:space="preserve">Sweet potatoes </t>
  </si>
  <si>
    <t xml:space="preserve">Triticale </t>
  </si>
  <si>
    <t>SUA_Code</t>
  </si>
  <si>
    <t>SUA_Item</t>
  </si>
  <si>
    <t>Country_code</t>
  </si>
  <si>
    <t>Approx_with</t>
  </si>
  <si>
    <t>From_country</t>
  </si>
  <si>
    <t>Yield (kg/ha)</t>
  </si>
  <si>
    <t>CF mammals</t>
  </si>
  <si>
    <t>CF              birds</t>
  </si>
  <si>
    <t>CF amphibians</t>
  </si>
  <si>
    <t>CF reptiles</t>
  </si>
  <si>
    <t>CF plants</t>
  </si>
  <si>
    <t>Water use</t>
  </si>
  <si>
    <t>Land use</t>
  </si>
  <si>
    <t>Biodiversity</t>
  </si>
  <si>
    <t>Yield approximation</t>
  </si>
  <si>
    <t>01654</t>
  </si>
  <si>
    <t>Anise, badian, coriander, cumin, caraway, fennel and juniper berries, raw</t>
  </si>
  <si>
    <t>Egypt</t>
  </si>
  <si>
    <t>EG</t>
  </si>
  <si>
    <t>Turkey</t>
  </si>
  <si>
    <t>If no country is specified, the yield approximation is for a crop in the original country. If only a country is stated and no crop, it is the original crop but approximated with another country.</t>
  </si>
  <si>
    <t>Lithuania</t>
  </si>
  <si>
    <t>LT</t>
  </si>
  <si>
    <t>Ukraine</t>
  </si>
  <si>
    <t>Russia</t>
  </si>
  <si>
    <t>RU</t>
  </si>
  <si>
    <t>Syrian Arab Republic</t>
  </si>
  <si>
    <t>SY</t>
  </si>
  <si>
    <t>01216</t>
  </si>
  <si>
    <t>Spain</t>
  </si>
  <si>
    <t>01312</t>
  </si>
  <si>
    <t>Belize</t>
  </si>
  <si>
    <t>BZ</t>
  </si>
  <si>
    <t>Bananas</t>
  </si>
  <si>
    <t>Costa Rica</t>
  </si>
  <si>
    <t>Cameroon</t>
  </si>
  <si>
    <t>CM</t>
  </si>
  <si>
    <t xml:space="preserve">Cote d'Ivoire </t>
  </si>
  <si>
    <t>Colombia</t>
  </si>
  <si>
    <t>CO</t>
  </si>
  <si>
    <t>Panama</t>
  </si>
  <si>
    <t>PA</t>
  </si>
  <si>
    <t>Suriname</t>
  </si>
  <si>
    <t>SR</t>
  </si>
  <si>
    <t>01701</t>
  </si>
  <si>
    <t>Ethiopia</t>
  </si>
  <si>
    <t>ET</t>
  </si>
  <si>
    <t>Beans, dry</t>
  </si>
  <si>
    <t>Ireland</t>
  </si>
  <si>
    <t>IR</t>
  </si>
  <si>
    <t>Sweden</t>
  </si>
  <si>
    <t>Kyrgyzstan</t>
  </si>
  <si>
    <t>KG</t>
  </si>
  <si>
    <t>01377</t>
  </si>
  <si>
    <t>Brazil nuts, in shell</t>
  </si>
  <si>
    <t xml:space="preserve">Cashew nuts, in shell </t>
  </si>
  <si>
    <t>India</t>
  </si>
  <si>
    <t>Cashew nuts, in shell</t>
  </si>
  <si>
    <t xml:space="preserve">Brazil </t>
  </si>
  <si>
    <t>BR</t>
  </si>
  <si>
    <t>Peru</t>
  </si>
  <si>
    <t>PE</t>
  </si>
  <si>
    <t>01243</t>
  </si>
  <si>
    <t>Broad beans and horse beans, green</t>
  </si>
  <si>
    <t>Hungary</t>
  </si>
  <si>
    <t>HU</t>
  </si>
  <si>
    <t>Germany</t>
  </si>
  <si>
    <t>SE</t>
  </si>
  <si>
    <t>TR</t>
  </si>
  <si>
    <t>Greece</t>
  </si>
  <si>
    <t>01192</t>
  </si>
  <si>
    <t xml:space="preserve">Lithuania </t>
  </si>
  <si>
    <t>Buckwheat</t>
  </si>
  <si>
    <t xml:space="preserve">Nepal </t>
  </si>
  <si>
    <t>NP</t>
  </si>
  <si>
    <t>China</t>
  </si>
  <si>
    <t>01195</t>
  </si>
  <si>
    <t>Canary seed</t>
  </si>
  <si>
    <t>Linseed</t>
  </si>
  <si>
    <t>Canada</t>
  </si>
  <si>
    <t xml:space="preserve">Canada </t>
  </si>
  <si>
    <t>CA</t>
  </si>
  <si>
    <t>01372</t>
  </si>
  <si>
    <t xml:space="preserve">Ghana </t>
  </si>
  <si>
    <t>GH</t>
  </si>
  <si>
    <t>United Republic of Tanzania</t>
  </si>
  <si>
    <t>TZ</t>
  </si>
  <si>
    <t>01520.01</t>
  </si>
  <si>
    <t>Cassava</t>
  </si>
  <si>
    <t>CR</t>
  </si>
  <si>
    <t>Sweet potatoes</t>
  </si>
  <si>
    <t xml:space="preserve">India </t>
  </si>
  <si>
    <t>IN</t>
  </si>
  <si>
    <t xml:space="preserve">Thailand </t>
  </si>
  <si>
    <t>TH</t>
  </si>
  <si>
    <t>01199.90</t>
  </si>
  <si>
    <t>Cereals n.e.c.</t>
  </si>
  <si>
    <t>DE</t>
  </si>
  <si>
    <t>France</t>
  </si>
  <si>
    <t>Mixed grain</t>
  </si>
  <si>
    <t xml:space="preserve">Latvia </t>
  </si>
  <si>
    <t>LV</t>
  </si>
  <si>
    <t>UK</t>
  </si>
  <si>
    <t>GB</t>
  </si>
  <si>
    <t>01344.02</t>
  </si>
  <si>
    <t>Cherries</t>
  </si>
  <si>
    <t>Sour cherries</t>
  </si>
  <si>
    <t>01373</t>
  </si>
  <si>
    <t>Chestnuts, in shell</t>
  </si>
  <si>
    <t xml:space="preserve">Albania </t>
  </si>
  <si>
    <t>AL</t>
  </si>
  <si>
    <t xml:space="preserve">Almonds, in shell </t>
  </si>
  <si>
    <t xml:space="preserve">Bosnia and Herzegovina </t>
  </si>
  <si>
    <t>BA</t>
  </si>
  <si>
    <t xml:space="preserve">Portugal </t>
  </si>
  <si>
    <t>PT</t>
  </si>
  <si>
    <t>01703</t>
  </si>
  <si>
    <t xml:space="preserve">Chick peas, dry </t>
  </si>
  <si>
    <t xml:space="preserve">Mexico </t>
  </si>
  <si>
    <t>MX</t>
  </si>
  <si>
    <t>Chick peas, dry</t>
  </si>
  <si>
    <t>Argentina</t>
  </si>
  <si>
    <t>01231</t>
  </si>
  <si>
    <t>Chillies and peppers, green (Capsicum spp. and Pimenta spp.), raw</t>
  </si>
  <si>
    <t>FR</t>
  </si>
  <si>
    <t>01655</t>
  </si>
  <si>
    <t>Cinnamon and cinnamon-tree flowers, raw</t>
  </si>
  <si>
    <t>CN</t>
  </si>
  <si>
    <t>Other stimulant, spice and aromatic crops, n.e.c.</t>
  </si>
  <si>
    <t xml:space="preserve">Indonesia </t>
  </si>
  <si>
    <t>ID</t>
  </si>
  <si>
    <t xml:space="preserve">Madagascar </t>
  </si>
  <si>
    <t>MG</t>
  </si>
  <si>
    <t>Morocco</t>
  </si>
  <si>
    <t xml:space="preserve">Sri Lanka </t>
  </si>
  <si>
    <t>LK</t>
  </si>
  <si>
    <t>01656</t>
  </si>
  <si>
    <t>Cloves (whole stems), raw</t>
  </si>
  <si>
    <t xml:space="preserve">Comoros </t>
  </si>
  <si>
    <t>KM</t>
  </si>
  <si>
    <t>01640</t>
  </si>
  <si>
    <t xml:space="preserve">Cocoa beans </t>
  </si>
  <si>
    <t xml:space="preserve">Cameroon </t>
  </si>
  <si>
    <t>Cocoa beans</t>
  </si>
  <si>
    <t xml:space="preserve">Nigeria </t>
  </si>
  <si>
    <t>NG</t>
  </si>
  <si>
    <t>Ghana</t>
  </si>
  <si>
    <t>01460</t>
  </si>
  <si>
    <t>Coconut, in shell</t>
  </si>
  <si>
    <t xml:space="preserve">French Polynesia </t>
  </si>
  <si>
    <t>PF</t>
  </si>
  <si>
    <t>Indonesia</t>
  </si>
  <si>
    <t>01610</t>
  </si>
  <si>
    <t>Coffee, green</t>
  </si>
  <si>
    <t xml:space="preserve">Colombia </t>
  </si>
  <si>
    <t>01355.02</t>
  </si>
  <si>
    <t xml:space="preserve">Belarus </t>
  </si>
  <si>
    <t>BY</t>
  </si>
  <si>
    <t>Grapes</t>
  </si>
  <si>
    <t>Chile</t>
  </si>
  <si>
    <t xml:space="preserve">Chile </t>
  </si>
  <si>
    <t>CL</t>
  </si>
  <si>
    <t>Currants</t>
  </si>
  <si>
    <t>USA</t>
  </si>
  <si>
    <t>US</t>
  </si>
  <si>
    <t>01314</t>
  </si>
  <si>
    <t xml:space="preserve">Algeria </t>
  </si>
  <si>
    <t>DZ</t>
  </si>
  <si>
    <t>Dates</t>
  </si>
  <si>
    <t>Israel</t>
  </si>
  <si>
    <t xml:space="preserve">Pakistan </t>
  </si>
  <si>
    <t>PK</t>
  </si>
  <si>
    <t xml:space="preserve">Saudi Arabia </t>
  </si>
  <si>
    <t>SA</t>
  </si>
  <si>
    <t xml:space="preserve">Tunisia </t>
  </si>
  <si>
    <t>TN</t>
  </si>
  <si>
    <t>0232</t>
  </si>
  <si>
    <t>Eggs from other birds in shell, fresh, n.e.c.</t>
  </si>
  <si>
    <t>ES</t>
  </si>
  <si>
    <t>Hen eggs in shell</t>
  </si>
  <si>
    <t>Lägg till för varje land som har ägg</t>
  </si>
  <si>
    <t>Bulgaria</t>
  </si>
  <si>
    <t>BG</t>
  </si>
  <si>
    <t xml:space="preserve">Romania </t>
  </si>
  <si>
    <t>RO</t>
  </si>
  <si>
    <t xml:space="preserve">UK </t>
  </si>
  <si>
    <t>21118.01</t>
  </si>
  <si>
    <t xml:space="preserve">Argentina </t>
  </si>
  <si>
    <t>AR</t>
  </si>
  <si>
    <t>01193</t>
  </si>
  <si>
    <t xml:space="preserve">Guinea </t>
  </si>
  <si>
    <t>GN</t>
  </si>
  <si>
    <t>Millet</t>
  </si>
  <si>
    <t xml:space="preserve">Mali </t>
  </si>
  <si>
    <t>ML</t>
  </si>
  <si>
    <t>21170.02</t>
  </si>
  <si>
    <t>Game meat</t>
  </si>
  <si>
    <t>Czechia</t>
  </si>
  <si>
    <t>CZ</t>
  </si>
  <si>
    <t>Rest of World</t>
  </si>
  <si>
    <t xml:space="preserve">New Zealand </t>
  </si>
  <si>
    <t>NZ</t>
  </si>
  <si>
    <t>Poland</t>
  </si>
  <si>
    <t>PL</t>
  </si>
  <si>
    <t>01657</t>
  </si>
  <si>
    <t>Ginger, raw</t>
  </si>
  <si>
    <t>21116</t>
  </si>
  <si>
    <t>Goat muscle</t>
  </si>
  <si>
    <t>01252</t>
  </si>
  <si>
    <t>Green garlic</t>
  </si>
  <si>
    <t xml:space="preserve">Egypt </t>
  </si>
  <si>
    <t>0142</t>
  </si>
  <si>
    <t>Groundnuts, excluding shelled</t>
  </si>
  <si>
    <t>Australia</t>
  </si>
  <si>
    <t>AU</t>
  </si>
  <si>
    <t>Kolla att inte jordnötter blir mandlar!</t>
  </si>
  <si>
    <t>Italy</t>
  </si>
  <si>
    <t>IT</t>
  </si>
  <si>
    <t>Walnuts, in shell</t>
  </si>
  <si>
    <t>01374</t>
  </si>
  <si>
    <t xml:space="preserve">Hazelnuts, in shell </t>
  </si>
  <si>
    <t xml:space="preserve">Georgia </t>
  </si>
  <si>
    <t>GE</t>
  </si>
  <si>
    <t>0231</t>
  </si>
  <si>
    <t>01379.02</t>
  </si>
  <si>
    <t>CI</t>
  </si>
  <si>
    <t>01441</t>
  </si>
  <si>
    <t xml:space="preserve">Kazakhstan </t>
  </si>
  <si>
    <t>KZ</t>
  </si>
  <si>
    <t>01709.02</t>
  </si>
  <si>
    <t>Lupins</t>
  </si>
  <si>
    <t>Other pulses n.e.c.</t>
  </si>
  <si>
    <t xml:space="preserve">Turkey </t>
  </si>
  <si>
    <t>01316</t>
  </si>
  <si>
    <t>Mangoes, guavas and mangosteens</t>
  </si>
  <si>
    <t>Pakistan</t>
  </si>
  <si>
    <t>Other tropical fruits, n.e.c.</t>
  </si>
  <si>
    <t>01630</t>
  </si>
  <si>
    <t>Maté leaves</t>
  </si>
  <si>
    <t>Brazil</t>
  </si>
  <si>
    <t xml:space="preserve">Paraguay </t>
  </si>
  <si>
    <t>PY</t>
  </si>
  <si>
    <t>01199.02</t>
  </si>
  <si>
    <t>01442</t>
  </si>
  <si>
    <t>Mustard seed</t>
  </si>
  <si>
    <t>Rape or colza seed, average</t>
  </si>
  <si>
    <t>Kazakhstan</t>
  </si>
  <si>
    <t>Romania</t>
  </si>
  <si>
    <t>Serbia</t>
  </si>
  <si>
    <t>RS</t>
  </si>
  <si>
    <t>UA</t>
  </si>
  <si>
    <t>01653</t>
  </si>
  <si>
    <t>Nutmeg, mace, cardamoms, raw</t>
  </si>
  <si>
    <t xml:space="preserve">Guatemala </t>
  </si>
  <si>
    <t>GT</t>
  </si>
  <si>
    <t>01379.90</t>
  </si>
  <si>
    <t>Other nuts (excluding wild edible nuts and groundnuts), in shell, n.e.c.</t>
  </si>
  <si>
    <t xml:space="preserve">Walnuts, in shell </t>
  </si>
  <si>
    <t>01253.02</t>
  </si>
  <si>
    <t>Onions and shallots, dry (excluding dehydrated)</t>
  </si>
  <si>
    <t>Onions and shallots, dry (excluding dehydrated)</t>
  </si>
  <si>
    <t>01241.90</t>
  </si>
  <si>
    <t>Other beans, green</t>
  </si>
  <si>
    <t xml:space="preserve">Kenya </t>
  </si>
  <si>
    <t>KE</t>
  </si>
  <si>
    <t>MA</t>
  </si>
  <si>
    <t>Netherlands</t>
  </si>
  <si>
    <t>NL</t>
  </si>
  <si>
    <t>01359.90</t>
  </si>
  <si>
    <t>Other fruits, n.e.c.</t>
  </si>
  <si>
    <t>21170.92</t>
  </si>
  <si>
    <t>Other meat n.e.c., fresh, chilled or frozen</t>
  </si>
  <si>
    <t>IE</t>
  </si>
  <si>
    <t>01449.90</t>
  </si>
  <si>
    <t>Other oil seeds, n.e.c.</t>
  </si>
  <si>
    <t xml:space="preserve">Ethiopia </t>
  </si>
  <si>
    <t>01709.90</t>
  </si>
  <si>
    <t>Lentils, dry</t>
  </si>
  <si>
    <t>United Kingdom of Great Britain and Northern Ireland</t>
  </si>
  <si>
    <t>01319</t>
  </si>
  <si>
    <t xml:space="preserve">Burkina Faso </t>
  </si>
  <si>
    <t>BF</t>
  </si>
  <si>
    <t>Papayas</t>
  </si>
  <si>
    <t xml:space="preserve">Senegal </t>
  </si>
  <si>
    <t>SN</t>
  </si>
  <si>
    <t>Thailand</t>
  </si>
  <si>
    <t>01342.01</t>
  </si>
  <si>
    <t>Pears</t>
  </si>
  <si>
    <t>01651</t>
  </si>
  <si>
    <t>Pepper (Piper spp.), raw</t>
  </si>
  <si>
    <t>Chillies and peppers, dry (Capsicum spp., Pimenta spp.), raw</t>
  </si>
  <si>
    <t>01321</t>
  </si>
  <si>
    <t xml:space="preserve">Israel </t>
  </si>
  <si>
    <t>IL</t>
  </si>
  <si>
    <t>Pomelos and grapefruits</t>
  </si>
  <si>
    <t>21170.01</t>
  </si>
  <si>
    <t>Pigeon fresh meat</t>
  </si>
  <si>
    <t>New Zealand</t>
  </si>
  <si>
    <t>Chicken meat</t>
  </si>
  <si>
    <t>01318</t>
  </si>
  <si>
    <t>Pineapples</t>
  </si>
  <si>
    <t>01375</t>
  </si>
  <si>
    <t>Pistachios, in shell</t>
  </si>
  <si>
    <t>Iran</t>
  </si>
  <si>
    <t>Pistachios, in shell</t>
  </si>
  <si>
    <t>GR</t>
  </si>
  <si>
    <t>01313</t>
  </si>
  <si>
    <t>01194</t>
  </si>
  <si>
    <t>Ecuador</t>
  </si>
  <si>
    <t>EC</t>
  </si>
  <si>
    <t>Quinoa</t>
  </si>
  <si>
    <t>01353.01</t>
  </si>
  <si>
    <t>Raspberries</t>
  </si>
  <si>
    <t>01599.10</t>
  </si>
  <si>
    <t>Edible roots and tubers with high starch or inulin content, n.e.c., fresh</t>
  </si>
  <si>
    <t xml:space="preserve">Nicaragua </t>
  </si>
  <si>
    <t>NI</t>
  </si>
  <si>
    <t xml:space="preserve">Togo </t>
  </si>
  <si>
    <t>TG</t>
  </si>
  <si>
    <t>01444</t>
  </si>
  <si>
    <t>Sheep muscle</t>
  </si>
  <si>
    <t>0141</t>
  </si>
  <si>
    <t xml:space="preserve">Soya beans </t>
  </si>
  <si>
    <t>Soya beans</t>
  </si>
  <si>
    <t>01530</t>
  </si>
  <si>
    <t>01620</t>
  </si>
  <si>
    <t>Tea leaves</t>
  </si>
  <si>
    <t>01234</t>
  </si>
  <si>
    <t xml:space="preserve">Tomatoes, average </t>
  </si>
  <si>
    <t>Tomatoes, average</t>
  </si>
  <si>
    <t>01191</t>
  </si>
  <si>
    <t>Triticale</t>
  </si>
  <si>
    <t>01658</t>
  </si>
  <si>
    <t>Vanilla, raw</t>
  </si>
  <si>
    <t>01376</t>
  </si>
  <si>
    <t xml:space="preserve">Republic of Moldova </t>
  </si>
  <si>
    <t>MD</t>
  </si>
  <si>
    <t>02212</t>
  </si>
  <si>
    <t>Water buffalo milk</t>
  </si>
  <si>
    <t>Madagascar</t>
  </si>
  <si>
    <t>Raw milk of cattle</t>
  </si>
  <si>
    <t>Pig meat</t>
  </si>
  <si>
    <t>Bovine muscle</t>
  </si>
  <si>
    <t>Turkey fresh meat</t>
  </si>
  <si>
    <t>Denmark</t>
  </si>
  <si>
    <t>DK</t>
  </si>
  <si>
    <t>Duck fresh meat</t>
  </si>
  <si>
    <t>Goose fresh meat</t>
  </si>
  <si>
    <t>Guinea-fowl fresh meat</t>
  </si>
  <si>
    <t>02291</t>
  </si>
  <si>
    <t>02292</t>
  </si>
  <si>
    <t>02221</t>
  </si>
  <si>
    <t>21111.1</t>
  </si>
  <si>
    <t>Calf fresh meat</t>
  </si>
  <si>
    <t>Horse meat, fresh or chilled</t>
  </si>
  <si>
    <t>Meat of goat, fresh or chilled</t>
  </si>
  <si>
    <t>Raw milk of goats</t>
  </si>
  <si>
    <t>Raw milk of sheep</t>
  </si>
  <si>
    <t>Raw milk of buffalo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</si>
</sst>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quotePrefix="1"/>
    <xf numFmtId="49" fontId="0" fillId="0" borderId="0" xfId="0" applyNumberFormat="1"/>
    <xf numFmtId="0" fontId="0" fillId="4" borderId="0" xfId="0" applyFill="1"/>
    <xf numFmtId="49" fontId="0" fillId="2" borderId="1" xfId="0" applyNumberFormat="1" applyFill="1" applyBorder="1"/>
    <xf numFmtId="49" fontId="1" fillId="0" borderId="0" xfId="0" applyNumberFormat="1" applyFont="1"/>
    <xf numFmtId="49" fontId="1" fillId="5" borderId="0" xfId="0" applyNumberFormat="1" applyFont="1" applyFill="1"/>
    <xf numFmtId="0" fontId="1" fillId="5" borderId="0" xfId="0" applyFont="1" applyFill="1"/>
    <xf numFmtId="49" fontId="0" fillId="6" borderId="0" xfId="0" applyNumberFormat="1" applyFill="1"/>
    <xf numFmtId="0" fontId="0" fillId="6" borderId="0" xfId="0" applyFill="1"/>
    <xf numFmtId="0" fontId="1" fillId="6" borderId="0" xfId="0" applyFont="1" applyFill="1"/>
    <xf numFmtId="49" fontId="3" fillId="6" borderId="0" xfId="0" applyNumberFormat="1" applyFont="1" applyFill="1"/>
    <xf numFmtId="0" fontId="3" fillId="6" borderId="0" xfId="0" applyFont="1" applyFill="1"/>
    <xf numFmtId="0" fontId="3" fillId="0" borderId="0" xfId="0" applyFont="1"/>
    <xf numFmtId="0" fontId="4" fillId="0" borderId="0" xfId="0" applyFont="1"/>
    <xf numFmtId="0" fontId="0" fillId="2" borderId="1" xfId="0" applyFill="1" applyBorder="1" applyAlignment="1">
      <alignment horizontal="left" wrapText="1"/>
    </xf>
    <xf numFmtId="11" fontId="0" fillId="3" borderId="0" xfId="0" applyNumberFormat="1" applyFill="1" applyAlignment="1">
      <alignment horizontal="left" wrapText="1"/>
    </xf>
    <xf numFmtId="0" fontId="0" fillId="7" borderId="0" xfId="0" applyFill="1"/>
    <xf numFmtId="0" fontId="5" fillId="0" borderId="0" xfId="0" applyFont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A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E3B4-60C4-4F3B-9F27-25F13172AD8D}">
  <dimension ref="A1:U311"/>
  <sheetViews>
    <sheetView tabSelected="1" topLeftCell="A148" workbookViewId="0">
      <selection activeCell="C156" sqref="C156"/>
    </sheetView>
  </sheetViews>
  <sheetFormatPr defaultRowHeight="14.4" x14ac:dyDescent="0.3"/>
  <cols>
    <col min="1" max="1" width="11.88671875" style="5" customWidth="1"/>
    <col min="2" max="2" width="61.6640625" customWidth="1"/>
    <col min="3" max="3" width="17.33203125" customWidth="1"/>
    <col min="4" max="4" width="14.44140625" customWidth="1"/>
    <col min="5" max="5" width="43.6640625" customWidth="1"/>
    <col min="6" max="6" width="13.6640625" customWidth="1"/>
    <col min="7" max="7" width="19.44140625" customWidth="1"/>
    <col min="8" max="8" width="15.6640625" customWidth="1"/>
    <col min="9" max="9" width="10.44140625" customWidth="1"/>
    <col min="10" max="10" width="11.33203125" customWidth="1"/>
    <col min="11" max="11" width="16.5546875" customWidth="1"/>
    <col min="14" max="14" width="14.5546875" customWidth="1"/>
    <col min="16" max="16" width="13.6640625" customWidth="1"/>
  </cols>
  <sheetData>
    <row r="1" spans="1:21" s="1" customFormat="1" ht="31.5" customHeight="1" x14ac:dyDescent="0.3">
      <c r="A1" s="7" t="s">
        <v>20</v>
      </c>
      <c r="B1" s="1" t="s">
        <v>21</v>
      </c>
      <c r="C1" s="1" t="s">
        <v>0</v>
      </c>
      <c r="D1" s="1" t="s">
        <v>22</v>
      </c>
      <c r="E1" s="1" t="s">
        <v>23</v>
      </c>
      <c r="F1" s="1" t="s">
        <v>24</v>
      </c>
      <c r="G1" s="1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30</v>
      </c>
      <c r="M1" s="19" t="s">
        <v>31</v>
      </c>
      <c r="N1" s="1" t="s">
        <v>32</v>
      </c>
      <c r="O1" s="1" t="s">
        <v>33</v>
      </c>
      <c r="P1" s="18" t="s">
        <v>34</v>
      </c>
    </row>
    <row r="2" spans="1:21" x14ac:dyDescent="0.3">
      <c r="A2" s="5" t="s">
        <v>35</v>
      </c>
      <c r="B2" t="s">
        <v>36</v>
      </c>
      <c r="C2" t="s">
        <v>37</v>
      </c>
      <c r="D2" t="s">
        <v>38</v>
      </c>
      <c r="E2" t="s">
        <v>36</v>
      </c>
      <c r="F2" t="s">
        <v>39</v>
      </c>
      <c r="G2">
        <v>888.8</v>
      </c>
      <c r="H2">
        <v>9.2733122676897092E-13</v>
      </c>
      <c r="I2">
        <v>3.6239202290006801E-13</v>
      </c>
      <c r="J2">
        <v>6.5623176205945403E-14</v>
      </c>
      <c r="K2">
        <v>2.7059628781149702E-13</v>
      </c>
      <c r="L2">
        <v>8.6607932890677898E-13</v>
      </c>
      <c r="M2">
        <v>7091</v>
      </c>
      <c r="N2">
        <f>1/G2*10000</f>
        <v>11.251125112511252</v>
      </c>
      <c r="O2">
        <f>SUM(H2:L2)/(1/G2*10000)/(352323/1000000)</f>
        <v>6.286586999590971E-13</v>
      </c>
      <c r="Q2" s="22" t="s">
        <v>40</v>
      </c>
      <c r="R2" s="22"/>
      <c r="S2" s="22"/>
      <c r="T2" s="22"/>
      <c r="U2" s="22"/>
    </row>
    <row r="3" spans="1:21" x14ac:dyDescent="0.3">
      <c r="A3" s="5" t="s">
        <v>35</v>
      </c>
      <c r="B3" t="s">
        <v>36</v>
      </c>
      <c r="C3" t="s">
        <v>41</v>
      </c>
      <c r="D3" t="s">
        <v>42</v>
      </c>
      <c r="E3" t="s">
        <v>36</v>
      </c>
      <c r="F3" t="s">
        <v>43</v>
      </c>
      <c r="G3">
        <v>640.9</v>
      </c>
      <c r="H3">
        <v>9.5577716202060599E-13</v>
      </c>
      <c r="I3">
        <v>9.1680667339062592E-13</v>
      </c>
      <c r="J3">
        <v>1.9282173409197301E-13</v>
      </c>
      <c r="K3">
        <v>1.6901554790461501E-14</v>
      </c>
      <c r="L3">
        <v>2.5844634886102198E-12</v>
      </c>
      <c r="M3">
        <v>421</v>
      </c>
      <c r="N3">
        <f t="shared" ref="N3:N73" si="0">1/G3*10000</f>
        <v>15.603058199407085</v>
      </c>
      <c r="O3">
        <f t="shared" ref="O3:O73" si="1">SUM(H3:L3)/(1/G3*10000)/(352323/1000000)</f>
        <v>8.4891797748375784E-13</v>
      </c>
      <c r="Q3" s="23"/>
      <c r="R3" s="23"/>
      <c r="S3" s="23"/>
      <c r="T3" s="23"/>
      <c r="U3" s="23"/>
    </row>
    <row r="4" spans="1:21" x14ac:dyDescent="0.3">
      <c r="A4" s="5" t="s">
        <v>35</v>
      </c>
      <c r="B4" t="s">
        <v>36</v>
      </c>
      <c r="C4" t="s">
        <v>46</v>
      </c>
      <c r="D4" t="s">
        <v>47</v>
      </c>
      <c r="E4" t="s">
        <v>36</v>
      </c>
      <c r="F4" t="s">
        <v>39</v>
      </c>
      <c r="G4">
        <v>687.54</v>
      </c>
      <c r="H4">
        <v>4.2921315790212399E-12</v>
      </c>
      <c r="I4">
        <v>9.45073936438411E-13</v>
      </c>
      <c r="J4">
        <v>2.2731536251255399E-12</v>
      </c>
      <c r="K4">
        <v>6.2842859797486603E-12</v>
      </c>
      <c r="L4">
        <v>9.0472788169238005E-11</v>
      </c>
      <c r="M4">
        <v>9574</v>
      </c>
      <c r="N4">
        <f t="shared" si="0"/>
        <v>14.544608313698111</v>
      </c>
      <c r="O4">
        <f t="shared" si="1"/>
        <v>2.0347247010246916E-11</v>
      </c>
      <c r="Q4" s="23"/>
      <c r="R4" s="23"/>
      <c r="S4" s="23"/>
      <c r="T4" s="23"/>
      <c r="U4" s="23"/>
    </row>
    <row r="5" spans="1:21" x14ac:dyDescent="0.3">
      <c r="A5" s="5" t="s">
        <v>48</v>
      </c>
      <c r="B5" t="s">
        <v>1</v>
      </c>
      <c r="C5" t="s">
        <v>37</v>
      </c>
      <c r="D5" t="s">
        <v>38</v>
      </c>
      <c r="E5" t="s">
        <v>1</v>
      </c>
      <c r="F5" t="s">
        <v>49</v>
      </c>
      <c r="G5">
        <v>18882.599999999999</v>
      </c>
      <c r="H5">
        <v>9.2733122676897092E-13</v>
      </c>
      <c r="I5">
        <v>3.6239202290006801E-13</v>
      </c>
      <c r="J5">
        <v>6.5623176205945403E-14</v>
      </c>
      <c r="K5">
        <v>2.7059628781149702E-13</v>
      </c>
      <c r="L5">
        <v>8.6607932890677898E-13</v>
      </c>
      <c r="M5">
        <v>198</v>
      </c>
      <c r="N5">
        <f t="shared" si="0"/>
        <v>0.52958808638640864</v>
      </c>
      <c r="O5">
        <f t="shared" si="1"/>
        <v>1.335588520234884E-11</v>
      </c>
    </row>
    <row r="6" spans="1:21" x14ac:dyDescent="0.3">
      <c r="A6" s="5" t="s">
        <v>50</v>
      </c>
      <c r="B6" t="s">
        <v>2</v>
      </c>
      <c r="C6" t="s">
        <v>51</v>
      </c>
      <c r="D6" t="s">
        <v>52</v>
      </c>
      <c r="E6" t="s">
        <v>53</v>
      </c>
      <c r="F6" t="s">
        <v>54</v>
      </c>
      <c r="G6">
        <v>31692.920000000002</v>
      </c>
      <c r="H6">
        <v>2.4215335130835099E-11</v>
      </c>
      <c r="I6">
        <v>3.5909757338394099E-11</v>
      </c>
      <c r="J6">
        <v>9.8730890210388194E-11</v>
      </c>
      <c r="K6">
        <v>2.64729412871096E-11</v>
      </c>
      <c r="L6">
        <v>8.2183864589336901E-10</v>
      </c>
      <c r="M6">
        <v>24</v>
      </c>
      <c r="N6">
        <f t="shared" si="0"/>
        <v>0.31552788446126134</v>
      </c>
      <c r="O6">
        <f t="shared" si="1"/>
        <v>9.0598914116224152E-9</v>
      </c>
    </row>
    <row r="7" spans="1:21" x14ac:dyDescent="0.3">
      <c r="A7" s="5" t="s">
        <v>50</v>
      </c>
      <c r="B7" t="s">
        <v>2</v>
      </c>
      <c r="C7" t="s">
        <v>55</v>
      </c>
      <c r="D7" t="s">
        <v>56</v>
      </c>
      <c r="E7" t="s">
        <v>53</v>
      </c>
      <c r="F7" t="s">
        <v>57</v>
      </c>
      <c r="G7">
        <v>16191.079999999998</v>
      </c>
      <c r="H7">
        <v>3.0523255348110198E-11</v>
      </c>
      <c r="I7">
        <v>1.7737836820665599E-11</v>
      </c>
      <c r="J7">
        <v>4.9708729511888597E-11</v>
      </c>
      <c r="K7">
        <v>2.47419863763162E-12</v>
      </c>
      <c r="L7">
        <v>1.3210253914939801E-10</v>
      </c>
      <c r="M7">
        <v>22</v>
      </c>
      <c r="N7">
        <f t="shared" si="0"/>
        <v>0.61762402508047654</v>
      </c>
      <c r="O7">
        <f t="shared" si="1"/>
        <v>1.0686727656344293E-9</v>
      </c>
    </row>
    <row r="8" spans="1:21" x14ac:dyDescent="0.3">
      <c r="A8" s="5" t="s">
        <v>50</v>
      </c>
      <c r="B8" t="s">
        <v>2</v>
      </c>
      <c r="C8" t="s">
        <v>58</v>
      </c>
      <c r="D8" t="s">
        <v>59</v>
      </c>
      <c r="E8" t="s">
        <v>53</v>
      </c>
      <c r="F8" t="s">
        <v>54</v>
      </c>
      <c r="G8">
        <v>25384.2</v>
      </c>
      <c r="H8">
        <v>3.0687766123515199E-11</v>
      </c>
      <c r="I8">
        <v>5.9895958300453596E-11</v>
      </c>
      <c r="J8">
        <v>1.54835595883734E-10</v>
      </c>
      <c r="K8">
        <v>5.0562802844685197E-12</v>
      </c>
      <c r="L8">
        <v>7.6254903221232302E-10</v>
      </c>
      <c r="M8">
        <v>17</v>
      </c>
      <c r="N8">
        <f t="shared" si="0"/>
        <v>0.39394584032587199</v>
      </c>
      <c r="O8">
        <f t="shared" si="1"/>
        <v>7.2986492179153345E-9</v>
      </c>
    </row>
    <row r="9" spans="1:21" x14ac:dyDescent="0.3">
      <c r="A9" s="5" t="s">
        <v>50</v>
      </c>
      <c r="B9" t="s">
        <v>2</v>
      </c>
      <c r="C9" t="s">
        <v>60</v>
      </c>
      <c r="D9" t="s">
        <v>61</v>
      </c>
      <c r="E9" t="s">
        <v>53</v>
      </c>
      <c r="F9" t="s">
        <v>54</v>
      </c>
      <c r="G9">
        <v>49977.22</v>
      </c>
      <c r="H9">
        <v>6.5550078515209201E-11</v>
      </c>
      <c r="I9">
        <v>1.4223926296021601E-10</v>
      </c>
      <c r="J9">
        <v>3.9252951886145901E-10</v>
      </c>
      <c r="K9">
        <v>6.2659244425003397E-12</v>
      </c>
      <c r="L9">
        <v>2.3885459640394701E-9</v>
      </c>
      <c r="M9">
        <v>25</v>
      </c>
      <c r="N9">
        <f t="shared" si="0"/>
        <v>0.20009116153319453</v>
      </c>
      <c r="O9">
        <f t="shared" si="1"/>
        <v>4.2486101776632416E-8</v>
      </c>
    </row>
    <row r="10" spans="1:21" x14ac:dyDescent="0.3">
      <c r="A10" s="5" t="s">
        <v>50</v>
      </c>
      <c r="B10" t="s">
        <v>2</v>
      </c>
      <c r="C10" s="2" t="s">
        <v>62</v>
      </c>
      <c r="D10" s="2" t="s">
        <v>63</v>
      </c>
      <c r="E10" t="s">
        <v>53</v>
      </c>
      <c r="F10" t="s">
        <v>54</v>
      </c>
      <c r="G10">
        <v>20431.86</v>
      </c>
      <c r="H10">
        <v>1.02953970112976E-11</v>
      </c>
      <c r="I10">
        <v>1.6209428114007199E-11</v>
      </c>
      <c r="J10">
        <v>1.7864508286976799E-11</v>
      </c>
      <c r="K10">
        <v>7.5837712977479396E-13</v>
      </c>
      <c r="L10">
        <v>9.8031463056058102E-11</v>
      </c>
      <c r="M10">
        <v>159</v>
      </c>
      <c r="N10">
        <f t="shared" si="0"/>
        <v>0.48943170127438224</v>
      </c>
      <c r="O10">
        <f t="shared" si="1"/>
        <v>8.3020642781549095E-10</v>
      </c>
    </row>
    <row r="11" spans="1:21" x14ac:dyDescent="0.3">
      <c r="A11" s="5" t="s">
        <v>64</v>
      </c>
      <c r="B11" t="s">
        <v>3</v>
      </c>
      <c r="C11" t="s">
        <v>65</v>
      </c>
      <c r="D11" t="s">
        <v>66</v>
      </c>
      <c r="E11" t="s">
        <v>67</v>
      </c>
      <c r="F11" t="s">
        <v>49</v>
      </c>
      <c r="G11">
        <v>1627.3600000000001</v>
      </c>
      <c r="H11">
        <v>1.13375069861889E-11</v>
      </c>
      <c r="I11">
        <v>9.8868216570996506E-12</v>
      </c>
      <c r="J11">
        <v>5.73215418950938E-12</v>
      </c>
      <c r="K11">
        <v>1.22779273640452E-12</v>
      </c>
      <c r="L11">
        <v>5.9494019163542299E-11</v>
      </c>
      <c r="M11">
        <v>5</v>
      </c>
      <c r="N11">
        <f t="shared" si="0"/>
        <v>6.1449218365942384</v>
      </c>
      <c r="O11">
        <f t="shared" si="1"/>
        <v>4.0498108189439659E-11</v>
      </c>
    </row>
    <row r="12" spans="1:21" x14ac:dyDescent="0.3">
      <c r="A12" s="5" t="s">
        <v>64</v>
      </c>
      <c r="B12" t="s">
        <v>3</v>
      </c>
      <c r="C12" t="s">
        <v>68</v>
      </c>
      <c r="D12" t="s">
        <v>69</v>
      </c>
      <c r="E12" t="s">
        <v>67</v>
      </c>
      <c r="F12" t="s">
        <v>70</v>
      </c>
      <c r="G12">
        <v>4793.5199999999995</v>
      </c>
      <c r="H12">
        <v>3.1832514885408398E-13</v>
      </c>
      <c r="I12">
        <v>1.4001616324494699E-12</v>
      </c>
      <c r="J12">
        <v>8.5977085874706495E-14</v>
      </c>
      <c r="K12">
        <v>5.1099999999999998E-15</v>
      </c>
      <c r="L12">
        <v>1.06861661337877E-11</v>
      </c>
      <c r="M12">
        <v>0</v>
      </c>
      <c r="N12">
        <f t="shared" si="0"/>
        <v>2.086149635341044</v>
      </c>
      <c r="O12">
        <f t="shared" si="1"/>
        <v>1.7001041546941401E-11</v>
      </c>
    </row>
    <row r="13" spans="1:21" x14ac:dyDescent="0.3">
      <c r="A13" s="5" t="s">
        <v>64</v>
      </c>
      <c r="B13" t="s">
        <v>3</v>
      </c>
      <c r="C13" t="s">
        <v>71</v>
      </c>
      <c r="D13" t="s">
        <v>72</v>
      </c>
      <c r="E13" t="s">
        <v>67</v>
      </c>
      <c r="F13" t="s">
        <v>70</v>
      </c>
      <c r="G13">
        <v>1706.5</v>
      </c>
      <c r="H13">
        <v>2.9936352406041999E-12</v>
      </c>
      <c r="I13">
        <v>1.69098563555253E-12</v>
      </c>
      <c r="J13">
        <v>1.5367137996956199E-12</v>
      </c>
      <c r="K13">
        <v>9.5066681271828004E-14</v>
      </c>
      <c r="L13">
        <v>6.3237887716767195E-11</v>
      </c>
      <c r="M13">
        <v>96</v>
      </c>
      <c r="N13">
        <f t="shared" si="0"/>
        <v>5.8599472604746561</v>
      </c>
      <c r="O13">
        <f t="shared" si="1"/>
        <v>3.3689084818361449E-11</v>
      </c>
    </row>
    <row r="14" spans="1:21" s="12" customFormat="1" x14ac:dyDescent="0.3">
      <c r="A14" s="11" t="s">
        <v>73</v>
      </c>
      <c r="B14" s="12" t="s">
        <v>74</v>
      </c>
      <c r="C14" s="13" t="s">
        <v>58</v>
      </c>
      <c r="D14" s="13" t="s">
        <v>59</v>
      </c>
      <c r="E14" s="12" t="s">
        <v>75</v>
      </c>
      <c r="F14" s="13" t="s">
        <v>76</v>
      </c>
      <c r="G14" s="12">
        <v>1556.8200000000002</v>
      </c>
      <c r="H14">
        <v>3.0687766123515199E-11</v>
      </c>
      <c r="I14">
        <v>5.9895958300453596E-11</v>
      </c>
      <c r="J14">
        <v>1.54835595883734E-10</v>
      </c>
      <c r="K14">
        <v>5.0562802844685197E-12</v>
      </c>
      <c r="L14">
        <v>7.6254903221232302E-10</v>
      </c>
      <c r="M14" s="12">
        <v>63</v>
      </c>
      <c r="N14">
        <f t="shared" si="0"/>
        <v>6.4233501625107587</v>
      </c>
      <c r="O14">
        <f t="shared" si="1"/>
        <v>4.4762817325087854E-10</v>
      </c>
      <c r="P14" s="20" t="s">
        <v>77</v>
      </c>
    </row>
    <row r="15" spans="1:21" s="12" customFormat="1" x14ac:dyDescent="0.3">
      <c r="A15" s="11" t="s">
        <v>73</v>
      </c>
      <c r="B15" s="12" t="s">
        <v>74</v>
      </c>
      <c r="C15" s="13" t="s">
        <v>78</v>
      </c>
      <c r="D15" s="13" t="s">
        <v>79</v>
      </c>
      <c r="E15" s="12" t="s">
        <v>75</v>
      </c>
      <c r="F15" s="13" t="s">
        <v>76</v>
      </c>
      <c r="G15" s="12">
        <v>301.8</v>
      </c>
      <c r="H15">
        <v>1.0040933916203999E-11</v>
      </c>
      <c r="I15">
        <v>1.5382109589240001E-11</v>
      </c>
      <c r="J15">
        <v>2.1977455618085499E-11</v>
      </c>
      <c r="K15">
        <v>1.14038353262019E-12</v>
      </c>
      <c r="L15">
        <v>1.19148547693904E-10</v>
      </c>
      <c r="M15" s="12">
        <v>4114</v>
      </c>
      <c r="N15">
        <f t="shared" si="0"/>
        <v>33.134526176275678</v>
      </c>
      <c r="O15">
        <f t="shared" si="1"/>
        <v>1.4364282229558165E-11</v>
      </c>
      <c r="P15" s="20" t="s">
        <v>77</v>
      </c>
    </row>
    <row r="16" spans="1:21" s="12" customFormat="1" x14ac:dyDescent="0.3">
      <c r="A16" s="11" t="s">
        <v>73</v>
      </c>
      <c r="B16" s="12" t="s">
        <v>74</v>
      </c>
      <c r="C16" s="13" t="s">
        <v>80</v>
      </c>
      <c r="D16" s="13" t="s">
        <v>81</v>
      </c>
      <c r="E16" s="12" t="s">
        <v>75</v>
      </c>
      <c r="F16" s="13" t="s">
        <v>76</v>
      </c>
      <c r="G16" s="12">
        <v>5128.32</v>
      </c>
      <c r="H16">
        <v>2.1336391939656501E-11</v>
      </c>
      <c r="I16">
        <v>4.6869580406382098E-11</v>
      </c>
      <c r="J16">
        <v>9.5329088818223305E-11</v>
      </c>
      <c r="K16">
        <v>3.4101380252642098E-12</v>
      </c>
      <c r="L16">
        <v>2.1673701705016299E-10</v>
      </c>
      <c r="M16" s="12">
        <v>968</v>
      </c>
      <c r="N16">
        <f t="shared" si="0"/>
        <v>1.9499563209784103</v>
      </c>
      <c r="O16">
        <f t="shared" si="1"/>
        <v>5.584776421597006E-10</v>
      </c>
      <c r="P16" s="20" t="s">
        <v>77</v>
      </c>
    </row>
    <row r="17" spans="1:16" x14ac:dyDescent="0.3">
      <c r="A17" s="8" t="s">
        <v>82</v>
      </c>
      <c r="B17" s="2" t="s">
        <v>83</v>
      </c>
      <c r="C17" s="2" t="s">
        <v>84</v>
      </c>
      <c r="D17" s="2" t="s">
        <v>85</v>
      </c>
      <c r="E17" s="2" t="s">
        <v>83</v>
      </c>
      <c r="F17" s="2" t="s">
        <v>86</v>
      </c>
      <c r="G17">
        <v>5483.2199999999993</v>
      </c>
      <c r="H17">
        <v>2.0052459077507698E-12</v>
      </c>
      <c r="I17">
        <v>9.2420584501594094E-13</v>
      </c>
      <c r="J17">
        <v>8.1952047128128899E-13</v>
      </c>
      <c r="K17">
        <v>2.5092764488167499E-13</v>
      </c>
      <c r="L17">
        <v>9.4039931766968205E-12</v>
      </c>
      <c r="M17">
        <v>109</v>
      </c>
      <c r="N17">
        <f t="shared" si="0"/>
        <v>1.8237459011310875</v>
      </c>
      <c r="O17">
        <f t="shared" si="1"/>
        <v>2.0860543996741655E-11</v>
      </c>
      <c r="P17" s="20" t="s">
        <v>86</v>
      </c>
    </row>
    <row r="18" spans="1:16" x14ac:dyDescent="0.3">
      <c r="A18" s="9" t="s">
        <v>82</v>
      </c>
      <c r="B18" s="2" t="s">
        <v>83</v>
      </c>
      <c r="C18" s="10" t="s">
        <v>70</v>
      </c>
      <c r="D18" s="10" t="s">
        <v>87</v>
      </c>
      <c r="E18" s="2" t="s">
        <v>83</v>
      </c>
      <c r="F18" s="2" t="s">
        <v>86</v>
      </c>
      <c r="G18">
        <v>5483.2199999999993</v>
      </c>
      <c r="H18">
        <v>4.9926191507892996E-13</v>
      </c>
      <c r="I18">
        <v>7.6196994155457501E-13</v>
      </c>
      <c r="J18">
        <v>6.9410319174027301E-14</v>
      </c>
      <c r="K18">
        <v>7.1402612381482693E-15</v>
      </c>
      <c r="L18">
        <v>1.53428969970343E-12</v>
      </c>
      <c r="M18">
        <v>1</v>
      </c>
      <c r="N18">
        <f t="shared" si="0"/>
        <v>1.8237459011310875</v>
      </c>
      <c r="O18">
        <f t="shared" si="1"/>
        <v>4.4698198476016201E-12</v>
      </c>
      <c r="P18" s="20" t="s">
        <v>86</v>
      </c>
    </row>
    <row r="19" spans="1:16" x14ac:dyDescent="0.3">
      <c r="A19" s="8" t="s">
        <v>82</v>
      </c>
      <c r="B19" s="2" t="s">
        <v>83</v>
      </c>
      <c r="C19" s="2" t="s">
        <v>39</v>
      </c>
      <c r="D19" s="2" t="s">
        <v>88</v>
      </c>
      <c r="E19" s="2" t="s">
        <v>83</v>
      </c>
      <c r="F19" s="2" t="s">
        <v>89</v>
      </c>
      <c r="G19">
        <v>8768.380000000001</v>
      </c>
      <c r="H19">
        <v>5.7029333461708603E-12</v>
      </c>
      <c r="I19">
        <v>1.36226226106291E-12</v>
      </c>
      <c r="J19">
        <v>4.1568267921035E-12</v>
      </c>
      <c r="K19">
        <v>7.4603636279704896E-12</v>
      </c>
      <c r="L19">
        <v>2.1332955195191E-10</v>
      </c>
      <c r="M19">
        <v>169</v>
      </c>
      <c r="N19">
        <f t="shared" si="0"/>
        <v>1.1404615219687102</v>
      </c>
      <c r="O19">
        <f t="shared" si="1"/>
        <v>5.7741584759956454E-10</v>
      </c>
    </row>
    <row r="20" spans="1:16" x14ac:dyDescent="0.3">
      <c r="A20" s="5" t="s">
        <v>90</v>
      </c>
      <c r="B20" t="s">
        <v>4</v>
      </c>
      <c r="C20" t="s">
        <v>91</v>
      </c>
      <c r="D20" t="s">
        <v>42</v>
      </c>
      <c r="E20" t="s">
        <v>92</v>
      </c>
      <c r="F20" t="s">
        <v>43</v>
      </c>
      <c r="G20">
        <v>1097.4000000000001</v>
      </c>
      <c r="H20">
        <v>9.5577716202060599E-13</v>
      </c>
      <c r="I20">
        <v>9.1680667339062592E-13</v>
      </c>
      <c r="J20">
        <v>1.9282173409197301E-13</v>
      </c>
      <c r="K20">
        <v>1.6901554790461501E-14</v>
      </c>
      <c r="L20">
        <v>2.5844634886102198E-12</v>
      </c>
      <c r="M20">
        <v>6</v>
      </c>
      <c r="N20">
        <f t="shared" si="0"/>
        <v>9.1124476034262791</v>
      </c>
      <c r="O20">
        <f t="shared" si="1"/>
        <v>1.4535849406938308E-12</v>
      </c>
    </row>
    <row r="21" spans="1:16" x14ac:dyDescent="0.3">
      <c r="A21" s="5" t="s">
        <v>90</v>
      </c>
      <c r="B21" t="s">
        <v>4</v>
      </c>
      <c r="C21" t="s">
        <v>93</v>
      </c>
      <c r="D21" t="s">
        <v>94</v>
      </c>
      <c r="E21" t="s">
        <v>92</v>
      </c>
      <c r="F21" t="s">
        <v>95</v>
      </c>
      <c r="G21">
        <v>1117.9000000000001</v>
      </c>
      <c r="H21">
        <v>1.9107203479998899E-11</v>
      </c>
      <c r="I21">
        <v>2.2668199558967401E-11</v>
      </c>
      <c r="J21">
        <v>1.9599999999999999E-11</v>
      </c>
      <c r="K21">
        <v>5.6505478485367797E-12</v>
      </c>
      <c r="L21">
        <v>2.3221442085176301E-10</v>
      </c>
      <c r="M21">
        <v>95</v>
      </c>
      <c r="N21">
        <f t="shared" si="0"/>
        <v>8.9453439484748181</v>
      </c>
      <c r="O21">
        <f t="shared" si="1"/>
        <v>9.4947196625632049E-11</v>
      </c>
    </row>
    <row r="22" spans="1:16" x14ac:dyDescent="0.3">
      <c r="A22" s="5" t="s">
        <v>96</v>
      </c>
      <c r="B22" t="s">
        <v>97</v>
      </c>
      <c r="C22" s="2" t="s">
        <v>84</v>
      </c>
      <c r="D22" s="2" t="s">
        <v>85</v>
      </c>
      <c r="E22" t="s">
        <v>98</v>
      </c>
      <c r="F22" t="s">
        <v>99</v>
      </c>
      <c r="G22">
        <v>1574.4</v>
      </c>
      <c r="H22">
        <v>2.0052459077507698E-12</v>
      </c>
      <c r="I22">
        <v>9.2420584501594094E-13</v>
      </c>
      <c r="J22">
        <v>8.1952047128128899E-13</v>
      </c>
      <c r="K22">
        <v>2.5092764488167499E-13</v>
      </c>
      <c r="L22">
        <v>9.4039931766968205E-12</v>
      </c>
      <c r="M22">
        <v>26</v>
      </c>
      <c r="N22">
        <f t="shared" si="0"/>
        <v>6.3516260162601625</v>
      </c>
      <c r="O22">
        <f t="shared" si="1"/>
        <v>5.9896995685874483E-12</v>
      </c>
    </row>
    <row r="23" spans="1:16" x14ac:dyDescent="0.3">
      <c r="A23" s="5" t="s">
        <v>96</v>
      </c>
      <c r="B23" t="s">
        <v>5</v>
      </c>
      <c r="C23" t="s">
        <v>100</v>
      </c>
      <c r="D23" t="s">
        <v>101</v>
      </c>
      <c r="E23" t="s">
        <v>98</v>
      </c>
      <c r="F23" t="s">
        <v>99</v>
      </c>
      <c r="G23">
        <v>1390.04</v>
      </c>
      <c r="H23">
        <v>5.1230426027557601E-13</v>
      </c>
      <c r="I23">
        <v>1.0294030814939399E-12</v>
      </c>
      <c r="J23">
        <v>1.9412223579274199E-13</v>
      </c>
      <c r="K23">
        <v>2.9898736029220801E-14</v>
      </c>
      <c r="L23">
        <v>4.1655196980688302E-12</v>
      </c>
      <c r="M23">
        <v>750</v>
      </c>
      <c r="N23">
        <f t="shared" si="0"/>
        <v>7.194037581652327</v>
      </c>
      <c r="O23">
        <f t="shared" si="1"/>
        <v>2.3400890620618849E-12</v>
      </c>
    </row>
    <row r="24" spans="1:16" x14ac:dyDescent="0.3">
      <c r="A24" s="8" t="s">
        <v>102</v>
      </c>
      <c r="B24" t="s">
        <v>75</v>
      </c>
      <c r="C24" s="2" t="s">
        <v>78</v>
      </c>
      <c r="D24" s="2" t="s">
        <v>79</v>
      </c>
      <c r="E24" t="s">
        <v>75</v>
      </c>
      <c r="F24" s="2" t="s">
        <v>76</v>
      </c>
      <c r="G24">
        <v>301.8</v>
      </c>
      <c r="H24">
        <v>1.0040933916203999E-11</v>
      </c>
      <c r="I24">
        <v>1.5382109589240001E-11</v>
      </c>
      <c r="J24">
        <v>2.1977455618085499E-11</v>
      </c>
      <c r="K24">
        <v>1.14038353262019E-12</v>
      </c>
      <c r="L24">
        <v>1.19148547693904E-10</v>
      </c>
      <c r="M24">
        <v>4114</v>
      </c>
      <c r="N24">
        <f t="shared" si="0"/>
        <v>33.134526176275678</v>
      </c>
      <c r="O24">
        <f t="shared" si="1"/>
        <v>1.4364282229558165E-11</v>
      </c>
    </row>
    <row r="25" spans="1:16" x14ac:dyDescent="0.3">
      <c r="A25" s="8" t="s">
        <v>102</v>
      </c>
      <c r="B25" t="s">
        <v>75</v>
      </c>
      <c r="C25" s="2" t="s">
        <v>103</v>
      </c>
      <c r="D25" s="2" t="s">
        <v>104</v>
      </c>
      <c r="E25" t="s">
        <v>75</v>
      </c>
      <c r="F25" t="s">
        <v>57</v>
      </c>
      <c r="G25">
        <v>533.41999999999996</v>
      </c>
      <c r="H25">
        <v>1.5463590362698299E-11</v>
      </c>
      <c r="I25">
        <v>9.6805916916176407E-12</v>
      </c>
      <c r="J25">
        <v>1.48416385322824E-11</v>
      </c>
      <c r="K25">
        <v>6.0822709746169498E-12</v>
      </c>
      <c r="L25">
        <v>2.9323713799297297E-11</v>
      </c>
      <c r="M25">
        <v>0</v>
      </c>
      <c r="N25">
        <f t="shared" si="0"/>
        <v>18.746953620036745</v>
      </c>
      <c r="O25">
        <f t="shared" si="1"/>
        <v>1.141438305628773E-11</v>
      </c>
    </row>
    <row r="26" spans="1:16" x14ac:dyDescent="0.3">
      <c r="A26" s="8" t="s">
        <v>102</v>
      </c>
      <c r="B26" t="s">
        <v>75</v>
      </c>
      <c r="C26" s="2" t="s">
        <v>105</v>
      </c>
      <c r="D26" s="2" t="s">
        <v>106</v>
      </c>
      <c r="E26" t="s">
        <v>75</v>
      </c>
      <c r="F26" t="s">
        <v>57</v>
      </c>
      <c r="G26">
        <v>315.56</v>
      </c>
      <c r="H26">
        <v>1.43190856139758E-11</v>
      </c>
      <c r="I26">
        <v>1.76071034921556E-11</v>
      </c>
      <c r="J26">
        <v>2.9497468525210601E-11</v>
      </c>
      <c r="K26">
        <v>2.7677756221576398E-12</v>
      </c>
      <c r="L26">
        <v>8.5116983928136206E-11</v>
      </c>
      <c r="M26">
        <v>147</v>
      </c>
      <c r="N26">
        <f t="shared" si="0"/>
        <v>31.689694511344911</v>
      </c>
      <c r="O26">
        <f t="shared" si="1"/>
        <v>1.3372889117609978E-11</v>
      </c>
    </row>
    <row r="27" spans="1:16" x14ac:dyDescent="0.3">
      <c r="A27" s="5" t="s">
        <v>107</v>
      </c>
      <c r="B27" t="s">
        <v>108</v>
      </c>
      <c r="C27" s="2" t="s">
        <v>54</v>
      </c>
      <c r="D27" s="2" t="s">
        <v>109</v>
      </c>
      <c r="E27" t="s">
        <v>110</v>
      </c>
      <c r="F27" t="s">
        <v>95</v>
      </c>
      <c r="G27">
        <v>11461.060000000001</v>
      </c>
      <c r="H27">
        <v>7.6343638303280303E-11</v>
      </c>
      <c r="I27">
        <v>1.44702291444119E-10</v>
      </c>
      <c r="J27">
        <v>4.8377321815888295E-10</v>
      </c>
      <c r="K27">
        <v>5.7562426863878097E-12</v>
      </c>
      <c r="L27">
        <v>1.8951828575781802E-9</v>
      </c>
      <c r="M27">
        <v>0</v>
      </c>
      <c r="N27">
        <f t="shared" si="0"/>
        <v>0.87251964477980215</v>
      </c>
      <c r="O27">
        <f t="shared" si="1"/>
        <v>8.4765262636220194E-9</v>
      </c>
    </row>
    <row r="28" spans="1:16" x14ac:dyDescent="0.3">
      <c r="A28" s="5" t="s">
        <v>107</v>
      </c>
      <c r="B28" t="s">
        <v>6</v>
      </c>
      <c r="C28" t="s">
        <v>111</v>
      </c>
      <c r="D28" t="s">
        <v>112</v>
      </c>
      <c r="E28" t="s">
        <v>110</v>
      </c>
      <c r="F28" t="s">
        <v>95</v>
      </c>
      <c r="G28">
        <v>30611.599999999999</v>
      </c>
      <c r="H28">
        <v>7.3036461651938907E-12</v>
      </c>
      <c r="I28">
        <v>1.0887230064277701E-11</v>
      </c>
      <c r="J28">
        <v>2.1264499027956299E-11</v>
      </c>
      <c r="K28">
        <v>9.7258997229393192E-12</v>
      </c>
      <c r="L28">
        <v>1.7994550917344801E-10</v>
      </c>
      <c r="M28">
        <v>0</v>
      </c>
      <c r="N28">
        <f t="shared" si="0"/>
        <v>0.32667354858942366</v>
      </c>
      <c r="O28">
        <f t="shared" si="1"/>
        <v>1.9907691140808092E-9</v>
      </c>
    </row>
    <row r="29" spans="1:16" x14ac:dyDescent="0.3">
      <c r="A29" s="5" t="s">
        <v>107</v>
      </c>
      <c r="B29" t="s">
        <v>6</v>
      </c>
      <c r="C29" t="s">
        <v>113</v>
      </c>
      <c r="D29" t="s">
        <v>114</v>
      </c>
      <c r="E29" t="s">
        <v>110</v>
      </c>
      <c r="F29" t="s">
        <v>95</v>
      </c>
      <c r="G29">
        <v>21436.959999999999</v>
      </c>
      <c r="H29">
        <v>1.5995737994142199E-11</v>
      </c>
      <c r="I29">
        <v>1.41688715419984E-11</v>
      </c>
      <c r="J29">
        <v>1.99939616392906E-11</v>
      </c>
      <c r="K29">
        <v>1.20058977278823E-11</v>
      </c>
      <c r="L29">
        <v>1.33788822873306E-10</v>
      </c>
      <c r="M29">
        <v>0</v>
      </c>
      <c r="N29">
        <f t="shared" si="0"/>
        <v>0.466484053709108</v>
      </c>
      <c r="O29">
        <f t="shared" si="1"/>
        <v>1.1922704103006961E-9</v>
      </c>
    </row>
    <row r="30" spans="1:16" x14ac:dyDescent="0.3">
      <c r="A30" s="5" t="s">
        <v>115</v>
      </c>
      <c r="B30" t="s">
        <v>116</v>
      </c>
      <c r="C30" s="2" t="s">
        <v>86</v>
      </c>
      <c r="D30" s="2" t="s">
        <v>117</v>
      </c>
      <c r="E30" t="s">
        <v>116</v>
      </c>
      <c r="F30" s="2" t="s">
        <v>118</v>
      </c>
      <c r="G30">
        <v>3681.34</v>
      </c>
      <c r="H30">
        <v>1.58447763766545E-12</v>
      </c>
      <c r="I30">
        <v>9.1128803161714291E-13</v>
      </c>
      <c r="J30">
        <v>6.4346197398059299E-13</v>
      </c>
      <c r="K30">
        <v>1.40077465406071E-13</v>
      </c>
      <c r="L30">
        <v>8.4628777241253198E-12</v>
      </c>
      <c r="M30">
        <v>8</v>
      </c>
      <c r="N30">
        <f t="shared" si="0"/>
        <v>2.7164021796411086</v>
      </c>
      <c r="O30">
        <f t="shared" si="1"/>
        <v>1.2269130130499568E-11</v>
      </c>
      <c r="P30" s="20" t="s">
        <v>119</v>
      </c>
    </row>
    <row r="31" spans="1:16" x14ac:dyDescent="0.3">
      <c r="A31" s="5" t="s">
        <v>115</v>
      </c>
      <c r="B31" t="s">
        <v>116</v>
      </c>
      <c r="C31" s="2" t="s">
        <v>120</v>
      </c>
      <c r="D31" s="2" t="s">
        <v>121</v>
      </c>
      <c r="E31" t="s">
        <v>116</v>
      </c>
      <c r="F31" s="2" t="s">
        <v>118</v>
      </c>
      <c r="G31">
        <v>974.7</v>
      </c>
      <c r="H31">
        <v>6.5576087326232499E-13</v>
      </c>
      <c r="I31">
        <v>9.1081869428317607E-13</v>
      </c>
      <c r="J31">
        <v>1.3993710975212E-13</v>
      </c>
      <c r="K31">
        <v>9.9606677212340899E-15</v>
      </c>
      <c r="L31">
        <v>2.1766717128845199E-12</v>
      </c>
      <c r="M31">
        <v>4</v>
      </c>
      <c r="N31">
        <f t="shared" si="0"/>
        <v>10.259567046270648</v>
      </c>
      <c r="O31">
        <f t="shared" si="1"/>
        <v>1.0770379415304762E-12</v>
      </c>
    </row>
    <row r="32" spans="1:16" x14ac:dyDescent="0.3">
      <c r="A32" s="5" t="s">
        <v>115</v>
      </c>
      <c r="B32" t="s">
        <v>116</v>
      </c>
      <c r="C32" s="2" t="s">
        <v>70</v>
      </c>
      <c r="D32" t="s">
        <v>87</v>
      </c>
      <c r="E32" t="s">
        <v>116</v>
      </c>
      <c r="F32" s="2" t="s">
        <v>118</v>
      </c>
      <c r="G32">
        <v>3144.54</v>
      </c>
      <c r="H32">
        <v>4.9926191507892996E-13</v>
      </c>
      <c r="I32">
        <v>7.6196994155457501E-13</v>
      </c>
      <c r="J32">
        <v>6.9410319174027301E-14</v>
      </c>
      <c r="K32">
        <v>7.1402612381482693E-15</v>
      </c>
      <c r="L32">
        <v>1.53428969970343E-12</v>
      </c>
      <c r="M32">
        <v>76</v>
      </c>
      <c r="N32">
        <f t="shared" si="0"/>
        <v>3.1801153745857897</v>
      </c>
      <c r="O32">
        <f t="shared" si="1"/>
        <v>2.5633710308135001E-12</v>
      </c>
      <c r="P32" s="20" t="s">
        <v>119</v>
      </c>
    </row>
    <row r="33" spans="1:16" x14ac:dyDescent="0.3">
      <c r="A33" s="5" t="s">
        <v>115</v>
      </c>
      <c r="B33" t="s">
        <v>116</v>
      </c>
      <c r="C33" s="2" t="s">
        <v>122</v>
      </c>
      <c r="D33" t="s">
        <v>123</v>
      </c>
      <c r="E33" t="s">
        <v>116</v>
      </c>
      <c r="F33" s="2" t="s">
        <v>118</v>
      </c>
      <c r="G33">
        <v>4508.04</v>
      </c>
      <c r="H33">
        <v>3.5141603552337798E-13</v>
      </c>
      <c r="I33">
        <v>1.61934421803807E-12</v>
      </c>
      <c r="J33">
        <v>1.03018064074875E-13</v>
      </c>
      <c r="K33">
        <v>5.2572369568927999E-15</v>
      </c>
      <c r="L33">
        <v>1.5094378739193201E-11</v>
      </c>
      <c r="M33">
        <v>79</v>
      </c>
      <c r="N33">
        <f t="shared" si="0"/>
        <v>2.2182589329287232</v>
      </c>
      <c r="O33">
        <f t="shared" si="1"/>
        <v>2.1973711217536439E-11</v>
      </c>
      <c r="P33" s="20" t="s">
        <v>119</v>
      </c>
    </row>
    <row r="34" spans="1:16" x14ac:dyDescent="0.3">
      <c r="A34" s="5" t="s">
        <v>124</v>
      </c>
      <c r="B34" t="s">
        <v>125</v>
      </c>
      <c r="C34" t="s">
        <v>70</v>
      </c>
      <c r="D34" t="s">
        <v>87</v>
      </c>
      <c r="E34" t="s">
        <v>126</v>
      </c>
      <c r="F34" t="s">
        <v>70</v>
      </c>
      <c r="G34">
        <v>3636.66</v>
      </c>
      <c r="H34">
        <v>4.9926191507892996E-13</v>
      </c>
      <c r="I34">
        <v>7.6196994155457501E-13</v>
      </c>
      <c r="J34">
        <v>6.9410319174027301E-14</v>
      </c>
      <c r="K34">
        <v>7.1402612381482693E-15</v>
      </c>
      <c r="L34">
        <v>1.53428969970343E-12</v>
      </c>
      <c r="M34">
        <v>152</v>
      </c>
      <c r="N34">
        <f t="shared" si="0"/>
        <v>2.7497758932646992</v>
      </c>
      <c r="O34">
        <f t="shared" si="1"/>
        <v>2.9645381813932159E-12</v>
      </c>
      <c r="P34" s="20" t="s">
        <v>126</v>
      </c>
    </row>
    <row r="35" spans="1:16" x14ac:dyDescent="0.3">
      <c r="A35" s="5" t="s">
        <v>127</v>
      </c>
      <c r="B35" t="s">
        <v>128</v>
      </c>
      <c r="C35" t="s">
        <v>129</v>
      </c>
      <c r="D35" t="s">
        <v>130</v>
      </c>
      <c r="E35" t="s">
        <v>131</v>
      </c>
      <c r="F35" t="s">
        <v>89</v>
      </c>
      <c r="G35">
        <v>2351.1400000000003</v>
      </c>
      <c r="H35">
        <v>5.79542478379411E-12</v>
      </c>
      <c r="I35">
        <v>1.20544311018476E-12</v>
      </c>
      <c r="J35">
        <v>5.8859700754297101E-12</v>
      </c>
      <c r="K35">
        <v>4.2849300099601096E-12</v>
      </c>
      <c r="L35">
        <v>8.8676956714492602E-10</v>
      </c>
      <c r="M35">
        <v>2577</v>
      </c>
      <c r="N35">
        <f t="shared" si="0"/>
        <v>4.2532558673664687</v>
      </c>
      <c r="O35">
        <f t="shared" si="1"/>
        <v>6.0322279007164856E-10</v>
      </c>
    </row>
    <row r="36" spans="1:16" x14ac:dyDescent="0.3">
      <c r="A36" s="5" t="s">
        <v>127</v>
      </c>
      <c r="B36" t="s">
        <v>128</v>
      </c>
      <c r="C36" t="s">
        <v>132</v>
      </c>
      <c r="D36" t="s">
        <v>133</v>
      </c>
      <c r="E36" t="s">
        <v>131</v>
      </c>
      <c r="F36" t="s">
        <v>84</v>
      </c>
      <c r="G36">
        <v>1109.6200000000001</v>
      </c>
      <c r="H36">
        <v>5.0904584250955103E-12</v>
      </c>
      <c r="I36">
        <v>1.1126881808723601E-12</v>
      </c>
      <c r="J36">
        <v>3.3946216699005302E-12</v>
      </c>
      <c r="K36">
        <v>3.5713883987662E-12</v>
      </c>
      <c r="L36">
        <v>1.1754209636826299E-10</v>
      </c>
      <c r="M36">
        <v>0</v>
      </c>
      <c r="N36">
        <f t="shared" si="0"/>
        <v>9.0120942304572722</v>
      </c>
      <c r="O36">
        <f t="shared" si="1"/>
        <v>4.1166719346014896E-11</v>
      </c>
    </row>
    <row r="37" spans="1:16" x14ac:dyDescent="0.3">
      <c r="A37" s="5" t="s">
        <v>127</v>
      </c>
      <c r="B37" t="s">
        <v>128</v>
      </c>
      <c r="C37" s="4" t="s">
        <v>134</v>
      </c>
      <c r="D37" t="s">
        <v>135</v>
      </c>
      <c r="E37" t="s">
        <v>128</v>
      </c>
      <c r="F37" t="s">
        <v>49</v>
      </c>
      <c r="G37">
        <v>818.46</v>
      </c>
      <c r="H37">
        <v>6.5558581874435902E-12</v>
      </c>
      <c r="I37">
        <v>5.9586626428583301E-12</v>
      </c>
      <c r="J37">
        <v>3.3381584818738001E-12</v>
      </c>
      <c r="K37">
        <v>4.3114495914109103E-12</v>
      </c>
      <c r="L37">
        <v>2.7959211972628601E-9</v>
      </c>
      <c r="M37">
        <v>788</v>
      </c>
      <c r="N37">
        <f t="shared" si="0"/>
        <v>12.218068079075335</v>
      </c>
      <c r="O37">
        <f t="shared" si="1"/>
        <v>6.5418754837299595E-10</v>
      </c>
    </row>
    <row r="38" spans="1:16" x14ac:dyDescent="0.3">
      <c r="A38" s="5" t="s">
        <v>136</v>
      </c>
      <c r="B38" t="s">
        <v>137</v>
      </c>
      <c r="C38" t="s">
        <v>138</v>
      </c>
      <c r="D38" t="s">
        <v>139</v>
      </c>
      <c r="E38" t="s">
        <v>140</v>
      </c>
      <c r="F38" t="s">
        <v>141</v>
      </c>
      <c r="G38">
        <v>1946.42</v>
      </c>
      <c r="H38">
        <v>2.6287036347879701E-11</v>
      </c>
      <c r="I38">
        <v>2.0868962065645299E-11</v>
      </c>
      <c r="J38">
        <v>6.2757826288554406E-11</v>
      </c>
      <c r="K38">
        <v>3.3903738011328697E-11</v>
      </c>
      <c r="L38">
        <v>3.98499261113874E-10</v>
      </c>
      <c r="M38">
        <v>31</v>
      </c>
      <c r="N38">
        <f t="shared" si="0"/>
        <v>5.1376373033569314</v>
      </c>
      <c r="O38">
        <f t="shared" si="1"/>
        <v>2.9960471278738507E-10</v>
      </c>
    </row>
    <row r="39" spans="1:16" x14ac:dyDescent="0.3">
      <c r="A39" s="5" t="s">
        <v>142</v>
      </c>
      <c r="B39" t="s">
        <v>143</v>
      </c>
      <c r="C39" t="s">
        <v>118</v>
      </c>
      <c r="D39" t="s">
        <v>144</v>
      </c>
      <c r="E39" t="s">
        <v>143</v>
      </c>
      <c r="F39" t="s">
        <v>49</v>
      </c>
      <c r="G39">
        <v>28390.32</v>
      </c>
      <c r="H39">
        <v>2.0321018994265801E-12</v>
      </c>
      <c r="I39">
        <v>1.25706113532964E-12</v>
      </c>
      <c r="J39">
        <v>2.7214600985099602E-12</v>
      </c>
      <c r="K39">
        <v>1.24426858277234E-12</v>
      </c>
      <c r="L39">
        <v>1.0980413467666901E-10</v>
      </c>
      <c r="M39">
        <v>339</v>
      </c>
      <c r="N39">
        <f t="shared" si="0"/>
        <v>0.35223273284697038</v>
      </c>
      <c r="O39">
        <f t="shared" si="1"/>
        <v>9.4326604229000458E-10</v>
      </c>
    </row>
    <row r="40" spans="1:16" x14ac:dyDescent="0.3">
      <c r="A40" s="5" t="s">
        <v>142</v>
      </c>
      <c r="B40" t="s">
        <v>143</v>
      </c>
      <c r="C40" t="s">
        <v>84</v>
      </c>
      <c r="D40" t="s">
        <v>85</v>
      </c>
      <c r="E40" t="s">
        <v>143</v>
      </c>
      <c r="F40" t="s">
        <v>49</v>
      </c>
      <c r="G40">
        <v>54187.180000000008</v>
      </c>
      <c r="H40">
        <v>2.0052459077507698E-12</v>
      </c>
      <c r="I40">
        <v>9.2420584501594094E-13</v>
      </c>
      <c r="J40">
        <v>8.1952047128128899E-13</v>
      </c>
      <c r="K40">
        <v>2.5092764488167499E-13</v>
      </c>
      <c r="L40">
        <v>9.4039931766968205E-12</v>
      </c>
      <c r="M40">
        <v>355</v>
      </c>
      <c r="N40">
        <f t="shared" si="0"/>
        <v>0.18454549581653812</v>
      </c>
      <c r="O40">
        <f t="shared" si="1"/>
        <v>2.0615150448994566E-10</v>
      </c>
    </row>
    <row r="41" spans="1:16" x14ac:dyDescent="0.3">
      <c r="A41" s="5" t="s">
        <v>145</v>
      </c>
      <c r="B41" t="s">
        <v>146</v>
      </c>
      <c r="C41" t="s">
        <v>95</v>
      </c>
      <c r="D41" t="s">
        <v>147</v>
      </c>
      <c r="E41" t="s">
        <v>148</v>
      </c>
      <c r="F41" t="s">
        <v>95</v>
      </c>
      <c r="G41">
        <v>3799.96</v>
      </c>
      <c r="H41">
        <v>5.2030903191013403E-12</v>
      </c>
      <c r="I41">
        <v>4.9419949979659597E-12</v>
      </c>
      <c r="J41">
        <v>8.6233946025098194E-12</v>
      </c>
      <c r="K41">
        <v>1.2244562254471201E-12</v>
      </c>
      <c r="L41">
        <v>4.7831062823681203E-11</v>
      </c>
      <c r="M41">
        <v>43</v>
      </c>
      <c r="N41">
        <f t="shared" si="0"/>
        <v>2.631606648491037</v>
      </c>
      <c r="O41">
        <f t="shared" si="1"/>
        <v>7.3151194534879042E-11</v>
      </c>
    </row>
    <row r="42" spans="1:16" x14ac:dyDescent="0.3">
      <c r="A42" s="5" t="s">
        <v>145</v>
      </c>
      <c r="B42" t="s">
        <v>146</v>
      </c>
      <c r="C42" t="s">
        <v>149</v>
      </c>
      <c r="D42" t="s">
        <v>150</v>
      </c>
      <c r="E42" t="s">
        <v>148</v>
      </c>
      <c r="F42" t="s">
        <v>95</v>
      </c>
      <c r="G42">
        <v>727.62</v>
      </c>
      <c r="H42">
        <v>5.5122676400630499E-11</v>
      </c>
      <c r="I42">
        <v>5.3604663576149402E-11</v>
      </c>
      <c r="J42">
        <v>4.54E-11</v>
      </c>
      <c r="K42">
        <v>1.31127969128976E-11</v>
      </c>
      <c r="L42">
        <v>4.9119598130720397E-10</v>
      </c>
      <c r="M42">
        <v>151</v>
      </c>
      <c r="N42">
        <f t="shared" si="0"/>
        <v>13.743437508589649</v>
      </c>
      <c r="O42">
        <f t="shared" si="1"/>
        <v>1.3598070189071247E-10</v>
      </c>
    </row>
    <row r="43" spans="1:16" x14ac:dyDescent="0.3">
      <c r="A43" s="5" t="s">
        <v>145</v>
      </c>
      <c r="B43" t="s">
        <v>146</v>
      </c>
      <c r="C43" t="s">
        <v>151</v>
      </c>
      <c r="D43" t="s">
        <v>152</v>
      </c>
      <c r="E43" t="s">
        <v>148</v>
      </c>
      <c r="F43" t="s">
        <v>153</v>
      </c>
      <c r="G43">
        <v>1725.8400000000001</v>
      </c>
      <c r="H43">
        <v>1.06961440601011E-10</v>
      </c>
      <c r="I43">
        <v>4.1303322740808598E-11</v>
      </c>
      <c r="J43">
        <v>1.15537835947844E-10</v>
      </c>
      <c r="K43">
        <v>9.7347875208795198E-11</v>
      </c>
      <c r="L43">
        <v>4.8228358850379796E-10</v>
      </c>
      <c r="M43">
        <v>9621</v>
      </c>
      <c r="N43">
        <f t="shared" si="0"/>
        <v>5.794279886895656</v>
      </c>
      <c r="O43">
        <f t="shared" si="1"/>
        <v>4.1315277268069782E-10</v>
      </c>
    </row>
    <row r="44" spans="1:16" x14ac:dyDescent="0.3">
      <c r="A44" s="5" t="s">
        <v>145</v>
      </c>
      <c r="B44" t="s">
        <v>146</v>
      </c>
      <c r="C44" t="s">
        <v>154</v>
      </c>
      <c r="D44" t="s">
        <v>155</v>
      </c>
      <c r="E44" t="s">
        <v>148</v>
      </c>
      <c r="F44" t="s">
        <v>76</v>
      </c>
      <c r="G44">
        <v>716.68000000000006</v>
      </c>
      <c r="H44">
        <v>8.5435751639134E-11</v>
      </c>
      <c r="I44">
        <v>8.3106775813651496E-11</v>
      </c>
      <c r="J44">
        <v>3.9599215512847002E-10</v>
      </c>
      <c r="K44">
        <v>5.6875071961688898E-11</v>
      </c>
      <c r="L44">
        <v>2.4458324085040499E-9</v>
      </c>
      <c r="M44">
        <v>410</v>
      </c>
      <c r="N44">
        <f t="shared" si="0"/>
        <v>13.95322877713903</v>
      </c>
      <c r="O44">
        <f t="shared" si="1"/>
        <v>6.23924953356017E-10</v>
      </c>
    </row>
    <row r="45" spans="1:16" x14ac:dyDescent="0.3">
      <c r="A45" s="5" t="s">
        <v>156</v>
      </c>
      <c r="B45" t="s">
        <v>157</v>
      </c>
      <c r="C45" t="s">
        <v>158</v>
      </c>
      <c r="D45" t="s">
        <v>159</v>
      </c>
      <c r="E45" t="s">
        <v>148</v>
      </c>
      <c r="F45" t="s">
        <v>153</v>
      </c>
      <c r="G45">
        <v>782.06000000000006</v>
      </c>
      <c r="H45">
        <v>4.3968461320368699E-10</v>
      </c>
      <c r="I45">
        <v>1.72888153910686E-9</v>
      </c>
      <c r="J45">
        <v>0</v>
      </c>
      <c r="K45">
        <v>5.0382905927882998E-10</v>
      </c>
      <c r="L45">
        <v>1.38429888811872E-8</v>
      </c>
      <c r="M45">
        <v>13</v>
      </c>
      <c r="N45">
        <f t="shared" si="0"/>
        <v>12.786742705163286</v>
      </c>
      <c r="O45">
        <f t="shared" si="1"/>
        <v>3.6659602931392078E-9</v>
      </c>
    </row>
    <row r="46" spans="1:16" x14ac:dyDescent="0.3">
      <c r="A46" s="5" t="s">
        <v>156</v>
      </c>
      <c r="B46" t="s">
        <v>157</v>
      </c>
      <c r="C46" t="s">
        <v>149</v>
      </c>
      <c r="D46" t="s">
        <v>150</v>
      </c>
      <c r="E46" t="s">
        <v>148</v>
      </c>
      <c r="F46" t="s">
        <v>95</v>
      </c>
      <c r="G46">
        <v>234.24</v>
      </c>
      <c r="H46">
        <v>5.5122676400630499E-11</v>
      </c>
      <c r="I46">
        <v>5.3604663576149402E-11</v>
      </c>
      <c r="J46">
        <v>4.54E-11</v>
      </c>
      <c r="K46">
        <v>1.31127969128976E-11</v>
      </c>
      <c r="L46">
        <v>4.9119598130720397E-10</v>
      </c>
      <c r="M46">
        <v>2</v>
      </c>
      <c r="N46">
        <f t="shared" si="0"/>
        <v>42.691256830601091</v>
      </c>
      <c r="O46">
        <f t="shared" si="1"/>
        <v>4.3775761538825889E-11</v>
      </c>
    </row>
    <row r="47" spans="1:16" x14ac:dyDescent="0.3">
      <c r="A47" s="5" t="s">
        <v>156</v>
      </c>
      <c r="B47" t="s">
        <v>157</v>
      </c>
      <c r="C47" t="s">
        <v>151</v>
      </c>
      <c r="D47" t="s">
        <v>152</v>
      </c>
      <c r="E47" t="s">
        <v>148</v>
      </c>
      <c r="F47" t="s">
        <v>153</v>
      </c>
      <c r="G47">
        <v>319.04000000000002</v>
      </c>
      <c r="H47">
        <v>1.06961440601011E-10</v>
      </c>
      <c r="I47">
        <v>4.1303322740808598E-11</v>
      </c>
      <c r="J47">
        <v>1.15537835947844E-10</v>
      </c>
      <c r="K47">
        <v>9.7347875208795198E-11</v>
      </c>
      <c r="L47">
        <v>4.8228358850379796E-10</v>
      </c>
      <c r="M47">
        <v>0</v>
      </c>
      <c r="N47">
        <f t="shared" si="0"/>
        <v>31.344032096288863</v>
      </c>
      <c r="O47">
        <f t="shared" si="1"/>
        <v>7.6375713041794036E-11</v>
      </c>
    </row>
    <row r="48" spans="1:16" x14ac:dyDescent="0.3">
      <c r="A48" s="5" t="s">
        <v>156</v>
      </c>
      <c r="B48" t="s">
        <v>157</v>
      </c>
      <c r="C48" t="s">
        <v>154</v>
      </c>
      <c r="D48" t="s">
        <v>155</v>
      </c>
      <c r="E48" t="s">
        <v>148</v>
      </c>
      <c r="F48" t="s">
        <v>76</v>
      </c>
      <c r="G48">
        <v>939.6</v>
      </c>
      <c r="H48">
        <v>8.5435751639134E-11</v>
      </c>
      <c r="I48">
        <v>8.3106775813651496E-11</v>
      </c>
      <c r="J48">
        <v>3.9599215512847002E-10</v>
      </c>
      <c r="K48">
        <v>5.6875071961688898E-11</v>
      </c>
      <c r="L48">
        <v>2.4458324085040499E-9</v>
      </c>
      <c r="M48">
        <v>0</v>
      </c>
      <c r="N48">
        <f t="shared" si="0"/>
        <v>10.642826734780758</v>
      </c>
      <c r="O48">
        <f t="shared" si="1"/>
        <v>8.1799392500601877E-10</v>
      </c>
    </row>
    <row r="49" spans="1:16" x14ac:dyDescent="0.3">
      <c r="A49" s="5" t="s">
        <v>160</v>
      </c>
      <c r="B49" t="s">
        <v>161</v>
      </c>
      <c r="C49" t="s">
        <v>162</v>
      </c>
      <c r="D49" t="s">
        <v>56</v>
      </c>
      <c r="E49" t="s">
        <v>163</v>
      </c>
      <c r="F49" t="s">
        <v>57</v>
      </c>
      <c r="G49">
        <v>408.44</v>
      </c>
      <c r="H49">
        <v>3.0523255348110198E-11</v>
      </c>
      <c r="I49">
        <v>1.7737836820665599E-11</v>
      </c>
      <c r="J49">
        <v>4.9708729511888597E-11</v>
      </c>
      <c r="K49">
        <v>2.47419863763162E-12</v>
      </c>
      <c r="L49">
        <v>1.3210253914939801E-10</v>
      </c>
      <c r="M49">
        <v>0</v>
      </c>
      <c r="N49">
        <f t="shared" si="0"/>
        <v>24.483400254627362</v>
      </c>
      <c r="O49">
        <f t="shared" si="1"/>
        <v>2.695859105110508E-11</v>
      </c>
    </row>
    <row r="50" spans="1:16" x14ac:dyDescent="0.3">
      <c r="A50" s="5" t="s">
        <v>160</v>
      </c>
      <c r="B50" t="s">
        <v>161</v>
      </c>
      <c r="C50" t="s">
        <v>164</v>
      </c>
      <c r="D50" t="s">
        <v>165</v>
      </c>
      <c r="E50" t="s">
        <v>163</v>
      </c>
      <c r="F50" t="s">
        <v>166</v>
      </c>
      <c r="G50">
        <v>273.18</v>
      </c>
      <c r="H50">
        <v>1.0466568284282799E-11</v>
      </c>
      <c r="I50">
        <v>7.3474305772422603E-12</v>
      </c>
      <c r="J50">
        <v>9.8959800107077403E-12</v>
      </c>
      <c r="K50">
        <v>5.2459772093378099E-12</v>
      </c>
      <c r="L50">
        <v>4.7120882583037602E-11</v>
      </c>
      <c r="M50">
        <v>5</v>
      </c>
      <c r="N50">
        <f t="shared" si="0"/>
        <v>36.605900871220442</v>
      </c>
      <c r="O50">
        <f t="shared" si="1"/>
        <v>6.2089022818259575E-12</v>
      </c>
    </row>
    <row r="51" spans="1:16" x14ac:dyDescent="0.3">
      <c r="A51" s="5" t="s">
        <v>167</v>
      </c>
      <c r="B51" t="s">
        <v>168</v>
      </c>
      <c r="C51" t="s">
        <v>169</v>
      </c>
      <c r="D51" t="s">
        <v>170</v>
      </c>
      <c r="E51" t="s">
        <v>168</v>
      </c>
      <c r="F51" t="s">
        <v>171</v>
      </c>
      <c r="G51">
        <v>3615.8599999999997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 t="shared" si="0"/>
        <v>2.7655938006449365</v>
      </c>
      <c r="O51">
        <f t="shared" si="1"/>
        <v>0</v>
      </c>
    </row>
    <row r="52" spans="1:16" x14ac:dyDescent="0.3">
      <c r="A52" s="5" t="s">
        <v>167</v>
      </c>
      <c r="B52" t="s">
        <v>168</v>
      </c>
      <c r="C52" t="s">
        <v>154</v>
      </c>
      <c r="D52" t="s">
        <v>155</v>
      </c>
      <c r="E52" t="s">
        <v>168</v>
      </c>
      <c r="F52" t="s">
        <v>171</v>
      </c>
      <c r="G52">
        <v>4747.26</v>
      </c>
      <c r="H52">
        <v>8.5435751639134E-11</v>
      </c>
      <c r="I52">
        <v>8.3106775813651496E-11</v>
      </c>
      <c r="J52">
        <v>3.9599215512847002E-10</v>
      </c>
      <c r="K52">
        <v>5.6875071961688898E-11</v>
      </c>
      <c r="L52">
        <v>2.4458324085040499E-9</v>
      </c>
      <c r="M52">
        <v>0</v>
      </c>
      <c r="N52">
        <f t="shared" si="0"/>
        <v>2.1064782632508012</v>
      </c>
      <c r="O52">
        <f t="shared" si="1"/>
        <v>4.1328542362963746E-9</v>
      </c>
    </row>
    <row r="53" spans="1:16" x14ac:dyDescent="0.3">
      <c r="A53" s="5" t="s">
        <v>172</v>
      </c>
      <c r="B53" t="s">
        <v>173</v>
      </c>
      <c r="C53" t="s">
        <v>174</v>
      </c>
      <c r="D53" t="s">
        <v>59</v>
      </c>
      <c r="E53" t="s">
        <v>173</v>
      </c>
      <c r="F53" t="s">
        <v>80</v>
      </c>
      <c r="G53" s="2">
        <v>911.9799999999999</v>
      </c>
      <c r="H53">
        <v>3.0687766123515199E-11</v>
      </c>
      <c r="I53">
        <v>5.9895958300453596E-11</v>
      </c>
      <c r="J53">
        <v>1.54835595883734E-10</v>
      </c>
      <c r="K53">
        <v>5.0562802844685197E-12</v>
      </c>
      <c r="L53">
        <v>7.6254903221232302E-10</v>
      </c>
      <c r="M53">
        <v>0</v>
      </c>
      <c r="N53">
        <f t="shared" si="0"/>
        <v>10.965152744577733</v>
      </c>
      <c r="O53">
        <f t="shared" si="1"/>
        <v>2.6221910139986399E-10</v>
      </c>
    </row>
    <row r="54" spans="1:16" x14ac:dyDescent="0.3">
      <c r="A54" s="5" t="s">
        <v>175</v>
      </c>
      <c r="B54" t="s">
        <v>7</v>
      </c>
      <c r="C54" t="s">
        <v>176</v>
      </c>
      <c r="D54" t="s">
        <v>177</v>
      </c>
      <c r="E54" t="s">
        <v>178</v>
      </c>
      <c r="F54" t="s">
        <v>179</v>
      </c>
      <c r="G54">
        <v>2342.02</v>
      </c>
      <c r="H54">
        <v>1.16276646616E-12</v>
      </c>
      <c r="I54">
        <v>9.2093794117539301E-13</v>
      </c>
      <c r="J54">
        <v>2.2930825833065799E-13</v>
      </c>
      <c r="K54">
        <v>2.16902593988536E-14</v>
      </c>
      <c r="L54">
        <v>2.8658099989633099E-12</v>
      </c>
      <c r="M54">
        <v>77</v>
      </c>
      <c r="N54">
        <f t="shared" si="0"/>
        <v>4.2698183619268839</v>
      </c>
      <c r="O54">
        <f t="shared" si="1"/>
        <v>3.4569713809012066E-12</v>
      </c>
    </row>
    <row r="55" spans="1:16" x14ac:dyDescent="0.3">
      <c r="A55" s="5" t="s">
        <v>175</v>
      </c>
      <c r="B55" t="s">
        <v>7</v>
      </c>
      <c r="C55" t="s">
        <v>100</v>
      </c>
      <c r="D55" t="s">
        <v>101</v>
      </c>
      <c r="E55" t="s">
        <v>178</v>
      </c>
      <c r="F55" t="s">
        <v>179</v>
      </c>
      <c r="G55">
        <v>23682.84</v>
      </c>
      <c r="H55">
        <v>5.1230426027557601E-13</v>
      </c>
      <c r="I55">
        <v>1.0294030814939399E-12</v>
      </c>
      <c r="J55">
        <v>1.9412223579274199E-13</v>
      </c>
      <c r="K55">
        <v>2.9898736029220801E-14</v>
      </c>
      <c r="L55">
        <v>4.1655196980688302E-12</v>
      </c>
      <c r="M55">
        <v>212</v>
      </c>
      <c r="N55">
        <f t="shared" si="0"/>
        <v>0.42224665622872937</v>
      </c>
      <c r="O55">
        <f t="shared" si="1"/>
        <v>3.9869323791086364E-11</v>
      </c>
    </row>
    <row r="56" spans="1:16" x14ac:dyDescent="0.3">
      <c r="A56" s="5" t="s">
        <v>175</v>
      </c>
      <c r="B56" t="s">
        <v>7</v>
      </c>
      <c r="C56" t="s">
        <v>180</v>
      </c>
      <c r="D56" t="s">
        <v>181</v>
      </c>
      <c r="E56" t="s">
        <v>178</v>
      </c>
      <c r="F56" t="s">
        <v>179</v>
      </c>
      <c r="G56">
        <v>6112.88</v>
      </c>
      <c r="H56">
        <v>1.14836082056481E-11</v>
      </c>
      <c r="I56">
        <v>8.2408303254412402E-12</v>
      </c>
      <c r="J56">
        <v>1.7798912177333501E-11</v>
      </c>
      <c r="K56">
        <v>2.8872067612573E-12</v>
      </c>
      <c r="L56">
        <v>9.1563717471710496E-11</v>
      </c>
      <c r="M56">
        <v>281</v>
      </c>
      <c r="N56">
        <f t="shared" si="0"/>
        <v>1.6358901205323841</v>
      </c>
      <c r="O56">
        <f t="shared" si="1"/>
        <v>2.2897821198267723E-10</v>
      </c>
      <c r="P56" s="20" t="s">
        <v>182</v>
      </c>
    </row>
    <row r="57" spans="1:16" x14ac:dyDescent="0.3">
      <c r="A57" s="5" t="s">
        <v>175</v>
      </c>
      <c r="B57" t="s">
        <v>7</v>
      </c>
      <c r="C57" t="s">
        <v>183</v>
      </c>
      <c r="D57" t="s">
        <v>184</v>
      </c>
      <c r="E57" t="s">
        <v>178</v>
      </c>
      <c r="F57" t="s">
        <v>179</v>
      </c>
      <c r="G57">
        <v>23047.9</v>
      </c>
      <c r="H57">
        <v>2.9439715025713399E-12</v>
      </c>
      <c r="I57">
        <v>4.8477088851861698E-12</v>
      </c>
      <c r="J57">
        <v>5.2903295905443303E-12</v>
      </c>
      <c r="K57">
        <v>1.3897687987919499E-12</v>
      </c>
      <c r="L57">
        <v>5.5159397779402299E-11</v>
      </c>
      <c r="M57">
        <v>267</v>
      </c>
      <c r="N57">
        <f t="shared" si="0"/>
        <v>0.43387900849968974</v>
      </c>
      <c r="O57">
        <f t="shared" si="1"/>
        <v>4.5550599709824972E-10</v>
      </c>
    </row>
    <row r="58" spans="1:16" x14ac:dyDescent="0.3">
      <c r="A58" s="5" t="s">
        <v>185</v>
      </c>
      <c r="B58" t="s">
        <v>8</v>
      </c>
      <c r="C58" t="s">
        <v>186</v>
      </c>
      <c r="D58" t="s">
        <v>187</v>
      </c>
      <c r="E58" t="s">
        <v>188</v>
      </c>
      <c r="F58" t="s">
        <v>189</v>
      </c>
      <c r="G58">
        <v>6630.94</v>
      </c>
      <c r="H58">
        <v>1.0811740245455E-12</v>
      </c>
      <c r="I58">
        <v>5.1055402833372496E-13</v>
      </c>
      <c r="J58">
        <v>2.6279669921976402E-13</v>
      </c>
      <c r="K58">
        <v>1.24065087585422E-12</v>
      </c>
      <c r="L58">
        <v>5.4939374694326101E-12</v>
      </c>
      <c r="M58">
        <v>1147</v>
      </c>
      <c r="N58">
        <f t="shared" si="0"/>
        <v>1.5080818104220517</v>
      </c>
      <c r="O58">
        <f t="shared" si="1"/>
        <v>1.6165249955858552E-11</v>
      </c>
    </row>
    <row r="59" spans="1:16" x14ac:dyDescent="0.3">
      <c r="A59" s="5" t="s">
        <v>185</v>
      </c>
      <c r="B59" t="s">
        <v>8</v>
      </c>
      <c r="C59" t="s">
        <v>190</v>
      </c>
      <c r="D59" t="s">
        <v>191</v>
      </c>
      <c r="E59" t="s">
        <v>188</v>
      </c>
      <c r="F59" t="s">
        <v>189</v>
      </c>
      <c r="G59">
        <v>5145.2800000000007</v>
      </c>
      <c r="H59">
        <v>2.95931903804136E-12</v>
      </c>
      <c r="I59">
        <v>3.5418593778097399E-12</v>
      </c>
      <c r="J59">
        <v>1.14064335004241E-12</v>
      </c>
      <c r="K59">
        <v>1.17730479989729E-12</v>
      </c>
      <c r="L59">
        <v>1.8129102399551699E-11</v>
      </c>
      <c r="M59">
        <v>355</v>
      </c>
      <c r="N59">
        <f t="shared" si="0"/>
        <v>1.9435288264195534</v>
      </c>
      <c r="O59">
        <f t="shared" si="1"/>
        <v>3.9354848684530232E-11</v>
      </c>
    </row>
    <row r="60" spans="1:16" x14ac:dyDescent="0.3">
      <c r="A60" s="5" t="s">
        <v>185</v>
      </c>
      <c r="B60" t="s">
        <v>8</v>
      </c>
      <c r="C60" t="s">
        <v>192</v>
      </c>
      <c r="D60" t="s">
        <v>193</v>
      </c>
      <c r="E60" t="s">
        <v>188</v>
      </c>
      <c r="F60" t="s">
        <v>189</v>
      </c>
      <c r="G60">
        <v>11036.460000000001</v>
      </c>
      <c r="H60">
        <v>6.3733102665992001E-13</v>
      </c>
      <c r="I60">
        <v>8.8894737505152003E-13</v>
      </c>
      <c r="J60">
        <v>9.2434935009563006E-14</v>
      </c>
      <c r="K60">
        <v>1.5376536463639399E-12</v>
      </c>
      <c r="L60">
        <v>3.4487594323036999E-12</v>
      </c>
      <c r="M60">
        <v>529</v>
      </c>
      <c r="N60">
        <f t="shared" si="0"/>
        <v>0.90608764042093193</v>
      </c>
      <c r="O60">
        <f t="shared" si="1"/>
        <v>2.0690449808380422E-11</v>
      </c>
    </row>
    <row r="61" spans="1:16" x14ac:dyDescent="0.3">
      <c r="A61" s="5" t="s">
        <v>185</v>
      </c>
      <c r="B61" t="s">
        <v>8</v>
      </c>
      <c r="C61" t="s">
        <v>194</v>
      </c>
      <c r="D61" t="s">
        <v>195</v>
      </c>
      <c r="E61" t="s">
        <v>188</v>
      </c>
      <c r="F61" t="s">
        <v>189</v>
      </c>
      <c r="G61">
        <v>4553.92</v>
      </c>
      <c r="H61">
        <v>3.1324424344057E-12</v>
      </c>
      <c r="I61">
        <v>1.46452969498024E-12</v>
      </c>
      <c r="J61">
        <v>1.47003491317921E-12</v>
      </c>
      <c r="K61">
        <v>4.8737155939107102E-12</v>
      </c>
      <c r="L61">
        <v>2.5943493419022698E-11</v>
      </c>
      <c r="M61">
        <v>1058</v>
      </c>
      <c r="N61">
        <f t="shared" si="0"/>
        <v>2.1959103365891366</v>
      </c>
      <c r="O61">
        <f t="shared" si="1"/>
        <v>4.7674369592520488E-11</v>
      </c>
    </row>
    <row r="62" spans="1:16" s="12" customFormat="1" x14ac:dyDescent="0.3">
      <c r="A62" s="14" t="s">
        <v>196</v>
      </c>
      <c r="B62" s="15" t="s">
        <v>197</v>
      </c>
      <c r="C62" t="s">
        <v>84</v>
      </c>
      <c r="D62" t="s">
        <v>85</v>
      </c>
      <c r="E62" t="s">
        <v>199</v>
      </c>
      <c r="F62" t="s">
        <v>84</v>
      </c>
      <c r="G62" s="12" t="s">
        <v>200</v>
      </c>
      <c r="H62"/>
      <c r="I62"/>
      <c r="J62"/>
      <c r="K62"/>
      <c r="L62"/>
      <c r="M62" s="12">
        <v>359</v>
      </c>
      <c r="N62" t="e">
        <f t="shared" si="0"/>
        <v>#VALUE!</v>
      </c>
      <c r="O62" t="e">
        <f t="shared" si="1"/>
        <v>#VALUE!</v>
      </c>
    </row>
    <row r="63" spans="1:16" s="12" customFormat="1" x14ac:dyDescent="0.3">
      <c r="A63" s="14" t="s">
        <v>196</v>
      </c>
      <c r="B63" s="15" t="s">
        <v>197</v>
      </c>
      <c r="C63" t="s">
        <v>222</v>
      </c>
      <c r="D63" t="s">
        <v>223</v>
      </c>
      <c r="E63" t="s">
        <v>199</v>
      </c>
      <c r="F63" t="s">
        <v>222</v>
      </c>
      <c r="H63"/>
      <c r="I63"/>
      <c r="J63"/>
      <c r="K63"/>
      <c r="L63"/>
      <c r="N63"/>
      <c r="O63"/>
    </row>
    <row r="64" spans="1:16" s="12" customFormat="1" x14ac:dyDescent="0.3">
      <c r="A64" s="14" t="s">
        <v>196</v>
      </c>
      <c r="B64" s="15" t="s">
        <v>197</v>
      </c>
      <c r="C64" t="s">
        <v>286</v>
      </c>
      <c r="D64" t="s">
        <v>287</v>
      </c>
      <c r="E64" t="s">
        <v>199</v>
      </c>
      <c r="F64" t="s">
        <v>286</v>
      </c>
      <c r="H64"/>
      <c r="I64"/>
      <c r="J64"/>
      <c r="K64"/>
      <c r="L64"/>
      <c r="N64"/>
      <c r="O64"/>
    </row>
    <row r="65" spans="1:15" s="12" customFormat="1" x14ac:dyDescent="0.3">
      <c r="A65" s="14" t="s">
        <v>196</v>
      </c>
      <c r="B65" s="15" t="s">
        <v>197</v>
      </c>
      <c r="C65" t="s">
        <v>89</v>
      </c>
      <c r="D65" t="s">
        <v>325</v>
      </c>
      <c r="E65" t="s">
        <v>199</v>
      </c>
      <c r="F65" t="s">
        <v>89</v>
      </c>
      <c r="H65"/>
      <c r="I65"/>
      <c r="J65"/>
      <c r="K65"/>
      <c r="L65"/>
      <c r="N65"/>
      <c r="O65"/>
    </row>
    <row r="66" spans="1:15" s="12" customFormat="1" x14ac:dyDescent="0.3">
      <c r="A66" s="14" t="s">
        <v>196</v>
      </c>
      <c r="B66" s="15" t="s">
        <v>197</v>
      </c>
      <c r="C66" t="s">
        <v>68</v>
      </c>
      <c r="D66" t="s">
        <v>292</v>
      </c>
      <c r="E66" t="s">
        <v>199</v>
      </c>
      <c r="F66" t="s">
        <v>68</v>
      </c>
      <c r="H66"/>
      <c r="I66"/>
      <c r="J66"/>
      <c r="K66"/>
      <c r="L66"/>
      <c r="N66"/>
      <c r="O66"/>
    </row>
    <row r="67" spans="1:15" s="12" customFormat="1" x14ac:dyDescent="0.3">
      <c r="A67" s="14" t="s">
        <v>196</v>
      </c>
      <c r="B67" s="15" t="s">
        <v>197</v>
      </c>
      <c r="C67" t="s">
        <v>118</v>
      </c>
      <c r="D67" t="s">
        <v>144</v>
      </c>
      <c r="E67" t="s">
        <v>199</v>
      </c>
      <c r="F67" t="s">
        <v>118</v>
      </c>
      <c r="H67"/>
      <c r="I67"/>
      <c r="J67"/>
      <c r="K67"/>
      <c r="L67"/>
      <c r="N67"/>
      <c r="O67"/>
    </row>
    <row r="68" spans="1:15" s="12" customFormat="1" x14ac:dyDescent="0.3">
      <c r="A68" s="14" t="s">
        <v>196</v>
      </c>
      <c r="B68" s="15" t="s">
        <v>197</v>
      </c>
      <c r="C68" t="s">
        <v>49</v>
      </c>
      <c r="D68" t="s">
        <v>198</v>
      </c>
      <c r="E68" t="s">
        <v>199</v>
      </c>
      <c r="F68" t="s">
        <v>49</v>
      </c>
      <c r="H68"/>
      <c r="I68"/>
      <c r="J68"/>
      <c r="K68"/>
      <c r="L68"/>
      <c r="N68"/>
      <c r="O68"/>
    </row>
    <row r="69" spans="1:15" s="12" customFormat="1" x14ac:dyDescent="0.3">
      <c r="A69" s="14" t="s">
        <v>196</v>
      </c>
      <c r="B69" s="15" t="s">
        <v>197</v>
      </c>
      <c r="C69" t="s">
        <v>236</v>
      </c>
      <c r="D69" t="s">
        <v>237</v>
      </c>
      <c r="E69" t="s">
        <v>199</v>
      </c>
      <c r="F69" t="s">
        <v>236</v>
      </c>
      <c r="H69"/>
      <c r="I69"/>
      <c r="J69"/>
      <c r="K69"/>
      <c r="L69"/>
      <c r="N69"/>
      <c r="O69"/>
    </row>
    <row r="70" spans="1:15" s="12" customFormat="1" x14ac:dyDescent="0.3">
      <c r="A70" s="14" t="s">
        <v>196</v>
      </c>
      <c r="B70" s="15" t="s">
        <v>197</v>
      </c>
      <c r="C70" t="s">
        <v>70</v>
      </c>
      <c r="D70" t="s">
        <v>87</v>
      </c>
      <c r="E70" t="s">
        <v>199</v>
      </c>
      <c r="F70" t="s">
        <v>70</v>
      </c>
      <c r="H70"/>
      <c r="I70"/>
      <c r="J70"/>
      <c r="K70"/>
      <c r="L70"/>
      <c r="N70"/>
      <c r="O70"/>
    </row>
    <row r="71" spans="1:15" s="12" customFormat="1" x14ac:dyDescent="0.3">
      <c r="A71" s="14" t="s">
        <v>196</v>
      </c>
      <c r="B71" s="15" t="s">
        <v>197</v>
      </c>
      <c r="C71" t="s">
        <v>86</v>
      </c>
      <c r="D71" t="s">
        <v>117</v>
      </c>
      <c r="E71" t="s">
        <v>199</v>
      </c>
      <c r="F71" t="s">
        <v>86</v>
      </c>
      <c r="H71"/>
      <c r="I71"/>
      <c r="J71"/>
      <c r="K71"/>
      <c r="L71"/>
      <c r="N71"/>
      <c r="O71"/>
    </row>
    <row r="72" spans="1:15" x14ac:dyDescent="0.3">
      <c r="A72" s="5" t="s">
        <v>196</v>
      </c>
      <c r="B72" t="s">
        <v>197</v>
      </c>
      <c r="C72" s="2" t="s">
        <v>201</v>
      </c>
      <c r="D72" s="2" t="s">
        <v>202</v>
      </c>
      <c r="E72" t="s">
        <v>199</v>
      </c>
      <c r="F72" s="2" t="s">
        <v>49</v>
      </c>
      <c r="G72">
        <v>8477.2999999999993</v>
      </c>
      <c r="M72">
        <v>57</v>
      </c>
      <c r="N72">
        <f t="shared" si="0"/>
        <v>1.1796208698524295</v>
      </c>
      <c r="O72">
        <f t="shared" si="1"/>
        <v>0</v>
      </c>
    </row>
    <row r="73" spans="1:15" x14ac:dyDescent="0.3">
      <c r="A73" s="5" t="s">
        <v>196</v>
      </c>
      <c r="B73" t="s">
        <v>197</v>
      </c>
      <c r="C73" s="2" t="s">
        <v>134</v>
      </c>
      <c r="D73" s="2" t="s">
        <v>135</v>
      </c>
      <c r="E73" t="s">
        <v>199</v>
      </c>
      <c r="F73" s="2" t="s">
        <v>49</v>
      </c>
      <c r="M73">
        <v>691</v>
      </c>
      <c r="N73" t="e">
        <f t="shared" si="0"/>
        <v>#DIV/0!</v>
      </c>
      <c r="O73" t="e">
        <f t="shared" si="1"/>
        <v>#DIV/0!</v>
      </c>
    </row>
    <row r="74" spans="1:15" x14ac:dyDescent="0.3">
      <c r="A74" s="5" t="s">
        <v>196</v>
      </c>
      <c r="B74" t="s">
        <v>197</v>
      </c>
      <c r="C74" s="2" t="s">
        <v>203</v>
      </c>
      <c r="D74" s="2" t="s">
        <v>204</v>
      </c>
      <c r="E74" t="s">
        <v>199</v>
      </c>
      <c r="F74" s="2" t="s">
        <v>49</v>
      </c>
      <c r="M74">
        <v>113</v>
      </c>
      <c r="N74" t="e">
        <f t="shared" ref="N74:N133" si="2">1/G74*10000</f>
        <v>#DIV/0!</v>
      </c>
      <c r="O74" t="e">
        <f t="shared" ref="O74:O133" si="3">SUM(H74:L74)/(1/G74*10000)/(352323/1000000)</f>
        <v>#DIV/0!</v>
      </c>
    </row>
    <row r="75" spans="1:15" x14ac:dyDescent="0.3">
      <c r="A75" s="5" t="s">
        <v>196</v>
      </c>
      <c r="B75" t="s">
        <v>197</v>
      </c>
      <c r="C75" s="2" t="s">
        <v>205</v>
      </c>
      <c r="D75" s="2" t="s">
        <v>122</v>
      </c>
      <c r="E75" t="s">
        <v>199</v>
      </c>
      <c r="F75" s="2" t="s">
        <v>49</v>
      </c>
      <c r="M75">
        <v>35</v>
      </c>
      <c r="N75" t="e">
        <f t="shared" si="2"/>
        <v>#DIV/0!</v>
      </c>
      <c r="O75" t="e">
        <f t="shared" si="3"/>
        <v>#DIV/0!</v>
      </c>
    </row>
    <row r="76" spans="1:15" s="6" customFormat="1" x14ac:dyDescent="0.3">
      <c r="A76" s="5" t="s">
        <v>209</v>
      </c>
      <c r="B76" t="s">
        <v>9</v>
      </c>
      <c r="C76" t="s">
        <v>210</v>
      </c>
      <c r="D76" t="s">
        <v>211</v>
      </c>
      <c r="E76" t="s">
        <v>212</v>
      </c>
      <c r="F76" t="s">
        <v>49</v>
      </c>
      <c r="G76">
        <v>801.38</v>
      </c>
      <c r="H76">
        <v>1.13591610859759E-11</v>
      </c>
      <c r="I76">
        <v>7.8821445689283707E-12</v>
      </c>
      <c r="J76">
        <v>2.2343858903702601E-11</v>
      </c>
      <c r="K76">
        <v>6.1578082903483502E-12</v>
      </c>
      <c r="L76">
        <v>2.4649624072255599E-11</v>
      </c>
      <c r="M76">
        <v>0</v>
      </c>
      <c r="N76">
        <f t="shared" si="2"/>
        <v>12.478474631261074</v>
      </c>
      <c r="O76">
        <f t="shared" si="3"/>
        <v>1.6466134575579777E-11</v>
      </c>
    </row>
    <row r="77" spans="1:15" x14ac:dyDescent="0.3">
      <c r="A77" s="5" t="s">
        <v>209</v>
      </c>
      <c r="B77" t="s">
        <v>9</v>
      </c>
      <c r="C77" t="s">
        <v>213</v>
      </c>
      <c r="D77" t="s">
        <v>214</v>
      </c>
      <c r="E77" t="s">
        <v>212</v>
      </c>
      <c r="F77" t="s">
        <v>49</v>
      </c>
      <c r="G77">
        <v>672.4</v>
      </c>
      <c r="H77">
        <v>1.69067120044581E-12</v>
      </c>
      <c r="I77">
        <v>1.66348829091396E-12</v>
      </c>
      <c r="J77">
        <v>2.68507458434379E-13</v>
      </c>
      <c r="K77">
        <v>6.6791918447104704E-13</v>
      </c>
      <c r="L77">
        <v>6.2653373231191602E-13</v>
      </c>
      <c r="M77">
        <v>0</v>
      </c>
      <c r="N77">
        <f t="shared" si="2"/>
        <v>14.872099940511601</v>
      </c>
      <c r="O77">
        <f t="shared" si="3"/>
        <v>9.3842053975654433E-13</v>
      </c>
    </row>
    <row r="78" spans="1:15" s="15" customFormat="1" x14ac:dyDescent="0.3">
      <c r="A78" s="14" t="s">
        <v>215</v>
      </c>
      <c r="B78" s="15" t="s">
        <v>216</v>
      </c>
      <c r="C78" s="15" t="s">
        <v>217</v>
      </c>
      <c r="D78" s="15" t="s">
        <v>218</v>
      </c>
      <c r="E78" s="15" t="s">
        <v>216</v>
      </c>
      <c r="F78" s="15" t="s">
        <v>219</v>
      </c>
      <c r="H78"/>
      <c r="I78"/>
      <c r="J78"/>
      <c r="K78"/>
      <c r="L78"/>
      <c r="M78" s="15">
        <v>0</v>
      </c>
      <c r="N78" t="e">
        <f t="shared" si="2"/>
        <v>#DIV/0!</v>
      </c>
      <c r="O78" t="e">
        <f t="shared" si="3"/>
        <v>#DIV/0!</v>
      </c>
    </row>
    <row r="79" spans="1:15" s="15" customFormat="1" x14ac:dyDescent="0.3">
      <c r="A79" s="14" t="s">
        <v>215</v>
      </c>
      <c r="B79" s="15" t="s">
        <v>216</v>
      </c>
      <c r="C79" s="15" t="s">
        <v>86</v>
      </c>
      <c r="D79" s="15" t="s">
        <v>117</v>
      </c>
      <c r="E79" s="15" t="s">
        <v>216</v>
      </c>
      <c r="F79" s="15" t="s">
        <v>219</v>
      </c>
      <c r="H79"/>
      <c r="I79"/>
      <c r="J79"/>
      <c r="K79"/>
      <c r="L79"/>
      <c r="M79" s="15">
        <v>0</v>
      </c>
      <c r="N79" t="e">
        <f t="shared" si="2"/>
        <v>#DIV/0!</v>
      </c>
      <c r="O79" t="e">
        <f t="shared" si="3"/>
        <v>#DIV/0!</v>
      </c>
    </row>
    <row r="80" spans="1:15" s="15" customFormat="1" x14ac:dyDescent="0.3">
      <c r="A80" s="14" t="s">
        <v>215</v>
      </c>
      <c r="B80" s="15" t="s">
        <v>216</v>
      </c>
      <c r="C80" s="15" t="s">
        <v>220</v>
      </c>
      <c r="D80" s="15" t="s">
        <v>221</v>
      </c>
      <c r="E80" s="15" t="s">
        <v>216</v>
      </c>
      <c r="F80" s="15" t="s">
        <v>219</v>
      </c>
      <c r="H80"/>
      <c r="I80"/>
      <c r="J80"/>
      <c r="K80"/>
      <c r="L80"/>
      <c r="M80" s="15">
        <v>0</v>
      </c>
      <c r="N80" t="e">
        <f t="shared" si="2"/>
        <v>#DIV/0!</v>
      </c>
      <c r="O80" t="e">
        <f t="shared" si="3"/>
        <v>#DIV/0!</v>
      </c>
    </row>
    <row r="81" spans="1:16" s="15" customFormat="1" x14ac:dyDescent="0.3">
      <c r="A81" s="14" t="s">
        <v>215</v>
      </c>
      <c r="B81" s="15" t="s">
        <v>216</v>
      </c>
      <c r="C81" s="15" t="s">
        <v>222</v>
      </c>
      <c r="D81" s="15" t="s">
        <v>223</v>
      </c>
      <c r="E81" s="15" t="s">
        <v>216</v>
      </c>
      <c r="F81" s="15" t="s">
        <v>219</v>
      </c>
      <c r="H81"/>
      <c r="I81"/>
      <c r="J81"/>
      <c r="K81"/>
      <c r="L81"/>
      <c r="M81" s="15">
        <v>0</v>
      </c>
      <c r="N81" t="e">
        <f t="shared" si="2"/>
        <v>#DIV/0!</v>
      </c>
      <c r="O81" t="e">
        <f t="shared" si="3"/>
        <v>#DIV/0!</v>
      </c>
    </row>
    <row r="82" spans="1:16" s="15" customFormat="1" x14ac:dyDescent="0.3">
      <c r="A82" s="14" t="s">
        <v>215</v>
      </c>
      <c r="B82" s="15" t="s">
        <v>216</v>
      </c>
      <c r="C82" s="15" t="s">
        <v>49</v>
      </c>
      <c r="D82" s="15" t="s">
        <v>198</v>
      </c>
      <c r="E82" s="15" t="s">
        <v>216</v>
      </c>
      <c r="F82" s="15" t="s">
        <v>219</v>
      </c>
      <c r="H82"/>
      <c r="I82"/>
      <c r="J82"/>
      <c r="K82"/>
      <c r="L82"/>
      <c r="M82" s="15">
        <v>0</v>
      </c>
      <c r="N82" t="e">
        <f t="shared" si="2"/>
        <v>#DIV/0!</v>
      </c>
      <c r="O82" t="e">
        <f t="shared" si="3"/>
        <v>#DIV/0!</v>
      </c>
    </row>
    <row r="83" spans="1:16" s="15" customFormat="1" x14ac:dyDescent="0.3">
      <c r="A83" s="14" t="s">
        <v>215</v>
      </c>
      <c r="B83" s="15" t="s">
        <v>216</v>
      </c>
      <c r="C83" s="15" t="s">
        <v>70</v>
      </c>
      <c r="D83" s="15" t="s">
        <v>87</v>
      </c>
      <c r="E83" s="15" t="s">
        <v>216</v>
      </c>
      <c r="F83" s="15" t="s">
        <v>219</v>
      </c>
      <c r="H83"/>
      <c r="I83"/>
      <c r="J83"/>
      <c r="K83"/>
      <c r="L83"/>
      <c r="M83" s="15">
        <v>0</v>
      </c>
      <c r="N83" t="e">
        <f t="shared" si="2"/>
        <v>#DIV/0!</v>
      </c>
      <c r="O83" t="e">
        <f t="shared" si="3"/>
        <v>#DIV/0!</v>
      </c>
    </row>
    <row r="84" spans="1:16" s="15" customFormat="1" x14ac:dyDescent="0.3">
      <c r="A84" s="14" t="s">
        <v>215</v>
      </c>
      <c r="B84" s="15" t="s">
        <v>216</v>
      </c>
      <c r="C84" s="15" t="s">
        <v>205</v>
      </c>
      <c r="D84" s="15" t="s">
        <v>123</v>
      </c>
      <c r="E84" s="15" t="s">
        <v>216</v>
      </c>
      <c r="F84" s="15" t="s">
        <v>219</v>
      </c>
      <c r="H84"/>
      <c r="I84"/>
      <c r="J84"/>
      <c r="K84"/>
      <c r="L84"/>
      <c r="M84" s="15">
        <v>0</v>
      </c>
      <c r="N84" t="e">
        <f t="shared" si="2"/>
        <v>#DIV/0!</v>
      </c>
      <c r="O84" t="e">
        <f t="shared" si="3"/>
        <v>#DIV/0!</v>
      </c>
    </row>
    <row r="85" spans="1:16" x14ac:dyDescent="0.3">
      <c r="A85" s="5" t="s">
        <v>224</v>
      </c>
      <c r="B85" t="s">
        <v>225</v>
      </c>
      <c r="C85" t="s">
        <v>95</v>
      </c>
      <c r="D85" t="s">
        <v>147</v>
      </c>
      <c r="E85" t="s">
        <v>148</v>
      </c>
      <c r="F85" t="s">
        <v>95</v>
      </c>
      <c r="G85">
        <v>47712.42</v>
      </c>
      <c r="H85">
        <v>5.2030903191013403E-12</v>
      </c>
      <c r="I85">
        <v>4.9419949979659597E-12</v>
      </c>
      <c r="J85">
        <v>8.6233946025098194E-12</v>
      </c>
      <c r="K85">
        <v>1.2244562254471201E-12</v>
      </c>
      <c r="L85">
        <v>4.7831062823681203E-11</v>
      </c>
      <c r="M85">
        <v>8</v>
      </c>
      <c r="N85">
        <f t="shared" si="2"/>
        <v>0.20958903363107553</v>
      </c>
      <c r="O85">
        <f t="shared" si="3"/>
        <v>9.1848875176313787E-10</v>
      </c>
    </row>
    <row r="86" spans="1:16" s="15" customFormat="1" x14ac:dyDescent="0.3">
      <c r="A86" s="14" t="s">
        <v>226</v>
      </c>
      <c r="B86" s="15" t="s">
        <v>227</v>
      </c>
      <c r="C86" s="15" t="s">
        <v>220</v>
      </c>
      <c r="D86" s="15" t="s">
        <v>221</v>
      </c>
      <c r="E86" s="15" t="s">
        <v>340</v>
      </c>
      <c r="F86" s="15" t="s">
        <v>317</v>
      </c>
      <c r="H86"/>
      <c r="I86"/>
      <c r="J86"/>
      <c r="K86"/>
      <c r="L86"/>
      <c r="M86" s="15">
        <v>366</v>
      </c>
      <c r="N86" t="e">
        <f t="shared" si="2"/>
        <v>#DIV/0!</v>
      </c>
      <c r="O86" t="e">
        <f t="shared" si="3"/>
        <v>#DIV/0!</v>
      </c>
    </row>
    <row r="87" spans="1:16" x14ac:dyDescent="0.3">
      <c r="A87" s="5" t="s">
        <v>228</v>
      </c>
      <c r="B87" t="s">
        <v>229</v>
      </c>
      <c r="C87" t="s">
        <v>230</v>
      </c>
      <c r="D87" t="s">
        <v>38</v>
      </c>
      <c r="E87" s="3" t="s">
        <v>229</v>
      </c>
      <c r="F87" t="s">
        <v>49</v>
      </c>
      <c r="G87">
        <v>21063.3</v>
      </c>
      <c r="H87">
        <v>9.2733122676897092E-13</v>
      </c>
      <c r="I87">
        <v>3.6239202290006801E-13</v>
      </c>
      <c r="J87">
        <v>6.5623176205945403E-14</v>
      </c>
      <c r="K87">
        <v>2.7059628781149702E-13</v>
      </c>
      <c r="L87">
        <v>8.6607932890677898E-13</v>
      </c>
      <c r="M87">
        <v>198</v>
      </c>
      <c r="N87">
        <f t="shared" si="2"/>
        <v>0.47475941566611118</v>
      </c>
      <c r="O87">
        <f t="shared" si="3"/>
        <v>1.4898319976202128E-11</v>
      </c>
    </row>
    <row r="88" spans="1:16" x14ac:dyDescent="0.3">
      <c r="A88" s="5" t="s">
        <v>231</v>
      </c>
      <c r="B88" t="s">
        <v>232</v>
      </c>
      <c r="C88" s="2" t="s">
        <v>233</v>
      </c>
      <c r="D88" s="2" t="s">
        <v>234</v>
      </c>
      <c r="E88" t="s">
        <v>232</v>
      </c>
      <c r="F88" s="2" t="s">
        <v>49</v>
      </c>
      <c r="G88" s="16">
        <v>2885.54</v>
      </c>
      <c r="H88">
        <v>4.0411340348828802E-12</v>
      </c>
      <c r="I88">
        <v>4.9823068985539403E-12</v>
      </c>
      <c r="J88">
        <v>4.5322606427739504E-12</v>
      </c>
      <c r="K88">
        <v>1.04753965500474E-12</v>
      </c>
      <c r="L88">
        <v>1.11712049969453E-10</v>
      </c>
      <c r="M88">
        <v>767</v>
      </c>
      <c r="N88">
        <f t="shared" si="2"/>
        <v>3.4655558405012581</v>
      </c>
      <c r="O88">
        <f t="shared" si="3"/>
        <v>1.0345274800997293E-10</v>
      </c>
      <c r="P88" s="17" t="s">
        <v>235</v>
      </c>
    </row>
    <row r="89" spans="1:16" x14ac:dyDescent="0.3">
      <c r="A89" s="5" t="s">
        <v>231</v>
      </c>
      <c r="B89" t="s">
        <v>232</v>
      </c>
      <c r="C89" s="2" t="s">
        <v>236</v>
      </c>
      <c r="D89" s="2" t="s">
        <v>237</v>
      </c>
      <c r="E89" t="s">
        <v>232</v>
      </c>
      <c r="F89" s="2" t="s">
        <v>49</v>
      </c>
      <c r="G89">
        <v>2802.2</v>
      </c>
      <c r="H89">
        <v>6.2166574853918297E-12</v>
      </c>
      <c r="I89">
        <v>1.5894570519760001E-12</v>
      </c>
      <c r="J89">
        <v>1.33278983729738E-11</v>
      </c>
      <c r="K89">
        <v>3.2344913345964E-12</v>
      </c>
      <c r="L89">
        <v>3.8971536324818501E-10</v>
      </c>
      <c r="M89">
        <v>273</v>
      </c>
      <c r="N89">
        <f t="shared" si="2"/>
        <v>3.5686246520590967</v>
      </c>
      <c r="O89">
        <f t="shared" si="3"/>
        <v>3.2934148877286732E-10</v>
      </c>
      <c r="P89" s="20" t="s">
        <v>238</v>
      </c>
    </row>
    <row r="90" spans="1:16" x14ac:dyDescent="0.3">
      <c r="A90" s="5" t="s">
        <v>231</v>
      </c>
      <c r="B90" t="s">
        <v>232</v>
      </c>
      <c r="C90" s="2" t="s">
        <v>183</v>
      </c>
      <c r="D90" s="2" t="s">
        <v>184</v>
      </c>
      <c r="E90" t="s">
        <v>232</v>
      </c>
      <c r="F90" s="2" t="s">
        <v>49</v>
      </c>
      <c r="G90">
        <v>4458.8</v>
      </c>
      <c r="H90">
        <v>2.9439715025713399E-12</v>
      </c>
      <c r="I90">
        <v>4.8477088851861698E-12</v>
      </c>
      <c r="J90">
        <v>5.2903295905443303E-12</v>
      </c>
      <c r="K90">
        <v>1.3897687987919499E-12</v>
      </c>
      <c r="L90">
        <v>5.5159397779402299E-11</v>
      </c>
      <c r="M90">
        <v>343</v>
      </c>
      <c r="N90">
        <f t="shared" si="2"/>
        <v>2.2427558984480127</v>
      </c>
      <c r="O90">
        <f t="shared" si="3"/>
        <v>8.8121266573600016E-11</v>
      </c>
    </row>
    <row r="91" spans="1:16" x14ac:dyDescent="0.3">
      <c r="A91" s="5" t="s">
        <v>239</v>
      </c>
      <c r="B91" t="s">
        <v>240</v>
      </c>
      <c r="C91" t="s">
        <v>241</v>
      </c>
      <c r="D91" t="s">
        <v>242</v>
      </c>
      <c r="E91" t="s">
        <v>240</v>
      </c>
      <c r="F91" t="s">
        <v>39</v>
      </c>
      <c r="G91">
        <v>1809.86</v>
      </c>
      <c r="H91">
        <v>1.7180671279760301E-11</v>
      </c>
      <c r="I91">
        <v>2.39785145913395E-12</v>
      </c>
      <c r="J91">
        <v>2.2147490974530401E-12</v>
      </c>
      <c r="K91">
        <v>1.40052153523926E-11</v>
      </c>
      <c r="L91">
        <v>2.1190619321824001E-10</v>
      </c>
      <c r="M91">
        <v>388</v>
      </c>
      <c r="N91">
        <f t="shared" si="2"/>
        <v>5.5252892488921796</v>
      </c>
      <c r="O91">
        <f t="shared" si="3"/>
        <v>1.272442596371445E-10</v>
      </c>
    </row>
    <row r="92" spans="1:16" x14ac:dyDescent="0.3">
      <c r="A92" s="5" t="s">
        <v>243</v>
      </c>
      <c r="B92" s="3" t="s">
        <v>199</v>
      </c>
      <c r="C92" t="s">
        <v>95</v>
      </c>
      <c r="D92" t="s">
        <v>147</v>
      </c>
      <c r="E92" s="3" t="s">
        <v>199</v>
      </c>
      <c r="F92" t="s">
        <v>84</v>
      </c>
      <c r="M92">
        <v>217</v>
      </c>
      <c r="N92" t="e">
        <f t="shared" si="2"/>
        <v>#DIV/0!</v>
      </c>
      <c r="O92" t="e">
        <f t="shared" si="3"/>
        <v>#DIV/0!</v>
      </c>
    </row>
    <row r="93" spans="1:16" x14ac:dyDescent="0.3">
      <c r="A93" s="5" t="s">
        <v>243</v>
      </c>
      <c r="B93" s="3" t="s">
        <v>199</v>
      </c>
      <c r="C93" s="4" t="s">
        <v>134</v>
      </c>
      <c r="D93" t="s">
        <v>135</v>
      </c>
      <c r="E93" s="3" t="s">
        <v>199</v>
      </c>
      <c r="F93" t="s">
        <v>49</v>
      </c>
      <c r="G93">
        <v>19359.66</v>
      </c>
      <c r="M93">
        <v>691</v>
      </c>
      <c r="N93">
        <f t="shared" si="2"/>
        <v>0.51653799705160108</v>
      </c>
      <c r="O93">
        <f t="shared" si="3"/>
        <v>0</v>
      </c>
    </row>
    <row r="94" spans="1:16" x14ac:dyDescent="0.3">
      <c r="A94" s="5" t="s">
        <v>243</v>
      </c>
      <c r="B94" s="3" t="s">
        <v>199</v>
      </c>
      <c r="C94" t="s">
        <v>203</v>
      </c>
      <c r="D94" t="s">
        <v>204</v>
      </c>
      <c r="E94" s="3" t="s">
        <v>199</v>
      </c>
      <c r="F94" t="s">
        <v>222</v>
      </c>
      <c r="G94">
        <v>8089.7</v>
      </c>
      <c r="M94">
        <v>113</v>
      </c>
      <c r="N94">
        <f t="shared" si="2"/>
        <v>1.2361397826866263</v>
      </c>
      <c r="O94">
        <f t="shared" si="3"/>
        <v>0</v>
      </c>
    </row>
    <row r="95" spans="1:16" x14ac:dyDescent="0.3">
      <c r="A95" s="5" t="s">
        <v>243</v>
      </c>
      <c r="B95" s="3" t="s">
        <v>199</v>
      </c>
      <c r="C95" t="s">
        <v>205</v>
      </c>
      <c r="D95" t="s">
        <v>123</v>
      </c>
      <c r="E95" s="3" t="s">
        <v>199</v>
      </c>
      <c r="F95" t="s">
        <v>118</v>
      </c>
      <c r="G95">
        <v>13784.52</v>
      </c>
      <c r="M95">
        <v>35</v>
      </c>
      <c r="N95">
        <f t="shared" si="2"/>
        <v>0.72545144843636189</v>
      </c>
      <c r="O95">
        <f t="shared" si="3"/>
        <v>0</v>
      </c>
    </row>
    <row r="96" spans="1:16" x14ac:dyDescent="0.3">
      <c r="A96" s="5" t="s">
        <v>244</v>
      </c>
      <c r="B96" t="s">
        <v>10</v>
      </c>
      <c r="C96" t="s">
        <v>162</v>
      </c>
      <c r="D96" t="s">
        <v>56</v>
      </c>
      <c r="E96" t="s">
        <v>163</v>
      </c>
      <c r="F96" t="s">
        <v>57</v>
      </c>
      <c r="G96">
        <v>449.02</v>
      </c>
      <c r="H96">
        <v>3.0523255348110198E-11</v>
      </c>
      <c r="I96">
        <v>1.7737836820665599E-11</v>
      </c>
      <c r="J96">
        <v>4.9708729511888597E-11</v>
      </c>
      <c r="K96">
        <v>2.47419863763162E-12</v>
      </c>
      <c r="L96">
        <v>1.3210253914939801E-10</v>
      </c>
      <c r="M96">
        <v>2</v>
      </c>
      <c r="N96">
        <f t="shared" si="2"/>
        <v>22.270722907665586</v>
      </c>
      <c r="O96">
        <f t="shared" si="3"/>
        <v>2.9637025153675445E-11</v>
      </c>
    </row>
    <row r="97" spans="1:16" x14ac:dyDescent="0.3">
      <c r="A97" s="5" t="s">
        <v>244</v>
      </c>
      <c r="B97" t="s">
        <v>10</v>
      </c>
      <c r="C97" t="s">
        <v>57</v>
      </c>
      <c r="D97" t="s">
        <v>245</v>
      </c>
      <c r="E97" t="s">
        <v>163</v>
      </c>
      <c r="F97" t="s">
        <v>57</v>
      </c>
      <c r="G97">
        <v>704.06000000000006</v>
      </c>
      <c r="H97">
        <v>2.02911912224851E-11</v>
      </c>
      <c r="I97">
        <v>1.28293298936815E-11</v>
      </c>
      <c r="J97">
        <v>2.2698036618671299E-11</v>
      </c>
      <c r="K97">
        <v>6.7610836615527798E-12</v>
      </c>
      <c r="L97">
        <v>3.9320729192436797E-11</v>
      </c>
      <c r="M97">
        <v>92</v>
      </c>
      <c r="N97">
        <f t="shared" si="2"/>
        <v>14.203334943044625</v>
      </c>
      <c r="O97">
        <f t="shared" si="3"/>
        <v>2.0363125574194669E-11</v>
      </c>
    </row>
    <row r="98" spans="1:16" x14ac:dyDescent="0.3">
      <c r="A98" s="5" t="s">
        <v>244</v>
      </c>
      <c r="B98" t="s">
        <v>10</v>
      </c>
      <c r="C98" t="s">
        <v>103</v>
      </c>
      <c r="D98" t="s">
        <v>104</v>
      </c>
      <c r="E98" t="s">
        <v>163</v>
      </c>
      <c r="F98" t="s">
        <v>166</v>
      </c>
      <c r="G98">
        <v>282.38</v>
      </c>
      <c r="H98">
        <v>1.5463590362698299E-11</v>
      </c>
      <c r="I98">
        <v>9.6805916916176407E-12</v>
      </c>
      <c r="J98">
        <v>1.48416385322824E-11</v>
      </c>
      <c r="K98">
        <v>6.0822709746169498E-12</v>
      </c>
      <c r="L98">
        <v>2.9323713799297297E-11</v>
      </c>
      <c r="M98">
        <v>0</v>
      </c>
      <c r="N98">
        <f t="shared" si="2"/>
        <v>35.413272894680929</v>
      </c>
      <c r="O98">
        <f t="shared" si="3"/>
        <v>6.0425058817339601E-12</v>
      </c>
    </row>
    <row r="99" spans="1:16" x14ac:dyDescent="0.3">
      <c r="A99" s="5" t="s">
        <v>244</v>
      </c>
      <c r="B99" t="s">
        <v>10</v>
      </c>
      <c r="C99" t="s">
        <v>164</v>
      </c>
      <c r="D99" t="s">
        <v>165</v>
      </c>
      <c r="E99" t="s">
        <v>163</v>
      </c>
      <c r="F99" t="s">
        <v>166</v>
      </c>
      <c r="G99">
        <v>653.12</v>
      </c>
      <c r="H99">
        <v>1.0466568284282799E-11</v>
      </c>
      <c r="I99">
        <v>7.3474305772422603E-12</v>
      </c>
      <c r="J99">
        <v>9.8959800107077403E-12</v>
      </c>
      <c r="K99">
        <v>5.2459772093378099E-12</v>
      </c>
      <c r="L99">
        <v>4.7120882583037602E-11</v>
      </c>
      <c r="M99">
        <v>44</v>
      </c>
      <c r="N99">
        <f t="shared" si="2"/>
        <v>15.311121999020088</v>
      </c>
      <c r="O99">
        <f t="shared" si="3"/>
        <v>1.4844272122066657E-11</v>
      </c>
    </row>
    <row r="100" spans="1:16" x14ac:dyDescent="0.3">
      <c r="A100" s="5" t="s">
        <v>246</v>
      </c>
      <c r="B100" t="s">
        <v>11</v>
      </c>
      <c r="C100" t="s">
        <v>247</v>
      </c>
      <c r="D100" t="s">
        <v>248</v>
      </c>
      <c r="E100" t="s">
        <v>98</v>
      </c>
      <c r="F100" t="s">
        <v>43</v>
      </c>
      <c r="G100">
        <v>765.54</v>
      </c>
      <c r="H100">
        <v>1.55875017733045E-12</v>
      </c>
      <c r="I100">
        <v>9.9253988438251204E-13</v>
      </c>
      <c r="J100">
        <v>1.07020853013231E-13</v>
      </c>
      <c r="K100">
        <v>7.7324005189803503E-14</v>
      </c>
      <c r="L100">
        <v>7.3850899940605807E-12</v>
      </c>
      <c r="M100">
        <v>4</v>
      </c>
      <c r="N100">
        <f t="shared" si="2"/>
        <v>13.062674713274289</v>
      </c>
      <c r="O100">
        <f t="shared" si="3"/>
        <v>2.1990672623262261E-12</v>
      </c>
    </row>
    <row r="101" spans="1:16" x14ac:dyDescent="0.3">
      <c r="A101" s="5" t="s">
        <v>249</v>
      </c>
      <c r="B101" t="s">
        <v>250</v>
      </c>
      <c r="C101" s="2" t="s">
        <v>70</v>
      </c>
      <c r="D101" s="2" t="s">
        <v>87</v>
      </c>
      <c r="E101" t="s">
        <v>250</v>
      </c>
      <c r="F101" s="2" t="s">
        <v>86</v>
      </c>
      <c r="G101">
        <v>1495.625</v>
      </c>
      <c r="H101">
        <v>4.9926191507892996E-13</v>
      </c>
      <c r="I101">
        <v>7.6196994155457501E-13</v>
      </c>
      <c r="J101">
        <v>6.9410319174027301E-14</v>
      </c>
      <c r="K101">
        <v>7.1402612381482693E-15</v>
      </c>
      <c r="L101">
        <v>1.53428969970343E-12</v>
      </c>
      <c r="M101">
        <v>1</v>
      </c>
      <c r="N101">
        <f t="shared" si="2"/>
        <v>6.6861679899707482</v>
      </c>
      <c r="O101">
        <f t="shared" si="3"/>
        <v>1.2192059245423626E-12</v>
      </c>
      <c r="P101" s="20" t="s">
        <v>251</v>
      </c>
    </row>
    <row r="102" spans="1:16" x14ac:dyDescent="0.3">
      <c r="A102" s="5" t="s">
        <v>249</v>
      </c>
      <c r="B102" t="s">
        <v>250</v>
      </c>
      <c r="C102" s="2" t="s">
        <v>252</v>
      </c>
      <c r="D102" s="2" t="s">
        <v>88</v>
      </c>
      <c r="E102" t="s">
        <v>250</v>
      </c>
      <c r="F102" s="2" t="s">
        <v>89</v>
      </c>
      <c r="G102">
        <v>1077.1200000000001</v>
      </c>
      <c r="H102">
        <v>5.7029333461708603E-12</v>
      </c>
      <c r="I102">
        <v>1.36226226106291E-12</v>
      </c>
      <c r="J102">
        <v>4.1568267921035E-12</v>
      </c>
      <c r="K102">
        <v>7.4603636279704896E-12</v>
      </c>
      <c r="L102">
        <v>2.1332955195191E-10</v>
      </c>
      <c r="M102">
        <v>169</v>
      </c>
      <c r="N102">
        <f t="shared" si="2"/>
        <v>9.2840166369578121</v>
      </c>
      <c r="O102">
        <f t="shared" si="3"/>
        <v>7.0930566166890912E-11</v>
      </c>
      <c r="P102" s="20" t="s">
        <v>251</v>
      </c>
    </row>
    <row r="103" spans="1:16" x14ac:dyDescent="0.3">
      <c r="A103" s="5" t="s">
        <v>253</v>
      </c>
      <c r="B103" t="s">
        <v>254</v>
      </c>
      <c r="C103" t="s">
        <v>255</v>
      </c>
      <c r="D103" t="s">
        <v>191</v>
      </c>
      <c r="E103" t="s">
        <v>254</v>
      </c>
      <c r="F103" t="s">
        <v>189</v>
      </c>
      <c r="G103">
        <v>10767.84</v>
      </c>
      <c r="H103">
        <v>2.95931903804136E-12</v>
      </c>
      <c r="I103">
        <v>3.5418593778097399E-12</v>
      </c>
      <c r="J103">
        <v>1.14064335004241E-12</v>
      </c>
      <c r="K103">
        <v>1.17730479989729E-12</v>
      </c>
      <c r="L103">
        <v>1.8129102399551699E-11</v>
      </c>
      <c r="M103">
        <v>575</v>
      </c>
      <c r="N103">
        <f t="shared" si="2"/>
        <v>0.92869136242737627</v>
      </c>
      <c r="O103">
        <f t="shared" si="3"/>
        <v>8.2360282406250405E-11</v>
      </c>
    </row>
    <row r="104" spans="1:16" x14ac:dyDescent="0.3">
      <c r="A104" s="5" t="s">
        <v>253</v>
      </c>
      <c r="B104" t="s">
        <v>254</v>
      </c>
      <c r="C104" s="2" t="s">
        <v>49</v>
      </c>
      <c r="D104" s="2" t="s">
        <v>198</v>
      </c>
      <c r="E104" t="s">
        <v>254</v>
      </c>
      <c r="F104" t="s">
        <v>189</v>
      </c>
      <c r="G104">
        <v>16561.86</v>
      </c>
      <c r="H104">
        <v>3.7738174209626004E-12</v>
      </c>
      <c r="I104">
        <v>2.5819413353737599E-12</v>
      </c>
      <c r="J104">
        <v>3.8726446962259297E-12</v>
      </c>
      <c r="K104">
        <v>7.3859179387853007E-12</v>
      </c>
      <c r="L104">
        <v>6.7025422877374503E-10</v>
      </c>
      <c r="M104">
        <v>281</v>
      </c>
      <c r="N104">
        <f t="shared" si="2"/>
        <v>0.60379691652990664</v>
      </c>
      <c r="O104">
        <f t="shared" si="3"/>
        <v>3.2335052285082836E-9</v>
      </c>
      <c r="P104" s="20" t="s">
        <v>256</v>
      </c>
    </row>
    <row r="105" spans="1:16" x14ac:dyDescent="0.3">
      <c r="A105" s="5" t="s">
        <v>257</v>
      </c>
      <c r="B105" t="s">
        <v>258</v>
      </c>
      <c r="C105" t="s">
        <v>207</v>
      </c>
      <c r="D105" t="s">
        <v>208</v>
      </c>
      <c r="E105" t="s">
        <v>173</v>
      </c>
      <c r="F105" t="s">
        <v>259</v>
      </c>
      <c r="G105">
        <v>4585.0599999999995</v>
      </c>
      <c r="H105">
        <v>8.2305425252214494E-12</v>
      </c>
      <c r="I105">
        <v>6.1426753360527396E-12</v>
      </c>
      <c r="J105">
        <v>5.0398079104976297E-12</v>
      </c>
      <c r="K105">
        <v>9.6831075647488203E-13</v>
      </c>
      <c r="L105">
        <v>1.5708120753030601E-11</v>
      </c>
      <c r="M105">
        <v>1217</v>
      </c>
      <c r="N105">
        <f t="shared" si="2"/>
        <v>2.1809965409394865</v>
      </c>
      <c r="O105">
        <f t="shared" si="3"/>
        <v>4.6966087085456608E-11</v>
      </c>
    </row>
    <row r="106" spans="1:16" x14ac:dyDescent="0.3">
      <c r="A106" s="5" t="s">
        <v>257</v>
      </c>
      <c r="B106" t="s">
        <v>258</v>
      </c>
      <c r="C106" t="s">
        <v>78</v>
      </c>
      <c r="D106" t="s">
        <v>79</v>
      </c>
      <c r="E106" t="s">
        <v>173</v>
      </c>
      <c r="F106" t="s">
        <v>259</v>
      </c>
      <c r="G106">
        <v>7935.14</v>
      </c>
      <c r="H106">
        <v>1.0040933916203999E-11</v>
      </c>
      <c r="I106">
        <v>1.5382109589240001E-11</v>
      </c>
      <c r="J106">
        <v>2.1977455618085499E-11</v>
      </c>
      <c r="K106">
        <v>1.14038353262019E-12</v>
      </c>
      <c r="L106">
        <v>1.19148547693904E-10</v>
      </c>
      <c r="M106">
        <v>259</v>
      </c>
      <c r="N106">
        <f t="shared" si="2"/>
        <v>1.2602172110384946</v>
      </c>
      <c r="O106">
        <f t="shared" si="3"/>
        <v>3.7767591282656116E-10</v>
      </c>
    </row>
    <row r="107" spans="1:16" x14ac:dyDescent="0.3">
      <c r="A107" s="5" t="s">
        <v>257</v>
      </c>
      <c r="B107" t="s">
        <v>258</v>
      </c>
      <c r="C107" t="s">
        <v>260</v>
      </c>
      <c r="D107" t="s">
        <v>261</v>
      </c>
      <c r="E107" t="s">
        <v>173</v>
      </c>
      <c r="F107" t="s">
        <v>259</v>
      </c>
      <c r="G107">
        <v>4931.16</v>
      </c>
      <c r="H107">
        <v>9.7923364173028499E-12</v>
      </c>
      <c r="I107">
        <v>1.04685039392361E-11</v>
      </c>
      <c r="J107">
        <v>9.6542690300897894E-12</v>
      </c>
      <c r="K107">
        <v>6.5080273616412197E-13</v>
      </c>
      <c r="L107">
        <v>1.25845570992863E-11</v>
      </c>
      <c r="M107">
        <v>1091</v>
      </c>
      <c r="N107">
        <f t="shared" si="2"/>
        <v>2.0279204081798197</v>
      </c>
      <c r="O107">
        <f t="shared" si="3"/>
        <v>6.0393975928096633E-11</v>
      </c>
    </row>
    <row r="108" spans="1:16" x14ac:dyDescent="0.3">
      <c r="A108" s="5" t="s">
        <v>262</v>
      </c>
      <c r="B108" t="s">
        <v>119</v>
      </c>
      <c r="C108" t="s">
        <v>120</v>
      </c>
      <c r="D108" t="s">
        <v>121</v>
      </c>
      <c r="E108" t="s">
        <v>119</v>
      </c>
      <c r="F108" t="s">
        <v>84</v>
      </c>
      <c r="G108">
        <v>1966.6200000000001</v>
      </c>
      <c r="H108">
        <v>6.5576087326232499E-13</v>
      </c>
      <c r="I108">
        <v>9.1081869428317607E-13</v>
      </c>
      <c r="J108">
        <v>1.3993710975212E-13</v>
      </c>
      <c r="K108">
        <v>9.9606677212340899E-15</v>
      </c>
      <c r="L108">
        <v>2.1766717128845199E-12</v>
      </c>
      <c r="M108">
        <v>4</v>
      </c>
      <c r="N108">
        <f t="shared" si="2"/>
        <v>5.0848664205591314</v>
      </c>
      <c r="O108">
        <f t="shared" si="3"/>
        <v>2.1731038848596132E-12</v>
      </c>
    </row>
    <row r="109" spans="1:16" x14ac:dyDescent="0.3">
      <c r="A109" s="5" t="s">
        <v>262</v>
      </c>
      <c r="B109" t="s">
        <v>119</v>
      </c>
      <c r="C109" s="2" t="s">
        <v>70</v>
      </c>
      <c r="D109" s="2" t="s">
        <v>87</v>
      </c>
      <c r="E109" t="s">
        <v>119</v>
      </c>
      <c r="F109" s="2" t="s">
        <v>86</v>
      </c>
      <c r="G109">
        <v>3144.54</v>
      </c>
      <c r="H109">
        <v>4.9926191507892996E-13</v>
      </c>
      <c r="I109">
        <v>7.6196994155457501E-13</v>
      </c>
      <c r="J109">
        <v>6.9410319174027301E-14</v>
      </c>
      <c r="K109">
        <v>7.1402612381482693E-15</v>
      </c>
      <c r="L109">
        <v>1.53428969970343E-12</v>
      </c>
      <c r="M109">
        <v>76</v>
      </c>
      <c r="N109">
        <f t="shared" si="2"/>
        <v>3.1801153745857897</v>
      </c>
      <c r="O109">
        <f t="shared" si="3"/>
        <v>2.5633710308135001E-12</v>
      </c>
    </row>
    <row r="110" spans="1:16" x14ac:dyDescent="0.3">
      <c r="A110" s="5" t="s">
        <v>263</v>
      </c>
      <c r="B110" t="s">
        <v>264</v>
      </c>
      <c r="C110" t="s">
        <v>100</v>
      </c>
      <c r="D110" t="s">
        <v>101</v>
      </c>
      <c r="E110" t="s">
        <v>265</v>
      </c>
      <c r="F110" s="2" t="s">
        <v>217</v>
      </c>
      <c r="G110">
        <v>816.24</v>
      </c>
      <c r="H110">
        <v>5.1230426027557601E-13</v>
      </c>
      <c r="I110">
        <v>1.0294030814939399E-12</v>
      </c>
      <c r="J110">
        <v>1.9412223579274199E-13</v>
      </c>
      <c r="K110">
        <v>2.9898736029220801E-14</v>
      </c>
      <c r="L110">
        <v>4.1655196980688302E-12</v>
      </c>
      <c r="M110">
        <v>1</v>
      </c>
      <c r="N110">
        <f t="shared" si="2"/>
        <v>12.251298637655593</v>
      </c>
      <c r="O110">
        <f t="shared" si="3"/>
        <v>1.3741146269297236E-12</v>
      </c>
    </row>
    <row r="111" spans="1:16" x14ac:dyDescent="0.3">
      <c r="A111" s="5" t="s">
        <v>263</v>
      </c>
      <c r="B111" t="s">
        <v>264</v>
      </c>
      <c r="C111" t="s">
        <v>266</v>
      </c>
      <c r="D111" t="s">
        <v>248</v>
      </c>
      <c r="E111" t="s">
        <v>265</v>
      </c>
      <c r="F111" s="2" t="s">
        <v>43</v>
      </c>
      <c r="G111">
        <v>551.96</v>
      </c>
      <c r="H111">
        <v>1.55875017733045E-12</v>
      </c>
      <c r="I111">
        <v>9.9253988438251204E-13</v>
      </c>
      <c r="J111">
        <v>1.07020853013231E-13</v>
      </c>
      <c r="K111">
        <v>7.7324005189803503E-14</v>
      </c>
      <c r="L111">
        <v>7.3850899940605807E-12</v>
      </c>
      <c r="M111">
        <v>8</v>
      </c>
      <c r="N111">
        <f t="shared" si="2"/>
        <v>18.117254873541562</v>
      </c>
      <c r="O111">
        <f t="shared" si="3"/>
        <v>1.5855437548835902E-12</v>
      </c>
    </row>
    <row r="112" spans="1:16" x14ac:dyDescent="0.3">
      <c r="A112" s="5" t="s">
        <v>263</v>
      </c>
      <c r="B112" t="s">
        <v>264</v>
      </c>
      <c r="C112" t="s">
        <v>267</v>
      </c>
      <c r="D112" t="s">
        <v>204</v>
      </c>
      <c r="E112" t="s">
        <v>265</v>
      </c>
      <c r="F112" s="2" t="s">
        <v>84</v>
      </c>
      <c r="G112">
        <v>1249.5</v>
      </c>
      <c r="H112">
        <v>2.50863147533524E-12</v>
      </c>
      <c r="I112">
        <v>9.4512786841597697E-13</v>
      </c>
      <c r="J112">
        <v>6.1244863013590696E-13</v>
      </c>
      <c r="K112">
        <v>2.5776702114345601E-13</v>
      </c>
      <c r="L112">
        <v>3.5856856692825899E-11</v>
      </c>
      <c r="M112">
        <v>0</v>
      </c>
      <c r="N112">
        <f t="shared" si="2"/>
        <v>8.0032012805122061</v>
      </c>
      <c r="O112">
        <f t="shared" si="3"/>
        <v>1.4249977774365189E-11</v>
      </c>
    </row>
    <row r="113" spans="1:15" x14ac:dyDescent="0.3">
      <c r="A113" s="5" t="s">
        <v>263</v>
      </c>
      <c r="B113" t="s">
        <v>264</v>
      </c>
      <c r="C113" t="s">
        <v>44</v>
      </c>
      <c r="D113" t="s">
        <v>45</v>
      </c>
      <c r="E113" t="s">
        <v>265</v>
      </c>
      <c r="F113" s="2" t="s">
        <v>43</v>
      </c>
      <c r="G113">
        <v>631.08000000000004</v>
      </c>
      <c r="H113">
        <v>8.2790945484344E-13</v>
      </c>
      <c r="I113">
        <v>9.4014171093695807E-13</v>
      </c>
      <c r="J113">
        <v>4.70659750456695E-14</v>
      </c>
      <c r="K113">
        <v>8.9295351327882594E-14</v>
      </c>
      <c r="L113">
        <v>3.3138051589153801E-12</v>
      </c>
      <c r="M113">
        <v>32</v>
      </c>
      <c r="N113">
        <f t="shared" si="2"/>
        <v>15.845851556062621</v>
      </c>
      <c r="O113">
        <f t="shared" si="3"/>
        <v>9.3468572736858896E-13</v>
      </c>
    </row>
    <row r="114" spans="1:15" x14ac:dyDescent="0.3">
      <c r="A114" s="5" t="s">
        <v>263</v>
      </c>
      <c r="B114" t="s">
        <v>264</v>
      </c>
      <c r="C114" t="s">
        <v>268</v>
      </c>
      <c r="D114" t="s">
        <v>269</v>
      </c>
      <c r="E114" t="s">
        <v>265</v>
      </c>
      <c r="F114" s="2" t="s">
        <v>84</v>
      </c>
      <c r="G114">
        <v>807.4</v>
      </c>
      <c r="H114">
        <v>4.4615406750111596E-12</v>
      </c>
      <c r="I114">
        <v>1.1580999999495001E-12</v>
      </c>
      <c r="J114">
        <v>8.3860125968810796E-13</v>
      </c>
      <c r="K114">
        <v>8.67048062215161E-13</v>
      </c>
      <c r="L114">
        <v>2.3159163428956901E-11</v>
      </c>
      <c r="M114">
        <v>2</v>
      </c>
      <c r="N114">
        <f t="shared" si="2"/>
        <v>12.385434728758979</v>
      </c>
      <c r="O114">
        <f t="shared" si="3"/>
        <v>6.9859610913870914E-12</v>
      </c>
    </row>
    <row r="115" spans="1:15" x14ac:dyDescent="0.3">
      <c r="A115" s="5" t="s">
        <v>263</v>
      </c>
      <c r="B115" t="s">
        <v>264</v>
      </c>
      <c r="C115" t="s">
        <v>43</v>
      </c>
      <c r="D115" t="s">
        <v>270</v>
      </c>
      <c r="E115" t="s">
        <v>265</v>
      </c>
      <c r="F115" s="2" t="s">
        <v>43</v>
      </c>
      <c r="G115">
        <v>764.24</v>
      </c>
      <c r="H115">
        <v>1.67531225575058E-12</v>
      </c>
      <c r="I115">
        <v>9.0885661137071195E-13</v>
      </c>
      <c r="J115">
        <v>2.4124376203557801E-13</v>
      </c>
      <c r="K115">
        <v>2.8071938454921001E-13</v>
      </c>
      <c r="L115">
        <v>1.9001880038332201E-11</v>
      </c>
      <c r="M115">
        <v>0</v>
      </c>
      <c r="N115">
        <f t="shared" si="2"/>
        <v>13.084894797445827</v>
      </c>
      <c r="O115">
        <f t="shared" si="3"/>
        <v>4.7955504269235164E-12</v>
      </c>
    </row>
    <row r="116" spans="1:15" x14ac:dyDescent="0.3">
      <c r="A116" s="5" t="s">
        <v>271</v>
      </c>
      <c r="B116" t="s">
        <v>272</v>
      </c>
      <c r="C116" t="s">
        <v>273</v>
      </c>
      <c r="D116" t="s">
        <v>274</v>
      </c>
      <c r="E116" t="s">
        <v>148</v>
      </c>
      <c r="F116" t="s">
        <v>49</v>
      </c>
      <c r="G116">
        <v>471.66</v>
      </c>
      <c r="H116">
        <v>3.7381158297061303E-11</v>
      </c>
      <c r="I116">
        <v>4.4597620083569801E-11</v>
      </c>
      <c r="J116">
        <v>2.16594629411087E-10</v>
      </c>
      <c r="K116">
        <v>3.6214803266897603E-11</v>
      </c>
      <c r="L116">
        <v>7.0976290375820602E-10</v>
      </c>
      <c r="M116">
        <v>388</v>
      </c>
      <c r="N116">
        <f t="shared" si="2"/>
        <v>21.201713098418349</v>
      </c>
      <c r="O116">
        <f t="shared" si="3"/>
        <v>1.3983559938309513E-10</v>
      </c>
    </row>
    <row r="117" spans="1:15" x14ac:dyDescent="0.3">
      <c r="A117" s="5" t="s">
        <v>271</v>
      </c>
      <c r="B117" t="s">
        <v>272</v>
      </c>
      <c r="C117" t="s">
        <v>111</v>
      </c>
      <c r="D117" t="s">
        <v>112</v>
      </c>
      <c r="E117" t="s">
        <v>148</v>
      </c>
      <c r="F117" t="s">
        <v>76</v>
      </c>
      <c r="G117">
        <v>391.24</v>
      </c>
      <c r="H117">
        <v>7.3036461651938907E-12</v>
      </c>
      <c r="I117">
        <v>1.0887230064277701E-11</v>
      </c>
      <c r="J117">
        <v>2.1264499027956299E-11</v>
      </c>
      <c r="K117">
        <v>9.7258997229393192E-12</v>
      </c>
      <c r="L117">
        <v>1.7994550917344801E-10</v>
      </c>
      <c r="M117">
        <v>292</v>
      </c>
      <c r="N117">
        <f t="shared" si="2"/>
        <v>25.559758715877724</v>
      </c>
      <c r="O117">
        <f t="shared" si="3"/>
        <v>2.5443573945594997E-11</v>
      </c>
    </row>
    <row r="118" spans="1:15" x14ac:dyDescent="0.3">
      <c r="A118" s="5" t="s">
        <v>271</v>
      </c>
      <c r="B118" t="s">
        <v>272</v>
      </c>
      <c r="C118" t="s">
        <v>149</v>
      </c>
      <c r="D118" t="s">
        <v>150</v>
      </c>
      <c r="E118" t="s">
        <v>148</v>
      </c>
      <c r="F118" t="s">
        <v>95</v>
      </c>
      <c r="G118">
        <v>171.92000000000002</v>
      </c>
      <c r="H118">
        <v>5.5122676400630499E-11</v>
      </c>
      <c r="I118">
        <v>5.3604663576149402E-11</v>
      </c>
      <c r="J118">
        <v>4.54E-11</v>
      </c>
      <c r="K118">
        <v>1.31127969128976E-11</v>
      </c>
      <c r="L118">
        <v>4.9119598130720397E-10</v>
      </c>
      <c r="M118">
        <v>151</v>
      </c>
      <c r="N118">
        <f t="shared" si="2"/>
        <v>58.166589111214513</v>
      </c>
      <c r="O118">
        <f t="shared" si="3"/>
        <v>3.2129136457287164E-11</v>
      </c>
    </row>
    <row r="119" spans="1:15" x14ac:dyDescent="0.3">
      <c r="A119" s="5" t="s">
        <v>275</v>
      </c>
      <c r="B119" t="s">
        <v>276</v>
      </c>
      <c r="C119" t="s">
        <v>95</v>
      </c>
      <c r="D119" t="s">
        <v>147</v>
      </c>
      <c r="E119" t="s">
        <v>277</v>
      </c>
      <c r="F119" t="s">
        <v>95</v>
      </c>
      <c r="G119">
        <v>5701.16</v>
      </c>
      <c r="H119">
        <v>5.2030903191013403E-12</v>
      </c>
      <c r="I119">
        <v>4.9419949979659597E-12</v>
      </c>
      <c r="J119">
        <v>8.6233946025098194E-12</v>
      </c>
      <c r="K119">
        <v>1.2244562254471201E-12</v>
      </c>
      <c r="L119">
        <v>4.7831062823681203E-11</v>
      </c>
      <c r="M119">
        <v>91</v>
      </c>
      <c r="N119">
        <f t="shared" si="2"/>
        <v>1.7540290046236204</v>
      </c>
      <c r="O119">
        <f t="shared" si="3"/>
        <v>1.0975027743304431E-10</v>
      </c>
    </row>
    <row r="120" spans="1:15" x14ac:dyDescent="0.3">
      <c r="A120" s="5" t="s">
        <v>275</v>
      </c>
      <c r="B120" t="s">
        <v>276</v>
      </c>
      <c r="C120" t="s">
        <v>252</v>
      </c>
      <c r="D120" t="s">
        <v>88</v>
      </c>
      <c r="E120" t="s">
        <v>240</v>
      </c>
      <c r="F120" t="s">
        <v>39</v>
      </c>
      <c r="G120">
        <v>2510.34</v>
      </c>
      <c r="H120">
        <v>5.7029333461708603E-12</v>
      </c>
      <c r="I120">
        <v>1.36226226106291E-12</v>
      </c>
      <c r="J120">
        <v>4.1568267921035E-12</v>
      </c>
      <c r="K120">
        <v>7.4603636279704896E-12</v>
      </c>
      <c r="L120">
        <v>2.1332955195191E-10</v>
      </c>
      <c r="M120">
        <v>717</v>
      </c>
      <c r="N120">
        <f t="shared" si="2"/>
        <v>3.9835241441398375</v>
      </c>
      <c r="O120">
        <f t="shared" si="3"/>
        <v>1.653110493458416E-10</v>
      </c>
    </row>
    <row r="121" spans="1:15" x14ac:dyDescent="0.3">
      <c r="A121" s="5" t="s">
        <v>275</v>
      </c>
      <c r="B121" t="s">
        <v>276</v>
      </c>
      <c r="C121" s="2" t="s">
        <v>236</v>
      </c>
      <c r="D121" s="2" t="s">
        <v>237</v>
      </c>
      <c r="E121" t="s">
        <v>240</v>
      </c>
      <c r="F121" t="s">
        <v>39</v>
      </c>
      <c r="G121">
        <v>1637.7750000000001</v>
      </c>
      <c r="H121">
        <v>6.2166574853918297E-12</v>
      </c>
      <c r="I121">
        <v>1.5894570519760001E-12</v>
      </c>
      <c r="J121">
        <v>1.33278983729738E-11</v>
      </c>
      <c r="K121">
        <v>3.2344913345964E-12</v>
      </c>
      <c r="L121">
        <v>3.8971536324818501E-10</v>
      </c>
      <c r="M121">
        <v>691</v>
      </c>
      <c r="N121">
        <f t="shared" si="2"/>
        <v>6.1058448199539006</v>
      </c>
      <c r="O121">
        <f t="shared" si="3"/>
        <v>1.9248706615337335E-10</v>
      </c>
    </row>
    <row r="122" spans="1:15" x14ac:dyDescent="0.3">
      <c r="A122" s="5" t="s">
        <v>275</v>
      </c>
      <c r="B122" t="s">
        <v>276</v>
      </c>
      <c r="C122" s="2" t="s">
        <v>49</v>
      </c>
      <c r="D122" s="2" t="s">
        <v>198</v>
      </c>
      <c r="E122" t="s">
        <v>240</v>
      </c>
      <c r="F122" t="s">
        <v>39</v>
      </c>
      <c r="G122">
        <v>729.72</v>
      </c>
      <c r="H122">
        <v>3.7738174209626004E-12</v>
      </c>
      <c r="I122">
        <v>2.5819413353737599E-12</v>
      </c>
      <c r="J122">
        <v>3.8726446962259297E-12</v>
      </c>
      <c r="K122">
        <v>7.3859179387853007E-12</v>
      </c>
      <c r="L122">
        <v>6.7025422877374503E-10</v>
      </c>
      <c r="M122">
        <v>1081</v>
      </c>
      <c r="N122">
        <f t="shared" si="2"/>
        <v>13.703886422189331</v>
      </c>
      <c r="O122">
        <f t="shared" si="3"/>
        <v>1.4246910886501063E-10</v>
      </c>
    </row>
    <row r="123" spans="1:15" x14ac:dyDescent="0.3">
      <c r="A123" s="5" t="s">
        <v>278</v>
      </c>
      <c r="B123" t="s">
        <v>279</v>
      </c>
      <c r="C123" t="s">
        <v>194</v>
      </c>
      <c r="D123" t="s">
        <v>195</v>
      </c>
      <c r="E123" t="s">
        <v>280</v>
      </c>
      <c r="F123" t="s">
        <v>49</v>
      </c>
      <c r="G123">
        <v>31815.759999999998</v>
      </c>
      <c r="H123">
        <v>3.1324424344057E-12</v>
      </c>
      <c r="I123">
        <v>1.46452969498024E-12</v>
      </c>
      <c r="J123">
        <v>1.47003491317921E-12</v>
      </c>
      <c r="K123">
        <v>4.8737155939107102E-12</v>
      </c>
      <c r="L123">
        <v>2.5943493419022698E-11</v>
      </c>
      <c r="M123">
        <v>77</v>
      </c>
      <c r="N123">
        <f t="shared" si="2"/>
        <v>0.31430963773928394</v>
      </c>
      <c r="O123">
        <f t="shared" si="3"/>
        <v>3.3307486761008754E-10</v>
      </c>
    </row>
    <row r="124" spans="1:15" x14ac:dyDescent="0.3">
      <c r="A124" s="5" t="s">
        <v>281</v>
      </c>
      <c r="B124" t="s">
        <v>282</v>
      </c>
      <c r="C124" t="s">
        <v>283</v>
      </c>
      <c r="D124" t="s">
        <v>284</v>
      </c>
      <c r="E124" t="s">
        <v>282</v>
      </c>
      <c r="F124" t="s">
        <v>49</v>
      </c>
      <c r="G124">
        <v>11460.119999999999</v>
      </c>
      <c r="H124">
        <v>1.6350758882813399E-11</v>
      </c>
      <c r="I124">
        <v>1.5286279746874801E-11</v>
      </c>
      <c r="J124">
        <v>9.0250058585745197E-12</v>
      </c>
      <c r="K124">
        <v>1.31351206113848E-12</v>
      </c>
      <c r="L124">
        <v>7.2779198530144406E-11</v>
      </c>
      <c r="M124">
        <v>0</v>
      </c>
      <c r="N124">
        <f t="shared" si="2"/>
        <v>0.87259121195938616</v>
      </c>
      <c r="O124">
        <f t="shared" si="3"/>
        <v>3.7326636744754165E-10</v>
      </c>
    </row>
    <row r="125" spans="1:15" x14ac:dyDescent="0.3">
      <c r="A125" s="5" t="s">
        <v>281</v>
      </c>
      <c r="B125" t="s">
        <v>282</v>
      </c>
      <c r="C125" s="2" t="s">
        <v>153</v>
      </c>
      <c r="D125" s="2" t="s">
        <v>285</v>
      </c>
      <c r="E125" t="s">
        <v>282</v>
      </c>
      <c r="F125" s="2" t="s">
        <v>49</v>
      </c>
      <c r="G125">
        <v>23418.02</v>
      </c>
      <c r="H125">
        <v>6.2892930288175604E-12</v>
      </c>
      <c r="I125">
        <v>2.3905678961428701E-12</v>
      </c>
      <c r="J125">
        <v>1.76321152163958E-12</v>
      </c>
      <c r="K125">
        <v>6.9597713309278904E-12</v>
      </c>
      <c r="L125">
        <v>5.2362063087356201E-11</v>
      </c>
      <c r="M125">
        <v>539</v>
      </c>
      <c r="N125">
        <f t="shared" si="2"/>
        <v>0.42702158423299663</v>
      </c>
      <c r="O125">
        <f t="shared" si="3"/>
        <v>4.6370971644201292E-10</v>
      </c>
    </row>
    <row r="126" spans="1:15" x14ac:dyDescent="0.3">
      <c r="A126" s="5" t="s">
        <v>281</v>
      </c>
      <c r="B126" t="s">
        <v>282</v>
      </c>
      <c r="C126" s="2" t="s">
        <v>286</v>
      </c>
      <c r="D126" s="2" t="s">
        <v>287</v>
      </c>
      <c r="E126" t="s">
        <v>282</v>
      </c>
      <c r="F126" s="2" t="s">
        <v>86</v>
      </c>
      <c r="G126">
        <v>12093.5</v>
      </c>
      <c r="H126">
        <v>1.55658152159693E-12</v>
      </c>
      <c r="I126">
        <v>1.0618866300510301E-12</v>
      </c>
      <c r="J126">
        <v>8.8841658719714498E-13</v>
      </c>
      <c r="K126">
        <v>1.7910327872404899E-13</v>
      </c>
      <c r="L126">
        <v>5.2982110291723597E-12</v>
      </c>
      <c r="M126">
        <v>9</v>
      </c>
      <c r="N126">
        <f t="shared" si="2"/>
        <v>0.82689047835614171</v>
      </c>
      <c r="O126">
        <f t="shared" si="3"/>
        <v>3.0838296441551789E-11</v>
      </c>
    </row>
    <row r="127" spans="1:15" x14ac:dyDescent="0.3">
      <c r="A127" s="5" t="s">
        <v>288</v>
      </c>
      <c r="B127" t="s">
        <v>289</v>
      </c>
      <c r="C127" t="s">
        <v>252</v>
      </c>
      <c r="D127" t="s">
        <v>88</v>
      </c>
      <c r="E127" t="s">
        <v>289</v>
      </c>
      <c r="F127" t="s">
        <v>89</v>
      </c>
      <c r="G127">
        <v>17847.5</v>
      </c>
      <c r="H127">
        <v>5.7029333461708603E-12</v>
      </c>
      <c r="I127">
        <v>1.36226226106291E-12</v>
      </c>
      <c r="J127">
        <v>4.1568267921035E-12</v>
      </c>
      <c r="K127">
        <v>7.4603636279704896E-12</v>
      </c>
      <c r="L127">
        <v>2.1332955195191E-10</v>
      </c>
      <c r="M127">
        <v>212</v>
      </c>
      <c r="N127">
        <f t="shared" si="2"/>
        <v>0.56030256338422746</v>
      </c>
      <c r="O127">
        <f t="shared" si="3"/>
        <v>1.1752945629675295E-9</v>
      </c>
    </row>
    <row r="128" spans="1:15" s="12" customFormat="1" x14ac:dyDescent="0.3">
      <c r="A128" s="11" t="s">
        <v>290</v>
      </c>
      <c r="B128" s="12" t="s">
        <v>291</v>
      </c>
      <c r="C128" s="12" t="s">
        <v>95</v>
      </c>
      <c r="D128" s="12" t="s">
        <v>147</v>
      </c>
      <c r="E128" s="12" t="s">
        <v>361</v>
      </c>
      <c r="F128" s="12" t="s">
        <v>70</v>
      </c>
      <c r="H128"/>
      <c r="I128"/>
      <c r="J128"/>
      <c r="K128"/>
      <c r="L128"/>
      <c r="M128" s="12">
        <v>851</v>
      </c>
      <c r="N128" t="e">
        <f t="shared" si="2"/>
        <v>#DIV/0!</v>
      </c>
      <c r="O128" t="e">
        <f t="shared" si="3"/>
        <v>#DIV/0!</v>
      </c>
    </row>
    <row r="129" spans="1:16" s="12" customFormat="1" x14ac:dyDescent="0.3">
      <c r="A129" s="11" t="s">
        <v>290</v>
      </c>
      <c r="B129" s="12" t="s">
        <v>291</v>
      </c>
      <c r="C129" s="13" t="s">
        <v>118</v>
      </c>
      <c r="D129" s="13" t="s">
        <v>144</v>
      </c>
      <c r="E129" s="12" t="s">
        <v>361</v>
      </c>
      <c r="F129" s="12" t="s">
        <v>70</v>
      </c>
      <c r="H129"/>
      <c r="I129"/>
      <c r="J129"/>
      <c r="K129"/>
      <c r="L129"/>
      <c r="M129" s="12">
        <v>1246</v>
      </c>
      <c r="N129" t="e">
        <f t="shared" si="2"/>
        <v>#DIV/0!</v>
      </c>
      <c r="O129" t="e">
        <f t="shared" si="3"/>
        <v>#DIV/0!</v>
      </c>
    </row>
    <row r="130" spans="1:16" s="12" customFormat="1" x14ac:dyDescent="0.3">
      <c r="A130" s="11" t="s">
        <v>290</v>
      </c>
      <c r="B130" s="12" t="s">
        <v>291</v>
      </c>
      <c r="C130" s="13" t="s">
        <v>84</v>
      </c>
      <c r="D130" s="13" t="s">
        <v>85</v>
      </c>
      <c r="E130" s="12" t="s">
        <v>361</v>
      </c>
      <c r="F130" s="12" t="s">
        <v>70</v>
      </c>
      <c r="H130"/>
      <c r="I130"/>
      <c r="J130"/>
      <c r="K130"/>
      <c r="L130"/>
      <c r="M130" s="12">
        <v>804</v>
      </c>
      <c r="N130" t="e">
        <f t="shared" si="2"/>
        <v>#DIV/0!</v>
      </c>
      <c r="O130" t="e">
        <f t="shared" si="3"/>
        <v>#DIV/0!</v>
      </c>
    </row>
    <row r="131" spans="1:16" s="12" customFormat="1" x14ac:dyDescent="0.3">
      <c r="A131" s="11" t="s">
        <v>290</v>
      </c>
      <c r="B131" s="12" t="s">
        <v>291</v>
      </c>
      <c r="C131" s="13" t="s">
        <v>68</v>
      </c>
      <c r="D131" s="13" t="s">
        <v>292</v>
      </c>
      <c r="E131" s="12" t="s">
        <v>361</v>
      </c>
      <c r="F131" s="12" t="s">
        <v>70</v>
      </c>
      <c r="H131"/>
      <c r="I131"/>
      <c r="J131"/>
      <c r="K131"/>
      <c r="L131"/>
      <c r="M131" s="12">
        <v>643</v>
      </c>
      <c r="N131" t="e">
        <f t="shared" si="2"/>
        <v>#DIV/0!</v>
      </c>
      <c r="O131" t="e">
        <f t="shared" si="3"/>
        <v>#DIV/0!</v>
      </c>
    </row>
    <row r="132" spans="1:16" s="12" customFormat="1" x14ac:dyDescent="0.3">
      <c r="A132" s="11" t="s">
        <v>290</v>
      </c>
      <c r="B132" s="12" t="s">
        <v>291</v>
      </c>
      <c r="C132" s="13" t="s">
        <v>236</v>
      </c>
      <c r="D132" s="13" t="s">
        <v>237</v>
      </c>
      <c r="E132" s="12" t="s">
        <v>361</v>
      </c>
      <c r="F132" s="12" t="s">
        <v>70</v>
      </c>
      <c r="H132"/>
      <c r="I132"/>
      <c r="J132"/>
      <c r="K132"/>
      <c r="L132"/>
      <c r="M132" s="12">
        <v>1731</v>
      </c>
      <c r="N132" t="e">
        <f t="shared" si="2"/>
        <v>#DIV/0!</v>
      </c>
      <c r="O132" t="e">
        <f t="shared" si="3"/>
        <v>#DIV/0!</v>
      </c>
    </row>
    <row r="133" spans="1:16" s="12" customFormat="1" x14ac:dyDescent="0.3">
      <c r="A133" s="11" t="s">
        <v>290</v>
      </c>
      <c r="B133" s="12" t="s">
        <v>291</v>
      </c>
      <c r="C133" s="12" t="s">
        <v>220</v>
      </c>
      <c r="D133" s="12" t="s">
        <v>221</v>
      </c>
      <c r="E133" s="12" t="s">
        <v>361</v>
      </c>
      <c r="F133" s="12" t="s">
        <v>70</v>
      </c>
      <c r="H133"/>
      <c r="I133"/>
      <c r="J133"/>
      <c r="K133"/>
      <c r="L133"/>
      <c r="M133" s="12">
        <v>1189</v>
      </c>
      <c r="N133" t="e">
        <f t="shared" si="2"/>
        <v>#DIV/0!</v>
      </c>
      <c r="O133" t="e">
        <f t="shared" si="3"/>
        <v>#DIV/0!</v>
      </c>
    </row>
    <row r="134" spans="1:16" x14ac:dyDescent="0.3">
      <c r="A134" s="5" t="s">
        <v>293</v>
      </c>
      <c r="B134" t="s">
        <v>294</v>
      </c>
      <c r="C134" t="s">
        <v>295</v>
      </c>
      <c r="D134" t="s">
        <v>66</v>
      </c>
      <c r="E134" s="3" t="s">
        <v>294</v>
      </c>
      <c r="F134" t="s">
        <v>49</v>
      </c>
      <c r="G134">
        <v>1128.22</v>
      </c>
      <c r="H134">
        <v>1.13375069861889E-11</v>
      </c>
      <c r="I134">
        <v>9.8868216570996506E-12</v>
      </c>
      <c r="J134">
        <v>5.73215418950938E-12</v>
      </c>
      <c r="K134">
        <v>1.22779273640452E-12</v>
      </c>
      <c r="L134">
        <v>5.9494019163542299E-11</v>
      </c>
      <c r="M134">
        <v>116</v>
      </c>
      <c r="N134">
        <f t="shared" ref="N134:N182" si="4">1/G134*10000</f>
        <v>8.8635195263335156</v>
      </c>
      <c r="O134">
        <f t="shared" ref="O134:O182" si="5">SUM(H134:L134)/(1/G134*10000)/(352323/1000000)</f>
        <v>2.8076624484741925E-11</v>
      </c>
    </row>
    <row r="135" spans="1:16" x14ac:dyDescent="0.3">
      <c r="A135" s="5" t="s">
        <v>293</v>
      </c>
      <c r="B135" t="s">
        <v>294</v>
      </c>
      <c r="C135" s="4" t="s">
        <v>134</v>
      </c>
      <c r="D135" t="s">
        <v>135</v>
      </c>
      <c r="E135" t="s">
        <v>294</v>
      </c>
      <c r="F135" t="s">
        <v>49</v>
      </c>
      <c r="G135">
        <v>1186.8</v>
      </c>
      <c r="H135">
        <v>6.5558581874435902E-12</v>
      </c>
      <c r="I135">
        <v>5.9586626428583301E-12</v>
      </c>
      <c r="J135">
        <v>3.3381584818738001E-12</v>
      </c>
      <c r="K135">
        <v>4.3114495914109103E-12</v>
      </c>
      <c r="L135">
        <v>2.7959211972628601E-9</v>
      </c>
      <c r="M135">
        <v>124</v>
      </c>
      <c r="N135">
        <f t="shared" si="4"/>
        <v>8.4260195483653533</v>
      </c>
      <c r="O135">
        <f t="shared" si="5"/>
        <v>9.4859832173725214E-10</v>
      </c>
    </row>
    <row r="136" spans="1:16" x14ac:dyDescent="0.3">
      <c r="A136" s="5" t="s">
        <v>296</v>
      </c>
      <c r="B136" t="s">
        <v>251</v>
      </c>
      <c r="C136" s="2" t="s">
        <v>207</v>
      </c>
      <c r="D136" s="2" t="s">
        <v>208</v>
      </c>
      <c r="E136" t="s">
        <v>251</v>
      </c>
      <c r="F136" s="2" t="s">
        <v>49</v>
      </c>
      <c r="G136">
        <v>1530.84</v>
      </c>
      <c r="H136">
        <v>8.2305425252214494E-12</v>
      </c>
      <c r="I136">
        <v>6.1426753360527396E-12</v>
      </c>
      <c r="J136">
        <v>5.0398079104976297E-12</v>
      </c>
      <c r="K136">
        <v>9.6831075647488203E-13</v>
      </c>
      <c r="L136">
        <v>1.5708120753030601E-11</v>
      </c>
      <c r="M136">
        <v>16</v>
      </c>
      <c r="N136">
        <f t="shared" si="4"/>
        <v>6.5323613179692197</v>
      </c>
      <c r="O136">
        <f t="shared" si="5"/>
        <v>1.5680834003022949E-11</v>
      </c>
      <c r="P136" s="20" t="s">
        <v>250</v>
      </c>
    </row>
    <row r="137" spans="1:16" x14ac:dyDescent="0.3">
      <c r="A137" s="5" t="s">
        <v>296</v>
      </c>
      <c r="B137" t="s">
        <v>251</v>
      </c>
      <c r="C137" s="2" t="s">
        <v>100</v>
      </c>
      <c r="D137" s="2" t="s">
        <v>101</v>
      </c>
      <c r="E137" t="s">
        <v>251</v>
      </c>
      <c r="F137" s="2" t="s">
        <v>118</v>
      </c>
      <c r="G137">
        <v>1424.58</v>
      </c>
      <c r="H137">
        <v>5.1230426027557601E-13</v>
      </c>
      <c r="I137">
        <v>1.0294030814939399E-12</v>
      </c>
      <c r="J137">
        <v>1.9412223579274199E-13</v>
      </c>
      <c r="K137">
        <v>2.9898736029220801E-14</v>
      </c>
      <c r="L137">
        <v>4.1700000000000002E-12</v>
      </c>
      <c r="M137">
        <v>9</v>
      </c>
      <c r="N137">
        <f t="shared" si="4"/>
        <v>7.0196127981580538</v>
      </c>
      <c r="O137">
        <f t="shared" si="5"/>
        <v>2.4000476383818681E-12</v>
      </c>
      <c r="P137" s="20" t="s">
        <v>297</v>
      </c>
    </row>
    <row r="138" spans="1:16" x14ac:dyDescent="0.3">
      <c r="A138" s="5" t="s">
        <v>296</v>
      </c>
      <c r="B138" t="s">
        <v>251</v>
      </c>
      <c r="C138" s="2" t="s">
        <v>295</v>
      </c>
      <c r="D138" s="2" t="s">
        <v>66</v>
      </c>
      <c r="E138" t="s">
        <v>251</v>
      </c>
      <c r="F138" s="2" t="s">
        <v>49</v>
      </c>
      <c r="G138">
        <v>1287.6200000000001</v>
      </c>
      <c r="H138">
        <v>1.13375069861889E-11</v>
      </c>
      <c r="I138">
        <v>9.8868216570996506E-12</v>
      </c>
      <c r="J138">
        <v>5.73215418950938E-12</v>
      </c>
      <c r="K138">
        <v>1.22779273640452E-12</v>
      </c>
      <c r="L138">
        <v>5.9494019163542299E-11</v>
      </c>
      <c r="M138">
        <v>5</v>
      </c>
      <c r="N138">
        <f t="shared" si="4"/>
        <v>7.7662664450691974</v>
      </c>
      <c r="O138">
        <f t="shared" si="5"/>
        <v>3.2043416371845377E-11</v>
      </c>
    </row>
    <row r="139" spans="1:16" x14ac:dyDescent="0.3">
      <c r="A139" s="5" t="s">
        <v>296</v>
      </c>
      <c r="B139" t="s">
        <v>251</v>
      </c>
      <c r="C139" s="2" t="s">
        <v>68</v>
      </c>
      <c r="D139" s="2" t="s">
        <v>292</v>
      </c>
      <c r="E139" t="s">
        <v>251</v>
      </c>
      <c r="F139" s="2" t="s">
        <v>118</v>
      </c>
      <c r="G139">
        <v>2815.48</v>
      </c>
      <c r="H139">
        <v>3.1832514885408398E-13</v>
      </c>
      <c r="I139">
        <v>1.4001616324494699E-12</v>
      </c>
      <c r="J139">
        <v>8.5977085874706495E-14</v>
      </c>
      <c r="K139">
        <v>5.1099999999999998E-15</v>
      </c>
      <c r="L139">
        <v>1.06861661337877E-11</v>
      </c>
      <c r="M139">
        <v>217</v>
      </c>
      <c r="N139">
        <f t="shared" si="4"/>
        <v>3.551792234361459</v>
      </c>
      <c r="O139">
        <f t="shared" si="5"/>
        <v>9.9855831319328121E-12</v>
      </c>
      <c r="P139" s="20" t="s">
        <v>298</v>
      </c>
    </row>
    <row r="140" spans="1:16" x14ac:dyDescent="0.3">
      <c r="A140" s="5" t="s">
        <v>296</v>
      </c>
      <c r="B140" t="s">
        <v>251</v>
      </c>
      <c r="C140" t="s">
        <v>71</v>
      </c>
      <c r="D140" t="s">
        <v>72</v>
      </c>
      <c r="E140" t="s">
        <v>251</v>
      </c>
      <c r="F140" s="2" t="s">
        <v>118</v>
      </c>
      <c r="G140">
        <v>1677.36</v>
      </c>
      <c r="H140">
        <v>2.9936352406041999E-12</v>
      </c>
      <c r="I140">
        <v>1.69098563555253E-12</v>
      </c>
      <c r="J140">
        <v>1.5367137996956199E-12</v>
      </c>
      <c r="K140">
        <v>9.5066681271828004E-14</v>
      </c>
      <c r="L140">
        <v>6.3237887716767195E-11</v>
      </c>
      <c r="M140">
        <v>262</v>
      </c>
      <c r="N140">
        <f t="shared" si="4"/>
        <v>5.9617494157485575</v>
      </c>
      <c r="O140">
        <f t="shared" si="5"/>
        <v>3.3113813835878559E-11</v>
      </c>
    </row>
    <row r="141" spans="1:16" x14ac:dyDescent="0.3">
      <c r="A141" s="5" t="s">
        <v>296</v>
      </c>
      <c r="B141" t="s">
        <v>251</v>
      </c>
      <c r="C141" t="s">
        <v>183</v>
      </c>
      <c r="D141" t="s">
        <v>184</v>
      </c>
      <c r="E141" t="s">
        <v>251</v>
      </c>
      <c r="F141" s="2" t="s">
        <v>118</v>
      </c>
      <c r="G141">
        <v>1167.92</v>
      </c>
      <c r="H141">
        <v>2.9439715025713399E-12</v>
      </c>
      <c r="I141">
        <v>4.8477088851861698E-12</v>
      </c>
      <c r="J141">
        <v>5.2903295905443303E-12</v>
      </c>
      <c r="K141">
        <v>1.3897687987919499E-12</v>
      </c>
      <c r="L141">
        <v>5.5159397779402299E-11</v>
      </c>
      <c r="M141">
        <v>83</v>
      </c>
      <c r="N141">
        <f t="shared" si="4"/>
        <v>8.5622302897458731</v>
      </c>
      <c r="O141">
        <f t="shared" si="5"/>
        <v>2.3082127401237759E-11</v>
      </c>
      <c r="P141" s="20" t="s">
        <v>297</v>
      </c>
    </row>
    <row r="142" spans="1:16" x14ac:dyDescent="0.3">
      <c r="A142" s="5" t="s">
        <v>299</v>
      </c>
      <c r="B142" t="s">
        <v>256</v>
      </c>
      <c r="C142" t="s">
        <v>300</v>
      </c>
      <c r="D142" t="s">
        <v>301</v>
      </c>
      <c r="E142" t="s">
        <v>302</v>
      </c>
      <c r="F142" t="s">
        <v>166</v>
      </c>
      <c r="G142">
        <v>5435.62</v>
      </c>
      <c r="H142">
        <v>3.1076832444029698E-12</v>
      </c>
      <c r="I142">
        <v>3.29788960601205E-12</v>
      </c>
      <c r="J142">
        <v>7.3465074637555298E-13</v>
      </c>
      <c r="K142">
        <v>1.6027088562584199E-12</v>
      </c>
      <c r="L142">
        <v>9.350847376886511E-13</v>
      </c>
      <c r="M142">
        <v>192</v>
      </c>
      <c r="N142">
        <f t="shared" si="4"/>
        <v>1.8397165364760599</v>
      </c>
      <c r="O142">
        <f t="shared" si="5"/>
        <v>1.4931192060216716E-11</v>
      </c>
    </row>
    <row r="143" spans="1:16" x14ac:dyDescent="0.3">
      <c r="A143" s="5" t="s">
        <v>299</v>
      </c>
      <c r="B143" t="s">
        <v>256</v>
      </c>
      <c r="C143" t="s">
        <v>230</v>
      </c>
      <c r="D143" t="s">
        <v>38</v>
      </c>
      <c r="E143" t="s">
        <v>302</v>
      </c>
      <c r="F143" t="s">
        <v>166</v>
      </c>
      <c r="G143">
        <v>7853.34</v>
      </c>
      <c r="H143">
        <v>9.2733122676897092E-13</v>
      </c>
      <c r="I143">
        <v>3.6239202290006801E-13</v>
      </c>
      <c r="J143">
        <v>6.5623176205945403E-14</v>
      </c>
      <c r="K143">
        <v>2.7059628781149702E-13</v>
      </c>
      <c r="L143">
        <v>8.6607932890677898E-13</v>
      </c>
      <c r="M143">
        <v>1248</v>
      </c>
      <c r="N143">
        <f t="shared" si="4"/>
        <v>1.2733435710156444</v>
      </c>
      <c r="O143">
        <f t="shared" si="5"/>
        <v>5.5547598050593783E-12</v>
      </c>
    </row>
    <row r="144" spans="1:16" x14ac:dyDescent="0.3">
      <c r="A144" s="5" t="s">
        <v>299</v>
      </c>
      <c r="B144" t="s">
        <v>256</v>
      </c>
      <c r="C144" t="s">
        <v>138</v>
      </c>
      <c r="D144" t="s">
        <v>139</v>
      </c>
      <c r="E144" t="s">
        <v>302</v>
      </c>
      <c r="F144" t="s">
        <v>259</v>
      </c>
      <c r="G144">
        <v>9845.68</v>
      </c>
      <c r="H144">
        <v>2.6287036347879701E-11</v>
      </c>
      <c r="I144">
        <v>2.0868962065645299E-11</v>
      </c>
      <c r="J144">
        <v>6.2757826288554406E-11</v>
      </c>
      <c r="K144">
        <v>3.3903738011328697E-11</v>
      </c>
      <c r="L144">
        <v>3.98499261113874E-10</v>
      </c>
      <c r="M144">
        <v>331</v>
      </c>
      <c r="N144">
        <f t="shared" si="4"/>
        <v>1.0156738793054416</v>
      </c>
      <c r="O144">
        <f t="shared" si="5"/>
        <v>1.5155064829772099E-9</v>
      </c>
    </row>
    <row r="145" spans="1:16" x14ac:dyDescent="0.3">
      <c r="A145" s="5" t="s">
        <v>299</v>
      </c>
      <c r="B145" t="s">
        <v>256</v>
      </c>
      <c r="C145" t="s">
        <v>303</v>
      </c>
      <c r="D145" t="s">
        <v>304</v>
      </c>
      <c r="E145" t="s">
        <v>302</v>
      </c>
      <c r="F145" t="s">
        <v>166</v>
      </c>
      <c r="G145">
        <v>7530.1399999999994</v>
      </c>
      <c r="H145">
        <v>3.23752464409376E-12</v>
      </c>
      <c r="I145">
        <v>3.3474428339606801E-12</v>
      </c>
      <c r="J145">
        <v>1.05323423393575E-12</v>
      </c>
      <c r="K145">
        <v>2.1276123211868599E-12</v>
      </c>
      <c r="L145">
        <v>1.39983006471506E-12</v>
      </c>
      <c r="M145">
        <v>167</v>
      </c>
      <c r="N145">
        <f t="shared" si="4"/>
        <v>1.327996557832922</v>
      </c>
      <c r="O145">
        <f t="shared" si="5"/>
        <v>2.386414263255629E-11</v>
      </c>
    </row>
    <row r="146" spans="1:16" x14ac:dyDescent="0.3">
      <c r="A146" s="5" t="s">
        <v>299</v>
      </c>
      <c r="B146" t="s">
        <v>256</v>
      </c>
      <c r="C146" t="s">
        <v>49</v>
      </c>
      <c r="D146" t="s">
        <v>198</v>
      </c>
      <c r="E146" t="s">
        <v>302</v>
      </c>
      <c r="F146" t="s">
        <v>305</v>
      </c>
      <c r="G146">
        <v>16561.86</v>
      </c>
      <c r="H146">
        <v>3.7738174209626004E-12</v>
      </c>
      <c r="I146">
        <v>2.5819413353737599E-12</v>
      </c>
      <c r="J146">
        <v>3.8726446962259297E-12</v>
      </c>
      <c r="K146">
        <v>7.3859179387853007E-12</v>
      </c>
      <c r="L146">
        <v>6.7025422877374503E-10</v>
      </c>
      <c r="M146">
        <v>281</v>
      </c>
      <c r="N146">
        <f t="shared" si="4"/>
        <v>0.60379691652990664</v>
      </c>
      <c r="O146">
        <f t="shared" si="5"/>
        <v>3.2335052285082836E-9</v>
      </c>
    </row>
    <row r="147" spans="1:16" x14ac:dyDescent="0.3">
      <c r="A147" s="5" t="s">
        <v>299</v>
      </c>
      <c r="B147" t="s">
        <v>256</v>
      </c>
      <c r="C147" t="s">
        <v>113</v>
      </c>
      <c r="D147" t="s">
        <v>114</v>
      </c>
      <c r="E147" t="s">
        <v>302</v>
      </c>
      <c r="F147" t="s">
        <v>305</v>
      </c>
      <c r="G147">
        <v>5788.0199999999995</v>
      </c>
      <c r="H147">
        <v>1.5995737994142199E-11</v>
      </c>
      <c r="I147">
        <v>1.41688715419984E-11</v>
      </c>
      <c r="J147">
        <v>1.99939616392906E-11</v>
      </c>
      <c r="K147">
        <v>1.20058977278823E-11</v>
      </c>
      <c r="L147">
        <v>1.33788822873306E-10</v>
      </c>
      <c r="M147">
        <v>595</v>
      </c>
      <c r="N147">
        <f t="shared" si="4"/>
        <v>1.7277065386781665</v>
      </c>
      <c r="O147">
        <f t="shared" si="5"/>
        <v>3.219152799757351E-10</v>
      </c>
    </row>
    <row r="148" spans="1:16" x14ac:dyDescent="0.3">
      <c r="A148" s="5" t="s">
        <v>306</v>
      </c>
      <c r="B148" t="s">
        <v>12</v>
      </c>
      <c r="C148" s="4" t="s">
        <v>134</v>
      </c>
      <c r="D148" t="s">
        <v>135</v>
      </c>
      <c r="E148" t="s">
        <v>307</v>
      </c>
      <c r="F148" t="s">
        <v>49</v>
      </c>
      <c r="G148">
        <v>15656.12</v>
      </c>
      <c r="H148">
        <v>6.5558581874435902E-12</v>
      </c>
      <c r="I148">
        <v>5.9586626428583301E-12</v>
      </c>
      <c r="J148">
        <v>3.3381584818738001E-12</v>
      </c>
      <c r="K148">
        <v>4.3114495914109103E-12</v>
      </c>
      <c r="L148">
        <v>2.7959211972628601E-9</v>
      </c>
      <c r="M148">
        <v>598</v>
      </c>
      <c r="N148">
        <f t="shared" si="4"/>
        <v>0.63872785849878511</v>
      </c>
      <c r="O148">
        <f t="shared" si="5"/>
        <v>1.2513792683617316E-8</v>
      </c>
    </row>
    <row r="149" spans="1:16" x14ac:dyDescent="0.3">
      <c r="A149" s="5" t="s">
        <v>308</v>
      </c>
      <c r="B149" t="s">
        <v>309</v>
      </c>
      <c r="C149" t="s">
        <v>201</v>
      </c>
      <c r="D149" t="s">
        <v>202</v>
      </c>
      <c r="E149" t="s">
        <v>309</v>
      </c>
      <c r="F149" t="s">
        <v>76</v>
      </c>
      <c r="G149">
        <v>3557.1</v>
      </c>
      <c r="H149">
        <v>4.5893947187819299E-12</v>
      </c>
      <c r="I149">
        <v>1.27114043831779E-12</v>
      </c>
      <c r="J149">
        <v>7.1379990675909796E-13</v>
      </c>
      <c r="K149">
        <v>9.0021375280847296E-13</v>
      </c>
      <c r="L149">
        <v>1.5713912690928399E-10</v>
      </c>
      <c r="M149">
        <v>330</v>
      </c>
      <c r="N149">
        <f t="shared" si="4"/>
        <v>2.8112788507492059</v>
      </c>
      <c r="O149">
        <f t="shared" si="5"/>
        <v>1.6619616259079915E-10</v>
      </c>
      <c r="P149" s="20" t="s">
        <v>310</v>
      </c>
    </row>
    <row r="150" spans="1:16" x14ac:dyDescent="0.3">
      <c r="A150" s="5" t="s">
        <v>308</v>
      </c>
      <c r="B150" t="s">
        <v>309</v>
      </c>
      <c r="C150" t="s">
        <v>154</v>
      </c>
      <c r="D150" t="s">
        <v>155</v>
      </c>
      <c r="E150" t="s">
        <v>309</v>
      </c>
      <c r="F150" t="s">
        <v>76</v>
      </c>
      <c r="G150">
        <v>932.6</v>
      </c>
      <c r="H150">
        <v>8.5435751639134E-11</v>
      </c>
      <c r="I150">
        <v>8.3106775813651496E-11</v>
      </c>
      <c r="J150">
        <v>3.9599215512847002E-10</v>
      </c>
      <c r="K150">
        <v>5.6875071961688898E-11</v>
      </c>
      <c r="L150">
        <v>2.4458324085040499E-9</v>
      </c>
      <c r="M150">
        <v>3270</v>
      </c>
      <c r="N150">
        <f t="shared" si="4"/>
        <v>10.72271070126528</v>
      </c>
      <c r="O150">
        <f t="shared" si="5"/>
        <v>8.1189988767625919E-10</v>
      </c>
    </row>
    <row r="151" spans="1:16" x14ac:dyDescent="0.3">
      <c r="A151" s="5" t="s">
        <v>311</v>
      </c>
      <c r="B151" t="s">
        <v>13</v>
      </c>
      <c r="C151" t="s">
        <v>312</v>
      </c>
      <c r="D151" t="s">
        <v>313</v>
      </c>
      <c r="E151" t="s">
        <v>314</v>
      </c>
      <c r="F151" t="s">
        <v>189</v>
      </c>
      <c r="G151">
        <v>25971.920000000002</v>
      </c>
      <c r="H151">
        <v>3.2397473191894899E-12</v>
      </c>
      <c r="I151">
        <v>8.8217891048520498E-13</v>
      </c>
      <c r="J151">
        <v>2.6125956395547101E-12</v>
      </c>
      <c r="K151">
        <v>5.98722877504757E-12</v>
      </c>
      <c r="L151">
        <v>1.01543438971689E-10</v>
      </c>
      <c r="M151">
        <v>650</v>
      </c>
      <c r="N151">
        <f t="shared" si="4"/>
        <v>0.38503121833118226</v>
      </c>
      <c r="O151">
        <f t="shared" si="5"/>
        <v>8.4231979277273954E-10</v>
      </c>
    </row>
    <row r="152" spans="1:16" s="15" customFormat="1" x14ac:dyDescent="0.3">
      <c r="A152" s="14" t="s">
        <v>315</v>
      </c>
      <c r="B152" s="15" t="s">
        <v>316</v>
      </c>
      <c r="C152" s="15" t="s">
        <v>317</v>
      </c>
      <c r="D152" s="15" t="s">
        <v>221</v>
      </c>
      <c r="E152" s="15" t="s">
        <v>318</v>
      </c>
      <c r="F152" s="15" t="s">
        <v>70</v>
      </c>
      <c r="H152"/>
      <c r="I152"/>
      <c r="J152"/>
      <c r="K152"/>
      <c r="L152"/>
      <c r="M152" s="15">
        <v>49</v>
      </c>
      <c r="N152" t="e">
        <f t="shared" si="4"/>
        <v>#DIV/0!</v>
      </c>
      <c r="O152" t="e">
        <f t="shared" si="5"/>
        <v>#DIV/0!</v>
      </c>
    </row>
    <row r="153" spans="1:16" x14ac:dyDescent="0.3">
      <c r="A153" s="5" t="s">
        <v>319</v>
      </c>
      <c r="B153" t="s">
        <v>14</v>
      </c>
      <c r="C153" t="s">
        <v>283</v>
      </c>
      <c r="D153" t="s">
        <v>284</v>
      </c>
      <c r="E153" t="s">
        <v>320</v>
      </c>
      <c r="F153" t="s">
        <v>305</v>
      </c>
      <c r="G153">
        <v>34543.479999999996</v>
      </c>
      <c r="H153">
        <v>1.6350758882813399E-11</v>
      </c>
      <c r="I153">
        <v>1.5286279746874801E-11</v>
      </c>
      <c r="J153">
        <v>9.0250058585745197E-12</v>
      </c>
      <c r="K153">
        <v>1.31351206113848E-12</v>
      </c>
      <c r="L153">
        <v>7.2779198530144406E-11</v>
      </c>
      <c r="M153">
        <v>1</v>
      </c>
      <c r="N153">
        <f t="shared" si="4"/>
        <v>0.28949023086266934</v>
      </c>
      <c r="O153">
        <f t="shared" si="5"/>
        <v>1.1251120667669104E-9</v>
      </c>
    </row>
    <row r="154" spans="1:16" x14ac:dyDescent="0.3">
      <c r="A154" s="5" t="s">
        <v>321</v>
      </c>
      <c r="B154" t="s">
        <v>322</v>
      </c>
      <c r="C154" t="s">
        <v>323</v>
      </c>
      <c r="D154" t="s">
        <v>69</v>
      </c>
      <c r="E154" t="s">
        <v>75</v>
      </c>
      <c r="F154" t="s">
        <v>76</v>
      </c>
      <c r="G154">
        <v>1127.6600000000001</v>
      </c>
      <c r="H154">
        <v>3.9851089927207496E-12</v>
      </c>
      <c r="I154">
        <v>1.1341276694676501E-12</v>
      </c>
      <c r="J154">
        <v>1.6656807196105199E-12</v>
      </c>
      <c r="K154">
        <v>4.2280620238658397E-12</v>
      </c>
      <c r="L154">
        <v>3.4173476524956598E-11</v>
      </c>
      <c r="M154">
        <v>9149</v>
      </c>
      <c r="N154">
        <f t="shared" si="4"/>
        <v>8.8679211819165342</v>
      </c>
      <c r="O154">
        <f t="shared" si="5"/>
        <v>1.4462569544061696E-11</v>
      </c>
    </row>
    <row r="155" spans="1:16" x14ac:dyDescent="0.3">
      <c r="A155" s="5" t="s">
        <v>321</v>
      </c>
      <c r="B155" t="s">
        <v>322</v>
      </c>
      <c r="C155" t="s">
        <v>183</v>
      </c>
      <c r="D155" t="s">
        <v>184</v>
      </c>
      <c r="E155" t="s">
        <v>131</v>
      </c>
      <c r="F155" t="s">
        <v>183</v>
      </c>
      <c r="G155">
        <v>3127.68</v>
      </c>
      <c r="H155">
        <v>2.9439715025713399E-12</v>
      </c>
      <c r="I155">
        <v>4.8477088851861698E-12</v>
      </c>
      <c r="J155">
        <v>5.2903295905443303E-12</v>
      </c>
      <c r="K155">
        <v>1.3897687987919499E-12</v>
      </c>
      <c r="L155">
        <v>5.5159397779402299E-11</v>
      </c>
      <c r="M155">
        <v>2089</v>
      </c>
      <c r="N155">
        <f t="shared" si="4"/>
        <v>3.1972580315121757</v>
      </c>
      <c r="O155">
        <f t="shared" si="5"/>
        <v>6.1813744289252091E-11</v>
      </c>
    </row>
    <row r="156" spans="1:16" x14ac:dyDescent="0.3">
      <c r="A156" s="5" t="s">
        <v>321</v>
      </c>
      <c r="B156" t="s">
        <v>324</v>
      </c>
      <c r="C156" s="2" t="s">
        <v>89</v>
      </c>
      <c r="D156" s="2" t="s">
        <v>325</v>
      </c>
      <c r="E156" t="s">
        <v>131</v>
      </c>
      <c r="F156" t="s">
        <v>89</v>
      </c>
      <c r="G156">
        <v>2719</v>
      </c>
      <c r="H156">
        <v>6.3151178323239103E-12</v>
      </c>
      <c r="I156">
        <v>1.2421010017948899E-12</v>
      </c>
      <c r="J156">
        <v>7.9332781450439401E-12</v>
      </c>
      <c r="K156">
        <v>6.0473853504285198E-12</v>
      </c>
      <c r="L156">
        <v>5.5959653555187297E-10</v>
      </c>
      <c r="M156">
        <v>798</v>
      </c>
      <c r="N156">
        <f t="shared" si="4"/>
        <v>3.6778227289444652</v>
      </c>
      <c r="O156">
        <f t="shared" si="5"/>
        <v>4.4848178581009502E-10</v>
      </c>
    </row>
    <row r="157" spans="1:16" x14ac:dyDescent="0.3">
      <c r="A157" s="5" t="s">
        <v>321</v>
      </c>
      <c r="B157" t="s">
        <v>324</v>
      </c>
      <c r="C157" s="2" t="s">
        <v>236</v>
      </c>
      <c r="D157" s="2" t="s">
        <v>237</v>
      </c>
      <c r="E157" t="s">
        <v>131</v>
      </c>
      <c r="F157" t="s">
        <v>236</v>
      </c>
      <c r="G157">
        <v>1000.8</v>
      </c>
      <c r="H157">
        <v>6.2166574853918297E-12</v>
      </c>
      <c r="I157">
        <v>1.5894570519760001E-12</v>
      </c>
      <c r="J157">
        <v>1.33278983729738E-11</v>
      </c>
      <c r="K157">
        <v>3.2344913345964E-12</v>
      </c>
      <c r="L157">
        <v>3.8971536324818501E-10</v>
      </c>
      <c r="M157">
        <v>691</v>
      </c>
      <c r="N157">
        <f t="shared" si="4"/>
        <v>9.9920063948840934</v>
      </c>
      <c r="O157">
        <f t="shared" si="5"/>
        <v>1.1762363927053231E-10</v>
      </c>
    </row>
    <row r="158" spans="1:16" x14ac:dyDescent="0.3">
      <c r="A158" s="5" t="s">
        <v>321</v>
      </c>
      <c r="B158" t="s">
        <v>324</v>
      </c>
      <c r="C158" s="2" t="s">
        <v>49</v>
      </c>
      <c r="D158" s="2" t="s">
        <v>198</v>
      </c>
      <c r="E158" t="s">
        <v>131</v>
      </c>
      <c r="F158" t="s">
        <v>49</v>
      </c>
      <c r="G158">
        <v>369.6</v>
      </c>
      <c r="H158">
        <v>3.7738174209626004E-12</v>
      </c>
      <c r="I158">
        <v>2.5819413353737599E-12</v>
      </c>
      <c r="J158">
        <v>3.8726446962259297E-12</v>
      </c>
      <c r="K158">
        <v>7.3859179387853007E-12</v>
      </c>
      <c r="L158">
        <v>6.7025422877374503E-10</v>
      </c>
      <c r="M158">
        <v>1081</v>
      </c>
      <c r="N158">
        <f t="shared" si="4"/>
        <v>27.056277056277054</v>
      </c>
      <c r="O158">
        <f t="shared" si="5"/>
        <v>7.2159982783133156E-11</v>
      </c>
    </row>
    <row r="159" spans="1:16" x14ac:dyDescent="0.3">
      <c r="A159" s="5" t="s">
        <v>326</v>
      </c>
      <c r="B159" t="s">
        <v>15</v>
      </c>
      <c r="C159" t="s">
        <v>174</v>
      </c>
      <c r="D159" t="s">
        <v>59</v>
      </c>
      <c r="E159" t="s">
        <v>53</v>
      </c>
      <c r="F159" t="s">
        <v>54</v>
      </c>
      <c r="G159">
        <v>8328.7800000000007</v>
      </c>
      <c r="H159">
        <v>3.0687766123515199E-11</v>
      </c>
      <c r="I159">
        <v>5.9895958300453596E-11</v>
      </c>
      <c r="J159">
        <v>1.54835595883734E-10</v>
      </c>
      <c r="K159">
        <v>5.0562802844685197E-12</v>
      </c>
      <c r="L159">
        <v>7.6254903221232302E-10</v>
      </c>
      <c r="M159">
        <v>35</v>
      </c>
      <c r="N159">
        <f t="shared" si="4"/>
        <v>1.200656038459414</v>
      </c>
      <c r="O159">
        <f t="shared" si="5"/>
        <v>2.3947512087514631E-9</v>
      </c>
    </row>
    <row r="160" spans="1:16" x14ac:dyDescent="0.3">
      <c r="A160" s="5" t="s">
        <v>327</v>
      </c>
      <c r="B160" t="s">
        <v>16</v>
      </c>
      <c r="C160" t="s">
        <v>328</v>
      </c>
      <c r="D160" t="s">
        <v>329</v>
      </c>
      <c r="E160" t="s">
        <v>330</v>
      </c>
      <c r="F160" t="s">
        <v>80</v>
      </c>
      <c r="G160">
        <v>1163.46</v>
      </c>
      <c r="H160">
        <v>5.42134756231075E-11</v>
      </c>
      <c r="I160">
        <v>1.2999999999999999E-10</v>
      </c>
      <c r="J160">
        <v>3.4293586531612102E-10</v>
      </c>
      <c r="K160">
        <v>1.0899076744826801E-11</v>
      </c>
      <c r="L160">
        <v>1.46629026019383E-9</v>
      </c>
      <c r="M160">
        <v>31</v>
      </c>
      <c r="N160">
        <f t="shared" si="4"/>
        <v>8.5950526876729754</v>
      </c>
      <c r="O160">
        <f t="shared" si="5"/>
        <v>6.6188352113367704E-10</v>
      </c>
    </row>
    <row r="161" spans="1:15" x14ac:dyDescent="0.3">
      <c r="A161" s="5" t="s">
        <v>331</v>
      </c>
      <c r="B161" t="s">
        <v>332</v>
      </c>
      <c r="C161" s="2" t="s">
        <v>153</v>
      </c>
      <c r="D161" t="s">
        <v>285</v>
      </c>
      <c r="E161" t="s">
        <v>332</v>
      </c>
      <c r="F161" s="2" t="s">
        <v>49</v>
      </c>
      <c r="G161">
        <v>15463.720000000001</v>
      </c>
      <c r="H161">
        <v>6.2892930288175604E-12</v>
      </c>
      <c r="I161">
        <v>2.3905678961428701E-12</v>
      </c>
      <c r="J161">
        <v>1.76321152163958E-12</v>
      </c>
      <c r="K161">
        <v>6.9597713309278904E-12</v>
      </c>
      <c r="L161">
        <v>5.2362063087356201E-11</v>
      </c>
      <c r="M161">
        <v>990</v>
      </c>
      <c r="N161">
        <f t="shared" si="4"/>
        <v>0.64667492686106576</v>
      </c>
      <c r="O161">
        <f t="shared" si="5"/>
        <v>3.0620339449443994E-10</v>
      </c>
    </row>
    <row r="162" spans="1:15" x14ac:dyDescent="0.3">
      <c r="A162" s="5" t="s">
        <v>331</v>
      </c>
      <c r="B162" t="s">
        <v>332</v>
      </c>
      <c r="C162" s="2" t="s">
        <v>286</v>
      </c>
      <c r="D162" s="2" t="s">
        <v>287</v>
      </c>
      <c r="E162" t="s">
        <v>332</v>
      </c>
      <c r="F162" s="2" t="s">
        <v>86</v>
      </c>
      <c r="G162">
        <v>18034.060000000001</v>
      </c>
      <c r="H162">
        <v>1.55658152159693E-12</v>
      </c>
      <c r="I162">
        <v>1.0618866300510301E-12</v>
      </c>
      <c r="J162">
        <v>8.8841658719714498E-13</v>
      </c>
      <c r="K162">
        <v>1.7910327872404899E-13</v>
      </c>
      <c r="L162">
        <v>5.2982110291723597E-12</v>
      </c>
      <c r="M162">
        <v>190</v>
      </c>
      <c r="N162">
        <f t="shared" si="4"/>
        <v>0.55450630640022269</v>
      </c>
      <c r="O162">
        <f t="shared" si="5"/>
        <v>4.5986661291167271E-11</v>
      </c>
    </row>
    <row r="163" spans="1:15" x14ac:dyDescent="0.3">
      <c r="A163" s="5" t="s">
        <v>331</v>
      </c>
      <c r="B163" t="s">
        <v>332</v>
      </c>
      <c r="C163" s="2" t="s">
        <v>203</v>
      </c>
      <c r="D163" s="2" t="s">
        <v>204</v>
      </c>
      <c r="E163" t="s">
        <v>332</v>
      </c>
      <c r="F163" s="2" t="s">
        <v>84</v>
      </c>
      <c r="G163">
        <v>2098.6999999999998</v>
      </c>
      <c r="H163">
        <v>2.50863147533524E-12</v>
      </c>
      <c r="I163">
        <v>9.4512786841597697E-13</v>
      </c>
      <c r="J163">
        <v>6.1244863013590696E-13</v>
      </c>
      <c r="K163">
        <v>2.5776702114345601E-13</v>
      </c>
      <c r="L163">
        <v>3.5856856692825899E-11</v>
      </c>
      <c r="M163">
        <v>15</v>
      </c>
      <c r="N163">
        <f t="shared" si="4"/>
        <v>4.7648544336970513</v>
      </c>
      <c r="O163">
        <f t="shared" si="5"/>
        <v>2.3934716570676448E-11</v>
      </c>
    </row>
    <row r="164" spans="1:15" x14ac:dyDescent="0.3">
      <c r="A164" s="5" t="s">
        <v>333</v>
      </c>
      <c r="B164" t="s">
        <v>334</v>
      </c>
      <c r="C164" t="s">
        <v>230</v>
      </c>
      <c r="D164" t="s">
        <v>38</v>
      </c>
      <c r="E164" t="s">
        <v>334</v>
      </c>
      <c r="F164" t="s">
        <v>57</v>
      </c>
      <c r="G164">
        <v>4705.62</v>
      </c>
      <c r="H164">
        <v>9.2733122676897092E-13</v>
      </c>
      <c r="I164">
        <v>3.6239202290006801E-13</v>
      </c>
      <c r="J164">
        <v>6.5623176205945403E-14</v>
      </c>
      <c r="K164">
        <v>2.7059628781149702E-13</v>
      </c>
      <c r="L164">
        <v>8.6607932890677898E-13</v>
      </c>
      <c r="M164">
        <v>144</v>
      </c>
      <c r="N164">
        <f t="shared" si="4"/>
        <v>2.1251184753550012</v>
      </c>
      <c r="O164">
        <f t="shared" si="5"/>
        <v>3.328340404704688E-12</v>
      </c>
    </row>
    <row r="165" spans="1:15" x14ac:dyDescent="0.3">
      <c r="A165" s="5" t="s">
        <v>333</v>
      </c>
      <c r="B165" t="s">
        <v>334</v>
      </c>
      <c r="C165" t="s">
        <v>335</v>
      </c>
      <c r="D165" t="s">
        <v>336</v>
      </c>
      <c r="E165" t="s">
        <v>334</v>
      </c>
      <c r="F165" t="s">
        <v>80</v>
      </c>
      <c r="G165">
        <v>4018.5199999999995</v>
      </c>
      <c r="H165">
        <v>2.4912062793265399E-11</v>
      </c>
      <c r="I165">
        <v>4.8896044885130202E-11</v>
      </c>
      <c r="J165">
        <v>1.72063761693329E-10</v>
      </c>
      <c r="K165">
        <v>9.8127331297588199E-12</v>
      </c>
      <c r="L165">
        <v>5.8210212555006502E-10</v>
      </c>
      <c r="M165">
        <v>2</v>
      </c>
      <c r="N165">
        <f t="shared" si="4"/>
        <v>2.4884783452614401</v>
      </c>
      <c r="O165">
        <f t="shared" si="5"/>
        <v>9.5556143720668465E-10</v>
      </c>
    </row>
    <row r="166" spans="1:15" x14ac:dyDescent="0.3">
      <c r="A166" s="5" t="s">
        <v>333</v>
      </c>
      <c r="B166" t="s">
        <v>334</v>
      </c>
      <c r="C166" t="s">
        <v>337</v>
      </c>
      <c r="D166" t="s">
        <v>338</v>
      </c>
      <c r="E166" t="s">
        <v>334</v>
      </c>
      <c r="F166" t="s">
        <v>57</v>
      </c>
      <c r="G166">
        <v>5227.3599999999997</v>
      </c>
      <c r="H166">
        <v>7.5654656744502205E-12</v>
      </c>
      <c r="I166">
        <v>5.8171283808933401E-12</v>
      </c>
      <c r="J166">
        <v>5.9046572297281398E-12</v>
      </c>
      <c r="K166">
        <v>3.9795553476724897E-12</v>
      </c>
      <c r="L166">
        <v>1.0820125557342701E-11</v>
      </c>
      <c r="M166">
        <v>1</v>
      </c>
      <c r="N166">
        <f t="shared" si="4"/>
        <v>1.9130115392856053</v>
      </c>
      <c r="O166">
        <f t="shared" si="5"/>
        <v>5.0574236099594008E-11</v>
      </c>
    </row>
    <row r="167" spans="1:15" x14ac:dyDescent="0.3">
      <c r="A167" s="5" t="s">
        <v>339</v>
      </c>
      <c r="B167" t="s">
        <v>17</v>
      </c>
      <c r="C167" t="s">
        <v>273</v>
      </c>
      <c r="D167" t="s">
        <v>274</v>
      </c>
      <c r="E167" t="s">
        <v>294</v>
      </c>
      <c r="F167" t="s">
        <v>49</v>
      </c>
      <c r="G167">
        <v>955.42000000000007</v>
      </c>
      <c r="H167">
        <v>3.7381158297061303E-11</v>
      </c>
      <c r="I167">
        <v>4.4597620083569801E-11</v>
      </c>
      <c r="J167">
        <v>2.16594629411087E-10</v>
      </c>
      <c r="K167">
        <v>3.6214803266897603E-11</v>
      </c>
      <c r="L167">
        <v>7.0976290375820602E-10</v>
      </c>
      <c r="M167">
        <v>36</v>
      </c>
      <c r="N167">
        <f t="shared" si="4"/>
        <v>10.46660107596659</v>
      </c>
      <c r="O167">
        <f t="shared" si="5"/>
        <v>2.8325855141965981E-10</v>
      </c>
    </row>
    <row r="168" spans="1:15" x14ac:dyDescent="0.3">
      <c r="A168" s="5" t="s">
        <v>339</v>
      </c>
      <c r="B168" t="s">
        <v>17</v>
      </c>
      <c r="C168" t="s">
        <v>111</v>
      </c>
      <c r="D168" t="s">
        <v>112</v>
      </c>
      <c r="E168" t="s">
        <v>294</v>
      </c>
      <c r="F168" t="s">
        <v>76</v>
      </c>
      <c r="G168">
        <v>453.68</v>
      </c>
      <c r="H168">
        <v>7.3036461651938907E-12</v>
      </c>
      <c r="I168">
        <v>1.0887230064277701E-11</v>
      </c>
      <c r="J168">
        <v>2.1264499027956299E-11</v>
      </c>
      <c r="K168">
        <v>9.7258997229393192E-12</v>
      </c>
      <c r="L168">
        <v>1.7994550917344801E-10</v>
      </c>
      <c r="M168">
        <v>202</v>
      </c>
      <c r="N168">
        <f t="shared" si="4"/>
        <v>22.041967906894726</v>
      </c>
      <c r="O168">
        <f t="shared" si="5"/>
        <v>2.9504244524173241E-11</v>
      </c>
    </row>
    <row r="169" spans="1:15" x14ac:dyDescent="0.3">
      <c r="A169" s="5" t="s">
        <v>339</v>
      </c>
      <c r="B169" t="s">
        <v>17</v>
      </c>
      <c r="C169" t="s">
        <v>164</v>
      </c>
      <c r="D169" t="s">
        <v>165</v>
      </c>
      <c r="E169" t="s">
        <v>294</v>
      </c>
      <c r="F169" t="s">
        <v>49</v>
      </c>
      <c r="G169">
        <v>796.33999999999992</v>
      </c>
      <c r="H169">
        <v>1.0466568284282799E-11</v>
      </c>
      <c r="I169">
        <v>7.3474305772422603E-12</v>
      </c>
      <c r="J169">
        <v>9.8959800107077403E-12</v>
      </c>
      <c r="K169">
        <v>5.2459772093378099E-12</v>
      </c>
      <c r="L169">
        <v>4.7120882583037602E-11</v>
      </c>
      <c r="M169">
        <v>5</v>
      </c>
      <c r="N169">
        <f t="shared" si="4"/>
        <v>12.557450335283924</v>
      </c>
      <c r="O169">
        <f t="shared" si="5"/>
        <v>1.8099411534919404E-11</v>
      </c>
    </row>
    <row r="170" spans="1:15" x14ac:dyDescent="0.3">
      <c r="A170" s="5" t="s">
        <v>339</v>
      </c>
      <c r="B170" t="s">
        <v>17</v>
      </c>
      <c r="C170" t="s">
        <v>255</v>
      </c>
      <c r="D170" t="s">
        <v>191</v>
      </c>
      <c r="E170" t="s">
        <v>294</v>
      </c>
      <c r="F170" t="s">
        <v>76</v>
      </c>
      <c r="G170">
        <v>511.16</v>
      </c>
      <c r="H170">
        <v>2.95931903804136E-12</v>
      </c>
      <c r="I170">
        <v>3.5418593778097399E-12</v>
      </c>
      <c r="J170">
        <v>1.14064335004241E-12</v>
      </c>
      <c r="K170">
        <v>1.17730479989729E-12</v>
      </c>
      <c r="L170">
        <v>1.8129102399551699E-11</v>
      </c>
      <c r="M170">
        <v>3055</v>
      </c>
      <c r="N170">
        <f t="shared" si="4"/>
        <v>19.563346114719462</v>
      </c>
      <c r="O170">
        <f t="shared" si="5"/>
        <v>3.9097239515797921E-12</v>
      </c>
    </row>
    <row r="171" spans="1:15" x14ac:dyDescent="0.3">
      <c r="A171" s="5" t="s">
        <v>341</v>
      </c>
      <c r="B171" t="s">
        <v>342</v>
      </c>
      <c r="C171" t="s">
        <v>260</v>
      </c>
      <c r="D171" t="s">
        <v>261</v>
      </c>
      <c r="E171" t="s">
        <v>343</v>
      </c>
      <c r="F171" t="s">
        <v>141</v>
      </c>
      <c r="G171">
        <v>2913.6</v>
      </c>
      <c r="H171">
        <v>9.7923364173028499E-12</v>
      </c>
      <c r="I171">
        <v>1.04685039392361E-11</v>
      </c>
      <c r="J171">
        <v>9.6542690300897894E-12</v>
      </c>
      <c r="K171">
        <v>6.5080273616412197E-13</v>
      </c>
      <c r="L171">
        <v>1.25845570992863E-11</v>
      </c>
      <c r="M171">
        <v>0</v>
      </c>
      <c r="N171">
        <f t="shared" si="4"/>
        <v>3.4321801208127405</v>
      </c>
      <c r="O171">
        <f t="shared" si="5"/>
        <v>3.568407601134466E-11</v>
      </c>
    </row>
    <row r="172" spans="1:15" x14ac:dyDescent="0.3">
      <c r="A172" s="5" t="s">
        <v>344</v>
      </c>
      <c r="B172" t="s">
        <v>18</v>
      </c>
      <c r="C172" t="s">
        <v>230</v>
      </c>
      <c r="D172" t="s">
        <v>38</v>
      </c>
      <c r="E172" t="s">
        <v>18</v>
      </c>
      <c r="F172" t="s">
        <v>49</v>
      </c>
      <c r="G172">
        <v>31293.26</v>
      </c>
      <c r="H172">
        <v>9.2733122676897092E-13</v>
      </c>
      <c r="I172">
        <v>3.6239202290006801E-13</v>
      </c>
      <c r="J172">
        <v>6.5623176205945403E-14</v>
      </c>
      <c r="K172">
        <v>2.7059628781149702E-13</v>
      </c>
      <c r="L172">
        <v>8.6607932890677898E-13</v>
      </c>
      <c r="M172">
        <v>122</v>
      </c>
      <c r="N172">
        <f t="shared" si="4"/>
        <v>0.31955762998166382</v>
      </c>
      <c r="O172">
        <f t="shared" si="5"/>
        <v>2.213409107682495E-11</v>
      </c>
    </row>
    <row r="173" spans="1:15" x14ac:dyDescent="0.3">
      <c r="A173" s="5" t="s">
        <v>345</v>
      </c>
      <c r="B173" t="s">
        <v>346</v>
      </c>
      <c r="C173" t="s">
        <v>95</v>
      </c>
      <c r="D173" t="s">
        <v>147</v>
      </c>
      <c r="E173" t="s">
        <v>148</v>
      </c>
      <c r="F173" t="s">
        <v>95</v>
      </c>
      <c r="G173">
        <v>8921.6</v>
      </c>
      <c r="H173">
        <v>5.2030903191013403E-12</v>
      </c>
      <c r="I173">
        <v>4.9419949979659597E-12</v>
      </c>
      <c r="J173">
        <v>8.6233946025098194E-12</v>
      </c>
      <c r="K173">
        <v>1.2244562254471201E-12</v>
      </c>
      <c r="L173">
        <v>4.7831062823681203E-11</v>
      </c>
      <c r="M173">
        <v>797</v>
      </c>
      <c r="N173">
        <f t="shared" si="4"/>
        <v>1.1208751793400287</v>
      </c>
      <c r="O173">
        <f t="shared" si="5"/>
        <v>1.7174541236286091E-10</v>
      </c>
    </row>
    <row r="174" spans="1:15" x14ac:dyDescent="0.3">
      <c r="A174" s="5" t="s">
        <v>345</v>
      </c>
      <c r="B174" t="s">
        <v>346</v>
      </c>
      <c r="C174" t="s">
        <v>111</v>
      </c>
      <c r="D174" t="s">
        <v>112</v>
      </c>
      <c r="E174" t="s">
        <v>148</v>
      </c>
      <c r="F174" t="s">
        <v>76</v>
      </c>
      <c r="G174">
        <v>9633.14</v>
      </c>
      <c r="H174">
        <v>7.3036461651938907E-12</v>
      </c>
      <c r="I174">
        <v>1.0887230064277701E-11</v>
      </c>
      <c r="J174">
        <v>2.1264499027956299E-11</v>
      </c>
      <c r="K174">
        <v>9.7258997229393192E-12</v>
      </c>
      <c r="L174">
        <v>1.7994550917344801E-10</v>
      </c>
      <c r="M174">
        <v>1319</v>
      </c>
      <c r="N174">
        <f t="shared" si="4"/>
        <v>1.038083117239031</v>
      </c>
      <c r="O174">
        <f t="shared" si="5"/>
        <v>6.2647354544082666E-10</v>
      </c>
    </row>
    <row r="175" spans="1:15" x14ac:dyDescent="0.3">
      <c r="A175" s="5" t="s">
        <v>345</v>
      </c>
      <c r="B175" t="s">
        <v>346</v>
      </c>
      <c r="C175" t="s">
        <v>149</v>
      </c>
      <c r="D175" t="s">
        <v>150</v>
      </c>
      <c r="E175" t="s">
        <v>148</v>
      </c>
      <c r="F175" t="s">
        <v>95</v>
      </c>
      <c r="G175">
        <v>5358.58</v>
      </c>
      <c r="H175">
        <v>5.5122676400630499E-11</v>
      </c>
      <c r="I175">
        <v>5.3604663576149402E-11</v>
      </c>
      <c r="J175">
        <v>4.54E-11</v>
      </c>
      <c r="K175">
        <v>1.31127969128976E-11</v>
      </c>
      <c r="L175">
        <v>4.9119598130720397E-10</v>
      </c>
      <c r="M175">
        <v>10</v>
      </c>
      <c r="N175">
        <f t="shared" si="4"/>
        <v>1.8661660365246018</v>
      </c>
      <c r="O175">
        <f t="shared" si="5"/>
        <v>1.0014340858381215E-9</v>
      </c>
    </row>
    <row r="176" spans="1:15" x14ac:dyDescent="0.3">
      <c r="A176" s="5" t="s">
        <v>345</v>
      </c>
      <c r="B176" t="s">
        <v>346</v>
      </c>
      <c r="C176" t="s">
        <v>283</v>
      </c>
      <c r="D176" t="s">
        <v>284</v>
      </c>
      <c r="E176" t="s">
        <v>148</v>
      </c>
      <c r="F176" t="s">
        <v>153</v>
      </c>
      <c r="G176">
        <v>8649.2999999999993</v>
      </c>
      <c r="H176">
        <v>1.6350758882813399E-11</v>
      </c>
      <c r="I176">
        <v>1.5286279746874801E-11</v>
      </c>
      <c r="J176">
        <v>9.0250058585745197E-12</v>
      </c>
      <c r="K176">
        <v>1.31351206113848E-12</v>
      </c>
      <c r="L176">
        <v>7.2779198530144406E-11</v>
      </c>
      <c r="M176">
        <v>35</v>
      </c>
      <c r="N176">
        <f t="shared" si="4"/>
        <v>1.1561629264795996</v>
      </c>
      <c r="O176">
        <f t="shared" si="5"/>
        <v>2.8171544381420279E-10</v>
      </c>
    </row>
    <row r="177" spans="1:15" x14ac:dyDescent="0.3">
      <c r="A177" s="5" t="s">
        <v>345</v>
      </c>
      <c r="B177" t="s">
        <v>346</v>
      </c>
      <c r="C177" t="s">
        <v>154</v>
      </c>
      <c r="D177" t="s">
        <v>155</v>
      </c>
      <c r="E177" t="s">
        <v>148</v>
      </c>
      <c r="F177" t="s">
        <v>76</v>
      </c>
      <c r="G177">
        <v>5503.84</v>
      </c>
      <c r="H177">
        <v>8.5435751639134E-11</v>
      </c>
      <c r="I177">
        <v>8.3106775813651496E-11</v>
      </c>
      <c r="J177">
        <v>3.9599215512847002E-10</v>
      </c>
      <c r="K177">
        <v>5.6875071961688898E-11</v>
      </c>
      <c r="L177">
        <v>2.4458324085040499E-9</v>
      </c>
      <c r="M177">
        <v>12</v>
      </c>
      <c r="N177">
        <f t="shared" si="4"/>
        <v>1.8169132823628593</v>
      </c>
      <c r="O177">
        <f t="shared" si="5"/>
        <v>4.7915152024320212E-9</v>
      </c>
    </row>
    <row r="178" spans="1:15" x14ac:dyDescent="0.3">
      <c r="A178" s="5" t="s">
        <v>347</v>
      </c>
      <c r="B178" t="s">
        <v>348</v>
      </c>
      <c r="C178" s="4" t="s">
        <v>134</v>
      </c>
      <c r="D178" t="s">
        <v>135</v>
      </c>
      <c r="E178" t="s">
        <v>349</v>
      </c>
      <c r="F178" t="s">
        <v>49</v>
      </c>
      <c r="G178">
        <v>90998.6</v>
      </c>
      <c r="H178">
        <v>6.5558581874435902E-12</v>
      </c>
      <c r="I178">
        <v>5.9586626428583301E-12</v>
      </c>
      <c r="J178">
        <v>3.3381584818738001E-12</v>
      </c>
      <c r="K178">
        <v>4.3114495914109103E-12</v>
      </c>
      <c r="L178">
        <v>2.7959211972628601E-9</v>
      </c>
      <c r="M178">
        <v>16</v>
      </c>
      <c r="N178">
        <f t="shared" si="4"/>
        <v>0.10989180053319501</v>
      </c>
      <c r="O178">
        <f t="shared" si="5"/>
        <v>7.2734343815671997E-8</v>
      </c>
    </row>
    <row r="179" spans="1:15" x14ac:dyDescent="0.3">
      <c r="A179" s="5" t="s">
        <v>350</v>
      </c>
      <c r="B179" t="s">
        <v>19</v>
      </c>
      <c r="C179" t="s">
        <v>91</v>
      </c>
      <c r="D179" t="s">
        <v>42</v>
      </c>
      <c r="E179" t="s">
        <v>351</v>
      </c>
      <c r="F179" t="s">
        <v>222</v>
      </c>
      <c r="G179">
        <v>3161.7200000000003</v>
      </c>
      <c r="H179">
        <v>9.5577716202060599E-13</v>
      </c>
      <c r="I179">
        <v>9.1680667339062592E-13</v>
      </c>
      <c r="J179">
        <v>1.9282173409197301E-13</v>
      </c>
      <c r="K179">
        <v>1.6901554790461501E-14</v>
      </c>
      <c r="L179">
        <v>2.5844634886102198E-12</v>
      </c>
      <c r="M179">
        <v>6</v>
      </c>
      <c r="N179">
        <f t="shared" si="4"/>
        <v>3.1628354186961527</v>
      </c>
      <c r="O179">
        <f t="shared" si="5"/>
        <v>4.1879247117646236E-12</v>
      </c>
    </row>
    <row r="180" spans="1:15" x14ac:dyDescent="0.3">
      <c r="A180" s="5" t="s">
        <v>352</v>
      </c>
      <c r="B180" t="s">
        <v>353</v>
      </c>
      <c r="C180" t="s">
        <v>151</v>
      </c>
      <c r="D180" t="s">
        <v>152</v>
      </c>
      <c r="E180" t="s">
        <v>148</v>
      </c>
      <c r="F180" t="s">
        <v>153</v>
      </c>
      <c r="G180">
        <v>41.2</v>
      </c>
      <c r="H180">
        <v>1.06961440601011E-10</v>
      </c>
      <c r="I180">
        <v>4.1303322740808598E-11</v>
      </c>
      <c r="J180">
        <v>1.15537835947844E-10</v>
      </c>
      <c r="K180">
        <v>9.7347875208795198E-11</v>
      </c>
      <c r="L180">
        <v>4.8228358850379796E-10</v>
      </c>
      <c r="M180">
        <v>9621</v>
      </c>
      <c r="N180">
        <f t="shared" si="4"/>
        <v>242.71844660194174</v>
      </c>
      <c r="O180">
        <f t="shared" si="5"/>
        <v>9.8629619399508341E-12</v>
      </c>
    </row>
    <row r="181" spans="1:15" x14ac:dyDescent="0.3">
      <c r="A181" s="5" t="s">
        <v>354</v>
      </c>
      <c r="B181" t="s">
        <v>277</v>
      </c>
      <c r="C181" t="s">
        <v>355</v>
      </c>
      <c r="D181" t="s">
        <v>356</v>
      </c>
      <c r="E181" t="s">
        <v>277</v>
      </c>
      <c r="F181" t="s">
        <v>43</v>
      </c>
      <c r="G181">
        <v>813.48</v>
      </c>
      <c r="H181">
        <v>1.5299197431302899E-12</v>
      </c>
      <c r="I181">
        <v>9.1809799064842404E-13</v>
      </c>
      <c r="J181">
        <v>2.1458085806295E-13</v>
      </c>
      <c r="K181">
        <v>5.1663356832965398E-14</v>
      </c>
      <c r="L181">
        <v>3.0861677137094801E-12</v>
      </c>
      <c r="M181">
        <v>68</v>
      </c>
      <c r="N181">
        <f t="shared" si="4"/>
        <v>12.292865221025718</v>
      </c>
      <c r="O181">
        <f t="shared" si="5"/>
        <v>1.3392635512743207E-12</v>
      </c>
    </row>
    <row r="182" spans="1:15" s="15" customFormat="1" x14ac:dyDescent="0.3">
      <c r="A182" s="14" t="s">
        <v>357</v>
      </c>
      <c r="B182" s="15" t="s">
        <v>358</v>
      </c>
      <c r="C182" s="15" t="s">
        <v>359</v>
      </c>
      <c r="D182" s="15" t="s">
        <v>152</v>
      </c>
      <c r="E182" s="15" t="s">
        <v>360</v>
      </c>
      <c r="F182" s="15" t="s">
        <v>49</v>
      </c>
      <c r="M182" s="15">
        <v>127</v>
      </c>
      <c r="N182" t="e">
        <f t="shared" si="4"/>
        <v>#DIV/0!</v>
      </c>
      <c r="O182" t="e">
        <f t="shared" si="5"/>
        <v>#DIV/0!</v>
      </c>
    </row>
    <row r="183" spans="1:15" x14ac:dyDescent="0.3">
      <c r="A183" s="5">
        <v>21124</v>
      </c>
      <c r="B183" t="s">
        <v>363</v>
      </c>
      <c r="C183" t="s">
        <v>84</v>
      </c>
      <c r="D183" t="s">
        <v>85</v>
      </c>
      <c r="E183" t="s">
        <v>318</v>
      </c>
      <c r="F183" t="s">
        <v>84</v>
      </c>
    </row>
    <row r="184" spans="1:15" x14ac:dyDescent="0.3">
      <c r="A184" s="5">
        <v>21124</v>
      </c>
      <c r="B184" t="s">
        <v>363</v>
      </c>
      <c r="C184" t="s">
        <v>222</v>
      </c>
      <c r="D184" t="s">
        <v>223</v>
      </c>
      <c r="E184" t="s">
        <v>318</v>
      </c>
      <c r="F184" t="s">
        <v>222</v>
      </c>
    </row>
    <row r="185" spans="1:15" x14ac:dyDescent="0.3">
      <c r="A185" s="5">
        <v>21124</v>
      </c>
      <c r="B185" t="s">
        <v>363</v>
      </c>
      <c r="C185" t="s">
        <v>286</v>
      </c>
      <c r="D185" t="s">
        <v>287</v>
      </c>
      <c r="E185" t="s">
        <v>318</v>
      </c>
      <c r="F185" t="s">
        <v>286</v>
      </c>
    </row>
    <row r="186" spans="1:15" x14ac:dyDescent="0.3">
      <c r="A186" s="5">
        <v>21124</v>
      </c>
      <c r="B186" t="s">
        <v>363</v>
      </c>
      <c r="C186" t="s">
        <v>89</v>
      </c>
      <c r="D186" t="s">
        <v>325</v>
      </c>
      <c r="E186" t="s">
        <v>318</v>
      </c>
      <c r="F186" t="s">
        <v>89</v>
      </c>
    </row>
    <row r="187" spans="1:15" x14ac:dyDescent="0.3">
      <c r="A187" s="5">
        <v>21124</v>
      </c>
      <c r="B187" t="s">
        <v>363</v>
      </c>
      <c r="C187" t="s">
        <v>122</v>
      </c>
      <c r="D187" t="s">
        <v>123</v>
      </c>
      <c r="E187" t="s">
        <v>318</v>
      </c>
      <c r="F187" t="s">
        <v>122</v>
      </c>
    </row>
    <row r="188" spans="1:15" x14ac:dyDescent="0.3">
      <c r="A188" s="5">
        <v>21124</v>
      </c>
      <c r="B188" t="s">
        <v>363</v>
      </c>
      <c r="C188" t="s">
        <v>118</v>
      </c>
      <c r="D188" t="s">
        <v>144</v>
      </c>
      <c r="E188" t="s">
        <v>318</v>
      </c>
      <c r="F188" t="s">
        <v>118</v>
      </c>
    </row>
    <row r="189" spans="1:15" x14ac:dyDescent="0.3">
      <c r="A189" s="5">
        <v>21124</v>
      </c>
      <c r="B189" t="s">
        <v>363</v>
      </c>
      <c r="C189" t="s">
        <v>49</v>
      </c>
      <c r="D189" t="s">
        <v>198</v>
      </c>
      <c r="E189" t="s">
        <v>318</v>
      </c>
      <c r="F189" t="s">
        <v>49</v>
      </c>
    </row>
    <row r="190" spans="1:15" x14ac:dyDescent="0.3">
      <c r="A190" s="5">
        <v>21124</v>
      </c>
      <c r="B190" t="s">
        <v>363</v>
      </c>
      <c r="C190" t="s">
        <v>236</v>
      </c>
      <c r="D190" t="s">
        <v>237</v>
      </c>
      <c r="E190" t="s">
        <v>318</v>
      </c>
      <c r="F190" t="s">
        <v>236</v>
      </c>
    </row>
    <row r="191" spans="1:15" x14ac:dyDescent="0.3">
      <c r="A191" s="5">
        <v>21124</v>
      </c>
      <c r="B191" t="s">
        <v>363</v>
      </c>
      <c r="C191" t="s">
        <v>364</v>
      </c>
      <c r="D191" t="s">
        <v>365</v>
      </c>
      <c r="E191" t="s">
        <v>318</v>
      </c>
      <c r="F191" t="s">
        <v>364</v>
      </c>
    </row>
    <row r="192" spans="1:15" x14ac:dyDescent="0.3">
      <c r="A192" s="5">
        <v>21124</v>
      </c>
      <c r="B192" t="s">
        <v>363</v>
      </c>
      <c r="C192" t="s">
        <v>70</v>
      </c>
      <c r="D192" t="s">
        <v>87</v>
      </c>
      <c r="E192" t="s">
        <v>318</v>
      </c>
      <c r="F192" t="s">
        <v>70</v>
      </c>
    </row>
    <row r="193" spans="1:6" x14ac:dyDescent="0.3">
      <c r="A193" s="5">
        <v>21124</v>
      </c>
      <c r="B193" t="s">
        <v>363</v>
      </c>
      <c r="C193" t="s">
        <v>86</v>
      </c>
      <c r="D193" t="s">
        <v>117</v>
      </c>
      <c r="E193" t="s">
        <v>318</v>
      </c>
      <c r="F193" t="s">
        <v>86</v>
      </c>
    </row>
    <row r="194" spans="1:6" x14ac:dyDescent="0.3">
      <c r="A194" s="5">
        <v>21124</v>
      </c>
      <c r="B194" t="s">
        <v>363</v>
      </c>
      <c r="C194" t="s">
        <v>68</v>
      </c>
      <c r="D194" t="s">
        <v>292</v>
      </c>
      <c r="E194" t="s">
        <v>318</v>
      </c>
      <c r="F194" t="s">
        <v>68</v>
      </c>
    </row>
    <row r="195" spans="1:6" x14ac:dyDescent="0.3">
      <c r="A195" s="5">
        <v>21122</v>
      </c>
      <c r="B195" t="s">
        <v>366</v>
      </c>
      <c r="C195" t="s">
        <v>84</v>
      </c>
      <c r="D195" t="s">
        <v>85</v>
      </c>
      <c r="E195" t="s">
        <v>318</v>
      </c>
      <c r="F195" t="s">
        <v>84</v>
      </c>
    </row>
    <row r="196" spans="1:6" x14ac:dyDescent="0.3">
      <c r="A196" s="5">
        <v>21122</v>
      </c>
      <c r="B196" t="s">
        <v>366</v>
      </c>
      <c r="C196" t="s">
        <v>222</v>
      </c>
      <c r="D196" t="s">
        <v>223</v>
      </c>
      <c r="E196" t="s">
        <v>318</v>
      </c>
      <c r="F196" t="s">
        <v>222</v>
      </c>
    </row>
    <row r="197" spans="1:6" x14ac:dyDescent="0.3">
      <c r="A197" s="5">
        <v>21122</v>
      </c>
      <c r="B197" t="s">
        <v>366</v>
      </c>
      <c r="C197" t="s">
        <v>286</v>
      </c>
      <c r="D197" t="s">
        <v>287</v>
      </c>
      <c r="E197" t="s">
        <v>318</v>
      </c>
      <c r="F197" t="s">
        <v>286</v>
      </c>
    </row>
    <row r="198" spans="1:6" x14ac:dyDescent="0.3">
      <c r="A198" s="5">
        <v>21122</v>
      </c>
      <c r="B198" t="s">
        <v>366</v>
      </c>
      <c r="C198" t="s">
        <v>89</v>
      </c>
      <c r="D198" t="s">
        <v>325</v>
      </c>
      <c r="E198" t="s">
        <v>318</v>
      </c>
      <c r="F198" t="s">
        <v>89</v>
      </c>
    </row>
    <row r="199" spans="1:6" x14ac:dyDescent="0.3">
      <c r="A199" s="5">
        <v>21122</v>
      </c>
      <c r="B199" t="s">
        <v>366</v>
      </c>
      <c r="C199" t="s">
        <v>122</v>
      </c>
      <c r="D199" t="s">
        <v>123</v>
      </c>
      <c r="E199" t="s">
        <v>318</v>
      </c>
      <c r="F199" t="s">
        <v>122</v>
      </c>
    </row>
    <row r="200" spans="1:6" x14ac:dyDescent="0.3">
      <c r="A200" s="5">
        <v>21122</v>
      </c>
      <c r="B200" t="s">
        <v>366</v>
      </c>
      <c r="C200" t="s">
        <v>118</v>
      </c>
      <c r="D200" t="s">
        <v>144</v>
      </c>
      <c r="E200" t="s">
        <v>318</v>
      </c>
      <c r="F200" t="s">
        <v>118</v>
      </c>
    </row>
    <row r="201" spans="1:6" x14ac:dyDescent="0.3">
      <c r="A201" s="5">
        <v>21122</v>
      </c>
      <c r="B201" t="s">
        <v>366</v>
      </c>
      <c r="C201" t="s">
        <v>49</v>
      </c>
      <c r="D201" t="s">
        <v>198</v>
      </c>
      <c r="E201" t="s">
        <v>318</v>
      </c>
      <c r="F201" t="s">
        <v>49</v>
      </c>
    </row>
    <row r="202" spans="1:6" x14ac:dyDescent="0.3">
      <c r="A202" s="5">
        <v>21122</v>
      </c>
      <c r="B202" t="s">
        <v>366</v>
      </c>
      <c r="C202" t="s">
        <v>236</v>
      </c>
      <c r="D202" t="s">
        <v>237</v>
      </c>
      <c r="E202" t="s">
        <v>318</v>
      </c>
      <c r="F202" t="s">
        <v>236</v>
      </c>
    </row>
    <row r="203" spans="1:6" x14ac:dyDescent="0.3">
      <c r="A203" s="5">
        <v>21122</v>
      </c>
      <c r="B203" t="s">
        <v>366</v>
      </c>
      <c r="C203" t="s">
        <v>364</v>
      </c>
      <c r="D203" t="s">
        <v>365</v>
      </c>
      <c r="E203" t="s">
        <v>318</v>
      </c>
      <c r="F203" t="s">
        <v>364</v>
      </c>
    </row>
    <row r="204" spans="1:6" x14ac:dyDescent="0.3">
      <c r="A204" s="5">
        <v>21122</v>
      </c>
      <c r="B204" t="s">
        <v>366</v>
      </c>
      <c r="C204" t="s">
        <v>70</v>
      </c>
      <c r="D204" t="s">
        <v>87</v>
      </c>
      <c r="E204" t="s">
        <v>318</v>
      </c>
      <c r="F204" t="s">
        <v>70</v>
      </c>
    </row>
    <row r="205" spans="1:6" x14ac:dyDescent="0.3">
      <c r="A205" s="5">
        <v>21122</v>
      </c>
      <c r="B205" t="s">
        <v>366</v>
      </c>
      <c r="C205" t="s">
        <v>86</v>
      </c>
      <c r="D205" t="s">
        <v>117</v>
      </c>
      <c r="E205" t="s">
        <v>318</v>
      </c>
      <c r="F205" t="s">
        <v>86</v>
      </c>
    </row>
    <row r="206" spans="1:6" x14ac:dyDescent="0.3">
      <c r="A206" s="5">
        <v>21122</v>
      </c>
      <c r="B206" t="s">
        <v>366</v>
      </c>
      <c r="C206" t="s">
        <v>68</v>
      </c>
      <c r="D206" t="s">
        <v>292</v>
      </c>
      <c r="E206" t="s">
        <v>318</v>
      </c>
      <c r="F206" t="s">
        <v>68</v>
      </c>
    </row>
    <row r="207" spans="1:6" x14ac:dyDescent="0.3">
      <c r="A207" s="5">
        <v>21123</v>
      </c>
      <c r="B207" t="s">
        <v>367</v>
      </c>
      <c r="C207" t="s">
        <v>84</v>
      </c>
      <c r="D207" t="s">
        <v>85</v>
      </c>
      <c r="E207" t="s">
        <v>318</v>
      </c>
      <c r="F207" t="s">
        <v>84</v>
      </c>
    </row>
    <row r="208" spans="1:6" x14ac:dyDescent="0.3">
      <c r="A208" s="5">
        <v>21123</v>
      </c>
      <c r="B208" t="s">
        <v>367</v>
      </c>
      <c r="C208" t="s">
        <v>222</v>
      </c>
      <c r="D208" t="s">
        <v>223</v>
      </c>
      <c r="E208" t="s">
        <v>318</v>
      </c>
      <c r="F208" t="s">
        <v>222</v>
      </c>
    </row>
    <row r="209" spans="1:6" x14ac:dyDescent="0.3">
      <c r="A209" s="5">
        <v>21123</v>
      </c>
      <c r="B209" t="s">
        <v>367</v>
      </c>
      <c r="C209" t="s">
        <v>286</v>
      </c>
      <c r="D209" t="s">
        <v>287</v>
      </c>
      <c r="E209" t="s">
        <v>318</v>
      </c>
      <c r="F209" t="s">
        <v>286</v>
      </c>
    </row>
    <row r="210" spans="1:6" x14ac:dyDescent="0.3">
      <c r="A210" s="5">
        <v>21123</v>
      </c>
      <c r="B210" t="s">
        <v>367</v>
      </c>
      <c r="C210" t="s">
        <v>89</v>
      </c>
      <c r="D210" t="s">
        <v>325</v>
      </c>
      <c r="E210" t="s">
        <v>318</v>
      </c>
      <c r="F210" t="s">
        <v>89</v>
      </c>
    </row>
    <row r="211" spans="1:6" x14ac:dyDescent="0.3">
      <c r="A211" s="5">
        <v>21123</v>
      </c>
      <c r="B211" t="s">
        <v>367</v>
      </c>
      <c r="C211" t="s">
        <v>122</v>
      </c>
      <c r="D211" t="s">
        <v>123</v>
      </c>
      <c r="E211" t="s">
        <v>318</v>
      </c>
      <c r="F211" t="s">
        <v>122</v>
      </c>
    </row>
    <row r="212" spans="1:6" x14ac:dyDescent="0.3">
      <c r="A212" s="5">
        <v>21123</v>
      </c>
      <c r="B212" t="s">
        <v>367</v>
      </c>
      <c r="C212" t="s">
        <v>118</v>
      </c>
      <c r="D212" t="s">
        <v>144</v>
      </c>
      <c r="E212" t="s">
        <v>318</v>
      </c>
      <c r="F212" t="s">
        <v>118</v>
      </c>
    </row>
    <row r="213" spans="1:6" x14ac:dyDescent="0.3">
      <c r="A213" s="5">
        <v>21123</v>
      </c>
      <c r="B213" t="s">
        <v>367</v>
      </c>
      <c r="C213" t="s">
        <v>49</v>
      </c>
      <c r="D213" t="s">
        <v>198</v>
      </c>
      <c r="E213" t="s">
        <v>318</v>
      </c>
      <c r="F213" t="s">
        <v>49</v>
      </c>
    </row>
    <row r="214" spans="1:6" x14ac:dyDescent="0.3">
      <c r="A214" s="5">
        <v>21123</v>
      </c>
      <c r="B214" t="s">
        <v>367</v>
      </c>
      <c r="C214" t="s">
        <v>236</v>
      </c>
      <c r="D214" t="s">
        <v>237</v>
      </c>
      <c r="E214" t="s">
        <v>318</v>
      </c>
      <c r="F214" t="s">
        <v>236</v>
      </c>
    </row>
    <row r="215" spans="1:6" x14ac:dyDescent="0.3">
      <c r="A215" s="5">
        <v>21123</v>
      </c>
      <c r="B215" t="s">
        <v>367</v>
      </c>
      <c r="C215" t="s">
        <v>364</v>
      </c>
      <c r="D215" t="s">
        <v>365</v>
      </c>
      <c r="E215" t="s">
        <v>318</v>
      </c>
      <c r="F215" t="s">
        <v>364</v>
      </c>
    </row>
    <row r="216" spans="1:6" x14ac:dyDescent="0.3">
      <c r="A216" s="5">
        <v>21123</v>
      </c>
      <c r="B216" t="s">
        <v>367</v>
      </c>
      <c r="C216" t="s">
        <v>70</v>
      </c>
      <c r="D216" t="s">
        <v>87</v>
      </c>
      <c r="E216" t="s">
        <v>318</v>
      </c>
      <c r="F216" t="s">
        <v>70</v>
      </c>
    </row>
    <row r="217" spans="1:6" x14ac:dyDescent="0.3">
      <c r="A217" s="5">
        <v>21123</v>
      </c>
      <c r="B217" t="s">
        <v>367</v>
      </c>
      <c r="C217" t="s">
        <v>86</v>
      </c>
      <c r="D217" t="s">
        <v>117</v>
      </c>
      <c r="E217" t="s">
        <v>318</v>
      </c>
      <c r="F217" t="s">
        <v>86</v>
      </c>
    </row>
    <row r="218" spans="1:6" x14ac:dyDescent="0.3">
      <c r="A218" s="5">
        <v>21123</v>
      </c>
      <c r="B218" t="s">
        <v>367</v>
      </c>
      <c r="C218" t="s">
        <v>68</v>
      </c>
      <c r="D218" t="s">
        <v>292</v>
      </c>
      <c r="E218" t="s">
        <v>318</v>
      </c>
      <c r="F218" t="s">
        <v>68</v>
      </c>
    </row>
    <row r="219" spans="1:6" x14ac:dyDescent="0.3">
      <c r="A219" s="5">
        <v>21170.01</v>
      </c>
      <c r="B219" t="s">
        <v>316</v>
      </c>
      <c r="C219" t="s">
        <v>84</v>
      </c>
      <c r="D219" t="s">
        <v>85</v>
      </c>
      <c r="E219" t="s">
        <v>318</v>
      </c>
      <c r="F219" t="s">
        <v>84</v>
      </c>
    </row>
    <row r="220" spans="1:6" x14ac:dyDescent="0.3">
      <c r="A220" s="5">
        <v>21170.01</v>
      </c>
      <c r="B220" t="s">
        <v>316</v>
      </c>
      <c r="C220" t="s">
        <v>222</v>
      </c>
      <c r="D220" t="s">
        <v>223</v>
      </c>
      <c r="E220" t="s">
        <v>318</v>
      </c>
      <c r="F220" t="s">
        <v>222</v>
      </c>
    </row>
    <row r="221" spans="1:6" x14ac:dyDescent="0.3">
      <c r="A221" s="5">
        <v>21170.01</v>
      </c>
      <c r="B221" t="s">
        <v>316</v>
      </c>
      <c r="C221" t="s">
        <v>286</v>
      </c>
      <c r="D221" t="s">
        <v>287</v>
      </c>
      <c r="E221" t="s">
        <v>318</v>
      </c>
      <c r="F221" t="s">
        <v>286</v>
      </c>
    </row>
    <row r="222" spans="1:6" x14ac:dyDescent="0.3">
      <c r="A222" s="5">
        <v>21170.01</v>
      </c>
      <c r="B222" t="s">
        <v>316</v>
      </c>
      <c r="C222" t="s">
        <v>89</v>
      </c>
      <c r="D222" t="s">
        <v>325</v>
      </c>
      <c r="E222" t="s">
        <v>318</v>
      </c>
      <c r="F222" t="s">
        <v>89</v>
      </c>
    </row>
    <row r="223" spans="1:6" x14ac:dyDescent="0.3">
      <c r="A223" s="5">
        <v>21170.01</v>
      </c>
      <c r="B223" t="s">
        <v>316</v>
      </c>
      <c r="C223" t="s">
        <v>122</v>
      </c>
      <c r="D223" t="s">
        <v>123</v>
      </c>
      <c r="E223" t="s">
        <v>318</v>
      </c>
      <c r="F223" t="s">
        <v>122</v>
      </c>
    </row>
    <row r="224" spans="1:6" x14ac:dyDescent="0.3">
      <c r="A224" s="5">
        <v>21170.01</v>
      </c>
      <c r="B224" t="s">
        <v>316</v>
      </c>
      <c r="C224" t="s">
        <v>118</v>
      </c>
      <c r="D224" t="s">
        <v>144</v>
      </c>
      <c r="E224" t="s">
        <v>318</v>
      </c>
      <c r="F224" t="s">
        <v>118</v>
      </c>
    </row>
    <row r="225" spans="1:6" x14ac:dyDescent="0.3">
      <c r="A225" s="5">
        <v>21170.01</v>
      </c>
      <c r="B225" t="s">
        <v>316</v>
      </c>
      <c r="C225" t="s">
        <v>49</v>
      </c>
      <c r="D225" t="s">
        <v>198</v>
      </c>
      <c r="E225" t="s">
        <v>318</v>
      </c>
      <c r="F225" t="s">
        <v>49</v>
      </c>
    </row>
    <row r="226" spans="1:6" x14ac:dyDescent="0.3">
      <c r="A226" s="5">
        <v>21170.01</v>
      </c>
      <c r="B226" t="s">
        <v>316</v>
      </c>
      <c r="C226" t="s">
        <v>236</v>
      </c>
      <c r="D226" t="s">
        <v>237</v>
      </c>
      <c r="E226" t="s">
        <v>318</v>
      </c>
      <c r="F226" t="s">
        <v>236</v>
      </c>
    </row>
    <row r="227" spans="1:6" x14ac:dyDescent="0.3">
      <c r="A227" s="5">
        <v>21170.01</v>
      </c>
      <c r="B227" t="s">
        <v>316</v>
      </c>
      <c r="C227" t="s">
        <v>364</v>
      </c>
      <c r="D227" t="s">
        <v>365</v>
      </c>
      <c r="E227" t="s">
        <v>318</v>
      </c>
      <c r="F227" t="s">
        <v>364</v>
      </c>
    </row>
    <row r="228" spans="1:6" x14ac:dyDescent="0.3">
      <c r="A228" s="5">
        <v>21170.01</v>
      </c>
      <c r="B228" t="s">
        <v>316</v>
      </c>
      <c r="C228" t="s">
        <v>70</v>
      </c>
      <c r="D228" t="s">
        <v>87</v>
      </c>
      <c r="E228" t="s">
        <v>318</v>
      </c>
      <c r="F228" t="s">
        <v>70</v>
      </c>
    </row>
    <row r="229" spans="1:6" x14ac:dyDescent="0.3">
      <c r="A229" s="5">
        <v>21170.01</v>
      </c>
      <c r="B229" t="s">
        <v>316</v>
      </c>
      <c r="C229" t="s">
        <v>86</v>
      </c>
      <c r="D229" t="s">
        <v>117</v>
      </c>
      <c r="E229" t="s">
        <v>318</v>
      </c>
      <c r="F229" t="s">
        <v>86</v>
      </c>
    </row>
    <row r="230" spans="1:6" x14ac:dyDescent="0.3">
      <c r="A230" s="5">
        <v>21170.01</v>
      </c>
      <c r="B230" t="s">
        <v>316</v>
      </c>
      <c r="C230" t="s">
        <v>68</v>
      </c>
      <c r="D230" t="s">
        <v>292</v>
      </c>
      <c r="E230" t="s">
        <v>318</v>
      </c>
      <c r="F230" t="s">
        <v>68</v>
      </c>
    </row>
    <row r="231" spans="1:6" x14ac:dyDescent="0.3">
      <c r="A231" s="5">
        <v>21121</v>
      </c>
      <c r="B231" t="s">
        <v>368</v>
      </c>
      <c r="C231" t="s">
        <v>84</v>
      </c>
      <c r="D231" t="s">
        <v>85</v>
      </c>
      <c r="E231" t="s">
        <v>318</v>
      </c>
      <c r="F231" t="s">
        <v>84</v>
      </c>
    </row>
    <row r="232" spans="1:6" x14ac:dyDescent="0.3">
      <c r="A232" s="5">
        <v>21121</v>
      </c>
      <c r="B232" t="s">
        <v>368</v>
      </c>
      <c r="C232" t="s">
        <v>222</v>
      </c>
      <c r="D232" t="s">
        <v>223</v>
      </c>
      <c r="E232" t="s">
        <v>318</v>
      </c>
      <c r="F232" t="s">
        <v>222</v>
      </c>
    </row>
    <row r="233" spans="1:6" x14ac:dyDescent="0.3">
      <c r="A233" s="5">
        <v>21121</v>
      </c>
      <c r="B233" t="s">
        <v>368</v>
      </c>
      <c r="C233" t="s">
        <v>286</v>
      </c>
      <c r="D233" t="s">
        <v>287</v>
      </c>
      <c r="E233" t="s">
        <v>318</v>
      </c>
      <c r="F233" t="s">
        <v>286</v>
      </c>
    </row>
    <row r="234" spans="1:6" x14ac:dyDescent="0.3">
      <c r="A234" s="5">
        <v>21121</v>
      </c>
      <c r="B234" t="s">
        <v>368</v>
      </c>
      <c r="C234" t="s">
        <v>89</v>
      </c>
      <c r="D234" t="s">
        <v>325</v>
      </c>
      <c r="E234" t="s">
        <v>318</v>
      </c>
      <c r="F234" t="s">
        <v>89</v>
      </c>
    </row>
    <row r="235" spans="1:6" x14ac:dyDescent="0.3">
      <c r="A235" s="5">
        <v>21121</v>
      </c>
      <c r="B235" t="s">
        <v>368</v>
      </c>
      <c r="C235" t="s">
        <v>122</v>
      </c>
      <c r="D235" t="s">
        <v>123</v>
      </c>
      <c r="E235" t="s">
        <v>318</v>
      </c>
      <c r="F235" t="s">
        <v>122</v>
      </c>
    </row>
    <row r="236" spans="1:6" x14ac:dyDescent="0.3">
      <c r="A236" s="5">
        <v>21121</v>
      </c>
      <c r="B236" t="s">
        <v>368</v>
      </c>
      <c r="C236" t="s">
        <v>118</v>
      </c>
      <c r="D236" t="s">
        <v>144</v>
      </c>
      <c r="E236" t="s">
        <v>318</v>
      </c>
      <c r="F236" t="s">
        <v>118</v>
      </c>
    </row>
    <row r="237" spans="1:6" x14ac:dyDescent="0.3">
      <c r="A237" s="5">
        <v>21121</v>
      </c>
      <c r="B237" t="s">
        <v>368</v>
      </c>
      <c r="C237" t="s">
        <v>49</v>
      </c>
      <c r="D237" t="s">
        <v>198</v>
      </c>
      <c r="E237" t="s">
        <v>318</v>
      </c>
      <c r="F237" t="s">
        <v>49</v>
      </c>
    </row>
    <row r="238" spans="1:6" x14ac:dyDescent="0.3">
      <c r="A238" s="5">
        <v>21121</v>
      </c>
      <c r="B238" t="s">
        <v>368</v>
      </c>
      <c r="C238" t="s">
        <v>236</v>
      </c>
      <c r="D238" t="s">
        <v>237</v>
      </c>
      <c r="E238" t="s">
        <v>318</v>
      </c>
      <c r="F238" t="s">
        <v>236</v>
      </c>
    </row>
    <row r="239" spans="1:6" x14ac:dyDescent="0.3">
      <c r="A239" s="5">
        <v>21121</v>
      </c>
      <c r="B239" t="s">
        <v>368</v>
      </c>
      <c r="C239" t="s">
        <v>364</v>
      </c>
      <c r="D239" t="s">
        <v>365</v>
      </c>
      <c r="E239" t="s">
        <v>318</v>
      </c>
      <c r="F239" t="s">
        <v>364</v>
      </c>
    </row>
    <row r="240" spans="1:6" x14ac:dyDescent="0.3">
      <c r="A240" s="5">
        <v>21121</v>
      </c>
      <c r="B240" t="s">
        <v>368</v>
      </c>
      <c r="C240" t="s">
        <v>70</v>
      </c>
      <c r="D240" t="s">
        <v>87</v>
      </c>
      <c r="E240" t="s">
        <v>318</v>
      </c>
      <c r="F240" t="s">
        <v>70</v>
      </c>
    </row>
    <row r="241" spans="1:6" x14ac:dyDescent="0.3">
      <c r="A241" s="5">
        <v>21121</v>
      </c>
      <c r="B241" t="s">
        <v>368</v>
      </c>
      <c r="C241" t="s">
        <v>86</v>
      </c>
      <c r="D241" t="s">
        <v>117</v>
      </c>
      <c r="E241" t="s">
        <v>318</v>
      </c>
      <c r="F241" t="s">
        <v>86</v>
      </c>
    </row>
    <row r="242" spans="1:6" x14ac:dyDescent="0.3">
      <c r="A242" s="5">
        <v>21121</v>
      </c>
      <c r="B242" t="s">
        <v>368</v>
      </c>
      <c r="C242" t="s">
        <v>68</v>
      </c>
      <c r="D242" t="s">
        <v>292</v>
      </c>
      <c r="E242" t="s">
        <v>318</v>
      </c>
      <c r="F242" t="s">
        <v>68</v>
      </c>
    </row>
    <row r="243" spans="1:6" x14ac:dyDescent="0.3">
      <c r="A243" s="5" t="s">
        <v>369</v>
      </c>
      <c r="B243" s="21" t="s">
        <v>377</v>
      </c>
      <c r="C243" t="s">
        <v>84</v>
      </c>
      <c r="D243" t="s">
        <v>85</v>
      </c>
      <c r="E243" t="s">
        <v>360</v>
      </c>
      <c r="F243" t="s">
        <v>84</v>
      </c>
    </row>
    <row r="244" spans="1:6" x14ac:dyDescent="0.3">
      <c r="A244" s="5" t="s">
        <v>369</v>
      </c>
      <c r="B244" s="21" t="s">
        <v>377</v>
      </c>
      <c r="C244" t="s">
        <v>222</v>
      </c>
      <c r="D244" t="s">
        <v>223</v>
      </c>
      <c r="E244" t="s">
        <v>360</v>
      </c>
      <c r="F244" t="s">
        <v>222</v>
      </c>
    </row>
    <row r="245" spans="1:6" x14ac:dyDescent="0.3">
      <c r="A245" s="5" t="s">
        <v>369</v>
      </c>
      <c r="B245" s="21" t="s">
        <v>377</v>
      </c>
      <c r="C245" t="s">
        <v>286</v>
      </c>
      <c r="D245" t="s">
        <v>287</v>
      </c>
      <c r="E245" t="s">
        <v>360</v>
      </c>
      <c r="F245" t="s">
        <v>286</v>
      </c>
    </row>
    <row r="246" spans="1:6" x14ac:dyDescent="0.3">
      <c r="A246" s="5" t="s">
        <v>369</v>
      </c>
      <c r="B246" s="21" t="s">
        <v>377</v>
      </c>
      <c r="C246" t="s">
        <v>89</v>
      </c>
      <c r="D246" t="s">
        <v>325</v>
      </c>
      <c r="E246" t="s">
        <v>360</v>
      </c>
      <c r="F246" t="s">
        <v>89</v>
      </c>
    </row>
    <row r="247" spans="1:6" x14ac:dyDescent="0.3">
      <c r="A247" s="5" t="s">
        <v>369</v>
      </c>
      <c r="B247" s="21" t="s">
        <v>377</v>
      </c>
      <c r="C247" t="s">
        <v>68</v>
      </c>
      <c r="D247" t="s">
        <v>292</v>
      </c>
      <c r="E247" t="s">
        <v>360</v>
      </c>
      <c r="F247" t="s">
        <v>68</v>
      </c>
    </row>
    <row r="248" spans="1:6" x14ac:dyDescent="0.3">
      <c r="A248" s="5" t="s">
        <v>369</v>
      </c>
      <c r="B248" s="21" t="s">
        <v>377</v>
      </c>
      <c r="C248" t="s">
        <v>118</v>
      </c>
      <c r="D248" t="s">
        <v>144</v>
      </c>
      <c r="E248" t="s">
        <v>360</v>
      </c>
      <c r="F248" t="s">
        <v>118</v>
      </c>
    </row>
    <row r="249" spans="1:6" x14ac:dyDescent="0.3">
      <c r="A249" s="5" t="s">
        <v>369</v>
      </c>
      <c r="B249" s="21" t="s">
        <v>377</v>
      </c>
      <c r="C249" t="s">
        <v>49</v>
      </c>
      <c r="D249" t="s">
        <v>198</v>
      </c>
      <c r="E249" t="s">
        <v>360</v>
      </c>
      <c r="F249" t="s">
        <v>49</v>
      </c>
    </row>
    <row r="250" spans="1:6" x14ac:dyDescent="0.3">
      <c r="A250" s="5" t="s">
        <v>369</v>
      </c>
      <c r="B250" s="21" t="s">
        <v>377</v>
      </c>
      <c r="C250" t="s">
        <v>236</v>
      </c>
      <c r="D250" t="s">
        <v>237</v>
      </c>
      <c r="E250" t="s">
        <v>360</v>
      </c>
      <c r="F250" t="s">
        <v>236</v>
      </c>
    </row>
    <row r="251" spans="1:6" x14ac:dyDescent="0.3">
      <c r="A251" s="5" t="s">
        <v>369</v>
      </c>
      <c r="B251" s="21" t="s">
        <v>377</v>
      </c>
      <c r="C251" t="s">
        <v>364</v>
      </c>
      <c r="D251" t="s">
        <v>365</v>
      </c>
      <c r="E251" t="s">
        <v>360</v>
      </c>
      <c r="F251" t="s">
        <v>364</v>
      </c>
    </row>
    <row r="252" spans="1:6" x14ac:dyDescent="0.3">
      <c r="A252" s="5" t="s">
        <v>369</v>
      </c>
      <c r="B252" s="21" t="s">
        <v>377</v>
      </c>
      <c r="C252" t="s">
        <v>70</v>
      </c>
      <c r="D252" t="s">
        <v>87</v>
      </c>
      <c r="E252" t="s">
        <v>360</v>
      </c>
      <c r="F252" t="s">
        <v>70</v>
      </c>
    </row>
    <row r="253" spans="1:6" x14ac:dyDescent="0.3">
      <c r="A253" s="5" t="s">
        <v>369</v>
      </c>
      <c r="B253" s="21" t="s">
        <v>377</v>
      </c>
      <c r="C253" t="s">
        <v>86</v>
      </c>
      <c r="D253" t="s">
        <v>117</v>
      </c>
      <c r="E253" t="s">
        <v>360</v>
      </c>
      <c r="F253" t="s">
        <v>86</v>
      </c>
    </row>
    <row r="254" spans="1:6" x14ac:dyDescent="0.3">
      <c r="A254" s="5" t="s">
        <v>371</v>
      </c>
      <c r="B254" t="s">
        <v>378</v>
      </c>
      <c r="C254" t="s">
        <v>84</v>
      </c>
      <c r="D254" t="s">
        <v>85</v>
      </c>
      <c r="E254" t="s">
        <v>360</v>
      </c>
      <c r="F254" t="s">
        <v>84</v>
      </c>
    </row>
    <row r="255" spans="1:6" x14ac:dyDescent="0.3">
      <c r="A255" s="5" t="s">
        <v>371</v>
      </c>
      <c r="B255" t="s">
        <v>378</v>
      </c>
      <c r="C255" t="s">
        <v>222</v>
      </c>
      <c r="D255" t="s">
        <v>223</v>
      </c>
      <c r="E255" t="s">
        <v>360</v>
      </c>
      <c r="F255" t="s">
        <v>222</v>
      </c>
    </row>
    <row r="256" spans="1:6" x14ac:dyDescent="0.3">
      <c r="A256" s="5" t="s">
        <v>371</v>
      </c>
      <c r="B256" t="s">
        <v>378</v>
      </c>
      <c r="C256" t="s">
        <v>286</v>
      </c>
      <c r="D256" t="s">
        <v>287</v>
      </c>
      <c r="E256" t="s">
        <v>360</v>
      </c>
      <c r="F256" t="s">
        <v>286</v>
      </c>
    </row>
    <row r="257" spans="1:6" x14ac:dyDescent="0.3">
      <c r="A257" s="5" t="s">
        <v>371</v>
      </c>
      <c r="B257" t="s">
        <v>378</v>
      </c>
      <c r="C257" t="s">
        <v>89</v>
      </c>
      <c r="D257" t="s">
        <v>325</v>
      </c>
      <c r="E257" t="s">
        <v>360</v>
      </c>
      <c r="F257" t="s">
        <v>89</v>
      </c>
    </row>
    <row r="258" spans="1:6" x14ac:dyDescent="0.3">
      <c r="A258" s="5" t="s">
        <v>371</v>
      </c>
      <c r="B258" t="s">
        <v>378</v>
      </c>
      <c r="C258" t="s">
        <v>68</v>
      </c>
      <c r="D258" t="s">
        <v>292</v>
      </c>
      <c r="E258" t="s">
        <v>360</v>
      </c>
      <c r="F258" t="s">
        <v>68</v>
      </c>
    </row>
    <row r="259" spans="1:6" x14ac:dyDescent="0.3">
      <c r="A259" s="5" t="s">
        <v>371</v>
      </c>
      <c r="B259" t="s">
        <v>378</v>
      </c>
      <c r="C259" t="s">
        <v>118</v>
      </c>
      <c r="D259" t="s">
        <v>144</v>
      </c>
      <c r="E259" t="s">
        <v>360</v>
      </c>
      <c r="F259" t="s">
        <v>118</v>
      </c>
    </row>
    <row r="260" spans="1:6" x14ac:dyDescent="0.3">
      <c r="A260" s="5" t="s">
        <v>371</v>
      </c>
      <c r="B260" t="s">
        <v>378</v>
      </c>
      <c r="C260" t="s">
        <v>49</v>
      </c>
      <c r="D260" t="s">
        <v>198</v>
      </c>
      <c r="E260" t="s">
        <v>360</v>
      </c>
      <c r="F260" t="s">
        <v>49</v>
      </c>
    </row>
    <row r="261" spans="1:6" x14ac:dyDescent="0.3">
      <c r="A261" s="5" t="s">
        <v>371</v>
      </c>
      <c r="B261" t="s">
        <v>378</v>
      </c>
      <c r="C261" t="s">
        <v>236</v>
      </c>
      <c r="D261" t="s">
        <v>237</v>
      </c>
      <c r="E261" t="s">
        <v>360</v>
      </c>
      <c r="F261" t="s">
        <v>236</v>
      </c>
    </row>
    <row r="262" spans="1:6" x14ac:dyDescent="0.3">
      <c r="A262" s="5" t="s">
        <v>371</v>
      </c>
      <c r="B262" t="s">
        <v>378</v>
      </c>
      <c r="C262" t="s">
        <v>364</v>
      </c>
      <c r="D262" t="s">
        <v>365</v>
      </c>
      <c r="E262" t="s">
        <v>360</v>
      </c>
      <c r="F262" t="s">
        <v>364</v>
      </c>
    </row>
    <row r="263" spans="1:6" x14ac:dyDescent="0.3">
      <c r="A263" s="5" t="s">
        <v>371</v>
      </c>
      <c r="B263" t="s">
        <v>378</v>
      </c>
      <c r="C263" t="s">
        <v>70</v>
      </c>
      <c r="D263" t="s">
        <v>87</v>
      </c>
      <c r="E263" t="s">
        <v>360</v>
      </c>
      <c r="F263" t="s">
        <v>70</v>
      </c>
    </row>
    <row r="264" spans="1:6" x14ac:dyDescent="0.3">
      <c r="A264" s="5" t="s">
        <v>371</v>
      </c>
      <c r="B264" t="s">
        <v>378</v>
      </c>
      <c r="C264" t="s">
        <v>86</v>
      </c>
      <c r="D264" t="s">
        <v>117</v>
      </c>
      <c r="E264" t="s">
        <v>360</v>
      </c>
      <c r="F264" t="s">
        <v>86</v>
      </c>
    </row>
    <row r="265" spans="1:6" x14ac:dyDescent="0.3">
      <c r="A265" s="5" t="s">
        <v>370</v>
      </c>
      <c r="B265" t="s">
        <v>376</v>
      </c>
      <c r="C265" t="s">
        <v>84</v>
      </c>
      <c r="D265" t="s">
        <v>85</v>
      </c>
      <c r="E265" t="s">
        <v>360</v>
      </c>
      <c r="F265" t="s">
        <v>84</v>
      </c>
    </row>
    <row r="266" spans="1:6" x14ac:dyDescent="0.3">
      <c r="A266" s="5" t="s">
        <v>370</v>
      </c>
      <c r="B266" t="s">
        <v>376</v>
      </c>
      <c r="C266" t="s">
        <v>222</v>
      </c>
      <c r="D266" t="s">
        <v>223</v>
      </c>
      <c r="E266" t="s">
        <v>360</v>
      </c>
      <c r="F266" t="s">
        <v>222</v>
      </c>
    </row>
    <row r="267" spans="1:6" x14ac:dyDescent="0.3">
      <c r="A267" s="5" t="s">
        <v>370</v>
      </c>
      <c r="B267" t="s">
        <v>376</v>
      </c>
      <c r="C267" t="s">
        <v>286</v>
      </c>
      <c r="D267" t="s">
        <v>287</v>
      </c>
      <c r="E267" t="s">
        <v>360</v>
      </c>
      <c r="F267" t="s">
        <v>286</v>
      </c>
    </row>
    <row r="268" spans="1:6" x14ac:dyDescent="0.3">
      <c r="A268" s="5" t="s">
        <v>370</v>
      </c>
      <c r="B268" t="s">
        <v>376</v>
      </c>
      <c r="C268" t="s">
        <v>89</v>
      </c>
      <c r="D268" t="s">
        <v>325</v>
      </c>
      <c r="E268" t="s">
        <v>360</v>
      </c>
      <c r="F268" t="s">
        <v>89</v>
      </c>
    </row>
    <row r="269" spans="1:6" x14ac:dyDescent="0.3">
      <c r="A269" s="5" t="s">
        <v>370</v>
      </c>
      <c r="B269" t="s">
        <v>376</v>
      </c>
      <c r="C269" t="s">
        <v>68</v>
      </c>
      <c r="D269" t="s">
        <v>292</v>
      </c>
      <c r="E269" t="s">
        <v>360</v>
      </c>
      <c r="F269" t="s">
        <v>68</v>
      </c>
    </row>
    <row r="270" spans="1:6" x14ac:dyDescent="0.3">
      <c r="A270" s="5" t="s">
        <v>370</v>
      </c>
      <c r="B270" t="s">
        <v>376</v>
      </c>
      <c r="C270" t="s">
        <v>118</v>
      </c>
      <c r="D270" t="s">
        <v>144</v>
      </c>
      <c r="E270" t="s">
        <v>360</v>
      </c>
      <c r="F270" t="s">
        <v>118</v>
      </c>
    </row>
    <row r="271" spans="1:6" x14ac:dyDescent="0.3">
      <c r="A271" s="5" t="s">
        <v>370</v>
      </c>
      <c r="B271" t="s">
        <v>376</v>
      </c>
      <c r="C271" t="s">
        <v>49</v>
      </c>
      <c r="D271" t="s">
        <v>198</v>
      </c>
      <c r="E271" t="s">
        <v>360</v>
      </c>
      <c r="F271" t="s">
        <v>49</v>
      </c>
    </row>
    <row r="272" spans="1:6" x14ac:dyDescent="0.3">
      <c r="A272" s="5" t="s">
        <v>370</v>
      </c>
      <c r="B272" t="s">
        <v>376</v>
      </c>
      <c r="C272" t="s">
        <v>236</v>
      </c>
      <c r="D272" t="s">
        <v>237</v>
      </c>
      <c r="E272" t="s">
        <v>360</v>
      </c>
      <c r="F272" t="s">
        <v>236</v>
      </c>
    </row>
    <row r="273" spans="1:6" x14ac:dyDescent="0.3">
      <c r="A273" s="5" t="s">
        <v>370</v>
      </c>
      <c r="B273" t="s">
        <v>376</v>
      </c>
      <c r="C273" t="s">
        <v>364</v>
      </c>
      <c r="D273" t="s">
        <v>365</v>
      </c>
      <c r="E273" t="s">
        <v>360</v>
      </c>
      <c r="F273" t="s">
        <v>364</v>
      </c>
    </row>
    <row r="274" spans="1:6" x14ac:dyDescent="0.3">
      <c r="A274" s="5" t="s">
        <v>370</v>
      </c>
      <c r="B274" t="s">
        <v>376</v>
      </c>
      <c r="C274" t="s">
        <v>70</v>
      </c>
      <c r="D274" t="s">
        <v>87</v>
      </c>
      <c r="E274" t="s">
        <v>360</v>
      </c>
      <c r="F274" t="s">
        <v>70</v>
      </c>
    </row>
    <row r="275" spans="1:6" x14ac:dyDescent="0.3">
      <c r="A275" s="5" t="s">
        <v>370</v>
      </c>
      <c r="B275" t="s">
        <v>376</v>
      </c>
      <c r="C275" t="s">
        <v>86</v>
      </c>
      <c r="D275" t="s">
        <v>117</v>
      </c>
      <c r="E275" t="s">
        <v>360</v>
      </c>
      <c r="F275" t="s">
        <v>86</v>
      </c>
    </row>
    <row r="276" spans="1:6" x14ac:dyDescent="0.3">
      <c r="A276" s="5" t="s">
        <v>372</v>
      </c>
      <c r="B276" t="s">
        <v>373</v>
      </c>
      <c r="C276" t="s">
        <v>84</v>
      </c>
      <c r="D276" t="s">
        <v>85</v>
      </c>
      <c r="E276" t="s">
        <v>362</v>
      </c>
      <c r="F276" t="s">
        <v>84</v>
      </c>
    </row>
    <row r="277" spans="1:6" x14ac:dyDescent="0.3">
      <c r="A277" s="5" t="s">
        <v>372</v>
      </c>
      <c r="B277" t="s">
        <v>373</v>
      </c>
      <c r="C277" t="s">
        <v>222</v>
      </c>
      <c r="D277" t="s">
        <v>223</v>
      </c>
      <c r="E277" t="s">
        <v>362</v>
      </c>
      <c r="F277" t="s">
        <v>222</v>
      </c>
    </row>
    <row r="278" spans="1:6" x14ac:dyDescent="0.3">
      <c r="A278" s="5" t="s">
        <v>372</v>
      </c>
      <c r="B278" t="s">
        <v>373</v>
      </c>
      <c r="C278" t="s">
        <v>286</v>
      </c>
      <c r="D278" t="s">
        <v>287</v>
      </c>
      <c r="E278" t="s">
        <v>362</v>
      </c>
      <c r="F278" t="s">
        <v>286</v>
      </c>
    </row>
    <row r="279" spans="1:6" x14ac:dyDescent="0.3">
      <c r="A279" s="5" t="s">
        <v>372</v>
      </c>
      <c r="B279" t="s">
        <v>373</v>
      </c>
      <c r="C279" t="s">
        <v>89</v>
      </c>
      <c r="D279" t="s">
        <v>325</v>
      </c>
      <c r="E279" t="s">
        <v>362</v>
      </c>
      <c r="F279" t="s">
        <v>89</v>
      </c>
    </row>
    <row r="280" spans="1:6" x14ac:dyDescent="0.3">
      <c r="A280" s="5" t="s">
        <v>372</v>
      </c>
      <c r="B280" t="s">
        <v>373</v>
      </c>
      <c r="C280" t="s">
        <v>122</v>
      </c>
      <c r="D280" t="s">
        <v>123</v>
      </c>
      <c r="E280" t="s">
        <v>362</v>
      </c>
      <c r="F280" t="s">
        <v>122</v>
      </c>
    </row>
    <row r="281" spans="1:6" x14ac:dyDescent="0.3">
      <c r="A281" s="5" t="s">
        <v>372</v>
      </c>
      <c r="B281" t="s">
        <v>373</v>
      </c>
      <c r="C281" t="s">
        <v>118</v>
      </c>
      <c r="D281" t="s">
        <v>144</v>
      </c>
      <c r="E281" t="s">
        <v>362</v>
      </c>
      <c r="F281" t="s">
        <v>118</v>
      </c>
    </row>
    <row r="282" spans="1:6" x14ac:dyDescent="0.3">
      <c r="A282" s="5" t="s">
        <v>372</v>
      </c>
      <c r="B282" t="s">
        <v>373</v>
      </c>
      <c r="C282" t="s">
        <v>49</v>
      </c>
      <c r="D282" t="s">
        <v>198</v>
      </c>
      <c r="E282" t="s">
        <v>362</v>
      </c>
      <c r="F282" t="s">
        <v>49</v>
      </c>
    </row>
    <row r="283" spans="1:6" x14ac:dyDescent="0.3">
      <c r="A283" s="5" t="s">
        <v>372</v>
      </c>
      <c r="B283" t="s">
        <v>373</v>
      </c>
      <c r="C283" t="s">
        <v>236</v>
      </c>
      <c r="D283" t="s">
        <v>237</v>
      </c>
      <c r="E283" t="s">
        <v>362</v>
      </c>
      <c r="F283" t="s">
        <v>236</v>
      </c>
    </row>
    <row r="284" spans="1:6" x14ac:dyDescent="0.3">
      <c r="A284" s="5" t="s">
        <v>372</v>
      </c>
      <c r="B284" t="s">
        <v>373</v>
      </c>
      <c r="C284" t="s">
        <v>364</v>
      </c>
      <c r="D284" t="s">
        <v>365</v>
      </c>
      <c r="E284" t="s">
        <v>362</v>
      </c>
      <c r="F284" t="s">
        <v>364</v>
      </c>
    </row>
    <row r="285" spans="1:6" x14ac:dyDescent="0.3">
      <c r="A285" s="5" t="s">
        <v>372</v>
      </c>
      <c r="B285" t="s">
        <v>373</v>
      </c>
      <c r="C285" t="s">
        <v>70</v>
      </c>
      <c r="D285" t="s">
        <v>87</v>
      </c>
      <c r="E285" t="s">
        <v>362</v>
      </c>
      <c r="F285" t="s">
        <v>70</v>
      </c>
    </row>
    <row r="286" spans="1:6" x14ac:dyDescent="0.3">
      <c r="A286" s="5" t="s">
        <v>372</v>
      </c>
      <c r="B286" t="s">
        <v>373</v>
      </c>
      <c r="C286" t="s">
        <v>86</v>
      </c>
      <c r="D286" t="s">
        <v>117</v>
      </c>
      <c r="E286" t="s">
        <v>362</v>
      </c>
      <c r="F286" t="s">
        <v>86</v>
      </c>
    </row>
    <row r="287" spans="1:6" x14ac:dyDescent="0.3">
      <c r="A287" s="5" t="s">
        <v>372</v>
      </c>
      <c r="B287" t="s">
        <v>373</v>
      </c>
      <c r="C287" t="s">
        <v>68</v>
      </c>
      <c r="D287" t="s">
        <v>292</v>
      </c>
      <c r="E287" t="s">
        <v>362</v>
      </c>
      <c r="F287" t="s">
        <v>68</v>
      </c>
    </row>
    <row r="288" spans="1:6" x14ac:dyDescent="0.3">
      <c r="A288" s="5" t="s">
        <v>206</v>
      </c>
      <c r="B288" t="s">
        <v>374</v>
      </c>
      <c r="C288" t="s">
        <v>84</v>
      </c>
      <c r="D288" t="s">
        <v>85</v>
      </c>
      <c r="E288" t="s">
        <v>362</v>
      </c>
      <c r="F288" t="s">
        <v>84</v>
      </c>
    </row>
    <row r="289" spans="1:6" x14ac:dyDescent="0.3">
      <c r="A289" s="5" t="s">
        <v>206</v>
      </c>
      <c r="B289" t="s">
        <v>374</v>
      </c>
      <c r="C289" t="s">
        <v>222</v>
      </c>
      <c r="D289" t="s">
        <v>223</v>
      </c>
      <c r="E289" t="s">
        <v>362</v>
      </c>
      <c r="F289" t="s">
        <v>222</v>
      </c>
    </row>
    <row r="290" spans="1:6" x14ac:dyDescent="0.3">
      <c r="A290" s="5" t="s">
        <v>206</v>
      </c>
      <c r="B290" t="s">
        <v>374</v>
      </c>
      <c r="C290" t="s">
        <v>286</v>
      </c>
      <c r="D290" t="s">
        <v>287</v>
      </c>
      <c r="E290" t="s">
        <v>362</v>
      </c>
      <c r="F290" t="s">
        <v>286</v>
      </c>
    </row>
    <row r="291" spans="1:6" x14ac:dyDescent="0.3">
      <c r="A291" s="5" t="s">
        <v>206</v>
      </c>
      <c r="B291" t="s">
        <v>374</v>
      </c>
      <c r="C291" t="s">
        <v>89</v>
      </c>
      <c r="D291" t="s">
        <v>325</v>
      </c>
      <c r="E291" t="s">
        <v>362</v>
      </c>
      <c r="F291" t="s">
        <v>89</v>
      </c>
    </row>
    <row r="292" spans="1:6" x14ac:dyDescent="0.3">
      <c r="A292" s="5" t="s">
        <v>206</v>
      </c>
      <c r="B292" t="s">
        <v>374</v>
      </c>
      <c r="C292" t="s">
        <v>122</v>
      </c>
      <c r="D292" t="s">
        <v>123</v>
      </c>
      <c r="E292" t="s">
        <v>362</v>
      </c>
      <c r="F292" t="s">
        <v>122</v>
      </c>
    </row>
    <row r="293" spans="1:6" x14ac:dyDescent="0.3">
      <c r="A293" s="5" t="s">
        <v>206</v>
      </c>
      <c r="B293" t="s">
        <v>374</v>
      </c>
      <c r="C293" t="s">
        <v>118</v>
      </c>
      <c r="D293" t="s">
        <v>144</v>
      </c>
      <c r="E293" t="s">
        <v>362</v>
      </c>
      <c r="F293" t="s">
        <v>118</v>
      </c>
    </row>
    <row r="294" spans="1:6" x14ac:dyDescent="0.3">
      <c r="A294" s="5" t="s">
        <v>206</v>
      </c>
      <c r="B294" t="s">
        <v>374</v>
      </c>
      <c r="C294" t="s">
        <v>49</v>
      </c>
      <c r="D294" t="s">
        <v>198</v>
      </c>
      <c r="E294" t="s">
        <v>362</v>
      </c>
      <c r="F294" t="s">
        <v>49</v>
      </c>
    </row>
    <row r="295" spans="1:6" x14ac:dyDescent="0.3">
      <c r="A295" s="5" t="s">
        <v>206</v>
      </c>
      <c r="B295" t="s">
        <v>374</v>
      </c>
      <c r="C295" t="s">
        <v>236</v>
      </c>
      <c r="D295" t="s">
        <v>237</v>
      </c>
      <c r="E295" t="s">
        <v>362</v>
      </c>
      <c r="F295" t="s">
        <v>236</v>
      </c>
    </row>
    <row r="296" spans="1:6" x14ac:dyDescent="0.3">
      <c r="A296" s="5" t="s">
        <v>206</v>
      </c>
      <c r="B296" t="s">
        <v>374</v>
      </c>
      <c r="C296" t="s">
        <v>364</v>
      </c>
      <c r="D296" t="s">
        <v>365</v>
      </c>
      <c r="E296" t="s">
        <v>362</v>
      </c>
      <c r="F296" t="s">
        <v>364</v>
      </c>
    </row>
    <row r="297" spans="1:6" x14ac:dyDescent="0.3">
      <c r="A297" s="5" t="s">
        <v>206</v>
      </c>
      <c r="B297" t="s">
        <v>374</v>
      </c>
      <c r="C297" t="s">
        <v>70</v>
      </c>
      <c r="D297" t="s">
        <v>87</v>
      </c>
      <c r="E297" t="s">
        <v>362</v>
      </c>
      <c r="F297" t="s">
        <v>70</v>
      </c>
    </row>
    <row r="298" spans="1:6" x14ac:dyDescent="0.3">
      <c r="A298" s="5" t="s">
        <v>206</v>
      </c>
      <c r="B298" t="s">
        <v>374</v>
      </c>
      <c r="C298" t="s">
        <v>86</v>
      </c>
      <c r="D298" t="s">
        <v>117</v>
      </c>
      <c r="E298" t="s">
        <v>362</v>
      </c>
      <c r="F298" t="s">
        <v>86</v>
      </c>
    </row>
    <row r="299" spans="1:6" x14ac:dyDescent="0.3">
      <c r="A299" s="5" t="s">
        <v>206</v>
      </c>
      <c r="B299" t="s">
        <v>374</v>
      </c>
      <c r="C299" t="s">
        <v>68</v>
      </c>
      <c r="D299" t="s">
        <v>292</v>
      </c>
      <c r="E299" t="s">
        <v>362</v>
      </c>
      <c r="F299" t="s">
        <v>68</v>
      </c>
    </row>
    <row r="300" spans="1:6" x14ac:dyDescent="0.3">
      <c r="A300" s="5" t="s">
        <v>226</v>
      </c>
      <c r="B300" t="s">
        <v>375</v>
      </c>
      <c r="C300" t="s">
        <v>84</v>
      </c>
      <c r="D300" t="s">
        <v>85</v>
      </c>
      <c r="E300" t="s">
        <v>340</v>
      </c>
      <c r="F300" t="s">
        <v>84</v>
      </c>
    </row>
    <row r="301" spans="1:6" x14ac:dyDescent="0.3">
      <c r="A301" s="5" t="s">
        <v>226</v>
      </c>
      <c r="B301" t="s">
        <v>375</v>
      </c>
      <c r="C301" t="s">
        <v>222</v>
      </c>
      <c r="D301" t="s">
        <v>223</v>
      </c>
      <c r="E301" t="s">
        <v>340</v>
      </c>
      <c r="F301" t="s">
        <v>222</v>
      </c>
    </row>
    <row r="302" spans="1:6" x14ac:dyDescent="0.3">
      <c r="A302" s="5" t="s">
        <v>226</v>
      </c>
      <c r="B302" t="s">
        <v>375</v>
      </c>
      <c r="C302" t="s">
        <v>286</v>
      </c>
      <c r="D302" t="s">
        <v>287</v>
      </c>
      <c r="E302" t="s">
        <v>340</v>
      </c>
      <c r="F302" t="s">
        <v>286</v>
      </c>
    </row>
    <row r="303" spans="1:6" x14ac:dyDescent="0.3">
      <c r="A303" s="5" t="s">
        <v>226</v>
      </c>
      <c r="B303" t="s">
        <v>375</v>
      </c>
      <c r="C303" t="s">
        <v>89</v>
      </c>
      <c r="D303" t="s">
        <v>325</v>
      </c>
      <c r="E303" t="s">
        <v>340</v>
      </c>
      <c r="F303" t="s">
        <v>89</v>
      </c>
    </row>
    <row r="304" spans="1:6" x14ac:dyDescent="0.3">
      <c r="A304" s="5" t="s">
        <v>226</v>
      </c>
      <c r="B304" t="s">
        <v>375</v>
      </c>
      <c r="C304" t="s">
        <v>122</v>
      </c>
      <c r="D304" t="s">
        <v>123</v>
      </c>
      <c r="E304" t="s">
        <v>340</v>
      </c>
      <c r="F304" t="s">
        <v>122</v>
      </c>
    </row>
    <row r="305" spans="1:6" x14ac:dyDescent="0.3">
      <c r="A305" s="5" t="s">
        <v>226</v>
      </c>
      <c r="B305" t="s">
        <v>375</v>
      </c>
      <c r="C305" t="s">
        <v>118</v>
      </c>
      <c r="D305" t="s">
        <v>144</v>
      </c>
      <c r="E305" t="s">
        <v>340</v>
      </c>
      <c r="F305" t="s">
        <v>118</v>
      </c>
    </row>
    <row r="306" spans="1:6" x14ac:dyDescent="0.3">
      <c r="A306" s="5" t="s">
        <v>226</v>
      </c>
      <c r="B306" t="s">
        <v>375</v>
      </c>
      <c r="C306" t="s">
        <v>49</v>
      </c>
      <c r="D306" t="s">
        <v>198</v>
      </c>
      <c r="E306" t="s">
        <v>340</v>
      </c>
      <c r="F306" t="s">
        <v>49</v>
      </c>
    </row>
    <row r="307" spans="1:6" x14ac:dyDescent="0.3">
      <c r="A307" s="5" t="s">
        <v>226</v>
      </c>
      <c r="B307" t="s">
        <v>375</v>
      </c>
      <c r="C307" t="s">
        <v>236</v>
      </c>
      <c r="D307" t="s">
        <v>237</v>
      </c>
      <c r="E307" t="s">
        <v>340</v>
      </c>
      <c r="F307" t="s">
        <v>236</v>
      </c>
    </row>
    <row r="308" spans="1:6" x14ac:dyDescent="0.3">
      <c r="A308" s="5" t="s">
        <v>226</v>
      </c>
      <c r="B308" t="s">
        <v>375</v>
      </c>
      <c r="C308" t="s">
        <v>364</v>
      </c>
      <c r="D308" t="s">
        <v>365</v>
      </c>
      <c r="E308" t="s">
        <v>340</v>
      </c>
      <c r="F308" t="s">
        <v>364</v>
      </c>
    </row>
    <row r="309" spans="1:6" x14ac:dyDescent="0.3">
      <c r="A309" s="5" t="s">
        <v>226</v>
      </c>
      <c r="B309" t="s">
        <v>375</v>
      </c>
      <c r="C309" t="s">
        <v>70</v>
      </c>
      <c r="D309" t="s">
        <v>87</v>
      </c>
      <c r="E309" t="s">
        <v>340</v>
      </c>
      <c r="F309" t="s">
        <v>70</v>
      </c>
    </row>
    <row r="310" spans="1:6" x14ac:dyDescent="0.3">
      <c r="A310" s="5" t="s">
        <v>226</v>
      </c>
      <c r="B310" t="s">
        <v>375</v>
      </c>
      <c r="C310" t="s">
        <v>86</v>
      </c>
      <c r="D310" t="s">
        <v>117</v>
      </c>
      <c r="E310" t="s">
        <v>340</v>
      </c>
      <c r="F310" t="s">
        <v>86</v>
      </c>
    </row>
    <row r="311" spans="1:6" x14ac:dyDescent="0.3">
      <c r="A311" s="5" t="s">
        <v>226</v>
      </c>
      <c r="B311" t="s">
        <v>375</v>
      </c>
      <c r="C311" t="s">
        <v>68</v>
      </c>
      <c r="D311" t="s">
        <v>292</v>
      </c>
      <c r="E311" t="s">
        <v>340</v>
      </c>
      <c r="F311" t="s">
        <v>68</v>
      </c>
    </row>
  </sheetData>
  <autoFilter ref="A1:O182" xr:uid="{72FD3291-371A-4A16-9F66-2E0886763D08}">
    <sortState xmlns:xlrd2="http://schemas.microsoft.com/office/spreadsheetml/2017/richdata2" ref="A2:O182">
      <sortCondition ref="B1:B180"/>
    </sortState>
  </autoFilter>
  <mergeCells count="1">
    <mergeCell ref="Q2:U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Approximations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Elin Röös</cp:lastModifiedBy>
  <cp:revision/>
  <dcterms:created xsi:type="dcterms:W3CDTF">2023-05-08T12:23:26Z</dcterms:created>
  <dcterms:modified xsi:type="dcterms:W3CDTF">2024-08-01T20:50:01Z</dcterms:modified>
  <cp:category/>
  <cp:contentStatus/>
</cp:coreProperties>
</file>