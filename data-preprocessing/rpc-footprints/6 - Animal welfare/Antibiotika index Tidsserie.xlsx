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6 - Animal welfare/"/>
    </mc:Choice>
  </mc:AlternateContent>
  <xr:revisionPtr revIDLastSave="832" documentId="11_3FEEDBFA018B127D95DDB2A13D716605D17E3289" xr6:coauthVersionLast="47" xr6:coauthVersionMax="47" xr10:uidLastSave="{C97404FE-61E6-414E-BF50-F5C59C6AEBC0}"/>
  <bookViews>
    <workbookView xWindow="-108" yWindow="-108" windowWidth="23256" windowHeight="12576" firstSheet="7" activeTab="8" xr2:uid="{00000000-000D-0000-FFFF-FFFF00000000}"/>
  </bookViews>
  <sheets>
    <sheet name="Pigs timeseries" sheetId="21" r:id="rId1"/>
    <sheet name="2010" sheetId="20" r:id="rId2"/>
    <sheet name="2011" sheetId="19" r:id="rId3"/>
    <sheet name="2012" sheetId="18" r:id="rId4"/>
    <sheet name="2013" sheetId="16" r:id="rId5"/>
    <sheet name="2014" sheetId="15" r:id="rId6"/>
    <sheet name="2015" sheetId="13" r:id="rId7"/>
    <sheet name="2016" sheetId="14" r:id="rId8"/>
    <sheet name="2017" sheetId="11" r:id="rId9"/>
    <sheet name="2018" sheetId="10" r:id="rId10"/>
    <sheet name="2019" sheetId="9" r:id="rId11"/>
    <sheet name="2020" sheetId="8" r:id="rId12"/>
    <sheet name="2021" sheetId="5" r:id="rId13"/>
    <sheet name="2022" sheetId="7" r:id="rId14"/>
    <sheet name="Standard values" sheetId="6" r:id="rId15"/>
    <sheet name="PCU" sheetId="2" r:id="rId16"/>
    <sheet name="OLD" sheetId="1"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1" i="5" l="1"/>
  <c r="W41" i="5"/>
  <c r="X41" i="5"/>
  <c r="Y41" i="5"/>
  <c r="Z41" i="5"/>
  <c r="AA41" i="5"/>
  <c r="AB41" i="5"/>
  <c r="AC41" i="5"/>
  <c r="AD41" i="5"/>
  <c r="U41" i="5"/>
  <c r="AG36" i="5"/>
  <c r="AG8" i="5"/>
  <c r="AG9" i="5"/>
  <c r="AG10" i="5"/>
  <c r="AG11" i="5"/>
  <c r="AG12" i="5"/>
  <c r="AG13" i="5"/>
  <c r="AG14" i="5"/>
  <c r="AG15" i="5"/>
  <c r="AG16" i="5"/>
  <c r="AG17" i="5"/>
  <c r="AG18" i="5"/>
  <c r="AG19" i="5"/>
  <c r="AG20" i="5"/>
  <c r="AG21" i="5"/>
  <c r="AG22" i="5"/>
  <c r="AG23" i="5"/>
  <c r="AG24" i="5"/>
  <c r="AG25" i="5"/>
  <c r="AG26" i="5"/>
  <c r="AG27" i="5"/>
  <c r="AG28" i="5"/>
  <c r="AG29" i="5"/>
  <c r="AG30" i="5"/>
  <c r="AG31" i="5"/>
  <c r="AG32" i="5"/>
  <c r="AG33" i="5"/>
  <c r="AG34" i="5"/>
  <c r="AG35" i="5"/>
  <c r="AG7" i="5"/>
  <c r="B6" i="21"/>
  <c r="D6" i="21"/>
  <c r="E6" i="21"/>
  <c r="F6" i="21"/>
  <c r="G6" i="21"/>
  <c r="H6" i="21"/>
  <c r="I6" i="21"/>
  <c r="J6" i="21"/>
  <c r="K6" i="21"/>
  <c r="L6" i="21"/>
  <c r="M6" i="21"/>
  <c r="N6" i="21"/>
  <c r="B7" i="21"/>
  <c r="D7" i="21"/>
  <c r="E7" i="21"/>
  <c r="F7" i="21"/>
  <c r="G7" i="21"/>
  <c r="H7" i="21"/>
  <c r="I7" i="21"/>
  <c r="J7" i="21"/>
  <c r="K7" i="21"/>
  <c r="L7" i="21"/>
  <c r="M7" i="21"/>
  <c r="N7" i="21"/>
  <c r="B8" i="21"/>
  <c r="C8" i="21"/>
  <c r="D8" i="21"/>
  <c r="E8" i="21"/>
  <c r="F8" i="21"/>
  <c r="G8" i="21"/>
  <c r="H8" i="21"/>
  <c r="I8" i="21"/>
  <c r="J8" i="21"/>
  <c r="K8" i="21"/>
  <c r="L8" i="21"/>
  <c r="M8" i="21"/>
  <c r="N8" i="21"/>
  <c r="B9" i="21"/>
  <c r="D9" i="21"/>
  <c r="E9" i="21"/>
  <c r="F9" i="21"/>
  <c r="G9" i="21"/>
  <c r="H9" i="21"/>
  <c r="I9" i="21"/>
  <c r="J9" i="21"/>
  <c r="K9" i="21"/>
  <c r="L9" i="21"/>
  <c r="M9" i="21"/>
  <c r="N9" i="21"/>
  <c r="B10" i="21"/>
  <c r="D10" i="21"/>
  <c r="E10" i="21"/>
  <c r="F10" i="21"/>
  <c r="G10" i="21"/>
  <c r="H10" i="21"/>
  <c r="I10" i="21"/>
  <c r="J10" i="21"/>
  <c r="K10" i="21"/>
  <c r="L10" i="21"/>
  <c r="M10" i="21"/>
  <c r="N10" i="21"/>
  <c r="B11" i="21"/>
  <c r="D11" i="21"/>
  <c r="E11" i="21"/>
  <c r="F11" i="21"/>
  <c r="G11" i="21"/>
  <c r="H11" i="21"/>
  <c r="I11" i="21"/>
  <c r="J11" i="21"/>
  <c r="K11" i="21"/>
  <c r="L11" i="21"/>
  <c r="M11" i="21"/>
  <c r="N11" i="21"/>
  <c r="B12" i="21"/>
  <c r="D12" i="21"/>
  <c r="E12" i="21"/>
  <c r="F12" i="21"/>
  <c r="G12" i="21"/>
  <c r="H12" i="21"/>
  <c r="I12" i="21"/>
  <c r="J12" i="21"/>
  <c r="K12" i="21"/>
  <c r="L12" i="21"/>
  <c r="M12" i="21"/>
  <c r="N12" i="21"/>
  <c r="B13" i="21"/>
  <c r="D13" i="21"/>
  <c r="E13" i="21"/>
  <c r="F13" i="21"/>
  <c r="G13" i="21"/>
  <c r="H13" i="21"/>
  <c r="I13" i="21"/>
  <c r="J13" i="21"/>
  <c r="K13" i="21"/>
  <c r="L13" i="21"/>
  <c r="M13" i="21"/>
  <c r="N13" i="21"/>
  <c r="B14" i="21"/>
  <c r="D14" i="21"/>
  <c r="E14" i="21"/>
  <c r="F14" i="21"/>
  <c r="G14" i="21"/>
  <c r="H14" i="21"/>
  <c r="I14" i="21"/>
  <c r="J14" i="21"/>
  <c r="K14" i="21"/>
  <c r="L14" i="21"/>
  <c r="M14" i="21"/>
  <c r="N14" i="21"/>
  <c r="B15" i="21"/>
  <c r="D15" i="21"/>
  <c r="E15" i="21"/>
  <c r="F15" i="21"/>
  <c r="G15" i="21"/>
  <c r="H15" i="21"/>
  <c r="I15" i="21"/>
  <c r="J15" i="21"/>
  <c r="K15" i="21"/>
  <c r="L15" i="21"/>
  <c r="M15" i="21"/>
  <c r="N15" i="21"/>
  <c r="B16" i="21"/>
  <c r="C16" i="21"/>
  <c r="D16" i="21"/>
  <c r="E16" i="21"/>
  <c r="F16" i="21"/>
  <c r="G16" i="21"/>
  <c r="H16" i="21"/>
  <c r="I16" i="21"/>
  <c r="J16" i="21"/>
  <c r="K16" i="21"/>
  <c r="L16" i="21"/>
  <c r="M16" i="21"/>
  <c r="N16" i="21"/>
  <c r="B17" i="21"/>
  <c r="D17" i="21"/>
  <c r="E17" i="21"/>
  <c r="F17" i="21"/>
  <c r="G17" i="21"/>
  <c r="H17" i="21"/>
  <c r="I17" i="21"/>
  <c r="J17" i="21"/>
  <c r="K17" i="21"/>
  <c r="L17" i="21"/>
  <c r="M17" i="21"/>
  <c r="N17" i="21"/>
  <c r="B18" i="21"/>
  <c r="D18" i="21"/>
  <c r="E18" i="21"/>
  <c r="F18" i="21"/>
  <c r="G18" i="21"/>
  <c r="H18" i="21"/>
  <c r="I18" i="21"/>
  <c r="J18" i="21"/>
  <c r="K18" i="21"/>
  <c r="L18" i="21"/>
  <c r="M18" i="21"/>
  <c r="N18" i="21"/>
  <c r="B19" i="21"/>
  <c r="D19" i="21"/>
  <c r="E19" i="21"/>
  <c r="F19" i="21"/>
  <c r="G19" i="21"/>
  <c r="H19" i="21"/>
  <c r="I19" i="21"/>
  <c r="J19" i="21"/>
  <c r="K19" i="21"/>
  <c r="L19" i="21"/>
  <c r="M19" i="21"/>
  <c r="N19" i="21"/>
  <c r="B20" i="21"/>
  <c r="D20" i="21"/>
  <c r="E20" i="21"/>
  <c r="F20" i="21"/>
  <c r="G20" i="21"/>
  <c r="H20" i="21"/>
  <c r="I20" i="21"/>
  <c r="J20" i="21"/>
  <c r="K20" i="21"/>
  <c r="L20" i="21"/>
  <c r="M20" i="21"/>
  <c r="N20" i="21"/>
  <c r="B21" i="21"/>
  <c r="D21" i="21"/>
  <c r="E21" i="21"/>
  <c r="F21" i="21"/>
  <c r="G21" i="21"/>
  <c r="H21" i="21"/>
  <c r="I21" i="21"/>
  <c r="J21" i="21"/>
  <c r="K21" i="21"/>
  <c r="L21" i="21"/>
  <c r="M21" i="21"/>
  <c r="N21" i="21"/>
  <c r="B22" i="21"/>
  <c r="D22" i="21"/>
  <c r="E22" i="21"/>
  <c r="F22" i="21"/>
  <c r="G22" i="21"/>
  <c r="H22" i="21"/>
  <c r="I22" i="21"/>
  <c r="J22" i="21"/>
  <c r="K22" i="21"/>
  <c r="L22" i="21"/>
  <c r="M22" i="21"/>
  <c r="N22" i="21"/>
  <c r="B23" i="21"/>
  <c r="C23" i="21"/>
  <c r="D23" i="21"/>
  <c r="E23" i="21"/>
  <c r="F23" i="21"/>
  <c r="G23" i="21"/>
  <c r="H23" i="21"/>
  <c r="I23" i="21"/>
  <c r="J23" i="21"/>
  <c r="K23" i="21"/>
  <c r="L23" i="21"/>
  <c r="M23" i="21"/>
  <c r="N23" i="21"/>
  <c r="B24" i="21"/>
  <c r="C24" i="21"/>
  <c r="D24" i="21"/>
  <c r="E24" i="21"/>
  <c r="F24" i="21"/>
  <c r="G24" i="21"/>
  <c r="H24" i="21"/>
  <c r="I24" i="21"/>
  <c r="J24" i="21"/>
  <c r="K24" i="21"/>
  <c r="L24" i="21"/>
  <c r="M24" i="21"/>
  <c r="N24" i="21"/>
  <c r="B25" i="21"/>
  <c r="D25" i="21"/>
  <c r="E25" i="21"/>
  <c r="F25" i="21"/>
  <c r="G25" i="21"/>
  <c r="H25" i="21"/>
  <c r="I25" i="21"/>
  <c r="J25" i="21"/>
  <c r="K25" i="21"/>
  <c r="L25" i="21"/>
  <c r="M25" i="21"/>
  <c r="N25" i="21"/>
  <c r="B26" i="21"/>
  <c r="D26" i="21"/>
  <c r="E26" i="21"/>
  <c r="F26" i="21"/>
  <c r="G26" i="21"/>
  <c r="H26" i="21"/>
  <c r="I26" i="21"/>
  <c r="J26" i="21"/>
  <c r="K26" i="21"/>
  <c r="L26" i="21"/>
  <c r="M26" i="21"/>
  <c r="N26" i="21"/>
  <c r="B27" i="21"/>
  <c r="D27" i="21"/>
  <c r="E27" i="21"/>
  <c r="F27" i="21"/>
  <c r="G27" i="21"/>
  <c r="H27" i="21"/>
  <c r="I27" i="21"/>
  <c r="J27" i="21"/>
  <c r="K27" i="21"/>
  <c r="L27" i="21"/>
  <c r="M27" i="21"/>
  <c r="N27" i="21"/>
  <c r="B28" i="21"/>
  <c r="D28" i="21"/>
  <c r="E28" i="21"/>
  <c r="F28" i="21"/>
  <c r="G28" i="21"/>
  <c r="H28" i="21"/>
  <c r="I28" i="21"/>
  <c r="J28" i="21"/>
  <c r="K28" i="21"/>
  <c r="L28" i="21"/>
  <c r="M28" i="21"/>
  <c r="N28" i="21"/>
  <c r="B29" i="21"/>
  <c r="C29" i="21"/>
  <c r="D29" i="21"/>
  <c r="E29" i="21"/>
  <c r="F29" i="21"/>
  <c r="G29" i="21"/>
  <c r="H29" i="21"/>
  <c r="I29" i="21"/>
  <c r="J29" i="21"/>
  <c r="K29" i="21"/>
  <c r="L29" i="21"/>
  <c r="M29" i="21"/>
  <c r="N29" i="21"/>
  <c r="B30" i="21"/>
  <c r="D30" i="21"/>
  <c r="E30" i="21"/>
  <c r="F30" i="21"/>
  <c r="G30" i="21"/>
  <c r="H30" i="21"/>
  <c r="I30" i="21"/>
  <c r="J30" i="21"/>
  <c r="K30" i="21"/>
  <c r="L30" i="21"/>
  <c r="M30" i="21"/>
  <c r="N30" i="21"/>
  <c r="B31" i="21"/>
  <c r="D31" i="21"/>
  <c r="E31" i="21"/>
  <c r="F31" i="21"/>
  <c r="G31" i="21"/>
  <c r="H31" i="21"/>
  <c r="I31" i="21"/>
  <c r="J31" i="21"/>
  <c r="K31" i="21"/>
  <c r="L31" i="21"/>
  <c r="M31" i="21"/>
  <c r="N31" i="21"/>
  <c r="B32" i="21"/>
  <c r="D32" i="21"/>
  <c r="E32" i="21"/>
  <c r="F32" i="21"/>
  <c r="G32" i="21"/>
  <c r="H32" i="21"/>
  <c r="I32" i="21"/>
  <c r="J32" i="21"/>
  <c r="K32" i="21"/>
  <c r="L32" i="21"/>
  <c r="M32" i="21"/>
  <c r="N32" i="21"/>
  <c r="B33" i="21"/>
  <c r="D33" i="21"/>
  <c r="E33" i="21"/>
  <c r="F33" i="21"/>
  <c r="G33" i="21"/>
  <c r="H33" i="21"/>
  <c r="I33" i="21"/>
  <c r="J33" i="21"/>
  <c r="K33" i="21"/>
  <c r="L33" i="21"/>
  <c r="M33" i="21"/>
  <c r="N33" i="21"/>
  <c r="B34" i="21"/>
  <c r="C34" i="21"/>
  <c r="D34" i="21"/>
  <c r="E34" i="21"/>
  <c r="F34" i="21"/>
  <c r="G34" i="21"/>
  <c r="H34" i="21"/>
  <c r="I34" i="21"/>
  <c r="J34" i="21"/>
  <c r="K34" i="21"/>
  <c r="L34" i="21"/>
  <c r="M34" i="21"/>
  <c r="N34" i="21"/>
  <c r="B35" i="21"/>
  <c r="D35" i="21"/>
  <c r="E35" i="21"/>
  <c r="F35" i="21"/>
  <c r="G35" i="21"/>
  <c r="H35" i="21"/>
  <c r="I35" i="21"/>
  <c r="J35" i="21"/>
  <c r="K35" i="21"/>
  <c r="L35" i="21"/>
  <c r="M35" i="21"/>
  <c r="N35" i="21"/>
  <c r="T22" i="20"/>
  <c r="N5" i="21"/>
  <c r="M5" i="21"/>
  <c r="L5" i="21"/>
  <c r="K5" i="21"/>
  <c r="J5" i="21"/>
  <c r="I5" i="21"/>
  <c r="H5" i="21"/>
  <c r="G5" i="21"/>
  <c r="F5" i="21"/>
  <c r="E5" i="21"/>
  <c r="D5" i="21"/>
  <c r="B5" i="21"/>
  <c r="AD39" i="20"/>
  <c r="AC39" i="20"/>
  <c r="AB39" i="20"/>
  <c r="AA39" i="20"/>
  <c r="Z39" i="20"/>
  <c r="Y39" i="20"/>
  <c r="X39" i="20"/>
  <c r="W39" i="20"/>
  <c r="V39" i="20"/>
  <c r="U39" i="20"/>
  <c r="Q39" i="20"/>
  <c r="Q35" i="20" s="1"/>
  <c r="P39" i="20"/>
  <c r="O39" i="20"/>
  <c r="O30" i="20" s="1"/>
  <c r="N39" i="20"/>
  <c r="M39" i="20"/>
  <c r="L39" i="20"/>
  <c r="L35" i="20" s="1"/>
  <c r="K39" i="20"/>
  <c r="K35" i="20" s="1"/>
  <c r="Q37" i="20"/>
  <c r="P37" i="20"/>
  <c r="O37" i="20"/>
  <c r="N37" i="20"/>
  <c r="K37" i="20"/>
  <c r="I37" i="20"/>
  <c r="P35" i="20"/>
  <c r="N35" i="20"/>
  <c r="M35" i="20"/>
  <c r="I35" i="20"/>
  <c r="Q34" i="20"/>
  <c r="P34" i="20"/>
  <c r="N34" i="20"/>
  <c r="K34" i="20"/>
  <c r="I34" i="20"/>
  <c r="Q33" i="20"/>
  <c r="P33" i="20"/>
  <c r="O33" i="20"/>
  <c r="N33" i="20"/>
  <c r="I33" i="20"/>
  <c r="Q30" i="20"/>
  <c r="P30" i="20"/>
  <c r="N30" i="20"/>
  <c r="I30" i="20"/>
  <c r="Q28" i="20"/>
  <c r="P28" i="20"/>
  <c r="N28" i="20"/>
  <c r="K28" i="20"/>
  <c r="I28" i="20"/>
  <c r="Q27" i="20"/>
  <c r="P27" i="20"/>
  <c r="O27" i="20"/>
  <c r="N27" i="20"/>
  <c r="K27" i="20"/>
  <c r="I27" i="20"/>
  <c r="Q24" i="20"/>
  <c r="P24" i="20"/>
  <c r="N24" i="20"/>
  <c r="M24" i="20"/>
  <c r="I24" i="20"/>
  <c r="Q23" i="20"/>
  <c r="P23" i="20"/>
  <c r="N23" i="20"/>
  <c r="K23" i="20"/>
  <c r="I23" i="20"/>
  <c r="Q22" i="20"/>
  <c r="P22" i="20"/>
  <c r="O22" i="20"/>
  <c r="N22" i="20"/>
  <c r="I22" i="20"/>
  <c r="Q21" i="20"/>
  <c r="P21" i="20"/>
  <c r="O21" i="20"/>
  <c r="N21" i="20"/>
  <c r="M21" i="20"/>
  <c r="L21" i="20"/>
  <c r="K21" i="20"/>
  <c r="I21" i="20"/>
  <c r="Q20" i="20"/>
  <c r="P20" i="20"/>
  <c r="N20" i="20"/>
  <c r="I20" i="20"/>
  <c r="Q19" i="20"/>
  <c r="P19" i="20"/>
  <c r="O19" i="20"/>
  <c r="N19" i="20"/>
  <c r="K19" i="20"/>
  <c r="I19" i="20"/>
  <c r="Q16" i="20"/>
  <c r="P16" i="20"/>
  <c r="O16" i="20"/>
  <c r="N16" i="20"/>
  <c r="K16" i="20"/>
  <c r="I16" i="20"/>
  <c r="Q15" i="20"/>
  <c r="P15" i="20"/>
  <c r="O15" i="20"/>
  <c r="N15" i="20"/>
  <c r="M15" i="20"/>
  <c r="K15" i="20"/>
  <c r="I15" i="20"/>
  <c r="Q14" i="20"/>
  <c r="P14" i="20"/>
  <c r="O14" i="20"/>
  <c r="N14" i="20"/>
  <c r="K14" i="20"/>
  <c r="I14" i="20"/>
  <c r="Q13" i="20"/>
  <c r="P13" i="20"/>
  <c r="O13" i="20"/>
  <c r="N13" i="20"/>
  <c r="K13" i="20"/>
  <c r="I13" i="20"/>
  <c r="Q12" i="20"/>
  <c r="P12" i="20"/>
  <c r="O12" i="20"/>
  <c r="N12" i="20"/>
  <c r="M12" i="20"/>
  <c r="L12" i="20"/>
  <c r="K12" i="20"/>
  <c r="I12" i="20"/>
  <c r="Q8" i="20"/>
  <c r="P8" i="20"/>
  <c r="O8" i="20"/>
  <c r="N8" i="20"/>
  <c r="K8" i="20"/>
  <c r="I8" i="20"/>
  <c r="Q7" i="20"/>
  <c r="P7" i="20"/>
  <c r="O7" i="20"/>
  <c r="N7" i="20"/>
  <c r="K7" i="20"/>
  <c r="I7" i="20"/>
  <c r="AD40" i="19"/>
  <c r="AC40" i="19"/>
  <c r="AB40" i="19"/>
  <c r="AA40" i="19"/>
  <c r="Z40" i="19"/>
  <c r="Y40" i="19"/>
  <c r="X40" i="19"/>
  <c r="W40" i="19"/>
  <c r="V40" i="19"/>
  <c r="U40" i="19"/>
  <c r="Q40" i="19"/>
  <c r="P40" i="19"/>
  <c r="O40" i="19"/>
  <c r="O38" i="19" s="1"/>
  <c r="N40" i="19"/>
  <c r="N34" i="19" s="1"/>
  <c r="M40" i="19"/>
  <c r="L40" i="19"/>
  <c r="K40" i="19"/>
  <c r="Q38" i="19"/>
  <c r="P38" i="19"/>
  <c r="M38" i="19"/>
  <c r="L38" i="19"/>
  <c r="K38" i="19"/>
  <c r="I38" i="19"/>
  <c r="Q36" i="19"/>
  <c r="P36" i="19"/>
  <c r="O36" i="19"/>
  <c r="M36" i="19"/>
  <c r="L36" i="19"/>
  <c r="K36" i="19"/>
  <c r="I36" i="19"/>
  <c r="Q35" i="19"/>
  <c r="P35" i="19"/>
  <c r="M35" i="19"/>
  <c r="L35" i="19"/>
  <c r="K35" i="19"/>
  <c r="I35" i="19"/>
  <c r="Q34" i="19"/>
  <c r="P34" i="19"/>
  <c r="M34" i="19"/>
  <c r="L34" i="19"/>
  <c r="K34" i="19"/>
  <c r="I34" i="19"/>
  <c r="Q33" i="19"/>
  <c r="P33" i="19"/>
  <c r="N33" i="19"/>
  <c r="M33" i="19"/>
  <c r="L33" i="19"/>
  <c r="K33" i="19"/>
  <c r="I33" i="19"/>
  <c r="Q31" i="19"/>
  <c r="P31" i="19"/>
  <c r="M31" i="19"/>
  <c r="L31" i="19"/>
  <c r="K31" i="19"/>
  <c r="I31" i="19"/>
  <c r="Q30" i="19"/>
  <c r="P30" i="19"/>
  <c r="M30" i="19"/>
  <c r="L30" i="19"/>
  <c r="K30" i="19"/>
  <c r="I30" i="19"/>
  <c r="Q29" i="19"/>
  <c r="P29" i="19"/>
  <c r="M29" i="19"/>
  <c r="L29" i="19"/>
  <c r="K29" i="19"/>
  <c r="I29" i="19"/>
  <c r="Q28" i="19"/>
  <c r="P28" i="19"/>
  <c r="M28" i="19"/>
  <c r="L28" i="19"/>
  <c r="K28" i="19"/>
  <c r="I28" i="19"/>
  <c r="Q25" i="19"/>
  <c r="P25" i="19"/>
  <c r="M25" i="19"/>
  <c r="L25" i="19"/>
  <c r="K25" i="19"/>
  <c r="I25" i="19"/>
  <c r="Q24" i="19"/>
  <c r="P24" i="19"/>
  <c r="M24" i="19"/>
  <c r="L24" i="19"/>
  <c r="K24" i="19"/>
  <c r="I24" i="19"/>
  <c r="Q22" i="19"/>
  <c r="P22" i="19"/>
  <c r="O22" i="19"/>
  <c r="N22" i="19"/>
  <c r="M22" i="19"/>
  <c r="L22" i="19"/>
  <c r="K22" i="19"/>
  <c r="I22" i="19"/>
  <c r="Q21" i="19"/>
  <c r="P21" i="19"/>
  <c r="M21" i="19"/>
  <c r="L21" i="19"/>
  <c r="K21" i="19"/>
  <c r="I21" i="19"/>
  <c r="Q20" i="19"/>
  <c r="P20" i="19"/>
  <c r="M20" i="19"/>
  <c r="L20" i="19"/>
  <c r="K20" i="19"/>
  <c r="I20" i="19"/>
  <c r="Q19" i="19"/>
  <c r="P19" i="19"/>
  <c r="M19" i="19"/>
  <c r="L19" i="19"/>
  <c r="K19" i="19"/>
  <c r="I19" i="19"/>
  <c r="Q17" i="19"/>
  <c r="P17" i="19"/>
  <c r="M17" i="19"/>
  <c r="L17" i="19"/>
  <c r="K17" i="19"/>
  <c r="I17" i="19"/>
  <c r="Q16" i="19"/>
  <c r="P16" i="19"/>
  <c r="O16" i="19"/>
  <c r="M16" i="19"/>
  <c r="L16" i="19"/>
  <c r="K16" i="19"/>
  <c r="I16" i="19"/>
  <c r="Q15" i="19"/>
  <c r="P15" i="19"/>
  <c r="M15" i="19"/>
  <c r="L15" i="19"/>
  <c r="K15" i="19"/>
  <c r="I15" i="19"/>
  <c r="Q14" i="19"/>
  <c r="P14" i="19"/>
  <c r="M14" i="19"/>
  <c r="L14" i="19"/>
  <c r="K14" i="19"/>
  <c r="I14" i="19"/>
  <c r="Q13" i="19"/>
  <c r="P13" i="19"/>
  <c r="O13" i="19"/>
  <c r="N13" i="19"/>
  <c r="M13" i="19"/>
  <c r="L13" i="19"/>
  <c r="K13" i="19"/>
  <c r="I13" i="19"/>
  <c r="Q12" i="19"/>
  <c r="P12" i="19"/>
  <c r="M12" i="19"/>
  <c r="L12" i="19"/>
  <c r="K12" i="19"/>
  <c r="I12" i="19"/>
  <c r="Q11" i="19"/>
  <c r="P11" i="19"/>
  <c r="M11" i="19"/>
  <c r="L11" i="19"/>
  <c r="K11" i="19"/>
  <c r="I11" i="19"/>
  <c r="Q9" i="19"/>
  <c r="P9" i="19"/>
  <c r="M9" i="19"/>
  <c r="L9" i="19"/>
  <c r="K9" i="19"/>
  <c r="I9" i="19"/>
  <c r="Q8" i="19"/>
  <c r="P8" i="19"/>
  <c r="M8" i="19"/>
  <c r="L8" i="19"/>
  <c r="K8" i="19"/>
  <c r="I8" i="19"/>
  <c r="Q7" i="19"/>
  <c r="P7" i="19"/>
  <c r="O7" i="19"/>
  <c r="M7" i="19"/>
  <c r="L7" i="19"/>
  <c r="K7" i="19"/>
  <c r="I7" i="19"/>
  <c r="AD39" i="18"/>
  <c r="AC39" i="18"/>
  <c r="AB39" i="18"/>
  <c r="AA39" i="18"/>
  <c r="Z39" i="18"/>
  <c r="Y39" i="18"/>
  <c r="X39" i="18"/>
  <c r="W39" i="18"/>
  <c r="V39" i="18"/>
  <c r="U39" i="18"/>
  <c r="Q39" i="18"/>
  <c r="Q28" i="18" s="1"/>
  <c r="P39" i="18"/>
  <c r="O39" i="18"/>
  <c r="N39" i="18"/>
  <c r="N33" i="18" s="1"/>
  <c r="M39" i="18"/>
  <c r="L39" i="18"/>
  <c r="L35" i="18" s="1"/>
  <c r="K39" i="18"/>
  <c r="K35" i="18" s="1"/>
  <c r="P37" i="18"/>
  <c r="O37" i="18"/>
  <c r="M37" i="18"/>
  <c r="I37" i="18"/>
  <c r="P35" i="18"/>
  <c r="O35" i="18"/>
  <c r="M35" i="18"/>
  <c r="I35" i="18"/>
  <c r="Q34" i="18"/>
  <c r="P34" i="18"/>
  <c r="O34" i="18"/>
  <c r="M34" i="18"/>
  <c r="I34" i="18"/>
  <c r="Q33" i="18"/>
  <c r="P33" i="18"/>
  <c r="O33" i="18"/>
  <c r="M33" i="18"/>
  <c r="I33" i="18"/>
  <c r="Q32" i="18"/>
  <c r="P32" i="18"/>
  <c r="O32" i="18"/>
  <c r="N32" i="18"/>
  <c r="M32" i="18"/>
  <c r="L32" i="18"/>
  <c r="K32" i="18"/>
  <c r="I32" i="18"/>
  <c r="Q30" i="18"/>
  <c r="P30" i="18"/>
  <c r="O30" i="18"/>
  <c r="M30" i="18"/>
  <c r="K30" i="18"/>
  <c r="I30" i="18"/>
  <c r="Q29" i="18"/>
  <c r="P29" i="18"/>
  <c r="O29" i="18"/>
  <c r="N29" i="18"/>
  <c r="M29" i="18"/>
  <c r="K29" i="18"/>
  <c r="I29" i="18"/>
  <c r="P28" i="18"/>
  <c r="O28" i="18"/>
  <c r="M28" i="18"/>
  <c r="K28" i="18"/>
  <c r="I28" i="18"/>
  <c r="Q27" i="18"/>
  <c r="P27" i="18"/>
  <c r="O27" i="18"/>
  <c r="M27" i="18"/>
  <c r="K27" i="18"/>
  <c r="I27" i="18"/>
  <c r="Q25" i="18"/>
  <c r="P25" i="18"/>
  <c r="O25" i="18"/>
  <c r="M25" i="18"/>
  <c r="K25" i="18"/>
  <c r="I25" i="18"/>
  <c r="Q24" i="18"/>
  <c r="P24" i="18"/>
  <c r="O24" i="18"/>
  <c r="M24" i="18"/>
  <c r="K24" i="18"/>
  <c r="I24" i="18"/>
  <c r="Q23" i="18"/>
  <c r="P23" i="18"/>
  <c r="O23" i="18"/>
  <c r="M23" i="18"/>
  <c r="K23" i="18"/>
  <c r="I23" i="18"/>
  <c r="Q22" i="18"/>
  <c r="P22" i="18"/>
  <c r="O22" i="18"/>
  <c r="N22" i="18"/>
  <c r="M22" i="18"/>
  <c r="L22" i="18"/>
  <c r="K22" i="18"/>
  <c r="I22" i="18"/>
  <c r="Q21" i="18"/>
  <c r="P21" i="18"/>
  <c r="O21" i="18"/>
  <c r="M21" i="18"/>
  <c r="K21" i="18"/>
  <c r="I21" i="18"/>
  <c r="Q20" i="18"/>
  <c r="P20" i="18"/>
  <c r="O20" i="18"/>
  <c r="N20" i="18"/>
  <c r="M20" i="18"/>
  <c r="K20" i="18"/>
  <c r="I20" i="18"/>
  <c r="Q19" i="18"/>
  <c r="P19" i="18"/>
  <c r="O19" i="18"/>
  <c r="M19" i="18"/>
  <c r="K19" i="18"/>
  <c r="I19" i="18"/>
  <c r="Q17" i="18"/>
  <c r="P17" i="18"/>
  <c r="O17" i="18"/>
  <c r="M17" i="18"/>
  <c r="K17" i="18"/>
  <c r="I17" i="18"/>
  <c r="Q16" i="18"/>
  <c r="P16" i="18"/>
  <c r="O16" i="18"/>
  <c r="M16" i="18"/>
  <c r="K16" i="18"/>
  <c r="I16" i="18"/>
  <c r="Q15" i="18"/>
  <c r="P15" i="18"/>
  <c r="O15" i="18"/>
  <c r="M15" i="18"/>
  <c r="L15" i="18"/>
  <c r="K15" i="18"/>
  <c r="I15" i="18"/>
  <c r="Q14" i="18"/>
  <c r="P14" i="18"/>
  <c r="O14" i="18"/>
  <c r="M14" i="18"/>
  <c r="K14" i="18"/>
  <c r="I14" i="18"/>
  <c r="Q13" i="18"/>
  <c r="P13" i="18"/>
  <c r="O13" i="18"/>
  <c r="N13" i="18"/>
  <c r="M13" i="18"/>
  <c r="L13" i="18"/>
  <c r="K13" i="18"/>
  <c r="R13" i="18" s="1"/>
  <c r="S13" i="18" s="1"/>
  <c r="T13" i="18" s="1"/>
  <c r="I13" i="18"/>
  <c r="Q12" i="18"/>
  <c r="P12" i="18"/>
  <c r="O12" i="18"/>
  <c r="M12" i="18"/>
  <c r="K12" i="18"/>
  <c r="I12" i="18"/>
  <c r="Q11" i="18"/>
  <c r="P11" i="18"/>
  <c r="O11" i="18"/>
  <c r="N11" i="18"/>
  <c r="M11" i="18"/>
  <c r="K11" i="18"/>
  <c r="I11" i="18"/>
  <c r="Q9" i="18"/>
  <c r="P9" i="18"/>
  <c r="O9" i="18"/>
  <c r="M9" i="18"/>
  <c r="K9" i="18"/>
  <c r="I9" i="18"/>
  <c r="Q8" i="18"/>
  <c r="P8" i="18"/>
  <c r="O8" i="18"/>
  <c r="M8" i="18"/>
  <c r="K8" i="18"/>
  <c r="I8" i="18"/>
  <c r="Q7" i="18"/>
  <c r="P7" i="18"/>
  <c r="O7" i="18"/>
  <c r="M7" i="18"/>
  <c r="K7" i="18"/>
  <c r="I7" i="18"/>
  <c r="T34" i="16"/>
  <c r="T32" i="11"/>
  <c r="T27" i="11"/>
  <c r="T8" i="14"/>
  <c r="T9" i="14"/>
  <c r="T10" i="14"/>
  <c r="T11" i="14"/>
  <c r="T12" i="14"/>
  <c r="T13" i="14"/>
  <c r="T14" i="14"/>
  <c r="T15" i="14"/>
  <c r="T16" i="14"/>
  <c r="T17" i="14"/>
  <c r="T18" i="14"/>
  <c r="T19" i="14"/>
  <c r="T20" i="14"/>
  <c r="T21" i="14"/>
  <c r="T22" i="14"/>
  <c r="T23" i="14"/>
  <c r="T24" i="14"/>
  <c r="T25" i="14"/>
  <c r="T7" i="14"/>
  <c r="T28" i="14"/>
  <c r="T29" i="14"/>
  <c r="T30" i="14"/>
  <c r="T31" i="14"/>
  <c r="T32" i="14"/>
  <c r="T33" i="14"/>
  <c r="T34" i="14"/>
  <c r="T35" i="14"/>
  <c r="T36" i="14"/>
  <c r="T37" i="14"/>
  <c r="T27" i="14"/>
  <c r="T8" i="13"/>
  <c r="T9" i="13"/>
  <c r="T10" i="13"/>
  <c r="T11" i="13"/>
  <c r="T12" i="13"/>
  <c r="T13" i="13"/>
  <c r="T14" i="13"/>
  <c r="T15" i="13"/>
  <c r="T16" i="13"/>
  <c r="T17" i="13"/>
  <c r="T18" i="13"/>
  <c r="T19" i="13"/>
  <c r="T20" i="13"/>
  <c r="T21" i="13"/>
  <c r="T22" i="13"/>
  <c r="T23" i="13"/>
  <c r="T24" i="13"/>
  <c r="T25" i="13"/>
  <c r="T7" i="13"/>
  <c r="T28" i="13"/>
  <c r="T29" i="13"/>
  <c r="T30" i="13"/>
  <c r="T31" i="13"/>
  <c r="T32" i="13"/>
  <c r="T33" i="13"/>
  <c r="T34" i="13"/>
  <c r="T35" i="13"/>
  <c r="T36" i="13"/>
  <c r="T37" i="13"/>
  <c r="T27" i="13"/>
  <c r="T28" i="15"/>
  <c r="T29" i="15"/>
  <c r="T30" i="15"/>
  <c r="T31" i="15"/>
  <c r="T32" i="15"/>
  <c r="T33" i="15"/>
  <c r="T34" i="15"/>
  <c r="T35" i="15"/>
  <c r="T36" i="15"/>
  <c r="T37" i="15"/>
  <c r="T27" i="15"/>
  <c r="T20" i="15"/>
  <c r="T21" i="15"/>
  <c r="T22" i="15"/>
  <c r="T23" i="15"/>
  <c r="T24" i="15"/>
  <c r="T25" i="15"/>
  <c r="T19" i="15"/>
  <c r="T8" i="15"/>
  <c r="T9" i="15"/>
  <c r="T10" i="15"/>
  <c r="T11" i="15"/>
  <c r="T12" i="15"/>
  <c r="T13" i="15"/>
  <c r="T14" i="15"/>
  <c r="T15" i="15"/>
  <c r="T16" i="15"/>
  <c r="T17" i="15"/>
  <c r="T7" i="15"/>
  <c r="T37" i="16"/>
  <c r="T33" i="16"/>
  <c r="T35" i="16"/>
  <c r="T32" i="16"/>
  <c r="T28" i="16"/>
  <c r="T29" i="16"/>
  <c r="T30" i="16"/>
  <c r="T27" i="16"/>
  <c r="T20" i="16"/>
  <c r="T21" i="16"/>
  <c r="T22" i="16"/>
  <c r="T23" i="16"/>
  <c r="T24" i="16"/>
  <c r="T25" i="16"/>
  <c r="T19" i="16"/>
  <c r="T12" i="16"/>
  <c r="T13" i="16"/>
  <c r="T14" i="16"/>
  <c r="T15" i="16"/>
  <c r="T16" i="16"/>
  <c r="T17" i="16"/>
  <c r="T11" i="16"/>
  <c r="T8" i="16"/>
  <c r="T9" i="16"/>
  <c r="T22" i="9"/>
  <c r="T33" i="9"/>
  <c r="T36" i="7"/>
  <c r="T33" i="7"/>
  <c r="T31" i="7"/>
  <c r="AD39" i="16"/>
  <c r="AC39" i="16"/>
  <c r="AB39" i="16"/>
  <c r="AA39" i="16"/>
  <c r="Z39" i="16"/>
  <c r="Y39" i="16"/>
  <c r="X39" i="16"/>
  <c r="W39" i="16"/>
  <c r="V39" i="16"/>
  <c r="U39" i="16"/>
  <c r="Q39" i="16"/>
  <c r="P39" i="16"/>
  <c r="O39" i="16"/>
  <c r="O37" i="16" s="1"/>
  <c r="N39" i="16"/>
  <c r="N34" i="16" s="1"/>
  <c r="M39" i="16"/>
  <c r="L39" i="16"/>
  <c r="K39" i="16"/>
  <c r="Q37" i="16"/>
  <c r="P37" i="16"/>
  <c r="M37" i="16"/>
  <c r="L37" i="16"/>
  <c r="K37" i="16"/>
  <c r="I37" i="16"/>
  <c r="Q35" i="16"/>
  <c r="P35" i="16"/>
  <c r="M35" i="16"/>
  <c r="L35" i="16"/>
  <c r="K35" i="16"/>
  <c r="I35" i="16"/>
  <c r="Q34" i="16"/>
  <c r="P34" i="16"/>
  <c r="M34" i="16"/>
  <c r="L34" i="16"/>
  <c r="K34" i="16"/>
  <c r="I34" i="16"/>
  <c r="Q33" i="16"/>
  <c r="P33" i="16"/>
  <c r="O33" i="16"/>
  <c r="N33" i="16"/>
  <c r="M33" i="16"/>
  <c r="L33" i="16"/>
  <c r="K33" i="16"/>
  <c r="I33" i="16"/>
  <c r="Q32" i="16"/>
  <c r="P32" i="16"/>
  <c r="M32" i="16"/>
  <c r="L32" i="16"/>
  <c r="K32" i="16"/>
  <c r="I32" i="16"/>
  <c r="Q30" i="16"/>
  <c r="P30" i="16"/>
  <c r="M30" i="16"/>
  <c r="L30" i="16"/>
  <c r="K30" i="16"/>
  <c r="I30" i="16"/>
  <c r="Q29" i="16"/>
  <c r="P29" i="16"/>
  <c r="M29" i="16"/>
  <c r="L29" i="16"/>
  <c r="K29" i="16"/>
  <c r="I29" i="16"/>
  <c r="Q28" i="16"/>
  <c r="P28" i="16"/>
  <c r="O28" i="16"/>
  <c r="M28" i="16"/>
  <c r="L28" i="16"/>
  <c r="K28" i="16"/>
  <c r="I28" i="16"/>
  <c r="Q27" i="16"/>
  <c r="P27" i="16"/>
  <c r="M27" i="16"/>
  <c r="L27" i="16"/>
  <c r="K27" i="16"/>
  <c r="I27" i="16"/>
  <c r="Q25" i="16"/>
  <c r="P25" i="16"/>
  <c r="M25" i="16"/>
  <c r="L25" i="16"/>
  <c r="K25" i="16"/>
  <c r="I25" i="16"/>
  <c r="Q24" i="16"/>
  <c r="P24" i="16"/>
  <c r="O24" i="16"/>
  <c r="N24" i="16"/>
  <c r="M24" i="16"/>
  <c r="L24" i="16"/>
  <c r="K24" i="16"/>
  <c r="R24" i="16" s="1"/>
  <c r="I24" i="16"/>
  <c r="Q23" i="16"/>
  <c r="P23" i="16"/>
  <c r="M23" i="16"/>
  <c r="L23" i="16"/>
  <c r="K23" i="16"/>
  <c r="I23" i="16"/>
  <c r="Q22" i="16"/>
  <c r="P22" i="16"/>
  <c r="M22" i="16"/>
  <c r="L22" i="16"/>
  <c r="K22" i="16"/>
  <c r="I22" i="16"/>
  <c r="Q21" i="16"/>
  <c r="P21" i="16"/>
  <c r="M21" i="16"/>
  <c r="L21" i="16"/>
  <c r="K21" i="16"/>
  <c r="I21" i="16"/>
  <c r="Q20" i="16"/>
  <c r="P20" i="16"/>
  <c r="M20" i="16"/>
  <c r="L20" i="16"/>
  <c r="K20" i="16"/>
  <c r="I20" i="16"/>
  <c r="Q19" i="16"/>
  <c r="P19" i="16"/>
  <c r="O19" i="16"/>
  <c r="M19" i="16"/>
  <c r="L19" i="16"/>
  <c r="K19" i="16"/>
  <c r="I19" i="16"/>
  <c r="Q17" i="16"/>
  <c r="P17" i="16"/>
  <c r="M17" i="16"/>
  <c r="L17" i="16"/>
  <c r="K17" i="16"/>
  <c r="I17" i="16"/>
  <c r="Q16" i="16"/>
  <c r="P16" i="16"/>
  <c r="M16" i="16"/>
  <c r="L16" i="16"/>
  <c r="K16" i="16"/>
  <c r="I16" i="16"/>
  <c r="Q15" i="16"/>
  <c r="P15" i="16"/>
  <c r="O15" i="16"/>
  <c r="N15" i="16"/>
  <c r="M15" i="16"/>
  <c r="L15" i="16"/>
  <c r="K15" i="16"/>
  <c r="I15" i="16"/>
  <c r="Q14" i="16"/>
  <c r="P14" i="16"/>
  <c r="M14" i="16"/>
  <c r="L14" i="16"/>
  <c r="K14" i="16"/>
  <c r="I14" i="16"/>
  <c r="Q13" i="16"/>
  <c r="P13" i="16"/>
  <c r="M13" i="16"/>
  <c r="L13" i="16"/>
  <c r="K13" i="16"/>
  <c r="I13" i="16"/>
  <c r="Q12" i="16"/>
  <c r="P12" i="16"/>
  <c r="M12" i="16"/>
  <c r="L12" i="16"/>
  <c r="K12" i="16"/>
  <c r="I12" i="16"/>
  <c r="Q11" i="16"/>
  <c r="P11" i="16"/>
  <c r="M11" i="16"/>
  <c r="L11" i="16"/>
  <c r="K11" i="16"/>
  <c r="I11" i="16"/>
  <c r="Q9" i="16"/>
  <c r="P9" i="16"/>
  <c r="M9" i="16"/>
  <c r="L9" i="16"/>
  <c r="K9" i="16"/>
  <c r="I9" i="16"/>
  <c r="Q8" i="16"/>
  <c r="P8" i="16"/>
  <c r="M8" i="16"/>
  <c r="L8" i="16"/>
  <c r="K8" i="16"/>
  <c r="I8" i="16"/>
  <c r="Q7" i="16"/>
  <c r="P7" i="16"/>
  <c r="O7" i="16"/>
  <c r="N7" i="16"/>
  <c r="M7" i="16"/>
  <c r="L7" i="16"/>
  <c r="K7" i="16"/>
  <c r="I7" i="16"/>
  <c r="AD39" i="15"/>
  <c r="AC39" i="15"/>
  <c r="AB39" i="15"/>
  <c r="AA39" i="15"/>
  <c r="Z39" i="15"/>
  <c r="Y39" i="15"/>
  <c r="X39" i="15"/>
  <c r="W39" i="15"/>
  <c r="V39" i="15"/>
  <c r="U39" i="15"/>
  <c r="Q39" i="15"/>
  <c r="Q30" i="15" s="1"/>
  <c r="P39" i="15"/>
  <c r="P35" i="15" s="1"/>
  <c r="O39" i="15"/>
  <c r="N39" i="15"/>
  <c r="M39" i="15"/>
  <c r="M31" i="15" s="1"/>
  <c r="L39" i="15"/>
  <c r="L36" i="15" s="1"/>
  <c r="K39" i="15"/>
  <c r="K36" i="15" s="1"/>
  <c r="Q37" i="15"/>
  <c r="P37" i="15"/>
  <c r="O37" i="15"/>
  <c r="N37" i="15"/>
  <c r="I37" i="15"/>
  <c r="O36" i="15"/>
  <c r="N36" i="15"/>
  <c r="M36" i="15"/>
  <c r="I36" i="15"/>
  <c r="Q35" i="15"/>
  <c r="O35" i="15"/>
  <c r="N35" i="15"/>
  <c r="K35" i="15"/>
  <c r="I35" i="15"/>
  <c r="P34" i="15"/>
  <c r="O34" i="15"/>
  <c r="N34" i="15"/>
  <c r="I34" i="15"/>
  <c r="Q33" i="15"/>
  <c r="P33" i="15"/>
  <c r="O33" i="15"/>
  <c r="N33" i="15"/>
  <c r="L33" i="15"/>
  <c r="K33" i="15"/>
  <c r="I33" i="15"/>
  <c r="Q32" i="15"/>
  <c r="P32" i="15"/>
  <c r="O32" i="15"/>
  <c r="N32" i="15"/>
  <c r="I32" i="15"/>
  <c r="P31" i="15"/>
  <c r="O31" i="15"/>
  <c r="N31" i="15"/>
  <c r="K31" i="15"/>
  <c r="I31" i="15"/>
  <c r="P30" i="15"/>
  <c r="O30" i="15"/>
  <c r="N30" i="15"/>
  <c r="K30" i="15"/>
  <c r="I30" i="15"/>
  <c r="Q29" i="15"/>
  <c r="P29" i="15"/>
  <c r="O29" i="15"/>
  <c r="N29" i="15"/>
  <c r="I29" i="15"/>
  <c r="P28" i="15"/>
  <c r="O28" i="15"/>
  <c r="N28" i="15"/>
  <c r="M28" i="15"/>
  <c r="I28" i="15"/>
  <c r="Q27" i="15"/>
  <c r="P27" i="15"/>
  <c r="O27" i="15"/>
  <c r="N27" i="15"/>
  <c r="K27" i="15"/>
  <c r="I27" i="15"/>
  <c r="P25" i="15"/>
  <c r="O25" i="15"/>
  <c r="N25" i="15"/>
  <c r="I25" i="15"/>
  <c r="Q24" i="15"/>
  <c r="P24" i="15"/>
  <c r="O24" i="15"/>
  <c r="N24" i="15"/>
  <c r="L24" i="15"/>
  <c r="K24" i="15"/>
  <c r="I24" i="15"/>
  <c r="Q23" i="15"/>
  <c r="P23" i="15"/>
  <c r="O23" i="15"/>
  <c r="N23" i="15"/>
  <c r="I23" i="15"/>
  <c r="P22" i="15"/>
  <c r="O22" i="15"/>
  <c r="N22" i="15"/>
  <c r="K22" i="15"/>
  <c r="I22" i="15"/>
  <c r="P21" i="15"/>
  <c r="O21" i="15"/>
  <c r="N21" i="15"/>
  <c r="K21" i="15"/>
  <c r="I21" i="15"/>
  <c r="Q20" i="15"/>
  <c r="P20" i="15"/>
  <c r="O20" i="15"/>
  <c r="N20" i="15"/>
  <c r="I20" i="15"/>
  <c r="P19" i="15"/>
  <c r="O19" i="15"/>
  <c r="N19" i="15"/>
  <c r="M19" i="15"/>
  <c r="I19" i="15"/>
  <c r="P17" i="15"/>
  <c r="O17" i="15"/>
  <c r="N17" i="15"/>
  <c r="I17" i="15"/>
  <c r="Q16" i="15"/>
  <c r="P16" i="15"/>
  <c r="O16" i="15"/>
  <c r="N16" i="15"/>
  <c r="L16" i="15"/>
  <c r="K16" i="15"/>
  <c r="I16" i="15"/>
  <c r="Q15" i="15"/>
  <c r="P15" i="15"/>
  <c r="O15" i="15"/>
  <c r="N15" i="15"/>
  <c r="I15" i="15"/>
  <c r="P14" i="15"/>
  <c r="O14" i="15"/>
  <c r="N14" i="15"/>
  <c r="K14" i="15"/>
  <c r="I14" i="15"/>
  <c r="P13" i="15"/>
  <c r="O13" i="15"/>
  <c r="N13" i="15"/>
  <c r="K13" i="15"/>
  <c r="I13" i="15"/>
  <c r="Q12" i="15"/>
  <c r="P12" i="15"/>
  <c r="O12" i="15"/>
  <c r="N12" i="15"/>
  <c r="I12" i="15"/>
  <c r="P11" i="15"/>
  <c r="O11" i="15"/>
  <c r="N11" i="15"/>
  <c r="M11" i="15"/>
  <c r="I11" i="15"/>
  <c r="Q10" i="15"/>
  <c r="P10" i="15"/>
  <c r="O10" i="15"/>
  <c r="N10" i="15"/>
  <c r="K10" i="15"/>
  <c r="I10" i="15"/>
  <c r="P9" i="15"/>
  <c r="O9" i="15"/>
  <c r="N9" i="15"/>
  <c r="I9" i="15"/>
  <c r="Q8" i="15"/>
  <c r="P8" i="15"/>
  <c r="O8" i="15"/>
  <c r="N8" i="15"/>
  <c r="M8" i="15"/>
  <c r="L8" i="15"/>
  <c r="K8" i="15"/>
  <c r="I8" i="15"/>
  <c r="Q7" i="15"/>
  <c r="P7" i="15"/>
  <c r="O7" i="15"/>
  <c r="N7" i="15"/>
  <c r="I7" i="15"/>
  <c r="AD39" i="14"/>
  <c r="AC39" i="14"/>
  <c r="AB39" i="14"/>
  <c r="AA39" i="14"/>
  <c r="Z39" i="14"/>
  <c r="Y39" i="14"/>
  <c r="X39" i="14"/>
  <c r="W39" i="14"/>
  <c r="V39" i="14"/>
  <c r="U39" i="14"/>
  <c r="Q39" i="14"/>
  <c r="P39" i="14"/>
  <c r="O39" i="14"/>
  <c r="N39" i="14"/>
  <c r="M39" i="14"/>
  <c r="L39" i="14"/>
  <c r="L36" i="14" s="1"/>
  <c r="K39" i="14"/>
  <c r="Q37" i="14"/>
  <c r="P37" i="14"/>
  <c r="O37" i="14"/>
  <c r="N37" i="14"/>
  <c r="M37" i="14"/>
  <c r="K37" i="14"/>
  <c r="I37" i="14"/>
  <c r="Q36" i="14"/>
  <c r="P36" i="14"/>
  <c r="O36" i="14"/>
  <c r="N36" i="14"/>
  <c r="M36" i="14"/>
  <c r="K36" i="14"/>
  <c r="I36" i="14"/>
  <c r="Q35" i="14"/>
  <c r="P35" i="14"/>
  <c r="O35" i="14"/>
  <c r="N35" i="14"/>
  <c r="M35" i="14"/>
  <c r="K35" i="14"/>
  <c r="I35" i="14"/>
  <c r="Q34" i="14"/>
  <c r="P34" i="14"/>
  <c r="O34" i="14"/>
  <c r="N34" i="14"/>
  <c r="M34" i="14"/>
  <c r="K34" i="14"/>
  <c r="I34" i="14"/>
  <c r="Q33" i="14"/>
  <c r="P33" i="14"/>
  <c r="O33" i="14"/>
  <c r="N33" i="14"/>
  <c r="M33" i="14"/>
  <c r="L33" i="14"/>
  <c r="K33" i="14"/>
  <c r="I33" i="14"/>
  <c r="Q32" i="14"/>
  <c r="P32" i="14"/>
  <c r="O32" i="14"/>
  <c r="N32" i="14"/>
  <c r="M32" i="14"/>
  <c r="K32" i="14"/>
  <c r="I32" i="14"/>
  <c r="Q31" i="14"/>
  <c r="P31" i="14"/>
  <c r="O31" i="14"/>
  <c r="N31" i="14"/>
  <c r="M31" i="14"/>
  <c r="K31" i="14"/>
  <c r="I31" i="14"/>
  <c r="Q30" i="14"/>
  <c r="P30" i="14"/>
  <c r="O30" i="14"/>
  <c r="N30" i="14"/>
  <c r="M30" i="14"/>
  <c r="K30" i="14"/>
  <c r="I30" i="14"/>
  <c r="Q29" i="14"/>
  <c r="P29" i="14"/>
  <c r="O29" i="14"/>
  <c r="N29" i="14"/>
  <c r="M29" i="14"/>
  <c r="K29" i="14"/>
  <c r="I29" i="14"/>
  <c r="Q28" i="14"/>
  <c r="P28" i="14"/>
  <c r="O28" i="14"/>
  <c r="N28" i="14"/>
  <c r="M28" i="14"/>
  <c r="K28" i="14"/>
  <c r="I28" i="14"/>
  <c r="Q27" i="14"/>
  <c r="P27" i="14"/>
  <c r="O27" i="14"/>
  <c r="N27" i="14"/>
  <c r="M27" i="14"/>
  <c r="K27" i="14"/>
  <c r="I27" i="14"/>
  <c r="Q25" i="14"/>
  <c r="P25" i="14"/>
  <c r="O25" i="14"/>
  <c r="N25" i="14"/>
  <c r="M25" i="14"/>
  <c r="K25" i="14"/>
  <c r="I25" i="14"/>
  <c r="Q24" i="14"/>
  <c r="P24" i="14"/>
  <c r="O24" i="14"/>
  <c r="N24" i="14"/>
  <c r="M24" i="14"/>
  <c r="L24" i="14"/>
  <c r="K24" i="14"/>
  <c r="I24" i="14"/>
  <c r="Q23" i="14"/>
  <c r="P23" i="14"/>
  <c r="O23" i="14"/>
  <c r="N23" i="14"/>
  <c r="M23" i="14"/>
  <c r="K23" i="14"/>
  <c r="I23" i="14"/>
  <c r="Q22" i="14"/>
  <c r="P22" i="14"/>
  <c r="O22" i="14"/>
  <c r="N22" i="14"/>
  <c r="M22" i="14"/>
  <c r="K22" i="14"/>
  <c r="I22" i="14"/>
  <c r="Q21" i="14"/>
  <c r="P21" i="14"/>
  <c r="O21" i="14"/>
  <c r="N21" i="14"/>
  <c r="M21" i="14"/>
  <c r="K21" i="14"/>
  <c r="I21" i="14"/>
  <c r="Q20" i="14"/>
  <c r="P20" i="14"/>
  <c r="O20" i="14"/>
  <c r="N20" i="14"/>
  <c r="M20" i="14"/>
  <c r="K20" i="14"/>
  <c r="I20" i="14"/>
  <c r="Q19" i="14"/>
  <c r="P19" i="14"/>
  <c r="O19" i="14"/>
  <c r="N19" i="14"/>
  <c r="M19" i="14"/>
  <c r="K19" i="14"/>
  <c r="I19" i="14"/>
  <c r="Q18" i="14"/>
  <c r="P18" i="14"/>
  <c r="O18" i="14"/>
  <c r="N18" i="14"/>
  <c r="M18" i="14"/>
  <c r="K18" i="14"/>
  <c r="I18" i="14"/>
  <c r="Q17" i="14"/>
  <c r="P17" i="14"/>
  <c r="O17" i="14"/>
  <c r="N17" i="14"/>
  <c r="M17" i="14"/>
  <c r="K17" i="14"/>
  <c r="I17" i="14"/>
  <c r="Q16" i="14"/>
  <c r="P16" i="14"/>
  <c r="O16" i="14"/>
  <c r="N16" i="14"/>
  <c r="M16" i="14"/>
  <c r="L16" i="14"/>
  <c r="K16" i="14"/>
  <c r="I16" i="14"/>
  <c r="Q15" i="14"/>
  <c r="P15" i="14"/>
  <c r="O15" i="14"/>
  <c r="N15" i="14"/>
  <c r="M15" i="14"/>
  <c r="K15" i="14"/>
  <c r="I15" i="14"/>
  <c r="Q14" i="14"/>
  <c r="P14" i="14"/>
  <c r="O14" i="14"/>
  <c r="N14" i="14"/>
  <c r="M14" i="14"/>
  <c r="K14" i="14"/>
  <c r="I14" i="14"/>
  <c r="Q13" i="14"/>
  <c r="P13" i="14"/>
  <c r="O13" i="14"/>
  <c r="N13" i="14"/>
  <c r="M13" i="14"/>
  <c r="K13" i="14"/>
  <c r="I13" i="14"/>
  <c r="Q12" i="14"/>
  <c r="P12" i="14"/>
  <c r="O12" i="14"/>
  <c r="N12" i="14"/>
  <c r="M12" i="14"/>
  <c r="K12" i="14"/>
  <c r="I12" i="14"/>
  <c r="Q11" i="14"/>
  <c r="P11" i="14"/>
  <c r="O11" i="14"/>
  <c r="N11" i="14"/>
  <c r="M11" i="14"/>
  <c r="K11" i="14"/>
  <c r="I11" i="14"/>
  <c r="Q10" i="14"/>
  <c r="P10" i="14"/>
  <c r="O10" i="14"/>
  <c r="N10" i="14"/>
  <c r="M10" i="14"/>
  <c r="K10" i="14"/>
  <c r="I10" i="14"/>
  <c r="Q9" i="14"/>
  <c r="P9" i="14"/>
  <c r="O9" i="14"/>
  <c r="N9" i="14"/>
  <c r="M9" i="14"/>
  <c r="K9" i="14"/>
  <c r="I9" i="14"/>
  <c r="Q8" i="14"/>
  <c r="P8" i="14"/>
  <c r="O8" i="14"/>
  <c r="N8" i="14"/>
  <c r="M8" i="14"/>
  <c r="L8" i="14"/>
  <c r="K8" i="14"/>
  <c r="I8" i="14"/>
  <c r="Q7" i="14"/>
  <c r="P7" i="14"/>
  <c r="O7" i="14"/>
  <c r="N7" i="14"/>
  <c r="M7" i="14"/>
  <c r="K7" i="14"/>
  <c r="I7" i="14"/>
  <c r="AA28" i="13"/>
  <c r="W37" i="13"/>
  <c r="U37" i="13"/>
  <c r="V37" i="13"/>
  <c r="AA37" i="13"/>
  <c r="AB37" i="13"/>
  <c r="AC37" i="13"/>
  <c r="AD37" i="13"/>
  <c r="I33" i="13"/>
  <c r="K28" i="13"/>
  <c r="L28" i="13"/>
  <c r="M28" i="13"/>
  <c r="N28" i="13"/>
  <c r="O28" i="13"/>
  <c r="P28" i="13"/>
  <c r="Q28" i="13"/>
  <c r="R28" i="13"/>
  <c r="K29" i="13"/>
  <c r="L29" i="13"/>
  <c r="M29" i="13"/>
  <c r="N29" i="13"/>
  <c r="O29" i="13"/>
  <c r="P29" i="13"/>
  <c r="Q29" i="13"/>
  <c r="R29" i="13"/>
  <c r="K30" i="13"/>
  <c r="L30" i="13"/>
  <c r="M30" i="13"/>
  <c r="N30" i="13"/>
  <c r="O30" i="13"/>
  <c r="P30" i="13"/>
  <c r="Q30" i="13"/>
  <c r="R30" i="13"/>
  <c r="K31" i="13"/>
  <c r="L31" i="13"/>
  <c r="M31" i="13"/>
  <c r="N31" i="13"/>
  <c r="O31" i="13"/>
  <c r="P31" i="13"/>
  <c r="Q31" i="13"/>
  <c r="R31" i="13"/>
  <c r="K32" i="13"/>
  <c r="L32" i="13"/>
  <c r="M32" i="13"/>
  <c r="N32" i="13"/>
  <c r="O32" i="13"/>
  <c r="P32" i="13"/>
  <c r="Q32" i="13"/>
  <c r="R32" i="13"/>
  <c r="K33" i="13"/>
  <c r="L33" i="13"/>
  <c r="M33" i="13"/>
  <c r="N33" i="13"/>
  <c r="O33" i="13"/>
  <c r="P33" i="13"/>
  <c r="Q33" i="13"/>
  <c r="R33" i="13"/>
  <c r="K34" i="13"/>
  <c r="L34" i="13"/>
  <c r="M34" i="13"/>
  <c r="N34" i="13"/>
  <c r="O34" i="13"/>
  <c r="P34" i="13"/>
  <c r="Q34" i="13"/>
  <c r="R34" i="13"/>
  <c r="K35" i="13"/>
  <c r="L35" i="13"/>
  <c r="M35" i="13"/>
  <c r="N35" i="13"/>
  <c r="O35" i="13"/>
  <c r="P35" i="13"/>
  <c r="Q35" i="13"/>
  <c r="R35" i="13"/>
  <c r="K36" i="13"/>
  <c r="L36" i="13"/>
  <c r="M36" i="13"/>
  <c r="N36" i="13"/>
  <c r="O36" i="13"/>
  <c r="P36" i="13"/>
  <c r="Q36" i="13"/>
  <c r="R36" i="13"/>
  <c r="K37" i="13"/>
  <c r="L37" i="13"/>
  <c r="M37" i="13"/>
  <c r="N37" i="13"/>
  <c r="O37" i="13"/>
  <c r="P37" i="13"/>
  <c r="Q37" i="13"/>
  <c r="R37" i="13"/>
  <c r="R27" i="13"/>
  <c r="Q27" i="13"/>
  <c r="P27" i="13"/>
  <c r="O27" i="13"/>
  <c r="N27" i="13"/>
  <c r="M27" i="13"/>
  <c r="L27" i="13"/>
  <c r="K27" i="13"/>
  <c r="I37" i="13"/>
  <c r="I28" i="13"/>
  <c r="I29" i="13"/>
  <c r="I30" i="13"/>
  <c r="I31" i="13"/>
  <c r="I32" i="13"/>
  <c r="I34" i="13"/>
  <c r="I35" i="13"/>
  <c r="I36" i="13"/>
  <c r="I27" i="13"/>
  <c r="I24" i="13"/>
  <c r="AD39" i="13"/>
  <c r="AC39" i="13"/>
  <c r="AB39" i="13"/>
  <c r="AA39" i="13"/>
  <c r="Z39" i="13"/>
  <c r="Y39" i="13"/>
  <c r="X39" i="13"/>
  <c r="W39" i="13"/>
  <c r="V39" i="13"/>
  <c r="U39" i="13"/>
  <c r="Q39" i="13"/>
  <c r="P39" i="13"/>
  <c r="O39" i="13"/>
  <c r="N39" i="13"/>
  <c r="M39" i="13"/>
  <c r="L39" i="13"/>
  <c r="K39" i="13"/>
  <c r="Q25" i="13"/>
  <c r="P25" i="13"/>
  <c r="O25" i="13"/>
  <c r="M25" i="13"/>
  <c r="I25" i="13"/>
  <c r="Q24" i="13"/>
  <c r="P24" i="13"/>
  <c r="M24" i="13"/>
  <c r="Q23" i="13"/>
  <c r="P23" i="13"/>
  <c r="M23" i="13"/>
  <c r="I23" i="13"/>
  <c r="Q22" i="13"/>
  <c r="P22" i="13"/>
  <c r="M22" i="13"/>
  <c r="I22" i="13"/>
  <c r="Q21" i="13"/>
  <c r="P21" i="13"/>
  <c r="M21" i="13"/>
  <c r="K21" i="13"/>
  <c r="I21" i="13"/>
  <c r="Q20" i="13"/>
  <c r="P20" i="13"/>
  <c r="M20" i="13"/>
  <c r="I20" i="13"/>
  <c r="Q19" i="13"/>
  <c r="P19" i="13"/>
  <c r="M19" i="13"/>
  <c r="I19" i="13"/>
  <c r="Q18" i="13"/>
  <c r="P18" i="13"/>
  <c r="O18" i="13"/>
  <c r="M18" i="13"/>
  <c r="I18" i="13"/>
  <c r="Q17" i="13"/>
  <c r="P17" i="13"/>
  <c r="M17" i="13"/>
  <c r="I17" i="13"/>
  <c r="Q16" i="13"/>
  <c r="P16" i="13"/>
  <c r="M16" i="13"/>
  <c r="I16" i="13"/>
  <c r="Q15" i="13"/>
  <c r="P15" i="13"/>
  <c r="M15" i="13"/>
  <c r="K15" i="13"/>
  <c r="I15" i="13"/>
  <c r="Q14" i="13"/>
  <c r="P14" i="13"/>
  <c r="O14" i="13"/>
  <c r="M14" i="13"/>
  <c r="I14" i="13"/>
  <c r="Q13" i="13"/>
  <c r="P13" i="13"/>
  <c r="M13" i="13"/>
  <c r="I13" i="13"/>
  <c r="Q12" i="13"/>
  <c r="P12" i="13"/>
  <c r="M12" i="13"/>
  <c r="I12" i="13"/>
  <c r="Q11" i="13"/>
  <c r="P11" i="13"/>
  <c r="M11" i="13"/>
  <c r="K11" i="13"/>
  <c r="I11" i="13"/>
  <c r="Q10" i="13"/>
  <c r="P10" i="13"/>
  <c r="M10" i="13"/>
  <c r="K10" i="13"/>
  <c r="I10" i="13"/>
  <c r="Q9" i="13"/>
  <c r="P9" i="13"/>
  <c r="O9" i="13"/>
  <c r="M9" i="13"/>
  <c r="I9" i="13"/>
  <c r="Q8" i="13"/>
  <c r="P8" i="13"/>
  <c r="M8" i="13"/>
  <c r="I8" i="13"/>
  <c r="Q7" i="13"/>
  <c r="P7" i="13"/>
  <c r="M7" i="13"/>
  <c r="I7" i="13"/>
  <c r="AD39" i="11"/>
  <c r="AC39" i="11"/>
  <c r="AB39" i="11"/>
  <c r="AA39" i="11"/>
  <c r="Z39" i="11"/>
  <c r="Y39" i="11"/>
  <c r="X39" i="11"/>
  <c r="W39" i="11"/>
  <c r="V39" i="11"/>
  <c r="U39" i="11"/>
  <c r="Q39" i="11"/>
  <c r="P39" i="11"/>
  <c r="O39" i="11"/>
  <c r="N39" i="11"/>
  <c r="M39" i="11"/>
  <c r="M30" i="11" s="1"/>
  <c r="L39" i="11"/>
  <c r="L35" i="11" s="1"/>
  <c r="K39" i="11"/>
  <c r="Q36" i="11"/>
  <c r="P36" i="11"/>
  <c r="O36" i="11"/>
  <c r="N36" i="11"/>
  <c r="K36" i="11"/>
  <c r="I36" i="11"/>
  <c r="Q35" i="11"/>
  <c r="P35" i="11"/>
  <c r="O35" i="11"/>
  <c r="N35" i="11"/>
  <c r="M35" i="11"/>
  <c r="K35" i="11"/>
  <c r="I35" i="11"/>
  <c r="Q34" i="11"/>
  <c r="P34" i="11"/>
  <c r="O34" i="11"/>
  <c r="N34" i="11"/>
  <c r="K34" i="11"/>
  <c r="I34" i="11"/>
  <c r="Q33" i="11"/>
  <c r="P33" i="11"/>
  <c r="O33" i="11"/>
  <c r="N33" i="11"/>
  <c r="K33" i="11"/>
  <c r="I33" i="11"/>
  <c r="Q32" i="11"/>
  <c r="P32" i="11"/>
  <c r="O32" i="11"/>
  <c r="N32" i="11"/>
  <c r="M32" i="11"/>
  <c r="L32" i="11"/>
  <c r="R32" i="11" s="1"/>
  <c r="S32" i="11" s="1"/>
  <c r="K32" i="11"/>
  <c r="I32" i="11"/>
  <c r="Q31" i="11"/>
  <c r="P31" i="11"/>
  <c r="O31" i="11"/>
  <c r="N31" i="11"/>
  <c r="K31" i="11"/>
  <c r="I31" i="11"/>
  <c r="Q30" i="11"/>
  <c r="P30" i="11"/>
  <c r="O30" i="11"/>
  <c r="N30" i="11"/>
  <c r="K30" i="11"/>
  <c r="I30" i="11"/>
  <c r="Q29" i="11"/>
  <c r="P29" i="11"/>
  <c r="O29" i="11"/>
  <c r="N29" i="11"/>
  <c r="K29" i="11"/>
  <c r="I29" i="11"/>
  <c r="Q28" i="11"/>
  <c r="P28" i="11"/>
  <c r="O28" i="11"/>
  <c r="N28" i="11"/>
  <c r="K28" i="11"/>
  <c r="I28" i="11"/>
  <c r="Q27" i="11"/>
  <c r="P27" i="11"/>
  <c r="O27" i="11"/>
  <c r="N27" i="11"/>
  <c r="M27" i="11"/>
  <c r="K27" i="11"/>
  <c r="I27" i="11"/>
  <c r="Q26" i="11"/>
  <c r="P26" i="11"/>
  <c r="O26" i="11"/>
  <c r="N26" i="11"/>
  <c r="K26" i="11"/>
  <c r="I26" i="11"/>
  <c r="Q25" i="11"/>
  <c r="P25" i="11"/>
  <c r="O25" i="11"/>
  <c r="N25" i="11"/>
  <c r="K25" i="11"/>
  <c r="I25" i="11"/>
  <c r="Q24" i="11"/>
  <c r="P24" i="11"/>
  <c r="O24" i="11"/>
  <c r="N24" i="11"/>
  <c r="M24" i="11"/>
  <c r="L24" i="11"/>
  <c r="K24" i="11"/>
  <c r="I24" i="11"/>
  <c r="Q23" i="11"/>
  <c r="P23" i="11"/>
  <c r="O23" i="11"/>
  <c r="N23" i="11"/>
  <c r="K23" i="11"/>
  <c r="I23" i="11"/>
  <c r="Q22" i="11"/>
  <c r="P22" i="11"/>
  <c r="O22" i="11"/>
  <c r="N22" i="11"/>
  <c r="K22" i="11"/>
  <c r="I22" i="11"/>
  <c r="Q21" i="11"/>
  <c r="P21" i="11"/>
  <c r="O21" i="11"/>
  <c r="N21" i="11"/>
  <c r="K21" i="11"/>
  <c r="I21" i="11"/>
  <c r="Q20" i="11"/>
  <c r="P20" i="11"/>
  <c r="O20" i="11"/>
  <c r="N20" i="11"/>
  <c r="K20" i="11"/>
  <c r="I20" i="11"/>
  <c r="Q19" i="11"/>
  <c r="P19" i="11"/>
  <c r="O19" i="11"/>
  <c r="N19" i="11"/>
  <c r="M19" i="11"/>
  <c r="K19" i="11"/>
  <c r="I19" i="11"/>
  <c r="Q18" i="11"/>
  <c r="P18" i="11"/>
  <c r="O18" i="11"/>
  <c r="N18" i="11"/>
  <c r="K18" i="11"/>
  <c r="I18" i="11"/>
  <c r="Q17" i="11"/>
  <c r="P17" i="11"/>
  <c r="O17" i="11"/>
  <c r="N17" i="11"/>
  <c r="K17" i="11"/>
  <c r="I17" i="11"/>
  <c r="Q16" i="11"/>
  <c r="P16" i="11"/>
  <c r="O16" i="11"/>
  <c r="N16" i="11"/>
  <c r="M16" i="11"/>
  <c r="L16" i="11"/>
  <c r="K16" i="11"/>
  <c r="I16" i="11"/>
  <c r="Q15" i="11"/>
  <c r="P15" i="11"/>
  <c r="O15" i="11"/>
  <c r="N15" i="11"/>
  <c r="K15" i="11"/>
  <c r="I15" i="11"/>
  <c r="Q14" i="11"/>
  <c r="P14" i="11"/>
  <c r="O14" i="11"/>
  <c r="N14" i="11"/>
  <c r="K14" i="11"/>
  <c r="I14" i="11"/>
  <c r="Q13" i="11"/>
  <c r="P13" i="11"/>
  <c r="O13" i="11"/>
  <c r="N13" i="11"/>
  <c r="K13" i="11"/>
  <c r="I13" i="11"/>
  <c r="Q12" i="11"/>
  <c r="P12" i="11"/>
  <c r="O12" i="11"/>
  <c r="N12" i="11"/>
  <c r="K12" i="11"/>
  <c r="I12" i="11"/>
  <c r="Q11" i="11"/>
  <c r="P11" i="11"/>
  <c r="O11" i="11"/>
  <c r="N11" i="11"/>
  <c r="M11" i="11"/>
  <c r="K11" i="11"/>
  <c r="I11" i="11"/>
  <c r="Q10" i="11"/>
  <c r="P10" i="11"/>
  <c r="O10" i="11"/>
  <c r="N10" i="11"/>
  <c r="K10" i="11"/>
  <c r="I10" i="11"/>
  <c r="Q9" i="11"/>
  <c r="P9" i="11"/>
  <c r="O9" i="11"/>
  <c r="N9" i="11"/>
  <c r="K9" i="11"/>
  <c r="I9" i="11"/>
  <c r="Q8" i="11"/>
  <c r="P8" i="11"/>
  <c r="O8" i="11"/>
  <c r="N8" i="11"/>
  <c r="M8" i="11"/>
  <c r="L8" i="11"/>
  <c r="K8" i="11"/>
  <c r="I8" i="11"/>
  <c r="Q7" i="11"/>
  <c r="P7" i="11"/>
  <c r="O7" i="11"/>
  <c r="N7" i="11"/>
  <c r="K7" i="11"/>
  <c r="I7" i="11"/>
  <c r="AD39" i="10"/>
  <c r="AC39" i="10"/>
  <c r="AB39" i="10"/>
  <c r="AA39" i="10"/>
  <c r="Z39" i="10"/>
  <c r="Y39" i="10"/>
  <c r="X39" i="10"/>
  <c r="W39" i="10"/>
  <c r="V39" i="10"/>
  <c r="U39" i="10"/>
  <c r="Q39" i="10"/>
  <c r="P39" i="10"/>
  <c r="P31" i="10" s="1"/>
  <c r="O39" i="10"/>
  <c r="N39" i="10"/>
  <c r="N33" i="10" s="1"/>
  <c r="M39" i="10"/>
  <c r="M30" i="10" s="1"/>
  <c r="L39" i="10"/>
  <c r="K39" i="10"/>
  <c r="Q36" i="10"/>
  <c r="P36" i="10"/>
  <c r="O36" i="10"/>
  <c r="K36" i="10"/>
  <c r="I36" i="10"/>
  <c r="Q35" i="10"/>
  <c r="O35" i="10"/>
  <c r="N35" i="10"/>
  <c r="M35" i="10"/>
  <c r="K35" i="10"/>
  <c r="I35" i="10"/>
  <c r="Q34" i="10"/>
  <c r="O34" i="10"/>
  <c r="K34" i="10"/>
  <c r="I34" i="10"/>
  <c r="Q33" i="10"/>
  <c r="P33" i="10"/>
  <c r="O33" i="10"/>
  <c r="K33" i="10"/>
  <c r="I33" i="10"/>
  <c r="Q32" i="10"/>
  <c r="P32" i="10"/>
  <c r="O32" i="10"/>
  <c r="N32" i="10"/>
  <c r="M32" i="10"/>
  <c r="K32" i="10"/>
  <c r="I32" i="10"/>
  <c r="Q31" i="10"/>
  <c r="O31" i="10"/>
  <c r="K31" i="10"/>
  <c r="I31" i="10"/>
  <c r="Q30" i="10"/>
  <c r="P30" i="10"/>
  <c r="O30" i="10"/>
  <c r="N30" i="10"/>
  <c r="K30" i="10"/>
  <c r="I30" i="10"/>
  <c r="Q29" i="10"/>
  <c r="O29" i="10"/>
  <c r="K29" i="10"/>
  <c r="I29" i="10"/>
  <c r="Q28" i="10"/>
  <c r="P28" i="10"/>
  <c r="O28" i="10"/>
  <c r="K28" i="10"/>
  <c r="I28" i="10"/>
  <c r="Q27" i="10"/>
  <c r="O27" i="10"/>
  <c r="N27" i="10"/>
  <c r="M27" i="10"/>
  <c r="K27" i="10"/>
  <c r="I27" i="10"/>
  <c r="Q26" i="10"/>
  <c r="O26" i="10"/>
  <c r="K26" i="10"/>
  <c r="I26" i="10"/>
  <c r="Q25" i="10"/>
  <c r="P25" i="10"/>
  <c r="O25" i="10"/>
  <c r="K25" i="10"/>
  <c r="I25" i="10"/>
  <c r="Q24" i="10"/>
  <c r="P24" i="10"/>
  <c r="O24" i="10"/>
  <c r="N24" i="10"/>
  <c r="M24" i="10"/>
  <c r="K24" i="10"/>
  <c r="I24" i="10"/>
  <c r="Q23" i="10"/>
  <c r="O23" i="10"/>
  <c r="K23" i="10"/>
  <c r="I23" i="10"/>
  <c r="Q22" i="10"/>
  <c r="P22" i="10"/>
  <c r="O22" i="10"/>
  <c r="N22" i="10"/>
  <c r="K22" i="10"/>
  <c r="I22" i="10"/>
  <c r="Q21" i="10"/>
  <c r="O21" i="10"/>
  <c r="K21" i="10"/>
  <c r="I21" i="10"/>
  <c r="Q20" i="10"/>
  <c r="P20" i="10"/>
  <c r="O20" i="10"/>
  <c r="K20" i="10"/>
  <c r="I20" i="10"/>
  <c r="Q19" i="10"/>
  <c r="P19" i="10"/>
  <c r="O19" i="10"/>
  <c r="N19" i="10"/>
  <c r="M19" i="10"/>
  <c r="K19" i="10"/>
  <c r="I19" i="10"/>
  <c r="Q18" i="10"/>
  <c r="P18" i="10"/>
  <c r="O18" i="10"/>
  <c r="K18" i="10"/>
  <c r="I18" i="10"/>
  <c r="Q17" i="10"/>
  <c r="P17" i="10"/>
  <c r="O17" i="10"/>
  <c r="K17" i="10"/>
  <c r="I17" i="10"/>
  <c r="Q16" i="10"/>
  <c r="P16" i="10"/>
  <c r="O16" i="10"/>
  <c r="N16" i="10"/>
  <c r="M16" i="10"/>
  <c r="K16" i="10"/>
  <c r="I16" i="10"/>
  <c r="Q15" i="10"/>
  <c r="P15" i="10"/>
  <c r="O15" i="10"/>
  <c r="K15" i="10"/>
  <c r="I15" i="10"/>
  <c r="Q14" i="10"/>
  <c r="P14" i="10"/>
  <c r="O14" i="10"/>
  <c r="N14" i="10"/>
  <c r="K14" i="10"/>
  <c r="I14" i="10"/>
  <c r="Q13" i="10"/>
  <c r="P13" i="10"/>
  <c r="O13" i="10"/>
  <c r="K13" i="10"/>
  <c r="I13" i="10"/>
  <c r="Q12" i="10"/>
  <c r="P12" i="10"/>
  <c r="O12" i="10"/>
  <c r="K12" i="10"/>
  <c r="I12" i="10"/>
  <c r="Q11" i="10"/>
  <c r="P11" i="10"/>
  <c r="O11" i="10"/>
  <c r="N11" i="10"/>
  <c r="M11" i="10"/>
  <c r="K11" i="10"/>
  <c r="I11" i="10"/>
  <c r="Q10" i="10"/>
  <c r="P10" i="10"/>
  <c r="O10" i="10"/>
  <c r="K10" i="10"/>
  <c r="I10" i="10"/>
  <c r="Q9" i="10"/>
  <c r="P9" i="10"/>
  <c r="O9" i="10"/>
  <c r="K9" i="10"/>
  <c r="I9" i="10"/>
  <c r="Q8" i="10"/>
  <c r="P8" i="10"/>
  <c r="O8" i="10"/>
  <c r="N8" i="10"/>
  <c r="M8" i="10"/>
  <c r="K8" i="10"/>
  <c r="I8" i="10"/>
  <c r="Q7" i="10"/>
  <c r="P7" i="10"/>
  <c r="O7" i="10"/>
  <c r="K7" i="10"/>
  <c r="I7" i="10"/>
  <c r="AD39" i="9"/>
  <c r="AC39" i="9"/>
  <c r="AB39" i="9"/>
  <c r="AA39" i="9"/>
  <c r="Z39" i="9"/>
  <c r="Y39" i="9"/>
  <c r="X39" i="9"/>
  <c r="W39" i="9"/>
  <c r="V39" i="9"/>
  <c r="U39" i="9"/>
  <c r="Q39" i="9"/>
  <c r="P39" i="9"/>
  <c r="O39" i="9"/>
  <c r="N39" i="9"/>
  <c r="M39" i="9"/>
  <c r="M30" i="9" s="1"/>
  <c r="L39" i="9"/>
  <c r="L35" i="9" s="1"/>
  <c r="K39" i="9"/>
  <c r="Q36" i="9"/>
  <c r="P36" i="9"/>
  <c r="O36" i="9"/>
  <c r="N36" i="9"/>
  <c r="K36" i="9"/>
  <c r="I36" i="9"/>
  <c r="Q35" i="9"/>
  <c r="P35" i="9"/>
  <c r="O35" i="9"/>
  <c r="N35" i="9"/>
  <c r="M35" i="9"/>
  <c r="K35" i="9"/>
  <c r="I35" i="9"/>
  <c r="Q34" i="9"/>
  <c r="P34" i="9"/>
  <c r="O34" i="9"/>
  <c r="N34" i="9"/>
  <c r="K34" i="9"/>
  <c r="I34" i="9"/>
  <c r="Q33" i="9"/>
  <c r="P33" i="9"/>
  <c r="O33" i="9"/>
  <c r="N33" i="9"/>
  <c r="K33" i="9"/>
  <c r="I33" i="9"/>
  <c r="Q32" i="9"/>
  <c r="P32" i="9"/>
  <c r="O32" i="9"/>
  <c r="N32" i="9"/>
  <c r="M32" i="9"/>
  <c r="L32" i="9"/>
  <c r="K32" i="9"/>
  <c r="I32" i="9"/>
  <c r="Q31" i="9"/>
  <c r="P31" i="9"/>
  <c r="O31" i="9"/>
  <c r="N31" i="9"/>
  <c r="K31" i="9"/>
  <c r="I31" i="9"/>
  <c r="Q30" i="9"/>
  <c r="P30" i="9"/>
  <c r="O30" i="9"/>
  <c r="N30" i="9"/>
  <c r="K30" i="9"/>
  <c r="I30" i="9"/>
  <c r="Q29" i="9"/>
  <c r="P29" i="9"/>
  <c r="O29" i="9"/>
  <c r="N29" i="9"/>
  <c r="K29" i="9"/>
  <c r="I29" i="9"/>
  <c r="Q28" i="9"/>
  <c r="P28" i="9"/>
  <c r="O28" i="9"/>
  <c r="N28" i="9"/>
  <c r="K28" i="9"/>
  <c r="I28" i="9"/>
  <c r="Q27" i="9"/>
  <c r="P27" i="9"/>
  <c r="O27" i="9"/>
  <c r="N27" i="9"/>
  <c r="M27" i="9"/>
  <c r="K27" i="9"/>
  <c r="I27" i="9"/>
  <c r="Q26" i="9"/>
  <c r="P26" i="9"/>
  <c r="O26" i="9"/>
  <c r="N26" i="9"/>
  <c r="K26" i="9"/>
  <c r="I26" i="9"/>
  <c r="Q25" i="9"/>
  <c r="P25" i="9"/>
  <c r="O25" i="9"/>
  <c r="N25" i="9"/>
  <c r="K25" i="9"/>
  <c r="I25" i="9"/>
  <c r="Q24" i="9"/>
  <c r="P24" i="9"/>
  <c r="O24" i="9"/>
  <c r="N24" i="9"/>
  <c r="M24" i="9"/>
  <c r="L24" i="9"/>
  <c r="K24" i="9"/>
  <c r="I24" i="9"/>
  <c r="Q23" i="9"/>
  <c r="P23" i="9"/>
  <c r="O23" i="9"/>
  <c r="N23" i="9"/>
  <c r="K23" i="9"/>
  <c r="I23" i="9"/>
  <c r="Q22" i="9"/>
  <c r="P22" i="9"/>
  <c r="O22" i="9"/>
  <c r="N22" i="9"/>
  <c r="K22" i="9"/>
  <c r="I22" i="9"/>
  <c r="Q21" i="9"/>
  <c r="P21" i="9"/>
  <c r="O21" i="9"/>
  <c r="N21" i="9"/>
  <c r="K21" i="9"/>
  <c r="I21" i="9"/>
  <c r="Q20" i="9"/>
  <c r="P20" i="9"/>
  <c r="O20" i="9"/>
  <c r="N20" i="9"/>
  <c r="K20" i="9"/>
  <c r="I20" i="9"/>
  <c r="Q19" i="9"/>
  <c r="P19" i="9"/>
  <c r="O19" i="9"/>
  <c r="N19" i="9"/>
  <c r="M19" i="9"/>
  <c r="K19" i="9"/>
  <c r="I19" i="9"/>
  <c r="Q18" i="9"/>
  <c r="P18" i="9"/>
  <c r="O18" i="9"/>
  <c r="N18" i="9"/>
  <c r="K18" i="9"/>
  <c r="I18" i="9"/>
  <c r="Q17" i="9"/>
  <c r="P17" i="9"/>
  <c r="O17" i="9"/>
  <c r="N17" i="9"/>
  <c r="K17" i="9"/>
  <c r="I17" i="9"/>
  <c r="Q16" i="9"/>
  <c r="P16" i="9"/>
  <c r="O16" i="9"/>
  <c r="N16" i="9"/>
  <c r="M16" i="9"/>
  <c r="L16" i="9"/>
  <c r="K16" i="9"/>
  <c r="R16" i="9" s="1"/>
  <c r="I16" i="9"/>
  <c r="Q15" i="9"/>
  <c r="P15" i="9"/>
  <c r="O15" i="9"/>
  <c r="N15" i="9"/>
  <c r="K15" i="9"/>
  <c r="I15" i="9"/>
  <c r="Q14" i="9"/>
  <c r="P14" i="9"/>
  <c r="O14" i="9"/>
  <c r="N14" i="9"/>
  <c r="K14" i="9"/>
  <c r="I14" i="9"/>
  <c r="Q13" i="9"/>
  <c r="P13" i="9"/>
  <c r="O13" i="9"/>
  <c r="N13" i="9"/>
  <c r="K13" i="9"/>
  <c r="I13" i="9"/>
  <c r="Q12" i="9"/>
  <c r="P12" i="9"/>
  <c r="O12" i="9"/>
  <c r="N12" i="9"/>
  <c r="K12" i="9"/>
  <c r="I12" i="9"/>
  <c r="Q11" i="9"/>
  <c r="P11" i="9"/>
  <c r="O11" i="9"/>
  <c r="N11" i="9"/>
  <c r="M11" i="9"/>
  <c r="K11" i="9"/>
  <c r="I11" i="9"/>
  <c r="Q10" i="9"/>
  <c r="P10" i="9"/>
  <c r="O10" i="9"/>
  <c r="N10" i="9"/>
  <c r="K10" i="9"/>
  <c r="I10" i="9"/>
  <c r="Q9" i="9"/>
  <c r="P9" i="9"/>
  <c r="O9" i="9"/>
  <c r="N9" i="9"/>
  <c r="K9" i="9"/>
  <c r="I9" i="9"/>
  <c r="Q8" i="9"/>
  <c r="P8" i="9"/>
  <c r="O8" i="9"/>
  <c r="N8" i="9"/>
  <c r="M8" i="9"/>
  <c r="L8" i="9"/>
  <c r="K8" i="9"/>
  <c r="I8" i="9"/>
  <c r="Q7" i="9"/>
  <c r="P7" i="9"/>
  <c r="O7" i="9"/>
  <c r="N7" i="9"/>
  <c r="K7" i="9"/>
  <c r="I7" i="9"/>
  <c r="AD39" i="8"/>
  <c r="AC39" i="8"/>
  <c r="AB39" i="8"/>
  <c r="AA39" i="8"/>
  <c r="Z39" i="8"/>
  <c r="Y39" i="8"/>
  <c r="X39" i="8"/>
  <c r="W39" i="8"/>
  <c r="V39" i="8"/>
  <c r="U39" i="8"/>
  <c r="Q39" i="8"/>
  <c r="Q35" i="8" s="1"/>
  <c r="P39" i="8"/>
  <c r="O39" i="8"/>
  <c r="O35" i="8" s="1"/>
  <c r="N39" i="8"/>
  <c r="M39" i="8"/>
  <c r="M30" i="8" s="1"/>
  <c r="L39" i="8"/>
  <c r="L35" i="8" s="1"/>
  <c r="K39" i="8"/>
  <c r="K33" i="8" s="1"/>
  <c r="Q36" i="8"/>
  <c r="P36" i="8"/>
  <c r="O36" i="8"/>
  <c r="N36" i="8"/>
  <c r="K36" i="8"/>
  <c r="I36" i="8"/>
  <c r="P35" i="8"/>
  <c r="N35" i="8"/>
  <c r="M35" i="8"/>
  <c r="K35" i="8"/>
  <c r="I35" i="8"/>
  <c r="Q34" i="8"/>
  <c r="P34" i="8"/>
  <c r="O34" i="8"/>
  <c r="N34" i="8"/>
  <c r="K34" i="8"/>
  <c r="I34" i="8"/>
  <c r="Q33" i="8"/>
  <c r="P33" i="8"/>
  <c r="O33" i="8"/>
  <c r="N33" i="8"/>
  <c r="I33" i="8"/>
  <c r="Q32" i="8"/>
  <c r="P32" i="8"/>
  <c r="O32" i="8"/>
  <c r="N32" i="8"/>
  <c r="M32" i="8"/>
  <c r="L32" i="8"/>
  <c r="K32" i="8"/>
  <c r="I32" i="8"/>
  <c r="Q31" i="8"/>
  <c r="P31" i="8"/>
  <c r="O31" i="8"/>
  <c r="N31" i="8"/>
  <c r="K31" i="8"/>
  <c r="I31" i="8"/>
  <c r="Q30" i="8"/>
  <c r="P30" i="8"/>
  <c r="O30" i="8"/>
  <c r="N30" i="8"/>
  <c r="K30" i="8"/>
  <c r="I30" i="8"/>
  <c r="Q29" i="8"/>
  <c r="P29" i="8"/>
  <c r="O29" i="8"/>
  <c r="N29" i="8"/>
  <c r="K29" i="8"/>
  <c r="I29" i="8"/>
  <c r="Q28" i="8"/>
  <c r="P28" i="8"/>
  <c r="O28" i="8"/>
  <c r="N28" i="8"/>
  <c r="K28" i="8"/>
  <c r="I28" i="8"/>
  <c r="Q27" i="8"/>
  <c r="P27" i="8"/>
  <c r="O27" i="8"/>
  <c r="N27" i="8"/>
  <c r="M27" i="8"/>
  <c r="K27" i="8"/>
  <c r="I27" i="8"/>
  <c r="Q26" i="8"/>
  <c r="P26" i="8"/>
  <c r="O26" i="8"/>
  <c r="N26" i="8"/>
  <c r="K26" i="8"/>
  <c r="I26" i="8"/>
  <c r="Q25" i="8"/>
  <c r="P25" i="8"/>
  <c r="O25" i="8"/>
  <c r="N25" i="8"/>
  <c r="K25" i="8"/>
  <c r="I25" i="8"/>
  <c r="Q24" i="8"/>
  <c r="P24" i="8"/>
  <c r="O24" i="8"/>
  <c r="N24" i="8"/>
  <c r="M24" i="8"/>
  <c r="L24" i="8"/>
  <c r="K24" i="8"/>
  <c r="I24" i="8"/>
  <c r="Q23" i="8"/>
  <c r="P23" i="8"/>
  <c r="O23" i="8"/>
  <c r="N23" i="8"/>
  <c r="K23" i="8"/>
  <c r="I23" i="8"/>
  <c r="Q22" i="8"/>
  <c r="P22" i="8"/>
  <c r="O22" i="8"/>
  <c r="N22" i="8"/>
  <c r="K22" i="8"/>
  <c r="I22" i="8"/>
  <c r="Q21" i="8"/>
  <c r="P21" i="8"/>
  <c r="O21" i="8"/>
  <c r="N21" i="8"/>
  <c r="K21" i="8"/>
  <c r="I21" i="8"/>
  <c r="Q20" i="8"/>
  <c r="P20" i="8"/>
  <c r="O20" i="8"/>
  <c r="N20" i="8"/>
  <c r="K20" i="8"/>
  <c r="I20" i="8"/>
  <c r="Q19" i="8"/>
  <c r="P19" i="8"/>
  <c r="O19" i="8"/>
  <c r="N19" i="8"/>
  <c r="M19" i="8"/>
  <c r="K19" i="8"/>
  <c r="I19" i="8"/>
  <c r="Q18" i="8"/>
  <c r="P18" i="8"/>
  <c r="O18" i="8"/>
  <c r="N18" i="8"/>
  <c r="K18" i="8"/>
  <c r="I18" i="8"/>
  <c r="Q17" i="8"/>
  <c r="P17" i="8"/>
  <c r="O17" i="8"/>
  <c r="N17" i="8"/>
  <c r="K17" i="8"/>
  <c r="I17" i="8"/>
  <c r="Q16" i="8"/>
  <c r="P16" i="8"/>
  <c r="O16" i="8"/>
  <c r="N16" i="8"/>
  <c r="M16" i="8"/>
  <c r="L16" i="8"/>
  <c r="K16" i="8"/>
  <c r="I16" i="8"/>
  <c r="Q15" i="8"/>
  <c r="P15" i="8"/>
  <c r="O15" i="8"/>
  <c r="N15" i="8"/>
  <c r="K15" i="8"/>
  <c r="I15" i="8"/>
  <c r="Q14" i="8"/>
  <c r="P14" i="8"/>
  <c r="O14" i="8"/>
  <c r="N14" i="8"/>
  <c r="K14" i="8"/>
  <c r="I14" i="8"/>
  <c r="Q13" i="8"/>
  <c r="P13" i="8"/>
  <c r="O13" i="8"/>
  <c r="N13" i="8"/>
  <c r="K13" i="8"/>
  <c r="I13" i="8"/>
  <c r="Q12" i="8"/>
  <c r="P12" i="8"/>
  <c r="O12" i="8"/>
  <c r="N12" i="8"/>
  <c r="K12" i="8"/>
  <c r="I12" i="8"/>
  <c r="Q11" i="8"/>
  <c r="P11" i="8"/>
  <c r="O11" i="8"/>
  <c r="N11" i="8"/>
  <c r="M11" i="8"/>
  <c r="K11" i="8"/>
  <c r="I11" i="8"/>
  <c r="Q10" i="8"/>
  <c r="P10" i="8"/>
  <c r="O10" i="8"/>
  <c r="N10" i="8"/>
  <c r="K10" i="8"/>
  <c r="I10" i="8"/>
  <c r="Q9" i="8"/>
  <c r="P9" i="8"/>
  <c r="O9" i="8"/>
  <c r="N9" i="8"/>
  <c r="K9" i="8"/>
  <c r="I9" i="8"/>
  <c r="Q8" i="8"/>
  <c r="P8" i="8"/>
  <c r="O8" i="8"/>
  <c r="N8" i="8"/>
  <c r="M8" i="8"/>
  <c r="L8" i="8"/>
  <c r="K8" i="8"/>
  <c r="I8" i="8"/>
  <c r="Q7" i="8"/>
  <c r="P7" i="8"/>
  <c r="O7" i="8"/>
  <c r="N7" i="8"/>
  <c r="K7" i="8"/>
  <c r="I7" i="8"/>
  <c r="AD39" i="7"/>
  <c r="AC39" i="7"/>
  <c r="AB39" i="7"/>
  <c r="AA39" i="7"/>
  <c r="Z39" i="7"/>
  <c r="Y39" i="7"/>
  <c r="X39" i="7"/>
  <c r="W39" i="7"/>
  <c r="V39" i="7"/>
  <c r="U39" i="7"/>
  <c r="Q39" i="7"/>
  <c r="P39" i="7"/>
  <c r="P34" i="7" s="1"/>
  <c r="O39" i="7"/>
  <c r="O31" i="7" s="1"/>
  <c r="N39" i="7"/>
  <c r="M39" i="7"/>
  <c r="L39" i="7"/>
  <c r="L35" i="7" s="1"/>
  <c r="K39" i="7"/>
  <c r="K35" i="7" s="1"/>
  <c r="Q36" i="7"/>
  <c r="P36" i="7"/>
  <c r="O36" i="7"/>
  <c r="N36" i="7"/>
  <c r="M36" i="7"/>
  <c r="K36" i="7"/>
  <c r="I36" i="7"/>
  <c r="Q35" i="7"/>
  <c r="P35" i="7"/>
  <c r="N35" i="7"/>
  <c r="M35" i="7"/>
  <c r="I35" i="7"/>
  <c r="Q34" i="7"/>
  <c r="N34" i="7"/>
  <c r="M34" i="7"/>
  <c r="I34" i="7"/>
  <c r="Q33" i="7"/>
  <c r="O33" i="7"/>
  <c r="N33" i="7"/>
  <c r="M33" i="7"/>
  <c r="I33" i="7"/>
  <c r="Q32" i="7"/>
  <c r="P32" i="7"/>
  <c r="O32" i="7"/>
  <c r="N32" i="7"/>
  <c r="M32" i="7"/>
  <c r="L32" i="7"/>
  <c r="K32" i="7"/>
  <c r="I32" i="7"/>
  <c r="Q31" i="7"/>
  <c r="P31" i="7"/>
  <c r="N31" i="7"/>
  <c r="M31" i="7"/>
  <c r="I31" i="7"/>
  <c r="Q30" i="7"/>
  <c r="P30" i="7"/>
  <c r="N30" i="7"/>
  <c r="M30" i="7"/>
  <c r="I30" i="7"/>
  <c r="Q29" i="7"/>
  <c r="P29" i="7"/>
  <c r="N29" i="7"/>
  <c r="M29" i="7"/>
  <c r="K29" i="7"/>
  <c r="I29" i="7"/>
  <c r="Q28" i="7"/>
  <c r="P28" i="7"/>
  <c r="O28" i="7"/>
  <c r="N28" i="7"/>
  <c r="M28" i="7"/>
  <c r="K28" i="7"/>
  <c r="I28" i="7"/>
  <c r="Q27" i="7"/>
  <c r="P27" i="7"/>
  <c r="N27" i="7"/>
  <c r="M27" i="7"/>
  <c r="L27" i="7"/>
  <c r="I27" i="7"/>
  <c r="Q26" i="7"/>
  <c r="P26" i="7"/>
  <c r="N26" i="7"/>
  <c r="M26" i="7"/>
  <c r="I26" i="7"/>
  <c r="Q25" i="7"/>
  <c r="P25" i="7"/>
  <c r="O25" i="7"/>
  <c r="N25" i="7"/>
  <c r="M25" i="7"/>
  <c r="I25" i="7"/>
  <c r="Q24" i="7"/>
  <c r="P24" i="7"/>
  <c r="O24" i="7"/>
  <c r="N24" i="7"/>
  <c r="M24" i="7"/>
  <c r="L24" i="7"/>
  <c r="K24" i="7"/>
  <c r="I24" i="7"/>
  <c r="Q23" i="7"/>
  <c r="P23" i="7"/>
  <c r="N23" i="7"/>
  <c r="M23" i="7"/>
  <c r="L23" i="7"/>
  <c r="I23" i="7"/>
  <c r="Q22" i="7"/>
  <c r="P22" i="7"/>
  <c r="N22" i="7"/>
  <c r="M22" i="7"/>
  <c r="I22" i="7"/>
  <c r="Q21" i="7"/>
  <c r="P21" i="7"/>
  <c r="N21" i="7"/>
  <c r="M21" i="7"/>
  <c r="K21" i="7"/>
  <c r="I21" i="7"/>
  <c r="Q20" i="7"/>
  <c r="P20" i="7"/>
  <c r="O20" i="7"/>
  <c r="N20" i="7"/>
  <c r="M20" i="7"/>
  <c r="K20" i="7"/>
  <c r="I20" i="7"/>
  <c r="Q19" i="7"/>
  <c r="P19" i="7"/>
  <c r="N19" i="7"/>
  <c r="M19" i="7"/>
  <c r="L19" i="7"/>
  <c r="I19" i="7"/>
  <c r="Q18" i="7"/>
  <c r="P18" i="7"/>
  <c r="N18" i="7"/>
  <c r="M18" i="7"/>
  <c r="I18" i="7"/>
  <c r="Q17" i="7"/>
  <c r="P17" i="7"/>
  <c r="O17" i="7"/>
  <c r="N17" i="7"/>
  <c r="M17" i="7"/>
  <c r="I17" i="7"/>
  <c r="Q16" i="7"/>
  <c r="P16" i="7"/>
  <c r="O16" i="7"/>
  <c r="N16" i="7"/>
  <c r="M16" i="7"/>
  <c r="L16" i="7"/>
  <c r="K16" i="7"/>
  <c r="I16" i="7"/>
  <c r="Q15" i="7"/>
  <c r="P15" i="7"/>
  <c r="N15" i="7"/>
  <c r="M15" i="7"/>
  <c r="L15" i="7"/>
  <c r="I15" i="7"/>
  <c r="Q14" i="7"/>
  <c r="P14" i="7"/>
  <c r="N14" i="7"/>
  <c r="M14" i="7"/>
  <c r="I14" i="7"/>
  <c r="Q13" i="7"/>
  <c r="P13" i="7"/>
  <c r="N13" i="7"/>
  <c r="M13" i="7"/>
  <c r="K13" i="7"/>
  <c r="I13" i="7"/>
  <c r="Q12" i="7"/>
  <c r="P12" i="7"/>
  <c r="O12" i="7"/>
  <c r="N12" i="7"/>
  <c r="M12" i="7"/>
  <c r="K12" i="7"/>
  <c r="I12" i="7"/>
  <c r="Q11" i="7"/>
  <c r="P11" i="7"/>
  <c r="N11" i="7"/>
  <c r="M11" i="7"/>
  <c r="L11" i="7"/>
  <c r="I11" i="7"/>
  <c r="Q10" i="7"/>
  <c r="P10" i="7"/>
  <c r="N10" i="7"/>
  <c r="M10" i="7"/>
  <c r="I10" i="7"/>
  <c r="Q9" i="7"/>
  <c r="P9" i="7"/>
  <c r="O9" i="7"/>
  <c r="N9" i="7"/>
  <c r="M9" i="7"/>
  <c r="I9" i="7"/>
  <c r="Q8" i="7"/>
  <c r="P8" i="7"/>
  <c r="O8" i="7"/>
  <c r="N8" i="7"/>
  <c r="M8" i="7"/>
  <c r="L8" i="7"/>
  <c r="K8" i="7"/>
  <c r="I8" i="7"/>
  <c r="Q7" i="7"/>
  <c r="P7" i="7"/>
  <c r="N7" i="7"/>
  <c r="M7" i="7"/>
  <c r="L7" i="7"/>
  <c r="I7" i="7"/>
  <c r="Y39" i="5"/>
  <c r="K69" i="1"/>
  <c r="G67" i="1"/>
  <c r="E66" i="1"/>
  <c r="V39" i="5"/>
  <c r="W39" i="5"/>
  <c r="X39" i="5"/>
  <c r="Z39" i="5"/>
  <c r="AA39" i="5"/>
  <c r="AB39" i="5"/>
  <c r="AC39" i="5"/>
  <c r="AD39" i="5"/>
  <c r="U39" i="5"/>
  <c r="M39" i="5"/>
  <c r="N39" i="5"/>
  <c r="O39" i="5"/>
  <c r="P39" i="5"/>
  <c r="Q39" i="5"/>
  <c r="Q9" i="5" s="1"/>
  <c r="L39" i="5"/>
  <c r="L12" i="5" s="1"/>
  <c r="K39" i="5"/>
  <c r="K13" i="5" s="1"/>
  <c r="E65" i="1"/>
  <c r="H67" i="1"/>
  <c r="D66" i="1"/>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7" i="5"/>
  <c r="V3" i="1"/>
  <c r="U3" i="1"/>
  <c r="M8" i="5"/>
  <c r="N8" i="5"/>
  <c r="O8" i="5"/>
  <c r="P8" i="5"/>
  <c r="M9" i="5"/>
  <c r="N9" i="5"/>
  <c r="O9" i="5"/>
  <c r="P9" i="5"/>
  <c r="M10" i="5"/>
  <c r="N10" i="5"/>
  <c r="O10" i="5"/>
  <c r="P10" i="5"/>
  <c r="Q10" i="5"/>
  <c r="M11" i="5"/>
  <c r="N11" i="5"/>
  <c r="O11" i="5"/>
  <c r="P11" i="5"/>
  <c r="M12" i="5"/>
  <c r="N12" i="5"/>
  <c r="O12" i="5"/>
  <c r="P12" i="5"/>
  <c r="Q12" i="5"/>
  <c r="M13" i="5"/>
  <c r="N13" i="5"/>
  <c r="O13" i="5"/>
  <c r="P13" i="5"/>
  <c r="Q13" i="5"/>
  <c r="L14" i="5"/>
  <c r="M14" i="5"/>
  <c r="N14" i="5"/>
  <c r="O14" i="5"/>
  <c r="P14" i="5"/>
  <c r="M15" i="5"/>
  <c r="N15" i="5"/>
  <c r="O15" i="5"/>
  <c r="P15" i="5"/>
  <c r="M16" i="5"/>
  <c r="N16" i="5"/>
  <c r="O16" i="5"/>
  <c r="P16" i="5"/>
  <c r="M17" i="5"/>
  <c r="N17" i="5"/>
  <c r="O17" i="5"/>
  <c r="P17" i="5"/>
  <c r="Q17" i="5"/>
  <c r="K18" i="5"/>
  <c r="M18" i="5"/>
  <c r="N18" i="5"/>
  <c r="O18" i="5"/>
  <c r="P18" i="5"/>
  <c r="M19" i="5"/>
  <c r="N19" i="5"/>
  <c r="O19" i="5"/>
  <c r="P19" i="5"/>
  <c r="M20" i="5"/>
  <c r="N20" i="5"/>
  <c r="O20" i="5"/>
  <c r="P20" i="5"/>
  <c r="M21" i="5"/>
  <c r="N21" i="5"/>
  <c r="O21" i="5"/>
  <c r="P21" i="5"/>
  <c r="M22" i="5"/>
  <c r="N22" i="5"/>
  <c r="O22" i="5"/>
  <c r="P22" i="5"/>
  <c r="Q22" i="5"/>
  <c r="M23" i="5"/>
  <c r="N23" i="5"/>
  <c r="O23" i="5"/>
  <c r="P23" i="5"/>
  <c r="Q23" i="5"/>
  <c r="M24" i="5"/>
  <c r="N24" i="5"/>
  <c r="O24" i="5"/>
  <c r="P24" i="5"/>
  <c r="M25" i="5"/>
  <c r="N25" i="5"/>
  <c r="O25" i="5"/>
  <c r="P25" i="5"/>
  <c r="M26" i="5"/>
  <c r="N26" i="5"/>
  <c r="O26" i="5"/>
  <c r="P26" i="5"/>
  <c r="Q26" i="5"/>
  <c r="M27" i="5"/>
  <c r="N27" i="5"/>
  <c r="O27" i="5"/>
  <c r="P27" i="5"/>
  <c r="Q27" i="5"/>
  <c r="L28" i="5"/>
  <c r="M28" i="5"/>
  <c r="N28" i="5"/>
  <c r="O28" i="5"/>
  <c r="P28" i="5"/>
  <c r="L29" i="5"/>
  <c r="M29" i="5"/>
  <c r="N29" i="5"/>
  <c r="O29" i="5"/>
  <c r="P29" i="5"/>
  <c r="M30" i="5"/>
  <c r="N30" i="5"/>
  <c r="O30" i="5"/>
  <c r="P30" i="5"/>
  <c r="M31" i="5"/>
  <c r="N31" i="5"/>
  <c r="O31" i="5"/>
  <c r="P31" i="5"/>
  <c r="M32" i="5"/>
  <c r="N32" i="5"/>
  <c r="O32" i="5"/>
  <c r="P32" i="5"/>
  <c r="M33" i="5"/>
  <c r="N33" i="5"/>
  <c r="O33" i="5"/>
  <c r="P33" i="5"/>
  <c r="Q33" i="5"/>
  <c r="M34" i="5"/>
  <c r="N34" i="5"/>
  <c r="O34" i="5"/>
  <c r="P34" i="5"/>
  <c r="Q34" i="5"/>
  <c r="K35" i="5"/>
  <c r="M35" i="5"/>
  <c r="N35" i="5"/>
  <c r="O35" i="5"/>
  <c r="P35" i="5"/>
  <c r="Q35" i="5"/>
  <c r="L36" i="5"/>
  <c r="M36" i="5"/>
  <c r="N36" i="5"/>
  <c r="O36" i="5"/>
  <c r="P36" i="5"/>
  <c r="Q7" i="5"/>
  <c r="P7" i="5"/>
  <c r="O7" i="5"/>
  <c r="N7" i="5"/>
  <c r="M7" i="5"/>
  <c r="N3" i="1"/>
  <c r="B66" i="1"/>
  <c r="D71" i="1"/>
  <c r="G71" i="1"/>
  <c r="P6" i="1"/>
  <c r="Q8" i="1"/>
  <c r="W4" i="1"/>
  <c r="W5" i="1"/>
  <c r="W7" i="1"/>
  <c r="W9" i="1"/>
  <c r="W10" i="1"/>
  <c r="W11" i="1"/>
  <c r="W12" i="1"/>
  <c r="W13" i="1"/>
  <c r="W14" i="1"/>
  <c r="W15" i="1"/>
  <c r="W16" i="1"/>
  <c r="K4" i="1"/>
  <c r="K5" i="1"/>
  <c r="K6" i="1"/>
  <c r="K7" i="1"/>
  <c r="K8" i="1"/>
  <c r="K9" i="1"/>
  <c r="K10" i="1"/>
  <c r="K11" i="1"/>
  <c r="K12" i="1"/>
  <c r="K13" i="1"/>
  <c r="K14" i="1"/>
  <c r="K15" i="1"/>
  <c r="K16" i="1"/>
  <c r="K17" i="1"/>
  <c r="N6" i="1"/>
  <c r="N5" i="1"/>
  <c r="O6" i="1"/>
  <c r="N4" i="1"/>
  <c r="M65" i="1"/>
  <c r="N65" i="1"/>
  <c r="Y75" i="1"/>
  <c r="F65" i="1"/>
  <c r="D87" i="1"/>
  <c r="D88" i="1"/>
  <c r="D89" i="1"/>
  <c r="D90" i="1"/>
  <c r="D91" i="1"/>
  <c r="D92" i="1"/>
  <c r="D93" i="1"/>
  <c r="D94" i="1"/>
  <c r="D95" i="1"/>
  <c r="D96" i="1"/>
  <c r="D97" i="1"/>
  <c r="D98" i="1"/>
  <c r="D99" i="1"/>
  <c r="D86" i="1"/>
  <c r="D100" i="1" s="1"/>
  <c r="Y72" i="1"/>
  <c r="X70" i="1"/>
  <c r="C87" i="1"/>
  <c r="C88" i="1"/>
  <c r="C89" i="1"/>
  <c r="C90" i="1"/>
  <c r="C91" i="1"/>
  <c r="C92" i="1"/>
  <c r="C93" i="1"/>
  <c r="C94" i="1"/>
  <c r="C95" i="1"/>
  <c r="C96" i="1"/>
  <c r="C97" i="1"/>
  <c r="C98" i="1"/>
  <c r="C99" i="1"/>
  <c r="C86" i="1"/>
  <c r="C100" i="1" s="1"/>
  <c r="E87" i="1"/>
  <c r="E88" i="1"/>
  <c r="E89" i="1"/>
  <c r="E90" i="1"/>
  <c r="E91" i="1"/>
  <c r="E92" i="1"/>
  <c r="E93" i="1"/>
  <c r="E94" i="1"/>
  <c r="E95" i="1"/>
  <c r="E96" i="1"/>
  <c r="E97" i="1"/>
  <c r="E98" i="1"/>
  <c r="E99" i="1"/>
  <c r="E86" i="1"/>
  <c r="E100" i="1" s="1"/>
  <c r="R21" i="20" l="1"/>
  <c r="S21" i="20" s="1"/>
  <c r="T21" i="20" s="1"/>
  <c r="W21" i="20" s="1"/>
  <c r="R12" i="20"/>
  <c r="S12" i="20" s="1"/>
  <c r="T12" i="20" s="1"/>
  <c r="R15" i="20"/>
  <c r="S15" i="20" s="1"/>
  <c r="T15" i="20" s="1"/>
  <c r="W15" i="20" s="1"/>
  <c r="AA12" i="20"/>
  <c r="Z12" i="20"/>
  <c r="Y12" i="20"/>
  <c r="U12" i="20"/>
  <c r="AB12" i="20"/>
  <c r="AD12" i="20"/>
  <c r="V12" i="20"/>
  <c r="AC12" i="20"/>
  <c r="AA21" i="20"/>
  <c r="AB21" i="20"/>
  <c r="Y21" i="20"/>
  <c r="AC21" i="20"/>
  <c r="U21" i="20"/>
  <c r="M8" i="20"/>
  <c r="L14" i="20"/>
  <c r="K20" i="20"/>
  <c r="V21" i="20"/>
  <c r="AD21" i="20"/>
  <c r="L23" i="20"/>
  <c r="O24" i="20"/>
  <c r="M28" i="20"/>
  <c r="K30" i="20"/>
  <c r="L34" i="20"/>
  <c r="O35" i="20"/>
  <c r="R35" i="20" s="1"/>
  <c r="S35" i="20" s="1"/>
  <c r="T35" i="20" s="1"/>
  <c r="L8" i="20"/>
  <c r="R8" i="20" s="1"/>
  <c r="S8" i="20" s="1"/>
  <c r="T8" i="20" s="1"/>
  <c r="L28" i="20"/>
  <c r="W12" i="20"/>
  <c r="M14" i="20"/>
  <c r="L20" i="20"/>
  <c r="M23" i="20"/>
  <c r="L30" i="20"/>
  <c r="M34" i="20"/>
  <c r="L7" i="20"/>
  <c r="R7" i="20" s="1"/>
  <c r="S7" i="20" s="1"/>
  <c r="T7" i="20" s="1"/>
  <c r="X12" i="20"/>
  <c r="L16" i="20"/>
  <c r="R16" i="20" s="1"/>
  <c r="S16" i="20" s="1"/>
  <c r="T16" i="20" s="1"/>
  <c r="M20" i="20"/>
  <c r="X21" i="20"/>
  <c r="K22" i="20"/>
  <c r="L27" i="20"/>
  <c r="O28" i="20"/>
  <c r="M30" i="20"/>
  <c r="K33" i="20"/>
  <c r="L37" i="20"/>
  <c r="R37" i="20" s="1"/>
  <c r="S37" i="20" s="1"/>
  <c r="T37" i="20" s="1"/>
  <c r="M7" i="20"/>
  <c r="L13" i="20"/>
  <c r="M16" i="20"/>
  <c r="L22" i="20"/>
  <c r="O23" i="20"/>
  <c r="M27" i="20"/>
  <c r="L33" i="20"/>
  <c r="O34" i="20"/>
  <c r="M37" i="20"/>
  <c r="M13" i="20"/>
  <c r="L19" i="20"/>
  <c r="R19" i="20" s="1"/>
  <c r="S19" i="20" s="1"/>
  <c r="T19" i="20" s="1"/>
  <c r="O20" i="20"/>
  <c r="Z21" i="20"/>
  <c r="M22" i="20"/>
  <c r="K24" i="20"/>
  <c r="M33" i="20"/>
  <c r="L15" i="20"/>
  <c r="M19" i="20"/>
  <c r="L24" i="20"/>
  <c r="R22" i="19"/>
  <c r="S22" i="19" s="1"/>
  <c r="T22" i="19" s="1"/>
  <c r="AA22" i="19" s="1"/>
  <c r="R13" i="19"/>
  <c r="S13" i="19" s="1"/>
  <c r="T13" i="19" s="1"/>
  <c r="AA13" i="19" s="1"/>
  <c r="V13" i="19"/>
  <c r="X13" i="19"/>
  <c r="AC13" i="19"/>
  <c r="U13" i="19"/>
  <c r="AD13" i="19"/>
  <c r="AB13" i="19"/>
  <c r="V22" i="19"/>
  <c r="X22" i="19"/>
  <c r="AC22" i="19"/>
  <c r="U22" i="19"/>
  <c r="W22" i="19"/>
  <c r="C20" i="21" s="1"/>
  <c r="AB22" i="19"/>
  <c r="AD22" i="19"/>
  <c r="N19" i="19"/>
  <c r="N11" i="19"/>
  <c r="O14" i="19"/>
  <c r="N20" i="19"/>
  <c r="O24" i="19"/>
  <c r="N30" i="19"/>
  <c r="O34" i="19"/>
  <c r="R34" i="19" s="1"/>
  <c r="S34" i="19" s="1"/>
  <c r="T34" i="19" s="1"/>
  <c r="N7" i="19"/>
  <c r="R7" i="19" s="1"/>
  <c r="S7" i="19" s="1"/>
  <c r="T7" i="19" s="1"/>
  <c r="O11" i="19"/>
  <c r="N16" i="19"/>
  <c r="R16" i="19" s="1"/>
  <c r="S16" i="19" s="1"/>
  <c r="T16" i="19" s="1"/>
  <c r="O20" i="19"/>
  <c r="O30" i="19"/>
  <c r="N36" i="19"/>
  <c r="R36" i="19" s="1"/>
  <c r="S36" i="19" s="1"/>
  <c r="T36" i="19" s="1"/>
  <c r="Y36" i="19" s="1"/>
  <c r="O33" i="19"/>
  <c r="R33" i="19" s="1"/>
  <c r="S33" i="19" s="1"/>
  <c r="T33" i="19" s="1"/>
  <c r="O9" i="19"/>
  <c r="N15" i="19"/>
  <c r="O19" i="19"/>
  <c r="N25" i="19"/>
  <c r="O29" i="19"/>
  <c r="N35" i="19"/>
  <c r="N12" i="19"/>
  <c r="Y13" i="19"/>
  <c r="O15" i="19"/>
  <c r="N21" i="19"/>
  <c r="Y22" i="19"/>
  <c r="O25" i="19"/>
  <c r="N31" i="19"/>
  <c r="O35" i="19"/>
  <c r="R35" i="19" s="1"/>
  <c r="S35" i="19" s="1"/>
  <c r="T35" i="19" s="1"/>
  <c r="N9" i="19"/>
  <c r="R9" i="19" s="1"/>
  <c r="S9" i="19" s="1"/>
  <c r="T9" i="19" s="1"/>
  <c r="Z9" i="19" s="1"/>
  <c r="N29" i="19"/>
  <c r="R29" i="19" s="1"/>
  <c r="S29" i="19" s="1"/>
  <c r="T29" i="19" s="1"/>
  <c r="N8" i="19"/>
  <c r="O12" i="19"/>
  <c r="Z13" i="19"/>
  <c r="N17" i="19"/>
  <c r="O21" i="19"/>
  <c r="Z22" i="19"/>
  <c r="N28" i="19"/>
  <c r="O31" i="19"/>
  <c r="N38" i="19"/>
  <c r="R38" i="19" s="1"/>
  <c r="S38" i="19" s="1"/>
  <c r="T38" i="19" s="1"/>
  <c r="Y38" i="19" s="1"/>
  <c r="O8" i="19"/>
  <c r="N14" i="19"/>
  <c r="O17" i="19"/>
  <c r="N24" i="19"/>
  <c r="R24" i="19" s="1"/>
  <c r="S24" i="19" s="1"/>
  <c r="T24" i="19" s="1"/>
  <c r="O28" i="19"/>
  <c r="R32" i="18"/>
  <c r="S32" i="18" s="1"/>
  <c r="T32" i="18" s="1"/>
  <c r="R22" i="18"/>
  <c r="S22" i="18" s="1"/>
  <c r="T22" i="18" s="1"/>
  <c r="AA22" i="18" s="1"/>
  <c r="AA13" i="18"/>
  <c r="V13" i="18"/>
  <c r="Z13" i="18"/>
  <c r="AD13" i="18"/>
  <c r="X13" i="18"/>
  <c r="AC13" i="18"/>
  <c r="U13" i="18"/>
  <c r="AB13" i="18"/>
  <c r="AD22" i="18"/>
  <c r="Z22" i="18"/>
  <c r="X22" i="18"/>
  <c r="V22" i="18"/>
  <c r="AC22" i="18"/>
  <c r="U22" i="18"/>
  <c r="AB22" i="18"/>
  <c r="AA32" i="18"/>
  <c r="Z32" i="18"/>
  <c r="V32" i="18"/>
  <c r="X32" i="18"/>
  <c r="AD32" i="18"/>
  <c r="AC32" i="18"/>
  <c r="U32" i="18"/>
  <c r="AB32" i="18"/>
  <c r="N7" i="18"/>
  <c r="L9" i="18"/>
  <c r="R9" i="18" s="1"/>
  <c r="S9" i="18" s="1"/>
  <c r="T9" i="18" s="1"/>
  <c r="W9" i="18" s="1"/>
  <c r="N16" i="18"/>
  <c r="L19" i="18"/>
  <c r="N25" i="18"/>
  <c r="L28" i="18"/>
  <c r="K34" i="18"/>
  <c r="R34" i="18" s="1"/>
  <c r="S34" i="18" s="1"/>
  <c r="T34" i="18" s="1"/>
  <c r="Y34" i="18" s="1"/>
  <c r="N35" i="18"/>
  <c r="Q37" i="18"/>
  <c r="N9" i="18"/>
  <c r="L12" i="18"/>
  <c r="W13" i="18"/>
  <c r="N19" i="18"/>
  <c r="L21" i="18"/>
  <c r="W22" i="18"/>
  <c r="N28" i="18"/>
  <c r="L30" i="18"/>
  <c r="W32" i="18"/>
  <c r="K37" i="18"/>
  <c r="L24" i="18"/>
  <c r="L8" i="18"/>
  <c r="N15" i="18"/>
  <c r="R15" i="18" s="1"/>
  <c r="S15" i="18" s="1"/>
  <c r="T15" i="18" s="1"/>
  <c r="W15" i="18" s="1"/>
  <c r="L17" i="18"/>
  <c r="N24" i="18"/>
  <c r="L27" i="18"/>
  <c r="K33" i="18"/>
  <c r="N34" i="18"/>
  <c r="Q35" i="18"/>
  <c r="L37" i="18"/>
  <c r="L34" i="18"/>
  <c r="N12" i="18"/>
  <c r="Y13" i="18"/>
  <c r="L14" i="18"/>
  <c r="N21" i="18"/>
  <c r="Y22" i="18"/>
  <c r="L23" i="18"/>
  <c r="R23" i="18" s="1"/>
  <c r="S23" i="18" s="1"/>
  <c r="T23" i="18" s="1"/>
  <c r="N30" i="18"/>
  <c r="Y32" i="18"/>
  <c r="L33" i="18"/>
  <c r="N8" i="18"/>
  <c r="L11" i="18"/>
  <c r="R11" i="18" s="1"/>
  <c r="S11" i="18" s="1"/>
  <c r="T11" i="18" s="1"/>
  <c r="N17" i="18"/>
  <c r="L20" i="18"/>
  <c r="R20" i="18" s="1"/>
  <c r="S20" i="18" s="1"/>
  <c r="T20" i="18" s="1"/>
  <c r="W20" i="18" s="1"/>
  <c r="N27" i="18"/>
  <c r="L29" i="18"/>
  <c r="R29" i="18" s="1"/>
  <c r="S29" i="18" s="1"/>
  <c r="T29" i="18" s="1"/>
  <c r="N37" i="18"/>
  <c r="L7" i="18"/>
  <c r="R7" i="18" s="1"/>
  <c r="S7" i="18" s="1"/>
  <c r="T7" i="18" s="1"/>
  <c r="N14" i="18"/>
  <c r="L16" i="18"/>
  <c r="R16" i="18" s="1"/>
  <c r="S16" i="18" s="1"/>
  <c r="T16" i="18" s="1"/>
  <c r="N23" i="18"/>
  <c r="L25" i="18"/>
  <c r="R33" i="16"/>
  <c r="S33" i="16" s="1"/>
  <c r="U33" i="16" s="1"/>
  <c r="S24" i="16"/>
  <c r="U24" i="16" s="1"/>
  <c r="R15" i="16"/>
  <c r="S15" i="16" s="1"/>
  <c r="R7" i="16"/>
  <c r="S7" i="16" s="1"/>
  <c r="T7" i="16" s="1"/>
  <c r="AA33" i="16"/>
  <c r="W33" i="16"/>
  <c r="X33" i="16"/>
  <c r="AD33" i="16"/>
  <c r="AC33" i="16"/>
  <c r="V33" i="16"/>
  <c r="AB33" i="16"/>
  <c r="AA15" i="16"/>
  <c r="V15" i="16"/>
  <c r="X15" i="16"/>
  <c r="AD15" i="16"/>
  <c r="AC15" i="16"/>
  <c r="U15" i="16"/>
  <c r="AB15" i="16"/>
  <c r="W15" i="16"/>
  <c r="W24" i="16"/>
  <c r="AD24" i="16"/>
  <c r="X24" i="16"/>
  <c r="V24" i="16"/>
  <c r="AC24" i="16"/>
  <c r="AA7" i="16"/>
  <c r="AD7" i="16"/>
  <c r="V7" i="16"/>
  <c r="X7" i="16"/>
  <c r="W7" i="16"/>
  <c r="AC7" i="16"/>
  <c r="U7" i="16"/>
  <c r="AB7" i="16"/>
  <c r="N12" i="16"/>
  <c r="R12" i="16" s="1"/>
  <c r="S12" i="16" s="1"/>
  <c r="N21" i="16"/>
  <c r="R21" i="16" s="1"/>
  <c r="S21" i="16" s="1"/>
  <c r="N30" i="16"/>
  <c r="O8" i="16"/>
  <c r="N13" i="16"/>
  <c r="O16" i="16"/>
  <c r="N22" i="16"/>
  <c r="R22" i="16" s="1"/>
  <c r="S22" i="16" s="1"/>
  <c r="O25" i="16"/>
  <c r="O34" i="16"/>
  <c r="R34" i="16" s="1"/>
  <c r="S34" i="16" s="1"/>
  <c r="O13" i="16"/>
  <c r="R13" i="16" s="1"/>
  <c r="S13" i="16" s="1"/>
  <c r="N19" i="16"/>
  <c r="R19" i="16" s="1"/>
  <c r="S19" i="16" s="1"/>
  <c r="O22" i="16"/>
  <c r="N28" i="16"/>
  <c r="R28" i="16" s="1"/>
  <c r="S28" i="16" s="1"/>
  <c r="N9" i="16"/>
  <c r="R9" i="16" s="1"/>
  <c r="S9" i="16" s="1"/>
  <c r="Y9" i="16" s="1"/>
  <c r="O12" i="16"/>
  <c r="N17" i="16"/>
  <c r="R17" i="16" s="1"/>
  <c r="S17" i="16" s="1"/>
  <c r="O21" i="16"/>
  <c r="N27" i="16"/>
  <c r="O30" i="16"/>
  <c r="N35" i="16"/>
  <c r="R35" i="16" s="1"/>
  <c r="S35" i="16" s="1"/>
  <c r="Y7" i="16"/>
  <c r="O9" i="16"/>
  <c r="N14" i="16"/>
  <c r="R14" i="16" s="1"/>
  <c r="S14" i="16" s="1"/>
  <c r="Y15" i="16"/>
  <c r="O17" i="16"/>
  <c r="N23" i="16"/>
  <c r="Y24" i="16"/>
  <c r="O27" i="16"/>
  <c r="R27" i="16" s="1"/>
  <c r="S27" i="16" s="1"/>
  <c r="N32" i="16"/>
  <c r="R32" i="16" s="1"/>
  <c r="S32" i="16" s="1"/>
  <c r="Y33" i="16"/>
  <c r="O35" i="16"/>
  <c r="Z7" i="16"/>
  <c r="N11" i="16"/>
  <c r="O14" i="16"/>
  <c r="Z15" i="16"/>
  <c r="N20" i="16"/>
  <c r="O23" i="16"/>
  <c r="R23" i="16" s="1"/>
  <c r="S23" i="16" s="1"/>
  <c r="Z24" i="16"/>
  <c r="N29" i="16"/>
  <c r="R29" i="16" s="1"/>
  <c r="S29" i="16" s="1"/>
  <c r="Y29" i="16" s="1"/>
  <c r="O32" i="16"/>
  <c r="Z33" i="16"/>
  <c r="N37" i="16"/>
  <c r="R37" i="16" s="1"/>
  <c r="S37" i="16" s="1"/>
  <c r="Y37" i="16" s="1"/>
  <c r="N8" i="16"/>
  <c r="R8" i="16" s="1"/>
  <c r="S8" i="16" s="1"/>
  <c r="O11" i="16"/>
  <c r="N16" i="16"/>
  <c r="R16" i="16" s="1"/>
  <c r="S16" i="16" s="1"/>
  <c r="O20" i="16"/>
  <c r="N25" i="16"/>
  <c r="R25" i="16" s="1"/>
  <c r="S25" i="16" s="1"/>
  <c r="O29" i="16"/>
  <c r="R8" i="15"/>
  <c r="S8" i="15" s="1"/>
  <c r="AA8" i="15" s="1"/>
  <c r="Z8" i="15"/>
  <c r="AC8" i="15"/>
  <c r="Y8" i="15"/>
  <c r="U8" i="15"/>
  <c r="AB8" i="15"/>
  <c r="R24" i="15"/>
  <c r="S24" i="15" s="1"/>
  <c r="W24" i="15" s="1"/>
  <c r="M16" i="15"/>
  <c r="R16" i="15" s="1"/>
  <c r="S16" i="15" s="1"/>
  <c r="K7" i="15"/>
  <c r="V8" i="15"/>
  <c r="AD8" i="15"/>
  <c r="Q9" i="15"/>
  <c r="L10" i="15"/>
  <c r="M13" i="15"/>
  <c r="K15" i="15"/>
  <c r="Q17" i="15"/>
  <c r="M21" i="15"/>
  <c r="K23" i="15"/>
  <c r="Q25" i="15"/>
  <c r="L27" i="15"/>
  <c r="M30" i="15"/>
  <c r="K32" i="15"/>
  <c r="Q34" i="15"/>
  <c r="L35" i="15"/>
  <c r="R35" i="15" s="1"/>
  <c r="S35" i="15" s="1"/>
  <c r="AB35" i="15" s="1"/>
  <c r="L7" i="15"/>
  <c r="W8" i="15"/>
  <c r="M10" i="15"/>
  <c r="K12" i="15"/>
  <c r="Q14" i="15"/>
  <c r="L15" i="15"/>
  <c r="K20" i="15"/>
  <c r="Q22" i="15"/>
  <c r="L23" i="15"/>
  <c r="M27" i="15"/>
  <c r="K29" i="15"/>
  <c r="Q31" i="15"/>
  <c r="L32" i="15"/>
  <c r="M35" i="15"/>
  <c r="P36" i="15"/>
  <c r="K37" i="15"/>
  <c r="M7" i="15"/>
  <c r="X8" i="15"/>
  <c r="K9" i="15"/>
  <c r="Q11" i="15"/>
  <c r="L12" i="15"/>
  <c r="M15" i="15"/>
  <c r="K17" i="15"/>
  <c r="Q19" i="15"/>
  <c r="L20" i="15"/>
  <c r="M23" i="15"/>
  <c r="K25" i="15"/>
  <c r="Q28" i="15"/>
  <c r="L29" i="15"/>
  <c r="M32" i="15"/>
  <c r="K34" i="15"/>
  <c r="Q36" i="15"/>
  <c r="L37" i="15"/>
  <c r="L13" i="15"/>
  <c r="M24" i="15"/>
  <c r="L30" i="15"/>
  <c r="M33" i="15"/>
  <c r="R33" i="15" s="1"/>
  <c r="S33" i="15" s="1"/>
  <c r="L9" i="15"/>
  <c r="M12" i="15"/>
  <c r="L17" i="15"/>
  <c r="M20" i="15"/>
  <c r="L25" i="15"/>
  <c r="M29" i="15"/>
  <c r="L34" i="15"/>
  <c r="M37" i="15"/>
  <c r="M9" i="15"/>
  <c r="K11" i="15"/>
  <c r="Q13" i="15"/>
  <c r="L14" i="15"/>
  <c r="M17" i="15"/>
  <c r="K19" i="15"/>
  <c r="Q21" i="15"/>
  <c r="L22" i="15"/>
  <c r="M25" i="15"/>
  <c r="K28" i="15"/>
  <c r="R28" i="15" s="1"/>
  <c r="S28" i="15" s="1"/>
  <c r="W28" i="15" s="1"/>
  <c r="L31" i="15"/>
  <c r="R31" i="15" s="1"/>
  <c r="S31" i="15" s="1"/>
  <c r="M34" i="15"/>
  <c r="L21" i="15"/>
  <c r="L11" i="15"/>
  <c r="M14" i="15"/>
  <c r="L19" i="15"/>
  <c r="M22" i="15"/>
  <c r="L28" i="15"/>
  <c r="R36" i="14"/>
  <c r="S36" i="14" s="1"/>
  <c r="R33" i="14"/>
  <c r="S33" i="14" s="1"/>
  <c r="R8" i="14"/>
  <c r="S8" i="14" s="1"/>
  <c r="V8" i="14" s="1"/>
  <c r="R16" i="14"/>
  <c r="S16" i="14" s="1"/>
  <c r="AC16" i="14" s="1"/>
  <c r="R24" i="14"/>
  <c r="S24" i="14" s="1"/>
  <c r="R17" i="14"/>
  <c r="S17" i="14" s="1"/>
  <c r="AD8" i="14"/>
  <c r="AC8" i="14"/>
  <c r="AA24" i="14"/>
  <c r="Z24" i="14"/>
  <c r="Y24" i="14"/>
  <c r="X24" i="14"/>
  <c r="AB24" i="14"/>
  <c r="AD24" i="14"/>
  <c r="V24" i="14"/>
  <c r="AC24" i="14"/>
  <c r="U24" i="14"/>
  <c r="AB36" i="14"/>
  <c r="U36" i="14"/>
  <c r="AA36" i="14"/>
  <c r="Z36" i="14"/>
  <c r="AC36" i="14"/>
  <c r="Y36" i="14"/>
  <c r="X36" i="14"/>
  <c r="AD36" i="14"/>
  <c r="V36" i="14"/>
  <c r="AA33" i="14"/>
  <c r="Z33" i="14"/>
  <c r="Y33" i="14"/>
  <c r="X33" i="14"/>
  <c r="AB33" i="14"/>
  <c r="AD33" i="14"/>
  <c r="V33" i="14"/>
  <c r="AC33" i="14"/>
  <c r="U33" i="14"/>
  <c r="L13" i="14"/>
  <c r="R13" i="14" s="1"/>
  <c r="S13" i="14" s="1"/>
  <c r="L21" i="14"/>
  <c r="R21" i="14" s="1"/>
  <c r="S21" i="14" s="1"/>
  <c r="L30" i="14"/>
  <c r="R30" i="14" s="1"/>
  <c r="S30" i="14" s="1"/>
  <c r="L10" i="14"/>
  <c r="R10" i="14" s="1"/>
  <c r="S10" i="14" s="1"/>
  <c r="W10" i="14" s="1"/>
  <c r="L18" i="14"/>
  <c r="R18" i="14" s="1"/>
  <c r="S18" i="14" s="1"/>
  <c r="W18" i="14" s="1"/>
  <c r="W19" i="14"/>
  <c r="L27" i="14"/>
  <c r="R27" i="14" s="1"/>
  <c r="S27" i="14" s="1"/>
  <c r="W27" i="14" s="1"/>
  <c r="L35" i="14"/>
  <c r="R35" i="14" s="1"/>
  <c r="S35" i="14" s="1"/>
  <c r="W35" i="14" s="1"/>
  <c r="W36" i="14"/>
  <c r="L7" i="14"/>
  <c r="R7" i="14" s="1"/>
  <c r="S7" i="14" s="1"/>
  <c r="L15" i="14"/>
  <c r="R15" i="14" s="1"/>
  <c r="S15" i="14" s="1"/>
  <c r="L23" i="14"/>
  <c r="R23" i="14" s="1"/>
  <c r="S23" i="14" s="1"/>
  <c r="W24" i="14"/>
  <c r="L32" i="14"/>
  <c r="R32" i="14" s="1"/>
  <c r="S32" i="14" s="1"/>
  <c r="W33" i="14"/>
  <c r="L12" i="14"/>
  <c r="R12" i="14" s="1"/>
  <c r="S12" i="14" s="1"/>
  <c r="L20" i="14"/>
  <c r="R20" i="14" s="1"/>
  <c r="S20" i="14" s="1"/>
  <c r="W20" i="14" s="1"/>
  <c r="L29" i="14"/>
  <c r="R29" i="14" s="1"/>
  <c r="S29" i="14" s="1"/>
  <c r="L37" i="14"/>
  <c r="R37" i="14" s="1"/>
  <c r="S37" i="14" s="1"/>
  <c r="L9" i="14"/>
  <c r="R9" i="14" s="1"/>
  <c r="S9" i="14" s="1"/>
  <c r="L17" i="14"/>
  <c r="L25" i="14"/>
  <c r="R25" i="14" s="1"/>
  <c r="S25" i="14" s="1"/>
  <c r="L34" i="14"/>
  <c r="R34" i="14" s="1"/>
  <c r="S34" i="14" s="1"/>
  <c r="L14" i="14"/>
  <c r="R14" i="14" s="1"/>
  <c r="S14" i="14" s="1"/>
  <c r="L22" i="14"/>
  <c r="R22" i="14" s="1"/>
  <c r="S22" i="14" s="1"/>
  <c r="L31" i="14"/>
  <c r="R31" i="14" s="1"/>
  <c r="S31" i="14" s="1"/>
  <c r="W34" i="14"/>
  <c r="L11" i="14"/>
  <c r="R11" i="14" s="1"/>
  <c r="S11" i="14" s="1"/>
  <c r="L19" i="14"/>
  <c r="R19" i="14" s="1"/>
  <c r="S19" i="14" s="1"/>
  <c r="L28" i="14"/>
  <c r="R28" i="14" s="1"/>
  <c r="S28" i="14" s="1"/>
  <c r="Z37" i="13"/>
  <c r="Y37" i="13"/>
  <c r="X37" i="13"/>
  <c r="S37" i="13"/>
  <c r="L8" i="13"/>
  <c r="K18" i="13"/>
  <c r="K23" i="13"/>
  <c r="K7" i="13"/>
  <c r="O17" i="13"/>
  <c r="O22" i="13"/>
  <c r="O12" i="13"/>
  <c r="L16" i="13"/>
  <c r="L24" i="13"/>
  <c r="L10" i="13"/>
  <c r="L18" i="13"/>
  <c r="N22" i="13"/>
  <c r="N8" i="13"/>
  <c r="K12" i="13"/>
  <c r="O13" i="13"/>
  <c r="O19" i="13"/>
  <c r="K22" i="13"/>
  <c r="N24" i="13"/>
  <c r="O7" i="13"/>
  <c r="O8" i="13"/>
  <c r="K16" i="13"/>
  <c r="K17" i="13"/>
  <c r="O23" i="13"/>
  <c r="O24" i="13"/>
  <c r="O11" i="13"/>
  <c r="K14" i="13"/>
  <c r="N16" i="13"/>
  <c r="K20" i="13"/>
  <c r="O21" i="13"/>
  <c r="K8" i="13"/>
  <c r="K9" i="13"/>
  <c r="O15" i="13"/>
  <c r="O16" i="13"/>
  <c r="K24" i="13"/>
  <c r="K25" i="13"/>
  <c r="O10" i="13"/>
  <c r="K13" i="13"/>
  <c r="N14" i="13"/>
  <c r="K19" i="13"/>
  <c r="O20" i="13"/>
  <c r="N11" i="13"/>
  <c r="L13" i="13"/>
  <c r="N19" i="13"/>
  <c r="L21" i="13"/>
  <c r="L7" i="13"/>
  <c r="N13" i="13"/>
  <c r="L15" i="13"/>
  <c r="N21" i="13"/>
  <c r="L23" i="13"/>
  <c r="N10" i="13"/>
  <c r="L12" i="13"/>
  <c r="N18" i="13"/>
  <c r="L20" i="13"/>
  <c r="N7" i="13"/>
  <c r="L9" i="13"/>
  <c r="N15" i="13"/>
  <c r="L17" i="13"/>
  <c r="N23" i="13"/>
  <c r="L25" i="13"/>
  <c r="N12" i="13"/>
  <c r="L14" i="13"/>
  <c r="N20" i="13"/>
  <c r="L22" i="13"/>
  <c r="N9" i="13"/>
  <c r="L11" i="13"/>
  <c r="N17" i="13"/>
  <c r="L19" i="13"/>
  <c r="N25" i="13"/>
  <c r="R16" i="11"/>
  <c r="S16" i="11" s="1"/>
  <c r="T16" i="11" s="1"/>
  <c r="AC16" i="11" s="1"/>
  <c r="R24" i="11"/>
  <c r="S24" i="11" s="1"/>
  <c r="T24" i="11" s="1"/>
  <c r="Y24" i="11" s="1"/>
  <c r="R8" i="11"/>
  <c r="S8" i="11" s="1"/>
  <c r="T8" i="11" s="1"/>
  <c r="AB16" i="11"/>
  <c r="U16" i="11"/>
  <c r="AD16" i="11"/>
  <c r="V16" i="11"/>
  <c r="R35" i="11"/>
  <c r="S35" i="11" s="1"/>
  <c r="T35" i="11" s="1"/>
  <c r="AC24" i="11"/>
  <c r="U24" i="11"/>
  <c r="AA32" i="11"/>
  <c r="Z32" i="11"/>
  <c r="Y32" i="11"/>
  <c r="AC32" i="11"/>
  <c r="U32" i="11"/>
  <c r="AB32" i="11"/>
  <c r="AD32" i="11"/>
  <c r="V32" i="11"/>
  <c r="AA8" i="11"/>
  <c r="Z8" i="11"/>
  <c r="Y8" i="11"/>
  <c r="AC8" i="11"/>
  <c r="AB8" i="11"/>
  <c r="AD8" i="11"/>
  <c r="V8" i="11"/>
  <c r="U8" i="11"/>
  <c r="L29" i="11"/>
  <c r="L10" i="11"/>
  <c r="W11" i="11"/>
  <c r="M13" i="11"/>
  <c r="L18" i="11"/>
  <c r="M21" i="11"/>
  <c r="L26" i="11"/>
  <c r="M29" i="11"/>
  <c r="L34" i="11"/>
  <c r="W35" i="11"/>
  <c r="L13" i="11"/>
  <c r="L21" i="11"/>
  <c r="R21" i="11" s="1"/>
  <c r="S21" i="11" s="1"/>
  <c r="T21" i="11" s="1"/>
  <c r="L7" i="11"/>
  <c r="W8" i="11"/>
  <c r="M10" i="11"/>
  <c r="L15" i="11"/>
  <c r="M18" i="11"/>
  <c r="L23" i="11"/>
  <c r="W24" i="11"/>
  <c r="M26" i="11"/>
  <c r="L31" i="11"/>
  <c r="W32" i="11"/>
  <c r="M34" i="11"/>
  <c r="X35" i="11"/>
  <c r="M7" i="11"/>
  <c r="X8" i="11"/>
  <c r="L12" i="11"/>
  <c r="R12" i="11" s="1"/>
  <c r="S12" i="11" s="1"/>
  <c r="T12" i="11" s="1"/>
  <c r="M15" i="11"/>
  <c r="L20" i="11"/>
  <c r="M23" i="11"/>
  <c r="L28" i="11"/>
  <c r="M31" i="11"/>
  <c r="X32" i="11"/>
  <c r="L36" i="11"/>
  <c r="M12" i="11"/>
  <c r="L17" i="11"/>
  <c r="M20" i="11"/>
  <c r="R20" i="11" s="1"/>
  <c r="S20" i="11" s="1"/>
  <c r="T20" i="11" s="1"/>
  <c r="W20" i="11" s="1"/>
  <c r="L25" i="11"/>
  <c r="M28" i="11"/>
  <c r="L33" i="11"/>
  <c r="M36" i="11"/>
  <c r="M9" i="11"/>
  <c r="L14" i="11"/>
  <c r="M17" i="11"/>
  <c r="L22" i="11"/>
  <c r="R22" i="11" s="1"/>
  <c r="S22" i="11" s="1"/>
  <c r="T22" i="11" s="1"/>
  <c r="M25" i="11"/>
  <c r="L30" i="11"/>
  <c r="R30" i="11" s="1"/>
  <c r="S30" i="11" s="1"/>
  <c r="T30" i="11" s="1"/>
  <c r="M33" i="11"/>
  <c r="L9" i="11"/>
  <c r="R9" i="11" s="1"/>
  <c r="S9" i="11" s="1"/>
  <c r="T9" i="11" s="1"/>
  <c r="L11" i="11"/>
  <c r="R11" i="11" s="1"/>
  <c r="S11" i="11" s="1"/>
  <c r="T11" i="11" s="1"/>
  <c r="M14" i="11"/>
  <c r="L19" i="11"/>
  <c r="R19" i="11" s="1"/>
  <c r="S19" i="11" s="1"/>
  <c r="T19" i="11" s="1"/>
  <c r="X19" i="11" s="1"/>
  <c r="M22" i="11"/>
  <c r="L27" i="11"/>
  <c r="R27" i="11" s="1"/>
  <c r="S27" i="11" s="1"/>
  <c r="L35" i="10"/>
  <c r="L27" i="10"/>
  <c r="L19" i="10"/>
  <c r="R19" i="10" s="1"/>
  <c r="S19" i="10" s="1"/>
  <c r="T19" i="10" s="1"/>
  <c r="L11" i="10"/>
  <c r="R11" i="10" s="1"/>
  <c r="S11" i="10" s="1"/>
  <c r="T11" i="10" s="1"/>
  <c r="L34" i="10"/>
  <c r="L10" i="10"/>
  <c r="R10" i="10" s="1"/>
  <c r="S10" i="10" s="1"/>
  <c r="T10" i="10" s="1"/>
  <c r="W10" i="10" s="1"/>
  <c r="L29" i="10"/>
  <c r="L30" i="10"/>
  <c r="R30" i="10" s="1"/>
  <c r="S30" i="10" s="1"/>
  <c r="T30" i="10" s="1"/>
  <c r="X30" i="10" s="1"/>
  <c r="L22" i="10"/>
  <c r="L14" i="10"/>
  <c r="L26" i="10"/>
  <c r="L33" i="10"/>
  <c r="L25" i="10"/>
  <c r="L17" i="10"/>
  <c r="L9" i="10"/>
  <c r="L36" i="10"/>
  <c r="L28" i="10"/>
  <c r="L20" i="10"/>
  <c r="L12" i="10"/>
  <c r="L18" i="10"/>
  <c r="L31" i="10"/>
  <c r="L23" i="10"/>
  <c r="R23" i="10" s="1"/>
  <c r="S23" i="10" s="1"/>
  <c r="T23" i="10" s="1"/>
  <c r="L15" i="10"/>
  <c r="L7" i="10"/>
  <c r="L21" i="10"/>
  <c r="L13" i="10"/>
  <c r="W11" i="10"/>
  <c r="W19" i="10"/>
  <c r="L8" i="10"/>
  <c r="R8" i="10" s="1"/>
  <c r="S8" i="10" s="1"/>
  <c r="T8" i="10" s="1"/>
  <c r="L16" i="10"/>
  <c r="R16" i="10" s="1"/>
  <c r="S16" i="10" s="1"/>
  <c r="T16" i="10" s="1"/>
  <c r="X16" i="10" s="1"/>
  <c r="L32" i="10"/>
  <c r="R32" i="10" s="1"/>
  <c r="S32" i="10" s="1"/>
  <c r="T32" i="10" s="1"/>
  <c r="X32" i="10" s="1"/>
  <c r="L24" i="10"/>
  <c r="R24" i="10" s="1"/>
  <c r="S24" i="10" s="1"/>
  <c r="T24" i="10" s="1"/>
  <c r="R9" i="10"/>
  <c r="S9" i="10" s="1"/>
  <c r="T9" i="10" s="1"/>
  <c r="M13" i="10"/>
  <c r="M10" i="10"/>
  <c r="X11" i="10"/>
  <c r="N13" i="10"/>
  <c r="M18" i="10"/>
  <c r="N21" i="10"/>
  <c r="M26" i="10"/>
  <c r="P27" i="10"/>
  <c r="N29" i="10"/>
  <c r="M34" i="10"/>
  <c r="P35" i="10"/>
  <c r="M21" i="10"/>
  <c r="M29" i="10"/>
  <c r="M7" i="10"/>
  <c r="N10" i="10"/>
  <c r="Y11" i="10"/>
  <c r="M15" i="10"/>
  <c r="N18" i="10"/>
  <c r="Y19" i="10"/>
  <c r="M23" i="10"/>
  <c r="N26" i="10"/>
  <c r="M31" i="10"/>
  <c r="N34" i="10"/>
  <c r="N7" i="10"/>
  <c r="M12" i="10"/>
  <c r="N15" i="10"/>
  <c r="M20" i="10"/>
  <c r="P21" i="10"/>
  <c r="N23" i="10"/>
  <c r="M28" i="10"/>
  <c r="P29" i="10"/>
  <c r="N31" i="10"/>
  <c r="M36" i="10"/>
  <c r="M9" i="10"/>
  <c r="N12" i="10"/>
  <c r="M17" i="10"/>
  <c r="N20" i="10"/>
  <c r="M25" i="10"/>
  <c r="P26" i="10"/>
  <c r="N28" i="10"/>
  <c r="M33" i="10"/>
  <c r="R33" i="10" s="1"/>
  <c r="S33" i="10" s="1"/>
  <c r="T33" i="10" s="1"/>
  <c r="W33" i="10" s="1"/>
  <c r="P34" i="10"/>
  <c r="N36" i="10"/>
  <c r="N9" i="10"/>
  <c r="M14" i="10"/>
  <c r="N17" i="10"/>
  <c r="M22" i="10"/>
  <c r="P23" i="10"/>
  <c r="N25" i="10"/>
  <c r="S16" i="9"/>
  <c r="T16" i="9" s="1"/>
  <c r="U16" i="9" s="1"/>
  <c r="R24" i="9"/>
  <c r="S24" i="9" s="1"/>
  <c r="T24" i="9" s="1"/>
  <c r="Y24" i="9" s="1"/>
  <c r="R8" i="9"/>
  <c r="S8" i="9" s="1"/>
  <c r="T8" i="9" s="1"/>
  <c r="AB8" i="9" s="1"/>
  <c r="R32" i="9"/>
  <c r="S32" i="9" s="1"/>
  <c r="T32" i="9" s="1"/>
  <c r="Z16" i="9"/>
  <c r="Y16" i="9"/>
  <c r="R35" i="9"/>
  <c r="S35" i="9" s="1"/>
  <c r="T35" i="9" s="1"/>
  <c r="X35" i="9" s="1"/>
  <c r="AA24" i="9"/>
  <c r="Z24" i="9"/>
  <c r="AD24" i="9"/>
  <c r="V24" i="9"/>
  <c r="AB24" i="9"/>
  <c r="AA8" i="9"/>
  <c r="AC8" i="9"/>
  <c r="U8" i="9"/>
  <c r="AD8" i="9"/>
  <c r="AA32" i="9"/>
  <c r="Z32" i="9"/>
  <c r="Y32" i="9"/>
  <c r="AC32" i="9"/>
  <c r="AB32" i="9"/>
  <c r="AD32" i="9"/>
  <c r="V32" i="9"/>
  <c r="U32" i="9"/>
  <c r="L10" i="9"/>
  <c r="M13" i="9"/>
  <c r="L18" i="9"/>
  <c r="M21" i="9"/>
  <c r="L26" i="9"/>
  <c r="M29" i="9"/>
  <c r="R29" i="9" s="1"/>
  <c r="S29" i="9" s="1"/>
  <c r="T29" i="9" s="1"/>
  <c r="X29" i="9" s="1"/>
  <c r="L34" i="9"/>
  <c r="L29" i="9"/>
  <c r="L7" i="9"/>
  <c r="W8" i="9"/>
  <c r="M10" i="9"/>
  <c r="L15" i="9"/>
  <c r="R15" i="9" s="1"/>
  <c r="S15" i="9" s="1"/>
  <c r="T15" i="9" s="1"/>
  <c r="W15" i="9" s="1"/>
  <c r="W16" i="9"/>
  <c r="M18" i="9"/>
  <c r="L23" i="9"/>
  <c r="W24" i="9"/>
  <c r="M26" i="9"/>
  <c r="L31" i="9"/>
  <c r="W32" i="9"/>
  <c r="M34" i="9"/>
  <c r="L13" i="9"/>
  <c r="R13" i="9" s="1"/>
  <c r="S13" i="9" s="1"/>
  <c r="T13" i="9" s="1"/>
  <c r="X13" i="9" s="1"/>
  <c r="L21" i="9"/>
  <c r="M7" i="9"/>
  <c r="L12" i="9"/>
  <c r="M15" i="9"/>
  <c r="L20" i="9"/>
  <c r="R20" i="9" s="1"/>
  <c r="S20" i="9" s="1"/>
  <c r="T20" i="9" s="1"/>
  <c r="M23" i="9"/>
  <c r="X24" i="9"/>
  <c r="L28" i="9"/>
  <c r="M31" i="9"/>
  <c r="X32" i="9"/>
  <c r="L36" i="9"/>
  <c r="R36" i="9" s="1"/>
  <c r="S36" i="9" s="1"/>
  <c r="T36" i="9" s="1"/>
  <c r="W36" i="9" s="1"/>
  <c r="L9" i="9"/>
  <c r="R9" i="9" s="1"/>
  <c r="S9" i="9" s="1"/>
  <c r="T9" i="9" s="1"/>
  <c r="M12" i="9"/>
  <c r="L17" i="9"/>
  <c r="R17" i="9" s="1"/>
  <c r="S17" i="9" s="1"/>
  <c r="T17" i="9" s="1"/>
  <c r="M20" i="9"/>
  <c r="L25" i="9"/>
  <c r="M28" i="9"/>
  <c r="L33" i="9"/>
  <c r="M36" i="9"/>
  <c r="M9" i="9"/>
  <c r="L14" i="9"/>
  <c r="R14" i="9" s="1"/>
  <c r="S14" i="9" s="1"/>
  <c r="T14" i="9" s="1"/>
  <c r="M17" i="9"/>
  <c r="L22" i="9"/>
  <c r="M25" i="9"/>
  <c r="L30" i="9"/>
  <c r="R30" i="9" s="1"/>
  <c r="S30" i="9" s="1"/>
  <c r="T30" i="9" s="1"/>
  <c r="M33" i="9"/>
  <c r="L11" i="9"/>
  <c r="R11" i="9" s="1"/>
  <c r="S11" i="9" s="1"/>
  <c r="T11" i="9" s="1"/>
  <c r="M14" i="9"/>
  <c r="L19" i="9"/>
  <c r="R19" i="9" s="1"/>
  <c r="S19" i="9" s="1"/>
  <c r="T19" i="9" s="1"/>
  <c r="M22" i="9"/>
  <c r="L27" i="9"/>
  <c r="R27" i="9" s="1"/>
  <c r="S27" i="9" s="1"/>
  <c r="T27" i="9" s="1"/>
  <c r="R8" i="8"/>
  <c r="S8" i="8" s="1"/>
  <c r="T8" i="8" s="1"/>
  <c r="R32" i="8"/>
  <c r="S32" i="8" s="1"/>
  <c r="T32" i="8" s="1"/>
  <c r="R16" i="8"/>
  <c r="S16" i="8" s="1"/>
  <c r="T16" i="8" s="1"/>
  <c r="R24" i="8"/>
  <c r="S24" i="8" s="1"/>
  <c r="T24" i="8" s="1"/>
  <c r="AA8" i="8"/>
  <c r="Z8" i="8"/>
  <c r="U8" i="8"/>
  <c r="Y8" i="8"/>
  <c r="AB8" i="8"/>
  <c r="AC8" i="8"/>
  <c r="AD8" i="8"/>
  <c r="V8" i="8"/>
  <c r="AA24" i="8"/>
  <c r="AB24" i="8"/>
  <c r="Z24" i="8"/>
  <c r="AC24" i="8"/>
  <c r="Y24" i="8"/>
  <c r="U24" i="8"/>
  <c r="AD24" i="8"/>
  <c r="V24" i="8"/>
  <c r="R28" i="8"/>
  <c r="S28" i="8" s="1"/>
  <c r="T28" i="8" s="1"/>
  <c r="AA32" i="8"/>
  <c r="AC32" i="8"/>
  <c r="AB32" i="8"/>
  <c r="Z32" i="8"/>
  <c r="Y32" i="8"/>
  <c r="U32" i="8"/>
  <c r="AD32" i="8"/>
  <c r="V32" i="8"/>
  <c r="R12" i="8"/>
  <c r="S12" i="8" s="1"/>
  <c r="T12" i="8" s="1"/>
  <c r="W12" i="8" s="1"/>
  <c r="AA16" i="8"/>
  <c r="Z16" i="8"/>
  <c r="Y16" i="8"/>
  <c r="U16" i="8"/>
  <c r="AB16" i="8"/>
  <c r="AC16" i="8"/>
  <c r="AD16" i="8"/>
  <c r="V16" i="8"/>
  <c r="R35" i="8"/>
  <c r="S35" i="8" s="1"/>
  <c r="T35" i="8" s="1"/>
  <c r="L10" i="8"/>
  <c r="M13" i="8"/>
  <c r="L18" i="8"/>
  <c r="M21" i="8"/>
  <c r="L26" i="8"/>
  <c r="R26" i="8" s="1"/>
  <c r="S26" i="8" s="1"/>
  <c r="T26" i="8" s="1"/>
  <c r="M29" i="8"/>
  <c r="L34" i="8"/>
  <c r="W35" i="8"/>
  <c r="L21" i="8"/>
  <c r="R21" i="8" s="1"/>
  <c r="S21" i="8" s="1"/>
  <c r="T21" i="8" s="1"/>
  <c r="L29" i="8"/>
  <c r="R29" i="8" s="1"/>
  <c r="S29" i="8" s="1"/>
  <c r="T29" i="8" s="1"/>
  <c r="L7" i="8"/>
  <c r="R7" i="8" s="1"/>
  <c r="S7" i="8" s="1"/>
  <c r="T7" i="8" s="1"/>
  <c r="X7" i="8" s="1"/>
  <c r="W8" i="8"/>
  <c r="M10" i="8"/>
  <c r="L15" i="8"/>
  <c r="W16" i="8"/>
  <c r="M18" i="8"/>
  <c r="L23" i="8"/>
  <c r="R23" i="8" s="1"/>
  <c r="S23" i="8" s="1"/>
  <c r="T23" i="8" s="1"/>
  <c r="W23" i="8" s="1"/>
  <c r="W24" i="8"/>
  <c r="M26" i="8"/>
  <c r="L31" i="8"/>
  <c r="W32" i="8"/>
  <c r="M34" i="8"/>
  <c r="X35" i="8"/>
  <c r="M7" i="8"/>
  <c r="X8" i="8"/>
  <c r="L12" i="8"/>
  <c r="M15" i="8"/>
  <c r="X16" i="8"/>
  <c r="L20" i="8"/>
  <c r="R20" i="8" s="1"/>
  <c r="S20" i="8" s="1"/>
  <c r="T20" i="8" s="1"/>
  <c r="W20" i="8" s="1"/>
  <c r="M23" i="8"/>
  <c r="X24" i="8"/>
  <c r="L28" i="8"/>
  <c r="M31" i="8"/>
  <c r="X32" i="8"/>
  <c r="L36" i="8"/>
  <c r="R36" i="8" s="1"/>
  <c r="S36" i="8" s="1"/>
  <c r="T36" i="8" s="1"/>
  <c r="L13" i="8"/>
  <c r="R13" i="8" s="1"/>
  <c r="S13" i="8" s="1"/>
  <c r="T13" i="8" s="1"/>
  <c r="L9" i="8"/>
  <c r="R9" i="8" s="1"/>
  <c r="S9" i="8" s="1"/>
  <c r="T9" i="8" s="1"/>
  <c r="M12" i="8"/>
  <c r="L17" i="8"/>
  <c r="R17" i="8" s="1"/>
  <c r="S17" i="8" s="1"/>
  <c r="T17" i="8" s="1"/>
  <c r="M20" i="8"/>
  <c r="L25" i="8"/>
  <c r="R25" i="8" s="1"/>
  <c r="S25" i="8" s="1"/>
  <c r="T25" i="8" s="1"/>
  <c r="M28" i="8"/>
  <c r="L33" i="8"/>
  <c r="R33" i="8" s="1"/>
  <c r="S33" i="8" s="1"/>
  <c r="T33" i="8" s="1"/>
  <c r="M36" i="8"/>
  <c r="M9" i="8"/>
  <c r="L14" i="8"/>
  <c r="R14" i="8" s="1"/>
  <c r="S14" i="8" s="1"/>
  <c r="T14" i="8" s="1"/>
  <c r="M17" i="8"/>
  <c r="L22" i="8"/>
  <c r="R22" i="8" s="1"/>
  <c r="S22" i="8" s="1"/>
  <c r="T22" i="8" s="1"/>
  <c r="M25" i="8"/>
  <c r="L30" i="8"/>
  <c r="R30" i="8" s="1"/>
  <c r="S30" i="8" s="1"/>
  <c r="T30" i="8" s="1"/>
  <c r="M33" i="8"/>
  <c r="L11" i="8"/>
  <c r="R11" i="8" s="1"/>
  <c r="S11" i="8" s="1"/>
  <c r="T11" i="8" s="1"/>
  <c r="M14" i="8"/>
  <c r="L19" i="8"/>
  <c r="R19" i="8" s="1"/>
  <c r="S19" i="8" s="1"/>
  <c r="T19" i="8" s="1"/>
  <c r="W19" i="8" s="1"/>
  <c r="M22" i="8"/>
  <c r="L27" i="8"/>
  <c r="R27" i="8" s="1"/>
  <c r="S27" i="8" s="1"/>
  <c r="T27" i="8" s="1"/>
  <c r="R16" i="7"/>
  <c r="S16" i="7" s="1"/>
  <c r="T16" i="7" s="1"/>
  <c r="U16" i="7" s="1"/>
  <c r="R24" i="7"/>
  <c r="S24" i="7" s="1"/>
  <c r="T24" i="7" s="1"/>
  <c r="AA24" i="7" s="1"/>
  <c r="R32" i="7"/>
  <c r="S32" i="7" s="1"/>
  <c r="T32" i="7" s="1"/>
  <c r="AC32" i="7" s="1"/>
  <c r="R8" i="7"/>
  <c r="S8" i="7" s="1"/>
  <c r="T8" i="7" s="1"/>
  <c r="AD8" i="7" s="1"/>
  <c r="Y24" i="7"/>
  <c r="X24" i="7"/>
  <c r="W24" i="7"/>
  <c r="AB24" i="7"/>
  <c r="AC24" i="7"/>
  <c r="U24" i="7"/>
  <c r="AB32" i="7"/>
  <c r="U32" i="7"/>
  <c r="K10" i="7"/>
  <c r="L13" i="7"/>
  <c r="R13" i="7" s="1"/>
  <c r="S13" i="7" s="1"/>
  <c r="T13" i="7" s="1"/>
  <c r="W13" i="7" s="1"/>
  <c r="O14" i="7"/>
  <c r="K18" i="7"/>
  <c r="L21" i="7"/>
  <c r="O22" i="7"/>
  <c r="K26" i="7"/>
  <c r="L29" i="7"/>
  <c r="R29" i="7" s="1"/>
  <c r="S29" i="7" s="1"/>
  <c r="T29" i="7" s="1"/>
  <c r="W29" i="7" s="1"/>
  <c r="O30" i="7"/>
  <c r="P33" i="7"/>
  <c r="K34" i="7"/>
  <c r="R34" i="7" s="1"/>
  <c r="S34" i="7" s="1"/>
  <c r="T34" i="7" s="1"/>
  <c r="W34" i="7" s="1"/>
  <c r="K7" i="7"/>
  <c r="L10" i="7"/>
  <c r="O11" i="7"/>
  <c r="K15" i="7"/>
  <c r="L18" i="7"/>
  <c r="O19" i="7"/>
  <c r="K23" i="7"/>
  <c r="V24" i="7"/>
  <c r="AD24" i="7"/>
  <c r="L26" i="7"/>
  <c r="O27" i="7"/>
  <c r="K31" i="7"/>
  <c r="V32" i="7"/>
  <c r="L34" i="7"/>
  <c r="O35" i="7"/>
  <c r="R35" i="7" s="1"/>
  <c r="S35" i="7" s="1"/>
  <c r="T35" i="7" s="1"/>
  <c r="L31" i="7"/>
  <c r="W32" i="7"/>
  <c r="K9" i="7"/>
  <c r="L12" i="7"/>
  <c r="R12" i="7" s="1"/>
  <c r="S12" i="7" s="1"/>
  <c r="T12" i="7" s="1"/>
  <c r="AD12" i="7" s="1"/>
  <c r="O13" i="7"/>
  <c r="K17" i="7"/>
  <c r="L20" i="7"/>
  <c r="R20" i="7" s="1"/>
  <c r="S20" i="7" s="1"/>
  <c r="T20" i="7" s="1"/>
  <c r="Z20" i="7" s="1"/>
  <c r="O21" i="7"/>
  <c r="K25" i="7"/>
  <c r="R25" i="7" s="1"/>
  <c r="S25" i="7" s="1"/>
  <c r="T25" i="7" s="1"/>
  <c r="L28" i="7"/>
  <c r="R28" i="7" s="1"/>
  <c r="S28" i="7" s="1"/>
  <c r="T28" i="7" s="1"/>
  <c r="O29" i="7"/>
  <c r="K33" i="7"/>
  <c r="L36" i="7"/>
  <c r="R36" i="7" s="1"/>
  <c r="S36" i="7" s="1"/>
  <c r="L9" i="7"/>
  <c r="O10" i="7"/>
  <c r="K14" i="7"/>
  <c r="L17" i="7"/>
  <c r="O18" i="7"/>
  <c r="K22" i="7"/>
  <c r="L25" i="7"/>
  <c r="O26" i="7"/>
  <c r="K30" i="7"/>
  <c r="L33" i="7"/>
  <c r="O34" i="7"/>
  <c r="O7" i="7"/>
  <c r="Z8" i="7"/>
  <c r="K11" i="7"/>
  <c r="L14" i="7"/>
  <c r="O15" i="7"/>
  <c r="K19" i="7"/>
  <c r="L22" i="7"/>
  <c r="O23" i="7"/>
  <c r="Z24" i="7"/>
  <c r="K27" i="7"/>
  <c r="L30" i="7"/>
  <c r="AB11" i="5"/>
  <c r="AB27" i="5"/>
  <c r="Q36" i="5"/>
  <c r="L31" i="5"/>
  <c r="K30" i="5"/>
  <c r="Q28" i="5"/>
  <c r="K25" i="5"/>
  <c r="L20" i="5"/>
  <c r="Q18" i="5"/>
  <c r="Q14" i="5"/>
  <c r="R14" i="5" s="1"/>
  <c r="S14" i="5" s="1"/>
  <c r="T14" i="5" s="1"/>
  <c r="L8" i="5"/>
  <c r="W25" i="5"/>
  <c r="AA19" i="5"/>
  <c r="W13" i="5"/>
  <c r="Y12" i="5"/>
  <c r="L30" i="5"/>
  <c r="R30" i="5" s="1"/>
  <c r="S30" i="5" s="1"/>
  <c r="T30" i="5" s="1"/>
  <c r="K15" i="5"/>
  <c r="K7" i="5"/>
  <c r="R7" i="5" s="1"/>
  <c r="S7" i="5" s="1"/>
  <c r="T7" i="5" s="1"/>
  <c r="L32" i="5"/>
  <c r="R32" i="5" s="1"/>
  <c r="S32" i="5" s="1"/>
  <c r="T32" i="5" s="1"/>
  <c r="K31" i="5"/>
  <c r="R31" i="5" s="1"/>
  <c r="S31" i="5" s="1"/>
  <c r="T31" i="5" s="1"/>
  <c r="Q29" i="5"/>
  <c r="Q24" i="5"/>
  <c r="L21" i="5"/>
  <c r="K20" i="5"/>
  <c r="K16" i="5"/>
  <c r="L9" i="5"/>
  <c r="K8" i="5"/>
  <c r="AD25" i="5"/>
  <c r="V25" i="5"/>
  <c r="Z19" i="5"/>
  <c r="V13" i="5"/>
  <c r="X12" i="5"/>
  <c r="L7" i="5"/>
  <c r="L33" i="5"/>
  <c r="K32" i="5"/>
  <c r="Q30" i="5"/>
  <c r="K26" i="5"/>
  <c r="L22" i="5"/>
  <c r="R22" i="5" s="1"/>
  <c r="S22" i="5" s="1"/>
  <c r="T22" i="5" s="1"/>
  <c r="K21" i="5"/>
  <c r="Q19" i="5"/>
  <c r="Q15" i="5"/>
  <c r="Q11" i="5"/>
  <c r="K9" i="5"/>
  <c r="AC29" i="5"/>
  <c r="U25" i="5"/>
  <c r="AC17" i="5"/>
  <c r="U17" i="5"/>
  <c r="Y11" i="5"/>
  <c r="AD19" i="5"/>
  <c r="K24" i="5"/>
  <c r="K14" i="5"/>
  <c r="L34" i="5"/>
  <c r="K33" i="5"/>
  <c r="R33" i="5" s="1"/>
  <c r="S33" i="5" s="1"/>
  <c r="T33" i="5" s="1"/>
  <c r="Q31" i="5"/>
  <c r="Q25" i="5"/>
  <c r="K22" i="5"/>
  <c r="Q20" i="5"/>
  <c r="K17" i="5"/>
  <c r="Q8" i="5"/>
  <c r="AB29" i="5"/>
  <c r="AB17" i="5"/>
  <c r="AD16" i="5"/>
  <c r="X11" i="5"/>
  <c r="AB9" i="5"/>
  <c r="K36" i="5"/>
  <c r="K28" i="5"/>
  <c r="K29" i="5"/>
  <c r="K19" i="5"/>
  <c r="L35" i="5"/>
  <c r="R35" i="5" s="1"/>
  <c r="S35" i="5" s="1"/>
  <c r="T35" i="5" s="1"/>
  <c r="K34" i="5"/>
  <c r="Q32" i="5"/>
  <c r="K27" i="5"/>
  <c r="K23" i="5"/>
  <c r="Q21" i="5"/>
  <c r="Q16" i="5"/>
  <c r="L13" i="5"/>
  <c r="AA29" i="5"/>
  <c r="AA17" i="5"/>
  <c r="AC16" i="5"/>
  <c r="L23" i="5"/>
  <c r="R23" i="5" s="1"/>
  <c r="S23" i="5" s="1"/>
  <c r="T23" i="5" s="1"/>
  <c r="L15" i="5"/>
  <c r="R15" i="5" s="1"/>
  <c r="S15" i="5" s="1"/>
  <c r="T15" i="5" s="1"/>
  <c r="L10" i="5"/>
  <c r="L24" i="5"/>
  <c r="L16" i="5"/>
  <c r="R16" i="5" s="1"/>
  <c r="S16" i="5" s="1"/>
  <c r="T16" i="5" s="1"/>
  <c r="L25" i="5"/>
  <c r="R25" i="5" s="1"/>
  <c r="S25" i="5" s="1"/>
  <c r="T25" i="5" s="1"/>
  <c r="AC25" i="5" s="1"/>
  <c r="L17" i="5"/>
  <c r="R17" i="5" s="1"/>
  <c r="S17" i="5" s="1"/>
  <c r="T17" i="5" s="1"/>
  <c r="L11" i="5"/>
  <c r="R11" i="5" s="1"/>
  <c r="S11" i="5" s="1"/>
  <c r="T11" i="5" s="1"/>
  <c r="L26" i="5"/>
  <c r="R26" i="5" s="1"/>
  <c r="S26" i="5" s="1"/>
  <c r="T26" i="5" s="1"/>
  <c r="AC26" i="5" s="1"/>
  <c r="L18" i="5"/>
  <c r="R18" i="5" s="1"/>
  <c r="S18" i="5" s="1"/>
  <c r="T18" i="5" s="1"/>
  <c r="L27" i="5"/>
  <c r="L19" i="5"/>
  <c r="K10" i="5"/>
  <c r="R10" i="5" s="1"/>
  <c r="S10" i="5" s="1"/>
  <c r="T10" i="5" s="1"/>
  <c r="K11" i="5"/>
  <c r="K12" i="5"/>
  <c r="R24" i="5"/>
  <c r="S24" i="5" s="1"/>
  <c r="T24" i="5" s="1"/>
  <c r="R8" i="5"/>
  <c r="S8" i="5" s="1"/>
  <c r="T8" i="5" s="1"/>
  <c r="U8" i="5" s="1"/>
  <c r="R20" i="5"/>
  <c r="S20" i="5" s="1"/>
  <c r="T20" i="5" s="1"/>
  <c r="R9" i="5"/>
  <c r="S9" i="5" s="1"/>
  <c r="T9" i="5" s="1"/>
  <c r="AD9" i="5" s="1"/>
  <c r="R34" i="5"/>
  <c r="S34" i="5" s="1"/>
  <c r="T34" i="5" s="1"/>
  <c r="U34" i="5" s="1"/>
  <c r="R27" i="5"/>
  <c r="S27" i="5" s="1"/>
  <c r="T27" i="5" s="1"/>
  <c r="AD27" i="5" s="1"/>
  <c r="R19" i="5"/>
  <c r="S19" i="5" s="1"/>
  <c r="T19" i="5" s="1"/>
  <c r="R12" i="5"/>
  <c r="S12" i="5" s="1"/>
  <c r="T12" i="5" s="1"/>
  <c r="R36" i="5"/>
  <c r="S36" i="5" s="1"/>
  <c r="T36" i="5" s="1"/>
  <c r="R28" i="5"/>
  <c r="S28" i="5" s="1"/>
  <c r="T28" i="5" s="1"/>
  <c r="W28" i="5" s="1"/>
  <c r="R29" i="5"/>
  <c r="S29" i="5" s="1"/>
  <c r="T29" i="5" s="1"/>
  <c r="R21" i="5"/>
  <c r="S21" i="5" s="1"/>
  <c r="T21" i="5" s="1"/>
  <c r="U21" i="5" s="1"/>
  <c r="R13" i="5"/>
  <c r="S13" i="5" s="1"/>
  <c r="T13" i="5" s="1"/>
  <c r="AC13" i="5" s="1"/>
  <c r="W3" i="1"/>
  <c r="C66" i="1"/>
  <c r="P33" i="1"/>
  <c r="G33" i="1" s="1"/>
  <c r="P20" i="1"/>
  <c r="K20" i="1" s="1"/>
  <c r="I16" i="1"/>
  <c r="T16" i="1"/>
  <c r="S16" i="1"/>
  <c r="R16" i="1"/>
  <c r="Q16" i="1"/>
  <c r="P16" i="1"/>
  <c r="O16" i="1"/>
  <c r="N16" i="1"/>
  <c r="T3" i="1"/>
  <c r="S3" i="1"/>
  <c r="S4" i="1"/>
  <c r="R3" i="1"/>
  <c r="Q3" i="1"/>
  <c r="P3" i="1"/>
  <c r="O3" i="1"/>
  <c r="I3" i="1"/>
  <c r="R28" i="19" l="1"/>
  <c r="S28" i="19" s="1"/>
  <c r="T28" i="19" s="1"/>
  <c r="R8" i="19"/>
  <c r="S8" i="19" s="1"/>
  <c r="T8" i="19" s="1"/>
  <c r="R31" i="19"/>
  <c r="S31" i="19" s="1"/>
  <c r="T31" i="19" s="1"/>
  <c r="R25" i="19"/>
  <c r="S25" i="19" s="1"/>
  <c r="T25" i="19" s="1"/>
  <c r="Y25" i="19" s="1"/>
  <c r="R15" i="19"/>
  <c r="S15" i="19" s="1"/>
  <c r="T15" i="19" s="1"/>
  <c r="R20" i="19"/>
  <c r="S20" i="19" s="1"/>
  <c r="T20" i="19" s="1"/>
  <c r="R19" i="19"/>
  <c r="S19" i="19" s="1"/>
  <c r="T19" i="19" s="1"/>
  <c r="R33" i="20"/>
  <c r="S33" i="20" s="1"/>
  <c r="T33" i="20" s="1"/>
  <c r="R28" i="20"/>
  <c r="S28" i="20" s="1"/>
  <c r="T28" i="20" s="1"/>
  <c r="R27" i="20"/>
  <c r="S27" i="20" s="1"/>
  <c r="T27" i="20" s="1"/>
  <c r="Y27" i="20" s="1"/>
  <c r="AD16" i="20"/>
  <c r="V16" i="20"/>
  <c r="AC16" i="20"/>
  <c r="U16" i="20"/>
  <c r="AB16" i="20"/>
  <c r="AA16" i="20"/>
  <c r="X16" i="20"/>
  <c r="Z16" i="20"/>
  <c r="Y16" i="20"/>
  <c r="W16" i="20"/>
  <c r="AB35" i="20"/>
  <c r="AA35" i="20"/>
  <c r="AD35" i="20"/>
  <c r="Y35" i="20"/>
  <c r="AC35" i="20"/>
  <c r="V35" i="20"/>
  <c r="U35" i="20"/>
  <c r="W35" i="20"/>
  <c r="X35" i="20"/>
  <c r="Z35" i="20"/>
  <c r="AC27" i="20"/>
  <c r="U27" i="20"/>
  <c r="AB27" i="20"/>
  <c r="AA27" i="20"/>
  <c r="X27" i="20"/>
  <c r="Z27" i="20"/>
  <c r="V27" i="20"/>
  <c r="AD27" i="20"/>
  <c r="W27" i="20"/>
  <c r="Y7" i="20"/>
  <c r="AD7" i="20"/>
  <c r="V7" i="20"/>
  <c r="AC7" i="20"/>
  <c r="U7" i="20"/>
  <c r="AB7" i="20"/>
  <c r="AA7" i="20"/>
  <c r="Z7" i="20"/>
  <c r="X7" i="20"/>
  <c r="W7" i="20"/>
  <c r="X37" i="20"/>
  <c r="AC37" i="20"/>
  <c r="U37" i="20"/>
  <c r="Y37" i="20"/>
  <c r="AA37" i="20"/>
  <c r="V37" i="20"/>
  <c r="AD37" i="20"/>
  <c r="Z37" i="20"/>
  <c r="W37" i="20"/>
  <c r="AB37" i="20"/>
  <c r="Z28" i="20"/>
  <c r="AA28" i="20"/>
  <c r="Y28" i="20"/>
  <c r="AD28" i="20"/>
  <c r="V28" i="20"/>
  <c r="AC28" i="20"/>
  <c r="U28" i="20"/>
  <c r="AB28" i="20"/>
  <c r="W28" i="20"/>
  <c r="X28" i="20"/>
  <c r="AB15" i="20"/>
  <c r="AD15" i="20"/>
  <c r="AC15" i="20"/>
  <c r="AA15" i="20"/>
  <c r="U15" i="20"/>
  <c r="Z15" i="20"/>
  <c r="Y15" i="20"/>
  <c r="V15" i="20"/>
  <c r="R23" i="20"/>
  <c r="S23" i="20" s="1"/>
  <c r="T23" i="20" s="1"/>
  <c r="AD33" i="20"/>
  <c r="V33" i="20"/>
  <c r="W33" i="20"/>
  <c r="AC33" i="20"/>
  <c r="U33" i="20"/>
  <c r="AB33" i="20"/>
  <c r="AA33" i="20"/>
  <c r="Z33" i="20"/>
  <c r="Y33" i="20"/>
  <c r="X33" i="20"/>
  <c r="Z8" i="20"/>
  <c r="Y8" i="20"/>
  <c r="AB8" i="20"/>
  <c r="AD8" i="20"/>
  <c r="V8" i="20"/>
  <c r="AC8" i="20"/>
  <c r="U8" i="20"/>
  <c r="AA8" i="20"/>
  <c r="R22" i="20"/>
  <c r="S22" i="20" s="1"/>
  <c r="W8" i="20"/>
  <c r="R30" i="20"/>
  <c r="S30" i="20" s="1"/>
  <c r="T30" i="20" s="1"/>
  <c r="AC19" i="20"/>
  <c r="U19" i="20"/>
  <c r="AD19" i="20"/>
  <c r="AB19" i="20"/>
  <c r="V19" i="20"/>
  <c r="AA19" i="20"/>
  <c r="Y19" i="20"/>
  <c r="R13" i="20"/>
  <c r="S13" i="20" s="1"/>
  <c r="T13" i="20" s="1"/>
  <c r="R20" i="20"/>
  <c r="S20" i="20" s="1"/>
  <c r="T20" i="20" s="1"/>
  <c r="R14" i="20"/>
  <c r="S14" i="20" s="1"/>
  <c r="T14" i="20" s="1"/>
  <c r="X8" i="20"/>
  <c r="W19" i="20"/>
  <c r="X19" i="20"/>
  <c r="R34" i="20"/>
  <c r="S34" i="20" s="1"/>
  <c r="T34" i="20" s="1"/>
  <c r="R24" i="20"/>
  <c r="S24" i="20" s="1"/>
  <c r="T24" i="20" s="1"/>
  <c r="Z19" i="20"/>
  <c r="X15" i="20"/>
  <c r="R30" i="19"/>
  <c r="S30" i="19" s="1"/>
  <c r="T30" i="19" s="1"/>
  <c r="AD30" i="19" s="1"/>
  <c r="Y19" i="19"/>
  <c r="Z19" i="19"/>
  <c r="R21" i="19"/>
  <c r="S21" i="19" s="1"/>
  <c r="T21" i="19" s="1"/>
  <c r="AA21" i="19" s="1"/>
  <c r="R11" i="19"/>
  <c r="S11" i="19" s="1"/>
  <c r="T11" i="19" s="1"/>
  <c r="W13" i="19"/>
  <c r="C11" i="21" s="1"/>
  <c r="R12" i="19"/>
  <c r="S12" i="19" s="1"/>
  <c r="T12" i="19" s="1"/>
  <c r="X12" i="19" s="1"/>
  <c r="Y9" i="19"/>
  <c r="AC20" i="19"/>
  <c r="U20" i="19"/>
  <c r="AB20" i="19"/>
  <c r="AA20" i="19"/>
  <c r="X20" i="19"/>
  <c r="W20" i="19"/>
  <c r="C18" i="21" s="1"/>
  <c r="AD20" i="19"/>
  <c r="V20" i="19"/>
  <c r="Y20" i="19"/>
  <c r="Z20" i="19"/>
  <c r="AB21" i="19"/>
  <c r="W21" i="19"/>
  <c r="C19" i="21" s="1"/>
  <c r="AD21" i="19"/>
  <c r="V21" i="19"/>
  <c r="AC21" i="19"/>
  <c r="U21" i="19"/>
  <c r="Z21" i="19"/>
  <c r="X15" i="19"/>
  <c r="AC15" i="19"/>
  <c r="W15" i="19"/>
  <c r="C13" i="21" s="1"/>
  <c r="AD15" i="19"/>
  <c r="V15" i="19"/>
  <c r="U15" i="19"/>
  <c r="AA15" i="19"/>
  <c r="AB15" i="19"/>
  <c r="Y15" i="19"/>
  <c r="Z15" i="19"/>
  <c r="AB16" i="19"/>
  <c r="AA16" i="19"/>
  <c r="AD16" i="19"/>
  <c r="V16" i="19"/>
  <c r="AC16" i="19"/>
  <c r="U16" i="19"/>
  <c r="X16" i="19"/>
  <c r="W16" i="19"/>
  <c r="C14" i="21" s="1"/>
  <c r="Z16" i="19"/>
  <c r="Y16" i="19"/>
  <c r="AC11" i="19"/>
  <c r="U11" i="19"/>
  <c r="AB11" i="19"/>
  <c r="AA11" i="19"/>
  <c r="W11" i="19"/>
  <c r="C9" i="21" s="1"/>
  <c r="AD11" i="19"/>
  <c r="V11" i="19"/>
  <c r="X11" i="19"/>
  <c r="Z11" i="19"/>
  <c r="Y11" i="19"/>
  <c r="X29" i="19"/>
  <c r="W29" i="19"/>
  <c r="C26" i="21" s="1"/>
  <c r="V29" i="19"/>
  <c r="AC29" i="19"/>
  <c r="AB29" i="19"/>
  <c r="AD29" i="19"/>
  <c r="AA29" i="19"/>
  <c r="U29" i="19"/>
  <c r="Y29" i="19"/>
  <c r="Z29" i="19"/>
  <c r="AD12" i="19"/>
  <c r="V12" i="19"/>
  <c r="AC12" i="19"/>
  <c r="U12" i="19"/>
  <c r="AA12" i="19"/>
  <c r="AB12" i="19"/>
  <c r="Z12" i="19"/>
  <c r="Y12" i="19"/>
  <c r="AA33" i="19"/>
  <c r="W33" i="19"/>
  <c r="C30" i="21" s="1"/>
  <c r="X33" i="19"/>
  <c r="AD33" i="19"/>
  <c r="AC33" i="19"/>
  <c r="U33" i="19"/>
  <c r="V33" i="19"/>
  <c r="AB33" i="19"/>
  <c r="Z33" i="19"/>
  <c r="Y33" i="19"/>
  <c r="AB7" i="19"/>
  <c r="AA7" i="19"/>
  <c r="AD7" i="19"/>
  <c r="V7" i="19"/>
  <c r="AC7" i="19"/>
  <c r="U7" i="19"/>
  <c r="X7" i="19"/>
  <c r="W7" i="19"/>
  <c r="C5" i="21" s="1"/>
  <c r="Y7" i="19"/>
  <c r="Z7" i="19"/>
  <c r="X35" i="19"/>
  <c r="U35" i="19"/>
  <c r="W35" i="19"/>
  <c r="C32" i="21" s="1"/>
  <c r="AD35" i="19"/>
  <c r="V35" i="19"/>
  <c r="AB35" i="19"/>
  <c r="AA35" i="19"/>
  <c r="AC35" i="19"/>
  <c r="Z35" i="19"/>
  <c r="Y35" i="19"/>
  <c r="AD34" i="19"/>
  <c r="V34" i="19"/>
  <c r="AC34" i="19"/>
  <c r="U34" i="19"/>
  <c r="Y34" i="19"/>
  <c r="AB34" i="19"/>
  <c r="AA34" i="19"/>
  <c r="X34" i="19"/>
  <c r="W34" i="19"/>
  <c r="C31" i="21" s="1"/>
  <c r="Z34" i="19"/>
  <c r="X31" i="19"/>
  <c r="W31" i="19"/>
  <c r="C28" i="21" s="1"/>
  <c r="AD31" i="19"/>
  <c r="V31" i="19"/>
  <c r="AC31" i="19"/>
  <c r="U31" i="19"/>
  <c r="AB31" i="19"/>
  <c r="AA31" i="19"/>
  <c r="Z31" i="19"/>
  <c r="Y31" i="19"/>
  <c r="AB30" i="19"/>
  <c r="W30" i="19"/>
  <c r="C27" i="21" s="1"/>
  <c r="X30" i="19"/>
  <c r="Z30" i="19"/>
  <c r="W8" i="19"/>
  <c r="C6" i="21" s="1"/>
  <c r="AD8" i="19"/>
  <c r="V8" i="19"/>
  <c r="AC8" i="19"/>
  <c r="U8" i="19"/>
  <c r="AB8" i="19"/>
  <c r="AA8" i="19"/>
  <c r="Z8" i="19"/>
  <c r="X8" i="19"/>
  <c r="R14" i="19"/>
  <c r="S14" i="19" s="1"/>
  <c r="T14" i="19" s="1"/>
  <c r="AB36" i="19"/>
  <c r="W36" i="19"/>
  <c r="C33" i="21" s="1"/>
  <c r="AA36" i="19"/>
  <c r="AD36" i="19"/>
  <c r="V36" i="19"/>
  <c r="AC36" i="19"/>
  <c r="U36" i="19"/>
  <c r="X36" i="19"/>
  <c r="Z25" i="19"/>
  <c r="V9" i="19"/>
  <c r="AC9" i="19"/>
  <c r="X9" i="19"/>
  <c r="W9" i="19"/>
  <c r="C7" i="21" s="1"/>
  <c r="AB9" i="19"/>
  <c r="U9" i="19"/>
  <c r="AA9" i="19"/>
  <c r="AD9" i="19"/>
  <c r="W28" i="19"/>
  <c r="C25" i="21" s="1"/>
  <c r="AD28" i="19"/>
  <c r="V28" i="19"/>
  <c r="AC28" i="19"/>
  <c r="U28" i="19"/>
  <c r="AB28" i="19"/>
  <c r="Z28" i="19"/>
  <c r="AA28" i="19"/>
  <c r="X28" i="19"/>
  <c r="W38" i="19"/>
  <c r="C35" i="21" s="1"/>
  <c r="AD38" i="19"/>
  <c r="V38" i="19"/>
  <c r="AA38" i="19"/>
  <c r="Z38" i="19"/>
  <c r="AC38" i="19"/>
  <c r="U38" i="19"/>
  <c r="AB38" i="19"/>
  <c r="X38" i="19"/>
  <c r="R17" i="19"/>
  <c r="S17" i="19" s="1"/>
  <c r="T17" i="19" s="1"/>
  <c r="X25" i="19"/>
  <c r="W25" i="19"/>
  <c r="C22" i="21" s="1"/>
  <c r="AD25" i="19"/>
  <c r="V25" i="19"/>
  <c r="U25" i="19"/>
  <c r="AB25" i="19"/>
  <c r="AA25" i="19"/>
  <c r="AC25" i="19"/>
  <c r="X19" i="19"/>
  <c r="W19" i="19"/>
  <c r="C17" i="21" s="1"/>
  <c r="U19" i="19"/>
  <c r="AB19" i="19"/>
  <c r="V19" i="19"/>
  <c r="AC19" i="19"/>
  <c r="AA19" i="19"/>
  <c r="AD19" i="19"/>
  <c r="AD24" i="19"/>
  <c r="V24" i="19"/>
  <c r="AC24" i="19"/>
  <c r="U24" i="19"/>
  <c r="AB24" i="19"/>
  <c r="AA24" i="19"/>
  <c r="Y24" i="19"/>
  <c r="X24" i="19"/>
  <c r="W24" i="19"/>
  <c r="C21" i="21" s="1"/>
  <c r="Z24" i="19"/>
  <c r="Z36" i="19"/>
  <c r="Y28" i="19"/>
  <c r="Y8" i="19"/>
  <c r="R35" i="18"/>
  <c r="S35" i="18" s="1"/>
  <c r="T35" i="18" s="1"/>
  <c r="AA35" i="18" s="1"/>
  <c r="R28" i="18"/>
  <c r="S28" i="18" s="1"/>
  <c r="T28" i="18" s="1"/>
  <c r="Z28" i="18" s="1"/>
  <c r="R27" i="18"/>
  <c r="S27" i="18" s="1"/>
  <c r="T27" i="18" s="1"/>
  <c r="Y27" i="18" s="1"/>
  <c r="R30" i="18"/>
  <c r="S30" i="18" s="1"/>
  <c r="T30" i="18" s="1"/>
  <c r="R19" i="18"/>
  <c r="S19" i="18" s="1"/>
  <c r="T19" i="18" s="1"/>
  <c r="R25" i="18"/>
  <c r="S25" i="18" s="1"/>
  <c r="T25" i="18" s="1"/>
  <c r="W25" i="18" s="1"/>
  <c r="R21" i="18"/>
  <c r="S21" i="18" s="1"/>
  <c r="T21" i="18" s="1"/>
  <c r="AC21" i="18" s="1"/>
  <c r="R12" i="18"/>
  <c r="S12" i="18" s="1"/>
  <c r="T12" i="18" s="1"/>
  <c r="X12" i="18" s="1"/>
  <c r="Y25" i="18"/>
  <c r="Y9" i="18"/>
  <c r="AD28" i="18"/>
  <c r="V28" i="18"/>
  <c r="AA28" i="18"/>
  <c r="Y28" i="18"/>
  <c r="AB16" i="18"/>
  <c r="W16" i="18"/>
  <c r="AA16" i="18"/>
  <c r="Z16" i="18"/>
  <c r="X16" i="18"/>
  <c r="AD16" i="18"/>
  <c r="V16" i="18"/>
  <c r="AC16" i="18"/>
  <c r="U16" i="18"/>
  <c r="Y16" i="18"/>
  <c r="AC11" i="18"/>
  <c r="U11" i="18"/>
  <c r="AB11" i="18"/>
  <c r="X11" i="18"/>
  <c r="AA11" i="18"/>
  <c r="Z11" i="18"/>
  <c r="AD11" i="18"/>
  <c r="V11" i="18"/>
  <c r="Y11" i="18"/>
  <c r="W11" i="18"/>
  <c r="U12" i="18"/>
  <c r="AB12" i="18"/>
  <c r="AA12" i="18"/>
  <c r="Z12" i="18"/>
  <c r="Z19" i="18"/>
  <c r="AC19" i="18"/>
  <c r="U19" i="18"/>
  <c r="X19" i="18"/>
  <c r="AD19" i="18"/>
  <c r="V19" i="18"/>
  <c r="AB19" i="18"/>
  <c r="AA19" i="18"/>
  <c r="W19" i="18"/>
  <c r="Y19" i="18"/>
  <c r="AD23" i="18"/>
  <c r="V23" i="18"/>
  <c r="AC23" i="18"/>
  <c r="U23" i="18"/>
  <c r="Y23" i="18"/>
  <c r="AB23" i="18"/>
  <c r="AA23" i="18"/>
  <c r="Z23" i="18"/>
  <c r="X23" i="18"/>
  <c r="W23" i="18"/>
  <c r="AB7" i="18"/>
  <c r="AA7" i="18"/>
  <c r="Z7" i="18"/>
  <c r="W7" i="18"/>
  <c r="X7" i="18"/>
  <c r="AD7" i="18"/>
  <c r="V7" i="18"/>
  <c r="AC7" i="18"/>
  <c r="U7" i="18"/>
  <c r="Y7" i="18"/>
  <c r="X30" i="18"/>
  <c r="AD30" i="18"/>
  <c r="V30" i="18"/>
  <c r="AC30" i="18"/>
  <c r="U30" i="18"/>
  <c r="AA30" i="18"/>
  <c r="Z30" i="18"/>
  <c r="Y30" i="18"/>
  <c r="AB30" i="18"/>
  <c r="W30" i="18"/>
  <c r="AC29" i="18"/>
  <c r="U29" i="18"/>
  <c r="AA29" i="18"/>
  <c r="Z29" i="18"/>
  <c r="X29" i="18"/>
  <c r="AD29" i="18"/>
  <c r="V29" i="18"/>
  <c r="AB29" i="18"/>
  <c r="W29" i="18"/>
  <c r="Y29" i="18"/>
  <c r="AB35" i="18"/>
  <c r="Z35" i="18"/>
  <c r="X35" i="18"/>
  <c r="AC35" i="18"/>
  <c r="U35" i="18"/>
  <c r="V35" i="18"/>
  <c r="AD35" i="18"/>
  <c r="Y35" i="18"/>
  <c r="W35" i="18"/>
  <c r="X21" i="18"/>
  <c r="AD21" i="18"/>
  <c r="V21" i="18"/>
  <c r="AA21" i="18"/>
  <c r="U21" i="18"/>
  <c r="AB21" i="18"/>
  <c r="Z21" i="18"/>
  <c r="Y21" i="18"/>
  <c r="W21" i="18"/>
  <c r="X34" i="18"/>
  <c r="AB34" i="18"/>
  <c r="AC34" i="18"/>
  <c r="U34" i="18"/>
  <c r="AA34" i="18"/>
  <c r="Z34" i="18"/>
  <c r="AC20" i="18"/>
  <c r="U20" i="18"/>
  <c r="AB20" i="18"/>
  <c r="AA20" i="18"/>
  <c r="Z20" i="18"/>
  <c r="X20" i="18"/>
  <c r="AD20" i="18"/>
  <c r="V20" i="18"/>
  <c r="W27" i="18"/>
  <c r="R14" i="18"/>
  <c r="S14" i="18" s="1"/>
  <c r="T14" i="18" s="1"/>
  <c r="AD34" i="18"/>
  <c r="Y15" i="18"/>
  <c r="R8" i="18"/>
  <c r="S8" i="18" s="1"/>
  <c r="T8" i="18" s="1"/>
  <c r="W34" i="18"/>
  <c r="AB25" i="18"/>
  <c r="AA25" i="18"/>
  <c r="Z25" i="18"/>
  <c r="X25" i="18"/>
  <c r="AD25" i="18"/>
  <c r="V25" i="18"/>
  <c r="AC25" i="18"/>
  <c r="U25" i="18"/>
  <c r="V34" i="18"/>
  <c r="R24" i="18"/>
  <c r="S24" i="18" s="1"/>
  <c r="T24" i="18" s="1"/>
  <c r="R17" i="18"/>
  <c r="S17" i="18" s="1"/>
  <c r="T17" i="18" s="1"/>
  <c r="R37" i="18"/>
  <c r="S37" i="18" s="1"/>
  <c r="T37" i="18" s="1"/>
  <c r="Y20" i="18"/>
  <c r="AD27" i="18"/>
  <c r="V27" i="18"/>
  <c r="AC27" i="18"/>
  <c r="U27" i="18"/>
  <c r="Z27" i="18"/>
  <c r="AA27" i="18"/>
  <c r="X27" i="18"/>
  <c r="R33" i="18"/>
  <c r="S33" i="18" s="1"/>
  <c r="T33" i="18" s="1"/>
  <c r="X15" i="18"/>
  <c r="AD15" i="18"/>
  <c r="V15" i="18"/>
  <c r="AB15" i="18"/>
  <c r="AC15" i="18"/>
  <c r="U15" i="18"/>
  <c r="AA15" i="18"/>
  <c r="Z15" i="18"/>
  <c r="AB27" i="18"/>
  <c r="Z9" i="18"/>
  <c r="X9" i="18"/>
  <c r="U9" i="18"/>
  <c r="AC9" i="18"/>
  <c r="AD9" i="18"/>
  <c r="V9" i="18"/>
  <c r="AB9" i="18"/>
  <c r="AA9" i="18"/>
  <c r="R30" i="16"/>
  <c r="S30" i="16" s="1"/>
  <c r="V30" i="16" s="1"/>
  <c r="Y19" i="16"/>
  <c r="Z19" i="16"/>
  <c r="Y23" i="16"/>
  <c r="Z23" i="16"/>
  <c r="AA24" i="16"/>
  <c r="AB24" i="16"/>
  <c r="R11" i="16"/>
  <c r="S11" i="16" s="1"/>
  <c r="Y11" i="16" s="1"/>
  <c r="AC13" i="16"/>
  <c r="U13" i="16"/>
  <c r="AB13" i="16"/>
  <c r="AA13" i="16"/>
  <c r="W13" i="16"/>
  <c r="AD13" i="16"/>
  <c r="V13" i="16"/>
  <c r="X13" i="16"/>
  <c r="Y13" i="16"/>
  <c r="Z13" i="16"/>
  <c r="X21" i="16"/>
  <c r="AC21" i="16"/>
  <c r="W21" i="16"/>
  <c r="AD21" i="16"/>
  <c r="AB21" i="16"/>
  <c r="V21" i="16"/>
  <c r="AA21" i="16"/>
  <c r="U21" i="16"/>
  <c r="Z21" i="16"/>
  <c r="Y21" i="16"/>
  <c r="W30" i="16"/>
  <c r="AD30" i="16"/>
  <c r="AC30" i="16"/>
  <c r="AB30" i="16"/>
  <c r="Y30" i="16"/>
  <c r="X12" i="16"/>
  <c r="W12" i="16"/>
  <c r="V12" i="16"/>
  <c r="U12" i="16"/>
  <c r="AB12" i="16"/>
  <c r="AD12" i="16"/>
  <c r="AC12" i="16"/>
  <c r="AA12" i="16"/>
  <c r="Y12" i="16"/>
  <c r="Z12" i="16"/>
  <c r="X14" i="16"/>
  <c r="AB14" i="16"/>
  <c r="AA14" i="16"/>
  <c r="W14" i="16"/>
  <c r="AD14" i="16"/>
  <c r="V14" i="16"/>
  <c r="AC14" i="16"/>
  <c r="U14" i="16"/>
  <c r="Y14" i="16"/>
  <c r="Z14" i="16"/>
  <c r="AC22" i="16"/>
  <c r="U22" i="16"/>
  <c r="AB22" i="16"/>
  <c r="AA22" i="16"/>
  <c r="W22" i="16"/>
  <c r="AD22" i="16"/>
  <c r="V22" i="16"/>
  <c r="X22" i="16"/>
  <c r="Z22" i="16"/>
  <c r="Y22" i="16"/>
  <c r="AD34" i="16"/>
  <c r="V34" i="16"/>
  <c r="AC34" i="16"/>
  <c r="U34" i="16"/>
  <c r="AB34" i="16"/>
  <c r="AA34" i="16"/>
  <c r="Z34" i="16"/>
  <c r="X34" i="16"/>
  <c r="W34" i="16"/>
  <c r="Y34" i="16"/>
  <c r="X32" i="16"/>
  <c r="W32" i="16"/>
  <c r="AD32" i="16"/>
  <c r="V32" i="16"/>
  <c r="AA32" i="16"/>
  <c r="AC32" i="16"/>
  <c r="U32" i="16"/>
  <c r="AB32" i="16"/>
  <c r="Y32" i="16"/>
  <c r="Z32" i="16"/>
  <c r="X17" i="16"/>
  <c r="W17" i="16"/>
  <c r="AD17" i="16"/>
  <c r="V17" i="16"/>
  <c r="AC17" i="16"/>
  <c r="AA17" i="16"/>
  <c r="U17" i="16"/>
  <c r="AB17" i="16"/>
  <c r="Z17" i="16"/>
  <c r="Y17" i="16"/>
  <c r="X27" i="16"/>
  <c r="W27" i="16"/>
  <c r="AD27" i="16"/>
  <c r="V27" i="16"/>
  <c r="U27" i="16"/>
  <c r="AA27" i="16"/>
  <c r="AC27" i="16"/>
  <c r="AB27" i="16"/>
  <c r="Y27" i="16"/>
  <c r="Z27" i="16"/>
  <c r="X35" i="16"/>
  <c r="W35" i="16"/>
  <c r="U35" i="16"/>
  <c r="AD35" i="16"/>
  <c r="V35" i="16"/>
  <c r="AC35" i="16"/>
  <c r="AA35" i="16"/>
  <c r="AB35" i="16"/>
  <c r="AD25" i="16"/>
  <c r="V25" i="16"/>
  <c r="AC25" i="16"/>
  <c r="U25" i="16"/>
  <c r="AB25" i="16"/>
  <c r="AA25" i="16"/>
  <c r="X25" i="16"/>
  <c r="Z25" i="16"/>
  <c r="W25" i="16"/>
  <c r="Y25" i="16"/>
  <c r="AD8" i="16"/>
  <c r="V8" i="16"/>
  <c r="AC8" i="16"/>
  <c r="U8" i="16"/>
  <c r="AB8" i="16"/>
  <c r="AA8" i="16"/>
  <c r="Z8" i="16"/>
  <c r="X8" i="16"/>
  <c r="W8" i="16"/>
  <c r="Y8" i="16"/>
  <c r="AB19" i="16"/>
  <c r="X19" i="16"/>
  <c r="AA19" i="16"/>
  <c r="W19" i="16"/>
  <c r="AD19" i="16"/>
  <c r="V19" i="16"/>
  <c r="AC19" i="16"/>
  <c r="U19" i="16"/>
  <c r="AB28" i="16"/>
  <c r="AA28" i="16"/>
  <c r="W28" i="16"/>
  <c r="AD28" i="16"/>
  <c r="V28" i="16"/>
  <c r="AC28" i="16"/>
  <c r="U28" i="16"/>
  <c r="X28" i="16"/>
  <c r="X9" i="16"/>
  <c r="W9" i="16"/>
  <c r="AB9" i="16"/>
  <c r="AD9" i="16"/>
  <c r="V9" i="16"/>
  <c r="AA9" i="16"/>
  <c r="AC9" i="16"/>
  <c r="U9" i="16"/>
  <c r="Z9" i="16"/>
  <c r="W37" i="16"/>
  <c r="AD37" i="16"/>
  <c r="V37" i="16"/>
  <c r="AC37" i="16"/>
  <c r="U37" i="16"/>
  <c r="AB37" i="16"/>
  <c r="X37" i="16"/>
  <c r="AA37" i="16"/>
  <c r="Z37" i="16"/>
  <c r="R20" i="16"/>
  <c r="S20" i="16" s="1"/>
  <c r="Y28" i="16"/>
  <c r="Z35" i="16"/>
  <c r="X23" i="16"/>
  <c r="W23" i="16"/>
  <c r="AD23" i="16"/>
  <c r="V23" i="16"/>
  <c r="AC23" i="16"/>
  <c r="U23" i="16"/>
  <c r="AB23" i="16"/>
  <c r="AA23" i="16"/>
  <c r="AD16" i="16"/>
  <c r="V16" i="16"/>
  <c r="AC16" i="16"/>
  <c r="U16" i="16"/>
  <c r="AB16" i="16"/>
  <c r="AA16" i="16"/>
  <c r="Y16" i="16"/>
  <c r="X16" i="16"/>
  <c r="Z16" i="16"/>
  <c r="W16" i="16"/>
  <c r="Z28" i="16"/>
  <c r="W29" i="16"/>
  <c r="AD29" i="16"/>
  <c r="V29" i="16"/>
  <c r="AC29" i="16"/>
  <c r="U29" i="16"/>
  <c r="AA29" i="16"/>
  <c r="AB29" i="16"/>
  <c r="Z29" i="16"/>
  <c r="X29" i="16"/>
  <c r="W11" i="16"/>
  <c r="Z11" i="16"/>
  <c r="AD11" i="16"/>
  <c r="V11" i="16"/>
  <c r="AC11" i="16"/>
  <c r="U11" i="16"/>
  <c r="AB11" i="16"/>
  <c r="AA11" i="16"/>
  <c r="X11" i="16"/>
  <c r="Y35" i="16"/>
  <c r="W35" i="15"/>
  <c r="R30" i="15"/>
  <c r="S30" i="15" s="1"/>
  <c r="X35" i="15"/>
  <c r="R36" i="15"/>
  <c r="S36" i="15" s="1"/>
  <c r="AB36" i="15" s="1"/>
  <c r="R21" i="15"/>
  <c r="S21" i="15" s="1"/>
  <c r="R22" i="15"/>
  <c r="S22" i="15" s="1"/>
  <c r="R14" i="15"/>
  <c r="S14" i="15" s="1"/>
  <c r="R9" i="15"/>
  <c r="S9" i="15" s="1"/>
  <c r="R13" i="15"/>
  <c r="S13" i="15" s="1"/>
  <c r="AA13" i="15" s="1"/>
  <c r="R7" i="15"/>
  <c r="S7" i="15" s="1"/>
  <c r="W7" i="15" s="1"/>
  <c r="R12" i="15"/>
  <c r="S12" i="15" s="1"/>
  <c r="V12" i="15" s="1"/>
  <c r="Z21" i="15"/>
  <c r="Y21" i="15"/>
  <c r="AB21" i="15"/>
  <c r="AA21" i="15"/>
  <c r="AC21" i="15"/>
  <c r="U21" i="15"/>
  <c r="V21" i="15"/>
  <c r="AD21" i="15"/>
  <c r="X21" i="15"/>
  <c r="W21" i="15"/>
  <c r="Z30" i="15"/>
  <c r="AB30" i="15"/>
  <c r="Y30" i="15"/>
  <c r="AA30" i="15"/>
  <c r="AC30" i="15"/>
  <c r="U30" i="15"/>
  <c r="X30" i="15"/>
  <c r="V30" i="15"/>
  <c r="AD30" i="15"/>
  <c r="W30" i="15"/>
  <c r="AC14" i="15"/>
  <c r="U14" i="15"/>
  <c r="V14" i="15"/>
  <c r="AA14" i="15"/>
  <c r="AD14" i="15"/>
  <c r="Z14" i="15"/>
  <c r="Y14" i="15"/>
  <c r="W14" i="15"/>
  <c r="AB14" i="15"/>
  <c r="X14" i="15"/>
  <c r="AC31" i="15"/>
  <c r="U31" i="15"/>
  <c r="V31" i="15"/>
  <c r="AA31" i="15"/>
  <c r="AD31" i="15"/>
  <c r="Z31" i="15"/>
  <c r="Y31" i="15"/>
  <c r="X31" i="15"/>
  <c r="W31" i="15"/>
  <c r="AB31" i="15"/>
  <c r="Z13" i="15"/>
  <c r="Y13" i="15"/>
  <c r="AB13" i="15"/>
  <c r="U13" i="15"/>
  <c r="V13" i="15"/>
  <c r="AD13" i="15"/>
  <c r="X13" i="15"/>
  <c r="W13" i="15"/>
  <c r="AA33" i="15"/>
  <c r="Z33" i="15"/>
  <c r="U33" i="15"/>
  <c r="Y33" i="15"/>
  <c r="AC33" i="15"/>
  <c r="AB33" i="15"/>
  <c r="X33" i="15"/>
  <c r="V33" i="15"/>
  <c r="AD33" i="15"/>
  <c r="W33" i="15"/>
  <c r="AA16" i="15"/>
  <c r="U16" i="15"/>
  <c r="Z16" i="15"/>
  <c r="Y16" i="15"/>
  <c r="AC16" i="15"/>
  <c r="AB16" i="15"/>
  <c r="W16" i="15"/>
  <c r="V16" i="15"/>
  <c r="AD16" i="15"/>
  <c r="X16" i="15"/>
  <c r="AC22" i="15"/>
  <c r="U22" i="15"/>
  <c r="AD22" i="15"/>
  <c r="AA22" i="15"/>
  <c r="Z22" i="15"/>
  <c r="Y22" i="15"/>
  <c r="V22" i="15"/>
  <c r="X22" i="15"/>
  <c r="W22" i="15"/>
  <c r="AB22" i="15"/>
  <c r="AD36" i="15"/>
  <c r="Z36" i="15"/>
  <c r="Y36" i="15"/>
  <c r="AC36" i="15"/>
  <c r="W36" i="15"/>
  <c r="AD9" i="15"/>
  <c r="V9" i="15"/>
  <c r="X9" i="15"/>
  <c r="AC9" i="15"/>
  <c r="U9" i="15"/>
  <c r="AB9" i="15"/>
  <c r="AA9" i="15"/>
  <c r="Z9" i="15"/>
  <c r="Y9" i="15"/>
  <c r="W9" i="15"/>
  <c r="AA12" i="15"/>
  <c r="Z12" i="15"/>
  <c r="X12" i="15"/>
  <c r="Z7" i="15"/>
  <c r="AC7" i="15"/>
  <c r="U7" i="15"/>
  <c r="AA7" i="15"/>
  <c r="Y7" i="15"/>
  <c r="Y35" i="15"/>
  <c r="AA35" i="15"/>
  <c r="Z35" i="15"/>
  <c r="AC35" i="15"/>
  <c r="U35" i="15"/>
  <c r="AD35" i="15"/>
  <c r="AB12" i="15"/>
  <c r="W12" i="15"/>
  <c r="R27" i="15"/>
  <c r="S27" i="15" s="1"/>
  <c r="AA24" i="15"/>
  <c r="U24" i="15"/>
  <c r="AB24" i="15"/>
  <c r="Z24" i="15"/>
  <c r="AC24" i="15"/>
  <c r="Y24" i="15"/>
  <c r="X7" i="15"/>
  <c r="V35" i="15"/>
  <c r="R37" i="15"/>
  <c r="S37" i="15" s="1"/>
  <c r="AD24" i="15"/>
  <c r="R10" i="15"/>
  <c r="S10" i="15" s="1"/>
  <c r="AB28" i="15"/>
  <c r="AA28" i="15"/>
  <c r="AD28" i="15"/>
  <c r="AC28" i="15"/>
  <c r="Z28" i="15"/>
  <c r="V28" i="15"/>
  <c r="Y28" i="15"/>
  <c r="U28" i="15"/>
  <c r="R34" i="15"/>
  <c r="S34" i="15" s="1"/>
  <c r="R32" i="15"/>
  <c r="S32" i="15" s="1"/>
  <c r="V24" i="15"/>
  <c r="R19" i="15"/>
  <c r="S19" i="15" s="1"/>
  <c r="R25" i="15"/>
  <c r="S25" i="15" s="1"/>
  <c r="R29" i="15"/>
  <c r="S29" i="15" s="1"/>
  <c r="R23" i="15"/>
  <c r="S23" i="15" s="1"/>
  <c r="R11" i="15"/>
  <c r="S11" i="15" s="1"/>
  <c r="X24" i="15"/>
  <c r="R17" i="15"/>
  <c r="S17" i="15" s="1"/>
  <c r="X28" i="15"/>
  <c r="R20" i="15"/>
  <c r="S20" i="15" s="1"/>
  <c r="R15" i="15"/>
  <c r="S15" i="15" s="1"/>
  <c r="V16" i="14"/>
  <c r="W16" i="14"/>
  <c r="X16" i="14"/>
  <c r="W8" i="14"/>
  <c r="Z8" i="14"/>
  <c r="AB16" i="14"/>
  <c r="X8" i="14"/>
  <c r="AD16" i="14"/>
  <c r="Y8" i="14"/>
  <c r="U8" i="14"/>
  <c r="AA8" i="14"/>
  <c r="Y16" i="14"/>
  <c r="Z16" i="14"/>
  <c r="AB8" i="14"/>
  <c r="U16" i="14"/>
  <c r="AA16" i="14"/>
  <c r="X23" i="14"/>
  <c r="AD23" i="14"/>
  <c r="V23" i="14"/>
  <c r="AC23" i="14"/>
  <c r="U23" i="14"/>
  <c r="Y23" i="14"/>
  <c r="AB23" i="14"/>
  <c r="AA23" i="14"/>
  <c r="Z23" i="14"/>
  <c r="W23" i="14"/>
  <c r="AC14" i="14"/>
  <c r="U14" i="14"/>
  <c r="AD14" i="14"/>
  <c r="AB14" i="14"/>
  <c r="AA14" i="14"/>
  <c r="Z14" i="14"/>
  <c r="Y14" i="14"/>
  <c r="X14" i="14"/>
  <c r="V14" i="14"/>
  <c r="W14" i="14"/>
  <c r="AC31" i="14"/>
  <c r="U31" i="14"/>
  <c r="AB31" i="14"/>
  <c r="AA31" i="14"/>
  <c r="Z31" i="14"/>
  <c r="Y31" i="14"/>
  <c r="V31" i="14"/>
  <c r="X31" i="14"/>
  <c r="AD31" i="14"/>
  <c r="W31" i="14"/>
  <c r="AC22" i="14"/>
  <c r="U22" i="14"/>
  <c r="AB22" i="14"/>
  <c r="V22" i="14"/>
  <c r="AA22" i="14"/>
  <c r="Z22" i="14"/>
  <c r="Y22" i="14"/>
  <c r="AD22" i="14"/>
  <c r="X22" i="14"/>
  <c r="W22" i="14"/>
  <c r="AD9" i="14"/>
  <c r="V9" i="14"/>
  <c r="AC9" i="14"/>
  <c r="U9" i="14"/>
  <c r="AB9" i="14"/>
  <c r="W9" i="14"/>
  <c r="AA9" i="14"/>
  <c r="Z9" i="14"/>
  <c r="Y9" i="14"/>
  <c r="X9" i="14"/>
  <c r="X15" i="14"/>
  <c r="AD15" i="14"/>
  <c r="V15" i="14"/>
  <c r="AC15" i="14"/>
  <c r="U15" i="14"/>
  <c r="AB15" i="14"/>
  <c r="Y15" i="14"/>
  <c r="AA15" i="14"/>
  <c r="Z15" i="14"/>
  <c r="W15" i="14"/>
  <c r="AD12" i="14"/>
  <c r="V12" i="14"/>
  <c r="X12" i="14"/>
  <c r="AC12" i="14"/>
  <c r="U12" i="14"/>
  <c r="AB12" i="14"/>
  <c r="AA12" i="14"/>
  <c r="Z12" i="14"/>
  <c r="Y12" i="14"/>
  <c r="W12" i="14"/>
  <c r="X7" i="14"/>
  <c r="AD7" i="14"/>
  <c r="V7" i="14"/>
  <c r="AC7" i="14"/>
  <c r="U7" i="14"/>
  <c r="AB7" i="14"/>
  <c r="AA7" i="14"/>
  <c r="Z7" i="14"/>
  <c r="Y7" i="14"/>
  <c r="W7" i="14"/>
  <c r="Z21" i="14"/>
  <c r="Y21" i="14"/>
  <c r="X21" i="14"/>
  <c r="AD21" i="14"/>
  <c r="V21" i="14"/>
  <c r="AC21" i="14"/>
  <c r="U21" i="14"/>
  <c r="AA21" i="14"/>
  <c r="AB21" i="14"/>
  <c r="W21" i="14"/>
  <c r="AB11" i="14"/>
  <c r="AC11" i="14"/>
  <c r="AA11" i="14"/>
  <c r="Z11" i="14"/>
  <c r="Y11" i="14"/>
  <c r="X11" i="14"/>
  <c r="U11" i="14"/>
  <c r="AD11" i="14"/>
  <c r="V11" i="14"/>
  <c r="W11" i="14"/>
  <c r="Z13" i="14"/>
  <c r="Y13" i="14"/>
  <c r="X13" i="14"/>
  <c r="AD13" i="14"/>
  <c r="V13" i="14"/>
  <c r="AA13" i="14"/>
  <c r="AC13" i="14"/>
  <c r="U13" i="14"/>
  <c r="AB13" i="14"/>
  <c r="W13" i="14"/>
  <c r="AD29" i="14"/>
  <c r="V29" i="14"/>
  <c r="AC29" i="14"/>
  <c r="U29" i="14"/>
  <c r="AB29" i="14"/>
  <c r="AA29" i="14"/>
  <c r="X29" i="14"/>
  <c r="Z29" i="14"/>
  <c r="Y29" i="14"/>
  <c r="Y18" i="14"/>
  <c r="X18" i="14"/>
  <c r="AD18" i="14"/>
  <c r="V18" i="14"/>
  <c r="AC18" i="14"/>
  <c r="U18" i="14"/>
  <c r="AB18" i="14"/>
  <c r="AA18" i="14"/>
  <c r="Z18" i="14"/>
  <c r="W29" i="14"/>
  <c r="AB19" i="14"/>
  <c r="AC19" i="14"/>
  <c r="AA19" i="14"/>
  <c r="Z19" i="14"/>
  <c r="Y19" i="14"/>
  <c r="X19" i="14"/>
  <c r="U19" i="14"/>
  <c r="AD19" i="14"/>
  <c r="V19" i="14"/>
  <c r="Z30" i="14"/>
  <c r="AA30" i="14"/>
  <c r="Y30" i="14"/>
  <c r="X30" i="14"/>
  <c r="AD30" i="14"/>
  <c r="V30" i="14"/>
  <c r="AC30" i="14"/>
  <c r="U30" i="14"/>
  <c r="AB30" i="14"/>
  <c r="AD25" i="14"/>
  <c r="V25" i="14"/>
  <c r="AC25" i="14"/>
  <c r="U25" i="14"/>
  <c r="AB25" i="14"/>
  <c r="AA25" i="14"/>
  <c r="W25" i="14"/>
  <c r="Z25" i="14"/>
  <c r="Y25" i="14"/>
  <c r="X25" i="14"/>
  <c r="Y10" i="14"/>
  <c r="X10" i="14"/>
  <c r="AD10" i="14"/>
  <c r="V10" i="14"/>
  <c r="Z10" i="14"/>
  <c r="AC10" i="14"/>
  <c r="U10" i="14"/>
  <c r="AB10" i="14"/>
  <c r="AA10" i="14"/>
  <c r="AD20" i="14"/>
  <c r="V20" i="14"/>
  <c r="AC20" i="14"/>
  <c r="U20" i="14"/>
  <c r="AB20" i="14"/>
  <c r="AA20" i="14"/>
  <c r="Z20" i="14"/>
  <c r="Y20" i="14"/>
  <c r="X20" i="14"/>
  <c r="X32" i="14"/>
  <c r="Y32" i="14"/>
  <c r="AD32" i="14"/>
  <c r="V32" i="14"/>
  <c r="AC32" i="14"/>
  <c r="U32" i="14"/>
  <c r="AB32" i="14"/>
  <c r="AA32" i="14"/>
  <c r="Z32" i="14"/>
  <c r="AD17" i="14"/>
  <c r="V17" i="14"/>
  <c r="AC17" i="14"/>
  <c r="U17" i="14"/>
  <c r="W17" i="14"/>
  <c r="AB17" i="14"/>
  <c r="AA17" i="14"/>
  <c r="Z17" i="14"/>
  <c r="Y17" i="14"/>
  <c r="X17" i="14"/>
  <c r="Y27" i="14"/>
  <c r="X27" i="14"/>
  <c r="AD27" i="14"/>
  <c r="V27" i="14"/>
  <c r="AC27" i="14"/>
  <c r="U27" i="14"/>
  <c r="AB27" i="14"/>
  <c r="AA27" i="14"/>
  <c r="Z27" i="14"/>
  <c r="AD37" i="14"/>
  <c r="V37" i="14"/>
  <c r="AC37" i="14"/>
  <c r="U37" i="14"/>
  <c r="AB37" i="14"/>
  <c r="AA37" i="14"/>
  <c r="X37" i="14"/>
  <c r="Z37" i="14"/>
  <c r="Y37" i="14"/>
  <c r="Y35" i="14"/>
  <c r="X35" i="14"/>
  <c r="AD35" i="14"/>
  <c r="V35" i="14"/>
  <c r="AC35" i="14"/>
  <c r="U35" i="14"/>
  <c r="Z35" i="14"/>
  <c r="AB35" i="14"/>
  <c r="AA35" i="14"/>
  <c r="AB28" i="14"/>
  <c r="AA28" i="14"/>
  <c r="U28" i="14"/>
  <c r="Z28" i="14"/>
  <c r="Y28" i="14"/>
  <c r="AC28" i="14"/>
  <c r="X28" i="14"/>
  <c r="AD28" i="14"/>
  <c r="V28" i="14"/>
  <c r="W32" i="14"/>
  <c r="AD34" i="14"/>
  <c r="V34" i="14"/>
  <c r="AC34" i="14"/>
  <c r="U34" i="14"/>
  <c r="AB34" i="14"/>
  <c r="AA34" i="14"/>
  <c r="Z34" i="14"/>
  <c r="Y34" i="14"/>
  <c r="X34" i="14"/>
  <c r="W30" i="14"/>
  <c r="W28" i="14"/>
  <c r="W37" i="14"/>
  <c r="R18" i="13"/>
  <c r="S18" i="13" s="1"/>
  <c r="W18" i="13" s="1"/>
  <c r="S35" i="13"/>
  <c r="AC35" i="13" s="1"/>
  <c r="R8" i="13"/>
  <c r="S8" i="13" s="1"/>
  <c r="R24" i="13"/>
  <c r="S24" i="13" s="1"/>
  <c r="AA24" i="13" s="1"/>
  <c r="S30" i="13"/>
  <c r="AA30" i="13" s="1"/>
  <c r="R16" i="13"/>
  <c r="S16" i="13" s="1"/>
  <c r="V16" i="13" s="1"/>
  <c r="S32" i="13"/>
  <c r="AA32" i="13" s="1"/>
  <c r="R14" i="13"/>
  <c r="S14" i="13" s="1"/>
  <c r="Y14" i="13" s="1"/>
  <c r="R10" i="13"/>
  <c r="S10" i="13" s="1"/>
  <c r="Z10" i="13" s="1"/>
  <c r="S33" i="13"/>
  <c r="AC24" i="13"/>
  <c r="AB8" i="13"/>
  <c r="Z8" i="13"/>
  <c r="AD8" i="13"/>
  <c r="AC8" i="13"/>
  <c r="S29" i="13"/>
  <c r="W29" i="13" s="1"/>
  <c r="R19" i="13"/>
  <c r="S19" i="13" s="1"/>
  <c r="AD19" i="13" s="1"/>
  <c r="R22" i="13"/>
  <c r="S22" i="13" s="1"/>
  <c r="S34" i="13"/>
  <c r="W34" i="13" s="1"/>
  <c r="R17" i="13"/>
  <c r="S17" i="13" s="1"/>
  <c r="AA17" i="13" s="1"/>
  <c r="R20" i="13"/>
  <c r="S20" i="13" s="1"/>
  <c r="W20" i="13" s="1"/>
  <c r="AB24" i="13"/>
  <c r="W24" i="13"/>
  <c r="U24" i="13"/>
  <c r="V24" i="13"/>
  <c r="R9" i="13"/>
  <c r="S9" i="13" s="1"/>
  <c r="V9" i="13" s="1"/>
  <c r="X24" i="13"/>
  <c r="S27" i="13"/>
  <c r="W27" i="13" s="1"/>
  <c r="AD24" i="13"/>
  <c r="R25" i="13"/>
  <c r="S25" i="13" s="1"/>
  <c r="AD25" i="13" s="1"/>
  <c r="S31" i="13"/>
  <c r="W31" i="13" s="1"/>
  <c r="R7" i="13"/>
  <c r="S7" i="13" s="1"/>
  <c r="AB7" i="13" s="1"/>
  <c r="R23" i="13"/>
  <c r="S23" i="13" s="1"/>
  <c r="AD23" i="13" s="1"/>
  <c r="R21" i="13"/>
  <c r="S21" i="13" s="1"/>
  <c r="V21" i="13" s="1"/>
  <c r="S36" i="13"/>
  <c r="Y36" i="13" s="1"/>
  <c r="R15" i="13"/>
  <c r="S15" i="13" s="1"/>
  <c r="AD15" i="13" s="1"/>
  <c r="V8" i="13"/>
  <c r="AD16" i="13"/>
  <c r="AA8" i="13"/>
  <c r="R11" i="13"/>
  <c r="S11" i="13" s="1"/>
  <c r="AD11" i="13" s="1"/>
  <c r="W8" i="13"/>
  <c r="Y16" i="13"/>
  <c r="R13" i="13"/>
  <c r="S13" i="13" s="1"/>
  <c r="AB13" i="13" s="1"/>
  <c r="U8" i="13"/>
  <c r="Y8" i="13"/>
  <c r="X8" i="13"/>
  <c r="W14" i="13"/>
  <c r="AC22" i="13"/>
  <c r="U22" i="13"/>
  <c r="AB22" i="13"/>
  <c r="AA22" i="13"/>
  <c r="Z22" i="13"/>
  <c r="X22" i="13"/>
  <c r="AD22" i="13"/>
  <c r="V22" i="13"/>
  <c r="Y22" i="13"/>
  <c r="W22" i="13"/>
  <c r="W21" i="13"/>
  <c r="X7" i="13"/>
  <c r="V7" i="13"/>
  <c r="V18" i="13"/>
  <c r="AC18" i="13"/>
  <c r="V20" i="13"/>
  <c r="AC20" i="13"/>
  <c r="U20" i="13"/>
  <c r="X20" i="13"/>
  <c r="AC30" i="13"/>
  <c r="U30" i="13"/>
  <c r="AB30" i="13"/>
  <c r="V30" i="13"/>
  <c r="AA14" i="13"/>
  <c r="S28" i="13"/>
  <c r="R12" i="13"/>
  <c r="S12" i="13" s="1"/>
  <c r="AB25" i="13"/>
  <c r="Y25" i="13"/>
  <c r="Z25" i="13"/>
  <c r="Z24" i="11"/>
  <c r="X24" i="11"/>
  <c r="W16" i="11"/>
  <c r="R29" i="11"/>
  <c r="S29" i="11" s="1"/>
  <c r="T29" i="11" s="1"/>
  <c r="AA24" i="11"/>
  <c r="Y16" i="11"/>
  <c r="R17" i="11"/>
  <c r="S17" i="11" s="1"/>
  <c r="T17" i="11" s="1"/>
  <c r="V24" i="11"/>
  <c r="Z16" i="11"/>
  <c r="R14" i="11"/>
  <c r="S14" i="11" s="1"/>
  <c r="T14" i="11" s="1"/>
  <c r="X16" i="11"/>
  <c r="AD24" i="11"/>
  <c r="AA16" i="11"/>
  <c r="R36" i="11"/>
  <c r="S36" i="11" s="1"/>
  <c r="T36" i="11" s="1"/>
  <c r="V36" i="11" s="1"/>
  <c r="AB24" i="11"/>
  <c r="R33" i="11"/>
  <c r="S33" i="11" s="1"/>
  <c r="T33" i="11" s="1"/>
  <c r="AD33" i="11" s="1"/>
  <c r="R13" i="11"/>
  <c r="S13" i="11" s="1"/>
  <c r="T13" i="11" s="1"/>
  <c r="U13" i="11" s="1"/>
  <c r="W19" i="11"/>
  <c r="X13" i="11"/>
  <c r="V13" i="11"/>
  <c r="AC13" i="11"/>
  <c r="Z21" i="11"/>
  <c r="AA21" i="11"/>
  <c r="Y21" i="11"/>
  <c r="AB21" i="11"/>
  <c r="AD21" i="11"/>
  <c r="V21" i="11"/>
  <c r="AC21" i="11"/>
  <c r="U21" i="11"/>
  <c r="X21" i="11"/>
  <c r="W21" i="11"/>
  <c r="AC30" i="11"/>
  <c r="U30" i="11"/>
  <c r="V30" i="11"/>
  <c r="AB30" i="11"/>
  <c r="AD30" i="11"/>
  <c r="AA30" i="11"/>
  <c r="Z30" i="11"/>
  <c r="Y30" i="11"/>
  <c r="X30" i="11"/>
  <c r="W30" i="11"/>
  <c r="AB27" i="11"/>
  <c r="AC27" i="11"/>
  <c r="AA27" i="11"/>
  <c r="Z27" i="11"/>
  <c r="Y27" i="11"/>
  <c r="V27" i="11"/>
  <c r="AD27" i="11"/>
  <c r="U27" i="11"/>
  <c r="X27" i="11"/>
  <c r="W27" i="11"/>
  <c r="U12" i="11"/>
  <c r="AD12" i="11"/>
  <c r="V12" i="11"/>
  <c r="AC12" i="11"/>
  <c r="X12" i="11"/>
  <c r="AB12" i="11"/>
  <c r="AA12" i="11"/>
  <c r="Z12" i="11"/>
  <c r="Y12" i="11"/>
  <c r="W12" i="11"/>
  <c r="Z29" i="11"/>
  <c r="Y29" i="11"/>
  <c r="AA29" i="11"/>
  <c r="AB29" i="11"/>
  <c r="AD29" i="11"/>
  <c r="V29" i="11"/>
  <c r="AC29" i="11"/>
  <c r="U29" i="11"/>
  <c r="X29" i="11"/>
  <c r="W29" i="11"/>
  <c r="AC14" i="11"/>
  <c r="U14" i="11"/>
  <c r="AB14" i="11"/>
  <c r="AA14" i="11"/>
  <c r="Z14" i="11"/>
  <c r="AD14" i="11"/>
  <c r="Y14" i="11"/>
  <c r="V14" i="11"/>
  <c r="X14" i="11"/>
  <c r="W14" i="11"/>
  <c r="AB11" i="11"/>
  <c r="AC11" i="11"/>
  <c r="AA11" i="11"/>
  <c r="Z11" i="11"/>
  <c r="Y11" i="11"/>
  <c r="AD11" i="11"/>
  <c r="U11" i="11"/>
  <c r="V11" i="11"/>
  <c r="R23" i="11"/>
  <c r="S23" i="11" s="1"/>
  <c r="T23" i="11" s="1"/>
  <c r="R7" i="11"/>
  <c r="S7" i="11" s="1"/>
  <c r="T7" i="11" s="1"/>
  <c r="R26" i="11"/>
  <c r="S26" i="11" s="1"/>
  <c r="T26" i="11" s="1"/>
  <c r="R10" i="11"/>
  <c r="S10" i="11" s="1"/>
  <c r="T10" i="11" s="1"/>
  <c r="AB35" i="11"/>
  <c r="AA35" i="11"/>
  <c r="AC35" i="11"/>
  <c r="Z35" i="11"/>
  <c r="U35" i="11"/>
  <c r="Y35" i="11"/>
  <c r="AD35" i="11"/>
  <c r="V35" i="11"/>
  <c r="AC22" i="11"/>
  <c r="U22" i="11"/>
  <c r="AB22" i="11"/>
  <c r="AA22" i="11"/>
  <c r="Z22" i="11"/>
  <c r="AD22" i="11"/>
  <c r="Y22" i="11"/>
  <c r="V22" i="11"/>
  <c r="R25" i="11"/>
  <c r="S25" i="11" s="1"/>
  <c r="T25" i="11" s="1"/>
  <c r="X22" i="11"/>
  <c r="AD9" i="11"/>
  <c r="V9" i="11"/>
  <c r="AC9" i="11"/>
  <c r="U9" i="11"/>
  <c r="AB9" i="11"/>
  <c r="AA9" i="11"/>
  <c r="W9" i="11"/>
  <c r="Z9" i="11"/>
  <c r="Y9" i="11"/>
  <c r="X9" i="11"/>
  <c r="AD36" i="11"/>
  <c r="Y36" i="11"/>
  <c r="X36" i="11"/>
  <c r="Z36" i="11"/>
  <c r="W22" i="11"/>
  <c r="R28" i="11"/>
  <c r="S28" i="11" s="1"/>
  <c r="T28" i="11" s="1"/>
  <c r="AD20" i="11"/>
  <c r="V20" i="11"/>
  <c r="AC20" i="11"/>
  <c r="U20" i="11"/>
  <c r="AB20" i="11"/>
  <c r="AA20" i="11"/>
  <c r="Z20" i="11"/>
  <c r="Y20" i="11"/>
  <c r="X20" i="11"/>
  <c r="AB19" i="11"/>
  <c r="AA19" i="11"/>
  <c r="U19" i="11"/>
  <c r="Z19" i="11"/>
  <c r="Y19" i="11"/>
  <c r="V19" i="11"/>
  <c r="AD19" i="11"/>
  <c r="AC19" i="11"/>
  <c r="R31" i="11"/>
  <c r="S31" i="11" s="1"/>
  <c r="T31" i="11" s="1"/>
  <c r="R15" i="11"/>
  <c r="S15" i="11" s="1"/>
  <c r="T15" i="11" s="1"/>
  <c r="R34" i="11"/>
  <c r="S34" i="11" s="1"/>
  <c r="T34" i="11" s="1"/>
  <c r="R18" i="11"/>
  <c r="S18" i="11" s="1"/>
  <c r="T18" i="11" s="1"/>
  <c r="X33" i="11"/>
  <c r="AD17" i="11"/>
  <c r="V17" i="11"/>
  <c r="W17" i="11"/>
  <c r="AC17" i="11"/>
  <c r="U17" i="11"/>
  <c r="AB17" i="11"/>
  <c r="AA17" i="11"/>
  <c r="Z17" i="11"/>
  <c r="X17" i="11"/>
  <c r="Y17" i="11"/>
  <c r="X11" i="11"/>
  <c r="W36" i="11"/>
  <c r="W32" i="10"/>
  <c r="Y30" i="10"/>
  <c r="W30" i="10"/>
  <c r="AA30" i="10"/>
  <c r="R15" i="10"/>
  <c r="S15" i="10" s="1"/>
  <c r="T15" i="10" s="1"/>
  <c r="U15" i="10" s="1"/>
  <c r="R29" i="10"/>
  <c r="S29" i="10" s="1"/>
  <c r="T29" i="10" s="1"/>
  <c r="AC29" i="10" s="1"/>
  <c r="R25" i="10"/>
  <c r="S25" i="10" s="1"/>
  <c r="T25" i="10" s="1"/>
  <c r="Y25" i="10" s="1"/>
  <c r="R17" i="10"/>
  <c r="S17" i="10" s="1"/>
  <c r="T17" i="10" s="1"/>
  <c r="Z17" i="10" s="1"/>
  <c r="R21" i="10"/>
  <c r="S21" i="10" s="1"/>
  <c r="T21" i="10" s="1"/>
  <c r="V21" i="10" s="1"/>
  <c r="R13" i="10"/>
  <c r="S13" i="10" s="1"/>
  <c r="T13" i="10" s="1"/>
  <c r="Z13" i="10" s="1"/>
  <c r="Y29" i="10"/>
  <c r="AD25" i="10"/>
  <c r="V25" i="10"/>
  <c r="U25" i="10"/>
  <c r="X25" i="10"/>
  <c r="AB25" i="10"/>
  <c r="AA25" i="10"/>
  <c r="Z25" i="10"/>
  <c r="W25" i="10"/>
  <c r="Z24" i="10"/>
  <c r="V24" i="10"/>
  <c r="AD24" i="10"/>
  <c r="AC24" i="10"/>
  <c r="U24" i="10"/>
  <c r="AB24" i="10"/>
  <c r="X24" i="10"/>
  <c r="AA24" i="10"/>
  <c r="Y24" i="10"/>
  <c r="W24" i="10"/>
  <c r="AA8" i="10"/>
  <c r="Z8" i="10"/>
  <c r="AD8" i="10"/>
  <c r="V8" i="10"/>
  <c r="AC8" i="10"/>
  <c r="AB8" i="10"/>
  <c r="U8" i="10"/>
  <c r="W8" i="10"/>
  <c r="X8" i="10"/>
  <c r="Y8" i="10"/>
  <c r="Z21" i="10"/>
  <c r="AD21" i="10"/>
  <c r="X21" i="10"/>
  <c r="W21" i="10"/>
  <c r="U13" i="10"/>
  <c r="AA13" i="10"/>
  <c r="W13" i="10"/>
  <c r="Y13" i="10"/>
  <c r="AD17" i="10"/>
  <c r="V17" i="10"/>
  <c r="AC17" i="10"/>
  <c r="AB17" i="10"/>
  <c r="AA17" i="10"/>
  <c r="X17" i="10"/>
  <c r="W17" i="10"/>
  <c r="AD15" i="10"/>
  <c r="Z15" i="10"/>
  <c r="AD10" i="10"/>
  <c r="V10" i="10"/>
  <c r="AC10" i="10"/>
  <c r="U10" i="10"/>
  <c r="AB10" i="10"/>
  <c r="AA10" i="10"/>
  <c r="Z10" i="10"/>
  <c r="Y16" i="10"/>
  <c r="R31" i="10"/>
  <c r="S31" i="10" s="1"/>
  <c r="T31" i="10" s="1"/>
  <c r="R34" i="10"/>
  <c r="S34" i="10" s="1"/>
  <c r="T34" i="10" s="1"/>
  <c r="AD33" i="10"/>
  <c r="V33" i="10"/>
  <c r="AC33" i="10"/>
  <c r="U33" i="10"/>
  <c r="Y33" i="10"/>
  <c r="X33" i="10"/>
  <c r="AB33" i="10"/>
  <c r="AA33" i="10"/>
  <c r="Z33" i="10"/>
  <c r="X10" i="10"/>
  <c r="R18" i="10"/>
  <c r="S18" i="10" s="1"/>
  <c r="T18" i="10" s="1"/>
  <c r="AB11" i="10"/>
  <c r="AA11" i="10"/>
  <c r="Z11" i="10"/>
  <c r="AC11" i="10"/>
  <c r="V11" i="10"/>
  <c r="U11" i="10"/>
  <c r="AD11" i="10"/>
  <c r="AD9" i="10"/>
  <c r="V9" i="10"/>
  <c r="AC9" i="10"/>
  <c r="U9" i="10"/>
  <c r="AB9" i="10"/>
  <c r="AA9" i="10"/>
  <c r="Y9" i="10"/>
  <c r="Z9" i="10"/>
  <c r="X9" i="10"/>
  <c r="Z32" i="10"/>
  <c r="U32" i="10"/>
  <c r="AD32" i="10"/>
  <c r="AC32" i="10"/>
  <c r="V32" i="10"/>
  <c r="AB32" i="10"/>
  <c r="R12" i="10"/>
  <c r="S12" i="10" s="1"/>
  <c r="T12" i="10" s="1"/>
  <c r="R26" i="10"/>
  <c r="S26" i="10" s="1"/>
  <c r="T26" i="10" s="1"/>
  <c r="AB19" i="10"/>
  <c r="AA19" i="10"/>
  <c r="Z19" i="10"/>
  <c r="V19" i="10"/>
  <c r="U19" i="10"/>
  <c r="AD19" i="10"/>
  <c r="AC19" i="10"/>
  <c r="AA16" i="10"/>
  <c r="Z16" i="10"/>
  <c r="AD16" i="10"/>
  <c r="V16" i="10"/>
  <c r="AC16" i="10"/>
  <c r="AB16" i="10"/>
  <c r="U16" i="10"/>
  <c r="Y10" i="10"/>
  <c r="R20" i="10"/>
  <c r="S20" i="10" s="1"/>
  <c r="T20" i="10" s="1"/>
  <c r="R14" i="10"/>
  <c r="S14" i="10" s="1"/>
  <c r="T14" i="10" s="1"/>
  <c r="R27" i="10"/>
  <c r="S27" i="10" s="1"/>
  <c r="T27" i="10" s="1"/>
  <c r="AD23" i="10"/>
  <c r="V23" i="10"/>
  <c r="AC23" i="10"/>
  <c r="U23" i="10"/>
  <c r="AA23" i="10"/>
  <c r="Z23" i="10"/>
  <c r="AB23" i="10"/>
  <c r="Y23" i="10"/>
  <c r="X23" i="10"/>
  <c r="Y32" i="10"/>
  <c r="W23" i="10"/>
  <c r="W9" i="10"/>
  <c r="R28" i="10"/>
  <c r="S28" i="10" s="1"/>
  <c r="T28" i="10" s="1"/>
  <c r="R22" i="10"/>
  <c r="S22" i="10" s="1"/>
  <c r="T22" i="10" s="1"/>
  <c r="R35" i="10"/>
  <c r="S35" i="10" s="1"/>
  <c r="T35" i="10" s="1"/>
  <c r="X19" i="10"/>
  <c r="AA32" i="10"/>
  <c r="W16" i="10"/>
  <c r="R7" i="10"/>
  <c r="S7" i="10" s="1"/>
  <c r="T7" i="10" s="1"/>
  <c r="R36" i="10"/>
  <c r="S36" i="10" s="1"/>
  <c r="T36" i="10" s="1"/>
  <c r="AC30" i="10"/>
  <c r="U30" i="10"/>
  <c r="AB30" i="10"/>
  <c r="Z30" i="10"/>
  <c r="AD30" i="10"/>
  <c r="V30" i="10"/>
  <c r="X15" i="9"/>
  <c r="Z8" i="9"/>
  <c r="X8" i="9"/>
  <c r="V8" i="9"/>
  <c r="Y8" i="9"/>
  <c r="R21" i="9"/>
  <c r="S21" i="9" s="1"/>
  <c r="T21" i="9" s="1"/>
  <c r="Z21" i="9" s="1"/>
  <c r="AA16" i="9"/>
  <c r="X16" i="9"/>
  <c r="R18" i="9"/>
  <c r="S18" i="9" s="1"/>
  <c r="T18" i="9" s="1"/>
  <c r="AB18" i="9" s="1"/>
  <c r="AC16" i="9"/>
  <c r="R31" i="9"/>
  <c r="S31" i="9" s="1"/>
  <c r="T31" i="9" s="1"/>
  <c r="W31" i="9" s="1"/>
  <c r="U24" i="9"/>
  <c r="V16" i="9"/>
  <c r="R22" i="9"/>
  <c r="S22" i="9" s="1"/>
  <c r="V22" i="9" s="1"/>
  <c r="R12" i="9"/>
  <c r="S12" i="9" s="1"/>
  <c r="T12" i="9" s="1"/>
  <c r="AC12" i="9" s="1"/>
  <c r="AC24" i="9"/>
  <c r="AD16" i="9"/>
  <c r="R25" i="9"/>
  <c r="S25" i="9" s="1"/>
  <c r="T25" i="9" s="1"/>
  <c r="AB16" i="9"/>
  <c r="R28" i="9"/>
  <c r="S28" i="9" s="1"/>
  <c r="T28" i="9" s="1"/>
  <c r="Z28" i="9" s="1"/>
  <c r="R34" i="9"/>
  <c r="S34" i="9" s="1"/>
  <c r="T34" i="9" s="1"/>
  <c r="V34" i="9" s="1"/>
  <c r="AC22" i="9"/>
  <c r="X22" i="9"/>
  <c r="V28" i="9"/>
  <c r="U28" i="9"/>
  <c r="X28" i="9"/>
  <c r="AA28" i="9"/>
  <c r="W28" i="9"/>
  <c r="U12" i="9"/>
  <c r="AB11" i="9"/>
  <c r="V11" i="9"/>
  <c r="AA11" i="9"/>
  <c r="U11" i="9"/>
  <c r="Z11" i="9"/>
  <c r="Y11" i="9"/>
  <c r="AD11" i="9"/>
  <c r="AC11" i="9"/>
  <c r="X11" i="9"/>
  <c r="W11" i="9"/>
  <c r="AC14" i="9"/>
  <c r="U14" i="9"/>
  <c r="AD14" i="9"/>
  <c r="AB14" i="9"/>
  <c r="V14" i="9"/>
  <c r="AA14" i="9"/>
  <c r="Z14" i="9"/>
  <c r="Y14" i="9"/>
  <c r="W14" i="9"/>
  <c r="X14" i="9"/>
  <c r="AD17" i="9"/>
  <c r="V17" i="9"/>
  <c r="AC17" i="9"/>
  <c r="U17" i="9"/>
  <c r="W17" i="9"/>
  <c r="AB17" i="9"/>
  <c r="AA17" i="9"/>
  <c r="X17" i="9"/>
  <c r="Z17" i="9"/>
  <c r="Y17" i="9"/>
  <c r="AD25" i="9"/>
  <c r="V25" i="9"/>
  <c r="W25" i="9"/>
  <c r="AC25" i="9"/>
  <c r="U25" i="9"/>
  <c r="AB25" i="9"/>
  <c r="AA25" i="9"/>
  <c r="Z25" i="9"/>
  <c r="X25" i="9"/>
  <c r="Y25" i="9"/>
  <c r="AB19" i="9"/>
  <c r="U19" i="9"/>
  <c r="AA19" i="9"/>
  <c r="AC19" i="9"/>
  <c r="Z19" i="9"/>
  <c r="Y19" i="9"/>
  <c r="AD19" i="9"/>
  <c r="V19" i="9"/>
  <c r="W19" i="9"/>
  <c r="X19" i="9"/>
  <c r="Y20" i="9"/>
  <c r="AD20" i="9"/>
  <c r="V20" i="9"/>
  <c r="AC20" i="9"/>
  <c r="U20" i="9"/>
  <c r="AB20" i="9"/>
  <c r="AA20" i="9"/>
  <c r="X20" i="9"/>
  <c r="Z20" i="9"/>
  <c r="W20" i="9"/>
  <c r="AD21" i="9"/>
  <c r="U21" i="9"/>
  <c r="AC30" i="9"/>
  <c r="U30" i="9"/>
  <c r="V30" i="9"/>
  <c r="AB30" i="9"/>
  <c r="AD30" i="9"/>
  <c r="AA30" i="9"/>
  <c r="Z30" i="9"/>
  <c r="Y30" i="9"/>
  <c r="W30" i="9"/>
  <c r="X30" i="9"/>
  <c r="Z15" i="9"/>
  <c r="AD15" i="9"/>
  <c r="V15" i="9"/>
  <c r="AC15" i="9"/>
  <c r="U15" i="9"/>
  <c r="Y15" i="9"/>
  <c r="AB15" i="9"/>
  <c r="AA15" i="9"/>
  <c r="AB27" i="9"/>
  <c r="U27" i="9"/>
  <c r="AA27" i="9"/>
  <c r="Z27" i="9"/>
  <c r="Y27" i="9"/>
  <c r="AD27" i="9"/>
  <c r="V27" i="9"/>
  <c r="AC27" i="9"/>
  <c r="AD34" i="9"/>
  <c r="AC34" i="9"/>
  <c r="X36" i="9"/>
  <c r="AD36" i="9"/>
  <c r="V36" i="9"/>
  <c r="AC36" i="9"/>
  <c r="U36" i="9"/>
  <c r="AB36" i="9"/>
  <c r="Y36" i="9"/>
  <c r="AA36" i="9"/>
  <c r="Z36" i="9"/>
  <c r="Z13" i="9"/>
  <c r="AB13" i="9"/>
  <c r="AA13" i="9"/>
  <c r="Y13" i="9"/>
  <c r="AD13" i="9"/>
  <c r="V13" i="9"/>
  <c r="AC13" i="9"/>
  <c r="U13" i="9"/>
  <c r="AD31" i="9"/>
  <c r="V31" i="9"/>
  <c r="AC31" i="9"/>
  <c r="U31" i="9"/>
  <c r="AB31" i="9"/>
  <c r="AA31" i="9"/>
  <c r="Z31" i="9"/>
  <c r="Y31" i="9"/>
  <c r="AD9" i="9"/>
  <c r="V9" i="9"/>
  <c r="W9" i="9"/>
  <c r="AC9" i="9"/>
  <c r="U9" i="9"/>
  <c r="AB9" i="9"/>
  <c r="AA9" i="9"/>
  <c r="Z9" i="9"/>
  <c r="Y9" i="9"/>
  <c r="X9" i="9"/>
  <c r="Z18" i="9"/>
  <c r="R23" i="9"/>
  <c r="S23" i="9" s="1"/>
  <c r="T23" i="9" s="1"/>
  <c r="R7" i="9"/>
  <c r="S7" i="9" s="1"/>
  <c r="T7" i="9" s="1"/>
  <c r="W27" i="9"/>
  <c r="X31" i="9"/>
  <c r="W35" i="9"/>
  <c r="X27" i="9"/>
  <c r="X34" i="9"/>
  <c r="W34" i="9"/>
  <c r="R26" i="9"/>
  <c r="S26" i="9" s="1"/>
  <c r="T26" i="9" s="1"/>
  <c r="R10" i="9"/>
  <c r="S10" i="9" s="1"/>
  <c r="T10" i="9" s="1"/>
  <c r="AB35" i="9"/>
  <c r="AA35" i="9"/>
  <c r="Z35" i="9"/>
  <c r="Y35" i="9"/>
  <c r="AC35" i="9"/>
  <c r="V35" i="9"/>
  <c r="U35" i="9"/>
  <c r="AD35" i="9"/>
  <c r="Z29" i="9"/>
  <c r="Y29" i="9"/>
  <c r="AD29" i="9"/>
  <c r="V29" i="9"/>
  <c r="AA29" i="9"/>
  <c r="AC29" i="9"/>
  <c r="U29" i="9"/>
  <c r="AB29" i="9"/>
  <c r="R33" i="9"/>
  <c r="S33" i="9" s="1"/>
  <c r="W29" i="9"/>
  <c r="W13" i="9"/>
  <c r="X14" i="8"/>
  <c r="W14" i="8"/>
  <c r="R10" i="8"/>
  <c r="S10" i="8" s="1"/>
  <c r="T10" i="8" s="1"/>
  <c r="R15" i="8"/>
  <c r="S15" i="8" s="1"/>
  <c r="T15" i="8" s="1"/>
  <c r="AC15" i="8" s="1"/>
  <c r="X23" i="8"/>
  <c r="AC22" i="8"/>
  <c r="U22" i="8"/>
  <c r="AD22" i="8"/>
  <c r="AB22" i="8"/>
  <c r="AA22" i="8"/>
  <c r="Z22" i="8"/>
  <c r="Y22" i="8"/>
  <c r="V22" i="8"/>
  <c r="X22" i="8"/>
  <c r="W22" i="8"/>
  <c r="AB11" i="8"/>
  <c r="V11" i="8"/>
  <c r="AA11" i="8"/>
  <c r="Z11" i="8"/>
  <c r="Y11" i="8"/>
  <c r="AD11" i="8"/>
  <c r="AC11" i="8"/>
  <c r="U11" i="8"/>
  <c r="X11" i="8"/>
  <c r="W11" i="8"/>
  <c r="AB27" i="8"/>
  <c r="AA27" i="8"/>
  <c r="U27" i="8"/>
  <c r="Z27" i="8"/>
  <c r="AD27" i="8"/>
  <c r="AC27" i="8"/>
  <c r="Y27" i="8"/>
  <c r="V27" i="8"/>
  <c r="X27" i="8"/>
  <c r="W27" i="8"/>
  <c r="Z13" i="8"/>
  <c r="Y13" i="8"/>
  <c r="AB13" i="8"/>
  <c r="AA13" i="8"/>
  <c r="AD13" i="8"/>
  <c r="V13" i="8"/>
  <c r="AC13" i="8"/>
  <c r="U13" i="8"/>
  <c r="W13" i="8"/>
  <c r="X13" i="8"/>
  <c r="Z21" i="8"/>
  <c r="AB21" i="8"/>
  <c r="Y21" i="8"/>
  <c r="AA21" i="8"/>
  <c r="AD21" i="8"/>
  <c r="V21" i="8"/>
  <c r="AC21" i="8"/>
  <c r="U21" i="8"/>
  <c r="W21" i="8"/>
  <c r="X21" i="8"/>
  <c r="AC30" i="8"/>
  <c r="U30" i="8"/>
  <c r="AB30" i="8"/>
  <c r="V30" i="8"/>
  <c r="AA30" i="8"/>
  <c r="Z30" i="8"/>
  <c r="Y30" i="8"/>
  <c r="AD30" i="8"/>
  <c r="X30" i="8"/>
  <c r="W30" i="8"/>
  <c r="AD33" i="8"/>
  <c r="V33" i="8"/>
  <c r="AC33" i="8"/>
  <c r="U33" i="8"/>
  <c r="AB33" i="8"/>
  <c r="W33" i="8"/>
  <c r="AA33" i="8"/>
  <c r="Z33" i="8"/>
  <c r="Y33" i="8"/>
  <c r="X33" i="8"/>
  <c r="AD36" i="8"/>
  <c r="V36" i="8"/>
  <c r="AC36" i="8"/>
  <c r="U36" i="8"/>
  <c r="Y36" i="8"/>
  <c r="X36" i="8"/>
  <c r="AA36" i="8"/>
  <c r="AB36" i="8"/>
  <c r="Z36" i="8"/>
  <c r="W36" i="8"/>
  <c r="Z7" i="8"/>
  <c r="AD7" i="8"/>
  <c r="V7" i="8"/>
  <c r="AC7" i="8"/>
  <c r="U7" i="8"/>
  <c r="AB7" i="8"/>
  <c r="Y7" i="8"/>
  <c r="AA7" i="8"/>
  <c r="X19" i="8"/>
  <c r="AD9" i="8"/>
  <c r="V9" i="8"/>
  <c r="AC9" i="8"/>
  <c r="U9" i="8"/>
  <c r="AB9" i="8"/>
  <c r="AA9" i="8"/>
  <c r="Z9" i="8"/>
  <c r="W9" i="8"/>
  <c r="Y9" i="8"/>
  <c r="X9" i="8"/>
  <c r="Z29" i="8"/>
  <c r="AA29" i="8"/>
  <c r="Y29" i="8"/>
  <c r="AB29" i="8"/>
  <c r="AD29" i="8"/>
  <c r="V29" i="8"/>
  <c r="AC29" i="8"/>
  <c r="U29" i="8"/>
  <c r="AC14" i="8"/>
  <c r="U14" i="8"/>
  <c r="AD14" i="8"/>
  <c r="AB14" i="8"/>
  <c r="AA14" i="8"/>
  <c r="V14" i="8"/>
  <c r="Z14" i="8"/>
  <c r="Y14" i="8"/>
  <c r="Y26" i="8"/>
  <c r="AA26" i="8"/>
  <c r="AD26" i="8"/>
  <c r="V26" i="8"/>
  <c r="AC26" i="8"/>
  <c r="U26" i="8"/>
  <c r="Z26" i="8"/>
  <c r="AB26" i="8"/>
  <c r="Y10" i="8"/>
  <c r="Z10" i="8"/>
  <c r="AA10" i="8"/>
  <c r="AD10" i="8"/>
  <c r="V10" i="8"/>
  <c r="AC10" i="8"/>
  <c r="U10" i="8"/>
  <c r="AB10" i="8"/>
  <c r="Y12" i="8"/>
  <c r="X12" i="8"/>
  <c r="AD12" i="8"/>
  <c r="V12" i="8"/>
  <c r="AC12" i="8"/>
  <c r="U12" i="8"/>
  <c r="AB12" i="8"/>
  <c r="AA12" i="8"/>
  <c r="Z12" i="8"/>
  <c r="W7" i="8"/>
  <c r="X29" i="8"/>
  <c r="W29" i="8"/>
  <c r="AB35" i="8"/>
  <c r="AD35" i="8"/>
  <c r="AA35" i="8"/>
  <c r="Z35" i="8"/>
  <c r="Y35" i="8"/>
  <c r="V35" i="8"/>
  <c r="U35" i="8"/>
  <c r="AC35" i="8"/>
  <c r="Z23" i="8"/>
  <c r="Y23" i="8"/>
  <c r="AD23" i="8"/>
  <c r="V23" i="8"/>
  <c r="AC23" i="8"/>
  <c r="U23" i="8"/>
  <c r="AB23" i="8"/>
  <c r="AA23" i="8"/>
  <c r="X20" i="8"/>
  <c r="AD20" i="8"/>
  <c r="V20" i="8"/>
  <c r="AC20" i="8"/>
  <c r="U20" i="8"/>
  <c r="Y20" i="8"/>
  <c r="AB20" i="8"/>
  <c r="AA20" i="8"/>
  <c r="Z20" i="8"/>
  <c r="AD15" i="8"/>
  <c r="V15" i="8"/>
  <c r="AB15" i="8"/>
  <c r="AD28" i="8"/>
  <c r="V28" i="8"/>
  <c r="Y28" i="8"/>
  <c r="AC28" i="8"/>
  <c r="U28" i="8"/>
  <c r="AB28" i="8"/>
  <c r="AA28" i="8"/>
  <c r="X28" i="8"/>
  <c r="Z28" i="8"/>
  <c r="W28" i="8"/>
  <c r="X26" i="8"/>
  <c r="X10" i="8"/>
  <c r="AD25" i="8"/>
  <c r="V25" i="8"/>
  <c r="X25" i="8"/>
  <c r="AC25" i="8"/>
  <c r="U25" i="8"/>
  <c r="W25" i="8"/>
  <c r="AB25" i="8"/>
  <c r="AA25" i="8"/>
  <c r="Z25" i="8"/>
  <c r="Y25" i="8"/>
  <c r="AB19" i="8"/>
  <c r="AA19" i="8"/>
  <c r="AD19" i="8"/>
  <c r="AC19" i="8"/>
  <c r="Z19" i="8"/>
  <c r="V19" i="8"/>
  <c r="U19" i="8"/>
  <c r="Y19" i="8"/>
  <c r="AD17" i="8"/>
  <c r="V17" i="8"/>
  <c r="AC17" i="8"/>
  <c r="U17" i="8"/>
  <c r="X17" i="8"/>
  <c r="AB17" i="8"/>
  <c r="W17" i="8"/>
  <c r="AA17" i="8"/>
  <c r="Z17" i="8"/>
  <c r="Y17" i="8"/>
  <c r="R31" i="8"/>
  <c r="S31" i="8" s="1"/>
  <c r="T31" i="8" s="1"/>
  <c r="W26" i="8"/>
  <c r="W10" i="8"/>
  <c r="R34" i="8"/>
  <c r="S34" i="8" s="1"/>
  <c r="T34" i="8" s="1"/>
  <c r="R18" i="8"/>
  <c r="S18" i="8" s="1"/>
  <c r="T18" i="8" s="1"/>
  <c r="V8" i="7"/>
  <c r="AA34" i="7"/>
  <c r="AD16" i="7"/>
  <c r="AC16" i="7"/>
  <c r="X16" i="7"/>
  <c r="R30" i="7"/>
  <c r="S30" i="7" s="1"/>
  <c r="T30" i="7" s="1"/>
  <c r="AA30" i="7" s="1"/>
  <c r="Y32" i="7"/>
  <c r="W16" i="7"/>
  <c r="R18" i="7"/>
  <c r="S18" i="7" s="1"/>
  <c r="T18" i="7" s="1"/>
  <c r="W18" i="7" s="1"/>
  <c r="V16" i="7"/>
  <c r="X32" i="7"/>
  <c r="AA32" i="7"/>
  <c r="Y16" i="7"/>
  <c r="Z16" i="7"/>
  <c r="R27" i="7"/>
  <c r="S27" i="7" s="1"/>
  <c r="T27" i="7" s="1"/>
  <c r="X27" i="7" s="1"/>
  <c r="V34" i="7"/>
  <c r="Z32" i="7"/>
  <c r="AA16" i="7"/>
  <c r="R22" i="7"/>
  <c r="S22" i="7" s="1"/>
  <c r="T22" i="7" s="1"/>
  <c r="W22" i="7" s="1"/>
  <c r="R33" i="7"/>
  <c r="S33" i="7" s="1"/>
  <c r="AB33" i="7" s="1"/>
  <c r="AD32" i="7"/>
  <c r="R26" i="7"/>
  <c r="S26" i="7" s="1"/>
  <c r="T26" i="7" s="1"/>
  <c r="W26" i="7" s="1"/>
  <c r="AB16" i="7"/>
  <c r="R31" i="7"/>
  <c r="S31" i="7" s="1"/>
  <c r="AD31" i="7" s="1"/>
  <c r="R21" i="7"/>
  <c r="S21" i="7" s="1"/>
  <c r="T21" i="7" s="1"/>
  <c r="AD21" i="7" s="1"/>
  <c r="AC36" i="7"/>
  <c r="U36" i="7"/>
  <c r="AB36" i="7"/>
  <c r="AA36" i="7"/>
  <c r="X36" i="7"/>
  <c r="Y36" i="7"/>
  <c r="AD36" i="7"/>
  <c r="W36" i="7"/>
  <c r="V36" i="7"/>
  <c r="Z36" i="7"/>
  <c r="AB35" i="7"/>
  <c r="Y35" i="7"/>
  <c r="X35" i="7"/>
  <c r="AC35" i="7"/>
  <c r="U35" i="7"/>
  <c r="V35" i="7"/>
  <c r="W35" i="7"/>
  <c r="AD35" i="7"/>
  <c r="AA35" i="7"/>
  <c r="Z35" i="7"/>
  <c r="AC28" i="7"/>
  <c r="U28" i="7"/>
  <c r="AB28" i="7"/>
  <c r="AA28" i="7"/>
  <c r="X28" i="7"/>
  <c r="Y28" i="7"/>
  <c r="V28" i="7"/>
  <c r="AD28" i="7"/>
  <c r="W28" i="7"/>
  <c r="Z28" i="7"/>
  <c r="AB27" i="7"/>
  <c r="AA27" i="7"/>
  <c r="U27" i="7"/>
  <c r="AD25" i="7"/>
  <c r="V25" i="7"/>
  <c r="AC25" i="7"/>
  <c r="U25" i="7"/>
  <c r="AB25" i="7"/>
  <c r="AA25" i="7"/>
  <c r="Z25" i="7"/>
  <c r="Y25" i="7"/>
  <c r="W25" i="7"/>
  <c r="X25" i="7"/>
  <c r="V27" i="7"/>
  <c r="U30" i="7"/>
  <c r="X30" i="7"/>
  <c r="Z22" i="7"/>
  <c r="Z13" i="7"/>
  <c r="Y13" i="7"/>
  <c r="X13" i="7"/>
  <c r="AD13" i="7"/>
  <c r="V13" i="7"/>
  <c r="AC13" i="7"/>
  <c r="U13" i="7"/>
  <c r="AB13" i="7"/>
  <c r="AA13" i="7"/>
  <c r="Z31" i="7"/>
  <c r="Y18" i="7"/>
  <c r="X26" i="7"/>
  <c r="Z26" i="7"/>
  <c r="W20" i="7"/>
  <c r="AC20" i="7"/>
  <c r="U20" i="7"/>
  <c r="AB20" i="7"/>
  <c r="AA20" i="7"/>
  <c r="X20" i="7"/>
  <c r="Y20" i="7"/>
  <c r="AD20" i="7"/>
  <c r="R7" i="7"/>
  <c r="S7" i="7" s="1"/>
  <c r="T7" i="7" s="1"/>
  <c r="Z29" i="7"/>
  <c r="Y29" i="7"/>
  <c r="X29" i="7"/>
  <c r="AD29" i="7"/>
  <c r="V29" i="7"/>
  <c r="AC29" i="7"/>
  <c r="U29" i="7"/>
  <c r="AB29" i="7"/>
  <c r="AA29" i="7"/>
  <c r="V20" i="7"/>
  <c r="R11" i="7"/>
  <c r="S11" i="7" s="1"/>
  <c r="T11" i="7" s="1"/>
  <c r="R9" i="7"/>
  <c r="S9" i="7" s="1"/>
  <c r="T9" i="7" s="1"/>
  <c r="R15" i="7"/>
  <c r="S15" i="7" s="1"/>
  <c r="T15" i="7" s="1"/>
  <c r="Y8" i="7"/>
  <c r="X8" i="7"/>
  <c r="W8" i="7"/>
  <c r="AC8" i="7"/>
  <c r="U8" i="7"/>
  <c r="AA8" i="7"/>
  <c r="AB8" i="7"/>
  <c r="U22" i="7"/>
  <c r="Y22" i="7"/>
  <c r="X22" i="7"/>
  <c r="AB31" i="7"/>
  <c r="Y31" i="7"/>
  <c r="W12" i="7"/>
  <c r="AC12" i="7"/>
  <c r="U12" i="7"/>
  <c r="AA12" i="7"/>
  <c r="AB12" i="7"/>
  <c r="X12" i="7"/>
  <c r="Y12" i="7"/>
  <c r="AD33" i="7"/>
  <c r="V33" i="7"/>
  <c r="AC33" i="7"/>
  <c r="U33" i="7"/>
  <c r="Z33" i="7"/>
  <c r="AA33" i="7"/>
  <c r="Y33" i="7"/>
  <c r="W33" i="7"/>
  <c r="X33" i="7"/>
  <c r="Y34" i="7"/>
  <c r="X34" i="7"/>
  <c r="AC34" i="7"/>
  <c r="U34" i="7"/>
  <c r="AB34" i="7"/>
  <c r="Z34" i="7"/>
  <c r="Z27" i="7"/>
  <c r="V12" i="7"/>
  <c r="R19" i="7"/>
  <c r="S19" i="7" s="1"/>
  <c r="T19" i="7" s="1"/>
  <c r="R14" i="7"/>
  <c r="S14" i="7" s="1"/>
  <c r="T14" i="7" s="1"/>
  <c r="AD34" i="7"/>
  <c r="R17" i="7"/>
  <c r="S17" i="7" s="1"/>
  <c r="T17" i="7" s="1"/>
  <c r="R23" i="7"/>
  <c r="S23" i="7" s="1"/>
  <c r="T23" i="7" s="1"/>
  <c r="Z12" i="7"/>
  <c r="R10" i="7"/>
  <c r="S10" i="7" s="1"/>
  <c r="T10" i="7" s="1"/>
  <c r="U35" i="5"/>
  <c r="V35" i="5"/>
  <c r="Y35" i="5"/>
  <c r="X35" i="5"/>
  <c r="W35" i="5"/>
  <c r="AC35" i="5"/>
  <c r="AB35" i="5"/>
  <c r="AA35" i="5"/>
  <c r="Z35" i="5"/>
  <c r="AD35" i="5"/>
  <c r="U23" i="5"/>
  <c r="V23" i="5"/>
  <c r="AC23" i="5"/>
  <c r="AD23" i="5"/>
  <c r="W23" i="5"/>
  <c r="AA23" i="5"/>
  <c r="Z23" i="5"/>
  <c r="AB23" i="5"/>
  <c r="Y23" i="5"/>
  <c r="X23" i="5"/>
  <c r="U31" i="5"/>
  <c r="V31" i="5"/>
  <c r="W31" i="5"/>
  <c r="AA31" i="5"/>
  <c r="X31" i="5"/>
  <c r="Y31" i="5"/>
  <c r="AB31" i="5"/>
  <c r="AC31" i="5"/>
  <c r="AD31" i="5"/>
  <c r="Z31" i="5"/>
  <c r="W30" i="5"/>
  <c r="V30" i="5"/>
  <c r="X30" i="5"/>
  <c r="AC30" i="5"/>
  <c r="AB30" i="5"/>
  <c r="AA30" i="5"/>
  <c r="Y30" i="5"/>
  <c r="U30" i="5"/>
  <c r="AD30" i="5"/>
  <c r="Z30" i="5"/>
  <c r="Z32" i="5"/>
  <c r="AA32" i="5"/>
  <c r="AB32" i="5"/>
  <c r="Y32" i="5"/>
  <c r="AD32" i="5"/>
  <c r="AC32" i="5"/>
  <c r="W32" i="5"/>
  <c r="V32" i="5"/>
  <c r="U32" i="5"/>
  <c r="X32" i="5"/>
  <c r="Y33" i="5"/>
  <c r="X33" i="5"/>
  <c r="Z33" i="5"/>
  <c r="AC33" i="5"/>
  <c r="AB33" i="5"/>
  <c r="AA33" i="5"/>
  <c r="U33" i="5"/>
  <c r="W33" i="5"/>
  <c r="AD33" i="5"/>
  <c r="V33" i="5"/>
  <c r="Z7" i="5"/>
  <c r="AA7" i="5"/>
  <c r="Y7" i="5"/>
  <c r="AB7" i="5"/>
  <c r="AC7" i="5"/>
  <c r="V7" i="5"/>
  <c r="U7" i="5"/>
  <c r="X7" i="5"/>
  <c r="AD7" i="5"/>
  <c r="W7" i="5"/>
  <c r="V14" i="5"/>
  <c r="W14" i="5"/>
  <c r="X14" i="5"/>
  <c r="AD14" i="5"/>
  <c r="AA14" i="5"/>
  <c r="Z14" i="5"/>
  <c r="Y14" i="5"/>
  <c r="AC14" i="5"/>
  <c r="AB14" i="5"/>
  <c r="U14" i="5"/>
  <c r="V22" i="5"/>
  <c r="W22" i="5"/>
  <c r="X22" i="5"/>
  <c r="AA22" i="5"/>
  <c r="Z22" i="5"/>
  <c r="Y22" i="5"/>
  <c r="AC22" i="5"/>
  <c r="AD22" i="5"/>
  <c r="AB22" i="5"/>
  <c r="U22" i="5"/>
  <c r="V10" i="5"/>
  <c r="W10" i="5"/>
  <c r="X10" i="5"/>
  <c r="Y10" i="5"/>
  <c r="AC10" i="5"/>
  <c r="AB10" i="5"/>
  <c r="AD10" i="5"/>
  <c r="Z10" i="5"/>
  <c r="U10" i="5"/>
  <c r="AA10" i="5"/>
  <c r="V18" i="5"/>
  <c r="X18" i="5"/>
  <c r="W18" i="5"/>
  <c r="U18" i="5"/>
  <c r="Z18" i="5"/>
  <c r="AB18" i="5"/>
  <c r="AC18" i="5"/>
  <c r="AA18" i="5"/>
  <c r="Y18" i="5"/>
  <c r="AD18" i="5"/>
  <c r="U15" i="5"/>
  <c r="V15" i="5"/>
  <c r="Y15" i="5"/>
  <c r="X15" i="5"/>
  <c r="W15" i="5"/>
  <c r="AD15" i="5"/>
  <c r="AC15" i="5"/>
  <c r="AA15" i="5"/>
  <c r="Z15" i="5"/>
  <c r="AB15" i="5"/>
  <c r="Z36" i="5"/>
  <c r="AA36" i="5"/>
  <c r="AB36" i="5"/>
  <c r="AB12" i="5"/>
  <c r="Z12" i="5"/>
  <c r="AA12" i="5"/>
  <c r="AA20" i="5"/>
  <c r="AB20" i="5"/>
  <c r="Z20" i="5"/>
  <c r="V12" i="5"/>
  <c r="U19" i="5"/>
  <c r="V19" i="5"/>
  <c r="X17" i="5"/>
  <c r="Y17" i="5"/>
  <c r="Z17" i="5"/>
  <c r="AC12" i="5"/>
  <c r="W19" i="5"/>
  <c r="AA25" i="5"/>
  <c r="AD12" i="5"/>
  <c r="X19" i="5"/>
  <c r="AB25" i="5"/>
  <c r="AD26" i="5"/>
  <c r="U13" i="5"/>
  <c r="Y19" i="5"/>
  <c r="X8" i="5"/>
  <c r="V21" i="5"/>
  <c r="Z27" i="5"/>
  <c r="Y8" i="5"/>
  <c r="W21" i="5"/>
  <c r="AA27" i="5"/>
  <c r="AC8" i="5"/>
  <c r="V34" i="5"/>
  <c r="X34" i="5"/>
  <c r="W34" i="5"/>
  <c r="U26" i="5"/>
  <c r="U11" i="5"/>
  <c r="V11" i="5"/>
  <c r="AC11" i="5"/>
  <c r="AD13" i="5"/>
  <c r="Y20" i="5"/>
  <c r="Y25" i="5"/>
  <c r="X25" i="5"/>
  <c r="Z25" i="5"/>
  <c r="AA13" i="5"/>
  <c r="U20" i="5"/>
  <c r="Y26" i="5"/>
  <c r="AB13" i="5"/>
  <c r="V20" i="5"/>
  <c r="Z26" i="5"/>
  <c r="AD34" i="5"/>
  <c r="W20" i="5"/>
  <c r="AA26" i="5"/>
  <c r="V9" i="5"/>
  <c r="AD21" i="5"/>
  <c r="X28" i="5"/>
  <c r="AB34" i="5"/>
  <c r="AB19" i="5"/>
  <c r="W9" i="5"/>
  <c r="Y28" i="5"/>
  <c r="AC34" i="5"/>
  <c r="AD11" i="5"/>
  <c r="W11" i="5"/>
  <c r="AB8" i="5"/>
  <c r="Z8" i="5"/>
  <c r="AA8" i="5"/>
  <c r="U36" i="5"/>
  <c r="AA24" i="5"/>
  <c r="Z24" i="5"/>
  <c r="AB24" i="5"/>
  <c r="AC36" i="5"/>
  <c r="AD36" i="5"/>
  <c r="W24" i="5"/>
  <c r="X13" i="5"/>
  <c r="Y13" i="5"/>
  <c r="Z13" i="5"/>
  <c r="U12" i="5"/>
  <c r="AD8" i="5"/>
  <c r="Z29" i="5"/>
  <c r="X29" i="5"/>
  <c r="Y29" i="5"/>
  <c r="AA16" i="5"/>
  <c r="AB16" i="5"/>
  <c r="Z16" i="5"/>
  <c r="AC20" i="5"/>
  <c r="W27" i="5"/>
  <c r="AC19" i="5"/>
  <c r="AD20" i="5"/>
  <c r="X27" i="5"/>
  <c r="AC27" i="5"/>
  <c r="W8" i="5"/>
  <c r="Y27" i="5"/>
  <c r="X16" i="5"/>
  <c r="V29" i="5"/>
  <c r="Y16" i="5"/>
  <c r="W29" i="5"/>
  <c r="W36" i="5"/>
  <c r="Y9" i="5"/>
  <c r="X9" i="5"/>
  <c r="Z9" i="5"/>
  <c r="U24" i="5"/>
  <c r="AC24" i="5"/>
  <c r="W12" i="5"/>
  <c r="X20" i="5"/>
  <c r="X21" i="5"/>
  <c r="Z21" i="5"/>
  <c r="Y21" i="5"/>
  <c r="AA21" i="5"/>
  <c r="U28" i="5"/>
  <c r="Y34" i="5"/>
  <c r="AB21" i="5"/>
  <c r="V28" i="5"/>
  <c r="Z34" i="5"/>
  <c r="U9" i="5"/>
  <c r="AC21" i="5"/>
  <c r="AA34" i="5"/>
  <c r="V17" i="5"/>
  <c r="AD29" i="5"/>
  <c r="X36" i="5"/>
  <c r="W17" i="5"/>
  <c r="Y36" i="5"/>
  <c r="V36" i="5"/>
  <c r="V26" i="5"/>
  <c r="X26" i="5"/>
  <c r="W26" i="5"/>
  <c r="V24" i="5"/>
  <c r="AD24" i="5"/>
  <c r="AB26" i="5"/>
  <c r="U27" i="5"/>
  <c r="V27" i="5"/>
  <c r="AA28" i="5"/>
  <c r="Z28" i="5"/>
  <c r="AB28" i="5"/>
  <c r="U16" i="5"/>
  <c r="AC28" i="5"/>
  <c r="V16" i="5"/>
  <c r="AD28" i="5"/>
  <c r="AC9" i="5"/>
  <c r="W16" i="5"/>
  <c r="U29" i="5"/>
  <c r="Z11" i="5"/>
  <c r="AD17" i="5"/>
  <c r="X24" i="5"/>
  <c r="AA11" i="5"/>
  <c r="Y24" i="5"/>
  <c r="AA9" i="5"/>
  <c r="V8" i="5"/>
  <c r="C20" i="1"/>
  <c r="U16" i="1"/>
  <c r="V16" i="1" s="1"/>
  <c r="C79" i="1" s="1"/>
  <c r="E20" i="1"/>
  <c r="G20" i="1"/>
  <c r="E33" i="1"/>
  <c r="M33" i="1"/>
  <c r="I33" i="1"/>
  <c r="C33" i="1"/>
  <c r="O33" i="1"/>
  <c r="K33" i="1"/>
  <c r="I20" i="1"/>
  <c r="O20" i="1"/>
  <c r="M20" i="1"/>
  <c r="B79" i="1"/>
  <c r="Y71" i="1"/>
  <c r="Y14" i="20" l="1"/>
  <c r="Z14" i="20"/>
  <c r="AD14" i="20"/>
  <c r="V14" i="20"/>
  <c r="AC14" i="20"/>
  <c r="U14" i="20"/>
  <c r="AA14" i="20"/>
  <c r="AB14" i="20"/>
  <c r="X14" i="20"/>
  <c r="W14" i="20"/>
  <c r="Y23" i="20"/>
  <c r="AC23" i="20"/>
  <c r="U23" i="20"/>
  <c r="Z23" i="20"/>
  <c r="AB23" i="20"/>
  <c r="AA23" i="20"/>
  <c r="W23" i="20"/>
  <c r="X23" i="20"/>
  <c r="V23" i="20"/>
  <c r="AD23" i="20"/>
  <c r="AB24" i="20"/>
  <c r="AC24" i="20"/>
  <c r="AA24" i="20"/>
  <c r="Y24" i="20"/>
  <c r="AD24" i="20"/>
  <c r="V24" i="20"/>
  <c r="U24" i="20"/>
  <c r="W24" i="20"/>
  <c r="Z24" i="20"/>
  <c r="X24" i="20"/>
  <c r="AC20" i="20"/>
  <c r="U20" i="20"/>
  <c r="Z20" i="20"/>
  <c r="AB20" i="20"/>
  <c r="Y20" i="20"/>
  <c r="AA20" i="20"/>
  <c r="V20" i="20"/>
  <c r="W20" i="20"/>
  <c r="AD20" i="20"/>
  <c r="X20" i="20"/>
  <c r="Y34" i="20"/>
  <c r="Z34" i="20"/>
  <c r="AC34" i="20"/>
  <c r="U34" i="20"/>
  <c r="AB34" i="20"/>
  <c r="AA34" i="20"/>
  <c r="W34" i="20"/>
  <c r="AD34" i="20"/>
  <c r="V34" i="20"/>
  <c r="X34" i="20"/>
  <c r="AD13" i="20"/>
  <c r="V13" i="20"/>
  <c r="AC13" i="20"/>
  <c r="U13" i="20"/>
  <c r="AB13" i="20"/>
  <c r="AA13" i="20"/>
  <c r="Z13" i="20"/>
  <c r="W13" i="20"/>
  <c r="Y13" i="20"/>
  <c r="X13" i="20"/>
  <c r="Y30" i="20"/>
  <c r="AC30" i="20"/>
  <c r="U30" i="20"/>
  <c r="AB30" i="20"/>
  <c r="Z30" i="20"/>
  <c r="AA30" i="20"/>
  <c r="X30" i="20"/>
  <c r="AD30" i="20"/>
  <c r="V30" i="20"/>
  <c r="W30" i="20"/>
  <c r="AD22" i="20"/>
  <c r="V22" i="20"/>
  <c r="AC22" i="20"/>
  <c r="U22" i="20"/>
  <c r="W22" i="20"/>
  <c r="AB22" i="20"/>
  <c r="AA22" i="20"/>
  <c r="Z22" i="20"/>
  <c r="Y22" i="20"/>
  <c r="X22" i="20"/>
  <c r="AA30" i="19"/>
  <c r="Y30" i="19"/>
  <c r="U30" i="19"/>
  <c r="AC30" i="19"/>
  <c r="V30" i="19"/>
  <c r="Y21" i="19"/>
  <c r="X21" i="19"/>
  <c r="W12" i="19"/>
  <c r="C10" i="21" s="1"/>
  <c r="AD14" i="19"/>
  <c r="V14" i="19"/>
  <c r="AC14" i="19"/>
  <c r="U14" i="19"/>
  <c r="Y14" i="19"/>
  <c r="AB14" i="19"/>
  <c r="AA14" i="19"/>
  <c r="X14" i="19"/>
  <c r="W14" i="19"/>
  <c r="C12" i="21" s="1"/>
  <c r="Z14" i="19"/>
  <c r="W17" i="19"/>
  <c r="C15" i="21" s="1"/>
  <c r="AD17" i="19"/>
  <c r="V17" i="19"/>
  <c r="AC17" i="19"/>
  <c r="U17" i="19"/>
  <c r="AB17" i="19"/>
  <c r="AA17" i="19"/>
  <c r="X17" i="19"/>
  <c r="Z17" i="19"/>
  <c r="Y17" i="19"/>
  <c r="U28" i="18"/>
  <c r="AC28" i="18"/>
  <c r="AB28" i="18"/>
  <c r="X28" i="18"/>
  <c r="W28" i="18"/>
  <c r="AC12" i="18"/>
  <c r="V12" i="18"/>
  <c r="W12" i="18"/>
  <c r="AD12" i="18"/>
  <c r="Y12" i="18"/>
  <c r="AC37" i="18"/>
  <c r="U37" i="18"/>
  <c r="Z37" i="18"/>
  <c r="AA37" i="18"/>
  <c r="X37" i="18"/>
  <c r="V37" i="18"/>
  <c r="AD37" i="18"/>
  <c r="AB37" i="18"/>
  <c r="W37" i="18"/>
  <c r="Y37" i="18"/>
  <c r="AD14" i="18"/>
  <c r="V14" i="18"/>
  <c r="AC14" i="18"/>
  <c r="U14" i="18"/>
  <c r="AB14" i="18"/>
  <c r="AA14" i="18"/>
  <c r="Z14" i="18"/>
  <c r="Y14" i="18"/>
  <c r="X14" i="18"/>
  <c r="W14" i="18"/>
  <c r="AD33" i="18"/>
  <c r="V33" i="18"/>
  <c r="AC33" i="18"/>
  <c r="U33" i="18"/>
  <c r="AB33" i="18"/>
  <c r="AA33" i="18"/>
  <c r="Y33" i="18"/>
  <c r="Z33" i="18"/>
  <c r="X33" i="18"/>
  <c r="W33" i="18"/>
  <c r="Z17" i="18"/>
  <c r="AD17" i="18"/>
  <c r="V17" i="18"/>
  <c r="AC17" i="18"/>
  <c r="U17" i="18"/>
  <c r="AB17" i="18"/>
  <c r="AA17" i="18"/>
  <c r="X17" i="18"/>
  <c r="W17" i="18"/>
  <c r="Y17" i="18"/>
  <c r="X24" i="18"/>
  <c r="AB24" i="18"/>
  <c r="AD24" i="18"/>
  <c r="V24" i="18"/>
  <c r="AC24" i="18"/>
  <c r="U24" i="18"/>
  <c r="AA24" i="18"/>
  <c r="Z24" i="18"/>
  <c r="W24" i="18"/>
  <c r="Y24" i="18"/>
  <c r="AD8" i="18"/>
  <c r="V8" i="18"/>
  <c r="Z8" i="18"/>
  <c r="AC8" i="18"/>
  <c r="U8" i="18"/>
  <c r="AB8" i="18"/>
  <c r="AA8" i="18"/>
  <c r="X8" i="18"/>
  <c r="Y8" i="18"/>
  <c r="W8" i="18"/>
  <c r="Z30" i="16"/>
  <c r="X30" i="16"/>
  <c r="AA30" i="16"/>
  <c r="U30" i="16"/>
  <c r="W20" i="16"/>
  <c r="AD20" i="16"/>
  <c r="V20" i="16"/>
  <c r="AC20" i="16"/>
  <c r="U20" i="16"/>
  <c r="AB20" i="16"/>
  <c r="Z20" i="16"/>
  <c r="AA20" i="16"/>
  <c r="X20" i="16"/>
  <c r="Y20" i="16"/>
  <c r="U36" i="15"/>
  <c r="AA36" i="15"/>
  <c r="V36" i="15"/>
  <c r="X36" i="15"/>
  <c r="AD12" i="15"/>
  <c r="U12" i="15"/>
  <c r="AC12" i="15"/>
  <c r="V7" i="15"/>
  <c r="Y12" i="15"/>
  <c r="AC13" i="15"/>
  <c r="AB7" i="15"/>
  <c r="AD7" i="15"/>
  <c r="Z23" i="15"/>
  <c r="Y23" i="15"/>
  <c r="AD23" i="15"/>
  <c r="V23" i="15"/>
  <c r="AC23" i="15"/>
  <c r="U23" i="15"/>
  <c r="AA23" i="15"/>
  <c r="AB23" i="15"/>
  <c r="X23" i="15"/>
  <c r="W23" i="15"/>
  <c r="AC29" i="15"/>
  <c r="U29" i="15"/>
  <c r="X29" i="15"/>
  <c r="AA29" i="15"/>
  <c r="Z29" i="15"/>
  <c r="Y29" i="15"/>
  <c r="V29" i="15"/>
  <c r="AD29" i="15"/>
  <c r="W29" i="15"/>
  <c r="AB29" i="15"/>
  <c r="Y10" i="15"/>
  <c r="AC10" i="15"/>
  <c r="U10" i="15"/>
  <c r="AA10" i="15"/>
  <c r="Z10" i="15"/>
  <c r="V10" i="15"/>
  <c r="W10" i="15"/>
  <c r="AD10" i="15"/>
  <c r="AB10" i="15"/>
  <c r="X10" i="15"/>
  <c r="Z15" i="15"/>
  <c r="AD15" i="15"/>
  <c r="V15" i="15"/>
  <c r="AC15" i="15"/>
  <c r="U15" i="15"/>
  <c r="AA15" i="15"/>
  <c r="Y15" i="15"/>
  <c r="AB15" i="15"/>
  <c r="W15" i="15"/>
  <c r="X15" i="15"/>
  <c r="AD25" i="15"/>
  <c r="V25" i="15"/>
  <c r="X25" i="15"/>
  <c r="AC25" i="15"/>
  <c r="U25" i="15"/>
  <c r="W25" i="15"/>
  <c r="AB25" i="15"/>
  <c r="AA25" i="15"/>
  <c r="Z25" i="15"/>
  <c r="Y25" i="15"/>
  <c r="Y20" i="15"/>
  <c r="AC20" i="15"/>
  <c r="U20" i="15"/>
  <c r="X20" i="15"/>
  <c r="AA20" i="15"/>
  <c r="Z20" i="15"/>
  <c r="W20" i="15"/>
  <c r="V20" i="15"/>
  <c r="AD20" i="15"/>
  <c r="AB20" i="15"/>
  <c r="AD17" i="15"/>
  <c r="V17" i="15"/>
  <c r="AC17" i="15"/>
  <c r="U17" i="15"/>
  <c r="AB17" i="15"/>
  <c r="AA17" i="15"/>
  <c r="Z17" i="15"/>
  <c r="Y17" i="15"/>
  <c r="X17" i="15"/>
  <c r="W17" i="15"/>
  <c r="Y27" i="15"/>
  <c r="Z27" i="15"/>
  <c r="AC27" i="15"/>
  <c r="U27" i="15"/>
  <c r="AA27" i="15"/>
  <c r="X27" i="15"/>
  <c r="V27" i="15"/>
  <c r="AD27" i="15"/>
  <c r="W27" i="15"/>
  <c r="AB27" i="15"/>
  <c r="AB19" i="15"/>
  <c r="AD19" i="15"/>
  <c r="AA19" i="15"/>
  <c r="U19" i="15"/>
  <c r="Z19" i="15"/>
  <c r="Y19" i="15"/>
  <c r="V19" i="15"/>
  <c r="AC19" i="15"/>
  <c r="W19" i="15"/>
  <c r="X19" i="15"/>
  <c r="Z32" i="15"/>
  <c r="AD32" i="15"/>
  <c r="V32" i="15"/>
  <c r="Y32" i="15"/>
  <c r="AC32" i="15"/>
  <c r="U32" i="15"/>
  <c r="AA32" i="15"/>
  <c r="AB32" i="15"/>
  <c r="W32" i="15"/>
  <c r="X32" i="15"/>
  <c r="X37" i="15"/>
  <c r="AC37" i="15"/>
  <c r="U37" i="15"/>
  <c r="Y37" i="15"/>
  <c r="Z37" i="15"/>
  <c r="V37" i="15"/>
  <c r="AA37" i="15"/>
  <c r="AD37" i="15"/>
  <c r="W37" i="15"/>
  <c r="AB37" i="15"/>
  <c r="AB11" i="15"/>
  <c r="AA11" i="15"/>
  <c r="Z11" i="15"/>
  <c r="V11" i="15"/>
  <c r="AC11" i="15"/>
  <c r="Y11" i="15"/>
  <c r="AD11" i="15"/>
  <c r="U11" i="15"/>
  <c r="W11" i="15"/>
  <c r="X11" i="15"/>
  <c r="AD34" i="15"/>
  <c r="V34" i="15"/>
  <c r="AC34" i="15"/>
  <c r="U34" i="15"/>
  <c r="AB34" i="15"/>
  <c r="W34" i="15"/>
  <c r="AA34" i="15"/>
  <c r="Z34" i="15"/>
  <c r="Y34" i="15"/>
  <c r="X34" i="15"/>
  <c r="X32" i="13"/>
  <c r="Y32" i="13"/>
  <c r="V32" i="13"/>
  <c r="AD30" i="13"/>
  <c r="W30" i="13"/>
  <c r="U32" i="13"/>
  <c r="Z30" i="13"/>
  <c r="Y30" i="13"/>
  <c r="X30" i="13"/>
  <c r="W32" i="13"/>
  <c r="AC32" i="13"/>
  <c r="AD32" i="13"/>
  <c r="V35" i="13"/>
  <c r="AD35" i="13"/>
  <c r="V34" i="13"/>
  <c r="X34" i="13"/>
  <c r="AB32" i="13"/>
  <c r="Z32" i="13"/>
  <c r="Y24" i="13"/>
  <c r="Z24" i="13"/>
  <c r="AA36" i="13"/>
  <c r="AD18" i="13"/>
  <c r="AA10" i="13"/>
  <c r="X13" i="13"/>
  <c r="X35" i="13"/>
  <c r="U14" i="13"/>
  <c r="AD20" i="13"/>
  <c r="X18" i="13"/>
  <c r="U10" i="13"/>
  <c r="Z13" i="13"/>
  <c r="Z35" i="13"/>
  <c r="Y20" i="13"/>
  <c r="AA16" i="13"/>
  <c r="Z18" i="13"/>
  <c r="W35" i="13"/>
  <c r="Z20" i="13"/>
  <c r="AA18" i="13"/>
  <c r="AC29" i="13"/>
  <c r="Y35" i="13"/>
  <c r="AB35" i="13"/>
  <c r="U16" i="13"/>
  <c r="AC16" i="13"/>
  <c r="U29" i="13"/>
  <c r="AA35" i="13"/>
  <c r="Y18" i="13"/>
  <c r="AA20" i="13"/>
  <c r="AB18" i="13"/>
  <c r="U35" i="13"/>
  <c r="Z16" i="13"/>
  <c r="W16" i="13"/>
  <c r="Y33" i="13"/>
  <c r="AB20" i="13"/>
  <c r="U18" i="13"/>
  <c r="AD21" i="13"/>
  <c r="AB16" i="13"/>
  <c r="X16" i="13"/>
  <c r="AC14" i="13"/>
  <c r="Z29" i="13"/>
  <c r="AC10" i="13"/>
  <c r="Y10" i="13"/>
  <c r="AB10" i="13"/>
  <c r="V10" i="13"/>
  <c r="W10" i="13"/>
  <c r="AA29" i="13"/>
  <c r="AD10" i="13"/>
  <c r="W13" i="13"/>
  <c r="Z27" i="13"/>
  <c r="Y29" i="13"/>
  <c r="V14" i="13"/>
  <c r="AB29" i="13"/>
  <c r="X10" i="13"/>
  <c r="Y13" i="13"/>
  <c r="U21" i="13"/>
  <c r="Z14" i="13"/>
  <c r="X29" i="13"/>
  <c r="U13" i="13"/>
  <c r="AC9" i="13"/>
  <c r="AB17" i="13"/>
  <c r="AA25" i="13"/>
  <c r="AB14" i="13"/>
  <c r="AD9" i="13"/>
  <c r="AD34" i="13"/>
  <c r="AD7" i="13"/>
  <c r="U17" i="13"/>
  <c r="AB21" i="13"/>
  <c r="U25" i="13"/>
  <c r="AD14" i="13"/>
  <c r="Y34" i="13"/>
  <c r="Z34" i="13"/>
  <c r="Y7" i="13"/>
  <c r="X17" i="13"/>
  <c r="AD17" i="13"/>
  <c r="W19" i="13"/>
  <c r="X21" i="13"/>
  <c r="AC17" i="13"/>
  <c r="W36" i="13"/>
  <c r="AB34" i="13"/>
  <c r="V17" i="13"/>
  <c r="AC25" i="13"/>
  <c r="X9" i="13"/>
  <c r="AA34" i="13"/>
  <c r="U7" i="13"/>
  <c r="Y17" i="13"/>
  <c r="X11" i="13"/>
  <c r="W25" i="13"/>
  <c r="V25" i="13"/>
  <c r="X14" i="13"/>
  <c r="Z9" i="13"/>
  <c r="U34" i="13"/>
  <c r="AC7" i="13"/>
  <c r="Z17" i="13"/>
  <c r="W33" i="13"/>
  <c r="W7" i="13"/>
  <c r="W17" i="13"/>
  <c r="X25" i="13"/>
  <c r="AB9" i="13"/>
  <c r="AC34" i="13"/>
  <c r="AA7" i="13"/>
  <c r="AB27" i="13"/>
  <c r="X19" i="13"/>
  <c r="Y19" i="13"/>
  <c r="AA19" i="13"/>
  <c r="AA13" i="13"/>
  <c r="U19" i="13"/>
  <c r="AB19" i="13"/>
  <c r="Z19" i="13"/>
  <c r="V13" i="13"/>
  <c r="AC19" i="13"/>
  <c r="W15" i="13"/>
  <c r="V29" i="13"/>
  <c r="Z7" i="13"/>
  <c r="AD13" i="13"/>
  <c r="V19" i="13"/>
  <c r="AC15" i="13"/>
  <c r="AD27" i="13"/>
  <c r="AD29" i="13"/>
  <c r="AC13" i="13"/>
  <c r="X15" i="13"/>
  <c r="U27" i="13"/>
  <c r="Y27" i="13"/>
  <c r="AA9" i="13"/>
  <c r="AC27" i="13"/>
  <c r="Z31" i="13"/>
  <c r="Y9" i="13"/>
  <c r="V27" i="13"/>
  <c r="Z21" i="13"/>
  <c r="AB31" i="13"/>
  <c r="U31" i="13"/>
  <c r="U9" i="13"/>
  <c r="X27" i="13"/>
  <c r="AB15" i="13"/>
  <c r="Y21" i="13"/>
  <c r="V31" i="13"/>
  <c r="W9" i="13"/>
  <c r="AA27" i="13"/>
  <c r="V15" i="13"/>
  <c r="AC21" i="13"/>
  <c r="Y23" i="13"/>
  <c r="X23" i="13"/>
  <c r="AC31" i="13"/>
  <c r="AA15" i="13"/>
  <c r="Z11" i="13"/>
  <c r="Z23" i="13"/>
  <c r="AD31" i="13"/>
  <c r="Y15" i="13"/>
  <c r="Y11" i="13"/>
  <c r="AA11" i="13"/>
  <c r="AB23" i="13"/>
  <c r="AA21" i="13"/>
  <c r="Y31" i="13"/>
  <c r="X31" i="13"/>
  <c r="Z15" i="13"/>
  <c r="AC11" i="13"/>
  <c r="AB11" i="13"/>
  <c r="U23" i="13"/>
  <c r="U11" i="13"/>
  <c r="AC23" i="13"/>
  <c r="AA31" i="13"/>
  <c r="U15" i="13"/>
  <c r="V11" i="13"/>
  <c r="V23" i="13"/>
  <c r="W11" i="13"/>
  <c r="AA23" i="13"/>
  <c r="W23" i="13"/>
  <c r="Z36" i="13"/>
  <c r="U36" i="13"/>
  <c r="AC36" i="13"/>
  <c r="V36" i="13"/>
  <c r="AD36" i="13"/>
  <c r="X36" i="13"/>
  <c r="AB36" i="13"/>
  <c r="Z12" i="13"/>
  <c r="AD12" i="13"/>
  <c r="V12" i="13"/>
  <c r="AC12" i="13"/>
  <c r="U12" i="13"/>
  <c r="AB12" i="13"/>
  <c r="AA12" i="13"/>
  <c r="X12" i="13"/>
  <c r="Y12" i="13"/>
  <c r="W12" i="13"/>
  <c r="Z28" i="13"/>
  <c r="AD28" i="13"/>
  <c r="V28" i="13"/>
  <c r="AC28" i="13"/>
  <c r="U28" i="13"/>
  <c r="AB28" i="13"/>
  <c r="X28" i="13"/>
  <c r="Y28" i="13"/>
  <c r="W28" i="13"/>
  <c r="AA33" i="11"/>
  <c r="AA36" i="11"/>
  <c r="AD13" i="11"/>
  <c r="AB33" i="11"/>
  <c r="W33" i="11"/>
  <c r="AB36" i="11"/>
  <c r="Y13" i="11"/>
  <c r="U33" i="11"/>
  <c r="U36" i="11"/>
  <c r="W13" i="11"/>
  <c r="AA13" i="11"/>
  <c r="AC33" i="11"/>
  <c r="AC36" i="11"/>
  <c r="AB13" i="11"/>
  <c r="Z13" i="11"/>
  <c r="Y33" i="11"/>
  <c r="V33" i="11"/>
  <c r="Z33" i="11"/>
  <c r="V23" i="11"/>
  <c r="AD23" i="11"/>
  <c r="Y23" i="11"/>
  <c r="AC23" i="11"/>
  <c r="U23" i="11"/>
  <c r="Z23" i="11"/>
  <c r="AB23" i="11"/>
  <c r="AA23" i="11"/>
  <c r="W23" i="11"/>
  <c r="X23" i="11"/>
  <c r="Y18" i="11"/>
  <c r="AD18" i="11"/>
  <c r="V18" i="11"/>
  <c r="Z18" i="11"/>
  <c r="AC18" i="11"/>
  <c r="U18" i="11"/>
  <c r="AA18" i="11"/>
  <c r="AB18" i="11"/>
  <c r="W18" i="11"/>
  <c r="X18" i="11"/>
  <c r="Y34" i="11"/>
  <c r="Z34" i="11"/>
  <c r="AD34" i="11"/>
  <c r="V34" i="11"/>
  <c r="AA34" i="11"/>
  <c r="AC34" i="11"/>
  <c r="U34" i="11"/>
  <c r="AB34" i="11"/>
  <c r="W34" i="11"/>
  <c r="X34" i="11"/>
  <c r="V15" i="11"/>
  <c r="Y15" i="11"/>
  <c r="AD15" i="11"/>
  <c r="AC15" i="11"/>
  <c r="U15" i="11"/>
  <c r="AB15" i="11"/>
  <c r="AA15" i="11"/>
  <c r="Z15" i="11"/>
  <c r="W15" i="11"/>
  <c r="X15" i="11"/>
  <c r="AD31" i="11"/>
  <c r="V31" i="11"/>
  <c r="AC31" i="11"/>
  <c r="U31" i="11"/>
  <c r="Y31" i="11"/>
  <c r="AB31" i="11"/>
  <c r="AA31" i="11"/>
  <c r="Z31" i="11"/>
  <c r="W31" i="11"/>
  <c r="X31" i="11"/>
  <c r="AD25" i="11"/>
  <c r="V25" i="11"/>
  <c r="AC25" i="11"/>
  <c r="U25" i="11"/>
  <c r="AB25" i="11"/>
  <c r="AA25" i="11"/>
  <c r="Z25" i="11"/>
  <c r="W25" i="11"/>
  <c r="Y25" i="11"/>
  <c r="X25" i="11"/>
  <c r="AD7" i="11"/>
  <c r="V7" i="11"/>
  <c r="AC7" i="11"/>
  <c r="U7" i="11"/>
  <c r="AB7" i="11"/>
  <c r="Z7" i="11"/>
  <c r="AA7" i="11"/>
  <c r="Y7" i="11"/>
  <c r="W7" i="11"/>
  <c r="X7" i="11"/>
  <c r="Y10" i="11"/>
  <c r="AA10" i="11"/>
  <c r="AD10" i="11"/>
  <c r="V10" i="11"/>
  <c r="AC10" i="11"/>
  <c r="U10" i="11"/>
  <c r="AB10" i="11"/>
  <c r="Z10" i="11"/>
  <c r="X10" i="11"/>
  <c r="W10" i="11"/>
  <c r="AD28" i="11"/>
  <c r="V28" i="11"/>
  <c r="AC28" i="11"/>
  <c r="U28" i="11"/>
  <c r="AB28" i="11"/>
  <c r="X28" i="11"/>
  <c r="AA28" i="11"/>
  <c r="Y28" i="11"/>
  <c r="Z28" i="11"/>
  <c r="W28" i="11"/>
  <c r="Y26" i="11"/>
  <c r="AD26" i="11"/>
  <c r="V26" i="11"/>
  <c r="AC26" i="11"/>
  <c r="U26" i="11"/>
  <c r="AB26" i="11"/>
  <c r="AA26" i="11"/>
  <c r="Z26" i="11"/>
  <c r="W26" i="11"/>
  <c r="X26" i="11"/>
  <c r="AC15" i="10"/>
  <c r="AC21" i="10"/>
  <c r="V15" i="10"/>
  <c r="U17" i="10"/>
  <c r="Y21" i="10"/>
  <c r="U21" i="10"/>
  <c r="X29" i="10"/>
  <c r="AB29" i="10"/>
  <c r="Y15" i="10"/>
  <c r="W15" i="10"/>
  <c r="AA15" i="10"/>
  <c r="Y17" i="10"/>
  <c r="AB21" i="10"/>
  <c r="AC25" i="10"/>
  <c r="Z29" i="10"/>
  <c r="AA21" i="10"/>
  <c r="U29" i="10"/>
  <c r="AB15" i="10"/>
  <c r="X15" i="10"/>
  <c r="W29" i="10"/>
  <c r="V13" i="10"/>
  <c r="AA29" i="10"/>
  <c r="AB13" i="10"/>
  <c r="AD13" i="10"/>
  <c r="V29" i="10"/>
  <c r="AC13" i="10"/>
  <c r="AD29" i="10"/>
  <c r="X13" i="10"/>
  <c r="Z31" i="10"/>
  <c r="AD31" i="10"/>
  <c r="V31" i="10"/>
  <c r="AC31" i="10"/>
  <c r="U31" i="10"/>
  <c r="AA31" i="10"/>
  <c r="AB31" i="10"/>
  <c r="Y31" i="10"/>
  <c r="W31" i="10"/>
  <c r="X31" i="10"/>
  <c r="AB35" i="10"/>
  <c r="Z35" i="10"/>
  <c r="AD35" i="10"/>
  <c r="V35" i="10"/>
  <c r="U35" i="10"/>
  <c r="AC35" i="10"/>
  <c r="Y35" i="10"/>
  <c r="W35" i="10"/>
  <c r="X35" i="10"/>
  <c r="AA35" i="10"/>
  <c r="AC14" i="10"/>
  <c r="U14" i="10"/>
  <c r="AB14" i="10"/>
  <c r="AA14" i="10"/>
  <c r="Z14" i="10"/>
  <c r="AD14" i="10"/>
  <c r="V14" i="10"/>
  <c r="X14" i="10"/>
  <c r="Y14" i="10"/>
  <c r="W14" i="10"/>
  <c r="AB34" i="10"/>
  <c r="AD34" i="10"/>
  <c r="V34" i="10"/>
  <c r="AA34" i="10"/>
  <c r="AC34" i="10"/>
  <c r="U34" i="10"/>
  <c r="Z34" i="10"/>
  <c r="Y34" i="10"/>
  <c r="X34" i="10"/>
  <c r="W34" i="10"/>
  <c r="AC22" i="10"/>
  <c r="U22" i="10"/>
  <c r="AB22" i="10"/>
  <c r="Z22" i="10"/>
  <c r="AD22" i="10"/>
  <c r="V22" i="10"/>
  <c r="X22" i="10"/>
  <c r="AA22" i="10"/>
  <c r="W22" i="10"/>
  <c r="Y22" i="10"/>
  <c r="AD20" i="10"/>
  <c r="V20" i="10"/>
  <c r="Y20" i="10"/>
  <c r="AC20" i="10"/>
  <c r="U20" i="10"/>
  <c r="AB20" i="10"/>
  <c r="Z20" i="10"/>
  <c r="X20" i="10"/>
  <c r="AA20" i="10"/>
  <c r="W20" i="10"/>
  <c r="AB27" i="10"/>
  <c r="AD27" i="10"/>
  <c r="Z27" i="10"/>
  <c r="V27" i="10"/>
  <c r="AC27" i="10"/>
  <c r="U27" i="10"/>
  <c r="W27" i="10"/>
  <c r="Y27" i="10"/>
  <c r="X27" i="10"/>
  <c r="AA27" i="10"/>
  <c r="AD28" i="10"/>
  <c r="V28" i="10"/>
  <c r="AC28" i="10"/>
  <c r="U28" i="10"/>
  <c r="AB28" i="10"/>
  <c r="Z28" i="10"/>
  <c r="Y28" i="10"/>
  <c r="X28" i="10"/>
  <c r="AA28" i="10"/>
  <c r="W28" i="10"/>
  <c r="AA26" i="10"/>
  <c r="AD26" i="10"/>
  <c r="V26" i="10"/>
  <c r="AC26" i="10"/>
  <c r="U26" i="10"/>
  <c r="AB26" i="10"/>
  <c r="Z26" i="10"/>
  <c r="Y26" i="10"/>
  <c r="W26" i="10"/>
  <c r="X26" i="10"/>
  <c r="AD18" i="10"/>
  <c r="V18" i="10"/>
  <c r="AC18" i="10"/>
  <c r="U18" i="10"/>
  <c r="AB18" i="10"/>
  <c r="AA18" i="10"/>
  <c r="Z18" i="10"/>
  <c r="X18" i="10"/>
  <c r="W18" i="10"/>
  <c r="Y18" i="10"/>
  <c r="Y36" i="10"/>
  <c r="AD36" i="10"/>
  <c r="V36" i="10"/>
  <c r="Z36" i="10"/>
  <c r="AC36" i="10"/>
  <c r="U36" i="10"/>
  <c r="AB36" i="10"/>
  <c r="X36" i="10"/>
  <c r="W36" i="10"/>
  <c r="AA36" i="10"/>
  <c r="AD12" i="10"/>
  <c r="V12" i="10"/>
  <c r="AC12" i="10"/>
  <c r="U12" i="10"/>
  <c r="Z12" i="10"/>
  <c r="AB12" i="10"/>
  <c r="AA12" i="10"/>
  <c r="Y12" i="10"/>
  <c r="X12" i="10"/>
  <c r="W12" i="10"/>
  <c r="AA7" i="10"/>
  <c r="AD7" i="10"/>
  <c r="V7" i="10"/>
  <c r="AC7" i="10"/>
  <c r="U7" i="10"/>
  <c r="AB7" i="10"/>
  <c r="Z7" i="10"/>
  <c r="Y7" i="10"/>
  <c r="X7" i="10"/>
  <c r="W7" i="10"/>
  <c r="U18" i="9"/>
  <c r="AC21" i="9"/>
  <c r="AD22" i="9"/>
  <c r="AC18" i="9"/>
  <c r="V21" i="9"/>
  <c r="AB28" i="9"/>
  <c r="U22" i="9"/>
  <c r="V18" i="9"/>
  <c r="AB21" i="9"/>
  <c r="AC28" i="9"/>
  <c r="W18" i="9"/>
  <c r="AD18" i="9"/>
  <c r="AA21" i="9"/>
  <c r="Y18" i="9"/>
  <c r="X21" i="9"/>
  <c r="Y21" i="9"/>
  <c r="Y28" i="9"/>
  <c r="AD28" i="9"/>
  <c r="AA18" i="9"/>
  <c r="X18" i="9"/>
  <c r="W21" i="9"/>
  <c r="W22" i="9"/>
  <c r="Y34" i="9"/>
  <c r="V12" i="9"/>
  <c r="Y22" i="9"/>
  <c r="Z34" i="9"/>
  <c r="W12" i="9"/>
  <c r="AD12" i="9"/>
  <c r="Z22" i="9"/>
  <c r="AA34" i="9"/>
  <c r="Z12" i="9"/>
  <c r="Y12" i="9"/>
  <c r="AA22" i="9"/>
  <c r="AB34" i="9"/>
  <c r="AA12" i="9"/>
  <c r="AB22" i="9"/>
  <c r="X12" i="9"/>
  <c r="U34" i="9"/>
  <c r="AB12" i="9"/>
  <c r="AD33" i="9"/>
  <c r="V33" i="9"/>
  <c r="AC33" i="9"/>
  <c r="U33" i="9"/>
  <c r="AB33" i="9"/>
  <c r="AA33" i="9"/>
  <c r="Z33" i="9"/>
  <c r="W33" i="9"/>
  <c r="Y33" i="9"/>
  <c r="X33" i="9"/>
  <c r="Y10" i="9"/>
  <c r="AD10" i="9"/>
  <c r="V10" i="9"/>
  <c r="Z10" i="9"/>
  <c r="AC10" i="9"/>
  <c r="U10" i="9"/>
  <c r="AA10" i="9"/>
  <c r="AB10" i="9"/>
  <c r="W10" i="9"/>
  <c r="X10" i="9"/>
  <c r="Y26" i="9"/>
  <c r="Z26" i="9"/>
  <c r="AD26" i="9"/>
  <c r="V26" i="9"/>
  <c r="AC26" i="9"/>
  <c r="U26" i="9"/>
  <c r="AA26" i="9"/>
  <c r="AB26" i="9"/>
  <c r="W26" i="9"/>
  <c r="X26" i="9"/>
  <c r="Y7" i="9"/>
  <c r="AD7" i="9"/>
  <c r="V7" i="9"/>
  <c r="AC7" i="9"/>
  <c r="U7" i="9"/>
  <c r="AB7" i="9"/>
  <c r="Z7" i="9"/>
  <c r="AA7" i="9"/>
  <c r="X7" i="9"/>
  <c r="W7" i="9"/>
  <c r="Y23" i="9"/>
  <c r="AD23" i="9"/>
  <c r="V23" i="9"/>
  <c r="AC23" i="9"/>
  <c r="U23" i="9"/>
  <c r="Z23" i="9"/>
  <c r="AB23" i="9"/>
  <c r="AA23" i="9"/>
  <c r="X23" i="9"/>
  <c r="W23" i="9"/>
  <c r="Z15" i="8"/>
  <c r="AA15" i="8"/>
  <c r="U15" i="8"/>
  <c r="W15" i="8"/>
  <c r="X15" i="8"/>
  <c r="Y15" i="8"/>
  <c r="Y18" i="8"/>
  <c r="AA18" i="8"/>
  <c r="Z18" i="8"/>
  <c r="AD18" i="8"/>
  <c r="V18" i="8"/>
  <c r="AC18" i="8"/>
  <c r="U18" i="8"/>
  <c r="AB18" i="8"/>
  <c r="W18" i="8"/>
  <c r="X18" i="8"/>
  <c r="Y34" i="8"/>
  <c r="AC34" i="8"/>
  <c r="U34" i="8"/>
  <c r="AA34" i="8"/>
  <c r="Z34" i="8"/>
  <c r="V34" i="8"/>
  <c r="AB34" i="8"/>
  <c r="W34" i="8"/>
  <c r="AD34" i="8"/>
  <c r="X34" i="8"/>
  <c r="AD31" i="8"/>
  <c r="V31" i="8"/>
  <c r="Z31" i="8"/>
  <c r="Y31" i="8"/>
  <c r="AC31" i="8"/>
  <c r="U31" i="8"/>
  <c r="AB31" i="8"/>
  <c r="AA31" i="8"/>
  <c r="X31" i="8"/>
  <c r="W31" i="8"/>
  <c r="Y26" i="7"/>
  <c r="W30" i="7"/>
  <c r="Y30" i="7"/>
  <c r="W21" i="7"/>
  <c r="AA31" i="7"/>
  <c r="Z30" i="7"/>
  <c r="AD18" i="7"/>
  <c r="AA18" i="7"/>
  <c r="W31" i="7"/>
  <c r="AB30" i="7"/>
  <c r="AB21" i="7"/>
  <c r="Z18" i="7"/>
  <c r="V18" i="7"/>
  <c r="AB18" i="7"/>
  <c r="AD26" i="7"/>
  <c r="AB26" i="7"/>
  <c r="AC18" i="7"/>
  <c r="AC21" i="7"/>
  <c r="AA21" i="7"/>
  <c r="AA26" i="7"/>
  <c r="U21" i="7"/>
  <c r="U31" i="7"/>
  <c r="AC31" i="7"/>
  <c r="U26" i="7"/>
  <c r="U18" i="7"/>
  <c r="AD30" i="7"/>
  <c r="Y21" i="7"/>
  <c r="V26" i="7"/>
  <c r="AC30" i="7"/>
  <c r="V31" i="7"/>
  <c r="X31" i="7"/>
  <c r="AC26" i="7"/>
  <c r="X18" i="7"/>
  <c r="V30" i="7"/>
  <c r="Z21" i="7"/>
  <c r="AA22" i="7"/>
  <c r="AB22" i="7"/>
  <c r="AD27" i="7"/>
  <c r="AC22" i="7"/>
  <c r="AC27" i="7"/>
  <c r="V21" i="7"/>
  <c r="AD22" i="7"/>
  <c r="W27" i="7"/>
  <c r="Y27" i="7"/>
  <c r="X21" i="7"/>
  <c r="V22" i="7"/>
  <c r="X23" i="7"/>
  <c r="AB23" i="7"/>
  <c r="AC23" i="7"/>
  <c r="U23" i="7"/>
  <c r="AA23" i="7"/>
  <c r="Y23" i="7"/>
  <c r="V23" i="7"/>
  <c r="W23" i="7"/>
  <c r="AD23" i="7"/>
  <c r="Z23" i="7"/>
  <c r="AA11" i="7"/>
  <c r="X11" i="7"/>
  <c r="Y11" i="7"/>
  <c r="AB11" i="7"/>
  <c r="U11" i="7"/>
  <c r="AC11" i="7"/>
  <c r="AD11" i="7"/>
  <c r="V11" i="7"/>
  <c r="Z11" i="7"/>
  <c r="W11" i="7"/>
  <c r="X10" i="7"/>
  <c r="AC10" i="7"/>
  <c r="U10" i="7"/>
  <c r="AB10" i="7"/>
  <c r="AA10" i="7"/>
  <c r="Z10" i="7"/>
  <c r="Y10" i="7"/>
  <c r="V10" i="7"/>
  <c r="AD10" i="7"/>
  <c r="W10" i="7"/>
  <c r="X15" i="7"/>
  <c r="AB15" i="7"/>
  <c r="AC15" i="7"/>
  <c r="U15" i="7"/>
  <c r="Y15" i="7"/>
  <c r="AA15" i="7"/>
  <c r="AD15" i="7"/>
  <c r="Z15" i="7"/>
  <c r="V15" i="7"/>
  <c r="W15" i="7"/>
  <c r="AD17" i="7"/>
  <c r="V17" i="7"/>
  <c r="AC17" i="7"/>
  <c r="U17" i="7"/>
  <c r="W17" i="7"/>
  <c r="AB17" i="7"/>
  <c r="AA17" i="7"/>
  <c r="Z17" i="7"/>
  <c r="Y17" i="7"/>
  <c r="X17" i="7"/>
  <c r="AC14" i="7"/>
  <c r="U14" i="7"/>
  <c r="AB14" i="7"/>
  <c r="AA14" i="7"/>
  <c r="Y14" i="7"/>
  <c r="X14" i="7"/>
  <c r="AD14" i="7"/>
  <c r="V14" i="7"/>
  <c r="Z14" i="7"/>
  <c r="W14" i="7"/>
  <c r="AC7" i="7"/>
  <c r="U7" i="7"/>
  <c r="AB7" i="7"/>
  <c r="AA7" i="7"/>
  <c r="Y7" i="7"/>
  <c r="X7" i="7"/>
  <c r="V7" i="7"/>
  <c r="AD7" i="7"/>
  <c r="Z7" i="7"/>
  <c r="W7" i="7"/>
  <c r="AB19" i="7"/>
  <c r="AA19" i="7"/>
  <c r="X19" i="7"/>
  <c r="Y19" i="7"/>
  <c r="U19" i="7"/>
  <c r="AC19" i="7"/>
  <c r="V19" i="7"/>
  <c r="AD19" i="7"/>
  <c r="Z19" i="7"/>
  <c r="W19" i="7"/>
  <c r="AC9" i="7"/>
  <c r="U9" i="7"/>
  <c r="Z9" i="7"/>
  <c r="AB9" i="7"/>
  <c r="AA9" i="7"/>
  <c r="Y9" i="7"/>
  <c r="X9" i="7"/>
  <c r="V9" i="7"/>
  <c r="AD9" i="7"/>
  <c r="W9" i="7"/>
  <c r="D79" i="1"/>
  <c r="L79" i="1" s="1"/>
  <c r="Y67" i="1"/>
  <c r="U33" i="13" l="1"/>
  <c r="V33" i="13"/>
  <c r="AD33" i="13"/>
  <c r="AC33" i="13"/>
  <c r="AA33" i="13"/>
  <c r="AB33" i="13"/>
  <c r="X33" i="13"/>
  <c r="Z33" i="13"/>
  <c r="J66" i="1"/>
  <c r="J79" i="1"/>
  <c r="M79" i="1"/>
  <c r="I79" i="1"/>
  <c r="H79" i="1"/>
  <c r="N79" i="1"/>
  <c r="E79" i="1"/>
  <c r="K79" i="1"/>
  <c r="F79" i="1"/>
  <c r="G79" i="1"/>
  <c r="M66" i="1"/>
  <c r="L66" i="1"/>
  <c r="I66" i="1"/>
  <c r="K66" i="1"/>
  <c r="H66" i="1"/>
  <c r="N66" i="1"/>
  <c r="G66" i="1"/>
  <c r="F66" i="1"/>
  <c r="T5" i="1"/>
  <c r="T6" i="1"/>
  <c r="T7" i="1"/>
  <c r="T8" i="1"/>
  <c r="T9" i="1"/>
  <c r="T10" i="1"/>
  <c r="T11" i="1"/>
  <c r="T12" i="1"/>
  <c r="T13" i="1"/>
  <c r="T14" i="1"/>
  <c r="T15" i="1"/>
  <c r="S5" i="1"/>
  <c r="S6" i="1"/>
  <c r="S7" i="1"/>
  <c r="S8" i="1"/>
  <c r="S9" i="1"/>
  <c r="S10" i="1"/>
  <c r="S11" i="1"/>
  <c r="S12" i="1"/>
  <c r="S13" i="1"/>
  <c r="S14" i="1"/>
  <c r="S15" i="1"/>
  <c r="R5" i="1"/>
  <c r="R6" i="1"/>
  <c r="R7" i="1"/>
  <c r="R8" i="1"/>
  <c r="R9" i="1"/>
  <c r="R10" i="1"/>
  <c r="R11" i="1"/>
  <c r="R12" i="1"/>
  <c r="R13" i="1"/>
  <c r="R14" i="1"/>
  <c r="R15" i="1"/>
  <c r="Q5" i="1"/>
  <c r="Q6" i="1"/>
  <c r="Q7" i="1"/>
  <c r="Q9" i="1"/>
  <c r="Q10" i="1"/>
  <c r="Q11" i="1"/>
  <c r="Q12" i="1"/>
  <c r="Q13" i="1"/>
  <c r="Q14" i="1"/>
  <c r="Q15" i="1"/>
  <c r="P5" i="1"/>
  <c r="P7" i="1"/>
  <c r="P8" i="1"/>
  <c r="P9" i="1"/>
  <c r="P10" i="1"/>
  <c r="P11" i="1"/>
  <c r="P12" i="1"/>
  <c r="P13" i="1"/>
  <c r="P14" i="1"/>
  <c r="P15" i="1"/>
  <c r="O5" i="1"/>
  <c r="O7" i="1"/>
  <c r="O8" i="1"/>
  <c r="O9" i="1"/>
  <c r="O10" i="1"/>
  <c r="O11" i="1"/>
  <c r="O12" i="1"/>
  <c r="O13" i="1"/>
  <c r="O14" i="1"/>
  <c r="O15" i="1"/>
  <c r="O4" i="1"/>
  <c r="P4" i="1"/>
  <c r="Q4" i="1"/>
  <c r="R4" i="1"/>
  <c r="T4" i="1"/>
  <c r="N7" i="1"/>
  <c r="N8" i="1"/>
  <c r="N9" i="1"/>
  <c r="N10" i="1"/>
  <c r="N11" i="1"/>
  <c r="N12" i="1"/>
  <c r="N13" i="1"/>
  <c r="N14" i="1"/>
  <c r="N15" i="1"/>
  <c r="Q46" i="1"/>
  <c r="P45" i="1"/>
  <c r="I45" i="1" s="1"/>
  <c r="U11" i="1" l="1"/>
  <c r="U15" i="1"/>
  <c r="U7" i="1"/>
  <c r="R46" i="1"/>
  <c r="U5" i="1"/>
  <c r="U14" i="1"/>
  <c r="U6" i="1"/>
  <c r="U9" i="1"/>
  <c r="U13" i="1"/>
  <c r="U12" i="1"/>
  <c r="U4" i="1"/>
  <c r="U8" i="1"/>
  <c r="U10" i="1"/>
  <c r="K45" i="1"/>
  <c r="M45" i="1"/>
  <c r="O45" i="1"/>
  <c r="E45" i="1"/>
  <c r="C45" i="1"/>
  <c r="G45" i="1"/>
  <c r="Q40" i="1"/>
  <c r="Q44" i="1"/>
  <c r="L42" i="1" l="1"/>
  <c r="L51" i="1" s="1"/>
  <c r="D42" i="1"/>
  <c r="F41" i="1"/>
  <c r="B41" i="1"/>
  <c r="D39" i="1"/>
  <c r="F39" i="1"/>
  <c r="H39" i="1"/>
  <c r="H51" i="1" s="1"/>
  <c r="J39" i="1"/>
  <c r="J51" i="1" s="1"/>
  <c r="N39" i="1"/>
  <c r="N51" i="1" s="1"/>
  <c r="B39" i="1"/>
  <c r="P43" i="1"/>
  <c r="P37" i="1"/>
  <c r="P40" i="1"/>
  <c r="K40" i="1" s="1"/>
  <c r="P22" i="1"/>
  <c r="M22" i="1" s="1"/>
  <c r="P23" i="1"/>
  <c r="M23" i="1" s="1"/>
  <c r="P24" i="1"/>
  <c r="O24" i="1" s="1"/>
  <c r="P25" i="1"/>
  <c r="O25" i="1" s="1"/>
  <c r="P26" i="1"/>
  <c r="E26" i="1" s="1"/>
  <c r="P27" i="1"/>
  <c r="M27" i="1" s="1"/>
  <c r="P28" i="1"/>
  <c r="M28" i="1" s="1"/>
  <c r="P29" i="1"/>
  <c r="M29" i="1" s="1"/>
  <c r="P30" i="1"/>
  <c r="M30" i="1" s="1"/>
  <c r="P31" i="1"/>
  <c r="M31" i="1" s="1"/>
  <c r="P32" i="1"/>
  <c r="P21" i="1"/>
  <c r="O21" i="1" s="1"/>
  <c r="D51" i="1" l="1"/>
  <c r="K43" i="1"/>
  <c r="R44" i="1"/>
  <c r="K37" i="1"/>
  <c r="R40" i="1"/>
  <c r="O32" i="1"/>
  <c r="F42" i="1"/>
  <c r="F51" i="1" s="1"/>
  <c r="B42" i="1"/>
  <c r="B51" i="1" s="1"/>
  <c r="G23" i="1"/>
  <c r="G22" i="1"/>
  <c r="K30" i="1"/>
  <c r="C31" i="1"/>
  <c r="K23" i="1"/>
  <c r="K31" i="1"/>
  <c r="C30" i="1"/>
  <c r="K22" i="1"/>
  <c r="C23" i="1"/>
  <c r="O31" i="1"/>
  <c r="C22" i="1"/>
  <c r="O30" i="1"/>
  <c r="G29" i="1"/>
  <c r="G28" i="1"/>
  <c r="C29" i="1"/>
  <c r="C28" i="1"/>
  <c r="O29" i="1"/>
  <c r="O28" i="1"/>
  <c r="G31" i="1"/>
  <c r="K29" i="1"/>
  <c r="O23" i="1"/>
  <c r="G30" i="1"/>
  <c r="K28" i="1"/>
  <c r="O22" i="1"/>
  <c r="I26" i="1"/>
  <c r="M26" i="1"/>
  <c r="E21" i="1"/>
  <c r="I25" i="1"/>
  <c r="M21" i="1"/>
  <c r="M25" i="1"/>
  <c r="E32" i="1"/>
  <c r="E24" i="1"/>
  <c r="I32" i="1"/>
  <c r="I24" i="1"/>
  <c r="M32" i="1"/>
  <c r="M24" i="1"/>
  <c r="C27" i="1"/>
  <c r="E31" i="1"/>
  <c r="E23" i="1"/>
  <c r="G27" i="1"/>
  <c r="I31" i="1"/>
  <c r="I23" i="1"/>
  <c r="K27" i="1"/>
  <c r="O27" i="1"/>
  <c r="C26" i="1"/>
  <c r="E30" i="1"/>
  <c r="E22" i="1"/>
  <c r="G26" i="1"/>
  <c r="I30" i="1"/>
  <c r="I22" i="1"/>
  <c r="K26" i="1"/>
  <c r="O26" i="1"/>
  <c r="E25" i="1"/>
  <c r="I21" i="1"/>
  <c r="C21" i="1"/>
  <c r="C25" i="1"/>
  <c r="E29" i="1"/>
  <c r="G21" i="1"/>
  <c r="G25" i="1"/>
  <c r="I29" i="1"/>
  <c r="K21" i="1"/>
  <c r="K25" i="1"/>
  <c r="C32" i="1"/>
  <c r="C24" i="1"/>
  <c r="E28" i="1"/>
  <c r="G32" i="1"/>
  <c r="G24" i="1"/>
  <c r="I28" i="1"/>
  <c r="K32" i="1"/>
  <c r="K24" i="1"/>
  <c r="E27" i="1"/>
  <c r="I27" i="1"/>
  <c r="C43" i="1"/>
  <c r="E43" i="1"/>
  <c r="I43" i="1"/>
  <c r="M43" i="1"/>
  <c r="O43" i="1"/>
  <c r="G43" i="1"/>
  <c r="C37" i="1"/>
  <c r="I37" i="1"/>
  <c r="M37" i="1"/>
  <c r="O37" i="1"/>
  <c r="E37" i="1"/>
  <c r="G37" i="1"/>
  <c r="M40" i="1"/>
  <c r="O40" i="1"/>
  <c r="E40" i="1"/>
  <c r="C40" i="1"/>
  <c r="G40" i="1"/>
  <c r="I40" i="1"/>
  <c r="I6" i="1"/>
  <c r="I7" i="1"/>
  <c r="I8" i="1"/>
  <c r="I9" i="1"/>
  <c r="I10" i="1"/>
  <c r="I11" i="1"/>
  <c r="I12" i="1"/>
  <c r="I13" i="1"/>
  <c r="I14" i="1"/>
  <c r="I15" i="1"/>
  <c r="I5" i="1"/>
  <c r="I4" i="1"/>
  <c r="B71" i="1" l="1"/>
  <c r="V8" i="1"/>
  <c r="B68" i="1"/>
  <c r="V5" i="1"/>
  <c r="C68" i="1" s="1"/>
  <c r="B78" i="1"/>
  <c r="V15" i="1"/>
  <c r="C78" i="1" s="1"/>
  <c r="D78" i="1" s="1"/>
  <c r="B67" i="1"/>
  <c r="V4" i="1"/>
  <c r="C67" i="1" s="1"/>
  <c r="B70" i="1"/>
  <c r="V7" i="1"/>
  <c r="C70" i="1" s="1"/>
  <c r="B69" i="1"/>
  <c r="V6" i="1"/>
  <c r="B76" i="1"/>
  <c r="V13" i="1"/>
  <c r="C76" i="1" s="1"/>
  <c r="D76" i="1" s="1"/>
  <c r="B75" i="1"/>
  <c r="V12" i="1"/>
  <c r="C75" i="1" s="1"/>
  <c r="D75" i="1" s="1"/>
  <c r="B74" i="1"/>
  <c r="V11" i="1"/>
  <c r="C74" i="1" s="1"/>
  <c r="B72" i="1"/>
  <c r="V9" i="1"/>
  <c r="C72" i="1" s="1"/>
  <c r="B77" i="1"/>
  <c r="V14" i="1"/>
  <c r="C77" i="1" s="1"/>
  <c r="D77" i="1" s="1"/>
  <c r="B73" i="1"/>
  <c r="V10" i="1"/>
  <c r="C73" i="1" s="1"/>
  <c r="Q42" i="1"/>
  <c r="R42" i="1" s="1"/>
  <c r="O34" i="1"/>
  <c r="C34" i="1"/>
  <c r="I34" i="1"/>
  <c r="K34" i="1"/>
  <c r="E34" i="1"/>
  <c r="G34" i="1"/>
  <c r="M34" i="1"/>
  <c r="C69" i="1" l="1"/>
  <c r="W6" i="1"/>
  <c r="C71" i="1"/>
  <c r="W8" i="1"/>
  <c r="D72" i="1"/>
  <c r="N72" i="1" s="1"/>
  <c r="D69" i="1"/>
  <c r="F69" i="1" s="1"/>
  <c r="D68" i="1"/>
  <c r="H68" i="1" s="1"/>
  <c r="D74" i="1"/>
  <c r="E74" i="1" s="1"/>
  <c r="D70" i="1"/>
  <c r="H70" i="1" s="1"/>
  <c r="J71" i="1"/>
  <c r="D73" i="1"/>
  <c r="F73" i="1" s="1"/>
  <c r="D67" i="1"/>
  <c r="F70" i="1"/>
  <c r="J70" i="1"/>
  <c r="I70" i="1"/>
  <c r="L70" i="1"/>
  <c r="N70" i="1"/>
  <c r="K70" i="1"/>
  <c r="F75" i="1"/>
  <c r="L75" i="1"/>
  <c r="G75" i="1"/>
  <c r="E75" i="1"/>
  <c r="K75" i="1"/>
  <c r="M75" i="1"/>
  <c r="H75" i="1"/>
  <c r="N75" i="1"/>
  <c r="J75" i="1"/>
  <c r="I75" i="1"/>
  <c r="M74" i="1"/>
  <c r="G74" i="1"/>
  <c r="N74" i="1"/>
  <c r="K74" i="1"/>
  <c r="L74" i="1"/>
  <c r="F78" i="1"/>
  <c r="N78" i="1"/>
  <c r="L78" i="1"/>
  <c r="G78" i="1"/>
  <c r="J78" i="1"/>
  <c r="M78" i="1"/>
  <c r="K78" i="1"/>
  <c r="I78" i="1"/>
  <c r="E78" i="1"/>
  <c r="H78" i="1"/>
  <c r="K73" i="1"/>
  <c r="N73" i="1"/>
  <c r="F77" i="1"/>
  <c r="H77" i="1"/>
  <c r="I77" i="1"/>
  <c r="G77" i="1"/>
  <c r="J77" i="1"/>
  <c r="L77" i="1"/>
  <c r="N77" i="1"/>
  <c r="K77" i="1"/>
  <c r="E77" i="1"/>
  <c r="M77" i="1"/>
  <c r="F76" i="1"/>
  <c r="N76" i="1"/>
  <c r="G76" i="1"/>
  <c r="H76" i="1"/>
  <c r="J76" i="1"/>
  <c r="M76" i="1"/>
  <c r="I76" i="1"/>
  <c r="K76" i="1"/>
  <c r="L76" i="1"/>
  <c r="E76" i="1"/>
  <c r="M72" i="1"/>
  <c r="M68" i="1"/>
  <c r="L68" i="1"/>
  <c r="G68" i="1"/>
  <c r="N68" i="1"/>
  <c r="I68" i="1"/>
  <c r="J68" i="1"/>
  <c r="K68" i="1"/>
  <c r="V17" i="1"/>
  <c r="W51" i="1"/>
  <c r="J69" i="1" l="1"/>
  <c r="E71" i="1"/>
  <c r="I71" i="1"/>
  <c r="L71" i="1"/>
  <c r="K71" i="1"/>
  <c r="N71" i="1"/>
  <c r="H71" i="1"/>
  <c r="F71" i="1"/>
  <c r="M71" i="1"/>
  <c r="I72" i="1"/>
  <c r="F68" i="1"/>
  <c r="K72" i="1"/>
  <c r="E70" i="1"/>
  <c r="E72" i="1"/>
  <c r="H72" i="1"/>
  <c r="E68" i="1"/>
  <c r="G72" i="1"/>
  <c r="L72" i="1"/>
  <c r="M73" i="1"/>
  <c r="G70" i="1"/>
  <c r="J72" i="1"/>
  <c r="F72" i="1"/>
  <c r="M70" i="1"/>
  <c r="N69" i="1"/>
  <c r="G73" i="1"/>
  <c r="I74" i="1"/>
  <c r="I73" i="1"/>
  <c r="J74" i="1"/>
  <c r="M69" i="1"/>
  <c r="G69" i="1"/>
  <c r="J73" i="1"/>
  <c r="H74" i="1"/>
  <c r="F74" i="1"/>
  <c r="I69" i="1"/>
  <c r="H69" i="1"/>
  <c r="E69" i="1"/>
  <c r="E80" i="1" s="1"/>
  <c r="L69" i="1"/>
  <c r="H73" i="1"/>
  <c r="L73" i="1"/>
  <c r="E73" i="1"/>
  <c r="L67" i="1"/>
  <c r="E67" i="1"/>
  <c r="F67" i="1"/>
  <c r="J67" i="1"/>
  <c r="J80" i="1" s="1"/>
  <c r="I67" i="1"/>
  <c r="I80" i="1" s="1"/>
  <c r="K67" i="1"/>
  <c r="K80" i="1" s="1"/>
  <c r="M67" i="1"/>
  <c r="N67" i="1"/>
  <c r="N80" i="1" s="1"/>
  <c r="F80" i="1" l="1"/>
  <c r="G80" i="1"/>
  <c r="L80" i="1"/>
  <c r="H80" i="1"/>
  <c r="M80" i="1"/>
</calcChain>
</file>

<file path=xl/sharedStrings.xml><?xml version="1.0" encoding="utf-8"?>
<sst xmlns="http://schemas.openxmlformats.org/spreadsheetml/2006/main" count="2677" uniqueCount="177">
  <si>
    <t>Pigs</t>
  </si>
  <si>
    <t>Austria</t>
  </si>
  <si>
    <t>Belgium</t>
  </si>
  <si>
    <t>Bulgaria</t>
  </si>
  <si>
    <t>Croatia</t>
  </si>
  <si>
    <t>Cyprus</t>
  </si>
  <si>
    <t>Czech Republic</t>
  </si>
  <si>
    <t>Denmark</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</si>
  <si>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</si>
  <si>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</si>
  <si>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</si>
  <si>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</si>
  <si>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</si>
  <si>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</si>
  <si>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</si>
  <si>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</si>
  <si>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</si>
  <si>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</si>
  <si>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</si>
  <si>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</si>
  <si>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</si>
  <si>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</si>
  <si>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</si>
  <si>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</si>
  <si>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</si>
  <si>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Romania</t>
  </si>
  <si>
    <t>Slovakia</t>
  </si>
  <si>
    <t>Slovenia</t>
  </si>
  <si>
    <t>Spain</t>
  </si>
  <si>
    <t>Sweden</t>
  </si>
  <si>
    <t>Switzerland</t>
  </si>
  <si>
    <t>United Kingdom</t>
  </si>
  <si>
    <t>Use of antibiotics index 2010</t>
  </si>
  <si>
    <t>Actual use</t>
  </si>
  <si>
    <t>https://esvacbi.ema.europa.eu/analytics/saw.dll?Dashboard</t>
  </si>
  <si>
    <t>Expected use</t>
  </si>
  <si>
    <t>Antibiotic use index</t>
  </si>
  <si>
    <t>PCU tonne</t>
  </si>
  <si>
    <t>Country</t>
  </si>
  <si>
    <t>Cattle</t>
  </si>
  <si>
    <t>Poultry</t>
  </si>
  <si>
    <t>Sheep and goats</t>
  </si>
  <si>
    <t>Fish</t>
  </si>
  <si>
    <t>Rabbits</t>
  </si>
  <si>
    <t>Horses</t>
  </si>
  <si>
    <t>Total PCU (tonnes)</t>
  </si>
  <si>
    <t>mg/PCU</t>
  </si>
  <si>
    <t>Total</t>
  </si>
  <si>
    <t>Actual use/ expected use</t>
  </si>
  <si>
    <t>Beef cattle</t>
  </si>
  <si>
    <t>Dairy cows</t>
  </si>
  <si>
    <t>Broiler</t>
  </si>
  <si>
    <t>Sheep and goat</t>
  </si>
  <si>
    <t xml:space="preserve">Rabbits </t>
  </si>
  <si>
    <t>Egg</t>
  </si>
  <si>
    <t>Milk</t>
  </si>
  <si>
    <t>na</t>
  </si>
  <si>
    <t>Standard, mg per kg</t>
  </si>
  <si>
    <t>Use of antibiotics index 2011</t>
  </si>
  <si>
    <t>Use of antibiotics index 2012</t>
  </si>
  <si>
    <t>Use of antibiotics index 2013</t>
  </si>
  <si>
    <t>Use of antibiotics index 2014</t>
  </si>
  <si>
    <t>Use of antibiotics index 2015</t>
  </si>
  <si>
    <t>Use of antibiotics index 2016</t>
  </si>
  <si>
    <t>Use of antibiotics index 2017</t>
  </si>
  <si>
    <t>Use of antibiotics index 2018</t>
  </si>
  <si>
    <t>Use of antibiotics index 2019</t>
  </si>
  <si>
    <t>Use of antibiotics index 2020</t>
  </si>
  <si>
    <t>Use of antibiotics index 2021</t>
  </si>
  <si>
    <t>mean</t>
  </si>
  <si>
    <t>Use of antibiotics index 2022</t>
  </si>
  <si>
    <t>Standard values</t>
  </si>
  <si>
    <t>Standard values, mg per kg</t>
  </si>
  <si>
    <t>Allocated standard values, mg per kg</t>
  </si>
  <si>
    <t>Year</t>
  </si>
  <si>
    <t>tonne</t>
  </si>
  <si>
    <t>tonne active subst</t>
  </si>
  <si>
    <t>faktisk sale / biomass</t>
  </si>
  <si>
    <t>ESVAC Table 3 incl aqua and horses but not dogs&amp;cats</t>
  </si>
  <si>
    <t>mg</t>
  </si>
  <si>
    <t>stand sum mg</t>
  </si>
  <si>
    <t>stand sum mg/sum PCU</t>
  </si>
  <si>
    <t>kvot faktisk / stand</t>
  </si>
  <si>
    <t>cattle</t>
  </si>
  <si>
    <t>pigs</t>
  </si>
  <si>
    <t>poultry</t>
  </si>
  <si>
    <t>sheepgoat</t>
  </si>
  <si>
    <t>fish</t>
  </si>
  <si>
    <t>rabbits</t>
  </si>
  <si>
    <t>horses</t>
  </si>
  <si>
    <t>PCUtot</t>
  </si>
  <si>
    <t>Saletot</t>
  </si>
  <si>
    <t>DK klarar faktiska33,4 mg/PCU trots att de har så mkt gris o gris behöver mest</t>
  </si>
  <si>
    <t>NL</t>
  </si>
  <si>
    <t>Sveriges goda faktiska resultat beror till en del på att vi har så mycket häst o häst använder lite a.b.</t>
  </si>
  <si>
    <t>UK</t>
  </si>
  <si>
    <t>stand mg/kg</t>
  </si>
  <si>
    <t>%</t>
  </si>
  <si>
    <t>The PCU is calculated using the number of animals slaughtered in a particular year (adjusted for imported and exported animals), unless the animals present within the livestock sector concerned are not kept for meat production (e.g., dairy cattle), in which case the number of live animals is used.</t>
  </si>
  <si>
    <t>PCU tar hänsyn till vanligaste vikt vid behandling och blir därför lägre än total biomassa eftersom de flesta djur behandlas unga</t>
  </si>
  <si>
    <t>medel länder</t>
  </si>
  <si>
    <t>DK</t>
  </si>
  <si>
    <t>kg sold</t>
  </si>
  <si>
    <t>other prod</t>
  </si>
  <si>
    <t>aqua</t>
  </si>
  <si>
    <t>gula rutor är antagna medelvärden i brist på data</t>
  </si>
  <si>
    <t>mg/kg</t>
  </si>
  <si>
    <t>DANMAP2021</t>
  </si>
  <si>
    <t>jmfr 33,4</t>
  </si>
  <si>
    <t>sum</t>
  </si>
  <si>
    <t>SDa2021</t>
  </si>
  <si>
    <t>jmfr 47,6</t>
  </si>
  <si>
    <t>UK-VARSS2021</t>
  </si>
  <si>
    <t>Assuming 20% of all horses visits clinic per year. Tallon et al 2023</t>
  </si>
  <si>
    <t>46,53 mg/kg/5</t>
  </si>
  <si>
    <t>guess</t>
  </si>
  <si>
    <t>broiler</t>
  </si>
  <si>
    <t>sheeplamb</t>
  </si>
  <si>
    <t>salmon</t>
  </si>
  <si>
    <t>tot mg</t>
  </si>
  <si>
    <t>jmfr 28,3</t>
  </si>
  <si>
    <t>Ending routine… data fr 2020</t>
  </si>
  <si>
    <t>https://epha.org/wp-content/uploads/2022/02/report-ending-routine-farm-antibiotic-use-in-europe-final-2022.pdf</t>
  </si>
  <si>
    <t>mg/kg PCU</t>
  </si>
  <si>
    <t>jmfr 51,7</t>
  </si>
  <si>
    <t>tonnage</t>
  </si>
  <si>
    <t>mg/kg live w</t>
  </si>
  <si>
    <t>Tallon et al -23</t>
  </si>
  <si>
    <t xml:space="preserve">year 2020 </t>
  </si>
  <si>
    <t>AGES 2023</t>
  </si>
  <si>
    <t>Sverige</t>
  </si>
  <si>
    <t>Medel DK-NL-UK-Fr-öst</t>
  </si>
  <si>
    <t>Standardvärde bygger på dessa medeltal. Bra representanter ety rank 2-6</t>
  </si>
  <si>
    <t>medel för de 4 stand</t>
  </si>
  <si>
    <t>standard</t>
  </si>
  <si>
    <t>Rabbit set to 780 since NL has such low rabbit production (i.e. not representative)</t>
  </si>
  <si>
    <t xml:space="preserve">Population Correction Unit (PCU) is a theoretical unit of measurement developed by the European Medicines Agency (EMA) in 2009 and adopted across Europe. </t>
  </si>
  <si>
    <t>it is generally well known that antibiotic use in UK beef cattle is significantly lower than in UK dairy cattle. Furthermore, antibiotic-usage data recently published by two UK supermarkets, Waitrose and ASDA, confirm that this is the case. Waitrose reported usage in dairy farms supplying it to be 20 mg/kg whereas they reported less than 10 mg/kg for beef farms. Similarly, ASDA reported 20 mg/kg in dairy farms and 7.3 mg/kg for beef farms where the cattle were raised on pasture and 9 mg/kg for cattle housed all year round. From all of these information, we may conclude that it is reasonable to assume that antibiotic use in UK beef farms is not higher than 10-25 mg/kg.</t>
  </si>
  <si>
    <t>It takes into account a country’s animal population over a year, along with the estimated weight of each particular species at the time of treatment with antibiotics</t>
  </si>
  <si>
    <t>https://www.saveourantibiotics.org/media/1794/us-and-uk-farm-antibiotic-use-comparison.pdf</t>
  </si>
  <si>
    <t>UK ungefär samma mg/PCU för Dairy och Beef räknat på kalvar och vuxna djur ihop, men mycket osäkra siffror och bara för 2018</t>
  </si>
  <si>
    <t>Also Humphry et al 2021</t>
  </si>
  <si>
    <t xml:space="preserve">Mer användning för kavlar än för mjölkkor. Mjölkkor har mer biomassa. DK: kalv (&lt;12m) 15% av cattle biomass men 30% av use of active compound. </t>
  </si>
  <si>
    <t>men vet inte prop i biomass</t>
  </si>
  <si>
    <t>Sätter lika på allt nötkött o allokerar mer på mjölk än på kött</t>
  </si>
  <si>
    <t>Mycket mer användning för broiler än för värphöns</t>
  </si>
  <si>
    <t>Allokering 27% av standardsiffran 30 mg/kg på kött och 73% på mjölk</t>
  </si>
  <si>
    <t>kvot gånger standardvärde för art. Dessa värden kan multipliceras med kg kött och mjölk och ägg</t>
  </si>
  <si>
    <t>ESVAC Table 3 faktisk</t>
  </si>
  <si>
    <t>stand f art</t>
  </si>
  <si>
    <t>faktisk / stand</t>
  </si>
  <si>
    <t>cattlebeef</t>
  </si>
  <si>
    <t>används ej för dairycow beef</t>
  </si>
  <si>
    <t>egg</t>
  </si>
  <si>
    <t>milk</t>
  </si>
  <si>
    <t>kvot</t>
  </si>
  <si>
    <t>ton aktiv substans</t>
  </si>
  <si>
    <t>UK-VARSS</t>
  </si>
  <si>
    <t>laying hen</t>
  </si>
  <si>
    <t>ungerfär samma vikt höna broiler</t>
  </si>
  <si>
    <t xml:space="preserve">12,6% av 30 =3,78 mg/PCU </t>
  </si>
  <si>
    <t>Sätter bara lite på värphöns</t>
  </si>
  <si>
    <t>Varje höna väger 1,5 kg o ger 270 ägg * 55g</t>
  </si>
  <si>
    <t>äggmassa</t>
  </si>
  <si>
    <t>Delar ägg o mjölk med årsproduktion per djur</t>
  </si>
  <si>
    <t>mg/kg ägg= 1,5*3,78/14,85=0,38</t>
  </si>
  <si>
    <t>Varje ko väger 600 kg o ger 8000 kg mjölk per år</t>
  </si>
  <si>
    <r>
      <rPr>
        <sz val="11"/>
        <color rgb="FF000000"/>
        <rFont val="Calibri"/>
        <family val="2"/>
        <scheme val="minor"/>
      </rPr>
      <t>mg/kg mjölk= 600*</t>
    </r>
    <r>
      <rPr>
        <sz val="11"/>
        <color rgb="FFFF0000"/>
        <rFont val="Calibri"/>
        <family val="2"/>
        <scheme val="minor"/>
      </rPr>
      <t>22</t>
    </r>
    <r>
      <rPr>
        <sz val="11"/>
        <color rgb="FF000000"/>
        <rFont val="Calibri"/>
        <family val="2"/>
        <scheme val="minor"/>
      </rPr>
      <t>/8000=2,625</t>
    </r>
  </si>
  <si>
    <t>22 kommer från allokering</t>
  </si>
  <si>
    <t>medel/kg</t>
  </si>
  <si>
    <t>8,1 är 27% av 30</t>
  </si>
  <si>
    <t>används ej</t>
  </si>
  <si>
    <t>"simple indicator"</t>
  </si>
  <si>
    <t>att jämföra med</t>
  </si>
  <si>
    <t>allt kött o fisk</t>
  </si>
  <si>
    <t>ägg</t>
  </si>
  <si>
    <t xml:space="preserve">mjölk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</si>
</sst>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1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tint="-0.249977111117893"/>
      <name val="Calibri"/>
      <family val="2"/>
      <scheme val="minor"/>
    </font>
    <font>
      <b/>
      <sz val="1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b/>
      <sz val="12"/>
      <color theme="1"/>
      <name val="Calibri"/>
      <family val="2"/>
      <scheme val="minor"/>
    </font>
    <font>
      <sz val="12"/>
      <color theme="1"/>
      <name val="Calibri"/>
      <family val="2"/>
      <scheme val="minor"/>
    </font>
    <font>
      <i/>
      <sz val="11"/>
      <color theme="1"/>
      <name val="Calibri"/>
      <family val="2"/>
      <scheme val="minor"/>
    </font>
    <font>
      <sz val="16"/>
      <color theme="1"/>
      <name val="Calibri"/>
      <family val="2"/>
      <scheme val="minor"/>
    </font>
    <font>
      <sz val="11"/>
      <color theme="1" tint="0.499984740745262"/>
      <name val="Calibri"/>
      <family val="2"/>
      <scheme val="minor"/>
    </font>
  </fonts>
  <fills count="10">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6" tint="0.79998168889431442"/>
        <bgColor indexed="64"/>
      </patternFill>
    </fill>
  </fills>
  <borders count="28">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s>
  <cellStyleXfs count="1">
    <xf numFmtId="0" fontId="0" fillId="0" borderId="0"/>
  </cellStyleXfs>
  <cellXfs count="177">
    <xf numFmtId="0" fontId="0" fillId="0" borderId="0" xfId="0"/>
    <xf numFmtId="0" fontId="0" fillId="2" borderId="0" xfId="0" applyFill="1"/>
    <xf numFmtId="0" fontId="0" fillId="0" borderId="0" xfId="0" applyAlignment="1">
      <alignment wrapText="1"/>
    </xf>
    <xf numFmtId="164" fontId="0" fillId="0" borderId="0" xfId="0" applyNumberFormat="1"/>
    <xf numFmtId="0" fontId="0" fillId="2" borderId="1" xfId="0" applyFill="1" applyBorder="1"/>
    <xf numFmtId="164" fontId="0" fillId="0" borderId="1" xfId="0" applyNumberFormat="1" applyBorder="1"/>
    <xf numFmtId="0" fontId="0" fillId="0" borderId="1" xfId="0" applyBorder="1"/>
    <xf numFmtId="164" fontId="0" fillId="3" borderId="1" xfId="0" applyNumberFormat="1" applyFill="1" applyBorder="1"/>
    <xf numFmtId="164" fontId="0" fillId="4" borderId="1" xfId="0" applyNumberFormat="1" applyFill="1" applyBorder="1"/>
    <xf numFmtId="1" fontId="0" fillId="0" borderId="0" xfId="0" applyNumberFormat="1"/>
    <xf numFmtId="1" fontId="3" fillId="0" borderId="0" xfId="0" applyNumberFormat="1" applyFont="1"/>
    <xf numFmtId="0" fontId="3" fillId="0" borderId="0" xfId="0" applyFont="1"/>
    <xf numFmtId="164" fontId="3" fillId="0" borderId="0" xfId="0" applyNumberFormat="1" applyFont="1"/>
    <xf numFmtId="164" fontId="3" fillId="0" borderId="1" xfId="0" applyNumberFormat="1" applyFont="1" applyBorder="1"/>
    <xf numFmtId="0" fontId="2" fillId="0" borderId="0" xfId="0" applyFont="1"/>
    <xf numFmtId="0" fontId="0" fillId="0" borderId="2" xfId="0" applyBorder="1"/>
    <xf numFmtId="0" fontId="0" fillId="0" borderId="3" xfId="0" applyBorder="1"/>
    <xf numFmtId="164" fontId="0" fillId="0" borderId="4" xfId="0" applyNumberFormat="1" applyBorder="1"/>
    <xf numFmtId="164" fontId="0" fillId="4" borderId="4" xfId="0" applyNumberFormat="1" applyFill="1" applyBorder="1"/>
    <xf numFmtId="1" fontId="0" fillId="0" borderId="4" xfId="0" applyNumberFormat="1" applyBorder="1"/>
    <xf numFmtId="0" fontId="4" fillId="0" borderId="0" xfId="0" applyFont="1"/>
    <xf numFmtId="0" fontId="4" fillId="0" borderId="1" xfId="0" applyFont="1" applyBorder="1"/>
    <xf numFmtId="164" fontId="4" fillId="0" borderId="1" xfId="0" applyNumberFormat="1" applyFont="1" applyBorder="1"/>
    <xf numFmtId="0" fontId="4" fillId="0" borderId="3" xfId="0" applyFont="1" applyBorder="1"/>
    <xf numFmtId="164" fontId="4" fillId="0" borderId="4" xfId="0" applyNumberFormat="1" applyFont="1" applyBorder="1"/>
    <xf numFmtId="164" fontId="4" fillId="0" borderId="0" xfId="0" applyNumberFormat="1" applyFont="1"/>
    <xf numFmtId="164" fontId="0" fillId="3" borderId="4" xfId="0" applyNumberFormat="1" applyFill="1" applyBorder="1"/>
    <xf numFmtId="1" fontId="0" fillId="0" borderId="3" xfId="0" applyNumberFormat="1" applyBorder="1"/>
    <xf numFmtId="0" fontId="3" fillId="0" borderId="0" xfId="0" applyFont="1" applyAlignment="1">
      <alignment horizontal="right"/>
    </xf>
    <xf numFmtId="0" fontId="3" fillId="5" borderId="0" xfId="0" applyFont="1" applyFill="1"/>
    <xf numFmtId="1" fontId="3" fillId="5" borderId="0" xfId="0" applyNumberFormat="1" applyFont="1" applyFill="1"/>
    <xf numFmtId="0" fontId="5" fillId="0" borderId="0" xfId="0" applyFont="1"/>
    <xf numFmtId="0" fontId="6" fillId="0" borderId="0" xfId="0" applyFont="1"/>
    <xf numFmtId="0" fontId="5" fillId="0" borderId="0" xfId="0" applyFont="1" applyAlignment="1">
      <alignment horizontal="right"/>
    </xf>
    <xf numFmtId="1" fontId="5" fillId="0" borderId="0" xfId="0" applyNumberFormat="1" applyFont="1"/>
    <xf numFmtId="0" fontId="6" fillId="0" borderId="0" xfId="0" applyFont="1" applyAlignment="1">
      <alignment horizontal="right"/>
    </xf>
    <xf numFmtId="1" fontId="6" fillId="0" borderId="0" xfId="0" applyNumberFormat="1" applyFont="1"/>
    <xf numFmtId="0" fontId="3" fillId="6" borderId="0" xfId="0" applyFont="1" applyFill="1"/>
    <xf numFmtId="0" fontId="5" fillId="6" borderId="0" xfId="0" applyFont="1" applyFill="1"/>
    <xf numFmtId="0" fontId="5" fillId="5" borderId="0" xfId="0" applyFont="1" applyFill="1"/>
    <xf numFmtId="164" fontId="5" fillId="0" borderId="0" xfId="0" applyNumberFormat="1" applyFont="1"/>
    <xf numFmtId="0" fontId="0" fillId="0" borderId="5" xfId="0" applyBorder="1"/>
    <xf numFmtId="0" fontId="0" fillId="0" borderId="6" xfId="0" applyBorder="1"/>
    <xf numFmtId="2" fontId="0" fillId="0" borderId="0" xfId="0" applyNumberFormat="1"/>
    <xf numFmtId="0" fontId="0" fillId="0" borderId="1" xfId="0" applyBorder="1" applyAlignment="1">
      <alignment wrapText="1"/>
    </xf>
    <xf numFmtId="2" fontId="0" fillId="0" borderId="1" xfId="0" applyNumberFormat="1" applyBorder="1"/>
    <xf numFmtId="0" fontId="0" fillId="0" borderId="9" xfId="0" applyBorder="1"/>
    <xf numFmtId="0" fontId="0" fillId="0" borderId="10" xfId="0" applyBorder="1"/>
    <xf numFmtId="0" fontId="0" fillId="0" borderId="12" xfId="0" applyBorder="1"/>
    <xf numFmtId="0" fontId="0" fillId="0" borderId="13" xfId="0" applyBorder="1"/>
    <xf numFmtId="0" fontId="0" fillId="0" borderId="14" xfId="0" applyBorder="1"/>
    <xf numFmtId="0" fontId="0" fillId="2" borderId="14" xfId="0" applyFill="1" applyBorder="1"/>
    <xf numFmtId="0" fontId="0" fillId="2" borderId="12" xfId="0" applyFill="1" applyBorder="1"/>
    <xf numFmtId="0" fontId="3" fillId="0" borderId="9" xfId="0" applyFont="1" applyBorder="1" applyAlignment="1">
      <alignment wrapText="1"/>
    </xf>
    <xf numFmtId="1" fontId="0" fillId="0" borderId="10" xfId="0" applyNumberFormat="1" applyBorder="1"/>
    <xf numFmtId="1" fontId="0" fillId="0" borderId="10" xfId="0" applyNumberFormat="1" applyBorder="1" applyAlignment="1">
      <alignment wrapText="1"/>
    </xf>
    <xf numFmtId="164" fontId="0" fillId="0" borderId="10" xfId="0" applyNumberFormat="1" applyBorder="1"/>
    <xf numFmtId="0" fontId="0" fillId="0" borderId="11" xfId="0" applyBorder="1"/>
    <xf numFmtId="0" fontId="6" fillId="0" borderId="15" xfId="0" applyFont="1" applyBorder="1"/>
    <xf numFmtId="0" fontId="0" fillId="0" borderId="15" xfId="0" applyBorder="1"/>
    <xf numFmtId="0" fontId="0" fillId="0" borderId="16" xfId="0" applyBorder="1"/>
    <xf numFmtId="164" fontId="0" fillId="5" borderId="0" xfId="0" applyNumberFormat="1" applyFill="1"/>
    <xf numFmtId="0" fontId="0" fillId="5" borderId="0" xfId="0" applyFill="1"/>
    <xf numFmtId="0" fontId="0" fillId="0" borderId="10" xfId="0" applyBorder="1" applyAlignment="1">
      <alignment wrapText="1"/>
    </xf>
    <xf numFmtId="0" fontId="0" fillId="0" borderId="11" xfId="0" applyBorder="1" applyAlignment="1">
      <alignment wrapText="1"/>
    </xf>
    <xf numFmtId="164" fontId="0" fillId="3" borderId="0" xfId="0" applyNumberFormat="1" applyFill="1"/>
    <xf numFmtId="0" fontId="0" fillId="0" borderId="17" xfId="0" applyBorder="1"/>
    <xf numFmtId="1" fontId="0" fillId="0" borderId="15" xfId="0" applyNumberFormat="1" applyBorder="1"/>
    <xf numFmtId="0" fontId="0" fillId="0" borderId="15" xfId="0" applyBorder="1" applyAlignment="1">
      <alignment horizontal="right"/>
    </xf>
    <xf numFmtId="164" fontId="0" fillId="0" borderId="15" xfId="0" applyNumberFormat="1" applyBorder="1"/>
    <xf numFmtId="0" fontId="0" fillId="0" borderId="7" xfId="0" applyBorder="1"/>
    <xf numFmtId="0" fontId="0" fillId="0" borderId="18" xfId="0" applyBorder="1"/>
    <xf numFmtId="0" fontId="0" fillId="0" borderId="8" xfId="0" applyBorder="1"/>
    <xf numFmtId="1" fontId="0" fillId="0" borderId="8" xfId="0" applyNumberFormat="1" applyBorder="1"/>
    <xf numFmtId="164" fontId="0" fillId="3" borderId="8" xfId="0" applyNumberFormat="1" applyFill="1" applyBorder="1"/>
    <xf numFmtId="2" fontId="0" fillId="0" borderId="8" xfId="0" applyNumberFormat="1" applyBorder="1"/>
    <xf numFmtId="0" fontId="0" fillId="0" borderId="19" xfId="0" applyBorder="1"/>
    <xf numFmtId="164" fontId="0" fillId="0" borderId="15" xfId="0" applyNumberFormat="1" applyBorder="1" applyAlignment="1">
      <alignment horizontal="right"/>
    </xf>
    <xf numFmtId="0" fontId="0" fillId="4" borderId="0" xfId="0" applyFill="1"/>
    <xf numFmtId="0" fontId="0" fillId="4" borderId="0" xfId="0" applyFill="1" applyAlignment="1">
      <alignment horizontal="center"/>
    </xf>
    <xf numFmtId="0" fontId="0" fillId="4" borderId="0" xfId="0" applyFill="1" applyAlignment="1">
      <alignment horizontal="center" wrapText="1"/>
    </xf>
    <xf numFmtId="0" fontId="0" fillId="4" borderId="8" xfId="0" applyFill="1" applyBorder="1" applyAlignment="1">
      <alignment horizontal="center"/>
    </xf>
    <xf numFmtId="164" fontId="0" fillId="4" borderId="0" xfId="0" applyNumberFormat="1" applyFill="1" applyAlignment="1">
      <alignment horizontal="center"/>
    </xf>
    <xf numFmtId="164" fontId="0" fillId="4" borderId="8" xfId="0" applyNumberFormat="1" applyFill="1" applyBorder="1" applyAlignment="1">
      <alignment horizontal="center"/>
    </xf>
    <xf numFmtId="0" fontId="6" fillId="3" borderId="17" xfId="0" applyFont="1" applyFill="1" applyBorder="1"/>
    <xf numFmtId="0" fontId="0" fillId="3" borderId="0" xfId="0" applyFill="1"/>
    <xf numFmtId="0" fontId="0" fillId="3" borderId="0" xfId="0" applyFill="1" applyAlignment="1">
      <alignment horizontal="center"/>
    </xf>
    <xf numFmtId="164" fontId="0" fillId="3" borderId="5" xfId="0" applyNumberFormat="1" applyFill="1" applyBorder="1"/>
    <xf numFmtId="0" fontId="0" fillId="2" borderId="3" xfId="0" applyFill="1" applyBorder="1"/>
    <xf numFmtId="164" fontId="0" fillId="0" borderId="3" xfId="0" applyNumberFormat="1" applyBorder="1"/>
    <xf numFmtId="164" fontId="0" fillId="3" borderId="3" xfId="0" applyNumberFormat="1" applyFill="1" applyBorder="1"/>
    <xf numFmtId="164" fontId="4" fillId="0" borderId="3" xfId="0" applyNumberFormat="1" applyFont="1" applyBorder="1"/>
    <xf numFmtId="0" fontId="0" fillId="0" borderId="21" xfId="0" applyBorder="1"/>
    <xf numFmtId="2" fontId="0" fillId="0" borderId="3" xfId="0" applyNumberFormat="1" applyBorder="1"/>
    <xf numFmtId="0" fontId="0" fillId="0" borderId="20" xfId="0" applyBorder="1"/>
    <xf numFmtId="0" fontId="0" fillId="2" borderId="18" xfId="0" applyFill="1" applyBorder="1"/>
    <xf numFmtId="0" fontId="0" fillId="0" borderId="22" xfId="0" applyBorder="1"/>
    <xf numFmtId="0" fontId="0" fillId="3" borderId="13" xfId="0" applyFill="1" applyBorder="1"/>
    <xf numFmtId="0" fontId="3" fillId="4" borderId="0" xfId="0" applyFont="1" applyFill="1"/>
    <xf numFmtId="0" fontId="2" fillId="0" borderId="15" xfId="0" applyFont="1" applyBorder="1"/>
    <xf numFmtId="0" fontId="2" fillId="4" borderId="8" xfId="0" applyFont="1" applyFill="1" applyBorder="1" applyAlignment="1">
      <alignment horizontal="center"/>
    </xf>
    <xf numFmtId="0" fontId="7" fillId="3" borderId="0" xfId="0" applyFont="1" applyFill="1" applyAlignment="1">
      <alignment horizontal="center"/>
    </xf>
    <xf numFmtId="164" fontId="7" fillId="4" borderId="0" xfId="0" applyNumberFormat="1" applyFont="1" applyFill="1" applyAlignment="1">
      <alignment horizontal="center"/>
    </xf>
    <xf numFmtId="164" fontId="7" fillId="4" borderId="8" xfId="0" applyNumberFormat="1" applyFont="1" applyFill="1" applyBorder="1" applyAlignment="1">
      <alignment horizontal="center"/>
    </xf>
    <xf numFmtId="0" fontId="2" fillId="3" borderId="0" xfId="0" applyFont="1" applyFill="1"/>
    <xf numFmtId="165" fontId="2" fillId="0" borderId="0" xfId="0" applyNumberFormat="1" applyFont="1"/>
    <xf numFmtId="164" fontId="0" fillId="0" borderId="8" xfId="0" applyNumberFormat="1" applyBorder="1"/>
    <xf numFmtId="166" fontId="2" fillId="0" borderId="0" xfId="0" applyNumberFormat="1" applyFont="1"/>
    <xf numFmtId="166" fontId="2" fillId="4" borderId="8" xfId="0" applyNumberFormat="1" applyFont="1" applyFill="1" applyBorder="1" applyAlignment="1">
      <alignment horizontal="center"/>
    </xf>
    <xf numFmtId="165" fontId="2" fillId="4" borderId="8" xfId="0" applyNumberFormat="1" applyFont="1" applyFill="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0" borderId="10" xfId="0" applyFont="1" applyBorder="1"/>
    <xf numFmtId="0" fontId="2" fillId="0" borderId="11" xfId="0" applyFont="1" applyBorder="1"/>
    <xf numFmtId="0" fontId="0" fillId="7" borderId="0" xfId="0" applyFill="1"/>
    <xf numFmtId="0" fontId="6" fillId="7" borderId="0" xfId="0" applyFont="1" applyFill="1"/>
    <xf numFmtId="0" fontId="0" fillId="0" borderId="24" xfId="0" applyBorder="1"/>
    <xf numFmtId="0" fontId="0" fillId="0" borderId="25" xfId="0" applyBorder="1"/>
    <xf numFmtId="0" fontId="0" fillId="0" borderId="26" xfId="0" applyBorder="1"/>
    <xf numFmtId="0" fontId="0" fillId="8" borderId="26" xfId="0" applyFill="1" applyBorder="1"/>
    <xf numFmtId="0" fontId="0" fillId="8" borderId="0" xfId="0" applyFill="1"/>
    <xf numFmtId="0" fontId="0" fillId="8" borderId="1" xfId="0" applyFill="1" applyBorder="1"/>
    <xf numFmtId="164" fontId="0" fillId="0" borderId="26" xfId="0" applyNumberFormat="1" applyBorder="1"/>
    <xf numFmtId="0" fontId="3" fillId="0" borderId="26" xfId="0" applyFont="1" applyBorder="1"/>
    <xf numFmtId="0" fontId="9" fillId="0" borderId="23" xfId="0" applyFont="1" applyBorder="1"/>
    <xf numFmtId="0" fontId="10" fillId="0" borderId="24" xfId="0" applyFont="1" applyBorder="1"/>
    <xf numFmtId="0" fontId="0" fillId="8" borderId="1" xfId="0" applyFill="1" applyBorder="1" applyAlignment="1">
      <alignment horizontal="left" vertical="top" wrapText="1"/>
    </xf>
    <xf numFmtId="0" fontId="0" fillId="8" borderId="0" xfId="0" applyFill="1" applyAlignment="1">
      <alignment wrapText="1"/>
    </xf>
    <xf numFmtId="164" fontId="3" fillId="0" borderId="8" xfId="0" applyNumberFormat="1" applyFont="1" applyBorder="1"/>
    <xf numFmtId="2" fontId="11" fillId="0" borderId="1" xfId="0" applyNumberFormat="1" applyFont="1" applyBorder="1"/>
    <xf numFmtId="2" fontId="11" fillId="0" borderId="27" xfId="0" applyNumberFormat="1" applyFont="1" applyBorder="1"/>
    <xf numFmtId="0" fontId="0" fillId="8" borderId="26" xfId="0" applyFill="1" applyBorder="1" applyAlignment="1">
      <alignment wrapText="1"/>
    </xf>
    <xf numFmtId="0" fontId="12" fillId="0" borderId="0" xfId="0" applyFont="1"/>
    <xf numFmtId="0" fontId="0" fillId="7" borderId="26" xfId="0" applyFill="1" applyBorder="1"/>
    <xf numFmtId="0" fontId="0" fillId="7" borderId="0" xfId="0" applyFill="1" applyAlignment="1">
      <alignment wrapText="1"/>
    </xf>
    <xf numFmtId="164" fontId="0" fillId="7" borderId="0" xfId="0" applyNumberFormat="1" applyFill="1"/>
    <xf numFmtId="1" fontId="0" fillId="0" borderId="26" xfId="0" applyNumberFormat="1" applyBorder="1"/>
    <xf numFmtId="1" fontId="0" fillId="0" borderId="1" xfId="0" applyNumberFormat="1" applyBorder="1"/>
    <xf numFmtId="0" fontId="13" fillId="8" borderId="0" xfId="0" applyFont="1" applyFill="1" applyAlignment="1">
      <alignment wrapText="1"/>
    </xf>
    <xf numFmtId="1" fontId="13" fillId="0" borderId="0" xfId="0" applyNumberFormat="1" applyFont="1"/>
    <xf numFmtId="1" fontId="0" fillId="0" borderId="7" xfId="0" applyNumberFormat="1" applyBorder="1"/>
    <xf numFmtId="1" fontId="13" fillId="0" borderId="8" xfId="0" applyNumberFormat="1" applyFont="1" applyBorder="1"/>
    <xf numFmtId="1" fontId="0" fillId="0" borderId="27" xfId="0" applyNumberFormat="1" applyBorder="1"/>
    <xf numFmtId="164" fontId="0" fillId="0" borderId="8" xfId="0" applyNumberFormat="1" applyBorder="1" applyAlignment="1">
      <alignment horizontal="right"/>
    </xf>
    <xf numFmtId="164" fontId="0" fillId="0" borderId="0" xfId="0" applyNumberFormat="1" applyAlignment="1">
      <alignment horizontal="right"/>
    </xf>
    <xf numFmtId="164" fontId="0" fillId="0" borderId="7" xfId="0" applyNumberFormat="1" applyBorder="1" applyAlignment="1">
      <alignment horizontal="right"/>
    </xf>
    <xf numFmtId="164" fontId="0" fillId="0" borderId="27" xfId="0" applyNumberFormat="1" applyBorder="1" applyAlignment="1">
      <alignment horizontal="right"/>
    </xf>
    <xf numFmtId="0" fontId="0" fillId="9" borderId="0" xfId="0" applyFill="1"/>
    <xf numFmtId="0" fontId="0" fillId="9" borderId="8" xfId="0" applyFill="1" applyBorder="1"/>
    <xf numFmtId="164" fontId="0" fillId="9" borderId="1" xfId="0" applyNumberFormat="1" applyFill="1" applyBorder="1"/>
    <xf numFmtId="164" fontId="0" fillId="9" borderId="27" xfId="0" applyNumberFormat="1" applyFill="1" applyBorder="1" applyAlignment="1">
      <alignment horizontal="right"/>
    </xf>
    <xf numFmtId="164" fontId="0" fillId="0" borderId="7" xfId="0" applyNumberFormat="1" applyBorder="1"/>
    <xf numFmtId="164" fontId="0" fillId="9" borderId="27" xfId="0" applyNumberFormat="1" applyFill="1" applyBorder="1"/>
    <xf numFmtId="0" fontId="0" fillId="0" borderId="0" xfId="0" applyAlignment="1">
      <alignment horizontal="right"/>
    </xf>
    <xf numFmtId="164" fontId="0" fillId="9" borderId="1" xfId="0" applyNumberFormat="1" applyFill="1" applyBorder="1" applyAlignment="1">
      <alignment horizontal="right"/>
    </xf>
    <xf numFmtId="2" fontId="11" fillId="0" borderId="1" xfId="0" applyNumberFormat="1" applyFont="1" applyBorder="1" applyAlignment="1">
      <alignment horizontal="right"/>
    </xf>
    <xf numFmtId="0" fontId="0" fillId="9" borderId="0" xfId="0" applyFill="1" applyAlignment="1">
      <alignment horizontal="right"/>
    </xf>
    <xf numFmtId="0" fontId="0" fillId="9" borderId="1" xfId="0" applyFill="1" applyBorder="1" applyAlignment="1">
      <alignment horizontal="right"/>
    </xf>
    <xf numFmtId="0" fontId="0" fillId="0" borderId="1" xfId="0" applyBorder="1" applyAlignment="1">
      <alignment horizontal="right"/>
    </xf>
    <xf numFmtId="164" fontId="3" fillId="0" borderId="0" xfId="0" applyNumberFormat="1" applyFont="1" applyAlignment="1">
      <alignment horizontal="right"/>
    </xf>
    <xf numFmtId="164" fontId="0" fillId="0" borderId="26" xfId="0" applyNumberFormat="1" applyBorder="1" applyAlignment="1">
      <alignment horizontal="right"/>
    </xf>
    <xf numFmtId="1" fontId="0" fillId="0" borderId="26" xfId="0" applyNumberFormat="1" applyBorder="1" applyAlignment="1">
      <alignment horizontal="right"/>
    </xf>
    <xf numFmtId="1" fontId="13" fillId="0" borderId="0" xfId="0" applyNumberFormat="1" applyFont="1" applyAlignment="1">
      <alignment horizontal="right"/>
    </xf>
    <xf numFmtId="1" fontId="0" fillId="0" borderId="0" xfId="0" applyNumberFormat="1" applyAlignment="1">
      <alignment horizontal="right"/>
    </xf>
    <xf numFmtId="1" fontId="0" fillId="0" borderId="1" xfId="0" applyNumberFormat="1" applyBorder="1" applyAlignment="1">
      <alignment horizontal="right"/>
    </xf>
    <xf numFmtId="0" fontId="0" fillId="0" borderId="0" xfId="0" applyAlignment="1">
      <alignment horizontal="left" indent="1"/>
    </xf>
    <xf numFmtId="164" fontId="3" fillId="0" borderId="0" xfId="0" applyNumberFormat="1" applyFont="1" applyAlignment="1">
      <alignment horizontal="left" indent="1"/>
    </xf>
    <xf numFmtId="0" fontId="0" fillId="9" borderId="0" xfId="0" applyFill="1" applyAlignment="1">
      <alignment horizontal="left" indent="1"/>
    </xf>
    <xf numFmtId="164" fontId="0" fillId="0" borderId="26" xfId="0" applyNumberFormat="1" applyBorder="1" applyAlignment="1">
      <alignment horizontal="left" indent="1"/>
    </xf>
    <xf numFmtId="164" fontId="0" fillId="0" borderId="0" xfId="0" applyNumberFormat="1" applyAlignment="1">
      <alignment horizontal="left" indent="1"/>
    </xf>
    <xf numFmtId="164" fontId="0" fillId="9" borderId="1" xfId="0" applyNumberFormat="1" applyFill="1" applyBorder="1" applyAlignment="1">
      <alignment horizontal="left" indent="1"/>
    </xf>
    <xf numFmtId="2" fontId="11" fillId="0" borderId="1" xfId="0" applyNumberFormat="1" applyFont="1" applyBorder="1" applyAlignment="1">
      <alignment horizontal="left" indent="1"/>
    </xf>
    <xf numFmtId="1" fontId="0" fillId="0" borderId="26" xfId="0" applyNumberFormat="1" applyBorder="1" applyAlignment="1">
      <alignment horizontal="left" indent="1"/>
    </xf>
    <xf numFmtId="1" fontId="13" fillId="0" borderId="0" xfId="0" applyNumberFormat="1" applyFont="1" applyAlignment="1">
      <alignment horizontal="left" indent="1"/>
    </xf>
    <xf numFmtId="1" fontId="0" fillId="0" borderId="0" xfId="0" applyNumberFormat="1" applyAlignment="1">
      <alignment horizontal="left" indent="1"/>
    </xf>
    <xf numFmtId="1" fontId="0" fillId="0" borderId="1" xfId="0" applyNumberFormat="1" applyBorder="1" applyAlignment="1">
      <alignment horizontal="left" inden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6"/>
          <c:order val="6"/>
          <c:tx>
            <c:strRef>
              <c:f>'Pigs timeseries'!$A$11</c:f>
              <c:strCache>
                <c:ptCount val="1"/>
                <c:pt idx="0">
                  <c:v>Denmark</c:v>
                </c:pt>
              </c:strCache>
            </c:strRef>
          </c:tx>
          <c:spPr>
            <a:ln w="28575" cap="rnd">
              <a:solidFill>
                <a:schemeClr val="accent1">
                  <a:lumMod val="60000"/>
                </a:schemeClr>
              </a:solidFill>
              <a:round/>
            </a:ln>
            <a:effectLst/>
          </c:spPr>
          <c:marker>
            <c:symbol val="none"/>
          </c:marker>
          <c:cat>
            <c:numRef>
              <c:extLst>
                <c:ext xmlns:c15="http://schemas.microsoft.com/office/drawing/2012/chart" uri="{02D57815-91ED-43cb-92C2-25804820EDAC}">
                  <c15:fullRef>
                    <c15:sqref>'Pigs timeseries'!$B$4:$N$4</c15:sqref>
                  </c15:fullRef>
                </c:ext>
              </c:extLst>
              <c:f>'Pigs timeseries'!$C$4:$N$4</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timeseries'!$B$11:$N$11</c15:sqref>
                  </c15:fullRef>
                </c:ext>
              </c:extLst>
              <c:f>'Pigs timeseries'!$C$11:$N$11</c:f>
              <c:numCache>
                <c:formatCode>0</c:formatCode>
                <c:ptCount val="12"/>
                <c:pt idx="0">
                  <c:v>48.971177098406635</c:v>
                </c:pt>
                <c:pt idx="1">
                  <c:v>50.594641377633124</c:v>
                </c:pt>
                <c:pt idx="2">
                  <c:v>51.855360780065496</c:v>
                </c:pt>
                <c:pt idx="3">
                  <c:v>51.193939253613372</c:v>
                </c:pt>
                <c:pt idx="4">
                  <c:v>48.644584737376846</c:v>
                </c:pt>
                <c:pt idx="5">
                  <c:v>47.174062879147399</c:v>
                </c:pt>
                <c:pt idx="6">
                  <c:v>45.478569177474881</c:v>
                </c:pt>
                <c:pt idx="7">
                  <c:v>44.02103450130641</c:v>
                </c:pt>
                <c:pt idx="8">
                  <c:v>43.404351467072132</c:v>
                </c:pt>
                <c:pt idx="9">
                  <c:v>43.363948080158131</c:v>
                </c:pt>
                <c:pt idx="10">
                  <c:v>38.716570127253469</c:v>
                </c:pt>
                <c:pt idx="11">
                  <c:v>39.741335206743926</c:v>
                </c:pt>
              </c:numCache>
            </c:numRef>
          </c:val>
          <c:smooth val="0"/>
          <c:extLst>
            <c:ext xmlns:c16="http://schemas.microsoft.com/office/drawing/2014/chart" uri="{C3380CC4-5D6E-409C-BE32-E72D297353CC}">
              <c16:uniqueId val="{00000006-B703-4928-AA3D-1244679C7C2A}"/>
            </c:ext>
          </c:extLst>
        </c:ser>
        <c:ser>
          <c:idx val="9"/>
          <c:order val="9"/>
          <c:tx>
            <c:strRef>
              <c:f>'Pigs timeseries'!$A$14</c:f>
              <c:strCache>
                <c:ptCount val="1"/>
                <c:pt idx="0">
                  <c:v>France</c:v>
                </c:pt>
              </c:strCache>
            </c:strRef>
          </c:tx>
          <c:spPr>
            <a:ln w="28575" cap="rnd">
              <a:solidFill>
                <a:schemeClr val="accent4">
                  <a:lumMod val="60000"/>
                </a:schemeClr>
              </a:solidFill>
              <a:round/>
            </a:ln>
            <a:effectLst/>
          </c:spPr>
          <c:marker>
            <c:symbol val="none"/>
          </c:marker>
          <c:cat>
            <c:numRef>
              <c:extLst>
                <c:ext xmlns:c15="http://schemas.microsoft.com/office/drawing/2012/chart" uri="{02D57815-91ED-43cb-92C2-25804820EDAC}">
                  <c15:fullRef>
                    <c15:sqref>'Pigs timeseries'!$B$4:$N$4</c15:sqref>
                  </c15:fullRef>
                </c:ext>
              </c:extLst>
              <c:f>'Pigs timeseries'!$C$4:$N$4</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timeseries'!$B$14:$N$14</c15:sqref>
                  </c15:fullRef>
                </c:ext>
              </c:extLst>
              <c:f>'Pigs timeseries'!$C$14:$N$14</c:f>
              <c:numCache>
                <c:formatCode>0</c:formatCode>
                <c:ptCount val="12"/>
                <c:pt idx="0">
                  <c:v>167.27635974914745</c:v>
                </c:pt>
                <c:pt idx="1">
                  <c:v>148.03667517244193</c:v>
                </c:pt>
                <c:pt idx="2">
                  <c:v>137.47995429970661</c:v>
                </c:pt>
                <c:pt idx="3">
                  <c:v>154.22949797425159</c:v>
                </c:pt>
                <c:pt idx="4">
                  <c:v>101.43545814187208</c:v>
                </c:pt>
                <c:pt idx="5">
                  <c:v>105.31049319250074</c:v>
                </c:pt>
                <c:pt idx="6">
                  <c:v>100.82621746180443</c:v>
                </c:pt>
                <c:pt idx="7">
                  <c:v>95.688898121878182</c:v>
                </c:pt>
                <c:pt idx="8">
                  <c:v>86.822953258827781</c:v>
                </c:pt>
                <c:pt idx="9">
                  <c:v>84.529064037366666</c:v>
                </c:pt>
                <c:pt idx="10">
                  <c:v>76.905170732629031</c:v>
                </c:pt>
                <c:pt idx="11">
                  <c:v>58.221092330811828</c:v>
                </c:pt>
              </c:numCache>
            </c:numRef>
          </c:val>
          <c:smooth val="0"/>
          <c:extLst>
            <c:ext xmlns:c16="http://schemas.microsoft.com/office/drawing/2014/chart" uri="{C3380CC4-5D6E-409C-BE32-E72D297353CC}">
              <c16:uniqueId val="{00000009-B703-4928-AA3D-1244679C7C2A}"/>
            </c:ext>
          </c:extLst>
        </c:ser>
        <c:ser>
          <c:idx val="10"/>
          <c:order val="10"/>
          <c:tx>
            <c:strRef>
              <c:f>'Pigs timeseries'!$A$15</c:f>
              <c:strCache>
                <c:ptCount val="1"/>
                <c:pt idx="0">
                  <c:v>Germany</c:v>
                </c:pt>
              </c:strCache>
            </c:strRef>
          </c:tx>
          <c:spPr>
            <a:ln w="28575" cap="rnd">
              <a:solidFill>
                <a:schemeClr val="accent5">
                  <a:lumMod val="60000"/>
                </a:schemeClr>
              </a:solidFill>
              <a:round/>
            </a:ln>
            <a:effectLst/>
          </c:spPr>
          <c:marker>
            <c:symbol val="none"/>
          </c:marker>
          <c:cat>
            <c:numRef>
              <c:extLst>
                <c:ext xmlns:c15="http://schemas.microsoft.com/office/drawing/2012/chart" uri="{02D57815-91ED-43cb-92C2-25804820EDAC}">
                  <c15:fullRef>
                    <c15:sqref>'Pigs timeseries'!$B$4:$N$4</c15:sqref>
                  </c15:fullRef>
                </c:ext>
              </c:extLst>
              <c:f>'Pigs timeseries'!$C$4:$N$4</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timeseries'!$B$15:$N$15</c15:sqref>
                  </c15:fullRef>
                </c:ext>
              </c:extLst>
              <c:f>'Pigs timeseries'!$C$15:$N$15</c:f>
              <c:numCache>
                <c:formatCode>0</c:formatCode>
                <c:ptCount val="12"/>
                <c:pt idx="0">
                  <c:v>292.27862188322956</c:v>
                </c:pt>
                <c:pt idx="1">
                  <c:v>282.25045657003807</c:v>
                </c:pt>
                <c:pt idx="2">
                  <c:v>248.60461862756762</c:v>
                </c:pt>
                <c:pt idx="3">
                  <c:v>205.81883953973286</c:v>
                </c:pt>
                <c:pt idx="4">
                  <c:v>130.30906078814209</c:v>
                </c:pt>
                <c:pt idx="5">
                  <c:v>124.07536367078538</c:v>
                </c:pt>
                <c:pt idx="6">
                  <c:v>121.55864534983758</c:v>
                </c:pt>
                <c:pt idx="7">
                  <c:v>120.55138452202652</c:v>
                </c:pt>
                <c:pt idx="8">
                  <c:v>108.96403798622687</c:v>
                </c:pt>
                <c:pt idx="9">
                  <c:v>115.94307805455114</c:v>
                </c:pt>
                <c:pt idx="10">
                  <c:v>100.80082468598715</c:v>
                </c:pt>
                <c:pt idx="11">
                  <c:v>97.676295959884897</c:v>
                </c:pt>
              </c:numCache>
            </c:numRef>
          </c:val>
          <c:smooth val="0"/>
          <c:extLst>
            <c:ext xmlns:c16="http://schemas.microsoft.com/office/drawing/2014/chart" uri="{C3380CC4-5D6E-409C-BE32-E72D297353CC}">
              <c16:uniqueId val="{0000000A-B703-4928-AA3D-1244679C7C2A}"/>
            </c:ext>
          </c:extLst>
        </c:ser>
        <c:ser>
          <c:idx val="12"/>
          <c:order val="12"/>
          <c:tx>
            <c:strRef>
              <c:f>'Pigs timeseries'!$A$17</c:f>
              <c:strCache>
                <c:ptCount val="1"/>
                <c:pt idx="0">
                  <c:v>Hungary</c:v>
                </c:pt>
              </c:strCache>
            </c:strRef>
          </c:tx>
          <c:spPr>
            <a:ln w="28575" cap="rnd">
              <a:solidFill>
                <a:schemeClr val="accent1">
                  <a:lumMod val="80000"/>
                  <a:lumOff val="20000"/>
                </a:schemeClr>
              </a:solidFill>
              <a:round/>
            </a:ln>
            <a:effectLst/>
          </c:spPr>
          <c:marker>
            <c:symbol val="none"/>
          </c:marker>
          <c:cat>
            <c:numRef>
              <c:extLst>
                <c:ext xmlns:c15="http://schemas.microsoft.com/office/drawing/2012/chart" uri="{02D57815-91ED-43cb-92C2-25804820EDAC}">
                  <c15:fullRef>
                    <c15:sqref>'Pigs timeseries'!$B$4:$N$4</c15:sqref>
                  </c15:fullRef>
                </c:ext>
              </c:extLst>
              <c:f>'Pigs timeseries'!$C$4:$N$4</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timeseries'!$B$17:$N$17</c15:sqref>
                  </c15:fullRef>
                </c:ext>
              </c:extLst>
              <c:f>'Pigs timeseries'!$C$17:$N$17</c:f>
              <c:numCache>
                <c:formatCode>0</c:formatCode>
                <c:ptCount val="12"/>
                <c:pt idx="0">
                  <c:v>277.87737831782192</c:v>
                </c:pt>
                <c:pt idx="1">
                  <c:v>377.30823480640703</c:v>
                </c:pt>
                <c:pt idx="2">
                  <c:v>299.49281737977446</c:v>
                </c:pt>
                <c:pt idx="3">
                  <c:v>251.06795600896928</c:v>
                </c:pt>
                <c:pt idx="4">
                  <c:v>270.80632814070719</c:v>
                </c:pt>
                <c:pt idx="5">
                  <c:v>263.24221350941656</c:v>
                </c:pt>
                <c:pt idx="6">
                  <c:v>272.82860218510439</c:v>
                </c:pt>
                <c:pt idx="7">
                  <c:v>257.28776834797605</c:v>
                </c:pt>
                <c:pt idx="8">
                  <c:v>266.52159391419946</c:v>
                </c:pt>
                <c:pt idx="9">
                  <c:v>206.44472567463615</c:v>
                </c:pt>
                <c:pt idx="10">
                  <c:v>205.57876596588423</c:v>
                </c:pt>
                <c:pt idx="11">
                  <c:v>147.51273504176021</c:v>
                </c:pt>
              </c:numCache>
            </c:numRef>
          </c:val>
          <c:smooth val="0"/>
          <c:extLst>
            <c:ext xmlns:c16="http://schemas.microsoft.com/office/drawing/2014/chart" uri="{C3380CC4-5D6E-409C-BE32-E72D297353CC}">
              <c16:uniqueId val="{0000000C-B703-4928-AA3D-1244679C7C2A}"/>
            </c:ext>
          </c:extLst>
        </c:ser>
        <c:ser>
          <c:idx val="14"/>
          <c:order val="14"/>
          <c:tx>
            <c:strRef>
              <c:f>'Pigs timeseries'!$A$19</c:f>
              <c:strCache>
                <c:ptCount val="1"/>
                <c:pt idx="0">
                  <c:v>Ireland</c:v>
                </c:pt>
              </c:strCache>
            </c:strRef>
          </c:tx>
          <c:spPr>
            <a:ln w="28575" cap="rnd">
              <a:solidFill>
                <a:schemeClr val="accent3">
                  <a:lumMod val="80000"/>
                  <a:lumOff val="20000"/>
                </a:schemeClr>
              </a:solidFill>
              <a:round/>
            </a:ln>
            <a:effectLst/>
          </c:spPr>
          <c:marker>
            <c:symbol val="none"/>
          </c:marker>
          <c:cat>
            <c:numRef>
              <c:extLst>
                <c:ext xmlns:c15="http://schemas.microsoft.com/office/drawing/2012/chart" uri="{02D57815-91ED-43cb-92C2-25804820EDAC}">
                  <c15:fullRef>
                    <c15:sqref>'Pigs timeseries'!$B$4:$N$4</c15:sqref>
                  </c15:fullRef>
                </c:ext>
              </c:extLst>
              <c:f>'Pigs timeseries'!$C$4:$N$4</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timeseries'!$B$19:$N$19</c15:sqref>
                  </c15:fullRef>
                </c:ext>
              </c:extLst>
              <c:f>'Pigs timeseries'!$C$19:$N$19</c:f>
              <c:numCache>
                <c:formatCode>0</c:formatCode>
                <c:ptCount val="12"/>
                <c:pt idx="0">
                  <c:v>85.629911681393494</c:v>
                </c:pt>
                <c:pt idx="1">
                  <c:v>100.60776921614152</c:v>
                </c:pt>
                <c:pt idx="2">
                  <c:v>102.64788752456153</c:v>
                </c:pt>
                <c:pt idx="3">
                  <c:v>88.920913614460545</c:v>
                </c:pt>
                <c:pt idx="4">
                  <c:v>94.614783258060271</c:v>
                </c:pt>
                <c:pt idx="5">
                  <c:v>97.196168475567461</c:v>
                </c:pt>
                <c:pt idx="6">
                  <c:v>88.903605742518138</c:v>
                </c:pt>
                <c:pt idx="7">
                  <c:v>87.622913473996419</c:v>
                </c:pt>
                <c:pt idx="8">
                  <c:v>77.937096110827952</c:v>
                </c:pt>
                <c:pt idx="9">
                  <c:v>89.56394420680887</c:v>
                </c:pt>
                <c:pt idx="10">
                  <c:v>80.779931495754539</c:v>
                </c:pt>
                <c:pt idx="11">
                  <c:v>64.286068487517369</c:v>
                </c:pt>
              </c:numCache>
            </c:numRef>
          </c:val>
          <c:smooth val="0"/>
          <c:extLst>
            <c:ext xmlns:c16="http://schemas.microsoft.com/office/drawing/2014/chart" uri="{C3380CC4-5D6E-409C-BE32-E72D297353CC}">
              <c16:uniqueId val="{0000000E-B703-4928-AA3D-1244679C7C2A}"/>
            </c:ext>
          </c:extLst>
        </c:ser>
        <c:ser>
          <c:idx val="15"/>
          <c:order val="15"/>
          <c:tx>
            <c:strRef>
              <c:f>'Pigs timeseries'!$A$20</c:f>
              <c:strCache>
                <c:ptCount val="1"/>
                <c:pt idx="0">
                  <c:v>Italy</c:v>
                </c:pt>
              </c:strCache>
            </c:strRef>
          </c:tx>
          <c:spPr>
            <a:ln w="28575" cap="rnd">
              <a:solidFill>
                <a:schemeClr val="accent4">
                  <a:lumMod val="80000"/>
                  <a:lumOff val="20000"/>
                </a:schemeClr>
              </a:solidFill>
              <a:round/>
            </a:ln>
            <a:effectLst/>
          </c:spPr>
          <c:marker>
            <c:symbol val="none"/>
          </c:marker>
          <c:cat>
            <c:numRef>
              <c:extLst>
                <c:ext xmlns:c15="http://schemas.microsoft.com/office/drawing/2012/chart" uri="{02D57815-91ED-43cb-92C2-25804820EDAC}">
                  <c15:fullRef>
                    <c15:sqref>'Pigs timeseries'!$B$4:$N$4</c15:sqref>
                  </c15:fullRef>
                </c:ext>
              </c:extLst>
              <c:f>'Pigs timeseries'!$C$4:$N$4</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timeseries'!$B$20:$N$20</c15:sqref>
                  </c15:fullRef>
                </c:ext>
              </c:extLst>
              <c:f>'Pigs timeseries'!$C$20:$N$20</c:f>
              <c:numCache>
                <c:formatCode>0</c:formatCode>
                <c:ptCount val="12"/>
                <c:pt idx="0">
                  <c:v>557.06292111270557</c:v>
                </c:pt>
                <c:pt idx="1">
                  <c:v>511.73848807236038</c:v>
                </c:pt>
                <c:pt idx="2">
                  <c:v>453.71520414056198</c:v>
                </c:pt>
                <c:pt idx="3">
                  <c:v>494.52725178731043</c:v>
                </c:pt>
                <c:pt idx="4">
                  <c:v>483.99167911006356</c:v>
                </c:pt>
                <c:pt idx="5">
                  <c:v>445.60174351718103</c:v>
                </c:pt>
                <c:pt idx="6">
                  <c:v>418.46963856251585</c:v>
                </c:pt>
                <c:pt idx="7">
                  <c:v>356.52115505064694</c:v>
                </c:pt>
                <c:pt idx="8">
                  <c:v>287.06881228975857</c:v>
                </c:pt>
                <c:pt idx="9">
                  <c:v>274.35698223447071</c:v>
                </c:pt>
                <c:pt idx="10">
                  <c:v>261.8122286655971</c:v>
                </c:pt>
                <c:pt idx="11">
                  <c:v>239.51566529061836</c:v>
                </c:pt>
              </c:numCache>
            </c:numRef>
          </c:val>
          <c:smooth val="0"/>
          <c:extLst>
            <c:ext xmlns:c16="http://schemas.microsoft.com/office/drawing/2014/chart" uri="{C3380CC4-5D6E-409C-BE32-E72D297353CC}">
              <c16:uniqueId val="{0000000F-B703-4928-AA3D-1244679C7C2A}"/>
            </c:ext>
          </c:extLst>
        </c:ser>
        <c:ser>
          <c:idx val="20"/>
          <c:order val="20"/>
          <c:tx>
            <c:strRef>
              <c:f>'Pigs timeseries'!$A$25</c:f>
              <c:strCache>
                <c:ptCount val="1"/>
                <c:pt idx="0">
                  <c:v>Netherlands</c:v>
                </c:pt>
              </c:strCache>
            </c:strRef>
          </c:tx>
          <c:spPr>
            <a:ln w="28575" cap="rnd">
              <a:solidFill>
                <a:schemeClr val="accent3">
                  <a:lumMod val="80000"/>
                </a:schemeClr>
              </a:solidFill>
              <a:round/>
            </a:ln>
            <a:effectLst/>
          </c:spPr>
          <c:marker>
            <c:symbol val="none"/>
          </c:marker>
          <c:cat>
            <c:numRef>
              <c:extLst>
                <c:ext xmlns:c15="http://schemas.microsoft.com/office/drawing/2012/chart" uri="{02D57815-91ED-43cb-92C2-25804820EDAC}">
                  <c15:fullRef>
                    <c15:sqref>'Pigs timeseries'!$B$4:$N$4</c15:sqref>
                  </c15:fullRef>
                </c:ext>
              </c:extLst>
              <c:f>'Pigs timeseries'!$C$4:$N$4</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timeseries'!$B$25:$N$25</c15:sqref>
                  </c15:fullRef>
                </c:ext>
              </c:extLst>
              <c:f>'Pigs timeseries'!$C$25:$N$25</c:f>
              <c:numCache>
                <c:formatCode>0</c:formatCode>
                <c:ptCount val="12"/>
                <c:pt idx="0">
                  <c:v>157.50819215895694</c:v>
                </c:pt>
                <c:pt idx="1">
                  <c:v>105.24059811778081</c:v>
                </c:pt>
                <c:pt idx="2">
                  <c:v>97.811852083608898</c:v>
                </c:pt>
                <c:pt idx="3">
                  <c:v>94.234924415002979</c:v>
                </c:pt>
                <c:pt idx="4">
                  <c:v>86.436563721595505</c:v>
                </c:pt>
                <c:pt idx="5">
                  <c:v>71.138927874429868</c:v>
                </c:pt>
                <c:pt idx="6">
                  <c:v>76.170965750696297</c:v>
                </c:pt>
                <c:pt idx="7">
                  <c:v>77.068913244032331</c:v>
                </c:pt>
                <c:pt idx="8">
                  <c:v>64.03160480042358</c:v>
                </c:pt>
                <c:pt idx="9">
                  <c:v>66.951534087256803</c:v>
                </c:pt>
                <c:pt idx="10">
                  <c:v>64.102713910828356</c:v>
                </c:pt>
                <c:pt idx="11">
                  <c:v>49.27625568283139</c:v>
                </c:pt>
              </c:numCache>
            </c:numRef>
          </c:val>
          <c:smooth val="0"/>
          <c:extLst>
            <c:ext xmlns:c16="http://schemas.microsoft.com/office/drawing/2014/chart" uri="{C3380CC4-5D6E-409C-BE32-E72D297353CC}">
              <c16:uniqueId val="{00000014-B703-4928-AA3D-1244679C7C2A}"/>
            </c:ext>
          </c:extLst>
        </c:ser>
        <c:ser>
          <c:idx val="26"/>
          <c:order val="26"/>
          <c:tx>
            <c:strRef>
              <c:f>'Pigs timeseries'!$A$31</c:f>
              <c:strCache>
                <c:ptCount val="1"/>
                <c:pt idx="0">
                  <c:v>Slovenia</c:v>
                </c:pt>
              </c:strCache>
            </c:strRef>
          </c:tx>
          <c:spPr>
            <a:ln w="28575" cap="rnd">
              <a:solidFill>
                <a:schemeClr val="accent3">
                  <a:lumMod val="60000"/>
                  <a:lumOff val="40000"/>
                </a:schemeClr>
              </a:solidFill>
              <a:round/>
            </a:ln>
            <a:effectLst/>
          </c:spPr>
          <c:marker>
            <c:symbol val="none"/>
          </c:marker>
          <c:cat>
            <c:numRef>
              <c:extLst>
                <c:ext xmlns:c15="http://schemas.microsoft.com/office/drawing/2012/chart" uri="{02D57815-91ED-43cb-92C2-25804820EDAC}">
                  <c15:fullRef>
                    <c15:sqref>'Pigs timeseries'!$B$4:$N$4</c15:sqref>
                  </c15:fullRef>
                </c:ext>
              </c:extLst>
              <c:f>'Pigs timeseries'!$C$4:$N$4</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timeseries'!$B$31:$N$31</c15:sqref>
                  </c15:fullRef>
                </c:ext>
              </c:extLst>
              <c:f>'Pigs timeseries'!$C$31:$N$31</c:f>
              <c:numCache>
                <c:formatCode>0</c:formatCode>
                <c:ptCount val="12"/>
                <c:pt idx="0">
                  <c:v>85.122878939839396</c:v>
                </c:pt>
                <c:pt idx="1">
                  <c:v>58.521950508601051</c:v>
                </c:pt>
                <c:pt idx="2">
                  <c:v>41.444890220116697</c:v>
                </c:pt>
                <c:pt idx="3">
                  <c:v>63.042501079489874</c:v>
                </c:pt>
                <c:pt idx="4">
                  <c:v>50.119013565631768</c:v>
                </c:pt>
                <c:pt idx="5">
                  <c:v>57.890723104383106</c:v>
                </c:pt>
                <c:pt idx="6">
                  <c:v>70.260624724169773</c:v>
                </c:pt>
                <c:pt idx="7">
                  <c:v>82.949894362337332</c:v>
                </c:pt>
                <c:pt idx="8">
                  <c:v>86.125196768163732</c:v>
                </c:pt>
                <c:pt idx="9">
                  <c:v>64.15277935011936</c:v>
                </c:pt>
                <c:pt idx="10">
                  <c:v>60.94541895546071</c:v>
                </c:pt>
                <c:pt idx="11">
                  <c:v>49.591710710155219</c:v>
                </c:pt>
              </c:numCache>
            </c:numRef>
          </c:val>
          <c:smooth val="0"/>
          <c:extLst>
            <c:ext xmlns:c16="http://schemas.microsoft.com/office/drawing/2014/chart" uri="{C3380CC4-5D6E-409C-BE32-E72D297353CC}">
              <c16:uniqueId val="{0000001A-B703-4928-AA3D-1244679C7C2A}"/>
            </c:ext>
          </c:extLst>
        </c:ser>
        <c:ser>
          <c:idx val="27"/>
          <c:order val="27"/>
          <c:tx>
            <c:strRef>
              <c:f>'Pigs timeseries'!$A$32</c:f>
              <c:strCache>
                <c:ptCount val="1"/>
                <c:pt idx="0">
                  <c:v>Spain</c:v>
                </c:pt>
              </c:strCache>
            </c:strRef>
          </c:tx>
          <c:spPr>
            <a:ln w="28575" cap="rnd">
              <a:solidFill>
                <a:schemeClr val="accent4">
                  <a:lumMod val="60000"/>
                  <a:lumOff val="40000"/>
                </a:schemeClr>
              </a:solidFill>
              <a:round/>
            </a:ln>
            <a:effectLst/>
          </c:spPr>
          <c:marker>
            <c:symbol val="none"/>
          </c:marker>
          <c:cat>
            <c:numRef>
              <c:extLst>
                <c:ext xmlns:c15="http://schemas.microsoft.com/office/drawing/2012/chart" uri="{02D57815-91ED-43cb-92C2-25804820EDAC}">
                  <c15:fullRef>
                    <c15:sqref>'Pigs timeseries'!$B$4:$N$4</c15:sqref>
                  </c15:fullRef>
                </c:ext>
              </c:extLst>
              <c:f>'Pigs timeseries'!$C$4:$N$4</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timeseries'!$B$32:$N$32</c15:sqref>
                  </c15:fullRef>
                </c:ext>
              </c:extLst>
              <c:f>'Pigs timeseries'!$C$32:$N$32</c:f>
              <c:numCache>
                <c:formatCode>0</c:formatCode>
                <c:ptCount val="12"/>
                <c:pt idx="0">
                  <c:v>408.79931706950458</c:v>
                </c:pt>
                <c:pt idx="1">
                  <c:v>457.63291759579653</c:v>
                </c:pt>
                <c:pt idx="2">
                  <c:v>382.71099406863897</c:v>
                </c:pt>
                <c:pt idx="3">
                  <c:v>501.9998728784214</c:v>
                </c:pt>
                <c:pt idx="4">
                  <c:v>487.70964267558634</c:v>
                </c:pt>
                <c:pt idx="5">
                  <c:v>439.52638042378408</c:v>
                </c:pt>
                <c:pt idx="6">
                  <c:v>280.2582281263808</c:v>
                </c:pt>
                <c:pt idx="7">
                  <c:v>268.32152703526208</c:v>
                </c:pt>
                <c:pt idx="8">
                  <c:v>156.13546143997158</c:v>
                </c:pt>
                <c:pt idx="9">
                  <c:v>188.8606350727292</c:v>
                </c:pt>
                <c:pt idx="10">
                  <c:v>193.07790040592491</c:v>
                </c:pt>
                <c:pt idx="11">
                  <c:v>158.50136962263286</c:v>
                </c:pt>
              </c:numCache>
            </c:numRef>
          </c:val>
          <c:smooth val="0"/>
          <c:extLst>
            <c:ext xmlns:c16="http://schemas.microsoft.com/office/drawing/2014/chart" uri="{C3380CC4-5D6E-409C-BE32-E72D297353CC}">
              <c16:uniqueId val="{0000001B-B703-4928-AA3D-1244679C7C2A}"/>
            </c:ext>
          </c:extLst>
        </c:ser>
        <c:ser>
          <c:idx val="28"/>
          <c:order val="28"/>
          <c:tx>
            <c:strRef>
              <c:f>'Pigs timeseries'!$A$33</c:f>
              <c:strCache>
                <c:ptCount val="1"/>
                <c:pt idx="0">
                  <c:v>Sweden</c:v>
                </c:pt>
              </c:strCache>
            </c:strRef>
          </c:tx>
          <c:spPr>
            <a:ln w="28575" cap="rnd">
              <a:solidFill>
                <a:schemeClr val="accent5">
                  <a:lumMod val="60000"/>
                  <a:lumOff val="40000"/>
                </a:schemeClr>
              </a:solidFill>
              <a:round/>
            </a:ln>
            <a:effectLst/>
          </c:spPr>
          <c:marker>
            <c:symbol val="none"/>
          </c:marker>
          <c:cat>
            <c:numRef>
              <c:extLst>
                <c:ext xmlns:c15="http://schemas.microsoft.com/office/drawing/2012/chart" uri="{02D57815-91ED-43cb-92C2-25804820EDAC}">
                  <c15:fullRef>
                    <c15:sqref>'Pigs timeseries'!$B$4:$N$4</c15:sqref>
                  </c15:fullRef>
                </c:ext>
              </c:extLst>
              <c:f>'Pigs timeseries'!$C$4:$N$4</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timeseries'!$B$33:$N$33</c15:sqref>
                  </c15:fullRef>
                </c:ext>
              </c:extLst>
              <c:f>'Pigs timeseries'!$C$33:$N$33</c:f>
              <c:numCache>
                <c:formatCode>0</c:formatCode>
                <c:ptCount val="12"/>
                <c:pt idx="0">
                  <c:v>23.698024811299625</c:v>
                </c:pt>
                <c:pt idx="1">
                  <c:v>17.994094173145005</c:v>
                </c:pt>
                <c:pt idx="2">
                  <c:v>22.466144756363072</c:v>
                </c:pt>
                <c:pt idx="3">
                  <c:v>20.44358124458806</c:v>
                </c:pt>
                <c:pt idx="4">
                  <c:v>21.071477541427534</c:v>
                </c:pt>
                <c:pt idx="5">
                  <c:v>21.582837053836151</c:v>
                </c:pt>
                <c:pt idx="6">
                  <c:v>21.350366065090146</c:v>
                </c:pt>
                <c:pt idx="7">
                  <c:v>22.11693271892257</c:v>
                </c:pt>
                <c:pt idx="8">
                  <c:v>20.827782995760806</c:v>
                </c:pt>
                <c:pt idx="9">
                  <c:v>22.218737204068873</c:v>
                </c:pt>
                <c:pt idx="10">
                  <c:v>22.078661724123652</c:v>
                </c:pt>
                <c:pt idx="11">
                  <c:v>19.263115594617684</c:v>
                </c:pt>
              </c:numCache>
            </c:numRef>
          </c:val>
          <c:smooth val="0"/>
          <c:extLst>
            <c:ext xmlns:c16="http://schemas.microsoft.com/office/drawing/2014/chart" uri="{C3380CC4-5D6E-409C-BE32-E72D297353CC}">
              <c16:uniqueId val="{0000001C-B703-4928-AA3D-1244679C7C2A}"/>
            </c:ext>
          </c:extLst>
        </c:ser>
        <c:dLbls>
          <c:showLegendKey val="0"/>
          <c:showVal val="0"/>
          <c:showCatName val="0"/>
          <c:showSerName val="0"/>
          <c:showPercent val="0"/>
          <c:showBubbleSize val="0"/>
        </c:dLbls>
        <c:smooth val="0"/>
        <c:axId val="1169786479"/>
        <c:axId val="1169789839"/>
        <c:extLst>
          <c:ext xmlns:c15="http://schemas.microsoft.com/office/drawing/2012/chart" uri="{02D57815-91ED-43cb-92C2-25804820EDAC}">
            <c15:filteredLineSeries>
              <c15:ser>
                <c:idx val="0"/>
                <c:order val="0"/>
                <c:tx>
                  <c:strRef>
                    <c:extLst>
                      <c:ext uri="{02D57815-91ED-43cb-92C2-25804820EDAC}">
                        <c15:formulaRef>
                          <c15:sqref>'Pigs timeseries'!$A$5</c15:sqref>
                        </c15:formulaRef>
                      </c:ext>
                    </c:extLst>
                    <c:strCache>
                      <c:ptCount val="1"/>
                      <c:pt idx="0">
                        <c:v>Austria</c:v>
                      </c:pt>
                    </c:strCache>
                  </c:strRef>
                </c:tx>
                <c:spPr>
                  <a:ln w="28575" cap="rnd">
                    <a:solidFill>
                      <a:schemeClr val="accent1"/>
                    </a:solidFill>
                    <a:round/>
                  </a:ln>
                  <a:effectLst/>
                </c:spPr>
                <c:marker>
                  <c:symbol val="none"/>
                </c:marker>
                <c:cat>
                  <c:numRef>
                    <c:extLst>
                      <c:ex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uri="{02D57815-91ED-43cb-92C2-25804820EDAC}">
                        <c15:fullRef>
                          <c15:sqref>'Pigs timeseries'!$B$5:$N$5</c15:sqref>
                        </c15:fullRef>
                        <c15:formulaRef>
                          <c15:sqref>'Pigs timeseries'!$C$5:$N$5</c15:sqref>
                        </c15:formulaRef>
                      </c:ext>
                    </c:extLst>
                    <c:numCache>
                      <c:formatCode>0</c:formatCode>
                      <c:ptCount val="12"/>
                      <c:pt idx="0">
                        <c:v>79.709350177383172</c:v>
                      </c:pt>
                      <c:pt idx="1">
                        <c:v>80.568753762829616</c:v>
                      </c:pt>
                      <c:pt idx="2">
                        <c:v>84.195367150448334</c:v>
                      </c:pt>
                      <c:pt idx="3">
                        <c:v>83.207589179754279</c:v>
                      </c:pt>
                      <c:pt idx="4">
                        <c:v>75.047204142476346</c:v>
                      </c:pt>
                      <c:pt idx="5">
                        <c:v>68.518731269430958</c:v>
                      </c:pt>
                      <c:pt idx="6">
                        <c:v>69.655732682823057</c:v>
                      </c:pt>
                      <c:pt idx="7">
                        <c:v>75.387708124987682</c:v>
                      </c:pt>
                      <c:pt idx="8">
                        <c:v>64.060760813506931</c:v>
                      </c:pt>
                      <c:pt idx="9">
                        <c:v>69.489648801052766</c:v>
                      </c:pt>
                      <c:pt idx="10">
                        <c:v>62.038097218327295</c:v>
                      </c:pt>
                      <c:pt idx="11">
                        <c:v>55.195005403570121</c:v>
                      </c:pt>
                    </c:numCache>
                  </c:numRef>
                </c:val>
                <c:smooth val="0"/>
                <c:extLst>
                  <c:ext xmlns:c16="http://schemas.microsoft.com/office/drawing/2014/chart" uri="{C3380CC4-5D6E-409C-BE32-E72D297353CC}">
                    <c16:uniqueId val="{00000000-B703-4928-AA3D-1244679C7C2A}"/>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'Pigs timeseries'!$A$6</c15:sqref>
                        </c15:formulaRef>
                      </c:ext>
                    </c:extLst>
                    <c:strCache>
                      <c:ptCount val="1"/>
                      <c:pt idx="0">
                        <c:v>Belgium</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timeseries'!$B$6:$N$6</c15:sqref>
                        </c15:fullRef>
                        <c15:formulaRef>
                          <c15:sqref>'Pigs timeseries'!$C$6:$N$6</c15:sqref>
                        </c15:formulaRef>
                      </c:ext>
                    </c:extLst>
                    <c:numCache>
                      <c:formatCode>0</c:formatCode>
                      <c:ptCount val="12"/>
                      <c:pt idx="0">
                        <c:v>224.41766322174831</c:v>
                      </c:pt>
                      <c:pt idx="1">
                        <c:v>208.4282630126383</c:v>
                      </c:pt>
                      <c:pt idx="2">
                        <c:v>198.97989779801438</c:v>
                      </c:pt>
                      <c:pt idx="3">
                        <c:v>202.17093313680348</c:v>
                      </c:pt>
                      <c:pt idx="4">
                        <c:v>196.11576588701612</c:v>
                      </c:pt>
                      <c:pt idx="5">
                        <c:v>185.08748022768253</c:v>
                      </c:pt>
                      <c:pt idx="6">
                        <c:v>175.87158741342694</c:v>
                      </c:pt>
                      <c:pt idx="7">
                        <c:v>152.40664686623361</c:v>
                      </c:pt>
                      <c:pt idx="8">
                        <c:v>137.50246785508887</c:v>
                      </c:pt>
                      <c:pt idx="9">
                        <c:v>140.97060847922862</c:v>
                      </c:pt>
                      <c:pt idx="10">
                        <c:v>128.75579971734919</c:v>
                      </c:pt>
                      <c:pt idx="11">
                        <c:v>100.06433837765016</c:v>
                      </c:pt>
                    </c:numCache>
                  </c:numRef>
                </c:val>
                <c:smooth val="0"/>
                <c:extLst xmlns:c15="http://schemas.microsoft.com/office/drawing/2012/chart">
                  <c:ext xmlns:c16="http://schemas.microsoft.com/office/drawing/2014/chart" uri="{C3380CC4-5D6E-409C-BE32-E72D297353CC}">
                    <c16:uniqueId val="{00000001-B703-4928-AA3D-1244679C7C2A}"/>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'Pigs timeseries'!$A$7</c15:sqref>
                        </c15:formulaRef>
                      </c:ext>
                    </c:extLst>
                    <c:strCache>
                      <c:ptCount val="1"/>
                      <c:pt idx="0">
                        <c:v>Bulgaria</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timeseries'!$B$7:$N$7</c15:sqref>
                        </c15:fullRef>
                        <c15:formulaRef>
                          <c15:sqref>'Pigs timeseries'!$C$7:$N$7</c15:sqref>
                        </c15:formulaRef>
                      </c:ext>
                    </c:extLst>
                    <c:numCache>
                      <c:formatCode>0</c:formatCode>
                      <c:ptCount val="12"/>
                      <c:pt idx="0">
                        <c:v>191.90831195299964</c:v>
                      </c:pt>
                      <c:pt idx="1">
                        <c:v>203.66133749734959</c:v>
                      </c:pt>
                      <c:pt idx="2">
                        <c:v>238.77357000570913</c:v>
                      </c:pt>
                      <c:pt idx="3">
                        <c:v>168.69567068795678</c:v>
                      </c:pt>
                      <c:pt idx="4">
                        <c:v>235.24497785353574</c:v>
                      </c:pt>
                      <c:pt idx="5">
                        <c:v>292.39292261988157</c:v>
                      </c:pt>
                      <c:pt idx="6">
                        <c:v>241.41424293758408</c:v>
                      </c:pt>
                      <c:pt idx="7">
                        <c:v>217.22629146777868</c:v>
                      </c:pt>
                      <c:pt idx="8">
                        <c:v>204.14828821225038</c:v>
                      </c:pt>
                      <c:pt idx="9">
                        <c:v>224.54089904868005</c:v>
                      </c:pt>
                      <c:pt idx="10">
                        <c:v>222.75513114367953</c:v>
                      </c:pt>
                      <c:pt idx="11">
                        <c:v>180.22729260925345</c:v>
                      </c:pt>
                    </c:numCache>
                  </c:numRef>
                </c:val>
                <c:smooth val="0"/>
                <c:extLst xmlns:c15="http://schemas.microsoft.com/office/drawing/2012/chart">
                  <c:ext xmlns:c16="http://schemas.microsoft.com/office/drawing/2014/chart" uri="{C3380CC4-5D6E-409C-BE32-E72D297353CC}">
                    <c16:uniqueId val="{00000002-B703-4928-AA3D-1244679C7C2A}"/>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'Pigs timeseries'!$A$8</c15:sqref>
                        </c15:formulaRef>
                      </c:ext>
                    </c:extLst>
                    <c:strCache>
                      <c:ptCount val="1"/>
                      <c:pt idx="0">
                        <c:v>Croatia</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timeseries'!$B$8:$N$8</c15:sqref>
                        </c15:fullRef>
                        <c15:formulaRef>
                          <c15:sqref>'Pigs timeseries'!$C$8:$N$8</c15:sqref>
                        </c15:formulaRef>
                      </c:ext>
                    </c:extLst>
                    <c:numCache>
                      <c:formatCode>0</c:formatCode>
                      <c:ptCount val="12"/>
                      <c:pt idx="0">
                        <c:v>0</c:v>
                      </c:pt>
                      <c:pt idx="1">
                        <c:v>0</c:v>
                      </c:pt>
                      <c:pt idx="2">
                        <c:v>0</c:v>
                      </c:pt>
                      <c:pt idx="3">
                        <c:v>172.20972588537049</c:v>
                      </c:pt>
                      <c:pt idx="4">
                        <c:v>149.75140660048268</c:v>
                      </c:pt>
                      <c:pt idx="5">
                        <c:v>136.00022827092778</c:v>
                      </c:pt>
                      <c:pt idx="6">
                        <c:v>110.97545763918293</c:v>
                      </c:pt>
                      <c:pt idx="7">
                        <c:v>115.51593245000772</c:v>
                      </c:pt>
                      <c:pt idx="8">
                        <c:v>101.75112479125809</c:v>
                      </c:pt>
                      <c:pt idx="9">
                        <c:v>112.37540549191907</c:v>
                      </c:pt>
                      <c:pt idx="10">
                        <c:v>100.81195198259232</c:v>
                      </c:pt>
                      <c:pt idx="11">
                        <c:v>91.64348614009981</c:v>
                      </c:pt>
                    </c:numCache>
                  </c:numRef>
                </c:val>
                <c:smooth val="0"/>
                <c:extLst xmlns:c15="http://schemas.microsoft.com/office/drawing/2012/chart">
                  <c:ext xmlns:c16="http://schemas.microsoft.com/office/drawing/2014/chart" uri="{C3380CC4-5D6E-409C-BE32-E72D297353CC}">
                    <c16:uniqueId val="{00000003-B703-4928-AA3D-1244679C7C2A}"/>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'Pigs timeseries'!$A$9</c15:sqref>
                        </c15:formulaRef>
                      </c:ext>
                    </c:extLst>
                    <c:strCache>
                      <c:ptCount val="1"/>
                      <c:pt idx="0">
                        <c:v>Cyprus</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timeseries'!$B$9:$N$9</c15:sqref>
                        </c15:fullRef>
                        <c15:formulaRef>
                          <c15:sqref>'Pigs timeseries'!$C$9:$N$9</c15:sqref>
                        </c15:formulaRef>
                      </c:ext>
                    </c:extLst>
                    <c:numCache>
                      <c:formatCode>0</c:formatCode>
                      <c:ptCount val="12"/>
                      <c:pt idx="0">
                        <c:v>529.60941548919391</c:v>
                      </c:pt>
                      <c:pt idx="1">
                        <c:v>489.51071455942412</c:v>
                      </c:pt>
                      <c:pt idx="2">
                        <c:v>540.13383608366235</c:v>
                      </c:pt>
                      <c:pt idx="3">
                        <c:v>510.53494702592877</c:v>
                      </c:pt>
                      <c:pt idx="4">
                        <c:v>563.95053227388632</c:v>
                      </c:pt>
                      <c:pt idx="5">
                        <c:v>558.88911756114976</c:v>
                      </c:pt>
                      <c:pt idx="6">
                        <c:v>542.04114652028784</c:v>
                      </c:pt>
                      <c:pt idx="7">
                        <c:v>636.72266989373918</c:v>
                      </c:pt>
                      <c:pt idx="8">
                        <c:v>566.99855767746715</c:v>
                      </c:pt>
                      <c:pt idx="9">
                        <c:v>564.19292730225402</c:v>
                      </c:pt>
                      <c:pt idx="10">
                        <c:v>492.72755355402705</c:v>
                      </c:pt>
                      <c:pt idx="11">
                        <c:v>417.78279196789032</c:v>
                      </c:pt>
                    </c:numCache>
                  </c:numRef>
                </c:val>
                <c:smooth val="0"/>
                <c:extLst xmlns:c15="http://schemas.microsoft.com/office/drawing/2012/chart">
                  <c:ext xmlns:c16="http://schemas.microsoft.com/office/drawing/2014/chart" uri="{C3380CC4-5D6E-409C-BE32-E72D297353CC}">
                    <c16:uniqueId val="{00000004-B703-4928-AA3D-1244679C7C2A}"/>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'Pigs timeseries'!$A$10</c15:sqref>
                        </c15:formulaRef>
                      </c:ext>
                    </c:extLst>
                    <c:strCache>
                      <c:ptCount val="1"/>
                      <c:pt idx="0">
                        <c:v>Czech Republic</c:v>
                      </c:pt>
                    </c:strCache>
                  </c:strRef>
                </c:tx>
                <c:spPr>
                  <a:ln w="28575" cap="rnd">
                    <a:solidFill>
                      <a:schemeClr val="accent6"/>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timeseries'!$B$10:$N$10</c15:sqref>
                        </c15:fullRef>
                        <c15:formulaRef>
                          <c15:sqref>'Pigs timeseries'!$C$10:$N$10</c15:sqref>
                        </c15:formulaRef>
                      </c:ext>
                    </c:extLst>
                    <c:numCache>
                      <c:formatCode>0</c:formatCode>
                      <c:ptCount val="12"/>
                      <c:pt idx="0">
                        <c:v>103.83390076779548</c:v>
                      </c:pt>
                      <c:pt idx="1">
                        <c:v>97.576020684561172</c:v>
                      </c:pt>
                      <c:pt idx="2">
                        <c:v>103.51945564511489</c:v>
                      </c:pt>
                      <c:pt idx="3">
                        <c:v>102.85524691269448</c:v>
                      </c:pt>
                      <c:pt idx="4">
                        <c:v>90.175047515539617</c:v>
                      </c:pt>
                      <c:pt idx="5">
                        <c:v>80.457088593746832</c:v>
                      </c:pt>
                      <c:pt idx="6">
                        <c:v>84.010274521517545</c:v>
                      </c:pt>
                      <c:pt idx="7">
                        <c:v>76.211325846723696</c:v>
                      </c:pt>
                      <c:pt idx="8">
                        <c:v>72.529622509008661</c:v>
                      </c:pt>
                      <c:pt idx="9">
                        <c:v>75.62083999963329</c:v>
                      </c:pt>
                      <c:pt idx="10">
                        <c:v>66.845636031918474</c:v>
                      </c:pt>
                      <c:pt idx="11">
                        <c:v>62.752326686809411</c:v>
                      </c:pt>
                    </c:numCache>
                  </c:numRef>
                </c:val>
                <c:smooth val="0"/>
                <c:extLst xmlns:c15="http://schemas.microsoft.com/office/drawing/2012/chart">
                  <c:ext xmlns:c16="http://schemas.microsoft.com/office/drawing/2014/chart" uri="{C3380CC4-5D6E-409C-BE32-E72D297353CC}">
                    <c16:uniqueId val="{00000005-B703-4928-AA3D-1244679C7C2A}"/>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'Pigs timeseries'!$A$12</c15:sqref>
                        </c15:formulaRef>
                      </c:ext>
                    </c:extLst>
                    <c:strCache>
                      <c:ptCount val="1"/>
                      <c:pt idx="0">
                        <c:v>Estonia</c:v>
                      </c:pt>
                    </c:strCache>
                  </c:strRef>
                </c:tx>
                <c:spPr>
                  <a:ln w="28575" cap="rnd">
                    <a:solidFill>
                      <a:schemeClr val="accent2">
                        <a:lumMod val="60000"/>
                      </a:schemeClr>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timeseries'!$B$12:$N$12</c15:sqref>
                        </c15:fullRef>
                        <c15:formulaRef>
                          <c15:sqref>'Pigs timeseries'!$C$12:$N$12</c15:sqref>
                        </c15:formulaRef>
                      </c:ext>
                    </c:extLst>
                    <c:numCache>
                      <c:formatCode>0</c:formatCode>
                      <c:ptCount val="12"/>
                      <c:pt idx="0">
                        <c:v>110.55959788334141</c:v>
                      </c:pt>
                      <c:pt idx="1">
                        <c:v>95.054745181456681</c:v>
                      </c:pt>
                      <c:pt idx="2">
                        <c:v>103.61419852194767</c:v>
                      </c:pt>
                      <c:pt idx="3">
                        <c:v>114.68219248883717</c:v>
                      </c:pt>
                      <c:pt idx="4">
                        <c:v>98.152070266980431</c:v>
                      </c:pt>
                      <c:pt idx="5">
                        <c:v>98.723424382483159</c:v>
                      </c:pt>
                      <c:pt idx="6">
                        <c:v>87.220573844742745</c:v>
                      </c:pt>
                      <c:pt idx="7">
                        <c:v>81.066557418267777</c:v>
                      </c:pt>
                      <c:pt idx="8">
                        <c:v>81.325820612109311</c:v>
                      </c:pt>
                      <c:pt idx="9">
                        <c:v>74.179541695021072</c:v>
                      </c:pt>
                      <c:pt idx="10">
                        <c:v>70.14580702130516</c:v>
                      </c:pt>
                      <c:pt idx="11">
                        <c:v>69.90644512239507</c:v>
                      </c:pt>
                    </c:numCache>
                  </c:numRef>
                </c:val>
                <c:smooth val="0"/>
                <c:extLst xmlns:c15="http://schemas.microsoft.com/office/drawing/2012/chart">
                  <c:ext xmlns:c16="http://schemas.microsoft.com/office/drawing/2014/chart" uri="{C3380CC4-5D6E-409C-BE32-E72D297353CC}">
                    <c16:uniqueId val="{00000007-B703-4928-AA3D-1244679C7C2A}"/>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'Pigs timeseries'!$A$13</c15:sqref>
                        </c15:formulaRef>
                      </c:ext>
                    </c:extLst>
                    <c:strCache>
                      <c:ptCount val="1"/>
                      <c:pt idx="0">
                        <c:v>Finland</c:v>
                      </c:pt>
                    </c:strCache>
                  </c:strRef>
                </c:tx>
                <c:spPr>
                  <a:ln w="28575" cap="rnd">
                    <a:solidFill>
                      <a:schemeClr val="accent3">
                        <a:lumMod val="60000"/>
                      </a:schemeClr>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timeseries'!$B$13:$N$13</c15:sqref>
                        </c15:fullRef>
                        <c15:formulaRef>
                          <c15:sqref>'Pigs timeseries'!$C$13:$N$13</c15:sqref>
                        </c15:formulaRef>
                      </c:ext>
                    </c:extLst>
                    <c:numCache>
                      <c:formatCode>0</c:formatCode>
                      <c:ptCount val="12"/>
                      <c:pt idx="0">
                        <c:v>32.736631204397035</c:v>
                      </c:pt>
                      <c:pt idx="1">
                        <c:v>33.104702678271948</c:v>
                      </c:pt>
                      <c:pt idx="2">
                        <c:v>33.996700707842344</c:v>
                      </c:pt>
                      <c:pt idx="3">
                        <c:v>34.327592347636021</c:v>
                      </c:pt>
                      <c:pt idx="4">
                        <c:v>31.323440077587005</c:v>
                      </c:pt>
                      <c:pt idx="5">
                        <c:v>28.459442931397099</c:v>
                      </c:pt>
                      <c:pt idx="6">
                        <c:v>30.113531054159786</c:v>
                      </c:pt>
                      <c:pt idx="7">
                        <c:v>29.449276537877836</c:v>
                      </c:pt>
                      <c:pt idx="8">
                        <c:v>30.827209074918272</c:v>
                      </c:pt>
                      <c:pt idx="9">
                        <c:v>25.983587695074629</c:v>
                      </c:pt>
                      <c:pt idx="10">
                        <c:v>27.151577059069922</c:v>
                      </c:pt>
                      <c:pt idx="11">
                        <c:v>23.948905604953239</c:v>
                      </c:pt>
                    </c:numCache>
                  </c:numRef>
                </c:val>
                <c:smooth val="0"/>
                <c:extLst xmlns:c15="http://schemas.microsoft.com/office/drawing/2012/chart">
                  <c:ext xmlns:c16="http://schemas.microsoft.com/office/drawing/2014/chart" uri="{C3380CC4-5D6E-409C-BE32-E72D297353CC}">
                    <c16:uniqueId val="{00000008-B703-4928-AA3D-1244679C7C2A}"/>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'Pigs timeseries'!$A$16</c15:sqref>
                        </c15:formulaRef>
                      </c:ext>
                    </c:extLst>
                    <c:strCache>
                      <c:ptCount val="1"/>
                      <c:pt idx="0">
                        <c:v>Greece</c:v>
                      </c:pt>
                    </c:strCache>
                  </c:strRef>
                </c:tx>
                <c:spPr>
                  <a:ln w="28575" cap="rnd">
                    <a:solidFill>
                      <a:schemeClr val="accent6">
                        <a:lumMod val="60000"/>
                      </a:schemeClr>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timeseries'!$B$16:$N$16</c15:sqref>
                        </c15:fullRef>
                        <c15:formulaRef>
                          <c15:sqref>'Pigs timeseries'!$C$16:$N$16</c15:sqref>
                        </c15:formulaRef>
                      </c:ext>
                    </c:extLst>
                    <c:numCache>
                      <c:formatCode>0</c:formatCode>
                      <c:ptCount val="12"/>
                      <c:pt idx="0">
                        <c:v>0</c:v>
                      </c:pt>
                      <c:pt idx="1">
                        <c:v>0</c:v>
                      </c:pt>
                      <c:pt idx="2">
                        <c:v>0</c:v>
                      </c:pt>
                      <c:pt idx="3">
                        <c:v>0</c:v>
                      </c:pt>
                      <c:pt idx="4">
                        <c:v>120.21964253562419</c:v>
                      </c:pt>
                      <c:pt idx="5">
                        <c:v>134.73349802183193</c:v>
                      </c:pt>
                      <c:pt idx="6">
                        <c:v>199.82421378866655</c:v>
                      </c:pt>
                      <c:pt idx="7">
                        <c:v>196.62181547293827</c:v>
                      </c:pt>
                      <c:pt idx="8">
                        <c:v>179.3357444988805</c:v>
                      </c:pt>
                      <c:pt idx="9">
                        <c:v>200.11239050464818</c:v>
                      </c:pt>
                      <c:pt idx="10">
                        <c:v>223.72894061806289</c:v>
                      </c:pt>
                      <c:pt idx="11">
                        <c:v>183.1439144207946</c:v>
                      </c:pt>
                    </c:numCache>
                  </c:numRef>
                </c:val>
                <c:smooth val="0"/>
                <c:extLst xmlns:c15="http://schemas.microsoft.com/office/drawing/2012/chart">
                  <c:ext xmlns:c16="http://schemas.microsoft.com/office/drawing/2014/chart" uri="{C3380CC4-5D6E-409C-BE32-E72D297353CC}">
                    <c16:uniqueId val="{0000000B-B703-4928-AA3D-1244679C7C2A}"/>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'Pigs timeseries'!$A$18</c15:sqref>
                        </c15:formulaRef>
                      </c:ext>
                    </c:extLst>
                    <c:strCache>
                      <c:ptCount val="1"/>
                      <c:pt idx="0">
                        <c:v>Iceland</c:v>
                      </c:pt>
                    </c:strCache>
                  </c:strRef>
                </c:tx>
                <c:spPr>
                  <a:ln w="28575" cap="rnd">
                    <a:solidFill>
                      <a:schemeClr val="accent2">
                        <a:lumMod val="80000"/>
                        <a:lumOff val="20000"/>
                      </a:schemeClr>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timeseries'!$B$18:$N$18</c15:sqref>
                        </c15:fullRef>
                        <c15:formulaRef>
                          <c15:sqref>'Pigs timeseries'!$C$18:$N$18</c15:sqref>
                        </c15:formulaRef>
                      </c:ext>
                    </c:extLst>
                    <c:numCache>
                      <c:formatCode>0</c:formatCode>
                      <c:ptCount val="12"/>
                      <c:pt idx="0">
                        <c:v>17.196158704884688</c:v>
                      </c:pt>
                      <c:pt idx="1">
                        <c:v>15.20255572753692</c:v>
                      </c:pt>
                      <c:pt idx="2">
                        <c:v>13.807057718861264</c:v>
                      </c:pt>
                      <c:pt idx="3">
                        <c:v>13.449735127079677</c:v>
                      </c:pt>
                      <c:pt idx="4">
                        <c:v>13.033534090674515</c:v>
                      </c:pt>
                      <c:pt idx="5">
                        <c:v>11.649415590029843</c:v>
                      </c:pt>
                      <c:pt idx="6">
                        <c:v>10.931017241567769</c:v>
                      </c:pt>
                      <c:pt idx="7">
                        <c:v>11.580934974883993</c:v>
                      </c:pt>
                      <c:pt idx="8">
                        <c:v>7.9964617871709223</c:v>
                      </c:pt>
                      <c:pt idx="9">
                        <c:v>8.4512658594555941</c:v>
                      </c:pt>
                      <c:pt idx="10">
                        <c:v>7.5962955058589907</c:v>
                      </c:pt>
                      <c:pt idx="11">
                        <c:v>9.2684465995417398</c:v>
                      </c:pt>
                    </c:numCache>
                  </c:numRef>
                </c:val>
                <c:smooth val="0"/>
                <c:extLst xmlns:c15="http://schemas.microsoft.com/office/drawing/2012/chart">
                  <c:ext xmlns:c16="http://schemas.microsoft.com/office/drawing/2014/chart" uri="{C3380CC4-5D6E-409C-BE32-E72D297353CC}">
                    <c16:uniqueId val="{0000000D-B703-4928-AA3D-1244679C7C2A}"/>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'Pigs timeseries'!$A$21</c15:sqref>
                        </c15:formulaRef>
                      </c:ext>
                    </c:extLst>
                    <c:strCache>
                      <c:ptCount val="1"/>
                      <c:pt idx="0">
                        <c:v>Latvia</c:v>
                      </c:pt>
                    </c:strCache>
                  </c:strRef>
                </c:tx>
                <c:spPr>
                  <a:ln w="28575" cap="rnd">
                    <a:solidFill>
                      <a:schemeClr val="accent5">
                        <a:lumMod val="80000"/>
                        <a:lumOff val="20000"/>
                      </a:schemeClr>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timeseries'!$B$21:$N$21</c15:sqref>
                        </c15:fullRef>
                        <c15:formulaRef>
                          <c15:sqref>'Pigs timeseries'!$C$21:$N$21</c15:sqref>
                        </c15:formulaRef>
                      </c:ext>
                    </c:extLst>
                    <c:numCache>
                      <c:formatCode>0</c:formatCode>
                      <c:ptCount val="12"/>
                      <c:pt idx="0">
                        <c:v>63.251180105626489</c:v>
                      </c:pt>
                      <c:pt idx="1">
                        <c:v>70.542747036238296</c:v>
                      </c:pt>
                      <c:pt idx="2">
                        <c:v>64.613559767670381</c:v>
                      </c:pt>
                      <c:pt idx="3">
                        <c:v>62.269020849678192</c:v>
                      </c:pt>
                      <c:pt idx="4">
                        <c:v>62.824119681949242</c:v>
                      </c:pt>
                      <c:pt idx="5">
                        <c:v>50.506476635025898</c:v>
                      </c:pt>
                      <c:pt idx="6">
                        <c:v>55.120601070506495</c:v>
                      </c:pt>
                      <c:pt idx="7">
                        <c:v>59.275064880408365</c:v>
                      </c:pt>
                      <c:pt idx="8">
                        <c:v>46.251542139743563</c:v>
                      </c:pt>
                      <c:pt idx="9">
                        <c:v>49.210428215143637</c:v>
                      </c:pt>
                      <c:pt idx="10">
                        <c:v>42.873937351238347</c:v>
                      </c:pt>
                      <c:pt idx="11">
                        <c:v>34.398659702054545</c:v>
                      </c:pt>
                    </c:numCache>
                  </c:numRef>
                </c:val>
                <c:smooth val="0"/>
                <c:extLst xmlns:c15="http://schemas.microsoft.com/office/drawing/2012/chart">
                  <c:ext xmlns:c16="http://schemas.microsoft.com/office/drawing/2014/chart" uri="{C3380CC4-5D6E-409C-BE32-E72D297353CC}">
                    <c16:uniqueId val="{00000010-B703-4928-AA3D-1244679C7C2A}"/>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'Pigs timeseries'!$A$22</c15:sqref>
                        </c15:formulaRef>
                      </c:ext>
                    </c:extLst>
                    <c:strCache>
                      <c:ptCount val="1"/>
                      <c:pt idx="0">
                        <c:v>Lithuania</c:v>
                      </c:pt>
                    </c:strCache>
                  </c:strRef>
                </c:tx>
                <c:spPr>
                  <a:ln w="28575" cap="rnd">
                    <a:solidFill>
                      <a:schemeClr val="accent6">
                        <a:lumMod val="80000"/>
                        <a:lumOff val="20000"/>
                      </a:schemeClr>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timeseries'!$B$22:$N$22</c15:sqref>
                        </c15:fullRef>
                        <c15:formulaRef>
                          <c15:sqref>'Pigs timeseries'!$C$22:$N$22</c15:sqref>
                        </c15:formulaRef>
                      </c:ext>
                    </c:extLst>
                    <c:numCache>
                      <c:formatCode>0</c:formatCode>
                      <c:ptCount val="12"/>
                      <c:pt idx="0">
                        <c:v>68.814599184526756</c:v>
                      </c:pt>
                      <c:pt idx="1">
                        <c:v>65.286363754151381</c:v>
                      </c:pt>
                      <c:pt idx="2">
                        <c:v>48.057547037247581</c:v>
                      </c:pt>
                      <c:pt idx="3">
                        <c:v>58.886138949178722</c:v>
                      </c:pt>
                      <c:pt idx="4">
                        <c:v>58.698417690219735</c:v>
                      </c:pt>
                      <c:pt idx="5">
                        <c:v>62.854121844347254</c:v>
                      </c:pt>
                      <c:pt idx="6">
                        <c:v>57.50298287220572</c:v>
                      </c:pt>
                      <c:pt idx="7">
                        <c:v>55.279621896136952</c:v>
                      </c:pt>
                      <c:pt idx="8">
                        <c:v>109.56599076290405</c:v>
                      </c:pt>
                      <c:pt idx="9">
                        <c:v>99.502456758744287</c:v>
                      </c:pt>
                      <c:pt idx="10">
                        <c:v>116.35466273176995</c:v>
                      </c:pt>
                      <c:pt idx="11">
                        <c:v>79.530548965158673</c:v>
                      </c:pt>
                    </c:numCache>
                  </c:numRef>
                </c:val>
                <c:smooth val="0"/>
                <c:extLst xmlns:c15="http://schemas.microsoft.com/office/drawing/2012/chart">
                  <c:ext xmlns:c16="http://schemas.microsoft.com/office/drawing/2014/chart" uri="{C3380CC4-5D6E-409C-BE32-E72D297353CC}">
                    <c16:uniqueId val="{00000011-B703-4928-AA3D-1244679C7C2A}"/>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'Pigs timeseries'!$A$23</c15:sqref>
                        </c15:formulaRef>
                      </c:ext>
                    </c:extLst>
                    <c:strCache>
                      <c:ptCount val="1"/>
                      <c:pt idx="0">
                        <c:v>Luxembourg</c:v>
                      </c:pt>
                    </c:strCache>
                  </c:strRef>
                </c:tx>
                <c:spPr>
                  <a:ln w="28575" cap="rnd">
                    <a:solidFill>
                      <a:schemeClr val="accent1">
                        <a:lumMod val="80000"/>
                      </a:schemeClr>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timeseries'!$B$23:$N$23</c15:sqref>
                        </c15:fullRef>
                        <c15:formulaRef>
                          <c15:sqref>'Pigs timeseries'!$C$23:$N$23</c15:sqref>
                        </c15:formulaRef>
                      </c:ext>
                    </c:extLst>
                    <c:numCache>
                      <c:formatCode>0</c:formatCode>
                      <c:ptCount val="12"/>
                      <c:pt idx="0">
                        <c:v>0</c:v>
                      </c:pt>
                      <c:pt idx="1">
                        <c:v>72.637078000333091</c:v>
                      </c:pt>
                      <c:pt idx="2">
                        <c:v>87.396352919790743</c:v>
                      </c:pt>
                      <c:pt idx="3">
                        <c:v>68.385033237565892</c:v>
                      </c:pt>
                      <c:pt idx="4">
                        <c:v>58.640189581458472</c:v>
                      </c:pt>
                      <c:pt idx="5">
                        <c:v>60.103744040684781</c:v>
                      </c:pt>
                      <c:pt idx="6">
                        <c:v>59.766392341612047</c:v>
                      </c:pt>
                      <c:pt idx="7">
                        <c:v>57.769494510901104</c:v>
                      </c:pt>
                      <c:pt idx="8">
                        <c:v>50.542945705682151</c:v>
                      </c:pt>
                      <c:pt idx="9">
                        <c:v>50.604152057819519</c:v>
                      </c:pt>
                      <c:pt idx="10">
                        <c:v>47.370160454354597</c:v>
                      </c:pt>
                      <c:pt idx="11">
                        <c:v>42.917570465854638</c:v>
                      </c:pt>
                    </c:numCache>
                  </c:numRef>
                </c:val>
                <c:smooth val="0"/>
                <c:extLst xmlns:c15="http://schemas.microsoft.com/office/drawing/2012/chart">
                  <c:ext xmlns:c16="http://schemas.microsoft.com/office/drawing/2014/chart" uri="{C3380CC4-5D6E-409C-BE32-E72D297353CC}">
                    <c16:uniqueId val="{00000012-B703-4928-AA3D-1244679C7C2A}"/>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'Pigs timeseries'!$A$24</c15:sqref>
                        </c15:formulaRef>
                      </c:ext>
                    </c:extLst>
                    <c:strCache>
                      <c:ptCount val="1"/>
                      <c:pt idx="0">
                        <c:v>Malta</c:v>
                      </c:pt>
                    </c:strCache>
                  </c:strRef>
                </c:tx>
                <c:spPr>
                  <a:ln w="28575" cap="rnd">
                    <a:solidFill>
                      <a:schemeClr val="accent2">
                        <a:lumMod val="80000"/>
                      </a:schemeClr>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timeseries'!$B$24:$N$24</c15:sqref>
                        </c15:fullRef>
                        <c15:formulaRef>
                          <c15:sqref>'Pigs timeseries'!$C$24:$N$24</c15:sqref>
                        </c15:formulaRef>
                      </c:ext>
                    </c:extLst>
                    <c:numCache>
                      <c:formatCode>0</c:formatCode>
                      <c:ptCount val="12"/>
                      <c:pt idx="0">
                        <c:v>0</c:v>
                      </c:pt>
                      <c:pt idx="1">
                        <c:v>0</c:v>
                      </c:pt>
                      <c:pt idx="2">
                        <c:v>0</c:v>
                      </c:pt>
                      <c:pt idx="3">
                        <c:v>0</c:v>
                      </c:pt>
                      <c:pt idx="4">
                        <c:v>0</c:v>
                      </c:pt>
                      <c:pt idx="5">
                        <c:v>0</c:v>
                      </c:pt>
                      <c:pt idx="6">
                        <c:v>193.15602885376489</c:v>
                      </c:pt>
                      <c:pt idx="7">
                        <c:v>221.83246248762347</c:v>
                      </c:pt>
                      <c:pt idx="8">
                        <c:v>166.29897457462852</c:v>
                      </c:pt>
                      <c:pt idx="9">
                        <c:v>178.40694053951805</c:v>
                      </c:pt>
                      <c:pt idx="10">
                        <c:v>174.80585088978671</c:v>
                      </c:pt>
                      <c:pt idx="11">
                        <c:v>120.22689410087466</c:v>
                      </c:pt>
                    </c:numCache>
                  </c:numRef>
                </c:val>
                <c:smooth val="0"/>
                <c:extLst xmlns:c15="http://schemas.microsoft.com/office/drawing/2012/chart">
                  <c:ext xmlns:c16="http://schemas.microsoft.com/office/drawing/2014/chart" uri="{C3380CC4-5D6E-409C-BE32-E72D297353CC}">
                    <c16:uniqueId val="{00000013-B703-4928-AA3D-1244679C7C2A}"/>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'Pigs timeseries'!$A$26</c15:sqref>
                        </c15:formulaRef>
                      </c:ext>
                    </c:extLst>
                    <c:strCache>
                      <c:ptCount val="1"/>
                      <c:pt idx="0">
                        <c:v>Norway</c:v>
                      </c:pt>
                    </c:strCache>
                  </c:strRef>
                </c:tx>
                <c:spPr>
                  <a:ln w="28575" cap="rnd">
                    <a:solidFill>
                      <a:schemeClr val="accent4">
                        <a:lumMod val="80000"/>
                      </a:schemeClr>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timeseries'!$B$26:$N$26</c15:sqref>
                        </c15:fullRef>
                        <c15:formulaRef>
                          <c15:sqref>'Pigs timeseries'!$C$26:$N$26</c15:sqref>
                        </c15:formulaRef>
                      </c:ext>
                    </c:extLst>
                    <c:numCache>
                      <c:formatCode>0</c:formatCode>
                      <c:ptCount val="12"/>
                      <c:pt idx="0">
                        <c:v>5.5908345976542968</c:v>
                      </c:pt>
                      <c:pt idx="1">
                        <c:v>5.8680546580440085</c:v>
                      </c:pt>
                      <c:pt idx="2">
                        <c:v>5.5715914344727455</c:v>
                      </c:pt>
                      <c:pt idx="3">
                        <c:v>4.7612496086398535</c:v>
                      </c:pt>
                      <c:pt idx="4">
                        <c:v>4.4333276621484226</c:v>
                      </c:pt>
                      <c:pt idx="5">
                        <c:v>4.4430118383873669</c:v>
                      </c:pt>
                      <c:pt idx="6">
                        <c:v>4.773672702365241</c:v>
                      </c:pt>
                      <c:pt idx="7">
                        <c:v>4.5912538390323165</c:v>
                      </c:pt>
                      <c:pt idx="8">
                        <c:v>3.632128729691813</c:v>
                      </c:pt>
                      <c:pt idx="9">
                        <c:v>3.6296299649036481</c:v>
                      </c:pt>
                      <c:pt idx="10">
                        <c:v>3.6225979078090984</c:v>
                      </c:pt>
                      <c:pt idx="11">
                        <c:v>3.3096331860374888</c:v>
                      </c:pt>
                    </c:numCache>
                  </c:numRef>
                </c:val>
                <c:smooth val="0"/>
                <c:extLst xmlns:c15="http://schemas.microsoft.com/office/drawing/2012/chart">
                  <c:ext xmlns:c16="http://schemas.microsoft.com/office/drawing/2014/chart" uri="{C3380CC4-5D6E-409C-BE32-E72D297353CC}">
                    <c16:uniqueId val="{00000015-B703-4928-AA3D-1244679C7C2A}"/>
                  </c:ext>
                </c:extLst>
              </c15:ser>
            </c15:filteredLineSeries>
            <c15:filteredLineSeries>
              <c15:ser>
                <c:idx val="22"/>
                <c:order val="22"/>
                <c:tx>
                  <c:strRef>
                    <c:extLst xmlns:c15="http://schemas.microsoft.com/office/drawing/2012/chart">
                      <c:ext xmlns:c15="http://schemas.microsoft.com/office/drawing/2012/chart" uri="{02D57815-91ED-43cb-92C2-25804820EDAC}">
                        <c15:formulaRef>
                          <c15:sqref>'Pigs timeseries'!$A$27</c15:sqref>
                        </c15:formulaRef>
                      </c:ext>
                    </c:extLst>
                    <c:strCache>
                      <c:ptCount val="1"/>
                      <c:pt idx="0">
                        <c:v>Poland</c:v>
                      </c:pt>
                    </c:strCache>
                  </c:strRef>
                </c:tx>
                <c:spPr>
                  <a:ln w="28575" cap="rnd">
                    <a:solidFill>
                      <a:schemeClr val="accent5">
                        <a:lumMod val="80000"/>
                      </a:schemeClr>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timeseries'!$B$27:$N$27</c15:sqref>
                        </c15:fullRef>
                        <c15:formulaRef>
                          <c15:sqref>'Pigs timeseries'!$C$27:$N$27</c15:sqref>
                        </c15:formulaRef>
                      </c:ext>
                    </c:extLst>
                    <c:numCache>
                      <c:formatCode>0</c:formatCode>
                      <c:ptCount val="12"/>
                      <c:pt idx="0">
                        <c:v>181.67066117408871</c:v>
                      </c:pt>
                      <c:pt idx="1">
                        <c:v>203.00553837114228</c:v>
                      </c:pt>
                      <c:pt idx="2">
                        <c:v>226.4231946224379</c:v>
                      </c:pt>
                      <c:pt idx="3">
                        <c:v>207.77166057383707</c:v>
                      </c:pt>
                      <c:pt idx="4">
                        <c:v>208.86029493190944</c:v>
                      </c:pt>
                      <c:pt idx="5">
                        <c:v>195.29807964509811</c:v>
                      </c:pt>
                      <c:pt idx="6">
                        <c:v>250.19702860305139</c:v>
                      </c:pt>
                      <c:pt idx="7">
                        <c:v>259.35694473841295</c:v>
                      </c:pt>
                      <c:pt idx="8">
                        <c:v>284.94223350256721</c:v>
                      </c:pt>
                      <c:pt idx="9">
                        <c:v>290.52841945731723</c:v>
                      </c:pt>
                      <c:pt idx="10">
                        <c:v>268.96978098905549</c:v>
                      </c:pt>
                      <c:pt idx="11">
                        <c:v>307.99122311428272</c:v>
                      </c:pt>
                    </c:numCache>
                  </c:numRef>
                </c:val>
                <c:smooth val="0"/>
                <c:extLst xmlns:c15="http://schemas.microsoft.com/office/drawing/2012/chart">
                  <c:ext xmlns:c16="http://schemas.microsoft.com/office/drawing/2014/chart" uri="{C3380CC4-5D6E-409C-BE32-E72D297353CC}">
                    <c16:uniqueId val="{00000016-B703-4928-AA3D-1244679C7C2A}"/>
                  </c:ext>
                </c:extLst>
              </c15:ser>
            </c15:filteredLineSeries>
            <c15:filteredLineSeries>
              <c15:ser>
                <c:idx val="23"/>
                <c:order val="23"/>
                <c:tx>
                  <c:strRef>
                    <c:extLst xmlns:c15="http://schemas.microsoft.com/office/drawing/2012/chart">
                      <c:ext xmlns:c15="http://schemas.microsoft.com/office/drawing/2012/chart" uri="{02D57815-91ED-43cb-92C2-25804820EDAC}">
                        <c15:formulaRef>
                          <c15:sqref>'Pigs timeseries'!$A$28</c15:sqref>
                        </c15:formulaRef>
                      </c:ext>
                    </c:extLst>
                    <c:strCache>
                      <c:ptCount val="1"/>
                      <c:pt idx="0">
                        <c:v>Portugal</c:v>
                      </c:pt>
                    </c:strCache>
                  </c:strRef>
                </c:tx>
                <c:spPr>
                  <a:ln w="28575" cap="rnd">
                    <a:solidFill>
                      <a:schemeClr val="accent6">
                        <a:lumMod val="80000"/>
                      </a:schemeClr>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timeseries'!$B$28:$N$28</c15:sqref>
                        </c15:fullRef>
                        <c15:formulaRef>
                          <c15:sqref>'Pigs timeseries'!$C$28:$N$28</c15:sqref>
                        </c15:formulaRef>
                      </c:ext>
                    </c:extLst>
                    <c:numCache>
                      <c:formatCode>0</c:formatCode>
                      <c:ptCount val="12"/>
                      <c:pt idx="0">
                        <c:v>222.33323542039588</c:v>
                      </c:pt>
                      <c:pt idx="1">
                        <c:v>214.68338509652233</c:v>
                      </c:pt>
                      <c:pt idx="2">
                        <c:v>257.78724114278526</c:v>
                      </c:pt>
                      <c:pt idx="3">
                        <c:v>275.22906724742126</c:v>
                      </c:pt>
                      <c:pt idx="4">
                        <c:v>235.31389034773585</c:v>
                      </c:pt>
                      <c:pt idx="5">
                        <c:v>290.45964453436756</c:v>
                      </c:pt>
                      <c:pt idx="6">
                        <c:v>189.82332003574427</c:v>
                      </c:pt>
                      <c:pt idx="7">
                        <c:v>263.13359188442064</c:v>
                      </c:pt>
                      <c:pt idx="8">
                        <c:v>203.1045610369674</c:v>
                      </c:pt>
                      <c:pt idx="9">
                        <c:v>245.02802957654805</c:v>
                      </c:pt>
                      <c:pt idx="10">
                        <c:v>213.61598607981048</c:v>
                      </c:pt>
                      <c:pt idx="11">
                        <c:v>112.88337286201254</c:v>
                      </c:pt>
                    </c:numCache>
                  </c:numRef>
                </c:val>
                <c:smooth val="0"/>
                <c:extLst xmlns:c15="http://schemas.microsoft.com/office/drawing/2012/chart">
                  <c:ext xmlns:c16="http://schemas.microsoft.com/office/drawing/2014/chart" uri="{C3380CC4-5D6E-409C-BE32-E72D297353CC}">
                    <c16:uniqueId val="{00000017-B703-4928-AA3D-1244679C7C2A}"/>
                  </c:ext>
                </c:extLst>
              </c15:ser>
            </c15:filteredLineSeries>
            <c15:filteredLineSeries>
              <c15:ser>
                <c:idx val="24"/>
                <c:order val="24"/>
                <c:tx>
                  <c:strRef>
                    <c:extLst xmlns:c15="http://schemas.microsoft.com/office/drawing/2012/chart">
                      <c:ext xmlns:c15="http://schemas.microsoft.com/office/drawing/2012/chart" uri="{02D57815-91ED-43cb-92C2-25804820EDAC}">
                        <c15:formulaRef>
                          <c15:sqref>'Pigs timeseries'!$A$29</c15:sqref>
                        </c15:formulaRef>
                      </c:ext>
                    </c:extLst>
                    <c:strCache>
                      <c:ptCount val="1"/>
                      <c:pt idx="0">
                        <c:v>Romania</c:v>
                      </c:pt>
                    </c:strCache>
                  </c:strRef>
                </c:tx>
                <c:spPr>
                  <a:ln w="28575" cap="rnd">
                    <a:solidFill>
                      <a:schemeClr val="accent1">
                        <a:lumMod val="60000"/>
                        <a:lumOff val="40000"/>
                      </a:schemeClr>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timeseries'!$B$29:$N$29</c15:sqref>
                        </c15:fullRef>
                        <c15:formulaRef>
                          <c15:sqref>'Pigs timeseries'!$C$29:$N$29</c15:sqref>
                        </c15:formulaRef>
                      </c:ext>
                    </c:extLst>
                    <c:numCache>
                      <c:formatCode>0</c:formatCode>
                      <c:ptCount val="12"/>
                      <c:pt idx="0">
                        <c:v>0</c:v>
                      </c:pt>
                      <c:pt idx="1">
                        <c:v>0</c:v>
                      </c:pt>
                      <c:pt idx="2">
                        <c:v>0</c:v>
                      </c:pt>
                      <c:pt idx="3">
                        <c:v>230.36561132845677</c:v>
                      </c:pt>
                      <c:pt idx="4">
                        <c:v>213.22018354361518</c:v>
                      </c:pt>
                      <c:pt idx="5">
                        <c:v>166.06172169497844</c:v>
                      </c:pt>
                      <c:pt idx="6">
                        <c:v>177.93198789097178</c:v>
                      </c:pt>
                      <c:pt idx="7">
                        <c:v>161.72275724344235</c:v>
                      </c:pt>
                      <c:pt idx="8">
                        <c:v>98.11879411009194</c:v>
                      </c:pt>
                      <c:pt idx="9">
                        <c:v>106.80985806893824</c:v>
                      </c:pt>
                      <c:pt idx="10">
                        <c:v>105.70103844290446</c:v>
                      </c:pt>
                      <c:pt idx="11">
                        <c:v>87.989311357904839</c:v>
                      </c:pt>
                    </c:numCache>
                  </c:numRef>
                </c:val>
                <c:smooth val="0"/>
                <c:extLst xmlns:c15="http://schemas.microsoft.com/office/drawing/2012/chart">
                  <c:ext xmlns:c16="http://schemas.microsoft.com/office/drawing/2014/chart" uri="{C3380CC4-5D6E-409C-BE32-E72D297353CC}">
                    <c16:uniqueId val="{00000018-B703-4928-AA3D-1244679C7C2A}"/>
                  </c:ext>
                </c:extLst>
              </c15:ser>
            </c15:filteredLineSeries>
            <c15:filteredLineSeries>
              <c15:ser>
                <c:idx val="25"/>
                <c:order val="25"/>
                <c:tx>
                  <c:strRef>
                    <c:extLst xmlns:c15="http://schemas.microsoft.com/office/drawing/2012/chart">
                      <c:ext xmlns:c15="http://schemas.microsoft.com/office/drawing/2012/chart" uri="{02D57815-91ED-43cb-92C2-25804820EDAC}">
                        <c15:formulaRef>
                          <c15:sqref>'Pigs timeseries'!$A$30</c15:sqref>
                        </c15:formulaRef>
                      </c:ext>
                    </c:extLst>
                    <c:strCache>
                      <c:ptCount val="1"/>
                      <c:pt idx="0">
                        <c:v>Slovakia</c:v>
                      </c:pt>
                    </c:strCache>
                  </c:strRef>
                </c:tx>
                <c:spPr>
                  <a:ln w="28575" cap="rnd">
                    <a:solidFill>
                      <a:schemeClr val="accent2">
                        <a:lumMod val="60000"/>
                        <a:lumOff val="40000"/>
                      </a:schemeClr>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timeseries'!$B$30:$N$30</c15:sqref>
                        </c15:fullRef>
                        <c15:formulaRef>
                          <c15:sqref>'Pigs timeseries'!$C$30:$N$30</c15:sqref>
                        </c15:formulaRef>
                      </c:ext>
                    </c:extLst>
                    <c:numCache>
                      <c:formatCode>0</c:formatCode>
                      <c:ptCount val="12"/>
                      <c:pt idx="0">
                        <c:v>73.696915631581959</c:v>
                      </c:pt>
                      <c:pt idx="1">
                        <c:v>60.921362279410552</c:v>
                      </c:pt>
                      <c:pt idx="2">
                        <c:v>99.43644444438614</c:v>
                      </c:pt>
                      <c:pt idx="3">
                        <c:v>109.92664532318508</c:v>
                      </c:pt>
                      <c:pt idx="4">
                        <c:v>85.172385328346039</c:v>
                      </c:pt>
                      <c:pt idx="5">
                        <c:v>85.742394450314677</c:v>
                      </c:pt>
                      <c:pt idx="6">
                        <c:v>108.2410810589957</c:v>
                      </c:pt>
                      <c:pt idx="7">
                        <c:v>81.610047805016137</c:v>
                      </c:pt>
                      <c:pt idx="8">
                        <c:v>69.460202596049982</c:v>
                      </c:pt>
                      <c:pt idx="9">
                        <c:v>86.099777769293055</c:v>
                      </c:pt>
                      <c:pt idx="10">
                        <c:v>68.160762202532567</c:v>
                      </c:pt>
                      <c:pt idx="11">
                        <c:v>69.445565600991145</c:v>
                      </c:pt>
                    </c:numCache>
                  </c:numRef>
                </c:val>
                <c:smooth val="0"/>
                <c:extLst xmlns:c15="http://schemas.microsoft.com/office/drawing/2012/chart">
                  <c:ext xmlns:c16="http://schemas.microsoft.com/office/drawing/2014/chart" uri="{C3380CC4-5D6E-409C-BE32-E72D297353CC}">
                    <c16:uniqueId val="{00000019-B703-4928-AA3D-1244679C7C2A}"/>
                  </c:ext>
                </c:extLst>
              </c15:ser>
            </c15:filteredLineSeries>
            <c15:filteredLineSeries>
              <c15:ser>
                <c:idx val="29"/>
                <c:order val="29"/>
                <c:tx>
                  <c:strRef>
                    <c:extLst xmlns:c15="http://schemas.microsoft.com/office/drawing/2012/chart">
                      <c:ext xmlns:c15="http://schemas.microsoft.com/office/drawing/2012/chart" uri="{02D57815-91ED-43cb-92C2-25804820EDAC}">
                        <c15:formulaRef>
                          <c15:sqref>'Pigs timeseries'!$A$34</c15:sqref>
                        </c15:formulaRef>
                      </c:ext>
                    </c:extLst>
                    <c:strCache>
                      <c:ptCount val="1"/>
                      <c:pt idx="0">
                        <c:v>Switzerland</c:v>
                      </c:pt>
                    </c:strCache>
                  </c:strRef>
                </c:tx>
                <c:spPr>
                  <a:ln w="28575" cap="rnd">
                    <a:solidFill>
                      <a:schemeClr val="accent6">
                        <a:lumMod val="60000"/>
                        <a:lumOff val="40000"/>
                      </a:schemeClr>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timeseries'!$B$34:$N$34</c15:sqref>
                        </c15:fullRef>
                        <c15:formulaRef>
                          <c15:sqref>'Pigs timeseries'!$C$34:$N$34</c15:sqref>
                        </c15:formulaRef>
                      </c:ext>
                    </c:extLst>
                    <c:numCache>
                      <c:formatCode>0</c:formatCode>
                      <c:ptCount val="12"/>
                      <c:pt idx="0">
                        <c:v>0</c:v>
                      </c:pt>
                      <c:pt idx="1">
                        <c:v>0</c:v>
                      </c:pt>
                      <c:pt idx="2">
                        <c:v>0</c:v>
                      </c:pt>
                      <c:pt idx="3">
                        <c:v>90.948301410693688</c:v>
                      </c:pt>
                      <c:pt idx="4">
                        <c:v>81.235454245605496</c:v>
                      </c:pt>
                      <c:pt idx="5">
                        <c:v>75.270202481584249</c:v>
                      </c:pt>
                      <c:pt idx="6">
                        <c:v>64.667640934326627</c:v>
                      </c:pt>
                      <c:pt idx="7">
                        <c:v>66.268252740849121</c:v>
                      </c:pt>
                      <c:pt idx="8">
                        <c:v>59.852471414903036</c:v>
                      </c:pt>
                      <c:pt idx="9">
                        <c:v>57.566262265719068</c:v>
                      </c:pt>
                      <c:pt idx="10">
                        <c:v>53.52918065002968</c:v>
                      </c:pt>
                      <c:pt idx="11">
                        <c:v>45.895062913871158</c:v>
                      </c:pt>
                    </c:numCache>
                  </c:numRef>
                </c:val>
                <c:smooth val="0"/>
                <c:extLst xmlns:c15="http://schemas.microsoft.com/office/drawing/2012/chart">
                  <c:ext xmlns:c16="http://schemas.microsoft.com/office/drawing/2014/chart" uri="{C3380CC4-5D6E-409C-BE32-E72D297353CC}">
                    <c16:uniqueId val="{0000001D-B703-4928-AA3D-1244679C7C2A}"/>
                  </c:ext>
                </c:extLst>
              </c15:ser>
            </c15:filteredLineSeries>
            <c15:filteredLineSeries>
              <c15:ser>
                <c:idx val="30"/>
                <c:order val="30"/>
                <c:tx>
                  <c:strRef>
                    <c:extLst xmlns:c15="http://schemas.microsoft.com/office/drawing/2012/chart">
                      <c:ext xmlns:c15="http://schemas.microsoft.com/office/drawing/2012/chart" uri="{02D57815-91ED-43cb-92C2-25804820EDAC}">
                        <c15:formulaRef>
                          <c15:sqref>'Pigs timeseries'!$A$35</c15:sqref>
                        </c15:formulaRef>
                      </c:ext>
                    </c:extLst>
                    <c:strCache>
                      <c:ptCount val="1"/>
                      <c:pt idx="0">
                        <c:v>United Kingdom</c:v>
                      </c:pt>
                    </c:strCache>
                  </c:strRef>
                </c:tx>
                <c:spPr>
                  <a:ln w="28575" cap="rnd">
                    <a:solidFill>
                      <a:schemeClr val="accent1">
                        <a:lumMod val="50000"/>
                      </a:schemeClr>
                    </a:solidFill>
                    <a:round/>
                  </a:ln>
                  <a:effectLst/>
                </c:spPr>
                <c:marker>
                  <c:symbol val="none"/>
                </c:marker>
                <c:cat>
                  <c:numRef>
                    <c:extLst>
                      <c:ext xmlns:c15="http://schemas.microsoft.com/office/drawing/2012/chart" uri="{02D57815-91ED-43cb-92C2-25804820EDAC}">
                        <c15:fullRef>
                          <c15:sqref>'Pigs timeseries'!$B$4:$N$4</c15:sqref>
                        </c15:fullRef>
                        <c15:formulaRef>
                          <c15:sqref>'Pigs timeseries'!$C$4:$N$4</c15:sqref>
                        </c15:formulaRef>
                      </c:ext>
                    </c:extLst>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extLst>
                      <c:ext xmlns:c15="http://schemas.microsoft.com/office/drawing/2012/chart" uri="{02D57815-91ED-43cb-92C2-25804820EDAC}">
                        <c15:fullRef>
                          <c15:sqref>'Pigs timeseries'!$B$35:$N$35</c15:sqref>
                        </c15:fullRef>
                        <c15:formulaRef>
                          <c15:sqref>'Pigs timeseries'!$C$35:$N$35</c15:sqref>
                        </c15:formulaRef>
                      </c:ext>
                    </c:extLst>
                    <c:numCache>
                      <c:formatCode>0</c:formatCode>
                      <c:ptCount val="12"/>
                      <c:pt idx="0">
                        <c:v>109.20259185006758</c:v>
                      </c:pt>
                      <c:pt idx="1">
                        <c:v>141.62206316227491</c:v>
                      </c:pt>
                      <c:pt idx="2">
                        <c:v>134.45070216319786</c:v>
                      </c:pt>
                      <c:pt idx="3">
                        <c:v>133.63285525687155</c:v>
                      </c:pt>
                      <c:pt idx="4">
                        <c:v>120.11782179211696</c:v>
                      </c:pt>
                      <c:pt idx="5">
                        <c:v>82.772305450999326</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1E-B703-4928-AA3D-1244679C7C2A}"/>
                  </c:ext>
                </c:extLst>
              </c15:ser>
            </c15:filteredLineSeries>
          </c:ext>
        </c:extLst>
      </c:lineChart>
      <c:catAx>
        <c:axId val="116978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169789839"/>
        <c:crosses val="autoZero"/>
        <c:auto val="1"/>
        <c:lblAlgn val="ctr"/>
        <c:lblOffset val="100"/>
        <c:noMultiLvlLbl val="0"/>
      </c:catAx>
      <c:valAx>
        <c:axId val="11697898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1697864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28575</xdr:colOff>
      <xdr:row>3</xdr:row>
      <xdr:rowOff>42862</xdr:rowOff>
    </xdr:from>
    <xdr:to>
      <xdr:col>26</xdr:col>
      <xdr:colOff>257175</xdr:colOff>
      <xdr:row>35</xdr:row>
      <xdr:rowOff>0</xdr:rowOff>
    </xdr:to>
    <xdr:graphicFrame macro="">
      <xdr:nvGraphicFramePr>
        <xdr:cNvPr id="2" name="Chart 1">
          <a:extLst>
            <a:ext uri="{FF2B5EF4-FFF2-40B4-BE49-F238E27FC236}">
              <a16:creationId xmlns:a16="http://schemas.microsoft.com/office/drawing/2014/main" id="{A558358D-CDDE-6FF3-CA9D-53AA468B2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13421-FFA5-4D67-BDAF-A1B046CDA77E}">
  <dimension ref="A3:N35"/>
  <sheetViews>
    <sheetView workbookViewId="0">
      <selection activeCell="F2" sqref="F2"/>
    </sheetView>
  </sheetViews>
  <sheetFormatPr defaultRowHeight="15" x14ac:dyDescent="0.25"/>
  <cols>
    <col min="1" max="1" width="20.7109375" customWidth="1"/>
  </cols>
  <sheetData>
    <row r="3" spans="1:14" x14ac:dyDescent="0.25">
      <c r="A3" s="11" t="s">
        <v>0</v>
      </c>
    </row>
    <row r="4" spans="1:14" x14ac:dyDescent="0.25">
      <c r="B4" s="11">
        <v>2010</v>
      </c>
      <c r="C4" s="11">
        <v>2011</v>
      </c>
      <c r="D4" s="11">
        <v>2012</v>
      </c>
      <c r="E4" s="11">
        <v>2013</v>
      </c>
      <c r="F4" s="11">
        <v>2014</v>
      </c>
      <c r="G4" s="11">
        <v>2015</v>
      </c>
      <c r="H4" s="11">
        <v>2016</v>
      </c>
      <c r="I4" s="11">
        <v>2017</v>
      </c>
      <c r="J4" s="11">
        <v>2018</v>
      </c>
      <c r="K4" s="11">
        <v>2019</v>
      </c>
      <c r="L4" s="11">
        <v>2020</v>
      </c>
      <c r="M4" s="11">
        <v>2021</v>
      </c>
      <c r="N4" s="11">
        <v>2022</v>
      </c>
    </row>
    <row r="5" spans="1:14" x14ac:dyDescent="0.25">
      <c r="A5" s="118" t="s">
        <v>1</v>
      </c>
      <c r="B5" s="9">
        <f>'2010'!W7</f>
        <v>92.074579109875074</v>
      </c>
      <c r="C5" s="9">
        <f>'2011'!W7</f>
        <v>79.709350177383172</v>
      </c>
      <c r="D5" s="9">
        <f>'2012'!W7</f>
        <v>80.568753762829616</v>
      </c>
      <c r="E5" s="9">
        <f>'2013'!W7</f>
        <v>84.195367150448334</v>
      </c>
      <c r="F5" s="9">
        <f>'2014'!W7</f>
        <v>83.207589179754279</v>
      </c>
      <c r="G5" s="9">
        <f>'2015'!W7</f>
        <v>75.047204142476346</v>
      </c>
      <c r="H5" s="9">
        <f>'2016'!W7</f>
        <v>68.518731269430958</v>
      </c>
      <c r="I5" s="9">
        <f>'2017'!W7</f>
        <v>69.655732682823057</v>
      </c>
      <c r="J5" s="9">
        <f>'2018'!W7</f>
        <v>75.387708124987682</v>
      </c>
      <c r="K5" s="9">
        <f>'2019'!W7</f>
        <v>64.060760813506931</v>
      </c>
      <c r="L5" s="9">
        <f>'2020'!W7</f>
        <v>69.489648801052766</v>
      </c>
      <c r="M5" s="9">
        <f>'2021'!W7</f>
        <v>62.038097218327295</v>
      </c>
      <c r="N5" s="9">
        <f>'2022'!W7</f>
        <v>55.195005403570121</v>
      </c>
    </row>
    <row r="6" spans="1:14" x14ac:dyDescent="0.25">
      <c r="A6" s="118" t="s">
        <v>2</v>
      </c>
      <c r="B6" s="9">
        <f>'2010'!W8</f>
        <v>230.52859631719315</v>
      </c>
      <c r="C6" s="9">
        <f>'2011'!W8</f>
        <v>224.41766322174831</v>
      </c>
      <c r="D6" s="9">
        <f>'2012'!W8</f>
        <v>208.4282630126383</v>
      </c>
      <c r="E6" s="9">
        <f>'2013'!W8</f>
        <v>198.97989779801438</v>
      </c>
      <c r="F6" s="9">
        <f>'2014'!W8</f>
        <v>202.17093313680348</v>
      </c>
      <c r="G6" s="9">
        <f>'2015'!W8</f>
        <v>196.11576588701612</v>
      </c>
      <c r="H6" s="9">
        <f>'2016'!W8</f>
        <v>185.08748022768253</v>
      </c>
      <c r="I6" s="9">
        <f>'2017'!W8</f>
        <v>175.87158741342694</v>
      </c>
      <c r="J6" s="9">
        <f>'2018'!W8</f>
        <v>152.40664686623361</v>
      </c>
      <c r="K6" s="9">
        <f>'2019'!W8</f>
        <v>137.50246785508887</v>
      </c>
      <c r="L6" s="9">
        <f>'2020'!W8</f>
        <v>140.97060847922862</v>
      </c>
      <c r="M6" s="9">
        <f>'2021'!W8</f>
        <v>128.75579971734919</v>
      </c>
      <c r="N6" s="9">
        <f>'2022'!W8</f>
        <v>100.06433837765016</v>
      </c>
    </row>
    <row r="7" spans="1:14" x14ac:dyDescent="0.25">
      <c r="A7" s="118" t="s">
        <v>3</v>
      </c>
      <c r="B7" s="9" t="str">
        <f>'2010'!W9</f>
        <v>na</v>
      </c>
      <c r="C7" s="9">
        <f>'2011'!W9</f>
        <v>191.90831195299964</v>
      </c>
      <c r="D7" s="9">
        <f>'2012'!W9</f>
        <v>203.66133749734959</v>
      </c>
      <c r="E7" s="9">
        <f>'2013'!W9</f>
        <v>238.77357000570913</v>
      </c>
      <c r="F7" s="9">
        <f>'2014'!W9</f>
        <v>168.69567068795678</v>
      </c>
      <c r="G7" s="9">
        <f>'2015'!W9</f>
        <v>235.24497785353574</v>
      </c>
      <c r="H7" s="9">
        <f>'2016'!W9</f>
        <v>292.39292261988157</v>
      </c>
      <c r="I7" s="9">
        <f>'2017'!W9</f>
        <v>241.41424293758408</v>
      </c>
      <c r="J7" s="9">
        <f>'2018'!W9</f>
        <v>217.22629146777868</v>
      </c>
      <c r="K7" s="9">
        <f>'2019'!W9</f>
        <v>204.14828821225038</v>
      </c>
      <c r="L7" s="9">
        <f>'2020'!W9</f>
        <v>224.54089904868005</v>
      </c>
      <c r="M7" s="9">
        <f>'2021'!W9</f>
        <v>222.75513114367953</v>
      </c>
      <c r="N7" s="9">
        <f>'2022'!W9</f>
        <v>180.22729260925345</v>
      </c>
    </row>
    <row r="8" spans="1:14" x14ac:dyDescent="0.25">
      <c r="A8" s="118" t="s">
        <v>4</v>
      </c>
      <c r="B8" s="9" t="str">
        <f>'2010'!W10</f>
        <v>na</v>
      </c>
      <c r="C8" s="9" t="str">
        <f>'2011'!W10</f>
        <v>na</v>
      </c>
      <c r="D8" s="9" t="str">
        <f>'2012'!W10</f>
        <v>na</v>
      </c>
      <c r="E8" s="9" t="str">
        <f>'2013'!W10</f>
        <v>na</v>
      </c>
      <c r="F8" s="9">
        <f>'2014'!W10</f>
        <v>172.20972588537049</v>
      </c>
      <c r="G8" s="9">
        <f>'2015'!W10</f>
        <v>149.75140660048268</v>
      </c>
      <c r="H8" s="9">
        <f>'2016'!W10</f>
        <v>136.00022827092778</v>
      </c>
      <c r="I8" s="9">
        <f>'2017'!W10</f>
        <v>110.97545763918293</v>
      </c>
      <c r="J8" s="9">
        <f>'2018'!W10</f>
        <v>115.51593245000772</v>
      </c>
      <c r="K8" s="9">
        <f>'2019'!W10</f>
        <v>101.75112479125809</v>
      </c>
      <c r="L8" s="9">
        <f>'2020'!W10</f>
        <v>112.37540549191907</v>
      </c>
      <c r="M8" s="9">
        <f>'2021'!W10</f>
        <v>100.81195198259232</v>
      </c>
      <c r="N8" s="9">
        <f>'2022'!W10</f>
        <v>91.64348614009981</v>
      </c>
    </row>
    <row r="9" spans="1:14" x14ac:dyDescent="0.25">
      <c r="A9" s="118" t="s">
        <v>5</v>
      </c>
      <c r="B9" s="9" t="str">
        <f>'2010'!W11</f>
        <v>na</v>
      </c>
      <c r="C9" s="9">
        <f>'2011'!W11</f>
        <v>529.60941548919391</v>
      </c>
      <c r="D9" s="9">
        <f>'2012'!W11</f>
        <v>489.51071455942412</v>
      </c>
      <c r="E9" s="9">
        <f>'2013'!W11</f>
        <v>540.13383608366235</v>
      </c>
      <c r="F9" s="9">
        <f>'2014'!W11</f>
        <v>510.53494702592877</v>
      </c>
      <c r="G9" s="9">
        <f>'2015'!W11</f>
        <v>563.95053227388632</v>
      </c>
      <c r="H9" s="9">
        <f>'2016'!W11</f>
        <v>558.88911756114976</v>
      </c>
      <c r="I9" s="9">
        <f>'2017'!W11</f>
        <v>542.04114652028784</v>
      </c>
      <c r="J9" s="9">
        <f>'2018'!W11</f>
        <v>636.72266989373918</v>
      </c>
      <c r="K9" s="9">
        <f>'2019'!W11</f>
        <v>566.99855767746715</v>
      </c>
      <c r="L9" s="9">
        <f>'2020'!W11</f>
        <v>564.19292730225402</v>
      </c>
      <c r="M9" s="9">
        <f>'2021'!W11</f>
        <v>492.72755355402705</v>
      </c>
      <c r="N9" s="9">
        <f>'2022'!W11</f>
        <v>417.78279196789032</v>
      </c>
    </row>
    <row r="10" spans="1:14" x14ac:dyDescent="0.25">
      <c r="A10" s="118" t="s">
        <v>6</v>
      </c>
      <c r="B10" s="9">
        <f>'2010'!W12</f>
        <v>112.75633734242432</v>
      </c>
      <c r="C10" s="9">
        <f>'2011'!W12</f>
        <v>103.83390076779548</v>
      </c>
      <c r="D10" s="9">
        <f>'2012'!W12</f>
        <v>97.576020684561172</v>
      </c>
      <c r="E10" s="9">
        <f>'2013'!W12</f>
        <v>103.51945564511489</v>
      </c>
      <c r="F10" s="9">
        <f>'2014'!W12</f>
        <v>102.85524691269448</v>
      </c>
      <c r="G10" s="9">
        <f>'2015'!W12</f>
        <v>90.175047515539617</v>
      </c>
      <c r="H10" s="9">
        <f>'2016'!W12</f>
        <v>80.457088593746832</v>
      </c>
      <c r="I10" s="9">
        <f>'2017'!W12</f>
        <v>84.010274521517545</v>
      </c>
      <c r="J10" s="9">
        <f>'2018'!W12</f>
        <v>76.211325846723696</v>
      </c>
      <c r="K10" s="9">
        <f>'2019'!W12</f>
        <v>72.529622509008661</v>
      </c>
      <c r="L10" s="9">
        <f>'2020'!W12</f>
        <v>75.62083999963329</v>
      </c>
      <c r="M10" s="9">
        <f>'2021'!W12</f>
        <v>66.845636031918474</v>
      </c>
      <c r="N10" s="9">
        <f>'2022'!W12</f>
        <v>62.752326686809411</v>
      </c>
    </row>
    <row r="11" spans="1:14" x14ac:dyDescent="0.25">
      <c r="A11" s="118" t="s">
        <v>7</v>
      </c>
      <c r="B11" s="9">
        <f>'2010'!W13</f>
        <v>54.741619766992294</v>
      </c>
      <c r="C11" s="9">
        <f>'2011'!W13</f>
        <v>48.971177098406635</v>
      </c>
      <c r="D11" s="9">
        <f>'2012'!W13</f>
        <v>50.594641377633124</v>
      </c>
      <c r="E11" s="9">
        <f>'2013'!W13</f>
        <v>51.855360780065496</v>
      </c>
      <c r="F11" s="9">
        <f>'2014'!W13</f>
        <v>51.193939253613372</v>
      </c>
      <c r="G11" s="9">
        <f>'2015'!W13</f>
        <v>48.644584737376846</v>
      </c>
      <c r="H11" s="9">
        <f>'2016'!W13</f>
        <v>47.174062879147399</v>
      </c>
      <c r="I11" s="9">
        <f>'2017'!W13</f>
        <v>45.478569177474881</v>
      </c>
      <c r="J11" s="9">
        <f>'2018'!W13</f>
        <v>44.02103450130641</v>
      </c>
      <c r="K11" s="9">
        <f>'2019'!W13</f>
        <v>43.404351467072132</v>
      </c>
      <c r="L11" s="9">
        <f>'2020'!W13</f>
        <v>43.363948080158131</v>
      </c>
      <c r="M11" s="9">
        <f>'2021'!W13</f>
        <v>38.716570127253469</v>
      </c>
      <c r="N11" s="9">
        <f>'2022'!W13</f>
        <v>39.741335206743926</v>
      </c>
    </row>
    <row r="12" spans="1:14" x14ac:dyDescent="0.25">
      <c r="A12" s="118" t="s">
        <v>8</v>
      </c>
      <c r="B12" s="9">
        <f>'2010'!W14</f>
        <v>110.57771808759493</v>
      </c>
      <c r="C12" s="9">
        <f>'2011'!W14</f>
        <v>110.55959788334141</v>
      </c>
      <c r="D12" s="9">
        <f>'2012'!W14</f>
        <v>95.054745181456681</v>
      </c>
      <c r="E12" s="9">
        <f>'2013'!W14</f>
        <v>103.61419852194767</v>
      </c>
      <c r="F12" s="9">
        <f>'2014'!W14</f>
        <v>114.68219248883717</v>
      </c>
      <c r="G12" s="9">
        <f>'2015'!W14</f>
        <v>98.152070266980431</v>
      </c>
      <c r="H12" s="9">
        <f>'2016'!W14</f>
        <v>98.723424382483159</v>
      </c>
      <c r="I12" s="9">
        <f>'2017'!W14</f>
        <v>87.220573844742745</v>
      </c>
      <c r="J12" s="9">
        <f>'2018'!W14</f>
        <v>81.066557418267777</v>
      </c>
      <c r="K12" s="9">
        <f>'2019'!W14</f>
        <v>81.325820612109311</v>
      </c>
      <c r="L12" s="9">
        <f>'2020'!W14</f>
        <v>74.179541695021072</v>
      </c>
      <c r="M12" s="9">
        <f>'2021'!W14</f>
        <v>70.14580702130516</v>
      </c>
      <c r="N12" s="9">
        <f>'2022'!W14</f>
        <v>69.90644512239507</v>
      </c>
    </row>
    <row r="13" spans="1:14" x14ac:dyDescent="0.25">
      <c r="A13" s="118" t="s">
        <v>9</v>
      </c>
      <c r="B13" s="9">
        <f>'2010'!W15</f>
        <v>33.747886177847541</v>
      </c>
      <c r="C13" s="9">
        <f>'2011'!W15</f>
        <v>32.736631204397035</v>
      </c>
      <c r="D13" s="9">
        <f>'2012'!W15</f>
        <v>33.104702678271948</v>
      </c>
      <c r="E13" s="9">
        <f>'2013'!W15</f>
        <v>33.996700707842344</v>
      </c>
      <c r="F13" s="9">
        <f>'2014'!W15</f>
        <v>34.327592347636021</v>
      </c>
      <c r="G13" s="9">
        <f>'2015'!W15</f>
        <v>31.323440077587005</v>
      </c>
      <c r="H13" s="9">
        <f>'2016'!W15</f>
        <v>28.459442931397099</v>
      </c>
      <c r="I13" s="9">
        <f>'2017'!W15</f>
        <v>30.113531054159786</v>
      </c>
      <c r="J13" s="9">
        <f>'2018'!W15</f>
        <v>29.449276537877836</v>
      </c>
      <c r="K13" s="9">
        <f>'2019'!W15</f>
        <v>30.827209074918272</v>
      </c>
      <c r="L13" s="9">
        <f>'2020'!W15</f>
        <v>25.983587695074629</v>
      </c>
      <c r="M13" s="9">
        <f>'2021'!W15</f>
        <v>27.151577059069922</v>
      </c>
      <c r="N13" s="9">
        <f>'2022'!W15</f>
        <v>23.948905604953239</v>
      </c>
    </row>
    <row r="14" spans="1:14" x14ac:dyDescent="0.25">
      <c r="A14" s="118" t="s">
        <v>10</v>
      </c>
      <c r="B14" s="9">
        <f>'2010'!W16</f>
        <v>197.74156131248836</v>
      </c>
      <c r="C14" s="9">
        <f>'2011'!W16</f>
        <v>167.27635974914745</v>
      </c>
      <c r="D14" s="9">
        <f>'2012'!W16</f>
        <v>148.03667517244193</v>
      </c>
      <c r="E14" s="9">
        <f>'2013'!W16</f>
        <v>137.47995429970661</v>
      </c>
      <c r="F14" s="9">
        <f>'2014'!W16</f>
        <v>154.22949797425159</v>
      </c>
      <c r="G14" s="9">
        <f>'2015'!W16</f>
        <v>101.43545814187208</v>
      </c>
      <c r="H14" s="9">
        <f>'2016'!W16</f>
        <v>105.31049319250074</v>
      </c>
      <c r="I14" s="9">
        <f>'2017'!W16</f>
        <v>100.82621746180443</v>
      </c>
      <c r="J14" s="9">
        <f>'2018'!W16</f>
        <v>95.688898121878182</v>
      </c>
      <c r="K14" s="9">
        <f>'2019'!W16</f>
        <v>86.822953258827781</v>
      </c>
      <c r="L14" s="9">
        <f>'2020'!W16</f>
        <v>84.529064037366666</v>
      </c>
      <c r="M14" s="9">
        <f>'2021'!W16</f>
        <v>76.905170732629031</v>
      </c>
      <c r="N14" s="9">
        <f>'2022'!W16</f>
        <v>58.221092330811828</v>
      </c>
    </row>
    <row r="15" spans="1:14" x14ac:dyDescent="0.25">
      <c r="A15" s="118" t="s">
        <v>11</v>
      </c>
      <c r="B15" s="9" t="str">
        <f>'2010'!W17</f>
        <v>na</v>
      </c>
      <c r="C15" s="9">
        <f>'2011'!W17</f>
        <v>292.27862188322956</v>
      </c>
      <c r="D15" s="9">
        <f>'2012'!W17</f>
        <v>282.25045657003807</v>
      </c>
      <c r="E15" s="9">
        <f>'2013'!W17</f>
        <v>248.60461862756762</v>
      </c>
      <c r="F15" s="9">
        <f>'2014'!W17</f>
        <v>205.81883953973286</v>
      </c>
      <c r="G15" s="9">
        <f>'2015'!W17</f>
        <v>130.30906078814209</v>
      </c>
      <c r="H15" s="9">
        <f>'2016'!W17</f>
        <v>124.07536367078538</v>
      </c>
      <c r="I15" s="9">
        <f>'2017'!W17</f>
        <v>121.55864534983758</v>
      </c>
      <c r="J15" s="9">
        <f>'2018'!W17</f>
        <v>120.55138452202652</v>
      </c>
      <c r="K15" s="9">
        <f>'2019'!W17</f>
        <v>108.96403798622687</v>
      </c>
      <c r="L15" s="9">
        <f>'2020'!W17</f>
        <v>115.94307805455114</v>
      </c>
      <c r="M15" s="9">
        <f>'2021'!W17</f>
        <v>100.80082468598715</v>
      </c>
      <c r="N15" s="9">
        <f>'2022'!W17</f>
        <v>97.676295959884897</v>
      </c>
    </row>
    <row r="16" spans="1:14" x14ac:dyDescent="0.25">
      <c r="A16" s="118" t="s">
        <v>12</v>
      </c>
      <c r="B16" s="9" t="str">
        <f>'2010'!W18</f>
        <v>na</v>
      </c>
      <c r="C16" s="9" t="str">
        <f>'2011'!W18</f>
        <v>na</v>
      </c>
      <c r="D16" s="9" t="str">
        <f>'2012'!W18</f>
        <v>na</v>
      </c>
      <c r="E16" s="9" t="str">
        <f>'2013'!W18</f>
        <v>na</v>
      </c>
      <c r="F16" s="9" t="str">
        <f>'2014'!W18</f>
        <v>na</v>
      </c>
      <c r="G16" s="9">
        <f>'2015'!W18</f>
        <v>120.21964253562419</v>
      </c>
      <c r="H16" s="9">
        <f>'2016'!W18</f>
        <v>134.73349802183193</v>
      </c>
      <c r="I16" s="9">
        <f>'2017'!W18</f>
        <v>199.82421378866655</v>
      </c>
      <c r="J16" s="9">
        <f>'2018'!W18</f>
        <v>196.62181547293827</v>
      </c>
      <c r="K16" s="9">
        <f>'2019'!W18</f>
        <v>179.3357444988805</v>
      </c>
      <c r="L16" s="9">
        <f>'2020'!W18</f>
        <v>200.11239050464818</v>
      </c>
      <c r="M16" s="9">
        <f>'2021'!W18</f>
        <v>223.72894061806289</v>
      </c>
      <c r="N16" s="9">
        <f>'2022'!W18</f>
        <v>183.1439144207946</v>
      </c>
    </row>
    <row r="17" spans="1:14" x14ac:dyDescent="0.25">
      <c r="A17" s="118" t="s">
        <v>13</v>
      </c>
      <c r="B17" s="9">
        <f>'2010'!W19</f>
        <v>392.57254658673372</v>
      </c>
      <c r="C17" s="9">
        <f>'2011'!W19</f>
        <v>277.87737831782192</v>
      </c>
      <c r="D17" s="9">
        <f>'2012'!W19</f>
        <v>377.30823480640703</v>
      </c>
      <c r="E17" s="9">
        <f>'2013'!W19</f>
        <v>299.49281737977446</v>
      </c>
      <c r="F17" s="9">
        <f>'2014'!W19</f>
        <v>251.06795600896928</v>
      </c>
      <c r="G17" s="9">
        <f>'2015'!W19</f>
        <v>270.80632814070719</v>
      </c>
      <c r="H17" s="9">
        <f>'2016'!W19</f>
        <v>263.24221350941656</v>
      </c>
      <c r="I17" s="9">
        <f>'2017'!W19</f>
        <v>272.82860218510439</v>
      </c>
      <c r="J17" s="9">
        <f>'2018'!W19</f>
        <v>257.28776834797605</v>
      </c>
      <c r="K17" s="9">
        <f>'2019'!W19</f>
        <v>266.52159391419946</v>
      </c>
      <c r="L17" s="9">
        <f>'2020'!W19</f>
        <v>206.44472567463615</v>
      </c>
      <c r="M17" s="9">
        <f>'2021'!W19</f>
        <v>205.57876596588423</v>
      </c>
      <c r="N17" s="9">
        <f>'2022'!W19</f>
        <v>147.51273504176021</v>
      </c>
    </row>
    <row r="18" spans="1:14" x14ac:dyDescent="0.25">
      <c r="A18" s="118" t="s">
        <v>14</v>
      </c>
      <c r="B18" s="9">
        <f>'2010'!W20</f>
        <v>19.447664575410041</v>
      </c>
      <c r="C18" s="9">
        <f>'2011'!W20</f>
        <v>17.196158704884688</v>
      </c>
      <c r="D18" s="9">
        <f>'2012'!W20</f>
        <v>15.20255572753692</v>
      </c>
      <c r="E18" s="9">
        <f>'2013'!W20</f>
        <v>13.807057718861264</v>
      </c>
      <c r="F18" s="9">
        <f>'2014'!W20</f>
        <v>13.449735127079677</v>
      </c>
      <c r="G18" s="9">
        <f>'2015'!W20</f>
        <v>13.033534090674515</v>
      </c>
      <c r="H18" s="9">
        <f>'2016'!W20</f>
        <v>11.649415590029843</v>
      </c>
      <c r="I18" s="9">
        <f>'2017'!W20</f>
        <v>10.931017241567769</v>
      </c>
      <c r="J18" s="9">
        <f>'2018'!W20</f>
        <v>11.580934974883993</v>
      </c>
      <c r="K18" s="9">
        <f>'2019'!W20</f>
        <v>7.9964617871709223</v>
      </c>
      <c r="L18" s="9">
        <f>'2020'!W20</f>
        <v>8.4512658594555941</v>
      </c>
      <c r="M18" s="9">
        <f>'2021'!W20</f>
        <v>7.5962955058589907</v>
      </c>
      <c r="N18" s="9">
        <f>'2022'!W20</f>
        <v>9.2684465995417398</v>
      </c>
    </row>
    <row r="19" spans="1:14" x14ac:dyDescent="0.25">
      <c r="A19" s="118" t="s">
        <v>15</v>
      </c>
      <c r="B19" s="9">
        <f>'2010'!W21</f>
        <v>95.115260565372978</v>
      </c>
      <c r="C19" s="9">
        <f>'2011'!W21</f>
        <v>85.629911681393494</v>
      </c>
      <c r="D19" s="9">
        <f>'2012'!W21</f>
        <v>100.60776921614152</v>
      </c>
      <c r="E19" s="9">
        <f>'2013'!W21</f>
        <v>102.64788752456153</v>
      </c>
      <c r="F19" s="9">
        <f>'2014'!W21</f>
        <v>88.920913614460545</v>
      </c>
      <c r="G19" s="9">
        <f>'2015'!W21</f>
        <v>94.614783258060271</v>
      </c>
      <c r="H19" s="9">
        <f>'2016'!W21</f>
        <v>97.196168475567461</v>
      </c>
      <c r="I19" s="9">
        <f>'2017'!W21</f>
        <v>88.903605742518138</v>
      </c>
      <c r="J19" s="9">
        <f>'2018'!W21</f>
        <v>87.622913473996419</v>
      </c>
      <c r="K19" s="9">
        <f>'2019'!W21</f>
        <v>77.937096110827952</v>
      </c>
      <c r="L19" s="9">
        <f>'2020'!W21</f>
        <v>89.56394420680887</v>
      </c>
      <c r="M19" s="9">
        <f>'2021'!W21</f>
        <v>80.779931495754539</v>
      </c>
      <c r="N19" s="9">
        <f>'2022'!W21</f>
        <v>64.286068487517369</v>
      </c>
    </row>
    <row r="20" spans="1:14" x14ac:dyDescent="0.25">
      <c r="A20" s="118" t="s">
        <v>16</v>
      </c>
      <c r="B20" s="9">
        <f>'2010'!W22</f>
        <v>621.91598411482232</v>
      </c>
      <c r="C20" s="9">
        <f>'2011'!W22</f>
        <v>557.06292111270557</v>
      </c>
      <c r="D20" s="9">
        <f>'2012'!W22</f>
        <v>511.73848807236038</v>
      </c>
      <c r="E20" s="9">
        <f>'2013'!W22</f>
        <v>453.71520414056198</v>
      </c>
      <c r="F20" s="9">
        <f>'2014'!W22</f>
        <v>494.52725178731043</v>
      </c>
      <c r="G20" s="9">
        <f>'2015'!W22</f>
        <v>483.99167911006356</v>
      </c>
      <c r="H20" s="9">
        <f>'2016'!W22</f>
        <v>445.60174351718103</v>
      </c>
      <c r="I20" s="9">
        <f>'2017'!W22</f>
        <v>418.46963856251585</v>
      </c>
      <c r="J20" s="9">
        <f>'2018'!W22</f>
        <v>356.52115505064694</v>
      </c>
      <c r="K20" s="9">
        <f>'2019'!W22</f>
        <v>287.06881228975857</v>
      </c>
      <c r="L20" s="9">
        <f>'2020'!W22</f>
        <v>274.35698223447071</v>
      </c>
      <c r="M20" s="9">
        <f>'2021'!W22</f>
        <v>261.8122286655971</v>
      </c>
      <c r="N20" s="9">
        <f>'2022'!W22</f>
        <v>239.51566529061836</v>
      </c>
    </row>
    <row r="21" spans="1:14" x14ac:dyDescent="0.25">
      <c r="A21" s="118" t="s">
        <v>17</v>
      </c>
      <c r="B21" s="9">
        <f>'2010'!W23</f>
        <v>67.235648966092782</v>
      </c>
      <c r="C21" s="9">
        <f>'2011'!W24</f>
        <v>63.251180105626489</v>
      </c>
      <c r="D21" s="9">
        <f>'2012'!W23</f>
        <v>70.542747036238296</v>
      </c>
      <c r="E21" s="9">
        <f>'2013'!W23</f>
        <v>64.613559767670381</v>
      </c>
      <c r="F21" s="9">
        <f>'2014'!W23</f>
        <v>62.269020849678192</v>
      </c>
      <c r="G21" s="9">
        <f>'2015'!W23</f>
        <v>62.824119681949242</v>
      </c>
      <c r="H21" s="9">
        <f>'2016'!W23</f>
        <v>50.506476635025898</v>
      </c>
      <c r="I21" s="9">
        <f>'2017'!W23</f>
        <v>55.120601070506495</v>
      </c>
      <c r="J21" s="9">
        <f>'2018'!W23</f>
        <v>59.275064880408365</v>
      </c>
      <c r="K21" s="9">
        <f>'2019'!W23</f>
        <v>46.251542139743563</v>
      </c>
      <c r="L21" s="9">
        <f>'2020'!W23</f>
        <v>49.210428215143637</v>
      </c>
      <c r="M21" s="9">
        <f>'2021'!W23</f>
        <v>42.873937351238347</v>
      </c>
      <c r="N21" s="9">
        <f>'2022'!W23</f>
        <v>34.398659702054545</v>
      </c>
    </row>
    <row r="22" spans="1:14" x14ac:dyDescent="0.25">
      <c r="A22" s="118" t="s">
        <v>18</v>
      </c>
      <c r="B22" s="9">
        <f>'2010'!W24</f>
        <v>80.974280072862598</v>
      </c>
      <c r="C22" s="9">
        <f>'2011'!W25</f>
        <v>68.814599184526756</v>
      </c>
      <c r="D22" s="9">
        <f>'2012'!W24</f>
        <v>65.286363754151381</v>
      </c>
      <c r="E22" s="9">
        <f>'2013'!W24</f>
        <v>48.057547037247581</v>
      </c>
      <c r="F22" s="9">
        <f>'2014'!W24</f>
        <v>58.886138949178722</v>
      </c>
      <c r="G22" s="9">
        <f>'2015'!W24</f>
        <v>58.698417690219735</v>
      </c>
      <c r="H22" s="9">
        <f>'2016'!W24</f>
        <v>62.854121844347254</v>
      </c>
      <c r="I22" s="9">
        <f>'2017'!W24</f>
        <v>57.50298287220572</v>
      </c>
      <c r="J22" s="9">
        <f>'2018'!W24</f>
        <v>55.279621896136952</v>
      </c>
      <c r="K22" s="9">
        <f>'2019'!W24</f>
        <v>109.56599076290405</v>
      </c>
      <c r="L22" s="9">
        <f>'2020'!W24</f>
        <v>99.502456758744287</v>
      </c>
      <c r="M22" s="9">
        <f>'2021'!W24</f>
        <v>116.35466273176995</v>
      </c>
      <c r="N22" s="9">
        <f>'2022'!W24</f>
        <v>79.530548965158673</v>
      </c>
    </row>
    <row r="23" spans="1:14" x14ac:dyDescent="0.25">
      <c r="A23" s="118" t="s">
        <v>19</v>
      </c>
      <c r="B23" s="9" t="str">
        <f>'2010'!W25</f>
        <v>na</v>
      </c>
      <c r="C23" s="9" t="str">
        <f>'2011'!W26</f>
        <v>na</v>
      </c>
      <c r="D23" s="9">
        <f>'2012'!W25</f>
        <v>72.637078000333091</v>
      </c>
      <c r="E23" s="9">
        <f>'2013'!W25</f>
        <v>87.396352919790743</v>
      </c>
      <c r="F23" s="9">
        <f>'2014'!W25</f>
        <v>68.385033237565892</v>
      </c>
      <c r="G23" s="9">
        <f>'2015'!W25</f>
        <v>58.640189581458472</v>
      </c>
      <c r="H23" s="9">
        <f>'2016'!W25</f>
        <v>60.103744040684781</v>
      </c>
      <c r="I23" s="9">
        <f>'2017'!W25</f>
        <v>59.766392341612047</v>
      </c>
      <c r="J23" s="9">
        <f>'2018'!W25</f>
        <v>57.769494510901104</v>
      </c>
      <c r="K23" s="9">
        <f>'2019'!W25</f>
        <v>50.542945705682151</v>
      </c>
      <c r="L23" s="9">
        <f>'2020'!W25</f>
        <v>50.604152057819519</v>
      </c>
      <c r="M23" s="9">
        <f>'2021'!W25</f>
        <v>47.370160454354597</v>
      </c>
      <c r="N23" s="9">
        <f>'2022'!W25</f>
        <v>42.917570465854638</v>
      </c>
    </row>
    <row r="24" spans="1:14" x14ac:dyDescent="0.25">
      <c r="A24" s="118" t="s">
        <v>20</v>
      </c>
      <c r="B24" s="9" t="str">
        <f>'2010'!W26</f>
        <v>na</v>
      </c>
      <c r="C24" s="9" t="str">
        <f>'2011'!W27</f>
        <v>na</v>
      </c>
      <c r="D24" s="9" t="str">
        <f>'2012'!W26</f>
        <v>na</v>
      </c>
      <c r="E24" s="9" t="str">
        <f>'2013'!W26</f>
        <v>na</v>
      </c>
      <c r="F24" s="9" t="str">
        <f>'2014'!W26</f>
        <v>na</v>
      </c>
      <c r="G24" s="9" t="str">
        <f>'2015'!W26</f>
        <v>na</v>
      </c>
      <c r="H24" s="9" t="str">
        <f>'2016'!W26</f>
        <v>na</v>
      </c>
      <c r="I24" s="9">
        <f>'2017'!W26</f>
        <v>193.15602885376489</v>
      </c>
      <c r="J24" s="9">
        <f>'2018'!W26</f>
        <v>221.83246248762347</v>
      </c>
      <c r="K24" s="9">
        <f>'2019'!W26</f>
        <v>166.29897457462852</v>
      </c>
      <c r="L24" s="9">
        <f>'2020'!W26</f>
        <v>178.40694053951805</v>
      </c>
      <c r="M24" s="9">
        <f>'2021'!W26</f>
        <v>174.80585088978671</v>
      </c>
      <c r="N24" s="9">
        <f>'2022'!W26</f>
        <v>120.22689410087466</v>
      </c>
    </row>
    <row r="25" spans="1:14" x14ac:dyDescent="0.25">
      <c r="A25" s="118" t="s">
        <v>21</v>
      </c>
      <c r="B25" s="9">
        <f>'2010'!W27</f>
        <v>202.99205586506162</v>
      </c>
      <c r="C25" s="9">
        <f>'2011'!W28</f>
        <v>157.50819215895694</v>
      </c>
      <c r="D25" s="9">
        <f>'2012'!W27</f>
        <v>105.24059811778081</v>
      </c>
      <c r="E25" s="9">
        <f>'2013'!W27</f>
        <v>97.811852083608898</v>
      </c>
      <c r="F25" s="9">
        <f>'2014'!W27</f>
        <v>94.234924415002979</v>
      </c>
      <c r="G25" s="9">
        <f>'2015'!W27</f>
        <v>86.436563721595505</v>
      </c>
      <c r="H25" s="9">
        <f>'2016'!W27</f>
        <v>71.138927874429868</v>
      </c>
      <c r="I25" s="9">
        <f>'2017'!W27</f>
        <v>76.170965750696297</v>
      </c>
      <c r="J25" s="9">
        <f>'2018'!W27</f>
        <v>77.068913244032331</v>
      </c>
      <c r="K25" s="9">
        <f>'2019'!W27</f>
        <v>64.03160480042358</v>
      </c>
      <c r="L25" s="9">
        <f>'2020'!W27</f>
        <v>66.951534087256803</v>
      </c>
      <c r="M25" s="9">
        <f>'2021'!W27</f>
        <v>64.102713910828356</v>
      </c>
      <c r="N25" s="9">
        <f>'2022'!W27</f>
        <v>49.27625568283139</v>
      </c>
    </row>
    <row r="26" spans="1:14" x14ac:dyDescent="0.25">
      <c r="A26" s="118" t="s">
        <v>22</v>
      </c>
      <c r="B26" s="9">
        <f>'2010'!W28</f>
        <v>6.2430936776423538</v>
      </c>
      <c r="C26" s="9">
        <f>'2011'!W29</f>
        <v>5.5908345976542968</v>
      </c>
      <c r="D26" s="9">
        <f>'2012'!W28</f>
        <v>5.8680546580440085</v>
      </c>
      <c r="E26" s="9">
        <f>'2013'!W28</f>
        <v>5.5715914344727455</v>
      </c>
      <c r="F26" s="9">
        <f>'2014'!W28</f>
        <v>4.7612496086398535</v>
      </c>
      <c r="G26" s="9">
        <f>'2015'!W28</f>
        <v>4.4333276621484226</v>
      </c>
      <c r="H26" s="9">
        <f>'2016'!W28</f>
        <v>4.4430118383873669</v>
      </c>
      <c r="I26" s="9">
        <f>'2017'!W28</f>
        <v>4.773672702365241</v>
      </c>
      <c r="J26" s="9">
        <f>'2018'!W28</f>
        <v>4.5912538390323165</v>
      </c>
      <c r="K26" s="9">
        <f>'2019'!W28</f>
        <v>3.632128729691813</v>
      </c>
      <c r="L26" s="9">
        <f>'2020'!W28</f>
        <v>3.6296299649036481</v>
      </c>
      <c r="M26" s="9">
        <f>'2021'!W28</f>
        <v>3.6225979078090984</v>
      </c>
      <c r="N26" s="9">
        <f>'2022'!W28</f>
        <v>3.3096331860374888</v>
      </c>
    </row>
    <row r="27" spans="1:14" x14ac:dyDescent="0.25">
      <c r="A27" s="118" t="s">
        <v>23</v>
      </c>
      <c r="B27" s="9" t="str">
        <f>'2010'!W29</f>
        <v>na</v>
      </c>
      <c r="C27" s="9">
        <f>'2011'!W30</f>
        <v>181.67066117408871</v>
      </c>
      <c r="D27" s="9">
        <f>'2012'!W29</f>
        <v>203.00553837114228</v>
      </c>
      <c r="E27" s="9">
        <f>'2013'!W29</f>
        <v>226.4231946224379</v>
      </c>
      <c r="F27" s="9">
        <f>'2014'!W29</f>
        <v>207.77166057383707</v>
      </c>
      <c r="G27" s="9">
        <f>'2015'!W29</f>
        <v>208.86029493190944</v>
      </c>
      <c r="H27" s="9">
        <f>'2016'!W29</f>
        <v>195.29807964509811</v>
      </c>
      <c r="I27" s="9">
        <f>'2017'!W29</f>
        <v>250.19702860305139</v>
      </c>
      <c r="J27" s="9">
        <f>'2018'!W29</f>
        <v>259.35694473841295</v>
      </c>
      <c r="K27" s="9">
        <f>'2019'!W29</f>
        <v>284.94223350256721</v>
      </c>
      <c r="L27" s="9">
        <f>'2020'!W29</f>
        <v>290.52841945731723</v>
      </c>
      <c r="M27" s="9">
        <f>'2021'!W29</f>
        <v>268.96978098905549</v>
      </c>
      <c r="N27" s="9">
        <f>'2022'!W29</f>
        <v>307.99122311428272</v>
      </c>
    </row>
    <row r="28" spans="1:14" x14ac:dyDescent="0.25">
      <c r="A28" s="118" t="s">
        <v>24</v>
      </c>
      <c r="B28" s="9">
        <f>'2010'!W30</f>
        <v>241.51130196504892</v>
      </c>
      <c r="C28" s="9">
        <f>'2011'!W31</f>
        <v>222.33323542039588</v>
      </c>
      <c r="D28" s="9">
        <f>'2012'!W30</f>
        <v>214.68338509652233</v>
      </c>
      <c r="E28" s="9">
        <f>'2013'!W30</f>
        <v>257.78724114278526</v>
      </c>
      <c r="F28" s="9">
        <f>'2014'!W30</f>
        <v>275.22906724742126</v>
      </c>
      <c r="G28" s="9">
        <f>'2015'!W30</f>
        <v>235.31389034773585</v>
      </c>
      <c r="H28" s="9">
        <f>'2016'!W30</f>
        <v>290.45964453436756</v>
      </c>
      <c r="I28" s="9">
        <f>'2017'!W30</f>
        <v>189.82332003574427</v>
      </c>
      <c r="J28" s="9">
        <f>'2018'!W30</f>
        <v>263.13359188442064</v>
      </c>
      <c r="K28" s="9">
        <f>'2019'!W30</f>
        <v>203.1045610369674</v>
      </c>
      <c r="L28" s="9">
        <f>'2020'!W30</f>
        <v>245.02802957654805</v>
      </c>
      <c r="M28" s="9">
        <f>'2021'!W30</f>
        <v>213.61598607981048</v>
      </c>
      <c r="N28" s="9">
        <f>'2022'!W30</f>
        <v>112.88337286201254</v>
      </c>
    </row>
    <row r="29" spans="1:14" x14ac:dyDescent="0.25">
      <c r="A29" s="118" t="s">
        <v>25</v>
      </c>
      <c r="B29" s="9" t="str">
        <f>'2010'!W31</f>
        <v>na</v>
      </c>
      <c r="C29" s="9" t="str">
        <f>'2011'!W32</f>
        <v>na</v>
      </c>
      <c r="D29" s="9" t="str">
        <f>'2012'!W31</f>
        <v>na</v>
      </c>
      <c r="E29" s="9" t="str">
        <f>'2013'!W31</f>
        <v>na</v>
      </c>
      <c r="F29" s="9">
        <f>'2014'!W31</f>
        <v>230.36561132845677</v>
      </c>
      <c r="G29" s="9">
        <f>'2015'!W31</f>
        <v>213.22018354361518</v>
      </c>
      <c r="H29" s="9">
        <f>'2016'!W31</f>
        <v>166.06172169497844</v>
      </c>
      <c r="I29" s="9">
        <f>'2017'!W31</f>
        <v>177.93198789097178</v>
      </c>
      <c r="J29" s="9">
        <f>'2018'!W31</f>
        <v>161.72275724344235</v>
      </c>
      <c r="K29" s="9">
        <f>'2019'!W31</f>
        <v>98.11879411009194</v>
      </c>
      <c r="L29" s="9">
        <f>'2020'!W31</f>
        <v>106.80985806893824</v>
      </c>
      <c r="M29" s="9">
        <f>'2021'!W31</f>
        <v>105.70103844290446</v>
      </c>
      <c r="N29" s="9">
        <f>'2022'!W31</f>
        <v>87.989311357904839</v>
      </c>
    </row>
    <row r="30" spans="1:14" x14ac:dyDescent="0.25">
      <c r="A30" s="118" t="s">
        <v>26</v>
      </c>
      <c r="B30" s="9" t="str">
        <f>'2010'!W32</f>
        <v>na</v>
      </c>
      <c r="C30" s="9">
        <f>'2011'!W33</f>
        <v>73.696915631581959</v>
      </c>
      <c r="D30" s="9">
        <f>'2012'!W32</f>
        <v>60.921362279410552</v>
      </c>
      <c r="E30" s="9">
        <f>'2013'!W32</f>
        <v>99.43644444438614</v>
      </c>
      <c r="F30" s="9">
        <f>'2014'!W32</f>
        <v>109.92664532318508</v>
      </c>
      <c r="G30" s="9">
        <f>'2015'!W32</f>
        <v>85.172385328346039</v>
      </c>
      <c r="H30" s="9">
        <f>'2016'!W32</f>
        <v>85.742394450314677</v>
      </c>
      <c r="I30" s="9">
        <f>'2017'!W32</f>
        <v>108.2410810589957</v>
      </c>
      <c r="J30" s="9">
        <f>'2018'!W32</f>
        <v>81.610047805016137</v>
      </c>
      <c r="K30" s="9">
        <f>'2019'!W32</f>
        <v>69.460202596049982</v>
      </c>
      <c r="L30" s="9">
        <f>'2020'!W32</f>
        <v>86.099777769293055</v>
      </c>
      <c r="M30" s="9">
        <f>'2021'!W32</f>
        <v>68.160762202532567</v>
      </c>
      <c r="N30" s="9">
        <f>'2022'!W32</f>
        <v>69.445565600991145</v>
      </c>
    </row>
    <row r="31" spans="1:14" x14ac:dyDescent="0.25">
      <c r="A31" s="118" t="s">
        <v>27</v>
      </c>
      <c r="B31" s="9">
        <f>'2010'!W33</f>
        <v>85.694277279992534</v>
      </c>
      <c r="C31" s="9">
        <f>'2011'!W34</f>
        <v>85.122878939839396</v>
      </c>
      <c r="D31" s="9">
        <f>'2012'!W33</f>
        <v>58.521950508601051</v>
      </c>
      <c r="E31" s="9">
        <f>'2013'!W33</f>
        <v>41.444890220116697</v>
      </c>
      <c r="F31" s="9">
        <f>'2014'!W33</f>
        <v>63.042501079489874</v>
      </c>
      <c r="G31" s="9">
        <f>'2015'!W33</f>
        <v>50.119013565631768</v>
      </c>
      <c r="H31" s="9">
        <f>'2016'!W33</f>
        <v>57.890723104383106</v>
      </c>
      <c r="I31" s="9">
        <f>'2017'!W33</f>
        <v>70.260624724169773</v>
      </c>
      <c r="J31" s="9">
        <f>'2018'!W33</f>
        <v>82.949894362337332</v>
      </c>
      <c r="K31" s="9">
        <f>'2019'!W33</f>
        <v>86.125196768163732</v>
      </c>
      <c r="L31" s="9">
        <f>'2020'!W33</f>
        <v>64.15277935011936</v>
      </c>
      <c r="M31" s="9">
        <f>'2021'!W33</f>
        <v>60.94541895546071</v>
      </c>
      <c r="N31" s="9">
        <f>'2022'!W33</f>
        <v>49.591710710155219</v>
      </c>
    </row>
    <row r="32" spans="1:14" x14ac:dyDescent="0.25">
      <c r="A32" s="118" t="s">
        <v>28</v>
      </c>
      <c r="B32" s="9">
        <f>'2010'!W34</f>
        <v>309.33247282557272</v>
      </c>
      <c r="C32" s="9">
        <f>'2011'!W35</f>
        <v>408.79931706950458</v>
      </c>
      <c r="D32" s="9">
        <f>'2012'!W34</f>
        <v>457.63291759579653</v>
      </c>
      <c r="E32" s="9">
        <f>'2013'!W34</f>
        <v>382.71099406863897</v>
      </c>
      <c r="F32" s="9">
        <f>'2014'!W34</f>
        <v>501.9998728784214</v>
      </c>
      <c r="G32" s="9">
        <f>'2015'!W34</f>
        <v>487.70964267558634</v>
      </c>
      <c r="H32" s="9">
        <f>'2016'!W34</f>
        <v>439.52638042378408</v>
      </c>
      <c r="I32" s="9">
        <f>'2017'!W34</f>
        <v>280.2582281263808</v>
      </c>
      <c r="J32" s="9">
        <f>'2018'!W34</f>
        <v>268.32152703526208</v>
      </c>
      <c r="K32" s="9">
        <f>'2019'!W34</f>
        <v>156.13546143997158</v>
      </c>
      <c r="L32" s="9">
        <f>'2020'!W34</f>
        <v>188.8606350727292</v>
      </c>
      <c r="M32" s="9">
        <f>'2021'!W34</f>
        <v>193.07790040592491</v>
      </c>
      <c r="N32" s="9">
        <f>'2022'!W34</f>
        <v>158.50136962263286</v>
      </c>
    </row>
    <row r="33" spans="1:14" x14ac:dyDescent="0.25">
      <c r="A33" s="118" t="s">
        <v>29</v>
      </c>
      <c r="B33" s="9">
        <f>'2010'!W35</f>
        <v>26.361573976856867</v>
      </c>
      <c r="C33" s="9">
        <f>'2011'!W36</f>
        <v>23.698024811299625</v>
      </c>
      <c r="D33" s="9">
        <f>'2012'!W35</f>
        <v>17.994094173145005</v>
      </c>
      <c r="E33" s="9">
        <f>'2013'!W35</f>
        <v>22.466144756363072</v>
      </c>
      <c r="F33" s="9">
        <f>'2014'!W35</f>
        <v>20.44358124458806</v>
      </c>
      <c r="G33" s="9">
        <f>'2015'!W35</f>
        <v>21.071477541427534</v>
      </c>
      <c r="H33" s="9">
        <f>'2016'!W35</f>
        <v>21.582837053836151</v>
      </c>
      <c r="I33" s="9">
        <f>'2017'!W35</f>
        <v>21.350366065090146</v>
      </c>
      <c r="J33" s="9">
        <f>'2018'!W35</f>
        <v>22.11693271892257</v>
      </c>
      <c r="K33" s="9">
        <f>'2019'!W35</f>
        <v>20.827782995760806</v>
      </c>
      <c r="L33" s="9">
        <f>'2020'!W35</f>
        <v>22.218737204068873</v>
      </c>
      <c r="M33" s="9">
        <f>'2021'!W35</f>
        <v>22.078661724123652</v>
      </c>
      <c r="N33" s="9">
        <f>'2022'!W35</f>
        <v>19.263115594617684</v>
      </c>
    </row>
    <row r="34" spans="1:14" x14ac:dyDescent="0.25">
      <c r="A34" s="118" t="s">
        <v>30</v>
      </c>
      <c r="B34" s="9" t="str">
        <f>'2010'!W36</f>
        <v>na</v>
      </c>
      <c r="C34" s="9" t="str">
        <f>'2011'!W37</f>
        <v>na</v>
      </c>
      <c r="D34" s="9" t="str">
        <f>'2012'!W36</f>
        <v>na</v>
      </c>
      <c r="E34" s="9" t="str">
        <f>'2013'!W36</f>
        <v>na</v>
      </c>
      <c r="F34" s="9">
        <f>'2014'!W36</f>
        <v>90.948301410693688</v>
      </c>
      <c r="G34" s="9">
        <f>'2015'!W36</f>
        <v>81.235454245605496</v>
      </c>
      <c r="H34" s="9">
        <f>'2016'!W36</f>
        <v>75.270202481584249</v>
      </c>
      <c r="I34" s="9">
        <f>'2017'!W36</f>
        <v>64.667640934326627</v>
      </c>
      <c r="J34" s="9">
        <f>'2018'!W36</f>
        <v>66.268252740849121</v>
      </c>
      <c r="K34" s="9">
        <f>'2019'!W36</f>
        <v>59.852471414903036</v>
      </c>
      <c r="L34" s="9">
        <f>'2020'!W36</f>
        <v>57.566262265719068</v>
      </c>
      <c r="M34" s="9">
        <f>'2021'!W36</f>
        <v>53.52918065002968</v>
      </c>
      <c r="N34" s="9">
        <f>'2022'!W36</f>
        <v>45.895062913871158</v>
      </c>
    </row>
    <row r="35" spans="1:14" x14ac:dyDescent="0.25">
      <c r="A35" t="s">
        <v>31</v>
      </c>
      <c r="B35" s="9">
        <f>'2010'!W37</f>
        <v>149.30762500358236</v>
      </c>
      <c r="C35" s="9">
        <f>'2011'!W38</f>
        <v>109.20259185006758</v>
      </c>
      <c r="D35" s="9">
        <f>'2012'!W37</f>
        <v>141.62206316227491</v>
      </c>
      <c r="E35" s="9">
        <f>'2013'!W37</f>
        <v>134.45070216319786</v>
      </c>
      <c r="F35" s="9">
        <f>'2014'!W37</f>
        <v>133.63285525687155</v>
      </c>
      <c r="G35" s="9">
        <f>'2015'!W37</f>
        <v>120.11782179211696</v>
      </c>
      <c r="H35" s="9">
        <f>'2016'!W37</f>
        <v>82.772305450999326</v>
      </c>
      <c r="I35" s="9" t="str">
        <f>'2017'!W37</f>
        <v>na</v>
      </c>
      <c r="J35" s="9" t="str">
        <f>'2018'!W37</f>
        <v>na</v>
      </c>
      <c r="K35" s="9" t="str">
        <f>'2019'!W37</f>
        <v>na</v>
      </c>
      <c r="L35" s="9" t="str">
        <f>'2020'!W37</f>
        <v>na</v>
      </c>
      <c r="M35" s="9" t="str">
        <f>'2021'!W37</f>
        <v>na</v>
      </c>
      <c r="N35" s="9" t="str">
        <f>'2022'!W37</f>
        <v>na</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BA46B-A859-4D7D-875F-E83F13AEE1BD}">
  <dimension ref="A2:AD39"/>
  <sheetViews>
    <sheetView workbookViewId="0">
      <selection activeCell="U1" sqref="U1:U1048576"/>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2" t="s">
        <v>32</v>
      </c>
    </row>
    <row r="4" spans="1:30" ht="15.75" x14ac:dyDescent="0.25">
      <c r="A4" s="124" t="s">
        <v>33</v>
      </c>
      <c r="B4" s="116" t="s">
        <v>34</v>
      </c>
      <c r="C4" s="125"/>
      <c r="D4" s="116"/>
      <c r="E4" s="125"/>
      <c r="F4" s="125"/>
      <c r="G4" s="125"/>
      <c r="H4" s="125"/>
      <c r="I4" s="125"/>
      <c r="J4" s="125"/>
      <c r="K4" s="124" t="s">
        <v>35</v>
      </c>
      <c r="L4" s="116"/>
      <c r="M4" s="116"/>
      <c r="N4" s="116"/>
      <c r="O4" s="116"/>
      <c r="P4" s="116"/>
      <c r="Q4" s="116"/>
      <c r="R4" s="116"/>
      <c r="S4" s="117"/>
      <c r="T4" s="117"/>
      <c r="U4" s="124" t="s">
        <v>36</v>
      </c>
      <c r="V4" s="116"/>
      <c r="W4" s="116"/>
      <c r="X4" s="116"/>
      <c r="Y4" s="116"/>
      <c r="Z4" s="116"/>
      <c r="AA4" s="116"/>
      <c r="AB4" s="116"/>
      <c r="AC4" s="116"/>
      <c r="AD4" s="117"/>
    </row>
    <row r="5" spans="1:30" x14ac:dyDescent="0.25">
      <c r="A5" s="123" t="s">
        <v>37</v>
      </c>
      <c r="K5" s="118"/>
      <c r="S5" s="6"/>
      <c r="T5" s="6"/>
      <c r="U5" s="118"/>
      <c r="AD5" s="6"/>
    </row>
    <row r="6" spans="1:30" ht="32.25" customHeight="1" x14ac:dyDescent="0.25">
      <c r="A6" s="119" t="s">
        <v>38</v>
      </c>
      <c r="B6" s="120" t="s">
        <v>39</v>
      </c>
      <c r="C6" s="120" t="s">
        <v>0</v>
      </c>
      <c r="D6" s="120" t="s">
        <v>40</v>
      </c>
      <c r="E6" s="127" t="s">
        <v>41</v>
      </c>
      <c r="F6" s="120" t="s">
        <v>42</v>
      </c>
      <c r="G6" s="120" t="s">
        <v>43</v>
      </c>
      <c r="H6" s="120" t="s">
        <v>44</v>
      </c>
      <c r="I6" s="127" t="s">
        <v>45</v>
      </c>
      <c r="J6" s="120" t="s">
        <v>46</v>
      </c>
      <c r="K6" s="119" t="s">
        <v>39</v>
      </c>
      <c r="L6" s="120" t="s">
        <v>0</v>
      </c>
      <c r="M6" s="120" t="s">
        <v>40</v>
      </c>
      <c r="N6" s="127" t="s">
        <v>41</v>
      </c>
      <c r="O6" s="120" t="s">
        <v>42</v>
      </c>
      <c r="P6" s="120" t="s">
        <v>43</v>
      </c>
      <c r="Q6" s="120" t="s">
        <v>44</v>
      </c>
      <c r="R6" s="120" t="s">
        <v>47</v>
      </c>
      <c r="S6" s="121" t="s">
        <v>46</v>
      </c>
      <c r="T6" s="126" t="s">
        <v>48</v>
      </c>
      <c r="U6" s="131" t="s">
        <v>49</v>
      </c>
      <c r="V6" s="138" t="s">
        <v>50</v>
      </c>
      <c r="W6" s="120" t="s">
        <v>0</v>
      </c>
      <c r="X6" s="120" t="s">
        <v>51</v>
      </c>
      <c r="Y6" s="127" t="s">
        <v>52</v>
      </c>
      <c r="Z6" s="120" t="s">
        <v>42</v>
      </c>
      <c r="AA6" s="120" t="s">
        <v>53</v>
      </c>
      <c r="AB6" s="120" t="s">
        <v>44</v>
      </c>
      <c r="AC6" s="120" t="s">
        <v>54</v>
      </c>
      <c r="AD6" s="121" t="s">
        <v>55</v>
      </c>
    </row>
    <row r="7" spans="1:30" x14ac:dyDescent="0.25">
      <c r="A7" s="118" t="s">
        <v>1</v>
      </c>
      <c r="B7">
        <v>444.33916499999998</v>
      </c>
      <c r="C7">
        <v>403.20585999999997</v>
      </c>
      <c r="D7">
        <v>79.225167499999998</v>
      </c>
      <c r="E7">
        <v>34.404299999999999</v>
      </c>
      <c r="F7">
        <v>0</v>
      </c>
      <c r="G7">
        <v>0</v>
      </c>
      <c r="H7">
        <v>33.0732</v>
      </c>
      <c r="I7" s="12">
        <f>SUM(B7:H7)</f>
        <v>994.24769249999997</v>
      </c>
      <c r="J7" s="147">
        <v>62.9</v>
      </c>
      <c r="K7" s="122">
        <f>B7*$K$39</f>
        <v>13330.174949999999</v>
      </c>
      <c r="L7" s="3">
        <f>C7*$L$39</f>
        <v>24192.351599999998</v>
      </c>
      <c r="M7" s="3">
        <f>D7*$M$39</f>
        <v>2376.7550249999999</v>
      </c>
      <c r="N7" s="3">
        <f>E7*$N$39</f>
        <v>688.08600000000001</v>
      </c>
      <c r="O7" s="3">
        <f>F7*$O$39</f>
        <v>0</v>
      </c>
      <c r="P7" s="3">
        <f>G7*$P$39</f>
        <v>0</v>
      </c>
      <c r="Q7" s="3">
        <f>H7*$Q$39</f>
        <v>165.36599999999999</v>
      </c>
      <c r="R7" s="12">
        <f>SUM(K7:Q7)</f>
        <v>40752.733574999998</v>
      </c>
      <c r="S7" s="149">
        <f>R7/I7</f>
        <v>40.988512100569949</v>
      </c>
      <c r="T7" s="129">
        <f>J7/S7</f>
        <v>1.534576318497918</v>
      </c>
      <c r="U7" s="136">
        <f>$U$39*$T7</f>
        <v>12.430068179833137</v>
      </c>
      <c r="V7" s="139">
        <f>$V$39*$T7</f>
        <v>33.607221375104402</v>
      </c>
      <c r="W7" s="9">
        <f>$W$39*$T7</f>
        <v>92.074579109875074</v>
      </c>
      <c r="X7" s="9">
        <f>$X$39*$T7</f>
        <v>46.037289554937537</v>
      </c>
      <c r="Y7" s="9">
        <f>$Y$39*$T7</f>
        <v>30.69152636995836</v>
      </c>
      <c r="Z7" s="9">
        <f>$Z$39*$T7</f>
        <v>61.383052739916721</v>
      </c>
      <c r="AA7" s="9">
        <f>$AA$39*$T7</f>
        <v>1196.969528428376</v>
      </c>
      <c r="AB7" s="9">
        <f>$AB$39*$T7</f>
        <v>7.6728815924895901</v>
      </c>
      <c r="AC7" s="3">
        <f>$AC$39*$T7</f>
        <v>0.58592913979011418</v>
      </c>
      <c r="AD7" s="137">
        <f>$AD$39*$T7</f>
        <v>2.5320509255215646</v>
      </c>
    </row>
    <row r="8" spans="1:30" x14ac:dyDescent="0.25">
      <c r="A8" s="118" t="s">
        <v>2</v>
      </c>
      <c r="B8">
        <v>478.52147000000002</v>
      </c>
      <c r="C8">
        <v>901.27763500000003</v>
      </c>
      <c r="D8">
        <v>173.81867349999999</v>
      </c>
      <c r="E8">
        <v>16.446809999999999</v>
      </c>
      <c r="F8">
        <v>0.57599999999999996</v>
      </c>
      <c r="G8">
        <v>4.2587999999999999</v>
      </c>
      <c r="H8">
        <v>85.586399999999998</v>
      </c>
      <c r="I8" s="12">
        <f t="shared" ref="I8:I23" si="0">SUM(B8:H8)</f>
        <v>1660.4857884999999</v>
      </c>
      <c r="J8" s="147">
        <v>179.9</v>
      </c>
      <c r="K8" s="122">
        <f>B8*$K$39</f>
        <v>14355.644100000001</v>
      </c>
      <c r="L8" s="3">
        <f>C8*$L$39</f>
        <v>54076.658100000001</v>
      </c>
      <c r="M8" s="3">
        <f>D8*$M$39</f>
        <v>5214.5602049999998</v>
      </c>
      <c r="N8" s="3">
        <f>E8*$N$39</f>
        <v>328.93619999999999</v>
      </c>
      <c r="O8" s="3">
        <f>F8*$O$39</f>
        <v>23.04</v>
      </c>
      <c r="P8" s="3">
        <f>G8*$P$39</f>
        <v>3321.864</v>
      </c>
      <c r="Q8" s="3">
        <f>H8*$Q$39</f>
        <v>427.93200000000002</v>
      </c>
      <c r="R8" s="12">
        <f t="shared" ref="R8:R24" si="1">SUM(K8:Q8)</f>
        <v>77748.634604999999</v>
      </c>
      <c r="S8" s="149">
        <f>R8/I8</f>
        <v>46.822824467070113</v>
      </c>
      <c r="T8" s="129">
        <f t="shared" ref="T8" si="2">J8/S8</f>
        <v>3.8421432719532191</v>
      </c>
      <c r="U8" s="136">
        <f>$U$39*$T8</f>
        <v>31.12136050282108</v>
      </c>
      <c r="V8" s="139">
        <f>$V$39*$T8</f>
        <v>84.142937655775498</v>
      </c>
      <c r="W8" s="9">
        <f>$W$39*$T8</f>
        <v>230.52859631719315</v>
      </c>
      <c r="X8" s="9">
        <f>$X$39*$T8</f>
        <v>115.26429815859657</v>
      </c>
      <c r="Y8" s="9">
        <f>$Y$39*$T8</f>
        <v>76.842865439064383</v>
      </c>
      <c r="Z8" s="9">
        <f>$Z$39*$T8</f>
        <v>153.68573087812877</v>
      </c>
      <c r="AA8" s="9">
        <f>$AA$39*$T8</f>
        <v>2996.8717521235108</v>
      </c>
      <c r="AB8" s="9">
        <f>$AB$39*$T8</f>
        <v>19.210716359766096</v>
      </c>
      <c r="AC8" s="3">
        <f>$AC$39*$T8</f>
        <v>1.4670001583821384</v>
      </c>
      <c r="AD8" s="137">
        <f>$AD$39*$T8</f>
        <v>6.3395363987228111</v>
      </c>
    </row>
    <row r="9" spans="1:30" x14ac:dyDescent="0.25">
      <c r="A9" s="118" t="s">
        <v>3</v>
      </c>
      <c r="B9" s="153" t="s">
        <v>56</v>
      </c>
      <c r="C9" s="153" t="s">
        <v>56</v>
      </c>
      <c r="D9" s="153" t="s">
        <v>56</v>
      </c>
      <c r="E9" s="153" t="s">
        <v>56</v>
      </c>
      <c r="F9" s="153" t="s">
        <v>56</v>
      </c>
      <c r="G9" s="153" t="s">
        <v>56</v>
      </c>
      <c r="H9" s="153" t="s">
        <v>56</v>
      </c>
      <c r="I9" s="159" t="s">
        <v>56</v>
      </c>
      <c r="J9" s="156" t="s">
        <v>56</v>
      </c>
      <c r="K9" s="160" t="s">
        <v>56</v>
      </c>
      <c r="L9" s="144" t="s">
        <v>56</v>
      </c>
      <c r="M9" s="144" t="s">
        <v>56</v>
      </c>
      <c r="N9" s="144" t="s">
        <v>56</v>
      </c>
      <c r="O9" s="144" t="s">
        <v>56</v>
      </c>
      <c r="P9" s="144" t="s">
        <v>56</v>
      </c>
      <c r="Q9" s="144" t="s">
        <v>56</v>
      </c>
      <c r="R9" s="159" t="s">
        <v>56</v>
      </c>
      <c r="S9" s="154" t="s">
        <v>56</v>
      </c>
      <c r="T9" s="155" t="s">
        <v>56</v>
      </c>
      <c r="U9" s="161" t="s">
        <v>56</v>
      </c>
      <c r="V9" s="162" t="s">
        <v>56</v>
      </c>
      <c r="W9" s="163" t="s">
        <v>56</v>
      </c>
      <c r="X9" s="163" t="s">
        <v>56</v>
      </c>
      <c r="Y9" s="163" t="s">
        <v>56</v>
      </c>
      <c r="Z9" s="163" t="s">
        <v>56</v>
      </c>
      <c r="AA9" s="163" t="s">
        <v>56</v>
      </c>
      <c r="AB9" s="163" t="s">
        <v>56</v>
      </c>
      <c r="AC9" s="144" t="s">
        <v>56</v>
      </c>
      <c r="AD9" s="164" t="s">
        <v>56</v>
      </c>
    </row>
    <row r="10" spans="1:30" x14ac:dyDescent="0.25">
      <c r="A10" s="118" t="s">
        <v>4</v>
      </c>
      <c r="B10" s="153" t="s">
        <v>56</v>
      </c>
      <c r="C10" s="153" t="s">
        <v>56</v>
      </c>
      <c r="D10" s="153" t="s">
        <v>56</v>
      </c>
      <c r="E10" s="153" t="s">
        <v>56</v>
      </c>
      <c r="F10" s="153" t="s">
        <v>56</v>
      </c>
      <c r="G10" s="153" t="s">
        <v>56</v>
      </c>
      <c r="H10" s="153" t="s">
        <v>56</v>
      </c>
      <c r="I10" s="153" t="s">
        <v>56</v>
      </c>
      <c r="J10" s="157" t="s">
        <v>56</v>
      </c>
      <c r="K10" s="153" t="s">
        <v>56</v>
      </c>
      <c r="L10" s="153" t="s">
        <v>56</v>
      </c>
      <c r="M10" s="153" t="s">
        <v>56</v>
      </c>
      <c r="N10" s="153" t="s">
        <v>56</v>
      </c>
      <c r="O10" s="153" t="s">
        <v>56</v>
      </c>
      <c r="P10" s="153" t="s">
        <v>56</v>
      </c>
      <c r="Q10" s="153" t="s">
        <v>56</v>
      </c>
      <c r="R10" s="153" t="s">
        <v>56</v>
      </c>
      <c r="S10" s="157" t="s">
        <v>56</v>
      </c>
      <c r="T10" s="155" t="s">
        <v>56</v>
      </c>
      <c r="U10" s="153" t="s">
        <v>56</v>
      </c>
      <c r="V10" s="153" t="s">
        <v>56</v>
      </c>
      <c r="W10" s="153" t="s">
        <v>56</v>
      </c>
      <c r="X10" s="153" t="s">
        <v>56</v>
      </c>
      <c r="Y10" s="153" t="s">
        <v>56</v>
      </c>
      <c r="Z10" s="153" t="s">
        <v>56</v>
      </c>
      <c r="AA10" s="153" t="s">
        <v>56</v>
      </c>
      <c r="AB10" s="153" t="s">
        <v>56</v>
      </c>
      <c r="AC10" s="153" t="s">
        <v>56</v>
      </c>
      <c r="AD10" s="158" t="s">
        <v>56</v>
      </c>
    </row>
    <row r="11" spans="1:30" x14ac:dyDescent="0.25">
      <c r="A11" s="118" t="s">
        <v>5</v>
      </c>
      <c r="B11" s="153" t="s">
        <v>56</v>
      </c>
      <c r="C11" s="153" t="s">
        <v>56</v>
      </c>
      <c r="D11" s="153" t="s">
        <v>56</v>
      </c>
      <c r="E11" s="153" t="s">
        <v>56</v>
      </c>
      <c r="F11" s="153" t="s">
        <v>56</v>
      </c>
      <c r="G11" s="153" t="s">
        <v>56</v>
      </c>
      <c r="H11" s="153" t="s">
        <v>56</v>
      </c>
      <c r="I11" s="159" t="s">
        <v>56</v>
      </c>
      <c r="J11" s="156" t="s">
        <v>56</v>
      </c>
      <c r="K11" s="160" t="s">
        <v>56</v>
      </c>
      <c r="L11" s="144" t="s">
        <v>56</v>
      </c>
      <c r="M11" s="144" t="s">
        <v>56</v>
      </c>
      <c r="N11" s="144" t="s">
        <v>56</v>
      </c>
      <c r="O11" s="144" t="s">
        <v>56</v>
      </c>
      <c r="P11" s="144" t="s">
        <v>56</v>
      </c>
      <c r="Q11" s="144" t="s">
        <v>56</v>
      </c>
      <c r="R11" s="159" t="s">
        <v>56</v>
      </c>
      <c r="S11" s="154" t="s">
        <v>56</v>
      </c>
      <c r="T11" s="155" t="s">
        <v>56</v>
      </c>
      <c r="U11" s="161" t="s">
        <v>56</v>
      </c>
      <c r="V11" s="162" t="s">
        <v>56</v>
      </c>
      <c r="W11" s="163" t="s">
        <v>56</v>
      </c>
      <c r="X11" s="163" t="s">
        <v>56</v>
      </c>
      <c r="Y11" s="163" t="s">
        <v>56</v>
      </c>
      <c r="Z11" s="163" t="s">
        <v>56</v>
      </c>
      <c r="AA11" s="163" t="s">
        <v>56</v>
      </c>
      <c r="AB11" s="163" t="s">
        <v>56</v>
      </c>
      <c r="AC11" s="144" t="s">
        <v>56</v>
      </c>
      <c r="AD11" s="164" t="s">
        <v>56</v>
      </c>
    </row>
    <row r="12" spans="1:30" x14ac:dyDescent="0.25">
      <c r="A12" s="118" t="s">
        <v>6</v>
      </c>
      <c r="B12">
        <v>292.07171</v>
      </c>
      <c r="C12">
        <v>240.16889499999999</v>
      </c>
      <c r="D12">
        <v>146.1986</v>
      </c>
      <c r="E12">
        <v>15.161854999999999</v>
      </c>
      <c r="F12">
        <v>20.420000000000002</v>
      </c>
      <c r="G12">
        <v>11.628399999999999</v>
      </c>
      <c r="H12">
        <v>29.572800000000001</v>
      </c>
      <c r="I12" s="12">
        <f t="shared" si="0"/>
        <v>755.22225999999989</v>
      </c>
      <c r="J12" s="147">
        <v>94.3</v>
      </c>
      <c r="K12" s="122">
        <f>B12*$K$39</f>
        <v>8762.1512999999995</v>
      </c>
      <c r="L12" s="3">
        <f>C12*$L$39</f>
        <v>14410.1337</v>
      </c>
      <c r="M12" s="3">
        <f>D12*$M$39</f>
        <v>4385.9579999999996</v>
      </c>
      <c r="N12" s="3">
        <f>E12*$N$39</f>
        <v>303.2371</v>
      </c>
      <c r="O12" s="3">
        <f>F12*$O$39</f>
        <v>816.80000000000007</v>
      </c>
      <c r="P12" s="3">
        <f>G12*$P$39</f>
        <v>9070.152</v>
      </c>
      <c r="Q12" s="3">
        <f>H12*$Q$39</f>
        <v>147.864</v>
      </c>
      <c r="R12" s="12">
        <f t="shared" si="1"/>
        <v>37896.2961</v>
      </c>
      <c r="S12" s="149">
        <f>R12/I12</f>
        <v>50.178997769477832</v>
      </c>
      <c r="T12" s="129">
        <f t="shared" ref="T12:T16" si="3">J12/S12</f>
        <v>1.8792722890404052</v>
      </c>
      <c r="U12" s="136">
        <f>$U$39*$T12</f>
        <v>15.222105541227284</v>
      </c>
      <c r="V12" s="139">
        <f>$V$39*$T12</f>
        <v>41.156063129984872</v>
      </c>
      <c r="W12" s="9">
        <f>$W$39*$T12</f>
        <v>112.75633734242432</v>
      </c>
      <c r="X12" s="9">
        <f>$X$39*$T12</f>
        <v>56.378168671212158</v>
      </c>
      <c r="Y12" s="9">
        <f>$Y$39*$T12</f>
        <v>37.585445780808101</v>
      </c>
      <c r="Z12" s="9">
        <f>$Z$39*$T12</f>
        <v>75.170891561616202</v>
      </c>
      <c r="AA12" s="9">
        <f>$AA$39*$T12</f>
        <v>1465.8323854515161</v>
      </c>
      <c r="AB12" s="9">
        <f>$AB$39*$T12</f>
        <v>9.3963614452020252</v>
      </c>
      <c r="AC12" s="3">
        <f>$AC$39*$T12</f>
        <v>0.71754032854270022</v>
      </c>
      <c r="AD12" s="137">
        <f>$AD$39*$T12</f>
        <v>3.1007992769166686</v>
      </c>
    </row>
    <row r="13" spans="1:30" x14ac:dyDescent="0.25">
      <c r="A13" s="118" t="s">
        <v>7</v>
      </c>
      <c r="B13">
        <v>409.08433000000002</v>
      </c>
      <c r="C13">
        <v>1855.9094500000001</v>
      </c>
      <c r="D13">
        <v>120.406825</v>
      </c>
      <c r="E13">
        <v>13.72725</v>
      </c>
      <c r="F13">
        <v>34.131</v>
      </c>
      <c r="G13">
        <v>0</v>
      </c>
      <c r="H13">
        <v>70</v>
      </c>
      <c r="I13" s="12">
        <f t="shared" si="0"/>
        <v>2503.258855</v>
      </c>
      <c r="J13" s="147">
        <v>47.1</v>
      </c>
      <c r="K13" s="122">
        <f>B13*$K$39</f>
        <v>12272.529900000001</v>
      </c>
      <c r="L13" s="3">
        <f>C13*$L$39</f>
        <v>111354.56700000001</v>
      </c>
      <c r="M13" s="3">
        <f>D13*$M$39</f>
        <v>3612.2047499999999</v>
      </c>
      <c r="N13" s="3">
        <f>E13*$N$39</f>
        <v>274.54500000000002</v>
      </c>
      <c r="O13" s="3">
        <f>F13*$O$39</f>
        <v>1365.24</v>
      </c>
      <c r="P13" s="3">
        <f>G13*$P$39</f>
        <v>0</v>
      </c>
      <c r="Q13" s="3">
        <f>H13*$Q$39</f>
        <v>350</v>
      </c>
      <c r="R13" s="12">
        <f t="shared" si="1"/>
        <v>129229.08665000001</v>
      </c>
      <c r="S13" s="149">
        <f>R13/I13</f>
        <v>51.624340164373457</v>
      </c>
      <c r="T13" s="129">
        <f t="shared" si="3"/>
        <v>0.91236032944987155</v>
      </c>
      <c r="U13" s="136">
        <f>$U$39*$T13</f>
        <v>7.3901186685439608</v>
      </c>
      <c r="V13" s="139">
        <f>$V$39*$T13</f>
        <v>19.980691214952184</v>
      </c>
      <c r="W13" s="9">
        <f>$W$39*$T13</f>
        <v>54.741619766992294</v>
      </c>
      <c r="X13" s="9">
        <f>$X$39*$T13</f>
        <v>27.370809883496147</v>
      </c>
      <c r="Y13" s="9">
        <f>$Y$39*$T13</f>
        <v>18.247206588997432</v>
      </c>
      <c r="Z13" s="9">
        <f>$Z$39*$T13</f>
        <v>36.494413177994865</v>
      </c>
      <c r="AA13" s="9">
        <f>$AA$39*$T13</f>
        <v>711.64105697089985</v>
      </c>
      <c r="AB13" s="9">
        <f>$AB$39*$T13</f>
        <v>4.5618016472493581</v>
      </c>
      <c r="AC13" s="3">
        <f>$AC$39*$T13</f>
        <v>0.34835576215358732</v>
      </c>
      <c r="AD13" s="137">
        <f>$AD$39*$T13</f>
        <v>1.505394543592288</v>
      </c>
    </row>
    <row r="14" spans="1:30" x14ac:dyDescent="0.25">
      <c r="A14" s="118" t="s">
        <v>8</v>
      </c>
      <c r="B14">
        <v>61.116435000000003</v>
      </c>
      <c r="C14">
        <v>34.959665000000001</v>
      </c>
      <c r="D14">
        <v>2.095567</v>
      </c>
      <c r="E14">
        <v>4.8092600000000001</v>
      </c>
      <c r="F14">
        <v>0.65400000000000003</v>
      </c>
      <c r="G14">
        <v>0</v>
      </c>
      <c r="H14">
        <v>4.04</v>
      </c>
      <c r="I14" s="12">
        <f t="shared" si="0"/>
        <v>107.674927</v>
      </c>
      <c r="J14" s="147">
        <v>70.8</v>
      </c>
      <c r="K14" s="122">
        <f>B14*$K$39</f>
        <v>1833.49305</v>
      </c>
      <c r="L14" s="3">
        <f>C14*$L$39</f>
        <v>2097.5799000000002</v>
      </c>
      <c r="M14" s="3">
        <f>D14*$M$39</f>
        <v>62.867010000000001</v>
      </c>
      <c r="N14" s="3">
        <f>E14*$N$39</f>
        <v>96.185200000000009</v>
      </c>
      <c r="O14" s="3">
        <f>F14*$O$39</f>
        <v>26.16</v>
      </c>
      <c r="P14" s="3">
        <f>G14*$P$39</f>
        <v>0</v>
      </c>
      <c r="Q14" s="3">
        <f>H14*$Q$39</f>
        <v>20.2</v>
      </c>
      <c r="R14" s="12">
        <f t="shared" si="1"/>
        <v>4136.4851600000002</v>
      </c>
      <c r="S14" s="149">
        <f>R14/I14</f>
        <v>38.416419451113256</v>
      </c>
      <c r="T14" s="129">
        <f t="shared" si="3"/>
        <v>1.8429619681265821</v>
      </c>
      <c r="U14" s="136">
        <f>$U$39*$T14</f>
        <v>14.927991941825317</v>
      </c>
      <c r="V14" s="139">
        <f>$V$39*$T14</f>
        <v>40.360867101972147</v>
      </c>
      <c r="W14" s="9">
        <f>$W$39*$T14</f>
        <v>110.57771808759493</v>
      </c>
      <c r="X14" s="9">
        <f>$X$39*$T14</f>
        <v>55.288859043797466</v>
      </c>
      <c r="Y14" s="9">
        <f>$Y$39*$T14</f>
        <v>36.859239362531639</v>
      </c>
      <c r="Z14" s="9">
        <f>$Z$39*$T14</f>
        <v>73.718478725063278</v>
      </c>
      <c r="AA14" s="9">
        <f>$AA$39*$T14</f>
        <v>1437.510335138734</v>
      </c>
      <c r="AB14" s="9">
        <f>$AB$39*$T14</f>
        <v>9.2148098406329098</v>
      </c>
      <c r="AC14" s="3">
        <f>$AC$39*$T14</f>
        <v>0.70367638783014952</v>
      </c>
      <c r="AD14" s="137">
        <f>$AD$39*$T14</f>
        <v>3.0408872474088602</v>
      </c>
    </row>
    <row r="15" spans="1:30" x14ac:dyDescent="0.25">
      <c r="A15" s="118" t="s">
        <v>9</v>
      </c>
      <c r="B15">
        <v>224.39418000000001</v>
      </c>
      <c r="C15">
        <v>181.240465</v>
      </c>
      <c r="D15">
        <v>59.537886499999999</v>
      </c>
      <c r="E15">
        <v>10.17292</v>
      </c>
      <c r="F15">
        <v>11.8</v>
      </c>
      <c r="G15">
        <v>0</v>
      </c>
      <c r="H15">
        <v>29.72</v>
      </c>
      <c r="I15" s="12">
        <f t="shared" si="0"/>
        <v>516.86545149999995</v>
      </c>
      <c r="J15" s="147">
        <v>22</v>
      </c>
      <c r="K15" s="122">
        <f>B15*$K$39</f>
        <v>6731.8253999999997</v>
      </c>
      <c r="L15" s="3">
        <f>C15*$L$39</f>
        <v>10874.427900000001</v>
      </c>
      <c r="M15" s="3">
        <f>D15*$M$39</f>
        <v>1786.1365949999999</v>
      </c>
      <c r="N15" s="3">
        <f>E15*$N$39</f>
        <v>203.45839999999998</v>
      </c>
      <c r="O15" s="3">
        <f>F15*$O$39</f>
        <v>472</v>
      </c>
      <c r="P15" s="3">
        <f>G15*$P$39</f>
        <v>0</v>
      </c>
      <c r="Q15" s="3">
        <f>H15*$Q$39</f>
        <v>148.6</v>
      </c>
      <c r="R15" s="12">
        <f t="shared" si="1"/>
        <v>20216.448294999998</v>
      </c>
      <c r="S15" s="149">
        <f>R15/I15</f>
        <v>39.113560862560377</v>
      </c>
      <c r="T15" s="129">
        <f t="shared" si="3"/>
        <v>0.56246476963079239</v>
      </c>
      <c r="U15" s="136">
        <f>$U$39*$T15</f>
        <v>4.5559646340094195</v>
      </c>
      <c r="V15" s="139">
        <f>$V$39*$T15</f>
        <v>12.317978454914353</v>
      </c>
      <c r="W15" s="9">
        <f>$W$39*$T15</f>
        <v>33.747886177847541</v>
      </c>
      <c r="X15" s="9">
        <f>$X$39*$T15</f>
        <v>16.87394308892377</v>
      </c>
      <c r="Y15" s="9">
        <f>$Y$39*$T15</f>
        <v>11.249295392615847</v>
      </c>
      <c r="Z15" s="9">
        <f>$Z$39*$T15</f>
        <v>22.498590785231695</v>
      </c>
      <c r="AA15" s="9">
        <f>$AA$39*$T15</f>
        <v>438.72252031201805</v>
      </c>
      <c r="AB15" s="9">
        <f>$AB$39*$T15</f>
        <v>2.8123238481539619</v>
      </c>
      <c r="AC15" s="3">
        <f>$AC$39*$T15</f>
        <v>0.21475927567721165</v>
      </c>
      <c r="AD15" s="137">
        <f>$AD$39*$T15</f>
        <v>0.92806686989080744</v>
      </c>
    </row>
    <row r="16" spans="1:30" x14ac:dyDescent="0.25">
      <c r="A16" s="118" t="s">
        <v>10</v>
      </c>
      <c r="B16">
        <v>3340.3962200000001</v>
      </c>
      <c r="C16">
        <v>1886.9729500000001</v>
      </c>
      <c r="D16">
        <v>1150.9532180000001</v>
      </c>
      <c r="E16">
        <v>695.50249499999995</v>
      </c>
      <c r="F16">
        <v>45.042000000000002</v>
      </c>
      <c r="G16">
        <v>48.651400000000002</v>
      </c>
      <c r="H16">
        <v>311.31799999999998</v>
      </c>
      <c r="I16" s="12">
        <f t="shared" si="0"/>
        <v>7478.8362830000005</v>
      </c>
      <c r="J16" s="147">
        <v>133.6</v>
      </c>
      <c r="K16" s="122">
        <f>B16*$K$39</f>
        <v>100211.8866</v>
      </c>
      <c r="L16" s="3">
        <f>C16*$L$39</f>
        <v>113218.37700000001</v>
      </c>
      <c r="M16" s="3">
        <f>D16*$M$39</f>
        <v>34528.596540000006</v>
      </c>
      <c r="N16" s="3">
        <f>E16*$N$39</f>
        <v>13910.049899999998</v>
      </c>
      <c r="O16" s="3">
        <f>F16*$O$39</f>
        <v>1801.68</v>
      </c>
      <c r="P16" s="3">
        <f>G16*$P$39</f>
        <v>37948.092000000004</v>
      </c>
      <c r="Q16" s="3">
        <f>H16*$Q$39</f>
        <v>1556.59</v>
      </c>
      <c r="R16" s="12">
        <f t="shared" si="1"/>
        <v>303175.27204000001</v>
      </c>
      <c r="S16" s="149">
        <f>R16/I16</f>
        <v>40.537760230042998</v>
      </c>
      <c r="T16" s="129">
        <f t="shared" si="3"/>
        <v>3.2956926885414726</v>
      </c>
      <c r="U16" s="136">
        <f>$U$39*$T16</f>
        <v>26.695110777185931</v>
      </c>
      <c r="V16" s="139">
        <f>$V$39*$T16</f>
        <v>72.175669879058248</v>
      </c>
      <c r="W16" s="9">
        <f>$W$39*$T16</f>
        <v>197.74156131248836</v>
      </c>
      <c r="X16" s="9">
        <f>$X$39*$T16</f>
        <v>98.870780656244179</v>
      </c>
      <c r="Y16" s="9">
        <f>$Y$39*$T16</f>
        <v>65.913853770829448</v>
      </c>
      <c r="Z16" s="9">
        <f>$Z$39*$T16</f>
        <v>131.8277075416589</v>
      </c>
      <c r="AA16" s="9">
        <f>$AA$39*$T16</f>
        <v>2570.6402970623485</v>
      </c>
      <c r="AB16" s="9">
        <f>$AB$39*$T16</f>
        <v>16.478463442707362</v>
      </c>
      <c r="AC16" s="3">
        <f>$AC$39*$T16</f>
        <v>1.2583553901703806</v>
      </c>
      <c r="AD16" s="137">
        <f>$AD$39*$T16</f>
        <v>5.4378929360934292</v>
      </c>
    </row>
    <row r="17" spans="1:30" x14ac:dyDescent="0.25">
      <c r="A17" s="118" t="s">
        <v>11</v>
      </c>
      <c r="B17" s="165" t="s">
        <v>56</v>
      </c>
      <c r="C17" s="165" t="s">
        <v>56</v>
      </c>
      <c r="D17" s="165" t="s">
        <v>56</v>
      </c>
      <c r="E17" s="165" t="s">
        <v>56</v>
      </c>
      <c r="F17" s="165" t="s">
        <v>56</v>
      </c>
      <c r="G17" s="165" t="s">
        <v>56</v>
      </c>
      <c r="H17" s="165" t="s">
        <v>56</v>
      </c>
      <c r="I17" s="166" t="s">
        <v>56</v>
      </c>
      <c r="J17" s="167" t="s">
        <v>56</v>
      </c>
      <c r="K17" s="168" t="s">
        <v>56</v>
      </c>
      <c r="L17" s="169" t="s">
        <v>56</v>
      </c>
      <c r="M17" s="169" t="s">
        <v>56</v>
      </c>
      <c r="N17" s="169" t="s">
        <v>56</v>
      </c>
      <c r="O17" s="169" t="s">
        <v>56</v>
      </c>
      <c r="P17" s="169" t="s">
        <v>56</v>
      </c>
      <c r="Q17" s="169" t="s">
        <v>56</v>
      </c>
      <c r="R17" s="166" t="s">
        <v>56</v>
      </c>
      <c r="S17" s="170" t="s">
        <v>56</v>
      </c>
      <c r="T17" s="171" t="s">
        <v>56</v>
      </c>
      <c r="U17" s="172" t="s">
        <v>56</v>
      </c>
      <c r="V17" s="173" t="s">
        <v>56</v>
      </c>
      <c r="W17" s="174" t="s">
        <v>56</v>
      </c>
      <c r="X17" s="174" t="s">
        <v>56</v>
      </c>
      <c r="Y17" s="174" t="s">
        <v>56</v>
      </c>
      <c r="Z17" s="174" t="s">
        <v>56</v>
      </c>
      <c r="AA17" s="174" t="s">
        <v>56</v>
      </c>
      <c r="AB17" s="174" t="s">
        <v>56</v>
      </c>
      <c r="AC17" s="169" t="s">
        <v>56</v>
      </c>
      <c r="AD17" s="175" t="s">
        <v>56</v>
      </c>
    </row>
    <row r="18" spans="1:30" x14ac:dyDescent="0.25">
      <c r="A18" s="118" t="s">
        <v>12</v>
      </c>
      <c r="B18" s="153" t="s">
        <v>56</v>
      </c>
      <c r="C18" s="153" t="s">
        <v>56</v>
      </c>
      <c r="D18" s="153" t="s">
        <v>56</v>
      </c>
      <c r="E18" s="153" t="s">
        <v>56</v>
      </c>
      <c r="F18" s="153" t="s">
        <v>56</v>
      </c>
      <c r="G18" s="153" t="s">
        <v>56</v>
      </c>
      <c r="H18" s="153" t="s">
        <v>56</v>
      </c>
      <c r="I18" s="153" t="s">
        <v>56</v>
      </c>
      <c r="J18" s="157" t="s">
        <v>56</v>
      </c>
      <c r="K18" s="153" t="s">
        <v>56</v>
      </c>
      <c r="L18" s="153" t="s">
        <v>56</v>
      </c>
      <c r="M18" s="153" t="s">
        <v>56</v>
      </c>
      <c r="N18" s="153" t="s">
        <v>56</v>
      </c>
      <c r="O18" s="153" t="s">
        <v>56</v>
      </c>
      <c r="P18" s="153" t="s">
        <v>56</v>
      </c>
      <c r="Q18" s="153" t="s">
        <v>56</v>
      </c>
      <c r="R18" s="153" t="s">
        <v>56</v>
      </c>
      <c r="S18" s="157" t="s">
        <v>56</v>
      </c>
      <c r="T18" s="155" t="s">
        <v>56</v>
      </c>
      <c r="U18" s="153" t="s">
        <v>56</v>
      </c>
      <c r="V18" s="153" t="s">
        <v>56</v>
      </c>
      <c r="W18" s="153" t="s">
        <v>56</v>
      </c>
      <c r="X18" s="153" t="s">
        <v>56</v>
      </c>
      <c r="Y18" s="153" t="s">
        <v>56</v>
      </c>
      <c r="Z18" s="153" t="s">
        <v>56</v>
      </c>
      <c r="AA18" s="153" t="s">
        <v>56</v>
      </c>
      <c r="AB18" s="153" t="s">
        <v>56</v>
      </c>
      <c r="AC18" s="153" t="s">
        <v>56</v>
      </c>
      <c r="AD18" s="158" t="s">
        <v>56</v>
      </c>
    </row>
    <row r="19" spans="1:30" x14ac:dyDescent="0.25">
      <c r="A19" s="118" t="s">
        <v>13</v>
      </c>
      <c r="B19">
        <v>151.32914500000001</v>
      </c>
      <c r="C19">
        <v>316.02211499999999</v>
      </c>
      <c r="D19">
        <v>170.43446449999999</v>
      </c>
      <c r="E19">
        <v>102.26428</v>
      </c>
      <c r="F19">
        <v>0</v>
      </c>
      <c r="G19">
        <v>1.1564000000000001</v>
      </c>
      <c r="H19">
        <v>27.2</v>
      </c>
      <c r="I19" s="12">
        <f t="shared" si="0"/>
        <v>768.40640450000001</v>
      </c>
      <c r="J19" s="147">
        <v>269.89999999999998</v>
      </c>
      <c r="K19" s="122">
        <f t="shared" ref="K19:K24" si="4">B19*$K$39</f>
        <v>4539.87435</v>
      </c>
      <c r="L19" s="3">
        <f t="shared" ref="L19:L24" si="5">C19*$L$39</f>
        <v>18961.3269</v>
      </c>
      <c r="M19" s="3">
        <f t="shared" ref="M19:M24" si="6">D19*$M$39</f>
        <v>5113.0339349999995</v>
      </c>
      <c r="N19" s="3">
        <f t="shared" ref="N19:N24" si="7">E19*$N$39</f>
        <v>2045.2855999999999</v>
      </c>
      <c r="O19" s="3">
        <f t="shared" ref="O19:O24" si="8">F19*$O$39</f>
        <v>0</v>
      </c>
      <c r="P19" s="3">
        <f t="shared" ref="P19:P24" si="9">G19*$P$39</f>
        <v>901.99200000000008</v>
      </c>
      <c r="Q19" s="3">
        <f t="shared" ref="Q19:Q24" si="10">H19*$Q$39</f>
        <v>136</v>
      </c>
      <c r="R19" s="12">
        <f t="shared" si="1"/>
        <v>31697.512784999995</v>
      </c>
      <c r="S19" s="149">
        <f t="shared" ref="S19:S24" si="11">R19/I19</f>
        <v>41.250974223237357</v>
      </c>
      <c r="T19" s="129">
        <f>J19/S19</f>
        <v>6.5428757764455616</v>
      </c>
      <c r="U19" s="136">
        <f t="shared" ref="U19:U24" si="12">$U$39*$T19</f>
        <v>52.99729378920906</v>
      </c>
      <c r="V19" s="139">
        <f t="shared" ref="V19:V24" si="13">$V$39*$T19</f>
        <v>143.28897950415779</v>
      </c>
      <c r="W19" s="9">
        <f t="shared" ref="W19:W24" si="14">$W$39*$T19</f>
        <v>392.57254658673372</v>
      </c>
      <c r="X19" s="9">
        <f t="shared" ref="X19:X24" si="15">$X$39*$T19</f>
        <v>196.28627329336686</v>
      </c>
      <c r="Y19" s="9">
        <f t="shared" ref="Y19:Y24" si="16">$Y$39*$T19</f>
        <v>130.85751552891122</v>
      </c>
      <c r="Z19" s="9">
        <f t="shared" ref="Z19:Z24" si="17">$Z$39*$T19</f>
        <v>261.71503105782244</v>
      </c>
      <c r="AA19" s="9">
        <f t="shared" ref="AA19:AA24" si="18">$AA$39*$T19</f>
        <v>5103.443105627538</v>
      </c>
      <c r="AB19" s="9">
        <f t="shared" ref="AB19:AB24" si="19">$AB$39*$T19</f>
        <v>32.714378882227805</v>
      </c>
      <c r="AC19" s="3">
        <f t="shared" ref="AC19:AC24" si="20">$AC$39*$T19</f>
        <v>2.4981889328246689</v>
      </c>
      <c r="AD19" s="137">
        <f t="shared" ref="AD19:AD24" si="21">$AD$39*$T19</f>
        <v>10.795745031135176</v>
      </c>
    </row>
    <row r="20" spans="1:30" x14ac:dyDescent="0.25">
      <c r="A20" s="118" t="s">
        <v>14</v>
      </c>
      <c r="B20">
        <v>18.9925</v>
      </c>
      <c r="C20">
        <v>5.8040000000000003</v>
      </c>
      <c r="D20">
        <v>4.9264999999999999</v>
      </c>
      <c r="E20">
        <v>47.1</v>
      </c>
      <c r="F20">
        <v>5.05</v>
      </c>
      <c r="G20">
        <v>0</v>
      </c>
      <c r="H20">
        <v>30.8</v>
      </c>
      <c r="I20" s="12">
        <f t="shared" si="0"/>
        <v>112.673</v>
      </c>
      <c r="J20" s="147">
        <v>6.8</v>
      </c>
      <c r="K20" s="122">
        <f t="shared" si="4"/>
        <v>569.77499999999998</v>
      </c>
      <c r="L20" s="3">
        <f t="shared" si="5"/>
        <v>348.24</v>
      </c>
      <c r="M20" s="3">
        <f t="shared" si="6"/>
        <v>147.79499999999999</v>
      </c>
      <c r="N20" s="3">
        <f t="shared" si="7"/>
        <v>942</v>
      </c>
      <c r="O20" s="3">
        <f t="shared" si="8"/>
        <v>202</v>
      </c>
      <c r="P20" s="3">
        <f t="shared" si="9"/>
        <v>0</v>
      </c>
      <c r="Q20" s="3">
        <f t="shared" si="10"/>
        <v>154</v>
      </c>
      <c r="R20" s="12">
        <f t="shared" si="1"/>
        <v>2363.81</v>
      </c>
      <c r="S20" s="149">
        <f t="shared" si="11"/>
        <v>20.979382815758875</v>
      </c>
      <c r="T20" s="129">
        <f t="shared" ref="T20:T24" si="22">J20/S20</f>
        <v>0.32412774292350066</v>
      </c>
      <c r="U20" s="136">
        <f t="shared" si="12"/>
        <v>2.6254347176803559</v>
      </c>
      <c r="V20" s="139">
        <f t="shared" si="13"/>
        <v>7.0983975700246642</v>
      </c>
      <c r="W20" s="9">
        <f t="shared" si="14"/>
        <v>19.447664575410041</v>
      </c>
      <c r="X20" s="9">
        <f t="shared" si="15"/>
        <v>9.7238322877050205</v>
      </c>
      <c r="Y20" s="9">
        <f t="shared" si="16"/>
        <v>6.4825548584700137</v>
      </c>
      <c r="Z20" s="9">
        <f t="shared" si="17"/>
        <v>12.965109716940027</v>
      </c>
      <c r="AA20" s="9">
        <f t="shared" si="18"/>
        <v>252.81963948033052</v>
      </c>
      <c r="AB20" s="9">
        <f t="shared" si="19"/>
        <v>1.6206387146175034</v>
      </c>
      <c r="AC20" s="3">
        <f t="shared" si="20"/>
        <v>0.12375786547988207</v>
      </c>
      <c r="AD20" s="137">
        <f t="shared" si="21"/>
        <v>0.53481077582377601</v>
      </c>
    </row>
    <row r="21" spans="1:30" x14ac:dyDescent="0.25">
      <c r="A21" s="118" t="s">
        <v>15</v>
      </c>
      <c r="B21">
        <v>1091.1218650000001</v>
      </c>
      <c r="C21">
        <v>249.53832499999999</v>
      </c>
      <c r="D21">
        <v>79.870661999999996</v>
      </c>
      <c r="E21">
        <v>274.75200000000001</v>
      </c>
      <c r="F21">
        <v>47.212000000000003</v>
      </c>
      <c r="G21">
        <v>0</v>
      </c>
      <c r="H21">
        <v>36</v>
      </c>
      <c r="I21" s="12">
        <f t="shared" si="0"/>
        <v>1778.494852</v>
      </c>
      <c r="J21" s="147">
        <v>51.4</v>
      </c>
      <c r="K21" s="122">
        <f t="shared" si="4"/>
        <v>32733.65595</v>
      </c>
      <c r="L21" s="3">
        <f t="shared" si="5"/>
        <v>14972.299499999999</v>
      </c>
      <c r="M21" s="3">
        <f t="shared" si="6"/>
        <v>2396.1198599999998</v>
      </c>
      <c r="N21" s="3">
        <f t="shared" si="7"/>
        <v>5495.04</v>
      </c>
      <c r="O21" s="3">
        <f t="shared" si="8"/>
        <v>1888.48</v>
      </c>
      <c r="P21" s="3">
        <f t="shared" si="9"/>
        <v>0</v>
      </c>
      <c r="Q21" s="3">
        <f t="shared" si="10"/>
        <v>180</v>
      </c>
      <c r="R21" s="12">
        <f t="shared" si="1"/>
        <v>57665.595310000004</v>
      </c>
      <c r="S21" s="149">
        <f t="shared" si="11"/>
        <v>32.423819076649202</v>
      </c>
      <c r="T21" s="129">
        <f t="shared" si="22"/>
        <v>1.5852543427562162</v>
      </c>
      <c r="U21" s="136">
        <f t="shared" si="12"/>
        <v>12.840560176325354</v>
      </c>
      <c r="V21" s="139">
        <f t="shared" si="13"/>
        <v>34.717070106361135</v>
      </c>
      <c r="W21" s="9">
        <f t="shared" si="14"/>
        <v>95.115260565372978</v>
      </c>
      <c r="X21" s="9">
        <f t="shared" si="15"/>
        <v>47.557630282686489</v>
      </c>
      <c r="Y21" s="9">
        <f t="shared" si="16"/>
        <v>31.705086855124325</v>
      </c>
      <c r="Z21" s="9">
        <f t="shared" si="17"/>
        <v>63.41017371024865</v>
      </c>
      <c r="AA21" s="9">
        <f t="shared" si="18"/>
        <v>1236.4983873498486</v>
      </c>
      <c r="AB21" s="9">
        <f t="shared" si="19"/>
        <v>7.9262717137810812</v>
      </c>
      <c r="AC21" s="3">
        <f t="shared" si="20"/>
        <v>0.60527893087055529</v>
      </c>
      <c r="AD21" s="137">
        <f t="shared" si="21"/>
        <v>2.6156696655477565</v>
      </c>
    </row>
    <row r="22" spans="1:30" x14ac:dyDescent="0.25">
      <c r="A22" s="118" t="s">
        <v>16</v>
      </c>
      <c r="B22">
        <v>1820.8867399999999</v>
      </c>
      <c r="C22">
        <v>1032.1504749999999</v>
      </c>
      <c r="D22">
        <v>674.80434700000001</v>
      </c>
      <c r="E22">
        <v>614.43902000000003</v>
      </c>
      <c r="F22">
        <v>232.13</v>
      </c>
      <c r="G22">
        <v>34.061999999999998</v>
      </c>
      <c r="H22">
        <v>164.01480000000001</v>
      </c>
      <c r="I22" s="12">
        <f t="shared" si="0"/>
        <v>4572.4873819999993</v>
      </c>
      <c r="J22" s="147">
        <v>421.1</v>
      </c>
      <c r="K22" s="122">
        <f t="shared" si="4"/>
        <v>54626.602199999994</v>
      </c>
      <c r="L22" s="3">
        <f t="shared" si="5"/>
        <v>61929.028499999993</v>
      </c>
      <c r="M22" s="3">
        <f t="shared" si="6"/>
        <v>20244.130410000002</v>
      </c>
      <c r="N22" s="3">
        <f t="shared" si="7"/>
        <v>12288.7804</v>
      </c>
      <c r="O22" s="3">
        <f t="shared" si="8"/>
        <v>9285.2000000000007</v>
      </c>
      <c r="P22" s="3">
        <f t="shared" si="9"/>
        <v>26568.359999999997</v>
      </c>
      <c r="Q22" s="3">
        <f t="shared" si="10"/>
        <v>820.07400000000007</v>
      </c>
      <c r="R22" s="12">
        <f t="shared" si="1"/>
        <v>185762.17550999997</v>
      </c>
      <c r="S22" s="149">
        <f t="shared" si="11"/>
        <v>40.626066294085184</v>
      </c>
      <c r="T22" s="129">
        <f>J22/S22</f>
        <v>10.365266401913706</v>
      </c>
      <c r="U22" s="136">
        <f t="shared" si="12"/>
        <v>83.958657855501031</v>
      </c>
      <c r="V22" s="139">
        <f t="shared" si="13"/>
        <v>226.99933420191016</v>
      </c>
      <c r="W22" s="9">
        <f t="shared" si="14"/>
        <v>621.91598411482232</v>
      </c>
      <c r="X22" s="9">
        <f t="shared" si="15"/>
        <v>310.95799205741116</v>
      </c>
      <c r="Y22" s="9">
        <f t="shared" si="16"/>
        <v>207.30532803827413</v>
      </c>
      <c r="Z22" s="9">
        <f t="shared" si="17"/>
        <v>414.61065607654825</v>
      </c>
      <c r="AA22" s="9">
        <f t="shared" si="18"/>
        <v>8084.9077934926909</v>
      </c>
      <c r="AB22" s="9">
        <f t="shared" si="19"/>
        <v>51.826332009568532</v>
      </c>
      <c r="AC22" s="3">
        <f t="shared" si="20"/>
        <v>3.957647171639779</v>
      </c>
      <c r="AD22" s="137">
        <f t="shared" si="21"/>
        <v>17.102689563157615</v>
      </c>
    </row>
    <row r="23" spans="1:30" x14ac:dyDescent="0.25">
      <c r="A23" s="118" t="s">
        <v>17</v>
      </c>
      <c r="B23">
        <v>103.77506</v>
      </c>
      <c r="C23">
        <v>33.447274999999998</v>
      </c>
      <c r="D23">
        <v>16.298148999999999</v>
      </c>
      <c r="E23">
        <v>5.9286000000000003</v>
      </c>
      <c r="F23">
        <v>0.51700000000000002</v>
      </c>
      <c r="G23">
        <v>2.4385199999999999E-2</v>
      </c>
      <c r="H23">
        <v>4.71</v>
      </c>
      <c r="I23" s="12">
        <f t="shared" si="0"/>
        <v>164.70046919999999</v>
      </c>
      <c r="J23" s="147">
        <v>39.4</v>
      </c>
      <c r="K23" s="122">
        <f t="shared" si="4"/>
        <v>3113.2518</v>
      </c>
      <c r="L23" s="3">
        <f t="shared" si="5"/>
        <v>2006.8364999999999</v>
      </c>
      <c r="M23" s="3">
        <f t="shared" si="6"/>
        <v>488.94446999999997</v>
      </c>
      <c r="N23" s="3">
        <f t="shared" si="7"/>
        <v>118.572</v>
      </c>
      <c r="O23" s="3">
        <f t="shared" si="8"/>
        <v>20.68</v>
      </c>
      <c r="P23" s="3">
        <f t="shared" si="9"/>
        <v>19.020455999999999</v>
      </c>
      <c r="Q23" s="3">
        <f t="shared" si="10"/>
        <v>23.55</v>
      </c>
      <c r="R23" s="12">
        <f t="shared" si="1"/>
        <v>5790.8552260000006</v>
      </c>
      <c r="S23" s="149">
        <f t="shared" si="11"/>
        <v>35.159919422986086</v>
      </c>
      <c r="T23" s="129">
        <f t="shared" si="22"/>
        <v>1.1205941494348797</v>
      </c>
      <c r="U23" s="136">
        <f t="shared" si="12"/>
        <v>9.0768126104225271</v>
      </c>
      <c r="V23" s="139">
        <f t="shared" si="13"/>
        <v>24.541011872623862</v>
      </c>
      <c r="W23" s="9">
        <f t="shared" si="14"/>
        <v>67.235648966092782</v>
      </c>
      <c r="X23" s="9">
        <f t="shared" si="15"/>
        <v>33.617824483046391</v>
      </c>
      <c r="Y23" s="9">
        <f t="shared" si="16"/>
        <v>22.411882988697592</v>
      </c>
      <c r="Z23" s="9">
        <f t="shared" si="17"/>
        <v>44.823765977395183</v>
      </c>
      <c r="AA23" s="9">
        <f t="shared" si="18"/>
        <v>874.06343655920614</v>
      </c>
      <c r="AB23" s="9">
        <f t="shared" si="19"/>
        <v>5.6029707471743979</v>
      </c>
      <c r="AC23" s="3">
        <f t="shared" si="20"/>
        <v>0.42786322069331773</v>
      </c>
      <c r="AD23" s="137">
        <f t="shared" si="21"/>
        <v>1.8489803465675514</v>
      </c>
    </row>
    <row r="24" spans="1:30" x14ac:dyDescent="0.25">
      <c r="A24" s="118" t="s">
        <v>18</v>
      </c>
      <c r="B24">
        <v>223.67621</v>
      </c>
      <c r="C24">
        <v>67.147880000000001</v>
      </c>
      <c r="D24">
        <v>39.6550145</v>
      </c>
      <c r="E24">
        <v>4.4866000000000001</v>
      </c>
      <c r="F24">
        <v>3.4279999999999999</v>
      </c>
      <c r="G24">
        <v>4.2000000000000003E-2</v>
      </c>
      <c r="H24">
        <v>3.294</v>
      </c>
      <c r="I24" s="12">
        <f>SUM(B24:H24)</f>
        <v>341.72970449999997</v>
      </c>
      <c r="J24" s="147">
        <v>48.2</v>
      </c>
      <c r="K24" s="122">
        <f t="shared" si="4"/>
        <v>6710.2862999999998</v>
      </c>
      <c r="L24" s="3">
        <f t="shared" si="5"/>
        <v>4028.8728000000001</v>
      </c>
      <c r="M24" s="3">
        <f t="shared" si="6"/>
        <v>1189.650435</v>
      </c>
      <c r="N24" s="3">
        <f t="shared" si="7"/>
        <v>89.731999999999999</v>
      </c>
      <c r="O24" s="3">
        <f t="shared" si="8"/>
        <v>137.12</v>
      </c>
      <c r="P24" s="3">
        <f t="shared" si="9"/>
        <v>32.760000000000005</v>
      </c>
      <c r="Q24" s="3">
        <f t="shared" si="10"/>
        <v>16.47</v>
      </c>
      <c r="R24" s="12">
        <f t="shared" si="1"/>
        <v>12204.891535000001</v>
      </c>
      <c r="S24" s="149">
        <f t="shared" si="11"/>
        <v>35.715044300458231</v>
      </c>
      <c r="T24" s="129">
        <f t="shared" si="22"/>
        <v>1.3495713345477101</v>
      </c>
      <c r="U24" s="136">
        <f t="shared" si="12"/>
        <v>10.931527809836453</v>
      </c>
      <c r="V24" s="139">
        <f t="shared" si="13"/>
        <v>29.55561222659485</v>
      </c>
      <c r="W24" s="9">
        <f t="shared" si="14"/>
        <v>80.974280072862598</v>
      </c>
      <c r="X24" s="9">
        <f t="shared" si="15"/>
        <v>40.487140036431299</v>
      </c>
      <c r="Y24" s="9">
        <f t="shared" si="16"/>
        <v>26.991426690954199</v>
      </c>
      <c r="Z24" s="9">
        <f t="shared" si="17"/>
        <v>53.982853381908399</v>
      </c>
      <c r="AA24" s="9">
        <f t="shared" si="18"/>
        <v>1052.6656409472139</v>
      </c>
      <c r="AB24" s="9">
        <f t="shared" si="19"/>
        <v>6.7478566727385498</v>
      </c>
      <c r="AC24" s="3">
        <f t="shared" si="20"/>
        <v>0.51529087319094391</v>
      </c>
      <c r="AD24" s="137">
        <f t="shared" si="21"/>
        <v>2.2267927020037215</v>
      </c>
    </row>
    <row r="25" spans="1:30" x14ac:dyDescent="0.25">
      <c r="A25" s="118" t="s">
        <v>19</v>
      </c>
      <c r="B25" s="153" t="s">
        <v>56</v>
      </c>
      <c r="C25" s="153" t="s">
        <v>56</v>
      </c>
      <c r="D25" s="153" t="s">
        <v>56</v>
      </c>
      <c r="E25" s="153" t="s">
        <v>56</v>
      </c>
      <c r="F25" s="153" t="s">
        <v>56</v>
      </c>
      <c r="G25" s="153" t="s">
        <v>56</v>
      </c>
      <c r="H25" s="153" t="s">
        <v>56</v>
      </c>
      <c r="I25" s="144" t="s">
        <v>56</v>
      </c>
      <c r="J25" s="156" t="s">
        <v>56</v>
      </c>
      <c r="K25" s="160" t="s">
        <v>56</v>
      </c>
      <c r="L25" s="144" t="s">
        <v>56</v>
      </c>
      <c r="M25" s="144" t="s">
        <v>56</v>
      </c>
      <c r="N25" s="144" t="s">
        <v>56</v>
      </c>
      <c r="O25" s="144" t="s">
        <v>56</v>
      </c>
      <c r="P25" s="144" t="s">
        <v>56</v>
      </c>
      <c r="Q25" s="144" t="s">
        <v>56</v>
      </c>
      <c r="R25" s="144" t="s">
        <v>56</v>
      </c>
      <c r="S25" s="154" t="s">
        <v>56</v>
      </c>
      <c r="T25" s="155" t="s">
        <v>56</v>
      </c>
      <c r="U25" s="161" t="s">
        <v>56</v>
      </c>
      <c r="V25" s="162" t="s">
        <v>56</v>
      </c>
      <c r="W25" s="163" t="s">
        <v>56</v>
      </c>
      <c r="X25" s="163" t="s">
        <v>56</v>
      </c>
      <c r="Y25" s="163" t="s">
        <v>56</v>
      </c>
      <c r="Z25" s="163" t="s">
        <v>56</v>
      </c>
      <c r="AA25" s="163" t="s">
        <v>56</v>
      </c>
      <c r="AB25" s="163" t="s">
        <v>56</v>
      </c>
      <c r="AC25" s="144" t="s">
        <v>56</v>
      </c>
      <c r="AD25" s="164" t="s">
        <v>56</v>
      </c>
    </row>
    <row r="26" spans="1:30" x14ac:dyDescent="0.25">
      <c r="A26" s="118" t="s">
        <v>20</v>
      </c>
      <c r="B26" s="153" t="s">
        <v>56</v>
      </c>
      <c r="C26" s="153" t="s">
        <v>56</v>
      </c>
      <c r="D26" s="153" t="s">
        <v>56</v>
      </c>
      <c r="E26" s="153" t="s">
        <v>56</v>
      </c>
      <c r="F26" s="153" t="s">
        <v>56</v>
      </c>
      <c r="G26" s="153" t="s">
        <v>56</v>
      </c>
      <c r="H26" s="153" t="s">
        <v>56</v>
      </c>
      <c r="I26" s="153" t="s">
        <v>56</v>
      </c>
      <c r="J26" s="157" t="s">
        <v>56</v>
      </c>
      <c r="K26" s="153" t="s">
        <v>56</v>
      </c>
      <c r="L26" s="153" t="s">
        <v>56</v>
      </c>
      <c r="M26" s="153" t="s">
        <v>56</v>
      </c>
      <c r="N26" s="153" t="s">
        <v>56</v>
      </c>
      <c r="O26" s="153" t="s">
        <v>56</v>
      </c>
      <c r="P26" s="153" t="s">
        <v>56</v>
      </c>
      <c r="Q26" s="153" t="s">
        <v>56</v>
      </c>
      <c r="R26" s="153" t="s">
        <v>56</v>
      </c>
      <c r="S26" s="154" t="s">
        <v>56</v>
      </c>
      <c r="T26" s="155" t="s">
        <v>56</v>
      </c>
      <c r="U26" s="153" t="s">
        <v>56</v>
      </c>
      <c r="V26" s="153" t="s">
        <v>56</v>
      </c>
      <c r="W26" s="153" t="s">
        <v>56</v>
      </c>
      <c r="X26" s="153" t="s">
        <v>56</v>
      </c>
      <c r="Y26" s="153" t="s">
        <v>56</v>
      </c>
      <c r="Z26" s="153" t="s">
        <v>56</v>
      </c>
      <c r="AA26" s="153" t="s">
        <v>56</v>
      </c>
      <c r="AB26" s="153" t="s">
        <v>56</v>
      </c>
      <c r="AC26" s="153" t="s">
        <v>56</v>
      </c>
      <c r="AD26" s="158" t="s">
        <v>56</v>
      </c>
    </row>
    <row r="27" spans="1:30" x14ac:dyDescent="0.25">
      <c r="A27" s="118" t="s">
        <v>21</v>
      </c>
      <c r="B27">
        <v>982.97573499999999</v>
      </c>
      <c r="C27">
        <v>1492.9683500000001</v>
      </c>
      <c r="D27">
        <v>391.06257649999998</v>
      </c>
      <c r="E27">
        <v>109.158</v>
      </c>
      <c r="F27">
        <v>7.36</v>
      </c>
      <c r="G27">
        <v>2.6208</v>
      </c>
      <c r="H27">
        <v>169.2</v>
      </c>
      <c r="I27" s="12">
        <f>SUM(B27:H27)</f>
        <v>3155.3454615000001</v>
      </c>
      <c r="J27" s="147">
        <v>146</v>
      </c>
      <c r="K27" s="122">
        <f>B27*$K$39</f>
        <v>29489.27205</v>
      </c>
      <c r="L27" s="3">
        <f>C27*$L$39</f>
        <v>89578.10100000001</v>
      </c>
      <c r="M27" s="3">
        <f>D27*$M$39</f>
        <v>11731.877294999998</v>
      </c>
      <c r="N27" s="3">
        <f>E27*$N$39</f>
        <v>2183.16</v>
      </c>
      <c r="O27" s="3">
        <f>F27*$O$39</f>
        <v>294.40000000000003</v>
      </c>
      <c r="P27" s="3">
        <f>G27*$P$39</f>
        <v>2044.2239999999999</v>
      </c>
      <c r="Q27" s="3">
        <f>H27*$Q$39</f>
        <v>846</v>
      </c>
      <c r="R27" s="12">
        <f>SUM(K27:Q27)</f>
        <v>136167.03434499999</v>
      </c>
      <c r="S27" s="149">
        <f>R27/I27</f>
        <v>43.154398149566923</v>
      </c>
      <c r="T27" s="129">
        <f>J27/S27</f>
        <v>3.3832009310843603</v>
      </c>
      <c r="U27" s="136">
        <f>$U$39*$T27</f>
        <v>27.403927541783322</v>
      </c>
      <c r="V27" s="139">
        <f>$V$39*$T27</f>
        <v>74.09210039074749</v>
      </c>
      <c r="W27" s="9">
        <f>$W$39*$T27</f>
        <v>202.99205586506162</v>
      </c>
      <c r="X27" s="9">
        <f>$X$39*$T27</f>
        <v>101.49602793253081</v>
      </c>
      <c r="Y27" s="9">
        <f>$Y$39*$T27</f>
        <v>67.664018621687205</v>
      </c>
      <c r="Z27" s="9">
        <f>$Z$39*$T27</f>
        <v>135.32803724337441</v>
      </c>
      <c r="AA27" s="9">
        <f>$AA$39*$T27</f>
        <v>2638.8967262458009</v>
      </c>
      <c r="AB27" s="9">
        <f>$AB$39*$T27</f>
        <v>16.916004655421801</v>
      </c>
      <c r="AC27" s="3">
        <f>$AC$39*$T27</f>
        <v>1.2917676282322104</v>
      </c>
      <c r="AD27" s="137">
        <f>$AD$39*$T27</f>
        <v>5.5822815362891944</v>
      </c>
    </row>
    <row r="28" spans="1:30" x14ac:dyDescent="0.25">
      <c r="A28" s="118" t="s">
        <v>22</v>
      </c>
      <c r="B28">
        <v>221.56949499999999</v>
      </c>
      <c r="C28">
        <v>125.100675</v>
      </c>
      <c r="D28">
        <v>62.374000000000002</v>
      </c>
      <c r="E28">
        <v>93.639179999999996</v>
      </c>
      <c r="F28">
        <v>1019.711</v>
      </c>
      <c r="G28">
        <v>0</v>
      </c>
      <c r="H28">
        <v>50</v>
      </c>
      <c r="I28" s="12">
        <f t="shared" ref="I28:I35" si="23">SUM(B28:H28)</f>
        <v>1572.39435</v>
      </c>
      <c r="J28" s="147">
        <v>3.9</v>
      </c>
      <c r="K28" s="122">
        <f t="shared" ref="K28:K37" si="24">B28*$K$39</f>
        <v>6647.0848499999993</v>
      </c>
      <c r="L28" s="3">
        <f t="shared" ref="L28:L37" si="25">C28*$L$39</f>
        <v>7506.0405000000001</v>
      </c>
      <c r="M28" s="3">
        <f t="shared" ref="M28:M37" si="26">D28*$M$39</f>
        <v>1871.22</v>
      </c>
      <c r="N28" s="3">
        <f t="shared" ref="N28:N37" si="27">E28*$N$39</f>
        <v>1872.7836</v>
      </c>
      <c r="O28" s="3">
        <f t="shared" ref="O28:O37" si="28">F28*$O$39</f>
        <v>40788.44</v>
      </c>
      <c r="P28" s="3">
        <f t="shared" ref="P28:P37" si="29">G28*$P$39</f>
        <v>0</v>
      </c>
      <c r="Q28" s="3">
        <f t="shared" ref="Q28:Q37" si="30">H28*$Q$39</f>
        <v>250</v>
      </c>
      <c r="R28" s="12">
        <f t="shared" ref="R28:R37" si="31">SUM(K28:Q28)</f>
        <v>58935.568950000001</v>
      </c>
      <c r="S28" s="149">
        <f>R28/I28</f>
        <v>37.481417400157916</v>
      </c>
      <c r="T28" s="129">
        <f t="shared" ref="T28:T30" si="32">J28/S28</f>
        <v>0.10405156129403922</v>
      </c>
      <c r="U28" s="136">
        <f>$U$39*$T28</f>
        <v>0.84281764648171786</v>
      </c>
      <c r="V28" s="139">
        <f>$V$39*$T28</f>
        <v>2.2787291923394588</v>
      </c>
      <c r="W28" s="9">
        <f>$W$39*$T28</f>
        <v>6.2430936776423538</v>
      </c>
      <c r="X28" s="9">
        <f>$X$39*$T28</f>
        <v>3.1215468388211769</v>
      </c>
      <c r="Y28" s="9">
        <f>$Y$39*$T28</f>
        <v>2.0810312258807846</v>
      </c>
      <c r="Z28" s="9">
        <f>$Z$39*$T28</f>
        <v>4.1620624517615692</v>
      </c>
      <c r="AA28" s="9">
        <f>$AA$39*$T28</f>
        <v>81.160217809350598</v>
      </c>
      <c r="AB28" s="9">
        <f>$AB$39*$T28</f>
        <v>0.52025780647019615</v>
      </c>
      <c r="AC28" s="3">
        <f>$AC$39*$T28</f>
        <v>3.9728777948633158E-2</v>
      </c>
      <c r="AD28" s="137">
        <f>$AD$39*$T28</f>
        <v>0.1716850761351647</v>
      </c>
    </row>
    <row r="29" spans="1:30" x14ac:dyDescent="0.25">
      <c r="A29" s="118" t="s">
        <v>23</v>
      </c>
      <c r="B29" s="153" t="s">
        <v>56</v>
      </c>
      <c r="C29" s="153" t="s">
        <v>56</v>
      </c>
      <c r="D29" s="153" t="s">
        <v>56</v>
      </c>
      <c r="E29" s="153" t="s">
        <v>56</v>
      </c>
      <c r="F29" s="153" t="s">
        <v>56</v>
      </c>
      <c r="G29" s="153" t="s">
        <v>56</v>
      </c>
      <c r="H29" s="153" t="s">
        <v>56</v>
      </c>
      <c r="I29" s="159" t="s">
        <v>56</v>
      </c>
      <c r="J29" s="156" t="s">
        <v>56</v>
      </c>
      <c r="K29" s="160" t="s">
        <v>56</v>
      </c>
      <c r="L29" s="144" t="s">
        <v>56</v>
      </c>
      <c r="M29" s="144" t="s">
        <v>56</v>
      </c>
      <c r="N29" s="144" t="s">
        <v>56</v>
      </c>
      <c r="O29" s="144" t="s">
        <v>56</v>
      </c>
      <c r="P29" s="144" t="s">
        <v>56</v>
      </c>
      <c r="Q29" s="144" t="s">
        <v>56</v>
      </c>
      <c r="R29" s="159" t="s">
        <v>56</v>
      </c>
      <c r="S29" s="154" t="s">
        <v>56</v>
      </c>
      <c r="T29" s="155" t="s">
        <v>56</v>
      </c>
      <c r="U29" s="161" t="s">
        <v>56</v>
      </c>
      <c r="V29" s="162" t="s">
        <v>56</v>
      </c>
      <c r="W29" s="163" t="s">
        <v>56</v>
      </c>
      <c r="X29" s="163" t="s">
        <v>56</v>
      </c>
      <c r="Y29" s="163" t="s">
        <v>56</v>
      </c>
      <c r="Z29" s="163" t="s">
        <v>56</v>
      </c>
      <c r="AA29" s="163" t="s">
        <v>56</v>
      </c>
      <c r="AB29" s="163" t="s">
        <v>56</v>
      </c>
      <c r="AC29" s="144" t="s">
        <v>56</v>
      </c>
      <c r="AD29" s="164" t="s">
        <v>56</v>
      </c>
    </row>
    <row r="30" spans="1:30" x14ac:dyDescent="0.25">
      <c r="A30" s="118" t="s">
        <v>24</v>
      </c>
      <c r="B30">
        <v>237.72893999999999</v>
      </c>
      <c r="C30">
        <v>348.621555</v>
      </c>
      <c r="D30">
        <v>204.71990249999999</v>
      </c>
      <c r="E30">
        <v>190.35831999999999</v>
      </c>
      <c r="F30">
        <v>7.9790000000000001</v>
      </c>
      <c r="G30">
        <v>8.4413573999999993</v>
      </c>
      <c r="H30">
        <v>38.799999999999997</v>
      </c>
      <c r="I30" s="12">
        <f t="shared" si="23"/>
        <v>1036.6490749</v>
      </c>
      <c r="J30" s="147">
        <v>175.1</v>
      </c>
      <c r="K30" s="122">
        <f t="shared" si="24"/>
        <v>7131.8681999999999</v>
      </c>
      <c r="L30" s="3">
        <f t="shared" si="25"/>
        <v>20917.293300000001</v>
      </c>
      <c r="M30" s="3">
        <f t="shared" si="26"/>
        <v>6141.5970749999997</v>
      </c>
      <c r="N30" s="3">
        <f t="shared" si="27"/>
        <v>3807.1664000000001</v>
      </c>
      <c r="O30" s="3">
        <f t="shared" si="28"/>
        <v>319.16000000000003</v>
      </c>
      <c r="P30" s="3">
        <f t="shared" si="29"/>
        <v>6584.2587719999992</v>
      </c>
      <c r="Q30" s="3">
        <f t="shared" si="30"/>
        <v>194</v>
      </c>
      <c r="R30" s="12">
        <f t="shared" si="31"/>
        <v>45095.343747000006</v>
      </c>
      <c r="S30" s="149">
        <f>R30/I30</f>
        <v>43.501069782317721</v>
      </c>
      <c r="T30" s="129">
        <f t="shared" si="32"/>
        <v>4.0251883660841488</v>
      </c>
      <c r="U30" s="136">
        <f>$U$39*$T30</f>
        <v>32.604025765281612</v>
      </c>
      <c r="V30" s="139">
        <f>$V$39*$T30</f>
        <v>88.151625217242852</v>
      </c>
      <c r="W30" s="9">
        <f>$W$39*$T30</f>
        <v>241.51130196504892</v>
      </c>
      <c r="X30" s="9">
        <f>$X$39*$T30</f>
        <v>120.75565098252446</v>
      </c>
      <c r="Y30" s="9">
        <f>$Y$39*$T30</f>
        <v>80.503767321682972</v>
      </c>
      <c r="Z30" s="9">
        <f>$Z$39*$T30</f>
        <v>161.00753464336594</v>
      </c>
      <c r="AA30" s="9">
        <f>$AA$39*$T30</f>
        <v>3139.6469255456359</v>
      </c>
      <c r="AB30" s="9">
        <f>$AB$39*$T30</f>
        <v>20.125941830420743</v>
      </c>
      <c r="AC30" s="3">
        <f>$AC$39*$T30</f>
        <v>1.5368901034139477</v>
      </c>
      <c r="AD30" s="137">
        <f>$AD$39*$T30</f>
        <v>6.6415608040388454</v>
      </c>
    </row>
    <row r="31" spans="1:30" x14ac:dyDescent="0.25">
      <c r="A31" s="118" t="s">
        <v>25</v>
      </c>
      <c r="B31" s="153" t="s">
        <v>56</v>
      </c>
      <c r="C31" s="153" t="s">
        <v>56</v>
      </c>
      <c r="D31" s="153" t="s">
        <v>56</v>
      </c>
      <c r="E31" s="153" t="s">
        <v>56</v>
      </c>
      <c r="F31" s="153" t="s">
        <v>56</v>
      </c>
      <c r="G31" s="153" t="s">
        <v>56</v>
      </c>
      <c r="H31" s="153" t="s">
        <v>56</v>
      </c>
      <c r="I31" s="153" t="s">
        <v>56</v>
      </c>
      <c r="J31" s="157" t="s">
        <v>56</v>
      </c>
      <c r="K31" s="153" t="s">
        <v>56</v>
      </c>
      <c r="L31" s="153" t="s">
        <v>56</v>
      </c>
      <c r="M31" s="153" t="s">
        <v>56</v>
      </c>
      <c r="N31" s="153" t="s">
        <v>56</v>
      </c>
      <c r="O31" s="153" t="s">
        <v>56</v>
      </c>
      <c r="P31" s="153" t="s">
        <v>56</v>
      </c>
      <c r="Q31" s="153" t="s">
        <v>56</v>
      </c>
      <c r="R31" s="153" t="s">
        <v>56</v>
      </c>
      <c r="S31" s="154" t="s">
        <v>56</v>
      </c>
      <c r="T31" s="155" t="s">
        <v>56</v>
      </c>
      <c r="U31" s="153" t="s">
        <v>56</v>
      </c>
      <c r="V31" s="153" t="s">
        <v>56</v>
      </c>
      <c r="W31" s="153" t="s">
        <v>56</v>
      </c>
      <c r="X31" s="153" t="s">
        <v>56</v>
      </c>
      <c r="Y31" s="153" t="s">
        <v>56</v>
      </c>
      <c r="Z31" s="153" t="s">
        <v>56</v>
      </c>
      <c r="AA31" s="153" t="s">
        <v>56</v>
      </c>
      <c r="AB31" s="153" t="s">
        <v>56</v>
      </c>
      <c r="AC31" s="153" t="s">
        <v>56</v>
      </c>
      <c r="AD31" s="158" t="s">
        <v>56</v>
      </c>
    </row>
    <row r="32" spans="1:30" x14ac:dyDescent="0.25">
      <c r="A32" s="118" t="s">
        <v>26</v>
      </c>
      <c r="B32" s="153" t="s">
        <v>56</v>
      </c>
      <c r="C32" s="153" t="s">
        <v>56</v>
      </c>
      <c r="D32" s="153" t="s">
        <v>56</v>
      </c>
      <c r="E32" s="153" t="s">
        <v>56</v>
      </c>
      <c r="F32" s="153" t="s">
        <v>56</v>
      </c>
      <c r="G32" s="153" t="s">
        <v>56</v>
      </c>
      <c r="H32" s="153" t="s">
        <v>56</v>
      </c>
      <c r="I32" s="159" t="s">
        <v>56</v>
      </c>
      <c r="J32" s="156" t="s">
        <v>56</v>
      </c>
      <c r="K32" s="160" t="s">
        <v>56</v>
      </c>
      <c r="L32" s="144" t="s">
        <v>56</v>
      </c>
      <c r="M32" s="144" t="s">
        <v>56</v>
      </c>
      <c r="N32" s="144" t="s">
        <v>56</v>
      </c>
      <c r="O32" s="144" t="s">
        <v>56</v>
      </c>
      <c r="P32" s="144" t="s">
        <v>56</v>
      </c>
      <c r="Q32" s="144" t="s">
        <v>56</v>
      </c>
      <c r="R32" s="159" t="s">
        <v>56</v>
      </c>
      <c r="S32" s="154" t="s">
        <v>56</v>
      </c>
      <c r="T32" s="155" t="s">
        <v>56</v>
      </c>
      <c r="U32" s="161" t="s">
        <v>56</v>
      </c>
      <c r="V32" s="162" t="s">
        <v>56</v>
      </c>
      <c r="W32" s="163" t="s">
        <v>56</v>
      </c>
      <c r="X32" s="163" t="s">
        <v>56</v>
      </c>
      <c r="Y32" s="163" t="s">
        <v>56</v>
      </c>
      <c r="Z32" s="163" t="s">
        <v>56</v>
      </c>
      <c r="AA32" s="163" t="s">
        <v>56</v>
      </c>
      <c r="AB32" s="163" t="s">
        <v>56</v>
      </c>
      <c r="AC32" s="144" t="s">
        <v>56</v>
      </c>
      <c r="AD32" s="164" t="s">
        <v>56</v>
      </c>
    </row>
    <row r="33" spans="1:30" x14ac:dyDescent="0.25">
      <c r="A33" s="118" t="s">
        <v>27</v>
      </c>
      <c r="B33">
        <v>100.145205</v>
      </c>
      <c r="C33">
        <v>26.457355</v>
      </c>
      <c r="D33">
        <v>33.517240999999999</v>
      </c>
      <c r="E33">
        <v>9.9486600000000003</v>
      </c>
      <c r="F33">
        <v>0.77800000000000002</v>
      </c>
      <c r="G33">
        <v>2.478E-2</v>
      </c>
      <c r="H33">
        <v>8.92</v>
      </c>
      <c r="I33" s="12">
        <f>SUM(B33:H33)</f>
        <v>179.79124099999996</v>
      </c>
      <c r="J33" s="147">
        <v>46.8</v>
      </c>
      <c r="K33" s="122">
        <f t="shared" si="24"/>
        <v>3004.3561500000001</v>
      </c>
      <c r="L33" s="3">
        <f t="shared" si="25"/>
        <v>1587.4413</v>
      </c>
      <c r="M33" s="3">
        <f t="shared" si="26"/>
        <v>1005.5172299999999</v>
      </c>
      <c r="N33" s="3">
        <f t="shared" si="27"/>
        <v>198.97320000000002</v>
      </c>
      <c r="O33" s="3">
        <f t="shared" si="28"/>
        <v>31.12</v>
      </c>
      <c r="P33" s="3">
        <f t="shared" si="29"/>
        <v>19.328399999999998</v>
      </c>
      <c r="Q33" s="3">
        <f t="shared" si="30"/>
        <v>44.6</v>
      </c>
      <c r="R33" s="12">
        <f t="shared" si="31"/>
        <v>5891.3362800000004</v>
      </c>
      <c r="S33" s="149">
        <f>R33/I33</f>
        <v>32.767649009108304</v>
      </c>
      <c r="T33" s="129">
        <f t="shared" ref="T33:T35" si="33">J33/S33</f>
        <v>1.4282379546665422</v>
      </c>
      <c r="U33" s="136">
        <f>$U$39*$T33</f>
        <v>11.568727432798994</v>
      </c>
      <c r="V33" s="139">
        <f t="shared" ref="V33:V37" si="34">$V$39*$T33</f>
        <v>31.278411207197273</v>
      </c>
      <c r="W33" s="9">
        <f t="shared" ref="W33:W35" si="35">$W$39*$T33</f>
        <v>85.694277279992534</v>
      </c>
      <c r="X33" s="9">
        <f t="shared" ref="X33:X37" si="36">$X$39*$T33</f>
        <v>42.847138639996267</v>
      </c>
      <c r="Y33" s="9">
        <f t="shared" ref="Y33:Y37" si="37">$Y$39*$T33</f>
        <v>28.564759093330846</v>
      </c>
      <c r="Z33" s="9">
        <f t="shared" ref="Z33:Z37" si="38">$Z$39*$T33</f>
        <v>57.129518186661691</v>
      </c>
      <c r="AA33" s="9">
        <f t="shared" ref="AA33:AA37" si="39">$AA$39*$T33</f>
        <v>1114.0256046399029</v>
      </c>
      <c r="AB33" s="9">
        <f t="shared" ref="AB33:AB37" si="40">$AB$39*$T33</f>
        <v>7.1411897733327114</v>
      </c>
      <c r="AC33" s="3">
        <f t="shared" ref="AC33:AC37" si="41">$AC$39*$T33</f>
        <v>0.54532721905449799</v>
      </c>
      <c r="AD33" s="137">
        <f t="shared" ref="AD33:AD37" si="42">$AD$39*$T33</f>
        <v>2.3565926251997946</v>
      </c>
    </row>
    <row r="34" spans="1:30" x14ac:dyDescent="0.25">
      <c r="A34" s="118" t="s">
        <v>28</v>
      </c>
      <c r="B34">
        <v>925.64426500000002</v>
      </c>
      <c r="C34">
        <v>3332.8805849999999</v>
      </c>
      <c r="D34">
        <v>703.34683649999999</v>
      </c>
      <c r="E34">
        <v>1651.00702</v>
      </c>
      <c r="F34">
        <v>268.565</v>
      </c>
      <c r="G34">
        <v>73.686608100000001</v>
      </c>
      <c r="H34">
        <v>0</v>
      </c>
      <c r="I34" s="12">
        <f t="shared" si="23"/>
        <v>6955.1303145999991</v>
      </c>
      <c r="J34" s="147">
        <v>259.5</v>
      </c>
      <c r="K34" s="122">
        <f t="shared" si="24"/>
        <v>27769.327949999999</v>
      </c>
      <c r="L34" s="3">
        <f t="shared" si="25"/>
        <v>199972.8351</v>
      </c>
      <c r="M34" s="3">
        <f t="shared" si="26"/>
        <v>21100.405094999998</v>
      </c>
      <c r="N34" s="3">
        <f t="shared" si="27"/>
        <v>33020.140400000004</v>
      </c>
      <c r="O34" s="3">
        <f t="shared" si="28"/>
        <v>10742.6</v>
      </c>
      <c r="P34" s="3">
        <f t="shared" si="29"/>
        <v>57475.554318000002</v>
      </c>
      <c r="Q34" s="3">
        <f t="shared" si="30"/>
        <v>0</v>
      </c>
      <c r="R34" s="12">
        <f t="shared" si="31"/>
        <v>350080.86286299996</v>
      </c>
      <c r="S34" s="149">
        <f>R34/I34</f>
        <v>50.334191744491228</v>
      </c>
      <c r="T34" s="129">
        <f>J34/S34</f>
        <v>5.1555412137595455</v>
      </c>
      <c r="U34" s="136">
        <f t="shared" ref="U34:U35" si="43">$U$39*$T34</f>
        <v>41.759883831452328</v>
      </c>
      <c r="V34" s="139">
        <f t="shared" si="34"/>
        <v>112.90635258133403</v>
      </c>
      <c r="W34" s="9">
        <f t="shared" si="35"/>
        <v>309.33247282557272</v>
      </c>
      <c r="X34" s="9">
        <f t="shared" si="36"/>
        <v>154.66623641278636</v>
      </c>
      <c r="Y34" s="9">
        <f t="shared" si="37"/>
        <v>103.11082427519091</v>
      </c>
      <c r="Z34" s="9">
        <f t="shared" si="38"/>
        <v>206.22164855038181</v>
      </c>
      <c r="AA34" s="9">
        <f t="shared" si="39"/>
        <v>4021.3221467324456</v>
      </c>
      <c r="AB34" s="9">
        <f t="shared" si="40"/>
        <v>25.777706068797727</v>
      </c>
      <c r="AC34" s="3">
        <f t="shared" si="41"/>
        <v>1.9684793725263721</v>
      </c>
      <c r="AD34" s="137">
        <f t="shared" si="42"/>
        <v>8.5066430027032496</v>
      </c>
    </row>
    <row r="35" spans="1:30" x14ac:dyDescent="0.25">
      <c r="A35" s="118" t="s">
        <v>29</v>
      </c>
      <c r="B35">
        <v>320.106785</v>
      </c>
      <c r="C35">
        <v>230.03315499999999</v>
      </c>
      <c r="D35">
        <v>81.726157000000001</v>
      </c>
      <c r="E35">
        <v>47.47</v>
      </c>
      <c r="F35">
        <v>7.851</v>
      </c>
      <c r="G35">
        <v>0</v>
      </c>
      <c r="H35">
        <v>145.08000000000001</v>
      </c>
      <c r="I35" s="12">
        <f t="shared" si="23"/>
        <v>832.26709700000015</v>
      </c>
      <c r="J35" s="147">
        <v>14.7</v>
      </c>
      <c r="K35" s="122">
        <f t="shared" si="24"/>
        <v>9603.2035500000002</v>
      </c>
      <c r="L35" s="3">
        <f t="shared" si="25"/>
        <v>13801.989299999999</v>
      </c>
      <c r="M35" s="3">
        <f t="shared" si="26"/>
        <v>2451.7847099999999</v>
      </c>
      <c r="N35" s="3">
        <f t="shared" si="27"/>
        <v>949.4</v>
      </c>
      <c r="O35" s="3">
        <f t="shared" si="28"/>
        <v>314.04000000000002</v>
      </c>
      <c r="P35" s="3">
        <f t="shared" si="29"/>
        <v>0</v>
      </c>
      <c r="Q35" s="3">
        <f t="shared" si="30"/>
        <v>725.40000000000009</v>
      </c>
      <c r="R35" s="12">
        <f t="shared" si="31"/>
        <v>27845.817560000003</v>
      </c>
      <c r="S35" s="149">
        <f>R35/I35</f>
        <v>33.457789765296944</v>
      </c>
      <c r="T35" s="129">
        <f t="shared" si="33"/>
        <v>0.4393595662809478</v>
      </c>
      <c r="U35" s="136">
        <f t="shared" si="43"/>
        <v>3.5588124868756776</v>
      </c>
      <c r="V35" s="139">
        <f t="shared" si="34"/>
        <v>9.6219745015527565</v>
      </c>
      <c r="W35" s="9">
        <f t="shared" si="35"/>
        <v>26.361573976856867</v>
      </c>
      <c r="X35" s="9">
        <f t="shared" si="36"/>
        <v>13.180786988428434</v>
      </c>
      <c r="Y35" s="9">
        <f t="shared" si="37"/>
        <v>8.7871913256189558</v>
      </c>
      <c r="Z35" s="9">
        <f t="shared" si="38"/>
        <v>17.574382651237912</v>
      </c>
      <c r="AA35" s="9">
        <f t="shared" si="39"/>
        <v>342.70046169913928</v>
      </c>
      <c r="AB35" s="9">
        <f t="shared" si="40"/>
        <v>2.1967978314047389</v>
      </c>
      <c r="AC35" s="3">
        <f t="shared" si="41"/>
        <v>0.16775547076181643</v>
      </c>
      <c r="AD35" s="137">
        <f t="shared" si="42"/>
        <v>0.72494328436356381</v>
      </c>
    </row>
    <row r="36" spans="1:30" x14ac:dyDescent="0.25">
      <c r="A36" s="118" t="s">
        <v>30</v>
      </c>
      <c r="B36" s="153" t="s">
        <v>56</v>
      </c>
      <c r="C36" s="153" t="s">
        <v>56</v>
      </c>
      <c r="D36" s="153" t="s">
        <v>56</v>
      </c>
      <c r="E36" s="153" t="s">
        <v>56</v>
      </c>
      <c r="F36" s="153" t="s">
        <v>56</v>
      </c>
      <c r="G36" s="153" t="s">
        <v>56</v>
      </c>
      <c r="H36" s="153" t="s">
        <v>56</v>
      </c>
      <c r="I36" s="153" t="s">
        <v>56</v>
      </c>
      <c r="J36" s="157" t="s">
        <v>56</v>
      </c>
      <c r="K36" s="153" t="s">
        <v>56</v>
      </c>
      <c r="L36" s="153" t="s">
        <v>56</v>
      </c>
      <c r="M36" s="153" t="s">
        <v>56</v>
      </c>
      <c r="N36" s="153" t="s">
        <v>56</v>
      </c>
      <c r="O36" s="153" t="s">
        <v>56</v>
      </c>
      <c r="P36" s="153" t="s">
        <v>56</v>
      </c>
      <c r="Q36" s="153" t="s">
        <v>56</v>
      </c>
      <c r="R36" s="153" t="s">
        <v>56</v>
      </c>
      <c r="S36" s="154" t="s">
        <v>56</v>
      </c>
      <c r="T36" s="155" t="s">
        <v>56</v>
      </c>
      <c r="U36" s="153" t="s">
        <v>56</v>
      </c>
      <c r="V36" s="153" t="s">
        <v>56</v>
      </c>
      <c r="W36" s="153" t="s">
        <v>56</v>
      </c>
      <c r="X36" s="153" t="s">
        <v>56</v>
      </c>
      <c r="Y36" s="153" t="s">
        <v>56</v>
      </c>
      <c r="Z36" s="153" t="s">
        <v>56</v>
      </c>
      <c r="AA36" s="153" t="s">
        <v>56</v>
      </c>
      <c r="AB36" s="153" t="s">
        <v>56</v>
      </c>
      <c r="AC36" s="153" t="s">
        <v>56</v>
      </c>
      <c r="AD36" s="158" t="s">
        <v>56</v>
      </c>
    </row>
    <row r="37" spans="1:30" x14ac:dyDescent="0.25">
      <c r="A37" s="70" t="s">
        <v>31</v>
      </c>
      <c r="B37" s="72">
        <v>1750.2786599999999</v>
      </c>
      <c r="C37" s="72">
        <v>623.27045499999997</v>
      </c>
      <c r="D37" s="72">
        <v>1008.87188</v>
      </c>
      <c r="E37" s="72">
        <v>2615.2822000000001</v>
      </c>
      <c r="F37" s="72">
        <v>196.28</v>
      </c>
      <c r="G37" s="72">
        <v>0</v>
      </c>
      <c r="H37" s="72">
        <v>520</v>
      </c>
      <c r="I37" s="128">
        <f>SUM(B37:H37)</f>
        <v>6713.9831949999998</v>
      </c>
      <c r="J37" s="148">
        <v>67.8</v>
      </c>
      <c r="K37" s="151">
        <f t="shared" si="24"/>
        <v>52508.359799999998</v>
      </c>
      <c r="L37" s="106">
        <f t="shared" si="25"/>
        <v>37396.227299999999</v>
      </c>
      <c r="M37" s="106">
        <f t="shared" si="26"/>
        <v>30266.1564</v>
      </c>
      <c r="N37" s="106">
        <f t="shared" si="27"/>
        <v>52305.644</v>
      </c>
      <c r="O37" s="106">
        <f t="shared" si="28"/>
        <v>7851.2</v>
      </c>
      <c r="P37" s="106">
        <f t="shared" si="29"/>
        <v>0</v>
      </c>
      <c r="Q37" s="106">
        <f t="shared" si="30"/>
        <v>2600</v>
      </c>
      <c r="R37" s="128">
        <f t="shared" si="31"/>
        <v>182927.58750000002</v>
      </c>
      <c r="S37" s="152">
        <f>R37/I37</f>
        <v>27.245761895297687</v>
      </c>
      <c r="T37" s="130">
        <f>J37/S37</f>
        <v>2.4884604167263724</v>
      </c>
      <c r="U37" s="140">
        <f>$U$39*$T37</f>
        <v>20.156529375483618</v>
      </c>
      <c r="V37" s="141">
        <f t="shared" si="34"/>
        <v>54.497283126307551</v>
      </c>
      <c r="W37" s="73">
        <f>$W$39*$T37</f>
        <v>149.30762500358236</v>
      </c>
      <c r="X37" s="73">
        <f t="shared" si="36"/>
        <v>74.65381250179118</v>
      </c>
      <c r="Y37" s="73">
        <f t="shared" si="37"/>
        <v>49.769208334527448</v>
      </c>
      <c r="Z37" s="73">
        <f t="shared" si="38"/>
        <v>99.538416669054897</v>
      </c>
      <c r="AA37" s="73">
        <f t="shared" si="39"/>
        <v>1940.9991250465705</v>
      </c>
      <c r="AB37" s="73">
        <f t="shared" si="40"/>
        <v>12.442302083631862</v>
      </c>
      <c r="AC37" s="106">
        <f t="shared" si="41"/>
        <v>0.9501394318409786</v>
      </c>
      <c r="AD37" s="142">
        <f t="shared" si="42"/>
        <v>4.1059596875985145</v>
      </c>
    </row>
    <row r="39" spans="1:30" x14ac:dyDescent="0.25">
      <c r="A39" s="114" t="s">
        <v>57</v>
      </c>
      <c r="B39" s="114"/>
      <c r="C39" s="114"/>
      <c r="D39" s="114"/>
      <c r="E39" s="114"/>
      <c r="F39" s="114"/>
      <c r="G39" s="114"/>
      <c r="H39" s="114"/>
      <c r="I39" s="114"/>
      <c r="J39" s="114"/>
      <c r="K39" s="115">
        <f>'Standard values'!B5</f>
        <v>30</v>
      </c>
      <c r="L39" s="115">
        <f>'Standard values'!D5</f>
        <v>60</v>
      </c>
      <c r="M39" s="115">
        <f>'Standard values'!E5</f>
        <v>30</v>
      </c>
      <c r="N39" s="115">
        <f>'Standard values'!F5</f>
        <v>20</v>
      </c>
      <c r="O39" s="115">
        <f>'Standard values'!G5</f>
        <v>40</v>
      </c>
      <c r="P39" s="115">
        <f>'Standard values'!H5</f>
        <v>780</v>
      </c>
      <c r="Q39" s="115">
        <f>'Standard values'!I5</f>
        <v>5</v>
      </c>
      <c r="R39" s="114"/>
      <c r="S39" s="114"/>
      <c r="T39" s="114"/>
      <c r="U39" s="114">
        <f>'Standard values'!B6</f>
        <v>8.1000000000000014</v>
      </c>
      <c r="V39" s="114">
        <f>'Standard values'!C6</f>
        <v>21.9</v>
      </c>
      <c r="W39" s="114">
        <f>'Standard values'!D6</f>
        <v>60</v>
      </c>
      <c r="X39" s="114">
        <f>'Standard values'!E6</f>
        <v>30</v>
      </c>
      <c r="Y39" s="114">
        <f>'Standard values'!F6</f>
        <v>20</v>
      </c>
      <c r="Z39" s="114">
        <f>'Standard values'!G6</f>
        <v>40</v>
      </c>
      <c r="AA39" s="114">
        <f>'Standard values'!H6</f>
        <v>780</v>
      </c>
      <c r="AB39" s="114">
        <f>'Standard values'!I6</f>
        <v>5</v>
      </c>
      <c r="AC39" s="135">
        <f>'Standard values'!J6</f>
        <v>0.38181818181818183</v>
      </c>
      <c r="AD39" s="135">
        <f>'Standard values'!K6</f>
        <v>1.65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AC874-061B-427B-B409-F89C466397EE}">
  <dimension ref="A2:AD40"/>
  <sheetViews>
    <sheetView topLeftCell="Q6" workbookViewId="0">
      <selection activeCell="A36" sqref="A36:XFD36"/>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2" t="s">
        <v>58</v>
      </c>
    </row>
    <row r="4" spans="1:30" ht="15.75" x14ac:dyDescent="0.25">
      <c r="A4" s="124" t="s">
        <v>33</v>
      </c>
      <c r="B4" s="116" t="s">
        <v>34</v>
      </c>
      <c r="C4" s="125"/>
      <c r="D4" s="116"/>
      <c r="E4" s="125"/>
      <c r="F4" s="125"/>
      <c r="G4" s="125"/>
      <c r="H4" s="125"/>
      <c r="I4" s="125"/>
      <c r="J4" s="125"/>
      <c r="K4" s="124" t="s">
        <v>35</v>
      </c>
      <c r="L4" s="116"/>
      <c r="M4" s="116"/>
      <c r="N4" s="116"/>
      <c r="O4" s="116"/>
      <c r="P4" s="116"/>
      <c r="Q4" s="116"/>
      <c r="R4" s="116"/>
      <c r="S4" s="117"/>
      <c r="T4" s="117"/>
      <c r="U4" s="124" t="s">
        <v>36</v>
      </c>
      <c r="V4" s="116"/>
      <c r="W4" s="116"/>
      <c r="X4" s="116"/>
      <c r="Y4" s="116"/>
      <c r="Z4" s="116"/>
      <c r="AA4" s="116"/>
      <c r="AB4" s="116"/>
      <c r="AC4" s="116"/>
      <c r="AD4" s="117"/>
    </row>
    <row r="5" spans="1:30" x14ac:dyDescent="0.25">
      <c r="A5" s="123" t="s">
        <v>37</v>
      </c>
      <c r="K5" s="118"/>
      <c r="S5" s="6"/>
      <c r="T5" s="6"/>
      <c r="U5" s="118"/>
      <c r="AD5" s="6"/>
    </row>
    <row r="6" spans="1:30" ht="32.25" customHeight="1" x14ac:dyDescent="0.25">
      <c r="A6" s="119" t="s">
        <v>38</v>
      </c>
      <c r="B6" s="120" t="s">
        <v>39</v>
      </c>
      <c r="C6" s="120" t="s">
        <v>0</v>
      </c>
      <c r="D6" s="120" t="s">
        <v>40</v>
      </c>
      <c r="E6" s="127" t="s">
        <v>41</v>
      </c>
      <c r="F6" s="120" t="s">
        <v>42</v>
      </c>
      <c r="G6" s="120" t="s">
        <v>43</v>
      </c>
      <c r="H6" s="120" t="s">
        <v>44</v>
      </c>
      <c r="I6" s="127" t="s">
        <v>45</v>
      </c>
      <c r="J6" s="120" t="s">
        <v>46</v>
      </c>
      <c r="K6" s="119" t="s">
        <v>39</v>
      </c>
      <c r="L6" s="120" t="s">
        <v>0</v>
      </c>
      <c r="M6" s="120" t="s">
        <v>40</v>
      </c>
      <c r="N6" s="127" t="s">
        <v>41</v>
      </c>
      <c r="O6" s="120" t="s">
        <v>42</v>
      </c>
      <c r="P6" s="120" t="s">
        <v>43</v>
      </c>
      <c r="Q6" s="120" t="s">
        <v>44</v>
      </c>
      <c r="R6" s="120" t="s">
        <v>47</v>
      </c>
      <c r="S6" s="121" t="s">
        <v>46</v>
      </c>
      <c r="T6" s="126" t="s">
        <v>48</v>
      </c>
      <c r="U6" s="131" t="s">
        <v>49</v>
      </c>
      <c r="V6" s="138" t="s">
        <v>50</v>
      </c>
      <c r="W6" s="120" t="s">
        <v>0</v>
      </c>
      <c r="X6" s="120" t="s">
        <v>51</v>
      </c>
      <c r="Y6" s="127" t="s">
        <v>52</v>
      </c>
      <c r="Z6" s="120" t="s">
        <v>42</v>
      </c>
      <c r="AA6" s="120" t="s">
        <v>53</v>
      </c>
      <c r="AB6" s="120" t="s">
        <v>44</v>
      </c>
      <c r="AC6" s="120" t="s">
        <v>54</v>
      </c>
      <c r="AD6" s="121" t="s">
        <v>55</v>
      </c>
    </row>
    <row r="7" spans="1:30" x14ac:dyDescent="0.25">
      <c r="A7" s="118" t="s">
        <v>1</v>
      </c>
      <c r="B7">
        <v>439.59815500000002</v>
      </c>
      <c r="C7">
        <v>392.44684999999998</v>
      </c>
      <c r="D7">
        <v>80.204063500000004</v>
      </c>
      <c r="E7">
        <v>34.980080000000001</v>
      </c>
      <c r="F7">
        <v>0</v>
      </c>
      <c r="G7">
        <v>0</v>
      </c>
      <c r="H7">
        <v>29.280799999999999</v>
      </c>
      <c r="I7" s="12">
        <f>SUM(B7:H7)</f>
        <v>976.50994849999995</v>
      </c>
      <c r="J7" s="147">
        <v>54.4</v>
      </c>
      <c r="K7" s="122">
        <f>B7*$K$40</f>
        <v>13187.944650000001</v>
      </c>
      <c r="L7" s="3">
        <f>C7*$L$40</f>
        <v>23546.810999999998</v>
      </c>
      <c r="M7" s="3">
        <f>D7*$M$40</f>
        <v>2406.121905</v>
      </c>
      <c r="N7" s="3">
        <f>E7*$N$40</f>
        <v>699.60159999999996</v>
      </c>
      <c r="O7" s="3">
        <f>F7*$O$40</f>
        <v>0</v>
      </c>
      <c r="P7" s="3">
        <f>G7*$P$40</f>
        <v>0</v>
      </c>
      <c r="Q7" s="3">
        <f>H7*$Q$40</f>
        <v>146.404</v>
      </c>
      <c r="R7" s="12">
        <f>SUM(K7:Q7)</f>
        <v>39986.883155000003</v>
      </c>
      <c r="S7" s="149">
        <f>R7/I7</f>
        <v>40.948771916172653</v>
      </c>
      <c r="T7" s="129">
        <f>J7/S7</f>
        <v>1.328489169623053</v>
      </c>
      <c r="U7" s="136">
        <f>$U$40*$T7</f>
        <v>10.760762273946732</v>
      </c>
      <c r="V7" s="139">
        <f>$V$40*$T7</f>
        <v>29.093912814744858</v>
      </c>
      <c r="W7" s="9">
        <f>$W$40*$T7</f>
        <v>79.709350177383172</v>
      </c>
      <c r="X7" s="9">
        <f>$X$40*$T7</f>
        <v>39.854675088691586</v>
      </c>
      <c r="Y7" s="9">
        <f>$Y$40*$T7</f>
        <v>26.569783392461058</v>
      </c>
      <c r="Z7" s="9">
        <f>$Z$40*$T7</f>
        <v>53.139566784922117</v>
      </c>
      <c r="AA7" s="9">
        <f>$AA$40*$T7</f>
        <v>1036.2215523059813</v>
      </c>
      <c r="AB7" s="9">
        <f>$AB$40*$T7</f>
        <v>6.6424458481152646</v>
      </c>
      <c r="AC7" s="3">
        <f>$AC$40*$T7</f>
        <v>0.50724131931062022</v>
      </c>
      <c r="AD7" s="137">
        <f>$AD$40*$T7</f>
        <v>2.1920071298780375</v>
      </c>
    </row>
    <row r="8" spans="1:30" x14ac:dyDescent="0.25">
      <c r="A8" s="118" t="s">
        <v>2</v>
      </c>
      <c r="B8">
        <v>491.11774000000003</v>
      </c>
      <c r="C8">
        <v>930.88077099999998</v>
      </c>
      <c r="D8">
        <v>159.42369049999999</v>
      </c>
      <c r="E8">
        <v>16.513020000000001</v>
      </c>
      <c r="F8">
        <v>0.57599999999999996</v>
      </c>
      <c r="G8">
        <v>4.0772130000000004</v>
      </c>
      <c r="H8">
        <v>92.748800000000003</v>
      </c>
      <c r="I8" s="12">
        <f t="shared" ref="I8:I24" si="0">SUM(B8:H8)</f>
        <v>1695.3372345000002</v>
      </c>
      <c r="J8" s="147">
        <v>175.1</v>
      </c>
      <c r="K8" s="122">
        <f>B8*$K$40</f>
        <v>14733.532200000001</v>
      </c>
      <c r="L8" s="3">
        <f>C8*$L$40</f>
        <v>55852.846259999998</v>
      </c>
      <c r="M8" s="3">
        <f>D8*$M$40</f>
        <v>4782.7107150000002</v>
      </c>
      <c r="N8" s="3">
        <f>E8*$N$40</f>
        <v>330.2604</v>
      </c>
      <c r="O8" s="3">
        <f>F8*$O$40</f>
        <v>23.04</v>
      </c>
      <c r="P8" s="3">
        <f>G8*$P$40</f>
        <v>3180.2261400000002</v>
      </c>
      <c r="Q8" s="3">
        <f>H8*$Q$40</f>
        <v>463.74400000000003</v>
      </c>
      <c r="R8" s="12">
        <f t="shared" ref="R8:R25" si="1">SUM(K8:Q8)</f>
        <v>79366.359714999999</v>
      </c>
      <c r="S8" s="149">
        <f>R8/I8</f>
        <v>46.814496903565761</v>
      </c>
      <c r="T8" s="129">
        <f t="shared" ref="T8:T9" si="2">J8/S8</f>
        <v>3.7402943870291385</v>
      </c>
      <c r="U8" s="136">
        <f>$U$40*$T8</f>
        <v>30.296384534936028</v>
      </c>
      <c r="V8" s="139">
        <f>$V$40*$T8</f>
        <v>81.912447075938132</v>
      </c>
      <c r="W8" s="9">
        <f>$W$40*$T8</f>
        <v>224.41766322174831</v>
      </c>
      <c r="X8" s="9">
        <f>$X$40*$T8</f>
        <v>112.20883161087416</v>
      </c>
      <c r="Y8" s="9">
        <f>$Y$40*$T8</f>
        <v>74.805887740582776</v>
      </c>
      <c r="Z8" s="9">
        <f>$Z$40*$T8</f>
        <v>149.61177548116555</v>
      </c>
      <c r="AA8" s="9">
        <f>$AA$40*$T8</f>
        <v>2917.429621882728</v>
      </c>
      <c r="AB8" s="9">
        <f>$AB$40*$T8</f>
        <v>18.701471935145694</v>
      </c>
      <c r="AC8" s="3">
        <f>$AC$40*$T8</f>
        <v>1.4281124023202165</v>
      </c>
      <c r="AD8" s="137">
        <f>$AD$40*$T8</f>
        <v>6.1714857385980784</v>
      </c>
    </row>
    <row r="9" spans="1:30" x14ac:dyDescent="0.25">
      <c r="A9" s="118" t="s">
        <v>3</v>
      </c>
      <c r="B9">
        <v>137.45612499999999</v>
      </c>
      <c r="C9">
        <v>61.869410000000002</v>
      </c>
      <c r="D9">
        <v>44.408234</v>
      </c>
      <c r="E9">
        <v>93.639939999999996</v>
      </c>
      <c r="F9">
        <v>5.5039999999999996</v>
      </c>
      <c r="G9">
        <v>0</v>
      </c>
      <c r="H9">
        <v>55.708399999999997</v>
      </c>
      <c r="I9" s="12">
        <f t="shared" si="0"/>
        <v>398.58610899999996</v>
      </c>
      <c r="J9" s="147">
        <v>92.6</v>
      </c>
      <c r="K9" s="122">
        <f>B9*$K$40</f>
        <v>4123.6837499999992</v>
      </c>
      <c r="L9" s="3">
        <f>C9*$L$40</f>
        <v>3712.1646000000001</v>
      </c>
      <c r="M9" s="3">
        <f>D9*$M$40</f>
        <v>1332.24702</v>
      </c>
      <c r="N9" s="3">
        <f>E9*$N$40</f>
        <v>1872.7988</v>
      </c>
      <c r="O9" s="3">
        <f>F9*$O$40</f>
        <v>220.15999999999997</v>
      </c>
      <c r="P9" s="3">
        <f>G9*$P$40</f>
        <v>0</v>
      </c>
      <c r="Q9" s="3">
        <f>H9*$Q$40</f>
        <v>278.54199999999997</v>
      </c>
      <c r="R9" s="12">
        <f t="shared" si="1"/>
        <v>11539.596169999999</v>
      </c>
      <c r="S9" s="149">
        <f>R9/I9</f>
        <v>28.951325471304873</v>
      </c>
      <c r="T9" s="129">
        <f t="shared" si="2"/>
        <v>3.1984718658833273</v>
      </c>
      <c r="U9" s="136">
        <f>$U$40*$T9</f>
        <v>25.907622113654956</v>
      </c>
      <c r="V9" s="139">
        <f>$V$40*$T9</f>
        <v>70.046533862844868</v>
      </c>
      <c r="W9" s="9">
        <f>$W$40*$T9</f>
        <v>191.90831195299964</v>
      </c>
      <c r="X9" s="9">
        <f>$X$40*$T9</f>
        <v>95.95415597649982</v>
      </c>
      <c r="Y9" s="9">
        <f>$Y$40*$T9</f>
        <v>63.969437317666547</v>
      </c>
      <c r="Z9" s="9">
        <f>$Z$40*$T9</f>
        <v>127.93887463533309</v>
      </c>
      <c r="AA9" s="9">
        <f>$AA$40*$T9</f>
        <v>2494.8080553889954</v>
      </c>
      <c r="AB9" s="9">
        <f>$AB$40*$T9</f>
        <v>15.992359329416637</v>
      </c>
      <c r="AC9" s="3">
        <f>$AC$40*$T9</f>
        <v>1.2212347124281795</v>
      </c>
      <c r="AD9" s="137">
        <f>$AD$40*$T9</f>
        <v>5.2774785787074894</v>
      </c>
    </row>
    <row r="10" spans="1:30" x14ac:dyDescent="0.25">
      <c r="A10" s="118" t="s">
        <v>4</v>
      </c>
      <c r="B10" s="153" t="s">
        <v>56</v>
      </c>
      <c r="C10" s="153" t="s">
        <v>56</v>
      </c>
      <c r="D10" s="153" t="s">
        <v>56</v>
      </c>
      <c r="E10" s="153" t="s">
        <v>56</v>
      </c>
      <c r="F10" s="153" t="s">
        <v>56</v>
      </c>
      <c r="G10" s="153" t="s">
        <v>56</v>
      </c>
      <c r="H10" s="153" t="s">
        <v>56</v>
      </c>
      <c r="I10" s="153" t="s">
        <v>56</v>
      </c>
      <c r="J10" s="157" t="s">
        <v>56</v>
      </c>
      <c r="K10" s="153" t="s">
        <v>56</v>
      </c>
      <c r="L10" s="153" t="s">
        <v>56</v>
      </c>
      <c r="M10" s="153" t="s">
        <v>56</v>
      </c>
      <c r="N10" s="153" t="s">
        <v>56</v>
      </c>
      <c r="O10" s="153" t="s">
        <v>56</v>
      </c>
      <c r="P10" s="153" t="s">
        <v>56</v>
      </c>
      <c r="Q10" s="153" t="s">
        <v>56</v>
      </c>
      <c r="R10" s="153" t="s">
        <v>56</v>
      </c>
      <c r="S10" s="157" t="s">
        <v>56</v>
      </c>
      <c r="T10" s="155" t="s">
        <v>56</v>
      </c>
      <c r="U10" s="153" t="s">
        <v>56</v>
      </c>
      <c r="V10" s="153" t="s">
        <v>56</v>
      </c>
      <c r="W10" s="153" t="s">
        <v>56</v>
      </c>
      <c r="X10" s="153" t="s">
        <v>56</v>
      </c>
      <c r="Y10" s="153" t="s">
        <v>56</v>
      </c>
      <c r="Z10" s="153" t="s">
        <v>56</v>
      </c>
      <c r="AA10" s="153" t="s">
        <v>56</v>
      </c>
      <c r="AB10" s="153" t="s">
        <v>56</v>
      </c>
      <c r="AC10" s="153" t="s">
        <v>56</v>
      </c>
      <c r="AD10" s="158" t="s">
        <v>56</v>
      </c>
    </row>
    <row r="11" spans="1:30" x14ac:dyDescent="0.25">
      <c r="A11" s="118" t="s">
        <v>5</v>
      </c>
      <c r="B11">
        <v>17.984375</v>
      </c>
      <c r="C11">
        <v>55.842525000000002</v>
      </c>
      <c r="D11">
        <v>13.79693</v>
      </c>
      <c r="E11">
        <v>60.238819999999997</v>
      </c>
      <c r="F11">
        <v>5.0140000000000002</v>
      </c>
      <c r="G11">
        <v>0.17896200000000001</v>
      </c>
      <c r="H11">
        <v>2.6616</v>
      </c>
      <c r="I11" s="12">
        <f t="shared" si="0"/>
        <v>155.71721200000002</v>
      </c>
      <c r="J11" s="147">
        <v>332.3</v>
      </c>
      <c r="K11" s="122">
        <f t="shared" ref="K11:K17" si="3">B11*$K$40</f>
        <v>539.53125</v>
      </c>
      <c r="L11" s="3">
        <f t="shared" ref="L11:L17" si="4">C11*$L$40</f>
        <v>3350.5515</v>
      </c>
      <c r="M11" s="3">
        <f t="shared" ref="M11:M17" si="5">D11*$M$40</f>
        <v>413.90789999999998</v>
      </c>
      <c r="N11" s="3">
        <f t="shared" ref="N11:N17" si="6">E11*$N$40</f>
        <v>1204.7764</v>
      </c>
      <c r="O11" s="3">
        <f t="shared" ref="O11:O17" si="7">F11*$O$40</f>
        <v>200.56</v>
      </c>
      <c r="P11" s="3">
        <f t="shared" ref="P11:P17" si="8">G11*$P$40</f>
        <v>139.59036</v>
      </c>
      <c r="Q11" s="3">
        <f t="shared" ref="Q11:Q17" si="9">H11*$Q$40</f>
        <v>13.308</v>
      </c>
      <c r="R11" s="12">
        <f t="shared" si="1"/>
        <v>5862.22541</v>
      </c>
      <c r="S11" s="149">
        <f t="shared" ref="S11:S17" si="10">R11/I11</f>
        <v>37.64661166679506</v>
      </c>
      <c r="T11" s="129">
        <f>J11/S11</f>
        <v>8.8268235914865656</v>
      </c>
      <c r="U11" s="136">
        <f t="shared" ref="U11:U17" si="11">$U$40*$T11</f>
        <v>71.497271091041199</v>
      </c>
      <c r="V11" s="139">
        <f t="shared" ref="V11:V17" si="12">$V$40*$T11</f>
        <v>193.30743665355578</v>
      </c>
      <c r="W11" s="9">
        <f t="shared" ref="W11:W17" si="13">$W$40*$T11</f>
        <v>529.60941548919391</v>
      </c>
      <c r="X11" s="9">
        <f t="shared" ref="X11:X17" si="14">$X$40*$T11</f>
        <v>264.80470774459695</v>
      </c>
      <c r="Y11" s="9">
        <f t="shared" ref="Y11:Y17" si="15">$Y$40*$T11</f>
        <v>176.53647182973131</v>
      </c>
      <c r="Z11" s="9">
        <f t="shared" ref="Z11:Z17" si="16">$Z$40*$T11</f>
        <v>353.07294365946262</v>
      </c>
      <c r="AA11" s="9">
        <f t="shared" ref="AA11:AA17" si="17">$AA$40*$T11</f>
        <v>6884.9224013595212</v>
      </c>
      <c r="AB11" s="9">
        <f t="shared" ref="AB11:AB17" si="18">$AB$40*$T11</f>
        <v>44.134117957432828</v>
      </c>
      <c r="AC11" s="3">
        <f t="shared" ref="AC11:AC17" si="19">$AC$40*$T11</f>
        <v>3.3702417349312341</v>
      </c>
      <c r="AD11" s="137">
        <f t="shared" ref="AD11:AD17" si="20">$AD$40*$T11</f>
        <v>14.564258925952833</v>
      </c>
    </row>
    <row r="12" spans="1:30" x14ac:dyDescent="0.25">
      <c r="A12" s="118" t="s">
        <v>6</v>
      </c>
      <c r="B12">
        <v>293.10894500000001</v>
      </c>
      <c r="C12">
        <v>222.26040499999999</v>
      </c>
      <c r="D12">
        <v>139.48458450000001</v>
      </c>
      <c r="E12">
        <v>16.153300000000002</v>
      </c>
      <c r="F12">
        <v>21.009</v>
      </c>
      <c r="G12">
        <v>9.5969999999999995</v>
      </c>
      <c r="H12">
        <v>30.545999999999999</v>
      </c>
      <c r="I12" s="12">
        <f t="shared" si="0"/>
        <v>732.15923449999991</v>
      </c>
      <c r="J12" s="147">
        <v>83</v>
      </c>
      <c r="K12" s="122">
        <f t="shared" si="3"/>
        <v>8793.2683500000003</v>
      </c>
      <c r="L12" s="3">
        <f t="shared" si="4"/>
        <v>13335.624299999999</v>
      </c>
      <c r="M12" s="3">
        <f t="shared" si="5"/>
        <v>4184.5375350000004</v>
      </c>
      <c r="N12" s="3">
        <f t="shared" si="6"/>
        <v>323.06600000000003</v>
      </c>
      <c r="O12" s="3">
        <f t="shared" si="7"/>
        <v>840.36</v>
      </c>
      <c r="P12" s="3">
        <f t="shared" si="8"/>
        <v>7485.66</v>
      </c>
      <c r="Q12" s="3">
        <f t="shared" si="9"/>
        <v>152.72999999999999</v>
      </c>
      <c r="R12" s="12">
        <f t="shared" si="1"/>
        <v>35115.246185000004</v>
      </c>
      <c r="S12" s="149">
        <f t="shared" si="10"/>
        <v>47.961214624275847</v>
      </c>
      <c r="T12" s="129">
        <f t="shared" ref="T12:T17" si="21">J12/S12</f>
        <v>1.7305650127965915</v>
      </c>
      <c r="U12" s="136">
        <f t="shared" si="11"/>
        <v>14.017576603652394</v>
      </c>
      <c r="V12" s="139">
        <f t="shared" si="12"/>
        <v>37.899373780245348</v>
      </c>
      <c r="W12" s="9">
        <f t="shared" si="13"/>
        <v>103.83390076779548</v>
      </c>
      <c r="X12" s="9">
        <f t="shared" si="14"/>
        <v>51.916950383897742</v>
      </c>
      <c r="Y12" s="9">
        <f t="shared" si="15"/>
        <v>34.61130025593183</v>
      </c>
      <c r="Z12" s="9">
        <f t="shared" si="16"/>
        <v>69.222600511863661</v>
      </c>
      <c r="AA12" s="9">
        <f t="shared" si="17"/>
        <v>1349.8407099813414</v>
      </c>
      <c r="AB12" s="9">
        <f t="shared" si="18"/>
        <v>8.6528250639829576</v>
      </c>
      <c r="AC12" s="3">
        <f t="shared" si="19"/>
        <v>0.66076118670415318</v>
      </c>
      <c r="AD12" s="137">
        <f t="shared" si="20"/>
        <v>2.8554322711143758</v>
      </c>
    </row>
    <row r="13" spans="1:30" x14ac:dyDescent="0.25">
      <c r="A13" s="118" t="s">
        <v>7</v>
      </c>
      <c r="B13">
        <v>402.40634999999997</v>
      </c>
      <c r="C13">
        <v>1835.824425</v>
      </c>
      <c r="D13">
        <v>120.488502</v>
      </c>
      <c r="E13">
        <v>13.055524999999999</v>
      </c>
      <c r="F13">
        <v>34.9</v>
      </c>
      <c r="G13">
        <v>0</v>
      </c>
      <c r="H13">
        <v>72</v>
      </c>
      <c r="I13" s="12">
        <f t="shared" si="0"/>
        <v>2478.6748020000005</v>
      </c>
      <c r="J13" s="147">
        <v>42.1</v>
      </c>
      <c r="K13" s="122">
        <f t="shared" si="3"/>
        <v>12072.190499999999</v>
      </c>
      <c r="L13" s="3">
        <f t="shared" si="4"/>
        <v>110149.46550000001</v>
      </c>
      <c r="M13" s="3">
        <f t="shared" si="5"/>
        <v>3614.65506</v>
      </c>
      <c r="N13" s="3">
        <f t="shared" si="6"/>
        <v>261.1105</v>
      </c>
      <c r="O13" s="3">
        <f t="shared" si="7"/>
        <v>1396</v>
      </c>
      <c r="P13" s="3">
        <f t="shared" si="8"/>
        <v>0</v>
      </c>
      <c r="Q13" s="3">
        <f t="shared" si="9"/>
        <v>360</v>
      </c>
      <c r="R13" s="12">
        <f t="shared" si="1"/>
        <v>127853.42156</v>
      </c>
      <c r="S13" s="149">
        <f t="shared" si="10"/>
        <v>51.581361724756007</v>
      </c>
      <c r="T13" s="129">
        <f t="shared" si="21"/>
        <v>0.81618628497344392</v>
      </c>
      <c r="U13" s="136">
        <f t="shared" si="11"/>
        <v>6.6111089082848968</v>
      </c>
      <c r="V13" s="139">
        <f t="shared" si="12"/>
        <v>17.87447964091842</v>
      </c>
      <c r="W13" s="9">
        <f t="shared" si="13"/>
        <v>48.971177098406635</v>
      </c>
      <c r="X13" s="9">
        <f t="shared" si="14"/>
        <v>24.485588549203317</v>
      </c>
      <c r="Y13" s="9">
        <f t="shared" si="15"/>
        <v>16.323725699468877</v>
      </c>
      <c r="Z13" s="9">
        <f t="shared" si="16"/>
        <v>32.647451398937754</v>
      </c>
      <c r="AA13" s="9">
        <f t="shared" si="17"/>
        <v>636.6253022792863</v>
      </c>
      <c r="AB13" s="9">
        <f t="shared" si="18"/>
        <v>4.0809314248672193</v>
      </c>
      <c r="AC13" s="3">
        <f t="shared" si="19"/>
        <v>0.31163476335349677</v>
      </c>
      <c r="AD13" s="137">
        <f t="shared" si="20"/>
        <v>1.3467073702061825</v>
      </c>
    </row>
    <row r="14" spans="1:30" x14ac:dyDescent="0.25">
      <c r="A14" s="118" t="s">
        <v>8</v>
      </c>
      <c r="B14">
        <v>60.851754999999997</v>
      </c>
      <c r="C14">
        <v>34.116300000000003</v>
      </c>
      <c r="D14">
        <v>2.1079119999999998</v>
      </c>
      <c r="E14">
        <v>4.8199199999999998</v>
      </c>
      <c r="F14">
        <v>0.42</v>
      </c>
      <c r="G14">
        <v>0</v>
      </c>
      <c r="H14">
        <v>4.04</v>
      </c>
      <c r="I14" s="12">
        <f t="shared" si="0"/>
        <v>106.355887</v>
      </c>
      <c r="J14" s="147">
        <v>70.5</v>
      </c>
      <c r="K14" s="122">
        <f t="shared" si="3"/>
        <v>1825.5526499999999</v>
      </c>
      <c r="L14" s="3">
        <f t="shared" si="4"/>
        <v>2046.9780000000001</v>
      </c>
      <c r="M14" s="3">
        <f t="shared" si="5"/>
        <v>63.237359999999995</v>
      </c>
      <c r="N14" s="3">
        <f t="shared" si="6"/>
        <v>96.398399999999995</v>
      </c>
      <c r="O14" s="3">
        <f t="shared" si="7"/>
        <v>16.8</v>
      </c>
      <c r="P14" s="3">
        <f t="shared" si="8"/>
        <v>0</v>
      </c>
      <c r="Q14" s="3">
        <f t="shared" si="9"/>
        <v>20.2</v>
      </c>
      <c r="R14" s="12">
        <f t="shared" si="1"/>
        <v>4069.1664099999998</v>
      </c>
      <c r="S14" s="149">
        <f t="shared" si="10"/>
        <v>38.259907606242805</v>
      </c>
      <c r="T14" s="129">
        <f t="shared" si="21"/>
        <v>1.8426599647223569</v>
      </c>
      <c r="U14" s="136">
        <f t="shared" si="11"/>
        <v>14.925545714251093</v>
      </c>
      <c r="V14" s="139">
        <f t="shared" si="12"/>
        <v>40.354253227419612</v>
      </c>
      <c r="W14" s="9">
        <f t="shared" si="13"/>
        <v>110.55959788334141</v>
      </c>
      <c r="X14" s="9">
        <f t="shared" si="14"/>
        <v>55.279798941670705</v>
      </c>
      <c r="Y14" s="9">
        <f t="shared" si="15"/>
        <v>36.853199294447137</v>
      </c>
      <c r="Z14" s="9">
        <f t="shared" si="16"/>
        <v>73.706398588894274</v>
      </c>
      <c r="AA14" s="9">
        <f t="shared" si="17"/>
        <v>1437.2747724834385</v>
      </c>
      <c r="AB14" s="9">
        <f t="shared" si="18"/>
        <v>9.2132998236117842</v>
      </c>
      <c r="AC14" s="3">
        <f t="shared" si="19"/>
        <v>0.7035610774394454</v>
      </c>
      <c r="AD14" s="137">
        <f t="shared" si="20"/>
        <v>3.0403889417918886</v>
      </c>
    </row>
    <row r="15" spans="1:30" x14ac:dyDescent="0.25">
      <c r="A15" s="118" t="s">
        <v>9</v>
      </c>
      <c r="B15">
        <v>224.39443</v>
      </c>
      <c r="C15">
        <v>181.63016999999999</v>
      </c>
      <c r="D15">
        <v>61.818424999999998</v>
      </c>
      <c r="E15">
        <v>10.663080000000001</v>
      </c>
      <c r="F15">
        <v>11.275</v>
      </c>
      <c r="G15">
        <v>0</v>
      </c>
      <c r="H15">
        <v>30.2</v>
      </c>
      <c r="I15" s="12">
        <f t="shared" si="0"/>
        <v>519.98110499999996</v>
      </c>
      <c r="J15" s="147">
        <v>21.3</v>
      </c>
      <c r="K15" s="122">
        <f t="shared" si="3"/>
        <v>6731.8329000000003</v>
      </c>
      <c r="L15" s="3">
        <f t="shared" si="4"/>
        <v>10897.8102</v>
      </c>
      <c r="M15" s="3">
        <f t="shared" si="5"/>
        <v>1854.5527499999998</v>
      </c>
      <c r="N15" s="3">
        <f t="shared" si="6"/>
        <v>213.26160000000002</v>
      </c>
      <c r="O15" s="3">
        <f t="shared" si="7"/>
        <v>451</v>
      </c>
      <c r="P15" s="3">
        <f t="shared" si="8"/>
        <v>0</v>
      </c>
      <c r="Q15" s="3">
        <f t="shared" si="9"/>
        <v>151</v>
      </c>
      <c r="R15" s="12">
        <f t="shared" si="1"/>
        <v>20299.457450000002</v>
      </c>
      <c r="S15" s="149">
        <f t="shared" si="10"/>
        <v>39.038836709268509</v>
      </c>
      <c r="T15" s="129">
        <f t="shared" si="21"/>
        <v>0.54561052007328392</v>
      </c>
      <c r="U15" s="136">
        <f t="shared" si="11"/>
        <v>4.4194452125936001</v>
      </c>
      <c r="V15" s="139">
        <f t="shared" si="12"/>
        <v>11.948870389604917</v>
      </c>
      <c r="W15" s="9">
        <f t="shared" si="13"/>
        <v>32.736631204397035</v>
      </c>
      <c r="X15" s="9">
        <f t="shared" si="14"/>
        <v>16.368315602198518</v>
      </c>
      <c r="Y15" s="9">
        <f t="shared" si="15"/>
        <v>10.912210401465678</v>
      </c>
      <c r="Z15" s="9">
        <f t="shared" si="16"/>
        <v>21.824420802931357</v>
      </c>
      <c r="AA15" s="9">
        <f t="shared" si="17"/>
        <v>425.57620565716144</v>
      </c>
      <c r="AB15" s="9">
        <f t="shared" si="18"/>
        <v>2.7280526003664196</v>
      </c>
      <c r="AC15" s="3">
        <f t="shared" si="19"/>
        <v>0.20832401675525386</v>
      </c>
      <c r="AD15" s="137">
        <f t="shared" si="20"/>
        <v>0.90025735812091845</v>
      </c>
    </row>
    <row r="16" spans="1:30" x14ac:dyDescent="0.25">
      <c r="A16" s="118" t="s">
        <v>10</v>
      </c>
      <c r="B16">
        <v>3376.1276899999998</v>
      </c>
      <c r="C16">
        <v>1901.9278850000001</v>
      </c>
      <c r="D16">
        <v>1218.9661610000001</v>
      </c>
      <c r="E16">
        <v>687.50355999999999</v>
      </c>
      <c r="F16">
        <v>234</v>
      </c>
      <c r="G16">
        <v>54.520200000000003</v>
      </c>
      <c r="H16">
        <v>311.80119999999999</v>
      </c>
      <c r="I16" s="12">
        <f t="shared" si="0"/>
        <v>7784.8466960000005</v>
      </c>
      <c r="J16" s="147">
        <v>114.3</v>
      </c>
      <c r="K16" s="122">
        <f t="shared" si="3"/>
        <v>101283.83069999999</v>
      </c>
      <c r="L16" s="3">
        <f t="shared" si="4"/>
        <v>114115.6731</v>
      </c>
      <c r="M16" s="3">
        <f t="shared" si="5"/>
        <v>36568.984830000001</v>
      </c>
      <c r="N16" s="3">
        <f t="shared" si="6"/>
        <v>13750.0712</v>
      </c>
      <c r="O16" s="3">
        <f t="shared" si="7"/>
        <v>9360</v>
      </c>
      <c r="P16" s="3">
        <f t="shared" si="8"/>
        <v>42525.756000000001</v>
      </c>
      <c r="Q16" s="3">
        <f t="shared" si="9"/>
        <v>1559.0059999999999</v>
      </c>
      <c r="R16" s="12">
        <f t="shared" si="1"/>
        <v>319163.32182999997</v>
      </c>
      <c r="S16" s="149">
        <f t="shared" si="10"/>
        <v>40.998022734858999</v>
      </c>
      <c r="T16" s="129">
        <f t="shared" si="21"/>
        <v>2.7879393291524575</v>
      </c>
      <c r="U16" s="136">
        <f t="shared" si="11"/>
        <v>22.582308566134909</v>
      </c>
      <c r="V16" s="139">
        <f t="shared" si="12"/>
        <v>61.055871308438817</v>
      </c>
      <c r="W16" s="9">
        <f t="shared" si="13"/>
        <v>167.27635974914745</v>
      </c>
      <c r="X16" s="9">
        <f t="shared" si="14"/>
        <v>83.638179874573723</v>
      </c>
      <c r="Y16" s="9">
        <f t="shared" si="15"/>
        <v>55.758786583049151</v>
      </c>
      <c r="Z16" s="9">
        <f t="shared" si="16"/>
        <v>111.5175731660983</v>
      </c>
      <c r="AA16" s="9">
        <f t="shared" si="17"/>
        <v>2174.5926767389169</v>
      </c>
      <c r="AB16" s="9">
        <f t="shared" si="18"/>
        <v>13.939696645762288</v>
      </c>
      <c r="AC16" s="3">
        <f t="shared" si="19"/>
        <v>1.064485925676393</v>
      </c>
      <c r="AD16" s="137">
        <f t="shared" si="20"/>
        <v>4.6000998931015546</v>
      </c>
    </row>
    <row r="17" spans="1:30" x14ac:dyDescent="0.25">
      <c r="A17" s="118" t="s">
        <v>11</v>
      </c>
      <c r="B17">
        <v>3169.2477549999999</v>
      </c>
      <c r="C17">
        <v>4032.9262199999998</v>
      </c>
      <c r="D17">
        <v>1045.3329699999999</v>
      </c>
      <c r="E17">
        <v>146.24737999999999</v>
      </c>
      <c r="F17">
        <v>20.83</v>
      </c>
      <c r="G17">
        <v>0.35980000000000001</v>
      </c>
      <c r="H17">
        <v>184.7116</v>
      </c>
      <c r="I17" s="12">
        <f t="shared" si="0"/>
        <v>8599.6557250000005</v>
      </c>
      <c r="J17" s="147">
        <v>211.5</v>
      </c>
      <c r="K17" s="122">
        <f t="shared" si="3"/>
        <v>95077.432650000002</v>
      </c>
      <c r="L17" s="3">
        <f t="shared" si="4"/>
        <v>241975.57319999998</v>
      </c>
      <c r="M17" s="3">
        <f t="shared" si="5"/>
        <v>31359.989099999999</v>
      </c>
      <c r="N17" s="3">
        <f t="shared" si="6"/>
        <v>2924.9476</v>
      </c>
      <c r="O17" s="3">
        <f t="shared" si="7"/>
        <v>833.19999999999993</v>
      </c>
      <c r="P17" s="3">
        <f t="shared" si="8"/>
        <v>280.64400000000001</v>
      </c>
      <c r="Q17" s="3">
        <f t="shared" si="9"/>
        <v>923.55799999999999</v>
      </c>
      <c r="R17" s="12">
        <f t="shared" si="1"/>
        <v>373375.34454999998</v>
      </c>
      <c r="S17" s="149">
        <f t="shared" si="10"/>
        <v>43.417475825754636</v>
      </c>
      <c r="T17" s="129">
        <f t="shared" si="21"/>
        <v>4.8713103647204932</v>
      </c>
      <c r="U17" s="136">
        <f t="shared" si="11"/>
        <v>39.457613954236002</v>
      </c>
      <c r="V17" s="139">
        <f t="shared" si="12"/>
        <v>106.6816969873788</v>
      </c>
      <c r="W17" s="9">
        <f t="shared" si="13"/>
        <v>292.27862188322956</v>
      </c>
      <c r="X17" s="9">
        <f t="shared" si="14"/>
        <v>146.13931094161478</v>
      </c>
      <c r="Y17" s="9">
        <f t="shared" si="15"/>
        <v>97.426207294409863</v>
      </c>
      <c r="Z17" s="9">
        <f t="shared" si="16"/>
        <v>194.85241458881973</v>
      </c>
      <c r="AA17" s="9">
        <f t="shared" si="17"/>
        <v>3799.6220844819845</v>
      </c>
      <c r="AB17" s="9">
        <f t="shared" si="18"/>
        <v>24.356551823602466</v>
      </c>
      <c r="AC17" s="3">
        <f t="shared" si="19"/>
        <v>1.8599548665296428</v>
      </c>
      <c r="AD17" s="137">
        <f t="shared" si="20"/>
        <v>8.037662101788813</v>
      </c>
    </row>
    <row r="18" spans="1:30" x14ac:dyDescent="0.25">
      <c r="A18" s="118" t="s">
        <v>12</v>
      </c>
      <c r="B18" s="153" t="s">
        <v>56</v>
      </c>
      <c r="C18" s="153" t="s">
        <v>56</v>
      </c>
      <c r="D18" s="153" t="s">
        <v>56</v>
      </c>
      <c r="E18" s="153" t="s">
        <v>56</v>
      </c>
      <c r="F18" s="153" t="s">
        <v>56</v>
      </c>
      <c r="G18" s="153" t="s">
        <v>56</v>
      </c>
      <c r="H18" s="153" t="s">
        <v>56</v>
      </c>
      <c r="I18" s="153" t="s">
        <v>56</v>
      </c>
      <c r="J18" s="157" t="s">
        <v>56</v>
      </c>
      <c r="K18" s="153" t="s">
        <v>56</v>
      </c>
      <c r="L18" s="153" t="s">
        <v>56</v>
      </c>
      <c r="M18" s="153" t="s">
        <v>56</v>
      </c>
      <c r="N18" s="153" t="s">
        <v>56</v>
      </c>
      <c r="O18" s="153" t="s">
        <v>56</v>
      </c>
      <c r="P18" s="153" t="s">
        <v>56</v>
      </c>
      <c r="Q18" s="153" t="s">
        <v>56</v>
      </c>
      <c r="R18" s="153" t="s">
        <v>56</v>
      </c>
      <c r="S18" s="157" t="s">
        <v>56</v>
      </c>
      <c r="T18" s="155" t="s">
        <v>56</v>
      </c>
      <c r="U18" s="153" t="s">
        <v>56</v>
      </c>
      <c r="V18" s="153" t="s">
        <v>56</v>
      </c>
      <c r="W18" s="153" t="s">
        <v>56</v>
      </c>
      <c r="X18" s="153" t="s">
        <v>56</v>
      </c>
      <c r="Y18" s="153" t="s">
        <v>56</v>
      </c>
      <c r="Z18" s="153" t="s">
        <v>56</v>
      </c>
      <c r="AA18" s="153" t="s">
        <v>56</v>
      </c>
      <c r="AB18" s="153" t="s">
        <v>56</v>
      </c>
      <c r="AC18" s="153" t="s">
        <v>56</v>
      </c>
      <c r="AD18" s="158" t="s">
        <v>56</v>
      </c>
    </row>
    <row r="19" spans="1:30" x14ac:dyDescent="0.25">
      <c r="A19" s="118" t="s">
        <v>13</v>
      </c>
      <c r="B19">
        <v>142.09475</v>
      </c>
      <c r="C19">
        <v>314.25458500000002</v>
      </c>
      <c r="D19">
        <v>169.93186349999999</v>
      </c>
      <c r="E19">
        <v>89.243340000000003</v>
      </c>
      <c r="F19">
        <v>20.25</v>
      </c>
      <c r="G19">
        <v>1.1564000000000001</v>
      </c>
      <c r="H19">
        <v>29.6</v>
      </c>
      <c r="I19" s="12">
        <f t="shared" si="0"/>
        <v>766.53093849999993</v>
      </c>
      <c r="J19" s="147">
        <v>192.5</v>
      </c>
      <c r="K19" s="122">
        <f t="shared" ref="K19:K25" si="22">B19*$K$40</f>
        <v>4262.8424999999997</v>
      </c>
      <c r="L19" s="3">
        <f t="shared" ref="L19:L25" si="23">C19*$L$40</f>
        <v>18855.275100000003</v>
      </c>
      <c r="M19" s="3">
        <f t="shared" ref="M19:M25" si="24">D19*$M$40</f>
        <v>5097.9559049999998</v>
      </c>
      <c r="N19" s="3">
        <f t="shared" ref="N19:N25" si="25">E19*$N$40</f>
        <v>1784.8668</v>
      </c>
      <c r="O19" s="3">
        <f t="shared" ref="O19:O25" si="26">F19*$O$40</f>
        <v>810</v>
      </c>
      <c r="P19" s="3">
        <f t="shared" ref="P19:P25" si="27">G19*$P$40</f>
        <v>901.99200000000008</v>
      </c>
      <c r="Q19" s="3">
        <f t="shared" ref="Q19:Q25" si="28">H19*$Q$40</f>
        <v>148</v>
      </c>
      <c r="R19" s="12">
        <f t="shared" si="1"/>
        <v>31860.932304999998</v>
      </c>
      <c r="S19" s="149">
        <f t="shared" ref="S19:S25" si="29">R19/I19</f>
        <v>41.565096338247805</v>
      </c>
      <c r="T19" s="129">
        <f>J19/S19</f>
        <v>4.6312896386303652</v>
      </c>
      <c r="U19" s="136">
        <f t="shared" ref="U19:U25" si="30">$U$40*$T19</f>
        <v>37.513446072905964</v>
      </c>
      <c r="V19" s="139">
        <f t="shared" ref="V19:V25" si="31">$V$40*$T19</f>
        <v>101.425243086005</v>
      </c>
      <c r="W19" s="9">
        <f t="shared" ref="W19:W25" si="32">$W$40*$T19</f>
        <v>277.87737831782192</v>
      </c>
      <c r="X19" s="9">
        <f t="shared" ref="X19:X25" si="33">$X$40*$T19</f>
        <v>138.93868915891096</v>
      </c>
      <c r="Y19" s="9">
        <f t="shared" ref="Y19:Y25" si="34">$Y$40*$T19</f>
        <v>92.625792772607298</v>
      </c>
      <c r="Z19" s="9">
        <f t="shared" ref="Z19:Z25" si="35">$Z$40*$T19</f>
        <v>185.2515855452146</v>
      </c>
      <c r="AA19" s="9">
        <f t="shared" ref="AA19:AA25" si="36">$AA$40*$T19</f>
        <v>3612.4059181316848</v>
      </c>
      <c r="AB19" s="9">
        <f t="shared" ref="AB19:AB25" si="37">$AB$40*$T19</f>
        <v>23.156448193151824</v>
      </c>
      <c r="AC19" s="3">
        <f t="shared" ref="AC19:AC25" si="38">$AC$40*$T19</f>
        <v>1.7683105892952304</v>
      </c>
      <c r="AD19" s="137">
        <f t="shared" ref="AD19:AD25" si="39">$AD$40*$T19</f>
        <v>7.641627903740102</v>
      </c>
    </row>
    <row r="20" spans="1:30" x14ac:dyDescent="0.25">
      <c r="A20" s="118" t="s">
        <v>14</v>
      </c>
      <c r="B20">
        <v>18.954035000000001</v>
      </c>
      <c r="C20">
        <v>5.7800599999999998</v>
      </c>
      <c r="D20">
        <v>4.8897044999999997</v>
      </c>
      <c r="E20">
        <v>47.305325000000003</v>
      </c>
      <c r="F20">
        <v>5.3090000000000002</v>
      </c>
      <c r="G20">
        <v>0</v>
      </c>
      <c r="H20">
        <v>31.3108</v>
      </c>
      <c r="I20" s="12">
        <f t="shared" si="0"/>
        <v>113.5489245</v>
      </c>
      <c r="J20" s="147">
        <v>6</v>
      </c>
      <c r="K20" s="122">
        <f t="shared" si="22"/>
        <v>568.62105000000008</v>
      </c>
      <c r="L20" s="3">
        <f t="shared" si="23"/>
        <v>346.80359999999996</v>
      </c>
      <c r="M20" s="3">
        <f t="shared" si="24"/>
        <v>146.691135</v>
      </c>
      <c r="N20" s="3">
        <f t="shared" si="25"/>
        <v>946.1065000000001</v>
      </c>
      <c r="O20" s="3">
        <f t="shared" si="26"/>
        <v>212.36</v>
      </c>
      <c r="P20" s="3">
        <f t="shared" si="27"/>
        <v>0</v>
      </c>
      <c r="Q20" s="3">
        <f t="shared" si="28"/>
        <v>156.554</v>
      </c>
      <c r="R20" s="12">
        <f t="shared" si="1"/>
        <v>2377.136285</v>
      </c>
      <c r="S20" s="149">
        <f t="shared" si="29"/>
        <v>20.934907974403579</v>
      </c>
      <c r="T20" s="129">
        <f t="shared" ref="T20:T25" si="40">J20/S20</f>
        <v>0.28660264508141148</v>
      </c>
      <c r="U20" s="136">
        <f t="shared" si="30"/>
        <v>2.3214814251594333</v>
      </c>
      <c r="V20" s="139">
        <f t="shared" si="31"/>
        <v>6.2765979272829107</v>
      </c>
      <c r="W20" s="9">
        <f t="shared" si="32"/>
        <v>17.196158704884688</v>
      </c>
      <c r="X20" s="9">
        <f t="shared" si="33"/>
        <v>8.598079352442344</v>
      </c>
      <c r="Y20" s="9">
        <f t="shared" si="34"/>
        <v>5.7320529016282293</v>
      </c>
      <c r="Z20" s="9">
        <f t="shared" si="35"/>
        <v>11.464105803256459</v>
      </c>
      <c r="AA20" s="9">
        <f t="shared" si="36"/>
        <v>223.55006316350097</v>
      </c>
      <c r="AB20" s="9">
        <f t="shared" si="37"/>
        <v>1.4330132254070573</v>
      </c>
      <c r="AC20" s="3">
        <f t="shared" si="38"/>
        <v>0.1094301008492662</v>
      </c>
      <c r="AD20" s="137">
        <f t="shared" si="39"/>
        <v>0.47289436438432891</v>
      </c>
    </row>
    <row r="21" spans="1:30" x14ac:dyDescent="0.25">
      <c r="A21" s="118" t="s">
        <v>15</v>
      </c>
      <c r="B21">
        <v>1050.0357650000001</v>
      </c>
      <c r="C21">
        <v>264.93223</v>
      </c>
      <c r="D21">
        <v>79.472362000000004</v>
      </c>
      <c r="E21">
        <v>288.54327999999998</v>
      </c>
      <c r="F21">
        <v>44.289000000000001</v>
      </c>
      <c r="G21">
        <v>0</v>
      </c>
      <c r="H21">
        <v>42.4</v>
      </c>
      <c r="I21" s="12">
        <f t="shared" si="0"/>
        <v>1769.6726369999999</v>
      </c>
      <c r="J21" s="147">
        <v>46.4</v>
      </c>
      <c r="K21" s="122">
        <f t="shared" si="22"/>
        <v>31501.072950000002</v>
      </c>
      <c r="L21" s="3">
        <f t="shared" si="23"/>
        <v>15895.933800000001</v>
      </c>
      <c r="M21" s="3">
        <f t="shared" si="24"/>
        <v>2384.1708600000002</v>
      </c>
      <c r="N21" s="3">
        <f t="shared" si="25"/>
        <v>5770.8655999999992</v>
      </c>
      <c r="O21" s="3">
        <f t="shared" si="26"/>
        <v>1771.56</v>
      </c>
      <c r="P21" s="3">
        <f t="shared" si="27"/>
        <v>0</v>
      </c>
      <c r="Q21" s="3">
        <f t="shared" si="28"/>
        <v>212</v>
      </c>
      <c r="R21" s="12">
        <f t="shared" si="1"/>
        <v>57535.603209999994</v>
      </c>
      <c r="S21" s="149">
        <f t="shared" si="29"/>
        <v>32.512003636749455</v>
      </c>
      <c r="T21" s="129">
        <f t="shared" si="40"/>
        <v>1.4271651946898916</v>
      </c>
      <c r="U21" s="136">
        <f t="shared" si="30"/>
        <v>11.560038076988123</v>
      </c>
      <c r="V21" s="139">
        <f t="shared" si="31"/>
        <v>31.254917763708622</v>
      </c>
      <c r="W21" s="9">
        <f t="shared" si="32"/>
        <v>85.629911681393494</v>
      </c>
      <c r="X21" s="9">
        <f t="shared" si="33"/>
        <v>42.814955840696747</v>
      </c>
      <c r="Y21" s="9">
        <f t="shared" si="34"/>
        <v>28.54330389379783</v>
      </c>
      <c r="Z21" s="9">
        <f t="shared" si="35"/>
        <v>57.086607787595661</v>
      </c>
      <c r="AA21" s="9">
        <f t="shared" si="36"/>
        <v>1113.1888518581154</v>
      </c>
      <c r="AB21" s="9">
        <f t="shared" si="37"/>
        <v>7.1358259734494576</v>
      </c>
      <c r="AC21" s="3">
        <f t="shared" si="38"/>
        <v>0.54491761979068587</v>
      </c>
      <c r="AD21" s="137">
        <f t="shared" si="39"/>
        <v>2.3548225712383211</v>
      </c>
    </row>
    <row r="22" spans="1:30" x14ac:dyDescent="0.25">
      <c r="A22" s="118" t="s">
        <v>16</v>
      </c>
      <c r="B22">
        <v>1700.807055</v>
      </c>
      <c r="C22">
        <v>988.69558500000005</v>
      </c>
      <c r="D22">
        <v>694.82064600000001</v>
      </c>
      <c r="E22">
        <v>680.48155999999994</v>
      </c>
      <c r="F22">
        <v>203.81</v>
      </c>
      <c r="G22">
        <v>33.0246</v>
      </c>
      <c r="H22">
        <v>195.0848</v>
      </c>
      <c r="I22" s="12">
        <f t="shared" si="0"/>
        <v>4496.7242459999998</v>
      </c>
      <c r="J22" s="147">
        <v>371</v>
      </c>
      <c r="K22" s="122">
        <f t="shared" si="22"/>
        <v>51024.211649999997</v>
      </c>
      <c r="L22" s="3">
        <f t="shared" si="23"/>
        <v>59321.735100000005</v>
      </c>
      <c r="M22" s="3">
        <f t="shared" si="24"/>
        <v>20844.61938</v>
      </c>
      <c r="N22" s="3">
        <f t="shared" si="25"/>
        <v>13609.6312</v>
      </c>
      <c r="O22" s="3">
        <f t="shared" si="26"/>
        <v>8152.4</v>
      </c>
      <c r="P22" s="3">
        <f t="shared" si="27"/>
        <v>25759.187999999998</v>
      </c>
      <c r="Q22" s="3">
        <f t="shared" si="28"/>
        <v>975.42399999999998</v>
      </c>
      <c r="R22" s="12">
        <f t="shared" si="1"/>
        <v>179687.20932999998</v>
      </c>
      <c r="S22" s="149">
        <f t="shared" si="29"/>
        <v>39.959579351533129</v>
      </c>
      <c r="T22" s="129">
        <f t="shared" si="40"/>
        <v>9.2843820185450934</v>
      </c>
      <c r="U22" s="136">
        <f t="shared" si="30"/>
        <v>75.203494350215266</v>
      </c>
      <c r="V22" s="139">
        <f t="shared" si="31"/>
        <v>203.32796620613752</v>
      </c>
      <c r="W22" s="9">
        <f t="shared" si="32"/>
        <v>557.06292111270557</v>
      </c>
      <c r="X22" s="9">
        <f t="shared" si="33"/>
        <v>278.53146055635278</v>
      </c>
      <c r="Y22" s="9">
        <f t="shared" si="34"/>
        <v>185.68764037090187</v>
      </c>
      <c r="Z22" s="9">
        <f t="shared" si="35"/>
        <v>371.37528074180375</v>
      </c>
      <c r="AA22" s="9">
        <f t="shared" si="36"/>
        <v>7241.8179744651725</v>
      </c>
      <c r="AB22" s="9">
        <f t="shared" si="37"/>
        <v>46.421910092725469</v>
      </c>
      <c r="AC22" s="3">
        <f t="shared" si="38"/>
        <v>3.5449458616263083</v>
      </c>
      <c r="AD22" s="137">
        <f t="shared" si="39"/>
        <v>15.319230330599403</v>
      </c>
    </row>
    <row r="23" spans="1:30" x14ac:dyDescent="0.25">
      <c r="A23" s="118"/>
      <c r="I23" s="12"/>
      <c r="J23" s="147"/>
      <c r="K23" s="122"/>
      <c r="L23" s="3"/>
      <c r="M23" s="3"/>
      <c r="N23" s="3"/>
      <c r="O23" s="3"/>
      <c r="P23" s="3"/>
      <c r="Q23" s="3"/>
      <c r="R23" s="12"/>
      <c r="S23" s="149"/>
      <c r="T23" s="129"/>
      <c r="U23" s="136"/>
      <c r="V23" s="139"/>
      <c r="W23" s="9"/>
      <c r="X23" s="9"/>
      <c r="Y23" s="9"/>
      <c r="Z23" s="9"/>
      <c r="AA23" s="9"/>
      <c r="AB23" s="9"/>
      <c r="AC23" s="3"/>
      <c r="AD23" s="137"/>
    </row>
    <row r="24" spans="1:30" x14ac:dyDescent="0.25">
      <c r="A24" s="118" t="s">
        <v>17</v>
      </c>
      <c r="B24">
        <v>110.81131499999999</v>
      </c>
      <c r="C24">
        <v>33.324289999999998</v>
      </c>
      <c r="D24">
        <v>14.741690999999999</v>
      </c>
      <c r="E24">
        <v>6.4788800000000002</v>
      </c>
      <c r="F24">
        <v>0.54600000000000004</v>
      </c>
      <c r="G24">
        <v>2.3533999999999998E-3</v>
      </c>
      <c r="H24">
        <v>4.8155999999999999</v>
      </c>
      <c r="I24" s="12">
        <f t="shared" si="0"/>
        <v>170.72012939999999</v>
      </c>
      <c r="J24" s="147">
        <v>36.700000000000003</v>
      </c>
      <c r="K24" s="122">
        <f t="shared" si="22"/>
        <v>3324.3394499999999</v>
      </c>
      <c r="L24" s="3">
        <f t="shared" si="23"/>
        <v>1999.4573999999998</v>
      </c>
      <c r="M24" s="3">
        <f t="shared" si="24"/>
        <v>442.25072999999998</v>
      </c>
      <c r="N24" s="3">
        <f t="shared" si="25"/>
        <v>129.57760000000002</v>
      </c>
      <c r="O24" s="3">
        <f t="shared" si="26"/>
        <v>21.840000000000003</v>
      </c>
      <c r="P24" s="3">
        <f t="shared" si="27"/>
        <v>1.8356519999999998</v>
      </c>
      <c r="Q24" s="3">
        <f t="shared" si="28"/>
        <v>24.077999999999999</v>
      </c>
      <c r="R24" s="12">
        <f t="shared" si="1"/>
        <v>5943.3788319999994</v>
      </c>
      <c r="S24" s="149">
        <f t="shared" si="29"/>
        <v>34.813579704327474</v>
      </c>
      <c r="T24" s="129">
        <f t="shared" si="40"/>
        <v>1.0541863350937748</v>
      </c>
      <c r="U24" s="136">
        <f t="shared" si="30"/>
        <v>8.5389093142595769</v>
      </c>
      <c r="V24" s="139">
        <f t="shared" si="31"/>
        <v>23.086680738553667</v>
      </c>
      <c r="W24" s="9">
        <f t="shared" si="32"/>
        <v>63.251180105626489</v>
      </c>
      <c r="X24" s="9">
        <f t="shared" si="33"/>
        <v>31.625590052813244</v>
      </c>
      <c r="Y24" s="9">
        <f t="shared" si="34"/>
        <v>21.083726701875495</v>
      </c>
      <c r="Z24" s="9">
        <f t="shared" si="35"/>
        <v>42.16745340375099</v>
      </c>
      <c r="AA24" s="9">
        <f t="shared" si="36"/>
        <v>822.26534137314434</v>
      </c>
      <c r="AB24" s="9">
        <f t="shared" si="37"/>
        <v>5.2709316754688738</v>
      </c>
      <c r="AC24" s="3">
        <f t="shared" si="38"/>
        <v>0.40250750976307764</v>
      </c>
      <c r="AD24" s="137">
        <f t="shared" si="39"/>
        <v>1.7394074529047283</v>
      </c>
    </row>
    <row r="25" spans="1:30" x14ac:dyDescent="0.25">
      <c r="A25" s="118" t="s">
        <v>18</v>
      </c>
      <c r="B25">
        <v>212.75782000000001</v>
      </c>
      <c r="C25">
        <v>69.583484999999996</v>
      </c>
      <c r="D25">
        <v>40.581815499999998</v>
      </c>
      <c r="E25">
        <v>4.6076600000000001</v>
      </c>
      <c r="F25">
        <v>3.2730000000000001</v>
      </c>
      <c r="G25">
        <v>4.2000000000000003E-2</v>
      </c>
      <c r="H25">
        <v>5.6764000000000001</v>
      </c>
      <c r="I25" s="12">
        <f>SUM(B25:H25)</f>
        <v>336.52218050000005</v>
      </c>
      <c r="J25" s="147">
        <v>41.1</v>
      </c>
      <c r="K25" s="122">
        <f t="shared" si="22"/>
        <v>6382.7346000000007</v>
      </c>
      <c r="L25" s="3">
        <f t="shared" si="23"/>
        <v>4175.0090999999993</v>
      </c>
      <c r="M25" s="3">
        <f t="shared" si="24"/>
        <v>1217.454465</v>
      </c>
      <c r="N25" s="3">
        <f t="shared" si="25"/>
        <v>92.153199999999998</v>
      </c>
      <c r="O25" s="3">
        <f t="shared" si="26"/>
        <v>130.92000000000002</v>
      </c>
      <c r="P25" s="3">
        <f t="shared" si="27"/>
        <v>32.760000000000005</v>
      </c>
      <c r="Q25" s="3">
        <f t="shared" si="28"/>
        <v>28.382000000000001</v>
      </c>
      <c r="R25" s="12">
        <f t="shared" si="1"/>
        <v>12059.413365</v>
      </c>
      <c r="S25" s="149">
        <f t="shared" si="29"/>
        <v>35.835419071284662</v>
      </c>
      <c r="T25" s="129">
        <f t="shared" si="40"/>
        <v>1.1469099864087793</v>
      </c>
      <c r="U25" s="136">
        <f t="shared" si="30"/>
        <v>9.289970889911114</v>
      </c>
      <c r="V25" s="139">
        <f t="shared" si="31"/>
        <v>25.117328702352264</v>
      </c>
      <c r="W25" s="9">
        <f t="shared" si="32"/>
        <v>68.814599184526756</v>
      </c>
      <c r="X25" s="9">
        <f t="shared" si="33"/>
        <v>34.407299592263378</v>
      </c>
      <c r="Y25" s="9">
        <f t="shared" si="34"/>
        <v>22.938199728175587</v>
      </c>
      <c r="Z25" s="9">
        <f t="shared" si="35"/>
        <v>45.876399456351173</v>
      </c>
      <c r="AA25" s="9">
        <f t="shared" si="36"/>
        <v>894.58978939884787</v>
      </c>
      <c r="AB25" s="9">
        <f t="shared" si="37"/>
        <v>5.7345499320438966</v>
      </c>
      <c r="AC25" s="3">
        <f t="shared" si="38"/>
        <v>0.43791108571971576</v>
      </c>
      <c r="AD25" s="137">
        <f t="shared" si="39"/>
        <v>1.8924014775744857</v>
      </c>
    </row>
    <row r="26" spans="1:30" x14ac:dyDescent="0.25">
      <c r="A26" s="118" t="s">
        <v>19</v>
      </c>
      <c r="B26" s="153" t="s">
        <v>56</v>
      </c>
      <c r="C26" s="153" t="s">
        <v>56</v>
      </c>
      <c r="D26" s="153" t="s">
        <v>56</v>
      </c>
      <c r="E26" s="153" t="s">
        <v>56</v>
      </c>
      <c r="F26" s="153" t="s">
        <v>56</v>
      </c>
      <c r="G26" s="153" t="s">
        <v>56</v>
      </c>
      <c r="H26" s="153" t="s">
        <v>56</v>
      </c>
      <c r="I26" s="144" t="s">
        <v>56</v>
      </c>
      <c r="J26" s="156" t="s">
        <v>56</v>
      </c>
      <c r="K26" s="160" t="s">
        <v>56</v>
      </c>
      <c r="L26" s="144" t="s">
        <v>56</v>
      </c>
      <c r="M26" s="144" t="s">
        <v>56</v>
      </c>
      <c r="N26" s="144" t="s">
        <v>56</v>
      </c>
      <c r="O26" s="144" t="s">
        <v>56</v>
      </c>
      <c r="P26" s="144" t="s">
        <v>56</v>
      </c>
      <c r="Q26" s="144" t="s">
        <v>56</v>
      </c>
      <c r="R26" s="144" t="s">
        <v>56</v>
      </c>
      <c r="S26" s="154" t="s">
        <v>56</v>
      </c>
      <c r="T26" s="155" t="s">
        <v>56</v>
      </c>
      <c r="U26" s="161" t="s">
        <v>56</v>
      </c>
      <c r="V26" s="162" t="s">
        <v>56</v>
      </c>
      <c r="W26" s="163" t="s">
        <v>56</v>
      </c>
      <c r="X26" s="163" t="s">
        <v>56</v>
      </c>
      <c r="Y26" s="163" t="s">
        <v>56</v>
      </c>
      <c r="Z26" s="163" t="s">
        <v>56</v>
      </c>
      <c r="AA26" s="163" t="s">
        <v>56</v>
      </c>
      <c r="AB26" s="163" t="s">
        <v>56</v>
      </c>
      <c r="AC26" s="144" t="s">
        <v>56</v>
      </c>
      <c r="AD26" s="164" t="s">
        <v>56</v>
      </c>
    </row>
    <row r="27" spans="1:30" x14ac:dyDescent="0.25">
      <c r="A27" s="118" t="s">
        <v>20</v>
      </c>
      <c r="B27" s="153" t="s">
        <v>56</v>
      </c>
      <c r="C27" s="153" t="s">
        <v>56</v>
      </c>
      <c r="D27" s="153" t="s">
        <v>56</v>
      </c>
      <c r="E27" s="153" t="s">
        <v>56</v>
      </c>
      <c r="F27" s="153" t="s">
        <v>56</v>
      </c>
      <c r="G27" s="153" t="s">
        <v>56</v>
      </c>
      <c r="H27" s="153" t="s">
        <v>56</v>
      </c>
      <c r="I27" s="153" t="s">
        <v>56</v>
      </c>
      <c r="J27" s="157" t="s">
        <v>56</v>
      </c>
      <c r="K27" s="153" t="s">
        <v>56</v>
      </c>
      <c r="L27" s="153" t="s">
        <v>56</v>
      </c>
      <c r="M27" s="153" t="s">
        <v>56</v>
      </c>
      <c r="N27" s="153" t="s">
        <v>56</v>
      </c>
      <c r="O27" s="153" t="s">
        <v>56</v>
      </c>
      <c r="P27" s="153" t="s">
        <v>56</v>
      </c>
      <c r="Q27" s="153" t="s">
        <v>56</v>
      </c>
      <c r="R27" s="153" t="s">
        <v>56</v>
      </c>
      <c r="S27" s="154" t="s">
        <v>56</v>
      </c>
      <c r="T27" s="155" t="s">
        <v>56</v>
      </c>
      <c r="U27" s="153" t="s">
        <v>56</v>
      </c>
      <c r="V27" s="153" t="s">
        <v>56</v>
      </c>
      <c r="W27" s="153" t="s">
        <v>56</v>
      </c>
      <c r="X27" s="153" t="s">
        <v>56</v>
      </c>
      <c r="Y27" s="153" t="s">
        <v>56</v>
      </c>
      <c r="Z27" s="153" t="s">
        <v>56</v>
      </c>
      <c r="AA27" s="153" t="s">
        <v>56</v>
      </c>
      <c r="AB27" s="153" t="s">
        <v>56</v>
      </c>
      <c r="AC27" s="153" t="s">
        <v>56</v>
      </c>
      <c r="AD27" s="158" t="s">
        <v>56</v>
      </c>
    </row>
    <row r="28" spans="1:30" x14ac:dyDescent="0.25">
      <c r="A28" s="118" t="s">
        <v>21</v>
      </c>
      <c r="B28">
        <v>973.71163999999999</v>
      </c>
      <c r="C28">
        <v>1508.411795</v>
      </c>
      <c r="D28">
        <v>386.85527100000002</v>
      </c>
      <c r="E28">
        <v>101.4038</v>
      </c>
      <c r="F28">
        <v>43.72</v>
      </c>
      <c r="G28">
        <v>2.6208</v>
      </c>
      <c r="H28">
        <v>169.2</v>
      </c>
      <c r="I28" s="12">
        <f>SUM(B28:H28)</f>
        <v>3185.9233059999997</v>
      </c>
      <c r="J28" s="147">
        <v>113.7</v>
      </c>
      <c r="K28" s="122">
        <f>B28*$K$40</f>
        <v>29211.349200000001</v>
      </c>
      <c r="L28" s="3">
        <f>C28*$L$40</f>
        <v>90504.707699999999</v>
      </c>
      <c r="M28" s="3">
        <f>D28*$M$40</f>
        <v>11605.65813</v>
      </c>
      <c r="N28" s="3">
        <f>E28*$N$40</f>
        <v>2028.076</v>
      </c>
      <c r="O28" s="3">
        <f>F28*$O$40</f>
        <v>1748.8</v>
      </c>
      <c r="P28" s="3">
        <f>G28*$P$40</f>
        <v>2044.2239999999999</v>
      </c>
      <c r="Q28" s="3">
        <f>H28*$Q$40</f>
        <v>846</v>
      </c>
      <c r="R28" s="12">
        <f>SUM(K28:Q28)</f>
        <v>137988.81502999997</v>
      </c>
      <c r="S28" s="149">
        <f>R28/I28</f>
        <v>43.31203289486843</v>
      </c>
      <c r="T28" s="129">
        <f>J28/S28</f>
        <v>2.6251365359826155</v>
      </c>
      <c r="U28" s="136">
        <f>$U$40*$T28</f>
        <v>21.26360594145919</v>
      </c>
      <c r="V28" s="139">
        <f>$V$40*$T28</f>
        <v>57.490490138019275</v>
      </c>
      <c r="W28" s="9">
        <f>$W$40*$T28</f>
        <v>157.50819215895694</v>
      </c>
      <c r="X28" s="9">
        <f>$X$40*$T28</f>
        <v>78.754096079478472</v>
      </c>
      <c r="Y28" s="9">
        <f>$Y$40*$T28</f>
        <v>52.502730719652313</v>
      </c>
      <c r="Z28" s="9">
        <f>$Z$40*$T28</f>
        <v>105.00546143930463</v>
      </c>
      <c r="AA28" s="9">
        <f>$AA$40*$T28</f>
        <v>2047.6064980664401</v>
      </c>
      <c r="AB28" s="9">
        <f>$AB$40*$T28</f>
        <v>13.125682679913078</v>
      </c>
      <c r="AC28" s="3">
        <f>$AC$40*$T28</f>
        <v>1.0023248591933624</v>
      </c>
      <c r="AD28" s="137">
        <f>$AD$40*$T28</f>
        <v>4.3314752843713151</v>
      </c>
    </row>
    <row r="29" spans="1:30" x14ac:dyDescent="0.25">
      <c r="A29" s="118" t="s">
        <v>22</v>
      </c>
      <c r="B29">
        <v>227.51147499999999</v>
      </c>
      <c r="C29">
        <v>126.48148</v>
      </c>
      <c r="D29">
        <v>63.725881000000001</v>
      </c>
      <c r="E29">
        <v>102.499285</v>
      </c>
      <c r="F29">
        <v>1145.0530000000001</v>
      </c>
      <c r="G29">
        <v>0</v>
      </c>
      <c r="H29">
        <v>50</v>
      </c>
      <c r="I29" s="12">
        <f t="shared" ref="I29:I36" si="41">SUM(B29:H29)</f>
        <v>1715.2711210000002</v>
      </c>
      <c r="J29" s="147">
        <v>3.5</v>
      </c>
      <c r="K29" s="122">
        <f t="shared" ref="K29:K38" si="42">B29*$K$40</f>
        <v>6825.3442500000001</v>
      </c>
      <c r="L29" s="3">
        <f t="shared" ref="L29:L38" si="43">C29*$L$40</f>
        <v>7588.8888000000006</v>
      </c>
      <c r="M29" s="3">
        <f t="shared" ref="M29:M38" si="44">D29*$M$40</f>
        <v>1911.7764300000001</v>
      </c>
      <c r="N29" s="3">
        <f t="shared" ref="N29:N38" si="45">E29*$N$40</f>
        <v>2049.9857000000002</v>
      </c>
      <c r="O29" s="3">
        <f t="shared" ref="O29:O38" si="46">F29*$O$40</f>
        <v>45802.12</v>
      </c>
      <c r="P29" s="3">
        <f t="shared" ref="P29:P38" si="47">G29*$P$40</f>
        <v>0</v>
      </c>
      <c r="Q29" s="3">
        <f t="shared" ref="Q29:Q38" si="48">H29*$Q$40</f>
        <v>250</v>
      </c>
      <c r="R29" s="12">
        <f t="shared" ref="R29:R38" si="49">SUM(K29:Q29)</f>
        <v>64428.115180000008</v>
      </c>
      <c r="S29" s="149">
        <f>R29/I29</f>
        <v>37.561476078742892</v>
      </c>
      <c r="T29" s="129">
        <f>J29/S29</f>
        <v>9.3180576627571607E-2</v>
      </c>
      <c r="U29" s="136">
        <f>$U$40*$T29</f>
        <v>0.75476267068333014</v>
      </c>
      <c r="V29" s="139">
        <f>$V$40*$T29</f>
        <v>2.0406546281438183</v>
      </c>
      <c r="W29" s="9">
        <f>$W$40*$T29</f>
        <v>5.5908345976542968</v>
      </c>
      <c r="X29" s="9">
        <f>$X$40*$T29</f>
        <v>2.7954172988271484</v>
      </c>
      <c r="Y29" s="9">
        <f>$Y$40*$T29</f>
        <v>1.8636115325514322</v>
      </c>
      <c r="Z29" s="9">
        <f>$Z$40*$T29</f>
        <v>3.7272230651028644</v>
      </c>
      <c r="AA29" s="9">
        <f>$AA$40*$T29</f>
        <v>72.680849769505855</v>
      </c>
      <c r="AB29" s="9">
        <f>$AB$40*$T29</f>
        <v>0.46590288313785805</v>
      </c>
      <c r="AC29" s="3">
        <f>$AC$40*$T29</f>
        <v>3.5578038348709158E-2</v>
      </c>
      <c r="AD29" s="137">
        <f>$AD$40*$T29</f>
        <v>0.15374795143549314</v>
      </c>
    </row>
    <row r="30" spans="1:30" x14ac:dyDescent="0.25">
      <c r="A30" s="118" t="s">
        <v>23</v>
      </c>
      <c r="B30">
        <v>1610.4308799999999</v>
      </c>
      <c r="C30">
        <v>1550.5422799999999</v>
      </c>
      <c r="D30">
        <v>739.15912600000001</v>
      </c>
      <c r="E30">
        <v>17.869019999999999</v>
      </c>
      <c r="F30">
        <v>34.24577</v>
      </c>
      <c r="G30">
        <v>0</v>
      </c>
      <c r="H30">
        <v>10.568</v>
      </c>
      <c r="I30" s="12">
        <f t="shared" si="41"/>
        <v>3962.8150759999999</v>
      </c>
      <c r="J30" s="147">
        <v>126.3</v>
      </c>
      <c r="K30" s="122">
        <f t="shared" si="42"/>
        <v>48312.926399999997</v>
      </c>
      <c r="L30" s="3">
        <f t="shared" si="43"/>
        <v>93032.536799999987</v>
      </c>
      <c r="M30" s="3">
        <f t="shared" si="44"/>
        <v>22174.77378</v>
      </c>
      <c r="N30" s="3">
        <f t="shared" si="45"/>
        <v>357.38040000000001</v>
      </c>
      <c r="O30" s="3">
        <f t="shared" si="46"/>
        <v>1369.8308</v>
      </c>
      <c r="P30" s="3">
        <f t="shared" si="47"/>
        <v>0</v>
      </c>
      <c r="Q30" s="3">
        <f t="shared" si="48"/>
        <v>52.839999999999996</v>
      </c>
      <c r="R30" s="12">
        <f t="shared" si="49"/>
        <v>165300.28817999997</v>
      </c>
      <c r="S30" s="149">
        <f>R30/I30</f>
        <v>41.712844281104168</v>
      </c>
      <c r="T30" s="129">
        <f t="shared" ref="T30:T31" si="50">J30/S30</f>
        <v>3.0278443529014787</v>
      </c>
      <c r="U30" s="136">
        <f>$U$40*$T30</f>
        <v>24.525539258501983</v>
      </c>
      <c r="V30" s="139">
        <f>$V$40*$T30</f>
        <v>66.309791328542374</v>
      </c>
      <c r="W30" s="9">
        <f>$W$40*$T30</f>
        <v>181.67066117408871</v>
      </c>
      <c r="X30" s="9">
        <f>$X$40*$T30</f>
        <v>90.835330587044353</v>
      </c>
      <c r="Y30" s="9">
        <f>$Y$40*$T30</f>
        <v>60.556887058029574</v>
      </c>
      <c r="Z30" s="9">
        <f>$Z$40*$T30</f>
        <v>121.11377411605915</v>
      </c>
      <c r="AA30" s="9">
        <f>$AA$40*$T30</f>
        <v>2361.7185952631535</v>
      </c>
      <c r="AB30" s="9">
        <f>$AB$40*$T30</f>
        <v>15.139221764507393</v>
      </c>
      <c r="AC30" s="3">
        <f>$AC$40*$T30</f>
        <v>1.1560860256532919</v>
      </c>
      <c r="AD30" s="137">
        <f>$AD$40*$T30</f>
        <v>4.9959431822874398</v>
      </c>
    </row>
    <row r="31" spans="1:30" x14ac:dyDescent="0.25">
      <c r="A31" s="118" t="s">
        <v>24</v>
      </c>
      <c r="B31">
        <v>238.71104500000001</v>
      </c>
      <c r="C31">
        <v>347.84921000000003</v>
      </c>
      <c r="D31">
        <v>205.741795</v>
      </c>
      <c r="E31">
        <v>185.23903999999999</v>
      </c>
      <c r="F31">
        <v>9.1669999999999998</v>
      </c>
      <c r="G31">
        <v>7.5822893999999996</v>
      </c>
      <c r="H31">
        <v>38.799999999999997</v>
      </c>
      <c r="I31" s="12">
        <f t="shared" si="41"/>
        <v>1033.0903794000003</v>
      </c>
      <c r="J31" s="147">
        <v>159.19999999999999</v>
      </c>
      <c r="K31" s="122">
        <f t="shared" si="42"/>
        <v>7161.3313500000004</v>
      </c>
      <c r="L31" s="3">
        <f t="shared" si="43"/>
        <v>20870.952600000001</v>
      </c>
      <c r="M31" s="3">
        <f t="shared" si="44"/>
        <v>6172.2538500000001</v>
      </c>
      <c r="N31" s="3">
        <f t="shared" si="45"/>
        <v>3704.7807999999995</v>
      </c>
      <c r="O31" s="3">
        <f t="shared" si="46"/>
        <v>366.68</v>
      </c>
      <c r="P31" s="3">
        <f t="shared" si="47"/>
        <v>5914.1857319999999</v>
      </c>
      <c r="Q31" s="3">
        <f t="shared" si="48"/>
        <v>194</v>
      </c>
      <c r="R31" s="12">
        <f t="shared" si="49"/>
        <v>44384.184331999997</v>
      </c>
      <c r="S31" s="149">
        <f>R31/I31</f>
        <v>42.962537660816771</v>
      </c>
      <c r="T31" s="129">
        <f t="shared" si="50"/>
        <v>3.7055539236732646</v>
      </c>
      <c r="U31" s="136">
        <f>$U$40*$T31</f>
        <v>30.01498678175345</v>
      </c>
      <c r="V31" s="139">
        <f>$V$40*$T31</f>
        <v>81.15163092844449</v>
      </c>
      <c r="W31" s="9">
        <f>$W$40*$T31</f>
        <v>222.33323542039588</v>
      </c>
      <c r="X31" s="9">
        <f>$X$40*$T31</f>
        <v>111.16661771019794</v>
      </c>
      <c r="Y31" s="9">
        <f>$Y$40*$T31</f>
        <v>74.111078473465298</v>
      </c>
      <c r="Z31" s="9">
        <f>$Z$40*$T31</f>
        <v>148.2221569469306</v>
      </c>
      <c r="AA31" s="9">
        <f>$AA$40*$T31</f>
        <v>2890.3320604651462</v>
      </c>
      <c r="AB31" s="9">
        <f>$AB$40*$T31</f>
        <v>18.527769618366325</v>
      </c>
      <c r="AC31" s="3">
        <f>$AC$40*$T31</f>
        <v>1.4148478617661557</v>
      </c>
      <c r="AD31" s="137">
        <f>$AD$40*$T31</f>
        <v>6.1141639740608866</v>
      </c>
    </row>
    <row r="32" spans="1:30" x14ac:dyDescent="0.25">
      <c r="A32" s="118" t="s">
        <v>25</v>
      </c>
      <c r="B32" s="153" t="s">
        <v>56</v>
      </c>
      <c r="C32" s="153" t="s">
        <v>56</v>
      </c>
      <c r="D32" s="153" t="s">
        <v>56</v>
      </c>
      <c r="E32" s="153" t="s">
        <v>56</v>
      </c>
      <c r="F32" s="153" t="s">
        <v>56</v>
      </c>
      <c r="G32" s="153" t="s">
        <v>56</v>
      </c>
      <c r="H32" s="153" t="s">
        <v>56</v>
      </c>
      <c r="I32" s="153" t="s">
        <v>56</v>
      </c>
      <c r="J32" s="157" t="s">
        <v>56</v>
      </c>
      <c r="K32" s="153" t="s">
        <v>56</v>
      </c>
      <c r="L32" s="153" t="s">
        <v>56</v>
      </c>
      <c r="M32" s="153" t="s">
        <v>56</v>
      </c>
      <c r="N32" s="153" t="s">
        <v>56</v>
      </c>
      <c r="O32" s="153" t="s">
        <v>56</v>
      </c>
      <c r="P32" s="153" t="s">
        <v>56</v>
      </c>
      <c r="Q32" s="153" t="s">
        <v>56</v>
      </c>
      <c r="R32" s="153" t="s">
        <v>56</v>
      </c>
      <c r="S32" s="154" t="s">
        <v>56</v>
      </c>
      <c r="T32" s="155" t="s">
        <v>56</v>
      </c>
      <c r="U32" s="153" t="s">
        <v>56</v>
      </c>
      <c r="V32" s="153" t="s">
        <v>56</v>
      </c>
      <c r="W32" s="153" t="s">
        <v>56</v>
      </c>
      <c r="X32" s="153" t="s">
        <v>56</v>
      </c>
      <c r="Y32" s="153" t="s">
        <v>56</v>
      </c>
      <c r="Z32" s="153" t="s">
        <v>56</v>
      </c>
      <c r="AA32" s="153" t="s">
        <v>56</v>
      </c>
      <c r="AB32" s="153" t="s">
        <v>56</v>
      </c>
      <c r="AC32" s="153" t="s">
        <v>56</v>
      </c>
      <c r="AD32" s="158" t="s">
        <v>56</v>
      </c>
    </row>
    <row r="33" spans="1:30" x14ac:dyDescent="0.25">
      <c r="A33" s="118" t="s">
        <v>26</v>
      </c>
      <c r="B33">
        <v>103.587115</v>
      </c>
      <c r="C33">
        <v>58.055504999999997</v>
      </c>
      <c r="D33">
        <v>49.960989499999997</v>
      </c>
      <c r="E33">
        <v>33.662174999999998</v>
      </c>
      <c r="F33">
        <v>0.91300000000000003</v>
      </c>
      <c r="G33">
        <v>0</v>
      </c>
      <c r="H33">
        <v>2</v>
      </c>
      <c r="I33" s="12">
        <f t="shared" si="41"/>
        <v>248.17878450000001</v>
      </c>
      <c r="J33" s="147">
        <v>43.6</v>
      </c>
      <c r="K33" s="122">
        <f t="shared" si="42"/>
        <v>3107.6134499999998</v>
      </c>
      <c r="L33" s="3">
        <f t="shared" si="43"/>
        <v>3483.3302999999996</v>
      </c>
      <c r="M33" s="3">
        <f t="shared" si="44"/>
        <v>1498.8296849999999</v>
      </c>
      <c r="N33" s="3">
        <f t="shared" si="45"/>
        <v>673.24349999999993</v>
      </c>
      <c r="O33" s="3">
        <f t="shared" si="46"/>
        <v>36.520000000000003</v>
      </c>
      <c r="P33" s="3">
        <f t="shared" si="47"/>
        <v>0</v>
      </c>
      <c r="Q33" s="3">
        <f t="shared" si="48"/>
        <v>10</v>
      </c>
      <c r="R33" s="12">
        <f t="shared" si="49"/>
        <v>8809.5369350000001</v>
      </c>
      <c r="S33" s="149">
        <f>R33/I33</f>
        <v>35.496736567343447</v>
      </c>
      <c r="T33" s="129">
        <f>J33/S33</f>
        <v>1.2282819271930325</v>
      </c>
      <c r="U33" s="136">
        <f t="shared" ref="U33:U36" si="51">$U$40*$T33</f>
        <v>9.9490836102635658</v>
      </c>
      <c r="V33" s="139">
        <f t="shared" ref="V33:V38" si="52">$V$40*$T33</f>
        <v>26.899374205527412</v>
      </c>
      <c r="W33" s="9">
        <f t="shared" ref="W33:W36" si="53">$W$40*$T33</f>
        <v>73.696915631581959</v>
      </c>
      <c r="X33" s="9">
        <f t="shared" ref="X33:X38" si="54">$X$40*$T33</f>
        <v>36.848457815790979</v>
      </c>
      <c r="Y33" s="9">
        <f t="shared" ref="Y33:Y38" si="55">$Y$40*$T33</f>
        <v>24.565638543860651</v>
      </c>
      <c r="Z33" s="9">
        <f t="shared" ref="Z33:Z38" si="56">$Z$40*$T33</f>
        <v>49.131277087721301</v>
      </c>
      <c r="AA33" s="9">
        <f t="shared" ref="AA33:AA38" si="57">$AA$40*$T33</f>
        <v>958.05990321056538</v>
      </c>
      <c r="AB33" s="9">
        <f t="shared" ref="AB33:AB38" si="58">$AB$40*$T33</f>
        <v>6.1414096359651626</v>
      </c>
      <c r="AC33" s="3">
        <f t="shared" ref="AC33:AC38" si="59">$AC$40*$T33</f>
        <v>0.4689803722009761</v>
      </c>
      <c r="AD33" s="137">
        <f t="shared" ref="AD33:AD38" si="60">$AD$40*$T33</f>
        <v>2.0266651798685036</v>
      </c>
    </row>
    <row r="34" spans="1:30" x14ac:dyDescent="0.25">
      <c r="A34" s="118" t="s">
        <v>27</v>
      </c>
      <c r="B34">
        <v>101.375955</v>
      </c>
      <c r="C34">
        <v>25.082954999999998</v>
      </c>
      <c r="D34">
        <v>35.818346499999997</v>
      </c>
      <c r="E34">
        <v>9.9565800000000007</v>
      </c>
      <c r="F34">
        <v>5.6000000000000001E-2</v>
      </c>
      <c r="G34">
        <v>2.478E-2</v>
      </c>
      <c r="H34">
        <v>9.2775999999999996</v>
      </c>
      <c r="I34" s="12">
        <f>SUM(B34:H34)</f>
        <v>181.59221650000001</v>
      </c>
      <c r="J34" s="147">
        <v>46</v>
      </c>
      <c r="K34" s="122">
        <f t="shared" si="42"/>
        <v>3041.2786500000002</v>
      </c>
      <c r="L34" s="3">
        <f t="shared" si="43"/>
        <v>1504.9773</v>
      </c>
      <c r="M34" s="3">
        <f t="shared" si="44"/>
        <v>1074.550395</v>
      </c>
      <c r="N34" s="3">
        <f t="shared" si="45"/>
        <v>199.13160000000002</v>
      </c>
      <c r="O34" s="3">
        <f t="shared" si="46"/>
        <v>2.2400000000000002</v>
      </c>
      <c r="P34" s="3">
        <f t="shared" si="47"/>
        <v>19.328399999999998</v>
      </c>
      <c r="Q34" s="3">
        <f t="shared" si="48"/>
        <v>46.387999999999998</v>
      </c>
      <c r="R34" s="12">
        <f t="shared" si="49"/>
        <v>5887.8943450000006</v>
      </c>
      <c r="S34" s="149">
        <f>R34/I34</f>
        <v>32.423715390907191</v>
      </c>
      <c r="T34" s="129">
        <f t="shared" ref="T34:T36" si="61">J34/S34</f>
        <v>1.4187146489973232</v>
      </c>
      <c r="U34" s="136">
        <f>$U$40*$T34</f>
        <v>11.491588656878321</v>
      </c>
      <c r="V34" s="139">
        <f t="shared" si="52"/>
        <v>31.069850813041377</v>
      </c>
      <c r="W34" s="9">
        <f t="shared" si="53"/>
        <v>85.122878939839396</v>
      </c>
      <c r="X34" s="9">
        <f t="shared" si="54"/>
        <v>42.561439469919698</v>
      </c>
      <c r="Y34" s="9">
        <f t="shared" si="55"/>
        <v>28.374292979946464</v>
      </c>
      <c r="Z34" s="9">
        <f t="shared" si="56"/>
        <v>56.748585959892928</v>
      </c>
      <c r="AA34" s="9">
        <f t="shared" si="57"/>
        <v>1106.5974262179122</v>
      </c>
      <c r="AB34" s="9">
        <f t="shared" si="58"/>
        <v>7.093573244986616</v>
      </c>
      <c r="AC34" s="3">
        <f t="shared" si="59"/>
        <v>0.54169104779897803</v>
      </c>
      <c r="AD34" s="137">
        <f t="shared" si="60"/>
        <v>2.3408791708455832</v>
      </c>
    </row>
    <row r="35" spans="1:30" x14ac:dyDescent="0.25">
      <c r="A35" s="118" t="s">
        <v>28</v>
      </c>
      <c r="B35">
        <v>877.19362000000001</v>
      </c>
      <c r="C35">
        <v>3382.7751750000002</v>
      </c>
      <c r="D35">
        <v>707.50312199999996</v>
      </c>
      <c r="E35">
        <v>1527.3576399999999</v>
      </c>
      <c r="F35">
        <v>274.22300000000001</v>
      </c>
      <c r="G35">
        <v>73.735064116000004</v>
      </c>
      <c r="H35">
        <v>277.39359999999999</v>
      </c>
      <c r="I35" s="12">
        <f t="shared" si="41"/>
        <v>7120.1812211160013</v>
      </c>
      <c r="J35" s="147">
        <v>335.8</v>
      </c>
      <c r="K35" s="122">
        <f t="shared" si="42"/>
        <v>26315.8086</v>
      </c>
      <c r="L35" s="3">
        <f t="shared" si="43"/>
        <v>202966.5105</v>
      </c>
      <c r="M35" s="3">
        <f t="shared" si="44"/>
        <v>21225.093659999999</v>
      </c>
      <c r="N35" s="3">
        <f t="shared" si="45"/>
        <v>30547.1528</v>
      </c>
      <c r="O35" s="3">
        <f t="shared" si="46"/>
        <v>10968.92</v>
      </c>
      <c r="P35" s="3">
        <f t="shared" si="47"/>
        <v>57513.350010480004</v>
      </c>
      <c r="Q35" s="3">
        <f t="shared" si="48"/>
        <v>1386.9679999999998</v>
      </c>
      <c r="R35" s="12">
        <f t="shared" si="49"/>
        <v>350923.80357047997</v>
      </c>
      <c r="S35" s="149">
        <f>R35/I35</f>
        <v>49.285796621265909</v>
      </c>
      <c r="T35" s="129">
        <f>J35/S35</f>
        <v>6.81332195115841</v>
      </c>
      <c r="U35" s="136">
        <f t="shared" si="51"/>
        <v>55.18790780438313</v>
      </c>
      <c r="V35" s="139">
        <f t="shared" si="52"/>
        <v>149.21175073036918</v>
      </c>
      <c r="W35" s="9">
        <f t="shared" si="53"/>
        <v>408.79931706950458</v>
      </c>
      <c r="X35" s="9">
        <f t="shared" si="54"/>
        <v>204.39965853475229</v>
      </c>
      <c r="Y35" s="9">
        <f t="shared" si="55"/>
        <v>136.2664390231682</v>
      </c>
      <c r="Z35" s="9">
        <f t="shared" si="56"/>
        <v>272.53287804633641</v>
      </c>
      <c r="AA35" s="9">
        <f t="shared" si="57"/>
        <v>5314.3911219035599</v>
      </c>
      <c r="AB35" s="9">
        <f t="shared" si="58"/>
        <v>34.066609755792051</v>
      </c>
      <c r="AC35" s="3">
        <f t="shared" si="59"/>
        <v>2.6014501995332111</v>
      </c>
      <c r="AD35" s="137">
        <f t="shared" si="60"/>
        <v>11.241981219411375</v>
      </c>
    </row>
    <row r="36" spans="1:30" x14ac:dyDescent="0.25">
      <c r="A36" s="118" t="s">
        <v>29</v>
      </c>
      <c r="B36">
        <v>322.59156000000002</v>
      </c>
      <c r="C36">
        <v>222.48702499999999</v>
      </c>
      <c r="D36">
        <v>81.916355499999995</v>
      </c>
      <c r="E36">
        <v>51.945920000000001</v>
      </c>
      <c r="F36">
        <v>11.97</v>
      </c>
      <c r="G36">
        <v>0</v>
      </c>
      <c r="H36">
        <v>145.08000000000001</v>
      </c>
      <c r="I36" s="12">
        <f t="shared" si="41"/>
        <v>835.99086050000005</v>
      </c>
      <c r="J36" s="147">
        <v>13.1</v>
      </c>
      <c r="K36" s="122">
        <f t="shared" si="42"/>
        <v>9677.7468000000008</v>
      </c>
      <c r="L36" s="3">
        <f t="shared" si="43"/>
        <v>13349.2215</v>
      </c>
      <c r="M36" s="3">
        <f t="shared" si="44"/>
        <v>2457.4906649999998</v>
      </c>
      <c r="N36" s="3">
        <f t="shared" si="45"/>
        <v>1038.9184</v>
      </c>
      <c r="O36" s="3">
        <f t="shared" si="46"/>
        <v>478.8</v>
      </c>
      <c r="P36" s="3">
        <f t="shared" si="47"/>
        <v>0</v>
      </c>
      <c r="Q36" s="3">
        <f t="shared" si="48"/>
        <v>725.40000000000009</v>
      </c>
      <c r="R36" s="12">
        <f t="shared" si="49"/>
        <v>27727.577365000001</v>
      </c>
      <c r="S36" s="149">
        <f>R36/I36</f>
        <v>33.167321169535683</v>
      </c>
      <c r="T36" s="129">
        <f t="shared" si="61"/>
        <v>0.3949670801883271</v>
      </c>
      <c r="U36" s="136">
        <f t="shared" si="51"/>
        <v>3.1992333495254499</v>
      </c>
      <c r="V36" s="139">
        <f t="shared" si="52"/>
        <v>8.6497790561243626</v>
      </c>
      <c r="W36" s="9">
        <f t="shared" si="53"/>
        <v>23.698024811299625</v>
      </c>
      <c r="X36" s="9">
        <f t="shared" si="54"/>
        <v>11.849012405649813</v>
      </c>
      <c r="Y36" s="9">
        <f t="shared" si="55"/>
        <v>7.8993416037665423</v>
      </c>
      <c r="Z36" s="9">
        <f t="shared" si="56"/>
        <v>15.798683207533085</v>
      </c>
      <c r="AA36" s="9">
        <f t="shared" si="57"/>
        <v>308.07432254689513</v>
      </c>
      <c r="AB36" s="9">
        <f t="shared" si="58"/>
        <v>1.9748354009416356</v>
      </c>
      <c r="AC36" s="3">
        <f t="shared" si="59"/>
        <v>0.15080561243554308</v>
      </c>
      <c r="AD36" s="137">
        <f t="shared" si="60"/>
        <v>0.65169568231073971</v>
      </c>
    </row>
    <row r="37" spans="1:30" x14ac:dyDescent="0.25">
      <c r="A37" s="118" t="s">
        <v>30</v>
      </c>
      <c r="B37" s="153" t="s">
        <v>56</v>
      </c>
      <c r="C37" s="153" t="s">
        <v>56</v>
      </c>
      <c r="D37" s="153" t="s">
        <v>56</v>
      </c>
      <c r="E37" s="153" t="s">
        <v>56</v>
      </c>
      <c r="F37" s="153" t="s">
        <v>56</v>
      </c>
      <c r="G37" s="153" t="s">
        <v>56</v>
      </c>
      <c r="H37" s="153" t="s">
        <v>56</v>
      </c>
      <c r="I37" s="153" t="s">
        <v>56</v>
      </c>
      <c r="J37" s="157" t="s">
        <v>56</v>
      </c>
      <c r="K37" s="153" t="s">
        <v>56</v>
      </c>
      <c r="L37" s="153" t="s">
        <v>56</v>
      </c>
      <c r="M37" s="153" t="s">
        <v>56</v>
      </c>
      <c r="N37" s="153" t="s">
        <v>56</v>
      </c>
      <c r="O37" s="153" t="s">
        <v>56</v>
      </c>
      <c r="P37" s="153" t="s">
        <v>56</v>
      </c>
      <c r="Q37" s="153" t="s">
        <v>56</v>
      </c>
      <c r="R37" s="153" t="s">
        <v>56</v>
      </c>
      <c r="S37" s="154" t="s">
        <v>56</v>
      </c>
      <c r="T37" s="155" t="s">
        <v>56</v>
      </c>
      <c r="U37" s="153" t="s">
        <v>56</v>
      </c>
      <c r="V37" s="153" t="s">
        <v>56</v>
      </c>
      <c r="W37" s="153" t="s">
        <v>56</v>
      </c>
      <c r="X37" s="153" t="s">
        <v>56</v>
      </c>
      <c r="Y37" s="153" t="s">
        <v>56</v>
      </c>
      <c r="Z37" s="153" t="s">
        <v>56</v>
      </c>
      <c r="AA37" s="153" t="s">
        <v>56</v>
      </c>
      <c r="AB37" s="153" t="s">
        <v>56</v>
      </c>
      <c r="AC37" s="153" t="s">
        <v>56</v>
      </c>
      <c r="AD37" s="158" t="s">
        <v>56</v>
      </c>
    </row>
    <row r="38" spans="1:30" x14ac:dyDescent="0.25">
      <c r="A38" s="70" t="s">
        <v>31</v>
      </c>
      <c r="B38" s="72">
        <v>1766.566165</v>
      </c>
      <c r="C38" s="72">
        <v>717.05057499999998</v>
      </c>
      <c r="D38" s="72">
        <v>1011.858511</v>
      </c>
      <c r="E38" s="72">
        <v>2663.6939600000001</v>
      </c>
      <c r="F38" s="72">
        <v>170</v>
      </c>
      <c r="G38" s="72">
        <v>0</v>
      </c>
      <c r="H38" s="72">
        <v>395.2</v>
      </c>
      <c r="I38" s="128">
        <f>SUM(B38:H38)</f>
        <v>6724.3692110000002</v>
      </c>
      <c r="J38" s="148">
        <v>51</v>
      </c>
      <c r="K38" s="151">
        <f t="shared" si="42"/>
        <v>52996.984949999998</v>
      </c>
      <c r="L38" s="106">
        <f t="shared" si="43"/>
        <v>43023.034500000002</v>
      </c>
      <c r="M38" s="106">
        <f t="shared" si="44"/>
        <v>30355.75533</v>
      </c>
      <c r="N38" s="106">
        <f t="shared" si="45"/>
        <v>53273.879200000003</v>
      </c>
      <c r="O38" s="106">
        <f t="shared" si="46"/>
        <v>6800</v>
      </c>
      <c r="P38" s="106">
        <f t="shared" si="47"/>
        <v>0</v>
      </c>
      <c r="Q38" s="106">
        <f t="shared" si="48"/>
        <v>1976</v>
      </c>
      <c r="R38" s="128">
        <f t="shared" si="49"/>
        <v>188425.65398</v>
      </c>
      <c r="S38" s="152">
        <f>R38/I38</f>
        <v>28.021312939177335</v>
      </c>
      <c r="T38" s="130">
        <f>J38/S38</f>
        <v>1.8200431975011262</v>
      </c>
      <c r="U38" s="140">
        <f>$U$40*$T38</f>
        <v>14.742349899759125</v>
      </c>
      <c r="V38" s="141">
        <f t="shared" si="52"/>
        <v>39.858946025274662</v>
      </c>
      <c r="W38" s="73">
        <f>$W$40*$T38</f>
        <v>109.20259185006758</v>
      </c>
      <c r="X38" s="73">
        <f t="shared" si="54"/>
        <v>54.601295925033789</v>
      </c>
      <c r="Y38" s="73">
        <f t="shared" si="55"/>
        <v>36.400863950022526</v>
      </c>
      <c r="Z38" s="73">
        <f t="shared" si="56"/>
        <v>72.801727900045051</v>
      </c>
      <c r="AA38" s="73">
        <f t="shared" si="57"/>
        <v>1419.6336940508784</v>
      </c>
      <c r="AB38" s="73">
        <f t="shared" si="58"/>
        <v>9.1002159875056314</v>
      </c>
      <c r="AC38" s="106">
        <f t="shared" si="59"/>
        <v>0.69492558450043007</v>
      </c>
      <c r="AD38" s="142">
        <f t="shared" si="60"/>
        <v>3.0030712758768581</v>
      </c>
    </row>
    <row r="40" spans="1:30" x14ac:dyDescent="0.25">
      <c r="A40" s="114" t="s">
        <v>57</v>
      </c>
      <c r="B40" s="114"/>
      <c r="C40" s="114"/>
      <c r="D40" s="114"/>
      <c r="E40" s="114"/>
      <c r="F40" s="114"/>
      <c r="G40" s="114"/>
      <c r="H40" s="114"/>
      <c r="I40" s="114"/>
      <c r="J40" s="114"/>
      <c r="K40" s="115">
        <f>'Standard values'!B5</f>
        <v>30</v>
      </c>
      <c r="L40" s="115">
        <f>'Standard values'!D5</f>
        <v>60</v>
      </c>
      <c r="M40" s="115">
        <f>'Standard values'!E5</f>
        <v>30</v>
      </c>
      <c r="N40" s="115">
        <f>'Standard values'!F5</f>
        <v>20</v>
      </c>
      <c r="O40" s="115">
        <f>'Standard values'!G5</f>
        <v>40</v>
      </c>
      <c r="P40" s="115">
        <f>'Standard values'!H5</f>
        <v>780</v>
      </c>
      <c r="Q40" s="115">
        <f>'Standard values'!I5</f>
        <v>5</v>
      </c>
      <c r="R40" s="114"/>
      <c r="S40" s="114"/>
      <c r="T40" s="114"/>
      <c r="U40" s="114">
        <f>'Standard values'!B6</f>
        <v>8.1000000000000014</v>
      </c>
      <c r="V40" s="114">
        <f>'Standard values'!C6</f>
        <v>21.9</v>
      </c>
      <c r="W40" s="114">
        <f>'Standard values'!D6</f>
        <v>60</v>
      </c>
      <c r="X40" s="114">
        <f>'Standard values'!E6</f>
        <v>30</v>
      </c>
      <c r="Y40" s="114">
        <f>'Standard values'!F6</f>
        <v>20</v>
      </c>
      <c r="Z40" s="114">
        <f>'Standard values'!G6</f>
        <v>40</v>
      </c>
      <c r="AA40" s="114">
        <f>'Standard values'!H6</f>
        <v>780</v>
      </c>
      <c r="AB40" s="114">
        <f>'Standard values'!I6</f>
        <v>5</v>
      </c>
      <c r="AC40" s="135">
        <f>'Standard values'!J6</f>
        <v>0.38181818181818183</v>
      </c>
      <c r="AD40" s="135">
        <f>'Standard values'!K6</f>
        <v>1.65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93800-6A37-46E3-82D3-E60772281FDD}">
  <dimension ref="A2:AD39"/>
  <sheetViews>
    <sheetView workbookViewId="0">
      <selection activeCell="A3" sqref="A3"/>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2" t="s">
        <v>59</v>
      </c>
    </row>
    <row r="4" spans="1:30" ht="15.75" x14ac:dyDescent="0.25">
      <c r="A4" s="124" t="s">
        <v>33</v>
      </c>
      <c r="B4" s="116" t="s">
        <v>34</v>
      </c>
      <c r="C4" s="125"/>
      <c r="D4" s="116"/>
      <c r="E4" s="125"/>
      <c r="F4" s="125"/>
      <c r="G4" s="125"/>
      <c r="H4" s="125"/>
      <c r="I4" s="125"/>
      <c r="J4" s="125"/>
      <c r="K4" s="124" t="s">
        <v>35</v>
      </c>
      <c r="L4" s="116"/>
      <c r="M4" s="116"/>
      <c r="N4" s="116"/>
      <c r="O4" s="116"/>
      <c r="P4" s="116"/>
      <c r="Q4" s="116"/>
      <c r="R4" s="116"/>
      <c r="S4" s="117"/>
      <c r="T4" s="117"/>
      <c r="U4" s="124" t="s">
        <v>36</v>
      </c>
      <c r="V4" s="116"/>
      <c r="W4" s="116"/>
      <c r="X4" s="116"/>
      <c r="Y4" s="116"/>
      <c r="Z4" s="116"/>
      <c r="AA4" s="116"/>
      <c r="AB4" s="116"/>
      <c r="AC4" s="116"/>
      <c r="AD4" s="117"/>
    </row>
    <row r="5" spans="1:30" x14ac:dyDescent="0.25">
      <c r="A5" s="123" t="s">
        <v>37</v>
      </c>
      <c r="K5" s="118"/>
      <c r="S5" s="6"/>
      <c r="T5" s="6"/>
      <c r="U5" s="118"/>
      <c r="AD5" s="6"/>
    </row>
    <row r="6" spans="1:30" ht="32.25" customHeight="1" x14ac:dyDescent="0.25">
      <c r="A6" s="119" t="s">
        <v>38</v>
      </c>
      <c r="B6" s="120" t="s">
        <v>39</v>
      </c>
      <c r="C6" s="120" t="s">
        <v>0</v>
      </c>
      <c r="D6" s="120" t="s">
        <v>40</v>
      </c>
      <c r="E6" s="127" t="s">
        <v>41</v>
      </c>
      <c r="F6" s="120" t="s">
        <v>42</v>
      </c>
      <c r="G6" s="120" t="s">
        <v>43</v>
      </c>
      <c r="H6" s="120" t="s">
        <v>44</v>
      </c>
      <c r="I6" s="127" t="s">
        <v>45</v>
      </c>
      <c r="J6" s="120" t="s">
        <v>46</v>
      </c>
      <c r="K6" s="119" t="s">
        <v>39</v>
      </c>
      <c r="L6" s="120" t="s">
        <v>0</v>
      </c>
      <c r="M6" s="120" t="s">
        <v>40</v>
      </c>
      <c r="N6" s="127" t="s">
        <v>41</v>
      </c>
      <c r="O6" s="120" t="s">
        <v>42</v>
      </c>
      <c r="P6" s="120" t="s">
        <v>43</v>
      </c>
      <c r="Q6" s="120" t="s">
        <v>44</v>
      </c>
      <c r="R6" s="120" t="s">
        <v>47</v>
      </c>
      <c r="S6" s="121" t="s">
        <v>46</v>
      </c>
      <c r="T6" s="126" t="s">
        <v>48</v>
      </c>
      <c r="U6" s="131" t="s">
        <v>49</v>
      </c>
      <c r="V6" s="138" t="s">
        <v>50</v>
      </c>
      <c r="W6" s="120" t="s">
        <v>0</v>
      </c>
      <c r="X6" s="120" t="s">
        <v>51</v>
      </c>
      <c r="Y6" s="127" t="s">
        <v>52</v>
      </c>
      <c r="Z6" s="120" t="s">
        <v>42</v>
      </c>
      <c r="AA6" s="120" t="s">
        <v>53</v>
      </c>
      <c r="AB6" s="120" t="s">
        <v>44</v>
      </c>
      <c r="AC6" s="120" t="s">
        <v>54</v>
      </c>
      <c r="AD6" s="121" t="s">
        <v>55</v>
      </c>
    </row>
    <row r="7" spans="1:30" x14ac:dyDescent="0.25">
      <c r="A7" s="118" t="s">
        <v>1</v>
      </c>
      <c r="B7">
        <v>434.98995000000002</v>
      </c>
      <c r="C7">
        <v>384.44137000000001</v>
      </c>
      <c r="D7">
        <v>81.330641999999997</v>
      </c>
      <c r="E7">
        <v>35.291240000000002</v>
      </c>
      <c r="F7">
        <v>0</v>
      </c>
      <c r="G7">
        <v>0</v>
      </c>
      <c r="H7">
        <v>29.648800000000001</v>
      </c>
      <c r="I7" s="12">
        <f>SUM(B7:H7)</f>
        <v>965.70200200000011</v>
      </c>
      <c r="J7" s="147">
        <v>54.8</v>
      </c>
      <c r="K7" s="122">
        <f>B7*$K$39</f>
        <v>13049.6985</v>
      </c>
      <c r="L7" s="3">
        <f>C7*$L$39</f>
        <v>23066.482199999999</v>
      </c>
      <c r="M7" s="3">
        <f>D7*$M$39</f>
        <v>2439.9192600000001</v>
      </c>
      <c r="N7" s="3">
        <f>E7*$N$39</f>
        <v>705.8248000000001</v>
      </c>
      <c r="O7" s="3">
        <f>F7*$O$39</f>
        <v>0</v>
      </c>
      <c r="P7" s="3">
        <f>G7*$P$39</f>
        <v>0</v>
      </c>
      <c r="Q7" s="3">
        <f>H7*$Q$39</f>
        <v>148.244</v>
      </c>
      <c r="R7" s="12">
        <f>SUM(K7:Q7)</f>
        <v>39410.16876</v>
      </c>
      <c r="S7" s="149">
        <f>R7/I7</f>
        <v>40.809865443356507</v>
      </c>
      <c r="T7" s="129">
        <f>J7/S7</f>
        <v>1.342812562713827</v>
      </c>
      <c r="U7" s="136">
        <f>$U$39*$T7</f>
        <v>10.876781757982</v>
      </c>
      <c r="V7" s="139">
        <f>$V$39*$T7</f>
        <v>29.407595123432809</v>
      </c>
      <c r="W7" s="9">
        <f>$W$39*$T7</f>
        <v>80.568753762829616</v>
      </c>
      <c r="X7" s="9">
        <f>$X$39*$T7</f>
        <v>40.284376881414808</v>
      </c>
      <c r="Y7" s="9">
        <f>$Y$39*$T7</f>
        <v>26.85625125427654</v>
      </c>
      <c r="Z7" s="9">
        <f>$Z$39*$T7</f>
        <v>53.712502508553079</v>
      </c>
      <c r="AA7" s="9">
        <f>$AA$39*$T7</f>
        <v>1047.393798916785</v>
      </c>
      <c r="AB7" s="9">
        <f>$AB$39*$T7</f>
        <v>6.7140628135691349</v>
      </c>
      <c r="AC7" s="3">
        <f>$AC$39*$T7</f>
        <v>0.51271025121800673</v>
      </c>
      <c r="AD7" s="137">
        <f>$AD$39*$T7</f>
        <v>2.2156407284778146</v>
      </c>
    </row>
    <row r="8" spans="1:30" x14ac:dyDescent="0.25">
      <c r="A8" s="118" t="s">
        <v>2</v>
      </c>
      <c r="B8">
        <v>460.89677999999998</v>
      </c>
      <c r="C8">
        <v>915.58085000000005</v>
      </c>
      <c r="D8">
        <v>166.96735050000001</v>
      </c>
      <c r="E8">
        <v>15.972379999999999</v>
      </c>
      <c r="F8">
        <v>0.57599999999999996</v>
      </c>
      <c r="G8">
        <v>4.0772130000000004</v>
      </c>
      <c r="H8">
        <v>94.243600000000001</v>
      </c>
      <c r="I8" s="12">
        <f t="shared" ref="I8:I25" si="0">SUM(B8:H8)</f>
        <v>1658.3141735000002</v>
      </c>
      <c r="J8" s="147">
        <v>162.9</v>
      </c>
      <c r="K8" s="122">
        <f>B8*$K$39</f>
        <v>13826.903399999999</v>
      </c>
      <c r="L8" s="3">
        <f>C8*$L$39</f>
        <v>54934.851000000002</v>
      </c>
      <c r="M8" s="3">
        <f>D8*$M$39</f>
        <v>5009.0205150000002</v>
      </c>
      <c r="N8" s="3">
        <f>E8*$N$39</f>
        <v>319.44759999999997</v>
      </c>
      <c r="O8" s="3">
        <f>F8*$O$39</f>
        <v>23.04</v>
      </c>
      <c r="P8" s="3">
        <f>G8*$P$39</f>
        <v>3180.2261400000002</v>
      </c>
      <c r="Q8" s="3">
        <f>H8*$Q$39</f>
        <v>471.21800000000002</v>
      </c>
      <c r="R8" s="12">
        <f t="shared" ref="R8:R25" si="1">SUM(K8:Q8)</f>
        <v>77764.706654999987</v>
      </c>
      <c r="S8" s="149">
        <f>R8/I8</f>
        <v>46.893832241011104</v>
      </c>
      <c r="T8" s="129">
        <f t="shared" ref="T8:T9" si="2">J8/S8</f>
        <v>3.4738043835439716</v>
      </c>
      <c r="U8" s="136">
        <f>$U$39*$T8</f>
        <v>28.137815506706175</v>
      </c>
      <c r="V8" s="139">
        <f>$V$39*$T8</f>
        <v>76.076315999612973</v>
      </c>
      <c r="W8" s="9">
        <f>$W$39*$T8</f>
        <v>208.4282630126383</v>
      </c>
      <c r="X8" s="9">
        <f>$X$39*$T8</f>
        <v>104.21413150631915</v>
      </c>
      <c r="Y8" s="9">
        <f>$Y$39*$T8</f>
        <v>69.476087670879437</v>
      </c>
      <c r="Z8" s="9">
        <f>$Z$39*$T8</f>
        <v>138.95217534175887</v>
      </c>
      <c r="AA8" s="9">
        <f>$AA$39*$T8</f>
        <v>2709.5674191642979</v>
      </c>
      <c r="AB8" s="9">
        <f>$AB$39*$T8</f>
        <v>17.369021917719859</v>
      </c>
      <c r="AC8" s="3">
        <f>$AC$39*$T8</f>
        <v>1.3263616737167891</v>
      </c>
      <c r="AD8" s="137">
        <f>$AD$39*$T8</f>
        <v>5.7317772328475529</v>
      </c>
    </row>
    <row r="9" spans="1:30" x14ac:dyDescent="0.25">
      <c r="A9" s="118" t="s">
        <v>3</v>
      </c>
      <c r="B9">
        <v>134.26176000000001</v>
      </c>
      <c r="C9">
        <v>61.537889999999997</v>
      </c>
      <c r="D9">
        <v>45.342606000000004</v>
      </c>
      <c r="E9">
        <v>99.044020000000003</v>
      </c>
      <c r="F9">
        <v>0</v>
      </c>
      <c r="G9">
        <v>1.218E-2</v>
      </c>
      <c r="H9">
        <v>48</v>
      </c>
      <c r="I9" s="12">
        <f t="shared" si="0"/>
        <v>388.19845600000002</v>
      </c>
      <c r="J9" s="147">
        <v>98.9</v>
      </c>
      <c r="K9" s="122">
        <f>B9*$K$39</f>
        <v>4027.8528000000001</v>
      </c>
      <c r="L9" s="3">
        <f>C9*$L$39</f>
        <v>3692.2734</v>
      </c>
      <c r="M9" s="3">
        <f>D9*$M$39</f>
        <v>1360.27818</v>
      </c>
      <c r="N9" s="3">
        <f>E9*$N$39</f>
        <v>1980.8804</v>
      </c>
      <c r="O9" s="3">
        <f>F9*$O$39</f>
        <v>0</v>
      </c>
      <c r="P9" s="3">
        <f>G9*$P$39</f>
        <v>9.5003999999999991</v>
      </c>
      <c r="Q9" s="3">
        <f>H9*$Q$39</f>
        <v>240</v>
      </c>
      <c r="R9" s="12">
        <f t="shared" si="1"/>
        <v>11310.785180000001</v>
      </c>
      <c r="S9" s="149">
        <f>R9/I9</f>
        <v>29.136605272845291</v>
      </c>
      <c r="T9" s="129">
        <f t="shared" si="2"/>
        <v>3.3943556249558267</v>
      </c>
      <c r="U9" s="136">
        <f>$U$39*$T9</f>
        <v>27.494280562142201</v>
      </c>
      <c r="V9" s="139">
        <f>$V$39*$T9</f>
        <v>74.336388186532602</v>
      </c>
      <c r="W9" s="9">
        <f>$W$39*$T9</f>
        <v>203.66133749734959</v>
      </c>
      <c r="X9" s="9">
        <f>$X$39*$T9</f>
        <v>101.8306687486748</v>
      </c>
      <c r="Y9" s="9">
        <f>$Y$39*$T9</f>
        <v>67.88711249911654</v>
      </c>
      <c r="Z9" s="9">
        <f>$Z$39*$T9</f>
        <v>135.77422499823308</v>
      </c>
      <c r="AA9" s="9">
        <f>$AA$39*$T9</f>
        <v>2647.5973874655447</v>
      </c>
      <c r="AB9" s="9">
        <f>$AB$39*$T9</f>
        <v>16.971778124779135</v>
      </c>
      <c r="AC9" s="3">
        <f>$AC$39*$T9</f>
        <v>1.296026693164952</v>
      </c>
      <c r="AD9" s="137">
        <f>$AD$39*$T9</f>
        <v>5.6006867811771137</v>
      </c>
    </row>
    <row r="10" spans="1:30" x14ac:dyDescent="0.25">
      <c r="A10" s="118" t="s">
        <v>4</v>
      </c>
      <c r="B10" s="153" t="s">
        <v>56</v>
      </c>
      <c r="C10" s="153" t="s">
        <v>56</v>
      </c>
      <c r="D10" s="153" t="s">
        <v>56</v>
      </c>
      <c r="E10" s="153" t="s">
        <v>56</v>
      </c>
      <c r="F10" s="153" t="s">
        <v>56</v>
      </c>
      <c r="G10" s="153" t="s">
        <v>56</v>
      </c>
      <c r="H10" s="153" t="s">
        <v>56</v>
      </c>
      <c r="I10" s="153" t="s">
        <v>56</v>
      </c>
      <c r="J10" s="157" t="s">
        <v>56</v>
      </c>
      <c r="K10" s="153" t="s">
        <v>56</v>
      </c>
      <c r="L10" s="153" t="s">
        <v>56</v>
      </c>
      <c r="M10" s="153" t="s">
        <v>56</v>
      </c>
      <c r="N10" s="153" t="s">
        <v>56</v>
      </c>
      <c r="O10" s="153" t="s">
        <v>56</v>
      </c>
      <c r="P10" s="153" t="s">
        <v>56</v>
      </c>
      <c r="Q10" s="153" t="s">
        <v>56</v>
      </c>
      <c r="R10" s="153" t="s">
        <v>56</v>
      </c>
      <c r="S10" s="157" t="s">
        <v>56</v>
      </c>
      <c r="T10" s="155" t="s">
        <v>56</v>
      </c>
      <c r="U10" s="153" t="s">
        <v>56</v>
      </c>
      <c r="V10" s="153" t="s">
        <v>56</v>
      </c>
      <c r="W10" s="153" t="s">
        <v>56</v>
      </c>
      <c r="X10" s="153" t="s">
        <v>56</v>
      </c>
      <c r="Y10" s="153" t="s">
        <v>56</v>
      </c>
      <c r="Z10" s="153" t="s">
        <v>56</v>
      </c>
      <c r="AA10" s="153" t="s">
        <v>56</v>
      </c>
      <c r="AB10" s="153" t="s">
        <v>56</v>
      </c>
      <c r="AC10" s="153" t="s">
        <v>56</v>
      </c>
      <c r="AD10" s="158" t="s">
        <v>56</v>
      </c>
    </row>
    <row r="11" spans="1:30" x14ac:dyDescent="0.25">
      <c r="A11" s="118" t="s">
        <v>5</v>
      </c>
      <c r="B11">
        <v>18.731055000000001</v>
      </c>
      <c r="C11">
        <v>51.033110000000001</v>
      </c>
      <c r="D11">
        <v>12.7277355</v>
      </c>
      <c r="E11">
        <v>59.886800000000001</v>
      </c>
      <c r="F11">
        <v>4.3339999999999996</v>
      </c>
      <c r="G11">
        <v>0.15942780000000001</v>
      </c>
      <c r="H11">
        <v>2.0716000000000001</v>
      </c>
      <c r="I11" s="12">
        <f t="shared" si="0"/>
        <v>148.9437283</v>
      </c>
      <c r="J11" s="147">
        <v>301.89999999999998</v>
      </c>
      <c r="K11" s="122">
        <f t="shared" ref="K11:K17" si="3">B11*$K$39</f>
        <v>561.93164999999999</v>
      </c>
      <c r="L11" s="3">
        <f t="shared" ref="L11:L17" si="4">C11*$L$39</f>
        <v>3061.9866000000002</v>
      </c>
      <c r="M11" s="3">
        <f t="shared" ref="M11:M17" si="5">D11*$M$39</f>
        <v>381.832065</v>
      </c>
      <c r="N11" s="3">
        <f t="shared" ref="N11:N17" si="6">E11*$N$39</f>
        <v>1197.7360000000001</v>
      </c>
      <c r="O11" s="3">
        <f t="shared" ref="O11:O17" si="7">F11*$O$39</f>
        <v>173.35999999999999</v>
      </c>
      <c r="P11" s="3">
        <f t="shared" ref="P11:P17" si="8">G11*$P$39</f>
        <v>124.353684</v>
      </c>
      <c r="Q11" s="3">
        <f t="shared" ref="Q11:Q17" si="9">H11*$Q$39</f>
        <v>10.358000000000001</v>
      </c>
      <c r="R11" s="12">
        <f t="shared" si="1"/>
        <v>5511.5579989999997</v>
      </c>
      <c r="S11" s="149">
        <f t="shared" ref="S11:S17" si="10">R11/I11</f>
        <v>37.004297273254167</v>
      </c>
      <c r="T11" s="129">
        <f>J11/S11</f>
        <v>8.1585119093237353</v>
      </c>
      <c r="U11" s="136">
        <f t="shared" ref="U11:U17" si="11">$U$39*$T11</f>
        <v>66.083946465522274</v>
      </c>
      <c r="V11" s="139">
        <f t="shared" ref="V11:V17" si="12">$V$39*$T11</f>
        <v>178.67141081418978</v>
      </c>
      <c r="W11" s="9">
        <f t="shared" ref="W11:W17" si="13">$W$39*$T11</f>
        <v>489.51071455942412</v>
      </c>
      <c r="X11" s="9">
        <f t="shared" ref="X11:X17" si="14">$X$39*$T11</f>
        <v>244.75535727971206</v>
      </c>
      <c r="Y11" s="9">
        <f t="shared" ref="Y11:Y17" si="15">$Y$39*$T11</f>
        <v>163.17023818647471</v>
      </c>
      <c r="Z11" s="9">
        <f t="shared" ref="Z11:Z17" si="16">$Z$39*$T11</f>
        <v>326.34047637294941</v>
      </c>
      <c r="AA11" s="9">
        <f t="shared" ref="AA11:AA17" si="17">$AA$39*$T11</f>
        <v>6363.6392892725135</v>
      </c>
      <c r="AB11" s="9">
        <f t="shared" ref="AB11:AB17" si="18">$AB$39*$T11</f>
        <v>40.792559546618676</v>
      </c>
      <c r="AC11" s="3">
        <f t="shared" ref="AC11:AC17" si="19">$AC$39*$T11</f>
        <v>3.1150681835599716</v>
      </c>
      <c r="AD11" s="137">
        <f t="shared" ref="AD11:AD17" si="20">$AD$39*$T11</f>
        <v>13.461544650384162</v>
      </c>
    </row>
    <row r="12" spans="1:30" x14ac:dyDescent="0.25">
      <c r="A12" s="118" t="s">
        <v>6</v>
      </c>
      <c r="B12">
        <v>283.85251</v>
      </c>
      <c r="C12">
        <v>197.56820999999999</v>
      </c>
      <c r="D12">
        <v>111.517405</v>
      </c>
      <c r="E12">
        <v>17.044370000000001</v>
      </c>
      <c r="F12">
        <v>20.8</v>
      </c>
      <c r="G12">
        <v>10.212999999999999</v>
      </c>
      <c r="H12">
        <v>31.789200000000001</v>
      </c>
      <c r="I12" s="12">
        <f t="shared" si="0"/>
        <v>672.78469499999983</v>
      </c>
      <c r="J12" s="147">
        <v>79.8</v>
      </c>
      <c r="K12" s="122">
        <f t="shared" si="3"/>
        <v>8515.5753000000004</v>
      </c>
      <c r="L12" s="3">
        <f t="shared" si="4"/>
        <v>11854.0926</v>
      </c>
      <c r="M12" s="3">
        <f t="shared" si="5"/>
        <v>3345.5221499999998</v>
      </c>
      <c r="N12" s="3">
        <f t="shared" si="6"/>
        <v>340.88740000000001</v>
      </c>
      <c r="O12" s="3">
        <f t="shared" si="7"/>
        <v>832</v>
      </c>
      <c r="P12" s="3">
        <f t="shared" si="8"/>
        <v>7966.1399999999994</v>
      </c>
      <c r="Q12" s="3">
        <f t="shared" si="9"/>
        <v>158.946</v>
      </c>
      <c r="R12" s="12">
        <f t="shared" si="1"/>
        <v>33013.16345</v>
      </c>
      <c r="S12" s="149">
        <f t="shared" si="10"/>
        <v>49.069432903791025</v>
      </c>
      <c r="T12" s="129">
        <f t="shared" ref="T12:T17" si="21">J12/S12</f>
        <v>1.6262670114093529</v>
      </c>
      <c r="U12" s="136">
        <f t="shared" si="11"/>
        <v>13.17276279241576</v>
      </c>
      <c r="V12" s="139">
        <f t="shared" si="12"/>
        <v>35.615247549864826</v>
      </c>
      <c r="W12" s="9">
        <f t="shared" si="13"/>
        <v>97.576020684561172</v>
      </c>
      <c r="X12" s="9">
        <f t="shared" si="14"/>
        <v>48.788010342280586</v>
      </c>
      <c r="Y12" s="9">
        <f t="shared" si="15"/>
        <v>32.525340228187062</v>
      </c>
      <c r="Z12" s="9">
        <f t="shared" si="16"/>
        <v>65.050680456374124</v>
      </c>
      <c r="AA12" s="9">
        <f t="shared" si="17"/>
        <v>1268.4882688992952</v>
      </c>
      <c r="AB12" s="9">
        <f t="shared" si="18"/>
        <v>8.1313350570467655</v>
      </c>
      <c r="AC12" s="3">
        <f t="shared" si="19"/>
        <v>0.62093831344720751</v>
      </c>
      <c r="AD12" s="137">
        <f t="shared" si="20"/>
        <v>2.6833405688254324</v>
      </c>
    </row>
    <row r="13" spans="1:30" x14ac:dyDescent="0.25">
      <c r="A13" s="118" t="s">
        <v>7</v>
      </c>
      <c r="B13">
        <v>409.94621000000001</v>
      </c>
      <c r="C13">
        <v>1807.7919449999999</v>
      </c>
      <c r="D13">
        <v>104.816436</v>
      </c>
      <c r="E13">
        <v>1.68252</v>
      </c>
      <c r="F13">
        <v>34.1</v>
      </c>
      <c r="G13">
        <v>0</v>
      </c>
      <c r="H13">
        <v>66</v>
      </c>
      <c r="I13" s="12">
        <f t="shared" si="0"/>
        <v>2424.3371109999998</v>
      </c>
      <c r="J13" s="147">
        <v>43.7</v>
      </c>
      <c r="K13" s="122">
        <f t="shared" si="3"/>
        <v>12298.3863</v>
      </c>
      <c r="L13" s="3">
        <f t="shared" si="4"/>
        <v>108467.51669999999</v>
      </c>
      <c r="M13" s="3">
        <f t="shared" si="5"/>
        <v>3144.4930799999997</v>
      </c>
      <c r="N13" s="3">
        <f t="shared" si="6"/>
        <v>33.650399999999998</v>
      </c>
      <c r="O13" s="3">
        <f t="shared" si="7"/>
        <v>1364</v>
      </c>
      <c r="P13" s="3">
        <f t="shared" si="8"/>
        <v>0</v>
      </c>
      <c r="Q13" s="3">
        <f t="shared" si="9"/>
        <v>330</v>
      </c>
      <c r="R13" s="12">
        <f t="shared" si="1"/>
        <v>125638.04647999999</v>
      </c>
      <c r="S13" s="149">
        <f t="shared" si="10"/>
        <v>51.823670029196691</v>
      </c>
      <c r="T13" s="129">
        <f t="shared" si="21"/>
        <v>0.84324402296055201</v>
      </c>
      <c r="U13" s="136">
        <f t="shared" si="11"/>
        <v>6.8302765859804726</v>
      </c>
      <c r="V13" s="139">
        <f t="shared" si="12"/>
        <v>18.467044102836088</v>
      </c>
      <c r="W13" s="9">
        <f t="shared" si="13"/>
        <v>50.594641377633124</v>
      </c>
      <c r="X13" s="9">
        <f t="shared" si="14"/>
        <v>25.297320688816562</v>
      </c>
      <c r="Y13" s="9">
        <f t="shared" si="15"/>
        <v>16.86488045921104</v>
      </c>
      <c r="Z13" s="9">
        <f t="shared" si="16"/>
        <v>33.72976091842208</v>
      </c>
      <c r="AA13" s="9">
        <f t="shared" si="17"/>
        <v>657.73033790923057</v>
      </c>
      <c r="AB13" s="9">
        <f t="shared" si="18"/>
        <v>4.21622011480276</v>
      </c>
      <c r="AC13" s="3">
        <f t="shared" si="19"/>
        <v>0.32196589967584716</v>
      </c>
      <c r="AD13" s="137">
        <f t="shared" si="20"/>
        <v>1.3913526378849108</v>
      </c>
    </row>
    <row r="14" spans="1:30" x14ac:dyDescent="0.25">
      <c r="A14" s="118" t="s">
        <v>8</v>
      </c>
      <c r="B14">
        <v>61.373208599999998</v>
      </c>
      <c r="C14">
        <v>42.57705</v>
      </c>
      <c r="D14">
        <v>2.226709</v>
      </c>
      <c r="E14">
        <v>6.1765699999999999</v>
      </c>
      <c r="F14">
        <v>0.42</v>
      </c>
      <c r="G14">
        <v>0</v>
      </c>
      <c r="H14">
        <v>4.04</v>
      </c>
      <c r="I14" s="12">
        <f t="shared" si="0"/>
        <v>116.8135376</v>
      </c>
      <c r="J14" s="147">
        <v>62.7</v>
      </c>
      <c r="K14" s="122">
        <f t="shared" si="3"/>
        <v>1841.1962579999999</v>
      </c>
      <c r="L14" s="3">
        <f t="shared" si="4"/>
        <v>2554.623</v>
      </c>
      <c r="M14" s="3">
        <f t="shared" si="5"/>
        <v>66.801270000000002</v>
      </c>
      <c r="N14" s="3">
        <f t="shared" si="6"/>
        <v>123.53139999999999</v>
      </c>
      <c r="O14" s="3">
        <f t="shared" si="7"/>
        <v>16.8</v>
      </c>
      <c r="P14" s="3">
        <f t="shared" si="8"/>
        <v>0</v>
      </c>
      <c r="Q14" s="3">
        <f t="shared" si="9"/>
        <v>20.2</v>
      </c>
      <c r="R14" s="12">
        <f t="shared" si="1"/>
        <v>4623.1519279999993</v>
      </c>
      <c r="S14" s="149">
        <f t="shared" si="10"/>
        <v>39.577193046159394</v>
      </c>
      <c r="T14" s="129">
        <f t="shared" si="21"/>
        <v>1.5842457530242779</v>
      </c>
      <c r="U14" s="136">
        <f t="shared" si="11"/>
        <v>12.832390599496653</v>
      </c>
      <c r="V14" s="139">
        <f t="shared" si="12"/>
        <v>34.694981991231685</v>
      </c>
      <c r="W14" s="9">
        <f t="shared" si="13"/>
        <v>95.054745181456681</v>
      </c>
      <c r="X14" s="9">
        <f t="shared" si="14"/>
        <v>47.527372590728341</v>
      </c>
      <c r="Y14" s="9">
        <f t="shared" si="15"/>
        <v>31.684915060485558</v>
      </c>
      <c r="Z14" s="9">
        <f t="shared" si="16"/>
        <v>63.369830120971116</v>
      </c>
      <c r="AA14" s="9">
        <f t="shared" si="17"/>
        <v>1235.7116873589368</v>
      </c>
      <c r="AB14" s="9">
        <f t="shared" si="18"/>
        <v>7.9212287651213895</v>
      </c>
      <c r="AC14" s="3">
        <f t="shared" si="19"/>
        <v>0.60489383297290611</v>
      </c>
      <c r="AD14" s="137">
        <f t="shared" si="20"/>
        <v>2.6140054924900586</v>
      </c>
    </row>
    <row r="15" spans="1:30" x14ac:dyDescent="0.25">
      <c r="A15" s="118" t="s">
        <v>9</v>
      </c>
      <c r="B15">
        <v>222.16832500000001</v>
      </c>
      <c r="C15">
        <v>170.602645</v>
      </c>
      <c r="D15">
        <v>65.295148999999995</v>
      </c>
      <c r="E15">
        <v>10.652699999999999</v>
      </c>
      <c r="F15">
        <v>12.7</v>
      </c>
      <c r="G15">
        <v>0</v>
      </c>
      <c r="H15">
        <v>29.64</v>
      </c>
      <c r="I15" s="12">
        <f t="shared" si="0"/>
        <v>511.05881899999997</v>
      </c>
      <c r="J15" s="147">
        <v>21.3</v>
      </c>
      <c r="K15" s="122">
        <f t="shared" si="3"/>
        <v>6665.0497500000001</v>
      </c>
      <c r="L15" s="3">
        <f t="shared" si="4"/>
        <v>10236.1587</v>
      </c>
      <c r="M15" s="3">
        <f t="shared" si="5"/>
        <v>1958.8544699999998</v>
      </c>
      <c r="N15" s="3">
        <f t="shared" si="6"/>
        <v>213.05399999999997</v>
      </c>
      <c r="O15" s="3">
        <f t="shared" si="7"/>
        <v>508</v>
      </c>
      <c r="P15" s="3">
        <f t="shared" si="8"/>
        <v>0</v>
      </c>
      <c r="Q15" s="3">
        <f t="shared" si="9"/>
        <v>148.19999999999999</v>
      </c>
      <c r="R15" s="12">
        <f t="shared" si="1"/>
        <v>19729.316919999997</v>
      </c>
      <c r="S15" s="149">
        <f t="shared" si="10"/>
        <v>38.604787133122535</v>
      </c>
      <c r="T15" s="129">
        <f t="shared" si="21"/>
        <v>0.55174504463786578</v>
      </c>
      <c r="U15" s="136">
        <f t="shared" si="11"/>
        <v>4.4691348615667135</v>
      </c>
      <c r="V15" s="139">
        <f t="shared" si="12"/>
        <v>12.083216477569259</v>
      </c>
      <c r="W15" s="9">
        <f t="shared" si="13"/>
        <v>33.104702678271948</v>
      </c>
      <c r="X15" s="9">
        <f t="shared" si="14"/>
        <v>16.552351339135974</v>
      </c>
      <c r="Y15" s="9">
        <f t="shared" si="15"/>
        <v>11.034900892757316</v>
      </c>
      <c r="Z15" s="9">
        <f t="shared" si="16"/>
        <v>22.069801785514631</v>
      </c>
      <c r="AA15" s="9">
        <f t="shared" si="17"/>
        <v>430.36113481753529</v>
      </c>
      <c r="AB15" s="9">
        <f t="shared" si="18"/>
        <v>2.7587252231893289</v>
      </c>
      <c r="AC15" s="3">
        <f t="shared" si="19"/>
        <v>0.2106662897708215</v>
      </c>
      <c r="AD15" s="137">
        <f t="shared" si="20"/>
        <v>0.91037932365247853</v>
      </c>
    </row>
    <row r="16" spans="1:30" x14ac:dyDescent="0.25">
      <c r="A16" s="118" t="s">
        <v>10</v>
      </c>
      <c r="B16">
        <v>3266.6536999999998</v>
      </c>
      <c r="C16">
        <v>1854.94695</v>
      </c>
      <c r="D16">
        <v>1146.1467789999999</v>
      </c>
      <c r="E16">
        <v>665.31358</v>
      </c>
      <c r="F16">
        <v>234</v>
      </c>
      <c r="G16">
        <v>52.091200000000001</v>
      </c>
      <c r="H16">
        <v>310.31119999999999</v>
      </c>
      <c r="I16" s="12">
        <f t="shared" si="0"/>
        <v>7529.463409</v>
      </c>
      <c r="J16" s="147">
        <v>101.1</v>
      </c>
      <c r="K16" s="122">
        <f t="shared" si="3"/>
        <v>97999.61099999999</v>
      </c>
      <c r="L16" s="3">
        <f t="shared" si="4"/>
        <v>111296.817</v>
      </c>
      <c r="M16" s="3">
        <f t="shared" si="5"/>
        <v>34384.40337</v>
      </c>
      <c r="N16" s="3">
        <f t="shared" si="6"/>
        <v>13306.2716</v>
      </c>
      <c r="O16" s="3">
        <f t="shared" si="7"/>
        <v>9360</v>
      </c>
      <c r="P16" s="3">
        <f t="shared" si="8"/>
        <v>40631.135999999999</v>
      </c>
      <c r="Q16" s="3">
        <f t="shared" si="9"/>
        <v>1551.556</v>
      </c>
      <c r="R16" s="12">
        <f t="shared" si="1"/>
        <v>308529.79496999999</v>
      </c>
      <c r="S16" s="149">
        <f t="shared" si="10"/>
        <v>40.976332337469493</v>
      </c>
      <c r="T16" s="129">
        <f t="shared" si="21"/>
        <v>2.4672779195406989</v>
      </c>
      <c r="U16" s="136">
        <f t="shared" si="11"/>
        <v>19.984951148279663</v>
      </c>
      <c r="V16" s="139">
        <f t="shared" si="12"/>
        <v>54.033386437941303</v>
      </c>
      <c r="W16" s="9">
        <f t="shared" si="13"/>
        <v>148.03667517244193</v>
      </c>
      <c r="X16" s="9">
        <f t="shared" si="14"/>
        <v>74.018337586220966</v>
      </c>
      <c r="Y16" s="9">
        <f t="shared" si="15"/>
        <v>49.345558390813977</v>
      </c>
      <c r="Z16" s="9">
        <f t="shared" si="16"/>
        <v>98.691116781627954</v>
      </c>
      <c r="AA16" s="9">
        <f t="shared" si="17"/>
        <v>1924.4767772417451</v>
      </c>
      <c r="AB16" s="9">
        <f t="shared" si="18"/>
        <v>12.336389597703494</v>
      </c>
      <c r="AC16" s="3">
        <f t="shared" si="19"/>
        <v>0.94205156927917599</v>
      </c>
      <c r="AD16" s="137">
        <f t="shared" si="20"/>
        <v>4.0710085672421528</v>
      </c>
    </row>
    <row r="17" spans="1:30" x14ac:dyDescent="0.25">
      <c r="A17" s="118" t="s">
        <v>11</v>
      </c>
      <c r="B17">
        <v>3128.8053749999999</v>
      </c>
      <c r="C17">
        <v>3957.44902</v>
      </c>
      <c r="D17">
        <v>903.27427599999999</v>
      </c>
      <c r="E17">
        <v>144.09880000000001</v>
      </c>
      <c r="F17">
        <v>19.600000000000001</v>
      </c>
      <c r="G17">
        <v>0</v>
      </c>
      <c r="H17">
        <v>184.7116</v>
      </c>
      <c r="I17" s="12">
        <f t="shared" si="0"/>
        <v>8337.9390710000007</v>
      </c>
      <c r="J17" s="147">
        <v>204.8</v>
      </c>
      <c r="K17" s="122">
        <f t="shared" si="3"/>
        <v>93864.161250000005</v>
      </c>
      <c r="L17" s="3">
        <f t="shared" si="4"/>
        <v>237446.9412</v>
      </c>
      <c r="M17" s="3">
        <f t="shared" si="5"/>
        <v>27098.228279999999</v>
      </c>
      <c r="N17" s="3">
        <f t="shared" si="6"/>
        <v>2881.9760000000001</v>
      </c>
      <c r="O17" s="3">
        <f t="shared" si="7"/>
        <v>784</v>
      </c>
      <c r="P17" s="3">
        <f t="shared" si="8"/>
        <v>0</v>
      </c>
      <c r="Q17" s="3">
        <f t="shared" si="9"/>
        <v>923.55799999999999</v>
      </c>
      <c r="R17" s="12">
        <f t="shared" si="1"/>
        <v>362998.86473000003</v>
      </c>
      <c r="S17" s="149">
        <f t="shared" si="10"/>
        <v>43.535802029609243</v>
      </c>
      <c r="T17" s="129">
        <f t="shared" si="21"/>
        <v>4.7041742761673015</v>
      </c>
      <c r="U17" s="136">
        <f t="shared" si="11"/>
        <v>38.10381163695515</v>
      </c>
      <c r="V17" s="139">
        <f t="shared" si="12"/>
        <v>103.02141664806389</v>
      </c>
      <c r="W17" s="9">
        <f t="shared" si="13"/>
        <v>282.25045657003807</v>
      </c>
      <c r="X17" s="9">
        <f t="shared" si="14"/>
        <v>141.12522828501903</v>
      </c>
      <c r="Y17" s="9">
        <f t="shared" si="15"/>
        <v>94.083485523346027</v>
      </c>
      <c r="Z17" s="9">
        <f t="shared" si="16"/>
        <v>188.16697104669205</v>
      </c>
      <c r="AA17" s="9">
        <f t="shared" si="17"/>
        <v>3669.2559354104951</v>
      </c>
      <c r="AB17" s="9">
        <f t="shared" si="18"/>
        <v>23.520871380836507</v>
      </c>
      <c r="AC17" s="3">
        <f t="shared" si="19"/>
        <v>1.7961392690820606</v>
      </c>
      <c r="AD17" s="137">
        <f t="shared" si="20"/>
        <v>7.7618875556760472</v>
      </c>
    </row>
    <row r="18" spans="1:30" x14ac:dyDescent="0.25">
      <c r="A18" s="118" t="s">
        <v>12</v>
      </c>
      <c r="B18" s="153" t="s">
        <v>56</v>
      </c>
      <c r="C18" s="153" t="s">
        <v>56</v>
      </c>
      <c r="D18" s="153" t="s">
        <v>56</v>
      </c>
      <c r="E18" s="153" t="s">
        <v>56</v>
      </c>
      <c r="F18" s="153" t="s">
        <v>56</v>
      </c>
      <c r="G18" s="153" t="s">
        <v>56</v>
      </c>
      <c r="H18" s="153" t="s">
        <v>56</v>
      </c>
      <c r="I18" s="153" t="s">
        <v>56</v>
      </c>
      <c r="J18" s="157" t="s">
        <v>56</v>
      </c>
      <c r="K18" s="153" t="s">
        <v>56</v>
      </c>
      <c r="L18" s="153" t="s">
        <v>56</v>
      </c>
      <c r="M18" s="153" t="s">
        <v>56</v>
      </c>
      <c r="N18" s="153" t="s">
        <v>56</v>
      </c>
      <c r="O18" s="153" t="s">
        <v>56</v>
      </c>
      <c r="P18" s="153" t="s">
        <v>56</v>
      </c>
      <c r="Q18" s="153" t="s">
        <v>56</v>
      </c>
      <c r="R18" s="153" t="s">
        <v>56</v>
      </c>
      <c r="S18" s="157" t="s">
        <v>56</v>
      </c>
      <c r="T18" s="155" t="s">
        <v>56</v>
      </c>
      <c r="U18" s="153" t="s">
        <v>56</v>
      </c>
      <c r="V18" s="153" t="s">
        <v>56</v>
      </c>
      <c r="W18" s="153" t="s">
        <v>56</v>
      </c>
      <c r="X18" s="153" t="s">
        <v>56</v>
      </c>
      <c r="Y18" s="153" t="s">
        <v>56</v>
      </c>
      <c r="Z18" s="153" t="s">
        <v>56</v>
      </c>
      <c r="AA18" s="153" t="s">
        <v>56</v>
      </c>
      <c r="AB18" s="153" t="s">
        <v>56</v>
      </c>
      <c r="AC18" s="153" t="s">
        <v>56</v>
      </c>
      <c r="AD18" s="158" t="s">
        <v>56</v>
      </c>
    </row>
    <row r="19" spans="1:30" x14ac:dyDescent="0.25">
      <c r="A19" s="118" t="s">
        <v>13</v>
      </c>
      <c r="B19">
        <v>144.19903500000001</v>
      </c>
      <c r="C19">
        <v>276.92767500000002</v>
      </c>
      <c r="D19">
        <v>179.51935750000001</v>
      </c>
      <c r="E19">
        <v>95.815079999999995</v>
      </c>
      <c r="F19">
        <v>1.9111E-2</v>
      </c>
      <c r="G19">
        <v>1.09522E-2</v>
      </c>
      <c r="H19">
        <v>30.52</v>
      </c>
      <c r="I19" s="12">
        <f t="shared" si="0"/>
        <v>727.01121069999999</v>
      </c>
      <c r="J19" s="147">
        <v>245.7</v>
      </c>
      <c r="K19" s="122">
        <f t="shared" ref="K19:K25" si="22">B19*$K$39</f>
        <v>4325.9710500000001</v>
      </c>
      <c r="L19" s="3">
        <f t="shared" ref="L19:L25" si="23">C19*$L$39</f>
        <v>16615.660500000002</v>
      </c>
      <c r="M19" s="3">
        <f t="shared" ref="M19:M25" si="24">D19*$M$39</f>
        <v>5385.5807250000007</v>
      </c>
      <c r="N19" s="3">
        <f t="shared" ref="N19:N25" si="25">E19*$N$39</f>
        <v>1916.3015999999998</v>
      </c>
      <c r="O19" s="3">
        <f t="shared" ref="O19:O25" si="26">F19*$O$39</f>
        <v>0.76444000000000001</v>
      </c>
      <c r="P19" s="3">
        <f t="shared" ref="P19:P25" si="27">G19*$P$39</f>
        <v>8.5427160000000004</v>
      </c>
      <c r="Q19" s="3">
        <f t="shared" ref="Q19:Q25" si="28">H19*$Q$39</f>
        <v>152.6</v>
      </c>
      <c r="R19" s="12">
        <f t="shared" si="1"/>
        <v>28405.421030999998</v>
      </c>
      <c r="S19" s="149">
        <f t="shared" ref="S19:S25" si="29">R19/I19</f>
        <v>39.071503455428072</v>
      </c>
      <c r="T19" s="129">
        <f>J19/S19</f>
        <v>6.2884705801067842</v>
      </c>
      <c r="U19" s="136">
        <f t="shared" ref="U19:U25" si="30">$U$39*$T19</f>
        <v>50.936611698864958</v>
      </c>
      <c r="V19" s="139">
        <f t="shared" ref="V19:V25" si="31">$V$39*$T19</f>
        <v>137.71750570433858</v>
      </c>
      <c r="W19" s="9">
        <f t="shared" ref="W19:W25" si="32">$W$39*$T19</f>
        <v>377.30823480640703</v>
      </c>
      <c r="X19" s="9">
        <f t="shared" ref="X19:X25" si="33">$X$39*$T19</f>
        <v>188.65411740320351</v>
      </c>
      <c r="Y19" s="9">
        <f t="shared" ref="Y19:Y25" si="34">$Y$39*$T19</f>
        <v>125.76941160213568</v>
      </c>
      <c r="Z19" s="9">
        <f t="shared" ref="Z19:Z25" si="35">$Z$39*$T19</f>
        <v>251.53882320427135</v>
      </c>
      <c r="AA19" s="9">
        <f t="shared" ref="AA19:AA25" si="36">$AA$39*$T19</f>
        <v>4905.0070524832918</v>
      </c>
      <c r="AB19" s="9">
        <f t="shared" ref="AB19:AB25" si="37">$AB$39*$T19</f>
        <v>31.442352900533919</v>
      </c>
      <c r="AC19" s="3">
        <f t="shared" ref="AC19:AC25" si="38">$AC$39*$T19</f>
        <v>2.4010524033134995</v>
      </c>
      <c r="AD19" s="137">
        <f t="shared" ref="AD19:AD25" si="39">$AD$39*$T19</f>
        <v>10.375976457176193</v>
      </c>
    </row>
    <row r="20" spans="1:30" x14ac:dyDescent="0.25">
      <c r="A20" s="118" t="s">
        <v>14</v>
      </c>
      <c r="B20">
        <v>19.047165</v>
      </c>
      <c r="C20">
        <v>5.6193049999999998</v>
      </c>
      <c r="D20">
        <v>5.2265664999999997</v>
      </c>
      <c r="E20">
        <v>47.444749999999999</v>
      </c>
      <c r="F20">
        <v>7.431</v>
      </c>
      <c r="G20">
        <v>0</v>
      </c>
      <c r="H20">
        <v>30.952000000000002</v>
      </c>
      <c r="I20" s="12">
        <f t="shared" si="0"/>
        <v>115.72078649999999</v>
      </c>
      <c r="J20" s="147">
        <v>5.4</v>
      </c>
      <c r="K20" s="122">
        <f t="shared" si="22"/>
        <v>571.41494999999998</v>
      </c>
      <c r="L20" s="3">
        <f t="shared" si="23"/>
        <v>337.1583</v>
      </c>
      <c r="M20" s="3">
        <f t="shared" si="24"/>
        <v>156.79699499999998</v>
      </c>
      <c r="N20" s="3">
        <f t="shared" si="25"/>
        <v>948.89499999999998</v>
      </c>
      <c r="O20" s="3">
        <f t="shared" si="26"/>
        <v>297.24</v>
      </c>
      <c r="P20" s="3">
        <f t="shared" si="27"/>
        <v>0</v>
      </c>
      <c r="Q20" s="3">
        <f t="shared" si="28"/>
        <v>154.76000000000002</v>
      </c>
      <c r="R20" s="12">
        <f t="shared" si="1"/>
        <v>2466.265245</v>
      </c>
      <c r="S20" s="149">
        <f t="shared" si="29"/>
        <v>21.312206040009936</v>
      </c>
      <c r="T20" s="129">
        <f t="shared" ref="T20:T25" si="40">J20/S20</f>
        <v>0.25337592879228199</v>
      </c>
      <c r="U20" s="136">
        <f t="shared" si="30"/>
        <v>2.0523450232174847</v>
      </c>
      <c r="V20" s="139">
        <f t="shared" si="31"/>
        <v>5.5489328405509752</v>
      </c>
      <c r="W20" s="9">
        <f t="shared" si="32"/>
        <v>15.20255572753692</v>
      </c>
      <c r="X20" s="9">
        <f t="shared" si="33"/>
        <v>7.6012778637684599</v>
      </c>
      <c r="Y20" s="9">
        <f t="shared" si="34"/>
        <v>5.0675185758456394</v>
      </c>
      <c r="Z20" s="9">
        <f t="shared" si="35"/>
        <v>10.135037151691279</v>
      </c>
      <c r="AA20" s="9">
        <f t="shared" si="36"/>
        <v>197.63322445797996</v>
      </c>
      <c r="AB20" s="9">
        <f t="shared" si="37"/>
        <v>1.2668796439614098</v>
      </c>
      <c r="AC20" s="3">
        <f t="shared" si="38"/>
        <v>9.6743536447962214E-2</v>
      </c>
      <c r="AD20" s="137">
        <f t="shared" si="39"/>
        <v>0.41807028250726525</v>
      </c>
    </row>
    <row r="21" spans="1:30" x14ac:dyDescent="0.25">
      <c r="A21" s="118" t="s">
        <v>15</v>
      </c>
      <c r="B21">
        <v>1006.603945</v>
      </c>
      <c r="C21">
        <v>266.85612500000002</v>
      </c>
      <c r="D21">
        <v>83.367492999999996</v>
      </c>
      <c r="E21">
        <v>304.14332000000002</v>
      </c>
      <c r="F21">
        <v>36.142000000000003</v>
      </c>
      <c r="G21">
        <v>0</v>
      </c>
      <c r="H21">
        <v>28</v>
      </c>
      <c r="I21" s="12">
        <f t="shared" si="0"/>
        <v>1725.112883</v>
      </c>
      <c r="J21" s="147">
        <v>54.8</v>
      </c>
      <c r="K21" s="122">
        <f t="shared" si="22"/>
        <v>30198.118349999997</v>
      </c>
      <c r="L21" s="3">
        <f t="shared" si="23"/>
        <v>16011.3675</v>
      </c>
      <c r="M21" s="3">
        <f t="shared" si="24"/>
        <v>2501.0247899999999</v>
      </c>
      <c r="N21" s="3">
        <f t="shared" si="25"/>
        <v>6082.8664000000008</v>
      </c>
      <c r="O21" s="3">
        <f t="shared" si="26"/>
        <v>1445.68</v>
      </c>
      <c r="P21" s="3">
        <f t="shared" si="27"/>
        <v>0</v>
      </c>
      <c r="Q21" s="3">
        <f t="shared" si="28"/>
        <v>140</v>
      </c>
      <c r="R21" s="12">
        <f t="shared" si="1"/>
        <v>56379.05704</v>
      </c>
      <c r="S21" s="149">
        <f t="shared" si="29"/>
        <v>32.681372677453943</v>
      </c>
      <c r="T21" s="129">
        <f t="shared" si="40"/>
        <v>1.6767961536023588</v>
      </c>
      <c r="U21" s="136">
        <f t="shared" si="30"/>
        <v>13.582048844179109</v>
      </c>
      <c r="V21" s="139">
        <f t="shared" si="31"/>
        <v>36.721835763891654</v>
      </c>
      <c r="W21" s="9">
        <f t="shared" si="32"/>
        <v>100.60776921614152</v>
      </c>
      <c r="X21" s="9">
        <f t="shared" si="33"/>
        <v>50.30388460807076</v>
      </c>
      <c r="Y21" s="9">
        <f t="shared" si="34"/>
        <v>33.535923072047176</v>
      </c>
      <c r="Z21" s="9">
        <f t="shared" si="35"/>
        <v>67.071846144094351</v>
      </c>
      <c r="AA21" s="9">
        <f t="shared" si="36"/>
        <v>1307.90099980984</v>
      </c>
      <c r="AB21" s="9">
        <f t="shared" si="37"/>
        <v>8.3839807680117939</v>
      </c>
      <c r="AC21" s="3">
        <f t="shared" si="38"/>
        <v>0.64023125864817343</v>
      </c>
      <c r="AD21" s="137">
        <f t="shared" si="39"/>
        <v>2.7667136534438916</v>
      </c>
    </row>
    <row r="22" spans="1:30" x14ac:dyDescent="0.25">
      <c r="A22" s="118" t="s">
        <v>16</v>
      </c>
      <c r="B22">
        <v>1745.9871000000001</v>
      </c>
      <c r="C22">
        <v>991.231315</v>
      </c>
      <c r="D22">
        <v>714.86931700000002</v>
      </c>
      <c r="E22">
        <v>610.60537999999997</v>
      </c>
      <c r="F22">
        <v>194.8</v>
      </c>
      <c r="G22">
        <v>32.699800000000003</v>
      </c>
      <c r="H22">
        <v>209.67</v>
      </c>
      <c r="I22" s="12">
        <f t="shared" si="0"/>
        <v>4499.8629120000005</v>
      </c>
      <c r="J22" s="147">
        <v>340.9</v>
      </c>
      <c r="K22" s="122">
        <f t="shared" si="22"/>
        <v>52379.613000000005</v>
      </c>
      <c r="L22" s="3">
        <f t="shared" si="23"/>
        <v>59473.878899999996</v>
      </c>
      <c r="M22" s="3">
        <f t="shared" si="24"/>
        <v>21446.07951</v>
      </c>
      <c r="N22" s="3">
        <f t="shared" si="25"/>
        <v>12212.107599999999</v>
      </c>
      <c r="O22" s="3">
        <f t="shared" si="26"/>
        <v>7792</v>
      </c>
      <c r="P22" s="3">
        <f t="shared" si="27"/>
        <v>25505.844000000001</v>
      </c>
      <c r="Q22" s="3">
        <f t="shared" si="28"/>
        <v>1048.3499999999999</v>
      </c>
      <c r="R22" s="12">
        <f t="shared" si="1"/>
        <v>179857.87301000001</v>
      </c>
      <c r="S22" s="149">
        <f t="shared" si="29"/>
        <v>39.969633859370333</v>
      </c>
      <c r="T22" s="129">
        <f t="shared" si="40"/>
        <v>8.5289748012060063</v>
      </c>
      <c r="U22" s="136">
        <f t="shared" si="30"/>
        <v>69.084695889768668</v>
      </c>
      <c r="V22" s="139">
        <f t="shared" si="31"/>
        <v>186.78454814641154</v>
      </c>
      <c r="W22" s="9">
        <f t="shared" si="32"/>
        <v>511.73848807236038</v>
      </c>
      <c r="X22" s="9">
        <f t="shared" si="33"/>
        <v>255.86924403618019</v>
      </c>
      <c r="Y22" s="9">
        <f t="shared" si="34"/>
        <v>170.57949602412012</v>
      </c>
      <c r="Z22" s="9">
        <f t="shared" si="35"/>
        <v>341.15899204824024</v>
      </c>
      <c r="AA22" s="9">
        <f t="shared" si="36"/>
        <v>6652.6003449406853</v>
      </c>
      <c r="AB22" s="9">
        <f t="shared" si="37"/>
        <v>42.64487400603003</v>
      </c>
      <c r="AC22" s="3">
        <f t="shared" si="38"/>
        <v>3.2565176513695659</v>
      </c>
      <c r="AD22" s="137">
        <f t="shared" si="39"/>
        <v>14.07280842198991</v>
      </c>
    </row>
    <row r="23" spans="1:30" x14ac:dyDescent="0.25">
      <c r="A23" s="118" t="s">
        <v>17</v>
      </c>
      <c r="B23">
        <v>109.26251499999999</v>
      </c>
      <c r="C23">
        <v>32.509174999999999</v>
      </c>
      <c r="D23">
        <v>15.270731</v>
      </c>
      <c r="E23">
        <v>0.27622000000000002</v>
      </c>
      <c r="F23">
        <v>0</v>
      </c>
      <c r="G23">
        <v>0</v>
      </c>
      <c r="H23">
        <v>4.5903999999999998</v>
      </c>
      <c r="I23" s="12">
        <f t="shared" si="0"/>
        <v>161.90904099999997</v>
      </c>
      <c r="J23" s="147">
        <v>41.5</v>
      </c>
      <c r="K23" s="122">
        <f t="shared" si="22"/>
        <v>3277.87545</v>
      </c>
      <c r="L23" s="3">
        <f t="shared" si="23"/>
        <v>1950.5504999999998</v>
      </c>
      <c r="M23" s="3">
        <f t="shared" si="24"/>
        <v>458.12192999999996</v>
      </c>
      <c r="N23" s="3">
        <f t="shared" si="25"/>
        <v>5.5244</v>
      </c>
      <c r="O23" s="3">
        <f t="shared" si="26"/>
        <v>0</v>
      </c>
      <c r="P23" s="3">
        <f t="shared" si="27"/>
        <v>0</v>
      </c>
      <c r="Q23" s="3">
        <f t="shared" si="28"/>
        <v>22.951999999999998</v>
      </c>
      <c r="R23" s="12">
        <f t="shared" si="1"/>
        <v>5715.0242800000005</v>
      </c>
      <c r="S23" s="149">
        <f t="shared" si="29"/>
        <v>35.297746467413155</v>
      </c>
      <c r="T23" s="129">
        <f t="shared" si="40"/>
        <v>1.1757124506039716</v>
      </c>
      <c r="U23" s="136">
        <f t="shared" si="30"/>
        <v>9.523270849892171</v>
      </c>
      <c r="V23" s="139">
        <f t="shared" si="31"/>
        <v>25.748102668226977</v>
      </c>
      <c r="W23" s="9">
        <f t="shared" si="32"/>
        <v>70.542747036238296</v>
      </c>
      <c r="X23" s="9">
        <f t="shared" si="33"/>
        <v>35.271373518119148</v>
      </c>
      <c r="Y23" s="9">
        <f t="shared" si="34"/>
        <v>23.514249012079432</v>
      </c>
      <c r="Z23" s="9">
        <f t="shared" si="35"/>
        <v>47.028498024158864</v>
      </c>
      <c r="AA23" s="9">
        <f t="shared" si="36"/>
        <v>917.05571147109777</v>
      </c>
      <c r="AB23" s="9">
        <f t="shared" si="37"/>
        <v>5.878562253019858</v>
      </c>
      <c r="AC23" s="3">
        <f t="shared" si="38"/>
        <v>0.44890839023060736</v>
      </c>
      <c r="AD23" s="137">
        <f t="shared" si="39"/>
        <v>1.939925543496553</v>
      </c>
    </row>
    <row r="24" spans="1:30" x14ac:dyDescent="0.25">
      <c r="A24" s="118" t="s">
        <v>18</v>
      </c>
      <c r="B24">
        <v>206.12515500000001</v>
      </c>
      <c r="C24">
        <v>74.916794999999993</v>
      </c>
      <c r="D24">
        <v>45.244896500000003</v>
      </c>
      <c r="E24">
        <v>6.3024399999999998</v>
      </c>
      <c r="F24">
        <v>0</v>
      </c>
      <c r="G24">
        <v>0</v>
      </c>
      <c r="H24">
        <v>6.8175999999999997</v>
      </c>
      <c r="I24" s="12">
        <f>SUM(B24:H24)</f>
        <v>339.40688649999998</v>
      </c>
      <c r="J24" s="147">
        <v>39.1</v>
      </c>
      <c r="K24" s="122">
        <f t="shared" si="22"/>
        <v>6183.7546499999999</v>
      </c>
      <c r="L24" s="3">
        <f t="shared" si="23"/>
        <v>4495.0076999999992</v>
      </c>
      <c r="M24" s="3">
        <f t="shared" si="24"/>
        <v>1357.3468950000001</v>
      </c>
      <c r="N24" s="3">
        <f t="shared" si="25"/>
        <v>126.0488</v>
      </c>
      <c r="O24" s="3">
        <f t="shared" si="26"/>
        <v>0</v>
      </c>
      <c r="P24" s="3">
        <f t="shared" si="27"/>
        <v>0</v>
      </c>
      <c r="Q24" s="3">
        <f t="shared" si="28"/>
        <v>34.088000000000001</v>
      </c>
      <c r="R24" s="12">
        <f t="shared" si="1"/>
        <v>12196.246045</v>
      </c>
      <c r="S24" s="149">
        <f t="shared" si="29"/>
        <v>35.933997010988755</v>
      </c>
      <c r="T24" s="129">
        <f t="shared" si="40"/>
        <v>1.0881060625691896</v>
      </c>
      <c r="U24" s="136">
        <f t="shared" si="30"/>
        <v>8.8136591068104373</v>
      </c>
      <c r="V24" s="139">
        <f t="shared" si="31"/>
        <v>23.82952277026525</v>
      </c>
      <c r="W24" s="9">
        <f t="shared" si="32"/>
        <v>65.286363754151381</v>
      </c>
      <c r="X24" s="9">
        <f t="shared" si="33"/>
        <v>32.643181877075691</v>
      </c>
      <c r="Y24" s="9">
        <f t="shared" si="34"/>
        <v>21.762121251383792</v>
      </c>
      <c r="Z24" s="9">
        <f t="shared" si="35"/>
        <v>43.524242502767585</v>
      </c>
      <c r="AA24" s="9">
        <f t="shared" si="36"/>
        <v>848.72272880396793</v>
      </c>
      <c r="AB24" s="9">
        <f t="shared" si="37"/>
        <v>5.4405303128459481</v>
      </c>
      <c r="AC24" s="3">
        <f t="shared" si="38"/>
        <v>0.41545867843550877</v>
      </c>
      <c r="AD24" s="137">
        <f t="shared" si="39"/>
        <v>1.7953750032391629</v>
      </c>
    </row>
    <row r="25" spans="1:30" x14ac:dyDescent="0.25">
      <c r="A25" s="118" t="s">
        <v>19</v>
      </c>
      <c r="B25">
        <v>37.386870000000002</v>
      </c>
      <c r="C25">
        <v>11.090624999999999</v>
      </c>
      <c r="D25">
        <v>2.6179999999999998E-2</v>
      </c>
      <c r="E25">
        <v>3.9919999999999997E-2</v>
      </c>
      <c r="F25">
        <v>0</v>
      </c>
      <c r="G25">
        <v>0</v>
      </c>
      <c r="H25">
        <v>1.8375999999999999</v>
      </c>
      <c r="I25" s="12">
        <f t="shared" si="0"/>
        <v>50.381195000000005</v>
      </c>
      <c r="J25" s="147">
        <v>43.2</v>
      </c>
      <c r="K25" s="122">
        <f t="shared" si="22"/>
        <v>1121.6061</v>
      </c>
      <c r="L25" s="3">
        <f t="shared" si="23"/>
        <v>665.4375</v>
      </c>
      <c r="M25" s="3">
        <f t="shared" si="24"/>
        <v>0.78539999999999999</v>
      </c>
      <c r="N25" s="3">
        <f t="shared" si="25"/>
        <v>0.7984</v>
      </c>
      <c r="O25" s="3">
        <f t="shared" si="26"/>
        <v>0</v>
      </c>
      <c r="P25" s="3">
        <f t="shared" si="27"/>
        <v>0</v>
      </c>
      <c r="Q25" s="3">
        <f t="shared" si="28"/>
        <v>9.1879999999999988</v>
      </c>
      <c r="R25" s="12">
        <f t="shared" si="1"/>
        <v>1797.8154</v>
      </c>
      <c r="S25" s="149">
        <f t="shared" si="29"/>
        <v>35.684254809755899</v>
      </c>
      <c r="T25" s="129">
        <f t="shared" si="40"/>
        <v>1.2106179666722181</v>
      </c>
      <c r="U25" s="136">
        <f t="shared" si="30"/>
        <v>9.8060055300449687</v>
      </c>
      <c r="V25" s="139">
        <f t="shared" si="31"/>
        <v>26.512533470121575</v>
      </c>
      <c r="W25" s="9">
        <f t="shared" si="32"/>
        <v>72.637078000333091</v>
      </c>
      <c r="X25" s="9">
        <f t="shared" si="33"/>
        <v>36.318539000166545</v>
      </c>
      <c r="Y25" s="9">
        <f t="shared" si="34"/>
        <v>24.212359333444361</v>
      </c>
      <c r="Z25" s="9">
        <f t="shared" si="35"/>
        <v>48.424718666888722</v>
      </c>
      <c r="AA25" s="9">
        <f t="shared" si="36"/>
        <v>944.28201400433011</v>
      </c>
      <c r="AB25" s="9">
        <f t="shared" si="37"/>
        <v>6.0530898333610903</v>
      </c>
      <c r="AC25" s="3">
        <f t="shared" si="38"/>
        <v>0.46223595091121056</v>
      </c>
      <c r="AD25" s="137">
        <f t="shared" si="39"/>
        <v>1.9975196450091597</v>
      </c>
    </row>
    <row r="26" spans="1:30" x14ac:dyDescent="0.25">
      <c r="A26" s="118" t="s">
        <v>20</v>
      </c>
      <c r="B26" s="153" t="s">
        <v>56</v>
      </c>
      <c r="C26" s="153" t="s">
        <v>56</v>
      </c>
      <c r="D26" s="153" t="s">
        <v>56</v>
      </c>
      <c r="E26" s="153" t="s">
        <v>56</v>
      </c>
      <c r="F26" s="153" t="s">
        <v>56</v>
      </c>
      <c r="G26" s="153" t="s">
        <v>56</v>
      </c>
      <c r="H26" s="153" t="s">
        <v>56</v>
      </c>
      <c r="I26" s="153" t="s">
        <v>56</v>
      </c>
      <c r="J26" s="157" t="s">
        <v>56</v>
      </c>
      <c r="K26" s="153" t="s">
        <v>56</v>
      </c>
      <c r="L26" s="153" t="s">
        <v>56</v>
      </c>
      <c r="M26" s="153" t="s">
        <v>56</v>
      </c>
      <c r="N26" s="153" t="s">
        <v>56</v>
      </c>
      <c r="O26" s="153" t="s">
        <v>56</v>
      </c>
      <c r="P26" s="153" t="s">
        <v>56</v>
      </c>
      <c r="Q26" s="153" t="s">
        <v>56</v>
      </c>
      <c r="R26" s="153" t="s">
        <v>56</v>
      </c>
      <c r="S26" s="154" t="s">
        <v>56</v>
      </c>
      <c r="T26" s="155" t="s">
        <v>56</v>
      </c>
      <c r="U26" s="153" t="s">
        <v>56</v>
      </c>
      <c r="V26" s="153" t="s">
        <v>56</v>
      </c>
      <c r="W26" s="153" t="s">
        <v>56</v>
      </c>
      <c r="X26" s="153" t="s">
        <v>56</v>
      </c>
      <c r="Y26" s="153" t="s">
        <v>56</v>
      </c>
      <c r="Z26" s="153" t="s">
        <v>56</v>
      </c>
      <c r="AA26" s="153" t="s">
        <v>56</v>
      </c>
      <c r="AB26" s="153" t="s">
        <v>56</v>
      </c>
      <c r="AC26" s="153" t="s">
        <v>56</v>
      </c>
      <c r="AD26" s="158" t="s">
        <v>56</v>
      </c>
    </row>
    <row r="27" spans="1:30" x14ac:dyDescent="0.25">
      <c r="A27" s="118" t="s">
        <v>21</v>
      </c>
      <c r="B27">
        <v>991.36619499999995</v>
      </c>
      <c r="C27">
        <v>1475.1790149999999</v>
      </c>
      <c r="D27">
        <v>496.22911449999998</v>
      </c>
      <c r="E27">
        <v>98.565200000000004</v>
      </c>
      <c r="F27">
        <v>45.954000000000001</v>
      </c>
      <c r="G27">
        <v>2.6208</v>
      </c>
      <c r="H27">
        <v>169.2</v>
      </c>
      <c r="I27" s="12">
        <f>SUM(B27:H27)</f>
        <v>3279.1143244999998</v>
      </c>
      <c r="J27" s="147">
        <v>74.8</v>
      </c>
      <c r="K27" s="122">
        <f>B27*$K$39</f>
        <v>29740.985849999997</v>
      </c>
      <c r="L27" s="3">
        <f>C27*$L$39</f>
        <v>88510.74089999999</v>
      </c>
      <c r="M27" s="3">
        <f>D27*$M$39</f>
        <v>14886.873435</v>
      </c>
      <c r="N27" s="3">
        <f>E27*$N$39</f>
        <v>1971.3040000000001</v>
      </c>
      <c r="O27" s="3">
        <f>F27*$O$39</f>
        <v>1838.16</v>
      </c>
      <c r="P27" s="3">
        <f>G27*$P$39</f>
        <v>2044.2239999999999</v>
      </c>
      <c r="Q27" s="3">
        <f>H27*$Q$39</f>
        <v>846</v>
      </c>
      <c r="R27" s="12">
        <f>SUM(K27:Q27)</f>
        <v>139838.28818499998</v>
      </c>
      <c r="S27" s="149">
        <f>R27/I27</f>
        <v>42.64513961596095</v>
      </c>
      <c r="T27" s="129">
        <f>J27/S27</f>
        <v>1.7540099686296802</v>
      </c>
      <c r="U27" s="136">
        <f>$U$39*$T27</f>
        <v>14.207480745900412</v>
      </c>
      <c r="V27" s="139">
        <f>$V$39*$T27</f>
        <v>38.412818312989991</v>
      </c>
      <c r="W27" s="9">
        <f>$W$39*$T27</f>
        <v>105.24059811778081</v>
      </c>
      <c r="X27" s="9">
        <f>$X$39*$T27</f>
        <v>52.620299058890403</v>
      </c>
      <c r="Y27" s="9">
        <f>$Y$39*$T27</f>
        <v>35.080199372593604</v>
      </c>
      <c r="Z27" s="9">
        <f>$Z$39*$T27</f>
        <v>70.160398745187209</v>
      </c>
      <c r="AA27" s="9">
        <f>$AA$39*$T27</f>
        <v>1368.1277755311505</v>
      </c>
      <c r="AB27" s="9">
        <f>$AB$39*$T27</f>
        <v>8.7700498431484011</v>
      </c>
      <c r="AC27" s="3">
        <f>$AC$39*$T27</f>
        <v>0.66971289711315063</v>
      </c>
      <c r="AD27" s="137">
        <f>$AD$39*$T27</f>
        <v>2.8941164482389721</v>
      </c>
    </row>
    <row r="28" spans="1:30" x14ac:dyDescent="0.25">
      <c r="A28" s="118" t="s">
        <v>22</v>
      </c>
      <c r="B28">
        <v>221.150565</v>
      </c>
      <c r="C28">
        <v>127.409345</v>
      </c>
      <c r="D28">
        <v>65.918492999999998</v>
      </c>
      <c r="E28">
        <v>100.873115</v>
      </c>
      <c r="F28">
        <v>1321.1279999999999</v>
      </c>
      <c r="G28">
        <v>0</v>
      </c>
      <c r="H28">
        <v>50</v>
      </c>
      <c r="I28" s="12">
        <f t="shared" ref="I28:I35" si="41">SUM(B28:H28)</f>
        <v>1886.4795180000001</v>
      </c>
      <c r="J28" s="147">
        <v>3.7</v>
      </c>
      <c r="K28" s="122">
        <f t="shared" ref="K28:K37" si="42">B28*$K$39</f>
        <v>6634.5169500000002</v>
      </c>
      <c r="L28" s="3">
        <f t="shared" ref="L28:L37" si="43">C28*$L$39</f>
        <v>7644.5607</v>
      </c>
      <c r="M28" s="3">
        <f t="shared" ref="M28:M37" si="44">D28*$M$39</f>
        <v>1977.5547899999999</v>
      </c>
      <c r="N28" s="3">
        <f t="shared" ref="N28:N37" si="45">E28*$N$39</f>
        <v>2017.4622999999999</v>
      </c>
      <c r="O28" s="3">
        <f t="shared" ref="O28:O37" si="46">F28*$O$39</f>
        <v>52845.119999999995</v>
      </c>
      <c r="P28" s="3">
        <f t="shared" ref="P28:P37" si="47">G28*$P$39</f>
        <v>0</v>
      </c>
      <c r="Q28" s="3">
        <f t="shared" ref="Q28:Q37" si="48">H28*$Q$39</f>
        <v>250</v>
      </c>
      <c r="R28" s="12">
        <f t="shared" ref="R28:R37" si="49">SUM(K28:Q28)</f>
        <v>71369.214739999996</v>
      </c>
      <c r="S28" s="149">
        <f>R28/I28</f>
        <v>37.831958449071266</v>
      </c>
      <c r="T28" s="129">
        <f t="shared" ref="T28:T30" si="50">J28/S28</f>
        <v>9.7800910967400137E-2</v>
      </c>
      <c r="U28" s="136">
        <f>$U$39*$T28</f>
        <v>0.79218737883594126</v>
      </c>
      <c r="V28" s="139">
        <f>$V$39*$T28</f>
        <v>2.1418399501860628</v>
      </c>
      <c r="W28" s="9">
        <f>$W$39*$T28</f>
        <v>5.8680546580440085</v>
      </c>
      <c r="X28" s="9">
        <f>$X$39*$T28</f>
        <v>2.9340273290220042</v>
      </c>
      <c r="Y28" s="9">
        <f>$Y$39*$T28</f>
        <v>1.9560182193480027</v>
      </c>
      <c r="Z28" s="9">
        <f>$Z$39*$T28</f>
        <v>3.9120364386960054</v>
      </c>
      <c r="AA28" s="9">
        <f>$AA$39*$T28</f>
        <v>76.284710554572101</v>
      </c>
      <c r="AB28" s="9">
        <f>$AB$39*$T28</f>
        <v>0.48900455483700067</v>
      </c>
      <c r="AC28" s="3">
        <f>$AC$39*$T28</f>
        <v>3.7342166005734596E-2</v>
      </c>
      <c r="AD28" s="137">
        <f>$AD$39*$T28</f>
        <v>0.16137150309621021</v>
      </c>
    </row>
    <row r="29" spans="1:30" x14ac:dyDescent="0.25">
      <c r="A29" s="118" t="s">
        <v>23</v>
      </c>
      <c r="B29">
        <v>1542.0307849999999</v>
      </c>
      <c r="C29">
        <v>1345.3154500000001</v>
      </c>
      <c r="D29">
        <v>900.702766</v>
      </c>
      <c r="E29">
        <v>18.194040000000001</v>
      </c>
      <c r="F29">
        <v>33.225610000000003</v>
      </c>
      <c r="G29">
        <v>0</v>
      </c>
      <c r="H29">
        <v>101.6</v>
      </c>
      <c r="I29" s="12">
        <f t="shared" si="41"/>
        <v>3941.0686509999996</v>
      </c>
      <c r="J29" s="147">
        <v>134.1</v>
      </c>
      <c r="K29" s="122">
        <f t="shared" si="42"/>
        <v>46260.92355</v>
      </c>
      <c r="L29" s="3">
        <f t="shared" si="43"/>
        <v>80718.926999999996</v>
      </c>
      <c r="M29" s="3">
        <f t="shared" si="44"/>
        <v>27021.082979999999</v>
      </c>
      <c r="N29" s="3">
        <f t="shared" si="45"/>
        <v>363.88080000000002</v>
      </c>
      <c r="O29" s="3">
        <f t="shared" si="46"/>
        <v>1329.0244000000002</v>
      </c>
      <c r="P29" s="3">
        <f t="shared" si="47"/>
        <v>0</v>
      </c>
      <c r="Q29" s="3">
        <f t="shared" si="48"/>
        <v>508</v>
      </c>
      <c r="R29" s="12">
        <f t="shared" si="49"/>
        <v>156201.83873000002</v>
      </c>
      <c r="S29" s="149">
        <f>R29/I29</f>
        <v>39.634386650525776</v>
      </c>
      <c r="T29" s="129">
        <f t="shared" si="50"/>
        <v>3.3834256395190381</v>
      </c>
      <c r="U29" s="136">
        <f>$U$39*$T29</f>
        <v>27.405747680104213</v>
      </c>
      <c r="V29" s="139">
        <f>$V$39*$T29</f>
        <v>74.097021505466927</v>
      </c>
      <c r="W29" s="9">
        <f>$W$39*$T29</f>
        <v>203.00553837114228</v>
      </c>
      <c r="X29" s="9">
        <f>$X$39*$T29</f>
        <v>101.50276918557114</v>
      </c>
      <c r="Y29" s="9">
        <f>$Y$39*$T29</f>
        <v>67.66851279038076</v>
      </c>
      <c r="Z29" s="9">
        <f>$Z$39*$T29</f>
        <v>135.33702558076152</v>
      </c>
      <c r="AA29" s="9">
        <f>$AA$39*$T29</f>
        <v>2639.0719988248497</v>
      </c>
      <c r="AB29" s="9">
        <f>$AB$39*$T29</f>
        <v>16.91712819759519</v>
      </c>
      <c r="AC29" s="3">
        <f>$AC$39*$T29</f>
        <v>1.2918534259981782</v>
      </c>
      <c r="AD29" s="137">
        <f>$AD$39*$T29</f>
        <v>5.5826523052064125</v>
      </c>
    </row>
    <row r="30" spans="1:30" x14ac:dyDescent="0.25">
      <c r="A30" s="118" t="s">
        <v>24</v>
      </c>
      <c r="B30">
        <v>237.40725</v>
      </c>
      <c r="C30">
        <v>343.01985999999999</v>
      </c>
      <c r="D30">
        <v>199.392247</v>
      </c>
      <c r="E30">
        <v>177.47883999999999</v>
      </c>
      <c r="F30">
        <v>9.1660000000000004</v>
      </c>
      <c r="G30">
        <v>7.6593803999999999</v>
      </c>
      <c r="H30">
        <v>35.200000000000003</v>
      </c>
      <c r="I30" s="12">
        <f t="shared" si="41"/>
        <v>1009.3235774000001</v>
      </c>
      <c r="J30" s="147">
        <v>155.1</v>
      </c>
      <c r="K30" s="122">
        <f t="shared" si="42"/>
        <v>7122.2174999999997</v>
      </c>
      <c r="L30" s="3">
        <f t="shared" si="43"/>
        <v>20581.191599999998</v>
      </c>
      <c r="M30" s="3">
        <f t="shared" si="44"/>
        <v>5981.7674100000004</v>
      </c>
      <c r="N30" s="3">
        <f t="shared" si="45"/>
        <v>3549.5767999999998</v>
      </c>
      <c r="O30" s="3">
        <f t="shared" si="46"/>
        <v>366.64</v>
      </c>
      <c r="P30" s="3">
        <f t="shared" si="47"/>
        <v>5974.3167119999998</v>
      </c>
      <c r="Q30" s="3">
        <f t="shared" si="48"/>
        <v>176</v>
      </c>
      <c r="R30" s="12">
        <f t="shared" si="49"/>
        <v>43751.710021999999</v>
      </c>
      <c r="S30" s="149">
        <f>R30/I30</f>
        <v>43.347555731040821</v>
      </c>
      <c r="T30" s="129">
        <f t="shared" si="50"/>
        <v>3.5780564182753722</v>
      </c>
      <c r="U30" s="136">
        <f>$U$39*$T30</f>
        <v>28.982256988030521</v>
      </c>
      <c r="V30" s="139">
        <f>$V$39*$T30</f>
        <v>78.359435560230651</v>
      </c>
      <c r="W30" s="9">
        <f>$W$39*$T30</f>
        <v>214.68338509652233</v>
      </c>
      <c r="X30" s="9">
        <f>$X$39*$T30</f>
        <v>107.34169254826116</v>
      </c>
      <c r="Y30" s="9">
        <f>$Y$39*$T30</f>
        <v>71.561128365507443</v>
      </c>
      <c r="Z30" s="9">
        <f>$Z$39*$T30</f>
        <v>143.12225673101489</v>
      </c>
      <c r="AA30" s="9">
        <f>$AA$39*$T30</f>
        <v>2790.8840062547902</v>
      </c>
      <c r="AB30" s="9">
        <f>$AB$39*$T30</f>
        <v>17.890282091376861</v>
      </c>
      <c r="AC30" s="3">
        <f>$AC$39*$T30</f>
        <v>1.3661669960687786</v>
      </c>
      <c r="AD30" s="137">
        <f>$AD$39*$T30</f>
        <v>5.9037930901543643</v>
      </c>
    </row>
    <row r="31" spans="1:30" x14ac:dyDescent="0.25">
      <c r="A31" s="118" t="s">
        <v>25</v>
      </c>
      <c r="B31" s="153" t="s">
        <v>56</v>
      </c>
      <c r="C31" s="153" t="s">
        <v>56</v>
      </c>
      <c r="D31" s="153" t="s">
        <v>56</v>
      </c>
      <c r="E31" s="153" t="s">
        <v>56</v>
      </c>
      <c r="F31" s="153" t="s">
        <v>56</v>
      </c>
      <c r="G31" s="153" t="s">
        <v>56</v>
      </c>
      <c r="H31" s="153" t="s">
        <v>56</v>
      </c>
      <c r="I31" s="153" t="s">
        <v>56</v>
      </c>
      <c r="J31" s="157" t="s">
        <v>56</v>
      </c>
      <c r="K31" s="153" t="s">
        <v>56</v>
      </c>
      <c r="L31" s="153" t="s">
        <v>56</v>
      </c>
      <c r="M31" s="153" t="s">
        <v>56</v>
      </c>
      <c r="N31" s="153" t="s">
        <v>56</v>
      </c>
      <c r="O31" s="153" t="s">
        <v>56</v>
      </c>
      <c r="P31" s="153" t="s">
        <v>56</v>
      </c>
      <c r="Q31" s="153" t="s">
        <v>56</v>
      </c>
      <c r="R31" s="153" t="s">
        <v>56</v>
      </c>
      <c r="S31" s="154" t="s">
        <v>56</v>
      </c>
      <c r="T31" s="155" t="s">
        <v>56</v>
      </c>
      <c r="U31" s="153" t="s">
        <v>56</v>
      </c>
      <c r="V31" s="153" t="s">
        <v>56</v>
      </c>
      <c r="W31" s="153" t="s">
        <v>56</v>
      </c>
      <c r="X31" s="153" t="s">
        <v>56</v>
      </c>
      <c r="Y31" s="153" t="s">
        <v>56</v>
      </c>
      <c r="Z31" s="153" t="s">
        <v>56</v>
      </c>
      <c r="AA31" s="153" t="s">
        <v>56</v>
      </c>
      <c r="AB31" s="153" t="s">
        <v>56</v>
      </c>
      <c r="AC31" s="153" t="s">
        <v>56</v>
      </c>
      <c r="AD31" s="158" t="s">
        <v>56</v>
      </c>
    </row>
    <row r="32" spans="1:30" x14ac:dyDescent="0.25">
      <c r="A32" s="118" t="s">
        <v>26</v>
      </c>
      <c r="B32">
        <v>991.36619499999995</v>
      </c>
      <c r="C32">
        <v>1475.1790149999999</v>
      </c>
      <c r="D32">
        <v>496.22911449999998</v>
      </c>
      <c r="E32">
        <v>98.565200000000004</v>
      </c>
      <c r="F32">
        <v>45.954000000000001</v>
      </c>
      <c r="G32">
        <v>2.6208</v>
      </c>
      <c r="H32">
        <v>169.2</v>
      </c>
      <c r="I32" s="12">
        <f t="shared" si="41"/>
        <v>3279.1143244999998</v>
      </c>
      <c r="J32" s="147">
        <v>43.3</v>
      </c>
      <c r="K32" s="122">
        <f t="shared" si="42"/>
        <v>29740.985849999997</v>
      </c>
      <c r="L32" s="3">
        <f t="shared" si="43"/>
        <v>88510.74089999999</v>
      </c>
      <c r="M32" s="3">
        <f t="shared" si="44"/>
        <v>14886.873435</v>
      </c>
      <c r="N32" s="3">
        <f t="shared" si="45"/>
        <v>1971.3040000000001</v>
      </c>
      <c r="O32" s="3">
        <f t="shared" si="46"/>
        <v>1838.16</v>
      </c>
      <c r="P32" s="3">
        <f t="shared" si="47"/>
        <v>2044.2239999999999</v>
      </c>
      <c r="Q32" s="3">
        <f t="shared" si="48"/>
        <v>846</v>
      </c>
      <c r="R32" s="12">
        <f t="shared" si="49"/>
        <v>139838.28818499998</v>
      </c>
      <c r="S32" s="149">
        <f>R32/I32</f>
        <v>42.64513961596095</v>
      </c>
      <c r="T32" s="129">
        <f>J32/S32</f>
        <v>1.0153560379901758</v>
      </c>
      <c r="U32" s="136">
        <f t="shared" ref="U32:U35" si="51">$U$39*$T32</f>
        <v>8.2243839077204264</v>
      </c>
      <c r="V32" s="139">
        <f t="shared" ref="V32:V37" si="52">$V$39*$T32</f>
        <v>22.23629723198485</v>
      </c>
      <c r="W32" s="9">
        <f t="shared" ref="W32:W35" si="53">$W$39*$T32</f>
        <v>60.921362279410552</v>
      </c>
      <c r="X32" s="9">
        <f t="shared" ref="X32:X37" si="54">$X$39*$T32</f>
        <v>30.460681139705276</v>
      </c>
      <c r="Y32" s="9">
        <f t="shared" ref="Y32:Y37" si="55">$Y$39*$T32</f>
        <v>20.307120759803517</v>
      </c>
      <c r="Z32" s="9">
        <f t="shared" ref="Z32:Z37" si="56">$Z$39*$T32</f>
        <v>40.614241519607035</v>
      </c>
      <c r="AA32" s="9">
        <f t="shared" ref="AA32:AA37" si="57">$AA$39*$T32</f>
        <v>791.97770963233711</v>
      </c>
      <c r="AB32" s="9">
        <f t="shared" ref="AB32:AB37" si="58">$AB$39*$T32</f>
        <v>5.0767801899508793</v>
      </c>
      <c r="AC32" s="3">
        <f t="shared" ref="AC32:AC37" si="59">$AC$39*$T32</f>
        <v>0.38768139632352167</v>
      </c>
      <c r="AD32" s="137">
        <f t="shared" ref="AD32:AD37" si="60">$AD$39*$T32</f>
        <v>1.67533746268379</v>
      </c>
    </row>
    <row r="33" spans="1:30" x14ac:dyDescent="0.25">
      <c r="A33" s="118" t="s">
        <v>27</v>
      </c>
      <c r="B33">
        <v>221.150565</v>
      </c>
      <c r="C33">
        <v>127.409345</v>
      </c>
      <c r="D33">
        <v>65.918492999999998</v>
      </c>
      <c r="E33">
        <v>100.873115</v>
      </c>
      <c r="F33">
        <v>1321.1279999999999</v>
      </c>
      <c r="G33">
        <v>0</v>
      </c>
      <c r="H33">
        <v>50</v>
      </c>
      <c r="I33" s="12">
        <f>SUM(B33:H33)</f>
        <v>1886.4795180000001</v>
      </c>
      <c r="J33" s="147">
        <v>36.9</v>
      </c>
      <c r="K33" s="122">
        <f t="shared" si="42"/>
        <v>6634.5169500000002</v>
      </c>
      <c r="L33" s="3">
        <f t="shared" si="43"/>
        <v>7644.5607</v>
      </c>
      <c r="M33" s="3">
        <f t="shared" si="44"/>
        <v>1977.5547899999999</v>
      </c>
      <c r="N33" s="3">
        <f t="shared" si="45"/>
        <v>2017.4622999999999</v>
      </c>
      <c r="O33" s="3">
        <f t="shared" si="46"/>
        <v>52845.119999999995</v>
      </c>
      <c r="P33" s="3">
        <f t="shared" si="47"/>
        <v>0</v>
      </c>
      <c r="Q33" s="3">
        <f t="shared" si="48"/>
        <v>250</v>
      </c>
      <c r="R33" s="12">
        <f t="shared" si="49"/>
        <v>71369.214739999996</v>
      </c>
      <c r="S33" s="149">
        <f>R33/I33</f>
        <v>37.831958449071266</v>
      </c>
      <c r="T33" s="129">
        <f t="shared" ref="T33:T35" si="61">J33/S33</f>
        <v>0.97536584181001751</v>
      </c>
      <c r="U33" s="136">
        <f>$U$39*$T33</f>
        <v>7.900463318661143</v>
      </c>
      <c r="V33" s="139">
        <f t="shared" si="52"/>
        <v>21.360511935639384</v>
      </c>
      <c r="W33" s="9">
        <f t="shared" si="53"/>
        <v>58.521950508601051</v>
      </c>
      <c r="X33" s="9">
        <f t="shared" si="54"/>
        <v>29.260975254300526</v>
      </c>
      <c r="Y33" s="9">
        <f t="shared" si="55"/>
        <v>19.507316836200349</v>
      </c>
      <c r="Z33" s="9">
        <f t="shared" si="56"/>
        <v>39.014633672400699</v>
      </c>
      <c r="AA33" s="9">
        <f t="shared" si="57"/>
        <v>760.78535661181365</v>
      </c>
      <c r="AB33" s="9">
        <f t="shared" si="58"/>
        <v>4.8768292090500873</v>
      </c>
      <c r="AC33" s="3">
        <f t="shared" si="59"/>
        <v>0.37241241232746125</v>
      </c>
      <c r="AD33" s="137">
        <f t="shared" si="60"/>
        <v>1.6093536389865288</v>
      </c>
    </row>
    <row r="34" spans="1:30" x14ac:dyDescent="0.25">
      <c r="A34" s="118" t="s">
        <v>28</v>
      </c>
      <c r="B34">
        <v>1542.0307849999999</v>
      </c>
      <c r="C34">
        <v>1345.3154500000001</v>
      </c>
      <c r="D34">
        <v>900.702766</v>
      </c>
      <c r="E34">
        <v>18.194040000000001</v>
      </c>
      <c r="F34">
        <v>33.225610000000003</v>
      </c>
      <c r="G34">
        <v>0</v>
      </c>
      <c r="H34">
        <v>101.6</v>
      </c>
      <c r="I34" s="12">
        <f t="shared" si="41"/>
        <v>3941.0686509999996</v>
      </c>
      <c r="J34" s="147">
        <v>302.3</v>
      </c>
      <c r="K34" s="122">
        <f t="shared" si="42"/>
        <v>46260.92355</v>
      </c>
      <c r="L34" s="3">
        <f t="shared" si="43"/>
        <v>80718.926999999996</v>
      </c>
      <c r="M34" s="3">
        <f t="shared" si="44"/>
        <v>27021.082979999999</v>
      </c>
      <c r="N34" s="3">
        <f t="shared" si="45"/>
        <v>363.88080000000002</v>
      </c>
      <c r="O34" s="3">
        <f t="shared" si="46"/>
        <v>1329.0244000000002</v>
      </c>
      <c r="P34" s="3">
        <f t="shared" si="47"/>
        <v>0</v>
      </c>
      <c r="Q34" s="3">
        <f t="shared" si="48"/>
        <v>508</v>
      </c>
      <c r="R34" s="12">
        <f t="shared" si="49"/>
        <v>156201.83873000002</v>
      </c>
      <c r="S34" s="149">
        <f>R34/I34</f>
        <v>39.634386650525776</v>
      </c>
      <c r="T34" s="129">
        <f>J34/S34</f>
        <v>7.6272152932632755</v>
      </c>
      <c r="U34" s="136">
        <f t="shared" si="51"/>
        <v>61.780443875432546</v>
      </c>
      <c r="V34" s="139">
        <f t="shared" si="52"/>
        <v>167.03601492246571</v>
      </c>
      <c r="W34" s="9">
        <f t="shared" si="53"/>
        <v>457.63291759579653</v>
      </c>
      <c r="X34" s="9">
        <f t="shared" si="54"/>
        <v>228.81645879789826</v>
      </c>
      <c r="Y34" s="9">
        <f t="shared" si="55"/>
        <v>152.5443058652655</v>
      </c>
      <c r="Z34" s="9">
        <f t="shared" si="56"/>
        <v>305.088611730531</v>
      </c>
      <c r="AA34" s="9">
        <f t="shared" si="57"/>
        <v>5949.2279287453548</v>
      </c>
      <c r="AB34" s="9">
        <f t="shared" si="58"/>
        <v>38.136076466316375</v>
      </c>
      <c r="AC34" s="3">
        <f t="shared" si="59"/>
        <v>2.9122094756096146</v>
      </c>
      <c r="AD34" s="137">
        <f t="shared" si="60"/>
        <v>12.584905233884404</v>
      </c>
    </row>
    <row r="35" spans="1:30" x14ac:dyDescent="0.25">
      <c r="A35" s="118" t="s">
        <v>29</v>
      </c>
      <c r="B35">
        <v>237.40725</v>
      </c>
      <c r="C35">
        <v>343.01985999999999</v>
      </c>
      <c r="D35">
        <v>199.392247</v>
      </c>
      <c r="E35">
        <v>177.47883999999999</v>
      </c>
      <c r="F35">
        <v>9.1660000000000004</v>
      </c>
      <c r="G35">
        <v>7.6593803999999999</v>
      </c>
      <c r="H35">
        <v>35.200000000000003</v>
      </c>
      <c r="I35" s="12">
        <f t="shared" si="41"/>
        <v>1009.3235774000001</v>
      </c>
      <c r="J35" s="147">
        <v>13</v>
      </c>
      <c r="K35" s="122">
        <f t="shared" si="42"/>
        <v>7122.2174999999997</v>
      </c>
      <c r="L35" s="3">
        <f t="shared" si="43"/>
        <v>20581.191599999998</v>
      </c>
      <c r="M35" s="3">
        <f t="shared" si="44"/>
        <v>5981.7674100000004</v>
      </c>
      <c r="N35" s="3">
        <f t="shared" si="45"/>
        <v>3549.5767999999998</v>
      </c>
      <c r="O35" s="3">
        <f t="shared" si="46"/>
        <v>366.64</v>
      </c>
      <c r="P35" s="3">
        <f t="shared" si="47"/>
        <v>5974.3167119999998</v>
      </c>
      <c r="Q35" s="3">
        <f t="shared" si="48"/>
        <v>176</v>
      </c>
      <c r="R35" s="12">
        <f t="shared" si="49"/>
        <v>43751.710021999999</v>
      </c>
      <c r="S35" s="149">
        <f>R35/I35</f>
        <v>43.347555731040821</v>
      </c>
      <c r="T35" s="129">
        <f t="shared" si="61"/>
        <v>0.29990156955241676</v>
      </c>
      <c r="U35" s="136">
        <f t="shared" si="51"/>
        <v>2.4292027133745764</v>
      </c>
      <c r="V35" s="139">
        <f t="shared" si="52"/>
        <v>6.5678443731979268</v>
      </c>
      <c r="W35" s="9">
        <f t="shared" si="53"/>
        <v>17.994094173145005</v>
      </c>
      <c r="X35" s="9">
        <f t="shared" si="54"/>
        <v>8.9970470865725023</v>
      </c>
      <c r="Y35" s="9">
        <f t="shared" si="55"/>
        <v>5.9980313910483352</v>
      </c>
      <c r="Z35" s="9">
        <f t="shared" si="56"/>
        <v>11.99606278209667</v>
      </c>
      <c r="AA35" s="9">
        <f t="shared" si="57"/>
        <v>233.92322425088508</v>
      </c>
      <c r="AB35" s="9">
        <f t="shared" si="58"/>
        <v>1.4995078477620838</v>
      </c>
      <c r="AC35" s="3">
        <f t="shared" si="59"/>
        <v>0.11450787201092277</v>
      </c>
      <c r="AD35" s="137">
        <f t="shared" si="60"/>
        <v>0.49483758976148762</v>
      </c>
    </row>
    <row r="36" spans="1:30" x14ac:dyDescent="0.25">
      <c r="A36" s="118" t="s">
        <v>30</v>
      </c>
      <c r="B36" s="153" t="s">
        <v>56</v>
      </c>
      <c r="C36" s="153" t="s">
        <v>56</v>
      </c>
      <c r="D36" s="153" t="s">
        <v>56</v>
      </c>
      <c r="E36" s="153" t="s">
        <v>56</v>
      </c>
      <c r="F36" s="153" t="s">
        <v>56</v>
      </c>
      <c r="G36" s="153" t="s">
        <v>56</v>
      </c>
      <c r="H36" s="153" t="s">
        <v>56</v>
      </c>
      <c r="I36" s="153" t="s">
        <v>56</v>
      </c>
      <c r="J36" s="157" t="s">
        <v>56</v>
      </c>
      <c r="K36" s="153" t="s">
        <v>56</v>
      </c>
      <c r="L36" s="153" t="s">
        <v>56</v>
      </c>
      <c r="M36" s="153" t="s">
        <v>56</v>
      </c>
      <c r="N36" s="153" t="s">
        <v>56</v>
      </c>
      <c r="O36" s="153" t="s">
        <v>56</v>
      </c>
      <c r="P36" s="153" t="s">
        <v>56</v>
      </c>
      <c r="Q36" s="153" t="s">
        <v>56</v>
      </c>
      <c r="R36" s="153" t="s">
        <v>56</v>
      </c>
      <c r="S36" s="154" t="s">
        <v>56</v>
      </c>
      <c r="T36" s="155" t="s">
        <v>56</v>
      </c>
      <c r="U36" s="153" t="s">
        <v>56</v>
      </c>
      <c r="V36" s="153" t="s">
        <v>56</v>
      </c>
      <c r="W36" s="153" t="s">
        <v>56</v>
      </c>
      <c r="X36" s="153" t="s">
        <v>56</v>
      </c>
      <c r="Y36" s="153" t="s">
        <v>56</v>
      </c>
      <c r="Z36" s="153" t="s">
        <v>56</v>
      </c>
      <c r="AA36" s="153" t="s">
        <v>56</v>
      </c>
      <c r="AB36" s="153" t="s">
        <v>56</v>
      </c>
      <c r="AC36" s="153" t="s">
        <v>56</v>
      </c>
      <c r="AD36" s="158" t="s">
        <v>56</v>
      </c>
    </row>
    <row r="37" spans="1:30" x14ac:dyDescent="0.25">
      <c r="A37" s="70" t="s">
        <v>31</v>
      </c>
      <c r="B37" s="72">
        <v>1708.5878700000001</v>
      </c>
      <c r="C37" s="72">
        <v>732.62117499999999</v>
      </c>
      <c r="D37" s="72">
        <v>1040.437003</v>
      </c>
      <c r="E37" s="72">
        <v>2700.3303599999999</v>
      </c>
      <c r="F37" s="72">
        <v>172</v>
      </c>
      <c r="G37" s="72">
        <v>0</v>
      </c>
      <c r="H37" s="72">
        <v>395.2</v>
      </c>
      <c r="I37" s="128">
        <f>SUM(B37:H37)</f>
        <v>6749.1764080000003</v>
      </c>
      <c r="J37" s="148">
        <v>66.2</v>
      </c>
      <c r="K37" s="151">
        <f t="shared" si="42"/>
        <v>51257.636100000003</v>
      </c>
      <c r="L37" s="106">
        <f t="shared" si="43"/>
        <v>43957.270499999999</v>
      </c>
      <c r="M37" s="106">
        <f t="shared" si="44"/>
        <v>31213.110090000002</v>
      </c>
      <c r="N37" s="106">
        <f t="shared" si="45"/>
        <v>54006.607199999999</v>
      </c>
      <c r="O37" s="106">
        <f t="shared" si="46"/>
        <v>6880</v>
      </c>
      <c r="P37" s="106">
        <f t="shared" si="47"/>
        <v>0</v>
      </c>
      <c r="Q37" s="106">
        <f t="shared" si="48"/>
        <v>1976</v>
      </c>
      <c r="R37" s="128">
        <f t="shared" si="49"/>
        <v>189290.62388999999</v>
      </c>
      <c r="S37" s="152">
        <f>R37/I37</f>
        <v>28.046477443622329</v>
      </c>
      <c r="T37" s="130">
        <f>J37/S37</f>
        <v>2.3603677193712485</v>
      </c>
      <c r="U37" s="140">
        <f>$U$39*$T37</f>
        <v>19.118978526907117</v>
      </c>
      <c r="V37" s="141">
        <f t="shared" si="52"/>
        <v>51.692053054230335</v>
      </c>
      <c r="W37" s="73">
        <f>$W$39*$T37</f>
        <v>141.62206316227491</v>
      </c>
      <c r="X37" s="73">
        <f t="shared" si="54"/>
        <v>70.811031581137456</v>
      </c>
      <c r="Y37" s="73">
        <f t="shared" si="55"/>
        <v>47.207354387424971</v>
      </c>
      <c r="Z37" s="73">
        <f t="shared" si="56"/>
        <v>94.414708774849942</v>
      </c>
      <c r="AA37" s="73">
        <f t="shared" si="57"/>
        <v>1841.0868211095737</v>
      </c>
      <c r="AB37" s="73">
        <f t="shared" si="58"/>
        <v>11.801838596856243</v>
      </c>
      <c r="AC37" s="106">
        <f t="shared" si="59"/>
        <v>0.90123131103265852</v>
      </c>
      <c r="AD37" s="142">
        <f t="shared" si="60"/>
        <v>3.8946067369625599</v>
      </c>
    </row>
    <row r="39" spans="1:30" x14ac:dyDescent="0.25">
      <c r="A39" s="114" t="s">
        <v>57</v>
      </c>
      <c r="B39" s="114"/>
      <c r="C39" s="114"/>
      <c r="D39" s="114"/>
      <c r="E39" s="114"/>
      <c r="F39" s="114"/>
      <c r="G39" s="114"/>
      <c r="H39" s="114"/>
      <c r="I39" s="114"/>
      <c r="J39" s="114"/>
      <c r="K39" s="115">
        <f>'Standard values'!B5</f>
        <v>30</v>
      </c>
      <c r="L39" s="115">
        <f>'Standard values'!D5</f>
        <v>60</v>
      </c>
      <c r="M39" s="115">
        <f>'Standard values'!E5</f>
        <v>30</v>
      </c>
      <c r="N39" s="115">
        <f>'Standard values'!F5</f>
        <v>20</v>
      </c>
      <c r="O39" s="115">
        <f>'Standard values'!G5</f>
        <v>40</v>
      </c>
      <c r="P39" s="115">
        <f>'Standard values'!H5</f>
        <v>780</v>
      </c>
      <c r="Q39" s="115">
        <f>'Standard values'!I5</f>
        <v>5</v>
      </c>
      <c r="R39" s="114"/>
      <c r="S39" s="114"/>
      <c r="T39" s="114"/>
      <c r="U39" s="114">
        <f>'Standard values'!B6</f>
        <v>8.1000000000000014</v>
      </c>
      <c r="V39" s="114">
        <f>'Standard values'!C6</f>
        <v>21.9</v>
      </c>
      <c r="W39" s="114">
        <f>'Standard values'!D6</f>
        <v>60</v>
      </c>
      <c r="X39" s="114">
        <f>'Standard values'!E6</f>
        <v>30</v>
      </c>
      <c r="Y39" s="114">
        <f>'Standard values'!F6</f>
        <v>20</v>
      </c>
      <c r="Z39" s="114">
        <f>'Standard values'!G6</f>
        <v>40</v>
      </c>
      <c r="AA39" s="114">
        <f>'Standard values'!H6</f>
        <v>780</v>
      </c>
      <c r="AB39" s="114">
        <f>'Standard values'!I6</f>
        <v>5</v>
      </c>
      <c r="AC39" s="135">
        <f>'Standard values'!J6</f>
        <v>0.38181818181818183</v>
      </c>
      <c r="AD39" s="135">
        <f>'Standard values'!K6</f>
        <v>1.65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225A7-E3C1-4D01-8765-8B995162464B}">
  <dimension ref="A2:AD39"/>
  <sheetViews>
    <sheetView workbookViewId="0">
      <selection activeCell="A4" sqref="A4:AD37"/>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2" t="s">
        <v>60</v>
      </c>
    </row>
    <row r="4" spans="1:30" ht="15.75" x14ac:dyDescent="0.25">
      <c r="A4" s="124" t="s">
        <v>33</v>
      </c>
      <c r="B4" s="116" t="s">
        <v>34</v>
      </c>
      <c r="C4" s="125"/>
      <c r="D4" s="116"/>
      <c r="E4" s="125"/>
      <c r="F4" s="125"/>
      <c r="G4" s="125"/>
      <c r="H4" s="125"/>
      <c r="I4" s="125"/>
      <c r="J4" s="125"/>
      <c r="K4" s="124" t="s">
        <v>35</v>
      </c>
      <c r="L4" s="116"/>
      <c r="M4" s="116"/>
      <c r="N4" s="116"/>
      <c r="O4" s="116"/>
      <c r="P4" s="116"/>
      <c r="Q4" s="116"/>
      <c r="R4" s="116"/>
      <c r="S4" s="117"/>
      <c r="T4" s="117"/>
      <c r="U4" s="124" t="s">
        <v>36</v>
      </c>
      <c r="V4" s="116"/>
      <c r="W4" s="116"/>
      <c r="X4" s="116"/>
      <c r="Y4" s="116"/>
      <c r="Z4" s="116"/>
      <c r="AA4" s="116"/>
      <c r="AB4" s="116"/>
      <c r="AC4" s="116"/>
      <c r="AD4" s="117"/>
    </row>
    <row r="5" spans="1:30" x14ac:dyDescent="0.25">
      <c r="A5" s="123" t="s">
        <v>37</v>
      </c>
      <c r="K5" s="118"/>
      <c r="S5" s="6"/>
      <c r="T5" s="6"/>
      <c r="U5" s="118"/>
      <c r="AD5" s="6"/>
    </row>
    <row r="6" spans="1:30" ht="32.25" customHeight="1" x14ac:dyDescent="0.25">
      <c r="A6" s="119" t="s">
        <v>38</v>
      </c>
      <c r="B6" s="120" t="s">
        <v>39</v>
      </c>
      <c r="C6" s="120" t="s">
        <v>0</v>
      </c>
      <c r="D6" s="120" t="s">
        <v>40</v>
      </c>
      <c r="E6" s="127" t="s">
        <v>41</v>
      </c>
      <c r="F6" s="120" t="s">
        <v>42</v>
      </c>
      <c r="G6" s="120" t="s">
        <v>43</v>
      </c>
      <c r="H6" s="120" t="s">
        <v>44</v>
      </c>
      <c r="I6" s="127" t="s">
        <v>45</v>
      </c>
      <c r="J6" s="120" t="s">
        <v>46</v>
      </c>
      <c r="K6" s="119" t="s">
        <v>39</v>
      </c>
      <c r="L6" s="120" t="s">
        <v>0</v>
      </c>
      <c r="M6" s="120" t="s">
        <v>40</v>
      </c>
      <c r="N6" s="127" t="s">
        <v>41</v>
      </c>
      <c r="O6" s="120" t="s">
        <v>42</v>
      </c>
      <c r="P6" s="120" t="s">
        <v>43</v>
      </c>
      <c r="Q6" s="120" t="s">
        <v>44</v>
      </c>
      <c r="R6" s="120" t="s">
        <v>47</v>
      </c>
      <c r="S6" s="121" t="s">
        <v>46</v>
      </c>
      <c r="T6" s="126" t="s">
        <v>48</v>
      </c>
      <c r="U6" s="131" t="s">
        <v>49</v>
      </c>
      <c r="V6" s="138" t="s">
        <v>50</v>
      </c>
      <c r="W6" s="120" t="s">
        <v>0</v>
      </c>
      <c r="X6" s="120" t="s">
        <v>51</v>
      </c>
      <c r="Y6" s="127" t="s">
        <v>52</v>
      </c>
      <c r="Z6" s="120" t="s">
        <v>42</v>
      </c>
      <c r="AA6" s="120" t="s">
        <v>53</v>
      </c>
      <c r="AB6" s="120" t="s">
        <v>44</v>
      </c>
      <c r="AC6" s="120" t="s">
        <v>54</v>
      </c>
      <c r="AD6" s="121" t="s">
        <v>55</v>
      </c>
    </row>
    <row r="7" spans="1:30" x14ac:dyDescent="0.25">
      <c r="A7" s="118" t="s">
        <v>1</v>
      </c>
      <c r="B7">
        <v>436.4895000006</v>
      </c>
      <c r="C7">
        <v>379.69209998300499</v>
      </c>
      <c r="D7">
        <v>76.4413999975</v>
      </c>
      <c r="E7">
        <v>34.628300000000003</v>
      </c>
      <c r="F7">
        <v>0</v>
      </c>
      <c r="G7">
        <v>0</v>
      </c>
      <c r="H7">
        <v>29.782399999999999</v>
      </c>
      <c r="I7" s="12">
        <f>SUM(B7:H7)</f>
        <v>957.03369998110497</v>
      </c>
      <c r="J7" s="147">
        <v>57.2</v>
      </c>
      <c r="K7" s="122">
        <f>B7*$K$39</f>
        <v>13094.685000018</v>
      </c>
      <c r="L7" s="3">
        <f>C7*$L$39</f>
        <v>22781.525998980298</v>
      </c>
      <c r="M7" s="3">
        <f>D7*$M$39</f>
        <v>2293.2419999250001</v>
      </c>
      <c r="N7" s="3">
        <f>E7*$N$39</f>
        <v>692.56600000000003</v>
      </c>
      <c r="O7" s="3">
        <f>F7*$O$39</f>
        <v>0</v>
      </c>
      <c r="P7" s="3">
        <f>G7*$P$39</f>
        <v>0</v>
      </c>
      <c r="Q7" s="3">
        <f>H7*$Q$39</f>
        <v>148.91200000000001</v>
      </c>
      <c r="R7" s="12">
        <f>SUM(K7:Q7)</f>
        <v>39010.930998923293</v>
      </c>
      <c r="S7" s="149">
        <f>R7/I7</f>
        <v>40.762337835849976</v>
      </c>
      <c r="T7" s="129">
        <f>J7/S7</f>
        <v>1.4032561191741388</v>
      </c>
      <c r="U7" s="136">
        <f>$U$39*$T7</f>
        <v>11.366374565310526</v>
      </c>
      <c r="V7" s="139">
        <f>$V$39*$T7</f>
        <v>30.731309009913637</v>
      </c>
      <c r="W7" s="9">
        <f>$W$39*$T7</f>
        <v>84.195367150448334</v>
      </c>
      <c r="X7" s="9">
        <f>$X$39*$T7</f>
        <v>42.097683575224167</v>
      </c>
      <c r="Y7" s="9">
        <f>$Y$39*$T7</f>
        <v>28.065122383482777</v>
      </c>
      <c r="Z7" s="9">
        <f>$Z$39*$T7</f>
        <v>56.130244766965554</v>
      </c>
      <c r="AA7" s="9">
        <f>$AA$39*$T7</f>
        <v>1094.5397729558283</v>
      </c>
      <c r="AB7" s="9">
        <f>$AB$39*$T7</f>
        <v>7.0162805958706942</v>
      </c>
      <c r="AC7" s="3">
        <f>$AC$39*$T7</f>
        <v>0.53578870004830759</v>
      </c>
      <c r="AD7" s="137">
        <f>$AD$39*$T7</f>
        <v>2.3153725966373289</v>
      </c>
    </row>
    <row r="8" spans="1:30" x14ac:dyDescent="0.25">
      <c r="A8" s="118" t="s">
        <v>2</v>
      </c>
      <c r="B8">
        <v>437.34229998450002</v>
      </c>
      <c r="C8">
        <v>927.99779999550003</v>
      </c>
      <c r="D8">
        <v>173.66190000005</v>
      </c>
      <c r="E8">
        <v>13.205299997499999</v>
      </c>
      <c r="F8">
        <v>0</v>
      </c>
      <c r="G8">
        <v>4.3447000001999996</v>
      </c>
      <c r="H8">
        <v>100.9268</v>
      </c>
      <c r="I8" s="12">
        <f t="shared" ref="I8:I25" si="0">SUM(B8:H8)</f>
        <v>1657.4787999777502</v>
      </c>
      <c r="J8" s="147">
        <v>156.4</v>
      </c>
      <c r="K8" s="122">
        <f>B8*$K$39</f>
        <v>13120.268999535001</v>
      </c>
      <c r="L8" s="3">
        <f>C8*$L$39</f>
        <v>55679.867999729999</v>
      </c>
      <c r="M8" s="3">
        <f>D8*$M$39</f>
        <v>5209.8570000014997</v>
      </c>
      <c r="N8" s="3">
        <f>E8*$N$39</f>
        <v>264.10599994999995</v>
      </c>
      <c r="O8" s="3">
        <f>F8*$O$39</f>
        <v>0</v>
      </c>
      <c r="P8" s="3">
        <f>G8*$P$39</f>
        <v>3388.8660001559997</v>
      </c>
      <c r="Q8" s="3">
        <f>H8*$Q$39</f>
        <v>504.63400000000001</v>
      </c>
      <c r="R8" s="12">
        <f t="shared" ref="R8:R25" si="1">SUM(K8:Q8)</f>
        <v>78167.599999372513</v>
      </c>
      <c r="S8" s="149">
        <f>R8/I8</f>
        <v>47.160542868133106</v>
      </c>
      <c r="T8" s="129">
        <f t="shared" ref="T8:T9" si="2">J8/S8</f>
        <v>3.3163316299669061</v>
      </c>
      <c r="U8" s="136">
        <f>$U$39*$T8</f>
        <v>26.862286202731944</v>
      </c>
      <c r="V8" s="139">
        <f>$V$39*$T8</f>
        <v>72.627662696275237</v>
      </c>
      <c r="W8" s="9">
        <f>$W$39*$T8</f>
        <v>198.97989779801438</v>
      </c>
      <c r="X8" s="9">
        <f>$X$39*$T8</f>
        <v>99.489948899007189</v>
      </c>
      <c r="Y8" s="9">
        <f>$Y$39*$T8</f>
        <v>66.326632599338126</v>
      </c>
      <c r="Z8" s="9">
        <f>$Z$39*$T8</f>
        <v>132.65326519867625</v>
      </c>
      <c r="AA8" s="9">
        <f>$AA$39*$T8</f>
        <v>2586.7386713741867</v>
      </c>
      <c r="AB8" s="9">
        <f>$AB$39*$T8</f>
        <v>16.581658149834531</v>
      </c>
      <c r="AC8" s="3">
        <f>$AC$39*$T8</f>
        <v>1.2662357132600914</v>
      </c>
      <c r="AD8" s="137">
        <f>$AD$39*$T8</f>
        <v>5.4719471894453946</v>
      </c>
    </row>
    <row r="9" spans="1:30" x14ac:dyDescent="0.25">
      <c r="A9" s="118" t="s">
        <v>3</v>
      </c>
      <c r="B9">
        <v>139.99499998126501</v>
      </c>
      <c r="C9">
        <v>64.559799999998006</v>
      </c>
      <c r="D9">
        <v>42.678400000000003</v>
      </c>
      <c r="E9">
        <v>103.8105</v>
      </c>
      <c r="F9">
        <v>0</v>
      </c>
      <c r="G9">
        <v>2.0900000001999999E-2</v>
      </c>
      <c r="H9">
        <v>49.818399999999997</v>
      </c>
      <c r="I9" s="12">
        <f t="shared" si="0"/>
        <v>400.88299998126502</v>
      </c>
      <c r="J9" s="147">
        <v>116.1</v>
      </c>
      <c r="K9" s="122">
        <f>B9*$K$39</f>
        <v>4199.8499994379499</v>
      </c>
      <c r="L9" s="3">
        <f>C9*$L$39</f>
        <v>3873.5879999998806</v>
      </c>
      <c r="M9" s="3">
        <f>D9*$M$39</f>
        <v>1280.3520000000001</v>
      </c>
      <c r="N9" s="3">
        <f>E9*$N$39</f>
        <v>2076.21</v>
      </c>
      <c r="O9" s="3">
        <f>F9*$O$39</f>
        <v>0</v>
      </c>
      <c r="P9" s="3">
        <f>G9*$P$39</f>
        <v>16.30200000156</v>
      </c>
      <c r="Q9" s="3">
        <f>H9*$Q$39</f>
        <v>249.09199999999998</v>
      </c>
      <c r="R9" s="12">
        <f t="shared" si="1"/>
        <v>11695.393999439391</v>
      </c>
      <c r="S9" s="149">
        <f>R9/I9</f>
        <v>29.174083211276027</v>
      </c>
      <c r="T9" s="129">
        <f t="shared" si="2"/>
        <v>3.979559500095152</v>
      </c>
      <c r="U9" s="136">
        <f>$U$39*$T9</f>
        <v>32.234431950770734</v>
      </c>
      <c r="V9" s="139">
        <f>$V$39*$T9</f>
        <v>87.152353052083825</v>
      </c>
      <c r="W9" s="9">
        <f>$W$39*$T9</f>
        <v>238.77357000570913</v>
      </c>
      <c r="X9" s="9">
        <f>$X$39*$T9</f>
        <v>119.38678500285457</v>
      </c>
      <c r="Y9" s="9">
        <f>$Y$39*$T9</f>
        <v>79.591190001903044</v>
      </c>
      <c r="Z9" s="9">
        <f>$Z$39*$T9</f>
        <v>159.18238000380609</v>
      </c>
      <c r="AA9" s="9">
        <f>$AA$39*$T9</f>
        <v>3104.0564100742185</v>
      </c>
      <c r="AB9" s="9">
        <f>$AB$39*$T9</f>
        <v>19.897797500475761</v>
      </c>
      <c r="AC9" s="3">
        <f>$AC$39*$T9</f>
        <v>1.5194681727636035</v>
      </c>
      <c r="AD9" s="137">
        <f>$AD$39*$T9</f>
        <v>6.5662731751570007</v>
      </c>
    </row>
    <row r="10" spans="1:30" x14ac:dyDescent="0.25">
      <c r="A10" s="118" t="s">
        <v>4</v>
      </c>
      <c r="B10" s="153" t="s">
        <v>56</v>
      </c>
      <c r="C10" s="153" t="s">
        <v>56</v>
      </c>
      <c r="D10" s="153" t="s">
        <v>56</v>
      </c>
      <c r="E10" s="153" t="s">
        <v>56</v>
      </c>
      <c r="F10" s="153" t="s">
        <v>56</v>
      </c>
      <c r="G10" s="153" t="s">
        <v>56</v>
      </c>
      <c r="H10" s="153" t="s">
        <v>56</v>
      </c>
      <c r="I10" s="153" t="s">
        <v>56</v>
      </c>
      <c r="J10" s="157" t="s">
        <v>56</v>
      </c>
      <c r="K10" s="153" t="s">
        <v>56</v>
      </c>
      <c r="L10" s="153" t="s">
        <v>56</v>
      </c>
      <c r="M10" s="153" t="s">
        <v>56</v>
      </c>
      <c r="N10" s="153" t="s">
        <v>56</v>
      </c>
      <c r="O10" s="153" t="s">
        <v>56</v>
      </c>
      <c r="P10" s="153" t="s">
        <v>56</v>
      </c>
      <c r="Q10" s="153" t="s">
        <v>56</v>
      </c>
      <c r="R10" s="153" t="s">
        <v>56</v>
      </c>
      <c r="S10" s="157" t="s">
        <v>56</v>
      </c>
      <c r="T10" s="155" t="s">
        <v>56</v>
      </c>
      <c r="U10" s="153" t="s">
        <v>56</v>
      </c>
      <c r="V10" s="153" t="s">
        <v>56</v>
      </c>
      <c r="W10" s="153" t="s">
        <v>56</v>
      </c>
      <c r="X10" s="153" t="s">
        <v>56</v>
      </c>
      <c r="Y10" s="153" t="s">
        <v>56</v>
      </c>
      <c r="Z10" s="153" t="s">
        <v>56</v>
      </c>
      <c r="AA10" s="153" t="s">
        <v>56</v>
      </c>
      <c r="AB10" s="153" t="s">
        <v>56</v>
      </c>
      <c r="AC10" s="153" t="s">
        <v>56</v>
      </c>
      <c r="AD10" s="158" t="s">
        <v>56</v>
      </c>
    </row>
    <row r="11" spans="1:30" x14ac:dyDescent="0.25">
      <c r="A11" s="118" t="s">
        <v>5</v>
      </c>
      <c r="B11">
        <v>18.748044999975001</v>
      </c>
      <c r="C11">
        <v>49.664400000000001</v>
      </c>
      <c r="D11">
        <v>11.056400000029999</v>
      </c>
      <c r="E11">
        <v>56.876584999999999</v>
      </c>
      <c r="F11">
        <v>5.3390000000000004</v>
      </c>
      <c r="G11">
        <v>0.110726</v>
      </c>
      <c r="H11">
        <v>1.8740000000000001</v>
      </c>
      <c r="I11" s="12">
        <f t="shared" si="0"/>
        <v>143.66915600000499</v>
      </c>
      <c r="J11" s="147">
        <v>333.4</v>
      </c>
      <c r="K11" s="122">
        <f t="shared" ref="K11:K17" si="3">B11*$K$39</f>
        <v>562.44134999925006</v>
      </c>
      <c r="L11" s="3">
        <f t="shared" ref="L11:L17" si="4">C11*$L$39</f>
        <v>2979.864</v>
      </c>
      <c r="M11" s="3">
        <f t="shared" ref="M11:M17" si="5">D11*$M$39</f>
        <v>331.69200000089995</v>
      </c>
      <c r="N11" s="3">
        <f t="shared" ref="N11:N17" si="6">E11*$N$39</f>
        <v>1137.5317</v>
      </c>
      <c r="O11" s="3">
        <f t="shared" ref="O11:O17" si="7">F11*$O$39</f>
        <v>213.56</v>
      </c>
      <c r="P11" s="3">
        <f t="shared" ref="P11:P17" si="8">G11*$P$39</f>
        <v>86.366280000000003</v>
      </c>
      <c r="Q11" s="3">
        <f t="shared" ref="Q11:Q17" si="9">H11*$Q$39</f>
        <v>9.370000000000001</v>
      </c>
      <c r="R11" s="12">
        <f t="shared" si="1"/>
        <v>5320.8253300001506</v>
      </c>
      <c r="S11" s="149">
        <f t="shared" ref="S11:S17" si="10">R11/I11</f>
        <v>37.035265453915287</v>
      </c>
      <c r="T11" s="129">
        <f>J11/S11</f>
        <v>9.0022306013943716</v>
      </c>
      <c r="U11" s="136">
        <f t="shared" ref="U11:U17" si="11">$U$39*$T11</f>
        <v>72.918067871294426</v>
      </c>
      <c r="V11" s="139">
        <f t="shared" ref="V11:V17" si="12">$V$39*$T11</f>
        <v>197.14885017053672</v>
      </c>
      <c r="W11" s="9">
        <f t="shared" ref="W11:W17" si="13">$W$39*$T11</f>
        <v>540.13383608366235</v>
      </c>
      <c r="X11" s="9">
        <f t="shared" ref="X11:X17" si="14">$X$39*$T11</f>
        <v>270.06691804183117</v>
      </c>
      <c r="Y11" s="9">
        <f t="shared" ref="Y11:Y17" si="15">$Y$39*$T11</f>
        <v>180.04461202788744</v>
      </c>
      <c r="Z11" s="9">
        <f t="shared" ref="Z11:Z17" si="16">$Z$39*$T11</f>
        <v>360.08922405577488</v>
      </c>
      <c r="AA11" s="9">
        <f t="shared" ref="AA11:AA17" si="17">$AA$39*$T11</f>
        <v>7021.7398690876098</v>
      </c>
      <c r="AB11" s="9">
        <f t="shared" ref="AB11:AB17" si="18">$AB$39*$T11</f>
        <v>45.01115300697186</v>
      </c>
      <c r="AC11" s="3">
        <f t="shared" ref="AC11:AC17" si="19">$AC$39*$T11</f>
        <v>3.4372153205323968</v>
      </c>
      <c r="AD11" s="137">
        <f t="shared" ref="AD11:AD17" si="20">$AD$39*$T11</f>
        <v>14.853680492300713</v>
      </c>
    </row>
    <row r="12" spans="1:30" x14ac:dyDescent="0.25">
      <c r="A12" s="118" t="s">
        <v>6</v>
      </c>
      <c r="B12">
        <v>292.46059997848602</v>
      </c>
      <c r="C12">
        <v>209.38049998400001</v>
      </c>
      <c r="D12">
        <v>116.981400000025</v>
      </c>
      <c r="E12">
        <v>17.057399997499999</v>
      </c>
      <c r="F12">
        <v>19.358000000000001</v>
      </c>
      <c r="G12">
        <v>9.0663999999999998</v>
      </c>
      <c r="H12">
        <v>32.449599999999997</v>
      </c>
      <c r="I12" s="12">
        <f t="shared" si="0"/>
        <v>696.75389996001104</v>
      </c>
      <c r="J12" s="147">
        <v>82.2</v>
      </c>
      <c r="K12" s="122">
        <f t="shared" si="3"/>
        <v>8773.81799935458</v>
      </c>
      <c r="L12" s="3">
        <f t="shared" si="4"/>
        <v>12562.829999040001</v>
      </c>
      <c r="M12" s="3">
        <f t="shared" si="5"/>
        <v>3509.4420000007503</v>
      </c>
      <c r="N12" s="3">
        <f t="shared" si="6"/>
        <v>341.14799994999998</v>
      </c>
      <c r="O12" s="3">
        <f t="shared" si="7"/>
        <v>774.32</v>
      </c>
      <c r="P12" s="3">
        <f t="shared" si="8"/>
        <v>7071.7919999999995</v>
      </c>
      <c r="Q12" s="3">
        <f t="shared" si="9"/>
        <v>162.24799999999999</v>
      </c>
      <c r="R12" s="12">
        <f t="shared" si="1"/>
        <v>33195.597998345336</v>
      </c>
      <c r="S12" s="149">
        <f t="shared" si="10"/>
        <v>47.643218072048882</v>
      </c>
      <c r="T12" s="129">
        <f t="shared" ref="T12:T17" si="21">J12/S12</f>
        <v>1.7253242607519148</v>
      </c>
      <c r="U12" s="136">
        <f t="shared" si="11"/>
        <v>13.975126512090512</v>
      </c>
      <c r="V12" s="139">
        <f t="shared" si="12"/>
        <v>37.784601310466932</v>
      </c>
      <c r="W12" s="9">
        <f t="shared" si="13"/>
        <v>103.51945564511489</v>
      </c>
      <c r="X12" s="9">
        <f t="shared" si="14"/>
        <v>51.759727822557444</v>
      </c>
      <c r="Y12" s="9">
        <f t="shared" si="15"/>
        <v>34.506485215038296</v>
      </c>
      <c r="Z12" s="9">
        <f t="shared" si="16"/>
        <v>69.012970430076592</v>
      </c>
      <c r="AA12" s="9">
        <f t="shared" si="17"/>
        <v>1345.7529233864936</v>
      </c>
      <c r="AB12" s="9">
        <f t="shared" si="18"/>
        <v>8.626621303759574</v>
      </c>
      <c r="AC12" s="3">
        <f t="shared" si="19"/>
        <v>0.65876017228709483</v>
      </c>
      <c r="AD12" s="137">
        <f t="shared" si="20"/>
        <v>2.8467850302406594</v>
      </c>
    </row>
    <row r="13" spans="1:30" x14ac:dyDescent="0.25">
      <c r="A13" s="118" t="s">
        <v>7</v>
      </c>
      <c r="B13">
        <v>406.29439999941098</v>
      </c>
      <c r="C13">
        <v>1775.992</v>
      </c>
      <c r="D13">
        <v>120.18514999999999</v>
      </c>
      <c r="E13">
        <v>1.64</v>
      </c>
      <c r="F13">
        <v>43.1</v>
      </c>
      <c r="G13">
        <v>0</v>
      </c>
      <c r="H13">
        <v>70</v>
      </c>
      <c r="I13" s="12">
        <f t="shared" si="0"/>
        <v>2417.2115499994106</v>
      </c>
      <c r="J13" s="147">
        <v>44.5</v>
      </c>
      <c r="K13" s="122">
        <f t="shared" si="3"/>
        <v>12188.831999982329</v>
      </c>
      <c r="L13" s="3">
        <f t="shared" si="4"/>
        <v>106559.52</v>
      </c>
      <c r="M13" s="3">
        <f t="shared" si="5"/>
        <v>3605.5544999999997</v>
      </c>
      <c r="N13" s="3">
        <f t="shared" si="6"/>
        <v>32.799999999999997</v>
      </c>
      <c r="O13" s="3">
        <f t="shared" si="7"/>
        <v>1724</v>
      </c>
      <c r="P13" s="3">
        <f t="shared" si="8"/>
        <v>0</v>
      </c>
      <c r="Q13" s="3">
        <f t="shared" si="9"/>
        <v>350</v>
      </c>
      <c r="R13" s="12">
        <f t="shared" si="1"/>
        <v>124460.70649998233</v>
      </c>
      <c r="S13" s="149">
        <f t="shared" si="10"/>
        <v>51.489372744397436</v>
      </c>
      <c r="T13" s="129">
        <f t="shared" si="21"/>
        <v>0.86425601300109156</v>
      </c>
      <c r="U13" s="136">
        <f t="shared" si="11"/>
        <v>7.0004737053088428</v>
      </c>
      <c r="V13" s="139">
        <f t="shared" si="12"/>
        <v>18.927206684723902</v>
      </c>
      <c r="W13" s="9">
        <f t="shared" si="13"/>
        <v>51.855360780065496</v>
      </c>
      <c r="X13" s="9">
        <f t="shared" si="14"/>
        <v>25.927680390032748</v>
      </c>
      <c r="Y13" s="9">
        <f t="shared" si="15"/>
        <v>17.285120260021831</v>
      </c>
      <c r="Z13" s="9">
        <f t="shared" si="16"/>
        <v>34.570240520043662</v>
      </c>
      <c r="AA13" s="9">
        <f t="shared" si="17"/>
        <v>674.11969014085139</v>
      </c>
      <c r="AB13" s="9">
        <f t="shared" si="18"/>
        <v>4.3212800650054577</v>
      </c>
      <c r="AC13" s="3">
        <f t="shared" si="19"/>
        <v>0.32998865950950768</v>
      </c>
      <c r="AD13" s="137">
        <f t="shared" si="20"/>
        <v>1.4260224214518009</v>
      </c>
    </row>
    <row r="14" spans="1:30" x14ac:dyDescent="0.25">
      <c r="A14" s="118" t="s">
        <v>8</v>
      </c>
      <c r="B14">
        <v>62.533500000825001</v>
      </c>
      <c r="C14">
        <v>46.888299998500003</v>
      </c>
      <c r="D14">
        <v>2.5102000000000002</v>
      </c>
      <c r="E14">
        <v>6.3624999999999998</v>
      </c>
      <c r="F14">
        <v>0.42</v>
      </c>
      <c r="G14">
        <v>0</v>
      </c>
      <c r="H14">
        <v>2.52</v>
      </c>
      <c r="I14" s="12">
        <f t="shared" si="0"/>
        <v>121.234499999325</v>
      </c>
      <c r="J14" s="147">
        <v>70.099999999999994</v>
      </c>
      <c r="K14" s="122">
        <f t="shared" si="3"/>
        <v>1876.00500002475</v>
      </c>
      <c r="L14" s="3">
        <f t="shared" si="4"/>
        <v>2813.2979999100003</v>
      </c>
      <c r="M14" s="3">
        <f t="shared" si="5"/>
        <v>75.306000000000012</v>
      </c>
      <c r="N14" s="3">
        <f t="shared" si="6"/>
        <v>127.25</v>
      </c>
      <c r="O14" s="3">
        <f t="shared" si="7"/>
        <v>16.8</v>
      </c>
      <c r="P14" s="3">
        <f t="shared" si="8"/>
        <v>0</v>
      </c>
      <c r="Q14" s="3">
        <f t="shared" si="9"/>
        <v>12.6</v>
      </c>
      <c r="R14" s="12">
        <f t="shared" si="1"/>
        <v>4921.2589999347501</v>
      </c>
      <c r="S14" s="149">
        <f t="shared" si="10"/>
        <v>40.592892286949265</v>
      </c>
      <c r="T14" s="129">
        <f t="shared" si="21"/>
        <v>1.7269033086991279</v>
      </c>
      <c r="U14" s="136">
        <f t="shared" si="11"/>
        <v>13.987916800462939</v>
      </c>
      <c r="V14" s="139">
        <f t="shared" si="12"/>
        <v>37.819182460510902</v>
      </c>
      <c r="W14" s="9">
        <f t="shared" si="13"/>
        <v>103.61419852194767</v>
      </c>
      <c r="X14" s="9">
        <f t="shared" si="14"/>
        <v>51.807099260973835</v>
      </c>
      <c r="Y14" s="9">
        <f t="shared" si="15"/>
        <v>34.538066173982557</v>
      </c>
      <c r="Z14" s="9">
        <f t="shared" si="16"/>
        <v>69.076132347965114</v>
      </c>
      <c r="AA14" s="9">
        <f t="shared" si="17"/>
        <v>1346.9845807853198</v>
      </c>
      <c r="AB14" s="9">
        <f t="shared" si="18"/>
        <v>8.6345165434956392</v>
      </c>
      <c r="AC14" s="3">
        <f t="shared" si="19"/>
        <v>0.65936308150330336</v>
      </c>
      <c r="AD14" s="137">
        <f t="shared" si="20"/>
        <v>2.8493904593535611</v>
      </c>
    </row>
    <row r="15" spans="1:30" x14ac:dyDescent="0.25">
      <c r="A15" s="118" t="s">
        <v>9</v>
      </c>
      <c r="B15">
        <v>223.31269998125001</v>
      </c>
      <c r="C15">
        <v>169.47569998494501</v>
      </c>
      <c r="D15">
        <v>66.913400000249993</v>
      </c>
      <c r="E15">
        <v>11.1035</v>
      </c>
      <c r="F15">
        <v>13.6</v>
      </c>
      <c r="G15">
        <v>0</v>
      </c>
      <c r="H15">
        <v>30</v>
      </c>
      <c r="I15" s="12">
        <f t="shared" si="0"/>
        <v>514.405299966445</v>
      </c>
      <c r="J15" s="147">
        <v>21.8</v>
      </c>
      <c r="K15" s="122">
        <f t="shared" si="3"/>
        <v>6699.3809994375006</v>
      </c>
      <c r="L15" s="3">
        <f t="shared" si="4"/>
        <v>10168.5419990967</v>
      </c>
      <c r="M15" s="3">
        <f t="shared" si="5"/>
        <v>2007.4020000074997</v>
      </c>
      <c r="N15" s="3">
        <f t="shared" si="6"/>
        <v>222.07</v>
      </c>
      <c r="O15" s="3">
        <f t="shared" si="7"/>
        <v>544</v>
      </c>
      <c r="P15" s="3">
        <f t="shared" si="8"/>
        <v>0</v>
      </c>
      <c r="Q15" s="3">
        <f t="shared" si="9"/>
        <v>150</v>
      </c>
      <c r="R15" s="12">
        <f t="shared" si="1"/>
        <v>19791.394998541702</v>
      </c>
      <c r="S15" s="149">
        <f t="shared" si="10"/>
        <v>38.474321706702298</v>
      </c>
      <c r="T15" s="129">
        <f t="shared" si="21"/>
        <v>0.56661167846403904</v>
      </c>
      <c r="U15" s="136">
        <f t="shared" si="11"/>
        <v>4.5895545955587167</v>
      </c>
      <c r="V15" s="139">
        <f t="shared" si="12"/>
        <v>12.408795758362453</v>
      </c>
      <c r="W15" s="9">
        <f t="shared" si="13"/>
        <v>33.996700707842344</v>
      </c>
      <c r="X15" s="9">
        <f t="shared" si="14"/>
        <v>16.998350353921172</v>
      </c>
      <c r="Y15" s="9">
        <f t="shared" si="15"/>
        <v>11.332233569280781</v>
      </c>
      <c r="Z15" s="9">
        <f t="shared" si="16"/>
        <v>22.664467138561562</v>
      </c>
      <c r="AA15" s="9">
        <f t="shared" si="17"/>
        <v>441.95710920195046</v>
      </c>
      <c r="AB15" s="9">
        <f t="shared" si="18"/>
        <v>2.8330583923201953</v>
      </c>
      <c r="AC15" s="3">
        <f t="shared" si="19"/>
        <v>0.21634264086808763</v>
      </c>
      <c r="AD15" s="137">
        <f t="shared" si="20"/>
        <v>0.93490926946566433</v>
      </c>
    </row>
    <row r="16" spans="1:30" x14ac:dyDescent="0.25">
      <c r="A16" s="118" t="s">
        <v>10</v>
      </c>
      <c r="B16">
        <v>3206.4422999630001</v>
      </c>
      <c r="C16">
        <v>1828.86240000045</v>
      </c>
      <c r="D16">
        <v>1169.6602</v>
      </c>
      <c r="E16">
        <v>644.1096</v>
      </c>
      <c r="F16">
        <v>40.204999999999998</v>
      </c>
      <c r="G16">
        <v>51.220399999999998</v>
      </c>
      <c r="H16">
        <v>306.60559999999998</v>
      </c>
      <c r="I16" s="12">
        <f t="shared" si="0"/>
        <v>7247.1054999634498</v>
      </c>
      <c r="J16" s="147">
        <v>93.9</v>
      </c>
      <c r="K16" s="122">
        <f t="shared" si="3"/>
        <v>96193.268998890009</v>
      </c>
      <c r="L16" s="3">
        <f t="shared" si="4"/>
        <v>109731.744000027</v>
      </c>
      <c r="M16" s="3">
        <f t="shared" si="5"/>
        <v>35089.806000000004</v>
      </c>
      <c r="N16" s="3">
        <f t="shared" si="6"/>
        <v>12882.191999999999</v>
      </c>
      <c r="O16" s="3">
        <f t="shared" si="7"/>
        <v>1608.1999999999998</v>
      </c>
      <c r="P16" s="3">
        <f t="shared" si="8"/>
        <v>39951.911999999997</v>
      </c>
      <c r="Q16" s="3">
        <f t="shared" si="9"/>
        <v>1533.0279999999998</v>
      </c>
      <c r="R16" s="12">
        <f t="shared" si="1"/>
        <v>296990.15099891706</v>
      </c>
      <c r="S16" s="149">
        <f t="shared" si="10"/>
        <v>40.980519877958848</v>
      </c>
      <c r="T16" s="129">
        <f t="shared" si="21"/>
        <v>2.2913325716617767</v>
      </c>
      <c r="U16" s="136">
        <f t="shared" si="11"/>
        <v>18.559793830460396</v>
      </c>
      <c r="V16" s="139">
        <f t="shared" si="12"/>
        <v>50.18018331939291</v>
      </c>
      <c r="W16" s="9">
        <f t="shared" si="13"/>
        <v>137.47995429970661</v>
      </c>
      <c r="X16" s="9">
        <f t="shared" si="14"/>
        <v>68.739977149853303</v>
      </c>
      <c r="Y16" s="9">
        <f t="shared" si="15"/>
        <v>45.826651433235533</v>
      </c>
      <c r="Z16" s="9">
        <f t="shared" si="16"/>
        <v>91.653302866471066</v>
      </c>
      <c r="AA16" s="9">
        <f t="shared" si="17"/>
        <v>1787.2394058961859</v>
      </c>
      <c r="AB16" s="9">
        <f t="shared" si="18"/>
        <v>11.456662858308883</v>
      </c>
      <c r="AC16" s="3">
        <f t="shared" si="19"/>
        <v>0.87487243645267843</v>
      </c>
      <c r="AD16" s="137">
        <f t="shared" si="20"/>
        <v>3.7806987432419312</v>
      </c>
    </row>
    <row r="17" spans="1:30" x14ac:dyDescent="0.25">
      <c r="A17" s="118" t="s">
        <v>11</v>
      </c>
      <c r="B17">
        <v>3137.1524001506</v>
      </c>
      <c r="C17">
        <v>3990.6946000449998</v>
      </c>
      <c r="D17">
        <v>1050.2373</v>
      </c>
      <c r="E17">
        <v>137.4958</v>
      </c>
      <c r="F17">
        <v>25.5</v>
      </c>
      <c r="G17">
        <v>0</v>
      </c>
      <c r="H17">
        <v>184.52</v>
      </c>
      <c r="I17" s="12">
        <f t="shared" si="0"/>
        <v>8525.6001001955992</v>
      </c>
      <c r="J17" s="147">
        <v>179.7</v>
      </c>
      <c r="K17" s="122">
        <f t="shared" si="3"/>
        <v>94114.572004518006</v>
      </c>
      <c r="L17" s="3">
        <f t="shared" si="4"/>
        <v>239441.6760027</v>
      </c>
      <c r="M17" s="3">
        <f t="shared" si="5"/>
        <v>31507.118999999999</v>
      </c>
      <c r="N17" s="3">
        <f t="shared" si="6"/>
        <v>2749.9160000000002</v>
      </c>
      <c r="O17" s="3">
        <f t="shared" si="7"/>
        <v>1020</v>
      </c>
      <c r="P17" s="3">
        <f t="shared" si="8"/>
        <v>0</v>
      </c>
      <c r="Q17" s="3">
        <f t="shared" si="9"/>
        <v>922.6</v>
      </c>
      <c r="R17" s="12">
        <f t="shared" si="1"/>
        <v>369755.88300721801</v>
      </c>
      <c r="S17" s="149">
        <f t="shared" si="10"/>
        <v>43.370071157657847</v>
      </c>
      <c r="T17" s="129">
        <f t="shared" si="21"/>
        <v>4.1434103104594602</v>
      </c>
      <c r="U17" s="136">
        <f t="shared" si="11"/>
        <v>33.561623514721632</v>
      </c>
      <c r="V17" s="139">
        <f t="shared" si="12"/>
        <v>90.740685799062177</v>
      </c>
      <c r="W17" s="9">
        <f t="shared" si="13"/>
        <v>248.60461862756762</v>
      </c>
      <c r="X17" s="9">
        <f t="shared" si="14"/>
        <v>124.30230931378381</v>
      </c>
      <c r="Y17" s="9">
        <f t="shared" si="15"/>
        <v>82.868206209189196</v>
      </c>
      <c r="Z17" s="9">
        <f t="shared" si="16"/>
        <v>165.73641241837839</v>
      </c>
      <c r="AA17" s="9">
        <f t="shared" si="17"/>
        <v>3231.8600421583787</v>
      </c>
      <c r="AB17" s="9">
        <f t="shared" si="18"/>
        <v>20.717051552297299</v>
      </c>
      <c r="AC17" s="3">
        <f t="shared" si="19"/>
        <v>1.5820293912663395</v>
      </c>
      <c r="AD17" s="137">
        <f t="shared" si="20"/>
        <v>6.8366270122581092</v>
      </c>
    </row>
    <row r="18" spans="1:30" x14ac:dyDescent="0.25">
      <c r="A18" s="118" t="s">
        <v>12</v>
      </c>
      <c r="B18" s="153" t="s">
        <v>56</v>
      </c>
      <c r="C18" s="153" t="s">
        <v>56</v>
      </c>
      <c r="D18" s="153" t="s">
        <v>56</v>
      </c>
      <c r="E18" s="153" t="s">
        <v>56</v>
      </c>
      <c r="F18" s="153" t="s">
        <v>56</v>
      </c>
      <c r="G18" s="153" t="s">
        <v>56</v>
      </c>
      <c r="H18" s="153" t="s">
        <v>56</v>
      </c>
      <c r="I18" s="153" t="s">
        <v>56</v>
      </c>
      <c r="J18" s="157" t="s">
        <v>56</v>
      </c>
      <c r="K18" s="153" t="s">
        <v>56</v>
      </c>
      <c r="L18" s="153" t="s">
        <v>56</v>
      </c>
      <c r="M18" s="153" t="s">
        <v>56</v>
      </c>
      <c r="N18" s="153" t="s">
        <v>56</v>
      </c>
      <c r="O18" s="153" t="s">
        <v>56</v>
      </c>
      <c r="P18" s="153" t="s">
        <v>56</v>
      </c>
      <c r="Q18" s="153" t="s">
        <v>56</v>
      </c>
      <c r="R18" s="153" t="s">
        <v>56</v>
      </c>
      <c r="S18" s="157" t="s">
        <v>56</v>
      </c>
      <c r="T18" s="155" t="s">
        <v>56</v>
      </c>
      <c r="U18" s="153" t="s">
        <v>56</v>
      </c>
      <c r="V18" s="153" t="s">
        <v>56</v>
      </c>
      <c r="W18" s="153" t="s">
        <v>56</v>
      </c>
      <c r="X18" s="153" t="s">
        <v>56</v>
      </c>
      <c r="Y18" s="153" t="s">
        <v>56</v>
      </c>
      <c r="Z18" s="153" t="s">
        <v>56</v>
      </c>
      <c r="AA18" s="153" t="s">
        <v>56</v>
      </c>
      <c r="AB18" s="153" t="s">
        <v>56</v>
      </c>
      <c r="AC18" s="153" t="s">
        <v>56</v>
      </c>
      <c r="AD18" s="158" t="s">
        <v>56</v>
      </c>
    </row>
    <row r="19" spans="1:30" x14ac:dyDescent="0.25">
      <c r="A19" s="118" t="s">
        <v>13</v>
      </c>
      <c r="B19">
        <v>150.98140000011</v>
      </c>
      <c r="C19">
        <v>295.17139998149997</v>
      </c>
      <c r="D19">
        <v>164.6747000025</v>
      </c>
      <c r="E19">
        <v>103.0187</v>
      </c>
      <c r="F19">
        <v>19.061</v>
      </c>
      <c r="G19">
        <v>6.58</v>
      </c>
      <c r="H19">
        <v>23.6</v>
      </c>
      <c r="I19" s="12">
        <f t="shared" si="0"/>
        <v>763.08719998411004</v>
      </c>
      <c r="J19" s="147">
        <v>230.6</v>
      </c>
      <c r="K19" s="122">
        <f t="shared" ref="K19:K25" si="22">B19*$K$39</f>
        <v>4529.4420000032997</v>
      </c>
      <c r="L19" s="3">
        <f t="shared" ref="L19:L25" si="23">C19*$L$39</f>
        <v>17710.283998889998</v>
      </c>
      <c r="M19" s="3">
        <f t="shared" ref="M19:M25" si="24">D19*$M$39</f>
        <v>4940.2410000750006</v>
      </c>
      <c r="N19" s="3">
        <f t="shared" ref="N19:N25" si="25">E19*$N$39</f>
        <v>2060.3739999999998</v>
      </c>
      <c r="O19" s="3">
        <f t="shared" ref="O19:O25" si="26">F19*$O$39</f>
        <v>762.44</v>
      </c>
      <c r="P19" s="3">
        <f t="shared" ref="P19:P25" si="27">G19*$P$39</f>
        <v>5132.3999999999996</v>
      </c>
      <c r="Q19" s="3">
        <f t="shared" ref="Q19:Q25" si="28">H19*$Q$39</f>
        <v>118</v>
      </c>
      <c r="R19" s="12">
        <f t="shared" si="1"/>
        <v>35253.180998968295</v>
      </c>
      <c r="S19" s="149">
        <f t="shared" ref="S19:S25" si="29">R19/I19</f>
        <v>46.198102916288441</v>
      </c>
      <c r="T19" s="129">
        <f>J19/S19</f>
        <v>4.9915469563295742</v>
      </c>
      <c r="U19" s="136">
        <f t="shared" ref="U19:U25" si="30">$U$39*$T19</f>
        <v>40.431530346269561</v>
      </c>
      <c r="V19" s="139">
        <f t="shared" ref="V19:V25" si="31">$V$39*$T19</f>
        <v>109.31487834361766</v>
      </c>
      <c r="W19" s="9">
        <f t="shared" ref="W19:W25" si="32">$W$39*$T19</f>
        <v>299.49281737977446</v>
      </c>
      <c r="X19" s="9">
        <f t="shared" ref="X19:X25" si="33">$X$39*$T19</f>
        <v>149.74640868988723</v>
      </c>
      <c r="Y19" s="9">
        <f t="shared" ref="Y19:Y25" si="34">$Y$39*$T19</f>
        <v>99.830939126591488</v>
      </c>
      <c r="Z19" s="9">
        <f t="shared" ref="Z19:Z25" si="35">$Z$39*$T19</f>
        <v>199.66187825318298</v>
      </c>
      <c r="AA19" s="9">
        <f t="shared" ref="AA19:AA25" si="36">$AA$39*$T19</f>
        <v>3893.4066259370679</v>
      </c>
      <c r="AB19" s="9">
        <f t="shared" ref="AB19:AB25" si="37">$AB$39*$T19</f>
        <v>24.957734781647872</v>
      </c>
      <c r="AC19" s="3">
        <f t="shared" ref="AC19:AC25" si="38">$AC$39*$T19</f>
        <v>1.9058633833258376</v>
      </c>
      <c r="AD19" s="137">
        <f t="shared" ref="AD19:AD25" si="39">$AD$39*$T19</f>
        <v>8.2360524779437974</v>
      </c>
    </row>
    <row r="20" spans="1:30" x14ac:dyDescent="0.25">
      <c r="A20" s="118" t="s">
        <v>14</v>
      </c>
      <c r="B20">
        <v>18.196300001205</v>
      </c>
      <c r="C20">
        <v>5.9117999998700004</v>
      </c>
      <c r="D20">
        <v>5.1560999999800003</v>
      </c>
      <c r="E20">
        <v>48.121200000000002</v>
      </c>
      <c r="F20">
        <v>7.0529999999999999</v>
      </c>
      <c r="G20">
        <v>0</v>
      </c>
      <c r="H20">
        <v>30.8</v>
      </c>
      <c r="I20" s="12">
        <f t="shared" si="0"/>
        <v>115.238400001055</v>
      </c>
      <c r="J20" s="147">
        <v>4.9000000000000004</v>
      </c>
      <c r="K20" s="122">
        <f t="shared" si="22"/>
        <v>545.88900003615004</v>
      </c>
      <c r="L20" s="3">
        <f t="shared" si="23"/>
        <v>354.70799999220003</v>
      </c>
      <c r="M20" s="3">
        <f t="shared" si="24"/>
        <v>154.68299999940001</v>
      </c>
      <c r="N20" s="3">
        <f t="shared" si="25"/>
        <v>962.42399999999998</v>
      </c>
      <c r="O20" s="3">
        <f t="shared" si="26"/>
        <v>282.12</v>
      </c>
      <c r="P20" s="3">
        <f t="shared" si="27"/>
        <v>0</v>
      </c>
      <c r="Q20" s="3">
        <f t="shared" si="28"/>
        <v>154</v>
      </c>
      <c r="R20" s="12">
        <f t="shared" si="1"/>
        <v>2453.8240000277501</v>
      </c>
      <c r="S20" s="149">
        <f t="shared" si="29"/>
        <v>21.293457736355986</v>
      </c>
      <c r="T20" s="129">
        <f t="shared" ref="T20:T25" si="40">J20/S20</f>
        <v>0.23011762864768773</v>
      </c>
      <c r="U20" s="136">
        <f t="shared" si="30"/>
        <v>1.8639527920462708</v>
      </c>
      <c r="V20" s="139">
        <f t="shared" si="31"/>
        <v>5.0395760673843606</v>
      </c>
      <c r="W20" s="9">
        <f t="shared" si="32"/>
        <v>13.807057718861264</v>
      </c>
      <c r="X20" s="9">
        <f t="shared" si="33"/>
        <v>6.9035288594306321</v>
      </c>
      <c r="Y20" s="9">
        <f t="shared" si="34"/>
        <v>4.6023525729537544</v>
      </c>
      <c r="Z20" s="9">
        <f t="shared" si="35"/>
        <v>9.2047051459075089</v>
      </c>
      <c r="AA20" s="9">
        <f t="shared" si="36"/>
        <v>179.49175034519644</v>
      </c>
      <c r="AB20" s="9">
        <f t="shared" si="37"/>
        <v>1.1505881432384386</v>
      </c>
      <c r="AC20" s="3">
        <f t="shared" si="38"/>
        <v>8.7863094574571685E-2</v>
      </c>
      <c r="AD20" s="137">
        <f t="shared" si="39"/>
        <v>0.37969408726868475</v>
      </c>
    </row>
    <row r="21" spans="1:30" x14ac:dyDescent="0.25">
      <c r="A21" s="118" t="s">
        <v>15</v>
      </c>
      <c r="B21">
        <v>1056.5957999990101</v>
      </c>
      <c r="C21">
        <v>260.94439999752501</v>
      </c>
      <c r="D21">
        <v>84.602000000000004</v>
      </c>
      <c r="E21">
        <v>293.36290002499999</v>
      </c>
      <c r="F21">
        <v>36.142000000000003</v>
      </c>
      <c r="G21">
        <v>0</v>
      </c>
      <c r="H21">
        <v>30</v>
      </c>
      <c r="I21" s="12">
        <f t="shared" si="0"/>
        <v>1761.6471000215354</v>
      </c>
      <c r="J21" s="147">
        <v>55.7</v>
      </c>
      <c r="K21" s="122">
        <f t="shared" si="22"/>
        <v>31697.873999970303</v>
      </c>
      <c r="L21" s="3">
        <f t="shared" si="23"/>
        <v>15656.6639998515</v>
      </c>
      <c r="M21" s="3">
        <f t="shared" si="24"/>
        <v>2538.06</v>
      </c>
      <c r="N21" s="3">
        <f t="shared" si="25"/>
        <v>5867.2580005</v>
      </c>
      <c r="O21" s="3">
        <f t="shared" si="26"/>
        <v>1445.68</v>
      </c>
      <c r="P21" s="3">
        <f t="shared" si="27"/>
        <v>0</v>
      </c>
      <c r="Q21" s="3">
        <f t="shared" si="28"/>
        <v>150</v>
      </c>
      <c r="R21" s="12">
        <f t="shared" si="1"/>
        <v>57355.536000321801</v>
      </c>
      <c r="S21" s="149">
        <f t="shared" si="29"/>
        <v>32.557903339221944</v>
      </c>
      <c r="T21" s="129">
        <f t="shared" si="40"/>
        <v>1.7107981254093587</v>
      </c>
      <c r="U21" s="136">
        <f t="shared" si="30"/>
        <v>13.857464815815808</v>
      </c>
      <c r="V21" s="139">
        <f t="shared" si="31"/>
        <v>37.466478946464953</v>
      </c>
      <c r="W21" s="9">
        <f t="shared" si="32"/>
        <v>102.64788752456153</v>
      </c>
      <c r="X21" s="9">
        <f t="shared" si="33"/>
        <v>51.323943762280763</v>
      </c>
      <c r="Y21" s="9">
        <f t="shared" si="34"/>
        <v>34.215962508187175</v>
      </c>
      <c r="Z21" s="9">
        <f t="shared" si="35"/>
        <v>68.43192501637435</v>
      </c>
      <c r="AA21" s="9">
        <f t="shared" si="36"/>
        <v>1334.4225378192998</v>
      </c>
      <c r="AB21" s="9">
        <f t="shared" si="37"/>
        <v>8.5539906270467938</v>
      </c>
      <c r="AC21" s="3">
        <f t="shared" si="38"/>
        <v>0.65321382970175512</v>
      </c>
      <c r="AD21" s="137">
        <f t="shared" si="39"/>
        <v>2.8228169069254418</v>
      </c>
    </row>
    <row r="22" spans="1:30" x14ac:dyDescent="0.25">
      <c r="A22" s="118" t="s">
        <v>16</v>
      </c>
      <c r="B22">
        <v>1669.1633000083</v>
      </c>
      <c r="C22">
        <v>971.00240004980003</v>
      </c>
      <c r="D22">
        <v>690.62549999999999</v>
      </c>
      <c r="E22">
        <v>592.34919997500003</v>
      </c>
      <c r="F22">
        <v>200.7</v>
      </c>
      <c r="G22">
        <v>31.151399999999999</v>
      </c>
      <c r="H22">
        <v>216.9128</v>
      </c>
      <c r="I22" s="12">
        <f t="shared" si="0"/>
        <v>4371.9046000331</v>
      </c>
      <c r="J22" s="147">
        <v>301.5</v>
      </c>
      <c r="K22" s="122">
        <f t="shared" si="22"/>
        <v>50074.899000249003</v>
      </c>
      <c r="L22" s="3">
        <f t="shared" si="23"/>
        <v>58260.144002988003</v>
      </c>
      <c r="M22" s="3">
        <f t="shared" si="24"/>
        <v>20718.764999999999</v>
      </c>
      <c r="N22" s="3">
        <f t="shared" si="25"/>
        <v>11846.9839995</v>
      </c>
      <c r="O22" s="3">
        <f t="shared" si="26"/>
        <v>8028</v>
      </c>
      <c r="P22" s="3">
        <f t="shared" si="27"/>
        <v>24298.092000000001</v>
      </c>
      <c r="Q22" s="3">
        <f t="shared" si="28"/>
        <v>1084.5640000000001</v>
      </c>
      <c r="R22" s="12">
        <f t="shared" si="1"/>
        <v>174311.44800273702</v>
      </c>
      <c r="S22" s="149">
        <f t="shared" si="29"/>
        <v>39.8708260929155</v>
      </c>
      <c r="T22" s="129">
        <f t="shared" si="40"/>
        <v>7.561920069009366</v>
      </c>
      <c r="U22" s="136">
        <f t="shared" si="30"/>
        <v>61.251552558975874</v>
      </c>
      <c r="V22" s="139">
        <f t="shared" si="31"/>
        <v>165.60604951130512</v>
      </c>
      <c r="W22" s="9">
        <f t="shared" si="32"/>
        <v>453.71520414056198</v>
      </c>
      <c r="X22" s="9">
        <f t="shared" si="33"/>
        <v>226.85760207028099</v>
      </c>
      <c r="Y22" s="9">
        <f t="shared" si="34"/>
        <v>151.23840138018733</v>
      </c>
      <c r="Z22" s="9">
        <f t="shared" si="35"/>
        <v>302.47680276037465</v>
      </c>
      <c r="AA22" s="9">
        <f t="shared" si="36"/>
        <v>5898.2976538273051</v>
      </c>
      <c r="AB22" s="9">
        <f t="shared" si="37"/>
        <v>37.809600345046832</v>
      </c>
      <c r="AC22" s="3">
        <f t="shared" si="38"/>
        <v>2.8872785718035763</v>
      </c>
      <c r="AD22" s="137">
        <f t="shared" si="39"/>
        <v>12.477168113865453</v>
      </c>
    </row>
    <row r="23" spans="1:30" x14ac:dyDescent="0.25">
      <c r="A23" s="118" t="s">
        <v>17</v>
      </c>
      <c r="B23">
        <v>106.058599980594</v>
      </c>
      <c r="C23">
        <v>33.071700000100002</v>
      </c>
      <c r="D23">
        <v>16.7499</v>
      </c>
      <c r="E23">
        <v>7.2082000002499997</v>
      </c>
      <c r="F23">
        <v>0</v>
      </c>
      <c r="G23">
        <v>3.7999999996000001E-3</v>
      </c>
      <c r="H23">
        <v>4.0540000000000003</v>
      </c>
      <c r="I23" s="12">
        <f t="shared" si="0"/>
        <v>167.14619998094358</v>
      </c>
      <c r="J23" s="147">
        <v>37.6</v>
      </c>
      <c r="K23" s="122">
        <f t="shared" si="22"/>
        <v>3181.75799941782</v>
      </c>
      <c r="L23" s="3">
        <f t="shared" si="23"/>
        <v>1984.3020000060001</v>
      </c>
      <c r="M23" s="3">
        <f t="shared" si="24"/>
        <v>502.49700000000001</v>
      </c>
      <c r="N23" s="3">
        <f t="shared" si="25"/>
        <v>144.16400000499999</v>
      </c>
      <c r="O23" s="3">
        <f t="shared" si="26"/>
        <v>0</v>
      </c>
      <c r="P23" s="3">
        <f t="shared" si="27"/>
        <v>2.9639999996880002</v>
      </c>
      <c r="Q23" s="3">
        <f t="shared" si="28"/>
        <v>20.270000000000003</v>
      </c>
      <c r="R23" s="12">
        <f t="shared" si="1"/>
        <v>5835.9549994285089</v>
      </c>
      <c r="S23" s="149">
        <f t="shared" si="29"/>
        <v>34.915271780596086</v>
      </c>
      <c r="T23" s="129">
        <f t="shared" si="40"/>
        <v>1.0768926627945064</v>
      </c>
      <c r="U23" s="136">
        <f t="shared" si="30"/>
        <v>8.7228305686355032</v>
      </c>
      <c r="V23" s="139">
        <f t="shared" si="31"/>
        <v>23.583949315199689</v>
      </c>
      <c r="W23" s="9">
        <f t="shared" si="32"/>
        <v>64.613559767670381</v>
      </c>
      <c r="X23" s="9">
        <f t="shared" si="33"/>
        <v>32.306779883835191</v>
      </c>
      <c r="Y23" s="9">
        <f t="shared" si="34"/>
        <v>21.537853255890127</v>
      </c>
      <c r="Z23" s="9">
        <f t="shared" si="35"/>
        <v>43.075706511780254</v>
      </c>
      <c r="AA23" s="9">
        <f t="shared" si="36"/>
        <v>839.97627697971495</v>
      </c>
      <c r="AB23" s="9">
        <f t="shared" si="37"/>
        <v>5.3844633139725318</v>
      </c>
      <c r="AC23" s="3">
        <f t="shared" si="38"/>
        <v>0.41117719852153878</v>
      </c>
      <c r="AD23" s="137">
        <f t="shared" si="39"/>
        <v>1.7768728936109355</v>
      </c>
    </row>
    <row r="24" spans="1:30" x14ac:dyDescent="0.25">
      <c r="A24" s="118" t="s">
        <v>18</v>
      </c>
      <c r="B24">
        <v>198.29020000017999</v>
      </c>
      <c r="C24">
        <v>78.480100003499999</v>
      </c>
      <c r="D24">
        <v>48.282699999899997</v>
      </c>
      <c r="E24">
        <v>7.5758999999999999</v>
      </c>
      <c r="F24">
        <v>0</v>
      </c>
      <c r="G24">
        <v>0</v>
      </c>
      <c r="H24">
        <v>6.8624000000000001</v>
      </c>
      <c r="I24" s="12">
        <f>SUM(B24:H24)</f>
        <v>339.49130000357997</v>
      </c>
      <c r="J24" s="147">
        <v>29</v>
      </c>
      <c r="K24" s="122">
        <f t="shared" si="22"/>
        <v>5948.7060000053998</v>
      </c>
      <c r="L24" s="3">
        <f t="shared" si="23"/>
        <v>4708.8060002100001</v>
      </c>
      <c r="M24" s="3">
        <f t="shared" si="24"/>
        <v>1448.4809999969998</v>
      </c>
      <c r="N24" s="3">
        <f t="shared" si="25"/>
        <v>151.518</v>
      </c>
      <c r="O24" s="3">
        <f t="shared" si="26"/>
        <v>0</v>
      </c>
      <c r="P24" s="3">
        <f t="shared" si="27"/>
        <v>0</v>
      </c>
      <c r="Q24" s="3">
        <f t="shared" si="28"/>
        <v>34.311999999999998</v>
      </c>
      <c r="R24" s="12">
        <f t="shared" si="1"/>
        <v>12291.8230002124</v>
      </c>
      <c r="S24" s="149">
        <f t="shared" si="29"/>
        <v>36.206592039568562</v>
      </c>
      <c r="T24" s="129">
        <f t="shared" si="40"/>
        <v>0.80095911728745972</v>
      </c>
      <c r="U24" s="136">
        <f t="shared" si="30"/>
        <v>6.4877688500284245</v>
      </c>
      <c r="V24" s="139">
        <f t="shared" si="31"/>
        <v>17.541004668595367</v>
      </c>
      <c r="W24" s="9">
        <f t="shared" si="32"/>
        <v>48.057547037247581</v>
      </c>
      <c r="X24" s="9">
        <f t="shared" si="33"/>
        <v>24.02877351862379</v>
      </c>
      <c r="Y24" s="9">
        <f t="shared" si="34"/>
        <v>16.019182345749194</v>
      </c>
      <c r="Z24" s="9">
        <f t="shared" si="35"/>
        <v>32.038364691498387</v>
      </c>
      <c r="AA24" s="9">
        <f t="shared" si="36"/>
        <v>624.74811148421861</v>
      </c>
      <c r="AB24" s="9">
        <f t="shared" si="37"/>
        <v>4.0047955864372984</v>
      </c>
      <c r="AC24" s="3">
        <f t="shared" si="38"/>
        <v>0.30582075387339375</v>
      </c>
      <c r="AD24" s="137">
        <f t="shared" si="39"/>
        <v>1.3215825435243085</v>
      </c>
    </row>
    <row r="25" spans="1:30" x14ac:dyDescent="0.25">
      <c r="A25" s="118" t="s">
        <v>19</v>
      </c>
      <c r="B25">
        <v>37.488200001817503</v>
      </c>
      <c r="C25">
        <v>11.451399997699999</v>
      </c>
      <c r="D25">
        <v>9.2499999999999999E-2</v>
      </c>
      <c r="E25">
        <v>5.6000000000000001E-2</v>
      </c>
      <c r="F25">
        <v>0</v>
      </c>
      <c r="G25">
        <v>0</v>
      </c>
      <c r="H25">
        <v>1.9448000000000001</v>
      </c>
      <c r="I25" s="12">
        <f t="shared" si="0"/>
        <v>51.032899999517504</v>
      </c>
      <c r="J25" s="147">
        <v>52.1</v>
      </c>
      <c r="K25" s="122">
        <f t="shared" si="22"/>
        <v>1124.6460000545251</v>
      </c>
      <c r="L25" s="3">
        <f t="shared" si="23"/>
        <v>687.08399986199993</v>
      </c>
      <c r="M25" s="3">
        <f t="shared" si="24"/>
        <v>2.7749999999999999</v>
      </c>
      <c r="N25" s="3">
        <f t="shared" si="25"/>
        <v>1.1200000000000001</v>
      </c>
      <c r="O25" s="3">
        <f t="shared" si="26"/>
        <v>0</v>
      </c>
      <c r="P25" s="3">
        <f t="shared" si="27"/>
        <v>0</v>
      </c>
      <c r="Q25" s="3">
        <f t="shared" si="28"/>
        <v>9.7240000000000002</v>
      </c>
      <c r="R25" s="12">
        <f t="shared" si="1"/>
        <v>1825.3489999165249</v>
      </c>
      <c r="S25" s="149">
        <f t="shared" si="29"/>
        <v>35.768082941274805</v>
      </c>
      <c r="T25" s="129">
        <f t="shared" si="40"/>
        <v>1.4566058819965124</v>
      </c>
      <c r="U25" s="136">
        <f t="shared" si="30"/>
        <v>11.798507644171753</v>
      </c>
      <c r="V25" s="139">
        <f t="shared" si="31"/>
        <v>31.899668815723619</v>
      </c>
      <c r="W25" s="9">
        <f t="shared" si="32"/>
        <v>87.396352919790743</v>
      </c>
      <c r="X25" s="9">
        <f t="shared" si="33"/>
        <v>43.698176459895372</v>
      </c>
      <c r="Y25" s="9">
        <f t="shared" si="34"/>
        <v>29.13211763993025</v>
      </c>
      <c r="Z25" s="9">
        <f t="shared" si="35"/>
        <v>58.2642352798605</v>
      </c>
      <c r="AA25" s="9">
        <f t="shared" si="36"/>
        <v>1136.1525879572796</v>
      </c>
      <c r="AB25" s="9">
        <f t="shared" si="37"/>
        <v>7.2830294099825625</v>
      </c>
      <c r="AC25" s="3">
        <f t="shared" si="38"/>
        <v>0.55615860948957752</v>
      </c>
      <c r="AD25" s="137">
        <f t="shared" si="39"/>
        <v>2.4033997052942455</v>
      </c>
    </row>
    <row r="26" spans="1:30" x14ac:dyDescent="0.25">
      <c r="A26" s="118" t="s">
        <v>20</v>
      </c>
      <c r="B26" s="153" t="s">
        <v>56</v>
      </c>
      <c r="C26" s="153" t="s">
        <v>56</v>
      </c>
      <c r="D26" s="153" t="s">
        <v>56</v>
      </c>
      <c r="E26" s="153" t="s">
        <v>56</v>
      </c>
      <c r="F26" s="153" t="s">
        <v>56</v>
      </c>
      <c r="G26" s="153" t="s">
        <v>56</v>
      </c>
      <c r="H26" s="153" t="s">
        <v>56</v>
      </c>
      <c r="I26" s="153" t="s">
        <v>56</v>
      </c>
      <c r="J26" s="157" t="s">
        <v>56</v>
      </c>
      <c r="K26" s="153" t="s">
        <v>56</v>
      </c>
      <c r="L26" s="153" t="s">
        <v>56</v>
      </c>
      <c r="M26" s="153" t="s">
        <v>56</v>
      </c>
      <c r="N26" s="153" t="s">
        <v>56</v>
      </c>
      <c r="O26" s="153" t="s">
        <v>56</v>
      </c>
      <c r="P26" s="153" t="s">
        <v>56</v>
      </c>
      <c r="Q26" s="153" t="s">
        <v>56</v>
      </c>
      <c r="R26" s="153" t="s">
        <v>56</v>
      </c>
      <c r="S26" s="154" t="s">
        <v>56</v>
      </c>
      <c r="T26" s="155" t="s">
        <v>56</v>
      </c>
      <c r="U26" s="153" t="s">
        <v>56</v>
      </c>
      <c r="V26" s="153" t="s">
        <v>56</v>
      </c>
      <c r="W26" s="153" t="s">
        <v>56</v>
      </c>
      <c r="X26" s="153" t="s">
        <v>56</v>
      </c>
      <c r="Y26" s="153" t="s">
        <v>56</v>
      </c>
      <c r="Z26" s="153" t="s">
        <v>56</v>
      </c>
      <c r="AA26" s="153" t="s">
        <v>56</v>
      </c>
      <c r="AB26" s="153" t="s">
        <v>56</v>
      </c>
      <c r="AC26" s="153" t="s">
        <v>56</v>
      </c>
      <c r="AD26" s="158" t="s">
        <v>56</v>
      </c>
    </row>
    <row r="27" spans="1:30" x14ac:dyDescent="0.25">
      <c r="A27" s="118" t="s">
        <v>21</v>
      </c>
      <c r="B27">
        <v>1047.36810000175</v>
      </c>
      <c r="C27">
        <v>1473.3339999674999</v>
      </c>
      <c r="D27">
        <v>393.058300000001</v>
      </c>
      <c r="E27">
        <v>94.656300000000002</v>
      </c>
      <c r="F27">
        <v>45.954000000000001</v>
      </c>
      <c r="G27">
        <v>2.7551999999999999</v>
      </c>
      <c r="H27">
        <v>169.2</v>
      </c>
      <c r="I27" s="12">
        <f>SUM(B27:H27)</f>
        <v>3226.3258999692512</v>
      </c>
      <c r="J27" s="147">
        <v>69.900000000000006</v>
      </c>
      <c r="K27" s="122">
        <f>B27*$K$39</f>
        <v>31421.043000052501</v>
      </c>
      <c r="L27" s="3">
        <f>C27*$L$39</f>
        <v>88400.039998049993</v>
      </c>
      <c r="M27" s="3">
        <f>D27*$M$39</f>
        <v>11791.749000000031</v>
      </c>
      <c r="N27" s="3">
        <f>E27*$N$39</f>
        <v>1893.126</v>
      </c>
      <c r="O27" s="3">
        <f>F27*$O$39</f>
        <v>1838.16</v>
      </c>
      <c r="P27" s="3">
        <f>G27*$P$39</f>
        <v>2149.056</v>
      </c>
      <c r="Q27" s="3">
        <f>H27*$Q$39</f>
        <v>846</v>
      </c>
      <c r="R27" s="12">
        <f>SUM(K27:Q27)</f>
        <v>138339.17399810255</v>
      </c>
      <c r="S27" s="149">
        <f>R27/I27</f>
        <v>42.878239299824301</v>
      </c>
      <c r="T27" s="129">
        <f>J27/S27</f>
        <v>1.6301975347268149</v>
      </c>
      <c r="U27" s="136">
        <f>$U$39*$T27</f>
        <v>13.204600031287203</v>
      </c>
      <c r="V27" s="139">
        <f>$V$39*$T27</f>
        <v>35.701326010517242</v>
      </c>
      <c r="W27" s="9">
        <f>$W$39*$T27</f>
        <v>97.811852083608898</v>
      </c>
      <c r="X27" s="9">
        <f>$X$39*$T27</f>
        <v>48.905926041804449</v>
      </c>
      <c r="Y27" s="9">
        <f>$Y$39*$T27</f>
        <v>32.603950694536302</v>
      </c>
      <c r="Z27" s="9">
        <f>$Z$39*$T27</f>
        <v>65.207901389072603</v>
      </c>
      <c r="AA27" s="9">
        <f>$AA$39*$T27</f>
        <v>1271.5540770869156</v>
      </c>
      <c r="AB27" s="9">
        <f>$AB$39*$T27</f>
        <v>8.1509876736340754</v>
      </c>
      <c r="AC27" s="3">
        <f>$AC$39*$T27</f>
        <v>0.62243905871387484</v>
      </c>
      <c r="AD27" s="137">
        <f>$AD$39*$T27</f>
        <v>2.6898259322992444</v>
      </c>
    </row>
    <row r="28" spans="1:30" x14ac:dyDescent="0.25">
      <c r="A28" s="118" t="s">
        <v>22</v>
      </c>
      <c r="B28">
        <v>224.5122999804</v>
      </c>
      <c r="C28">
        <v>127.5922999958</v>
      </c>
      <c r="D28">
        <v>74.095399999999998</v>
      </c>
      <c r="E28">
        <v>101.362800025</v>
      </c>
      <c r="F28">
        <v>1246.5440000000001</v>
      </c>
      <c r="G28">
        <v>0</v>
      </c>
      <c r="H28">
        <v>50</v>
      </c>
      <c r="I28" s="12">
        <f t="shared" ref="I28:I35" si="41">SUM(B28:H28)</f>
        <v>1824.1068000012001</v>
      </c>
      <c r="J28" s="147">
        <v>3.5</v>
      </c>
      <c r="K28" s="122">
        <f t="shared" ref="K28:K37" si="42">B28*$K$39</f>
        <v>6735.3689994120004</v>
      </c>
      <c r="L28" s="3">
        <f t="shared" ref="L28:L37" si="43">C28*$L$39</f>
        <v>7655.5379997480004</v>
      </c>
      <c r="M28" s="3">
        <f t="shared" ref="M28:M37" si="44">D28*$M$39</f>
        <v>2222.8620000000001</v>
      </c>
      <c r="N28" s="3">
        <f t="shared" ref="N28:N37" si="45">E28*$N$39</f>
        <v>2027.2560005</v>
      </c>
      <c r="O28" s="3">
        <f t="shared" ref="O28:O37" si="46">F28*$O$39</f>
        <v>49861.760000000002</v>
      </c>
      <c r="P28" s="3">
        <f t="shared" ref="P28:P37" si="47">G28*$P$39</f>
        <v>0</v>
      </c>
      <c r="Q28" s="3">
        <f t="shared" ref="Q28:Q37" si="48">H28*$Q$39</f>
        <v>250</v>
      </c>
      <c r="R28" s="12">
        <f t="shared" ref="R28:R37" si="49">SUM(K28:Q28)</f>
        <v>68752.784999660013</v>
      </c>
      <c r="S28" s="149">
        <f>R28/I28</f>
        <v>37.691205909442793</v>
      </c>
      <c r="T28" s="129">
        <f t="shared" ref="T28:T30" si="50">J28/S28</f>
        <v>9.2859857241212429E-2</v>
      </c>
      <c r="U28" s="136">
        <f>$U$39*$T28</f>
        <v>0.75216484365382086</v>
      </c>
      <c r="V28" s="139">
        <f>$V$39*$T28</f>
        <v>2.0336308735825521</v>
      </c>
      <c r="W28" s="9">
        <f>$W$39*$T28</f>
        <v>5.5715914344727455</v>
      </c>
      <c r="X28" s="9">
        <f>$X$39*$T28</f>
        <v>2.7857957172363728</v>
      </c>
      <c r="Y28" s="9">
        <f>$Y$39*$T28</f>
        <v>1.8571971448242486</v>
      </c>
      <c r="Z28" s="9">
        <f>$Z$39*$T28</f>
        <v>3.7143942896484972</v>
      </c>
      <c r="AA28" s="9">
        <f>$AA$39*$T28</f>
        <v>72.43068864814569</v>
      </c>
      <c r="AB28" s="9">
        <f>$AB$39*$T28</f>
        <v>0.46429928620606215</v>
      </c>
      <c r="AC28" s="3">
        <f>$AC$39*$T28</f>
        <v>3.5455581855735656E-2</v>
      </c>
      <c r="AD28" s="137">
        <f>$AD$39*$T28</f>
        <v>0.15321876444800051</v>
      </c>
    </row>
    <row r="29" spans="1:30" x14ac:dyDescent="0.25">
      <c r="A29" s="118" t="s">
        <v>23</v>
      </c>
      <c r="B29">
        <v>1446.9337999804</v>
      </c>
      <c r="C29">
        <v>1326.8051000749499</v>
      </c>
      <c r="D29">
        <v>925.55599998499997</v>
      </c>
      <c r="E29">
        <v>18.148299999999999</v>
      </c>
      <c r="F29">
        <v>31.257950000000001</v>
      </c>
      <c r="G29">
        <v>0</v>
      </c>
      <c r="H29">
        <v>88.8</v>
      </c>
      <c r="I29" s="12">
        <f t="shared" si="41"/>
        <v>3837.5011500403498</v>
      </c>
      <c r="J29" s="147">
        <v>150.30000000000001</v>
      </c>
      <c r="K29" s="122">
        <f t="shared" si="42"/>
        <v>43408.013999411996</v>
      </c>
      <c r="L29" s="3">
        <f t="shared" si="43"/>
        <v>79608.30600449699</v>
      </c>
      <c r="M29" s="3">
        <f t="shared" si="44"/>
        <v>27766.679999550001</v>
      </c>
      <c r="N29" s="3">
        <f t="shared" si="45"/>
        <v>362.96600000000001</v>
      </c>
      <c r="O29" s="3">
        <f t="shared" si="46"/>
        <v>1250.318</v>
      </c>
      <c r="P29" s="3">
        <f t="shared" si="47"/>
        <v>0</v>
      </c>
      <c r="Q29" s="3">
        <f t="shared" si="48"/>
        <v>444</v>
      </c>
      <c r="R29" s="12">
        <f t="shared" si="49"/>
        <v>152840.28400345898</v>
      </c>
      <c r="S29" s="149">
        <f>R29/I29</f>
        <v>39.828075100863991</v>
      </c>
      <c r="T29" s="129">
        <f t="shared" si="50"/>
        <v>3.7737199103739649</v>
      </c>
      <c r="U29" s="136">
        <f>$U$39*$T29</f>
        <v>30.567131274029123</v>
      </c>
      <c r="V29" s="139">
        <f>$V$39*$T29</f>
        <v>82.644466037189829</v>
      </c>
      <c r="W29" s="9">
        <f>$W$39*$T29</f>
        <v>226.4231946224379</v>
      </c>
      <c r="X29" s="9">
        <f>$X$39*$T29</f>
        <v>113.21159731121895</v>
      </c>
      <c r="Y29" s="9">
        <f>$Y$39*$T29</f>
        <v>75.474398207479297</v>
      </c>
      <c r="Z29" s="9">
        <f>$Z$39*$T29</f>
        <v>150.94879641495859</v>
      </c>
      <c r="AA29" s="9">
        <f>$AA$39*$T29</f>
        <v>2943.5015300916925</v>
      </c>
      <c r="AB29" s="9">
        <f>$AB$39*$T29</f>
        <v>18.868599551869824</v>
      </c>
      <c r="AC29" s="3">
        <f>$AC$39*$T29</f>
        <v>1.4408748748700595</v>
      </c>
      <c r="AD29" s="137">
        <f>$AD$39*$T29</f>
        <v>6.226637852117042</v>
      </c>
    </row>
    <row r="30" spans="1:30" x14ac:dyDescent="0.25">
      <c r="A30" s="118" t="s">
        <v>24</v>
      </c>
      <c r="B30">
        <v>223.35219997895001</v>
      </c>
      <c r="C30">
        <v>320.03820003250001</v>
      </c>
      <c r="D30">
        <v>203.13580000050001</v>
      </c>
      <c r="E30">
        <v>175.6437</v>
      </c>
      <c r="F30">
        <v>10.32</v>
      </c>
      <c r="G30">
        <v>7.2889000002</v>
      </c>
      <c r="H30">
        <v>31.2</v>
      </c>
      <c r="I30" s="12">
        <f t="shared" si="41"/>
        <v>970.97880001215015</v>
      </c>
      <c r="J30" s="147">
        <v>184.8</v>
      </c>
      <c r="K30" s="122">
        <f t="shared" si="42"/>
        <v>6700.5659993685003</v>
      </c>
      <c r="L30" s="3">
        <f t="shared" si="43"/>
        <v>19202.292001950002</v>
      </c>
      <c r="M30" s="3">
        <f t="shared" si="44"/>
        <v>6094.0740000149999</v>
      </c>
      <c r="N30" s="3">
        <f t="shared" si="45"/>
        <v>3512.8739999999998</v>
      </c>
      <c r="O30" s="3">
        <f t="shared" si="46"/>
        <v>412.8</v>
      </c>
      <c r="P30" s="3">
        <f t="shared" si="47"/>
        <v>5685.3420001559998</v>
      </c>
      <c r="Q30" s="3">
        <f t="shared" si="48"/>
        <v>156</v>
      </c>
      <c r="R30" s="12">
        <f t="shared" si="49"/>
        <v>41763.948001489509</v>
      </c>
      <c r="S30" s="149">
        <f>R30/I30</f>
        <v>43.012214067873472</v>
      </c>
      <c r="T30" s="129">
        <f t="shared" si="50"/>
        <v>4.2964540190464211</v>
      </c>
      <c r="U30" s="136">
        <f>$U$39*$T30</f>
        <v>34.80127755427602</v>
      </c>
      <c r="V30" s="139">
        <f>$V$39*$T30</f>
        <v>94.092343017116619</v>
      </c>
      <c r="W30" s="9">
        <f>$W$39*$T30</f>
        <v>257.78724114278526</v>
      </c>
      <c r="X30" s="9">
        <f>$X$39*$T30</f>
        <v>128.89362057139263</v>
      </c>
      <c r="Y30" s="9">
        <f>$Y$39*$T30</f>
        <v>85.929080380928426</v>
      </c>
      <c r="Z30" s="9">
        <f>$Z$39*$T30</f>
        <v>171.85816076185685</v>
      </c>
      <c r="AA30" s="9">
        <f>$AA$39*$T30</f>
        <v>3351.2341348562086</v>
      </c>
      <c r="AB30" s="9">
        <f>$AB$39*$T30</f>
        <v>21.482270095232106</v>
      </c>
      <c r="AC30" s="3">
        <f>$AC$39*$T30</f>
        <v>1.6404642618177245</v>
      </c>
      <c r="AD30" s="137">
        <f>$AD$39*$T30</f>
        <v>7.0891491314265949</v>
      </c>
    </row>
    <row r="31" spans="1:30" x14ac:dyDescent="0.25">
      <c r="A31" s="118" t="s">
        <v>25</v>
      </c>
      <c r="B31" s="153" t="s">
        <v>56</v>
      </c>
      <c r="C31" s="153" t="s">
        <v>56</v>
      </c>
      <c r="D31" s="153" t="s">
        <v>56</v>
      </c>
      <c r="E31" s="153" t="s">
        <v>56</v>
      </c>
      <c r="F31" s="153" t="s">
        <v>56</v>
      </c>
      <c r="G31" s="153" t="s">
        <v>56</v>
      </c>
      <c r="H31" s="153" t="s">
        <v>56</v>
      </c>
      <c r="I31" s="153" t="s">
        <v>56</v>
      </c>
      <c r="J31" s="157" t="s">
        <v>56</v>
      </c>
      <c r="K31" s="153" t="s">
        <v>56</v>
      </c>
      <c r="L31" s="153" t="s">
        <v>56</v>
      </c>
      <c r="M31" s="153" t="s">
        <v>56</v>
      </c>
      <c r="N31" s="153" t="s">
        <v>56</v>
      </c>
      <c r="O31" s="153" t="s">
        <v>56</v>
      </c>
      <c r="P31" s="153" t="s">
        <v>56</v>
      </c>
      <c r="Q31" s="153" t="s">
        <v>56</v>
      </c>
      <c r="R31" s="153" t="s">
        <v>56</v>
      </c>
      <c r="S31" s="154" t="s">
        <v>56</v>
      </c>
      <c r="T31" s="155" t="s">
        <v>56</v>
      </c>
      <c r="U31" s="153" t="s">
        <v>56</v>
      </c>
      <c r="V31" s="153" t="s">
        <v>56</v>
      </c>
      <c r="W31" s="153" t="s">
        <v>56</v>
      </c>
      <c r="X31" s="153" t="s">
        <v>56</v>
      </c>
      <c r="Y31" s="153" t="s">
        <v>56</v>
      </c>
      <c r="Z31" s="153" t="s">
        <v>56</v>
      </c>
      <c r="AA31" s="153" t="s">
        <v>56</v>
      </c>
      <c r="AB31" s="153" t="s">
        <v>56</v>
      </c>
      <c r="AC31" s="153" t="s">
        <v>56</v>
      </c>
      <c r="AD31" s="158" t="s">
        <v>56</v>
      </c>
    </row>
    <row r="32" spans="1:30" x14ac:dyDescent="0.25">
      <c r="A32" s="118" t="s">
        <v>26</v>
      </c>
      <c r="B32">
        <v>100.375300000884</v>
      </c>
      <c r="C32">
        <v>59.305779997499997</v>
      </c>
      <c r="D32">
        <v>49.6641975</v>
      </c>
      <c r="E32">
        <v>32.676799997499998</v>
      </c>
      <c r="F32">
        <v>2.4620000000000002</v>
      </c>
      <c r="G32">
        <v>5.6756000000000003E-3</v>
      </c>
      <c r="H32">
        <v>2.6848000000000001</v>
      </c>
      <c r="I32" s="12">
        <f t="shared" si="41"/>
        <v>247.17455309588397</v>
      </c>
      <c r="J32" s="147">
        <v>59.2</v>
      </c>
      <c r="K32" s="122">
        <f t="shared" si="42"/>
        <v>3011.25900002652</v>
      </c>
      <c r="L32" s="3">
        <f t="shared" si="43"/>
        <v>3558.34679985</v>
      </c>
      <c r="M32" s="3">
        <f t="shared" si="44"/>
        <v>1489.925925</v>
      </c>
      <c r="N32" s="3">
        <f t="shared" si="45"/>
        <v>653.5359999499999</v>
      </c>
      <c r="O32" s="3">
        <f t="shared" si="46"/>
        <v>98.48</v>
      </c>
      <c r="P32" s="3">
        <f t="shared" si="47"/>
        <v>4.4269680000000005</v>
      </c>
      <c r="Q32" s="3">
        <f t="shared" si="48"/>
        <v>13.423999999999999</v>
      </c>
      <c r="R32" s="12">
        <f t="shared" si="49"/>
        <v>8829.3986928265203</v>
      </c>
      <c r="S32" s="149">
        <f>R32/I32</f>
        <v>35.721309423795823</v>
      </c>
      <c r="T32" s="129">
        <f>J32/S32</f>
        <v>1.6572740740731022</v>
      </c>
      <c r="U32" s="136">
        <f t="shared" ref="U32:U35" si="51">$U$39*$T32</f>
        <v>13.42391999999213</v>
      </c>
      <c r="V32" s="139">
        <f t="shared" ref="V32:V37" si="52">$V$39*$T32</f>
        <v>36.294302222200933</v>
      </c>
      <c r="W32" s="9">
        <f t="shared" ref="W32:W35" si="53">$W$39*$T32</f>
        <v>99.43644444438614</v>
      </c>
      <c r="X32" s="9">
        <f t="shared" ref="X32:X37" si="54">$X$39*$T32</f>
        <v>49.71822222219307</v>
      </c>
      <c r="Y32" s="9">
        <f t="shared" ref="Y32:Y37" si="55">$Y$39*$T32</f>
        <v>33.145481481462042</v>
      </c>
      <c r="Z32" s="9">
        <f t="shared" ref="Z32:Z37" si="56">$Z$39*$T32</f>
        <v>66.290962962924084</v>
      </c>
      <c r="AA32" s="9">
        <f t="shared" ref="AA32:AA37" si="57">$AA$39*$T32</f>
        <v>1292.6737777770197</v>
      </c>
      <c r="AB32" s="9">
        <f t="shared" ref="AB32:AB37" si="58">$AB$39*$T32</f>
        <v>8.2863703703655105</v>
      </c>
      <c r="AC32" s="3">
        <f t="shared" ref="AC32:AC37" si="59">$AC$39*$T32</f>
        <v>0.63277737373700271</v>
      </c>
      <c r="AD32" s="137">
        <f t="shared" ref="AD32:AD37" si="60">$AD$39*$T32</f>
        <v>2.7345022222206183</v>
      </c>
    </row>
    <row r="33" spans="1:30" x14ac:dyDescent="0.25">
      <c r="A33" s="118" t="s">
        <v>27</v>
      </c>
      <c r="B33">
        <v>97.509299981887494</v>
      </c>
      <c r="C33">
        <v>24.797900000685001</v>
      </c>
      <c r="D33">
        <v>35.738899999899999</v>
      </c>
      <c r="E33">
        <v>10.5054000025</v>
      </c>
      <c r="F33">
        <v>0.88</v>
      </c>
      <c r="G33">
        <v>4.2000000000000003E-2</v>
      </c>
      <c r="H33">
        <v>10.7072</v>
      </c>
      <c r="I33" s="12">
        <f>SUM(B33:H33)</f>
        <v>180.18069998497251</v>
      </c>
      <c r="J33" s="147">
        <v>22.3</v>
      </c>
      <c r="K33" s="122">
        <f t="shared" si="42"/>
        <v>2925.2789994566247</v>
      </c>
      <c r="L33" s="3">
        <f t="shared" si="43"/>
        <v>1487.8740000411001</v>
      </c>
      <c r="M33" s="3">
        <f t="shared" si="44"/>
        <v>1072.1669999969999</v>
      </c>
      <c r="N33" s="3">
        <f t="shared" si="45"/>
        <v>210.10800004999999</v>
      </c>
      <c r="O33" s="3">
        <f t="shared" si="46"/>
        <v>35.200000000000003</v>
      </c>
      <c r="P33" s="3">
        <f t="shared" si="47"/>
        <v>32.760000000000005</v>
      </c>
      <c r="Q33" s="3">
        <f t="shared" si="48"/>
        <v>53.536000000000001</v>
      </c>
      <c r="R33" s="12">
        <f t="shared" si="49"/>
        <v>5816.9239995447242</v>
      </c>
      <c r="S33" s="149">
        <f>R33/I33</f>
        <v>32.283835061301623</v>
      </c>
      <c r="T33" s="129">
        <f t="shared" ref="T33:T35" si="61">J33/S33</f>
        <v>0.69074817033527824</v>
      </c>
      <c r="U33" s="136">
        <f>$U$39*$T33</f>
        <v>5.5950601797157544</v>
      </c>
      <c r="V33" s="139">
        <f t="shared" si="52"/>
        <v>15.127384930342593</v>
      </c>
      <c r="W33" s="9">
        <f t="shared" si="53"/>
        <v>41.444890220116697</v>
      </c>
      <c r="X33" s="9">
        <f t="shared" si="54"/>
        <v>20.722445110058349</v>
      </c>
      <c r="Y33" s="9">
        <f t="shared" si="55"/>
        <v>13.814963406705566</v>
      </c>
      <c r="Z33" s="9">
        <f t="shared" si="56"/>
        <v>27.629926813411132</v>
      </c>
      <c r="AA33" s="9">
        <f t="shared" si="57"/>
        <v>538.78357286151709</v>
      </c>
      <c r="AB33" s="9">
        <f t="shared" si="58"/>
        <v>3.4537408516763914</v>
      </c>
      <c r="AC33" s="3">
        <f t="shared" si="59"/>
        <v>0.26374021049165169</v>
      </c>
      <c r="AD33" s="137">
        <f t="shared" si="60"/>
        <v>1.1397344810532091</v>
      </c>
    </row>
    <row r="34" spans="1:30" x14ac:dyDescent="0.25">
      <c r="A34" s="118" t="s">
        <v>28</v>
      </c>
      <c r="B34">
        <v>891.36229998285</v>
      </c>
      <c r="C34">
        <v>3292.3578000460002</v>
      </c>
      <c r="D34">
        <v>715.99919998999997</v>
      </c>
      <c r="E34">
        <v>1436.8169002499999</v>
      </c>
      <c r="F34">
        <v>274.22300000000001</v>
      </c>
      <c r="G34">
        <v>74.775400000000005</v>
      </c>
      <c r="H34">
        <v>258.04640000000001</v>
      </c>
      <c r="I34" s="12">
        <f t="shared" si="41"/>
        <v>6943.5810002688513</v>
      </c>
      <c r="J34" s="147">
        <v>317</v>
      </c>
      <c r="K34" s="122">
        <f t="shared" si="42"/>
        <v>26740.868999485501</v>
      </c>
      <c r="L34" s="3">
        <f t="shared" si="43"/>
        <v>197541.46800276003</v>
      </c>
      <c r="M34" s="3">
        <f t="shared" si="44"/>
        <v>21479.9759997</v>
      </c>
      <c r="N34" s="3">
        <f t="shared" si="45"/>
        <v>28736.338004999998</v>
      </c>
      <c r="O34" s="3">
        <f t="shared" si="46"/>
        <v>10968.92</v>
      </c>
      <c r="P34" s="3">
        <f t="shared" si="47"/>
        <v>58324.812000000005</v>
      </c>
      <c r="Q34" s="3">
        <f t="shared" si="48"/>
        <v>1290.232</v>
      </c>
      <c r="R34" s="12">
        <f t="shared" si="49"/>
        <v>345082.6150069455</v>
      </c>
      <c r="S34" s="149">
        <f>R34/I34</f>
        <v>49.698075819031146</v>
      </c>
      <c r="T34" s="129">
        <f>J34/S34</f>
        <v>6.3785165678106495</v>
      </c>
      <c r="U34" s="136">
        <f t="shared" si="51"/>
        <v>51.665984199266269</v>
      </c>
      <c r="V34" s="139">
        <f t="shared" si="52"/>
        <v>139.68951283505322</v>
      </c>
      <c r="W34" s="9">
        <f t="shared" si="53"/>
        <v>382.71099406863897</v>
      </c>
      <c r="X34" s="9">
        <f t="shared" si="54"/>
        <v>191.35549703431948</v>
      </c>
      <c r="Y34" s="9">
        <f t="shared" si="55"/>
        <v>127.57033135621299</v>
      </c>
      <c r="Z34" s="9">
        <f t="shared" si="56"/>
        <v>255.14066271242598</v>
      </c>
      <c r="AA34" s="9">
        <f t="shared" si="57"/>
        <v>4975.2429228923065</v>
      </c>
      <c r="AB34" s="9">
        <f t="shared" si="58"/>
        <v>31.892582839053247</v>
      </c>
      <c r="AC34" s="3">
        <f t="shared" si="59"/>
        <v>2.4354335986186118</v>
      </c>
      <c r="AD34" s="137">
        <f t="shared" si="60"/>
        <v>10.52455233688757</v>
      </c>
    </row>
    <row r="35" spans="1:30" x14ac:dyDescent="0.25">
      <c r="A35" s="118" t="s">
        <v>29</v>
      </c>
      <c r="B35">
        <v>303.97239996000002</v>
      </c>
      <c r="C35">
        <v>201.70799998502901</v>
      </c>
      <c r="D35">
        <v>84.763500000199997</v>
      </c>
      <c r="E35">
        <v>48.326000002500002</v>
      </c>
      <c r="F35">
        <v>11.663</v>
      </c>
      <c r="G35">
        <v>0</v>
      </c>
      <c r="H35">
        <v>145.19999999999999</v>
      </c>
      <c r="I35" s="12">
        <f t="shared" si="41"/>
        <v>795.63289994772913</v>
      </c>
      <c r="J35" s="147">
        <v>12.2</v>
      </c>
      <c r="K35" s="122">
        <f t="shared" si="42"/>
        <v>9119.1719988000004</v>
      </c>
      <c r="L35" s="3">
        <f t="shared" si="43"/>
        <v>12102.479999101741</v>
      </c>
      <c r="M35" s="3">
        <f t="shared" si="44"/>
        <v>2542.9050000059997</v>
      </c>
      <c r="N35" s="3">
        <f t="shared" si="45"/>
        <v>966.52000005000002</v>
      </c>
      <c r="O35" s="3">
        <f t="shared" si="46"/>
        <v>466.52</v>
      </c>
      <c r="P35" s="3">
        <f t="shared" si="47"/>
        <v>0</v>
      </c>
      <c r="Q35" s="3">
        <f t="shared" si="48"/>
        <v>726</v>
      </c>
      <c r="R35" s="12">
        <f t="shared" si="49"/>
        <v>25923.596997957742</v>
      </c>
      <c r="S35" s="149">
        <f>R35/I35</f>
        <v>32.582359276069212</v>
      </c>
      <c r="T35" s="129">
        <f t="shared" si="61"/>
        <v>0.3744357459393845</v>
      </c>
      <c r="U35" s="136">
        <f t="shared" si="51"/>
        <v>3.0329295421090148</v>
      </c>
      <c r="V35" s="139">
        <f t="shared" si="52"/>
        <v>8.2001428360725193</v>
      </c>
      <c r="W35" s="9">
        <f t="shared" si="53"/>
        <v>22.466144756363072</v>
      </c>
      <c r="X35" s="9">
        <f t="shared" si="54"/>
        <v>11.233072378181536</v>
      </c>
      <c r="Y35" s="9">
        <f t="shared" si="55"/>
        <v>7.4887149187876902</v>
      </c>
      <c r="Z35" s="9">
        <f t="shared" si="56"/>
        <v>14.97742983757538</v>
      </c>
      <c r="AA35" s="9">
        <f t="shared" si="57"/>
        <v>292.0598818327199</v>
      </c>
      <c r="AB35" s="9">
        <f t="shared" si="58"/>
        <v>1.8721787296969226</v>
      </c>
      <c r="AC35" s="3">
        <f t="shared" si="59"/>
        <v>0.14296637572231044</v>
      </c>
      <c r="AD35" s="137">
        <f t="shared" si="60"/>
        <v>0.61781898079998443</v>
      </c>
    </row>
    <row r="36" spans="1:30" x14ac:dyDescent="0.25">
      <c r="A36" s="118" t="s">
        <v>30</v>
      </c>
      <c r="B36" s="153" t="s">
        <v>56</v>
      </c>
      <c r="C36" s="153" t="s">
        <v>56</v>
      </c>
      <c r="D36" s="153" t="s">
        <v>56</v>
      </c>
      <c r="E36" s="153" t="s">
        <v>56</v>
      </c>
      <c r="F36" s="153" t="s">
        <v>56</v>
      </c>
      <c r="G36" s="153" t="s">
        <v>56</v>
      </c>
      <c r="H36" s="153" t="s">
        <v>56</v>
      </c>
      <c r="I36" s="153" t="s">
        <v>56</v>
      </c>
      <c r="J36" s="157" t="s">
        <v>56</v>
      </c>
      <c r="K36" s="153" t="s">
        <v>56</v>
      </c>
      <c r="L36" s="153" t="s">
        <v>56</v>
      </c>
      <c r="M36" s="153" t="s">
        <v>56</v>
      </c>
      <c r="N36" s="153" t="s">
        <v>56</v>
      </c>
      <c r="O36" s="153" t="s">
        <v>56</v>
      </c>
      <c r="P36" s="153" t="s">
        <v>56</v>
      </c>
      <c r="Q36" s="153" t="s">
        <v>56</v>
      </c>
      <c r="R36" s="153" t="s">
        <v>56</v>
      </c>
      <c r="S36" s="154" t="s">
        <v>56</v>
      </c>
      <c r="T36" s="155" t="s">
        <v>56</v>
      </c>
      <c r="U36" s="153" t="s">
        <v>56</v>
      </c>
      <c r="V36" s="153" t="s">
        <v>56</v>
      </c>
      <c r="W36" s="153" t="s">
        <v>56</v>
      </c>
      <c r="X36" s="153" t="s">
        <v>56</v>
      </c>
      <c r="Y36" s="153" t="s">
        <v>56</v>
      </c>
      <c r="Z36" s="153" t="s">
        <v>56</v>
      </c>
      <c r="AA36" s="153" t="s">
        <v>56</v>
      </c>
      <c r="AB36" s="153" t="s">
        <v>56</v>
      </c>
      <c r="AC36" s="153" t="s">
        <v>56</v>
      </c>
      <c r="AD36" s="158" t="s">
        <v>56</v>
      </c>
    </row>
    <row r="37" spans="1:30" x14ac:dyDescent="0.25">
      <c r="A37" s="70" t="s">
        <v>31</v>
      </c>
      <c r="B37" s="72">
        <v>1692.1044999989699</v>
      </c>
      <c r="C37" s="72">
        <v>715.85860000247499</v>
      </c>
      <c r="D37" s="72">
        <v>1058.637799975</v>
      </c>
      <c r="E37" s="72">
        <v>2765.3339999999998</v>
      </c>
      <c r="F37" s="72">
        <v>172</v>
      </c>
      <c r="G37" s="72">
        <v>0</v>
      </c>
      <c r="H37" s="72">
        <v>395.2</v>
      </c>
      <c r="I37" s="128">
        <f>SUM(B37:H37)</f>
        <v>6799.134899976445</v>
      </c>
      <c r="J37" s="148">
        <v>62.5</v>
      </c>
      <c r="K37" s="151">
        <f t="shared" si="42"/>
        <v>50763.134999969101</v>
      </c>
      <c r="L37" s="106">
        <f t="shared" si="43"/>
        <v>42951.516000148498</v>
      </c>
      <c r="M37" s="106">
        <f t="shared" si="44"/>
        <v>31759.13399925</v>
      </c>
      <c r="N37" s="106">
        <f t="shared" si="45"/>
        <v>55306.679999999993</v>
      </c>
      <c r="O37" s="106">
        <f t="shared" si="46"/>
        <v>6880</v>
      </c>
      <c r="P37" s="106">
        <f t="shared" si="47"/>
        <v>0</v>
      </c>
      <c r="Q37" s="106">
        <f t="shared" si="48"/>
        <v>1976</v>
      </c>
      <c r="R37" s="128">
        <f t="shared" si="49"/>
        <v>189636.4649993676</v>
      </c>
      <c r="S37" s="152">
        <f>R37/I37</f>
        <v>27.891263784165332</v>
      </c>
      <c r="T37" s="130">
        <f>J37/S37</f>
        <v>2.2408450360532979</v>
      </c>
      <c r="U37" s="140">
        <f>$U$39*$T37</f>
        <v>18.150844792031716</v>
      </c>
      <c r="V37" s="141">
        <f t="shared" si="52"/>
        <v>49.074506289567218</v>
      </c>
      <c r="W37" s="73">
        <f>$W$39*$T37</f>
        <v>134.45070216319786</v>
      </c>
      <c r="X37" s="73">
        <f t="shared" si="54"/>
        <v>67.22535108159893</v>
      </c>
      <c r="Y37" s="73">
        <f t="shared" si="55"/>
        <v>44.816900721065956</v>
      </c>
      <c r="Z37" s="73">
        <f t="shared" si="56"/>
        <v>89.633801442131912</v>
      </c>
      <c r="AA37" s="73">
        <f t="shared" si="57"/>
        <v>1747.8591281215724</v>
      </c>
      <c r="AB37" s="73">
        <f t="shared" si="58"/>
        <v>11.204225180266489</v>
      </c>
      <c r="AC37" s="106">
        <f t="shared" si="59"/>
        <v>0.85559537740216829</v>
      </c>
      <c r="AD37" s="142">
        <f t="shared" si="60"/>
        <v>3.6973943094879411</v>
      </c>
    </row>
    <row r="39" spans="1:30" x14ac:dyDescent="0.25">
      <c r="A39" s="114" t="s">
        <v>57</v>
      </c>
      <c r="B39" s="114"/>
      <c r="C39" s="114"/>
      <c r="D39" s="114"/>
      <c r="E39" s="114"/>
      <c r="F39" s="114"/>
      <c r="G39" s="114"/>
      <c r="H39" s="114"/>
      <c r="I39" s="114"/>
      <c r="J39" s="114"/>
      <c r="K39" s="115">
        <f>'Standard values'!B5</f>
        <v>30</v>
      </c>
      <c r="L39" s="115">
        <f>'Standard values'!D5</f>
        <v>60</v>
      </c>
      <c r="M39" s="115">
        <f>'Standard values'!E5</f>
        <v>30</v>
      </c>
      <c r="N39" s="115">
        <f>'Standard values'!F5</f>
        <v>20</v>
      </c>
      <c r="O39" s="115">
        <f>'Standard values'!G5</f>
        <v>40</v>
      </c>
      <c r="P39" s="115">
        <f>'Standard values'!H5</f>
        <v>780</v>
      </c>
      <c r="Q39" s="115">
        <f>'Standard values'!I5</f>
        <v>5</v>
      </c>
      <c r="R39" s="114"/>
      <c r="S39" s="114"/>
      <c r="T39" s="114"/>
      <c r="U39" s="114">
        <f>'Standard values'!B6</f>
        <v>8.1000000000000014</v>
      </c>
      <c r="V39" s="114">
        <f>'Standard values'!C6</f>
        <v>21.9</v>
      </c>
      <c r="W39" s="114">
        <f>'Standard values'!D6</f>
        <v>60</v>
      </c>
      <c r="X39" s="114">
        <f>'Standard values'!E6</f>
        <v>30</v>
      </c>
      <c r="Y39" s="114">
        <f>'Standard values'!F6</f>
        <v>20</v>
      </c>
      <c r="Z39" s="114">
        <f>'Standard values'!G6</f>
        <v>40</v>
      </c>
      <c r="AA39" s="114">
        <f>'Standard values'!H6</f>
        <v>780</v>
      </c>
      <c r="AB39" s="114">
        <f>'Standard values'!I6</f>
        <v>5</v>
      </c>
      <c r="AC39" s="135">
        <f>'Standard values'!J6</f>
        <v>0.38181818181818183</v>
      </c>
      <c r="AD39" s="135">
        <f>'Standard values'!K6</f>
        <v>1.65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DCD55-00D4-414C-84E5-F61BD4584B34}">
  <dimension ref="A2:AD39"/>
  <sheetViews>
    <sheetView workbookViewId="0">
      <selection activeCell="A4" sqref="A4:AD37"/>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2" t="s">
        <v>61</v>
      </c>
    </row>
    <row r="4" spans="1:30" ht="15.75" x14ac:dyDescent="0.25">
      <c r="A4" s="124" t="s">
        <v>33</v>
      </c>
      <c r="B4" s="116" t="s">
        <v>34</v>
      </c>
      <c r="C4" s="125"/>
      <c r="D4" s="116"/>
      <c r="E4" s="125"/>
      <c r="F4" s="125"/>
      <c r="G4" s="125"/>
      <c r="H4" s="125"/>
      <c r="I4" s="125"/>
      <c r="J4" s="125"/>
      <c r="K4" s="124" t="s">
        <v>35</v>
      </c>
      <c r="L4" s="116"/>
      <c r="M4" s="116"/>
      <c r="N4" s="116"/>
      <c r="O4" s="116"/>
      <c r="P4" s="116"/>
      <c r="Q4" s="116"/>
      <c r="R4" s="116"/>
      <c r="S4" s="117"/>
      <c r="T4" s="117"/>
      <c r="U4" s="124" t="s">
        <v>36</v>
      </c>
      <c r="V4" s="116"/>
      <c r="W4" s="116"/>
      <c r="X4" s="116"/>
      <c r="Y4" s="116"/>
      <c r="Z4" s="116"/>
      <c r="AA4" s="116"/>
      <c r="AB4" s="116"/>
      <c r="AC4" s="116"/>
      <c r="AD4" s="117"/>
    </row>
    <row r="5" spans="1:30" x14ac:dyDescent="0.25">
      <c r="A5" s="123" t="s">
        <v>37</v>
      </c>
      <c r="K5" s="118"/>
      <c r="S5" s="6"/>
      <c r="T5" s="6"/>
      <c r="U5" s="118"/>
      <c r="AD5" s="6"/>
    </row>
    <row r="6" spans="1:30" ht="32.25" customHeight="1" x14ac:dyDescent="0.25">
      <c r="A6" s="119" t="s">
        <v>38</v>
      </c>
      <c r="B6" s="120" t="s">
        <v>39</v>
      </c>
      <c r="C6" s="120" t="s">
        <v>0</v>
      </c>
      <c r="D6" s="120" t="s">
        <v>40</v>
      </c>
      <c r="E6" s="127" t="s">
        <v>41</v>
      </c>
      <c r="F6" s="120" t="s">
        <v>42</v>
      </c>
      <c r="G6" s="120" t="s">
        <v>43</v>
      </c>
      <c r="H6" s="120" t="s">
        <v>44</v>
      </c>
      <c r="I6" s="127" t="s">
        <v>45</v>
      </c>
      <c r="J6" s="120" t="s">
        <v>46</v>
      </c>
      <c r="K6" s="119" t="s">
        <v>39</v>
      </c>
      <c r="L6" s="120" t="s">
        <v>0</v>
      </c>
      <c r="M6" s="120" t="s">
        <v>40</v>
      </c>
      <c r="N6" s="127" t="s">
        <v>41</v>
      </c>
      <c r="O6" s="120" t="s">
        <v>42</v>
      </c>
      <c r="P6" s="120" t="s">
        <v>43</v>
      </c>
      <c r="Q6" s="120" t="s">
        <v>44</v>
      </c>
      <c r="R6" s="120" t="s">
        <v>47</v>
      </c>
      <c r="S6" s="121" t="s">
        <v>46</v>
      </c>
      <c r="T6" s="126" t="s">
        <v>48</v>
      </c>
      <c r="U6" s="131" t="s">
        <v>49</v>
      </c>
      <c r="V6" s="138" t="s">
        <v>50</v>
      </c>
      <c r="W6" s="120" t="s">
        <v>0</v>
      </c>
      <c r="X6" s="120" t="s">
        <v>51</v>
      </c>
      <c r="Y6" s="127" t="s">
        <v>52</v>
      </c>
      <c r="Z6" s="120" t="s">
        <v>42</v>
      </c>
      <c r="AA6" s="120" t="s">
        <v>53</v>
      </c>
      <c r="AB6" s="120" t="s">
        <v>44</v>
      </c>
      <c r="AC6" s="120" t="s">
        <v>54</v>
      </c>
      <c r="AD6" s="121" t="s">
        <v>55</v>
      </c>
    </row>
    <row r="7" spans="1:30" x14ac:dyDescent="0.25">
      <c r="A7" s="118" t="s">
        <v>1</v>
      </c>
      <c r="B7">
        <v>438.07438000000002</v>
      </c>
      <c r="C7">
        <v>370.27974499999999</v>
      </c>
      <c r="D7">
        <v>77.499055499999997</v>
      </c>
      <c r="E7">
        <v>33.466850000000001</v>
      </c>
      <c r="F7">
        <v>0</v>
      </c>
      <c r="G7">
        <v>0</v>
      </c>
      <c r="H7">
        <v>28.9756</v>
      </c>
      <c r="I7" s="12">
        <f>SUM(B7:H7)</f>
        <v>948.29563050000002</v>
      </c>
      <c r="J7" s="147">
        <v>56.3</v>
      </c>
      <c r="K7" s="122">
        <f t="shared" ref="K7:K17" si="0">B7*$K$39</f>
        <v>13142.231400000001</v>
      </c>
      <c r="L7" s="3">
        <f t="shared" ref="L7:L17" si="1">C7*$L$39</f>
        <v>22216.7847</v>
      </c>
      <c r="M7" s="3">
        <f t="shared" ref="M7:M17" si="2">D7*$M$39</f>
        <v>2324.971665</v>
      </c>
      <c r="N7" s="3">
        <f t="shared" ref="N7:N17" si="3">E7*$N$39</f>
        <v>669.33699999999999</v>
      </c>
      <c r="O7" s="3">
        <f t="shared" ref="O7:O17" si="4">F7*$O$39</f>
        <v>0</v>
      </c>
      <c r="P7" s="3">
        <f t="shared" ref="P7:P17" si="5">G7*$P$39</f>
        <v>0</v>
      </c>
      <c r="Q7" s="3">
        <f t="shared" ref="Q7:Q17" si="6">H7*$Q$39</f>
        <v>144.87799999999999</v>
      </c>
      <c r="R7" s="12">
        <f>SUM(K7:Q7)</f>
        <v>38498.202764999995</v>
      </c>
      <c r="S7" s="149">
        <f t="shared" ref="S7:S17" si="7">R7/I7</f>
        <v>40.597258414763935</v>
      </c>
      <c r="T7" s="129">
        <f>J7/S7</f>
        <v>1.3867931529959046</v>
      </c>
      <c r="U7" s="136">
        <f t="shared" ref="U7:U17" si="8">$U$39*$T7</f>
        <v>11.233024539266829</v>
      </c>
      <c r="V7" s="139">
        <f t="shared" ref="V7:V17" si="9">$V$39*$T7</f>
        <v>30.370770050610307</v>
      </c>
      <c r="W7" s="9">
        <f t="shared" ref="W7:W17" si="10">$W$39*$T7</f>
        <v>83.207589179754279</v>
      </c>
      <c r="X7" s="9">
        <f t="shared" ref="X7:X17" si="11">$X$39*$T7</f>
        <v>41.60379458987714</v>
      </c>
      <c r="Y7" s="9">
        <f t="shared" ref="Y7:Y17" si="12">$Y$39*$T7</f>
        <v>27.735863059918092</v>
      </c>
      <c r="Z7" s="9">
        <f t="shared" ref="Z7:Z17" si="13">$Z$39*$T7</f>
        <v>55.471726119836184</v>
      </c>
      <c r="AA7" s="9">
        <f t="shared" ref="AA7:AA17" si="14">$AA$39*$T7</f>
        <v>1081.6986593368056</v>
      </c>
      <c r="AB7" s="9">
        <f t="shared" ref="AB7:AB17" si="15">$AB$39*$T7</f>
        <v>6.933965764979523</v>
      </c>
      <c r="AC7" s="3">
        <f t="shared" ref="AC7:AC17" si="16">$AC$39*$T7</f>
        <v>0.52950284023479999</v>
      </c>
      <c r="AD7" s="137">
        <f t="shared" ref="AD7:AD17" si="17">$AD$39*$T7</f>
        <v>2.2882087024432423</v>
      </c>
    </row>
    <row r="8" spans="1:30" x14ac:dyDescent="0.25">
      <c r="A8" s="118" t="s">
        <v>2</v>
      </c>
      <c r="B8">
        <v>440.71785</v>
      </c>
      <c r="C8">
        <v>931.05667500000004</v>
      </c>
      <c r="D8">
        <v>183.02565999999999</v>
      </c>
      <c r="E8">
        <v>10.75029</v>
      </c>
      <c r="F8">
        <v>0</v>
      </c>
      <c r="G8">
        <v>4.3596000000000004</v>
      </c>
      <c r="H8">
        <v>108.0596</v>
      </c>
      <c r="I8" s="12">
        <f t="shared" ref="I8:I25" si="18">SUM(B8:H8)</f>
        <v>1677.9696750000001</v>
      </c>
      <c r="J8" s="147">
        <v>158.1</v>
      </c>
      <c r="K8" s="122">
        <f t="shared" si="0"/>
        <v>13221.5355</v>
      </c>
      <c r="L8" s="3">
        <f t="shared" si="1"/>
        <v>55863.400500000003</v>
      </c>
      <c r="M8" s="3">
        <f t="shared" si="2"/>
        <v>5490.7698</v>
      </c>
      <c r="N8" s="3">
        <f t="shared" si="3"/>
        <v>215.00579999999999</v>
      </c>
      <c r="O8" s="3">
        <f t="shared" si="4"/>
        <v>0</v>
      </c>
      <c r="P8" s="3">
        <f t="shared" si="5"/>
        <v>3400.4880000000003</v>
      </c>
      <c r="Q8" s="3">
        <f t="shared" si="6"/>
        <v>540.298</v>
      </c>
      <c r="R8" s="12">
        <f t="shared" ref="R8:R25" si="19">SUM(K8:Q8)</f>
        <v>78731.497599999988</v>
      </c>
      <c r="S8" s="149">
        <f t="shared" si="7"/>
        <v>46.920691579244412</v>
      </c>
      <c r="T8" s="129">
        <f t="shared" ref="T8:T17" si="20">J8/S8</f>
        <v>3.3695155522800579</v>
      </c>
      <c r="U8" s="136">
        <f t="shared" si="8"/>
        <v>27.293075973468476</v>
      </c>
      <c r="V8" s="139">
        <f t="shared" si="9"/>
        <v>73.792390594933266</v>
      </c>
      <c r="W8" s="9">
        <f t="shared" si="10"/>
        <v>202.17093313680348</v>
      </c>
      <c r="X8" s="9">
        <f t="shared" si="11"/>
        <v>101.08546656840174</v>
      </c>
      <c r="Y8" s="9">
        <f t="shared" si="12"/>
        <v>67.390311045601152</v>
      </c>
      <c r="Z8" s="9">
        <f t="shared" si="13"/>
        <v>134.7806220912023</v>
      </c>
      <c r="AA8" s="9">
        <f t="shared" si="14"/>
        <v>2628.2221307784453</v>
      </c>
      <c r="AB8" s="9">
        <f t="shared" si="15"/>
        <v>16.847577761400288</v>
      </c>
      <c r="AC8" s="3">
        <f t="shared" si="16"/>
        <v>1.2865423017796584</v>
      </c>
      <c r="AD8" s="137">
        <f t="shared" si="17"/>
        <v>5.5597006612620952</v>
      </c>
    </row>
    <row r="9" spans="1:30" x14ac:dyDescent="0.25">
      <c r="A9" s="118" t="s">
        <v>3</v>
      </c>
      <c r="B9">
        <v>134.16195500000001</v>
      </c>
      <c r="C9">
        <v>65.852945000000005</v>
      </c>
      <c r="D9">
        <v>43.188164999999998</v>
      </c>
      <c r="E9">
        <v>101.46545999999999</v>
      </c>
      <c r="F9">
        <v>0</v>
      </c>
      <c r="G9">
        <v>7.2734199999999999E-2</v>
      </c>
      <c r="H9">
        <v>48.723999999999997</v>
      </c>
      <c r="I9" s="12">
        <f t="shared" si="18"/>
        <v>393.46525919999999</v>
      </c>
      <c r="J9" s="147">
        <v>82.9</v>
      </c>
      <c r="K9" s="122">
        <f t="shared" si="0"/>
        <v>4024.8586500000001</v>
      </c>
      <c r="L9" s="3">
        <f t="shared" si="1"/>
        <v>3951.1767000000004</v>
      </c>
      <c r="M9" s="3">
        <f t="shared" si="2"/>
        <v>1295.6449499999999</v>
      </c>
      <c r="N9" s="3">
        <f t="shared" si="3"/>
        <v>2029.3091999999999</v>
      </c>
      <c r="O9" s="3">
        <f t="shared" si="4"/>
        <v>0</v>
      </c>
      <c r="P9" s="3">
        <f t="shared" si="5"/>
        <v>56.732675999999998</v>
      </c>
      <c r="Q9" s="3">
        <f t="shared" si="6"/>
        <v>243.61999999999998</v>
      </c>
      <c r="R9" s="12">
        <f t="shared" si="19"/>
        <v>11601.342176</v>
      </c>
      <c r="S9" s="149">
        <f t="shared" si="7"/>
        <v>29.485048310460851</v>
      </c>
      <c r="T9" s="129">
        <f t="shared" si="20"/>
        <v>2.8115945114659464</v>
      </c>
      <c r="U9" s="136">
        <f t="shared" si="8"/>
        <v>22.773915542874171</v>
      </c>
      <c r="V9" s="139">
        <f t="shared" si="9"/>
        <v>61.573919801104225</v>
      </c>
      <c r="W9" s="9">
        <f t="shared" si="10"/>
        <v>168.69567068795678</v>
      </c>
      <c r="X9" s="9">
        <f t="shared" si="11"/>
        <v>84.347835343978389</v>
      </c>
      <c r="Y9" s="9">
        <f t="shared" si="12"/>
        <v>56.231890229318928</v>
      </c>
      <c r="Z9" s="9">
        <f t="shared" si="13"/>
        <v>112.46378045863786</v>
      </c>
      <c r="AA9" s="9">
        <f t="shared" si="14"/>
        <v>2193.0437189434383</v>
      </c>
      <c r="AB9" s="9">
        <f t="shared" si="15"/>
        <v>14.057972557329732</v>
      </c>
      <c r="AC9" s="3">
        <f t="shared" si="16"/>
        <v>1.0735179043779068</v>
      </c>
      <c r="AD9" s="137">
        <f t="shared" si="17"/>
        <v>4.6391309439188113</v>
      </c>
    </row>
    <row r="10" spans="1:30" x14ac:dyDescent="0.25">
      <c r="A10" s="118" t="s">
        <v>4</v>
      </c>
      <c r="B10">
        <v>114.72756</v>
      </c>
      <c r="C10">
        <v>78.650270000000006</v>
      </c>
      <c r="D10">
        <v>40.257527000000003</v>
      </c>
      <c r="E10">
        <v>46.462260000000001</v>
      </c>
      <c r="F10">
        <v>13.768000000000001</v>
      </c>
      <c r="G10">
        <v>1.5000006E-2</v>
      </c>
      <c r="H10">
        <v>8.4575999999999993</v>
      </c>
      <c r="I10" s="12">
        <f t="shared" si="18"/>
        <v>302.33821700600004</v>
      </c>
      <c r="J10" s="147">
        <v>103.5</v>
      </c>
      <c r="K10" s="122">
        <f t="shared" si="0"/>
        <v>3441.8267999999998</v>
      </c>
      <c r="L10" s="3">
        <f t="shared" si="1"/>
        <v>4719.0162</v>
      </c>
      <c r="M10" s="3">
        <f t="shared" si="2"/>
        <v>1207.7258100000001</v>
      </c>
      <c r="N10" s="3">
        <f t="shared" si="3"/>
        <v>929.24520000000007</v>
      </c>
      <c r="O10" s="3">
        <f t="shared" si="4"/>
        <v>550.72</v>
      </c>
      <c r="P10" s="3">
        <f t="shared" si="5"/>
        <v>11.700004679999999</v>
      </c>
      <c r="Q10" s="3">
        <f t="shared" si="6"/>
        <v>42.287999999999997</v>
      </c>
      <c r="R10" s="12">
        <f t="shared" si="19"/>
        <v>10902.52201468</v>
      </c>
      <c r="S10" s="149">
        <f t="shared" si="7"/>
        <v>36.060681056618243</v>
      </c>
      <c r="T10" s="129">
        <f t="shared" si="20"/>
        <v>2.8701620980895082</v>
      </c>
      <c r="U10" s="136">
        <f t="shared" si="8"/>
        <v>23.248312994525019</v>
      </c>
      <c r="V10" s="139">
        <f t="shared" si="9"/>
        <v>62.856549948160222</v>
      </c>
      <c r="W10" s="9">
        <f t="shared" si="10"/>
        <v>172.20972588537049</v>
      </c>
      <c r="X10" s="9">
        <f t="shared" si="11"/>
        <v>86.104862942685244</v>
      </c>
      <c r="Y10" s="9">
        <f t="shared" si="12"/>
        <v>57.403241961790165</v>
      </c>
      <c r="Z10" s="9">
        <f t="shared" si="13"/>
        <v>114.80648392358033</v>
      </c>
      <c r="AA10" s="9">
        <f t="shared" si="14"/>
        <v>2238.7264365098163</v>
      </c>
      <c r="AB10" s="9">
        <f t="shared" si="15"/>
        <v>14.350810490447541</v>
      </c>
      <c r="AC10" s="3">
        <f t="shared" si="16"/>
        <v>1.0958800738159942</v>
      </c>
      <c r="AD10" s="137">
        <f t="shared" si="17"/>
        <v>4.7357674618476882</v>
      </c>
    </row>
    <row r="11" spans="1:30" x14ac:dyDescent="0.25">
      <c r="A11" s="118" t="s">
        <v>5</v>
      </c>
      <c r="B11">
        <v>18.841629999999999</v>
      </c>
      <c r="C11">
        <v>44.91865</v>
      </c>
      <c r="D11">
        <v>14.802474999999999</v>
      </c>
      <c r="E11">
        <v>46.616765000000001</v>
      </c>
      <c r="F11">
        <v>4.835</v>
      </c>
      <c r="G11">
        <v>8.5026199999999996E-2</v>
      </c>
      <c r="H11">
        <v>1.5387999999999999</v>
      </c>
      <c r="I11" s="12">
        <f t="shared" si="18"/>
        <v>131.6383462</v>
      </c>
      <c r="J11" s="147">
        <v>317</v>
      </c>
      <c r="K11" s="122">
        <f t="shared" si="0"/>
        <v>565.24889999999994</v>
      </c>
      <c r="L11" s="3">
        <f t="shared" si="1"/>
        <v>2695.1190000000001</v>
      </c>
      <c r="M11" s="3">
        <f t="shared" si="2"/>
        <v>444.07425000000001</v>
      </c>
      <c r="N11" s="3">
        <f t="shared" si="3"/>
        <v>932.33529999999996</v>
      </c>
      <c r="O11" s="3">
        <f t="shared" si="4"/>
        <v>193.4</v>
      </c>
      <c r="P11" s="3">
        <f t="shared" si="5"/>
        <v>66.320436000000001</v>
      </c>
      <c r="Q11" s="3">
        <f t="shared" si="6"/>
        <v>7.694</v>
      </c>
      <c r="R11" s="12">
        <f t="shared" si="19"/>
        <v>4904.1918860000005</v>
      </c>
      <c r="S11" s="149">
        <f t="shared" si="7"/>
        <v>37.25504024905473</v>
      </c>
      <c r="T11" s="129">
        <f t="shared" si="20"/>
        <v>8.5089157837654792</v>
      </c>
      <c r="U11" s="136">
        <f t="shared" si="8"/>
        <v>68.922217848500395</v>
      </c>
      <c r="V11" s="139">
        <f t="shared" si="9"/>
        <v>186.34525566446399</v>
      </c>
      <c r="W11" s="9">
        <f t="shared" si="10"/>
        <v>510.53494702592877</v>
      </c>
      <c r="X11" s="9">
        <f t="shared" si="11"/>
        <v>255.26747351296439</v>
      </c>
      <c r="Y11" s="9">
        <f t="shared" si="12"/>
        <v>170.17831567530959</v>
      </c>
      <c r="Z11" s="9">
        <f t="shared" si="13"/>
        <v>340.35663135061918</v>
      </c>
      <c r="AA11" s="9">
        <f t="shared" si="14"/>
        <v>6636.9543113370737</v>
      </c>
      <c r="AB11" s="9">
        <f t="shared" si="15"/>
        <v>42.544578918827398</v>
      </c>
      <c r="AC11" s="3">
        <f t="shared" si="16"/>
        <v>3.2488587538013651</v>
      </c>
      <c r="AD11" s="137">
        <f t="shared" si="17"/>
        <v>14.039711043213041</v>
      </c>
    </row>
    <row r="12" spans="1:30" x14ac:dyDescent="0.25">
      <c r="A12" s="118" t="s">
        <v>6</v>
      </c>
      <c r="B12">
        <v>290.41764499999999</v>
      </c>
      <c r="C12">
        <v>215.302785</v>
      </c>
      <c r="D12">
        <v>117.974722</v>
      </c>
      <c r="E12">
        <v>17.506215000000001</v>
      </c>
      <c r="F12">
        <v>20.646999999999998</v>
      </c>
      <c r="G12">
        <v>7.9463999999999997</v>
      </c>
      <c r="H12">
        <v>32.841999999999999</v>
      </c>
      <c r="I12" s="12">
        <f t="shared" si="18"/>
        <v>702.63676700000008</v>
      </c>
      <c r="J12" s="147">
        <v>79.8</v>
      </c>
      <c r="K12" s="122">
        <f t="shared" si="0"/>
        <v>8712.5293500000007</v>
      </c>
      <c r="L12" s="3">
        <f t="shared" si="1"/>
        <v>12918.167100000001</v>
      </c>
      <c r="M12" s="3">
        <f t="shared" si="2"/>
        <v>3539.2416600000001</v>
      </c>
      <c r="N12" s="3">
        <f t="shared" si="3"/>
        <v>350.12430000000001</v>
      </c>
      <c r="O12" s="3">
        <f t="shared" si="4"/>
        <v>825.87999999999988</v>
      </c>
      <c r="P12" s="3">
        <f t="shared" si="5"/>
        <v>6198.192</v>
      </c>
      <c r="Q12" s="3">
        <f t="shared" si="6"/>
        <v>164.20999999999998</v>
      </c>
      <c r="R12" s="12">
        <f t="shared" si="19"/>
        <v>32708.344410000002</v>
      </c>
      <c r="S12" s="149">
        <f t="shared" si="7"/>
        <v>46.550858062342186</v>
      </c>
      <c r="T12" s="129">
        <f t="shared" si="20"/>
        <v>1.7142541152115747</v>
      </c>
      <c r="U12" s="136">
        <f t="shared" si="8"/>
        <v>13.885458333213757</v>
      </c>
      <c r="V12" s="139">
        <f t="shared" si="9"/>
        <v>37.542165123133486</v>
      </c>
      <c r="W12" s="9">
        <f t="shared" si="10"/>
        <v>102.85524691269448</v>
      </c>
      <c r="X12" s="9">
        <f t="shared" si="11"/>
        <v>51.427623456347241</v>
      </c>
      <c r="Y12" s="9">
        <f t="shared" si="12"/>
        <v>34.285082304231494</v>
      </c>
      <c r="Z12" s="9">
        <f t="shared" si="13"/>
        <v>68.570164608462989</v>
      </c>
      <c r="AA12" s="9">
        <f t="shared" si="14"/>
        <v>1337.1182098650283</v>
      </c>
      <c r="AB12" s="9">
        <f t="shared" si="15"/>
        <v>8.5712705760578736</v>
      </c>
      <c r="AC12" s="3">
        <f t="shared" si="16"/>
        <v>0.65453338944441941</v>
      </c>
      <c r="AD12" s="137">
        <f t="shared" si="17"/>
        <v>2.8285192900990981</v>
      </c>
    </row>
    <row r="13" spans="1:30" x14ac:dyDescent="0.25">
      <c r="A13" s="118" t="s">
        <v>7</v>
      </c>
      <c r="B13">
        <v>405.21138500000001</v>
      </c>
      <c r="C13">
        <v>1765.998</v>
      </c>
      <c r="D13">
        <v>117.8646</v>
      </c>
      <c r="E13">
        <v>13.19993</v>
      </c>
      <c r="F13">
        <v>43</v>
      </c>
      <c r="G13">
        <v>0</v>
      </c>
      <c r="H13">
        <v>70</v>
      </c>
      <c r="I13" s="12">
        <f t="shared" si="18"/>
        <v>2415.2739150000002</v>
      </c>
      <c r="J13" s="147">
        <v>43.8</v>
      </c>
      <c r="K13" s="122">
        <f t="shared" si="0"/>
        <v>12156.341550000001</v>
      </c>
      <c r="L13" s="3">
        <f t="shared" si="1"/>
        <v>105959.88</v>
      </c>
      <c r="M13" s="3">
        <f t="shared" si="2"/>
        <v>3535.9380000000001</v>
      </c>
      <c r="N13" s="3">
        <f t="shared" si="3"/>
        <v>263.99860000000001</v>
      </c>
      <c r="O13" s="3">
        <f t="shared" si="4"/>
        <v>1720</v>
      </c>
      <c r="P13" s="3">
        <f t="shared" si="5"/>
        <v>0</v>
      </c>
      <c r="Q13" s="3">
        <f t="shared" si="6"/>
        <v>350</v>
      </c>
      <c r="R13" s="12">
        <f t="shared" si="19"/>
        <v>123986.15815</v>
      </c>
      <c r="S13" s="149">
        <f t="shared" si="7"/>
        <v>51.334201632364334</v>
      </c>
      <c r="T13" s="129">
        <f t="shared" si="20"/>
        <v>0.85323232089355616</v>
      </c>
      <c r="U13" s="136">
        <f t="shared" si="8"/>
        <v>6.9111817992378057</v>
      </c>
      <c r="V13" s="139">
        <f t="shared" si="9"/>
        <v>18.68578782756888</v>
      </c>
      <c r="W13" s="9">
        <f t="shared" si="10"/>
        <v>51.193939253613372</v>
      </c>
      <c r="X13" s="9">
        <f t="shared" si="11"/>
        <v>25.596969626806686</v>
      </c>
      <c r="Y13" s="9">
        <f t="shared" si="12"/>
        <v>17.064646417871124</v>
      </c>
      <c r="Z13" s="9">
        <f t="shared" si="13"/>
        <v>34.129292835742248</v>
      </c>
      <c r="AA13" s="9">
        <f t="shared" si="14"/>
        <v>665.52121029697378</v>
      </c>
      <c r="AB13" s="9">
        <f t="shared" si="15"/>
        <v>4.266161604467781</v>
      </c>
      <c r="AC13" s="3">
        <f t="shared" si="16"/>
        <v>0.32577961343208511</v>
      </c>
      <c r="AD13" s="137">
        <f t="shared" si="17"/>
        <v>1.4078333294743677</v>
      </c>
    </row>
    <row r="14" spans="1:30" x14ac:dyDescent="0.25">
      <c r="A14" s="118" t="s">
        <v>8</v>
      </c>
      <c r="B14">
        <v>64.625825000000006</v>
      </c>
      <c r="C14">
        <v>48.513635000000001</v>
      </c>
      <c r="D14">
        <v>2.7133479999999999</v>
      </c>
      <c r="E14">
        <v>6.65686</v>
      </c>
      <c r="F14">
        <v>0.75</v>
      </c>
      <c r="G14">
        <v>0</v>
      </c>
      <c r="H14">
        <v>4.0216000000000003</v>
      </c>
      <c r="I14" s="12">
        <f t="shared" si="18"/>
        <v>127.28126800000001</v>
      </c>
      <c r="J14" s="147">
        <v>76.8</v>
      </c>
      <c r="K14" s="122">
        <f t="shared" si="0"/>
        <v>1938.7747500000003</v>
      </c>
      <c r="L14" s="3">
        <f t="shared" si="1"/>
        <v>2910.8181</v>
      </c>
      <c r="M14" s="3">
        <f t="shared" si="2"/>
        <v>81.400440000000003</v>
      </c>
      <c r="N14" s="3">
        <f t="shared" si="3"/>
        <v>133.13720000000001</v>
      </c>
      <c r="O14" s="3">
        <f t="shared" si="4"/>
        <v>30</v>
      </c>
      <c r="P14" s="3">
        <f t="shared" si="5"/>
        <v>0</v>
      </c>
      <c r="Q14" s="3">
        <f t="shared" si="6"/>
        <v>20.108000000000001</v>
      </c>
      <c r="R14" s="12">
        <f t="shared" si="19"/>
        <v>5114.2384900000006</v>
      </c>
      <c r="S14" s="149">
        <f t="shared" si="7"/>
        <v>40.180606073157598</v>
      </c>
      <c r="T14" s="129">
        <f t="shared" si="20"/>
        <v>1.9113698748139529</v>
      </c>
      <c r="U14" s="136">
        <f t="shared" si="8"/>
        <v>15.482095985993022</v>
      </c>
      <c r="V14" s="139">
        <f t="shared" si="9"/>
        <v>41.859000258425567</v>
      </c>
      <c r="W14" s="9">
        <f t="shared" si="10"/>
        <v>114.68219248883717</v>
      </c>
      <c r="X14" s="9">
        <f t="shared" si="11"/>
        <v>57.341096244418587</v>
      </c>
      <c r="Y14" s="9">
        <f t="shared" si="12"/>
        <v>38.22739749627906</v>
      </c>
      <c r="Z14" s="9">
        <f t="shared" si="13"/>
        <v>76.454794992558121</v>
      </c>
      <c r="AA14" s="9">
        <f t="shared" si="14"/>
        <v>1490.8685023548833</v>
      </c>
      <c r="AB14" s="9">
        <f t="shared" si="15"/>
        <v>9.5568493740697651</v>
      </c>
      <c r="AC14" s="3">
        <f t="shared" si="16"/>
        <v>0.72979577038350929</v>
      </c>
      <c r="AD14" s="137">
        <f t="shared" si="17"/>
        <v>3.153760293443022</v>
      </c>
    </row>
    <row r="15" spans="1:30" x14ac:dyDescent="0.25">
      <c r="A15" s="118" t="s">
        <v>9</v>
      </c>
      <c r="B15">
        <v>224.62225000000001</v>
      </c>
      <c r="C15">
        <v>161.82945000000001</v>
      </c>
      <c r="D15">
        <v>68.319884999999999</v>
      </c>
      <c r="E15">
        <v>11.440655</v>
      </c>
      <c r="F15">
        <v>13.32</v>
      </c>
      <c r="G15">
        <v>0</v>
      </c>
      <c r="H15">
        <v>29.84</v>
      </c>
      <c r="I15" s="12">
        <f t="shared" si="18"/>
        <v>509.37223999999998</v>
      </c>
      <c r="J15" s="147">
        <v>21.8</v>
      </c>
      <c r="K15" s="122">
        <f t="shared" si="0"/>
        <v>6738.6675000000005</v>
      </c>
      <c r="L15" s="3">
        <f t="shared" si="1"/>
        <v>9709.7669999999998</v>
      </c>
      <c r="M15" s="3">
        <f t="shared" si="2"/>
        <v>2049.5965500000002</v>
      </c>
      <c r="N15" s="3">
        <f t="shared" si="3"/>
        <v>228.81309999999999</v>
      </c>
      <c r="O15" s="3">
        <f t="shared" si="4"/>
        <v>532.79999999999995</v>
      </c>
      <c r="P15" s="3">
        <f t="shared" si="5"/>
        <v>0</v>
      </c>
      <c r="Q15" s="3">
        <f t="shared" si="6"/>
        <v>149.19999999999999</v>
      </c>
      <c r="R15" s="12">
        <f t="shared" si="19"/>
        <v>19408.844149999997</v>
      </c>
      <c r="S15" s="149">
        <f t="shared" si="7"/>
        <v>38.103458778986457</v>
      </c>
      <c r="T15" s="129">
        <f t="shared" si="20"/>
        <v>0.57212653912726696</v>
      </c>
      <c r="U15" s="136">
        <f t="shared" si="8"/>
        <v>4.6342249669308631</v>
      </c>
      <c r="V15" s="139">
        <f t="shared" si="9"/>
        <v>12.529571206887146</v>
      </c>
      <c r="W15" s="9">
        <f t="shared" si="10"/>
        <v>34.327592347636021</v>
      </c>
      <c r="X15" s="9">
        <f t="shared" si="11"/>
        <v>17.16379617381801</v>
      </c>
      <c r="Y15" s="9">
        <f t="shared" si="12"/>
        <v>11.44253078254534</v>
      </c>
      <c r="Z15" s="9">
        <f t="shared" si="13"/>
        <v>22.88506156509068</v>
      </c>
      <c r="AA15" s="9">
        <f t="shared" si="14"/>
        <v>446.25870051926825</v>
      </c>
      <c r="AB15" s="9">
        <f t="shared" si="15"/>
        <v>2.860632695636335</v>
      </c>
      <c r="AC15" s="3">
        <f t="shared" si="16"/>
        <v>0.21844831493950195</v>
      </c>
      <c r="AD15" s="137">
        <f t="shared" si="17"/>
        <v>0.94400878955999046</v>
      </c>
    </row>
    <row r="16" spans="1:30" x14ac:dyDescent="0.25">
      <c r="A16" s="118" t="s">
        <v>10</v>
      </c>
      <c r="B16">
        <v>3209.178625</v>
      </c>
      <c r="C16">
        <v>1817.4827849999999</v>
      </c>
      <c r="D16">
        <v>1134.302588</v>
      </c>
      <c r="E16">
        <v>640.63103999999998</v>
      </c>
      <c r="F16">
        <v>41.640999999999998</v>
      </c>
      <c r="G16">
        <v>52.402000000000001</v>
      </c>
      <c r="H16">
        <v>301.0172</v>
      </c>
      <c r="I16" s="12">
        <f t="shared" si="18"/>
        <v>7196.6552379999994</v>
      </c>
      <c r="J16" s="147">
        <v>105.8</v>
      </c>
      <c r="K16" s="122">
        <f t="shared" si="0"/>
        <v>96275.358749999999</v>
      </c>
      <c r="L16" s="3">
        <f t="shared" si="1"/>
        <v>109048.96709999999</v>
      </c>
      <c r="M16" s="3">
        <f t="shared" si="2"/>
        <v>34029.077640000003</v>
      </c>
      <c r="N16" s="3">
        <f t="shared" si="3"/>
        <v>12812.620800000001</v>
      </c>
      <c r="O16" s="3">
        <f t="shared" si="4"/>
        <v>1665.6399999999999</v>
      </c>
      <c r="P16" s="3">
        <f t="shared" si="5"/>
        <v>40873.56</v>
      </c>
      <c r="Q16" s="3">
        <f t="shared" si="6"/>
        <v>1505.086</v>
      </c>
      <c r="R16" s="12">
        <f t="shared" si="19"/>
        <v>296210.31029000005</v>
      </c>
      <c r="S16" s="149">
        <f t="shared" si="7"/>
        <v>41.159441503594792</v>
      </c>
      <c r="T16" s="129">
        <f t="shared" si="20"/>
        <v>2.5704916329041931</v>
      </c>
      <c r="U16" s="136">
        <f t="shared" si="8"/>
        <v>20.820982226523967</v>
      </c>
      <c r="V16" s="139">
        <f t="shared" si="9"/>
        <v>56.293766760601827</v>
      </c>
      <c r="W16" s="9">
        <f t="shared" si="10"/>
        <v>154.22949797425159</v>
      </c>
      <c r="X16" s="9">
        <f t="shared" si="11"/>
        <v>77.114748987125793</v>
      </c>
      <c r="Y16" s="9">
        <f t="shared" si="12"/>
        <v>51.409832658083864</v>
      </c>
      <c r="Z16" s="9">
        <f t="shared" si="13"/>
        <v>102.81966531616773</v>
      </c>
      <c r="AA16" s="9">
        <f t="shared" si="14"/>
        <v>2004.9834736652706</v>
      </c>
      <c r="AB16" s="9">
        <f t="shared" si="15"/>
        <v>12.852458164520966</v>
      </c>
      <c r="AC16" s="3">
        <f t="shared" si="16"/>
        <v>0.98146044165432833</v>
      </c>
      <c r="AD16" s="137">
        <f t="shared" si="17"/>
        <v>4.2413111942919182</v>
      </c>
    </row>
    <row r="17" spans="1:30" x14ac:dyDescent="0.25">
      <c r="A17" s="118" t="s">
        <v>11</v>
      </c>
      <c r="B17">
        <v>3192.4183349999998</v>
      </c>
      <c r="C17">
        <v>4135.1649699999998</v>
      </c>
      <c r="D17">
        <v>1070.9903159999999</v>
      </c>
      <c r="E17">
        <v>139.17898</v>
      </c>
      <c r="F17">
        <v>26.293934</v>
      </c>
      <c r="G17">
        <v>0</v>
      </c>
      <c r="H17">
        <v>184.52</v>
      </c>
      <c r="I17" s="12">
        <f t="shared" si="18"/>
        <v>8748.5665349999999</v>
      </c>
      <c r="J17" s="147">
        <v>149.30000000000001</v>
      </c>
      <c r="K17" s="122">
        <f t="shared" si="0"/>
        <v>95772.550049999991</v>
      </c>
      <c r="L17" s="3">
        <f t="shared" si="1"/>
        <v>248109.8982</v>
      </c>
      <c r="M17" s="3">
        <f t="shared" si="2"/>
        <v>32129.709479999998</v>
      </c>
      <c r="N17" s="3">
        <f t="shared" si="3"/>
        <v>2783.5796</v>
      </c>
      <c r="O17" s="3">
        <f t="shared" si="4"/>
        <v>1051.7573600000001</v>
      </c>
      <c r="P17" s="3">
        <f t="shared" si="5"/>
        <v>0</v>
      </c>
      <c r="Q17" s="3">
        <f t="shared" si="6"/>
        <v>922.6</v>
      </c>
      <c r="R17" s="12">
        <f t="shared" si="19"/>
        <v>380770.09469</v>
      </c>
      <c r="S17" s="149">
        <f t="shared" si="7"/>
        <v>43.523712503833636</v>
      </c>
      <c r="T17" s="129">
        <f t="shared" si="20"/>
        <v>3.4303139923288812</v>
      </c>
      <c r="U17" s="136">
        <f t="shared" si="8"/>
        <v>27.785543337863942</v>
      </c>
      <c r="V17" s="139">
        <f t="shared" si="9"/>
        <v>75.12387643200249</v>
      </c>
      <c r="W17" s="9">
        <f t="shared" si="10"/>
        <v>205.81883953973286</v>
      </c>
      <c r="X17" s="9">
        <f t="shared" si="11"/>
        <v>102.90941976986643</v>
      </c>
      <c r="Y17" s="9">
        <f t="shared" si="12"/>
        <v>68.606279846577621</v>
      </c>
      <c r="Z17" s="9">
        <f t="shared" si="13"/>
        <v>137.21255969315524</v>
      </c>
      <c r="AA17" s="9">
        <f t="shared" si="14"/>
        <v>2675.6449140165273</v>
      </c>
      <c r="AB17" s="9">
        <f t="shared" si="15"/>
        <v>17.151569961644405</v>
      </c>
      <c r="AC17" s="3">
        <f t="shared" si="16"/>
        <v>1.309756251616482</v>
      </c>
      <c r="AD17" s="137">
        <f t="shared" si="17"/>
        <v>5.660018087342654</v>
      </c>
    </row>
    <row r="18" spans="1:30" x14ac:dyDescent="0.25">
      <c r="A18" s="118" t="s">
        <v>12</v>
      </c>
      <c r="B18" s="153" t="s">
        <v>56</v>
      </c>
      <c r="C18" s="153" t="s">
        <v>56</v>
      </c>
      <c r="D18" s="153" t="s">
        <v>56</v>
      </c>
      <c r="E18" s="153" t="s">
        <v>56</v>
      </c>
      <c r="F18" s="153" t="s">
        <v>56</v>
      </c>
      <c r="G18" s="153" t="s">
        <v>56</v>
      </c>
      <c r="H18" s="153" t="s">
        <v>56</v>
      </c>
      <c r="I18" s="153" t="s">
        <v>56</v>
      </c>
      <c r="J18" s="157" t="s">
        <v>56</v>
      </c>
      <c r="K18" s="153" t="s">
        <v>56</v>
      </c>
      <c r="L18" s="153" t="s">
        <v>56</v>
      </c>
      <c r="M18" s="153" t="s">
        <v>56</v>
      </c>
      <c r="N18" s="153" t="s">
        <v>56</v>
      </c>
      <c r="O18" s="153" t="s">
        <v>56</v>
      </c>
      <c r="P18" s="153" t="s">
        <v>56</v>
      </c>
      <c r="Q18" s="153" t="s">
        <v>56</v>
      </c>
      <c r="R18" s="153" t="s">
        <v>56</v>
      </c>
      <c r="S18" s="157" t="s">
        <v>56</v>
      </c>
      <c r="T18" s="155" t="s">
        <v>56</v>
      </c>
      <c r="U18" s="153" t="s">
        <v>56</v>
      </c>
      <c r="V18" s="153" t="s">
        <v>56</v>
      </c>
      <c r="W18" s="153" t="s">
        <v>56</v>
      </c>
      <c r="X18" s="153" t="s">
        <v>56</v>
      </c>
      <c r="Y18" s="153" t="s">
        <v>56</v>
      </c>
      <c r="Z18" s="153" t="s">
        <v>56</v>
      </c>
      <c r="AA18" s="153" t="s">
        <v>56</v>
      </c>
      <c r="AB18" s="153" t="s">
        <v>56</v>
      </c>
      <c r="AC18" s="153" t="s">
        <v>56</v>
      </c>
      <c r="AD18" s="158" t="s">
        <v>56</v>
      </c>
    </row>
    <row r="19" spans="1:30" x14ac:dyDescent="0.25">
      <c r="A19" s="118" t="s">
        <v>13</v>
      </c>
      <c r="B19">
        <v>155.38783000000001</v>
      </c>
      <c r="C19">
        <v>303.09284000000002</v>
      </c>
      <c r="D19">
        <v>171.19794400000001</v>
      </c>
      <c r="E19">
        <v>99.75376</v>
      </c>
      <c r="F19">
        <v>18.771000000000001</v>
      </c>
      <c r="G19">
        <v>6.5183999999999997</v>
      </c>
      <c r="H19">
        <v>24.4</v>
      </c>
      <c r="I19" s="12">
        <f t="shared" si="18"/>
        <v>779.12177399999996</v>
      </c>
      <c r="J19" s="147">
        <v>193</v>
      </c>
      <c r="K19" s="122">
        <f t="shared" ref="K19:K25" si="21">B19*$K$39</f>
        <v>4661.6349</v>
      </c>
      <c r="L19" s="3">
        <f t="shared" ref="L19:L25" si="22">C19*$L$39</f>
        <v>18185.570400000001</v>
      </c>
      <c r="M19" s="3">
        <f t="shared" ref="M19:M25" si="23">D19*$M$39</f>
        <v>5135.9383200000002</v>
      </c>
      <c r="N19" s="3">
        <f t="shared" ref="N19:N25" si="24">E19*$N$39</f>
        <v>1995.0752</v>
      </c>
      <c r="O19" s="3">
        <f t="shared" ref="O19:O25" si="25">F19*$O$39</f>
        <v>750.84</v>
      </c>
      <c r="P19" s="3">
        <f t="shared" ref="P19:P25" si="26">G19*$P$39</f>
        <v>5084.3519999999999</v>
      </c>
      <c r="Q19" s="3">
        <f t="shared" ref="Q19:Q25" si="27">H19*$Q$39</f>
        <v>122</v>
      </c>
      <c r="R19" s="12">
        <f t="shared" si="19"/>
        <v>35935.410820000005</v>
      </c>
      <c r="S19" s="149">
        <f t="shared" ref="S19:S25" si="28">R19/I19</f>
        <v>46.122970784795456</v>
      </c>
      <c r="T19" s="129">
        <f>J19/S19</f>
        <v>4.1844659334828211</v>
      </c>
      <c r="U19" s="136">
        <f t="shared" ref="U19:U25" si="29">$U$39*$T19</f>
        <v>33.894174061210855</v>
      </c>
      <c r="V19" s="139">
        <f t="shared" ref="V19:V25" si="30">$V$39*$T19</f>
        <v>91.639803943273776</v>
      </c>
      <c r="W19" s="9">
        <f t="shared" ref="W19:W25" si="31">$W$39*$T19</f>
        <v>251.06795600896928</v>
      </c>
      <c r="X19" s="9">
        <f t="shared" ref="X19:X25" si="32">$X$39*$T19</f>
        <v>125.53397800448464</v>
      </c>
      <c r="Y19" s="9">
        <f t="shared" ref="Y19:Y25" si="33">$Y$39*$T19</f>
        <v>83.689318669656416</v>
      </c>
      <c r="Z19" s="9">
        <f t="shared" ref="Z19:Z25" si="34">$Z$39*$T19</f>
        <v>167.37863733931283</v>
      </c>
      <c r="AA19" s="9">
        <f t="shared" ref="AA19:AA25" si="35">$AA$39*$T19</f>
        <v>3263.8834281166005</v>
      </c>
      <c r="AB19" s="9">
        <f t="shared" ref="AB19:AB25" si="36">$AB$39*$T19</f>
        <v>20.922329667414104</v>
      </c>
      <c r="AC19" s="3">
        <f t="shared" ref="AC19:AC25" si="37">$AC$39*$T19</f>
        <v>1.5977051746025317</v>
      </c>
      <c r="AD19" s="137">
        <f t="shared" ref="AD19:AD25" si="38">$AD$39*$T19</f>
        <v>6.9043687902466546</v>
      </c>
    </row>
    <row r="20" spans="1:30" x14ac:dyDescent="0.25">
      <c r="A20" s="118" t="s">
        <v>14</v>
      </c>
      <c r="B20">
        <v>17.516575</v>
      </c>
      <c r="C20">
        <v>5.9789450000000004</v>
      </c>
      <c r="D20">
        <v>5.1360000000000001</v>
      </c>
      <c r="E20">
        <v>48.404625000000003</v>
      </c>
      <c r="F20">
        <v>8</v>
      </c>
      <c r="G20">
        <v>0</v>
      </c>
      <c r="H20">
        <v>30.8</v>
      </c>
      <c r="I20" s="12">
        <f t="shared" si="18"/>
        <v>115.836145</v>
      </c>
      <c r="J20" s="147">
        <v>4.8</v>
      </c>
      <c r="K20" s="122">
        <f t="shared" si="21"/>
        <v>525.49725000000001</v>
      </c>
      <c r="L20" s="3">
        <f t="shared" si="22"/>
        <v>358.73670000000004</v>
      </c>
      <c r="M20" s="3">
        <f t="shared" si="23"/>
        <v>154.08000000000001</v>
      </c>
      <c r="N20" s="3">
        <f t="shared" si="24"/>
        <v>968.09250000000009</v>
      </c>
      <c r="O20" s="3">
        <f t="shared" si="25"/>
        <v>320</v>
      </c>
      <c r="P20" s="3">
        <f t="shared" si="26"/>
        <v>0</v>
      </c>
      <c r="Q20" s="3">
        <f t="shared" si="27"/>
        <v>154</v>
      </c>
      <c r="R20" s="12">
        <f t="shared" si="19"/>
        <v>2480.4064499999999</v>
      </c>
      <c r="S20" s="149">
        <f t="shared" si="28"/>
        <v>21.413061095912678</v>
      </c>
      <c r="T20" s="129">
        <f t="shared" ref="T20:T25" si="39">J20/S20</f>
        <v>0.22416225211799462</v>
      </c>
      <c r="U20" s="136">
        <f t="shared" si="29"/>
        <v>1.8157142421557568</v>
      </c>
      <c r="V20" s="139">
        <f t="shared" si="30"/>
        <v>4.9091533213840819</v>
      </c>
      <c r="W20" s="9">
        <f t="shared" si="31"/>
        <v>13.449735127079677</v>
      </c>
      <c r="X20" s="9">
        <f t="shared" si="32"/>
        <v>6.7248675635398385</v>
      </c>
      <c r="Y20" s="9">
        <f t="shared" si="33"/>
        <v>4.4832450423598926</v>
      </c>
      <c r="Z20" s="9">
        <f t="shared" si="34"/>
        <v>8.9664900847197853</v>
      </c>
      <c r="AA20" s="9">
        <f t="shared" si="35"/>
        <v>174.84655665203582</v>
      </c>
      <c r="AB20" s="9">
        <f t="shared" si="36"/>
        <v>1.1208112605899732</v>
      </c>
      <c r="AC20" s="3">
        <f t="shared" si="37"/>
        <v>8.5589223535961587E-2</v>
      </c>
      <c r="AD20" s="137">
        <f t="shared" si="38"/>
        <v>0.36986771599469109</v>
      </c>
    </row>
    <row r="21" spans="1:30" x14ac:dyDescent="0.25">
      <c r="A21" s="118" t="s">
        <v>15</v>
      </c>
      <c r="B21">
        <v>1130.6145550000001</v>
      </c>
      <c r="C21">
        <v>266.11696000000001</v>
      </c>
      <c r="D21">
        <v>75.705900999999997</v>
      </c>
      <c r="E21">
        <v>299.76065999999997</v>
      </c>
      <c r="F21">
        <v>34.198999999999998</v>
      </c>
      <c r="G21">
        <v>0</v>
      </c>
      <c r="H21">
        <v>60</v>
      </c>
      <c r="I21" s="12">
        <f t="shared" si="18"/>
        <v>1866.3970760000002</v>
      </c>
      <c r="J21" s="147">
        <v>47.5</v>
      </c>
      <c r="K21" s="122">
        <f t="shared" si="21"/>
        <v>33918.436650000003</v>
      </c>
      <c r="L21" s="3">
        <f t="shared" si="22"/>
        <v>15967.017600000001</v>
      </c>
      <c r="M21" s="3">
        <f t="shared" si="23"/>
        <v>2271.1770299999998</v>
      </c>
      <c r="N21" s="3">
        <f t="shared" si="24"/>
        <v>5995.2131999999992</v>
      </c>
      <c r="O21" s="3">
        <f t="shared" si="25"/>
        <v>1367.96</v>
      </c>
      <c r="P21" s="3">
        <f t="shared" si="26"/>
        <v>0</v>
      </c>
      <c r="Q21" s="3">
        <f t="shared" si="27"/>
        <v>300</v>
      </c>
      <c r="R21" s="12">
        <f t="shared" si="19"/>
        <v>59819.804479999999</v>
      </c>
      <c r="S21" s="149">
        <f t="shared" si="28"/>
        <v>32.050952741634063</v>
      </c>
      <c r="T21" s="129">
        <f t="shared" si="39"/>
        <v>1.4820152269076758</v>
      </c>
      <c r="U21" s="136">
        <f t="shared" si="29"/>
        <v>12.004323337952176</v>
      </c>
      <c r="V21" s="139">
        <f t="shared" si="30"/>
        <v>32.4561334692781</v>
      </c>
      <c r="W21" s="9">
        <f t="shared" si="31"/>
        <v>88.920913614460545</v>
      </c>
      <c r="X21" s="9">
        <f t="shared" si="32"/>
        <v>44.460456807230273</v>
      </c>
      <c r="Y21" s="9">
        <f t="shared" si="33"/>
        <v>29.640304538153515</v>
      </c>
      <c r="Z21" s="9">
        <f t="shared" si="34"/>
        <v>59.28060907630703</v>
      </c>
      <c r="AA21" s="9">
        <f t="shared" si="35"/>
        <v>1155.9718769879871</v>
      </c>
      <c r="AB21" s="9">
        <f t="shared" si="36"/>
        <v>7.4100761345383788</v>
      </c>
      <c r="AC21" s="3">
        <f t="shared" si="37"/>
        <v>0.56586035936474899</v>
      </c>
      <c r="AD21" s="137">
        <f t="shared" si="38"/>
        <v>2.445325124397665</v>
      </c>
    </row>
    <row r="22" spans="1:30" x14ac:dyDescent="0.25">
      <c r="A22" s="118" t="s">
        <v>16</v>
      </c>
      <c r="B22">
        <v>1523.504735</v>
      </c>
      <c r="C22">
        <v>828.35847999999999</v>
      </c>
      <c r="D22">
        <v>702.36729300000002</v>
      </c>
      <c r="E22">
        <v>568.92488000000003</v>
      </c>
      <c r="F22">
        <v>174.55</v>
      </c>
      <c r="G22">
        <v>31.767399999999999</v>
      </c>
      <c r="H22">
        <v>147.88120000000001</v>
      </c>
      <c r="I22" s="12">
        <f t="shared" si="18"/>
        <v>3977.3539879999998</v>
      </c>
      <c r="J22" s="147">
        <v>332.3</v>
      </c>
      <c r="K22" s="122">
        <f t="shared" si="21"/>
        <v>45705.142050000002</v>
      </c>
      <c r="L22" s="3">
        <f t="shared" si="22"/>
        <v>49701.508799999996</v>
      </c>
      <c r="M22" s="3">
        <f t="shared" si="23"/>
        <v>21071.018790000002</v>
      </c>
      <c r="N22" s="3">
        <f t="shared" si="24"/>
        <v>11378.497600000001</v>
      </c>
      <c r="O22" s="3">
        <f t="shared" si="25"/>
        <v>6982</v>
      </c>
      <c r="P22" s="3">
        <f t="shared" si="26"/>
        <v>24778.572</v>
      </c>
      <c r="Q22" s="3">
        <f t="shared" si="27"/>
        <v>739.40600000000006</v>
      </c>
      <c r="R22" s="12">
        <f t="shared" si="19"/>
        <v>160356.14524000001</v>
      </c>
      <c r="S22" s="149">
        <f t="shared" si="28"/>
        <v>40.317292784048774</v>
      </c>
      <c r="T22" s="129">
        <f t="shared" si="39"/>
        <v>8.2421208631218406</v>
      </c>
      <c r="U22" s="136">
        <f t="shared" si="29"/>
        <v>66.761178991286926</v>
      </c>
      <c r="V22" s="139">
        <f t="shared" si="30"/>
        <v>180.50244690236829</v>
      </c>
      <c r="W22" s="9">
        <f t="shared" si="31"/>
        <v>494.52725178731043</v>
      </c>
      <c r="X22" s="9">
        <f t="shared" si="32"/>
        <v>247.26362589365522</v>
      </c>
      <c r="Y22" s="9">
        <f t="shared" si="33"/>
        <v>164.84241726243681</v>
      </c>
      <c r="Z22" s="9">
        <f t="shared" si="34"/>
        <v>329.68483452487362</v>
      </c>
      <c r="AA22" s="9">
        <f t="shared" si="35"/>
        <v>6428.8542732350361</v>
      </c>
      <c r="AB22" s="9">
        <f t="shared" si="36"/>
        <v>41.210604315609203</v>
      </c>
      <c r="AC22" s="3">
        <f t="shared" si="37"/>
        <v>3.1469916022828848</v>
      </c>
      <c r="AD22" s="137">
        <f t="shared" si="38"/>
        <v>13.599499424151036</v>
      </c>
    </row>
    <row r="23" spans="1:30" x14ac:dyDescent="0.25">
      <c r="A23" s="118" t="s">
        <v>17</v>
      </c>
      <c r="B23">
        <v>108.53001</v>
      </c>
      <c r="C23">
        <v>34.654559999999996</v>
      </c>
      <c r="D23">
        <v>18.522497999999999</v>
      </c>
      <c r="E23">
        <v>7.1601749999999997</v>
      </c>
      <c r="F23">
        <v>0</v>
      </c>
      <c r="G23">
        <v>5.9878000000000001E-2</v>
      </c>
      <c r="H23">
        <v>4.0743999999999998</v>
      </c>
      <c r="I23" s="12">
        <f t="shared" si="18"/>
        <v>173.001521</v>
      </c>
      <c r="J23" s="147">
        <v>36.6</v>
      </c>
      <c r="K23" s="122">
        <f t="shared" si="21"/>
        <v>3255.9003000000002</v>
      </c>
      <c r="L23" s="3">
        <f t="shared" si="22"/>
        <v>2079.2736</v>
      </c>
      <c r="M23" s="3">
        <f t="shared" si="23"/>
        <v>555.67493999999999</v>
      </c>
      <c r="N23" s="3">
        <f t="shared" si="24"/>
        <v>143.20349999999999</v>
      </c>
      <c r="O23" s="3">
        <f t="shared" si="25"/>
        <v>0</v>
      </c>
      <c r="P23" s="3">
        <f t="shared" si="26"/>
        <v>46.704839999999997</v>
      </c>
      <c r="Q23" s="3">
        <f t="shared" si="27"/>
        <v>20.372</v>
      </c>
      <c r="R23" s="12">
        <f t="shared" si="19"/>
        <v>6101.1291799999999</v>
      </c>
      <c r="S23" s="149">
        <f t="shared" si="28"/>
        <v>35.266332600624942</v>
      </c>
      <c r="T23" s="129">
        <f t="shared" si="39"/>
        <v>1.0378170141613032</v>
      </c>
      <c r="U23" s="136">
        <f t="shared" si="29"/>
        <v>8.4063178147065578</v>
      </c>
      <c r="V23" s="139">
        <f t="shared" si="30"/>
        <v>22.728192610132538</v>
      </c>
      <c r="W23" s="9">
        <f t="shared" si="31"/>
        <v>62.269020849678192</v>
      </c>
      <c r="X23" s="9">
        <f t="shared" si="32"/>
        <v>31.134510424839096</v>
      </c>
      <c r="Y23" s="9">
        <f t="shared" si="33"/>
        <v>20.756340283226066</v>
      </c>
      <c r="Z23" s="9">
        <f t="shared" si="34"/>
        <v>41.512680566452133</v>
      </c>
      <c r="AA23" s="9">
        <f t="shared" si="35"/>
        <v>809.49727104581655</v>
      </c>
      <c r="AB23" s="9">
        <f t="shared" si="36"/>
        <v>5.1890850708065166</v>
      </c>
      <c r="AC23" s="3">
        <f t="shared" si="37"/>
        <v>0.39625740540704307</v>
      </c>
      <c r="AD23" s="137">
        <f t="shared" si="38"/>
        <v>1.7123980733661501</v>
      </c>
    </row>
    <row r="24" spans="1:30" x14ac:dyDescent="0.25">
      <c r="A24" s="118" t="s">
        <v>18</v>
      </c>
      <c r="B24">
        <v>193.83209500000001</v>
      </c>
      <c r="C24">
        <v>74.100269999999995</v>
      </c>
      <c r="D24">
        <v>49.966293999999998</v>
      </c>
      <c r="E24">
        <v>9.4059000000000008</v>
      </c>
      <c r="F24">
        <v>0</v>
      </c>
      <c r="G24">
        <v>0.16700599999999999</v>
      </c>
      <c r="H24">
        <v>7.4816000000000003</v>
      </c>
      <c r="I24" s="12">
        <f>SUM(B24:H24)</f>
        <v>334.95316500000001</v>
      </c>
      <c r="J24" s="147">
        <v>35.5</v>
      </c>
      <c r="K24" s="122">
        <f t="shared" si="21"/>
        <v>5814.9628499999999</v>
      </c>
      <c r="L24" s="3">
        <f t="shared" si="22"/>
        <v>4446.0162</v>
      </c>
      <c r="M24" s="3">
        <f t="shared" si="23"/>
        <v>1498.98882</v>
      </c>
      <c r="N24" s="3">
        <f t="shared" si="24"/>
        <v>188.11800000000002</v>
      </c>
      <c r="O24" s="3">
        <f t="shared" si="25"/>
        <v>0</v>
      </c>
      <c r="P24" s="3">
        <f t="shared" si="26"/>
        <v>130.26468</v>
      </c>
      <c r="Q24" s="3">
        <f t="shared" si="27"/>
        <v>37.408000000000001</v>
      </c>
      <c r="R24" s="12">
        <f t="shared" si="19"/>
        <v>12115.75855</v>
      </c>
      <c r="S24" s="149">
        <f t="shared" si="28"/>
        <v>36.171500424544426</v>
      </c>
      <c r="T24" s="129">
        <f t="shared" si="39"/>
        <v>0.98143564915297865</v>
      </c>
      <c r="U24" s="136">
        <f t="shared" si="29"/>
        <v>7.9496287581391281</v>
      </c>
      <c r="V24" s="139">
        <f t="shared" si="30"/>
        <v>21.49344071645023</v>
      </c>
      <c r="W24" s="9">
        <f t="shared" si="31"/>
        <v>58.886138949178722</v>
      </c>
      <c r="X24" s="9">
        <f t="shared" si="32"/>
        <v>29.443069474589361</v>
      </c>
      <c r="Y24" s="9">
        <f t="shared" si="33"/>
        <v>19.628712983059572</v>
      </c>
      <c r="Z24" s="9">
        <f t="shared" si="34"/>
        <v>39.257425966119143</v>
      </c>
      <c r="AA24" s="9">
        <f t="shared" si="35"/>
        <v>765.5198063393234</v>
      </c>
      <c r="AB24" s="9">
        <f t="shared" si="36"/>
        <v>4.9071782457648929</v>
      </c>
      <c r="AC24" s="3">
        <f t="shared" si="37"/>
        <v>0.37472997513113732</v>
      </c>
      <c r="AD24" s="137">
        <f t="shared" si="38"/>
        <v>1.6193688211024146</v>
      </c>
    </row>
    <row r="25" spans="1:30" x14ac:dyDescent="0.25">
      <c r="A25" s="118" t="s">
        <v>19</v>
      </c>
      <c r="B25">
        <v>38.555990000000001</v>
      </c>
      <c r="C25">
        <v>11.335905</v>
      </c>
      <c r="D25">
        <v>0.11973399999999999</v>
      </c>
      <c r="E25">
        <v>6.7680000000000004E-2</v>
      </c>
      <c r="F25">
        <v>0</v>
      </c>
      <c r="G25">
        <v>0</v>
      </c>
      <c r="H25">
        <v>1.8895999999999999</v>
      </c>
      <c r="I25" s="12">
        <f t="shared" si="18"/>
        <v>51.968909000000011</v>
      </c>
      <c r="J25" s="147">
        <v>40.6</v>
      </c>
      <c r="K25" s="122">
        <f t="shared" si="21"/>
        <v>1156.6797000000001</v>
      </c>
      <c r="L25" s="3">
        <f t="shared" si="22"/>
        <v>680.15430000000003</v>
      </c>
      <c r="M25" s="3">
        <f t="shared" si="23"/>
        <v>3.5920199999999998</v>
      </c>
      <c r="N25" s="3">
        <f t="shared" si="24"/>
        <v>1.3536000000000001</v>
      </c>
      <c r="O25" s="3">
        <f t="shared" si="25"/>
        <v>0</v>
      </c>
      <c r="P25" s="3">
        <f t="shared" si="26"/>
        <v>0</v>
      </c>
      <c r="Q25" s="3">
        <f t="shared" si="27"/>
        <v>9.4480000000000004</v>
      </c>
      <c r="R25" s="12">
        <f t="shared" si="19"/>
        <v>1851.2276200000003</v>
      </c>
      <c r="S25" s="149">
        <f t="shared" si="28"/>
        <v>35.621829582760725</v>
      </c>
      <c r="T25" s="129">
        <f t="shared" si="39"/>
        <v>1.1397505539594315</v>
      </c>
      <c r="U25" s="136">
        <f t="shared" si="29"/>
        <v>9.2319794870713974</v>
      </c>
      <c r="V25" s="139">
        <f t="shared" si="30"/>
        <v>24.960537131711547</v>
      </c>
      <c r="W25" s="9">
        <f t="shared" si="31"/>
        <v>68.385033237565892</v>
      </c>
      <c r="X25" s="9">
        <f t="shared" si="32"/>
        <v>34.192516618782946</v>
      </c>
      <c r="Y25" s="9">
        <f t="shared" si="33"/>
        <v>22.79501107918863</v>
      </c>
      <c r="Z25" s="9">
        <f t="shared" si="34"/>
        <v>45.590022158377259</v>
      </c>
      <c r="AA25" s="9">
        <f t="shared" si="35"/>
        <v>889.00543208835654</v>
      </c>
      <c r="AB25" s="9">
        <f t="shared" si="36"/>
        <v>5.6987527697971574</v>
      </c>
      <c r="AC25" s="3">
        <f t="shared" si="37"/>
        <v>0.43517748423905567</v>
      </c>
      <c r="AD25" s="137">
        <f t="shared" si="38"/>
        <v>1.8805884140330618</v>
      </c>
    </row>
    <row r="26" spans="1:30" x14ac:dyDescent="0.25">
      <c r="A26" s="118" t="s">
        <v>20</v>
      </c>
      <c r="B26" s="153" t="s">
        <v>56</v>
      </c>
      <c r="C26" s="153" t="s">
        <v>56</v>
      </c>
      <c r="D26" s="153" t="s">
        <v>56</v>
      </c>
      <c r="E26" s="153" t="s">
        <v>56</v>
      </c>
      <c r="F26" s="153" t="s">
        <v>56</v>
      </c>
      <c r="G26" s="153" t="s">
        <v>56</v>
      </c>
      <c r="H26" s="153" t="s">
        <v>56</v>
      </c>
      <c r="I26" s="153" t="s">
        <v>56</v>
      </c>
      <c r="J26" s="157" t="s">
        <v>56</v>
      </c>
      <c r="K26" s="153" t="s">
        <v>56</v>
      </c>
      <c r="L26" s="153" t="s">
        <v>56</v>
      </c>
      <c r="M26" s="153" t="s">
        <v>56</v>
      </c>
      <c r="N26" s="153" t="s">
        <v>56</v>
      </c>
      <c r="O26" s="153" t="s">
        <v>56</v>
      </c>
      <c r="P26" s="153" t="s">
        <v>56</v>
      </c>
      <c r="Q26" s="153" t="s">
        <v>56</v>
      </c>
      <c r="R26" s="153" t="s">
        <v>56</v>
      </c>
      <c r="S26" s="154" t="s">
        <v>56</v>
      </c>
      <c r="T26" s="155" t="s">
        <v>56</v>
      </c>
      <c r="U26" s="153" t="s">
        <v>56</v>
      </c>
      <c r="V26" s="153" t="s">
        <v>56</v>
      </c>
      <c r="W26" s="153" t="s">
        <v>56</v>
      </c>
      <c r="X26" s="153" t="s">
        <v>56</v>
      </c>
      <c r="Y26" s="153" t="s">
        <v>56</v>
      </c>
      <c r="Z26" s="153" t="s">
        <v>56</v>
      </c>
      <c r="AA26" s="153" t="s">
        <v>56</v>
      </c>
      <c r="AB26" s="153" t="s">
        <v>56</v>
      </c>
      <c r="AC26" s="153" t="s">
        <v>56</v>
      </c>
      <c r="AD26" s="158" t="s">
        <v>56</v>
      </c>
    </row>
    <row r="27" spans="1:30" x14ac:dyDescent="0.25">
      <c r="A27" s="118" t="s">
        <v>21</v>
      </c>
      <c r="B27">
        <v>1042.7004850000001</v>
      </c>
      <c r="C27">
        <v>1468.7400050000001</v>
      </c>
      <c r="D27">
        <v>414.67455899999999</v>
      </c>
      <c r="E27">
        <v>111.43227</v>
      </c>
      <c r="F27">
        <v>46.604999999999997</v>
      </c>
      <c r="G27">
        <v>0.44897999999999999</v>
      </c>
      <c r="H27">
        <v>50.636000000000003</v>
      </c>
      <c r="I27" s="12">
        <f>SUM(B27:H27)</f>
        <v>3135.2372989999999</v>
      </c>
      <c r="J27" s="147">
        <v>68.400000000000006</v>
      </c>
      <c r="K27" s="122">
        <f>B27*$K$39</f>
        <v>31281.014550000004</v>
      </c>
      <c r="L27" s="3">
        <f>C27*$L$39</f>
        <v>88124.400300000008</v>
      </c>
      <c r="M27" s="3">
        <f>D27*$M$39</f>
        <v>12440.23677</v>
      </c>
      <c r="N27" s="3">
        <f>E27*$N$39</f>
        <v>2228.6453999999999</v>
      </c>
      <c r="O27" s="3">
        <f>F27*$O$39</f>
        <v>1864.1999999999998</v>
      </c>
      <c r="P27" s="3">
        <f>G27*$P$39</f>
        <v>350.20439999999996</v>
      </c>
      <c r="Q27" s="3">
        <f>H27*$Q$39</f>
        <v>253.18</v>
      </c>
      <c r="R27" s="12">
        <f>SUM(K27:Q27)</f>
        <v>136541.88142000002</v>
      </c>
      <c r="S27" s="149">
        <f t="shared" ref="S27:S37" si="40">R27/I27</f>
        <v>43.550732655404026</v>
      </c>
      <c r="T27" s="129">
        <f>J27/S27</f>
        <v>1.5705820735833829</v>
      </c>
      <c r="U27" s="136">
        <f>$U$39*$T27</f>
        <v>12.721714796025404</v>
      </c>
      <c r="V27" s="139">
        <f>$V$39*$T27</f>
        <v>34.39574741147608</v>
      </c>
      <c r="W27" s="9">
        <f>$W$39*$T27</f>
        <v>94.234924415002979</v>
      </c>
      <c r="X27" s="9">
        <f>$X$39*$T27</f>
        <v>47.11746220750149</v>
      </c>
      <c r="Y27" s="9">
        <f>$Y$39*$T27</f>
        <v>31.411641471667657</v>
      </c>
      <c r="Z27" s="9">
        <f>$Z$39*$T27</f>
        <v>62.823282943335315</v>
      </c>
      <c r="AA27" s="9">
        <f>$AA$39*$T27</f>
        <v>1225.0540173950387</v>
      </c>
      <c r="AB27" s="9">
        <f>$AB$39*$T27</f>
        <v>7.8529103679169143</v>
      </c>
      <c r="AC27" s="3">
        <f>$AC$39*$T27</f>
        <v>0.59967679173183708</v>
      </c>
      <c r="AD27" s="137">
        <f>$AD$39*$T27</f>
        <v>2.5914604214125814</v>
      </c>
    </row>
    <row r="28" spans="1:30" x14ac:dyDescent="0.25">
      <c r="A28" s="118" t="s">
        <v>22</v>
      </c>
      <c r="B28">
        <v>215.68604999999999</v>
      </c>
      <c r="C28">
        <v>126.044025</v>
      </c>
      <c r="D28">
        <v>75.971778</v>
      </c>
      <c r="E28">
        <v>101.396005</v>
      </c>
      <c r="F28">
        <v>1332.4970000000001</v>
      </c>
      <c r="G28">
        <v>0</v>
      </c>
      <c r="H28">
        <v>50</v>
      </c>
      <c r="I28" s="12">
        <f t="shared" ref="I28:I36" si="41">SUM(B28:H28)</f>
        <v>1901.5948580000002</v>
      </c>
      <c r="J28" s="147">
        <v>3</v>
      </c>
      <c r="K28" s="122">
        <f t="shared" ref="K28:K37" si="42">B28*$K$39</f>
        <v>6470.5815000000002</v>
      </c>
      <c r="L28" s="3">
        <f t="shared" ref="L28:L37" si="43">C28*$L$39</f>
        <v>7562.6415000000006</v>
      </c>
      <c r="M28" s="3">
        <f t="shared" ref="M28:M37" si="44">D28*$M$39</f>
        <v>2279.1533399999998</v>
      </c>
      <c r="N28" s="3">
        <f t="shared" ref="N28:N37" si="45">E28*$N$39</f>
        <v>2027.9201</v>
      </c>
      <c r="O28" s="3">
        <f t="shared" ref="O28:O37" si="46">F28*$O$39</f>
        <v>53299.880000000005</v>
      </c>
      <c r="P28" s="3">
        <f t="shared" ref="P28:P37" si="47">G28*$P$39</f>
        <v>0</v>
      </c>
      <c r="Q28" s="3">
        <f t="shared" ref="Q28:Q37" si="48">H28*$Q$39</f>
        <v>250</v>
      </c>
      <c r="R28" s="12">
        <f t="shared" ref="R28:R37" si="49">SUM(K28:Q28)</f>
        <v>71890.17644000001</v>
      </c>
      <c r="S28" s="149">
        <f t="shared" si="40"/>
        <v>37.805201322226125</v>
      </c>
      <c r="T28" s="129">
        <f t="shared" ref="T28:T37" si="50">J28/S28</f>
        <v>7.9354160143997557E-2</v>
      </c>
      <c r="U28" s="136">
        <f>$U$39*$T28</f>
        <v>0.6427686971663803</v>
      </c>
      <c r="V28" s="139">
        <f>$V$39*$T28</f>
        <v>1.7378561071535463</v>
      </c>
      <c r="W28" s="9">
        <f>$W$39*$T28</f>
        <v>4.7612496086398535</v>
      </c>
      <c r="X28" s="9">
        <f>$X$39*$T28</f>
        <v>2.3806248043199267</v>
      </c>
      <c r="Y28" s="9">
        <f>$Y$39*$T28</f>
        <v>1.5870832028799511</v>
      </c>
      <c r="Z28" s="9">
        <f>$Z$39*$T28</f>
        <v>3.1741664057599022</v>
      </c>
      <c r="AA28" s="9">
        <f>$AA$39*$T28</f>
        <v>61.896244912318096</v>
      </c>
      <c r="AB28" s="9">
        <f>$AB$39*$T28</f>
        <v>0.39677080071998777</v>
      </c>
      <c r="AC28" s="3">
        <f>$AC$39*$T28</f>
        <v>3.0298861145889977E-2</v>
      </c>
      <c r="AD28" s="137">
        <f>$AD$39*$T28</f>
        <v>0.13093436423759597</v>
      </c>
    </row>
    <row r="29" spans="1:30" x14ac:dyDescent="0.25">
      <c r="A29" s="118" t="s">
        <v>23</v>
      </c>
      <c r="B29">
        <v>1515.0054299999999</v>
      </c>
      <c r="C29">
        <v>1484.50962</v>
      </c>
      <c r="D29">
        <v>1006.7534439999999</v>
      </c>
      <c r="E29">
        <v>19.673400000000001</v>
      </c>
      <c r="F29">
        <v>36.335810000000002</v>
      </c>
      <c r="G29">
        <v>0</v>
      </c>
      <c r="H29">
        <v>82.84</v>
      </c>
      <c r="I29" s="12">
        <f t="shared" si="41"/>
        <v>4145.1177040000002</v>
      </c>
      <c r="J29" s="147">
        <v>139.5</v>
      </c>
      <c r="K29" s="122">
        <f t="shared" si="42"/>
        <v>45450.162899999996</v>
      </c>
      <c r="L29" s="3">
        <f t="shared" si="43"/>
        <v>89070.5772</v>
      </c>
      <c r="M29" s="3">
        <f t="shared" si="44"/>
        <v>30202.603319999998</v>
      </c>
      <c r="N29" s="3">
        <f t="shared" si="45"/>
        <v>393.46800000000002</v>
      </c>
      <c r="O29" s="3">
        <f t="shared" si="46"/>
        <v>1453.4324000000001</v>
      </c>
      <c r="P29" s="3">
        <f t="shared" si="47"/>
        <v>0</v>
      </c>
      <c r="Q29" s="3">
        <f t="shared" si="48"/>
        <v>414.20000000000005</v>
      </c>
      <c r="R29" s="12">
        <f t="shared" si="49"/>
        <v>166984.44381999999</v>
      </c>
      <c r="S29" s="149">
        <f t="shared" si="40"/>
        <v>40.284608482615958</v>
      </c>
      <c r="T29" s="129">
        <f t="shared" si="50"/>
        <v>3.4628610095639512</v>
      </c>
      <c r="U29" s="136">
        <f>$U$39*$T29</f>
        <v>28.049174177468011</v>
      </c>
      <c r="V29" s="139">
        <f>$V$39*$T29</f>
        <v>75.83665610945053</v>
      </c>
      <c r="W29" s="9">
        <f>$W$39*$T29</f>
        <v>207.77166057383707</v>
      </c>
      <c r="X29" s="9">
        <f>$X$39*$T29</f>
        <v>103.88583028691853</v>
      </c>
      <c r="Y29" s="9">
        <f>$Y$39*$T29</f>
        <v>69.257220191279018</v>
      </c>
      <c r="Z29" s="9">
        <f>$Z$39*$T29</f>
        <v>138.51444038255804</v>
      </c>
      <c r="AA29" s="9">
        <f>$AA$39*$T29</f>
        <v>2701.0315874598818</v>
      </c>
      <c r="AB29" s="9">
        <f>$AB$39*$T29</f>
        <v>17.314305047819754</v>
      </c>
      <c r="AC29" s="3">
        <f>$AC$39*$T29</f>
        <v>1.3221832945607814</v>
      </c>
      <c r="AD29" s="137">
        <f>$AD$39*$T29</f>
        <v>5.7137206657805191</v>
      </c>
    </row>
    <row r="30" spans="1:30" x14ac:dyDescent="0.25">
      <c r="A30" s="118" t="s">
        <v>24</v>
      </c>
      <c r="B30">
        <v>215.13584499999999</v>
      </c>
      <c r="C30">
        <v>318.44017000000002</v>
      </c>
      <c r="D30">
        <v>199.463325</v>
      </c>
      <c r="E30">
        <v>173.25594000000001</v>
      </c>
      <c r="F30">
        <v>9.9550000000000001</v>
      </c>
      <c r="G30">
        <v>7.5099233999999999</v>
      </c>
      <c r="H30">
        <v>33.200000000000003</v>
      </c>
      <c r="I30" s="12">
        <f t="shared" si="41"/>
        <v>956.96020340000018</v>
      </c>
      <c r="J30" s="147">
        <v>198.6</v>
      </c>
      <c r="K30" s="122">
        <f t="shared" si="42"/>
        <v>6454.0753500000001</v>
      </c>
      <c r="L30" s="3">
        <f t="shared" si="43"/>
        <v>19106.410200000002</v>
      </c>
      <c r="M30" s="3">
        <f t="shared" si="44"/>
        <v>5983.8997499999996</v>
      </c>
      <c r="N30" s="3">
        <f t="shared" si="45"/>
        <v>3465.1188000000002</v>
      </c>
      <c r="O30" s="3">
        <f t="shared" si="46"/>
        <v>398.2</v>
      </c>
      <c r="P30" s="3">
        <f t="shared" si="47"/>
        <v>5857.7402519999996</v>
      </c>
      <c r="Q30" s="3">
        <f t="shared" si="48"/>
        <v>166</v>
      </c>
      <c r="R30" s="12">
        <f t="shared" si="49"/>
        <v>41431.444352000006</v>
      </c>
      <c r="S30" s="149">
        <f t="shared" si="40"/>
        <v>43.294845704970307</v>
      </c>
      <c r="T30" s="129">
        <f t="shared" si="50"/>
        <v>4.5871511207903541</v>
      </c>
      <c r="U30" s="136">
        <f>$U$39*$T30</f>
        <v>37.155924078401874</v>
      </c>
      <c r="V30" s="139">
        <f>$V$39*$T30</f>
        <v>100.45860954530875</v>
      </c>
      <c r="W30" s="9">
        <f>$W$39*$T30</f>
        <v>275.22906724742126</v>
      </c>
      <c r="X30" s="9">
        <f>$X$39*$T30</f>
        <v>137.61453362371063</v>
      </c>
      <c r="Y30" s="9">
        <f>$Y$39*$T30</f>
        <v>91.743022415807076</v>
      </c>
      <c r="Z30" s="9">
        <f>$Z$39*$T30</f>
        <v>183.48604483161415</v>
      </c>
      <c r="AA30" s="9">
        <f>$AA$39*$T30</f>
        <v>3577.9778742164763</v>
      </c>
      <c r="AB30" s="9">
        <f>$AB$39*$T30</f>
        <v>22.935755603951769</v>
      </c>
      <c r="AC30" s="3">
        <f>$AC$39*$T30</f>
        <v>1.751457700665408</v>
      </c>
      <c r="AD30" s="137">
        <f>$AD$39*$T30</f>
        <v>7.5687993493040837</v>
      </c>
    </row>
    <row r="31" spans="1:30" x14ac:dyDescent="0.25">
      <c r="A31" s="118" t="s">
        <v>25</v>
      </c>
      <c r="B31">
        <v>584.166965</v>
      </c>
      <c r="C31">
        <v>343.58436499999999</v>
      </c>
      <c r="D31">
        <v>408.09562999974997</v>
      </c>
      <c r="E31">
        <v>975.49644999999998</v>
      </c>
      <c r="F31">
        <v>5.1660000000000004</v>
      </c>
      <c r="G31">
        <v>0</v>
      </c>
      <c r="H31">
        <v>185.32159999999999</v>
      </c>
      <c r="I31" s="12">
        <f t="shared" si="41"/>
        <v>2501.8310099997498</v>
      </c>
      <c r="J31" s="147">
        <v>109</v>
      </c>
      <c r="K31" s="122">
        <f t="shared" si="42"/>
        <v>17525.008949999999</v>
      </c>
      <c r="L31" s="3">
        <f t="shared" si="43"/>
        <v>20615.061900000001</v>
      </c>
      <c r="M31" s="3">
        <f t="shared" si="44"/>
        <v>12242.8688999925</v>
      </c>
      <c r="N31" s="3">
        <f t="shared" si="45"/>
        <v>19509.929</v>
      </c>
      <c r="O31" s="3">
        <f t="shared" si="46"/>
        <v>206.64000000000001</v>
      </c>
      <c r="P31" s="3">
        <f t="shared" si="47"/>
        <v>0</v>
      </c>
      <c r="Q31" s="3">
        <f t="shared" si="48"/>
        <v>926.60799999999995</v>
      </c>
      <c r="R31" s="12">
        <f t="shared" si="49"/>
        <v>71026.116749992492</v>
      </c>
      <c r="S31" s="149">
        <f t="shared" si="40"/>
        <v>28.389654003848804</v>
      </c>
      <c r="T31" s="129">
        <f t="shared" si="50"/>
        <v>3.8394268554742794</v>
      </c>
      <c r="U31" s="136">
        <f t="shared" ref="U31:U36" si="51">$U$39*$T31</f>
        <v>31.09935752934167</v>
      </c>
      <c r="V31" s="139">
        <f t="shared" ref="V31:V37" si="52">$V$39*$T31</f>
        <v>84.083448134886709</v>
      </c>
      <c r="W31" s="9">
        <f t="shared" ref="W31:W36" si="53">$W$39*$T31</f>
        <v>230.36561132845677</v>
      </c>
      <c r="X31" s="9">
        <f t="shared" ref="X31:X37" si="54">$X$39*$T31</f>
        <v>115.18280566422838</v>
      </c>
      <c r="Y31" s="9">
        <f t="shared" ref="Y31:Y37" si="55">$Y$39*$T31</f>
        <v>76.788537109485588</v>
      </c>
      <c r="Z31" s="9">
        <f t="shared" ref="Z31:Z37" si="56">$Z$39*$T31</f>
        <v>153.57707421897118</v>
      </c>
      <c r="AA31" s="9">
        <f t="shared" ref="AA31:AA37" si="57">$AA$39*$T31</f>
        <v>2994.752947269938</v>
      </c>
      <c r="AB31" s="9">
        <f t="shared" ref="AB31:AB37" si="58">$AB$39*$T31</f>
        <v>19.197134277371397</v>
      </c>
      <c r="AC31" s="3">
        <f t="shared" ref="AC31:AC37" si="59">$AC$39*$T31</f>
        <v>1.4659629811810886</v>
      </c>
      <c r="AD31" s="137">
        <f t="shared" ref="AD31:AD37" si="60">$AD$39*$T31</f>
        <v>6.335054311532561</v>
      </c>
    </row>
    <row r="32" spans="1:30" x14ac:dyDescent="0.25">
      <c r="A32" s="118" t="s">
        <v>26</v>
      </c>
      <c r="B32">
        <v>98.843010000000007</v>
      </c>
      <c r="C32">
        <v>60.227024999999998</v>
      </c>
      <c r="D32">
        <v>52.975373500000003</v>
      </c>
      <c r="E32">
        <v>31.80799</v>
      </c>
      <c r="F32">
        <v>2.657</v>
      </c>
      <c r="G32">
        <v>0</v>
      </c>
      <c r="H32">
        <v>2.7311999999999999</v>
      </c>
      <c r="I32" s="12">
        <f t="shared" si="41"/>
        <v>249.24159850000001</v>
      </c>
      <c r="J32" s="147">
        <v>65.599999999999994</v>
      </c>
      <c r="K32" s="122">
        <f t="shared" si="42"/>
        <v>2965.2903000000001</v>
      </c>
      <c r="L32" s="3">
        <f t="shared" si="43"/>
        <v>3613.6214999999997</v>
      </c>
      <c r="M32" s="3">
        <f t="shared" si="44"/>
        <v>1589.261205</v>
      </c>
      <c r="N32" s="3">
        <f t="shared" si="45"/>
        <v>636.15980000000002</v>
      </c>
      <c r="O32" s="3">
        <f t="shared" si="46"/>
        <v>106.28</v>
      </c>
      <c r="P32" s="3">
        <f t="shared" si="47"/>
        <v>0</v>
      </c>
      <c r="Q32" s="3">
        <f t="shared" si="48"/>
        <v>13.655999999999999</v>
      </c>
      <c r="R32" s="12">
        <f t="shared" si="49"/>
        <v>8924.2688050000015</v>
      </c>
      <c r="S32" s="149">
        <f t="shared" si="40"/>
        <v>35.80569559298506</v>
      </c>
      <c r="T32" s="129">
        <f t="shared" si="50"/>
        <v>1.832110755386418</v>
      </c>
      <c r="U32" s="136">
        <f t="shared" si="51"/>
        <v>14.840097118629988</v>
      </c>
      <c r="V32" s="139">
        <f t="shared" si="52"/>
        <v>40.123225542962551</v>
      </c>
      <c r="W32" s="9">
        <f t="shared" si="53"/>
        <v>109.92664532318508</v>
      </c>
      <c r="X32" s="9">
        <f t="shared" si="54"/>
        <v>54.963322661592542</v>
      </c>
      <c r="Y32" s="9">
        <f t="shared" si="55"/>
        <v>36.642215107728362</v>
      </c>
      <c r="Z32" s="9">
        <f t="shared" si="56"/>
        <v>73.284430215456723</v>
      </c>
      <c r="AA32" s="9">
        <f t="shared" si="57"/>
        <v>1429.0463892014061</v>
      </c>
      <c r="AB32" s="9">
        <f t="shared" si="58"/>
        <v>9.1605537769320904</v>
      </c>
      <c r="AC32" s="3">
        <f t="shared" si="59"/>
        <v>0.69953319751117782</v>
      </c>
      <c r="AD32" s="137">
        <f t="shared" si="60"/>
        <v>3.0229827463875893</v>
      </c>
    </row>
    <row r="33" spans="1:30" x14ac:dyDescent="0.25">
      <c r="A33" s="118" t="s">
        <v>27</v>
      </c>
      <c r="B33">
        <v>94.034689999999998</v>
      </c>
      <c r="C33">
        <v>19.72072</v>
      </c>
      <c r="D33">
        <v>37.143734000000002</v>
      </c>
      <c r="E33">
        <v>8.3293350000000004</v>
      </c>
      <c r="F33">
        <v>1.8420000000000001</v>
      </c>
      <c r="G33">
        <v>2.2447600000000002E-2</v>
      </c>
      <c r="H33">
        <v>10.147600000000001</v>
      </c>
      <c r="I33" s="12">
        <f>SUM(B33:H33)</f>
        <v>171.24052660000001</v>
      </c>
      <c r="J33" s="147">
        <v>33.299999999999997</v>
      </c>
      <c r="K33" s="122">
        <f t="shared" si="42"/>
        <v>2821.0407</v>
      </c>
      <c r="L33" s="3">
        <f t="shared" si="43"/>
        <v>1183.2431999999999</v>
      </c>
      <c r="M33" s="3">
        <f t="shared" si="44"/>
        <v>1114.3120200000001</v>
      </c>
      <c r="N33" s="3">
        <f t="shared" si="45"/>
        <v>166.58670000000001</v>
      </c>
      <c r="O33" s="3">
        <f t="shared" si="46"/>
        <v>73.680000000000007</v>
      </c>
      <c r="P33" s="3">
        <f t="shared" si="47"/>
        <v>17.509128</v>
      </c>
      <c r="Q33" s="3">
        <f t="shared" si="48"/>
        <v>50.738</v>
      </c>
      <c r="R33" s="12">
        <f t="shared" si="49"/>
        <v>5427.1097479999999</v>
      </c>
      <c r="S33" s="149">
        <f t="shared" si="40"/>
        <v>31.692905036885115</v>
      </c>
      <c r="T33" s="129">
        <f t="shared" si="50"/>
        <v>1.0507083513248312</v>
      </c>
      <c r="U33" s="136">
        <f>$U$39*$T33</f>
        <v>8.510737645731135</v>
      </c>
      <c r="V33" s="139">
        <f t="shared" si="52"/>
        <v>23.0105128940138</v>
      </c>
      <c r="W33" s="9">
        <f t="shared" si="53"/>
        <v>63.042501079489874</v>
      </c>
      <c r="X33" s="9">
        <f t="shared" si="54"/>
        <v>31.521250539744937</v>
      </c>
      <c r="Y33" s="9">
        <f t="shared" si="55"/>
        <v>21.014167026496622</v>
      </c>
      <c r="Z33" s="9">
        <f t="shared" si="56"/>
        <v>42.028334052993245</v>
      </c>
      <c r="AA33" s="9">
        <f t="shared" si="57"/>
        <v>819.55251403336831</v>
      </c>
      <c r="AB33" s="9">
        <f t="shared" si="58"/>
        <v>5.2535417566241556</v>
      </c>
      <c r="AC33" s="3">
        <f t="shared" si="59"/>
        <v>0.40117955232402647</v>
      </c>
      <c r="AD33" s="137">
        <f t="shared" si="60"/>
        <v>1.7336687796859713</v>
      </c>
    </row>
    <row r="34" spans="1:30" x14ac:dyDescent="0.25">
      <c r="A34" s="118" t="s">
        <v>28</v>
      </c>
      <c r="B34">
        <v>867.55860499999994</v>
      </c>
      <c r="C34">
        <v>3456.4353249999999</v>
      </c>
      <c r="D34">
        <v>751.72279900000001</v>
      </c>
      <c r="E34">
        <v>1387.00486</v>
      </c>
      <c r="F34">
        <v>305.73399999999998</v>
      </c>
      <c r="G34">
        <v>73.257577400000002</v>
      </c>
      <c r="H34">
        <v>235.43199999999999</v>
      </c>
      <c r="I34" s="12">
        <f t="shared" si="41"/>
        <v>7077.1451663999997</v>
      </c>
      <c r="J34" s="147">
        <v>418.8</v>
      </c>
      <c r="K34" s="122">
        <f t="shared" si="42"/>
        <v>26026.758149999998</v>
      </c>
      <c r="L34" s="3">
        <f t="shared" si="43"/>
        <v>207386.1195</v>
      </c>
      <c r="M34" s="3">
        <f t="shared" si="44"/>
        <v>22551.683970000002</v>
      </c>
      <c r="N34" s="3">
        <f t="shared" si="45"/>
        <v>27740.0972</v>
      </c>
      <c r="O34" s="3">
        <f t="shared" si="46"/>
        <v>12229.359999999999</v>
      </c>
      <c r="P34" s="3">
        <f t="shared" si="47"/>
        <v>57140.910371999998</v>
      </c>
      <c r="Q34" s="3">
        <f t="shared" si="48"/>
        <v>1177.1599999999999</v>
      </c>
      <c r="R34" s="12">
        <f t="shared" si="49"/>
        <v>354252.08919199998</v>
      </c>
      <c r="S34" s="149">
        <f t="shared" si="40"/>
        <v>50.055789568069699</v>
      </c>
      <c r="T34" s="129">
        <f t="shared" si="50"/>
        <v>8.3666645479736896</v>
      </c>
      <c r="U34" s="136">
        <f t="shared" si="51"/>
        <v>67.769982838586898</v>
      </c>
      <c r="V34" s="139">
        <f t="shared" si="52"/>
        <v>183.22995360062379</v>
      </c>
      <c r="W34" s="9">
        <f t="shared" si="53"/>
        <v>501.9998728784214</v>
      </c>
      <c r="X34" s="9">
        <f t="shared" si="54"/>
        <v>250.9999364392107</v>
      </c>
      <c r="Y34" s="9">
        <f t="shared" si="55"/>
        <v>167.3332909594738</v>
      </c>
      <c r="Z34" s="9">
        <f t="shared" si="56"/>
        <v>334.6665819189476</v>
      </c>
      <c r="AA34" s="9">
        <f t="shared" si="57"/>
        <v>6525.9983474194778</v>
      </c>
      <c r="AB34" s="9">
        <f t="shared" si="58"/>
        <v>41.83332273986845</v>
      </c>
      <c r="AC34" s="3">
        <f t="shared" si="59"/>
        <v>3.1945446455899544</v>
      </c>
      <c r="AD34" s="137">
        <f t="shared" si="60"/>
        <v>13.804996504156588</v>
      </c>
    </row>
    <row r="35" spans="1:30" x14ac:dyDescent="0.25">
      <c r="A35" s="118" t="s">
        <v>29</v>
      </c>
      <c r="B35">
        <v>308.28025000000002</v>
      </c>
      <c r="C35">
        <v>203.38148000000001</v>
      </c>
      <c r="D35">
        <v>93.408929999999998</v>
      </c>
      <c r="E35">
        <v>49.328400000000002</v>
      </c>
      <c r="F35">
        <v>11.151999999999999</v>
      </c>
      <c r="G35">
        <v>0</v>
      </c>
      <c r="H35">
        <v>145.19999999999999</v>
      </c>
      <c r="I35" s="12">
        <f t="shared" si="41"/>
        <v>810.75106000000005</v>
      </c>
      <c r="J35" s="147">
        <v>11.1</v>
      </c>
      <c r="K35" s="122">
        <f t="shared" si="42"/>
        <v>9248.4075000000012</v>
      </c>
      <c r="L35" s="3">
        <f t="shared" si="43"/>
        <v>12202.888800000001</v>
      </c>
      <c r="M35" s="3">
        <f t="shared" si="44"/>
        <v>2802.2678999999998</v>
      </c>
      <c r="N35" s="3">
        <f t="shared" si="45"/>
        <v>986.56799999999998</v>
      </c>
      <c r="O35" s="3">
        <f t="shared" si="46"/>
        <v>446.08</v>
      </c>
      <c r="P35" s="3">
        <f t="shared" si="47"/>
        <v>0</v>
      </c>
      <c r="Q35" s="3">
        <f t="shared" si="48"/>
        <v>726</v>
      </c>
      <c r="R35" s="12">
        <f t="shared" si="49"/>
        <v>26412.212200000002</v>
      </c>
      <c r="S35" s="149">
        <f t="shared" si="40"/>
        <v>32.577462433413288</v>
      </c>
      <c r="T35" s="129">
        <f t="shared" si="50"/>
        <v>0.34072635407646767</v>
      </c>
      <c r="U35" s="136">
        <f t="shared" si="51"/>
        <v>2.7598834680193884</v>
      </c>
      <c r="V35" s="139">
        <f t="shared" si="52"/>
        <v>7.461907154274642</v>
      </c>
      <c r="W35" s="9">
        <f t="shared" si="53"/>
        <v>20.44358124458806</v>
      </c>
      <c r="X35" s="9">
        <f t="shared" si="54"/>
        <v>10.22179062229403</v>
      </c>
      <c r="Y35" s="9">
        <f t="shared" si="55"/>
        <v>6.8145270815293539</v>
      </c>
      <c r="Z35" s="9">
        <f t="shared" si="56"/>
        <v>13.629054163058708</v>
      </c>
      <c r="AA35" s="9">
        <f t="shared" si="57"/>
        <v>265.76655617964479</v>
      </c>
      <c r="AB35" s="9">
        <f t="shared" si="58"/>
        <v>1.7036317703823385</v>
      </c>
      <c r="AC35" s="3">
        <f t="shared" si="59"/>
        <v>0.13009551701101493</v>
      </c>
      <c r="AD35" s="137">
        <f t="shared" si="60"/>
        <v>0.56219848422617158</v>
      </c>
    </row>
    <row r="36" spans="1:30" x14ac:dyDescent="0.25">
      <c r="A36" s="118" t="s">
        <v>30</v>
      </c>
      <c r="B36">
        <v>483.93773499999998</v>
      </c>
      <c r="C36">
        <v>208.64851999999999</v>
      </c>
      <c r="D36">
        <v>65.544565000000006</v>
      </c>
      <c r="E36">
        <v>35.940519999999999</v>
      </c>
      <c r="F36">
        <v>0</v>
      </c>
      <c r="G36">
        <v>1.0451826</v>
      </c>
      <c r="H36">
        <v>22.88</v>
      </c>
      <c r="I36" s="12">
        <f t="shared" si="41"/>
        <v>817.99652259999993</v>
      </c>
      <c r="J36" s="147">
        <v>56.8</v>
      </c>
      <c r="K36" s="122">
        <f t="shared" si="42"/>
        <v>14518.13205</v>
      </c>
      <c r="L36" s="3">
        <f t="shared" si="43"/>
        <v>12518.911199999999</v>
      </c>
      <c r="M36" s="3">
        <f t="shared" si="44"/>
        <v>1966.3369500000001</v>
      </c>
      <c r="N36" s="3">
        <f t="shared" si="45"/>
        <v>718.81039999999996</v>
      </c>
      <c r="O36" s="3">
        <f t="shared" si="46"/>
        <v>0</v>
      </c>
      <c r="P36" s="3">
        <f t="shared" si="47"/>
        <v>815.24242800000002</v>
      </c>
      <c r="Q36" s="3">
        <f t="shared" si="48"/>
        <v>114.39999999999999</v>
      </c>
      <c r="R36" s="12">
        <f t="shared" si="49"/>
        <v>30651.833028000001</v>
      </c>
      <c r="S36" s="149">
        <f t="shared" si="40"/>
        <v>37.471837814876309</v>
      </c>
      <c r="T36" s="129">
        <f t="shared" si="50"/>
        <v>1.5158050235115614</v>
      </c>
      <c r="U36" s="136">
        <f t="shared" si="51"/>
        <v>12.27802069044365</v>
      </c>
      <c r="V36" s="139">
        <f t="shared" si="52"/>
        <v>33.19613001490319</v>
      </c>
      <c r="W36" s="9">
        <f t="shared" si="53"/>
        <v>90.948301410693688</v>
      </c>
      <c r="X36" s="9">
        <f t="shared" si="54"/>
        <v>45.474150705346844</v>
      </c>
      <c r="Y36" s="9">
        <f t="shared" si="55"/>
        <v>30.316100470231227</v>
      </c>
      <c r="Z36" s="9">
        <f t="shared" si="56"/>
        <v>60.632200940462454</v>
      </c>
      <c r="AA36" s="9">
        <f t="shared" si="57"/>
        <v>1182.327918339018</v>
      </c>
      <c r="AB36" s="9">
        <f t="shared" si="58"/>
        <v>7.5790251175578067</v>
      </c>
      <c r="AC36" s="3">
        <f t="shared" si="59"/>
        <v>0.57876191806805077</v>
      </c>
      <c r="AD36" s="137">
        <f t="shared" si="60"/>
        <v>2.5010782887940763</v>
      </c>
    </row>
    <row r="37" spans="1:30" x14ac:dyDescent="0.25">
      <c r="A37" s="70" t="s">
        <v>31</v>
      </c>
      <c r="B37" s="72">
        <v>1731.3223</v>
      </c>
      <c r="C37" s="72">
        <v>744.57771500000001</v>
      </c>
      <c r="D37" s="72">
        <v>1041.661263</v>
      </c>
      <c r="E37" s="72">
        <v>2824.9173000000001</v>
      </c>
      <c r="F37" s="72">
        <v>177</v>
      </c>
      <c r="G37" s="72">
        <v>0</v>
      </c>
      <c r="H37" s="72">
        <v>395.2</v>
      </c>
      <c r="I37" s="128">
        <f>SUM(B37:H37)</f>
        <v>6914.678578</v>
      </c>
      <c r="J37" s="148">
        <v>62.3</v>
      </c>
      <c r="K37" s="151">
        <f t="shared" si="42"/>
        <v>51939.669000000002</v>
      </c>
      <c r="L37" s="106">
        <f t="shared" si="43"/>
        <v>44674.662900000003</v>
      </c>
      <c r="M37" s="106">
        <f t="shared" si="44"/>
        <v>31249.837889999999</v>
      </c>
      <c r="N37" s="106">
        <f t="shared" si="45"/>
        <v>56498.346000000005</v>
      </c>
      <c r="O37" s="106">
        <f t="shared" si="46"/>
        <v>7080</v>
      </c>
      <c r="P37" s="106">
        <f t="shared" si="47"/>
        <v>0</v>
      </c>
      <c r="Q37" s="106">
        <f t="shared" si="48"/>
        <v>1976</v>
      </c>
      <c r="R37" s="128">
        <f t="shared" si="49"/>
        <v>193418.51579</v>
      </c>
      <c r="S37" s="152">
        <f t="shared" si="40"/>
        <v>27.97216292965339</v>
      </c>
      <c r="T37" s="130">
        <f t="shared" si="50"/>
        <v>2.2272142542811926</v>
      </c>
      <c r="U37" s="140">
        <f>$U$39*$T37</f>
        <v>18.040435459677663</v>
      </c>
      <c r="V37" s="141">
        <f t="shared" si="52"/>
        <v>48.775992168758115</v>
      </c>
      <c r="W37" s="73">
        <f>$W$39*$T37</f>
        <v>133.63285525687155</v>
      </c>
      <c r="X37" s="73">
        <f t="shared" si="54"/>
        <v>66.816427628435775</v>
      </c>
      <c r="Y37" s="73">
        <f t="shared" si="55"/>
        <v>44.544285085623855</v>
      </c>
      <c r="Z37" s="73">
        <f t="shared" si="56"/>
        <v>89.08857017124771</v>
      </c>
      <c r="AA37" s="73">
        <f t="shared" si="57"/>
        <v>1737.2271183393302</v>
      </c>
      <c r="AB37" s="73">
        <f t="shared" si="58"/>
        <v>11.136071271405964</v>
      </c>
      <c r="AC37" s="106">
        <f t="shared" si="59"/>
        <v>0.8503908970891827</v>
      </c>
      <c r="AD37" s="142">
        <f t="shared" si="60"/>
        <v>3.6749035195639674</v>
      </c>
    </row>
    <row r="39" spans="1:30" x14ac:dyDescent="0.25">
      <c r="A39" s="114" t="s">
        <v>57</v>
      </c>
      <c r="B39" s="114"/>
      <c r="C39" s="114"/>
      <c r="D39" s="114"/>
      <c r="E39" s="114"/>
      <c r="F39" s="114"/>
      <c r="G39" s="114"/>
      <c r="H39" s="114"/>
      <c r="I39" s="114"/>
      <c r="J39" s="114"/>
      <c r="K39" s="115">
        <f>'Standard values'!B5</f>
        <v>30</v>
      </c>
      <c r="L39" s="115">
        <f>'Standard values'!D5</f>
        <v>60</v>
      </c>
      <c r="M39" s="115">
        <f>'Standard values'!E5</f>
        <v>30</v>
      </c>
      <c r="N39" s="115">
        <f>'Standard values'!F5</f>
        <v>20</v>
      </c>
      <c r="O39" s="115">
        <f>'Standard values'!G5</f>
        <v>40</v>
      </c>
      <c r="P39" s="115">
        <f>'Standard values'!H5</f>
        <v>780</v>
      </c>
      <c r="Q39" s="115">
        <f>'Standard values'!I5</f>
        <v>5</v>
      </c>
      <c r="R39" s="114"/>
      <c r="S39" s="114"/>
      <c r="T39" s="114"/>
      <c r="U39" s="114">
        <f>'Standard values'!B6</f>
        <v>8.1000000000000014</v>
      </c>
      <c r="V39" s="114">
        <f>'Standard values'!C6</f>
        <v>21.9</v>
      </c>
      <c r="W39" s="114">
        <f>'Standard values'!D6</f>
        <v>60</v>
      </c>
      <c r="X39" s="114">
        <f>'Standard values'!E6</f>
        <v>30</v>
      </c>
      <c r="Y39" s="114">
        <f>'Standard values'!F6</f>
        <v>20</v>
      </c>
      <c r="Z39" s="114">
        <f>'Standard values'!G6</f>
        <v>40</v>
      </c>
      <c r="AA39" s="114">
        <f>'Standard values'!H6</f>
        <v>780</v>
      </c>
      <c r="AB39" s="114">
        <f>'Standard values'!I6</f>
        <v>5</v>
      </c>
      <c r="AC39" s="135">
        <f>'Standard values'!J6</f>
        <v>0.38181818181818183</v>
      </c>
      <c r="AD39" s="135">
        <f>'Standard values'!K6</f>
        <v>1.65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B59A0-A8E5-4A0E-81F7-87C78E3EA4DB}">
  <dimension ref="A2:AD39"/>
  <sheetViews>
    <sheetView topLeftCell="A3" workbookViewId="0">
      <selection activeCell="A4" sqref="A4:AD37"/>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2" t="s">
        <v>62</v>
      </c>
    </row>
    <row r="4" spans="1:30" ht="15.75" x14ac:dyDescent="0.25">
      <c r="A4" s="124" t="s">
        <v>33</v>
      </c>
      <c r="B4" s="116" t="s">
        <v>34</v>
      </c>
      <c r="C4" s="125"/>
      <c r="D4" s="116"/>
      <c r="E4" s="125"/>
      <c r="F4" s="125"/>
      <c r="G4" s="125"/>
      <c r="H4" s="125"/>
      <c r="I4" s="125"/>
      <c r="J4" s="125"/>
      <c r="K4" s="124" t="s">
        <v>35</v>
      </c>
      <c r="L4" s="116"/>
      <c r="M4" s="116"/>
      <c r="N4" s="116"/>
      <c r="O4" s="116"/>
      <c r="P4" s="116"/>
      <c r="Q4" s="116"/>
      <c r="R4" s="116"/>
      <c r="S4" s="117"/>
      <c r="T4" s="117"/>
      <c r="U4" s="124" t="s">
        <v>36</v>
      </c>
      <c r="V4" s="116"/>
      <c r="W4" s="116"/>
      <c r="X4" s="116"/>
      <c r="Y4" s="116"/>
      <c r="Z4" s="116"/>
      <c r="AA4" s="116"/>
      <c r="AB4" s="116"/>
      <c r="AC4" s="116"/>
      <c r="AD4" s="117"/>
    </row>
    <row r="5" spans="1:30" x14ac:dyDescent="0.25">
      <c r="A5" s="123" t="s">
        <v>37</v>
      </c>
      <c r="K5" s="118"/>
      <c r="S5" s="6"/>
      <c r="T5" s="6"/>
      <c r="U5" s="118"/>
      <c r="AD5" s="6"/>
    </row>
    <row r="6" spans="1:30" ht="32.25" customHeight="1" x14ac:dyDescent="0.25">
      <c r="A6" s="119" t="s">
        <v>38</v>
      </c>
      <c r="B6" s="120" t="s">
        <v>39</v>
      </c>
      <c r="C6" s="120" t="s">
        <v>0</v>
      </c>
      <c r="D6" s="120" t="s">
        <v>40</v>
      </c>
      <c r="E6" s="127" t="s">
        <v>41</v>
      </c>
      <c r="F6" s="120" t="s">
        <v>42</v>
      </c>
      <c r="G6" s="120" t="s">
        <v>43</v>
      </c>
      <c r="H6" s="120" t="s">
        <v>44</v>
      </c>
      <c r="I6" s="127" t="s">
        <v>45</v>
      </c>
      <c r="J6" s="120" t="s">
        <v>46</v>
      </c>
      <c r="K6" s="119" t="s">
        <v>39</v>
      </c>
      <c r="L6" s="120" t="s">
        <v>0</v>
      </c>
      <c r="M6" s="120" t="s">
        <v>40</v>
      </c>
      <c r="N6" s="127" t="s">
        <v>41</v>
      </c>
      <c r="O6" s="120" t="s">
        <v>42</v>
      </c>
      <c r="P6" s="120" t="s">
        <v>43</v>
      </c>
      <c r="Q6" s="120" t="s">
        <v>44</v>
      </c>
      <c r="R6" s="120" t="s">
        <v>47</v>
      </c>
      <c r="S6" s="121" t="s">
        <v>46</v>
      </c>
      <c r="T6" s="126" t="s">
        <v>48</v>
      </c>
      <c r="U6" s="131" t="s">
        <v>49</v>
      </c>
      <c r="V6" s="138" t="s">
        <v>50</v>
      </c>
      <c r="W6" s="120" t="s">
        <v>0</v>
      </c>
      <c r="X6" s="120" t="s">
        <v>51</v>
      </c>
      <c r="Y6" s="127" t="s">
        <v>52</v>
      </c>
      <c r="Z6" s="120" t="s">
        <v>42</v>
      </c>
      <c r="AA6" s="120" t="s">
        <v>53</v>
      </c>
      <c r="AB6" s="120" t="s">
        <v>44</v>
      </c>
      <c r="AC6" s="120" t="s">
        <v>54</v>
      </c>
      <c r="AD6" s="121" t="s">
        <v>55</v>
      </c>
    </row>
    <row r="7" spans="1:30" x14ac:dyDescent="0.25">
      <c r="A7" s="118" t="s">
        <v>1</v>
      </c>
      <c r="B7">
        <v>438.19731999999999</v>
      </c>
      <c r="C7">
        <v>373.80417999999997</v>
      </c>
      <c r="D7">
        <v>79.159057500000003</v>
      </c>
      <c r="E7">
        <v>33.636470000000003</v>
      </c>
      <c r="F7">
        <v>0</v>
      </c>
      <c r="G7">
        <v>0</v>
      </c>
      <c r="H7">
        <v>31.954799999999999</v>
      </c>
      <c r="I7" s="12">
        <f>SUM(B7:H7)</f>
        <v>956.75182749999999</v>
      </c>
      <c r="J7" s="147">
        <v>50.7</v>
      </c>
      <c r="K7" s="122">
        <f t="shared" ref="K7:K25" si="0">B7*$K$39</f>
        <v>13145.919599999999</v>
      </c>
      <c r="L7" s="3">
        <f t="shared" ref="L7:L25" si="1">C7*$L$39</f>
        <v>22428.250799999998</v>
      </c>
      <c r="M7" s="3">
        <f t="shared" ref="M7:M25" si="2">D7*$M$39</f>
        <v>2374.7717250000001</v>
      </c>
      <c r="N7" s="3">
        <f t="shared" ref="N7:N25" si="3">E7*$N$39</f>
        <v>672.72940000000006</v>
      </c>
      <c r="O7" s="3">
        <f t="shared" ref="O7:O25" si="4">F7*$O$39</f>
        <v>0</v>
      </c>
      <c r="P7" s="3">
        <f t="shared" ref="P7:P25" si="5">G7*$P$39</f>
        <v>0</v>
      </c>
      <c r="Q7" s="3">
        <f t="shared" ref="Q7:Q25" si="6">H7*$Q$39</f>
        <v>159.774</v>
      </c>
      <c r="R7" s="12">
        <f>SUM(K7:Q7)</f>
        <v>38781.445524999988</v>
      </c>
      <c r="S7" s="149">
        <f t="shared" ref="S7:S25" si="7">R7/I7</f>
        <v>40.534488056674228</v>
      </c>
      <c r="T7" s="129">
        <f>J7/S7</f>
        <v>1.2507867357079392</v>
      </c>
      <c r="U7" s="136">
        <f t="shared" ref="U7:U25" si="8">$U$39*$T7</f>
        <v>10.131372559234309</v>
      </c>
      <c r="V7" s="139">
        <f t="shared" ref="V7:V25" si="9">$V$39*$T7</f>
        <v>27.392229512003865</v>
      </c>
      <c r="W7" s="9">
        <f t="shared" ref="W7:W25" si="10">$W$39*$T7</f>
        <v>75.047204142476346</v>
      </c>
      <c r="X7" s="9">
        <f t="shared" ref="X7:X25" si="11">$X$39*$T7</f>
        <v>37.523602071238173</v>
      </c>
      <c r="Y7" s="9">
        <f t="shared" ref="Y7:Y25" si="12">$Y$39*$T7</f>
        <v>25.015734714158782</v>
      </c>
      <c r="Z7" s="9">
        <f t="shared" ref="Z7:Z25" si="13">$Z$39*$T7</f>
        <v>50.031469428317564</v>
      </c>
      <c r="AA7" s="9">
        <f t="shared" ref="AA7:AA25" si="14">$AA$39*$T7</f>
        <v>975.61365385219256</v>
      </c>
      <c r="AB7" s="9">
        <f t="shared" ref="AB7:AB25" si="15">$AB$39*$T7</f>
        <v>6.2539336785396955</v>
      </c>
      <c r="AC7" s="3">
        <f t="shared" ref="AC7:AC25" si="16">$AC$39*$T7</f>
        <v>0.47757311727030405</v>
      </c>
      <c r="AD7" s="137">
        <f t="shared" ref="AD7:AD25" si="17">$AD$39*$T7</f>
        <v>2.0637981139180996</v>
      </c>
    </row>
    <row r="8" spans="1:30" x14ac:dyDescent="0.25">
      <c r="A8" s="118" t="s">
        <v>2</v>
      </c>
      <c r="B8">
        <v>457.06509</v>
      </c>
      <c r="C8">
        <v>905.21759499999996</v>
      </c>
      <c r="D8">
        <v>221.17026300000001</v>
      </c>
      <c r="E8">
        <v>16.442409999999999</v>
      </c>
      <c r="F8">
        <v>0</v>
      </c>
      <c r="G8">
        <v>4.2145712</v>
      </c>
      <c r="H8">
        <v>115.28879999999999</v>
      </c>
      <c r="I8" s="12">
        <f t="shared" ref="I8:I25" si="18">SUM(B8:H8)</f>
        <v>1719.3987291999999</v>
      </c>
      <c r="J8" s="147">
        <v>149.9</v>
      </c>
      <c r="K8" s="122">
        <f t="shared" si="0"/>
        <v>13711.9527</v>
      </c>
      <c r="L8" s="3">
        <f t="shared" si="1"/>
        <v>54313.055699999997</v>
      </c>
      <c r="M8" s="3">
        <f t="shared" si="2"/>
        <v>6635.1078900000002</v>
      </c>
      <c r="N8" s="3">
        <f t="shared" si="3"/>
        <v>328.84819999999996</v>
      </c>
      <c r="O8" s="3">
        <f t="shared" si="4"/>
        <v>0</v>
      </c>
      <c r="P8" s="3">
        <f t="shared" si="5"/>
        <v>3287.3655359999998</v>
      </c>
      <c r="Q8" s="3">
        <f t="shared" si="6"/>
        <v>576.44399999999996</v>
      </c>
      <c r="R8" s="12">
        <f t="shared" ref="R8:R25" si="19">SUM(K8:Q8)</f>
        <v>78852.774025999985</v>
      </c>
      <c r="S8" s="149">
        <f t="shared" si="7"/>
        <v>45.860667852586189</v>
      </c>
      <c r="T8" s="129">
        <f t="shared" ref="T8:T25" si="20">J8/S8</f>
        <v>3.2685960981169355</v>
      </c>
      <c r="U8" s="136">
        <f t="shared" si="8"/>
        <v>26.475628394747183</v>
      </c>
      <c r="V8" s="139">
        <f t="shared" si="9"/>
        <v>71.582254548760886</v>
      </c>
      <c r="W8" s="9">
        <f t="shared" si="10"/>
        <v>196.11576588701612</v>
      </c>
      <c r="X8" s="9">
        <f t="shared" si="11"/>
        <v>98.057882943508062</v>
      </c>
      <c r="Y8" s="9">
        <f t="shared" si="12"/>
        <v>65.371921962338718</v>
      </c>
      <c r="Z8" s="9">
        <f t="shared" si="13"/>
        <v>130.74384392467744</v>
      </c>
      <c r="AA8" s="9">
        <f t="shared" si="14"/>
        <v>2549.5049565312097</v>
      </c>
      <c r="AB8" s="9">
        <f t="shared" si="15"/>
        <v>16.342980490584679</v>
      </c>
      <c r="AC8" s="3">
        <f t="shared" si="16"/>
        <v>1.2480094192810118</v>
      </c>
      <c r="AD8" s="137">
        <f t="shared" si="17"/>
        <v>5.3931835618929433</v>
      </c>
    </row>
    <row r="9" spans="1:30" x14ac:dyDescent="0.25">
      <c r="A9" s="118" t="s">
        <v>3</v>
      </c>
      <c r="B9">
        <v>129.448295</v>
      </c>
      <c r="C9">
        <v>73.105930000000001</v>
      </c>
      <c r="D9">
        <v>45.906199999999998</v>
      </c>
      <c r="E9">
        <v>96.321950000000001</v>
      </c>
      <c r="F9">
        <v>0</v>
      </c>
      <c r="G9">
        <v>7.2800000000000004E-2</v>
      </c>
      <c r="H9">
        <v>35.185200000000002</v>
      </c>
      <c r="I9" s="12">
        <f t="shared" si="18"/>
        <v>380.04037499999998</v>
      </c>
      <c r="J9" s="147">
        <v>121.8</v>
      </c>
      <c r="K9" s="122">
        <f t="shared" si="0"/>
        <v>3883.4488500000002</v>
      </c>
      <c r="L9" s="3">
        <f t="shared" si="1"/>
        <v>4386.3558000000003</v>
      </c>
      <c r="M9" s="3">
        <f t="shared" si="2"/>
        <v>1377.1859999999999</v>
      </c>
      <c r="N9" s="3">
        <f t="shared" si="3"/>
        <v>1926.4390000000001</v>
      </c>
      <c r="O9" s="3">
        <f t="shared" si="4"/>
        <v>0</v>
      </c>
      <c r="P9" s="3">
        <f t="shared" si="5"/>
        <v>56.784000000000006</v>
      </c>
      <c r="Q9" s="3">
        <f t="shared" si="6"/>
        <v>175.92600000000002</v>
      </c>
      <c r="R9" s="12">
        <f t="shared" si="19"/>
        <v>11806.139649999999</v>
      </c>
      <c r="S9" s="149">
        <f t="shared" si="7"/>
        <v>31.065487844548095</v>
      </c>
      <c r="T9" s="129">
        <f t="shared" si="20"/>
        <v>3.9207496308922622</v>
      </c>
      <c r="U9" s="136">
        <f t="shared" si="8"/>
        <v>31.75807201022733</v>
      </c>
      <c r="V9" s="139">
        <f t="shared" si="9"/>
        <v>85.864416916540534</v>
      </c>
      <c r="W9" s="9">
        <f t="shared" si="10"/>
        <v>235.24497785353574</v>
      </c>
      <c r="X9" s="9">
        <f t="shared" si="11"/>
        <v>117.62248892676787</v>
      </c>
      <c r="Y9" s="9">
        <f t="shared" si="12"/>
        <v>78.414992617845243</v>
      </c>
      <c r="Z9" s="9">
        <f t="shared" si="13"/>
        <v>156.82998523569049</v>
      </c>
      <c r="AA9" s="9">
        <f t="shared" si="14"/>
        <v>3058.1847120959646</v>
      </c>
      <c r="AB9" s="9">
        <f t="shared" si="15"/>
        <v>19.603748154461311</v>
      </c>
      <c r="AC9" s="3">
        <f t="shared" si="16"/>
        <v>1.497013495431591</v>
      </c>
      <c r="AD9" s="137">
        <f t="shared" si="17"/>
        <v>6.4692368909722324</v>
      </c>
    </row>
    <row r="10" spans="1:30" x14ac:dyDescent="0.25">
      <c r="A10" s="118" t="s">
        <v>4</v>
      </c>
      <c r="B10">
        <v>111.73718</v>
      </c>
      <c r="C10">
        <v>81.087109999999996</v>
      </c>
      <c r="D10">
        <v>42.428704500000002</v>
      </c>
      <c r="E10">
        <v>46.517245000000003</v>
      </c>
      <c r="F10">
        <v>16.875</v>
      </c>
      <c r="G10">
        <v>8.2445999999999995E-3</v>
      </c>
      <c r="H10">
        <v>8.7260000000000009</v>
      </c>
      <c r="I10" s="12">
        <f t="shared" si="18"/>
        <v>307.37948410000001</v>
      </c>
      <c r="J10" s="147">
        <v>90.5</v>
      </c>
      <c r="K10" s="122">
        <f t="shared" si="0"/>
        <v>3352.1153999999997</v>
      </c>
      <c r="L10" s="3">
        <f t="shared" si="1"/>
        <v>4865.2266</v>
      </c>
      <c r="M10" s="3">
        <f t="shared" si="2"/>
        <v>1272.8611350000001</v>
      </c>
      <c r="N10" s="3">
        <f t="shared" si="3"/>
        <v>930.34490000000005</v>
      </c>
      <c r="O10" s="3">
        <f t="shared" si="4"/>
        <v>675</v>
      </c>
      <c r="P10" s="3">
        <f t="shared" si="5"/>
        <v>6.4307879999999997</v>
      </c>
      <c r="Q10" s="3">
        <f t="shared" si="6"/>
        <v>43.63</v>
      </c>
      <c r="R10" s="12">
        <f t="shared" si="19"/>
        <v>11145.608822999999</v>
      </c>
      <c r="S10" s="149">
        <f t="shared" si="7"/>
        <v>36.260093466010204</v>
      </c>
      <c r="T10" s="129">
        <f t="shared" si="20"/>
        <v>2.4958567766747115</v>
      </c>
      <c r="U10" s="136">
        <f t="shared" si="8"/>
        <v>20.216439891065168</v>
      </c>
      <c r="V10" s="139">
        <f t="shared" si="9"/>
        <v>54.659263409176177</v>
      </c>
      <c r="W10" s="9">
        <f t="shared" si="10"/>
        <v>149.75140660048268</v>
      </c>
      <c r="X10" s="9">
        <f t="shared" si="11"/>
        <v>74.875703300241341</v>
      </c>
      <c r="Y10" s="9">
        <f t="shared" si="12"/>
        <v>49.917135533494232</v>
      </c>
      <c r="Z10" s="9">
        <f t="shared" si="13"/>
        <v>99.834271066988464</v>
      </c>
      <c r="AA10" s="9">
        <f t="shared" si="14"/>
        <v>1946.7682858062749</v>
      </c>
      <c r="AB10" s="9">
        <f t="shared" si="15"/>
        <v>12.479283883373558</v>
      </c>
      <c r="AC10" s="3">
        <f t="shared" si="16"/>
        <v>0.9529634965485263</v>
      </c>
      <c r="AD10" s="137">
        <f t="shared" si="17"/>
        <v>4.1181636815132734</v>
      </c>
    </row>
    <row r="11" spans="1:30" x14ac:dyDescent="0.25">
      <c r="A11" s="118" t="s">
        <v>5</v>
      </c>
      <c r="B11">
        <v>21.255955</v>
      </c>
      <c r="C11">
        <v>46.120460000000001</v>
      </c>
      <c r="D11">
        <v>12.52576</v>
      </c>
      <c r="E11">
        <v>46.90746</v>
      </c>
      <c r="F11">
        <v>5.4589999999999996</v>
      </c>
      <c r="G11">
        <v>5.5227199999999997E-2</v>
      </c>
      <c r="H11">
        <v>1.552</v>
      </c>
      <c r="I11" s="12">
        <f t="shared" si="18"/>
        <v>133.8758622</v>
      </c>
      <c r="J11" s="147">
        <v>350.2</v>
      </c>
      <c r="K11" s="122">
        <f t="shared" si="0"/>
        <v>637.67865000000006</v>
      </c>
      <c r="L11" s="3">
        <f t="shared" si="1"/>
        <v>2767.2276000000002</v>
      </c>
      <c r="M11" s="3">
        <f t="shared" si="2"/>
        <v>375.77280000000002</v>
      </c>
      <c r="N11" s="3">
        <f t="shared" si="3"/>
        <v>938.14920000000006</v>
      </c>
      <c r="O11" s="3">
        <f t="shared" si="4"/>
        <v>218.35999999999999</v>
      </c>
      <c r="P11" s="3">
        <f t="shared" si="5"/>
        <v>43.077216</v>
      </c>
      <c r="Q11" s="3">
        <f t="shared" si="6"/>
        <v>7.76</v>
      </c>
      <c r="R11" s="12">
        <f t="shared" si="19"/>
        <v>4988.0254660000001</v>
      </c>
      <c r="S11" s="149">
        <f t="shared" si="7"/>
        <v>37.258587052446259</v>
      </c>
      <c r="T11" s="129">
        <f t="shared" si="20"/>
        <v>9.3991755378981061</v>
      </c>
      <c r="U11" s="136">
        <f t="shared" si="8"/>
        <v>76.133321856974675</v>
      </c>
      <c r="V11" s="139">
        <f t="shared" si="9"/>
        <v>205.84194427996852</v>
      </c>
      <c r="W11" s="9">
        <f t="shared" si="10"/>
        <v>563.95053227388632</v>
      </c>
      <c r="X11" s="9">
        <f t="shared" si="11"/>
        <v>281.97526613694316</v>
      </c>
      <c r="Y11" s="9">
        <f t="shared" si="12"/>
        <v>187.98351075796211</v>
      </c>
      <c r="Z11" s="9">
        <f t="shared" si="13"/>
        <v>375.96702151592422</v>
      </c>
      <c r="AA11" s="9">
        <f t="shared" si="14"/>
        <v>7331.3569195605223</v>
      </c>
      <c r="AB11" s="9">
        <f t="shared" si="15"/>
        <v>46.995877689490527</v>
      </c>
      <c r="AC11" s="3">
        <f t="shared" si="16"/>
        <v>3.588776114470186</v>
      </c>
      <c r="AD11" s="137">
        <f t="shared" si="17"/>
        <v>15.508639637531875</v>
      </c>
    </row>
    <row r="12" spans="1:30" x14ac:dyDescent="0.25">
      <c r="A12" s="118" t="s">
        <v>6</v>
      </c>
      <c r="B12">
        <v>294.68142499999999</v>
      </c>
      <c r="C12">
        <v>201.97617500000001</v>
      </c>
      <c r="D12">
        <v>122.225576</v>
      </c>
      <c r="E12">
        <v>17.97655</v>
      </c>
      <c r="F12">
        <v>20.100000000000001</v>
      </c>
      <c r="G12">
        <v>7.2114000000000003</v>
      </c>
      <c r="H12">
        <v>33.8812</v>
      </c>
      <c r="I12" s="12">
        <f t="shared" si="18"/>
        <v>698.05232600000011</v>
      </c>
      <c r="J12" s="147">
        <v>68</v>
      </c>
      <c r="K12" s="122">
        <f t="shared" si="0"/>
        <v>8840.4427500000002</v>
      </c>
      <c r="L12" s="3">
        <f t="shared" si="1"/>
        <v>12118.570500000002</v>
      </c>
      <c r="M12" s="3">
        <f t="shared" si="2"/>
        <v>3666.76728</v>
      </c>
      <c r="N12" s="3">
        <f t="shared" si="3"/>
        <v>359.53100000000001</v>
      </c>
      <c r="O12" s="3">
        <f t="shared" si="4"/>
        <v>804</v>
      </c>
      <c r="P12" s="3">
        <f t="shared" si="5"/>
        <v>5624.8919999999998</v>
      </c>
      <c r="Q12" s="3">
        <f t="shared" si="6"/>
        <v>169.40600000000001</v>
      </c>
      <c r="R12" s="12">
        <f t="shared" si="19"/>
        <v>31583.609530000002</v>
      </c>
      <c r="S12" s="149">
        <f t="shared" si="7"/>
        <v>45.245332410796948</v>
      </c>
      <c r="T12" s="129">
        <f t="shared" si="20"/>
        <v>1.5029174585923271</v>
      </c>
      <c r="U12" s="136">
        <f t="shared" si="8"/>
        <v>12.173631414597851</v>
      </c>
      <c r="V12" s="139">
        <f t="shared" si="9"/>
        <v>32.913892343171959</v>
      </c>
      <c r="W12" s="9">
        <f t="shared" si="10"/>
        <v>90.175047515539617</v>
      </c>
      <c r="X12" s="9">
        <f t="shared" si="11"/>
        <v>45.087523757769809</v>
      </c>
      <c r="Y12" s="9">
        <f t="shared" si="12"/>
        <v>30.05834917184654</v>
      </c>
      <c r="Z12" s="9">
        <f t="shared" si="13"/>
        <v>60.116698343693081</v>
      </c>
      <c r="AA12" s="9">
        <f t="shared" si="14"/>
        <v>1172.2756177020151</v>
      </c>
      <c r="AB12" s="9">
        <f t="shared" si="15"/>
        <v>7.5145872929616351</v>
      </c>
      <c r="AC12" s="3">
        <f t="shared" si="16"/>
        <v>0.57384121146252487</v>
      </c>
      <c r="AD12" s="137">
        <f t="shared" si="17"/>
        <v>2.4798138066773396</v>
      </c>
    </row>
    <row r="13" spans="1:30" x14ac:dyDescent="0.25">
      <c r="A13" s="118" t="s">
        <v>7</v>
      </c>
      <c r="B13">
        <v>389.01738</v>
      </c>
      <c r="C13">
        <v>1783.514905</v>
      </c>
      <c r="D13">
        <v>116.40949999999999</v>
      </c>
      <c r="E13">
        <v>12.475350000000001</v>
      </c>
      <c r="F13">
        <v>44</v>
      </c>
      <c r="G13">
        <v>0</v>
      </c>
      <c r="H13">
        <v>70</v>
      </c>
      <c r="I13" s="12">
        <f t="shared" si="18"/>
        <v>2415.4171350000006</v>
      </c>
      <c r="J13" s="147">
        <v>41.8</v>
      </c>
      <c r="K13" s="122">
        <f t="shared" si="0"/>
        <v>11670.5214</v>
      </c>
      <c r="L13" s="3">
        <f t="shared" si="1"/>
        <v>107010.8943</v>
      </c>
      <c r="M13" s="3">
        <f t="shared" si="2"/>
        <v>3492.2849999999999</v>
      </c>
      <c r="N13" s="3">
        <f t="shared" si="3"/>
        <v>249.50700000000001</v>
      </c>
      <c r="O13" s="3">
        <f t="shared" si="4"/>
        <v>1760</v>
      </c>
      <c r="P13" s="3">
        <f t="shared" si="5"/>
        <v>0</v>
      </c>
      <c r="Q13" s="3">
        <f t="shared" si="6"/>
        <v>350</v>
      </c>
      <c r="R13" s="12">
        <f t="shared" si="19"/>
        <v>124533.2077</v>
      </c>
      <c r="S13" s="149">
        <f t="shared" si="7"/>
        <v>51.557640249993497</v>
      </c>
      <c r="T13" s="129">
        <f t="shared" si="20"/>
        <v>0.81074307895628073</v>
      </c>
      <c r="U13" s="136">
        <f t="shared" si="8"/>
        <v>6.5670189395458749</v>
      </c>
      <c r="V13" s="139">
        <f t="shared" si="9"/>
        <v>17.755273429142548</v>
      </c>
      <c r="W13" s="9">
        <f t="shared" si="10"/>
        <v>48.644584737376846</v>
      </c>
      <c r="X13" s="9">
        <f t="shared" si="11"/>
        <v>24.322292368688423</v>
      </c>
      <c r="Y13" s="9">
        <f t="shared" si="12"/>
        <v>16.214861579125614</v>
      </c>
      <c r="Z13" s="9">
        <f t="shared" si="13"/>
        <v>32.429723158251228</v>
      </c>
      <c r="AA13" s="9">
        <f t="shared" si="14"/>
        <v>632.37960158589897</v>
      </c>
      <c r="AB13" s="9">
        <f t="shared" si="15"/>
        <v>4.0537153947814035</v>
      </c>
      <c r="AC13" s="3">
        <f t="shared" si="16"/>
        <v>0.30955644832876172</v>
      </c>
      <c r="AD13" s="137">
        <f t="shared" si="17"/>
        <v>1.3377260802778632</v>
      </c>
    </row>
    <row r="14" spans="1:30" x14ac:dyDescent="0.25">
      <c r="A14" s="118" t="s">
        <v>8</v>
      </c>
      <c r="B14">
        <v>64.209469999999996</v>
      </c>
      <c r="C14">
        <v>45.111559999999997</v>
      </c>
      <c r="D14">
        <v>2.6048550000000001</v>
      </c>
      <c r="E14">
        <v>6.68668</v>
      </c>
      <c r="F14">
        <v>0.79830000000000001</v>
      </c>
      <c r="G14">
        <v>0</v>
      </c>
      <c r="H14">
        <v>4.0199999999999996</v>
      </c>
      <c r="I14" s="12">
        <f t="shared" si="18"/>
        <v>123.43086499999998</v>
      </c>
      <c r="J14" s="147">
        <v>64.900000000000006</v>
      </c>
      <c r="K14" s="122">
        <f t="shared" si="0"/>
        <v>1926.2840999999999</v>
      </c>
      <c r="L14" s="3">
        <f t="shared" si="1"/>
        <v>2706.6935999999996</v>
      </c>
      <c r="M14" s="3">
        <f t="shared" si="2"/>
        <v>78.145650000000003</v>
      </c>
      <c r="N14" s="3">
        <f t="shared" si="3"/>
        <v>133.7336</v>
      </c>
      <c r="O14" s="3">
        <f t="shared" si="4"/>
        <v>31.932000000000002</v>
      </c>
      <c r="P14" s="3">
        <f t="shared" si="5"/>
        <v>0</v>
      </c>
      <c r="Q14" s="3">
        <f t="shared" si="6"/>
        <v>20.099999999999998</v>
      </c>
      <c r="R14" s="12">
        <f t="shared" si="19"/>
        <v>4896.8889499999996</v>
      </c>
      <c r="S14" s="149">
        <f t="shared" si="7"/>
        <v>39.673131594759546</v>
      </c>
      <c r="T14" s="129">
        <f t="shared" si="20"/>
        <v>1.6358678377830072</v>
      </c>
      <c r="U14" s="136">
        <f t="shared" si="8"/>
        <v>13.25052948604236</v>
      </c>
      <c r="V14" s="139">
        <f t="shared" si="9"/>
        <v>35.825505647447855</v>
      </c>
      <c r="W14" s="9">
        <f t="shared" si="10"/>
        <v>98.152070266980431</v>
      </c>
      <c r="X14" s="9">
        <f t="shared" si="11"/>
        <v>49.076035133490215</v>
      </c>
      <c r="Y14" s="9">
        <f t="shared" si="12"/>
        <v>32.717356755660141</v>
      </c>
      <c r="Z14" s="9">
        <f t="shared" si="13"/>
        <v>65.434713511320282</v>
      </c>
      <c r="AA14" s="9">
        <f t="shared" si="14"/>
        <v>1275.9769134707456</v>
      </c>
      <c r="AB14" s="9">
        <f t="shared" si="15"/>
        <v>8.1793391889150353</v>
      </c>
      <c r="AC14" s="3">
        <f t="shared" si="16"/>
        <v>0.62460408351714825</v>
      </c>
      <c r="AD14" s="137">
        <f t="shared" si="17"/>
        <v>2.6991819323419617</v>
      </c>
    </row>
    <row r="15" spans="1:30" x14ac:dyDescent="0.25">
      <c r="A15" s="118" t="s">
        <v>9</v>
      </c>
      <c r="B15">
        <v>226.90289000000001</v>
      </c>
      <c r="C15">
        <v>164.50049000000001</v>
      </c>
      <c r="D15">
        <v>70.221593999999996</v>
      </c>
      <c r="E15">
        <v>12.826040000000001</v>
      </c>
      <c r="F15">
        <v>14.877000000000001</v>
      </c>
      <c r="G15">
        <v>0</v>
      </c>
      <c r="H15">
        <v>29.68</v>
      </c>
      <c r="I15" s="12">
        <f t="shared" si="18"/>
        <v>519.008014</v>
      </c>
      <c r="J15" s="147">
        <v>19.899999999999999</v>
      </c>
      <c r="K15" s="122">
        <f t="shared" si="0"/>
        <v>6807.0867000000007</v>
      </c>
      <c r="L15" s="3">
        <f t="shared" si="1"/>
        <v>9870.0294000000013</v>
      </c>
      <c r="M15" s="3">
        <f t="shared" si="2"/>
        <v>2106.6478199999997</v>
      </c>
      <c r="N15" s="3">
        <f t="shared" si="3"/>
        <v>256.52080000000001</v>
      </c>
      <c r="O15" s="3">
        <f t="shared" si="4"/>
        <v>595.08000000000004</v>
      </c>
      <c r="P15" s="3">
        <f t="shared" si="5"/>
        <v>0</v>
      </c>
      <c r="Q15" s="3">
        <f t="shared" si="6"/>
        <v>148.4</v>
      </c>
      <c r="R15" s="12">
        <f t="shared" si="19"/>
        <v>19783.764720000003</v>
      </c>
      <c r="S15" s="149">
        <f t="shared" si="7"/>
        <v>38.118418572241936</v>
      </c>
      <c r="T15" s="129">
        <f t="shared" si="20"/>
        <v>0.5220573346264501</v>
      </c>
      <c r="U15" s="136">
        <f t="shared" si="8"/>
        <v>4.2286644104742468</v>
      </c>
      <c r="V15" s="139">
        <f t="shared" si="9"/>
        <v>11.433055628319256</v>
      </c>
      <c r="W15" s="9">
        <f t="shared" si="10"/>
        <v>31.323440077587005</v>
      </c>
      <c r="X15" s="9">
        <f t="shared" si="11"/>
        <v>15.661720038793502</v>
      </c>
      <c r="Y15" s="9">
        <f t="shared" si="12"/>
        <v>10.441146692529003</v>
      </c>
      <c r="Z15" s="9">
        <f t="shared" si="13"/>
        <v>20.882293385058006</v>
      </c>
      <c r="AA15" s="9">
        <f t="shared" si="14"/>
        <v>407.20472100863105</v>
      </c>
      <c r="AB15" s="9">
        <f t="shared" si="15"/>
        <v>2.6102866731322507</v>
      </c>
      <c r="AC15" s="3">
        <f t="shared" si="16"/>
        <v>0.19933098231191732</v>
      </c>
      <c r="AD15" s="137">
        <f t="shared" si="17"/>
        <v>0.86139460213364261</v>
      </c>
    </row>
    <row r="16" spans="1:30" x14ac:dyDescent="0.25">
      <c r="A16" s="118" t="s">
        <v>10</v>
      </c>
      <c r="B16">
        <v>3213.816315</v>
      </c>
      <c r="C16">
        <v>1816.6335099999999</v>
      </c>
      <c r="D16">
        <v>1168.7754560000001</v>
      </c>
      <c r="E16">
        <v>632.18406000000004</v>
      </c>
      <c r="F16">
        <v>44.594999999999999</v>
      </c>
      <c r="G16">
        <v>51.38</v>
      </c>
      <c r="H16">
        <v>294.18079999999998</v>
      </c>
      <c r="I16" s="12">
        <f t="shared" si="18"/>
        <v>7221.5651410000009</v>
      </c>
      <c r="J16" s="147">
        <v>69.400000000000006</v>
      </c>
      <c r="K16" s="122">
        <f t="shared" si="0"/>
        <v>96414.489449999994</v>
      </c>
      <c r="L16" s="3">
        <f t="shared" si="1"/>
        <v>108998.01059999999</v>
      </c>
      <c r="M16" s="3">
        <f t="shared" si="2"/>
        <v>35063.263680000004</v>
      </c>
      <c r="N16" s="3">
        <f t="shared" si="3"/>
        <v>12643.681200000001</v>
      </c>
      <c r="O16" s="3">
        <f t="shared" si="4"/>
        <v>1783.8</v>
      </c>
      <c r="P16" s="3">
        <f t="shared" si="5"/>
        <v>40076.400000000001</v>
      </c>
      <c r="Q16" s="3">
        <f t="shared" si="6"/>
        <v>1470.904</v>
      </c>
      <c r="R16" s="12">
        <f t="shared" si="19"/>
        <v>296450.54892999993</v>
      </c>
      <c r="S16" s="149">
        <f t="shared" si="7"/>
        <v>41.050733897963447</v>
      </c>
      <c r="T16" s="129">
        <f t="shared" si="20"/>
        <v>1.6905909690312013</v>
      </c>
      <c r="U16" s="136">
        <f t="shared" si="8"/>
        <v>13.693786849152733</v>
      </c>
      <c r="V16" s="139">
        <f t="shared" si="9"/>
        <v>37.023942221783308</v>
      </c>
      <c r="W16" s="9">
        <f t="shared" si="10"/>
        <v>101.43545814187208</v>
      </c>
      <c r="X16" s="9">
        <f t="shared" si="11"/>
        <v>50.717729070936038</v>
      </c>
      <c r="Y16" s="9">
        <f t="shared" si="12"/>
        <v>33.81181938062403</v>
      </c>
      <c r="Z16" s="9">
        <f t="shared" si="13"/>
        <v>67.62363876124806</v>
      </c>
      <c r="AA16" s="9">
        <f t="shared" si="14"/>
        <v>1318.660955844337</v>
      </c>
      <c r="AB16" s="9">
        <f t="shared" si="15"/>
        <v>8.4529548451560075</v>
      </c>
      <c r="AC16" s="3">
        <f t="shared" si="16"/>
        <v>0.64549836999373145</v>
      </c>
      <c r="AD16" s="137">
        <f t="shared" si="17"/>
        <v>2.789475098901482</v>
      </c>
    </row>
    <row r="17" spans="1:30" x14ac:dyDescent="0.25">
      <c r="A17" s="118" t="s">
        <v>11</v>
      </c>
      <c r="B17">
        <v>3167.4522750000001</v>
      </c>
      <c r="C17">
        <v>3901.1782499999999</v>
      </c>
      <c r="D17">
        <v>1067.39239</v>
      </c>
      <c r="E17">
        <v>137.7218</v>
      </c>
      <c r="F17">
        <v>26.9</v>
      </c>
      <c r="G17">
        <v>33.6</v>
      </c>
      <c r="H17">
        <v>356</v>
      </c>
      <c r="I17" s="12">
        <f t="shared" si="18"/>
        <v>8690.2447150000007</v>
      </c>
      <c r="J17" s="147">
        <v>98.2</v>
      </c>
      <c r="K17" s="122">
        <f t="shared" si="0"/>
        <v>95023.568249999997</v>
      </c>
      <c r="L17" s="3">
        <f t="shared" si="1"/>
        <v>234070.69500000001</v>
      </c>
      <c r="M17" s="3">
        <f t="shared" si="2"/>
        <v>32021.771699999998</v>
      </c>
      <c r="N17" s="3">
        <f t="shared" si="3"/>
        <v>2754.4360000000001</v>
      </c>
      <c r="O17" s="3">
        <f t="shared" si="4"/>
        <v>1076</v>
      </c>
      <c r="P17" s="3">
        <f t="shared" si="5"/>
        <v>26208</v>
      </c>
      <c r="Q17" s="3">
        <f t="shared" si="6"/>
        <v>1780</v>
      </c>
      <c r="R17" s="12">
        <f t="shared" si="19"/>
        <v>392934.47094999999</v>
      </c>
      <c r="S17" s="149">
        <f t="shared" si="7"/>
        <v>45.215581820356135</v>
      </c>
      <c r="T17" s="129">
        <f t="shared" si="20"/>
        <v>2.1718176798023681</v>
      </c>
      <c r="U17" s="136">
        <f t="shared" si="8"/>
        <v>17.591723206399184</v>
      </c>
      <c r="V17" s="139">
        <f t="shared" si="9"/>
        <v>47.562807187671858</v>
      </c>
      <c r="W17" s="9">
        <f t="shared" si="10"/>
        <v>130.30906078814209</v>
      </c>
      <c r="X17" s="9">
        <f t="shared" si="11"/>
        <v>65.154530394071045</v>
      </c>
      <c r="Y17" s="9">
        <f t="shared" si="12"/>
        <v>43.436353596047361</v>
      </c>
      <c r="Z17" s="9">
        <f t="shared" si="13"/>
        <v>86.872707192094722</v>
      </c>
      <c r="AA17" s="9">
        <f t="shared" si="14"/>
        <v>1694.017790245847</v>
      </c>
      <c r="AB17" s="9">
        <f t="shared" si="15"/>
        <v>10.85908839901184</v>
      </c>
      <c r="AC17" s="3">
        <f t="shared" si="16"/>
        <v>0.82923947774272233</v>
      </c>
      <c r="AD17" s="137">
        <f t="shared" si="17"/>
        <v>3.5834991716739073</v>
      </c>
    </row>
    <row r="18" spans="1:30" x14ac:dyDescent="0.25">
      <c r="A18" s="118" t="s">
        <v>12</v>
      </c>
      <c r="B18">
        <v>104.18514500000001</v>
      </c>
      <c r="C18">
        <v>130.24917500000001</v>
      </c>
      <c r="D18">
        <v>115.69967</v>
      </c>
      <c r="E18">
        <v>798.80737999999997</v>
      </c>
      <c r="F18">
        <v>89.334900000000005</v>
      </c>
      <c r="G18">
        <v>2.8632422000000002</v>
      </c>
      <c r="H18">
        <v>5.9547999999999996</v>
      </c>
      <c r="I18" s="12">
        <f t="shared" si="18"/>
        <v>1247.0943122000001</v>
      </c>
      <c r="J18" s="147">
        <v>58.2</v>
      </c>
      <c r="K18" s="122">
        <f t="shared" si="0"/>
        <v>3125.5543500000003</v>
      </c>
      <c r="L18" s="3">
        <f t="shared" si="1"/>
        <v>7814.9505000000008</v>
      </c>
      <c r="M18" s="3">
        <f t="shared" si="2"/>
        <v>3470.9901</v>
      </c>
      <c r="N18" s="3">
        <f t="shared" si="3"/>
        <v>15976.1476</v>
      </c>
      <c r="O18" s="3">
        <f t="shared" si="4"/>
        <v>3573.3960000000002</v>
      </c>
      <c r="P18" s="3">
        <f t="shared" si="5"/>
        <v>2233.3289159999999</v>
      </c>
      <c r="Q18" s="3">
        <f t="shared" si="6"/>
        <v>29.773999999999997</v>
      </c>
      <c r="R18" s="12">
        <f t="shared" si="19"/>
        <v>36224.141465999994</v>
      </c>
      <c r="S18" s="149">
        <f t="shared" si="7"/>
        <v>29.046833997740681</v>
      </c>
      <c r="T18" s="129">
        <f t="shared" si="20"/>
        <v>2.0036607089270699</v>
      </c>
      <c r="U18" s="136">
        <f t="shared" si="8"/>
        <v>16.229651742309269</v>
      </c>
      <c r="V18" s="139">
        <f t="shared" si="9"/>
        <v>43.880169525502829</v>
      </c>
      <c r="W18" s="9">
        <f t="shared" si="10"/>
        <v>120.21964253562419</v>
      </c>
      <c r="X18" s="9">
        <f t="shared" si="11"/>
        <v>60.109821267812094</v>
      </c>
      <c r="Y18" s="9">
        <f t="shared" si="12"/>
        <v>40.073214178541399</v>
      </c>
      <c r="Z18" s="9">
        <f t="shared" si="13"/>
        <v>80.146428357082797</v>
      </c>
      <c r="AA18" s="9">
        <f t="shared" si="14"/>
        <v>1562.8553529631145</v>
      </c>
      <c r="AB18" s="9">
        <f t="shared" si="15"/>
        <v>10.01830354463535</v>
      </c>
      <c r="AC18" s="3">
        <f t="shared" si="16"/>
        <v>0.76503408886306312</v>
      </c>
      <c r="AD18" s="137">
        <f t="shared" si="17"/>
        <v>3.3060401697296653</v>
      </c>
    </row>
    <row r="19" spans="1:30" x14ac:dyDescent="0.25">
      <c r="A19" s="118" t="s">
        <v>13</v>
      </c>
      <c r="B19">
        <v>156.50528499999999</v>
      </c>
      <c r="C19">
        <v>333.35125499999998</v>
      </c>
      <c r="D19">
        <v>190.89943299999999</v>
      </c>
      <c r="E19">
        <v>100.2664</v>
      </c>
      <c r="F19">
        <v>19.882999999999999</v>
      </c>
      <c r="G19">
        <v>7.2422000000000004</v>
      </c>
      <c r="H19">
        <v>24.4</v>
      </c>
      <c r="I19" s="12">
        <f t="shared" si="18"/>
        <v>832.54757300000006</v>
      </c>
      <c r="J19" s="147">
        <v>211.4</v>
      </c>
      <c r="K19" s="122">
        <f t="shared" si="0"/>
        <v>4695.1585499999992</v>
      </c>
      <c r="L19" s="3">
        <f t="shared" si="1"/>
        <v>20001.0753</v>
      </c>
      <c r="M19" s="3">
        <f t="shared" si="2"/>
        <v>5726.9829899999995</v>
      </c>
      <c r="N19" s="3">
        <f t="shared" si="3"/>
        <v>2005.328</v>
      </c>
      <c r="O19" s="3">
        <f t="shared" si="4"/>
        <v>795.31999999999994</v>
      </c>
      <c r="P19" s="3">
        <f t="shared" si="5"/>
        <v>5648.9160000000002</v>
      </c>
      <c r="Q19" s="3">
        <f t="shared" si="6"/>
        <v>122</v>
      </c>
      <c r="R19" s="12">
        <f t="shared" si="19"/>
        <v>38994.780839999999</v>
      </c>
      <c r="S19" s="149">
        <f t="shared" si="7"/>
        <v>46.837901045685946</v>
      </c>
      <c r="T19" s="129">
        <f t="shared" si="20"/>
        <v>4.51343880234512</v>
      </c>
      <c r="U19" s="136">
        <f t="shared" si="8"/>
        <v>36.558854298995477</v>
      </c>
      <c r="V19" s="139">
        <f t="shared" si="9"/>
        <v>98.844309771358127</v>
      </c>
      <c r="W19" s="9">
        <f t="shared" si="10"/>
        <v>270.80632814070719</v>
      </c>
      <c r="X19" s="9">
        <f t="shared" si="11"/>
        <v>135.4031640703536</v>
      </c>
      <c r="Y19" s="9">
        <f t="shared" si="12"/>
        <v>90.268776046902403</v>
      </c>
      <c r="Z19" s="9">
        <f t="shared" si="13"/>
        <v>180.53755209380481</v>
      </c>
      <c r="AA19" s="9">
        <f t="shared" si="14"/>
        <v>3520.4822658291937</v>
      </c>
      <c r="AB19" s="9">
        <f t="shared" si="15"/>
        <v>22.567194011725601</v>
      </c>
      <c r="AC19" s="3">
        <f t="shared" si="16"/>
        <v>1.723312997259046</v>
      </c>
      <c r="AD19" s="137">
        <f t="shared" si="17"/>
        <v>7.4471740238694473</v>
      </c>
    </row>
    <row r="20" spans="1:30" x14ac:dyDescent="0.25">
      <c r="A20" s="118" t="s">
        <v>14</v>
      </c>
      <c r="B20">
        <v>18.3095</v>
      </c>
      <c r="C20">
        <v>5.9248599999999998</v>
      </c>
      <c r="D20">
        <v>5.3329000000000004</v>
      </c>
      <c r="E20">
        <v>48.488999999999997</v>
      </c>
      <c r="F20">
        <v>8.3339999999999996</v>
      </c>
      <c r="G20">
        <v>4.9280000000000005E-4</v>
      </c>
      <c r="H20">
        <v>30</v>
      </c>
      <c r="I20" s="12">
        <f t="shared" si="18"/>
        <v>116.3907528</v>
      </c>
      <c r="J20" s="147">
        <v>4.7</v>
      </c>
      <c r="K20" s="122">
        <f t="shared" si="0"/>
        <v>549.28499999999997</v>
      </c>
      <c r="L20" s="3">
        <f t="shared" si="1"/>
        <v>355.49160000000001</v>
      </c>
      <c r="M20" s="3">
        <f t="shared" si="2"/>
        <v>159.98700000000002</v>
      </c>
      <c r="N20" s="3">
        <f t="shared" si="3"/>
        <v>969.78</v>
      </c>
      <c r="O20" s="3">
        <f t="shared" si="4"/>
        <v>333.36</v>
      </c>
      <c r="P20" s="3">
        <f t="shared" si="5"/>
        <v>0.38438400000000006</v>
      </c>
      <c r="Q20" s="3">
        <f t="shared" si="6"/>
        <v>150</v>
      </c>
      <c r="R20" s="12">
        <f t="shared" si="19"/>
        <v>2518.2879840000001</v>
      </c>
      <c r="S20" s="149">
        <f t="shared" si="7"/>
        <v>21.636495369415638</v>
      </c>
      <c r="T20" s="129">
        <f t="shared" si="20"/>
        <v>0.21722556817790858</v>
      </c>
      <c r="U20" s="136">
        <f t="shared" si="8"/>
        <v>1.7595271022410599</v>
      </c>
      <c r="V20" s="139">
        <f t="shared" si="9"/>
        <v>4.7572399430961978</v>
      </c>
      <c r="W20" s="9">
        <f t="shared" si="10"/>
        <v>13.033534090674515</v>
      </c>
      <c r="X20" s="9">
        <f t="shared" si="11"/>
        <v>6.5167670453372573</v>
      </c>
      <c r="Y20" s="9">
        <f t="shared" si="12"/>
        <v>4.3445113635581718</v>
      </c>
      <c r="Z20" s="9">
        <f t="shared" si="13"/>
        <v>8.6890227271163436</v>
      </c>
      <c r="AA20" s="9">
        <f t="shared" si="14"/>
        <v>169.4359431787687</v>
      </c>
      <c r="AB20" s="9">
        <f t="shared" si="15"/>
        <v>1.086127840889543</v>
      </c>
      <c r="AC20" s="3">
        <f t="shared" si="16"/>
        <v>8.2940671486110548E-2</v>
      </c>
      <c r="AD20" s="137">
        <f t="shared" si="17"/>
        <v>0.35842218749354915</v>
      </c>
    </row>
    <row r="21" spans="1:30" x14ac:dyDescent="0.25">
      <c r="A21" s="118" t="s">
        <v>15</v>
      </c>
      <c r="B21">
        <v>1136.6160850000001</v>
      </c>
      <c r="C21">
        <v>276.38572499999998</v>
      </c>
      <c r="D21">
        <v>79.278766000000005</v>
      </c>
      <c r="E21">
        <v>300.03825999999998</v>
      </c>
      <c r="F21">
        <v>39.999000000000002</v>
      </c>
      <c r="G21">
        <v>0</v>
      </c>
      <c r="H21">
        <v>60</v>
      </c>
      <c r="I21" s="12">
        <f t="shared" si="18"/>
        <v>1892.3178360000002</v>
      </c>
      <c r="J21" s="147">
        <v>50.8</v>
      </c>
      <c r="K21" s="122">
        <f t="shared" si="0"/>
        <v>34098.482550000001</v>
      </c>
      <c r="L21" s="3">
        <f t="shared" si="1"/>
        <v>16583.143499999998</v>
      </c>
      <c r="M21" s="3">
        <f t="shared" si="2"/>
        <v>2378.3629800000003</v>
      </c>
      <c r="N21" s="3">
        <f t="shared" si="3"/>
        <v>6000.7651999999998</v>
      </c>
      <c r="O21" s="3">
        <f t="shared" si="4"/>
        <v>1599.96</v>
      </c>
      <c r="P21" s="3">
        <f t="shared" si="5"/>
        <v>0</v>
      </c>
      <c r="Q21" s="3">
        <f t="shared" si="6"/>
        <v>300</v>
      </c>
      <c r="R21" s="12">
        <f t="shared" si="19"/>
        <v>60960.714229999998</v>
      </c>
      <c r="S21" s="149">
        <f t="shared" si="7"/>
        <v>32.214838897708297</v>
      </c>
      <c r="T21" s="129">
        <f t="shared" si="20"/>
        <v>1.5769130543010046</v>
      </c>
      <c r="U21" s="136">
        <f t="shared" si="8"/>
        <v>12.772995739838139</v>
      </c>
      <c r="V21" s="139">
        <f t="shared" si="9"/>
        <v>34.534395889191998</v>
      </c>
      <c r="W21" s="9">
        <f t="shared" si="10"/>
        <v>94.614783258060271</v>
      </c>
      <c r="X21" s="9">
        <f t="shared" si="11"/>
        <v>47.307391629030136</v>
      </c>
      <c r="Y21" s="9">
        <f t="shared" si="12"/>
        <v>31.538261086020093</v>
      </c>
      <c r="Z21" s="9">
        <f t="shared" si="13"/>
        <v>63.076522172040185</v>
      </c>
      <c r="AA21" s="9">
        <f t="shared" si="14"/>
        <v>1229.9921823547836</v>
      </c>
      <c r="AB21" s="9">
        <f t="shared" si="15"/>
        <v>7.8845652715050232</v>
      </c>
      <c r="AC21" s="3">
        <f t="shared" si="16"/>
        <v>0.6020940752785654</v>
      </c>
      <c r="AD21" s="137">
        <f t="shared" si="17"/>
        <v>2.6019065395966576</v>
      </c>
    </row>
    <row r="22" spans="1:30" x14ac:dyDescent="0.25">
      <c r="A22" s="118" t="s">
        <v>16</v>
      </c>
      <c r="B22">
        <v>1569.3474000000001</v>
      </c>
      <c r="C22">
        <v>828.32501000000002</v>
      </c>
      <c r="D22">
        <v>730.12699399999997</v>
      </c>
      <c r="E22">
        <v>573.49440000000004</v>
      </c>
      <c r="F22">
        <v>176.79</v>
      </c>
      <c r="G22">
        <v>29.806736399999998</v>
      </c>
      <c r="H22">
        <v>129.70920000000001</v>
      </c>
      <c r="I22" s="12">
        <f t="shared" si="18"/>
        <v>4037.5997404</v>
      </c>
      <c r="J22" s="147">
        <v>321.89999999999998</v>
      </c>
      <c r="K22" s="122">
        <f t="shared" si="0"/>
        <v>47080.422000000006</v>
      </c>
      <c r="L22" s="3">
        <f t="shared" si="1"/>
        <v>49699.500599999999</v>
      </c>
      <c r="M22" s="3">
        <f t="shared" si="2"/>
        <v>21903.809819999999</v>
      </c>
      <c r="N22" s="3">
        <f t="shared" si="3"/>
        <v>11469.888000000001</v>
      </c>
      <c r="O22" s="3">
        <f t="shared" si="4"/>
        <v>7071.5999999999995</v>
      </c>
      <c r="P22" s="3">
        <f t="shared" si="5"/>
        <v>23249.254391999999</v>
      </c>
      <c r="Q22" s="3">
        <f t="shared" si="6"/>
        <v>648.54600000000005</v>
      </c>
      <c r="R22" s="12">
        <f t="shared" si="19"/>
        <v>161123.020812</v>
      </c>
      <c r="S22" s="149">
        <f t="shared" si="7"/>
        <v>39.905644732391863</v>
      </c>
      <c r="T22" s="129">
        <f t="shared" si="20"/>
        <v>8.0665279851677258</v>
      </c>
      <c r="U22" s="136">
        <f t="shared" si="8"/>
        <v>65.338876679858586</v>
      </c>
      <c r="V22" s="139">
        <f t="shared" si="9"/>
        <v>176.65696287517318</v>
      </c>
      <c r="W22" s="9">
        <f t="shared" si="10"/>
        <v>483.99167911006356</v>
      </c>
      <c r="X22" s="9">
        <f t="shared" si="11"/>
        <v>241.99583955503178</v>
      </c>
      <c r="Y22" s="9">
        <f t="shared" si="12"/>
        <v>161.33055970335451</v>
      </c>
      <c r="Z22" s="9">
        <f t="shared" si="13"/>
        <v>322.66111940670902</v>
      </c>
      <c r="AA22" s="9">
        <f t="shared" si="14"/>
        <v>6291.8918284308265</v>
      </c>
      <c r="AB22" s="9">
        <f t="shared" si="15"/>
        <v>40.332639925838627</v>
      </c>
      <c r="AC22" s="3">
        <f t="shared" si="16"/>
        <v>3.0799470488822229</v>
      </c>
      <c r="AD22" s="137">
        <f t="shared" si="17"/>
        <v>13.309771175526746</v>
      </c>
    </row>
    <row r="23" spans="1:30" x14ac:dyDescent="0.25">
      <c r="A23" s="118" t="s">
        <v>17</v>
      </c>
      <c r="B23">
        <v>109.8793</v>
      </c>
      <c r="C23">
        <v>39.592579999999998</v>
      </c>
      <c r="D23">
        <v>18.820738500000001</v>
      </c>
      <c r="E23">
        <v>7.983765</v>
      </c>
      <c r="F23">
        <v>0</v>
      </c>
      <c r="G23">
        <v>7.3141600000000001E-2</v>
      </c>
      <c r="H23">
        <v>3.9020000000000001</v>
      </c>
      <c r="I23" s="12">
        <f t="shared" si="18"/>
        <v>180.25152510000001</v>
      </c>
      <c r="J23" s="147">
        <v>37.6</v>
      </c>
      <c r="K23" s="122">
        <f t="shared" si="0"/>
        <v>3296.3789999999999</v>
      </c>
      <c r="L23" s="3">
        <f t="shared" si="1"/>
        <v>2375.5547999999999</v>
      </c>
      <c r="M23" s="3">
        <f t="shared" si="2"/>
        <v>564.62215500000002</v>
      </c>
      <c r="N23" s="3">
        <f t="shared" si="3"/>
        <v>159.67529999999999</v>
      </c>
      <c r="O23" s="3">
        <f t="shared" si="4"/>
        <v>0</v>
      </c>
      <c r="P23" s="3">
        <f t="shared" si="5"/>
        <v>57.050448000000003</v>
      </c>
      <c r="Q23" s="3">
        <f t="shared" si="6"/>
        <v>19.510000000000002</v>
      </c>
      <c r="R23" s="12">
        <f t="shared" si="19"/>
        <v>6472.7917029999999</v>
      </c>
      <c r="S23" s="149">
        <f t="shared" si="7"/>
        <v>35.909774962564242</v>
      </c>
      <c r="T23" s="129">
        <f t="shared" si="20"/>
        <v>1.0470686613658207</v>
      </c>
      <c r="U23" s="136">
        <f t="shared" si="8"/>
        <v>8.4812561570631484</v>
      </c>
      <c r="V23" s="139">
        <f t="shared" si="9"/>
        <v>22.930803683911471</v>
      </c>
      <c r="W23" s="9">
        <f t="shared" si="10"/>
        <v>62.824119681949242</v>
      </c>
      <c r="X23" s="9">
        <f t="shared" si="11"/>
        <v>31.412059840974621</v>
      </c>
      <c r="Y23" s="9">
        <f t="shared" si="12"/>
        <v>20.941373227316411</v>
      </c>
      <c r="Z23" s="9">
        <f t="shared" si="13"/>
        <v>41.882746454632823</v>
      </c>
      <c r="AA23" s="9">
        <f t="shared" si="14"/>
        <v>816.71355586534014</v>
      </c>
      <c r="AB23" s="9">
        <f t="shared" si="15"/>
        <v>5.2353433068291029</v>
      </c>
      <c r="AC23" s="3">
        <f t="shared" si="16"/>
        <v>0.39978985252149518</v>
      </c>
      <c r="AD23" s="137">
        <f t="shared" si="17"/>
        <v>1.7276632912536041</v>
      </c>
    </row>
    <row r="24" spans="1:30" x14ac:dyDescent="0.25">
      <c r="A24" s="118" t="s">
        <v>18</v>
      </c>
      <c r="B24">
        <v>196.69016500000001</v>
      </c>
      <c r="C24">
        <v>72.352279999999993</v>
      </c>
      <c r="D24">
        <v>51.429741999999997</v>
      </c>
      <c r="E24">
        <v>11.190519999999999</v>
      </c>
      <c r="F24">
        <v>0</v>
      </c>
      <c r="G24">
        <v>0.1033004</v>
      </c>
      <c r="H24">
        <v>7.1428000000000003</v>
      </c>
      <c r="I24" s="12">
        <f>SUM(B24:H24)</f>
        <v>338.9088074</v>
      </c>
      <c r="J24" s="147">
        <v>35</v>
      </c>
      <c r="K24" s="122">
        <f t="shared" si="0"/>
        <v>5900.7049500000003</v>
      </c>
      <c r="L24" s="3">
        <f t="shared" si="1"/>
        <v>4341.1367999999993</v>
      </c>
      <c r="M24" s="3">
        <f t="shared" si="2"/>
        <v>1542.8922599999999</v>
      </c>
      <c r="N24" s="3">
        <f t="shared" si="3"/>
        <v>223.81039999999999</v>
      </c>
      <c r="O24" s="3">
        <f t="shared" si="4"/>
        <v>0</v>
      </c>
      <c r="P24" s="3">
        <f t="shared" si="5"/>
        <v>80.574312000000006</v>
      </c>
      <c r="Q24" s="3">
        <f t="shared" si="6"/>
        <v>35.713999999999999</v>
      </c>
      <c r="R24" s="12">
        <f t="shared" si="19"/>
        <v>12124.832722000001</v>
      </c>
      <c r="S24" s="149">
        <f t="shared" si="7"/>
        <v>35.776092144131162</v>
      </c>
      <c r="T24" s="129">
        <f t="shared" si="20"/>
        <v>0.97830696150366225</v>
      </c>
      <c r="U24" s="136">
        <f t="shared" si="8"/>
        <v>7.9242863881796657</v>
      </c>
      <c r="V24" s="139">
        <f t="shared" si="9"/>
        <v>21.424922456930201</v>
      </c>
      <c r="W24" s="9">
        <f t="shared" si="10"/>
        <v>58.698417690219735</v>
      </c>
      <c r="X24" s="9">
        <f t="shared" si="11"/>
        <v>29.349208845109867</v>
      </c>
      <c r="Y24" s="9">
        <f t="shared" si="12"/>
        <v>19.566139230073244</v>
      </c>
      <c r="Z24" s="9">
        <f t="shared" si="13"/>
        <v>39.132278460146487</v>
      </c>
      <c r="AA24" s="9">
        <f t="shared" si="14"/>
        <v>763.07942997285659</v>
      </c>
      <c r="AB24" s="9">
        <f t="shared" si="15"/>
        <v>4.8915348075183109</v>
      </c>
      <c r="AC24" s="3">
        <f t="shared" si="16"/>
        <v>0.37353538530139835</v>
      </c>
      <c r="AD24" s="137">
        <f t="shared" si="17"/>
        <v>1.6142064864810426</v>
      </c>
    </row>
    <row r="25" spans="1:30" x14ac:dyDescent="0.25">
      <c r="A25" s="118" t="s">
        <v>19</v>
      </c>
      <c r="B25">
        <v>39.799534999999999</v>
      </c>
      <c r="C25">
        <v>10.928330000000001</v>
      </c>
      <c r="D25">
        <v>0.120089</v>
      </c>
      <c r="E25">
        <v>7.7420000000000003E-2</v>
      </c>
      <c r="F25">
        <v>0</v>
      </c>
      <c r="G25">
        <v>0</v>
      </c>
      <c r="H25">
        <v>1.8868</v>
      </c>
      <c r="I25" s="12">
        <f t="shared" si="18"/>
        <v>52.812173999999999</v>
      </c>
      <c r="J25" s="147">
        <v>34.5</v>
      </c>
      <c r="K25" s="122">
        <f t="shared" si="0"/>
        <v>1193.98605</v>
      </c>
      <c r="L25" s="3">
        <f t="shared" si="1"/>
        <v>655.6998000000001</v>
      </c>
      <c r="M25" s="3">
        <f t="shared" si="2"/>
        <v>3.6026699999999998</v>
      </c>
      <c r="N25" s="3">
        <f t="shared" si="3"/>
        <v>1.5484</v>
      </c>
      <c r="O25" s="3">
        <f t="shared" si="4"/>
        <v>0</v>
      </c>
      <c r="P25" s="3">
        <f t="shared" si="5"/>
        <v>0</v>
      </c>
      <c r="Q25" s="3">
        <f t="shared" si="6"/>
        <v>9.4340000000000011</v>
      </c>
      <c r="R25" s="12">
        <f t="shared" si="19"/>
        <v>1864.2709199999999</v>
      </c>
      <c r="S25" s="149">
        <f t="shared" si="7"/>
        <v>35.300022301676123</v>
      </c>
      <c r="T25" s="129">
        <f t="shared" si="20"/>
        <v>0.97733649302430792</v>
      </c>
      <c r="U25" s="136">
        <f t="shared" si="8"/>
        <v>7.9164255934968955</v>
      </c>
      <c r="V25" s="139">
        <f t="shared" si="9"/>
        <v>21.403669197232343</v>
      </c>
      <c r="W25" s="9">
        <f t="shared" si="10"/>
        <v>58.640189581458472</v>
      </c>
      <c r="X25" s="9">
        <f t="shared" si="11"/>
        <v>29.320094790729236</v>
      </c>
      <c r="Y25" s="9">
        <f t="shared" si="12"/>
        <v>19.54672986048616</v>
      </c>
      <c r="Z25" s="9">
        <f t="shared" si="13"/>
        <v>39.093459720972319</v>
      </c>
      <c r="AA25" s="9">
        <f t="shared" si="14"/>
        <v>762.32246455896018</v>
      </c>
      <c r="AB25" s="9">
        <f t="shared" si="15"/>
        <v>4.8866824651215399</v>
      </c>
      <c r="AC25" s="3">
        <f t="shared" si="16"/>
        <v>0.3731648427910994</v>
      </c>
      <c r="AD25" s="137">
        <f t="shared" si="17"/>
        <v>1.6126052134901079</v>
      </c>
    </row>
    <row r="26" spans="1:30" x14ac:dyDescent="0.25">
      <c r="A26" s="118" t="s">
        <v>20</v>
      </c>
      <c r="B26" s="153" t="s">
        <v>56</v>
      </c>
      <c r="C26" s="153" t="s">
        <v>56</v>
      </c>
      <c r="D26" s="153" t="s">
        <v>56</v>
      </c>
      <c r="E26" s="153" t="s">
        <v>56</v>
      </c>
      <c r="F26" s="153" t="s">
        <v>56</v>
      </c>
      <c r="G26" s="153" t="s">
        <v>56</v>
      </c>
      <c r="H26" s="153" t="s">
        <v>56</v>
      </c>
      <c r="I26" s="153" t="s">
        <v>56</v>
      </c>
      <c r="J26" s="157" t="s">
        <v>56</v>
      </c>
      <c r="K26" s="153" t="s">
        <v>56</v>
      </c>
      <c r="L26" s="153" t="s">
        <v>56</v>
      </c>
      <c r="M26" s="153" t="s">
        <v>56</v>
      </c>
      <c r="N26" s="153" t="s">
        <v>56</v>
      </c>
      <c r="O26" s="153" t="s">
        <v>56</v>
      </c>
      <c r="P26" s="153" t="s">
        <v>56</v>
      </c>
      <c r="Q26" s="153" t="s">
        <v>56</v>
      </c>
      <c r="R26" s="153" t="s">
        <v>56</v>
      </c>
      <c r="S26" s="154" t="s">
        <v>56</v>
      </c>
      <c r="T26" s="155" t="s">
        <v>56</v>
      </c>
      <c r="U26" s="153" t="s">
        <v>56</v>
      </c>
      <c r="V26" s="153" t="s">
        <v>56</v>
      </c>
      <c r="W26" s="153" t="s">
        <v>56</v>
      </c>
      <c r="X26" s="153" t="s">
        <v>56</v>
      </c>
      <c r="Y26" s="153" t="s">
        <v>56</v>
      </c>
      <c r="Z26" s="153" t="s">
        <v>56</v>
      </c>
      <c r="AA26" s="153" t="s">
        <v>56</v>
      </c>
      <c r="AB26" s="153" t="s">
        <v>56</v>
      </c>
      <c r="AC26" s="153" t="s">
        <v>56</v>
      </c>
      <c r="AD26" s="158" t="s">
        <v>56</v>
      </c>
    </row>
    <row r="27" spans="1:30" x14ac:dyDescent="0.25">
      <c r="A27" s="118" t="s">
        <v>21</v>
      </c>
      <c r="B27">
        <v>1055.0956249999999</v>
      </c>
      <c r="C27">
        <v>1660.8348350000001</v>
      </c>
      <c r="D27">
        <v>404.26045800000003</v>
      </c>
      <c r="E27">
        <v>87.745284999999996</v>
      </c>
      <c r="F27">
        <v>62.204000000000001</v>
      </c>
      <c r="G27">
        <v>0.53358620000000001</v>
      </c>
      <c r="H27">
        <v>47.353999999999999</v>
      </c>
      <c r="I27" s="12">
        <f>SUM(B27:H27)</f>
        <v>3318.0277892000004</v>
      </c>
      <c r="J27" s="147">
        <v>64.400000000000006</v>
      </c>
      <c r="K27" s="122">
        <f>B27*$K$39</f>
        <v>31652.868749999998</v>
      </c>
      <c r="L27" s="3">
        <f>C27*$L$39</f>
        <v>99650.090100000001</v>
      </c>
      <c r="M27" s="3">
        <f>D27*$M$39</f>
        <v>12127.813740000001</v>
      </c>
      <c r="N27" s="3">
        <f>E27*$N$39</f>
        <v>1754.9056999999998</v>
      </c>
      <c r="O27" s="3">
        <f>F27*$O$39</f>
        <v>2488.16</v>
      </c>
      <c r="P27" s="3">
        <f>G27*$P$39</f>
        <v>416.19723600000003</v>
      </c>
      <c r="Q27" s="3">
        <f>H27*$Q$39</f>
        <v>236.76999999999998</v>
      </c>
      <c r="R27" s="12">
        <f>SUM(K27:Q27)</f>
        <v>148326.80552600001</v>
      </c>
      <c r="S27" s="149">
        <f t="shared" ref="S27:S37" si="21">R27/I27</f>
        <v>44.703304176292818</v>
      </c>
      <c r="T27" s="129">
        <f>J27/S27</f>
        <v>1.440609395359925</v>
      </c>
      <c r="U27" s="136">
        <f>$U$39*$T27</f>
        <v>11.668936102415396</v>
      </c>
      <c r="V27" s="139">
        <f>$V$39*$T27</f>
        <v>31.549345758382355</v>
      </c>
      <c r="W27" s="9">
        <f>$W$39*$T27</f>
        <v>86.436563721595505</v>
      </c>
      <c r="X27" s="9">
        <f>$X$39*$T27</f>
        <v>43.218281860797752</v>
      </c>
      <c r="Y27" s="9">
        <f>$Y$39*$T27</f>
        <v>28.812187907198499</v>
      </c>
      <c r="Z27" s="9">
        <f>$Z$39*$T27</f>
        <v>57.624375814396998</v>
      </c>
      <c r="AA27" s="9">
        <f>$AA$39*$T27</f>
        <v>1123.6753283807416</v>
      </c>
      <c r="AB27" s="9">
        <f>$AB$39*$T27</f>
        <v>7.2030469767996248</v>
      </c>
      <c r="AC27" s="3">
        <f>$AC$39*$T27</f>
        <v>0.55005086004651682</v>
      </c>
      <c r="AD27" s="137">
        <f>$AD$39*$T27</f>
        <v>2.3770055023438763</v>
      </c>
    </row>
    <row r="28" spans="1:30" x14ac:dyDescent="0.25">
      <c r="A28" s="118" t="s">
        <v>22</v>
      </c>
      <c r="B28">
        <v>213.794465</v>
      </c>
      <c r="C28">
        <v>126.33798</v>
      </c>
      <c r="D28">
        <v>65.163348999999997</v>
      </c>
      <c r="E28">
        <v>104.40954499999999</v>
      </c>
      <c r="F28">
        <v>1388.319</v>
      </c>
      <c r="G28">
        <v>0</v>
      </c>
      <c r="H28">
        <v>50</v>
      </c>
      <c r="I28" s="12">
        <f t="shared" ref="I28:I36" si="22">SUM(B28:H28)</f>
        <v>1948.0243390000001</v>
      </c>
      <c r="J28" s="147">
        <v>2.8</v>
      </c>
      <c r="K28" s="122">
        <f t="shared" ref="K28:K37" si="23">B28*$K$39</f>
        <v>6413.8339500000002</v>
      </c>
      <c r="L28" s="3">
        <f t="shared" ref="L28:L37" si="24">C28*$L$39</f>
        <v>7580.2788</v>
      </c>
      <c r="M28" s="3">
        <f t="shared" ref="M28:M37" si="25">D28*$M$39</f>
        <v>1954.9004699999998</v>
      </c>
      <c r="N28" s="3">
        <f t="shared" ref="N28:N37" si="26">E28*$N$39</f>
        <v>2088.1909000000001</v>
      </c>
      <c r="O28" s="3">
        <f t="shared" ref="O28:O37" si="27">F28*$O$39</f>
        <v>55532.759999999995</v>
      </c>
      <c r="P28" s="3">
        <f t="shared" ref="P28:P37" si="28">G28*$P$39</f>
        <v>0</v>
      </c>
      <c r="Q28" s="3">
        <f t="shared" ref="Q28:Q37" si="29">H28*$Q$39</f>
        <v>250</v>
      </c>
      <c r="R28" s="12">
        <f t="shared" ref="R28:R37" si="30">SUM(K28:Q28)</f>
        <v>73819.96411999999</v>
      </c>
      <c r="S28" s="149">
        <f t="shared" si="21"/>
        <v>37.894785317669474</v>
      </c>
      <c r="T28" s="129">
        <f t="shared" ref="T28:T37" si="31">J28/S28</f>
        <v>7.3888794369140379E-2</v>
      </c>
      <c r="U28" s="136">
        <f>$U$39*$T28</f>
        <v>0.59849923439003716</v>
      </c>
      <c r="V28" s="139">
        <f>$V$39*$T28</f>
        <v>1.6181645966841742</v>
      </c>
      <c r="W28" s="9">
        <f>$W$39*$T28</f>
        <v>4.4333276621484226</v>
      </c>
      <c r="X28" s="9">
        <f>$X$39*$T28</f>
        <v>2.2166638310742113</v>
      </c>
      <c r="Y28" s="9">
        <f>$Y$39*$T28</f>
        <v>1.4777758873828075</v>
      </c>
      <c r="Z28" s="9">
        <f>$Z$39*$T28</f>
        <v>2.955551774765615</v>
      </c>
      <c r="AA28" s="9">
        <f>$AA$39*$T28</f>
        <v>57.633259607929496</v>
      </c>
      <c r="AB28" s="9">
        <f>$AB$39*$T28</f>
        <v>0.36944397184570188</v>
      </c>
      <c r="AC28" s="3">
        <f>$AC$39*$T28</f>
        <v>2.821208512276269E-2</v>
      </c>
      <c r="AD28" s="137">
        <f>$AD$39*$T28</f>
        <v>0.12191651070908162</v>
      </c>
    </row>
    <row r="29" spans="1:30" x14ac:dyDescent="0.25">
      <c r="A29" s="118" t="s">
        <v>23</v>
      </c>
      <c r="B29">
        <v>1521.2479149999999</v>
      </c>
      <c r="C29">
        <v>1412.2472399999999</v>
      </c>
      <c r="D29">
        <v>1118.053406</v>
      </c>
      <c r="E29">
        <v>18.18432</v>
      </c>
      <c r="F29">
        <v>33.559600000000003</v>
      </c>
      <c r="G29">
        <v>1.529318</v>
      </c>
      <c r="H29">
        <v>121.3436</v>
      </c>
      <c r="I29" s="12">
        <f t="shared" si="22"/>
        <v>4226.1653989999995</v>
      </c>
      <c r="J29" s="147">
        <v>137.9</v>
      </c>
      <c r="K29" s="122">
        <f t="shared" si="23"/>
        <v>45637.437449999998</v>
      </c>
      <c r="L29" s="3">
        <f t="shared" si="24"/>
        <v>84734.834399999992</v>
      </c>
      <c r="M29" s="3">
        <f t="shared" si="25"/>
        <v>33541.602180000002</v>
      </c>
      <c r="N29" s="3">
        <f t="shared" si="26"/>
        <v>363.68639999999999</v>
      </c>
      <c r="O29" s="3">
        <f t="shared" si="27"/>
        <v>1342.384</v>
      </c>
      <c r="P29" s="3">
        <f t="shared" si="28"/>
        <v>1192.8680400000001</v>
      </c>
      <c r="Q29" s="3">
        <f t="shared" si="29"/>
        <v>606.71799999999996</v>
      </c>
      <c r="R29" s="12">
        <f t="shared" si="30"/>
        <v>167419.53047</v>
      </c>
      <c r="S29" s="149">
        <f t="shared" si="21"/>
        <v>39.614997205176827</v>
      </c>
      <c r="T29" s="129">
        <f t="shared" si="31"/>
        <v>3.4810049155318241</v>
      </c>
      <c r="U29" s="136">
        <f>$U$39*$T29</f>
        <v>28.196139815807779</v>
      </c>
      <c r="V29" s="139">
        <f>$V$39*$T29</f>
        <v>76.23400765014695</v>
      </c>
      <c r="W29" s="9">
        <f>$W$39*$T29</f>
        <v>208.86029493190944</v>
      </c>
      <c r="X29" s="9">
        <f>$X$39*$T29</f>
        <v>104.43014746595472</v>
      </c>
      <c r="Y29" s="9">
        <f>$Y$39*$T29</f>
        <v>69.620098310636479</v>
      </c>
      <c r="Z29" s="9">
        <f>$Z$39*$T29</f>
        <v>139.24019662127296</v>
      </c>
      <c r="AA29" s="9">
        <f>$AA$39*$T29</f>
        <v>2715.1838341148227</v>
      </c>
      <c r="AB29" s="9">
        <f>$AB$39*$T29</f>
        <v>17.40502457765912</v>
      </c>
      <c r="AC29" s="3">
        <f>$AC$39*$T29</f>
        <v>1.3291109677485147</v>
      </c>
      <c r="AD29" s="137">
        <f>$AD$39*$T29</f>
        <v>5.7436581106275097</v>
      </c>
    </row>
    <row r="30" spans="1:30" x14ac:dyDescent="0.25">
      <c r="A30" s="118" t="s">
        <v>24</v>
      </c>
      <c r="B30">
        <v>229.18102500000001</v>
      </c>
      <c r="C30">
        <v>343.52569</v>
      </c>
      <c r="D30">
        <v>214.48648299999999</v>
      </c>
      <c r="E30">
        <v>173.52373</v>
      </c>
      <c r="F30">
        <v>11.218</v>
      </c>
      <c r="G30">
        <v>6.8047741999999998</v>
      </c>
      <c r="H30">
        <v>29.6</v>
      </c>
      <c r="I30" s="12">
        <f t="shared" si="22"/>
        <v>1008.3397022</v>
      </c>
      <c r="J30" s="147">
        <v>168.4</v>
      </c>
      <c r="K30" s="122">
        <f t="shared" si="23"/>
        <v>6875.4307500000004</v>
      </c>
      <c r="L30" s="3">
        <f t="shared" si="24"/>
        <v>20611.541399999998</v>
      </c>
      <c r="M30" s="3">
        <f t="shared" si="25"/>
        <v>6434.5944899999995</v>
      </c>
      <c r="N30" s="3">
        <f t="shared" si="26"/>
        <v>3470.4746</v>
      </c>
      <c r="O30" s="3">
        <f t="shared" si="27"/>
        <v>448.72</v>
      </c>
      <c r="P30" s="3">
        <f t="shared" si="28"/>
        <v>5307.723876</v>
      </c>
      <c r="Q30" s="3">
        <f t="shared" si="29"/>
        <v>148</v>
      </c>
      <c r="R30" s="12">
        <f t="shared" si="30"/>
        <v>43296.485115999996</v>
      </c>
      <c r="S30" s="149">
        <f t="shared" si="21"/>
        <v>42.938391716140437</v>
      </c>
      <c r="T30" s="129">
        <f t="shared" si="31"/>
        <v>3.9218981724622641</v>
      </c>
      <c r="U30" s="136">
        <f>$U$39*$T30</f>
        <v>31.767375196944347</v>
      </c>
      <c r="V30" s="139">
        <f>$V$39*$T30</f>
        <v>85.889569976923582</v>
      </c>
      <c r="W30" s="9">
        <f>$W$39*$T30</f>
        <v>235.31389034773585</v>
      </c>
      <c r="X30" s="9">
        <f>$X$39*$T30</f>
        <v>117.65694517386792</v>
      </c>
      <c r="Y30" s="9">
        <f>$Y$39*$T30</f>
        <v>78.437963449245288</v>
      </c>
      <c r="Z30" s="9">
        <f>$Z$39*$T30</f>
        <v>156.87592689849058</v>
      </c>
      <c r="AA30" s="9">
        <f>$AA$39*$T30</f>
        <v>3059.0805745205662</v>
      </c>
      <c r="AB30" s="9">
        <f>$AB$39*$T30</f>
        <v>19.609490862311322</v>
      </c>
      <c r="AC30" s="3">
        <f>$AC$39*$T30</f>
        <v>1.4974520294855918</v>
      </c>
      <c r="AD30" s="137">
        <f>$AD$39*$T30</f>
        <v>6.4711319845627351</v>
      </c>
    </row>
    <row r="31" spans="1:30" x14ac:dyDescent="0.25">
      <c r="A31" s="118" t="s">
        <v>25</v>
      </c>
      <c r="B31">
        <v>613.77704000000006</v>
      </c>
      <c r="C31">
        <v>336.93891000000002</v>
      </c>
      <c r="D31">
        <v>422.78374602500003</v>
      </c>
      <c r="E31">
        <v>997.66206</v>
      </c>
      <c r="F31">
        <v>4.4539999999999997</v>
      </c>
      <c r="G31">
        <v>0</v>
      </c>
      <c r="H31">
        <v>183.01320000000001</v>
      </c>
      <c r="I31" s="12">
        <f t="shared" si="22"/>
        <v>2558.6289560250002</v>
      </c>
      <c r="J31" s="147">
        <v>100.5</v>
      </c>
      <c r="K31" s="122">
        <f t="shared" si="23"/>
        <v>18413.3112</v>
      </c>
      <c r="L31" s="3">
        <f t="shared" si="24"/>
        <v>20216.334600000002</v>
      </c>
      <c r="M31" s="3">
        <f t="shared" si="25"/>
        <v>12683.51238075</v>
      </c>
      <c r="N31" s="3">
        <f t="shared" si="26"/>
        <v>19953.2412</v>
      </c>
      <c r="O31" s="3">
        <f t="shared" si="27"/>
        <v>178.16</v>
      </c>
      <c r="P31" s="3">
        <f t="shared" si="28"/>
        <v>0</v>
      </c>
      <c r="Q31" s="3">
        <f t="shared" si="29"/>
        <v>915.06600000000003</v>
      </c>
      <c r="R31" s="12">
        <f t="shared" si="30"/>
        <v>72359.625380750003</v>
      </c>
      <c r="S31" s="149">
        <f t="shared" si="21"/>
        <v>28.28062475036063</v>
      </c>
      <c r="T31" s="129">
        <f t="shared" si="31"/>
        <v>3.5536697257269196</v>
      </c>
      <c r="U31" s="136">
        <f t="shared" ref="U31:U36" si="32">$U$39*$T31</f>
        <v>28.784724778388053</v>
      </c>
      <c r="V31" s="139">
        <f t="shared" ref="V31:V37" si="33">$V$39*$T31</f>
        <v>77.825366993419536</v>
      </c>
      <c r="W31" s="9">
        <f t="shared" ref="W31:W36" si="34">$W$39*$T31</f>
        <v>213.22018354361518</v>
      </c>
      <c r="X31" s="9">
        <f t="shared" ref="X31:X37" si="35">$X$39*$T31</f>
        <v>106.61009177180759</v>
      </c>
      <c r="Y31" s="9">
        <f t="shared" ref="Y31:Y37" si="36">$Y$39*$T31</f>
        <v>71.073394514538393</v>
      </c>
      <c r="Z31" s="9">
        <f t="shared" ref="Z31:Z37" si="37">$Z$39*$T31</f>
        <v>142.14678902907679</v>
      </c>
      <c r="AA31" s="9">
        <f t="shared" ref="AA31:AA37" si="38">$AA$39*$T31</f>
        <v>2771.8623860669973</v>
      </c>
      <c r="AB31" s="9">
        <f t="shared" ref="AB31:AB37" si="39">$AB$39*$T31</f>
        <v>17.768348628634598</v>
      </c>
      <c r="AC31" s="3">
        <f t="shared" ref="AC31:AC37" si="40">$AC$39*$T31</f>
        <v>1.3568557134593693</v>
      </c>
      <c r="AD31" s="137">
        <f t="shared" ref="AD31:AD37" si="41">$AD$39*$T31</f>
        <v>5.8635550474494167</v>
      </c>
    </row>
    <row r="32" spans="1:30" x14ac:dyDescent="0.25">
      <c r="A32" s="118" t="s">
        <v>26</v>
      </c>
      <c r="B32">
        <v>96.405914999999993</v>
      </c>
      <c r="C32">
        <v>60.687955000000002</v>
      </c>
      <c r="D32">
        <v>54.218913999999998</v>
      </c>
      <c r="E32">
        <v>30.98076</v>
      </c>
      <c r="F32">
        <v>1.2535799999999999</v>
      </c>
      <c r="G32">
        <v>0</v>
      </c>
      <c r="H32">
        <v>3.7075999999999998</v>
      </c>
      <c r="I32" s="12">
        <f t="shared" si="22"/>
        <v>247.25472399999998</v>
      </c>
      <c r="J32" s="147">
        <v>50.8</v>
      </c>
      <c r="K32" s="122">
        <f t="shared" si="23"/>
        <v>2892.1774499999997</v>
      </c>
      <c r="L32" s="3">
        <f t="shared" si="24"/>
        <v>3641.2773000000002</v>
      </c>
      <c r="M32" s="3">
        <f t="shared" si="25"/>
        <v>1626.5674199999999</v>
      </c>
      <c r="N32" s="3">
        <f t="shared" si="26"/>
        <v>619.61519999999996</v>
      </c>
      <c r="O32" s="3">
        <f t="shared" si="27"/>
        <v>50.143199999999993</v>
      </c>
      <c r="P32" s="3">
        <f t="shared" si="28"/>
        <v>0</v>
      </c>
      <c r="Q32" s="3">
        <f t="shared" si="29"/>
        <v>18.538</v>
      </c>
      <c r="R32" s="12">
        <f t="shared" si="30"/>
        <v>8848.3185700000013</v>
      </c>
      <c r="S32" s="149">
        <f t="shared" si="21"/>
        <v>35.786246777634879</v>
      </c>
      <c r="T32" s="129">
        <f t="shared" si="31"/>
        <v>1.4195397554724341</v>
      </c>
      <c r="U32" s="136">
        <f t="shared" si="32"/>
        <v>11.498272019326718</v>
      </c>
      <c r="V32" s="139">
        <f t="shared" si="33"/>
        <v>31.087920644846303</v>
      </c>
      <c r="W32" s="9">
        <f t="shared" si="34"/>
        <v>85.172385328346039</v>
      </c>
      <c r="X32" s="9">
        <f t="shared" si="35"/>
        <v>42.586192664173019</v>
      </c>
      <c r="Y32" s="9">
        <f t="shared" si="36"/>
        <v>28.390795109448682</v>
      </c>
      <c r="Z32" s="9">
        <f t="shared" si="37"/>
        <v>56.781590218897364</v>
      </c>
      <c r="AA32" s="9">
        <f t="shared" si="38"/>
        <v>1107.2410092684986</v>
      </c>
      <c r="AB32" s="9">
        <f t="shared" si="39"/>
        <v>7.0976987773621705</v>
      </c>
      <c r="AC32" s="3">
        <f t="shared" si="40"/>
        <v>0.54200608845311116</v>
      </c>
      <c r="AD32" s="137">
        <f t="shared" si="41"/>
        <v>2.3422405965295159</v>
      </c>
    </row>
    <row r="33" spans="1:30" x14ac:dyDescent="0.25">
      <c r="A33" s="118" t="s">
        <v>27</v>
      </c>
      <c r="B33">
        <v>95.637979999999999</v>
      </c>
      <c r="C33">
        <v>18.873024999999998</v>
      </c>
      <c r="D33">
        <v>37.987957000000002</v>
      </c>
      <c r="E33">
        <v>8.4864700000000006</v>
      </c>
      <c r="F33">
        <v>1.9272</v>
      </c>
      <c r="G33">
        <v>1.5611399999999999E-2</v>
      </c>
      <c r="H33">
        <v>10.207599999999999</v>
      </c>
      <c r="I33" s="12">
        <f>SUM(B33:H33)</f>
        <v>173.1358434</v>
      </c>
      <c r="J33" s="147">
        <v>26.3</v>
      </c>
      <c r="K33" s="122">
        <f t="shared" si="23"/>
        <v>2869.1394</v>
      </c>
      <c r="L33" s="3">
        <f t="shared" si="24"/>
        <v>1132.3815</v>
      </c>
      <c r="M33" s="3">
        <f t="shared" si="25"/>
        <v>1139.6387099999999</v>
      </c>
      <c r="N33" s="3">
        <f t="shared" si="26"/>
        <v>169.7294</v>
      </c>
      <c r="O33" s="3">
        <f t="shared" si="27"/>
        <v>77.087999999999994</v>
      </c>
      <c r="P33" s="3">
        <f t="shared" si="28"/>
        <v>12.176891999999999</v>
      </c>
      <c r="Q33" s="3">
        <f t="shared" si="29"/>
        <v>51.037999999999997</v>
      </c>
      <c r="R33" s="12">
        <f t="shared" si="30"/>
        <v>5451.1919019999996</v>
      </c>
      <c r="S33" s="149">
        <f t="shared" si="21"/>
        <v>31.48505702199386</v>
      </c>
      <c r="T33" s="129">
        <f t="shared" si="31"/>
        <v>0.83531689276052945</v>
      </c>
      <c r="U33" s="136">
        <f>$U$39*$T33</f>
        <v>6.7660668313602894</v>
      </c>
      <c r="V33" s="139">
        <f t="shared" si="33"/>
        <v>18.293439951455593</v>
      </c>
      <c r="W33" s="9">
        <f t="shared" si="34"/>
        <v>50.119013565631768</v>
      </c>
      <c r="X33" s="9">
        <f t="shared" si="35"/>
        <v>25.059506782815884</v>
      </c>
      <c r="Y33" s="9">
        <f t="shared" si="36"/>
        <v>16.706337855210588</v>
      </c>
      <c r="Z33" s="9">
        <f t="shared" si="37"/>
        <v>33.412675710421176</v>
      </c>
      <c r="AA33" s="9">
        <f t="shared" si="38"/>
        <v>651.54717635321299</v>
      </c>
      <c r="AB33" s="9">
        <f t="shared" si="39"/>
        <v>4.176584463802647</v>
      </c>
      <c r="AC33" s="3">
        <f t="shared" si="40"/>
        <v>0.31893917723583853</v>
      </c>
      <c r="AD33" s="137">
        <f t="shared" si="41"/>
        <v>1.3782728730548734</v>
      </c>
    </row>
    <row r="34" spans="1:30" x14ac:dyDescent="0.25">
      <c r="A34" s="118" t="s">
        <v>28</v>
      </c>
      <c r="B34">
        <v>940.88062000000002</v>
      </c>
      <c r="C34">
        <v>3660.0479500000001</v>
      </c>
      <c r="D34">
        <v>793.19380899999999</v>
      </c>
      <c r="E34">
        <v>1476.8673200000001</v>
      </c>
      <c r="F34">
        <v>335.23700000000002</v>
      </c>
      <c r="G34">
        <v>72.632389200000006</v>
      </c>
      <c r="H34">
        <v>252.93639999999999</v>
      </c>
      <c r="I34" s="12">
        <f t="shared" si="22"/>
        <v>7531.7954882000004</v>
      </c>
      <c r="J34" s="147">
        <v>402</v>
      </c>
      <c r="K34" s="122">
        <f t="shared" si="23"/>
        <v>28226.418600000001</v>
      </c>
      <c r="L34" s="3">
        <f t="shared" si="24"/>
        <v>219602.87700000001</v>
      </c>
      <c r="M34" s="3">
        <f t="shared" si="25"/>
        <v>23795.814269999999</v>
      </c>
      <c r="N34" s="3">
        <f t="shared" si="26"/>
        <v>29537.346400000002</v>
      </c>
      <c r="O34" s="3">
        <f t="shared" si="27"/>
        <v>13409.480000000001</v>
      </c>
      <c r="P34" s="3">
        <f t="shared" si="28"/>
        <v>56653.263576000005</v>
      </c>
      <c r="Q34" s="3">
        <f t="shared" si="29"/>
        <v>1264.682</v>
      </c>
      <c r="R34" s="12">
        <f t="shared" si="30"/>
        <v>372489.88184599992</v>
      </c>
      <c r="S34" s="149">
        <f t="shared" si="21"/>
        <v>49.455655351977711</v>
      </c>
      <c r="T34" s="129">
        <f t="shared" si="31"/>
        <v>8.128494044593106</v>
      </c>
      <c r="U34" s="136">
        <f t="shared" si="32"/>
        <v>65.840801761204176</v>
      </c>
      <c r="V34" s="139">
        <f t="shared" si="33"/>
        <v>178.01401957658902</v>
      </c>
      <c r="W34" s="9">
        <f t="shared" si="34"/>
        <v>487.70964267558634</v>
      </c>
      <c r="X34" s="9">
        <f t="shared" si="35"/>
        <v>243.85482133779317</v>
      </c>
      <c r="Y34" s="9">
        <f t="shared" si="36"/>
        <v>162.56988089186211</v>
      </c>
      <c r="Z34" s="9">
        <f t="shared" si="37"/>
        <v>325.13976178372423</v>
      </c>
      <c r="AA34" s="9">
        <f t="shared" si="38"/>
        <v>6340.2253547826231</v>
      </c>
      <c r="AB34" s="9">
        <f t="shared" si="39"/>
        <v>40.642470222965528</v>
      </c>
      <c r="AC34" s="3">
        <f t="shared" si="40"/>
        <v>3.1036068170264586</v>
      </c>
      <c r="AD34" s="137">
        <f t="shared" si="41"/>
        <v>13.412015173578624</v>
      </c>
    </row>
    <row r="35" spans="1:30" x14ac:dyDescent="0.25">
      <c r="A35" s="118" t="s">
        <v>29</v>
      </c>
      <c r="B35">
        <v>305.45994999999999</v>
      </c>
      <c r="C35">
        <v>200.213065</v>
      </c>
      <c r="D35">
        <v>97.139255000000006</v>
      </c>
      <c r="E35">
        <v>49.750075000000002</v>
      </c>
      <c r="F35">
        <v>10.752000000000001</v>
      </c>
      <c r="G35">
        <v>0</v>
      </c>
      <c r="H35">
        <v>145.08000000000001</v>
      </c>
      <c r="I35" s="12">
        <f t="shared" si="22"/>
        <v>808.39434500000004</v>
      </c>
      <c r="J35" s="147">
        <v>11.4</v>
      </c>
      <c r="K35" s="122">
        <f t="shared" si="23"/>
        <v>9163.798499999999</v>
      </c>
      <c r="L35" s="3">
        <f t="shared" si="24"/>
        <v>12012.7839</v>
      </c>
      <c r="M35" s="3">
        <f t="shared" si="25"/>
        <v>2914.1776500000001</v>
      </c>
      <c r="N35" s="3">
        <f t="shared" si="26"/>
        <v>995.00150000000008</v>
      </c>
      <c r="O35" s="3">
        <f t="shared" si="27"/>
        <v>430.08000000000004</v>
      </c>
      <c r="P35" s="3">
        <f t="shared" si="28"/>
        <v>0</v>
      </c>
      <c r="Q35" s="3">
        <f t="shared" si="29"/>
        <v>725.40000000000009</v>
      </c>
      <c r="R35" s="12">
        <f t="shared" si="30"/>
        <v>26241.241550000002</v>
      </c>
      <c r="S35" s="149">
        <f t="shared" si="21"/>
        <v>32.460941509926073</v>
      </c>
      <c r="T35" s="129">
        <f t="shared" si="31"/>
        <v>0.35119129235712554</v>
      </c>
      <c r="U35" s="136">
        <f t="shared" si="32"/>
        <v>2.8446494680927175</v>
      </c>
      <c r="V35" s="139">
        <f t="shared" si="33"/>
        <v>7.691089302621049</v>
      </c>
      <c r="W35" s="9">
        <f t="shared" si="34"/>
        <v>21.071477541427534</v>
      </c>
      <c r="X35" s="9">
        <f t="shared" si="35"/>
        <v>10.535738770713767</v>
      </c>
      <c r="Y35" s="9">
        <f t="shared" si="36"/>
        <v>7.0238258471425112</v>
      </c>
      <c r="Z35" s="9">
        <f t="shared" si="37"/>
        <v>14.047651694285022</v>
      </c>
      <c r="AA35" s="9">
        <f t="shared" si="38"/>
        <v>273.92920803855793</v>
      </c>
      <c r="AB35" s="9">
        <f t="shared" si="39"/>
        <v>1.7559564617856278</v>
      </c>
      <c r="AC35" s="3">
        <f t="shared" si="40"/>
        <v>0.13409122071817522</v>
      </c>
      <c r="AD35" s="137">
        <f t="shared" si="41"/>
        <v>0.57946563238925708</v>
      </c>
    </row>
    <row r="36" spans="1:30" x14ac:dyDescent="0.25">
      <c r="A36" s="118" t="s">
        <v>30</v>
      </c>
      <c r="B36">
        <v>484.60971000000001</v>
      </c>
      <c r="C36">
        <v>208.30492000000001</v>
      </c>
      <c r="D36">
        <v>66.953872500000003</v>
      </c>
      <c r="E36">
        <v>31.530315000000002</v>
      </c>
      <c r="F36">
        <v>0</v>
      </c>
      <c r="G36">
        <v>0.83303079999999996</v>
      </c>
      <c r="H36">
        <v>22.167200000000001</v>
      </c>
      <c r="I36" s="12">
        <f t="shared" si="22"/>
        <v>814.39904829999989</v>
      </c>
      <c r="J36" s="147">
        <v>50.6</v>
      </c>
      <c r="K36" s="122">
        <f t="shared" si="23"/>
        <v>14538.291300000001</v>
      </c>
      <c r="L36" s="3">
        <f t="shared" si="24"/>
        <v>12498.2952</v>
      </c>
      <c r="M36" s="3">
        <f t="shared" si="25"/>
        <v>2008.6161750000001</v>
      </c>
      <c r="N36" s="3">
        <f t="shared" si="26"/>
        <v>630.60630000000003</v>
      </c>
      <c r="O36" s="3">
        <f t="shared" si="27"/>
        <v>0</v>
      </c>
      <c r="P36" s="3">
        <f t="shared" si="28"/>
        <v>649.76402399999995</v>
      </c>
      <c r="Q36" s="3">
        <f t="shared" si="29"/>
        <v>110.83600000000001</v>
      </c>
      <c r="R36" s="12">
        <f t="shared" si="30"/>
        <v>30436.408998999999</v>
      </c>
      <c r="S36" s="149">
        <f t="shared" si="21"/>
        <v>37.372844507288953</v>
      </c>
      <c r="T36" s="129">
        <f t="shared" si="31"/>
        <v>1.3539242374267582</v>
      </c>
      <c r="U36" s="136">
        <f t="shared" si="32"/>
        <v>10.966786323156743</v>
      </c>
      <c r="V36" s="139">
        <f t="shared" si="33"/>
        <v>29.650940799646001</v>
      </c>
      <c r="W36" s="9">
        <f t="shared" si="34"/>
        <v>81.235454245605496</v>
      </c>
      <c r="X36" s="9">
        <f t="shared" si="35"/>
        <v>40.617727122802748</v>
      </c>
      <c r="Y36" s="9">
        <f t="shared" si="36"/>
        <v>27.078484748535164</v>
      </c>
      <c r="Z36" s="9">
        <f t="shared" si="37"/>
        <v>54.156969497070328</v>
      </c>
      <c r="AA36" s="9">
        <f t="shared" si="38"/>
        <v>1056.0609051928714</v>
      </c>
      <c r="AB36" s="9">
        <f t="shared" si="39"/>
        <v>6.769621187133791</v>
      </c>
      <c r="AC36" s="3">
        <f t="shared" si="40"/>
        <v>0.51695289065385319</v>
      </c>
      <c r="AD36" s="137">
        <f t="shared" si="41"/>
        <v>2.2339749917541507</v>
      </c>
    </row>
    <row r="37" spans="1:30" x14ac:dyDescent="0.25">
      <c r="A37" s="70" t="s">
        <v>31</v>
      </c>
      <c r="B37" s="72">
        <v>1743.026515</v>
      </c>
      <c r="C37" s="72">
        <v>769.66737499999999</v>
      </c>
      <c r="D37" s="72">
        <v>1082.4209539999999</v>
      </c>
      <c r="E37" s="72">
        <v>2795.6398199999999</v>
      </c>
      <c r="F37" s="72">
        <v>193.09399999999999</v>
      </c>
      <c r="G37" s="72">
        <v>0</v>
      </c>
      <c r="H37" s="72">
        <v>377.6</v>
      </c>
      <c r="I37" s="128">
        <f>SUM(B37:H37)</f>
        <v>6961.4486640000005</v>
      </c>
      <c r="J37" s="148">
        <v>56.5</v>
      </c>
      <c r="K37" s="151">
        <f t="shared" si="23"/>
        <v>52290.795449999998</v>
      </c>
      <c r="L37" s="106">
        <f t="shared" si="24"/>
        <v>46180.042499999996</v>
      </c>
      <c r="M37" s="106">
        <f t="shared" si="25"/>
        <v>32472.62862</v>
      </c>
      <c r="N37" s="106">
        <f t="shared" si="26"/>
        <v>55912.796399999999</v>
      </c>
      <c r="O37" s="106">
        <f t="shared" si="27"/>
        <v>7723.76</v>
      </c>
      <c r="P37" s="106">
        <f t="shared" si="28"/>
        <v>0</v>
      </c>
      <c r="Q37" s="106">
        <f t="shared" si="29"/>
        <v>1888</v>
      </c>
      <c r="R37" s="128">
        <f t="shared" si="30"/>
        <v>196468.02296999999</v>
      </c>
      <c r="S37" s="152">
        <f t="shared" si="21"/>
        <v>28.222289993461047</v>
      </c>
      <c r="T37" s="130">
        <f t="shared" si="31"/>
        <v>2.0019636965352827</v>
      </c>
      <c r="U37" s="140">
        <f>$U$39*$T37</f>
        <v>16.215905941935794</v>
      </c>
      <c r="V37" s="141">
        <f t="shared" si="33"/>
        <v>43.843004954122691</v>
      </c>
      <c r="W37" s="73">
        <f>$W$39*$T37</f>
        <v>120.11782179211696</v>
      </c>
      <c r="X37" s="73">
        <f t="shared" si="35"/>
        <v>60.058910896058478</v>
      </c>
      <c r="Y37" s="73">
        <f t="shared" si="36"/>
        <v>40.039273930705654</v>
      </c>
      <c r="Z37" s="73">
        <f t="shared" si="37"/>
        <v>80.078547861411309</v>
      </c>
      <c r="AA37" s="73">
        <f t="shared" si="38"/>
        <v>1561.5316832975204</v>
      </c>
      <c r="AB37" s="73">
        <f t="shared" si="39"/>
        <v>10.009818482676414</v>
      </c>
      <c r="AC37" s="106">
        <f t="shared" si="40"/>
        <v>0.76438613867710803</v>
      </c>
      <c r="AD37" s="142">
        <f t="shared" si="41"/>
        <v>3.3032400992832165</v>
      </c>
    </row>
    <row r="39" spans="1:30" x14ac:dyDescent="0.25">
      <c r="A39" s="114" t="s">
        <v>57</v>
      </c>
      <c r="B39" s="114"/>
      <c r="C39" s="114"/>
      <c r="D39" s="114"/>
      <c r="E39" s="114"/>
      <c r="F39" s="114"/>
      <c r="G39" s="114"/>
      <c r="H39" s="114"/>
      <c r="I39" s="114"/>
      <c r="J39" s="114"/>
      <c r="K39" s="115">
        <f>'Standard values'!B5</f>
        <v>30</v>
      </c>
      <c r="L39" s="115">
        <f>'Standard values'!D5</f>
        <v>60</v>
      </c>
      <c r="M39" s="115">
        <f>'Standard values'!E5</f>
        <v>30</v>
      </c>
      <c r="N39" s="115">
        <f>'Standard values'!F5</f>
        <v>20</v>
      </c>
      <c r="O39" s="115">
        <f>'Standard values'!G5</f>
        <v>40</v>
      </c>
      <c r="P39" s="115">
        <f>'Standard values'!H5</f>
        <v>780</v>
      </c>
      <c r="Q39" s="115">
        <f>'Standard values'!I5</f>
        <v>5</v>
      </c>
      <c r="R39" s="114"/>
      <c r="S39" s="114"/>
      <c r="T39" s="114"/>
      <c r="U39" s="114">
        <f>'Standard values'!B6</f>
        <v>8.1000000000000014</v>
      </c>
      <c r="V39" s="114">
        <f>'Standard values'!C6</f>
        <v>21.9</v>
      </c>
      <c r="W39" s="114">
        <f>'Standard values'!D6</f>
        <v>60</v>
      </c>
      <c r="X39" s="114">
        <f>'Standard values'!E6</f>
        <v>30</v>
      </c>
      <c r="Y39" s="114">
        <f>'Standard values'!F6</f>
        <v>20</v>
      </c>
      <c r="Z39" s="114">
        <f>'Standard values'!G6</f>
        <v>40</v>
      </c>
      <c r="AA39" s="114">
        <f>'Standard values'!H6</f>
        <v>780</v>
      </c>
      <c r="AB39" s="114">
        <f>'Standard values'!I6</f>
        <v>5</v>
      </c>
      <c r="AC39" s="135">
        <f>'Standard values'!J6</f>
        <v>0.38181818181818183</v>
      </c>
      <c r="AD39" s="135">
        <f>'Standard values'!K6</f>
        <v>1.65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1672-0BD0-41DE-A958-34DD01D8AC54}">
  <dimension ref="A2:AE39"/>
  <sheetViews>
    <sheetView topLeftCell="A21" workbookViewId="0">
      <selection activeCell="W35" sqref="W35"/>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1" ht="21" x14ac:dyDescent="0.35">
      <c r="A2" s="132" t="s">
        <v>63</v>
      </c>
      <c r="AE2" s="132" t="s">
        <v>63</v>
      </c>
    </row>
    <row r="4" spans="1:31" ht="15.75" x14ac:dyDescent="0.25">
      <c r="A4" s="124" t="s">
        <v>33</v>
      </c>
      <c r="B4" s="116" t="s">
        <v>34</v>
      </c>
      <c r="C4" s="125"/>
      <c r="D4" s="116"/>
      <c r="E4" s="125"/>
      <c r="F4" s="125"/>
      <c r="G4" s="125"/>
      <c r="H4" s="125"/>
      <c r="I4" s="125"/>
      <c r="J4" s="125"/>
      <c r="K4" s="124" t="s">
        <v>35</v>
      </c>
      <c r="L4" s="116"/>
      <c r="M4" s="116"/>
      <c r="N4" s="116"/>
      <c r="O4" s="116"/>
      <c r="P4" s="116"/>
      <c r="Q4" s="116"/>
      <c r="R4" s="116"/>
      <c r="S4" s="117"/>
      <c r="T4" s="117"/>
      <c r="U4" s="124" t="s">
        <v>36</v>
      </c>
      <c r="V4" s="116"/>
      <c r="W4" s="116"/>
      <c r="X4" s="116"/>
      <c r="Y4" s="116"/>
      <c r="Z4" s="116"/>
      <c r="AA4" s="116"/>
      <c r="AB4" s="116"/>
      <c r="AC4" s="116"/>
      <c r="AD4" s="117"/>
      <c r="AE4" s="124" t="s">
        <v>33</v>
      </c>
    </row>
    <row r="5" spans="1:31" x14ac:dyDescent="0.25">
      <c r="A5" s="123" t="s">
        <v>37</v>
      </c>
      <c r="K5" s="118"/>
      <c r="S5" s="6"/>
      <c r="T5" s="6"/>
      <c r="U5" s="118"/>
      <c r="AD5" s="6"/>
      <c r="AE5" s="123" t="s">
        <v>37</v>
      </c>
    </row>
    <row r="6" spans="1:31" ht="32.25" customHeight="1" x14ac:dyDescent="0.25">
      <c r="A6" s="119" t="s">
        <v>38</v>
      </c>
      <c r="B6" s="120" t="s">
        <v>39</v>
      </c>
      <c r="C6" s="120" t="s">
        <v>0</v>
      </c>
      <c r="D6" s="120" t="s">
        <v>40</v>
      </c>
      <c r="E6" s="127" t="s">
        <v>41</v>
      </c>
      <c r="F6" s="120" t="s">
        <v>42</v>
      </c>
      <c r="G6" s="120" t="s">
        <v>43</v>
      </c>
      <c r="H6" s="120" t="s">
        <v>44</v>
      </c>
      <c r="I6" s="127" t="s">
        <v>45</v>
      </c>
      <c r="J6" s="120" t="s">
        <v>46</v>
      </c>
      <c r="K6" s="119" t="s">
        <v>39</v>
      </c>
      <c r="L6" s="120" t="s">
        <v>0</v>
      </c>
      <c r="M6" s="120" t="s">
        <v>40</v>
      </c>
      <c r="N6" s="127" t="s">
        <v>41</v>
      </c>
      <c r="O6" s="120" t="s">
        <v>42</v>
      </c>
      <c r="P6" s="120" t="s">
        <v>43</v>
      </c>
      <c r="Q6" s="120" t="s">
        <v>44</v>
      </c>
      <c r="R6" s="120" t="s">
        <v>47</v>
      </c>
      <c r="S6" s="121" t="s">
        <v>46</v>
      </c>
      <c r="T6" s="126" t="s">
        <v>48</v>
      </c>
      <c r="U6" s="131" t="s">
        <v>49</v>
      </c>
      <c r="V6" s="138" t="s">
        <v>50</v>
      </c>
      <c r="W6" s="120" t="s">
        <v>0</v>
      </c>
      <c r="X6" s="120" t="s">
        <v>51</v>
      </c>
      <c r="Y6" s="127" t="s">
        <v>52</v>
      </c>
      <c r="Z6" s="120" t="s">
        <v>42</v>
      </c>
      <c r="AA6" s="120" t="s">
        <v>53</v>
      </c>
      <c r="AB6" s="120" t="s">
        <v>44</v>
      </c>
      <c r="AC6" s="120" t="s">
        <v>54</v>
      </c>
      <c r="AD6" s="121" t="s">
        <v>55</v>
      </c>
      <c r="AE6" s="119" t="s">
        <v>38</v>
      </c>
    </row>
    <row r="7" spans="1:31" x14ac:dyDescent="0.25">
      <c r="A7" s="118" t="s">
        <v>1</v>
      </c>
      <c r="B7">
        <v>441.31009</v>
      </c>
      <c r="C7">
        <v>369.07269500000001</v>
      </c>
      <c r="D7">
        <v>79.879112000000006</v>
      </c>
      <c r="E7">
        <v>34.920819999999999</v>
      </c>
      <c r="F7">
        <v>0</v>
      </c>
      <c r="G7">
        <v>0</v>
      </c>
      <c r="H7">
        <v>31.954799999999999</v>
      </c>
      <c r="I7" s="12">
        <f>SUM(B7:H7)</f>
        <v>957.137517</v>
      </c>
      <c r="J7" s="147">
        <v>46.1</v>
      </c>
      <c r="K7" s="122">
        <f t="shared" ref="K7:K25" si="0">B7*$K$39</f>
        <v>13239.3027</v>
      </c>
      <c r="L7" s="3">
        <f t="shared" ref="L7:L25" si="1">C7*$L$39</f>
        <v>22144.361700000001</v>
      </c>
      <c r="M7" s="3">
        <f t="shared" ref="M7:M25" si="2">D7*$M$39</f>
        <v>2396.37336</v>
      </c>
      <c r="N7" s="3">
        <f t="shared" ref="N7:N25" si="3">E7*$N$39</f>
        <v>698.41639999999995</v>
      </c>
      <c r="O7" s="3">
        <f t="shared" ref="O7:O25" si="4">F7*$O$39</f>
        <v>0</v>
      </c>
      <c r="P7" s="3">
        <f t="shared" ref="P7:P25" si="5">G7*$P$39</f>
        <v>0</v>
      </c>
      <c r="Q7" s="3">
        <f t="shared" ref="Q7:Q25" si="6">H7*$Q$39</f>
        <v>159.774</v>
      </c>
      <c r="R7" s="12">
        <f>SUM(K7:Q7)</f>
        <v>38638.228159999999</v>
      </c>
      <c r="S7" s="149">
        <f t="shared" ref="S7:S25" si="7">R7/I7</f>
        <v>40.36852330384621</v>
      </c>
      <c r="T7" s="129">
        <f>J7/S7</f>
        <v>1.1419788544905161</v>
      </c>
      <c r="U7" s="136">
        <f t="shared" ref="U7:U25" si="8">$U$39*$T7</f>
        <v>9.250028721373182</v>
      </c>
      <c r="V7" s="139">
        <f t="shared" ref="V7:V25" si="9">$V$39*$T7</f>
        <v>25.009336913342299</v>
      </c>
      <c r="W7" s="9">
        <f t="shared" ref="W7:W25" si="10">$W$39*$T7</f>
        <v>68.518731269430958</v>
      </c>
      <c r="X7" s="9">
        <f t="shared" ref="X7:X25" si="11">$X$39*$T7</f>
        <v>34.259365634715479</v>
      </c>
      <c r="Y7" s="9">
        <f t="shared" ref="Y7:Y25" si="12">$Y$39*$T7</f>
        <v>22.839577089810319</v>
      </c>
      <c r="Z7" s="9">
        <f t="shared" ref="Z7:Z25" si="13">$Z$39*$T7</f>
        <v>45.679154179620639</v>
      </c>
      <c r="AA7" s="9">
        <f t="shared" ref="AA7:AA25" si="14">$AA$39*$T7</f>
        <v>890.74350650260249</v>
      </c>
      <c r="AB7" s="9">
        <f t="shared" ref="AB7:AB25" si="15">$AB$39*$T7</f>
        <v>5.7098942724525799</v>
      </c>
      <c r="AC7" s="3">
        <f t="shared" ref="AC7:AC25" si="16">$AC$39*$T7</f>
        <v>0.43602828989637887</v>
      </c>
      <c r="AD7" s="137">
        <f t="shared" ref="AD7:AD25" si="17">$AD$39*$T7</f>
        <v>1.8842651099093515</v>
      </c>
      <c r="AE7" s="118" t="s">
        <v>1</v>
      </c>
    </row>
    <row r="8" spans="1:31" x14ac:dyDescent="0.25">
      <c r="A8" s="118" t="s">
        <v>2</v>
      </c>
      <c r="B8">
        <v>455.06925000000001</v>
      </c>
      <c r="C8">
        <v>882.30627000000004</v>
      </c>
      <c r="D8">
        <v>236.04378399999999</v>
      </c>
      <c r="E8">
        <v>16.270025</v>
      </c>
      <c r="F8">
        <v>0</v>
      </c>
      <c r="G8">
        <v>4.0752964</v>
      </c>
      <c r="H8">
        <v>121.3396</v>
      </c>
      <c r="I8" s="12">
        <f t="shared" ref="I8:I25" si="18">SUM(B8:H8)</f>
        <v>1715.1042254000001</v>
      </c>
      <c r="J8" s="147">
        <v>139.9</v>
      </c>
      <c r="K8" s="122">
        <f t="shared" si="0"/>
        <v>13652.077499999999</v>
      </c>
      <c r="L8" s="3">
        <f t="shared" si="1"/>
        <v>52938.376199999999</v>
      </c>
      <c r="M8" s="3">
        <f t="shared" si="2"/>
        <v>7081.3135199999997</v>
      </c>
      <c r="N8" s="3">
        <f t="shared" si="3"/>
        <v>325.40050000000002</v>
      </c>
      <c r="O8" s="3">
        <f t="shared" si="4"/>
        <v>0</v>
      </c>
      <c r="P8" s="3">
        <f t="shared" si="5"/>
        <v>3178.7311920000002</v>
      </c>
      <c r="Q8" s="3">
        <f t="shared" si="6"/>
        <v>606.69799999999998</v>
      </c>
      <c r="R8" s="12">
        <f t="shared" ref="R8:R25" si="19">SUM(K8:Q8)</f>
        <v>77782.596912000008</v>
      </c>
      <c r="S8" s="149">
        <f t="shared" si="7"/>
        <v>45.351527773106262</v>
      </c>
      <c r="T8" s="129">
        <f t="shared" ref="T8:T25" si="20">J8/S8</f>
        <v>3.084791337128042</v>
      </c>
      <c r="U8" s="136">
        <f t="shared" si="8"/>
        <v>24.986809830737144</v>
      </c>
      <c r="V8" s="139">
        <f t="shared" si="9"/>
        <v>67.556930283104109</v>
      </c>
      <c r="W8" s="9">
        <f t="shared" si="10"/>
        <v>185.08748022768253</v>
      </c>
      <c r="X8" s="9">
        <f t="shared" si="11"/>
        <v>92.543740113841267</v>
      </c>
      <c r="Y8" s="9">
        <f t="shared" si="12"/>
        <v>61.69582674256084</v>
      </c>
      <c r="Z8" s="9">
        <f t="shared" si="13"/>
        <v>123.39165348512168</v>
      </c>
      <c r="AA8" s="9">
        <f t="shared" si="14"/>
        <v>2406.1372429598728</v>
      </c>
      <c r="AB8" s="9">
        <f t="shared" si="15"/>
        <v>15.42395668564021</v>
      </c>
      <c r="AC8" s="3">
        <f t="shared" si="16"/>
        <v>1.1778294196307071</v>
      </c>
      <c r="AD8" s="137">
        <f t="shared" si="17"/>
        <v>5.0899057062612689</v>
      </c>
      <c r="AE8" s="118" t="s">
        <v>2</v>
      </c>
    </row>
    <row r="9" spans="1:31" x14ac:dyDescent="0.25">
      <c r="A9" s="118" t="s">
        <v>3</v>
      </c>
      <c r="B9">
        <v>130.11317500000001</v>
      </c>
      <c r="C9">
        <v>82.837424999999996</v>
      </c>
      <c r="D9">
        <v>46.862623999999997</v>
      </c>
      <c r="E9">
        <v>100.24097</v>
      </c>
      <c r="F9">
        <v>0</v>
      </c>
      <c r="G9">
        <v>7.2800000000000004E-2</v>
      </c>
      <c r="H9">
        <v>33.0792</v>
      </c>
      <c r="I9" s="12">
        <f t="shared" si="18"/>
        <v>393.20619399999998</v>
      </c>
      <c r="J9" s="147">
        <v>155</v>
      </c>
      <c r="K9" s="122">
        <f t="shared" si="0"/>
        <v>3903.3952500000005</v>
      </c>
      <c r="L9" s="3">
        <f t="shared" si="1"/>
        <v>4970.2455</v>
      </c>
      <c r="M9" s="3">
        <f t="shared" si="2"/>
        <v>1405.8787199999999</v>
      </c>
      <c r="N9" s="3">
        <f t="shared" si="3"/>
        <v>2004.8194000000001</v>
      </c>
      <c r="O9" s="3">
        <f t="shared" si="4"/>
        <v>0</v>
      </c>
      <c r="P9" s="3">
        <f t="shared" si="5"/>
        <v>56.784000000000006</v>
      </c>
      <c r="Q9" s="3">
        <f t="shared" si="6"/>
        <v>165.39600000000002</v>
      </c>
      <c r="R9" s="12">
        <f t="shared" si="19"/>
        <v>12506.518870000002</v>
      </c>
      <c r="S9" s="149">
        <f t="shared" si="7"/>
        <v>31.806515413132079</v>
      </c>
      <c r="T9" s="129">
        <f t="shared" si="20"/>
        <v>4.8732153769980266</v>
      </c>
      <c r="U9" s="136">
        <f t="shared" si="8"/>
        <v>39.473044553684019</v>
      </c>
      <c r="V9" s="139">
        <f t="shared" si="9"/>
        <v>106.72341675625678</v>
      </c>
      <c r="W9" s="9">
        <f t="shared" si="10"/>
        <v>292.39292261988157</v>
      </c>
      <c r="X9" s="9">
        <f t="shared" si="11"/>
        <v>146.19646130994079</v>
      </c>
      <c r="Y9" s="9">
        <f t="shared" si="12"/>
        <v>97.464307539960529</v>
      </c>
      <c r="Z9" s="9">
        <f t="shared" si="13"/>
        <v>194.92861507992106</v>
      </c>
      <c r="AA9" s="9">
        <f t="shared" si="14"/>
        <v>3801.1079940584609</v>
      </c>
      <c r="AB9" s="9">
        <f t="shared" si="15"/>
        <v>24.366076884990132</v>
      </c>
      <c r="AC9" s="3">
        <f t="shared" si="16"/>
        <v>1.8606822348537921</v>
      </c>
      <c r="AD9" s="137">
        <f t="shared" si="17"/>
        <v>8.0408053720467443</v>
      </c>
      <c r="AE9" s="118" t="s">
        <v>3</v>
      </c>
    </row>
    <row r="10" spans="1:31" x14ac:dyDescent="0.25">
      <c r="A10" s="118" t="s">
        <v>4</v>
      </c>
      <c r="B10">
        <v>110.96898</v>
      </c>
      <c r="C10">
        <v>90.374960000000002</v>
      </c>
      <c r="D10">
        <v>42.740539499999997</v>
      </c>
      <c r="E10">
        <v>47.253819999999997</v>
      </c>
      <c r="F10">
        <v>17.268999999999998</v>
      </c>
      <c r="G10">
        <v>3.9998000000000004E-3</v>
      </c>
      <c r="H10">
        <v>9.11</v>
      </c>
      <c r="I10" s="12">
        <f t="shared" si="18"/>
        <v>317.7212993</v>
      </c>
      <c r="J10" s="147">
        <v>83.6</v>
      </c>
      <c r="K10" s="122">
        <f t="shared" si="0"/>
        <v>3329.0693999999999</v>
      </c>
      <c r="L10" s="3">
        <f t="shared" si="1"/>
        <v>5422.4975999999997</v>
      </c>
      <c r="M10" s="3">
        <f t="shared" si="2"/>
        <v>1282.216185</v>
      </c>
      <c r="N10" s="3">
        <f t="shared" si="3"/>
        <v>945.07639999999992</v>
      </c>
      <c r="O10" s="3">
        <f t="shared" si="4"/>
        <v>690.76</v>
      </c>
      <c r="P10" s="3">
        <f t="shared" si="5"/>
        <v>3.1198440000000005</v>
      </c>
      <c r="Q10" s="3">
        <f t="shared" si="6"/>
        <v>45.55</v>
      </c>
      <c r="R10" s="12">
        <f t="shared" si="19"/>
        <v>11718.289428999999</v>
      </c>
      <c r="S10" s="149">
        <f t="shared" si="7"/>
        <v>36.882291035626515</v>
      </c>
      <c r="T10" s="129">
        <f t="shared" si="20"/>
        <v>2.2666704711821297</v>
      </c>
      <c r="U10" s="136">
        <f t="shared" si="8"/>
        <v>18.360030816575254</v>
      </c>
      <c r="V10" s="139">
        <f t="shared" si="9"/>
        <v>49.640083318888635</v>
      </c>
      <c r="W10" s="9">
        <f t="shared" si="10"/>
        <v>136.00022827092778</v>
      </c>
      <c r="X10" s="9">
        <f t="shared" si="11"/>
        <v>68.000114135463889</v>
      </c>
      <c r="Y10" s="9">
        <f t="shared" si="12"/>
        <v>45.333409423642593</v>
      </c>
      <c r="Z10" s="9">
        <f t="shared" si="13"/>
        <v>90.666818847285185</v>
      </c>
      <c r="AA10" s="9">
        <f t="shared" si="14"/>
        <v>1768.0029675220612</v>
      </c>
      <c r="AB10" s="9">
        <f t="shared" si="15"/>
        <v>11.333352355910648</v>
      </c>
      <c r="AC10" s="3">
        <f t="shared" si="16"/>
        <v>0.86545599808772233</v>
      </c>
      <c r="AD10" s="137">
        <f t="shared" si="17"/>
        <v>3.7400062774505138</v>
      </c>
      <c r="AE10" s="118" t="s">
        <v>4</v>
      </c>
    </row>
    <row r="11" spans="1:31" x14ac:dyDescent="0.25">
      <c r="A11" s="118" t="s">
        <v>5</v>
      </c>
      <c r="B11">
        <v>20.203925000000002</v>
      </c>
      <c r="C11">
        <v>45.449694999999998</v>
      </c>
      <c r="D11">
        <v>13.004944999999999</v>
      </c>
      <c r="E11">
        <v>46.761054999999999</v>
      </c>
      <c r="F11">
        <v>6.625</v>
      </c>
      <c r="G11">
        <v>5.2820600000000002E-2</v>
      </c>
      <c r="H11">
        <v>1.6224000000000001</v>
      </c>
      <c r="I11" s="12">
        <f t="shared" si="18"/>
        <v>133.7198406</v>
      </c>
      <c r="J11" s="147">
        <v>346.4</v>
      </c>
      <c r="K11" s="122">
        <f t="shared" si="0"/>
        <v>606.11775</v>
      </c>
      <c r="L11" s="3">
        <f t="shared" si="1"/>
        <v>2726.9816999999998</v>
      </c>
      <c r="M11" s="3">
        <f t="shared" si="2"/>
        <v>390.14834999999999</v>
      </c>
      <c r="N11" s="3">
        <f t="shared" si="3"/>
        <v>935.22109999999998</v>
      </c>
      <c r="O11" s="3">
        <f t="shared" si="4"/>
        <v>265</v>
      </c>
      <c r="P11" s="3">
        <f t="shared" si="5"/>
        <v>41.200068000000002</v>
      </c>
      <c r="Q11" s="3">
        <f t="shared" si="6"/>
        <v>8.1120000000000001</v>
      </c>
      <c r="R11" s="12">
        <f t="shared" si="19"/>
        <v>4972.780968</v>
      </c>
      <c r="S11" s="149">
        <f t="shared" si="7"/>
        <v>37.188056354892183</v>
      </c>
      <c r="T11" s="129">
        <f t="shared" si="20"/>
        <v>9.3148186260191626</v>
      </c>
      <c r="U11" s="136">
        <f t="shared" si="8"/>
        <v>75.450030870755228</v>
      </c>
      <c r="V11" s="139">
        <f t="shared" si="9"/>
        <v>203.99452790981965</v>
      </c>
      <c r="W11" s="9">
        <f t="shared" si="10"/>
        <v>558.88911756114976</v>
      </c>
      <c r="X11" s="9">
        <f t="shared" si="11"/>
        <v>279.44455878057488</v>
      </c>
      <c r="Y11" s="9">
        <f t="shared" si="12"/>
        <v>186.29637252038324</v>
      </c>
      <c r="Z11" s="9">
        <f t="shared" si="13"/>
        <v>372.59274504076649</v>
      </c>
      <c r="AA11" s="9">
        <f t="shared" si="14"/>
        <v>7265.5585282949469</v>
      </c>
      <c r="AB11" s="9">
        <f t="shared" si="15"/>
        <v>46.574093130095811</v>
      </c>
      <c r="AC11" s="3">
        <f t="shared" si="16"/>
        <v>3.5565671117527713</v>
      </c>
      <c r="AD11" s="137">
        <f t="shared" si="17"/>
        <v>15.369450732931618</v>
      </c>
      <c r="AE11" s="118" t="s">
        <v>5</v>
      </c>
    </row>
    <row r="12" spans="1:31" x14ac:dyDescent="0.25">
      <c r="A12" s="118" t="s">
        <v>6</v>
      </c>
      <c r="B12">
        <v>293.97852999999998</v>
      </c>
      <c r="C12">
        <v>205.336715</v>
      </c>
      <c r="D12">
        <v>126.98080400000001</v>
      </c>
      <c r="E12">
        <v>18.118375</v>
      </c>
      <c r="F12">
        <v>20.952000000000002</v>
      </c>
      <c r="G12">
        <v>7.5137999999999998</v>
      </c>
      <c r="H12">
        <v>32</v>
      </c>
      <c r="I12" s="12">
        <f t="shared" si="18"/>
        <v>704.880224</v>
      </c>
      <c r="J12" s="147">
        <v>61.2</v>
      </c>
      <c r="K12" s="122">
        <f t="shared" si="0"/>
        <v>8819.3558999999987</v>
      </c>
      <c r="L12" s="3">
        <f t="shared" si="1"/>
        <v>12320.2029</v>
      </c>
      <c r="M12" s="3">
        <f t="shared" si="2"/>
        <v>3809.4241200000001</v>
      </c>
      <c r="N12" s="3">
        <f t="shared" si="3"/>
        <v>362.36750000000001</v>
      </c>
      <c r="O12" s="3">
        <f t="shared" si="4"/>
        <v>838.08</v>
      </c>
      <c r="P12" s="3">
        <f t="shared" si="5"/>
        <v>5860.7640000000001</v>
      </c>
      <c r="Q12" s="3">
        <f t="shared" si="6"/>
        <v>160</v>
      </c>
      <c r="R12" s="12">
        <f t="shared" si="19"/>
        <v>32170.19442</v>
      </c>
      <c r="S12" s="149">
        <f t="shared" si="7"/>
        <v>45.639235326312686</v>
      </c>
      <c r="T12" s="129">
        <f t="shared" si="20"/>
        <v>1.3409514765624473</v>
      </c>
      <c r="U12" s="136">
        <f t="shared" si="8"/>
        <v>10.861706960155825</v>
      </c>
      <c r="V12" s="139">
        <f t="shared" si="9"/>
        <v>29.366837336717595</v>
      </c>
      <c r="W12" s="9">
        <f t="shared" si="10"/>
        <v>80.457088593746832</v>
      </c>
      <c r="X12" s="9">
        <f t="shared" si="11"/>
        <v>40.228544296873416</v>
      </c>
      <c r="Y12" s="9">
        <f t="shared" si="12"/>
        <v>26.819029531248944</v>
      </c>
      <c r="Z12" s="9">
        <f t="shared" si="13"/>
        <v>53.638059062497888</v>
      </c>
      <c r="AA12" s="9">
        <f t="shared" si="14"/>
        <v>1045.9421517187088</v>
      </c>
      <c r="AB12" s="9">
        <f t="shared" si="15"/>
        <v>6.704757382812236</v>
      </c>
      <c r="AC12" s="3">
        <f t="shared" si="16"/>
        <v>0.51199965468747988</v>
      </c>
      <c r="AD12" s="137">
        <f t="shared" si="17"/>
        <v>2.212569936328038</v>
      </c>
      <c r="AE12" s="118" t="s">
        <v>6</v>
      </c>
    </row>
    <row r="13" spans="1:31" x14ac:dyDescent="0.25">
      <c r="A13" s="118" t="s">
        <v>7</v>
      </c>
      <c r="B13">
        <v>398.45585999999997</v>
      </c>
      <c r="C13">
        <v>1772.9550400000001</v>
      </c>
      <c r="D13">
        <v>122.66785</v>
      </c>
      <c r="E13">
        <v>12.594675000000001</v>
      </c>
      <c r="F13">
        <v>43</v>
      </c>
      <c r="G13">
        <v>0</v>
      </c>
      <c r="H13">
        <v>70</v>
      </c>
      <c r="I13" s="12">
        <f t="shared" si="18"/>
        <v>2419.6734249999995</v>
      </c>
      <c r="J13" s="147">
        <v>40.4</v>
      </c>
      <c r="K13" s="122">
        <f t="shared" si="0"/>
        <v>11953.675799999999</v>
      </c>
      <c r="L13" s="3">
        <f t="shared" si="1"/>
        <v>106377.3024</v>
      </c>
      <c r="M13" s="3">
        <f t="shared" si="2"/>
        <v>3680.0355</v>
      </c>
      <c r="N13" s="3">
        <f t="shared" si="3"/>
        <v>251.89350000000002</v>
      </c>
      <c r="O13" s="3">
        <f t="shared" si="4"/>
        <v>1720</v>
      </c>
      <c r="P13" s="3">
        <f t="shared" si="5"/>
        <v>0</v>
      </c>
      <c r="Q13" s="3">
        <f t="shared" si="6"/>
        <v>350</v>
      </c>
      <c r="R13" s="12">
        <f t="shared" si="19"/>
        <v>124332.9072</v>
      </c>
      <c r="S13" s="149">
        <f t="shared" si="7"/>
        <v>51.384168588783844</v>
      </c>
      <c r="T13" s="129">
        <f t="shared" si="20"/>
        <v>0.78623438131912338</v>
      </c>
      <c r="U13" s="136">
        <f t="shared" si="8"/>
        <v>6.3684984886849003</v>
      </c>
      <c r="V13" s="139">
        <f t="shared" si="9"/>
        <v>17.2185329508888</v>
      </c>
      <c r="W13" s="9">
        <f t="shared" si="10"/>
        <v>47.174062879147399</v>
      </c>
      <c r="X13" s="9">
        <f t="shared" si="11"/>
        <v>23.5870314395737</v>
      </c>
      <c r="Y13" s="9">
        <f t="shared" si="12"/>
        <v>15.724687626382467</v>
      </c>
      <c r="Z13" s="9">
        <f t="shared" si="13"/>
        <v>31.449375252764934</v>
      </c>
      <c r="AA13" s="9">
        <f t="shared" si="14"/>
        <v>613.26281742891626</v>
      </c>
      <c r="AB13" s="9">
        <f t="shared" si="15"/>
        <v>3.9311719065956168</v>
      </c>
      <c r="AC13" s="3">
        <f t="shared" si="16"/>
        <v>0.30019858195821075</v>
      </c>
      <c r="AD13" s="137">
        <f t="shared" si="17"/>
        <v>1.2972867291765535</v>
      </c>
      <c r="AE13" s="118" t="s">
        <v>7</v>
      </c>
    </row>
    <row r="14" spans="1:31" x14ac:dyDescent="0.25">
      <c r="A14" s="118" t="s">
        <v>8</v>
      </c>
      <c r="B14">
        <v>60.434465000000003</v>
      </c>
      <c r="C14">
        <v>38.017305</v>
      </c>
      <c r="D14">
        <v>2.3375919999999999</v>
      </c>
      <c r="E14">
        <v>7.1677850000000003</v>
      </c>
      <c r="F14">
        <v>0.86773299999999998</v>
      </c>
      <c r="G14">
        <v>2.8532000000000002E-3</v>
      </c>
      <c r="H14">
        <v>3.8948</v>
      </c>
      <c r="I14" s="12">
        <f t="shared" si="18"/>
        <v>112.72253320000002</v>
      </c>
      <c r="J14" s="147">
        <v>63.7</v>
      </c>
      <c r="K14" s="122">
        <f t="shared" si="0"/>
        <v>1813.03395</v>
      </c>
      <c r="L14" s="3">
        <f t="shared" si="1"/>
        <v>2281.0383000000002</v>
      </c>
      <c r="M14" s="3">
        <f t="shared" si="2"/>
        <v>70.127759999999995</v>
      </c>
      <c r="N14" s="3">
        <f t="shared" si="3"/>
        <v>143.35570000000001</v>
      </c>
      <c r="O14" s="3">
        <f t="shared" si="4"/>
        <v>34.709319999999998</v>
      </c>
      <c r="P14" s="3">
        <f t="shared" si="5"/>
        <v>2.2254960000000001</v>
      </c>
      <c r="Q14" s="3">
        <f t="shared" si="6"/>
        <v>19.474</v>
      </c>
      <c r="R14" s="12">
        <f t="shared" si="19"/>
        <v>4363.9645260000007</v>
      </c>
      <c r="S14" s="149">
        <f t="shared" si="7"/>
        <v>38.71421624509766</v>
      </c>
      <c r="T14" s="129">
        <f t="shared" si="20"/>
        <v>1.6453904063747193</v>
      </c>
      <c r="U14" s="136">
        <f t="shared" si="8"/>
        <v>13.32766229163523</v>
      </c>
      <c r="V14" s="139">
        <f t="shared" si="9"/>
        <v>36.034049899606352</v>
      </c>
      <c r="W14" s="9">
        <f t="shared" si="10"/>
        <v>98.723424382483159</v>
      </c>
      <c r="X14" s="9">
        <f t="shared" si="11"/>
        <v>49.36171219124158</v>
      </c>
      <c r="Y14" s="9">
        <f t="shared" si="12"/>
        <v>32.907808127494384</v>
      </c>
      <c r="Z14" s="9">
        <f t="shared" si="13"/>
        <v>65.815616254988768</v>
      </c>
      <c r="AA14" s="9">
        <f t="shared" si="14"/>
        <v>1283.404516972281</v>
      </c>
      <c r="AB14" s="9">
        <f t="shared" si="15"/>
        <v>8.226952031873596</v>
      </c>
      <c r="AC14" s="3">
        <f t="shared" si="16"/>
        <v>0.62823997334307469</v>
      </c>
      <c r="AD14" s="137">
        <f t="shared" si="17"/>
        <v>2.7148941705182867</v>
      </c>
      <c r="AE14" s="118" t="s">
        <v>8</v>
      </c>
    </row>
    <row r="15" spans="1:31" x14ac:dyDescent="0.25">
      <c r="A15" s="118" t="s">
        <v>9</v>
      </c>
      <c r="B15">
        <v>224.37943000000001</v>
      </c>
      <c r="C15">
        <v>165.87997999999999</v>
      </c>
      <c r="D15">
        <v>73.317025000000001</v>
      </c>
      <c r="E15">
        <v>13.005100000000001</v>
      </c>
      <c r="F15">
        <v>14.413</v>
      </c>
      <c r="G15">
        <v>0</v>
      </c>
      <c r="H15">
        <v>29.68</v>
      </c>
      <c r="I15" s="12">
        <f t="shared" si="18"/>
        <v>520.67453499999999</v>
      </c>
      <c r="J15" s="147">
        <v>18.100000000000001</v>
      </c>
      <c r="K15" s="122">
        <f t="shared" si="0"/>
        <v>6731.3829000000005</v>
      </c>
      <c r="L15" s="3">
        <f t="shared" si="1"/>
        <v>9952.7987999999987</v>
      </c>
      <c r="M15" s="3">
        <f t="shared" si="2"/>
        <v>2199.5107499999999</v>
      </c>
      <c r="N15" s="3">
        <f t="shared" si="3"/>
        <v>260.10200000000003</v>
      </c>
      <c r="O15" s="3">
        <f t="shared" si="4"/>
        <v>576.52</v>
      </c>
      <c r="P15" s="3">
        <f t="shared" si="5"/>
        <v>0</v>
      </c>
      <c r="Q15" s="3">
        <f t="shared" si="6"/>
        <v>148.4</v>
      </c>
      <c r="R15" s="12">
        <f t="shared" si="19"/>
        <v>19868.714450000003</v>
      </c>
      <c r="S15" s="149">
        <f t="shared" si="7"/>
        <v>38.15956632102241</v>
      </c>
      <c r="T15" s="129">
        <f t="shared" si="20"/>
        <v>0.47432404885661833</v>
      </c>
      <c r="U15" s="136">
        <f t="shared" si="8"/>
        <v>3.8420247957386091</v>
      </c>
      <c r="V15" s="139">
        <f t="shared" si="9"/>
        <v>10.38769666995994</v>
      </c>
      <c r="W15" s="9">
        <f t="shared" si="10"/>
        <v>28.459442931397099</v>
      </c>
      <c r="X15" s="9">
        <f t="shared" si="11"/>
        <v>14.22972146569855</v>
      </c>
      <c r="Y15" s="9">
        <f t="shared" si="12"/>
        <v>9.4864809771323664</v>
      </c>
      <c r="Z15" s="9">
        <f t="shared" si="13"/>
        <v>18.972961954264733</v>
      </c>
      <c r="AA15" s="9">
        <f t="shared" si="14"/>
        <v>369.97275810816228</v>
      </c>
      <c r="AB15" s="9">
        <f t="shared" si="15"/>
        <v>2.3716202442830916</v>
      </c>
      <c r="AC15" s="3">
        <f t="shared" si="16"/>
        <v>0.18110554592707245</v>
      </c>
      <c r="AD15" s="137">
        <f t="shared" si="17"/>
        <v>0.78263468061342023</v>
      </c>
      <c r="AE15" s="118" t="s">
        <v>9</v>
      </c>
    </row>
    <row r="16" spans="1:31" x14ac:dyDescent="0.25">
      <c r="A16" s="118" t="s">
        <v>10</v>
      </c>
      <c r="B16">
        <v>3239.707175</v>
      </c>
      <c r="C16">
        <v>1814.665305</v>
      </c>
      <c r="D16">
        <v>1144.906479</v>
      </c>
      <c r="E16">
        <v>641.54700000000003</v>
      </c>
      <c r="F16">
        <v>44.521000000000001</v>
      </c>
      <c r="G16">
        <v>46.5458</v>
      </c>
      <c r="H16">
        <v>285.05919999999998</v>
      </c>
      <c r="I16" s="12">
        <f t="shared" si="18"/>
        <v>7216.9519589999991</v>
      </c>
      <c r="J16" s="147">
        <v>71.2</v>
      </c>
      <c r="K16" s="122">
        <f t="shared" si="0"/>
        <v>97191.215249999994</v>
      </c>
      <c r="L16" s="3">
        <f t="shared" si="1"/>
        <v>108879.9183</v>
      </c>
      <c r="M16" s="3">
        <f t="shared" si="2"/>
        <v>34347.194369999997</v>
      </c>
      <c r="N16" s="3">
        <f t="shared" si="3"/>
        <v>12830.94</v>
      </c>
      <c r="O16" s="3">
        <f t="shared" si="4"/>
        <v>1780.8400000000001</v>
      </c>
      <c r="P16" s="3">
        <f t="shared" si="5"/>
        <v>36305.724000000002</v>
      </c>
      <c r="Q16" s="3">
        <f t="shared" si="6"/>
        <v>1425.2959999999998</v>
      </c>
      <c r="R16" s="12">
        <f t="shared" si="19"/>
        <v>292761.12792</v>
      </c>
      <c r="S16" s="149">
        <f t="shared" si="7"/>
        <v>40.565758173699386</v>
      </c>
      <c r="T16" s="129">
        <f t="shared" si="20"/>
        <v>1.755174886541679</v>
      </c>
      <c r="U16" s="136">
        <f t="shared" si="8"/>
        <v>14.216916580987602</v>
      </c>
      <c r="V16" s="139">
        <f t="shared" si="9"/>
        <v>38.438330015262764</v>
      </c>
      <c r="W16" s="9">
        <f t="shared" si="10"/>
        <v>105.31049319250074</v>
      </c>
      <c r="X16" s="9">
        <f t="shared" si="11"/>
        <v>52.655246596250372</v>
      </c>
      <c r="Y16" s="9">
        <f t="shared" si="12"/>
        <v>35.103497730833581</v>
      </c>
      <c r="Z16" s="9">
        <f t="shared" si="13"/>
        <v>70.206995461667162</v>
      </c>
      <c r="AA16" s="9">
        <f t="shared" si="14"/>
        <v>1369.0364115025095</v>
      </c>
      <c r="AB16" s="9">
        <f t="shared" si="15"/>
        <v>8.7758744327083953</v>
      </c>
      <c r="AC16" s="3">
        <f t="shared" si="16"/>
        <v>0.67015768395227748</v>
      </c>
      <c r="AD16" s="137">
        <f t="shared" si="17"/>
        <v>2.8960385627937701</v>
      </c>
      <c r="AE16" s="118" t="s">
        <v>10</v>
      </c>
    </row>
    <row r="17" spans="1:31" x14ac:dyDescent="0.25">
      <c r="A17" s="118" t="s">
        <v>11</v>
      </c>
      <c r="B17">
        <v>3160.5013349999999</v>
      </c>
      <c r="C17">
        <v>3806.7516900000001</v>
      </c>
      <c r="D17">
        <v>1070.6214669999999</v>
      </c>
      <c r="E17">
        <v>137.30128999999999</v>
      </c>
      <c r="F17">
        <v>19.238</v>
      </c>
      <c r="G17">
        <v>19.600000000000001</v>
      </c>
      <c r="H17">
        <v>520</v>
      </c>
      <c r="I17" s="12">
        <f t="shared" si="18"/>
        <v>8734.013782</v>
      </c>
      <c r="J17" s="147">
        <v>89.2</v>
      </c>
      <c r="K17" s="122">
        <f t="shared" si="0"/>
        <v>94815.040049999996</v>
      </c>
      <c r="L17" s="3">
        <f t="shared" si="1"/>
        <v>228405.10140000001</v>
      </c>
      <c r="M17" s="3">
        <f t="shared" si="2"/>
        <v>32118.644009999996</v>
      </c>
      <c r="N17" s="3">
        <f t="shared" si="3"/>
        <v>2746.0257999999999</v>
      </c>
      <c r="O17" s="3">
        <f t="shared" si="4"/>
        <v>769.52</v>
      </c>
      <c r="P17" s="3">
        <f t="shared" si="5"/>
        <v>15288.000000000002</v>
      </c>
      <c r="Q17" s="3">
        <f t="shared" si="6"/>
        <v>2600</v>
      </c>
      <c r="R17" s="12">
        <f t="shared" si="19"/>
        <v>376742.33126000001</v>
      </c>
      <c r="S17" s="149">
        <f t="shared" si="7"/>
        <v>43.135074052256634</v>
      </c>
      <c r="T17" s="129">
        <f t="shared" si="20"/>
        <v>2.0679227278464229</v>
      </c>
      <c r="U17" s="136">
        <f t="shared" si="8"/>
        <v>16.75017409555603</v>
      </c>
      <c r="V17" s="139">
        <f t="shared" si="9"/>
        <v>45.287507739836663</v>
      </c>
      <c r="W17" s="9">
        <f t="shared" si="10"/>
        <v>124.07536367078538</v>
      </c>
      <c r="X17" s="9">
        <f t="shared" si="11"/>
        <v>62.037681835392689</v>
      </c>
      <c r="Y17" s="9">
        <f t="shared" si="12"/>
        <v>41.358454556928457</v>
      </c>
      <c r="Z17" s="9">
        <f t="shared" si="13"/>
        <v>82.716909113856914</v>
      </c>
      <c r="AA17" s="9">
        <f t="shared" si="14"/>
        <v>1612.9797277202099</v>
      </c>
      <c r="AB17" s="9">
        <f t="shared" si="15"/>
        <v>10.339613639232114</v>
      </c>
      <c r="AC17" s="3">
        <f t="shared" si="16"/>
        <v>0.78957049608681606</v>
      </c>
      <c r="AD17" s="137">
        <f t="shared" si="17"/>
        <v>3.4120725009465978</v>
      </c>
      <c r="AE17" s="118" t="s">
        <v>11</v>
      </c>
    </row>
    <row r="18" spans="1:31" x14ac:dyDescent="0.25">
      <c r="A18" s="118" t="s">
        <v>12</v>
      </c>
      <c r="B18">
        <v>96.182079999999999</v>
      </c>
      <c r="C18">
        <v>115.87836</v>
      </c>
      <c r="D18">
        <v>127.55947500000001</v>
      </c>
      <c r="E18">
        <v>784.22598000000005</v>
      </c>
      <c r="F18">
        <v>100.29510000000001</v>
      </c>
      <c r="G18">
        <v>2.7968752000000001</v>
      </c>
      <c r="H18">
        <v>5.7480000000000002</v>
      </c>
      <c r="I18" s="12">
        <f t="shared" si="18"/>
        <v>1232.6858702</v>
      </c>
      <c r="J18" s="147">
        <v>64.8</v>
      </c>
      <c r="K18" s="122">
        <f t="shared" si="0"/>
        <v>2885.4623999999999</v>
      </c>
      <c r="L18" s="3">
        <f t="shared" si="1"/>
        <v>6952.7016000000003</v>
      </c>
      <c r="M18" s="3">
        <f t="shared" si="2"/>
        <v>3826.7842500000002</v>
      </c>
      <c r="N18" s="3">
        <f t="shared" si="3"/>
        <v>15684.519600000001</v>
      </c>
      <c r="O18" s="3">
        <f t="shared" si="4"/>
        <v>4011.8040000000001</v>
      </c>
      <c r="P18" s="3">
        <f t="shared" si="5"/>
        <v>2181.5626560000001</v>
      </c>
      <c r="Q18" s="3">
        <f t="shared" si="6"/>
        <v>28.740000000000002</v>
      </c>
      <c r="R18" s="12">
        <f t="shared" si="19"/>
        <v>35571.574506000004</v>
      </c>
      <c r="S18" s="149">
        <f t="shared" si="7"/>
        <v>28.856966211698861</v>
      </c>
      <c r="T18" s="129">
        <f t="shared" si="20"/>
        <v>2.2455583003638657</v>
      </c>
      <c r="U18" s="136">
        <f t="shared" si="8"/>
        <v>18.189022232947316</v>
      </c>
      <c r="V18" s="139">
        <f t="shared" si="9"/>
        <v>49.177726777968658</v>
      </c>
      <c r="W18" s="9">
        <f t="shared" si="10"/>
        <v>134.73349802183193</v>
      </c>
      <c r="X18" s="9">
        <f t="shared" si="11"/>
        <v>67.366749010915967</v>
      </c>
      <c r="Y18" s="9">
        <f t="shared" si="12"/>
        <v>44.911166007277316</v>
      </c>
      <c r="Z18" s="9">
        <f t="shared" si="13"/>
        <v>89.822332014554632</v>
      </c>
      <c r="AA18" s="9">
        <f t="shared" si="14"/>
        <v>1751.5354742838153</v>
      </c>
      <c r="AB18" s="9">
        <f t="shared" si="15"/>
        <v>11.227791501819329</v>
      </c>
      <c r="AC18" s="3">
        <f t="shared" si="16"/>
        <v>0.85739498741165787</v>
      </c>
      <c r="AD18" s="137">
        <f t="shared" si="17"/>
        <v>3.7051711956003781</v>
      </c>
      <c r="AE18" s="118" t="s">
        <v>12</v>
      </c>
    </row>
    <row r="19" spans="1:31" x14ac:dyDescent="0.25">
      <c r="A19" s="118" t="s">
        <v>13</v>
      </c>
      <c r="B19">
        <v>149.34759</v>
      </c>
      <c r="C19">
        <v>345.80729000000002</v>
      </c>
      <c r="D19">
        <v>193.10379649999999</v>
      </c>
      <c r="E19">
        <v>96.844899999999996</v>
      </c>
      <c r="F19">
        <v>23.498999999999999</v>
      </c>
      <c r="G19">
        <v>1.84884</v>
      </c>
      <c r="H19">
        <v>21.2</v>
      </c>
      <c r="I19" s="12">
        <f t="shared" si="18"/>
        <v>831.65141650000021</v>
      </c>
      <c r="J19" s="147">
        <v>187</v>
      </c>
      <c r="K19" s="122">
        <f t="shared" si="0"/>
        <v>4480.4277000000002</v>
      </c>
      <c r="L19" s="3">
        <f t="shared" si="1"/>
        <v>20748.437400000003</v>
      </c>
      <c r="M19" s="3">
        <f t="shared" si="2"/>
        <v>5793.1138949999995</v>
      </c>
      <c r="N19" s="3">
        <f t="shared" si="3"/>
        <v>1936.8979999999999</v>
      </c>
      <c r="O19" s="3">
        <f t="shared" si="4"/>
        <v>939.95999999999992</v>
      </c>
      <c r="P19" s="3">
        <f t="shared" si="5"/>
        <v>1442.0952</v>
      </c>
      <c r="Q19" s="3">
        <f t="shared" si="6"/>
        <v>106</v>
      </c>
      <c r="R19" s="12">
        <f t="shared" si="19"/>
        <v>35446.932195000001</v>
      </c>
      <c r="S19" s="149">
        <f t="shared" si="7"/>
        <v>42.622343318043264</v>
      </c>
      <c r="T19" s="129">
        <f t="shared" si="20"/>
        <v>4.3873702251569426</v>
      </c>
      <c r="U19" s="136">
        <f t="shared" si="8"/>
        <v>35.537698823771244</v>
      </c>
      <c r="V19" s="139">
        <f t="shared" si="9"/>
        <v>96.083407930937042</v>
      </c>
      <c r="W19" s="9">
        <f t="shared" si="10"/>
        <v>263.24221350941656</v>
      </c>
      <c r="X19" s="9">
        <f t="shared" si="11"/>
        <v>131.62110675470828</v>
      </c>
      <c r="Y19" s="9">
        <f t="shared" si="12"/>
        <v>87.747404503138853</v>
      </c>
      <c r="Z19" s="9">
        <f t="shared" si="13"/>
        <v>175.49480900627771</v>
      </c>
      <c r="AA19" s="9">
        <f t="shared" si="14"/>
        <v>3422.1487756224151</v>
      </c>
      <c r="AB19" s="9">
        <f t="shared" si="15"/>
        <v>21.936851125784713</v>
      </c>
      <c r="AC19" s="3">
        <f t="shared" si="16"/>
        <v>1.6751777223326509</v>
      </c>
      <c r="AD19" s="137">
        <f t="shared" si="17"/>
        <v>7.2391608715089548</v>
      </c>
      <c r="AE19" s="118" t="s">
        <v>13</v>
      </c>
    </row>
    <row r="20" spans="1:31" x14ac:dyDescent="0.25">
      <c r="A20" s="118" t="s">
        <v>14</v>
      </c>
      <c r="B20">
        <v>19.334375000000001</v>
      </c>
      <c r="C20">
        <v>5.7792899999999996</v>
      </c>
      <c r="D20">
        <v>5.6610199999999997</v>
      </c>
      <c r="E20">
        <v>47.438000000000002</v>
      </c>
      <c r="F20">
        <v>15.129</v>
      </c>
      <c r="G20">
        <v>0</v>
      </c>
      <c r="H20">
        <v>26.8</v>
      </c>
      <c r="I20" s="12">
        <f t="shared" si="18"/>
        <v>120.14168500000001</v>
      </c>
      <c r="J20" s="147">
        <v>4.5</v>
      </c>
      <c r="K20" s="122">
        <f t="shared" si="0"/>
        <v>580.03125</v>
      </c>
      <c r="L20" s="3">
        <f t="shared" si="1"/>
        <v>346.75739999999996</v>
      </c>
      <c r="M20" s="3">
        <f t="shared" si="2"/>
        <v>169.8306</v>
      </c>
      <c r="N20" s="3">
        <f t="shared" si="3"/>
        <v>948.76</v>
      </c>
      <c r="O20" s="3">
        <f t="shared" si="4"/>
        <v>605.16</v>
      </c>
      <c r="P20" s="3">
        <f t="shared" si="5"/>
        <v>0</v>
      </c>
      <c r="Q20" s="3">
        <f t="shared" si="6"/>
        <v>134</v>
      </c>
      <c r="R20" s="12">
        <f t="shared" si="19"/>
        <v>2784.5392499999998</v>
      </c>
      <c r="S20" s="149">
        <f t="shared" si="7"/>
        <v>23.177128321448127</v>
      </c>
      <c r="T20" s="129">
        <f t="shared" si="20"/>
        <v>0.19415692650049737</v>
      </c>
      <c r="U20" s="136">
        <f t="shared" si="8"/>
        <v>1.5726711046540289</v>
      </c>
      <c r="V20" s="139">
        <f t="shared" si="9"/>
        <v>4.2520366903608924</v>
      </c>
      <c r="W20" s="9">
        <f t="shared" si="10"/>
        <v>11.649415590029843</v>
      </c>
      <c r="X20" s="9">
        <f t="shared" si="11"/>
        <v>5.8247077950149215</v>
      </c>
      <c r="Y20" s="9">
        <f t="shared" si="12"/>
        <v>3.8831385300099477</v>
      </c>
      <c r="Z20" s="9">
        <f t="shared" si="13"/>
        <v>7.7662770600198954</v>
      </c>
      <c r="AA20" s="9">
        <f t="shared" si="14"/>
        <v>151.44240267038796</v>
      </c>
      <c r="AB20" s="9">
        <f t="shared" si="15"/>
        <v>0.97078463250248692</v>
      </c>
      <c r="AC20" s="3">
        <f t="shared" si="16"/>
        <v>7.4132644663826269E-2</v>
      </c>
      <c r="AD20" s="137">
        <f t="shared" si="17"/>
        <v>0.32035892872582067</v>
      </c>
      <c r="AE20" s="118" t="s">
        <v>14</v>
      </c>
    </row>
    <row r="21" spans="1:31" x14ac:dyDescent="0.25">
      <c r="A21" s="118" t="s">
        <v>15</v>
      </c>
      <c r="B21">
        <v>1183.7466199999999</v>
      </c>
      <c r="C21">
        <v>275.55119999999999</v>
      </c>
      <c r="D21">
        <v>90.871049999999997</v>
      </c>
      <c r="E21">
        <v>308.49716999999998</v>
      </c>
      <c r="F21">
        <v>44.012</v>
      </c>
      <c r="G21">
        <v>0</v>
      </c>
      <c r="H21">
        <v>60</v>
      </c>
      <c r="I21" s="12">
        <f t="shared" si="18"/>
        <v>1962.6780399999996</v>
      </c>
      <c r="J21" s="147">
        <v>52</v>
      </c>
      <c r="K21" s="122">
        <f t="shared" si="0"/>
        <v>35512.3986</v>
      </c>
      <c r="L21" s="3">
        <f t="shared" si="1"/>
        <v>16533.072</v>
      </c>
      <c r="M21" s="3">
        <f t="shared" si="2"/>
        <v>2726.1315</v>
      </c>
      <c r="N21" s="3">
        <f t="shared" si="3"/>
        <v>6169.9434000000001</v>
      </c>
      <c r="O21" s="3">
        <f t="shared" si="4"/>
        <v>1760.48</v>
      </c>
      <c r="P21" s="3">
        <f t="shared" si="5"/>
        <v>0</v>
      </c>
      <c r="Q21" s="3">
        <f t="shared" si="6"/>
        <v>300</v>
      </c>
      <c r="R21" s="12">
        <f t="shared" si="19"/>
        <v>63002.025500000011</v>
      </c>
      <c r="S21" s="149">
        <f t="shared" si="7"/>
        <v>32.100030782430331</v>
      </c>
      <c r="T21" s="129">
        <f t="shared" si="20"/>
        <v>1.6199361412594577</v>
      </c>
      <c r="U21" s="136">
        <f t="shared" si="8"/>
        <v>13.121482744201609</v>
      </c>
      <c r="V21" s="139">
        <f t="shared" si="9"/>
        <v>35.476601493582123</v>
      </c>
      <c r="W21" s="9">
        <f t="shared" si="10"/>
        <v>97.196168475567461</v>
      </c>
      <c r="X21" s="9">
        <f t="shared" si="11"/>
        <v>48.598084237783731</v>
      </c>
      <c r="Y21" s="9">
        <f t="shared" si="12"/>
        <v>32.398722825189154</v>
      </c>
      <c r="Z21" s="9">
        <f t="shared" si="13"/>
        <v>64.797445650378307</v>
      </c>
      <c r="AA21" s="9">
        <f t="shared" si="14"/>
        <v>1263.550190182377</v>
      </c>
      <c r="AB21" s="9">
        <f t="shared" si="15"/>
        <v>8.0996807062972884</v>
      </c>
      <c r="AC21" s="3">
        <f t="shared" si="16"/>
        <v>0.61852107211724749</v>
      </c>
      <c r="AD21" s="137">
        <f t="shared" si="17"/>
        <v>2.6728946330781049</v>
      </c>
      <c r="AE21" s="118" t="s">
        <v>15</v>
      </c>
    </row>
    <row r="22" spans="1:31" x14ac:dyDescent="0.25">
      <c r="A22" s="118" t="s">
        <v>16</v>
      </c>
      <c r="B22">
        <v>1591.5152399999999</v>
      </c>
      <c r="C22">
        <v>847.20561999999995</v>
      </c>
      <c r="D22">
        <v>754.98330499999997</v>
      </c>
      <c r="E22">
        <v>589.93429000000003</v>
      </c>
      <c r="F22">
        <v>170.8</v>
      </c>
      <c r="G22">
        <v>29.233752800000001</v>
      </c>
      <c r="H22">
        <v>132.16159999999999</v>
      </c>
      <c r="I22" s="12">
        <f t="shared" si="18"/>
        <v>4115.8338078000006</v>
      </c>
      <c r="J22" s="147">
        <v>294.7</v>
      </c>
      <c r="K22" s="122">
        <f t="shared" si="0"/>
        <v>47745.457199999997</v>
      </c>
      <c r="L22" s="3">
        <f t="shared" si="1"/>
        <v>50832.337199999994</v>
      </c>
      <c r="M22" s="3">
        <f t="shared" si="2"/>
        <v>22649.49915</v>
      </c>
      <c r="N22" s="3">
        <f t="shared" si="3"/>
        <v>11798.685800000001</v>
      </c>
      <c r="O22" s="3">
        <f t="shared" si="4"/>
        <v>6832</v>
      </c>
      <c r="P22" s="3">
        <f t="shared" si="5"/>
        <v>22802.327184000002</v>
      </c>
      <c r="Q22" s="3">
        <f t="shared" si="6"/>
        <v>660.80799999999999</v>
      </c>
      <c r="R22" s="12">
        <f t="shared" si="19"/>
        <v>163321.11453399996</v>
      </c>
      <c r="S22" s="149">
        <f t="shared" si="7"/>
        <v>39.681173283645904</v>
      </c>
      <c r="T22" s="129">
        <f t="shared" si="20"/>
        <v>7.4266957252863506</v>
      </c>
      <c r="U22" s="136">
        <f t="shared" si="8"/>
        <v>60.156235374819452</v>
      </c>
      <c r="V22" s="139">
        <f t="shared" si="9"/>
        <v>162.64463638377106</v>
      </c>
      <c r="W22" s="9">
        <f t="shared" si="10"/>
        <v>445.60174351718103</v>
      </c>
      <c r="X22" s="9">
        <f t="shared" si="11"/>
        <v>222.80087175859052</v>
      </c>
      <c r="Y22" s="9">
        <f t="shared" si="12"/>
        <v>148.53391450572701</v>
      </c>
      <c r="Z22" s="9">
        <f t="shared" si="13"/>
        <v>297.06782901145402</v>
      </c>
      <c r="AA22" s="9">
        <f t="shared" si="14"/>
        <v>5792.8226657233536</v>
      </c>
      <c r="AB22" s="9">
        <f t="shared" si="15"/>
        <v>37.133478626431753</v>
      </c>
      <c r="AC22" s="3">
        <f t="shared" si="16"/>
        <v>2.8356474587456977</v>
      </c>
      <c r="AD22" s="137">
        <f t="shared" si="17"/>
        <v>12.254047946722478</v>
      </c>
      <c r="AE22" s="118" t="s">
        <v>16</v>
      </c>
    </row>
    <row r="23" spans="1:31" x14ac:dyDescent="0.25">
      <c r="A23" s="118" t="s">
        <v>17</v>
      </c>
      <c r="B23">
        <v>111.34891</v>
      </c>
      <c r="C23">
        <v>37.336950000000002</v>
      </c>
      <c r="D23">
        <v>18.929571500000002</v>
      </c>
      <c r="E23">
        <v>8.3809900000000006</v>
      </c>
      <c r="F23">
        <v>0</v>
      </c>
      <c r="G23">
        <v>7.41034E-2</v>
      </c>
      <c r="H23">
        <v>3.9296000000000002</v>
      </c>
      <c r="I23" s="12">
        <f t="shared" si="18"/>
        <v>180.0001249</v>
      </c>
      <c r="J23" s="147">
        <v>29.9</v>
      </c>
      <c r="K23" s="122">
        <f t="shared" si="0"/>
        <v>3340.4673000000003</v>
      </c>
      <c r="L23" s="3">
        <f t="shared" si="1"/>
        <v>2240.2170000000001</v>
      </c>
      <c r="M23" s="3">
        <f t="shared" si="2"/>
        <v>567.88714500000003</v>
      </c>
      <c r="N23" s="3">
        <f t="shared" si="3"/>
        <v>167.6198</v>
      </c>
      <c r="O23" s="3">
        <f t="shared" si="4"/>
        <v>0</v>
      </c>
      <c r="P23" s="3">
        <f t="shared" si="5"/>
        <v>57.800651999999999</v>
      </c>
      <c r="Q23" s="3">
        <f t="shared" si="6"/>
        <v>19.648</v>
      </c>
      <c r="R23" s="12">
        <f t="shared" si="19"/>
        <v>6393.6398970000009</v>
      </c>
      <c r="S23" s="149">
        <f t="shared" si="7"/>
        <v>35.520197002929976</v>
      </c>
      <c r="T23" s="129">
        <f t="shared" si="20"/>
        <v>0.84177461058376502</v>
      </c>
      <c r="U23" s="136">
        <f t="shared" si="8"/>
        <v>6.8183743457284978</v>
      </c>
      <c r="V23" s="139">
        <f t="shared" si="9"/>
        <v>18.434863971784452</v>
      </c>
      <c r="W23" s="9">
        <f t="shared" si="10"/>
        <v>50.506476635025898</v>
      </c>
      <c r="X23" s="9">
        <f t="shared" si="11"/>
        <v>25.253238317512949</v>
      </c>
      <c r="Y23" s="9">
        <f t="shared" si="12"/>
        <v>16.835492211675302</v>
      </c>
      <c r="Z23" s="9">
        <f t="shared" si="13"/>
        <v>33.670984423350603</v>
      </c>
      <c r="AA23" s="9">
        <f t="shared" si="14"/>
        <v>656.58419625533668</v>
      </c>
      <c r="AB23" s="9">
        <f t="shared" si="15"/>
        <v>4.2088730529188254</v>
      </c>
      <c r="AC23" s="3">
        <f t="shared" si="16"/>
        <v>0.3214048513138012</v>
      </c>
      <c r="AD23" s="137">
        <f t="shared" si="17"/>
        <v>1.3889281074632123</v>
      </c>
      <c r="AE23" s="118" t="s">
        <v>17</v>
      </c>
    </row>
    <row r="24" spans="1:31" x14ac:dyDescent="0.25">
      <c r="A24" s="118" t="s">
        <v>18</v>
      </c>
      <c r="B24">
        <v>191.51785000000001</v>
      </c>
      <c r="C24">
        <v>71.912390000000002</v>
      </c>
      <c r="D24">
        <v>55.606791999999999</v>
      </c>
      <c r="E24">
        <v>12.46256</v>
      </c>
      <c r="F24">
        <v>1.335</v>
      </c>
      <c r="G24">
        <v>7.2245599999999993E-2</v>
      </c>
      <c r="H24">
        <v>6.5839999999999996</v>
      </c>
      <c r="I24" s="12">
        <f>SUM(B24:H24)</f>
        <v>339.49083759999996</v>
      </c>
      <c r="J24" s="147">
        <v>37.4</v>
      </c>
      <c r="K24" s="122">
        <f t="shared" si="0"/>
        <v>5745.5355</v>
      </c>
      <c r="L24" s="3">
        <f t="shared" si="1"/>
        <v>4314.7434000000003</v>
      </c>
      <c r="M24" s="3">
        <f t="shared" si="2"/>
        <v>1668.2037599999999</v>
      </c>
      <c r="N24" s="3">
        <f t="shared" si="3"/>
        <v>249.25119999999998</v>
      </c>
      <c r="O24" s="3">
        <f t="shared" si="4"/>
        <v>53.4</v>
      </c>
      <c r="P24" s="3">
        <f t="shared" si="5"/>
        <v>56.351567999999993</v>
      </c>
      <c r="Q24" s="3">
        <f t="shared" si="6"/>
        <v>32.92</v>
      </c>
      <c r="R24" s="12">
        <f t="shared" si="19"/>
        <v>12120.405428000002</v>
      </c>
      <c r="S24" s="149">
        <f t="shared" si="7"/>
        <v>35.701715880417041</v>
      </c>
      <c r="T24" s="129">
        <f t="shared" si="20"/>
        <v>1.0475686974057876</v>
      </c>
      <c r="U24" s="136">
        <f t="shared" si="8"/>
        <v>8.485306448986881</v>
      </c>
      <c r="V24" s="139">
        <f t="shared" si="9"/>
        <v>22.941754473186748</v>
      </c>
      <c r="W24" s="9">
        <f t="shared" si="10"/>
        <v>62.854121844347254</v>
      </c>
      <c r="X24" s="9">
        <f t="shared" si="11"/>
        <v>31.427060922173627</v>
      </c>
      <c r="Y24" s="9">
        <f t="shared" si="12"/>
        <v>20.951373948115751</v>
      </c>
      <c r="Z24" s="9">
        <f t="shared" si="13"/>
        <v>41.902747896231503</v>
      </c>
      <c r="AA24" s="9">
        <f t="shared" si="14"/>
        <v>817.1035839765143</v>
      </c>
      <c r="AB24" s="9">
        <f t="shared" si="15"/>
        <v>5.2378434870289379</v>
      </c>
      <c r="AC24" s="3">
        <f t="shared" si="16"/>
        <v>0.39998077537311894</v>
      </c>
      <c r="AD24" s="137">
        <f t="shared" si="17"/>
        <v>1.7284883507195494</v>
      </c>
      <c r="AE24" s="118" t="s">
        <v>18</v>
      </c>
    </row>
    <row r="25" spans="1:31" x14ac:dyDescent="0.25">
      <c r="A25" s="118" t="s">
        <v>19</v>
      </c>
      <c r="B25">
        <v>40.31794</v>
      </c>
      <c r="C25">
        <v>11.539714999999999</v>
      </c>
      <c r="D25">
        <v>0.128022</v>
      </c>
      <c r="E25">
        <v>0.74333000000000005</v>
      </c>
      <c r="F25">
        <v>0</v>
      </c>
      <c r="G25">
        <v>0</v>
      </c>
      <c r="H25">
        <v>1.8868</v>
      </c>
      <c r="I25" s="12">
        <f t="shared" si="18"/>
        <v>54.615807000000004</v>
      </c>
      <c r="J25" s="147">
        <v>35.4</v>
      </c>
      <c r="K25" s="122">
        <f t="shared" si="0"/>
        <v>1209.5382</v>
      </c>
      <c r="L25" s="3">
        <f t="shared" si="1"/>
        <v>692.38289999999995</v>
      </c>
      <c r="M25" s="3">
        <f t="shared" si="2"/>
        <v>3.8406599999999997</v>
      </c>
      <c r="N25" s="3">
        <f t="shared" si="3"/>
        <v>14.866600000000002</v>
      </c>
      <c r="O25" s="3">
        <f t="shared" si="4"/>
        <v>0</v>
      </c>
      <c r="P25" s="3">
        <f t="shared" si="5"/>
        <v>0</v>
      </c>
      <c r="Q25" s="3">
        <f t="shared" si="6"/>
        <v>9.4340000000000011</v>
      </c>
      <c r="R25" s="12">
        <f t="shared" si="19"/>
        <v>1930.0623600000001</v>
      </c>
      <c r="S25" s="149">
        <f t="shared" si="7"/>
        <v>35.338896667772389</v>
      </c>
      <c r="T25" s="129">
        <f t="shared" si="20"/>
        <v>1.0017290673447463</v>
      </c>
      <c r="U25" s="136">
        <f t="shared" si="8"/>
        <v>8.1140054454924471</v>
      </c>
      <c r="V25" s="139">
        <f t="shared" si="9"/>
        <v>21.937866574849942</v>
      </c>
      <c r="W25" s="9">
        <f t="shared" si="10"/>
        <v>60.103744040684781</v>
      </c>
      <c r="X25" s="9">
        <f t="shared" si="11"/>
        <v>30.05187202034239</v>
      </c>
      <c r="Y25" s="9">
        <f t="shared" si="12"/>
        <v>20.034581346894925</v>
      </c>
      <c r="Z25" s="9">
        <f t="shared" si="13"/>
        <v>40.069162693789849</v>
      </c>
      <c r="AA25" s="9">
        <f t="shared" si="14"/>
        <v>781.34867252890217</v>
      </c>
      <c r="AB25" s="9">
        <f t="shared" si="15"/>
        <v>5.0086453367237311</v>
      </c>
      <c r="AC25" s="3">
        <f t="shared" si="16"/>
        <v>0.38247837116799405</v>
      </c>
      <c r="AD25" s="137">
        <f t="shared" si="17"/>
        <v>1.6528529611188314</v>
      </c>
      <c r="AE25" s="118" t="s">
        <v>19</v>
      </c>
    </row>
    <row r="26" spans="1:31" x14ac:dyDescent="0.25">
      <c r="A26" s="118" t="s">
        <v>20</v>
      </c>
      <c r="B26" s="153" t="s">
        <v>56</v>
      </c>
      <c r="C26" s="153" t="s">
        <v>56</v>
      </c>
      <c r="D26" s="153" t="s">
        <v>56</v>
      </c>
      <c r="E26" s="153" t="s">
        <v>56</v>
      </c>
      <c r="F26" s="153" t="s">
        <v>56</v>
      </c>
      <c r="G26" s="153" t="s">
        <v>56</v>
      </c>
      <c r="H26" s="153" t="s">
        <v>56</v>
      </c>
      <c r="I26" s="153" t="s">
        <v>56</v>
      </c>
      <c r="J26" s="157" t="s">
        <v>56</v>
      </c>
      <c r="K26" s="153" t="s">
        <v>56</v>
      </c>
      <c r="L26" s="153" t="s">
        <v>56</v>
      </c>
      <c r="M26" s="153" t="s">
        <v>56</v>
      </c>
      <c r="N26" s="153" t="s">
        <v>56</v>
      </c>
      <c r="O26" s="153" t="s">
        <v>56</v>
      </c>
      <c r="P26" s="153" t="s">
        <v>56</v>
      </c>
      <c r="Q26" s="153" t="s">
        <v>56</v>
      </c>
      <c r="R26" s="153" t="s">
        <v>56</v>
      </c>
      <c r="S26" s="154" t="s">
        <v>56</v>
      </c>
      <c r="T26" s="155" t="s">
        <v>56</v>
      </c>
      <c r="U26" s="153" t="s">
        <v>56</v>
      </c>
      <c r="V26" s="153" t="s">
        <v>56</v>
      </c>
      <c r="W26" s="153" t="s">
        <v>56</v>
      </c>
      <c r="X26" s="153" t="s">
        <v>56</v>
      </c>
      <c r="Y26" s="153" t="s">
        <v>56</v>
      </c>
      <c r="Z26" s="153" t="s">
        <v>56</v>
      </c>
      <c r="AA26" s="153" t="s">
        <v>56</v>
      </c>
      <c r="AB26" s="153" t="s">
        <v>56</v>
      </c>
      <c r="AC26" s="153" t="s">
        <v>56</v>
      </c>
      <c r="AD26" s="158" t="s">
        <v>56</v>
      </c>
      <c r="AE26" s="118" t="s">
        <v>20</v>
      </c>
    </row>
    <row r="27" spans="1:31" x14ac:dyDescent="0.25">
      <c r="A27" s="118" t="s">
        <v>21</v>
      </c>
      <c r="B27">
        <v>1173.7681849999999</v>
      </c>
      <c r="C27">
        <v>1684.95243</v>
      </c>
      <c r="D27">
        <v>397.84675299999998</v>
      </c>
      <c r="E27">
        <v>93.966200000000001</v>
      </c>
      <c r="F27">
        <v>61.763440000000003</v>
      </c>
      <c r="G27">
        <v>0.5084282</v>
      </c>
      <c r="H27">
        <v>32.925199999999997</v>
      </c>
      <c r="I27" s="12">
        <f>SUM(B27:H27)</f>
        <v>3445.7306361999999</v>
      </c>
      <c r="J27" s="147">
        <v>52.7</v>
      </c>
      <c r="K27" s="122">
        <f>B27*$K$39</f>
        <v>35213.045549999995</v>
      </c>
      <c r="L27" s="3">
        <f>C27*$L$39</f>
        <v>101097.1458</v>
      </c>
      <c r="M27" s="3">
        <f>D27*$M$39</f>
        <v>11935.40259</v>
      </c>
      <c r="N27" s="3">
        <f>E27*$N$39</f>
        <v>1879.3240000000001</v>
      </c>
      <c r="O27" s="3">
        <f>F27*$O$39</f>
        <v>2470.5376000000001</v>
      </c>
      <c r="P27" s="3">
        <f>G27*$P$39</f>
        <v>396.57399600000002</v>
      </c>
      <c r="Q27" s="3">
        <f>H27*$Q$39</f>
        <v>164.62599999999998</v>
      </c>
      <c r="R27" s="12">
        <f>SUM(K27:Q27)</f>
        <v>153156.65553599998</v>
      </c>
      <c r="S27" s="149">
        <f t="shared" ref="S27:S37" si="21">R27/I27</f>
        <v>44.448238038973145</v>
      </c>
      <c r="T27" s="129">
        <f>J27/S27</f>
        <v>1.1856487979071644</v>
      </c>
      <c r="U27" s="136">
        <f>$U$39*$T27</f>
        <v>9.6037552630480327</v>
      </c>
      <c r="V27" s="139">
        <f>$V$39*$T27</f>
        <v>25.965708674166898</v>
      </c>
      <c r="W27" s="9">
        <f>$W$39*$T27</f>
        <v>71.138927874429868</v>
      </c>
      <c r="X27" s="9">
        <f>$X$39*$T27</f>
        <v>35.569463937214934</v>
      </c>
      <c r="Y27" s="9">
        <f>$Y$39*$T27</f>
        <v>23.712975958143289</v>
      </c>
      <c r="Z27" s="9">
        <f>$Z$39*$T27</f>
        <v>47.425951916286579</v>
      </c>
      <c r="AA27" s="9">
        <f>$AA$39*$T27</f>
        <v>924.8060623675882</v>
      </c>
      <c r="AB27" s="9">
        <f>$AB$39*$T27</f>
        <v>5.9282439895358223</v>
      </c>
      <c r="AC27" s="3">
        <f>$AC$39*$T27</f>
        <v>0.45270226829182642</v>
      </c>
      <c r="AD27" s="137">
        <f>$AD$39*$T27</f>
        <v>1.9563205165468212</v>
      </c>
      <c r="AE27" s="118" t="s">
        <v>21</v>
      </c>
    </row>
    <row r="28" spans="1:31" x14ac:dyDescent="0.25">
      <c r="A28" s="118" t="s">
        <v>22</v>
      </c>
      <c r="B28">
        <v>214.47504499999999</v>
      </c>
      <c r="C28">
        <v>129.56908999999999</v>
      </c>
      <c r="D28">
        <v>67.902951999999999</v>
      </c>
      <c r="E28">
        <v>108.33226999999999</v>
      </c>
      <c r="F28">
        <v>1326.1559999999999</v>
      </c>
      <c r="G28">
        <v>0</v>
      </c>
      <c r="H28">
        <v>50</v>
      </c>
      <c r="I28" s="12">
        <f t="shared" ref="I28:I36" si="22">SUM(B28:H28)</f>
        <v>1896.4353569999998</v>
      </c>
      <c r="J28" s="147">
        <v>2.8</v>
      </c>
      <c r="K28" s="122">
        <f t="shared" ref="K28:K37" si="23">B28*$K$39</f>
        <v>6434.2513499999995</v>
      </c>
      <c r="L28" s="3">
        <f t="shared" ref="L28:L37" si="24">C28*$L$39</f>
        <v>7774.1453999999994</v>
      </c>
      <c r="M28" s="3">
        <f t="shared" ref="M28:M37" si="25">D28*$M$39</f>
        <v>2037.0885599999999</v>
      </c>
      <c r="N28" s="3">
        <f t="shared" ref="N28:N37" si="26">E28*$N$39</f>
        <v>2166.6453999999999</v>
      </c>
      <c r="O28" s="3">
        <f t="shared" ref="O28:O37" si="27">F28*$O$39</f>
        <v>53046.239999999998</v>
      </c>
      <c r="P28" s="3">
        <f t="shared" ref="P28:P37" si="28">G28*$P$39</f>
        <v>0</v>
      </c>
      <c r="Q28" s="3">
        <f t="shared" ref="Q28:Q37" si="29">H28*$Q$39</f>
        <v>250</v>
      </c>
      <c r="R28" s="12">
        <f t="shared" ref="R28:R37" si="30">SUM(K28:Q28)</f>
        <v>71708.370710000003</v>
      </c>
      <c r="S28" s="149">
        <f t="shared" si="21"/>
        <v>37.812188243229429</v>
      </c>
      <c r="T28" s="129">
        <f t="shared" ref="T28:T37" si="31">J28/S28</f>
        <v>7.4050197306456123E-2</v>
      </c>
      <c r="U28" s="136">
        <f>$U$39*$T28</f>
        <v>0.59980659818229465</v>
      </c>
      <c r="V28" s="139">
        <f>$V$39*$T28</f>
        <v>1.621699321011389</v>
      </c>
      <c r="W28" s="9">
        <f>$W$39*$T28</f>
        <v>4.4430118383873669</v>
      </c>
      <c r="X28" s="9">
        <f>$X$39*$T28</f>
        <v>2.2215059191936835</v>
      </c>
      <c r="Y28" s="9">
        <f>$Y$39*$T28</f>
        <v>1.4810039461291225</v>
      </c>
      <c r="Z28" s="9">
        <f>$Z$39*$T28</f>
        <v>2.9620078922582449</v>
      </c>
      <c r="AA28" s="9">
        <f>$AA$39*$T28</f>
        <v>57.759153899035773</v>
      </c>
      <c r="AB28" s="9">
        <f>$AB$39*$T28</f>
        <v>0.37025098653228061</v>
      </c>
      <c r="AC28" s="3">
        <f>$AC$39*$T28</f>
        <v>2.8273711698828703E-2</v>
      </c>
      <c r="AD28" s="137">
        <f>$AD$39*$T28</f>
        <v>0.1221828255556526</v>
      </c>
      <c r="AE28" s="118" t="s">
        <v>22</v>
      </c>
    </row>
    <row r="29" spans="1:31" x14ac:dyDescent="0.25">
      <c r="A29" s="118" t="s">
        <v>23</v>
      </c>
      <c r="B29">
        <v>1547.2980700000001</v>
      </c>
      <c r="C29">
        <v>1452.6335799999999</v>
      </c>
      <c r="D29">
        <v>1266.4592990000001</v>
      </c>
      <c r="E29">
        <v>18.4481</v>
      </c>
      <c r="F29">
        <v>35.451936799999999</v>
      </c>
      <c r="G29">
        <v>1.6588362000000001</v>
      </c>
      <c r="H29">
        <v>120.8224</v>
      </c>
      <c r="I29" s="12">
        <f t="shared" si="22"/>
        <v>4442.7722220000005</v>
      </c>
      <c r="J29" s="147">
        <v>128.4</v>
      </c>
      <c r="K29" s="122">
        <f t="shared" si="23"/>
        <v>46418.9421</v>
      </c>
      <c r="L29" s="3">
        <f t="shared" si="24"/>
        <v>87158.01479999999</v>
      </c>
      <c r="M29" s="3">
        <f t="shared" si="25"/>
        <v>37993.778969999999</v>
      </c>
      <c r="N29" s="3">
        <f t="shared" si="26"/>
        <v>368.96199999999999</v>
      </c>
      <c r="O29" s="3">
        <f t="shared" si="27"/>
        <v>1418.0774719999999</v>
      </c>
      <c r="P29" s="3">
        <f t="shared" si="28"/>
        <v>1293.8922360000001</v>
      </c>
      <c r="Q29" s="3">
        <f t="shared" si="29"/>
        <v>604.11199999999997</v>
      </c>
      <c r="R29" s="12">
        <f t="shared" si="30"/>
        <v>175255.77957799999</v>
      </c>
      <c r="S29" s="149">
        <f t="shared" si="21"/>
        <v>39.447392488446141</v>
      </c>
      <c r="T29" s="129">
        <f t="shared" si="31"/>
        <v>3.2549679940849687</v>
      </c>
      <c r="U29" s="136">
        <f>$U$39*$T29</f>
        <v>26.365240752088251</v>
      </c>
      <c r="V29" s="139">
        <f>$V$39*$T29</f>
        <v>71.283799070460816</v>
      </c>
      <c r="W29" s="9">
        <f>$W$39*$T29</f>
        <v>195.29807964509811</v>
      </c>
      <c r="X29" s="9">
        <f>$X$39*$T29</f>
        <v>97.649039822549057</v>
      </c>
      <c r="Y29" s="9">
        <f>$Y$39*$T29</f>
        <v>65.099359881699371</v>
      </c>
      <c r="Z29" s="9">
        <f>$Z$39*$T29</f>
        <v>130.19871976339874</v>
      </c>
      <c r="AA29" s="9">
        <f>$AA$39*$T29</f>
        <v>2538.8750353862756</v>
      </c>
      <c r="AB29" s="9">
        <f>$AB$39*$T29</f>
        <v>16.274839970424843</v>
      </c>
      <c r="AC29" s="3">
        <f>$AC$39*$T29</f>
        <v>1.2428059613778972</v>
      </c>
      <c r="AD29" s="137">
        <f>$AD$39*$T29</f>
        <v>5.3706971902401985</v>
      </c>
      <c r="AE29" s="118" t="s">
        <v>23</v>
      </c>
    </row>
    <row r="30" spans="1:31" x14ac:dyDescent="0.25">
      <c r="A30" s="118" t="s">
        <v>24</v>
      </c>
      <c r="B30">
        <v>227.91903500000001</v>
      </c>
      <c r="C30">
        <v>358.64319999999998</v>
      </c>
      <c r="D30">
        <v>219.79638600000001</v>
      </c>
      <c r="E30">
        <v>173.85740999999999</v>
      </c>
      <c r="F30">
        <v>9.5609999999999999</v>
      </c>
      <c r="G30">
        <v>5.9454345999999996</v>
      </c>
      <c r="H30">
        <v>26.4</v>
      </c>
      <c r="I30" s="12">
        <f t="shared" si="22"/>
        <v>1022.1224655999999</v>
      </c>
      <c r="J30" s="147">
        <v>206.4</v>
      </c>
      <c r="K30" s="122">
        <f t="shared" si="23"/>
        <v>6837.5710500000005</v>
      </c>
      <c r="L30" s="3">
        <f t="shared" si="24"/>
        <v>21518.591999999997</v>
      </c>
      <c r="M30" s="3">
        <f t="shared" si="25"/>
        <v>6593.8915800000004</v>
      </c>
      <c r="N30" s="3">
        <f t="shared" si="26"/>
        <v>3477.1481999999996</v>
      </c>
      <c r="O30" s="3">
        <f t="shared" si="27"/>
        <v>382.44</v>
      </c>
      <c r="P30" s="3">
        <f t="shared" si="28"/>
        <v>4637.4389879999999</v>
      </c>
      <c r="Q30" s="3">
        <f t="shared" si="29"/>
        <v>132</v>
      </c>
      <c r="R30" s="12">
        <f t="shared" si="30"/>
        <v>43579.081817999999</v>
      </c>
      <c r="S30" s="149">
        <f t="shared" si="21"/>
        <v>42.635871223531396</v>
      </c>
      <c r="T30" s="129">
        <f t="shared" si="31"/>
        <v>4.8409940755727927</v>
      </c>
      <c r="U30" s="136">
        <f>$U$39*$T30</f>
        <v>39.21205201213963</v>
      </c>
      <c r="V30" s="139">
        <f>$V$39*$T30</f>
        <v>106.01777025504416</v>
      </c>
      <c r="W30" s="9">
        <f>$W$39*$T30</f>
        <v>290.45964453436756</v>
      </c>
      <c r="X30" s="9">
        <f>$X$39*$T30</f>
        <v>145.22982226718378</v>
      </c>
      <c r="Y30" s="9">
        <f>$Y$39*$T30</f>
        <v>96.819881511455861</v>
      </c>
      <c r="Z30" s="9">
        <f>$Z$39*$T30</f>
        <v>193.63976302291172</v>
      </c>
      <c r="AA30" s="9">
        <f>$AA$39*$T30</f>
        <v>3775.9753789467782</v>
      </c>
      <c r="AB30" s="9">
        <f>$AB$39*$T30</f>
        <v>24.204970377863965</v>
      </c>
      <c r="AC30" s="3">
        <f>$AC$39*$T30</f>
        <v>1.8483795561277936</v>
      </c>
      <c r="AD30" s="137">
        <f>$AD$39*$T30</f>
        <v>7.9876402246951077</v>
      </c>
      <c r="AE30" s="118" t="s">
        <v>24</v>
      </c>
    </row>
    <row r="31" spans="1:31" x14ac:dyDescent="0.25">
      <c r="A31" s="118" t="s">
        <v>25</v>
      </c>
      <c r="B31">
        <v>928.96177499999999</v>
      </c>
      <c r="C31">
        <v>553.10403499999995</v>
      </c>
      <c r="D31">
        <v>453.03707850000001</v>
      </c>
      <c r="E31">
        <v>1000.68267</v>
      </c>
      <c r="F31">
        <v>7.1520000000000001</v>
      </c>
      <c r="G31">
        <v>2.3898000000000001E-3</v>
      </c>
      <c r="H31">
        <v>173.19880000000001</v>
      </c>
      <c r="I31" s="12">
        <f t="shared" si="22"/>
        <v>3116.1387483000003</v>
      </c>
      <c r="J31" s="147">
        <v>85.1</v>
      </c>
      <c r="K31" s="122">
        <f t="shared" si="23"/>
        <v>27868.85325</v>
      </c>
      <c r="L31" s="3">
        <f t="shared" si="24"/>
        <v>33186.242099999996</v>
      </c>
      <c r="M31" s="3">
        <f t="shared" si="25"/>
        <v>13591.112355000001</v>
      </c>
      <c r="N31" s="3">
        <f t="shared" si="26"/>
        <v>20013.653399999999</v>
      </c>
      <c r="O31" s="3">
        <f t="shared" si="27"/>
        <v>286.08</v>
      </c>
      <c r="P31" s="3">
        <f t="shared" si="28"/>
        <v>1.864044</v>
      </c>
      <c r="Q31" s="3">
        <f t="shared" si="29"/>
        <v>865.99400000000003</v>
      </c>
      <c r="R31" s="12">
        <f t="shared" si="30"/>
        <v>95813.799148999999</v>
      </c>
      <c r="S31" s="149">
        <f t="shared" si="21"/>
        <v>30.747603649314691</v>
      </c>
      <c r="T31" s="129">
        <f t="shared" si="31"/>
        <v>2.767695361582974</v>
      </c>
      <c r="U31" s="136">
        <f t="shared" ref="U31:U36" si="32">$U$39*$T31</f>
        <v>22.418332428822094</v>
      </c>
      <c r="V31" s="139">
        <f t="shared" ref="V31:V37" si="33">$V$39*$T31</f>
        <v>60.612528418667125</v>
      </c>
      <c r="W31" s="9">
        <f t="shared" ref="W31:W36" si="34">$W$39*$T31</f>
        <v>166.06172169497844</v>
      </c>
      <c r="X31" s="9">
        <f t="shared" ref="X31:X37" si="35">$X$39*$T31</f>
        <v>83.030860847489222</v>
      </c>
      <c r="Y31" s="9">
        <f t="shared" ref="Y31:Y37" si="36">$Y$39*$T31</f>
        <v>55.353907231659477</v>
      </c>
      <c r="Z31" s="9">
        <f t="shared" ref="Z31:Z37" si="37">$Z$39*$T31</f>
        <v>110.70781446331895</v>
      </c>
      <c r="AA31" s="9">
        <f t="shared" ref="AA31:AA37" si="38">$AA$39*$T31</f>
        <v>2158.8023820347198</v>
      </c>
      <c r="AB31" s="9">
        <f t="shared" ref="AB31:AB37" si="39">$AB$39*$T31</f>
        <v>13.838476807914869</v>
      </c>
      <c r="AC31" s="3">
        <f t="shared" ref="AC31:AC37" si="40">$AC$39*$T31</f>
        <v>1.0567564107862264</v>
      </c>
      <c r="AD31" s="137">
        <f t="shared" ref="AD31:AD37" si="41">$AD$39*$T31</f>
        <v>4.5666973466119067</v>
      </c>
      <c r="AE31" s="118" t="s">
        <v>25</v>
      </c>
    </row>
    <row r="32" spans="1:31" x14ac:dyDescent="0.25">
      <c r="A32" s="118" t="s">
        <v>26</v>
      </c>
      <c r="B32">
        <v>93.461420000000004</v>
      </c>
      <c r="C32">
        <v>55.236269999999998</v>
      </c>
      <c r="D32">
        <v>56.574756000000001</v>
      </c>
      <c r="E32">
        <v>30.823164999999999</v>
      </c>
      <c r="F32">
        <v>2.1625000000000001</v>
      </c>
      <c r="G32">
        <v>0</v>
      </c>
      <c r="H32">
        <v>4.3680000000000003</v>
      </c>
      <c r="I32" s="12">
        <f t="shared" si="22"/>
        <v>242.62611099999998</v>
      </c>
      <c r="J32" s="147">
        <v>50.3</v>
      </c>
      <c r="K32" s="122">
        <f t="shared" si="23"/>
        <v>2803.8425999999999</v>
      </c>
      <c r="L32" s="3">
        <f t="shared" si="24"/>
        <v>3314.1761999999999</v>
      </c>
      <c r="M32" s="3">
        <f t="shared" si="25"/>
        <v>1697.2426800000001</v>
      </c>
      <c r="N32" s="3">
        <f t="shared" si="26"/>
        <v>616.4633</v>
      </c>
      <c r="O32" s="3">
        <f t="shared" si="27"/>
        <v>86.5</v>
      </c>
      <c r="P32" s="3">
        <f t="shared" si="28"/>
        <v>0</v>
      </c>
      <c r="Q32" s="3">
        <f t="shared" si="29"/>
        <v>21.840000000000003</v>
      </c>
      <c r="R32" s="12">
        <f t="shared" si="30"/>
        <v>8540.0647800000006</v>
      </c>
      <c r="S32" s="149">
        <f t="shared" si="21"/>
        <v>35.198457185014192</v>
      </c>
      <c r="T32" s="129">
        <f t="shared" si="31"/>
        <v>1.4290399075052447</v>
      </c>
      <c r="U32" s="136">
        <f t="shared" si="32"/>
        <v>11.575223250792483</v>
      </c>
      <c r="V32" s="139">
        <f t="shared" si="33"/>
        <v>31.295973974364856</v>
      </c>
      <c r="W32" s="9">
        <f t="shared" si="34"/>
        <v>85.742394450314677</v>
      </c>
      <c r="X32" s="9">
        <f t="shared" si="35"/>
        <v>42.871197225157339</v>
      </c>
      <c r="Y32" s="9">
        <f t="shared" si="36"/>
        <v>28.580798150104894</v>
      </c>
      <c r="Z32" s="9">
        <f t="shared" si="37"/>
        <v>57.161596300209787</v>
      </c>
      <c r="AA32" s="9">
        <f t="shared" si="38"/>
        <v>1114.6511278540909</v>
      </c>
      <c r="AB32" s="9">
        <f t="shared" si="39"/>
        <v>7.1451995375262234</v>
      </c>
      <c r="AC32" s="3">
        <f t="shared" si="40"/>
        <v>0.54563341922927522</v>
      </c>
      <c r="AD32" s="137">
        <f t="shared" si="41"/>
        <v>2.3579158473836537</v>
      </c>
      <c r="AE32" s="118" t="s">
        <v>26</v>
      </c>
    </row>
    <row r="33" spans="1:31" x14ac:dyDescent="0.25">
      <c r="A33" s="118" t="s">
        <v>27</v>
      </c>
      <c r="B33">
        <v>98.162904999999995</v>
      </c>
      <c r="C33">
        <v>18.949365</v>
      </c>
      <c r="D33">
        <v>39.735042999999997</v>
      </c>
      <c r="E33">
        <v>8.6391299999999998</v>
      </c>
      <c r="F33">
        <v>1.984</v>
      </c>
      <c r="G33">
        <v>1.9490799999999999E-2</v>
      </c>
      <c r="H33">
        <v>10.6572</v>
      </c>
      <c r="I33" s="12">
        <f>SUM(B33:H33)</f>
        <v>178.14713379999998</v>
      </c>
      <c r="J33" s="147">
        <v>30.3</v>
      </c>
      <c r="K33" s="122">
        <f t="shared" si="23"/>
        <v>2944.88715</v>
      </c>
      <c r="L33" s="3">
        <f t="shared" si="24"/>
        <v>1136.9619</v>
      </c>
      <c r="M33" s="3">
        <f t="shared" si="25"/>
        <v>1192.0512899999999</v>
      </c>
      <c r="N33" s="3">
        <f t="shared" si="26"/>
        <v>172.7826</v>
      </c>
      <c r="O33" s="3">
        <f t="shared" si="27"/>
        <v>79.36</v>
      </c>
      <c r="P33" s="3">
        <f t="shared" si="28"/>
        <v>15.202824</v>
      </c>
      <c r="Q33" s="3">
        <f t="shared" si="29"/>
        <v>53.286000000000001</v>
      </c>
      <c r="R33" s="12">
        <f t="shared" si="30"/>
        <v>5594.5317640000003</v>
      </c>
      <c r="S33" s="149">
        <f t="shared" si="21"/>
        <v>31.403995364195978</v>
      </c>
      <c r="T33" s="129">
        <f t="shared" si="31"/>
        <v>0.96484538507305173</v>
      </c>
      <c r="U33" s="136">
        <f>$U$39*$T33</f>
        <v>7.8152476190917204</v>
      </c>
      <c r="V33" s="139">
        <f t="shared" si="33"/>
        <v>21.130113933099832</v>
      </c>
      <c r="W33" s="9">
        <f t="shared" si="34"/>
        <v>57.890723104383106</v>
      </c>
      <c r="X33" s="9">
        <f t="shared" si="35"/>
        <v>28.945361552191553</v>
      </c>
      <c r="Y33" s="9">
        <f t="shared" si="36"/>
        <v>19.296907701461034</v>
      </c>
      <c r="Z33" s="9">
        <f t="shared" si="37"/>
        <v>38.593815402922068</v>
      </c>
      <c r="AA33" s="9">
        <f t="shared" si="38"/>
        <v>752.57940035698039</v>
      </c>
      <c r="AB33" s="9">
        <f t="shared" si="39"/>
        <v>4.8242269253652585</v>
      </c>
      <c r="AC33" s="3">
        <f t="shared" si="40"/>
        <v>0.36839551066425613</v>
      </c>
      <c r="AD33" s="137">
        <f t="shared" si="41"/>
        <v>1.5919948853705352</v>
      </c>
      <c r="AE33" s="118" t="s">
        <v>27</v>
      </c>
    </row>
    <row r="34" spans="1:31" x14ac:dyDescent="0.25">
      <c r="A34" s="118" t="s">
        <v>28</v>
      </c>
      <c r="B34">
        <v>917.98369000000002</v>
      </c>
      <c r="C34">
        <v>3737.5982349999999</v>
      </c>
      <c r="D34">
        <v>833.57234000000005</v>
      </c>
      <c r="E34">
        <v>1436.6143300000001</v>
      </c>
      <c r="F34">
        <v>308.19600000000003</v>
      </c>
      <c r="G34">
        <v>67.9084</v>
      </c>
      <c r="H34">
        <v>215.80439999999999</v>
      </c>
      <c r="I34" s="12">
        <f t="shared" si="22"/>
        <v>7517.6773950000006</v>
      </c>
      <c r="J34" s="147">
        <v>362.4</v>
      </c>
      <c r="K34" s="122">
        <f t="shared" si="23"/>
        <v>27539.510699999999</v>
      </c>
      <c r="L34" s="3">
        <f t="shared" si="24"/>
        <v>224255.8941</v>
      </c>
      <c r="M34" s="3">
        <f t="shared" si="25"/>
        <v>25007.1702</v>
      </c>
      <c r="N34" s="3">
        <f t="shared" si="26"/>
        <v>28732.286600000003</v>
      </c>
      <c r="O34" s="3">
        <f t="shared" si="27"/>
        <v>12327.84</v>
      </c>
      <c r="P34" s="3">
        <f t="shared" si="28"/>
        <v>52968.552000000003</v>
      </c>
      <c r="Q34" s="3">
        <f t="shared" si="29"/>
        <v>1079.0219999999999</v>
      </c>
      <c r="R34" s="12">
        <f t="shared" si="30"/>
        <v>371910.27560000005</v>
      </c>
      <c r="S34" s="149">
        <f t="shared" si="21"/>
        <v>49.471433271046877</v>
      </c>
      <c r="T34" s="129">
        <f t="shared" si="31"/>
        <v>7.3254396737297345</v>
      </c>
      <c r="U34" s="136">
        <f t="shared" si="32"/>
        <v>59.336061357210859</v>
      </c>
      <c r="V34" s="139">
        <f t="shared" si="33"/>
        <v>160.42712885468117</v>
      </c>
      <c r="W34" s="9">
        <f t="shared" si="34"/>
        <v>439.52638042378408</v>
      </c>
      <c r="X34" s="9">
        <f t="shared" si="35"/>
        <v>219.76319021189204</v>
      </c>
      <c r="Y34" s="9">
        <f t="shared" si="36"/>
        <v>146.50879347459468</v>
      </c>
      <c r="Z34" s="9">
        <f t="shared" si="37"/>
        <v>293.01758694918936</v>
      </c>
      <c r="AA34" s="9">
        <f t="shared" si="38"/>
        <v>5713.8429455091928</v>
      </c>
      <c r="AB34" s="9">
        <f t="shared" si="39"/>
        <v>36.627198368648671</v>
      </c>
      <c r="AC34" s="3">
        <f t="shared" si="40"/>
        <v>2.7969860572422625</v>
      </c>
      <c r="AD34" s="137">
        <f t="shared" si="41"/>
        <v>12.086975461654061</v>
      </c>
      <c r="AE34" s="118" t="s">
        <v>28</v>
      </c>
    </row>
    <row r="35" spans="1:31" x14ac:dyDescent="0.25">
      <c r="A35" s="118" t="s">
        <v>29</v>
      </c>
      <c r="B35">
        <v>298.26666499999999</v>
      </c>
      <c r="C35">
        <v>197.93046000000001</v>
      </c>
      <c r="D35">
        <v>104.744705</v>
      </c>
      <c r="E35">
        <v>48.41095</v>
      </c>
      <c r="F35">
        <v>13.451000000000001</v>
      </c>
      <c r="G35">
        <v>0</v>
      </c>
      <c r="H35">
        <v>142.19999999999999</v>
      </c>
      <c r="I35" s="12">
        <f t="shared" si="22"/>
        <v>805.00378000000001</v>
      </c>
      <c r="J35" s="147">
        <v>11.7</v>
      </c>
      <c r="K35" s="122">
        <f t="shared" si="23"/>
        <v>8947.9999499999994</v>
      </c>
      <c r="L35" s="3">
        <f t="shared" si="24"/>
        <v>11875.827600000001</v>
      </c>
      <c r="M35" s="3">
        <f t="shared" si="25"/>
        <v>3142.3411499999997</v>
      </c>
      <c r="N35" s="3">
        <f t="shared" si="26"/>
        <v>968.21900000000005</v>
      </c>
      <c r="O35" s="3">
        <f t="shared" si="27"/>
        <v>538.04</v>
      </c>
      <c r="P35" s="3">
        <f t="shared" si="28"/>
        <v>0</v>
      </c>
      <c r="Q35" s="3">
        <f t="shared" si="29"/>
        <v>711</v>
      </c>
      <c r="R35" s="12">
        <f t="shared" si="30"/>
        <v>26183.427700000004</v>
      </c>
      <c r="S35" s="149">
        <f t="shared" si="21"/>
        <v>32.525844412805121</v>
      </c>
      <c r="T35" s="129">
        <f t="shared" si="31"/>
        <v>0.35971395089726921</v>
      </c>
      <c r="U35" s="136">
        <f t="shared" si="32"/>
        <v>2.9136830022678812</v>
      </c>
      <c r="V35" s="139">
        <f t="shared" si="33"/>
        <v>7.8777355246501948</v>
      </c>
      <c r="W35" s="9">
        <f t="shared" si="34"/>
        <v>21.582837053836151</v>
      </c>
      <c r="X35" s="9">
        <f t="shared" si="35"/>
        <v>10.791418526918076</v>
      </c>
      <c r="Y35" s="9">
        <f t="shared" si="36"/>
        <v>7.1942790179453837</v>
      </c>
      <c r="Z35" s="9">
        <f t="shared" si="37"/>
        <v>14.388558035890767</v>
      </c>
      <c r="AA35" s="9">
        <f t="shared" si="38"/>
        <v>280.57688169987</v>
      </c>
      <c r="AB35" s="9">
        <f t="shared" si="39"/>
        <v>1.7985697544863459</v>
      </c>
      <c r="AC35" s="3">
        <f t="shared" si="40"/>
        <v>0.13734532670623006</v>
      </c>
      <c r="AD35" s="137">
        <f t="shared" si="41"/>
        <v>0.59352801898049412</v>
      </c>
      <c r="AE35" s="118" t="s">
        <v>29</v>
      </c>
    </row>
    <row r="36" spans="1:31" x14ac:dyDescent="0.25">
      <c r="A36" s="118" t="s">
        <v>30</v>
      </c>
      <c r="B36">
        <v>476.76122500000002</v>
      </c>
      <c r="C36">
        <v>202.86691500000001</v>
      </c>
      <c r="D36">
        <v>68.910367500000007</v>
      </c>
      <c r="E36">
        <v>34.217545000000001</v>
      </c>
      <c r="F36">
        <v>0</v>
      </c>
      <c r="G36">
        <v>0.76139699999999999</v>
      </c>
      <c r="H36">
        <v>22.264800000000001</v>
      </c>
      <c r="I36" s="12">
        <f t="shared" si="22"/>
        <v>805.78224950000003</v>
      </c>
      <c r="J36" s="147">
        <v>46.6</v>
      </c>
      <c r="K36" s="122">
        <f t="shared" si="23"/>
        <v>14302.83675</v>
      </c>
      <c r="L36" s="3">
        <f t="shared" si="24"/>
        <v>12172.0149</v>
      </c>
      <c r="M36" s="3">
        <f t="shared" si="25"/>
        <v>2067.311025</v>
      </c>
      <c r="N36" s="3">
        <f t="shared" si="26"/>
        <v>684.35090000000002</v>
      </c>
      <c r="O36" s="3">
        <f t="shared" si="27"/>
        <v>0</v>
      </c>
      <c r="P36" s="3">
        <f t="shared" si="28"/>
        <v>593.88966000000005</v>
      </c>
      <c r="Q36" s="3">
        <f t="shared" si="29"/>
        <v>111.32400000000001</v>
      </c>
      <c r="R36" s="12">
        <f t="shared" si="30"/>
        <v>29931.727235000002</v>
      </c>
      <c r="S36" s="149">
        <f t="shared" si="21"/>
        <v>37.146173489888973</v>
      </c>
      <c r="T36" s="129">
        <f t="shared" si="31"/>
        <v>1.2545033746930709</v>
      </c>
      <c r="U36" s="136">
        <f t="shared" si="32"/>
        <v>10.161477335013876</v>
      </c>
      <c r="V36" s="139">
        <f t="shared" si="33"/>
        <v>27.473623905778251</v>
      </c>
      <c r="W36" s="9">
        <f t="shared" si="34"/>
        <v>75.270202481584249</v>
      </c>
      <c r="X36" s="9">
        <f t="shared" si="35"/>
        <v>37.635101240792125</v>
      </c>
      <c r="Y36" s="9">
        <f t="shared" si="36"/>
        <v>25.090067493861419</v>
      </c>
      <c r="Z36" s="9">
        <f t="shared" si="37"/>
        <v>50.180134987722838</v>
      </c>
      <c r="AA36" s="9">
        <f t="shared" si="38"/>
        <v>978.5126322605953</v>
      </c>
      <c r="AB36" s="9">
        <f t="shared" si="39"/>
        <v>6.2725168734653547</v>
      </c>
      <c r="AC36" s="3">
        <f t="shared" si="40"/>
        <v>0.47899219761008166</v>
      </c>
      <c r="AD36" s="137">
        <f t="shared" si="41"/>
        <v>2.0699305682435671</v>
      </c>
      <c r="AE36" s="118" t="s">
        <v>30</v>
      </c>
    </row>
    <row r="37" spans="1:31" x14ac:dyDescent="0.25">
      <c r="A37" s="70" t="s">
        <v>31</v>
      </c>
      <c r="B37" s="72">
        <v>1792.3438900000001</v>
      </c>
      <c r="C37" s="72">
        <v>788.86324999999999</v>
      </c>
      <c r="D37" s="72">
        <v>1150.946535</v>
      </c>
      <c r="E37" s="72">
        <v>2845.31684</v>
      </c>
      <c r="F37" s="72">
        <v>187.32499999999999</v>
      </c>
      <c r="G37" s="72">
        <v>0</v>
      </c>
      <c r="H37" s="72">
        <v>377.6</v>
      </c>
      <c r="I37" s="128">
        <f>SUM(B37:H37)</f>
        <v>7142.3955150000002</v>
      </c>
      <c r="J37" s="148">
        <v>39</v>
      </c>
      <c r="K37" s="151">
        <f t="shared" si="23"/>
        <v>53770.316700000003</v>
      </c>
      <c r="L37" s="106">
        <f t="shared" si="24"/>
        <v>47331.794999999998</v>
      </c>
      <c r="M37" s="106">
        <f t="shared" si="25"/>
        <v>34528.396050000003</v>
      </c>
      <c r="N37" s="106">
        <f t="shared" si="26"/>
        <v>56906.336799999997</v>
      </c>
      <c r="O37" s="106">
        <f t="shared" si="27"/>
        <v>7493</v>
      </c>
      <c r="P37" s="106">
        <f t="shared" si="28"/>
        <v>0</v>
      </c>
      <c r="Q37" s="106">
        <f t="shared" si="29"/>
        <v>1888</v>
      </c>
      <c r="R37" s="128">
        <f t="shared" si="30"/>
        <v>201917.84455000001</v>
      </c>
      <c r="S37" s="152">
        <f t="shared" si="21"/>
        <v>28.270325288755728</v>
      </c>
      <c r="T37" s="130">
        <f t="shared" si="31"/>
        <v>1.3795384241833222</v>
      </c>
      <c r="U37" s="140">
        <f>$U$39*$T37</f>
        <v>11.174261235884911</v>
      </c>
      <c r="V37" s="141">
        <f t="shared" si="33"/>
        <v>30.211891489614754</v>
      </c>
      <c r="W37" s="73">
        <f>$W$39*$T37</f>
        <v>82.772305450999326</v>
      </c>
      <c r="X37" s="73">
        <f t="shared" si="35"/>
        <v>41.386152725499663</v>
      </c>
      <c r="Y37" s="73">
        <f t="shared" si="36"/>
        <v>27.590768483666444</v>
      </c>
      <c r="Z37" s="73">
        <f t="shared" si="37"/>
        <v>55.181536967332889</v>
      </c>
      <c r="AA37" s="73">
        <f t="shared" si="38"/>
        <v>1076.0399708629914</v>
      </c>
      <c r="AB37" s="73">
        <f t="shared" si="39"/>
        <v>6.8976921209166111</v>
      </c>
      <c r="AC37" s="106">
        <f t="shared" si="40"/>
        <v>0.52673285286999572</v>
      </c>
      <c r="AD37" s="142">
        <f t="shared" si="41"/>
        <v>2.2762383999024816</v>
      </c>
      <c r="AE37" s="70" t="s">
        <v>31</v>
      </c>
    </row>
    <row r="39" spans="1:31" x14ac:dyDescent="0.25">
      <c r="A39" s="114" t="s">
        <v>57</v>
      </c>
      <c r="B39" s="114"/>
      <c r="C39" s="114"/>
      <c r="D39" s="114"/>
      <c r="E39" s="114"/>
      <c r="F39" s="114"/>
      <c r="G39" s="114"/>
      <c r="H39" s="114"/>
      <c r="I39" s="114"/>
      <c r="J39" s="114"/>
      <c r="K39" s="115">
        <f>'Standard values'!B5</f>
        <v>30</v>
      </c>
      <c r="L39" s="115">
        <f>'Standard values'!D5</f>
        <v>60</v>
      </c>
      <c r="M39" s="115">
        <f>'Standard values'!E5</f>
        <v>30</v>
      </c>
      <c r="N39" s="115">
        <f>'Standard values'!F5</f>
        <v>20</v>
      </c>
      <c r="O39" s="115">
        <f>'Standard values'!G5</f>
        <v>40</v>
      </c>
      <c r="P39" s="115">
        <f>'Standard values'!H5</f>
        <v>780</v>
      </c>
      <c r="Q39" s="115">
        <f>'Standard values'!I5</f>
        <v>5</v>
      </c>
      <c r="R39" s="114"/>
      <c r="S39" s="114"/>
      <c r="T39" s="114"/>
      <c r="U39" s="114">
        <f>'Standard values'!B6</f>
        <v>8.1000000000000014</v>
      </c>
      <c r="V39" s="114">
        <f>'Standard values'!C6</f>
        <v>21.9</v>
      </c>
      <c r="W39" s="114">
        <f>'Standard values'!D6</f>
        <v>60</v>
      </c>
      <c r="X39" s="114">
        <f>'Standard values'!E6</f>
        <v>30</v>
      </c>
      <c r="Y39" s="114">
        <f>'Standard values'!F6</f>
        <v>20</v>
      </c>
      <c r="Z39" s="114">
        <f>'Standard values'!G6</f>
        <v>40</v>
      </c>
      <c r="AA39" s="114">
        <f>'Standard values'!H6</f>
        <v>780</v>
      </c>
      <c r="AB39" s="114">
        <f>'Standard values'!I6</f>
        <v>5</v>
      </c>
      <c r="AC39" s="135">
        <f>'Standard values'!J6</f>
        <v>0.38181818181818183</v>
      </c>
      <c r="AD39" s="135">
        <f>'Standard values'!K6</f>
        <v>1.65</v>
      </c>
      <c r="AE39" s="114" t="s">
        <v>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B9CE9-4D1E-4110-B79B-1E6FC0D1B0A1}">
  <dimension ref="A2:AD39"/>
  <sheetViews>
    <sheetView tabSelected="1" topLeftCell="A21" workbookViewId="0">
      <selection activeCell="A4" sqref="A4:AD37"/>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2" t="s">
        <v>64</v>
      </c>
    </row>
    <row r="4" spans="1:30" ht="15.75" x14ac:dyDescent="0.25">
      <c r="A4" s="124" t="s">
        <v>33</v>
      </c>
      <c r="B4" s="116" t="s">
        <v>34</v>
      </c>
      <c r="C4" s="125"/>
      <c r="D4" s="116"/>
      <c r="E4" s="125"/>
      <c r="F4" s="125"/>
      <c r="G4" s="125"/>
      <c r="H4" s="125"/>
      <c r="I4" s="125"/>
      <c r="J4" s="125"/>
      <c r="K4" s="124" t="s">
        <v>35</v>
      </c>
      <c r="L4" s="116"/>
      <c r="M4" s="116"/>
      <c r="N4" s="116"/>
      <c r="O4" s="116"/>
      <c r="P4" s="116"/>
      <c r="Q4" s="116"/>
      <c r="R4" s="116"/>
      <c r="S4" s="117"/>
      <c r="T4" s="117"/>
      <c r="U4" s="124" t="s">
        <v>36</v>
      </c>
      <c r="V4" s="116"/>
      <c r="W4" s="116"/>
      <c r="X4" s="116"/>
      <c r="Y4" s="116"/>
      <c r="Z4" s="116"/>
      <c r="AA4" s="116"/>
      <c r="AB4" s="116"/>
      <c r="AC4" s="116"/>
      <c r="AD4" s="117"/>
    </row>
    <row r="5" spans="1:30" x14ac:dyDescent="0.25">
      <c r="A5" s="123" t="s">
        <v>37</v>
      </c>
      <c r="K5" s="118"/>
      <c r="S5" s="6"/>
      <c r="T5" s="6"/>
      <c r="U5" s="118"/>
      <c r="AD5" s="6"/>
    </row>
    <row r="6" spans="1:30" ht="32.25" customHeight="1" x14ac:dyDescent="0.25">
      <c r="A6" s="119" t="s">
        <v>38</v>
      </c>
      <c r="B6" s="120" t="s">
        <v>39</v>
      </c>
      <c r="C6" s="120" t="s">
        <v>0</v>
      </c>
      <c r="D6" s="120" t="s">
        <v>40</v>
      </c>
      <c r="E6" s="127" t="s">
        <v>41</v>
      </c>
      <c r="F6" s="120" t="s">
        <v>42</v>
      </c>
      <c r="G6" s="120" t="s">
        <v>43</v>
      </c>
      <c r="H6" s="120" t="s">
        <v>44</v>
      </c>
      <c r="I6" s="127" t="s">
        <v>45</v>
      </c>
      <c r="J6" s="120" t="s">
        <v>46</v>
      </c>
      <c r="K6" s="119" t="s">
        <v>39</v>
      </c>
      <c r="L6" s="120" t="s">
        <v>0</v>
      </c>
      <c r="M6" s="120" t="s">
        <v>40</v>
      </c>
      <c r="N6" s="127" t="s">
        <v>41</v>
      </c>
      <c r="O6" s="120" t="s">
        <v>42</v>
      </c>
      <c r="P6" s="120" t="s">
        <v>43</v>
      </c>
      <c r="Q6" s="120" t="s">
        <v>44</v>
      </c>
      <c r="R6" s="120" t="s">
        <v>47</v>
      </c>
      <c r="S6" s="121" t="s">
        <v>46</v>
      </c>
      <c r="T6" s="126" t="s">
        <v>48</v>
      </c>
      <c r="U6" s="131" t="s">
        <v>49</v>
      </c>
      <c r="V6" s="138" t="s">
        <v>50</v>
      </c>
      <c r="W6" s="120" t="s">
        <v>0</v>
      </c>
      <c r="X6" s="120" t="s">
        <v>51</v>
      </c>
      <c r="Y6" s="127" t="s">
        <v>52</v>
      </c>
      <c r="Z6" s="120" t="s">
        <v>42</v>
      </c>
      <c r="AA6" s="120" t="s">
        <v>53</v>
      </c>
      <c r="AB6" s="120" t="s">
        <v>44</v>
      </c>
      <c r="AC6" s="120" t="s">
        <v>54</v>
      </c>
      <c r="AD6" s="121" t="s">
        <v>55</v>
      </c>
    </row>
    <row r="7" spans="1:30" x14ac:dyDescent="0.25">
      <c r="A7" s="118" t="s">
        <v>1</v>
      </c>
      <c r="B7">
        <v>439.81975999999997</v>
      </c>
      <c r="C7">
        <v>364.32850999999999</v>
      </c>
      <c r="D7">
        <v>80.168128499999995</v>
      </c>
      <c r="E7">
        <v>37.614539999999998</v>
      </c>
      <c r="F7">
        <v>0</v>
      </c>
      <c r="G7">
        <v>0</v>
      </c>
      <c r="H7">
        <v>31.955200000000001</v>
      </c>
      <c r="I7" s="12">
        <f>SUM(B7:H7)</f>
        <v>953.8861384999999</v>
      </c>
      <c r="J7" s="147">
        <v>46.7</v>
      </c>
      <c r="K7" s="122">
        <f t="shared" ref="K7:K36" si="0">B7*$K$39</f>
        <v>13194.592799999999</v>
      </c>
      <c r="L7" s="3">
        <f t="shared" ref="L7:L36" si="1">C7*$L$39</f>
        <v>21859.710599999999</v>
      </c>
      <c r="M7" s="3">
        <f t="shared" ref="M7:M36" si="2">D7*$M$39</f>
        <v>2405.0438549999999</v>
      </c>
      <c r="N7" s="3">
        <f t="shared" ref="N7:N36" si="3">E7*$N$39</f>
        <v>752.29079999999999</v>
      </c>
      <c r="O7" s="3">
        <f t="shared" ref="O7:O36" si="4">F7*$O$39</f>
        <v>0</v>
      </c>
      <c r="P7" s="3">
        <f t="shared" ref="P7:P36" si="5">G7*$P$39</f>
        <v>0</v>
      </c>
      <c r="Q7" s="3">
        <f t="shared" ref="Q7:Q36" si="6">H7*$Q$39</f>
        <v>159.77600000000001</v>
      </c>
      <c r="R7" s="12">
        <f>SUM(K7:Q7)</f>
        <v>38371.414055000001</v>
      </c>
      <c r="S7" s="149">
        <f t="shared" ref="S7:S36" si="7">R7/I7</f>
        <v>40.226409113502392</v>
      </c>
      <c r="T7" s="129">
        <f t="shared" ref="T7:T36" si="8">J7/S7</f>
        <v>1.160928878047051</v>
      </c>
      <c r="U7" s="136">
        <f>$U$39*$T7</f>
        <v>9.4035239121811145</v>
      </c>
      <c r="V7" s="139">
        <f>$V$39*$T7</f>
        <v>25.424342429230414</v>
      </c>
      <c r="W7" s="9">
        <f>$W$39*$T7</f>
        <v>69.655732682823057</v>
      </c>
      <c r="X7" s="9">
        <f>$X$39*$T7</f>
        <v>34.827866341411529</v>
      </c>
      <c r="Y7" s="9">
        <f>$Y$39*$T7</f>
        <v>23.218577560941021</v>
      </c>
      <c r="Z7" s="9">
        <f>$Z$39*$T7</f>
        <v>46.437155121882043</v>
      </c>
      <c r="AA7" s="9">
        <f>$AA$39*$T7</f>
        <v>905.52452487669984</v>
      </c>
      <c r="AB7" s="9">
        <f>$AB$39*$T7</f>
        <v>5.8046443902352554</v>
      </c>
      <c r="AC7" s="3">
        <f>$AC$39*$T7</f>
        <v>0.44326375343614677</v>
      </c>
      <c r="AD7" s="137">
        <f>$AD$39*$T7</f>
        <v>1.9155326487776341</v>
      </c>
    </row>
    <row r="8" spans="1:30" x14ac:dyDescent="0.25">
      <c r="A8" s="118" t="s">
        <v>2</v>
      </c>
      <c r="B8">
        <v>449.48002000000002</v>
      </c>
      <c r="C8">
        <v>842.26887499999998</v>
      </c>
      <c r="D8">
        <v>247.723568</v>
      </c>
      <c r="E8">
        <v>13.844435000000001</v>
      </c>
      <c r="F8">
        <v>0</v>
      </c>
      <c r="G8">
        <v>3.7399138000000001</v>
      </c>
      <c r="H8">
        <v>126.0044</v>
      </c>
      <c r="I8" s="12">
        <f t="shared" ref="I8:I36" si="9">SUM(B8:H8)</f>
        <v>1683.0612118000001</v>
      </c>
      <c r="J8" s="147">
        <v>131.1</v>
      </c>
      <c r="K8" s="122">
        <f t="shared" si="0"/>
        <v>13484.400600000001</v>
      </c>
      <c r="L8" s="3">
        <f t="shared" si="1"/>
        <v>50536.1325</v>
      </c>
      <c r="M8" s="3">
        <f t="shared" si="2"/>
        <v>7431.7070400000002</v>
      </c>
      <c r="N8" s="3">
        <f t="shared" si="3"/>
        <v>276.88870000000003</v>
      </c>
      <c r="O8" s="3">
        <f t="shared" si="4"/>
        <v>0</v>
      </c>
      <c r="P8" s="3">
        <f t="shared" si="5"/>
        <v>2917.132764</v>
      </c>
      <c r="Q8" s="3">
        <f t="shared" si="6"/>
        <v>630.02200000000005</v>
      </c>
      <c r="R8" s="12">
        <f t="shared" ref="R8:R36" si="10">SUM(K8:Q8)</f>
        <v>75276.283603999982</v>
      </c>
      <c r="S8" s="149">
        <f t="shared" si="7"/>
        <v>44.725814531423673</v>
      </c>
      <c r="T8" s="129">
        <f t="shared" si="8"/>
        <v>2.9311931235571156</v>
      </c>
      <c r="U8" s="136">
        <f t="shared" ref="U8:U36" si="11">$U$39*$T8</f>
        <v>23.742664300812642</v>
      </c>
      <c r="V8" s="139">
        <f t="shared" ref="V8:V36" si="12">$V$39*$T8</f>
        <v>64.193129405900834</v>
      </c>
      <c r="W8" s="9">
        <f t="shared" ref="W8:W36" si="13">$W$39*$T8</f>
        <v>175.87158741342694</v>
      </c>
      <c r="X8" s="9">
        <f t="shared" ref="X8:X36" si="14">$X$39*$T8</f>
        <v>87.935793706713469</v>
      </c>
      <c r="Y8" s="9">
        <f t="shared" ref="Y8:Y36" si="15">$Y$39*$T8</f>
        <v>58.62386247114231</v>
      </c>
      <c r="Z8" s="9">
        <f t="shared" ref="Z8:Z36" si="16">$Z$39*$T8</f>
        <v>117.24772494228462</v>
      </c>
      <c r="AA8" s="9">
        <f t="shared" ref="AA8:AA36" si="17">$AA$39*$T8</f>
        <v>2286.3306363745501</v>
      </c>
      <c r="AB8" s="9">
        <f t="shared" ref="AB8:AB36" si="18">$AB$39*$T8</f>
        <v>14.655965617785577</v>
      </c>
      <c r="AC8" s="3">
        <f t="shared" ref="AC8:AC36" si="19">$AC$39*$T8</f>
        <v>1.1191828289945351</v>
      </c>
      <c r="AD8" s="137">
        <f t="shared" ref="AD8:AD36" si="20">$AD$39*$T8</f>
        <v>4.8364686538692405</v>
      </c>
    </row>
    <row r="9" spans="1:30" x14ac:dyDescent="0.25">
      <c r="A9" s="118" t="s">
        <v>3</v>
      </c>
      <c r="B9">
        <v>119.932445</v>
      </c>
      <c r="C9">
        <v>83.806494999999998</v>
      </c>
      <c r="D9">
        <v>45.936974499999998</v>
      </c>
      <c r="E9">
        <v>104.99072</v>
      </c>
      <c r="F9">
        <v>0</v>
      </c>
      <c r="G9">
        <v>2.9399999999999999E-2</v>
      </c>
      <c r="H9">
        <v>27.2088</v>
      </c>
      <c r="I9" s="12">
        <f t="shared" si="9"/>
        <v>381.90483449999999</v>
      </c>
      <c r="J9" s="147">
        <v>129.19999999999999</v>
      </c>
      <c r="K9" s="122">
        <f t="shared" si="0"/>
        <v>3597.9733500000002</v>
      </c>
      <c r="L9" s="3">
        <f t="shared" si="1"/>
        <v>5028.3896999999997</v>
      </c>
      <c r="M9" s="3">
        <f t="shared" si="2"/>
        <v>1378.1092349999999</v>
      </c>
      <c r="N9" s="3">
        <f t="shared" si="3"/>
        <v>2099.8143999999998</v>
      </c>
      <c r="O9" s="3">
        <f t="shared" si="4"/>
        <v>0</v>
      </c>
      <c r="P9" s="3">
        <f t="shared" si="5"/>
        <v>22.931999999999999</v>
      </c>
      <c r="Q9" s="3">
        <f t="shared" si="6"/>
        <v>136.04400000000001</v>
      </c>
      <c r="R9" s="12">
        <f t="shared" si="10"/>
        <v>12263.262685</v>
      </c>
      <c r="S9" s="149">
        <f t="shared" si="7"/>
        <v>32.110781475325894</v>
      </c>
      <c r="T9" s="129">
        <f t="shared" si="8"/>
        <v>4.0235707156264011</v>
      </c>
      <c r="U9" s="136">
        <f t="shared" si="11"/>
        <v>32.590922796573857</v>
      </c>
      <c r="V9" s="139">
        <f t="shared" si="12"/>
        <v>88.116198672218175</v>
      </c>
      <c r="W9" s="9">
        <f t="shared" si="13"/>
        <v>241.41424293758408</v>
      </c>
      <c r="X9" s="9">
        <f t="shared" si="14"/>
        <v>120.70712146879204</v>
      </c>
      <c r="Y9" s="9">
        <f t="shared" si="15"/>
        <v>80.471414312528026</v>
      </c>
      <c r="Z9" s="9">
        <f t="shared" si="16"/>
        <v>160.94282862505605</v>
      </c>
      <c r="AA9" s="9">
        <f t="shared" si="17"/>
        <v>3138.3851581885929</v>
      </c>
      <c r="AB9" s="9">
        <f t="shared" si="18"/>
        <v>20.117853578132006</v>
      </c>
      <c r="AC9" s="3">
        <f t="shared" si="19"/>
        <v>1.5362724550573532</v>
      </c>
      <c r="AD9" s="137">
        <f t="shared" si="20"/>
        <v>6.6388916807835612</v>
      </c>
    </row>
    <row r="10" spans="1:30" x14ac:dyDescent="0.25">
      <c r="A10" s="118" t="s">
        <v>4</v>
      </c>
      <c r="B10">
        <v>104.05697499999999</v>
      </c>
      <c r="C10">
        <v>87.788525000000007</v>
      </c>
      <c r="D10">
        <v>44.4147015</v>
      </c>
      <c r="E10">
        <v>47.787799999999997</v>
      </c>
      <c r="F10">
        <v>17.114999999999998</v>
      </c>
      <c r="G10">
        <v>3.9998000000000004E-3</v>
      </c>
      <c r="H10">
        <v>9.2103999999999999</v>
      </c>
      <c r="I10" s="12">
        <f t="shared" si="9"/>
        <v>310.37740129999997</v>
      </c>
      <c r="J10" s="147">
        <v>68</v>
      </c>
      <c r="K10" s="122">
        <f t="shared" si="0"/>
        <v>3121.7092499999999</v>
      </c>
      <c r="L10" s="3">
        <f t="shared" si="1"/>
        <v>5267.3115000000007</v>
      </c>
      <c r="M10" s="3">
        <f t="shared" si="2"/>
        <v>1332.441045</v>
      </c>
      <c r="N10" s="3">
        <f t="shared" si="3"/>
        <v>955.75599999999997</v>
      </c>
      <c r="O10" s="3">
        <f t="shared" si="4"/>
        <v>684.59999999999991</v>
      </c>
      <c r="P10" s="3">
        <f t="shared" si="5"/>
        <v>3.1198440000000005</v>
      </c>
      <c r="Q10" s="3">
        <f t="shared" si="6"/>
        <v>46.052</v>
      </c>
      <c r="R10" s="12">
        <f t="shared" si="10"/>
        <v>11410.989638999999</v>
      </c>
      <c r="S10" s="149">
        <f t="shared" si="7"/>
        <v>36.764885559340499</v>
      </c>
      <c r="T10" s="129">
        <f t="shared" si="8"/>
        <v>1.849590960653049</v>
      </c>
      <c r="U10" s="136">
        <f t="shared" si="11"/>
        <v>14.981686781289699</v>
      </c>
      <c r="V10" s="139">
        <f t="shared" si="12"/>
        <v>40.506042038301771</v>
      </c>
      <c r="W10" s="9">
        <f t="shared" si="13"/>
        <v>110.97545763918293</v>
      </c>
      <c r="X10" s="9">
        <f t="shared" si="14"/>
        <v>55.487728819591467</v>
      </c>
      <c r="Y10" s="9">
        <f t="shared" si="15"/>
        <v>36.991819213060978</v>
      </c>
      <c r="Z10" s="9">
        <f t="shared" si="16"/>
        <v>73.983638426121956</v>
      </c>
      <c r="AA10" s="9">
        <f t="shared" si="17"/>
        <v>1442.6809493093781</v>
      </c>
      <c r="AB10" s="9">
        <f t="shared" si="18"/>
        <v>9.2479548032652445</v>
      </c>
      <c r="AC10" s="3">
        <f t="shared" si="19"/>
        <v>0.70620745770389148</v>
      </c>
      <c r="AD10" s="137">
        <f t="shared" si="20"/>
        <v>3.0518250850775308</v>
      </c>
    </row>
    <row r="11" spans="1:30" x14ac:dyDescent="0.25">
      <c r="A11" s="118" t="s">
        <v>5</v>
      </c>
      <c r="B11">
        <v>21.042245000000001</v>
      </c>
      <c r="C11">
        <v>45.299495</v>
      </c>
      <c r="D11">
        <v>12.733594999999999</v>
      </c>
      <c r="E11">
        <v>47.106850000000001</v>
      </c>
      <c r="F11">
        <v>7.2759999999999998</v>
      </c>
      <c r="G11">
        <v>6.9120799999999996E-2</v>
      </c>
      <c r="H11">
        <v>1.9907999999999999</v>
      </c>
      <c r="I11" s="12">
        <f t="shared" si="9"/>
        <v>135.51810580000003</v>
      </c>
      <c r="J11" s="147">
        <v>335.2</v>
      </c>
      <c r="K11" s="122">
        <f t="shared" si="0"/>
        <v>631.26735000000008</v>
      </c>
      <c r="L11" s="3">
        <f t="shared" si="1"/>
        <v>2717.9697000000001</v>
      </c>
      <c r="M11" s="3">
        <f t="shared" si="2"/>
        <v>382.00784999999996</v>
      </c>
      <c r="N11" s="3">
        <f t="shared" si="3"/>
        <v>942.13700000000006</v>
      </c>
      <c r="O11" s="3">
        <f t="shared" si="4"/>
        <v>291.03999999999996</v>
      </c>
      <c r="P11" s="3">
        <f t="shared" si="5"/>
        <v>53.914223999999997</v>
      </c>
      <c r="Q11" s="3">
        <f t="shared" si="6"/>
        <v>9.9539999999999988</v>
      </c>
      <c r="R11" s="12">
        <f t="shared" si="10"/>
        <v>5028.2901240000001</v>
      </c>
      <c r="S11" s="149">
        <f t="shared" si="7"/>
        <v>37.104194264793207</v>
      </c>
      <c r="T11" s="129">
        <f t="shared" si="8"/>
        <v>9.0340191086714636</v>
      </c>
      <c r="U11" s="136">
        <f t="shared" si="11"/>
        <v>73.175554780238869</v>
      </c>
      <c r="V11" s="139">
        <f t="shared" si="12"/>
        <v>197.84501847990504</v>
      </c>
      <c r="W11" s="9">
        <f t="shared" si="13"/>
        <v>542.04114652028784</v>
      </c>
      <c r="X11" s="9">
        <f t="shared" si="14"/>
        <v>271.02057326014392</v>
      </c>
      <c r="Y11" s="9">
        <f t="shared" si="15"/>
        <v>180.68038217342928</v>
      </c>
      <c r="Z11" s="9">
        <f t="shared" si="16"/>
        <v>361.36076434685856</v>
      </c>
      <c r="AA11" s="9">
        <f t="shared" si="17"/>
        <v>7046.5349047637419</v>
      </c>
      <c r="AB11" s="9">
        <f t="shared" si="18"/>
        <v>45.17009554335732</v>
      </c>
      <c r="AC11" s="3">
        <f t="shared" si="19"/>
        <v>3.4493527505836501</v>
      </c>
      <c r="AD11" s="137">
        <f t="shared" si="20"/>
        <v>14.906131529307913</v>
      </c>
    </row>
    <row r="12" spans="1:30" x14ac:dyDescent="0.25">
      <c r="A12" s="118" t="s">
        <v>6</v>
      </c>
      <c r="B12">
        <v>283.21782999999999</v>
      </c>
      <c r="C12">
        <v>197.907725</v>
      </c>
      <c r="D12">
        <v>128.70531399999999</v>
      </c>
      <c r="E12">
        <v>18.037915000000002</v>
      </c>
      <c r="F12">
        <v>21.684999999999999</v>
      </c>
      <c r="G12">
        <v>7.4241999999999999</v>
      </c>
      <c r="H12">
        <v>36.087600000000002</v>
      </c>
      <c r="I12" s="12">
        <f t="shared" si="9"/>
        <v>693.06558399999983</v>
      </c>
      <c r="J12" s="147">
        <v>63.5</v>
      </c>
      <c r="K12" s="122">
        <f t="shared" si="0"/>
        <v>8496.5349000000006</v>
      </c>
      <c r="L12" s="3">
        <f t="shared" si="1"/>
        <v>11874.4635</v>
      </c>
      <c r="M12" s="3">
        <f t="shared" si="2"/>
        <v>3861.1594199999995</v>
      </c>
      <c r="N12" s="3">
        <f t="shared" si="3"/>
        <v>360.75830000000002</v>
      </c>
      <c r="O12" s="3">
        <f t="shared" si="4"/>
        <v>867.4</v>
      </c>
      <c r="P12" s="3">
        <f t="shared" si="5"/>
        <v>5790.8760000000002</v>
      </c>
      <c r="Q12" s="3">
        <f t="shared" si="6"/>
        <v>180.43800000000002</v>
      </c>
      <c r="R12" s="12">
        <f t="shared" si="10"/>
        <v>31431.630120000002</v>
      </c>
      <c r="S12" s="149">
        <f t="shared" si="7"/>
        <v>45.351595643508404</v>
      </c>
      <c r="T12" s="129">
        <f t="shared" si="8"/>
        <v>1.4001712420252923</v>
      </c>
      <c r="U12" s="136">
        <f t="shared" si="11"/>
        <v>11.34138706040487</v>
      </c>
      <c r="V12" s="139">
        <f t="shared" si="12"/>
        <v>30.663750200353899</v>
      </c>
      <c r="W12" s="9">
        <f t="shared" si="13"/>
        <v>84.010274521517545</v>
      </c>
      <c r="X12" s="9">
        <f t="shared" si="14"/>
        <v>42.005137260758772</v>
      </c>
      <c r="Y12" s="9">
        <f t="shared" si="15"/>
        <v>28.003424840505847</v>
      </c>
      <c r="Z12" s="9">
        <f t="shared" si="16"/>
        <v>56.006849681011694</v>
      </c>
      <c r="AA12" s="9">
        <f t="shared" si="17"/>
        <v>1092.133568779728</v>
      </c>
      <c r="AB12" s="9">
        <f t="shared" si="18"/>
        <v>7.0008562101264618</v>
      </c>
      <c r="AC12" s="3">
        <f t="shared" si="19"/>
        <v>0.53461083786420249</v>
      </c>
      <c r="AD12" s="137">
        <f t="shared" si="20"/>
        <v>2.3102825493417321</v>
      </c>
    </row>
    <row r="13" spans="1:30" x14ac:dyDescent="0.25">
      <c r="A13" s="118" t="s">
        <v>7</v>
      </c>
      <c r="B13">
        <v>387.30056000000002</v>
      </c>
      <c r="C13">
        <v>1752.3040249999999</v>
      </c>
      <c r="D13">
        <v>131.84610000000001</v>
      </c>
      <c r="E13">
        <v>13.107675</v>
      </c>
      <c r="F13">
        <v>43</v>
      </c>
      <c r="G13">
        <v>0</v>
      </c>
      <c r="H13">
        <v>70</v>
      </c>
      <c r="I13" s="12">
        <f t="shared" si="9"/>
        <v>2397.5583600000004</v>
      </c>
      <c r="J13" s="147">
        <v>38.9</v>
      </c>
      <c r="K13" s="122">
        <f t="shared" si="0"/>
        <v>11619.016800000001</v>
      </c>
      <c r="L13" s="3">
        <f t="shared" si="1"/>
        <v>105138.24149999999</v>
      </c>
      <c r="M13" s="3">
        <f t="shared" si="2"/>
        <v>3955.3830000000003</v>
      </c>
      <c r="N13" s="3">
        <f t="shared" si="3"/>
        <v>262.15350000000001</v>
      </c>
      <c r="O13" s="3">
        <f t="shared" si="4"/>
        <v>1720</v>
      </c>
      <c r="P13" s="3">
        <f t="shared" si="5"/>
        <v>0</v>
      </c>
      <c r="Q13" s="3">
        <f t="shared" si="6"/>
        <v>350</v>
      </c>
      <c r="R13" s="12">
        <f t="shared" si="10"/>
        <v>123044.79479999999</v>
      </c>
      <c r="S13" s="149">
        <f t="shared" si="7"/>
        <v>51.320875792987984</v>
      </c>
      <c r="T13" s="129">
        <f t="shared" si="8"/>
        <v>0.75797615295791465</v>
      </c>
      <c r="U13" s="136">
        <f t="shared" si="11"/>
        <v>6.1396068389591099</v>
      </c>
      <c r="V13" s="139">
        <f t="shared" si="12"/>
        <v>16.59967774977833</v>
      </c>
      <c r="W13" s="9">
        <f t="shared" si="13"/>
        <v>45.478569177474881</v>
      </c>
      <c r="X13" s="9">
        <f t="shared" si="14"/>
        <v>22.739284588737441</v>
      </c>
      <c r="Y13" s="9">
        <f t="shared" si="15"/>
        <v>15.159523059158293</v>
      </c>
      <c r="Z13" s="9">
        <f t="shared" si="16"/>
        <v>30.319046118316585</v>
      </c>
      <c r="AA13" s="9">
        <f t="shared" si="17"/>
        <v>591.22139930717344</v>
      </c>
      <c r="AB13" s="9">
        <f t="shared" si="18"/>
        <v>3.7898807647895731</v>
      </c>
      <c r="AC13" s="3">
        <f t="shared" si="19"/>
        <v>0.28940907658393106</v>
      </c>
      <c r="AD13" s="137">
        <f t="shared" si="20"/>
        <v>1.250660652380559</v>
      </c>
    </row>
    <row r="14" spans="1:30" x14ac:dyDescent="0.25">
      <c r="A14" s="118" t="s">
        <v>8</v>
      </c>
      <c r="B14">
        <v>59.674124999999997</v>
      </c>
      <c r="C14">
        <v>37.358755000000002</v>
      </c>
      <c r="D14">
        <v>2.620511</v>
      </c>
      <c r="E14">
        <v>6.4225000000000003</v>
      </c>
      <c r="F14">
        <v>0.871</v>
      </c>
      <c r="G14">
        <v>0</v>
      </c>
      <c r="H14">
        <v>3.9036</v>
      </c>
      <c r="I14" s="12">
        <f t="shared" si="9"/>
        <v>110.85049099999999</v>
      </c>
      <c r="J14" s="147">
        <v>56.3</v>
      </c>
      <c r="K14" s="122">
        <f t="shared" si="0"/>
        <v>1790.2237499999999</v>
      </c>
      <c r="L14" s="3">
        <f t="shared" si="1"/>
        <v>2241.5253000000002</v>
      </c>
      <c r="M14" s="3">
        <f t="shared" si="2"/>
        <v>78.61533</v>
      </c>
      <c r="N14" s="3">
        <f t="shared" si="3"/>
        <v>128.45000000000002</v>
      </c>
      <c r="O14" s="3">
        <f t="shared" si="4"/>
        <v>34.840000000000003</v>
      </c>
      <c r="P14" s="3">
        <f t="shared" si="5"/>
        <v>0</v>
      </c>
      <c r="Q14" s="3">
        <f t="shared" si="6"/>
        <v>19.518000000000001</v>
      </c>
      <c r="R14" s="12">
        <f t="shared" si="10"/>
        <v>4293.17238</v>
      </c>
      <c r="S14" s="149">
        <f t="shared" si="7"/>
        <v>38.729394351532463</v>
      </c>
      <c r="T14" s="129">
        <f t="shared" si="8"/>
        <v>1.4536762307457125</v>
      </c>
      <c r="U14" s="136">
        <f t="shared" si="11"/>
        <v>11.774777469040274</v>
      </c>
      <c r="V14" s="139">
        <f t="shared" si="12"/>
        <v>31.835509453331102</v>
      </c>
      <c r="W14" s="9">
        <f t="shared" si="13"/>
        <v>87.220573844742745</v>
      </c>
      <c r="X14" s="9">
        <f t="shared" si="14"/>
        <v>43.610286922371372</v>
      </c>
      <c r="Y14" s="9">
        <f t="shared" si="15"/>
        <v>29.073524614914248</v>
      </c>
      <c r="Z14" s="9">
        <f t="shared" si="16"/>
        <v>58.147049229828497</v>
      </c>
      <c r="AA14" s="9">
        <f t="shared" si="17"/>
        <v>1133.8674599816557</v>
      </c>
      <c r="AB14" s="9">
        <f t="shared" si="18"/>
        <v>7.2683811537285621</v>
      </c>
      <c r="AC14" s="3">
        <f t="shared" si="19"/>
        <v>0.55504001537563574</v>
      </c>
      <c r="AD14" s="137">
        <f t="shared" si="20"/>
        <v>2.3985657807304257</v>
      </c>
    </row>
    <row r="15" spans="1:30" x14ac:dyDescent="0.25">
      <c r="A15" s="118" t="s">
        <v>9</v>
      </c>
      <c r="B15">
        <v>219.3177</v>
      </c>
      <c r="C15">
        <v>153.868695</v>
      </c>
      <c r="D15">
        <v>76.747929999999997</v>
      </c>
      <c r="E15">
        <v>13.1942</v>
      </c>
      <c r="F15">
        <v>14.587</v>
      </c>
      <c r="G15">
        <v>0</v>
      </c>
      <c r="H15">
        <v>29.76</v>
      </c>
      <c r="I15" s="12">
        <f t="shared" si="9"/>
        <v>507.475525</v>
      </c>
      <c r="J15" s="147">
        <v>18.899999999999999</v>
      </c>
      <c r="K15" s="122">
        <f t="shared" si="0"/>
        <v>6579.5309999999999</v>
      </c>
      <c r="L15" s="3">
        <f t="shared" si="1"/>
        <v>9232.1216999999997</v>
      </c>
      <c r="M15" s="3">
        <f t="shared" si="2"/>
        <v>2302.4378999999999</v>
      </c>
      <c r="N15" s="3">
        <f t="shared" si="3"/>
        <v>263.88400000000001</v>
      </c>
      <c r="O15" s="3">
        <f t="shared" si="4"/>
        <v>583.48</v>
      </c>
      <c r="P15" s="3">
        <f t="shared" si="5"/>
        <v>0</v>
      </c>
      <c r="Q15" s="3">
        <f t="shared" si="6"/>
        <v>148.80000000000001</v>
      </c>
      <c r="R15" s="12">
        <f t="shared" si="10"/>
        <v>19110.2546</v>
      </c>
      <c r="S15" s="149">
        <f t="shared" si="7"/>
        <v>37.657490181423036</v>
      </c>
      <c r="T15" s="129">
        <f t="shared" si="8"/>
        <v>0.50189218423599646</v>
      </c>
      <c r="U15" s="136">
        <f t="shared" si="11"/>
        <v>4.0653266923115723</v>
      </c>
      <c r="V15" s="139">
        <f t="shared" si="12"/>
        <v>10.991438834768323</v>
      </c>
      <c r="W15" s="9">
        <f t="shared" si="13"/>
        <v>30.113531054159786</v>
      </c>
      <c r="X15" s="9">
        <f t="shared" si="14"/>
        <v>15.056765527079893</v>
      </c>
      <c r="Y15" s="9">
        <f t="shared" si="15"/>
        <v>10.037843684719929</v>
      </c>
      <c r="Z15" s="9">
        <f t="shared" si="16"/>
        <v>20.075687369439859</v>
      </c>
      <c r="AA15" s="9">
        <f t="shared" si="17"/>
        <v>391.47590370407727</v>
      </c>
      <c r="AB15" s="9">
        <f t="shared" si="18"/>
        <v>2.5094609211799823</v>
      </c>
      <c r="AC15" s="3">
        <f t="shared" si="19"/>
        <v>0.19163156125374411</v>
      </c>
      <c r="AD15" s="137">
        <f t="shared" si="20"/>
        <v>0.82812210398939412</v>
      </c>
    </row>
    <row r="16" spans="1:30" x14ac:dyDescent="0.25">
      <c r="A16" s="118" t="s">
        <v>10</v>
      </c>
      <c r="B16">
        <v>3196.8977749999999</v>
      </c>
      <c r="C16">
        <v>1781.6824899999999</v>
      </c>
      <c r="D16">
        <v>1125.2241389999999</v>
      </c>
      <c r="E16">
        <v>619.50631999999996</v>
      </c>
      <c r="F16">
        <v>45.470999999999997</v>
      </c>
      <c r="G16">
        <v>44.846200000000003</v>
      </c>
      <c r="H16">
        <v>282.96719999999999</v>
      </c>
      <c r="I16" s="12">
        <f t="shared" si="9"/>
        <v>7096.5951239999986</v>
      </c>
      <c r="J16" s="147">
        <v>68</v>
      </c>
      <c r="K16" s="122">
        <f t="shared" si="0"/>
        <v>95906.933250000002</v>
      </c>
      <c r="L16" s="3">
        <f t="shared" si="1"/>
        <v>106900.9494</v>
      </c>
      <c r="M16" s="3">
        <f t="shared" si="2"/>
        <v>33756.724170000001</v>
      </c>
      <c r="N16" s="3">
        <f t="shared" si="3"/>
        <v>12390.126399999999</v>
      </c>
      <c r="O16" s="3">
        <f t="shared" si="4"/>
        <v>1818.84</v>
      </c>
      <c r="P16" s="3">
        <f t="shared" si="5"/>
        <v>34980.036</v>
      </c>
      <c r="Q16" s="3">
        <f t="shared" si="6"/>
        <v>1414.836</v>
      </c>
      <c r="R16" s="12">
        <f t="shared" si="10"/>
        <v>287168.44521999999</v>
      </c>
      <c r="S16" s="149">
        <f t="shared" si="7"/>
        <v>40.465665604738263</v>
      </c>
      <c r="T16" s="129">
        <f t="shared" si="8"/>
        <v>1.6804369576967406</v>
      </c>
      <c r="U16" s="136">
        <f t="shared" si="11"/>
        <v>13.611539357343601</v>
      </c>
      <c r="V16" s="139">
        <f t="shared" si="12"/>
        <v>36.801569373558614</v>
      </c>
      <c r="W16" s="9">
        <f t="shared" si="13"/>
        <v>100.82621746180443</v>
      </c>
      <c r="X16" s="9">
        <f t="shared" si="14"/>
        <v>50.413108730902216</v>
      </c>
      <c r="Y16" s="9">
        <f t="shared" si="15"/>
        <v>33.608739153934813</v>
      </c>
      <c r="Z16" s="9">
        <f t="shared" si="16"/>
        <v>67.217478307869627</v>
      </c>
      <c r="AA16" s="9">
        <f t="shared" si="17"/>
        <v>1310.7408270034578</v>
      </c>
      <c r="AB16" s="9">
        <f t="shared" si="18"/>
        <v>8.4021847884837033</v>
      </c>
      <c r="AC16" s="3">
        <f t="shared" si="19"/>
        <v>0.64162138384784639</v>
      </c>
      <c r="AD16" s="137">
        <f t="shared" si="20"/>
        <v>2.772720980199622</v>
      </c>
    </row>
    <row r="17" spans="1:30" x14ac:dyDescent="0.25">
      <c r="A17" s="118" t="s">
        <v>11</v>
      </c>
      <c r="B17">
        <v>3102.185575</v>
      </c>
      <c r="C17">
        <v>3748.9582099999998</v>
      </c>
      <c r="D17">
        <v>1051.8589750000001</v>
      </c>
      <c r="E17">
        <v>137.11929000000001</v>
      </c>
      <c r="F17">
        <v>19.247</v>
      </c>
      <c r="G17">
        <v>29.4</v>
      </c>
      <c r="H17">
        <v>520</v>
      </c>
      <c r="I17" s="12">
        <f t="shared" si="9"/>
        <v>8608.769049999999</v>
      </c>
      <c r="J17" s="147">
        <v>89.1</v>
      </c>
      <c r="K17" s="122">
        <f t="shared" si="0"/>
        <v>93065.567249999993</v>
      </c>
      <c r="L17" s="3">
        <f t="shared" si="1"/>
        <v>224937.4926</v>
      </c>
      <c r="M17" s="3">
        <f t="shared" si="2"/>
        <v>31555.769250000005</v>
      </c>
      <c r="N17" s="3">
        <f t="shared" si="3"/>
        <v>2742.3858</v>
      </c>
      <c r="O17" s="3">
        <f t="shared" si="4"/>
        <v>769.88</v>
      </c>
      <c r="P17" s="3">
        <f t="shared" si="5"/>
        <v>22932</v>
      </c>
      <c r="Q17" s="3">
        <f t="shared" si="6"/>
        <v>2600</v>
      </c>
      <c r="R17" s="12">
        <f t="shared" si="10"/>
        <v>378603.09489999997</v>
      </c>
      <c r="S17" s="149">
        <f t="shared" si="7"/>
        <v>43.978772423915821</v>
      </c>
      <c r="T17" s="129">
        <f t="shared" si="8"/>
        <v>2.0259774224972928</v>
      </c>
      <c r="U17" s="136">
        <f t="shared" si="11"/>
        <v>16.410417122228075</v>
      </c>
      <c r="V17" s="139">
        <f t="shared" si="12"/>
        <v>44.368905552690713</v>
      </c>
      <c r="W17" s="9">
        <f t="shared" si="13"/>
        <v>121.55864534983758</v>
      </c>
      <c r="X17" s="9">
        <f t="shared" si="14"/>
        <v>60.779322674918788</v>
      </c>
      <c r="Y17" s="9">
        <f t="shared" si="15"/>
        <v>40.519548449945859</v>
      </c>
      <c r="Z17" s="9">
        <f t="shared" si="16"/>
        <v>81.039096899891717</v>
      </c>
      <c r="AA17" s="9">
        <f t="shared" si="17"/>
        <v>1580.2623895478885</v>
      </c>
      <c r="AB17" s="9">
        <f t="shared" si="18"/>
        <v>10.129887112486465</v>
      </c>
      <c r="AC17" s="3">
        <f t="shared" si="19"/>
        <v>0.77355501586260278</v>
      </c>
      <c r="AD17" s="137">
        <f t="shared" si="20"/>
        <v>3.3428627471205332</v>
      </c>
    </row>
    <row r="18" spans="1:30" x14ac:dyDescent="0.25">
      <c r="A18" s="118" t="s">
        <v>12</v>
      </c>
      <c r="B18">
        <v>96.300700000000006</v>
      </c>
      <c r="C18">
        <v>111.963285</v>
      </c>
      <c r="D18">
        <v>129.45051000000001</v>
      </c>
      <c r="E18">
        <v>768.43528000000003</v>
      </c>
      <c r="F18">
        <v>106.23</v>
      </c>
      <c r="G18">
        <v>2.4112941999999999</v>
      </c>
      <c r="H18">
        <v>3.4428000000000001</v>
      </c>
      <c r="I18" s="12">
        <f t="shared" si="9"/>
        <v>1218.2338692000001</v>
      </c>
      <c r="J18" s="147">
        <v>95.7</v>
      </c>
      <c r="K18" s="122">
        <f t="shared" si="0"/>
        <v>2889.0210000000002</v>
      </c>
      <c r="L18" s="3">
        <f t="shared" si="1"/>
        <v>6717.7970999999998</v>
      </c>
      <c r="M18" s="3">
        <f t="shared" si="2"/>
        <v>3883.5153</v>
      </c>
      <c r="N18" s="3">
        <f t="shared" si="3"/>
        <v>15368.705600000001</v>
      </c>
      <c r="O18" s="3">
        <f t="shared" si="4"/>
        <v>4249.2</v>
      </c>
      <c r="P18" s="3">
        <f t="shared" si="5"/>
        <v>1880.8094759999999</v>
      </c>
      <c r="Q18" s="3">
        <f t="shared" si="6"/>
        <v>17.213999999999999</v>
      </c>
      <c r="R18" s="12">
        <f t="shared" si="10"/>
        <v>35006.262476000004</v>
      </c>
      <c r="S18" s="149">
        <f t="shared" si="7"/>
        <v>28.735256309191442</v>
      </c>
      <c r="T18" s="129">
        <f t="shared" si="8"/>
        <v>3.3304035631444426</v>
      </c>
      <c r="U18" s="136">
        <f t="shared" si="11"/>
        <v>26.97626886146999</v>
      </c>
      <c r="V18" s="139">
        <f t="shared" si="12"/>
        <v>72.935838032863288</v>
      </c>
      <c r="W18" s="9">
        <f t="shared" si="13"/>
        <v>199.82421378866655</v>
      </c>
      <c r="X18" s="9">
        <f t="shared" si="14"/>
        <v>99.912106894333277</v>
      </c>
      <c r="Y18" s="9">
        <f t="shared" si="15"/>
        <v>66.608071262888856</v>
      </c>
      <c r="Z18" s="9">
        <f t="shared" si="16"/>
        <v>133.21614252577771</v>
      </c>
      <c r="AA18" s="9">
        <f t="shared" si="17"/>
        <v>2597.7147792526653</v>
      </c>
      <c r="AB18" s="9">
        <f t="shared" si="18"/>
        <v>16.652017815722214</v>
      </c>
      <c r="AC18" s="3">
        <f t="shared" si="19"/>
        <v>1.2716086332006054</v>
      </c>
      <c r="AD18" s="137">
        <f t="shared" si="20"/>
        <v>5.4951658791883302</v>
      </c>
    </row>
    <row r="19" spans="1:30" x14ac:dyDescent="0.25">
      <c r="A19" s="118" t="s">
        <v>13</v>
      </c>
      <c r="B19">
        <v>139.728915</v>
      </c>
      <c r="C19">
        <v>307.42070000000001</v>
      </c>
      <c r="D19">
        <v>189.607731</v>
      </c>
      <c r="E19">
        <v>90.057159999999996</v>
      </c>
      <c r="F19">
        <v>21.209</v>
      </c>
      <c r="G19">
        <v>1.6435999999999999</v>
      </c>
      <c r="H19">
        <v>21.2</v>
      </c>
      <c r="I19" s="12">
        <f t="shared" si="9"/>
        <v>770.86710600000004</v>
      </c>
      <c r="J19" s="147">
        <v>190.9</v>
      </c>
      <c r="K19" s="122">
        <f t="shared" si="0"/>
        <v>4191.8674499999997</v>
      </c>
      <c r="L19" s="3">
        <f t="shared" si="1"/>
        <v>18445.242000000002</v>
      </c>
      <c r="M19" s="3">
        <f t="shared" si="2"/>
        <v>5688.2319299999999</v>
      </c>
      <c r="N19" s="3">
        <f t="shared" si="3"/>
        <v>1801.1432</v>
      </c>
      <c r="O19" s="3">
        <f t="shared" si="4"/>
        <v>848.36</v>
      </c>
      <c r="P19" s="3">
        <f t="shared" si="5"/>
        <v>1282.008</v>
      </c>
      <c r="Q19" s="3">
        <f t="shared" si="6"/>
        <v>106</v>
      </c>
      <c r="R19" s="12">
        <f t="shared" si="10"/>
        <v>32362.852580000006</v>
      </c>
      <c r="S19" s="149">
        <f t="shared" si="7"/>
        <v>41.982401801952108</v>
      </c>
      <c r="T19" s="129">
        <f t="shared" si="8"/>
        <v>4.5471433697517396</v>
      </c>
      <c r="U19" s="136">
        <f t="shared" si="11"/>
        <v>36.831861294989096</v>
      </c>
      <c r="V19" s="139">
        <f t="shared" si="12"/>
        <v>99.582439797563097</v>
      </c>
      <c r="W19" s="9">
        <f t="shared" si="13"/>
        <v>272.82860218510439</v>
      </c>
      <c r="X19" s="9">
        <f t="shared" si="14"/>
        <v>136.41430109255219</v>
      </c>
      <c r="Y19" s="9">
        <f t="shared" si="15"/>
        <v>90.942867395034796</v>
      </c>
      <c r="Z19" s="9">
        <f t="shared" si="16"/>
        <v>181.88573479006959</v>
      </c>
      <c r="AA19" s="9">
        <f t="shared" si="17"/>
        <v>3546.7718284063567</v>
      </c>
      <c r="AB19" s="9">
        <f t="shared" si="18"/>
        <v>22.735716848758699</v>
      </c>
      <c r="AC19" s="3">
        <f t="shared" si="19"/>
        <v>1.7361820139052098</v>
      </c>
      <c r="AD19" s="137">
        <f t="shared" si="20"/>
        <v>7.50278656009037</v>
      </c>
    </row>
    <row r="20" spans="1:30" x14ac:dyDescent="0.25">
      <c r="A20" s="118" t="s">
        <v>14</v>
      </c>
      <c r="B20">
        <v>19.744350000000001</v>
      </c>
      <c r="C20">
        <v>5.80335</v>
      </c>
      <c r="D20">
        <v>6.0387199999999996</v>
      </c>
      <c r="E20">
        <v>46.725000000000001</v>
      </c>
      <c r="F20">
        <v>20.859000000000002</v>
      </c>
      <c r="G20">
        <v>2.6039999999999999E-4</v>
      </c>
      <c r="H20">
        <v>25.88</v>
      </c>
      <c r="I20" s="12">
        <f t="shared" si="9"/>
        <v>125.0506804</v>
      </c>
      <c r="J20" s="147">
        <v>4.4000000000000004</v>
      </c>
      <c r="K20" s="122">
        <f t="shared" si="0"/>
        <v>592.33050000000003</v>
      </c>
      <c r="L20" s="3">
        <f t="shared" si="1"/>
        <v>348.20100000000002</v>
      </c>
      <c r="M20" s="3">
        <f t="shared" si="2"/>
        <v>181.16159999999999</v>
      </c>
      <c r="N20" s="3">
        <f t="shared" si="3"/>
        <v>934.5</v>
      </c>
      <c r="O20" s="3">
        <f t="shared" si="4"/>
        <v>834.36000000000013</v>
      </c>
      <c r="P20" s="3">
        <f t="shared" si="5"/>
        <v>0.20311199999999999</v>
      </c>
      <c r="Q20" s="3">
        <f t="shared" si="6"/>
        <v>129.4</v>
      </c>
      <c r="R20" s="12">
        <f t="shared" si="10"/>
        <v>3020.1562120000003</v>
      </c>
      <c r="S20" s="149">
        <f t="shared" si="7"/>
        <v>24.151457651725021</v>
      </c>
      <c r="T20" s="129">
        <f t="shared" si="8"/>
        <v>0.18218362069279614</v>
      </c>
      <c r="U20" s="136">
        <f t="shared" si="11"/>
        <v>1.4756873276116491</v>
      </c>
      <c r="V20" s="139">
        <f t="shared" si="12"/>
        <v>3.9898212931722354</v>
      </c>
      <c r="W20" s="9">
        <f t="shared" si="13"/>
        <v>10.931017241567769</v>
      </c>
      <c r="X20" s="9">
        <f t="shared" si="14"/>
        <v>5.4655086207838846</v>
      </c>
      <c r="Y20" s="9">
        <f t="shared" si="15"/>
        <v>3.6436724138559229</v>
      </c>
      <c r="Z20" s="9">
        <f t="shared" si="16"/>
        <v>7.2873448277118458</v>
      </c>
      <c r="AA20" s="9">
        <f t="shared" si="17"/>
        <v>142.103224140381</v>
      </c>
      <c r="AB20" s="9">
        <f t="shared" si="18"/>
        <v>0.91091810346398072</v>
      </c>
      <c r="AC20" s="3">
        <f t="shared" si="19"/>
        <v>6.9561018809976713E-2</v>
      </c>
      <c r="AD20" s="137">
        <f t="shared" si="20"/>
        <v>0.3006029741431136</v>
      </c>
    </row>
    <row r="21" spans="1:30" x14ac:dyDescent="0.25">
      <c r="A21" s="118" t="s">
        <v>15</v>
      </c>
      <c r="B21">
        <v>1246.9611600000001</v>
      </c>
      <c r="C21">
        <v>280.55173000000002</v>
      </c>
      <c r="D21">
        <v>95.723545999999999</v>
      </c>
      <c r="E21">
        <v>345.14695999999998</v>
      </c>
      <c r="F21">
        <v>45.725999999999999</v>
      </c>
      <c r="G21">
        <v>0</v>
      </c>
      <c r="H21">
        <v>100</v>
      </c>
      <c r="I21" s="12">
        <f t="shared" si="9"/>
        <v>2114.1093959999998</v>
      </c>
      <c r="J21" s="147">
        <v>46.5</v>
      </c>
      <c r="K21" s="122">
        <f t="shared" si="0"/>
        <v>37408.834800000004</v>
      </c>
      <c r="L21" s="3">
        <f t="shared" si="1"/>
        <v>16833.103800000001</v>
      </c>
      <c r="M21" s="3">
        <f t="shared" si="2"/>
        <v>2871.7063800000001</v>
      </c>
      <c r="N21" s="3">
        <f t="shared" si="3"/>
        <v>6902.9391999999998</v>
      </c>
      <c r="O21" s="3">
        <f t="shared" si="4"/>
        <v>1829.04</v>
      </c>
      <c r="P21" s="3">
        <f t="shared" si="5"/>
        <v>0</v>
      </c>
      <c r="Q21" s="3">
        <f t="shared" si="6"/>
        <v>500</v>
      </c>
      <c r="R21" s="12">
        <f t="shared" si="10"/>
        <v>66345.624180000013</v>
      </c>
      <c r="S21" s="149">
        <f t="shared" si="7"/>
        <v>31.382304201253366</v>
      </c>
      <c r="T21" s="129">
        <f t="shared" si="8"/>
        <v>1.4817267623753023</v>
      </c>
      <c r="U21" s="136">
        <f t="shared" si="11"/>
        <v>12.001986775239951</v>
      </c>
      <c r="V21" s="139">
        <f t="shared" si="12"/>
        <v>32.44981609601912</v>
      </c>
      <c r="W21" s="9">
        <f t="shared" si="13"/>
        <v>88.903605742518138</v>
      </c>
      <c r="X21" s="9">
        <f t="shared" si="14"/>
        <v>44.451802871259069</v>
      </c>
      <c r="Y21" s="9">
        <f t="shared" si="15"/>
        <v>29.634535247506047</v>
      </c>
      <c r="Z21" s="9">
        <f t="shared" si="16"/>
        <v>59.269070495012095</v>
      </c>
      <c r="AA21" s="9">
        <f t="shared" si="17"/>
        <v>1155.7468746527359</v>
      </c>
      <c r="AB21" s="9">
        <f t="shared" si="18"/>
        <v>7.4086338118765118</v>
      </c>
      <c r="AC21" s="3">
        <f t="shared" si="19"/>
        <v>0.5657502183614791</v>
      </c>
      <c r="AD21" s="137">
        <f t="shared" si="20"/>
        <v>2.4448491579192488</v>
      </c>
    </row>
    <row r="22" spans="1:30" x14ac:dyDescent="0.25">
      <c r="A22" s="118" t="s">
        <v>16</v>
      </c>
      <c r="B22">
        <v>1508.71894</v>
      </c>
      <c r="C22">
        <v>813.36518999999998</v>
      </c>
      <c r="D22">
        <v>733.891031</v>
      </c>
      <c r="E22">
        <v>588.99033999999995</v>
      </c>
      <c r="F22">
        <v>59.304000000000002</v>
      </c>
      <c r="G22">
        <v>26.5762</v>
      </c>
      <c r="H22">
        <v>132.93440000000001</v>
      </c>
      <c r="I22" s="12">
        <f t="shared" si="9"/>
        <v>3863.7801010000003</v>
      </c>
      <c r="J22" s="147">
        <v>273.7</v>
      </c>
      <c r="K22" s="122">
        <f t="shared" si="0"/>
        <v>45261.568200000002</v>
      </c>
      <c r="L22" s="3">
        <f t="shared" si="1"/>
        <v>48801.911399999997</v>
      </c>
      <c r="M22" s="3">
        <f t="shared" si="2"/>
        <v>22016.730930000002</v>
      </c>
      <c r="N22" s="3">
        <f t="shared" si="3"/>
        <v>11779.806799999998</v>
      </c>
      <c r="O22" s="3">
        <f t="shared" si="4"/>
        <v>2372.16</v>
      </c>
      <c r="P22" s="3">
        <f t="shared" si="5"/>
        <v>20729.436000000002</v>
      </c>
      <c r="Q22" s="3">
        <f t="shared" si="6"/>
        <v>664.67200000000003</v>
      </c>
      <c r="R22" s="12">
        <f t="shared" si="10"/>
        <v>151626.28533000001</v>
      </c>
      <c r="S22" s="149">
        <f t="shared" si="7"/>
        <v>39.242990378970326</v>
      </c>
      <c r="T22" s="129">
        <f t="shared" si="8"/>
        <v>6.9744939760419307</v>
      </c>
      <c r="U22" s="136">
        <f t="shared" si="11"/>
        <v>56.493401205939648</v>
      </c>
      <c r="V22" s="139">
        <f t="shared" si="12"/>
        <v>152.74141807531828</v>
      </c>
      <c r="W22" s="9">
        <f t="shared" si="13"/>
        <v>418.46963856251585</v>
      </c>
      <c r="X22" s="9">
        <f t="shared" si="14"/>
        <v>209.23481928125793</v>
      </c>
      <c r="Y22" s="9">
        <f t="shared" si="15"/>
        <v>139.4898795208386</v>
      </c>
      <c r="Z22" s="9">
        <f t="shared" si="16"/>
        <v>278.9797590416772</v>
      </c>
      <c r="AA22" s="9">
        <f t="shared" si="17"/>
        <v>5440.1053013127057</v>
      </c>
      <c r="AB22" s="9">
        <f t="shared" si="18"/>
        <v>34.87246988020965</v>
      </c>
      <c r="AC22" s="3">
        <f t="shared" si="19"/>
        <v>2.6629886090341919</v>
      </c>
      <c r="AD22" s="137">
        <f t="shared" si="20"/>
        <v>11.507915060469186</v>
      </c>
    </row>
    <row r="23" spans="1:30" x14ac:dyDescent="0.25">
      <c r="A23" s="118" t="s">
        <v>17</v>
      </c>
      <c r="B23">
        <v>102.368765</v>
      </c>
      <c r="C23">
        <v>40.366660000000003</v>
      </c>
      <c r="D23">
        <v>20.782706999999998</v>
      </c>
      <c r="E23">
        <v>8.9381299999999992</v>
      </c>
      <c r="F23">
        <v>0</v>
      </c>
      <c r="G23">
        <v>7.4419799999999994E-2</v>
      </c>
      <c r="H23">
        <v>3.7984</v>
      </c>
      <c r="I23" s="12">
        <f t="shared" si="9"/>
        <v>176.32908179999995</v>
      </c>
      <c r="J23" s="147">
        <v>33.200000000000003</v>
      </c>
      <c r="K23" s="122">
        <f t="shared" si="0"/>
        <v>3071.06295</v>
      </c>
      <c r="L23" s="3">
        <f t="shared" si="1"/>
        <v>2421.9996000000001</v>
      </c>
      <c r="M23" s="3">
        <f t="shared" si="2"/>
        <v>623.48120999999992</v>
      </c>
      <c r="N23" s="3">
        <f t="shared" si="3"/>
        <v>178.76259999999999</v>
      </c>
      <c r="O23" s="3">
        <f t="shared" si="4"/>
        <v>0</v>
      </c>
      <c r="P23" s="3">
        <f t="shared" si="5"/>
        <v>58.047443999999999</v>
      </c>
      <c r="Q23" s="3">
        <f t="shared" si="6"/>
        <v>18.992000000000001</v>
      </c>
      <c r="R23" s="12">
        <f t="shared" si="10"/>
        <v>6372.3458040000005</v>
      </c>
      <c r="S23" s="149">
        <f t="shared" si="7"/>
        <v>36.138938279210173</v>
      </c>
      <c r="T23" s="129">
        <f t="shared" si="8"/>
        <v>0.91867668450844153</v>
      </c>
      <c r="U23" s="136">
        <f t="shared" si="11"/>
        <v>7.4412811445183777</v>
      </c>
      <c r="V23" s="139">
        <f t="shared" si="12"/>
        <v>20.11901939073487</v>
      </c>
      <c r="W23" s="9">
        <f t="shared" si="13"/>
        <v>55.120601070506495</v>
      </c>
      <c r="X23" s="9">
        <f t="shared" si="14"/>
        <v>27.560300535253248</v>
      </c>
      <c r="Y23" s="9">
        <f t="shared" si="15"/>
        <v>18.373533690168831</v>
      </c>
      <c r="Z23" s="9">
        <f t="shared" si="16"/>
        <v>36.747067380337661</v>
      </c>
      <c r="AA23" s="9">
        <f t="shared" si="17"/>
        <v>716.56781391658444</v>
      </c>
      <c r="AB23" s="9">
        <f t="shared" si="18"/>
        <v>4.5933834225422077</v>
      </c>
      <c r="AC23" s="3">
        <f t="shared" si="19"/>
        <v>0.3507674613577686</v>
      </c>
      <c r="AD23" s="137">
        <f t="shared" si="20"/>
        <v>1.5158165294389285</v>
      </c>
    </row>
    <row r="24" spans="1:30" x14ac:dyDescent="0.25">
      <c r="A24" s="118" t="s">
        <v>18</v>
      </c>
      <c r="B24">
        <v>186.61425500000001</v>
      </c>
      <c r="C24">
        <v>70.176749999999998</v>
      </c>
      <c r="D24">
        <v>56.929338000000001</v>
      </c>
      <c r="E24">
        <v>12.946440000000001</v>
      </c>
      <c r="F24">
        <v>3.7490000000000001</v>
      </c>
      <c r="G24">
        <v>7.7092400000000005E-2</v>
      </c>
      <c r="H24">
        <v>6.2656000000000001</v>
      </c>
      <c r="I24" s="12">
        <f t="shared" si="9"/>
        <v>336.75847540000012</v>
      </c>
      <c r="J24" s="147">
        <v>34.200000000000003</v>
      </c>
      <c r="K24" s="122">
        <f t="shared" si="0"/>
        <v>5598.4276500000005</v>
      </c>
      <c r="L24" s="3">
        <f t="shared" si="1"/>
        <v>4210.6049999999996</v>
      </c>
      <c r="M24" s="3">
        <f t="shared" si="2"/>
        <v>1707.88014</v>
      </c>
      <c r="N24" s="3">
        <f t="shared" si="3"/>
        <v>258.92880000000002</v>
      </c>
      <c r="O24" s="3">
        <f t="shared" si="4"/>
        <v>149.96</v>
      </c>
      <c r="P24" s="3">
        <f t="shared" si="5"/>
        <v>60.132072000000001</v>
      </c>
      <c r="Q24" s="3">
        <f t="shared" si="6"/>
        <v>31.327999999999999</v>
      </c>
      <c r="R24" s="12">
        <f t="shared" si="10"/>
        <v>12017.261661999999</v>
      </c>
      <c r="S24" s="149">
        <f t="shared" si="7"/>
        <v>35.68510531984667</v>
      </c>
      <c r="T24" s="129">
        <f t="shared" si="8"/>
        <v>0.95838304787009532</v>
      </c>
      <c r="U24" s="136">
        <f t="shared" si="11"/>
        <v>7.7629026877477738</v>
      </c>
      <c r="V24" s="139">
        <f t="shared" si="12"/>
        <v>20.988588748355085</v>
      </c>
      <c r="W24" s="9">
        <f t="shared" si="13"/>
        <v>57.50298287220572</v>
      </c>
      <c r="X24" s="9">
        <f t="shared" si="14"/>
        <v>28.75149143610286</v>
      </c>
      <c r="Y24" s="9">
        <f t="shared" si="15"/>
        <v>19.167660957401907</v>
      </c>
      <c r="Z24" s="9">
        <f t="shared" si="16"/>
        <v>38.335321914803814</v>
      </c>
      <c r="AA24" s="9">
        <f t="shared" si="17"/>
        <v>747.53877733867432</v>
      </c>
      <c r="AB24" s="9">
        <f t="shared" si="18"/>
        <v>4.7919152393504767</v>
      </c>
      <c r="AC24" s="3">
        <f t="shared" si="19"/>
        <v>0.36592807282312734</v>
      </c>
      <c r="AD24" s="137">
        <f t="shared" si="20"/>
        <v>1.5813320289856572</v>
      </c>
    </row>
    <row r="25" spans="1:30" x14ac:dyDescent="0.25">
      <c r="A25" s="118" t="s">
        <v>19</v>
      </c>
      <c r="B25">
        <v>40.705024999999999</v>
      </c>
      <c r="C25">
        <v>11.303884999999999</v>
      </c>
      <c r="D25">
        <v>0.102987</v>
      </c>
      <c r="E25">
        <v>0.74066500000000002</v>
      </c>
      <c r="F25">
        <v>0</v>
      </c>
      <c r="G25">
        <v>0</v>
      </c>
      <c r="H25">
        <v>1.8160000000000001</v>
      </c>
      <c r="I25" s="12">
        <f t="shared" si="9"/>
        <v>54.668562000000001</v>
      </c>
      <c r="J25" s="147">
        <v>35.1</v>
      </c>
      <c r="K25" s="122">
        <f t="shared" si="0"/>
        <v>1221.15075</v>
      </c>
      <c r="L25" s="3">
        <f t="shared" si="1"/>
        <v>678.23309999999992</v>
      </c>
      <c r="M25" s="3">
        <f t="shared" si="2"/>
        <v>3.08961</v>
      </c>
      <c r="N25" s="3">
        <f t="shared" si="3"/>
        <v>14.8133</v>
      </c>
      <c r="O25" s="3">
        <f t="shared" si="4"/>
        <v>0</v>
      </c>
      <c r="P25" s="3">
        <f t="shared" si="5"/>
        <v>0</v>
      </c>
      <c r="Q25" s="3">
        <f t="shared" si="6"/>
        <v>9.08</v>
      </c>
      <c r="R25" s="12">
        <f t="shared" si="10"/>
        <v>1926.3667599999999</v>
      </c>
      <c r="S25" s="149">
        <f t="shared" si="7"/>
        <v>35.237194642141858</v>
      </c>
      <c r="T25" s="129">
        <f t="shared" si="8"/>
        <v>0.99610653902686741</v>
      </c>
      <c r="U25" s="136">
        <f t="shared" si="11"/>
        <v>8.068462966117627</v>
      </c>
      <c r="V25" s="139">
        <f t="shared" si="12"/>
        <v>21.814733204688395</v>
      </c>
      <c r="W25" s="9">
        <f t="shared" si="13"/>
        <v>59.766392341612047</v>
      </c>
      <c r="X25" s="9">
        <f t="shared" si="14"/>
        <v>29.883196170806023</v>
      </c>
      <c r="Y25" s="9">
        <f t="shared" si="15"/>
        <v>19.922130780537348</v>
      </c>
      <c r="Z25" s="9">
        <f t="shared" si="16"/>
        <v>39.844261561074696</v>
      </c>
      <c r="AA25" s="9">
        <f t="shared" si="17"/>
        <v>776.96310044095662</v>
      </c>
      <c r="AB25" s="9">
        <f t="shared" si="18"/>
        <v>4.9805326951343369</v>
      </c>
      <c r="AC25" s="3">
        <f t="shared" si="19"/>
        <v>0.38033158762844033</v>
      </c>
      <c r="AD25" s="137">
        <f t="shared" si="20"/>
        <v>1.6435757893943312</v>
      </c>
    </row>
    <row r="26" spans="1:30" x14ac:dyDescent="0.25">
      <c r="A26" s="118" t="s">
        <v>20</v>
      </c>
      <c r="B26">
        <v>4.5557749999999997</v>
      </c>
      <c r="C26">
        <v>4.5014849999999997</v>
      </c>
      <c r="D26">
        <v>2.1264500000000002</v>
      </c>
      <c r="E26">
        <v>0.97573500000000002</v>
      </c>
      <c r="F26">
        <v>0</v>
      </c>
      <c r="G26">
        <v>6.5911999999999998E-2</v>
      </c>
      <c r="H26">
        <v>1.4712000000000001</v>
      </c>
      <c r="I26" s="12">
        <f t="shared" si="9"/>
        <v>13.696557</v>
      </c>
      <c r="J26" s="147">
        <v>129</v>
      </c>
      <c r="K26" s="122">
        <f t="shared" si="0"/>
        <v>136.67325</v>
      </c>
      <c r="L26" s="3">
        <f t="shared" si="1"/>
        <v>270.08909999999997</v>
      </c>
      <c r="M26" s="3">
        <f t="shared" si="2"/>
        <v>63.793500000000009</v>
      </c>
      <c r="N26" s="3">
        <f t="shared" si="3"/>
        <v>19.514700000000001</v>
      </c>
      <c r="O26" s="3">
        <f t="shared" si="4"/>
        <v>0</v>
      </c>
      <c r="P26" s="3">
        <f t="shared" si="5"/>
        <v>51.411360000000002</v>
      </c>
      <c r="Q26" s="3">
        <f t="shared" si="6"/>
        <v>7.3559999999999999</v>
      </c>
      <c r="R26" s="12">
        <f t="shared" si="10"/>
        <v>548.83790999999997</v>
      </c>
      <c r="S26" s="149">
        <f t="shared" si="7"/>
        <v>40.071231770144855</v>
      </c>
      <c r="T26" s="129">
        <f t="shared" si="8"/>
        <v>3.2192671475627481</v>
      </c>
      <c r="U26" s="136">
        <f t="shared" si="11"/>
        <v>26.076063895258265</v>
      </c>
      <c r="V26" s="139">
        <f t="shared" si="12"/>
        <v>70.501950531624175</v>
      </c>
      <c r="W26" s="9">
        <f t="shared" si="13"/>
        <v>193.15602885376489</v>
      </c>
      <c r="X26" s="9">
        <f t="shared" si="14"/>
        <v>96.578014426882447</v>
      </c>
      <c r="Y26" s="9">
        <f t="shared" si="15"/>
        <v>64.385342951254955</v>
      </c>
      <c r="Z26" s="9">
        <f t="shared" si="16"/>
        <v>128.77068590250991</v>
      </c>
      <c r="AA26" s="9">
        <f t="shared" si="17"/>
        <v>2511.0283750989433</v>
      </c>
      <c r="AB26" s="9">
        <f t="shared" si="18"/>
        <v>16.096335737813739</v>
      </c>
      <c r="AC26" s="3">
        <f t="shared" si="19"/>
        <v>1.2291747290694131</v>
      </c>
      <c r="AD26" s="137">
        <f t="shared" si="20"/>
        <v>5.3117907934785338</v>
      </c>
    </row>
    <row r="27" spans="1:30" x14ac:dyDescent="0.25">
      <c r="A27" s="118" t="s">
        <v>21</v>
      </c>
      <c r="B27">
        <v>1159.87751</v>
      </c>
      <c r="C27">
        <v>1616.259605</v>
      </c>
      <c r="D27">
        <v>377.36909100000003</v>
      </c>
      <c r="E27">
        <v>92.459980000000002</v>
      </c>
      <c r="F27">
        <v>60</v>
      </c>
      <c r="G27">
        <v>0.48005999999999999</v>
      </c>
      <c r="H27">
        <v>34.228000000000002</v>
      </c>
      <c r="I27" s="12">
        <f t="shared" si="9"/>
        <v>3340.674246</v>
      </c>
      <c r="J27" s="147">
        <v>56.2</v>
      </c>
      <c r="K27" s="122">
        <f t="shared" si="0"/>
        <v>34796.325300000004</v>
      </c>
      <c r="L27" s="3">
        <f t="shared" si="1"/>
        <v>96975.576300000001</v>
      </c>
      <c r="M27" s="3">
        <f t="shared" si="2"/>
        <v>11321.07273</v>
      </c>
      <c r="N27" s="3">
        <f t="shared" si="3"/>
        <v>1849.1995999999999</v>
      </c>
      <c r="O27" s="3">
        <f t="shared" si="4"/>
        <v>2400</v>
      </c>
      <c r="P27" s="3">
        <f t="shared" si="5"/>
        <v>374.4468</v>
      </c>
      <c r="Q27" s="3">
        <f t="shared" si="6"/>
        <v>171.14000000000001</v>
      </c>
      <c r="R27" s="12">
        <f t="shared" si="10"/>
        <v>147887.76073000001</v>
      </c>
      <c r="S27" s="149">
        <f t="shared" si="7"/>
        <v>44.268836121054115</v>
      </c>
      <c r="T27" s="129">
        <f t="shared" si="8"/>
        <v>1.2695160958449383</v>
      </c>
      <c r="U27" s="136">
        <f t="shared" si="11"/>
        <v>10.283080376344001</v>
      </c>
      <c r="V27" s="139">
        <f t="shared" si="12"/>
        <v>27.802402499004145</v>
      </c>
      <c r="W27" s="9">
        <f t="shared" si="13"/>
        <v>76.170965750696297</v>
      </c>
      <c r="X27" s="9">
        <f t="shared" si="14"/>
        <v>38.085482875348148</v>
      </c>
      <c r="Y27" s="9">
        <f t="shared" si="15"/>
        <v>25.390321916898767</v>
      </c>
      <c r="Z27" s="9">
        <f t="shared" si="16"/>
        <v>50.780643833797534</v>
      </c>
      <c r="AA27" s="9">
        <f t="shared" si="17"/>
        <v>990.22255475905183</v>
      </c>
      <c r="AB27" s="9">
        <f t="shared" si="18"/>
        <v>6.3475804792246917</v>
      </c>
      <c r="AC27" s="3">
        <f t="shared" si="19"/>
        <v>0.48472432750443101</v>
      </c>
      <c r="AD27" s="137">
        <f t="shared" si="20"/>
        <v>2.0947015581441479</v>
      </c>
    </row>
    <row r="28" spans="1:30" x14ac:dyDescent="0.25">
      <c r="A28" s="118" t="s">
        <v>22</v>
      </c>
      <c r="B28">
        <v>217.73704000000001</v>
      </c>
      <c r="C28">
        <v>128.51942500000001</v>
      </c>
      <c r="D28">
        <v>65.518009000000006</v>
      </c>
      <c r="E28">
        <v>112.800755</v>
      </c>
      <c r="F28">
        <v>1286.67</v>
      </c>
      <c r="G28">
        <v>0</v>
      </c>
      <c r="H28">
        <v>50</v>
      </c>
      <c r="I28" s="12">
        <f t="shared" si="9"/>
        <v>1861.2452290000001</v>
      </c>
      <c r="J28" s="147">
        <v>3</v>
      </c>
      <c r="K28" s="122">
        <f t="shared" si="0"/>
        <v>6532.1112000000003</v>
      </c>
      <c r="L28" s="3">
        <f t="shared" si="1"/>
        <v>7711.165500000001</v>
      </c>
      <c r="M28" s="3">
        <f t="shared" si="2"/>
        <v>1965.5402700000002</v>
      </c>
      <c r="N28" s="3">
        <f t="shared" si="3"/>
        <v>2256.0151000000001</v>
      </c>
      <c r="O28" s="3">
        <f t="shared" si="4"/>
        <v>51466.8</v>
      </c>
      <c r="P28" s="3">
        <f t="shared" si="5"/>
        <v>0</v>
      </c>
      <c r="Q28" s="3">
        <f t="shared" si="6"/>
        <v>250</v>
      </c>
      <c r="R28" s="12">
        <f t="shared" si="10"/>
        <v>70181.632070000007</v>
      </c>
      <c r="S28" s="149">
        <f t="shared" si="7"/>
        <v>37.706816370300018</v>
      </c>
      <c r="T28" s="129">
        <f t="shared" si="8"/>
        <v>7.9561211706087348E-2</v>
      </c>
      <c r="U28" s="136">
        <f t="shared" si="11"/>
        <v>0.64444581481930763</v>
      </c>
      <c r="V28" s="139">
        <f t="shared" si="12"/>
        <v>1.7423905363633128</v>
      </c>
      <c r="W28" s="9">
        <f t="shared" si="13"/>
        <v>4.773672702365241</v>
      </c>
      <c r="X28" s="9">
        <f t="shared" si="14"/>
        <v>2.3868363511826205</v>
      </c>
      <c r="Y28" s="9">
        <f t="shared" si="15"/>
        <v>1.5912242341217468</v>
      </c>
      <c r="Z28" s="9">
        <f t="shared" si="16"/>
        <v>3.1824484682434937</v>
      </c>
      <c r="AA28" s="9">
        <f t="shared" si="17"/>
        <v>62.057745130748131</v>
      </c>
      <c r="AB28" s="9">
        <f t="shared" si="18"/>
        <v>0.39780605853043671</v>
      </c>
      <c r="AC28" s="3">
        <f t="shared" si="19"/>
        <v>3.0377917196869716E-2</v>
      </c>
      <c r="AD28" s="137">
        <f t="shared" si="20"/>
        <v>0.13127599931504411</v>
      </c>
    </row>
    <row r="29" spans="1:30" x14ac:dyDescent="0.25">
      <c r="A29" s="118" t="s">
        <v>23</v>
      </c>
      <c r="B29">
        <v>1616.5516150000001</v>
      </c>
      <c r="C29">
        <v>1472.3781449999999</v>
      </c>
      <c r="D29">
        <v>1309.107544</v>
      </c>
      <c r="E29">
        <v>18.440619999999999</v>
      </c>
      <c r="F29">
        <v>35.41807</v>
      </c>
      <c r="G29">
        <v>1.6588362000000001</v>
      </c>
      <c r="H29">
        <v>120.8224</v>
      </c>
      <c r="I29" s="12">
        <f t="shared" si="9"/>
        <v>4574.3772301999998</v>
      </c>
      <c r="J29" s="147">
        <v>163.9</v>
      </c>
      <c r="K29" s="122">
        <f t="shared" si="0"/>
        <v>48496.548450000002</v>
      </c>
      <c r="L29" s="3">
        <f t="shared" si="1"/>
        <v>88342.688699999999</v>
      </c>
      <c r="M29" s="3">
        <f t="shared" si="2"/>
        <v>39273.226320000002</v>
      </c>
      <c r="N29" s="3">
        <f t="shared" si="3"/>
        <v>368.81239999999997</v>
      </c>
      <c r="O29" s="3">
        <f t="shared" si="4"/>
        <v>1416.7228</v>
      </c>
      <c r="P29" s="3">
        <f t="shared" si="5"/>
        <v>1293.8922360000001</v>
      </c>
      <c r="Q29" s="3">
        <f t="shared" si="6"/>
        <v>604.11199999999997</v>
      </c>
      <c r="R29" s="12">
        <f t="shared" si="10"/>
        <v>179796.00290600001</v>
      </c>
      <c r="S29" s="149">
        <f t="shared" si="7"/>
        <v>39.305023144787519</v>
      </c>
      <c r="T29" s="129">
        <f t="shared" si="8"/>
        <v>4.1699504767175233</v>
      </c>
      <c r="U29" s="136">
        <f t="shared" si="11"/>
        <v>33.776598861411948</v>
      </c>
      <c r="V29" s="139">
        <f t="shared" si="12"/>
        <v>91.321915440113756</v>
      </c>
      <c r="W29" s="9">
        <f t="shared" si="13"/>
        <v>250.19702860305139</v>
      </c>
      <c r="X29" s="9">
        <f t="shared" si="14"/>
        <v>125.0985143015257</v>
      </c>
      <c r="Y29" s="9">
        <f t="shared" si="15"/>
        <v>83.399009534350469</v>
      </c>
      <c r="Z29" s="9">
        <f t="shared" si="16"/>
        <v>166.79801906870094</v>
      </c>
      <c r="AA29" s="9">
        <f t="shared" si="17"/>
        <v>3252.561371839668</v>
      </c>
      <c r="AB29" s="9">
        <f t="shared" si="18"/>
        <v>20.849752383587617</v>
      </c>
      <c r="AC29" s="3">
        <f t="shared" si="19"/>
        <v>1.5921629092921452</v>
      </c>
      <c r="AD29" s="137">
        <f t="shared" si="20"/>
        <v>6.8804182865839127</v>
      </c>
    </row>
    <row r="30" spans="1:30" x14ac:dyDescent="0.25">
      <c r="A30" s="118" t="s">
        <v>24</v>
      </c>
      <c r="B30">
        <v>222.70121</v>
      </c>
      <c r="C30">
        <v>344.24597999999997</v>
      </c>
      <c r="D30">
        <v>223.50913199999999</v>
      </c>
      <c r="E30">
        <v>185.07492999999999</v>
      </c>
      <c r="F30">
        <v>11.259</v>
      </c>
      <c r="G30">
        <v>5.6108219999999998</v>
      </c>
      <c r="H30">
        <v>30.8</v>
      </c>
      <c r="I30" s="12">
        <f t="shared" si="9"/>
        <v>1023.2010739999999</v>
      </c>
      <c r="J30" s="147">
        <v>132.1</v>
      </c>
      <c r="K30" s="122">
        <f t="shared" si="0"/>
        <v>6681.0362999999998</v>
      </c>
      <c r="L30" s="3">
        <f t="shared" si="1"/>
        <v>20654.7588</v>
      </c>
      <c r="M30" s="3">
        <f t="shared" si="2"/>
        <v>6705.2739599999995</v>
      </c>
      <c r="N30" s="3">
        <f t="shared" si="3"/>
        <v>3701.4985999999999</v>
      </c>
      <c r="O30" s="3">
        <f t="shared" si="4"/>
        <v>450.36</v>
      </c>
      <c r="P30" s="3">
        <f t="shared" si="5"/>
        <v>4376.4411599999994</v>
      </c>
      <c r="Q30" s="3">
        <f t="shared" si="6"/>
        <v>154</v>
      </c>
      <c r="R30" s="12">
        <f t="shared" si="10"/>
        <v>42723.368820000003</v>
      </c>
      <c r="S30" s="149">
        <f t="shared" si="7"/>
        <v>41.754616864289964</v>
      </c>
      <c r="T30" s="129">
        <f t="shared" si="8"/>
        <v>3.163722000595738</v>
      </c>
      <c r="U30" s="136">
        <f t="shared" si="11"/>
        <v>25.626148204825483</v>
      </c>
      <c r="V30" s="139">
        <f t="shared" si="12"/>
        <v>69.285511813046654</v>
      </c>
      <c r="W30" s="9">
        <f t="shared" si="13"/>
        <v>189.82332003574427</v>
      </c>
      <c r="X30" s="9">
        <f t="shared" si="14"/>
        <v>94.911660017872137</v>
      </c>
      <c r="Y30" s="9">
        <f t="shared" si="15"/>
        <v>63.274440011914763</v>
      </c>
      <c r="Z30" s="9">
        <f t="shared" si="16"/>
        <v>126.54888002382953</v>
      </c>
      <c r="AA30" s="9">
        <f t="shared" si="17"/>
        <v>2467.7031604646759</v>
      </c>
      <c r="AB30" s="9">
        <f t="shared" si="18"/>
        <v>15.818610002978691</v>
      </c>
      <c r="AC30" s="3">
        <f t="shared" si="19"/>
        <v>1.2079665820456456</v>
      </c>
      <c r="AD30" s="137">
        <f t="shared" si="20"/>
        <v>5.2201413009829674</v>
      </c>
    </row>
    <row r="31" spans="1:30" x14ac:dyDescent="0.25">
      <c r="A31" s="118" t="s">
        <v>25</v>
      </c>
      <c r="B31">
        <v>827.28168500000004</v>
      </c>
      <c r="C31">
        <v>477.25945999999999</v>
      </c>
      <c r="D31">
        <v>481.36431900000002</v>
      </c>
      <c r="E31">
        <v>983.39371500000004</v>
      </c>
      <c r="F31">
        <v>8.4429999999999996</v>
      </c>
      <c r="G31">
        <v>1.19994E-2</v>
      </c>
      <c r="H31">
        <v>138.48480000000001</v>
      </c>
      <c r="I31" s="12">
        <f t="shared" si="9"/>
        <v>2916.2389784000006</v>
      </c>
      <c r="J31" s="147">
        <v>90.1</v>
      </c>
      <c r="K31" s="122">
        <f t="shared" si="0"/>
        <v>24818.450550000001</v>
      </c>
      <c r="L31" s="3">
        <f t="shared" si="1"/>
        <v>28635.567599999998</v>
      </c>
      <c r="M31" s="3">
        <f t="shared" si="2"/>
        <v>14440.92957</v>
      </c>
      <c r="N31" s="3">
        <f t="shared" si="3"/>
        <v>19667.874299999999</v>
      </c>
      <c r="O31" s="3">
        <f t="shared" si="4"/>
        <v>337.71999999999997</v>
      </c>
      <c r="P31" s="3">
        <f t="shared" si="5"/>
        <v>9.3595319999999997</v>
      </c>
      <c r="Q31" s="3">
        <f t="shared" si="6"/>
        <v>692.42399999999998</v>
      </c>
      <c r="R31" s="12">
        <f t="shared" si="10"/>
        <v>88602.325551999995</v>
      </c>
      <c r="S31" s="149">
        <f t="shared" si="7"/>
        <v>30.382395341485974</v>
      </c>
      <c r="T31" s="129">
        <f t="shared" si="8"/>
        <v>2.9655331315161964</v>
      </c>
      <c r="U31" s="136">
        <f t="shared" si="11"/>
        <v>24.020818365281194</v>
      </c>
      <c r="V31" s="139">
        <f t="shared" si="12"/>
        <v>64.94517558020469</v>
      </c>
      <c r="W31" s="9">
        <f t="shared" si="13"/>
        <v>177.93198789097178</v>
      </c>
      <c r="X31" s="9">
        <f t="shared" si="14"/>
        <v>88.965993945485891</v>
      </c>
      <c r="Y31" s="9">
        <f t="shared" si="15"/>
        <v>59.310662630323925</v>
      </c>
      <c r="Z31" s="9">
        <f t="shared" si="16"/>
        <v>118.62132526064785</v>
      </c>
      <c r="AA31" s="9">
        <f t="shared" si="17"/>
        <v>2313.1158425826334</v>
      </c>
      <c r="AB31" s="9">
        <f t="shared" si="18"/>
        <v>14.827665657580981</v>
      </c>
      <c r="AC31" s="3">
        <f t="shared" si="19"/>
        <v>1.1322944683970932</v>
      </c>
      <c r="AD31" s="137">
        <f t="shared" si="20"/>
        <v>4.8931296670017241</v>
      </c>
    </row>
    <row r="32" spans="1:30" x14ac:dyDescent="0.25">
      <c r="A32" s="118" t="s">
        <v>26</v>
      </c>
      <c r="B32">
        <v>91.404525000000007</v>
      </c>
      <c r="C32">
        <v>45.731465</v>
      </c>
      <c r="D32">
        <v>51.369354000000001</v>
      </c>
      <c r="E32">
        <v>29.64265</v>
      </c>
      <c r="F32">
        <v>1.119</v>
      </c>
      <c r="G32">
        <v>1.44844E-2</v>
      </c>
      <c r="H32">
        <v>5.6096000000000004</v>
      </c>
      <c r="I32" s="12">
        <f t="shared" si="9"/>
        <v>224.89107839999997</v>
      </c>
      <c r="J32" s="147">
        <v>61.8</v>
      </c>
      <c r="K32" s="122">
        <f t="shared" si="0"/>
        <v>2742.1357500000004</v>
      </c>
      <c r="L32" s="3">
        <f t="shared" si="1"/>
        <v>2743.8879000000002</v>
      </c>
      <c r="M32" s="3">
        <f t="shared" si="2"/>
        <v>1541.08062</v>
      </c>
      <c r="N32" s="3">
        <f t="shared" si="3"/>
        <v>592.85299999999995</v>
      </c>
      <c r="O32" s="3">
        <f t="shared" si="4"/>
        <v>44.76</v>
      </c>
      <c r="P32" s="3">
        <f t="shared" si="5"/>
        <v>11.297832</v>
      </c>
      <c r="Q32" s="3">
        <f t="shared" si="6"/>
        <v>28.048000000000002</v>
      </c>
      <c r="R32" s="12">
        <f t="shared" si="10"/>
        <v>7704.063102000001</v>
      </c>
      <c r="S32" s="149">
        <f t="shared" si="7"/>
        <v>34.256864064199362</v>
      </c>
      <c r="T32" s="129">
        <f t="shared" si="8"/>
        <v>1.8040180176499283</v>
      </c>
      <c r="U32" s="136">
        <f t="shared" si="11"/>
        <v>14.612545942964422</v>
      </c>
      <c r="V32" s="139">
        <f t="shared" si="12"/>
        <v>39.507994586533428</v>
      </c>
      <c r="W32" s="9">
        <f t="shared" si="13"/>
        <v>108.2410810589957</v>
      </c>
      <c r="X32" s="9">
        <f t="shared" si="14"/>
        <v>54.120540529497852</v>
      </c>
      <c r="Y32" s="9">
        <f t="shared" si="15"/>
        <v>36.080360352998568</v>
      </c>
      <c r="Z32" s="9">
        <f t="shared" si="16"/>
        <v>72.160720705997136</v>
      </c>
      <c r="AA32" s="9">
        <f t="shared" si="17"/>
        <v>1407.1340537669441</v>
      </c>
      <c r="AB32" s="9">
        <f t="shared" si="18"/>
        <v>9.020090088249642</v>
      </c>
      <c r="AC32" s="3">
        <f t="shared" si="19"/>
        <v>0.68880687946633634</v>
      </c>
      <c r="AD32" s="137">
        <f t="shared" si="20"/>
        <v>2.9766297291223816</v>
      </c>
    </row>
    <row r="33" spans="1:30" x14ac:dyDescent="0.25">
      <c r="A33" s="118" t="s">
        <v>27</v>
      </c>
      <c r="B33">
        <v>102.561285</v>
      </c>
      <c r="C33">
        <v>18.268004999999999</v>
      </c>
      <c r="D33">
        <v>41.670214999999999</v>
      </c>
      <c r="E33">
        <v>9.0626499999999997</v>
      </c>
      <c r="F33">
        <v>2.0030000000000001</v>
      </c>
      <c r="G33">
        <v>1.5822800000000001E-2</v>
      </c>
      <c r="H33">
        <v>10.3392</v>
      </c>
      <c r="I33" s="12">
        <f t="shared" si="9"/>
        <v>183.9201778</v>
      </c>
      <c r="J33" s="147">
        <v>36.6</v>
      </c>
      <c r="K33" s="122">
        <f t="shared" si="0"/>
        <v>3076.8385499999999</v>
      </c>
      <c r="L33" s="3">
        <f t="shared" si="1"/>
        <v>1096.0802999999999</v>
      </c>
      <c r="M33" s="3">
        <f t="shared" si="2"/>
        <v>1250.10645</v>
      </c>
      <c r="N33" s="3">
        <f t="shared" si="3"/>
        <v>181.25299999999999</v>
      </c>
      <c r="O33" s="3">
        <f t="shared" si="4"/>
        <v>80.12</v>
      </c>
      <c r="P33" s="3">
        <f t="shared" si="5"/>
        <v>12.341784000000001</v>
      </c>
      <c r="Q33" s="3">
        <f t="shared" si="6"/>
        <v>51.695999999999998</v>
      </c>
      <c r="R33" s="12">
        <f t="shared" si="10"/>
        <v>5748.4360839999999</v>
      </c>
      <c r="S33" s="149">
        <f t="shared" si="7"/>
        <v>31.25505941088754</v>
      </c>
      <c r="T33" s="129">
        <f t="shared" si="8"/>
        <v>1.1710104120694962</v>
      </c>
      <c r="U33" s="136">
        <f t="shared" si="11"/>
        <v>9.4851843377629201</v>
      </c>
      <c r="V33" s="139">
        <f t="shared" si="12"/>
        <v>25.645128024321966</v>
      </c>
      <c r="W33" s="9">
        <f t="shared" si="13"/>
        <v>70.260624724169773</v>
      </c>
      <c r="X33" s="9">
        <f t="shared" si="14"/>
        <v>35.130312362084887</v>
      </c>
      <c r="Y33" s="9">
        <f t="shared" si="15"/>
        <v>23.420208241389922</v>
      </c>
      <c r="Z33" s="9">
        <f t="shared" si="16"/>
        <v>46.840416482779844</v>
      </c>
      <c r="AA33" s="9">
        <f t="shared" si="17"/>
        <v>913.38812141420703</v>
      </c>
      <c r="AB33" s="9">
        <f t="shared" si="18"/>
        <v>5.8550520603474805</v>
      </c>
      <c r="AC33" s="3">
        <f t="shared" si="19"/>
        <v>0.44711306642653492</v>
      </c>
      <c r="AD33" s="137">
        <f t="shared" si="20"/>
        <v>1.9321671799146687</v>
      </c>
    </row>
    <row r="34" spans="1:30" x14ac:dyDescent="0.25">
      <c r="A34" s="118" t="s">
        <v>28</v>
      </c>
      <c r="B34">
        <v>882.03518499999996</v>
      </c>
      <c r="C34">
        <v>3902.264165</v>
      </c>
      <c r="D34">
        <v>819.98839599999997</v>
      </c>
      <c r="E34">
        <v>1414.2748899999999</v>
      </c>
      <c r="F34">
        <v>351.05099999999999</v>
      </c>
      <c r="G34">
        <v>64.234800000000007</v>
      </c>
      <c r="H34">
        <v>250.648</v>
      </c>
      <c r="I34" s="12">
        <f t="shared" si="9"/>
        <v>7684.4964360000004</v>
      </c>
      <c r="J34" s="147">
        <v>230.3</v>
      </c>
      <c r="K34" s="122">
        <f t="shared" si="0"/>
        <v>26461.055549999997</v>
      </c>
      <c r="L34" s="3">
        <f t="shared" si="1"/>
        <v>234135.8499</v>
      </c>
      <c r="M34" s="3">
        <f t="shared" si="2"/>
        <v>24599.651879999998</v>
      </c>
      <c r="N34" s="3">
        <f t="shared" si="3"/>
        <v>28285.497799999997</v>
      </c>
      <c r="O34" s="3">
        <f t="shared" si="4"/>
        <v>14042.039999999999</v>
      </c>
      <c r="P34" s="3">
        <f t="shared" si="5"/>
        <v>50103.144000000008</v>
      </c>
      <c r="Q34" s="3">
        <f t="shared" si="6"/>
        <v>1253.24</v>
      </c>
      <c r="R34" s="12">
        <f t="shared" si="10"/>
        <v>378880.47912999999</v>
      </c>
      <c r="S34" s="149">
        <f t="shared" si="7"/>
        <v>49.304529227840739</v>
      </c>
      <c r="T34" s="129">
        <f t="shared" si="8"/>
        <v>4.6709704687730138</v>
      </c>
      <c r="U34" s="136">
        <f t="shared" si="11"/>
        <v>37.834860797061417</v>
      </c>
      <c r="V34" s="139">
        <f t="shared" si="12"/>
        <v>102.29425326612899</v>
      </c>
      <c r="W34" s="9">
        <f t="shared" si="13"/>
        <v>280.2582281263808</v>
      </c>
      <c r="X34" s="9">
        <f t="shared" si="14"/>
        <v>140.1291140631904</v>
      </c>
      <c r="Y34" s="9">
        <f t="shared" si="15"/>
        <v>93.419409375460276</v>
      </c>
      <c r="Z34" s="9">
        <f t="shared" si="16"/>
        <v>186.83881875092055</v>
      </c>
      <c r="AA34" s="9">
        <f t="shared" si="17"/>
        <v>3643.3569656429509</v>
      </c>
      <c r="AB34" s="9">
        <f t="shared" si="18"/>
        <v>23.354852343865069</v>
      </c>
      <c r="AC34" s="3">
        <f t="shared" si="19"/>
        <v>1.7834614517133327</v>
      </c>
      <c r="AD34" s="137">
        <f t="shared" si="20"/>
        <v>7.7071012734754722</v>
      </c>
    </row>
    <row r="35" spans="1:30" x14ac:dyDescent="0.25">
      <c r="A35" s="118" t="s">
        <v>29</v>
      </c>
      <c r="B35">
        <v>293.80054000000001</v>
      </c>
      <c r="C35">
        <v>200.96647999999999</v>
      </c>
      <c r="D35">
        <v>103.44217500000001</v>
      </c>
      <c r="E35">
        <v>50.710839999999997</v>
      </c>
      <c r="F35">
        <v>12.8</v>
      </c>
      <c r="G35">
        <v>0</v>
      </c>
      <c r="H35">
        <v>142.4</v>
      </c>
      <c r="I35" s="12">
        <f t="shared" si="9"/>
        <v>804.12003499999992</v>
      </c>
      <c r="J35" s="147">
        <v>11.6</v>
      </c>
      <c r="K35" s="122">
        <f t="shared" si="0"/>
        <v>8814.0162</v>
      </c>
      <c r="L35" s="3">
        <f t="shared" si="1"/>
        <v>12057.988799999999</v>
      </c>
      <c r="M35" s="3">
        <f t="shared" si="2"/>
        <v>3103.2652500000004</v>
      </c>
      <c r="N35" s="3">
        <f t="shared" si="3"/>
        <v>1014.2167999999999</v>
      </c>
      <c r="O35" s="3">
        <f t="shared" si="4"/>
        <v>512</v>
      </c>
      <c r="P35" s="3">
        <f t="shared" si="5"/>
        <v>0</v>
      </c>
      <c r="Q35" s="3">
        <f t="shared" si="6"/>
        <v>712</v>
      </c>
      <c r="R35" s="12">
        <f t="shared" si="10"/>
        <v>26213.487049999996</v>
      </c>
      <c r="S35" s="149">
        <f t="shared" si="7"/>
        <v>32.598972677008348</v>
      </c>
      <c r="T35" s="129">
        <f t="shared" si="8"/>
        <v>0.35583943441816912</v>
      </c>
      <c r="U35" s="136">
        <f t="shared" si="11"/>
        <v>2.8822994187871704</v>
      </c>
      <c r="V35" s="139">
        <f t="shared" si="12"/>
        <v>7.7928836137579029</v>
      </c>
      <c r="W35" s="9">
        <f t="shared" si="13"/>
        <v>21.350366065090146</v>
      </c>
      <c r="X35" s="9">
        <f t="shared" si="14"/>
        <v>10.675183032545073</v>
      </c>
      <c r="Y35" s="9">
        <f t="shared" si="15"/>
        <v>7.116788688363382</v>
      </c>
      <c r="Z35" s="9">
        <f t="shared" si="16"/>
        <v>14.233577376726764</v>
      </c>
      <c r="AA35" s="9">
        <f t="shared" si="17"/>
        <v>277.55475884617192</v>
      </c>
      <c r="AB35" s="9">
        <f t="shared" si="18"/>
        <v>1.7791971720908455</v>
      </c>
      <c r="AC35" s="3">
        <f t="shared" si="19"/>
        <v>0.13586596586875549</v>
      </c>
      <c r="AD35" s="137">
        <f t="shared" si="20"/>
        <v>0.58713506678997907</v>
      </c>
    </row>
    <row r="36" spans="1:30" x14ac:dyDescent="0.25">
      <c r="A36" s="118" t="s">
        <v>30</v>
      </c>
      <c r="B36">
        <v>474.81628000000001</v>
      </c>
      <c r="C36">
        <v>200.40814</v>
      </c>
      <c r="D36">
        <v>69.161831000000006</v>
      </c>
      <c r="E36">
        <v>29.0899</v>
      </c>
      <c r="F36">
        <v>0</v>
      </c>
      <c r="G36">
        <v>0.74141060000000003</v>
      </c>
      <c r="H36">
        <v>21.694400000000002</v>
      </c>
      <c r="I36" s="12">
        <f t="shared" si="9"/>
        <v>795.91196160000004</v>
      </c>
      <c r="J36" s="147">
        <v>40.1</v>
      </c>
      <c r="K36" s="122">
        <f t="shared" si="0"/>
        <v>14244.4884</v>
      </c>
      <c r="L36" s="3">
        <f t="shared" si="1"/>
        <v>12024.4884</v>
      </c>
      <c r="M36" s="3">
        <f t="shared" si="2"/>
        <v>2074.8549300000004</v>
      </c>
      <c r="N36" s="3">
        <f t="shared" si="3"/>
        <v>581.798</v>
      </c>
      <c r="O36" s="3">
        <f t="shared" si="4"/>
        <v>0</v>
      </c>
      <c r="P36" s="3">
        <f t="shared" si="5"/>
        <v>578.30026800000007</v>
      </c>
      <c r="Q36" s="3">
        <f t="shared" si="6"/>
        <v>108.47200000000001</v>
      </c>
      <c r="R36" s="12">
        <f t="shared" si="10"/>
        <v>29612.401998000001</v>
      </c>
      <c r="S36" s="149">
        <f t="shared" si="7"/>
        <v>37.205625027259295</v>
      </c>
      <c r="T36" s="129">
        <f t="shared" si="8"/>
        <v>1.0777940155721104</v>
      </c>
      <c r="U36" s="136">
        <f t="shared" si="11"/>
        <v>8.7301315261340964</v>
      </c>
      <c r="V36" s="139">
        <f t="shared" si="12"/>
        <v>23.603688941029215</v>
      </c>
      <c r="W36" s="9">
        <f t="shared" si="13"/>
        <v>64.667640934326627</v>
      </c>
      <c r="X36" s="9">
        <f t="shared" si="14"/>
        <v>32.333820467163314</v>
      </c>
      <c r="Y36" s="9">
        <f t="shared" si="15"/>
        <v>21.555880311442209</v>
      </c>
      <c r="Z36" s="9">
        <f t="shared" si="16"/>
        <v>43.111760622884418</v>
      </c>
      <c r="AA36" s="9">
        <f t="shared" si="17"/>
        <v>840.67933214624611</v>
      </c>
      <c r="AB36" s="9">
        <f t="shared" si="18"/>
        <v>5.3889700778605523</v>
      </c>
      <c r="AC36" s="3">
        <f t="shared" si="19"/>
        <v>0.41152135140026036</v>
      </c>
      <c r="AD36" s="137">
        <f t="shared" si="20"/>
        <v>1.7783601256939821</v>
      </c>
    </row>
    <row r="37" spans="1:30" x14ac:dyDescent="0.25">
      <c r="A37" s="70" t="s">
        <v>31</v>
      </c>
      <c r="B37" s="143" t="s">
        <v>56</v>
      </c>
      <c r="C37" s="143" t="s">
        <v>56</v>
      </c>
      <c r="D37" s="143" t="s">
        <v>56</v>
      </c>
      <c r="E37" s="143" t="s">
        <v>56</v>
      </c>
      <c r="F37" s="143" t="s">
        <v>56</v>
      </c>
      <c r="G37" s="143" t="s">
        <v>56</v>
      </c>
      <c r="H37" s="143" t="s">
        <v>56</v>
      </c>
      <c r="I37" s="143" t="s">
        <v>56</v>
      </c>
      <c r="J37" s="148">
        <v>32.1</v>
      </c>
      <c r="K37" s="145" t="s">
        <v>56</v>
      </c>
      <c r="L37" s="143" t="s">
        <v>56</v>
      </c>
      <c r="M37" s="143" t="s">
        <v>56</v>
      </c>
      <c r="N37" s="143" t="s">
        <v>56</v>
      </c>
      <c r="O37" s="143" t="s">
        <v>56</v>
      </c>
      <c r="P37" s="143" t="s">
        <v>56</v>
      </c>
      <c r="Q37" s="143" t="s">
        <v>56</v>
      </c>
      <c r="R37" s="143" t="s">
        <v>56</v>
      </c>
      <c r="S37" s="150" t="s">
        <v>56</v>
      </c>
      <c r="T37" s="143" t="s">
        <v>56</v>
      </c>
      <c r="U37" s="143" t="s">
        <v>56</v>
      </c>
      <c r="V37" s="143" t="s">
        <v>56</v>
      </c>
      <c r="W37" s="143" t="s">
        <v>56</v>
      </c>
      <c r="X37" s="143" t="s">
        <v>56</v>
      </c>
      <c r="Y37" s="143" t="s">
        <v>56</v>
      </c>
      <c r="Z37" s="143" t="s">
        <v>56</v>
      </c>
      <c r="AA37" s="143" t="s">
        <v>56</v>
      </c>
      <c r="AB37" s="143" t="s">
        <v>56</v>
      </c>
      <c r="AC37" s="143" t="s">
        <v>56</v>
      </c>
      <c r="AD37" s="146" t="s">
        <v>56</v>
      </c>
    </row>
    <row r="39" spans="1:30" x14ac:dyDescent="0.25">
      <c r="A39" s="114" t="s">
        <v>57</v>
      </c>
      <c r="B39" s="114"/>
      <c r="C39" s="114"/>
      <c r="D39" s="114"/>
      <c r="E39" s="114"/>
      <c r="F39" s="114"/>
      <c r="G39" s="114"/>
      <c r="H39" s="114"/>
      <c r="I39" s="114"/>
      <c r="J39" s="114"/>
      <c r="K39" s="115">
        <f>'Standard values'!B5</f>
        <v>30</v>
      </c>
      <c r="L39" s="115">
        <f>'Standard values'!D5</f>
        <v>60</v>
      </c>
      <c r="M39" s="115">
        <f>'Standard values'!E5</f>
        <v>30</v>
      </c>
      <c r="N39" s="115">
        <f>'Standard values'!F5</f>
        <v>20</v>
      </c>
      <c r="O39" s="115">
        <f>'Standard values'!G5</f>
        <v>40</v>
      </c>
      <c r="P39" s="115">
        <f>'Standard values'!H5</f>
        <v>780</v>
      </c>
      <c r="Q39" s="115">
        <f>'Standard values'!I5</f>
        <v>5</v>
      </c>
      <c r="R39" s="114"/>
      <c r="S39" s="114"/>
      <c r="T39" s="114"/>
      <c r="U39" s="114">
        <f>'Standard values'!B6</f>
        <v>8.1000000000000014</v>
      </c>
      <c r="V39" s="114">
        <f>'Standard values'!C6</f>
        <v>21.9</v>
      </c>
      <c r="W39" s="114">
        <f>'Standard values'!D6</f>
        <v>60</v>
      </c>
      <c r="X39" s="114">
        <f>'Standard values'!E6</f>
        <v>30</v>
      </c>
      <c r="Y39" s="114">
        <f>'Standard values'!F6</f>
        <v>20</v>
      </c>
      <c r="Z39" s="114">
        <f>'Standard values'!G6</f>
        <v>40</v>
      </c>
      <c r="AA39" s="114">
        <f>'Standard values'!H6</f>
        <v>780</v>
      </c>
      <c r="AB39" s="114">
        <f>'Standard values'!I6</f>
        <v>5</v>
      </c>
      <c r="AC39" s="135">
        <f>'Standard values'!J6</f>
        <v>0.38181818181818183</v>
      </c>
      <c r="AD39" s="135">
        <f>'Standard values'!K6</f>
        <v>1.65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11558-263B-49A8-A4C0-A1D99AAEEF38}">
  <dimension ref="A2:AD39"/>
  <sheetViews>
    <sheetView topLeftCell="A3" workbookViewId="0">
      <selection activeCell="A4" sqref="A4:AD37"/>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2" t="s">
        <v>65</v>
      </c>
    </row>
    <row r="4" spans="1:30" ht="15.75" x14ac:dyDescent="0.25">
      <c r="A4" s="124" t="s">
        <v>33</v>
      </c>
      <c r="B4" s="116" t="s">
        <v>34</v>
      </c>
      <c r="C4" s="125"/>
      <c r="D4" s="116"/>
      <c r="E4" s="125"/>
      <c r="F4" s="125"/>
      <c r="G4" s="125"/>
      <c r="H4" s="125"/>
      <c r="I4" s="125"/>
      <c r="J4" s="125"/>
      <c r="K4" s="124" t="s">
        <v>35</v>
      </c>
      <c r="L4" s="116"/>
      <c r="M4" s="116"/>
      <c r="N4" s="116"/>
      <c r="O4" s="116"/>
      <c r="P4" s="116"/>
      <c r="Q4" s="116"/>
      <c r="R4" s="116"/>
      <c r="S4" s="117"/>
      <c r="T4" s="117"/>
      <c r="U4" s="124" t="s">
        <v>36</v>
      </c>
      <c r="V4" s="116"/>
      <c r="W4" s="116"/>
      <c r="X4" s="116"/>
      <c r="Y4" s="116"/>
      <c r="Z4" s="116"/>
      <c r="AA4" s="116"/>
      <c r="AB4" s="116"/>
      <c r="AC4" s="116"/>
      <c r="AD4" s="117"/>
    </row>
    <row r="5" spans="1:30" x14ac:dyDescent="0.25">
      <c r="A5" s="123" t="s">
        <v>37</v>
      </c>
      <c r="K5" s="118"/>
      <c r="S5" s="6"/>
      <c r="T5" s="6"/>
      <c r="U5" s="118"/>
      <c r="AD5" s="6"/>
    </row>
    <row r="6" spans="1:30" ht="32.25" customHeight="1" x14ac:dyDescent="0.25">
      <c r="A6" s="119" t="s">
        <v>38</v>
      </c>
      <c r="B6" s="120" t="s">
        <v>39</v>
      </c>
      <c r="C6" s="120" t="s">
        <v>0</v>
      </c>
      <c r="D6" s="120" t="s">
        <v>40</v>
      </c>
      <c r="E6" s="127" t="s">
        <v>41</v>
      </c>
      <c r="F6" s="120" t="s">
        <v>42</v>
      </c>
      <c r="G6" s="120" t="s">
        <v>43</v>
      </c>
      <c r="H6" s="120" t="s">
        <v>44</v>
      </c>
      <c r="I6" s="127" t="s">
        <v>45</v>
      </c>
      <c r="J6" s="120" t="s">
        <v>46</v>
      </c>
      <c r="K6" s="119" t="s">
        <v>39</v>
      </c>
      <c r="L6" s="120" t="s">
        <v>0</v>
      </c>
      <c r="M6" s="120" t="s">
        <v>40</v>
      </c>
      <c r="N6" s="127" t="s">
        <v>41</v>
      </c>
      <c r="O6" s="120" t="s">
        <v>42</v>
      </c>
      <c r="P6" s="120" t="s">
        <v>43</v>
      </c>
      <c r="Q6" s="120" t="s">
        <v>44</v>
      </c>
      <c r="R6" s="120" t="s">
        <v>47</v>
      </c>
      <c r="S6" s="121" t="s">
        <v>46</v>
      </c>
      <c r="T6" s="126" t="s">
        <v>48</v>
      </c>
      <c r="U6" s="131" t="s">
        <v>49</v>
      </c>
      <c r="V6" s="138" t="s">
        <v>50</v>
      </c>
      <c r="W6" s="120" t="s">
        <v>0</v>
      </c>
      <c r="X6" s="120" t="s">
        <v>51</v>
      </c>
      <c r="Y6" s="127" t="s">
        <v>52</v>
      </c>
      <c r="Z6" s="120" t="s">
        <v>42</v>
      </c>
      <c r="AA6" s="120" t="s">
        <v>53</v>
      </c>
      <c r="AB6" s="120" t="s">
        <v>44</v>
      </c>
      <c r="AC6" s="120" t="s">
        <v>54</v>
      </c>
      <c r="AD6" s="121" t="s">
        <v>55</v>
      </c>
    </row>
    <row r="7" spans="1:30" x14ac:dyDescent="0.25">
      <c r="A7" s="118" t="s">
        <v>1</v>
      </c>
      <c r="B7">
        <v>442.45538499999998</v>
      </c>
      <c r="C7">
        <v>360.93412499999999</v>
      </c>
      <c r="D7">
        <v>79.227754000000004</v>
      </c>
      <c r="E7">
        <v>37.538960000000003</v>
      </c>
      <c r="F7">
        <v>0</v>
      </c>
      <c r="G7">
        <v>0</v>
      </c>
      <c r="H7">
        <v>37.017600000000002</v>
      </c>
      <c r="I7" s="12">
        <f>SUM(B7:H7)</f>
        <v>957.17382399999997</v>
      </c>
      <c r="J7" s="147">
        <v>50.2</v>
      </c>
      <c r="K7" s="122">
        <f t="shared" ref="K7:K36" si="0">B7*$K$39</f>
        <v>13273.661549999999</v>
      </c>
      <c r="L7" s="3">
        <f t="shared" ref="L7:L36" si="1">C7*$L$39</f>
        <v>21656.047500000001</v>
      </c>
      <c r="M7" s="3">
        <f t="shared" ref="M7:M36" si="2">D7*$M$39</f>
        <v>2376.8326200000001</v>
      </c>
      <c r="N7" s="3">
        <f t="shared" ref="N7:N36" si="3">E7*$N$39</f>
        <v>750.77920000000006</v>
      </c>
      <c r="O7" s="3">
        <f t="shared" ref="O7:O36" si="4">F7*$O$39</f>
        <v>0</v>
      </c>
      <c r="P7" s="3">
        <f t="shared" ref="P7:P36" si="5">G7*$P$39</f>
        <v>0</v>
      </c>
      <c r="Q7" s="3">
        <f t="shared" ref="Q7:Q36" si="6">H7*$Q$39</f>
        <v>185.08800000000002</v>
      </c>
      <c r="R7" s="12">
        <f>SUM(K7:Q7)</f>
        <v>38242.408869999999</v>
      </c>
      <c r="S7" s="149">
        <f t="shared" ref="S7:S36" si="7">R7/I7</f>
        <v>39.95346290414227</v>
      </c>
      <c r="T7" s="129">
        <f t="shared" ref="T7:T36" si="8">J7/S7</f>
        <v>1.256461802083128</v>
      </c>
      <c r="U7" s="136">
        <f>$U$39*$T7</f>
        <v>10.177340596873337</v>
      </c>
      <c r="V7" s="139">
        <f>$V$39*$T7</f>
        <v>27.516513465620502</v>
      </c>
      <c r="W7" s="9">
        <f>$W$39*$T7</f>
        <v>75.387708124987682</v>
      </c>
      <c r="X7" s="9">
        <f>$X$39*$T7</f>
        <v>37.693854062493841</v>
      </c>
      <c r="Y7" s="9">
        <f>$Y$39*$T7</f>
        <v>25.129236041662558</v>
      </c>
      <c r="Z7" s="9">
        <f>$Z$39*$T7</f>
        <v>50.258472083325117</v>
      </c>
      <c r="AA7" s="9">
        <f>$AA$39*$T7</f>
        <v>980.04020562483981</v>
      </c>
      <c r="AB7" s="9">
        <f>$AB$39*$T7</f>
        <v>6.2823090104156396</v>
      </c>
      <c r="AC7" s="3">
        <f>$AC$39*$T7</f>
        <v>0.47973996079537617</v>
      </c>
      <c r="AD7" s="137">
        <f>$AD$39*$T7</f>
        <v>2.0731619734371609</v>
      </c>
    </row>
    <row r="8" spans="1:30" x14ac:dyDescent="0.25">
      <c r="A8" s="118" t="s">
        <v>2</v>
      </c>
      <c r="B8">
        <v>470.39579500000002</v>
      </c>
      <c r="C8">
        <v>858.33745999999996</v>
      </c>
      <c r="D8">
        <v>242.126081</v>
      </c>
      <c r="E8">
        <v>17.26831</v>
      </c>
      <c r="F8">
        <v>0</v>
      </c>
      <c r="G8">
        <v>3.6266902000000001</v>
      </c>
      <c r="H8">
        <v>132.67679999999999</v>
      </c>
      <c r="I8" s="12">
        <f t="shared" ref="I8:I36" si="9">SUM(B8:H8)</f>
        <v>1724.4311361999999</v>
      </c>
      <c r="J8" s="147">
        <v>113</v>
      </c>
      <c r="K8" s="122">
        <f t="shared" si="0"/>
        <v>14111.87385</v>
      </c>
      <c r="L8" s="3">
        <f t="shared" si="1"/>
        <v>51500.247599999995</v>
      </c>
      <c r="M8" s="3">
        <f t="shared" si="2"/>
        <v>7263.7824300000002</v>
      </c>
      <c r="N8" s="3">
        <f t="shared" si="3"/>
        <v>345.36619999999999</v>
      </c>
      <c r="O8" s="3">
        <f t="shared" si="4"/>
        <v>0</v>
      </c>
      <c r="P8" s="3">
        <f t="shared" si="5"/>
        <v>2828.8183560000002</v>
      </c>
      <c r="Q8" s="3">
        <f t="shared" si="6"/>
        <v>663.3839999999999</v>
      </c>
      <c r="R8" s="12">
        <f t="shared" ref="R8:R36" si="10">SUM(K8:Q8)</f>
        <v>76713.472436000011</v>
      </c>
      <c r="S8" s="149">
        <f t="shared" si="7"/>
        <v>44.486248726085847</v>
      </c>
      <c r="T8" s="129">
        <f t="shared" si="8"/>
        <v>2.5401107811038934</v>
      </c>
      <c r="U8" s="136">
        <f t="shared" ref="U8:U36" si="11">$U$39*$T8</f>
        <v>20.574897326941539</v>
      </c>
      <c r="V8" s="139">
        <f t="shared" ref="V8:V36" si="12">$V$39*$T8</f>
        <v>55.628426106175262</v>
      </c>
      <c r="W8" s="9">
        <f t="shared" ref="W8:W36" si="13">$W$39*$T8</f>
        <v>152.40664686623361</v>
      </c>
      <c r="X8" s="9">
        <f t="shared" ref="X8:X36" si="14">$X$39*$T8</f>
        <v>76.203323433116807</v>
      </c>
      <c r="Y8" s="9">
        <f t="shared" ref="Y8:Y36" si="15">$Y$39*$T8</f>
        <v>50.802215622077867</v>
      </c>
      <c r="Z8" s="9">
        <f t="shared" ref="Z8:Z36" si="16">$Z$39*$T8</f>
        <v>101.60443124415573</v>
      </c>
      <c r="AA8" s="9">
        <f t="shared" ref="AA8:AA36" si="17">$AA$39*$T8</f>
        <v>1981.2864092610369</v>
      </c>
      <c r="AB8" s="9">
        <f t="shared" ref="AB8:AB36" si="18">$AB$39*$T8</f>
        <v>12.700553905519467</v>
      </c>
      <c r="AC8" s="3">
        <f t="shared" ref="AC8:AC36" si="19">$AC$39*$T8</f>
        <v>0.9698604800578503</v>
      </c>
      <c r="AD8" s="137">
        <f t="shared" ref="AD8:AD36" si="20">$AD$39*$T8</f>
        <v>4.1911827888214237</v>
      </c>
    </row>
    <row r="9" spans="1:30" x14ac:dyDescent="0.25">
      <c r="A9" s="118" t="s">
        <v>3</v>
      </c>
      <c r="B9">
        <v>116.50508000000001</v>
      </c>
      <c r="C9">
        <v>94.385355000000004</v>
      </c>
      <c r="D9">
        <v>52.009202000000002</v>
      </c>
      <c r="E9">
        <v>104.42457</v>
      </c>
      <c r="F9">
        <v>6.7640000000000002</v>
      </c>
      <c r="G9">
        <v>6.1684000000000001E-3</v>
      </c>
      <c r="H9">
        <v>25.8368</v>
      </c>
      <c r="I9" s="12">
        <f t="shared" si="9"/>
        <v>399.93117540000003</v>
      </c>
      <c r="J9" s="147">
        <v>119.6</v>
      </c>
      <c r="K9" s="122">
        <f t="shared" si="0"/>
        <v>3495.1524000000004</v>
      </c>
      <c r="L9" s="3">
        <f t="shared" si="1"/>
        <v>5663.1213000000007</v>
      </c>
      <c r="M9" s="3">
        <f t="shared" si="2"/>
        <v>1560.2760600000001</v>
      </c>
      <c r="N9" s="3">
        <f t="shared" si="3"/>
        <v>2088.4913999999999</v>
      </c>
      <c r="O9" s="3">
        <f t="shared" si="4"/>
        <v>270.56</v>
      </c>
      <c r="P9" s="3">
        <f t="shared" si="5"/>
        <v>4.8113520000000003</v>
      </c>
      <c r="Q9" s="3">
        <f t="shared" si="6"/>
        <v>129.184</v>
      </c>
      <c r="R9" s="12">
        <f t="shared" si="10"/>
        <v>13211.596512</v>
      </c>
      <c r="S9" s="149">
        <f t="shared" si="7"/>
        <v>33.034675275779961</v>
      </c>
      <c r="T9" s="129">
        <f t="shared" si="8"/>
        <v>3.6204381911296446</v>
      </c>
      <c r="U9" s="136">
        <f t="shared" si="11"/>
        <v>29.325549348150126</v>
      </c>
      <c r="V9" s="139">
        <f t="shared" si="12"/>
        <v>79.287596385739207</v>
      </c>
      <c r="W9" s="9">
        <f t="shared" si="13"/>
        <v>217.22629146777868</v>
      </c>
      <c r="X9" s="9">
        <f t="shared" si="14"/>
        <v>108.61314573388934</v>
      </c>
      <c r="Y9" s="9">
        <f t="shared" si="15"/>
        <v>72.408763822592888</v>
      </c>
      <c r="Z9" s="9">
        <f t="shared" si="16"/>
        <v>144.81752764518578</v>
      </c>
      <c r="AA9" s="9">
        <f t="shared" si="17"/>
        <v>2823.9417890811228</v>
      </c>
      <c r="AB9" s="9">
        <f t="shared" si="18"/>
        <v>18.102190955648222</v>
      </c>
      <c r="AC9" s="3">
        <f t="shared" si="19"/>
        <v>1.3823491275222279</v>
      </c>
      <c r="AD9" s="137">
        <f t="shared" si="20"/>
        <v>5.9737230153639134</v>
      </c>
    </row>
    <row r="10" spans="1:30" x14ac:dyDescent="0.25">
      <c r="A10" s="118" t="s">
        <v>4</v>
      </c>
      <c r="B10">
        <v>102.97893500000001</v>
      </c>
      <c r="C10">
        <v>87.100104999999999</v>
      </c>
      <c r="D10">
        <v>44.624034999999999</v>
      </c>
      <c r="E10">
        <v>47.205419999999997</v>
      </c>
      <c r="F10">
        <v>19.68</v>
      </c>
      <c r="G10">
        <v>7.8399999999999997E-3</v>
      </c>
      <c r="H10">
        <v>9.4596</v>
      </c>
      <c r="I10" s="12">
        <f t="shared" si="9"/>
        <v>311.05593500000003</v>
      </c>
      <c r="J10" s="147">
        <v>70.8</v>
      </c>
      <c r="K10" s="122">
        <f t="shared" si="0"/>
        <v>3089.36805</v>
      </c>
      <c r="L10" s="3">
        <f t="shared" si="1"/>
        <v>5226.0063</v>
      </c>
      <c r="M10" s="3">
        <f t="shared" si="2"/>
        <v>1338.7210499999999</v>
      </c>
      <c r="N10" s="3">
        <f t="shared" si="3"/>
        <v>944.10839999999996</v>
      </c>
      <c r="O10" s="3">
        <f t="shared" si="4"/>
        <v>787.2</v>
      </c>
      <c r="P10" s="3">
        <f t="shared" si="5"/>
        <v>6.1151999999999997</v>
      </c>
      <c r="Q10" s="3">
        <f t="shared" si="6"/>
        <v>47.298000000000002</v>
      </c>
      <c r="R10" s="12">
        <f t="shared" si="10"/>
        <v>11438.817000000001</v>
      </c>
      <c r="S10" s="149">
        <f t="shared" si="7"/>
        <v>36.77414803225021</v>
      </c>
      <c r="T10" s="129">
        <f t="shared" si="8"/>
        <v>1.925265540833462</v>
      </c>
      <c r="U10" s="136">
        <f t="shared" si="11"/>
        <v>15.594650880751045</v>
      </c>
      <c r="V10" s="139">
        <f t="shared" si="12"/>
        <v>42.163315344252815</v>
      </c>
      <c r="W10" s="9">
        <f t="shared" si="13"/>
        <v>115.51593245000772</v>
      </c>
      <c r="X10" s="9">
        <f t="shared" si="14"/>
        <v>57.757966225003862</v>
      </c>
      <c r="Y10" s="9">
        <f t="shared" si="15"/>
        <v>38.505310816669237</v>
      </c>
      <c r="Z10" s="9">
        <f t="shared" si="16"/>
        <v>77.010621633338474</v>
      </c>
      <c r="AA10" s="9">
        <f t="shared" si="17"/>
        <v>1501.7071218501003</v>
      </c>
      <c r="AB10" s="9">
        <f t="shared" si="18"/>
        <v>9.6263277041673092</v>
      </c>
      <c r="AC10" s="3">
        <f t="shared" si="19"/>
        <v>0.73510138831823102</v>
      </c>
      <c r="AD10" s="137">
        <f t="shared" si="20"/>
        <v>3.176688142375212</v>
      </c>
    </row>
    <row r="11" spans="1:30" x14ac:dyDescent="0.25">
      <c r="A11" s="118" t="s">
        <v>5</v>
      </c>
      <c r="B11">
        <v>22.510860000000001</v>
      </c>
      <c r="C11">
        <v>44.635375000000003</v>
      </c>
      <c r="D11">
        <v>12.91344</v>
      </c>
      <c r="E11">
        <v>46.731845</v>
      </c>
      <c r="F11">
        <v>7.3470000000000004</v>
      </c>
      <c r="G11">
        <v>7.1488200000000002E-2</v>
      </c>
      <c r="H11">
        <v>1.9936</v>
      </c>
      <c r="I11" s="12">
        <f t="shared" si="9"/>
        <v>136.20360819999999</v>
      </c>
      <c r="J11" s="147">
        <v>392.3</v>
      </c>
      <c r="K11" s="122">
        <f t="shared" si="0"/>
        <v>675.32580000000007</v>
      </c>
      <c r="L11" s="3">
        <f t="shared" si="1"/>
        <v>2678.1225000000004</v>
      </c>
      <c r="M11" s="3">
        <f t="shared" si="2"/>
        <v>387.40319999999997</v>
      </c>
      <c r="N11" s="3">
        <f t="shared" si="3"/>
        <v>934.63689999999997</v>
      </c>
      <c r="O11" s="3">
        <f t="shared" si="4"/>
        <v>293.88</v>
      </c>
      <c r="P11" s="3">
        <f t="shared" si="5"/>
        <v>55.760795999999999</v>
      </c>
      <c r="Q11" s="3">
        <f t="shared" si="6"/>
        <v>9.968</v>
      </c>
      <c r="R11" s="12">
        <f t="shared" si="10"/>
        <v>5035.0971959999997</v>
      </c>
      <c r="S11" s="149">
        <f t="shared" si="7"/>
        <v>36.96742885553013</v>
      </c>
      <c r="T11" s="129">
        <f t="shared" si="8"/>
        <v>10.612044498228986</v>
      </c>
      <c r="U11" s="136">
        <f t="shared" si="11"/>
        <v>85.957560435654798</v>
      </c>
      <c r="V11" s="139">
        <f t="shared" si="12"/>
        <v>232.40377451121478</v>
      </c>
      <c r="W11" s="9">
        <f t="shared" si="13"/>
        <v>636.72266989373918</v>
      </c>
      <c r="X11" s="9">
        <f t="shared" si="14"/>
        <v>318.36133494686959</v>
      </c>
      <c r="Y11" s="9">
        <f t="shared" si="15"/>
        <v>212.24088996457971</v>
      </c>
      <c r="Z11" s="9">
        <f t="shared" si="16"/>
        <v>424.48177992915942</v>
      </c>
      <c r="AA11" s="9">
        <f t="shared" si="17"/>
        <v>8277.394708618609</v>
      </c>
      <c r="AB11" s="9">
        <f t="shared" si="18"/>
        <v>53.060222491144927</v>
      </c>
      <c r="AC11" s="3">
        <f t="shared" si="19"/>
        <v>4.0518715356874315</v>
      </c>
      <c r="AD11" s="137">
        <f t="shared" si="20"/>
        <v>17.509873422077828</v>
      </c>
    </row>
    <row r="12" spans="1:30" x14ac:dyDescent="0.25">
      <c r="A12" s="118" t="s">
        <v>6</v>
      </c>
      <c r="B12">
        <v>289.45488</v>
      </c>
      <c r="C12">
        <v>202.74594500000001</v>
      </c>
      <c r="D12">
        <v>126.981526</v>
      </c>
      <c r="E12">
        <v>17.153105</v>
      </c>
      <c r="F12">
        <v>24.21</v>
      </c>
      <c r="G12">
        <v>6.9328000000000003</v>
      </c>
      <c r="H12">
        <v>37.094000000000001</v>
      </c>
      <c r="I12" s="12">
        <f t="shared" si="9"/>
        <v>704.57225600000015</v>
      </c>
      <c r="J12" s="147">
        <v>56.9</v>
      </c>
      <c r="K12" s="122">
        <f t="shared" si="0"/>
        <v>8683.6463999999996</v>
      </c>
      <c r="L12" s="3">
        <f t="shared" si="1"/>
        <v>12164.7567</v>
      </c>
      <c r="M12" s="3">
        <f t="shared" si="2"/>
        <v>3809.44578</v>
      </c>
      <c r="N12" s="3">
        <f t="shared" si="3"/>
        <v>343.06209999999999</v>
      </c>
      <c r="O12" s="3">
        <f t="shared" si="4"/>
        <v>968.40000000000009</v>
      </c>
      <c r="P12" s="3">
        <f t="shared" si="5"/>
        <v>5407.5839999999998</v>
      </c>
      <c r="Q12" s="3">
        <f t="shared" si="6"/>
        <v>185.47</v>
      </c>
      <c r="R12" s="12">
        <f t="shared" si="10"/>
        <v>31562.364979999998</v>
      </c>
      <c r="S12" s="149">
        <f t="shared" si="7"/>
        <v>44.796491362271283</v>
      </c>
      <c r="T12" s="129">
        <f t="shared" si="8"/>
        <v>1.2701887641120615</v>
      </c>
      <c r="U12" s="136">
        <f t="shared" si="11"/>
        <v>10.2885289893077</v>
      </c>
      <c r="V12" s="139">
        <f t="shared" si="12"/>
        <v>27.817133934054144</v>
      </c>
      <c r="W12" s="9">
        <f t="shared" si="13"/>
        <v>76.211325846723696</v>
      </c>
      <c r="X12" s="9">
        <f t="shared" si="14"/>
        <v>38.105662923361848</v>
      </c>
      <c r="Y12" s="9">
        <f t="shared" si="15"/>
        <v>25.403775282241231</v>
      </c>
      <c r="Z12" s="9">
        <f t="shared" si="16"/>
        <v>50.807550564482462</v>
      </c>
      <c r="AA12" s="9">
        <f t="shared" si="17"/>
        <v>990.74723600740799</v>
      </c>
      <c r="AB12" s="9">
        <f t="shared" si="18"/>
        <v>6.3509438205603077</v>
      </c>
      <c r="AC12" s="3">
        <f t="shared" si="19"/>
        <v>0.48498116447915079</v>
      </c>
      <c r="AD12" s="137">
        <f t="shared" si="20"/>
        <v>2.0958114607849012</v>
      </c>
    </row>
    <row r="13" spans="1:30" x14ac:dyDescent="0.25">
      <c r="A13" s="118" t="s">
        <v>7</v>
      </c>
      <c r="B13">
        <v>392.36509999999998</v>
      </c>
      <c r="C13">
        <v>1802.608635</v>
      </c>
      <c r="D13">
        <v>124.42829999999999</v>
      </c>
      <c r="E13">
        <v>12.306775</v>
      </c>
      <c r="F13">
        <v>45</v>
      </c>
      <c r="G13">
        <v>0</v>
      </c>
      <c r="H13">
        <v>70</v>
      </c>
      <c r="I13" s="12">
        <f t="shared" si="9"/>
        <v>2446.7088100000001</v>
      </c>
      <c r="J13" s="147">
        <v>37.799999999999997</v>
      </c>
      <c r="K13" s="122">
        <f t="shared" si="0"/>
        <v>11770.953</v>
      </c>
      <c r="L13" s="3">
        <f t="shared" si="1"/>
        <v>108156.5181</v>
      </c>
      <c r="M13" s="3">
        <f t="shared" si="2"/>
        <v>3732.8489999999997</v>
      </c>
      <c r="N13" s="3">
        <f t="shared" si="3"/>
        <v>246.13550000000001</v>
      </c>
      <c r="O13" s="3">
        <f t="shared" si="4"/>
        <v>1800</v>
      </c>
      <c r="P13" s="3">
        <f t="shared" si="5"/>
        <v>0</v>
      </c>
      <c r="Q13" s="3">
        <f t="shared" si="6"/>
        <v>350</v>
      </c>
      <c r="R13" s="12">
        <f t="shared" si="10"/>
        <v>126056.4556</v>
      </c>
      <c r="S13" s="149">
        <f t="shared" si="7"/>
        <v>51.520824662416608</v>
      </c>
      <c r="T13" s="129">
        <f t="shared" si="8"/>
        <v>0.73368390835510688</v>
      </c>
      <c r="U13" s="136">
        <f t="shared" si="11"/>
        <v>5.9428396576763669</v>
      </c>
      <c r="V13" s="139">
        <f t="shared" si="12"/>
        <v>16.067677592976839</v>
      </c>
      <c r="W13" s="9">
        <f t="shared" si="13"/>
        <v>44.02103450130641</v>
      </c>
      <c r="X13" s="9">
        <f t="shared" si="14"/>
        <v>22.010517250653205</v>
      </c>
      <c r="Y13" s="9">
        <f t="shared" si="15"/>
        <v>14.673678167102137</v>
      </c>
      <c r="Z13" s="9">
        <f t="shared" si="16"/>
        <v>29.347356334204274</v>
      </c>
      <c r="AA13" s="9">
        <f t="shared" si="17"/>
        <v>572.27344851698342</v>
      </c>
      <c r="AB13" s="9">
        <f t="shared" si="18"/>
        <v>3.6684195417755343</v>
      </c>
      <c r="AC13" s="3">
        <f t="shared" si="19"/>
        <v>0.28013385591740447</v>
      </c>
      <c r="AD13" s="137">
        <f t="shared" si="20"/>
        <v>1.2105784487859264</v>
      </c>
    </row>
    <row r="14" spans="1:30" x14ac:dyDescent="0.25">
      <c r="A14" s="118" t="s">
        <v>8</v>
      </c>
      <c r="B14">
        <v>60.88402</v>
      </c>
      <c r="C14">
        <v>39.685119999999998</v>
      </c>
      <c r="D14">
        <v>2.6676470000000001</v>
      </c>
      <c r="E14">
        <v>5.9474600000000004</v>
      </c>
      <c r="F14">
        <v>0.94399999999999995</v>
      </c>
      <c r="G14">
        <v>0</v>
      </c>
      <c r="H14">
        <v>3.88</v>
      </c>
      <c r="I14" s="12">
        <f t="shared" si="9"/>
        <v>114.00824700000001</v>
      </c>
      <c r="J14" s="147">
        <v>52.9</v>
      </c>
      <c r="K14" s="122">
        <f t="shared" si="0"/>
        <v>1826.5206000000001</v>
      </c>
      <c r="L14" s="3">
        <f t="shared" si="1"/>
        <v>2381.1071999999999</v>
      </c>
      <c r="M14" s="3">
        <f t="shared" si="2"/>
        <v>80.029409999999999</v>
      </c>
      <c r="N14" s="3">
        <f t="shared" si="3"/>
        <v>118.9492</v>
      </c>
      <c r="O14" s="3">
        <f t="shared" si="4"/>
        <v>37.76</v>
      </c>
      <c r="P14" s="3">
        <f t="shared" si="5"/>
        <v>0</v>
      </c>
      <c r="Q14" s="3">
        <f t="shared" si="6"/>
        <v>19.399999999999999</v>
      </c>
      <c r="R14" s="12">
        <f t="shared" si="10"/>
        <v>4463.7664100000002</v>
      </c>
      <c r="S14" s="149">
        <f t="shared" si="7"/>
        <v>39.153013290345562</v>
      </c>
      <c r="T14" s="129">
        <f t="shared" si="8"/>
        <v>1.351109290304463</v>
      </c>
      <c r="U14" s="136">
        <f t="shared" si="11"/>
        <v>10.943985251466152</v>
      </c>
      <c r="V14" s="139">
        <f t="shared" si="12"/>
        <v>29.58929345766774</v>
      </c>
      <c r="W14" s="9">
        <f t="shared" si="13"/>
        <v>81.066557418267777</v>
      </c>
      <c r="X14" s="9">
        <f t="shared" si="14"/>
        <v>40.533278709133889</v>
      </c>
      <c r="Y14" s="9">
        <f t="shared" si="15"/>
        <v>27.022185806089261</v>
      </c>
      <c r="Z14" s="9">
        <f t="shared" si="16"/>
        <v>54.044371612178523</v>
      </c>
      <c r="AA14" s="9">
        <f t="shared" si="17"/>
        <v>1053.8652464374811</v>
      </c>
      <c r="AB14" s="9">
        <f t="shared" si="18"/>
        <v>6.7555464515223154</v>
      </c>
      <c r="AC14" s="3">
        <f t="shared" si="19"/>
        <v>0.51587809266170404</v>
      </c>
      <c r="AD14" s="137">
        <f t="shared" si="20"/>
        <v>2.2293303290023641</v>
      </c>
    </row>
    <row r="15" spans="1:30" x14ac:dyDescent="0.25">
      <c r="A15" s="118" t="s">
        <v>9</v>
      </c>
      <c r="B15">
        <v>216.05804000000001</v>
      </c>
      <c r="C15">
        <v>141.616715</v>
      </c>
      <c r="D15">
        <v>82.008534999999995</v>
      </c>
      <c r="E15">
        <v>13.016260000000001</v>
      </c>
      <c r="F15">
        <v>14.324</v>
      </c>
      <c r="G15">
        <v>0</v>
      </c>
      <c r="H15">
        <v>29.76</v>
      </c>
      <c r="I15" s="12">
        <f t="shared" si="9"/>
        <v>496.78354999999999</v>
      </c>
      <c r="J15" s="147">
        <v>18.2</v>
      </c>
      <c r="K15" s="122">
        <f t="shared" si="0"/>
        <v>6481.7412000000004</v>
      </c>
      <c r="L15" s="3">
        <f t="shared" si="1"/>
        <v>8497.0028999999995</v>
      </c>
      <c r="M15" s="3">
        <f t="shared" si="2"/>
        <v>2460.25605</v>
      </c>
      <c r="N15" s="3">
        <f t="shared" si="3"/>
        <v>260.3252</v>
      </c>
      <c r="O15" s="3">
        <f t="shared" si="4"/>
        <v>572.96</v>
      </c>
      <c r="P15" s="3">
        <f t="shared" si="5"/>
        <v>0</v>
      </c>
      <c r="Q15" s="3">
        <f t="shared" si="6"/>
        <v>148.80000000000001</v>
      </c>
      <c r="R15" s="12">
        <f t="shared" si="10"/>
        <v>18421.085349999998</v>
      </c>
      <c r="S15" s="149">
        <f t="shared" si="7"/>
        <v>37.080707181226103</v>
      </c>
      <c r="T15" s="129">
        <f t="shared" si="8"/>
        <v>0.49082127563129724</v>
      </c>
      <c r="U15" s="136">
        <f t="shared" si="11"/>
        <v>3.9756523326135085</v>
      </c>
      <c r="V15" s="139">
        <f t="shared" si="12"/>
        <v>10.748985936325409</v>
      </c>
      <c r="W15" s="9">
        <f t="shared" si="13"/>
        <v>29.449276537877836</v>
      </c>
      <c r="X15" s="9">
        <f t="shared" si="14"/>
        <v>14.724638268938918</v>
      </c>
      <c r="Y15" s="9">
        <f t="shared" si="15"/>
        <v>9.8164255126259441</v>
      </c>
      <c r="Z15" s="9">
        <f t="shared" si="16"/>
        <v>19.632851025251888</v>
      </c>
      <c r="AA15" s="9">
        <f t="shared" si="17"/>
        <v>382.84059499241187</v>
      </c>
      <c r="AB15" s="9">
        <f t="shared" si="18"/>
        <v>2.454106378156486</v>
      </c>
      <c r="AC15" s="3">
        <f t="shared" si="19"/>
        <v>0.18740448705922258</v>
      </c>
      <c r="AD15" s="137">
        <f t="shared" si="20"/>
        <v>0.80985510479164036</v>
      </c>
    </row>
    <row r="16" spans="1:30" x14ac:dyDescent="0.25">
      <c r="A16" s="118" t="s">
        <v>10</v>
      </c>
      <c r="B16">
        <v>3164.8838649999998</v>
      </c>
      <c r="C16">
        <v>1803.762115</v>
      </c>
      <c r="D16">
        <v>1129.1609619999999</v>
      </c>
      <c r="E16">
        <v>640.73208</v>
      </c>
      <c r="F16">
        <v>45.970999999999997</v>
      </c>
      <c r="G16">
        <v>42.301000000000002</v>
      </c>
      <c r="H16">
        <v>280.21080000000001</v>
      </c>
      <c r="I16" s="12">
        <f t="shared" si="9"/>
        <v>7107.0218219999988</v>
      </c>
      <c r="J16" s="147">
        <v>64.2</v>
      </c>
      <c r="K16" s="122">
        <f t="shared" si="0"/>
        <v>94946.515950000001</v>
      </c>
      <c r="L16" s="3">
        <f t="shared" si="1"/>
        <v>108225.72689999999</v>
      </c>
      <c r="M16" s="3">
        <f t="shared" si="2"/>
        <v>33874.828859999994</v>
      </c>
      <c r="N16" s="3">
        <f t="shared" si="3"/>
        <v>12814.641599999999</v>
      </c>
      <c r="O16" s="3">
        <f t="shared" si="4"/>
        <v>1838.84</v>
      </c>
      <c r="P16" s="3">
        <f t="shared" si="5"/>
        <v>32994.78</v>
      </c>
      <c r="Q16" s="3">
        <f t="shared" si="6"/>
        <v>1401.0540000000001</v>
      </c>
      <c r="R16" s="12">
        <f t="shared" si="10"/>
        <v>286096.38731000002</v>
      </c>
      <c r="S16" s="149">
        <f t="shared" si="7"/>
        <v>40.255453616925742</v>
      </c>
      <c r="T16" s="129">
        <f t="shared" si="8"/>
        <v>1.5948149686979698</v>
      </c>
      <c r="U16" s="136">
        <f t="shared" si="11"/>
        <v>12.918001246453558</v>
      </c>
      <c r="V16" s="139">
        <f t="shared" si="12"/>
        <v>34.926447814485535</v>
      </c>
      <c r="W16" s="9">
        <f t="shared" si="13"/>
        <v>95.688898121878182</v>
      </c>
      <c r="X16" s="9">
        <f t="shared" si="14"/>
        <v>47.844449060939091</v>
      </c>
      <c r="Y16" s="9">
        <f t="shared" si="15"/>
        <v>31.896299373959394</v>
      </c>
      <c r="Z16" s="9">
        <f t="shared" si="16"/>
        <v>63.792598747918788</v>
      </c>
      <c r="AA16" s="9">
        <f t="shared" si="17"/>
        <v>1243.9556755844164</v>
      </c>
      <c r="AB16" s="9">
        <f t="shared" si="18"/>
        <v>7.9740748434898485</v>
      </c>
      <c r="AC16" s="3">
        <f t="shared" si="19"/>
        <v>0.60892935168467943</v>
      </c>
      <c r="AD16" s="137">
        <f t="shared" si="20"/>
        <v>2.63144469835165</v>
      </c>
    </row>
    <row r="17" spans="1:30" x14ac:dyDescent="0.25">
      <c r="A17" s="118" t="s">
        <v>11</v>
      </c>
      <c r="B17">
        <v>3051.27736</v>
      </c>
      <c r="C17">
        <v>3712.4200300000002</v>
      </c>
      <c r="D17">
        <v>1048.7073270000001</v>
      </c>
      <c r="E17">
        <v>137.63892000000001</v>
      </c>
      <c r="F17">
        <v>18.109000000000002</v>
      </c>
      <c r="G17">
        <v>29.4</v>
      </c>
      <c r="H17">
        <v>520</v>
      </c>
      <c r="I17" s="12">
        <f t="shared" si="9"/>
        <v>8517.5526370000007</v>
      </c>
      <c r="J17" s="147">
        <v>88.4</v>
      </c>
      <c r="K17" s="122">
        <f t="shared" si="0"/>
        <v>91538.320800000001</v>
      </c>
      <c r="L17" s="3">
        <f t="shared" si="1"/>
        <v>222745.20180000001</v>
      </c>
      <c r="M17" s="3">
        <f t="shared" si="2"/>
        <v>31461.219810000002</v>
      </c>
      <c r="N17" s="3">
        <f t="shared" si="3"/>
        <v>2752.7784000000001</v>
      </c>
      <c r="O17" s="3">
        <f t="shared" si="4"/>
        <v>724.36000000000013</v>
      </c>
      <c r="P17" s="3">
        <f t="shared" si="5"/>
        <v>22932</v>
      </c>
      <c r="Q17" s="3">
        <f t="shared" si="6"/>
        <v>2600</v>
      </c>
      <c r="R17" s="12">
        <f t="shared" si="10"/>
        <v>374753.88081</v>
      </c>
      <c r="S17" s="149">
        <f t="shared" si="7"/>
        <v>43.997835620302489</v>
      </c>
      <c r="T17" s="129">
        <f t="shared" si="8"/>
        <v>2.0091897420337754</v>
      </c>
      <c r="U17" s="136">
        <f t="shared" si="11"/>
        <v>16.274436910473582</v>
      </c>
      <c r="V17" s="139">
        <f t="shared" si="12"/>
        <v>44.00125535053968</v>
      </c>
      <c r="W17" s="9">
        <f t="shared" si="13"/>
        <v>120.55138452202652</v>
      </c>
      <c r="X17" s="9">
        <f t="shared" si="14"/>
        <v>60.275692261013262</v>
      </c>
      <c r="Y17" s="9">
        <f t="shared" si="15"/>
        <v>40.18379484067551</v>
      </c>
      <c r="Z17" s="9">
        <f t="shared" si="16"/>
        <v>80.367589681351021</v>
      </c>
      <c r="AA17" s="9">
        <f t="shared" si="17"/>
        <v>1567.1679987863449</v>
      </c>
      <c r="AB17" s="9">
        <f t="shared" si="18"/>
        <v>10.045948710168878</v>
      </c>
      <c r="AC17" s="3">
        <f t="shared" si="19"/>
        <v>0.76714517423107798</v>
      </c>
      <c r="AD17" s="137">
        <f t="shared" si="20"/>
        <v>3.3151630743557292</v>
      </c>
    </row>
    <row r="18" spans="1:30" x14ac:dyDescent="0.25">
      <c r="A18" s="118" t="s">
        <v>12</v>
      </c>
      <c r="B18">
        <v>89.353020000000001</v>
      </c>
      <c r="C18">
        <v>107.244005</v>
      </c>
      <c r="D18">
        <v>137.24192500000001</v>
      </c>
      <c r="E18">
        <v>757.60698000000002</v>
      </c>
      <c r="F18">
        <v>110.1653</v>
      </c>
      <c r="G18">
        <v>2.1097454</v>
      </c>
      <c r="H18">
        <v>2.3607999999999998</v>
      </c>
      <c r="I18" s="12">
        <f t="shared" si="9"/>
        <v>1206.0817754</v>
      </c>
      <c r="J18" s="147">
        <v>93.6</v>
      </c>
      <c r="K18" s="122">
        <f t="shared" si="0"/>
        <v>2680.5906</v>
      </c>
      <c r="L18" s="3">
        <f t="shared" si="1"/>
        <v>6434.6403</v>
      </c>
      <c r="M18" s="3">
        <f t="shared" si="2"/>
        <v>4117.2577500000007</v>
      </c>
      <c r="N18" s="3">
        <f t="shared" si="3"/>
        <v>15152.1396</v>
      </c>
      <c r="O18" s="3">
        <f t="shared" si="4"/>
        <v>4406.6120000000001</v>
      </c>
      <c r="P18" s="3">
        <f t="shared" si="5"/>
        <v>1645.601412</v>
      </c>
      <c r="Q18" s="3">
        <f t="shared" si="6"/>
        <v>11.803999999999998</v>
      </c>
      <c r="R18" s="12">
        <f t="shared" si="10"/>
        <v>34448.645662000003</v>
      </c>
      <c r="S18" s="149">
        <f t="shared" si="7"/>
        <v>28.562446066789313</v>
      </c>
      <c r="T18" s="129">
        <f t="shared" si="8"/>
        <v>3.2770302578823043</v>
      </c>
      <c r="U18" s="136">
        <f t="shared" si="11"/>
        <v>26.543945088846669</v>
      </c>
      <c r="V18" s="139">
        <f t="shared" si="12"/>
        <v>71.766962647622464</v>
      </c>
      <c r="W18" s="9">
        <f t="shared" si="13"/>
        <v>196.62181547293827</v>
      </c>
      <c r="X18" s="9">
        <f t="shared" si="14"/>
        <v>98.310907736469133</v>
      </c>
      <c r="Y18" s="9">
        <f t="shared" si="15"/>
        <v>65.540605157646084</v>
      </c>
      <c r="Z18" s="9">
        <f t="shared" si="16"/>
        <v>131.08121031529217</v>
      </c>
      <c r="AA18" s="9">
        <f t="shared" si="17"/>
        <v>2556.0836011481974</v>
      </c>
      <c r="AB18" s="9">
        <f t="shared" si="18"/>
        <v>16.385151289411521</v>
      </c>
      <c r="AC18" s="3">
        <f t="shared" si="19"/>
        <v>1.251229734827789</v>
      </c>
      <c r="AD18" s="137">
        <f t="shared" si="20"/>
        <v>5.4070999255058014</v>
      </c>
    </row>
    <row r="19" spans="1:30" x14ac:dyDescent="0.25">
      <c r="A19" s="118" t="s">
        <v>13</v>
      </c>
      <c r="B19">
        <v>158.40625</v>
      </c>
      <c r="C19">
        <v>335.55279999999999</v>
      </c>
      <c r="D19">
        <v>198.706524</v>
      </c>
      <c r="E19">
        <v>94.109920000000002</v>
      </c>
      <c r="F19">
        <v>22.541</v>
      </c>
      <c r="G19">
        <v>1.6366000000000001</v>
      </c>
      <c r="H19">
        <v>20.8</v>
      </c>
      <c r="I19" s="12">
        <f t="shared" si="9"/>
        <v>831.75309400000003</v>
      </c>
      <c r="J19" s="147">
        <v>180.5</v>
      </c>
      <c r="K19" s="122">
        <f t="shared" si="0"/>
        <v>4752.1875</v>
      </c>
      <c r="L19" s="3">
        <f t="shared" si="1"/>
        <v>20133.167999999998</v>
      </c>
      <c r="M19" s="3">
        <f t="shared" si="2"/>
        <v>5961.1957199999997</v>
      </c>
      <c r="N19" s="3">
        <f t="shared" si="3"/>
        <v>1882.1984</v>
      </c>
      <c r="O19" s="3">
        <f t="shared" si="4"/>
        <v>901.64</v>
      </c>
      <c r="P19" s="3">
        <f t="shared" si="5"/>
        <v>1276.548</v>
      </c>
      <c r="Q19" s="3">
        <f t="shared" si="6"/>
        <v>104</v>
      </c>
      <c r="R19" s="12">
        <f t="shared" si="10"/>
        <v>35010.937620000004</v>
      </c>
      <c r="S19" s="149">
        <f t="shared" si="7"/>
        <v>42.092945457681701</v>
      </c>
      <c r="T19" s="129">
        <f t="shared" si="8"/>
        <v>4.2881294724662675</v>
      </c>
      <c r="U19" s="136">
        <f t="shared" si="11"/>
        <v>34.733848726976774</v>
      </c>
      <c r="V19" s="139">
        <f t="shared" si="12"/>
        <v>93.910035447011253</v>
      </c>
      <c r="W19" s="9">
        <f t="shared" si="13"/>
        <v>257.28776834797605</v>
      </c>
      <c r="X19" s="9">
        <f t="shared" si="14"/>
        <v>128.64388417398803</v>
      </c>
      <c r="Y19" s="9">
        <f t="shared" si="15"/>
        <v>85.762589449325347</v>
      </c>
      <c r="Z19" s="9">
        <f t="shared" si="16"/>
        <v>171.52517889865069</v>
      </c>
      <c r="AA19" s="9">
        <f t="shared" si="17"/>
        <v>3344.7409885236889</v>
      </c>
      <c r="AB19" s="9">
        <f t="shared" si="18"/>
        <v>21.440647362331337</v>
      </c>
      <c r="AC19" s="3">
        <f t="shared" si="19"/>
        <v>1.6372857985780296</v>
      </c>
      <c r="AD19" s="137">
        <f t="shared" si="20"/>
        <v>7.0754136295693408</v>
      </c>
    </row>
    <row r="20" spans="1:30" x14ac:dyDescent="0.25">
      <c r="A20" s="118" t="s">
        <v>14</v>
      </c>
      <c r="B20">
        <v>19.773399999999999</v>
      </c>
      <c r="C20">
        <v>6.0856000000000003</v>
      </c>
      <c r="D20">
        <v>5.8820050000000004</v>
      </c>
      <c r="E20">
        <v>44.402999999999999</v>
      </c>
      <c r="F20">
        <v>19.18</v>
      </c>
      <c r="G20">
        <v>1.652E-4</v>
      </c>
      <c r="H20">
        <v>21.12</v>
      </c>
      <c r="I20" s="12">
        <f t="shared" si="9"/>
        <v>116.4441702</v>
      </c>
      <c r="J20" s="147">
        <v>4.8</v>
      </c>
      <c r="K20" s="122">
        <f t="shared" si="0"/>
        <v>593.202</v>
      </c>
      <c r="L20" s="3">
        <f t="shared" si="1"/>
        <v>365.13600000000002</v>
      </c>
      <c r="M20" s="3">
        <f t="shared" si="2"/>
        <v>176.46015</v>
      </c>
      <c r="N20" s="3">
        <f t="shared" si="3"/>
        <v>888.06</v>
      </c>
      <c r="O20" s="3">
        <f t="shared" si="4"/>
        <v>767.2</v>
      </c>
      <c r="P20" s="3">
        <f t="shared" si="5"/>
        <v>0.128856</v>
      </c>
      <c r="Q20" s="3">
        <f t="shared" si="6"/>
        <v>105.60000000000001</v>
      </c>
      <c r="R20" s="12">
        <f t="shared" si="10"/>
        <v>2895.7870059999996</v>
      </c>
      <c r="S20" s="149">
        <f t="shared" si="7"/>
        <v>24.868458429703331</v>
      </c>
      <c r="T20" s="129">
        <f t="shared" si="8"/>
        <v>0.19301558291473322</v>
      </c>
      <c r="U20" s="136">
        <f t="shared" si="11"/>
        <v>1.5634262216093393</v>
      </c>
      <c r="V20" s="139">
        <f t="shared" si="12"/>
        <v>4.227041265832657</v>
      </c>
      <c r="W20" s="9">
        <f t="shared" si="13"/>
        <v>11.580934974883993</v>
      </c>
      <c r="X20" s="9">
        <f t="shared" si="14"/>
        <v>5.7904674874419966</v>
      </c>
      <c r="Y20" s="9">
        <f t="shared" si="15"/>
        <v>3.8603116582946644</v>
      </c>
      <c r="Z20" s="9">
        <f t="shared" si="16"/>
        <v>7.7206233165893288</v>
      </c>
      <c r="AA20" s="9">
        <f t="shared" si="17"/>
        <v>150.55215467349191</v>
      </c>
      <c r="AB20" s="9">
        <f t="shared" si="18"/>
        <v>0.9650779145736661</v>
      </c>
      <c r="AC20" s="3">
        <f t="shared" si="19"/>
        <v>7.3696858931079967E-2</v>
      </c>
      <c r="AD20" s="137">
        <f t="shared" si="20"/>
        <v>0.31847571180930978</v>
      </c>
    </row>
    <row r="21" spans="1:30" x14ac:dyDescent="0.25">
      <c r="A21" s="118" t="s">
        <v>15</v>
      </c>
      <c r="B21">
        <v>1282.8724099999999</v>
      </c>
      <c r="C21">
        <v>286.131575</v>
      </c>
      <c r="D21">
        <v>96.681635</v>
      </c>
      <c r="E21">
        <v>339.24536000000001</v>
      </c>
      <c r="F21">
        <v>37.204999999999998</v>
      </c>
      <c r="G21">
        <v>0</v>
      </c>
      <c r="H21">
        <v>100</v>
      </c>
      <c r="I21" s="12">
        <f t="shared" si="9"/>
        <v>2142.1359799999996</v>
      </c>
      <c r="J21" s="147">
        <v>45.9</v>
      </c>
      <c r="K21" s="122">
        <f t="shared" si="0"/>
        <v>38486.172299999998</v>
      </c>
      <c r="L21" s="3">
        <f t="shared" si="1"/>
        <v>17167.894499999999</v>
      </c>
      <c r="M21" s="3">
        <f t="shared" si="2"/>
        <v>2900.4490500000002</v>
      </c>
      <c r="N21" s="3">
        <f t="shared" si="3"/>
        <v>6784.9071999999996</v>
      </c>
      <c r="O21" s="3">
        <f t="shared" si="4"/>
        <v>1488.1999999999998</v>
      </c>
      <c r="P21" s="3">
        <f t="shared" si="5"/>
        <v>0</v>
      </c>
      <c r="Q21" s="3">
        <f t="shared" si="6"/>
        <v>500</v>
      </c>
      <c r="R21" s="12">
        <f t="shared" si="10"/>
        <v>67327.623050000009</v>
      </c>
      <c r="S21" s="149">
        <f t="shared" si="7"/>
        <v>31.430135004781548</v>
      </c>
      <c r="T21" s="129">
        <f t="shared" si="8"/>
        <v>1.4603818912332738</v>
      </c>
      <c r="U21" s="136">
        <f t="shared" si="11"/>
        <v>11.82909331898952</v>
      </c>
      <c r="V21" s="139">
        <f t="shared" si="12"/>
        <v>31.982363418008692</v>
      </c>
      <c r="W21" s="9">
        <f t="shared" si="13"/>
        <v>87.622913473996419</v>
      </c>
      <c r="X21" s="9">
        <f t="shared" si="14"/>
        <v>43.81145673699821</v>
      </c>
      <c r="Y21" s="9">
        <f t="shared" si="15"/>
        <v>29.207637824665476</v>
      </c>
      <c r="Z21" s="9">
        <f t="shared" si="16"/>
        <v>58.415275649330951</v>
      </c>
      <c r="AA21" s="9">
        <f t="shared" si="17"/>
        <v>1139.0978751619537</v>
      </c>
      <c r="AB21" s="9">
        <f t="shared" si="18"/>
        <v>7.3019094561663689</v>
      </c>
      <c r="AC21" s="3">
        <f t="shared" si="19"/>
        <v>0.5576003584708864</v>
      </c>
      <c r="AD21" s="137">
        <f t="shared" si="20"/>
        <v>2.4096301205349016</v>
      </c>
    </row>
    <row r="22" spans="1:30" x14ac:dyDescent="0.25">
      <c r="A22" s="118" t="s">
        <v>16</v>
      </c>
      <c r="B22">
        <v>1500.31628</v>
      </c>
      <c r="C22">
        <v>807.84786999999994</v>
      </c>
      <c r="D22">
        <v>713.99719400000004</v>
      </c>
      <c r="E22">
        <v>576.23567000000003</v>
      </c>
      <c r="F22">
        <v>62.3</v>
      </c>
      <c r="G22">
        <v>35</v>
      </c>
      <c r="H22">
        <v>123.63760000000001</v>
      </c>
      <c r="I22" s="12">
        <f t="shared" si="9"/>
        <v>3819.3346140000003</v>
      </c>
      <c r="J22" s="147">
        <v>244</v>
      </c>
      <c r="K22" s="122">
        <f t="shared" si="0"/>
        <v>45009.488400000002</v>
      </c>
      <c r="L22" s="3">
        <f t="shared" si="1"/>
        <v>48470.872199999998</v>
      </c>
      <c r="M22" s="3">
        <f t="shared" si="2"/>
        <v>21419.915820000002</v>
      </c>
      <c r="N22" s="3">
        <f t="shared" si="3"/>
        <v>11524.713400000001</v>
      </c>
      <c r="O22" s="3">
        <f t="shared" si="4"/>
        <v>2492</v>
      </c>
      <c r="P22" s="3">
        <f t="shared" si="5"/>
        <v>27300</v>
      </c>
      <c r="Q22" s="3">
        <f t="shared" si="6"/>
        <v>618.18799999999999</v>
      </c>
      <c r="R22" s="12">
        <f t="shared" si="10"/>
        <v>156835.17782000001</v>
      </c>
      <c r="S22" s="149">
        <f t="shared" si="7"/>
        <v>41.063481907322611</v>
      </c>
      <c r="T22" s="129">
        <f t="shared" si="8"/>
        <v>5.9420192508441154</v>
      </c>
      <c r="U22" s="136">
        <f t="shared" si="11"/>
        <v>48.130355931837343</v>
      </c>
      <c r="V22" s="139">
        <f t="shared" si="12"/>
        <v>130.13022159348611</v>
      </c>
      <c r="W22" s="9">
        <f t="shared" si="13"/>
        <v>356.52115505064694</v>
      </c>
      <c r="X22" s="9">
        <f t="shared" si="14"/>
        <v>178.26057752532347</v>
      </c>
      <c r="Y22" s="9">
        <f t="shared" si="15"/>
        <v>118.84038501688231</v>
      </c>
      <c r="Z22" s="9">
        <f t="shared" si="16"/>
        <v>237.68077003376462</v>
      </c>
      <c r="AA22" s="9">
        <f t="shared" si="17"/>
        <v>4634.7750156584098</v>
      </c>
      <c r="AB22" s="9">
        <f t="shared" si="18"/>
        <v>29.710096254220577</v>
      </c>
      <c r="AC22" s="3">
        <f t="shared" si="19"/>
        <v>2.2687709866859351</v>
      </c>
      <c r="AD22" s="137">
        <f t="shared" si="20"/>
        <v>9.8043317638927903</v>
      </c>
    </row>
    <row r="23" spans="1:30" x14ac:dyDescent="0.25">
      <c r="A23" s="118" t="s">
        <v>17</v>
      </c>
      <c r="B23">
        <v>94.089314999999999</v>
      </c>
      <c r="C23">
        <v>39.872439999999997</v>
      </c>
      <c r="D23">
        <v>21.286203</v>
      </c>
      <c r="E23">
        <v>8.6138499999999993</v>
      </c>
      <c r="F23">
        <v>0</v>
      </c>
      <c r="G23">
        <v>4.6048800000000001E-2</v>
      </c>
      <c r="H23">
        <v>3.3679999999999999</v>
      </c>
      <c r="I23" s="12">
        <f t="shared" si="9"/>
        <v>167.27585679999999</v>
      </c>
      <c r="J23" s="147">
        <v>35.9</v>
      </c>
      <c r="K23" s="122">
        <f t="shared" si="0"/>
        <v>2822.6794500000001</v>
      </c>
      <c r="L23" s="3">
        <f t="shared" si="1"/>
        <v>2392.3463999999999</v>
      </c>
      <c r="M23" s="3">
        <f t="shared" si="2"/>
        <v>638.58609000000001</v>
      </c>
      <c r="N23" s="3">
        <f t="shared" si="3"/>
        <v>172.27699999999999</v>
      </c>
      <c r="O23" s="3">
        <f t="shared" si="4"/>
        <v>0</v>
      </c>
      <c r="P23" s="3">
        <f t="shared" si="5"/>
        <v>35.918064000000001</v>
      </c>
      <c r="Q23" s="3">
        <f t="shared" si="6"/>
        <v>16.84</v>
      </c>
      <c r="R23" s="12">
        <f t="shared" si="10"/>
        <v>6078.6470040000004</v>
      </c>
      <c r="S23" s="149">
        <f t="shared" si="7"/>
        <v>36.339057651743566</v>
      </c>
      <c r="T23" s="129">
        <f t="shared" si="8"/>
        <v>0.9879177480068061</v>
      </c>
      <c r="U23" s="136">
        <f t="shared" si="11"/>
        <v>8.0021337588551305</v>
      </c>
      <c r="V23" s="139">
        <f t="shared" si="12"/>
        <v>21.635398681349052</v>
      </c>
      <c r="W23" s="9">
        <f t="shared" si="13"/>
        <v>59.275064880408365</v>
      </c>
      <c r="X23" s="9">
        <f t="shared" si="14"/>
        <v>29.637532440204183</v>
      </c>
      <c r="Y23" s="9">
        <f t="shared" si="15"/>
        <v>19.758354960136121</v>
      </c>
      <c r="Z23" s="9">
        <f t="shared" si="16"/>
        <v>39.516709920272241</v>
      </c>
      <c r="AA23" s="9">
        <f t="shared" si="17"/>
        <v>770.57584344530881</v>
      </c>
      <c r="AB23" s="9">
        <f t="shared" si="18"/>
        <v>4.9395887400340301</v>
      </c>
      <c r="AC23" s="3">
        <f t="shared" si="19"/>
        <v>0.37720495832987144</v>
      </c>
      <c r="AD23" s="137">
        <f t="shared" si="20"/>
        <v>1.6300642842112301</v>
      </c>
    </row>
    <row r="24" spans="1:30" x14ac:dyDescent="0.25">
      <c r="A24" s="118" t="s">
        <v>18</v>
      </c>
      <c r="B24">
        <v>176.47073499999999</v>
      </c>
      <c r="C24">
        <v>66.589619999999996</v>
      </c>
      <c r="D24">
        <v>62.007098999999997</v>
      </c>
      <c r="E24">
        <v>12.6012</v>
      </c>
      <c r="F24">
        <v>3.72</v>
      </c>
      <c r="G24">
        <v>5.7531600000000002E-2</v>
      </c>
      <c r="H24">
        <v>6.1180000000000003</v>
      </c>
      <c r="I24" s="12">
        <f t="shared" si="9"/>
        <v>327.56418560000003</v>
      </c>
      <c r="J24" s="147">
        <v>32.700000000000003</v>
      </c>
      <c r="K24" s="122">
        <f t="shared" si="0"/>
        <v>5294.1220499999999</v>
      </c>
      <c r="L24" s="3">
        <f t="shared" si="1"/>
        <v>3995.3771999999999</v>
      </c>
      <c r="M24" s="3">
        <f t="shared" si="2"/>
        <v>1860.2129699999998</v>
      </c>
      <c r="N24" s="3">
        <f t="shared" si="3"/>
        <v>252.024</v>
      </c>
      <c r="O24" s="3">
        <f t="shared" si="4"/>
        <v>148.80000000000001</v>
      </c>
      <c r="P24" s="3">
        <f t="shared" si="5"/>
        <v>44.874648000000001</v>
      </c>
      <c r="Q24" s="3">
        <f t="shared" si="6"/>
        <v>30.590000000000003</v>
      </c>
      <c r="R24" s="12">
        <f t="shared" si="10"/>
        <v>11626.000868000001</v>
      </c>
      <c r="S24" s="149">
        <f t="shared" si="7"/>
        <v>35.492283280922884</v>
      </c>
      <c r="T24" s="129">
        <f t="shared" si="8"/>
        <v>0.92132703160228258</v>
      </c>
      <c r="U24" s="136">
        <f t="shared" si="11"/>
        <v>7.4627489559784905</v>
      </c>
      <c r="V24" s="139">
        <f t="shared" si="12"/>
        <v>20.177061992089985</v>
      </c>
      <c r="W24" s="9">
        <f t="shared" si="13"/>
        <v>55.279621896136952</v>
      </c>
      <c r="X24" s="9">
        <f t="shared" si="14"/>
        <v>27.639810948068476</v>
      </c>
      <c r="Y24" s="9">
        <f t="shared" si="15"/>
        <v>18.426540632045651</v>
      </c>
      <c r="Z24" s="9">
        <f t="shared" si="16"/>
        <v>36.853081264091301</v>
      </c>
      <c r="AA24" s="9">
        <f t="shared" si="17"/>
        <v>718.63508464978042</v>
      </c>
      <c r="AB24" s="9">
        <f t="shared" si="18"/>
        <v>4.6066351580114127</v>
      </c>
      <c r="AC24" s="3">
        <f t="shared" si="19"/>
        <v>0.35177941206632607</v>
      </c>
      <c r="AD24" s="137">
        <f t="shared" si="20"/>
        <v>1.5201896021437662</v>
      </c>
    </row>
    <row r="25" spans="1:30" x14ac:dyDescent="0.25">
      <c r="A25" s="118" t="s">
        <v>19</v>
      </c>
      <c r="B25">
        <v>41.205475</v>
      </c>
      <c r="C25">
        <v>10.74094</v>
      </c>
      <c r="D25">
        <v>0.12868599999999999</v>
      </c>
      <c r="E25">
        <v>0.71787000000000001</v>
      </c>
      <c r="F25">
        <v>0</v>
      </c>
      <c r="G25">
        <v>0</v>
      </c>
      <c r="H25">
        <v>1.89</v>
      </c>
      <c r="I25" s="12">
        <f t="shared" si="9"/>
        <v>54.682971000000002</v>
      </c>
      <c r="J25" s="147">
        <v>33.6</v>
      </c>
      <c r="K25" s="122">
        <f t="shared" si="0"/>
        <v>1236.16425</v>
      </c>
      <c r="L25" s="3">
        <f t="shared" si="1"/>
        <v>644.45640000000003</v>
      </c>
      <c r="M25" s="3">
        <f t="shared" si="2"/>
        <v>3.8605799999999997</v>
      </c>
      <c r="N25" s="3">
        <f t="shared" si="3"/>
        <v>14.3574</v>
      </c>
      <c r="O25" s="3">
        <f t="shared" si="4"/>
        <v>0</v>
      </c>
      <c r="P25" s="3">
        <f t="shared" si="5"/>
        <v>0</v>
      </c>
      <c r="Q25" s="3">
        <f t="shared" si="6"/>
        <v>9.4499999999999993</v>
      </c>
      <c r="R25" s="12">
        <f t="shared" si="10"/>
        <v>1908.2886300000002</v>
      </c>
      <c r="S25" s="149">
        <f t="shared" si="7"/>
        <v>34.897310718541611</v>
      </c>
      <c r="T25" s="129">
        <f t="shared" si="8"/>
        <v>0.96282490851501845</v>
      </c>
      <c r="U25" s="136">
        <f t="shared" si="11"/>
        <v>7.7988817589716506</v>
      </c>
      <c r="V25" s="139">
        <f t="shared" si="12"/>
        <v>21.085865496478903</v>
      </c>
      <c r="W25" s="9">
        <f t="shared" si="13"/>
        <v>57.769494510901104</v>
      </c>
      <c r="X25" s="9">
        <f t="shared" si="14"/>
        <v>28.884747255450552</v>
      </c>
      <c r="Y25" s="9">
        <f t="shared" si="15"/>
        <v>19.256498170300368</v>
      </c>
      <c r="Z25" s="9">
        <f t="shared" si="16"/>
        <v>38.512996340600736</v>
      </c>
      <c r="AA25" s="9">
        <f t="shared" si="17"/>
        <v>751.00342864171444</v>
      </c>
      <c r="AB25" s="9">
        <f t="shared" si="18"/>
        <v>4.814124542575092</v>
      </c>
      <c r="AC25" s="3">
        <f t="shared" si="19"/>
        <v>0.36762405597846159</v>
      </c>
      <c r="AD25" s="137">
        <f t="shared" si="20"/>
        <v>1.5886610990497803</v>
      </c>
    </row>
    <row r="26" spans="1:30" x14ac:dyDescent="0.25">
      <c r="A26" s="118" t="s">
        <v>20</v>
      </c>
      <c r="B26">
        <v>4.4370099999999999</v>
      </c>
      <c r="C26">
        <v>4.34666</v>
      </c>
      <c r="D26">
        <v>2.2965800000000001</v>
      </c>
      <c r="E26">
        <v>1.09219</v>
      </c>
      <c r="F26">
        <v>0</v>
      </c>
      <c r="G26">
        <v>0.1091678</v>
      </c>
      <c r="H26">
        <v>1.6712</v>
      </c>
      <c r="I26" s="12">
        <f t="shared" si="9"/>
        <v>13.952807800000002</v>
      </c>
      <c r="J26" s="147">
        <v>153.19999999999999</v>
      </c>
      <c r="K26" s="122">
        <f t="shared" si="0"/>
        <v>133.1103</v>
      </c>
      <c r="L26" s="3">
        <f t="shared" si="1"/>
        <v>260.7996</v>
      </c>
      <c r="M26" s="3">
        <f t="shared" si="2"/>
        <v>68.897400000000005</v>
      </c>
      <c r="N26" s="3">
        <f t="shared" si="3"/>
        <v>21.843800000000002</v>
      </c>
      <c r="O26" s="3">
        <f t="shared" si="4"/>
        <v>0</v>
      </c>
      <c r="P26" s="3">
        <f t="shared" si="5"/>
        <v>85.150883999999991</v>
      </c>
      <c r="Q26" s="3">
        <f t="shared" si="6"/>
        <v>8.3559999999999999</v>
      </c>
      <c r="R26" s="12">
        <f t="shared" si="10"/>
        <v>578.15798399999994</v>
      </c>
      <c r="S26" s="149">
        <f t="shared" si="7"/>
        <v>41.436676566275061</v>
      </c>
      <c r="T26" s="129">
        <f t="shared" si="8"/>
        <v>3.697207708127058</v>
      </c>
      <c r="U26" s="136">
        <f t="shared" si="11"/>
        <v>29.947382435829176</v>
      </c>
      <c r="V26" s="139">
        <f t="shared" si="12"/>
        <v>80.968848807982567</v>
      </c>
      <c r="W26" s="9">
        <f t="shared" si="13"/>
        <v>221.83246248762347</v>
      </c>
      <c r="X26" s="9">
        <f t="shared" si="14"/>
        <v>110.91623124381174</v>
      </c>
      <c r="Y26" s="9">
        <f t="shared" si="15"/>
        <v>73.944154162541167</v>
      </c>
      <c r="Z26" s="9">
        <f t="shared" si="16"/>
        <v>147.88830832508233</v>
      </c>
      <c r="AA26" s="9">
        <f t="shared" si="17"/>
        <v>2883.8220123391052</v>
      </c>
      <c r="AB26" s="9">
        <f t="shared" si="18"/>
        <v>18.486038540635292</v>
      </c>
      <c r="AC26" s="3">
        <f t="shared" si="19"/>
        <v>1.4116611249212403</v>
      </c>
      <c r="AD26" s="137">
        <f t="shared" si="20"/>
        <v>6.1003927184096458</v>
      </c>
    </row>
    <row r="27" spans="1:30" x14ac:dyDescent="0.25">
      <c r="A27" s="118" t="s">
        <v>21</v>
      </c>
      <c r="B27">
        <v>1086.5199250000001</v>
      </c>
      <c r="C27">
        <v>1606.69363</v>
      </c>
      <c r="D27">
        <v>394.98676899999998</v>
      </c>
      <c r="E27">
        <v>71.652519999999996</v>
      </c>
      <c r="F27">
        <v>5.4710000000000001</v>
      </c>
      <c r="G27">
        <v>0.46440520000000002</v>
      </c>
      <c r="H27">
        <v>35.036000000000001</v>
      </c>
      <c r="I27" s="12">
        <f t="shared" si="9"/>
        <v>3200.8242492000004</v>
      </c>
      <c r="J27" s="147">
        <v>57.4</v>
      </c>
      <c r="K27" s="122">
        <f t="shared" si="0"/>
        <v>32595.597750000001</v>
      </c>
      <c r="L27" s="3">
        <f t="shared" si="1"/>
        <v>96401.617799999993</v>
      </c>
      <c r="M27" s="3">
        <f t="shared" si="2"/>
        <v>11849.603069999999</v>
      </c>
      <c r="N27" s="3">
        <f t="shared" si="3"/>
        <v>1433.0503999999999</v>
      </c>
      <c r="O27" s="3">
        <f t="shared" si="4"/>
        <v>218.84</v>
      </c>
      <c r="P27" s="3">
        <f t="shared" si="5"/>
        <v>362.23605600000002</v>
      </c>
      <c r="Q27" s="3">
        <f t="shared" si="6"/>
        <v>175.18</v>
      </c>
      <c r="R27" s="12">
        <f t="shared" si="10"/>
        <v>143036.125076</v>
      </c>
      <c r="S27" s="149">
        <f t="shared" si="7"/>
        <v>44.687278631980433</v>
      </c>
      <c r="T27" s="129">
        <f t="shared" si="8"/>
        <v>1.2844818874005388</v>
      </c>
      <c r="U27" s="136">
        <f t="shared" si="11"/>
        <v>10.404303287944366</v>
      </c>
      <c r="V27" s="139">
        <f t="shared" si="12"/>
        <v>28.1301533340718</v>
      </c>
      <c r="W27" s="9">
        <f t="shared" si="13"/>
        <v>77.068913244032331</v>
      </c>
      <c r="X27" s="9">
        <f t="shared" si="14"/>
        <v>38.534456622016165</v>
      </c>
      <c r="Y27" s="9">
        <f t="shared" si="15"/>
        <v>25.689637748010774</v>
      </c>
      <c r="Z27" s="9">
        <f t="shared" si="16"/>
        <v>51.379275496021549</v>
      </c>
      <c r="AA27" s="9">
        <f t="shared" si="17"/>
        <v>1001.8958721724202</v>
      </c>
      <c r="AB27" s="9">
        <f t="shared" si="18"/>
        <v>6.4224094370026936</v>
      </c>
      <c r="AC27" s="3">
        <f t="shared" si="19"/>
        <v>0.4904385388256603</v>
      </c>
      <c r="AD27" s="137">
        <f t="shared" si="20"/>
        <v>2.1193951142108891</v>
      </c>
    </row>
    <row r="28" spans="1:30" x14ac:dyDescent="0.25">
      <c r="A28" s="118" t="s">
        <v>22</v>
      </c>
      <c r="B28">
        <v>224.555645</v>
      </c>
      <c r="C28">
        <v>132.61657500000001</v>
      </c>
      <c r="D28">
        <v>64.342219</v>
      </c>
      <c r="E28">
        <v>103.23487</v>
      </c>
      <c r="F28">
        <v>1352.759</v>
      </c>
      <c r="G28">
        <v>0</v>
      </c>
      <c r="H28">
        <v>50</v>
      </c>
      <c r="I28" s="12">
        <f t="shared" si="9"/>
        <v>1927.5083090000001</v>
      </c>
      <c r="J28" s="147">
        <v>2.9</v>
      </c>
      <c r="K28" s="122">
        <f t="shared" si="0"/>
        <v>6736.6693500000001</v>
      </c>
      <c r="L28" s="3">
        <f t="shared" si="1"/>
        <v>7956.9945000000007</v>
      </c>
      <c r="M28" s="3">
        <f t="shared" si="2"/>
        <v>1930.26657</v>
      </c>
      <c r="N28" s="3">
        <f t="shared" si="3"/>
        <v>2064.6974</v>
      </c>
      <c r="O28" s="3">
        <f t="shared" si="4"/>
        <v>54110.36</v>
      </c>
      <c r="P28" s="3">
        <f t="shared" si="5"/>
        <v>0</v>
      </c>
      <c r="Q28" s="3">
        <f t="shared" si="6"/>
        <v>250</v>
      </c>
      <c r="R28" s="12">
        <f t="shared" si="10"/>
        <v>73048.987820000009</v>
      </c>
      <c r="S28" s="149">
        <f t="shared" si="7"/>
        <v>37.898144189011646</v>
      </c>
      <c r="T28" s="129">
        <f t="shared" si="8"/>
        <v>7.652089731720528E-2</v>
      </c>
      <c r="U28" s="136">
        <f t="shared" si="11"/>
        <v>0.61981926826936284</v>
      </c>
      <c r="V28" s="139">
        <f t="shared" si="12"/>
        <v>1.6758076512467954</v>
      </c>
      <c r="W28" s="9">
        <f t="shared" si="13"/>
        <v>4.5912538390323165</v>
      </c>
      <c r="X28" s="9">
        <f t="shared" si="14"/>
        <v>2.2956269195161583</v>
      </c>
      <c r="Y28" s="9">
        <f t="shared" si="15"/>
        <v>1.5304179463441057</v>
      </c>
      <c r="Z28" s="9">
        <f t="shared" si="16"/>
        <v>3.0608358926882113</v>
      </c>
      <c r="AA28" s="9">
        <f t="shared" si="17"/>
        <v>59.686299907420121</v>
      </c>
      <c r="AB28" s="9">
        <f t="shared" si="18"/>
        <v>0.38260448658602642</v>
      </c>
      <c r="AC28" s="3">
        <f t="shared" si="19"/>
        <v>2.9217069884751107E-2</v>
      </c>
      <c r="AD28" s="137">
        <f t="shared" si="20"/>
        <v>0.1262594805733887</v>
      </c>
    </row>
    <row r="29" spans="1:30" x14ac:dyDescent="0.25">
      <c r="A29" s="118" t="s">
        <v>23</v>
      </c>
      <c r="B29">
        <v>1645.1994400000001</v>
      </c>
      <c r="C29">
        <v>1467.8286250000001</v>
      </c>
      <c r="D29">
        <v>1376.9310270000001</v>
      </c>
      <c r="E29">
        <v>21.97503</v>
      </c>
      <c r="F29">
        <v>36.80603</v>
      </c>
      <c r="G29">
        <v>0.85300319999999996</v>
      </c>
      <c r="H29">
        <v>122.9832</v>
      </c>
      <c r="I29" s="12">
        <f t="shared" si="9"/>
        <v>4672.5763551999999</v>
      </c>
      <c r="J29" s="147">
        <v>168.3</v>
      </c>
      <c r="K29" s="122">
        <f t="shared" si="0"/>
        <v>49355.983200000002</v>
      </c>
      <c r="L29" s="3">
        <f t="shared" si="1"/>
        <v>88069.717499999999</v>
      </c>
      <c r="M29" s="3">
        <f t="shared" si="2"/>
        <v>41307.930810000005</v>
      </c>
      <c r="N29" s="3">
        <f t="shared" si="3"/>
        <v>439.50060000000002</v>
      </c>
      <c r="O29" s="3">
        <f t="shared" si="4"/>
        <v>1472.2411999999999</v>
      </c>
      <c r="P29" s="3">
        <f t="shared" si="5"/>
        <v>665.34249599999998</v>
      </c>
      <c r="Q29" s="3">
        <f t="shared" si="6"/>
        <v>614.91599999999994</v>
      </c>
      <c r="R29" s="12">
        <f t="shared" si="10"/>
        <v>181925.63180599996</v>
      </c>
      <c r="S29" s="149">
        <f t="shared" si="7"/>
        <v>38.93475846650194</v>
      </c>
      <c r="T29" s="129">
        <f t="shared" si="8"/>
        <v>4.3226157456402161</v>
      </c>
      <c r="U29" s="136">
        <f t="shared" si="11"/>
        <v>35.013187539685759</v>
      </c>
      <c r="V29" s="139">
        <f t="shared" si="12"/>
        <v>94.665284829520729</v>
      </c>
      <c r="W29" s="9">
        <f t="shared" si="13"/>
        <v>259.35694473841295</v>
      </c>
      <c r="X29" s="9">
        <f t="shared" si="14"/>
        <v>129.67847236920647</v>
      </c>
      <c r="Y29" s="9">
        <f t="shared" si="15"/>
        <v>86.452314912804326</v>
      </c>
      <c r="Z29" s="9">
        <f t="shared" si="16"/>
        <v>172.90462982560865</v>
      </c>
      <c r="AA29" s="9">
        <f t="shared" si="17"/>
        <v>3371.6402815993688</v>
      </c>
      <c r="AB29" s="9">
        <f t="shared" si="18"/>
        <v>21.613078728201081</v>
      </c>
      <c r="AC29" s="3">
        <f t="shared" si="19"/>
        <v>1.6504532846989917</v>
      </c>
      <c r="AD29" s="137">
        <f t="shared" si="20"/>
        <v>7.1323159803063563</v>
      </c>
    </row>
    <row r="30" spans="1:30" x14ac:dyDescent="0.25">
      <c r="A30" s="118" t="s">
        <v>24</v>
      </c>
      <c r="B30">
        <v>222.68093500000001</v>
      </c>
      <c r="C30">
        <v>344.37374499999999</v>
      </c>
      <c r="D30">
        <v>247.6126075</v>
      </c>
      <c r="E30">
        <v>180.01647</v>
      </c>
      <c r="F30">
        <v>12.548999999999999</v>
      </c>
      <c r="G30">
        <v>6.0360187999999999</v>
      </c>
      <c r="H30">
        <v>32.799999999999997</v>
      </c>
      <c r="I30" s="12">
        <f t="shared" si="9"/>
        <v>1046.0687762999999</v>
      </c>
      <c r="J30" s="147">
        <v>183.4</v>
      </c>
      <c r="K30" s="122">
        <f t="shared" si="0"/>
        <v>6680.4280500000004</v>
      </c>
      <c r="L30" s="3">
        <f t="shared" si="1"/>
        <v>20662.4247</v>
      </c>
      <c r="M30" s="3">
        <f t="shared" si="2"/>
        <v>7428.3782249999995</v>
      </c>
      <c r="N30" s="3">
        <f t="shared" si="3"/>
        <v>3600.3294000000001</v>
      </c>
      <c r="O30" s="3">
        <f t="shared" si="4"/>
        <v>501.96</v>
      </c>
      <c r="P30" s="3">
        <f t="shared" si="5"/>
        <v>4708.0946640000002</v>
      </c>
      <c r="Q30" s="3">
        <f t="shared" si="6"/>
        <v>164</v>
      </c>
      <c r="R30" s="12">
        <f t="shared" si="10"/>
        <v>43745.615038999997</v>
      </c>
      <c r="S30" s="149">
        <f t="shared" si="7"/>
        <v>41.819062025472675</v>
      </c>
      <c r="T30" s="129">
        <f t="shared" si="8"/>
        <v>4.385559864740344</v>
      </c>
      <c r="U30" s="136">
        <f t="shared" si="11"/>
        <v>35.523034904396795</v>
      </c>
      <c r="V30" s="139">
        <f t="shared" si="12"/>
        <v>96.043761037813525</v>
      </c>
      <c r="W30" s="9">
        <f t="shared" si="13"/>
        <v>263.13359188442064</v>
      </c>
      <c r="X30" s="9">
        <f t="shared" si="14"/>
        <v>131.56679594221032</v>
      </c>
      <c r="Y30" s="9">
        <f t="shared" si="15"/>
        <v>87.71119729480688</v>
      </c>
      <c r="Z30" s="9">
        <f t="shared" si="16"/>
        <v>175.42239458961376</v>
      </c>
      <c r="AA30" s="9">
        <f t="shared" si="17"/>
        <v>3420.7366944974683</v>
      </c>
      <c r="AB30" s="9">
        <f t="shared" si="18"/>
        <v>21.92779932370172</v>
      </c>
      <c r="AC30" s="3">
        <f t="shared" si="19"/>
        <v>1.6744864938099495</v>
      </c>
      <c r="AD30" s="137">
        <f t="shared" si="20"/>
        <v>7.236173776821567</v>
      </c>
    </row>
    <row r="31" spans="1:30" x14ac:dyDescent="0.25">
      <c r="A31" s="118" t="s">
        <v>25</v>
      </c>
      <c r="B31">
        <v>739.18761500000005</v>
      </c>
      <c r="C31">
        <v>483.88719500000002</v>
      </c>
      <c r="D31">
        <v>491.83660700000001</v>
      </c>
      <c r="E31">
        <v>930.74411499999997</v>
      </c>
      <c r="F31">
        <v>7.3</v>
      </c>
      <c r="G31">
        <v>0</v>
      </c>
      <c r="H31">
        <v>135.21039999999999</v>
      </c>
      <c r="I31" s="12">
        <f t="shared" si="9"/>
        <v>2788.1659319999999</v>
      </c>
      <c r="J31" s="147">
        <v>82.7</v>
      </c>
      <c r="K31" s="122">
        <f t="shared" si="0"/>
        <v>22175.62845</v>
      </c>
      <c r="L31" s="3">
        <f t="shared" si="1"/>
        <v>29033.2317</v>
      </c>
      <c r="M31" s="3">
        <f t="shared" si="2"/>
        <v>14755.09821</v>
      </c>
      <c r="N31" s="3">
        <f t="shared" si="3"/>
        <v>18614.882299999997</v>
      </c>
      <c r="O31" s="3">
        <f t="shared" si="4"/>
        <v>292</v>
      </c>
      <c r="P31" s="3">
        <f t="shared" si="5"/>
        <v>0</v>
      </c>
      <c r="Q31" s="3">
        <f t="shared" si="6"/>
        <v>676.05199999999991</v>
      </c>
      <c r="R31" s="12">
        <f t="shared" si="10"/>
        <v>85546.892659999998</v>
      </c>
      <c r="S31" s="149">
        <f t="shared" si="7"/>
        <v>30.682138275262449</v>
      </c>
      <c r="T31" s="129">
        <f t="shared" si="8"/>
        <v>2.6953792873907059</v>
      </c>
      <c r="U31" s="136">
        <f t="shared" si="11"/>
        <v>21.83257222786472</v>
      </c>
      <c r="V31" s="139">
        <f t="shared" si="12"/>
        <v>59.028806393856456</v>
      </c>
      <c r="W31" s="9">
        <f t="shared" si="13"/>
        <v>161.72275724344235</v>
      </c>
      <c r="X31" s="9">
        <f t="shared" si="14"/>
        <v>80.861378621721173</v>
      </c>
      <c r="Y31" s="9">
        <f t="shared" si="15"/>
        <v>53.907585747814117</v>
      </c>
      <c r="Z31" s="9">
        <f t="shared" si="16"/>
        <v>107.81517149562823</v>
      </c>
      <c r="AA31" s="9">
        <f t="shared" si="17"/>
        <v>2102.3958441647505</v>
      </c>
      <c r="AB31" s="9">
        <f t="shared" si="18"/>
        <v>13.476896436953529</v>
      </c>
      <c r="AC31" s="3">
        <f t="shared" si="19"/>
        <v>1.0291448188219059</v>
      </c>
      <c r="AD31" s="137">
        <f t="shared" si="20"/>
        <v>4.4473758241946646</v>
      </c>
    </row>
    <row r="32" spans="1:30" x14ac:dyDescent="0.25">
      <c r="A32" s="118" t="s">
        <v>26</v>
      </c>
      <c r="B32">
        <v>89.451220000000006</v>
      </c>
      <c r="C32">
        <v>64.128855000000001</v>
      </c>
      <c r="D32">
        <v>57.787117000000002</v>
      </c>
      <c r="E32">
        <v>28.488679999999999</v>
      </c>
      <c r="F32">
        <v>1.3380000000000001</v>
      </c>
      <c r="G32">
        <v>4.3204000000000003E-3</v>
      </c>
      <c r="H32">
        <v>5.3548</v>
      </c>
      <c r="I32" s="12">
        <f t="shared" si="9"/>
        <v>246.55299240000002</v>
      </c>
      <c r="J32" s="147">
        <v>49.2</v>
      </c>
      <c r="K32" s="122">
        <f t="shared" si="0"/>
        <v>2683.5366000000004</v>
      </c>
      <c r="L32" s="3">
        <f t="shared" si="1"/>
        <v>3847.7312999999999</v>
      </c>
      <c r="M32" s="3">
        <f t="shared" si="2"/>
        <v>1733.6135100000001</v>
      </c>
      <c r="N32" s="3">
        <f t="shared" si="3"/>
        <v>569.77359999999999</v>
      </c>
      <c r="O32" s="3">
        <f t="shared" si="4"/>
        <v>53.52</v>
      </c>
      <c r="P32" s="3">
        <f t="shared" si="5"/>
        <v>3.3699120000000002</v>
      </c>
      <c r="Q32" s="3">
        <f t="shared" si="6"/>
        <v>26.774000000000001</v>
      </c>
      <c r="R32" s="12">
        <f t="shared" si="10"/>
        <v>8918.3189220000022</v>
      </c>
      <c r="S32" s="149">
        <f t="shared" si="7"/>
        <v>36.172016551846163</v>
      </c>
      <c r="T32" s="129">
        <f t="shared" si="8"/>
        <v>1.3601674634169356</v>
      </c>
      <c r="U32" s="136">
        <f t="shared" si="11"/>
        <v>11.017356453677181</v>
      </c>
      <c r="V32" s="139">
        <f t="shared" si="12"/>
        <v>29.787667448830888</v>
      </c>
      <c r="W32" s="9">
        <f t="shared" si="13"/>
        <v>81.610047805016137</v>
      </c>
      <c r="X32" s="9">
        <f t="shared" si="14"/>
        <v>40.805023902508069</v>
      </c>
      <c r="Y32" s="9">
        <f t="shared" si="15"/>
        <v>27.203349268338712</v>
      </c>
      <c r="Z32" s="9">
        <f t="shared" si="16"/>
        <v>54.406698536677425</v>
      </c>
      <c r="AA32" s="9">
        <f t="shared" si="17"/>
        <v>1060.9306214652097</v>
      </c>
      <c r="AB32" s="9">
        <f t="shared" si="18"/>
        <v>6.8008373170846781</v>
      </c>
      <c r="AC32" s="3">
        <f t="shared" si="19"/>
        <v>0.51933666785010268</v>
      </c>
      <c r="AD32" s="137">
        <f t="shared" si="20"/>
        <v>2.2442763146379439</v>
      </c>
    </row>
    <row r="33" spans="1:30" x14ac:dyDescent="0.25">
      <c r="A33" s="118" t="s">
        <v>27</v>
      </c>
      <c r="B33">
        <v>97.115075000000004</v>
      </c>
      <c r="C33">
        <v>18.109304999999999</v>
      </c>
      <c r="D33">
        <v>42.810023000000001</v>
      </c>
      <c r="E33">
        <v>9.28782</v>
      </c>
      <c r="F33">
        <v>2.0790000000000002</v>
      </c>
      <c r="G33">
        <v>1.6273599999999999E-2</v>
      </c>
      <c r="H33">
        <v>10.3628</v>
      </c>
      <c r="I33" s="12">
        <f t="shared" si="9"/>
        <v>179.78029660000001</v>
      </c>
      <c r="J33" s="147">
        <v>43.2</v>
      </c>
      <c r="K33" s="122">
        <f t="shared" si="0"/>
        <v>2913.4522500000003</v>
      </c>
      <c r="L33" s="3">
        <f t="shared" si="1"/>
        <v>1086.5582999999999</v>
      </c>
      <c r="M33" s="3">
        <f t="shared" si="2"/>
        <v>1284.30069</v>
      </c>
      <c r="N33" s="3">
        <f t="shared" si="3"/>
        <v>185.75639999999999</v>
      </c>
      <c r="O33" s="3">
        <f t="shared" si="4"/>
        <v>83.160000000000011</v>
      </c>
      <c r="P33" s="3">
        <f t="shared" si="5"/>
        <v>12.693408</v>
      </c>
      <c r="Q33" s="3">
        <f t="shared" si="6"/>
        <v>51.814</v>
      </c>
      <c r="R33" s="12">
        <f t="shared" si="10"/>
        <v>5617.7350480000005</v>
      </c>
      <c r="S33" s="149">
        <f t="shared" si="7"/>
        <v>31.2477793965326</v>
      </c>
      <c r="T33" s="129">
        <f t="shared" si="8"/>
        <v>1.3824982393722889</v>
      </c>
      <c r="U33" s="136">
        <f t="shared" si="11"/>
        <v>11.198235738915542</v>
      </c>
      <c r="V33" s="139">
        <f t="shared" si="12"/>
        <v>30.276711442253124</v>
      </c>
      <c r="W33" s="9">
        <f t="shared" si="13"/>
        <v>82.949894362337332</v>
      </c>
      <c r="X33" s="9">
        <f t="shared" si="14"/>
        <v>41.474947181168666</v>
      </c>
      <c r="Y33" s="9">
        <f t="shared" si="15"/>
        <v>27.649964787445779</v>
      </c>
      <c r="Z33" s="9">
        <f t="shared" si="16"/>
        <v>55.299929574891557</v>
      </c>
      <c r="AA33" s="9">
        <f t="shared" si="17"/>
        <v>1078.3486267103854</v>
      </c>
      <c r="AB33" s="9">
        <f t="shared" si="18"/>
        <v>6.9124911968614446</v>
      </c>
      <c r="AC33" s="3">
        <f t="shared" si="19"/>
        <v>0.52786296412396483</v>
      </c>
      <c r="AD33" s="137">
        <f t="shared" si="20"/>
        <v>2.2811220949642763</v>
      </c>
    </row>
    <row r="34" spans="1:30" x14ac:dyDescent="0.25">
      <c r="A34" s="118" t="s">
        <v>28</v>
      </c>
      <c r="B34">
        <v>893.65711499999998</v>
      </c>
      <c r="C34">
        <v>4024.3965149999999</v>
      </c>
      <c r="D34">
        <v>870.11329799999999</v>
      </c>
      <c r="E34">
        <v>1417.9500499999999</v>
      </c>
      <c r="F34">
        <v>345.63499999999999</v>
      </c>
      <c r="G34">
        <v>60.706800000000001</v>
      </c>
      <c r="H34">
        <v>252.94200000000001</v>
      </c>
      <c r="I34" s="12">
        <f t="shared" si="9"/>
        <v>7865.4007780000002</v>
      </c>
      <c r="J34" s="147">
        <v>219</v>
      </c>
      <c r="K34" s="122">
        <f t="shared" si="0"/>
        <v>26809.713449999999</v>
      </c>
      <c r="L34" s="3">
        <f t="shared" si="1"/>
        <v>241463.79089999999</v>
      </c>
      <c r="M34" s="3">
        <f t="shared" si="2"/>
        <v>26103.398939999999</v>
      </c>
      <c r="N34" s="3">
        <f t="shared" si="3"/>
        <v>28359.000999999997</v>
      </c>
      <c r="O34" s="3">
        <f t="shared" si="4"/>
        <v>13825.4</v>
      </c>
      <c r="P34" s="3">
        <f t="shared" si="5"/>
        <v>47351.304000000004</v>
      </c>
      <c r="Q34" s="3">
        <f t="shared" si="6"/>
        <v>1264.71</v>
      </c>
      <c r="R34" s="12">
        <f t="shared" si="10"/>
        <v>385177.31829000002</v>
      </c>
      <c r="S34" s="149">
        <f t="shared" si="7"/>
        <v>48.971098760455305</v>
      </c>
      <c r="T34" s="129">
        <f t="shared" si="8"/>
        <v>4.4720254505877017</v>
      </c>
      <c r="U34" s="136">
        <f t="shared" si="11"/>
        <v>36.223406149760393</v>
      </c>
      <c r="V34" s="139">
        <f t="shared" si="12"/>
        <v>97.937357367870661</v>
      </c>
      <c r="W34" s="9">
        <f t="shared" si="13"/>
        <v>268.32152703526208</v>
      </c>
      <c r="X34" s="9">
        <f t="shared" si="14"/>
        <v>134.16076351763104</v>
      </c>
      <c r="Y34" s="9">
        <f t="shared" si="15"/>
        <v>89.440509011754031</v>
      </c>
      <c r="Z34" s="9">
        <f t="shared" si="16"/>
        <v>178.88101802350806</v>
      </c>
      <c r="AA34" s="9">
        <f t="shared" si="17"/>
        <v>3488.1798514584075</v>
      </c>
      <c r="AB34" s="9">
        <f t="shared" si="18"/>
        <v>22.360127252938508</v>
      </c>
      <c r="AC34" s="3">
        <f t="shared" si="19"/>
        <v>1.7075006265880317</v>
      </c>
      <c r="AD34" s="137">
        <f t="shared" si="20"/>
        <v>7.3788419934697078</v>
      </c>
    </row>
    <row r="35" spans="1:30" x14ac:dyDescent="0.25">
      <c r="A35" s="118" t="s">
        <v>29</v>
      </c>
      <c r="B35">
        <v>299.00257499999998</v>
      </c>
      <c r="C35">
        <v>197.95714000000001</v>
      </c>
      <c r="D35">
        <v>104.41024400000001</v>
      </c>
      <c r="E35">
        <v>27.8246</v>
      </c>
      <c r="F35">
        <v>11.108000000000001</v>
      </c>
      <c r="G35">
        <v>0</v>
      </c>
      <c r="H35">
        <v>142.4</v>
      </c>
      <c r="I35" s="12">
        <f t="shared" si="9"/>
        <v>782.70255899999995</v>
      </c>
      <c r="J35" s="147">
        <v>12.1</v>
      </c>
      <c r="K35" s="122">
        <f t="shared" si="0"/>
        <v>8970.0772499999985</v>
      </c>
      <c r="L35" s="3">
        <f t="shared" si="1"/>
        <v>11877.428400000001</v>
      </c>
      <c r="M35" s="3">
        <f t="shared" si="2"/>
        <v>3132.3073200000003</v>
      </c>
      <c r="N35" s="3">
        <f t="shared" si="3"/>
        <v>556.49199999999996</v>
      </c>
      <c r="O35" s="3">
        <f t="shared" si="4"/>
        <v>444.32000000000005</v>
      </c>
      <c r="P35" s="3">
        <f t="shared" si="5"/>
        <v>0</v>
      </c>
      <c r="Q35" s="3">
        <f t="shared" si="6"/>
        <v>712</v>
      </c>
      <c r="R35" s="12">
        <f t="shared" si="10"/>
        <v>25692.624969999997</v>
      </c>
      <c r="S35" s="149">
        <f t="shared" si="7"/>
        <v>32.825528260474229</v>
      </c>
      <c r="T35" s="129">
        <f t="shared" si="8"/>
        <v>0.36861554531537616</v>
      </c>
      <c r="U35" s="136">
        <f t="shared" si="11"/>
        <v>2.9857859170545473</v>
      </c>
      <c r="V35" s="139">
        <f t="shared" si="12"/>
        <v>8.0726804424067371</v>
      </c>
      <c r="W35" s="9">
        <f t="shared" si="13"/>
        <v>22.11693271892257</v>
      </c>
      <c r="X35" s="9">
        <f t="shared" si="14"/>
        <v>11.058466359461285</v>
      </c>
      <c r="Y35" s="9">
        <f t="shared" si="15"/>
        <v>7.3723109063075229</v>
      </c>
      <c r="Z35" s="9">
        <f t="shared" si="16"/>
        <v>14.744621812615046</v>
      </c>
      <c r="AA35" s="9">
        <f t="shared" si="17"/>
        <v>287.52012534599339</v>
      </c>
      <c r="AB35" s="9">
        <f t="shared" si="18"/>
        <v>1.8430777265768807</v>
      </c>
      <c r="AC35" s="3">
        <f t="shared" si="19"/>
        <v>0.14074411730223454</v>
      </c>
      <c r="AD35" s="137">
        <f t="shared" si="20"/>
        <v>0.60821564977037068</v>
      </c>
    </row>
    <row r="36" spans="1:30" x14ac:dyDescent="0.25">
      <c r="A36" s="118" t="s">
        <v>30</v>
      </c>
      <c r="B36">
        <v>482.10712999999998</v>
      </c>
      <c r="C36">
        <v>196.71037999999999</v>
      </c>
      <c r="D36">
        <v>75.103847000000002</v>
      </c>
      <c r="E36">
        <v>31.99654</v>
      </c>
      <c r="F36">
        <v>0</v>
      </c>
      <c r="G36">
        <v>0.60775400000000002</v>
      </c>
      <c r="H36">
        <v>32.020000000000003</v>
      </c>
      <c r="I36" s="12">
        <f t="shared" si="9"/>
        <v>818.54565099999991</v>
      </c>
      <c r="J36" s="147">
        <v>40.200000000000003</v>
      </c>
      <c r="K36" s="122">
        <f t="shared" si="0"/>
        <v>14463.213899999999</v>
      </c>
      <c r="L36" s="3">
        <f t="shared" si="1"/>
        <v>11802.622799999999</v>
      </c>
      <c r="M36" s="3">
        <f t="shared" si="2"/>
        <v>2253.1154099999999</v>
      </c>
      <c r="N36" s="3">
        <f t="shared" si="3"/>
        <v>639.93079999999998</v>
      </c>
      <c r="O36" s="3">
        <f t="shared" si="4"/>
        <v>0</v>
      </c>
      <c r="P36" s="3">
        <f t="shared" si="5"/>
        <v>474.04812000000004</v>
      </c>
      <c r="Q36" s="3">
        <f t="shared" si="6"/>
        <v>160.10000000000002</v>
      </c>
      <c r="R36" s="12">
        <f t="shared" si="10"/>
        <v>29793.031029999995</v>
      </c>
      <c r="S36" s="149">
        <f t="shared" si="7"/>
        <v>36.397519177583412</v>
      </c>
      <c r="T36" s="129">
        <f t="shared" si="8"/>
        <v>1.104470879014152</v>
      </c>
      <c r="U36" s="136">
        <f t="shared" si="11"/>
        <v>8.9462141200146323</v>
      </c>
      <c r="V36" s="139">
        <f t="shared" si="12"/>
        <v>24.187912250409926</v>
      </c>
      <c r="W36" s="9">
        <f t="shared" si="13"/>
        <v>66.268252740849121</v>
      </c>
      <c r="X36" s="9">
        <f t="shared" si="14"/>
        <v>33.134126370424561</v>
      </c>
      <c r="Y36" s="9">
        <f t="shared" si="15"/>
        <v>22.08941758028304</v>
      </c>
      <c r="Z36" s="9">
        <f t="shared" si="16"/>
        <v>44.178835160566081</v>
      </c>
      <c r="AA36" s="9">
        <f t="shared" si="17"/>
        <v>861.4872856310385</v>
      </c>
      <c r="AB36" s="9">
        <f t="shared" si="18"/>
        <v>5.5223543950707601</v>
      </c>
      <c r="AC36" s="3">
        <f t="shared" si="19"/>
        <v>0.4217070628963126</v>
      </c>
      <c r="AD36" s="137">
        <f t="shared" si="20"/>
        <v>1.8223769503733507</v>
      </c>
    </row>
    <row r="37" spans="1:30" x14ac:dyDescent="0.25">
      <c r="A37" s="70" t="s">
        <v>31</v>
      </c>
      <c r="B37" s="143" t="s">
        <v>56</v>
      </c>
      <c r="C37" s="143" t="s">
        <v>56</v>
      </c>
      <c r="D37" s="143" t="s">
        <v>56</v>
      </c>
      <c r="E37" s="143" t="s">
        <v>56</v>
      </c>
      <c r="F37" s="143" t="s">
        <v>56</v>
      </c>
      <c r="G37" s="143" t="s">
        <v>56</v>
      </c>
      <c r="H37" s="143" t="s">
        <v>56</v>
      </c>
      <c r="I37" s="143" t="s">
        <v>56</v>
      </c>
      <c r="J37" s="148">
        <v>29</v>
      </c>
      <c r="K37" s="145" t="s">
        <v>56</v>
      </c>
      <c r="L37" s="143" t="s">
        <v>56</v>
      </c>
      <c r="M37" s="143" t="s">
        <v>56</v>
      </c>
      <c r="N37" s="143" t="s">
        <v>56</v>
      </c>
      <c r="O37" s="143" t="s">
        <v>56</v>
      </c>
      <c r="P37" s="143" t="s">
        <v>56</v>
      </c>
      <c r="Q37" s="143" t="s">
        <v>56</v>
      </c>
      <c r="R37" s="143" t="s">
        <v>56</v>
      </c>
      <c r="S37" s="150" t="s">
        <v>56</v>
      </c>
      <c r="T37" s="143" t="s">
        <v>56</v>
      </c>
      <c r="U37" s="143" t="s">
        <v>56</v>
      </c>
      <c r="V37" s="143" t="s">
        <v>56</v>
      </c>
      <c r="W37" s="143" t="s">
        <v>56</v>
      </c>
      <c r="X37" s="143" t="s">
        <v>56</v>
      </c>
      <c r="Y37" s="143" t="s">
        <v>56</v>
      </c>
      <c r="Z37" s="143" t="s">
        <v>56</v>
      </c>
      <c r="AA37" s="143" t="s">
        <v>56</v>
      </c>
      <c r="AB37" s="143" t="s">
        <v>56</v>
      </c>
      <c r="AC37" s="143" t="s">
        <v>56</v>
      </c>
      <c r="AD37" s="146" t="s">
        <v>56</v>
      </c>
    </row>
    <row r="39" spans="1:30" x14ac:dyDescent="0.25">
      <c r="A39" s="114" t="s">
        <v>57</v>
      </c>
      <c r="B39" s="114"/>
      <c r="C39" s="114"/>
      <c r="D39" s="114"/>
      <c r="E39" s="114"/>
      <c r="F39" s="114"/>
      <c r="G39" s="114"/>
      <c r="H39" s="114"/>
      <c r="I39" s="114"/>
      <c r="J39" s="114"/>
      <c r="K39" s="115">
        <f>'Standard values'!B5</f>
        <v>30</v>
      </c>
      <c r="L39" s="115">
        <f>'Standard values'!D5</f>
        <v>60</v>
      </c>
      <c r="M39" s="115">
        <f>'Standard values'!E5</f>
        <v>30</v>
      </c>
      <c r="N39" s="115">
        <f>'Standard values'!F5</f>
        <v>20</v>
      </c>
      <c r="O39" s="115">
        <f>'Standard values'!G5</f>
        <v>40</v>
      </c>
      <c r="P39" s="115">
        <f>'Standard values'!H5</f>
        <v>780</v>
      </c>
      <c r="Q39" s="115">
        <f>'Standard values'!I5</f>
        <v>5</v>
      </c>
      <c r="R39" s="114"/>
      <c r="S39" s="114"/>
      <c r="T39" s="114"/>
      <c r="U39" s="114">
        <f>'Standard values'!B6</f>
        <v>8.1000000000000014</v>
      </c>
      <c r="V39" s="114">
        <f>'Standard values'!C6</f>
        <v>21.9</v>
      </c>
      <c r="W39" s="114">
        <f>'Standard values'!D6</f>
        <v>60</v>
      </c>
      <c r="X39" s="114">
        <f>'Standard values'!E6</f>
        <v>30</v>
      </c>
      <c r="Y39" s="114">
        <f>'Standard values'!F6</f>
        <v>20</v>
      </c>
      <c r="Z39" s="114">
        <f>'Standard values'!G6</f>
        <v>40</v>
      </c>
      <c r="AA39" s="114">
        <f>'Standard values'!H6</f>
        <v>780</v>
      </c>
      <c r="AB39" s="114">
        <f>'Standard values'!I6</f>
        <v>5</v>
      </c>
      <c r="AC39" s="135">
        <f>'Standard values'!J6</f>
        <v>0.38181818181818183</v>
      </c>
      <c r="AD39" s="135">
        <f>'Standard values'!K6</f>
        <v>1.65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5D1FF-C960-47C5-B2C4-469EF7212D83}">
  <dimension ref="A2:AD39"/>
  <sheetViews>
    <sheetView topLeftCell="A10" workbookViewId="0">
      <selection activeCell="A4" sqref="A4:AD37"/>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2" t="s">
        <v>66</v>
      </c>
    </row>
    <row r="4" spans="1:30" ht="15.75" x14ac:dyDescent="0.25">
      <c r="A4" s="124" t="s">
        <v>33</v>
      </c>
      <c r="B4" s="116" t="s">
        <v>34</v>
      </c>
      <c r="C4" s="125"/>
      <c r="D4" s="116"/>
      <c r="E4" s="125"/>
      <c r="F4" s="125"/>
      <c r="G4" s="125"/>
      <c r="H4" s="125"/>
      <c r="I4" s="125"/>
      <c r="J4" s="125"/>
      <c r="K4" s="124" t="s">
        <v>35</v>
      </c>
      <c r="L4" s="116"/>
      <c r="M4" s="116"/>
      <c r="N4" s="116"/>
      <c r="O4" s="116"/>
      <c r="P4" s="116"/>
      <c r="Q4" s="116"/>
      <c r="R4" s="116"/>
      <c r="S4" s="117"/>
      <c r="T4" s="117"/>
      <c r="U4" s="124" t="s">
        <v>36</v>
      </c>
      <c r="V4" s="116"/>
      <c r="W4" s="116"/>
      <c r="X4" s="116"/>
      <c r="Y4" s="116"/>
      <c r="Z4" s="116"/>
      <c r="AA4" s="116"/>
      <c r="AB4" s="116"/>
      <c r="AC4" s="116"/>
      <c r="AD4" s="117"/>
    </row>
    <row r="5" spans="1:30" x14ac:dyDescent="0.25">
      <c r="A5" s="123" t="s">
        <v>37</v>
      </c>
      <c r="K5" s="118"/>
      <c r="S5" s="6"/>
      <c r="T5" s="6"/>
      <c r="U5" s="118"/>
      <c r="AD5" s="6"/>
    </row>
    <row r="6" spans="1:30" ht="32.25" customHeight="1" x14ac:dyDescent="0.25">
      <c r="A6" s="119" t="s">
        <v>38</v>
      </c>
      <c r="B6" s="120" t="s">
        <v>39</v>
      </c>
      <c r="C6" s="120" t="s">
        <v>0</v>
      </c>
      <c r="D6" s="120" t="s">
        <v>40</v>
      </c>
      <c r="E6" s="127" t="s">
        <v>41</v>
      </c>
      <c r="F6" s="120" t="s">
        <v>42</v>
      </c>
      <c r="G6" s="120" t="s">
        <v>43</v>
      </c>
      <c r="H6" s="120" t="s">
        <v>44</v>
      </c>
      <c r="I6" s="127" t="s">
        <v>45</v>
      </c>
      <c r="J6" s="120" t="s">
        <v>46</v>
      </c>
      <c r="K6" s="119" t="s">
        <v>39</v>
      </c>
      <c r="L6" s="120" t="s">
        <v>0</v>
      </c>
      <c r="M6" s="120" t="s">
        <v>40</v>
      </c>
      <c r="N6" s="127" t="s">
        <v>41</v>
      </c>
      <c r="O6" s="120" t="s">
        <v>42</v>
      </c>
      <c r="P6" s="120" t="s">
        <v>43</v>
      </c>
      <c r="Q6" s="120" t="s">
        <v>44</v>
      </c>
      <c r="R6" s="120" t="s">
        <v>47</v>
      </c>
      <c r="S6" s="121" t="s">
        <v>46</v>
      </c>
      <c r="T6" s="126" t="s">
        <v>48</v>
      </c>
      <c r="U6" s="131" t="s">
        <v>49</v>
      </c>
      <c r="V6" s="138" t="s">
        <v>50</v>
      </c>
      <c r="W6" s="120" t="s">
        <v>0</v>
      </c>
      <c r="X6" s="120" t="s">
        <v>51</v>
      </c>
      <c r="Y6" s="127" t="s">
        <v>52</v>
      </c>
      <c r="Z6" s="120" t="s">
        <v>42</v>
      </c>
      <c r="AA6" s="120" t="s">
        <v>53</v>
      </c>
      <c r="AB6" s="120" t="s">
        <v>44</v>
      </c>
      <c r="AC6" s="120" t="s">
        <v>54</v>
      </c>
      <c r="AD6" s="121" t="s">
        <v>55</v>
      </c>
    </row>
    <row r="7" spans="1:30" x14ac:dyDescent="0.25">
      <c r="A7" s="118" t="s">
        <v>1</v>
      </c>
      <c r="B7">
        <v>434.28314499999999</v>
      </c>
      <c r="C7">
        <v>358.20507500000002</v>
      </c>
      <c r="D7">
        <v>81.986101000000005</v>
      </c>
      <c r="E7">
        <v>37.993960000000001</v>
      </c>
      <c r="F7">
        <v>0</v>
      </c>
      <c r="G7">
        <v>0</v>
      </c>
      <c r="H7">
        <v>38.198799999999999</v>
      </c>
      <c r="I7" s="12">
        <f>SUM(B7:H7)</f>
        <v>950.66708099999994</v>
      </c>
      <c r="J7" s="147">
        <v>42.6</v>
      </c>
      <c r="K7" s="122">
        <f t="shared" ref="K7:K36" si="0">B7*$K$39</f>
        <v>13028.494349999999</v>
      </c>
      <c r="L7" s="3">
        <f t="shared" ref="L7:L36" si="1">C7*$L$39</f>
        <v>21492.304500000002</v>
      </c>
      <c r="M7" s="3">
        <f t="shared" ref="M7:M36" si="2">D7*$M$39</f>
        <v>2459.5830300000002</v>
      </c>
      <c r="N7" s="3">
        <f t="shared" ref="N7:N36" si="3">E7*$N$39</f>
        <v>759.87920000000008</v>
      </c>
      <c r="O7" s="3">
        <f t="shared" ref="O7:O36" si="4">F7*$O$39</f>
        <v>0</v>
      </c>
      <c r="P7" s="3">
        <f t="shared" ref="P7:P36" si="5">G7*$P$39</f>
        <v>0</v>
      </c>
      <c r="Q7" s="3">
        <f t="shared" ref="Q7:Q36" si="6">H7*$Q$39</f>
        <v>190.994</v>
      </c>
      <c r="R7" s="12">
        <f>SUM(K7:Q7)</f>
        <v>37931.255080000003</v>
      </c>
      <c r="S7" s="149">
        <f t="shared" ref="S7:S36" si="7">R7/I7</f>
        <v>39.899619791294747</v>
      </c>
      <c r="T7" s="129">
        <f t="shared" ref="T7:T36" si="8">J7/S7</f>
        <v>1.0676793468917822</v>
      </c>
      <c r="U7" s="136">
        <f>$U$39*$T7</f>
        <v>8.6482027098234369</v>
      </c>
      <c r="V7" s="139">
        <f>$V$39*$T7</f>
        <v>23.382177696930029</v>
      </c>
      <c r="W7" s="9">
        <f>$W$39*$T7</f>
        <v>64.060760813506931</v>
      </c>
      <c r="X7" s="9">
        <f>$X$39*$T7</f>
        <v>32.030380406753466</v>
      </c>
      <c r="Y7" s="9">
        <f>$Y$39*$T7</f>
        <v>21.353586937835644</v>
      </c>
      <c r="Z7" s="9">
        <f>$Z$39*$T7</f>
        <v>42.707173875671288</v>
      </c>
      <c r="AA7" s="9">
        <f>$AA$39*$T7</f>
        <v>832.78989057559011</v>
      </c>
      <c r="AB7" s="9">
        <f>$AB$39*$T7</f>
        <v>5.3383967344589109</v>
      </c>
      <c r="AC7" s="3">
        <f>$AC$39*$T7</f>
        <v>0.40765938699504412</v>
      </c>
      <c r="AD7" s="137">
        <f>$AD$39*$T7</f>
        <v>1.7616709223714406</v>
      </c>
    </row>
    <row r="8" spans="1:30" x14ac:dyDescent="0.25">
      <c r="A8" s="118" t="s">
        <v>2</v>
      </c>
      <c r="B8">
        <v>465.78500000000003</v>
      </c>
      <c r="C8">
        <v>839.46537999999998</v>
      </c>
      <c r="D8">
        <v>271.92829699999999</v>
      </c>
      <c r="E8">
        <v>17.160630000000001</v>
      </c>
      <c r="F8">
        <v>0</v>
      </c>
      <c r="G8">
        <v>3.7465540000000002</v>
      </c>
      <c r="H8">
        <v>119.25879999999999</v>
      </c>
      <c r="I8" s="12">
        <f t="shared" ref="I8:I36" si="9">SUM(B8:H8)</f>
        <v>1717.3446610000001</v>
      </c>
      <c r="J8" s="147">
        <v>101.9</v>
      </c>
      <c r="K8" s="122">
        <f t="shared" si="0"/>
        <v>13973.550000000001</v>
      </c>
      <c r="L8" s="3">
        <f t="shared" si="1"/>
        <v>50367.9228</v>
      </c>
      <c r="M8" s="3">
        <f t="shared" si="2"/>
        <v>8157.8489099999997</v>
      </c>
      <c r="N8" s="3">
        <f t="shared" si="3"/>
        <v>343.21260000000001</v>
      </c>
      <c r="O8" s="3">
        <f t="shared" si="4"/>
        <v>0</v>
      </c>
      <c r="P8" s="3">
        <f t="shared" si="5"/>
        <v>2922.31212</v>
      </c>
      <c r="Q8" s="3">
        <f t="shared" si="6"/>
        <v>596.29399999999998</v>
      </c>
      <c r="R8" s="12">
        <f t="shared" ref="R8:R36" si="10">SUM(K8:Q8)</f>
        <v>76361.140429999999</v>
      </c>
      <c r="S8" s="149">
        <f t="shared" si="7"/>
        <v>44.464656492154198</v>
      </c>
      <c r="T8" s="129">
        <f t="shared" si="8"/>
        <v>2.2917077975848144</v>
      </c>
      <c r="U8" s="136">
        <f t="shared" ref="U8:U36" si="11">$U$39*$T8</f>
        <v>18.562833160436998</v>
      </c>
      <c r="V8" s="139">
        <f t="shared" ref="V8:V36" si="12">$V$39*$T8</f>
        <v>50.188400767107431</v>
      </c>
      <c r="W8" s="9">
        <f t="shared" ref="W8:W36" si="13">$W$39*$T8</f>
        <v>137.50246785508887</v>
      </c>
      <c r="X8" s="9">
        <f t="shared" ref="X8:X36" si="14">$X$39*$T8</f>
        <v>68.751233927544433</v>
      </c>
      <c r="Y8" s="9">
        <f t="shared" ref="Y8:Y36" si="15">$Y$39*$T8</f>
        <v>45.834155951696289</v>
      </c>
      <c r="Z8" s="9">
        <f t="shared" ref="Z8:Z36" si="16">$Z$39*$T8</f>
        <v>91.668311903392578</v>
      </c>
      <c r="AA8" s="9">
        <f t="shared" ref="AA8:AA36" si="17">$AA$39*$T8</f>
        <v>1787.5320821161552</v>
      </c>
      <c r="AB8" s="9">
        <f t="shared" ref="AB8:AB36" si="18">$AB$39*$T8</f>
        <v>11.458538987924072</v>
      </c>
      <c r="AC8" s="3">
        <f t="shared" ref="AC8:AC36" si="19">$AC$39*$T8</f>
        <v>0.87501570453238375</v>
      </c>
      <c r="AD8" s="137">
        <f t="shared" ref="AD8:AD36" si="20">$AD$39*$T8</f>
        <v>3.7813178660149434</v>
      </c>
    </row>
    <row r="9" spans="1:30" x14ac:dyDescent="0.25">
      <c r="A9" s="118" t="s">
        <v>3</v>
      </c>
      <c r="B9">
        <v>106.36833</v>
      </c>
      <c r="C9">
        <v>89.603245000000001</v>
      </c>
      <c r="D9">
        <v>51.854170000000003</v>
      </c>
      <c r="E9">
        <v>98.812740000000005</v>
      </c>
      <c r="F9">
        <v>13.494999999999999</v>
      </c>
      <c r="G9">
        <v>4.3217999999999998E-3</v>
      </c>
      <c r="H9">
        <v>25.369199999999999</v>
      </c>
      <c r="I9" s="12">
        <f t="shared" si="9"/>
        <v>385.5070068</v>
      </c>
      <c r="J9" s="147">
        <v>112.7</v>
      </c>
      <c r="K9" s="122">
        <f t="shared" si="0"/>
        <v>3191.0499</v>
      </c>
      <c r="L9" s="3">
        <f t="shared" si="1"/>
        <v>5376.1947</v>
      </c>
      <c r="M9" s="3">
        <f t="shared" si="2"/>
        <v>1555.6251000000002</v>
      </c>
      <c r="N9" s="3">
        <f t="shared" si="3"/>
        <v>1976.2548000000002</v>
      </c>
      <c r="O9" s="3">
        <f t="shared" si="4"/>
        <v>539.79999999999995</v>
      </c>
      <c r="P9" s="3">
        <f t="shared" si="5"/>
        <v>3.3710039999999997</v>
      </c>
      <c r="Q9" s="3">
        <f t="shared" si="6"/>
        <v>126.846</v>
      </c>
      <c r="R9" s="12">
        <f t="shared" si="10"/>
        <v>12769.141503999999</v>
      </c>
      <c r="S9" s="149">
        <f t="shared" si="7"/>
        <v>33.122981628773857</v>
      </c>
      <c r="T9" s="129">
        <f t="shared" si="8"/>
        <v>3.4024714702041732</v>
      </c>
      <c r="U9" s="136">
        <f t="shared" si="11"/>
        <v>27.560018908653806</v>
      </c>
      <c r="V9" s="139">
        <f t="shared" si="12"/>
        <v>74.514125197471387</v>
      </c>
      <c r="W9" s="9">
        <f t="shared" si="13"/>
        <v>204.14828821225038</v>
      </c>
      <c r="X9" s="9">
        <f t="shared" si="14"/>
        <v>102.07414410612519</v>
      </c>
      <c r="Y9" s="9">
        <f t="shared" si="15"/>
        <v>68.049429404083469</v>
      </c>
      <c r="Z9" s="9">
        <f t="shared" si="16"/>
        <v>136.09885880816694</v>
      </c>
      <c r="AA9" s="9">
        <f t="shared" si="17"/>
        <v>2653.9277467592551</v>
      </c>
      <c r="AB9" s="9">
        <f t="shared" si="18"/>
        <v>17.012357351020867</v>
      </c>
      <c r="AC9" s="3">
        <f t="shared" si="19"/>
        <v>1.2991254704415935</v>
      </c>
      <c r="AD9" s="137">
        <f t="shared" si="20"/>
        <v>5.6140779258368854</v>
      </c>
    </row>
    <row r="10" spans="1:30" x14ac:dyDescent="0.25">
      <c r="A10" s="118" t="s">
        <v>4</v>
      </c>
      <c r="B10">
        <v>102.16546</v>
      </c>
      <c r="C10">
        <v>92.422965000000005</v>
      </c>
      <c r="D10">
        <v>45.957723000000001</v>
      </c>
      <c r="E10">
        <v>48.605980000000002</v>
      </c>
      <c r="F10">
        <v>20.39</v>
      </c>
      <c r="G10">
        <v>3.9998000000000004E-3</v>
      </c>
      <c r="H10">
        <v>9.8948</v>
      </c>
      <c r="I10" s="12">
        <f t="shared" si="9"/>
        <v>319.44092779999994</v>
      </c>
      <c r="J10" s="147">
        <v>62.8</v>
      </c>
      <c r="K10" s="122">
        <f t="shared" si="0"/>
        <v>3064.9638</v>
      </c>
      <c r="L10" s="3">
        <f t="shared" si="1"/>
        <v>5545.3779000000004</v>
      </c>
      <c r="M10" s="3">
        <f t="shared" si="2"/>
        <v>1378.7316900000001</v>
      </c>
      <c r="N10" s="3">
        <f t="shared" si="3"/>
        <v>972.11959999999999</v>
      </c>
      <c r="O10" s="3">
        <f t="shared" si="4"/>
        <v>815.6</v>
      </c>
      <c r="P10" s="3">
        <f t="shared" si="5"/>
        <v>3.1198440000000005</v>
      </c>
      <c r="Q10" s="3">
        <f t="shared" si="6"/>
        <v>49.474000000000004</v>
      </c>
      <c r="R10" s="12">
        <f t="shared" si="10"/>
        <v>11829.386834000003</v>
      </c>
      <c r="S10" s="149">
        <f t="shared" si="7"/>
        <v>37.031531668372537</v>
      </c>
      <c r="T10" s="129">
        <f t="shared" si="8"/>
        <v>1.6958520798543015</v>
      </c>
      <c r="U10" s="136">
        <f t="shared" si="11"/>
        <v>13.736401846819845</v>
      </c>
      <c r="V10" s="139">
        <f t="shared" si="12"/>
        <v>37.139160548809201</v>
      </c>
      <c r="W10" s="9">
        <f t="shared" si="13"/>
        <v>101.75112479125809</v>
      </c>
      <c r="X10" s="9">
        <f t="shared" si="14"/>
        <v>50.875562395629046</v>
      </c>
      <c r="Y10" s="9">
        <f t="shared" si="15"/>
        <v>33.917041597086033</v>
      </c>
      <c r="Z10" s="9">
        <f t="shared" si="16"/>
        <v>67.834083194172067</v>
      </c>
      <c r="AA10" s="9">
        <f t="shared" si="17"/>
        <v>1322.7646222863552</v>
      </c>
      <c r="AB10" s="9">
        <f t="shared" si="18"/>
        <v>8.4792603992715083</v>
      </c>
      <c r="AC10" s="3">
        <f t="shared" si="19"/>
        <v>0.64750715776255152</v>
      </c>
      <c r="AD10" s="137">
        <f t="shared" si="20"/>
        <v>2.7981559317595974</v>
      </c>
    </row>
    <row r="11" spans="1:30" x14ac:dyDescent="0.25">
      <c r="A11" s="118" t="s">
        <v>5</v>
      </c>
      <c r="B11">
        <v>24.284420000000001</v>
      </c>
      <c r="C11">
        <v>46.04336</v>
      </c>
      <c r="D11">
        <v>13.546035</v>
      </c>
      <c r="E11">
        <v>47.072674999999997</v>
      </c>
      <c r="F11">
        <v>8.0790000000000006</v>
      </c>
      <c r="G11">
        <v>6.9178199999999995E-2</v>
      </c>
      <c r="H11">
        <v>2.0108000000000001</v>
      </c>
      <c r="I11" s="12">
        <f t="shared" si="9"/>
        <v>141.10546820000002</v>
      </c>
      <c r="J11" s="147">
        <v>350</v>
      </c>
      <c r="K11" s="122">
        <f t="shared" si="0"/>
        <v>728.5326</v>
      </c>
      <c r="L11" s="3">
        <f t="shared" si="1"/>
        <v>2762.6016</v>
      </c>
      <c r="M11" s="3">
        <f t="shared" si="2"/>
        <v>406.38105000000002</v>
      </c>
      <c r="N11" s="3">
        <f t="shared" si="3"/>
        <v>941.45349999999996</v>
      </c>
      <c r="O11" s="3">
        <f t="shared" si="4"/>
        <v>323.16000000000003</v>
      </c>
      <c r="P11" s="3">
        <f t="shared" si="5"/>
        <v>53.958995999999999</v>
      </c>
      <c r="Q11" s="3">
        <f t="shared" si="6"/>
        <v>10.054</v>
      </c>
      <c r="R11" s="12">
        <f t="shared" si="10"/>
        <v>5226.1417460000002</v>
      </c>
      <c r="S11" s="149">
        <f t="shared" si="7"/>
        <v>37.037131251303272</v>
      </c>
      <c r="T11" s="129">
        <f t="shared" si="8"/>
        <v>9.4499759612911198</v>
      </c>
      <c r="U11" s="136">
        <f t="shared" si="11"/>
        <v>76.544805286458086</v>
      </c>
      <c r="V11" s="139">
        <f t="shared" si="12"/>
        <v>206.95447355227552</v>
      </c>
      <c r="W11" s="9">
        <f t="shared" si="13"/>
        <v>566.99855767746715</v>
      </c>
      <c r="X11" s="9">
        <f t="shared" si="14"/>
        <v>283.49927883873357</v>
      </c>
      <c r="Y11" s="9">
        <f t="shared" si="15"/>
        <v>188.99951922582238</v>
      </c>
      <c r="Z11" s="9">
        <f t="shared" si="16"/>
        <v>377.99903845164476</v>
      </c>
      <c r="AA11" s="9">
        <f t="shared" si="17"/>
        <v>7370.9812498070733</v>
      </c>
      <c r="AB11" s="9">
        <f t="shared" si="18"/>
        <v>47.249879806455596</v>
      </c>
      <c r="AC11" s="3">
        <f t="shared" si="19"/>
        <v>3.6081726397657006</v>
      </c>
      <c r="AD11" s="137">
        <f t="shared" si="20"/>
        <v>15.592460336130348</v>
      </c>
    </row>
    <row r="12" spans="1:30" x14ac:dyDescent="0.25">
      <c r="A12" s="118" t="s">
        <v>6</v>
      </c>
      <c r="B12">
        <v>290.42622</v>
      </c>
      <c r="C12">
        <v>198.61372</v>
      </c>
      <c r="D12">
        <v>130.48242999999999</v>
      </c>
      <c r="E12">
        <v>16.708159999999999</v>
      </c>
      <c r="F12">
        <v>20.986000000000001</v>
      </c>
      <c r="G12">
        <v>6.8418000000000001</v>
      </c>
      <c r="H12">
        <v>37.962400000000002</v>
      </c>
      <c r="I12" s="12">
        <f t="shared" si="9"/>
        <v>702.02073000000007</v>
      </c>
      <c r="J12" s="147">
        <v>53.8</v>
      </c>
      <c r="K12" s="122">
        <f t="shared" si="0"/>
        <v>8712.7865999999995</v>
      </c>
      <c r="L12" s="3">
        <f t="shared" si="1"/>
        <v>11916.823200000001</v>
      </c>
      <c r="M12" s="3">
        <f t="shared" si="2"/>
        <v>3914.4728999999998</v>
      </c>
      <c r="N12" s="3">
        <f t="shared" si="3"/>
        <v>334.16319999999996</v>
      </c>
      <c r="O12" s="3">
        <f t="shared" si="4"/>
        <v>839.44</v>
      </c>
      <c r="P12" s="3">
        <f t="shared" si="5"/>
        <v>5336.6040000000003</v>
      </c>
      <c r="Q12" s="3">
        <f t="shared" si="6"/>
        <v>189.81200000000001</v>
      </c>
      <c r="R12" s="12">
        <f t="shared" si="10"/>
        <v>31244.101899999998</v>
      </c>
      <c r="S12" s="149">
        <f t="shared" si="7"/>
        <v>44.505953406817483</v>
      </c>
      <c r="T12" s="129">
        <f t="shared" si="8"/>
        <v>1.208827041816811</v>
      </c>
      <c r="U12" s="136">
        <f t="shared" si="11"/>
        <v>9.7914990387161716</v>
      </c>
      <c r="V12" s="139">
        <f t="shared" si="12"/>
        <v>26.473312215788159</v>
      </c>
      <c r="W12" s="9">
        <f t="shared" si="13"/>
        <v>72.529622509008661</v>
      </c>
      <c r="X12" s="9">
        <f t="shared" si="14"/>
        <v>36.26481125450433</v>
      </c>
      <c r="Y12" s="9">
        <f t="shared" si="15"/>
        <v>24.176540836336219</v>
      </c>
      <c r="Z12" s="9">
        <f t="shared" si="16"/>
        <v>48.353081672672438</v>
      </c>
      <c r="AA12" s="9">
        <f t="shared" si="17"/>
        <v>942.8850926171126</v>
      </c>
      <c r="AB12" s="9">
        <f t="shared" si="18"/>
        <v>6.0441352090840548</v>
      </c>
      <c r="AC12" s="3">
        <f t="shared" si="19"/>
        <v>0.46155214323914606</v>
      </c>
      <c r="AD12" s="137">
        <f t="shared" si="20"/>
        <v>1.994564618997738</v>
      </c>
    </row>
    <row r="13" spans="1:30" x14ac:dyDescent="0.25">
      <c r="A13" s="118" t="s">
        <v>7</v>
      </c>
      <c r="B13">
        <v>386.5016</v>
      </c>
      <c r="C13">
        <v>1724.261285</v>
      </c>
      <c r="D13">
        <v>126.1661</v>
      </c>
      <c r="E13">
        <v>12.439624999999999</v>
      </c>
      <c r="F13">
        <v>43</v>
      </c>
      <c r="G13">
        <v>0</v>
      </c>
      <c r="H13">
        <v>70</v>
      </c>
      <c r="I13" s="12">
        <f t="shared" si="9"/>
        <v>2362.36861</v>
      </c>
      <c r="J13" s="147">
        <v>37.1</v>
      </c>
      <c r="K13" s="122">
        <f t="shared" si="0"/>
        <v>11595.048000000001</v>
      </c>
      <c r="L13" s="3">
        <f t="shared" si="1"/>
        <v>103455.6771</v>
      </c>
      <c r="M13" s="3">
        <f t="shared" si="2"/>
        <v>3784.9830000000002</v>
      </c>
      <c r="N13" s="3">
        <f t="shared" si="3"/>
        <v>248.79249999999999</v>
      </c>
      <c r="O13" s="3">
        <f t="shared" si="4"/>
        <v>1720</v>
      </c>
      <c r="P13" s="3">
        <f t="shared" si="5"/>
        <v>0</v>
      </c>
      <c r="Q13" s="3">
        <f t="shared" si="6"/>
        <v>350</v>
      </c>
      <c r="R13" s="12">
        <f t="shared" si="10"/>
        <v>121154.50059999998</v>
      </c>
      <c r="S13" s="149">
        <f t="shared" si="7"/>
        <v>51.285180512113214</v>
      </c>
      <c r="T13" s="129">
        <f t="shared" si="8"/>
        <v>0.72340585778453548</v>
      </c>
      <c r="U13" s="136">
        <f t="shared" si="11"/>
        <v>5.8595874480547385</v>
      </c>
      <c r="V13" s="139">
        <f t="shared" si="12"/>
        <v>15.842588285481327</v>
      </c>
      <c r="W13" s="9">
        <f t="shared" si="13"/>
        <v>43.404351467072132</v>
      </c>
      <c r="X13" s="9">
        <f t="shared" si="14"/>
        <v>21.702175733536066</v>
      </c>
      <c r="Y13" s="9">
        <f t="shared" si="15"/>
        <v>14.46811715569071</v>
      </c>
      <c r="Z13" s="9">
        <f t="shared" si="16"/>
        <v>28.936234311381419</v>
      </c>
      <c r="AA13" s="9">
        <f t="shared" si="17"/>
        <v>564.25656907193763</v>
      </c>
      <c r="AB13" s="9">
        <f t="shared" si="18"/>
        <v>3.6170292889226774</v>
      </c>
      <c r="AC13" s="3">
        <f t="shared" si="19"/>
        <v>0.27620950933591354</v>
      </c>
      <c r="AD13" s="137">
        <f t="shared" si="20"/>
        <v>1.1936196653444835</v>
      </c>
    </row>
    <row r="14" spans="1:30" x14ac:dyDescent="0.25">
      <c r="A14" s="118" t="s">
        <v>8</v>
      </c>
      <c r="B14">
        <v>59.284840000000003</v>
      </c>
      <c r="C14">
        <v>41.699159999999999</v>
      </c>
      <c r="D14">
        <v>2.4973580000000002</v>
      </c>
      <c r="E14">
        <v>5.6914600000000002</v>
      </c>
      <c r="F14">
        <v>1.0620000000000001</v>
      </c>
      <c r="G14">
        <v>0</v>
      </c>
      <c r="H14">
        <v>4.6608000000000001</v>
      </c>
      <c r="I14" s="12">
        <f t="shared" si="9"/>
        <v>114.89561800000001</v>
      </c>
      <c r="J14" s="147">
        <v>53.5</v>
      </c>
      <c r="K14" s="122">
        <f t="shared" si="0"/>
        <v>1778.5452</v>
      </c>
      <c r="L14" s="3">
        <f t="shared" si="1"/>
        <v>2501.9495999999999</v>
      </c>
      <c r="M14" s="3">
        <f t="shared" si="2"/>
        <v>74.920740000000009</v>
      </c>
      <c r="N14" s="3">
        <f t="shared" si="3"/>
        <v>113.8292</v>
      </c>
      <c r="O14" s="3">
        <f t="shared" si="4"/>
        <v>42.480000000000004</v>
      </c>
      <c r="P14" s="3">
        <f t="shared" si="5"/>
        <v>0</v>
      </c>
      <c r="Q14" s="3">
        <f t="shared" si="6"/>
        <v>23.304000000000002</v>
      </c>
      <c r="R14" s="12">
        <f t="shared" si="10"/>
        <v>4535.0287399999997</v>
      </c>
      <c r="S14" s="149">
        <f t="shared" si="7"/>
        <v>39.47085901918382</v>
      </c>
      <c r="T14" s="129">
        <f t="shared" si="8"/>
        <v>1.3554303435351551</v>
      </c>
      <c r="U14" s="136">
        <f t="shared" si="11"/>
        <v>10.978985782634759</v>
      </c>
      <c r="V14" s="139">
        <f t="shared" si="12"/>
        <v>29.683924523419897</v>
      </c>
      <c r="W14" s="9">
        <f t="shared" si="13"/>
        <v>81.325820612109311</v>
      </c>
      <c r="X14" s="9">
        <f t="shared" si="14"/>
        <v>40.662910306054656</v>
      </c>
      <c r="Y14" s="9">
        <f t="shared" si="15"/>
        <v>27.108606870703102</v>
      </c>
      <c r="Z14" s="9">
        <f t="shared" si="16"/>
        <v>54.217213741406205</v>
      </c>
      <c r="AA14" s="9">
        <f t="shared" si="17"/>
        <v>1057.2356679574209</v>
      </c>
      <c r="AB14" s="9">
        <f t="shared" si="18"/>
        <v>6.7771517176757756</v>
      </c>
      <c r="AC14" s="3">
        <f t="shared" si="19"/>
        <v>0.51752794934978652</v>
      </c>
      <c r="AD14" s="137">
        <f t="shared" si="20"/>
        <v>2.2364600668330059</v>
      </c>
    </row>
    <row r="15" spans="1:30" x14ac:dyDescent="0.25">
      <c r="A15" s="118" t="s">
        <v>9</v>
      </c>
      <c r="B15">
        <v>211.33946</v>
      </c>
      <c r="C15">
        <v>141.99709999999999</v>
      </c>
      <c r="D15">
        <v>83.861985000000004</v>
      </c>
      <c r="E15">
        <v>12.22752</v>
      </c>
      <c r="F15">
        <v>15.295999999999999</v>
      </c>
      <c r="G15">
        <v>0</v>
      </c>
      <c r="H15">
        <v>29.72</v>
      </c>
      <c r="I15" s="12">
        <f t="shared" si="9"/>
        <v>494.44206499999996</v>
      </c>
      <c r="J15" s="147">
        <v>19.100000000000001</v>
      </c>
      <c r="K15" s="122">
        <f t="shared" si="0"/>
        <v>6340.1837999999998</v>
      </c>
      <c r="L15" s="3">
        <f t="shared" si="1"/>
        <v>8519.8259999999991</v>
      </c>
      <c r="M15" s="3">
        <f t="shared" si="2"/>
        <v>2515.8595500000001</v>
      </c>
      <c r="N15" s="3">
        <f t="shared" si="3"/>
        <v>244.5504</v>
      </c>
      <c r="O15" s="3">
        <f t="shared" si="4"/>
        <v>611.83999999999992</v>
      </c>
      <c r="P15" s="3">
        <f t="shared" si="5"/>
        <v>0</v>
      </c>
      <c r="Q15" s="3">
        <f t="shared" si="6"/>
        <v>148.6</v>
      </c>
      <c r="R15" s="12">
        <f t="shared" si="10"/>
        <v>18380.85975</v>
      </c>
      <c r="S15" s="149">
        <f t="shared" si="7"/>
        <v>37.174951427322434</v>
      </c>
      <c r="T15" s="129">
        <f t="shared" si="8"/>
        <v>0.51378681791530456</v>
      </c>
      <c r="U15" s="136">
        <f t="shared" si="11"/>
        <v>4.1616732251139679</v>
      </c>
      <c r="V15" s="139">
        <f t="shared" si="12"/>
        <v>11.251931312345169</v>
      </c>
      <c r="W15" s="9">
        <f t="shared" si="13"/>
        <v>30.827209074918272</v>
      </c>
      <c r="X15" s="9">
        <f t="shared" si="14"/>
        <v>15.413604537459136</v>
      </c>
      <c r="Y15" s="9">
        <f t="shared" si="15"/>
        <v>10.275736358306091</v>
      </c>
      <c r="Z15" s="9">
        <f t="shared" si="16"/>
        <v>20.551472716612182</v>
      </c>
      <c r="AA15" s="9">
        <f t="shared" si="17"/>
        <v>400.75371797393757</v>
      </c>
      <c r="AB15" s="9">
        <f t="shared" si="18"/>
        <v>2.5689340895765227</v>
      </c>
      <c r="AC15" s="3">
        <f t="shared" si="19"/>
        <v>0.19617314865857083</v>
      </c>
      <c r="AD15" s="137">
        <f t="shared" si="20"/>
        <v>0.84774824956025252</v>
      </c>
    </row>
    <row r="16" spans="1:30" x14ac:dyDescent="0.25">
      <c r="A16" s="118" t="s">
        <v>10</v>
      </c>
      <c r="B16">
        <v>3090.1624750000001</v>
      </c>
      <c r="C16">
        <v>1800.6317349999999</v>
      </c>
      <c r="D16">
        <v>1091.5196579999999</v>
      </c>
      <c r="E16">
        <v>635.61703999999997</v>
      </c>
      <c r="F16">
        <v>45.970999999999997</v>
      </c>
      <c r="G16">
        <v>41.014400000000002</v>
      </c>
      <c r="H16">
        <v>280.46159999999998</v>
      </c>
      <c r="I16" s="12">
        <f t="shared" si="9"/>
        <v>6985.3779079999995</v>
      </c>
      <c r="J16" s="147">
        <v>58.3</v>
      </c>
      <c r="K16" s="122">
        <f t="shared" si="0"/>
        <v>92704.874250000008</v>
      </c>
      <c r="L16" s="3">
        <f t="shared" si="1"/>
        <v>108037.9041</v>
      </c>
      <c r="M16" s="3">
        <f t="shared" si="2"/>
        <v>32745.589739999999</v>
      </c>
      <c r="N16" s="3">
        <f t="shared" si="3"/>
        <v>12712.3408</v>
      </c>
      <c r="O16" s="3">
        <f t="shared" si="4"/>
        <v>1838.84</v>
      </c>
      <c r="P16" s="3">
        <f t="shared" si="5"/>
        <v>31991.232</v>
      </c>
      <c r="Q16" s="3">
        <f t="shared" si="6"/>
        <v>1402.308</v>
      </c>
      <c r="R16" s="12">
        <f t="shared" si="10"/>
        <v>281433.08889000001</v>
      </c>
      <c r="S16" s="149">
        <f t="shared" si="7"/>
        <v>40.288885239507081</v>
      </c>
      <c r="T16" s="129">
        <f t="shared" si="8"/>
        <v>1.4470492209804631</v>
      </c>
      <c r="U16" s="136">
        <f t="shared" si="11"/>
        <v>11.721098689941753</v>
      </c>
      <c r="V16" s="139">
        <f t="shared" si="12"/>
        <v>31.690377939472139</v>
      </c>
      <c r="W16" s="9">
        <f t="shared" si="13"/>
        <v>86.822953258827781</v>
      </c>
      <c r="X16" s="9">
        <f t="shared" si="14"/>
        <v>43.41147662941389</v>
      </c>
      <c r="Y16" s="9">
        <f t="shared" si="15"/>
        <v>28.940984419609261</v>
      </c>
      <c r="Z16" s="9">
        <f t="shared" si="16"/>
        <v>57.881968839218523</v>
      </c>
      <c r="AA16" s="9">
        <f t="shared" si="17"/>
        <v>1128.6983923647613</v>
      </c>
      <c r="AB16" s="9">
        <f t="shared" si="18"/>
        <v>7.2352461049023153</v>
      </c>
      <c r="AC16" s="3">
        <f t="shared" si="19"/>
        <v>0.55250970255617682</v>
      </c>
      <c r="AD16" s="137">
        <f t="shared" si="20"/>
        <v>2.3876312146177638</v>
      </c>
    </row>
    <row r="17" spans="1:30" x14ac:dyDescent="0.25">
      <c r="A17" s="118" t="s">
        <v>11</v>
      </c>
      <c r="B17">
        <v>3008.7059599999998</v>
      </c>
      <c r="C17">
        <v>3586.8033949999999</v>
      </c>
      <c r="D17">
        <v>1032.9533590000001</v>
      </c>
      <c r="E17">
        <v>137.26418000000001</v>
      </c>
      <c r="F17">
        <v>18.547999999999998</v>
      </c>
      <c r="G17">
        <v>22.894200000000001</v>
      </c>
      <c r="H17">
        <v>520</v>
      </c>
      <c r="I17" s="12">
        <f t="shared" si="9"/>
        <v>8327.1690940000008</v>
      </c>
      <c r="J17" s="147">
        <v>78.599999999999994</v>
      </c>
      <c r="K17" s="122">
        <f t="shared" si="0"/>
        <v>90261.178799999994</v>
      </c>
      <c r="L17" s="3">
        <f t="shared" si="1"/>
        <v>215208.20369999998</v>
      </c>
      <c r="M17" s="3">
        <f t="shared" si="2"/>
        <v>30988.600770000005</v>
      </c>
      <c r="N17" s="3">
        <f t="shared" si="3"/>
        <v>2745.2836000000002</v>
      </c>
      <c r="O17" s="3">
        <f t="shared" si="4"/>
        <v>741.92</v>
      </c>
      <c r="P17" s="3">
        <f t="shared" si="5"/>
        <v>17857.476000000002</v>
      </c>
      <c r="Q17" s="3">
        <f t="shared" si="6"/>
        <v>2600</v>
      </c>
      <c r="R17" s="12">
        <f t="shared" si="10"/>
        <v>360402.66287</v>
      </c>
      <c r="S17" s="149">
        <f t="shared" si="7"/>
        <v>43.28033438514921</v>
      </c>
      <c r="T17" s="129">
        <f t="shared" si="8"/>
        <v>1.8160672997704479</v>
      </c>
      <c r="U17" s="136">
        <f t="shared" si="11"/>
        <v>14.710145128140631</v>
      </c>
      <c r="V17" s="139">
        <f t="shared" si="12"/>
        <v>39.771873864972804</v>
      </c>
      <c r="W17" s="9">
        <f t="shared" si="13"/>
        <v>108.96403798622687</v>
      </c>
      <c r="X17" s="9">
        <f t="shared" si="14"/>
        <v>54.482018993113435</v>
      </c>
      <c r="Y17" s="9">
        <f t="shared" si="15"/>
        <v>36.321345995408961</v>
      </c>
      <c r="Z17" s="9">
        <f t="shared" si="16"/>
        <v>72.642691990817923</v>
      </c>
      <c r="AA17" s="9">
        <f t="shared" si="17"/>
        <v>1416.5324938209494</v>
      </c>
      <c r="AB17" s="9">
        <f t="shared" si="18"/>
        <v>9.0803364988522404</v>
      </c>
      <c r="AC17" s="3">
        <f t="shared" si="19"/>
        <v>0.69340751445780746</v>
      </c>
      <c r="AD17" s="137">
        <f t="shared" si="20"/>
        <v>2.9965110446212391</v>
      </c>
    </row>
    <row r="18" spans="1:30" x14ac:dyDescent="0.25">
      <c r="A18" s="118" t="s">
        <v>12</v>
      </c>
      <c r="B18">
        <v>78.327070000000006</v>
      </c>
      <c r="C18">
        <v>100.247355</v>
      </c>
      <c r="D18">
        <v>138.31438</v>
      </c>
      <c r="E18">
        <v>749.51233999999999</v>
      </c>
      <c r="F18">
        <v>104.944</v>
      </c>
      <c r="G18">
        <v>2.1097454</v>
      </c>
      <c r="H18">
        <v>2.3607999999999998</v>
      </c>
      <c r="I18" s="12">
        <f t="shared" si="9"/>
        <v>1175.8156904</v>
      </c>
      <c r="J18" s="147">
        <v>84.8</v>
      </c>
      <c r="K18" s="122">
        <f t="shared" si="0"/>
        <v>2349.8121000000001</v>
      </c>
      <c r="L18" s="3">
        <f t="shared" si="1"/>
        <v>6014.8413</v>
      </c>
      <c r="M18" s="3">
        <f t="shared" si="2"/>
        <v>4149.4314000000004</v>
      </c>
      <c r="N18" s="3">
        <f t="shared" si="3"/>
        <v>14990.246800000001</v>
      </c>
      <c r="O18" s="3">
        <f t="shared" si="4"/>
        <v>4197.76</v>
      </c>
      <c r="P18" s="3">
        <f t="shared" si="5"/>
        <v>1645.601412</v>
      </c>
      <c r="Q18" s="3">
        <f t="shared" si="6"/>
        <v>11.803999999999998</v>
      </c>
      <c r="R18" s="12">
        <f t="shared" si="10"/>
        <v>33359.497012</v>
      </c>
      <c r="S18" s="149">
        <f t="shared" si="7"/>
        <v>28.371365754314311</v>
      </c>
      <c r="T18" s="129">
        <f t="shared" si="8"/>
        <v>2.9889290749813417</v>
      </c>
      <c r="U18" s="136">
        <f t="shared" si="11"/>
        <v>24.210325507348873</v>
      </c>
      <c r="V18" s="139">
        <f t="shared" si="12"/>
        <v>65.457546742091381</v>
      </c>
      <c r="W18" s="9">
        <f t="shared" si="13"/>
        <v>179.3357444988805</v>
      </c>
      <c r="X18" s="9">
        <f t="shared" si="14"/>
        <v>89.667872249440251</v>
      </c>
      <c r="Y18" s="9">
        <f t="shared" si="15"/>
        <v>59.778581499626839</v>
      </c>
      <c r="Z18" s="9">
        <f t="shared" si="16"/>
        <v>119.55716299925368</v>
      </c>
      <c r="AA18" s="9">
        <f t="shared" si="17"/>
        <v>2331.3646784854463</v>
      </c>
      <c r="AB18" s="9">
        <f t="shared" si="18"/>
        <v>14.94464537490671</v>
      </c>
      <c r="AC18" s="3">
        <f t="shared" si="19"/>
        <v>1.141227464992876</v>
      </c>
      <c r="AD18" s="137">
        <f t="shared" si="20"/>
        <v>4.9317329737192139</v>
      </c>
    </row>
    <row r="19" spans="1:30" x14ac:dyDescent="0.25">
      <c r="A19" s="118" t="s">
        <v>13</v>
      </c>
      <c r="B19">
        <v>168.09256500000001</v>
      </c>
      <c r="C19">
        <v>317.50592</v>
      </c>
      <c r="D19">
        <v>201.73697999999999</v>
      </c>
      <c r="E19">
        <v>92.858249999999998</v>
      </c>
      <c r="F19">
        <v>20.619</v>
      </c>
      <c r="G19">
        <v>1.6850400000000001</v>
      </c>
      <c r="H19">
        <v>20.64</v>
      </c>
      <c r="I19" s="12">
        <f t="shared" si="9"/>
        <v>823.13775499999997</v>
      </c>
      <c r="J19" s="147">
        <v>184.8</v>
      </c>
      <c r="K19" s="122">
        <f t="shared" si="0"/>
        <v>5042.7769500000004</v>
      </c>
      <c r="L19" s="3">
        <f t="shared" si="1"/>
        <v>19050.355200000002</v>
      </c>
      <c r="M19" s="3">
        <f t="shared" si="2"/>
        <v>6052.1093999999994</v>
      </c>
      <c r="N19" s="3">
        <f t="shared" si="3"/>
        <v>1857.165</v>
      </c>
      <c r="O19" s="3">
        <f t="shared" si="4"/>
        <v>824.76</v>
      </c>
      <c r="P19" s="3">
        <f t="shared" si="5"/>
        <v>1314.3312000000001</v>
      </c>
      <c r="Q19" s="3">
        <f t="shared" si="6"/>
        <v>103.2</v>
      </c>
      <c r="R19" s="12">
        <f t="shared" si="10"/>
        <v>34244.697749999999</v>
      </c>
      <c r="S19" s="149">
        <f t="shared" si="7"/>
        <v>41.602632781678203</v>
      </c>
      <c r="T19" s="129">
        <f t="shared" si="8"/>
        <v>4.4420265652366577</v>
      </c>
      <c r="U19" s="136">
        <f t="shared" si="11"/>
        <v>35.980415178416933</v>
      </c>
      <c r="V19" s="139">
        <f t="shared" si="12"/>
        <v>97.280381778682795</v>
      </c>
      <c r="W19" s="9">
        <f t="shared" si="13"/>
        <v>266.52159391419946</v>
      </c>
      <c r="X19" s="9">
        <f t="shared" si="14"/>
        <v>133.26079695709973</v>
      </c>
      <c r="Y19" s="9">
        <f t="shared" si="15"/>
        <v>88.840531304733162</v>
      </c>
      <c r="Z19" s="9">
        <f t="shared" si="16"/>
        <v>177.68106260946632</v>
      </c>
      <c r="AA19" s="9">
        <f t="shared" si="17"/>
        <v>3464.7807208845929</v>
      </c>
      <c r="AB19" s="9">
        <f t="shared" si="18"/>
        <v>22.21013282618329</v>
      </c>
      <c r="AC19" s="3">
        <f t="shared" si="19"/>
        <v>1.6960465067267239</v>
      </c>
      <c r="AD19" s="137">
        <f t="shared" si="20"/>
        <v>7.3293438326404852</v>
      </c>
    </row>
    <row r="20" spans="1:30" x14ac:dyDescent="0.25">
      <c r="A20" s="118" t="s">
        <v>14</v>
      </c>
      <c r="B20">
        <v>19.621749999999999</v>
      </c>
      <c r="C20">
        <v>5.9069000000000003</v>
      </c>
      <c r="D20">
        <v>6.06</v>
      </c>
      <c r="E20">
        <v>42.383499999999998</v>
      </c>
      <c r="F20">
        <v>33.959000000000003</v>
      </c>
      <c r="G20">
        <v>0</v>
      </c>
      <c r="H20">
        <v>23.349599999999999</v>
      </c>
      <c r="I20" s="12">
        <f t="shared" si="9"/>
        <v>131.28075000000001</v>
      </c>
      <c r="J20" s="147">
        <v>3.5</v>
      </c>
      <c r="K20" s="122">
        <f t="shared" si="0"/>
        <v>588.65249999999992</v>
      </c>
      <c r="L20" s="3">
        <f t="shared" si="1"/>
        <v>354.41399999999999</v>
      </c>
      <c r="M20" s="3">
        <f t="shared" si="2"/>
        <v>181.79999999999998</v>
      </c>
      <c r="N20" s="3">
        <f t="shared" si="3"/>
        <v>847.67</v>
      </c>
      <c r="O20" s="3">
        <f t="shared" si="4"/>
        <v>1358.3600000000001</v>
      </c>
      <c r="P20" s="3">
        <f t="shared" si="5"/>
        <v>0</v>
      </c>
      <c r="Q20" s="3">
        <f t="shared" si="6"/>
        <v>116.74799999999999</v>
      </c>
      <c r="R20" s="12">
        <f t="shared" si="10"/>
        <v>3447.6444999999999</v>
      </c>
      <c r="S20" s="149">
        <f t="shared" si="7"/>
        <v>26.261614897842978</v>
      </c>
      <c r="T20" s="129">
        <f t="shared" si="8"/>
        <v>0.13327436311951538</v>
      </c>
      <c r="U20" s="136">
        <f t="shared" si="11"/>
        <v>1.0795223412680748</v>
      </c>
      <c r="V20" s="139">
        <f t="shared" si="12"/>
        <v>2.9187085523173866</v>
      </c>
      <c r="W20" s="9">
        <f t="shared" si="13"/>
        <v>7.9964617871709223</v>
      </c>
      <c r="X20" s="9">
        <f t="shared" si="14"/>
        <v>3.9982308935854611</v>
      </c>
      <c r="Y20" s="9">
        <f t="shared" si="15"/>
        <v>2.6654872623903074</v>
      </c>
      <c r="Z20" s="9">
        <f t="shared" si="16"/>
        <v>5.3309745247806148</v>
      </c>
      <c r="AA20" s="9">
        <f t="shared" si="17"/>
        <v>103.954003233222</v>
      </c>
      <c r="AB20" s="9">
        <f t="shared" si="18"/>
        <v>0.66637181559757686</v>
      </c>
      <c r="AC20" s="3">
        <f t="shared" si="19"/>
        <v>5.0886575009269512E-2</v>
      </c>
      <c r="AD20" s="137">
        <f t="shared" si="20"/>
        <v>0.21990269914720037</v>
      </c>
    </row>
    <row r="21" spans="1:30" x14ac:dyDescent="0.25">
      <c r="A21" s="118" t="s">
        <v>15</v>
      </c>
      <c r="B21">
        <v>1282.3749749999999</v>
      </c>
      <c r="C21">
        <v>283.99529999999999</v>
      </c>
      <c r="D21">
        <v>101.94272100000001</v>
      </c>
      <c r="E21">
        <v>337.69263000000001</v>
      </c>
      <c r="F21">
        <v>38</v>
      </c>
      <c r="G21">
        <v>0</v>
      </c>
      <c r="H21">
        <v>100</v>
      </c>
      <c r="I21" s="12">
        <f t="shared" si="9"/>
        <v>2144.0056260000001</v>
      </c>
      <c r="J21" s="147">
        <v>40.799999999999997</v>
      </c>
      <c r="K21" s="122">
        <f t="shared" si="0"/>
        <v>38471.249250000001</v>
      </c>
      <c r="L21" s="3">
        <f t="shared" si="1"/>
        <v>17039.718000000001</v>
      </c>
      <c r="M21" s="3">
        <f t="shared" si="2"/>
        <v>3058.2816300000004</v>
      </c>
      <c r="N21" s="3">
        <f t="shared" si="3"/>
        <v>6753.8526000000002</v>
      </c>
      <c r="O21" s="3">
        <f t="shared" si="4"/>
        <v>1520</v>
      </c>
      <c r="P21" s="3">
        <f t="shared" si="5"/>
        <v>0</v>
      </c>
      <c r="Q21" s="3">
        <f t="shared" si="6"/>
        <v>500</v>
      </c>
      <c r="R21" s="12">
        <f t="shared" si="10"/>
        <v>67343.101479999998</v>
      </c>
      <c r="S21" s="149">
        <f t="shared" si="7"/>
        <v>31.409946253564538</v>
      </c>
      <c r="T21" s="129">
        <f t="shared" si="8"/>
        <v>1.2989516018471325</v>
      </c>
      <c r="U21" s="136">
        <f t="shared" si="11"/>
        <v>10.521507974961775</v>
      </c>
      <c r="V21" s="139">
        <f t="shared" si="12"/>
        <v>28.447040080452201</v>
      </c>
      <c r="W21" s="9">
        <f t="shared" si="13"/>
        <v>77.937096110827952</v>
      </c>
      <c r="X21" s="9">
        <f t="shared" si="14"/>
        <v>38.968548055413976</v>
      </c>
      <c r="Y21" s="9">
        <f t="shared" si="15"/>
        <v>25.979032036942652</v>
      </c>
      <c r="Z21" s="9">
        <f t="shared" si="16"/>
        <v>51.958064073885303</v>
      </c>
      <c r="AA21" s="9">
        <f t="shared" si="17"/>
        <v>1013.1822494407634</v>
      </c>
      <c r="AB21" s="9">
        <f t="shared" si="18"/>
        <v>6.4947580092356629</v>
      </c>
      <c r="AC21" s="3">
        <f t="shared" si="19"/>
        <v>0.49596333888708699</v>
      </c>
      <c r="AD21" s="137">
        <f t="shared" si="20"/>
        <v>2.1432701430477685</v>
      </c>
    </row>
    <row r="22" spans="1:30" x14ac:dyDescent="0.25">
      <c r="A22" s="118" t="s">
        <v>16</v>
      </c>
      <c r="B22">
        <v>1448.6704</v>
      </c>
      <c r="C22">
        <v>830.71285</v>
      </c>
      <c r="D22">
        <v>755.39253699999995</v>
      </c>
      <c r="E22">
        <v>564.22843999999998</v>
      </c>
      <c r="F22">
        <v>61.8</v>
      </c>
      <c r="G22">
        <v>28.7</v>
      </c>
      <c r="H22">
        <v>138.012</v>
      </c>
      <c r="I22" s="12">
        <f t="shared" si="9"/>
        <v>3827.5162269999996</v>
      </c>
      <c r="J22" s="147">
        <v>191</v>
      </c>
      <c r="K22" s="122">
        <f t="shared" si="0"/>
        <v>43460.112000000001</v>
      </c>
      <c r="L22" s="3">
        <f t="shared" si="1"/>
        <v>49842.771000000001</v>
      </c>
      <c r="M22" s="3">
        <f t="shared" si="2"/>
        <v>22661.776109999999</v>
      </c>
      <c r="N22" s="3">
        <f t="shared" si="3"/>
        <v>11284.568799999999</v>
      </c>
      <c r="O22" s="3">
        <f t="shared" si="4"/>
        <v>2472</v>
      </c>
      <c r="P22" s="3">
        <f t="shared" si="5"/>
        <v>22386</v>
      </c>
      <c r="Q22" s="3">
        <f t="shared" si="6"/>
        <v>690.06</v>
      </c>
      <c r="R22" s="12">
        <f t="shared" si="10"/>
        <v>152797.28791000001</v>
      </c>
      <c r="S22" s="149">
        <f t="shared" si="7"/>
        <v>39.920742029031778</v>
      </c>
      <c r="T22" s="129">
        <f t="shared" si="8"/>
        <v>4.7844802048293094</v>
      </c>
      <c r="U22" s="136">
        <f t="shared" si="11"/>
        <v>38.754289659117411</v>
      </c>
      <c r="V22" s="139">
        <f t="shared" si="12"/>
        <v>104.78011648576187</v>
      </c>
      <c r="W22" s="9">
        <f t="shared" si="13"/>
        <v>287.06881228975857</v>
      </c>
      <c r="X22" s="9">
        <f t="shared" si="14"/>
        <v>143.53440614487928</v>
      </c>
      <c r="Y22" s="9">
        <f t="shared" si="15"/>
        <v>95.68960409658618</v>
      </c>
      <c r="Z22" s="9">
        <f t="shared" si="16"/>
        <v>191.37920819317236</v>
      </c>
      <c r="AA22" s="9">
        <f t="shared" si="17"/>
        <v>3731.8945597668612</v>
      </c>
      <c r="AB22" s="9">
        <f t="shared" si="18"/>
        <v>23.922401024146545</v>
      </c>
      <c r="AC22" s="3">
        <f t="shared" si="19"/>
        <v>1.8268015327530092</v>
      </c>
      <c r="AD22" s="137">
        <f t="shared" si="20"/>
        <v>7.8943923379683598</v>
      </c>
    </row>
    <row r="23" spans="1:30" x14ac:dyDescent="0.25">
      <c r="A23" s="118" t="s">
        <v>17</v>
      </c>
      <c r="B23">
        <v>88.180515</v>
      </c>
      <c r="C23">
        <v>39.948009999999996</v>
      </c>
      <c r="D23">
        <v>21.746769</v>
      </c>
      <c r="E23">
        <v>8.1182599999999994</v>
      </c>
      <c r="F23">
        <v>0</v>
      </c>
      <c r="G23">
        <v>3.6682800000000002E-2</v>
      </c>
      <c r="H23">
        <v>3.3096000000000001</v>
      </c>
      <c r="I23" s="12">
        <f t="shared" si="9"/>
        <v>161.33983679999997</v>
      </c>
      <c r="J23" s="147">
        <v>28.2</v>
      </c>
      <c r="K23" s="122">
        <f t="shared" si="0"/>
        <v>2645.41545</v>
      </c>
      <c r="L23" s="3">
        <f t="shared" si="1"/>
        <v>2396.8806</v>
      </c>
      <c r="M23" s="3">
        <f t="shared" si="2"/>
        <v>652.40307000000007</v>
      </c>
      <c r="N23" s="3">
        <f t="shared" si="3"/>
        <v>162.36519999999999</v>
      </c>
      <c r="O23" s="3">
        <f t="shared" si="4"/>
        <v>0</v>
      </c>
      <c r="P23" s="3">
        <f t="shared" si="5"/>
        <v>28.612584000000002</v>
      </c>
      <c r="Q23" s="3">
        <f t="shared" si="6"/>
        <v>16.548000000000002</v>
      </c>
      <c r="R23" s="12">
        <f t="shared" si="10"/>
        <v>5902.2249040000006</v>
      </c>
      <c r="S23" s="149">
        <f t="shared" si="7"/>
        <v>36.582563990792394</v>
      </c>
      <c r="T23" s="129">
        <f t="shared" si="8"/>
        <v>0.77085903566239278</v>
      </c>
      <c r="U23" s="136">
        <f t="shared" si="11"/>
        <v>6.243958188865383</v>
      </c>
      <c r="V23" s="139">
        <f t="shared" si="12"/>
        <v>16.8818128810064</v>
      </c>
      <c r="W23" s="9">
        <f t="shared" si="13"/>
        <v>46.251542139743563</v>
      </c>
      <c r="X23" s="9">
        <f t="shared" si="14"/>
        <v>23.125771069871782</v>
      </c>
      <c r="Y23" s="9">
        <f t="shared" si="15"/>
        <v>15.417180713247856</v>
      </c>
      <c r="Z23" s="9">
        <f t="shared" si="16"/>
        <v>30.834361426495711</v>
      </c>
      <c r="AA23" s="9">
        <f t="shared" si="17"/>
        <v>601.27004781666642</v>
      </c>
      <c r="AB23" s="9">
        <f t="shared" si="18"/>
        <v>3.8542951783119639</v>
      </c>
      <c r="AC23" s="3">
        <f t="shared" si="19"/>
        <v>0.29432799543473182</v>
      </c>
      <c r="AD23" s="137">
        <f t="shared" si="20"/>
        <v>1.2719174088429479</v>
      </c>
    </row>
    <row r="24" spans="1:30" x14ac:dyDescent="0.25">
      <c r="A24" s="118" t="s">
        <v>18</v>
      </c>
      <c r="B24">
        <v>164.54526000000001</v>
      </c>
      <c r="C24">
        <v>68.719139999999996</v>
      </c>
      <c r="D24">
        <v>58.027290000000001</v>
      </c>
      <c r="E24">
        <v>11.740259999999999</v>
      </c>
      <c r="F24">
        <v>1.5429999999999999</v>
      </c>
      <c r="G24">
        <v>4.5365599999999999E-2</v>
      </c>
      <c r="H24">
        <v>6.1180000000000003</v>
      </c>
      <c r="I24" s="12">
        <f t="shared" si="9"/>
        <v>310.73831560000002</v>
      </c>
      <c r="J24" s="147">
        <v>65.599999999999994</v>
      </c>
      <c r="K24" s="122">
        <f t="shared" si="0"/>
        <v>4936.3578000000007</v>
      </c>
      <c r="L24" s="3">
        <f t="shared" si="1"/>
        <v>4123.1484</v>
      </c>
      <c r="M24" s="3">
        <f t="shared" si="2"/>
        <v>1740.8187</v>
      </c>
      <c r="N24" s="3">
        <f t="shared" si="3"/>
        <v>234.80519999999999</v>
      </c>
      <c r="O24" s="3">
        <f t="shared" si="4"/>
        <v>61.72</v>
      </c>
      <c r="P24" s="3">
        <f t="shared" si="5"/>
        <v>35.385168</v>
      </c>
      <c r="Q24" s="3">
        <f t="shared" si="6"/>
        <v>30.590000000000003</v>
      </c>
      <c r="R24" s="12">
        <f t="shared" si="10"/>
        <v>11162.825268000001</v>
      </c>
      <c r="S24" s="149">
        <f t="shared" si="7"/>
        <v>35.923555955582323</v>
      </c>
      <c r="T24" s="129">
        <f t="shared" si="8"/>
        <v>1.8260998460484008</v>
      </c>
      <c r="U24" s="136">
        <f t="shared" si="11"/>
        <v>14.79140875299205</v>
      </c>
      <c r="V24" s="139">
        <f t="shared" si="12"/>
        <v>39.991586628459977</v>
      </c>
      <c r="W24" s="9">
        <f t="shared" si="13"/>
        <v>109.56599076290405</v>
      </c>
      <c r="X24" s="9">
        <f t="shared" si="14"/>
        <v>54.782995381452025</v>
      </c>
      <c r="Y24" s="9">
        <f t="shared" si="15"/>
        <v>36.521996920968014</v>
      </c>
      <c r="Z24" s="9">
        <f t="shared" si="16"/>
        <v>73.043993841936029</v>
      </c>
      <c r="AA24" s="9">
        <f t="shared" si="17"/>
        <v>1424.3578799177526</v>
      </c>
      <c r="AB24" s="9">
        <f t="shared" si="18"/>
        <v>9.1304992302420036</v>
      </c>
      <c r="AC24" s="3">
        <f t="shared" si="19"/>
        <v>0.69723812303666211</v>
      </c>
      <c r="AD24" s="137">
        <f t="shared" si="20"/>
        <v>3.013064745979861</v>
      </c>
    </row>
    <row r="25" spans="1:30" x14ac:dyDescent="0.25">
      <c r="A25" s="118" t="s">
        <v>19</v>
      </c>
      <c r="B25">
        <v>41.305815000000003</v>
      </c>
      <c r="C25">
        <v>9.7329450000000008</v>
      </c>
      <c r="D25">
        <v>0.16606699999999999</v>
      </c>
      <c r="E25">
        <v>0.720275</v>
      </c>
      <c r="F25">
        <v>0</v>
      </c>
      <c r="G25">
        <v>0</v>
      </c>
      <c r="H25">
        <v>1.8675999999999999</v>
      </c>
      <c r="I25" s="12">
        <f t="shared" si="9"/>
        <v>53.792702000000006</v>
      </c>
      <c r="J25" s="147">
        <v>29</v>
      </c>
      <c r="K25" s="122">
        <f t="shared" si="0"/>
        <v>1239.17445</v>
      </c>
      <c r="L25" s="3">
        <f t="shared" si="1"/>
        <v>583.97670000000005</v>
      </c>
      <c r="M25" s="3">
        <f t="shared" si="2"/>
        <v>4.9820099999999998</v>
      </c>
      <c r="N25" s="3">
        <f t="shared" si="3"/>
        <v>14.4055</v>
      </c>
      <c r="O25" s="3">
        <f t="shared" si="4"/>
        <v>0</v>
      </c>
      <c r="P25" s="3">
        <f t="shared" si="5"/>
        <v>0</v>
      </c>
      <c r="Q25" s="3">
        <f t="shared" si="6"/>
        <v>9.3379999999999992</v>
      </c>
      <c r="R25" s="12">
        <f t="shared" si="10"/>
        <v>1851.8766600000001</v>
      </c>
      <c r="S25" s="149">
        <f t="shared" si="7"/>
        <v>34.426169185552347</v>
      </c>
      <c r="T25" s="129">
        <f t="shared" si="8"/>
        <v>0.84238242842803579</v>
      </c>
      <c r="U25" s="136">
        <f t="shared" si="11"/>
        <v>6.8232976702670909</v>
      </c>
      <c r="V25" s="139">
        <f t="shared" si="12"/>
        <v>18.448175182573983</v>
      </c>
      <c r="W25" s="9">
        <f t="shared" si="13"/>
        <v>50.542945705682151</v>
      </c>
      <c r="X25" s="9">
        <f t="shared" si="14"/>
        <v>25.271472852841075</v>
      </c>
      <c r="Y25" s="9">
        <f t="shared" si="15"/>
        <v>16.847648568560714</v>
      </c>
      <c r="Z25" s="9">
        <f t="shared" si="16"/>
        <v>33.695297137121429</v>
      </c>
      <c r="AA25" s="9">
        <f t="shared" si="17"/>
        <v>657.05829417386792</v>
      </c>
      <c r="AB25" s="9">
        <f t="shared" si="18"/>
        <v>4.2119121421401786</v>
      </c>
      <c r="AC25" s="3">
        <f t="shared" si="19"/>
        <v>0.32163692721797732</v>
      </c>
      <c r="AD25" s="137">
        <f t="shared" si="20"/>
        <v>1.3899310069062589</v>
      </c>
    </row>
    <row r="26" spans="1:30" x14ac:dyDescent="0.25">
      <c r="A26" s="118" t="s">
        <v>20</v>
      </c>
      <c r="B26">
        <v>4.2827000000000002</v>
      </c>
      <c r="C26">
        <v>4.1985950000000001</v>
      </c>
      <c r="D26">
        <v>2.29114</v>
      </c>
      <c r="E26">
        <v>1.1018650000000001</v>
      </c>
      <c r="F26">
        <v>0</v>
      </c>
      <c r="G26">
        <v>8.7371199999999996E-2</v>
      </c>
      <c r="H26">
        <v>1.8620000000000001</v>
      </c>
      <c r="I26" s="12">
        <f t="shared" si="9"/>
        <v>13.8236712</v>
      </c>
      <c r="J26" s="147">
        <v>110</v>
      </c>
      <c r="K26" s="122">
        <f t="shared" si="0"/>
        <v>128.48099999999999</v>
      </c>
      <c r="L26" s="3">
        <f t="shared" si="1"/>
        <v>251.91570000000002</v>
      </c>
      <c r="M26" s="3">
        <f t="shared" si="2"/>
        <v>68.734200000000001</v>
      </c>
      <c r="N26" s="3">
        <f t="shared" si="3"/>
        <v>22.037300000000002</v>
      </c>
      <c r="O26" s="3">
        <f t="shared" si="4"/>
        <v>0</v>
      </c>
      <c r="P26" s="3">
        <f t="shared" si="5"/>
        <v>68.149535999999998</v>
      </c>
      <c r="Q26" s="3">
        <f t="shared" si="6"/>
        <v>9.31</v>
      </c>
      <c r="R26" s="12">
        <f t="shared" si="10"/>
        <v>548.62773599999991</v>
      </c>
      <c r="S26" s="149">
        <f t="shared" si="7"/>
        <v>39.687556804736495</v>
      </c>
      <c r="T26" s="129">
        <f t="shared" si="8"/>
        <v>2.7716495762438087</v>
      </c>
      <c r="U26" s="136">
        <f t="shared" si="11"/>
        <v>22.450361567574856</v>
      </c>
      <c r="V26" s="139">
        <f t="shared" si="12"/>
        <v>60.699125719739406</v>
      </c>
      <c r="W26" s="9">
        <f t="shared" si="13"/>
        <v>166.29897457462852</v>
      </c>
      <c r="X26" s="9">
        <f t="shared" si="14"/>
        <v>83.149487287314258</v>
      </c>
      <c r="Y26" s="9">
        <f t="shared" si="15"/>
        <v>55.432991524876172</v>
      </c>
      <c r="Z26" s="9">
        <f t="shared" si="16"/>
        <v>110.86598304975234</v>
      </c>
      <c r="AA26" s="9">
        <f t="shared" si="17"/>
        <v>2161.886669470171</v>
      </c>
      <c r="AB26" s="9">
        <f t="shared" si="18"/>
        <v>13.858247881219043</v>
      </c>
      <c r="AC26" s="3">
        <f t="shared" si="19"/>
        <v>1.0582662018385451</v>
      </c>
      <c r="AD26" s="137">
        <f t="shared" si="20"/>
        <v>4.5732218008022842</v>
      </c>
    </row>
    <row r="27" spans="1:30" x14ac:dyDescent="0.25">
      <c r="A27" s="118" t="s">
        <v>21</v>
      </c>
      <c r="B27">
        <v>1022.549605</v>
      </c>
      <c r="C27">
        <v>1643.68337</v>
      </c>
      <c r="D27">
        <v>391.623197</v>
      </c>
      <c r="E27">
        <v>73.427459999999996</v>
      </c>
      <c r="F27">
        <v>5.5819999999999999</v>
      </c>
      <c r="G27">
        <v>0.47086899999999998</v>
      </c>
      <c r="H27">
        <v>35.027200000000001</v>
      </c>
      <c r="I27" s="12">
        <f t="shared" si="9"/>
        <v>3172.3637009999998</v>
      </c>
      <c r="J27" s="147">
        <v>48.2</v>
      </c>
      <c r="K27" s="122">
        <f t="shared" si="0"/>
        <v>30676.488150000001</v>
      </c>
      <c r="L27" s="3">
        <f t="shared" si="1"/>
        <v>98621.002200000003</v>
      </c>
      <c r="M27" s="3">
        <f t="shared" si="2"/>
        <v>11748.69591</v>
      </c>
      <c r="N27" s="3">
        <f t="shared" si="3"/>
        <v>1468.5491999999999</v>
      </c>
      <c r="O27" s="3">
        <f t="shared" si="4"/>
        <v>223.28</v>
      </c>
      <c r="P27" s="3">
        <f t="shared" si="5"/>
        <v>367.27781999999996</v>
      </c>
      <c r="Q27" s="3">
        <f t="shared" si="6"/>
        <v>175.136</v>
      </c>
      <c r="R27" s="12">
        <f t="shared" si="10"/>
        <v>143280.42928000001</v>
      </c>
      <c r="S27" s="149">
        <f t="shared" si="7"/>
        <v>45.165196296639891</v>
      </c>
      <c r="T27" s="129">
        <f t="shared" si="8"/>
        <v>1.0671934133403931</v>
      </c>
      <c r="U27" s="136">
        <f t="shared" si="11"/>
        <v>8.6442666480571848</v>
      </c>
      <c r="V27" s="139">
        <f t="shared" si="12"/>
        <v>23.371535752154607</v>
      </c>
      <c r="W27" s="9">
        <f t="shared" si="13"/>
        <v>64.03160480042358</v>
      </c>
      <c r="X27" s="9">
        <f t="shared" si="14"/>
        <v>32.01580240021179</v>
      </c>
      <c r="Y27" s="9">
        <f t="shared" si="15"/>
        <v>21.34386826680786</v>
      </c>
      <c r="Z27" s="9">
        <f t="shared" si="16"/>
        <v>42.68773653361572</v>
      </c>
      <c r="AA27" s="9">
        <f t="shared" si="17"/>
        <v>832.41086240550658</v>
      </c>
      <c r="AB27" s="9">
        <f t="shared" si="18"/>
        <v>5.335967066701965</v>
      </c>
      <c r="AC27" s="3">
        <f t="shared" si="19"/>
        <v>0.40747384872996828</v>
      </c>
      <c r="AD27" s="137">
        <f t="shared" si="20"/>
        <v>1.7608691320116485</v>
      </c>
    </row>
    <row r="28" spans="1:30" x14ac:dyDescent="0.25">
      <c r="A28" s="118" t="s">
        <v>22</v>
      </c>
      <c r="B28">
        <v>217.35546500000001</v>
      </c>
      <c r="C28">
        <v>125.638575</v>
      </c>
      <c r="D28">
        <v>69.918645999999995</v>
      </c>
      <c r="E28">
        <v>95.03295</v>
      </c>
      <c r="F28">
        <v>1441.6179999999999</v>
      </c>
      <c r="G28">
        <v>0</v>
      </c>
      <c r="H28">
        <v>50</v>
      </c>
      <c r="I28" s="12">
        <f t="shared" si="9"/>
        <v>1999.5636359999999</v>
      </c>
      <c r="J28" s="147">
        <v>2.2999999999999998</v>
      </c>
      <c r="K28" s="122">
        <f t="shared" si="0"/>
        <v>6520.6639500000001</v>
      </c>
      <c r="L28" s="3">
        <f t="shared" si="1"/>
        <v>7538.3145000000004</v>
      </c>
      <c r="M28" s="3">
        <f t="shared" si="2"/>
        <v>2097.5593799999997</v>
      </c>
      <c r="N28" s="3">
        <f t="shared" si="3"/>
        <v>1900.6590000000001</v>
      </c>
      <c r="O28" s="3">
        <f t="shared" si="4"/>
        <v>57664.72</v>
      </c>
      <c r="P28" s="3">
        <f t="shared" si="5"/>
        <v>0</v>
      </c>
      <c r="Q28" s="3">
        <f t="shared" si="6"/>
        <v>250</v>
      </c>
      <c r="R28" s="12">
        <f t="shared" si="10"/>
        <v>75971.916830000002</v>
      </c>
      <c r="S28" s="149">
        <f t="shared" si="7"/>
        <v>37.994248076033728</v>
      </c>
      <c r="T28" s="129">
        <f t="shared" si="8"/>
        <v>6.0535478828196883E-2</v>
      </c>
      <c r="U28" s="136">
        <f t="shared" si="11"/>
        <v>0.49033737850839482</v>
      </c>
      <c r="V28" s="139">
        <f t="shared" si="12"/>
        <v>1.3257269863375116</v>
      </c>
      <c r="W28" s="9">
        <f t="shared" si="13"/>
        <v>3.632128729691813</v>
      </c>
      <c r="X28" s="9">
        <f t="shared" si="14"/>
        <v>1.8160643648459065</v>
      </c>
      <c r="Y28" s="9">
        <f t="shared" si="15"/>
        <v>1.2107095765639377</v>
      </c>
      <c r="Z28" s="9">
        <f t="shared" si="16"/>
        <v>2.4214191531278755</v>
      </c>
      <c r="AA28" s="9">
        <f t="shared" si="17"/>
        <v>47.217673485993572</v>
      </c>
      <c r="AB28" s="9">
        <f t="shared" si="18"/>
        <v>0.30267739414098443</v>
      </c>
      <c r="AC28" s="3">
        <f t="shared" si="19"/>
        <v>2.3113546461675176E-2</v>
      </c>
      <c r="AD28" s="137">
        <f t="shared" si="20"/>
        <v>9.9883540066524848E-2</v>
      </c>
    </row>
    <row r="29" spans="1:30" x14ac:dyDescent="0.25">
      <c r="A29" s="118" t="s">
        <v>23</v>
      </c>
      <c r="B29">
        <v>1599.3314150000001</v>
      </c>
      <c r="C29">
        <v>1391.5037400000001</v>
      </c>
      <c r="D29">
        <v>1374.966015</v>
      </c>
      <c r="E29">
        <v>21.740929999999999</v>
      </c>
      <c r="F29">
        <v>39.730539999999998</v>
      </c>
      <c r="G29">
        <v>2.1572922000000001</v>
      </c>
      <c r="H29">
        <v>108.5296</v>
      </c>
      <c r="I29" s="12">
        <f t="shared" si="9"/>
        <v>4537.9595321999996</v>
      </c>
      <c r="J29" s="147">
        <v>185.2</v>
      </c>
      <c r="K29" s="122">
        <f t="shared" si="0"/>
        <v>47979.942450000002</v>
      </c>
      <c r="L29" s="3">
        <f t="shared" si="1"/>
        <v>83490.224400000006</v>
      </c>
      <c r="M29" s="3">
        <f t="shared" si="2"/>
        <v>41248.980450000003</v>
      </c>
      <c r="N29" s="3">
        <f t="shared" si="3"/>
        <v>434.81859999999995</v>
      </c>
      <c r="O29" s="3">
        <f t="shared" si="4"/>
        <v>1589.2215999999999</v>
      </c>
      <c r="P29" s="3">
        <f t="shared" si="5"/>
        <v>1682.6879160000001</v>
      </c>
      <c r="Q29" s="3">
        <f t="shared" si="6"/>
        <v>542.64800000000002</v>
      </c>
      <c r="R29" s="12">
        <f t="shared" si="10"/>
        <v>176968.52341599998</v>
      </c>
      <c r="S29" s="149">
        <f t="shared" si="7"/>
        <v>38.997378041889625</v>
      </c>
      <c r="T29" s="129">
        <f t="shared" si="8"/>
        <v>4.7490372250427866</v>
      </c>
      <c r="U29" s="136">
        <f t="shared" si="11"/>
        <v>38.46720152284658</v>
      </c>
      <c r="V29" s="139">
        <f t="shared" si="12"/>
        <v>104.00391522843702</v>
      </c>
      <c r="W29" s="9">
        <f t="shared" si="13"/>
        <v>284.94223350256721</v>
      </c>
      <c r="X29" s="9">
        <f t="shared" si="14"/>
        <v>142.4711167512836</v>
      </c>
      <c r="Y29" s="9">
        <f t="shared" si="15"/>
        <v>94.980744500855735</v>
      </c>
      <c r="Z29" s="9">
        <f t="shared" si="16"/>
        <v>189.96148900171147</v>
      </c>
      <c r="AA29" s="9">
        <f t="shared" si="17"/>
        <v>3704.2490355333734</v>
      </c>
      <c r="AB29" s="9">
        <f t="shared" si="18"/>
        <v>23.745186125213934</v>
      </c>
      <c r="AC29" s="3">
        <f t="shared" si="19"/>
        <v>1.8132687586527003</v>
      </c>
      <c r="AD29" s="137">
        <f t="shared" si="20"/>
        <v>7.8359114213205974</v>
      </c>
    </row>
    <row r="30" spans="1:30" x14ac:dyDescent="0.25">
      <c r="A30" s="118" t="s">
        <v>24</v>
      </c>
      <c r="B30">
        <v>211.00221500000001</v>
      </c>
      <c r="C30">
        <v>362.68799000000001</v>
      </c>
      <c r="D30">
        <v>229.199018</v>
      </c>
      <c r="E30">
        <v>181.96972</v>
      </c>
      <c r="F30">
        <v>13.992000000000001</v>
      </c>
      <c r="G30">
        <v>6.1960443999999999</v>
      </c>
      <c r="H30">
        <v>34.799999999999997</v>
      </c>
      <c r="I30" s="12">
        <f t="shared" si="9"/>
        <v>1039.8469874</v>
      </c>
      <c r="J30" s="147">
        <v>143.80000000000001</v>
      </c>
      <c r="K30" s="122">
        <f t="shared" si="0"/>
        <v>6330.0664500000003</v>
      </c>
      <c r="L30" s="3">
        <f t="shared" si="1"/>
        <v>21761.279399999999</v>
      </c>
      <c r="M30" s="3">
        <f t="shared" si="2"/>
        <v>6875.9705400000003</v>
      </c>
      <c r="N30" s="3">
        <f t="shared" si="3"/>
        <v>3639.3944000000001</v>
      </c>
      <c r="O30" s="3">
        <f t="shared" si="4"/>
        <v>559.68000000000006</v>
      </c>
      <c r="P30" s="3">
        <f t="shared" si="5"/>
        <v>4832.914632</v>
      </c>
      <c r="Q30" s="3">
        <f t="shared" si="6"/>
        <v>174</v>
      </c>
      <c r="R30" s="12">
        <f t="shared" si="10"/>
        <v>44173.305421999998</v>
      </c>
      <c r="S30" s="149">
        <f t="shared" si="7"/>
        <v>42.480582198395851</v>
      </c>
      <c r="T30" s="129">
        <f t="shared" si="8"/>
        <v>3.3850760172827901</v>
      </c>
      <c r="U30" s="136">
        <f t="shared" si="11"/>
        <v>27.419115739990605</v>
      </c>
      <c r="V30" s="139">
        <f t="shared" si="12"/>
        <v>74.133164778493096</v>
      </c>
      <c r="W30" s="9">
        <f t="shared" si="13"/>
        <v>203.1045610369674</v>
      </c>
      <c r="X30" s="9">
        <f t="shared" si="14"/>
        <v>101.5522805184837</v>
      </c>
      <c r="Y30" s="9">
        <f t="shared" si="15"/>
        <v>67.701520345655808</v>
      </c>
      <c r="Z30" s="9">
        <f t="shared" si="16"/>
        <v>135.40304069131162</v>
      </c>
      <c r="AA30" s="9">
        <f t="shared" si="17"/>
        <v>2640.3592934805761</v>
      </c>
      <c r="AB30" s="9">
        <f t="shared" si="18"/>
        <v>16.925380086413952</v>
      </c>
      <c r="AC30" s="3">
        <f t="shared" si="19"/>
        <v>1.2924835702352471</v>
      </c>
      <c r="AD30" s="137">
        <f t="shared" si="20"/>
        <v>5.5853754285166035</v>
      </c>
    </row>
    <row r="31" spans="1:30" x14ac:dyDescent="0.25">
      <c r="A31" s="118" t="s">
        <v>25</v>
      </c>
      <c r="B31">
        <v>910.59686499999998</v>
      </c>
      <c r="C31">
        <v>692.72695999999996</v>
      </c>
      <c r="D31">
        <v>544.11072200000001</v>
      </c>
      <c r="E31">
        <v>861.2722</v>
      </c>
      <c r="F31">
        <v>7.3659999999999997</v>
      </c>
      <c r="G31">
        <v>4.8020000000000002E-4</v>
      </c>
      <c r="H31">
        <v>118.57599999999999</v>
      </c>
      <c r="I31" s="12">
        <f t="shared" si="9"/>
        <v>3134.6492271999996</v>
      </c>
      <c r="J31" s="147">
        <v>53.9</v>
      </c>
      <c r="K31" s="122">
        <f t="shared" si="0"/>
        <v>27317.90595</v>
      </c>
      <c r="L31" s="3">
        <f t="shared" si="1"/>
        <v>41563.617599999998</v>
      </c>
      <c r="M31" s="3">
        <f t="shared" si="2"/>
        <v>16323.32166</v>
      </c>
      <c r="N31" s="3">
        <f t="shared" si="3"/>
        <v>17225.444</v>
      </c>
      <c r="O31" s="3">
        <f t="shared" si="4"/>
        <v>294.64</v>
      </c>
      <c r="P31" s="3">
        <f t="shared" si="5"/>
        <v>0.374556</v>
      </c>
      <c r="Q31" s="3">
        <f t="shared" si="6"/>
        <v>592.88</v>
      </c>
      <c r="R31" s="12">
        <f t="shared" si="10"/>
        <v>103318.183766</v>
      </c>
      <c r="S31" s="149">
        <f t="shared" si="7"/>
        <v>32.960046332931533</v>
      </c>
      <c r="T31" s="129">
        <f t="shared" si="8"/>
        <v>1.6353132351681989</v>
      </c>
      <c r="U31" s="136">
        <f t="shared" si="11"/>
        <v>13.246037204862414</v>
      </c>
      <c r="V31" s="139">
        <f t="shared" si="12"/>
        <v>35.813359850183552</v>
      </c>
      <c r="W31" s="9">
        <f t="shared" si="13"/>
        <v>98.11879411009194</v>
      </c>
      <c r="X31" s="9">
        <f t="shared" si="14"/>
        <v>49.05939705504597</v>
      </c>
      <c r="Y31" s="9">
        <f t="shared" si="15"/>
        <v>32.706264703363978</v>
      </c>
      <c r="Z31" s="9">
        <f t="shared" si="16"/>
        <v>65.412529406727955</v>
      </c>
      <c r="AA31" s="9">
        <f t="shared" si="17"/>
        <v>1275.5443234311952</v>
      </c>
      <c r="AB31" s="9">
        <f t="shared" si="18"/>
        <v>8.1765661758409944</v>
      </c>
      <c r="AC31" s="3">
        <f t="shared" si="19"/>
        <v>0.62439232615513052</v>
      </c>
      <c r="AD31" s="137">
        <f t="shared" si="20"/>
        <v>2.6982668380275281</v>
      </c>
    </row>
    <row r="32" spans="1:30" x14ac:dyDescent="0.25">
      <c r="A32" s="118" t="s">
        <v>26</v>
      </c>
      <c r="B32">
        <v>83.148830000000004</v>
      </c>
      <c r="C32">
        <v>65.151989999999998</v>
      </c>
      <c r="D32">
        <v>59.192657500000003</v>
      </c>
      <c r="E32">
        <v>25.991160000000001</v>
      </c>
      <c r="F32">
        <v>2.536</v>
      </c>
      <c r="G32">
        <v>6.6556000000000002E-3</v>
      </c>
      <c r="H32">
        <v>5.7591999999999999</v>
      </c>
      <c r="I32" s="12">
        <f t="shared" si="9"/>
        <v>241.78649309999997</v>
      </c>
      <c r="J32" s="147">
        <v>42.3</v>
      </c>
      <c r="K32" s="122">
        <f t="shared" si="0"/>
        <v>2494.4648999999999</v>
      </c>
      <c r="L32" s="3">
        <f t="shared" si="1"/>
        <v>3909.1194</v>
      </c>
      <c r="M32" s="3">
        <f t="shared" si="2"/>
        <v>1775.7797250000001</v>
      </c>
      <c r="N32" s="3">
        <f t="shared" si="3"/>
        <v>519.82320000000004</v>
      </c>
      <c r="O32" s="3">
        <f t="shared" si="4"/>
        <v>101.44</v>
      </c>
      <c r="P32" s="3">
        <f t="shared" si="5"/>
        <v>5.1913679999999998</v>
      </c>
      <c r="Q32" s="3">
        <f t="shared" si="6"/>
        <v>28.795999999999999</v>
      </c>
      <c r="R32" s="12">
        <f t="shared" si="10"/>
        <v>8834.6145930000021</v>
      </c>
      <c r="S32" s="149">
        <f t="shared" si="7"/>
        <v>36.538908686458811</v>
      </c>
      <c r="T32" s="129">
        <f t="shared" si="8"/>
        <v>1.1576700432674998</v>
      </c>
      <c r="U32" s="136">
        <f t="shared" si="11"/>
        <v>9.3771273504667505</v>
      </c>
      <c r="V32" s="139">
        <f t="shared" si="12"/>
        <v>25.352973947558244</v>
      </c>
      <c r="W32" s="9">
        <f t="shared" si="13"/>
        <v>69.460202596049982</v>
      </c>
      <c r="X32" s="9">
        <f t="shared" si="14"/>
        <v>34.730101298024991</v>
      </c>
      <c r="Y32" s="9">
        <f t="shared" si="15"/>
        <v>23.153400865349994</v>
      </c>
      <c r="Z32" s="9">
        <f t="shared" si="16"/>
        <v>46.306801730699988</v>
      </c>
      <c r="AA32" s="9">
        <f t="shared" si="17"/>
        <v>902.98263374864985</v>
      </c>
      <c r="AB32" s="9">
        <f t="shared" si="18"/>
        <v>5.7883502163374985</v>
      </c>
      <c r="AC32" s="3">
        <f t="shared" si="19"/>
        <v>0.44201947106577266</v>
      </c>
      <c r="AD32" s="137">
        <f t="shared" si="20"/>
        <v>1.9101555713913745</v>
      </c>
    </row>
    <row r="33" spans="1:30" x14ac:dyDescent="0.25">
      <c r="A33" s="118" t="s">
        <v>27</v>
      </c>
      <c r="B33">
        <v>94.242744999999999</v>
      </c>
      <c r="C33">
        <v>18.459095000000001</v>
      </c>
      <c r="D33">
        <v>42.59657</v>
      </c>
      <c r="E33">
        <v>8.9343850000000007</v>
      </c>
      <c r="F33">
        <v>2.3069999999999999</v>
      </c>
      <c r="G33">
        <v>3.4692E-3</v>
      </c>
      <c r="H33">
        <v>10.5372</v>
      </c>
      <c r="I33" s="12">
        <f t="shared" si="9"/>
        <v>177.08046419999999</v>
      </c>
      <c r="J33" s="147">
        <v>44.9</v>
      </c>
      <c r="K33" s="122">
        <f t="shared" si="0"/>
        <v>2827.28235</v>
      </c>
      <c r="L33" s="3">
        <f t="shared" si="1"/>
        <v>1107.5457000000001</v>
      </c>
      <c r="M33" s="3">
        <f t="shared" si="2"/>
        <v>1277.8970999999999</v>
      </c>
      <c r="N33" s="3">
        <f t="shared" si="3"/>
        <v>178.68770000000001</v>
      </c>
      <c r="O33" s="3">
        <f t="shared" si="4"/>
        <v>92.28</v>
      </c>
      <c r="P33" s="3">
        <f t="shared" si="5"/>
        <v>2.7059760000000002</v>
      </c>
      <c r="Q33" s="3">
        <f t="shared" si="6"/>
        <v>52.686</v>
      </c>
      <c r="R33" s="12">
        <f t="shared" si="10"/>
        <v>5539.0848260000002</v>
      </c>
      <c r="S33" s="149">
        <f t="shared" si="7"/>
        <v>31.280044645376531</v>
      </c>
      <c r="T33" s="129">
        <f t="shared" si="8"/>
        <v>1.4354199461360622</v>
      </c>
      <c r="U33" s="136">
        <f t="shared" si="11"/>
        <v>11.626901563702106</v>
      </c>
      <c r="V33" s="139">
        <f t="shared" si="12"/>
        <v>31.435696820379761</v>
      </c>
      <c r="W33" s="9">
        <f t="shared" si="13"/>
        <v>86.125196768163732</v>
      </c>
      <c r="X33" s="9">
        <f t="shared" si="14"/>
        <v>43.062598384081866</v>
      </c>
      <c r="Y33" s="9">
        <f t="shared" si="15"/>
        <v>28.708398922721244</v>
      </c>
      <c r="Z33" s="9">
        <f t="shared" si="16"/>
        <v>57.416797845442488</v>
      </c>
      <c r="AA33" s="9">
        <f t="shared" si="17"/>
        <v>1119.6275579861285</v>
      </c>
      <c r="AB33" s="9">
        <f t="shared" si="18"/>
        <v>7.177099730680311</v>
      </c>
      <c r="AC33" s="3">
        <f t="shared" si="19"/>
        <v>0.54806943397922381</v>
      </c>
      <c r="AD33" s="137">
        <f t="shared" si="20"/>
        <v>2.3684429111245024</v>
      </c>
    </row>
    <row r="34" spans="1:30" x14ac:dyDescent="0.25">
      <c r="A34" s="118" t="s">
        <v>28</v>
      </c>
      <c r="B34">
        <v>939.95061499999997</v>
      </c>
      <c r="C34">
        <v>4075.9440949999998</v>
      </c>
      <c r="D34">
        <v>893.40087400000004</v>
      </c>
      <c r="E34">
        <v>1388.1943200000001</v>
      </c>
      <c r="F34">
        <v>342.86700000000002</v>
      </c>
      <c r="G34">
        <v>57.4084</v>
      </c>
      <c r="H34">
        <v>252.28</v>
      </c>
      <c r="I34" s="12">
        <f t="shared" si="9"/>
        <v>7950.0453040000002</v>
      </c>
      <c r="J34" s="147">
        <v>126.7</v>
      </c>
      <c r="K34" s="122">
        <f t="shared" si="0"/>
        <v>28198.51845</v>
      </c>
      <c r="L34" s="3">
        <f t="shared" si="1"/>
        <v>244556.64569999999</v>
      </c>
      <c r="M34" s="3">
        <f t="shared" si="2"/>
        <v>26802.02622</v>
      </c>
      <c r="N34" s="3">
        <f t="shared" si="3"/>
        <v>27763.886400000003</v>
      </c>
      <c r="O34" s="3">
        <f t="shared" si="4"/>
        <v>13714.68</v>
      </c>
      <c r="P34" s="3">
        <f t="shared" si="5"/>
        <v>44778.552000000003</v>
      </c>
      <c r="Q34" s="3">
        <f t="shared" si="6"/>
        <v>1261.4000000000001</v>
      </c>
      <c r="R34" s="12">
        <f t="shared" si="10"/>
        <v>387075.70877000003</v>
      </c>
      <c r="S34" s="149">
        <f t="shared" si="7"/>
        <v>48.688490941711493</v>
      </c>
      <c r="T34" s="129">
        <f t="shared" si="8"/>
        <v>2.6022576906661929</v>
      </c>
      <c r="U34" s="136">
        <f t="shared" si="11"/>
        <v>21.078287294396166</v>
      </c>
      <c r="V34" s="139">
        <f t="shared" si="12"/>
        <v>56.98944342558962</v>
      </c>
      <c r="W34" s="9">
        <f t="shared" si="13"/>
        <v>156.13546143997158</v>
      </c>
      <c r="X34" s="9">
        <f t="shared" si="14"/>
        <v>78.067730719985789</v>
      </c>
      <c r="Y34" s="9">
        <f t="shared" si="15"/>
        <v>52.045153813323857</v>
      </c>
      <c r="Z34" s="9">
        <f t="shared" si="16"/>
        <v>104.09030762664771</v>
      </c>
      <c r="AA34" s="9">
        <f t="shared" si="17"/>
        <v>2029.7609987196306</v>
      </c>
      <c r="AB34" s="9">
        <f t="shared" si="18"/>
        <v>13.011288453330964</v>
      </c>
      <c r="AC34" s="3">
        <f t="shared" si="19"/>
        <v>0.99358930007254642</v>
      </c>
      <c r="AD34" s="137">
        <f t="shared" si="20"/>
        <v>4.2937251895992183</v>
      </c>
    </row>
    <row r="35" spans="1:30" x14ac:dyDescent="0.25">
      <c r="A35" s="118" t="s">
        <v>29</v>
      </c>
      <c r="B35">
        <v>295.48189500000001</v>
      </c>
      <c r="C35">
        <v>198.11386999999999</v>
      </c>
      <c r="D35">
        <v>109.423705</v>
      </c>
      <c r="E35">
        <v>26.058399999999999</v>
      </c>
      <c r="F35">
        <v>9.6020000000000003</v>
      </c>
      <c r="G35">
        <v>0</v>
      </c>
      <c r="H35">
        <v>142.4</v>
      </c>
      <c r="I35" s="12">
        <f t="shared" si="9"/>
        <v>781.07987000000003</v>
      </c>
      <c r="J35" s="147">
        <v>11.4</v>
      </c>
      <c r="K35" s="122">
        <f t="shared" si="0"/>
        <v>8864.4568500000005</v>
      </c>
      <c r="L35" s="3">
        <f t="shared" si="1"/>
        <v>11886.832199999999</v>
      </c>
      <c r="M35" s="3">
        <f t="shared" si="2"/>
        <v>3282.7111500000001</v>
      </c>
      <c r="N35" s="3">
        <f t="shared" si="3"/>
        <v>521.16800000000001</v>
      </c>
      <c r="O35" s="3">
        <f t="shared" si="4"/>
        <v>384.08000000000004</v>
      </c>
      <c r="P35" s="3">
        <f t="shared" si="5"/>
        <v>0</v>
      </c>
      <c r="Q35" s="3">
        <f t="shared" si="6"/>
        <v>712</v>
      </c>
      <c r="R35" s="12">
        <f t="shared" si="10"/>
        <v>25651.248200000002</v>
      </c>
      <c r="S35" s="149">
        <f t="shared" si="7"/>
        <v>32.840749307750052</v>
      </c>
      <c r="T35" s="129">
        <f t="shared" si="8"/>
        <v>0.34712971659601344</v>
      </c>
      <c r="U35" s="136">
        <f t="shared" si="11"/>
        <v>2.8117507044277095</v>
      </c>
      <c r="V35" s="139">
        <f t="shared" si="12"/>
        <v>7.6021407934526941</v>
      </c>
      <c r="W35" s="9">
        <f t="shared" si="13"/>
        <v>20.827782995760806</v>
      </c>
      <c r="X35" s="9">
        <f t="shared" si="14"/>
        <v>10.413891497880403</v>
      </c>
      <c r="Y35" s="9">
        <f t="shared" si="15"/>
        <v>6.9425943319202688</v>
      </c>
      <c r="Z35" s="9">
        <f t="shared" si="16"/>
        <v>13.885188663840538</v>
      </c>
      <c r="AA35" s="9">
        <f t="shared" si="17"/>
        <v>270.7611789448905</v>
      </c>
      <c r="AB35" s="9">
        <f t="shared" si="18"/>
        <v>1.7356485829800672</v>
      </c>
      <c r="AC35" s="3">
        <f t="shared" si="19"/>
        <v>0.1325404372457506</v>
      </c>
      <c r="AD35" s="137">
        <f t="shared" si="20"/>
        <v>0.57276403238342211</v>
      </c>
    </row>
    <row r="36" spans="1:30" x14ac:dyDescent="0.25">
      <c r="A36" s="118" t="s">
        <v>30</v>
      </c>
      <c r="B36">
        <v>475.22365000000002</v>
      </c>
      <c r="C36">
        <v>189.62286</v>
      </c>
      <c r="D36">
        <v>75.140538000000006</v>
      </c>
      <c r="E36">
        <v>32.004874999999998</v>
      </c>
      <c r="F36">
        <v>0</v>
      </c>
      <c r="G36">
        <v>0.64288979999999996</v>
      </c>
      <c r="H36">
        <v>44.7836</v>
      </c>
      <c r="I36" s="12">
        <f t="shared" si="9"/>
        <v>817.41841280000006</v>
      </c>
      <c r="J36" s="147">
        <v>35.700000000000003</v>
      </c>
      <c r="K36" s="122">
        <f t="shared" si="0"/>
        <v>14256.709500000001</v>
      </c>
      <c r="L36" s="3">
        <f t="shared" si="1"/>
        <v>11377.3716</v>
      </c>
      <c r="M36" s="3">
        <f t="shared" si="2"/>
        <v>2254.21614</v>
      </c>
      <c r="N36" s="3">
        <f t="shared" si="3"/>
        <v>640.09749999999997</v>
      </c>
      <c r="O36" s="3">
        <f t="shared" si="4"/>
        <v>0</v>
      </c>
      <c r="P36" s="3">
        <f t="shared" si="5"/>
        <v>501.45404399999995</v>
      </c>
      <c r="Q36" s="3">
        <f t="shared" si="6"/>
        <v>223.91800000000001</v>
      </c>
      <c r="R36" s="12">
        <f t="shared" si="10"/>
        <v>29253.766784000003</v>
      </c>
      <c r="S36" s="149">
        <f t="shared" si="7"/>
        <v>35.787995873243929</v>
      </c>
      <c r="T36" s="129">
        <f t="shared" si="8"/>
        <v>0.99754119024838395</v>
      </c>
      <c r="U36" s="136">
        <f t="shared" si="11"/>
        <v>8.0800836410119121</v>
      </c>
      <c r="V36" s="139">
        <f t="shared" si="12"/>
        <v>21.846152066439608</v>
      </c>
      <c r="W36" s="9">
        <f t="shared" si="13"/>
        <v>59.852471414903036</v>
      </c>
      <c r="X36" s="9">
        <f t="shared" si="14"/>
        <v>29.926235707451518</v>
      </c>
      <c r="Y36" s="9">
        <f t="shared" si="15"/>
        <v>19.95082380496768</v>
      </c>
      <c r="Z36" s="9">
        <f t="shared" si="16"/>
        <v>39.90164760993536</v>
      </c>
      <c r="AA36" s="9">
        <f t="shared" si="17"/>
        <v>778.08212839373948</v>
      </c>
      <c r="AB36" s="9">
        <f t="shared" si="18"/>
        <v>4.98770595124192</v>
      </c>
      <c r="AC36" s="3">
        <f t="shared" si="19"/>
        <v>0.38087936354938295</v>
      </c>
      <c r="AD36" s="137">
        <f t="shared" si="20"/>
        <v>1.6459429639098335</v>
      </c>
    </row>
    <row r="37" spans="1:30" x14ac:dyDescent="0.25">
      <c r="A37" s="70" t="s">
        <v>31</v>
      </c>
      <c r="B37" s="143" t="s">
        <v>56</v>
      </c>
      <c r="C37" s="143" t="s">
        <v>56</v>
      </c>
      <c r="D37" s="143" t="s">
        <v>56</v>
      </c>
      <c r="E37" s="143" t="s">
        <v>56</v>
      </c>
      <c r="F37" s="143" t="s">
        <v>56</v>
      </c>
      <c r="G37" s="143" t="s">
        <v>56</v>
      </c>
      <c r="H37" s="143" t="s">
        <v>56</v>
      </c>
      <c r="I37" s="143" t="s">
        <v>56</v>
      </c>
      <c r="J37" s="148">
        <v>30.4</v>
      </c>
      <c r="K37" s="145" t="s">
        <v>56</v>
      </c>
      <c r="L37" s="143" t="s">
        <v>56</v>
      </c>
      <c r="M37" s="143" t="s">
        <v>56</v>
      </c>
      <c r="N37" s="143" t="s">
        <v>56</v>
      </c>
      <c r="O37" s="143" t="s">
        <v>56</v>
      </c>
      <c r="P37" s="143" t="s">
        <v>56</v>
      </c>
      <c r="Q37" s="143" t="s">
        <v>56</v>
      </c>
      <c r="R37" s="143" t="s">
        <v>56</v>
      </c>
      <c r="S37" s="150" t="s">
        <v>56</v>
      </c>
      <c r="T37" s="143" t="s">
        <v>56</v>
      </c>
      <c r="U37" s="143" t="s">
        <v>56</v>
      </c>
      <c r="V37" s="143" t="s">
        <v>56</v>
      </c>
      <c r="W37" s="143" t="s">
        <v>56</v>
      </c>
      <c r="X37" s="143" t="s">
        <v>56</v>
      </c>
      <c r="Y37" s="143" t="s">
        <v>56</v>
      </c>
      <c r="Z37" s="143" t="s">
        <v>56</v>
      </c>
      <c r="AA37" s="143" t="s">
        <v>56</v>
      </c>
      <c r="AB37" s="143" t="s">
        <v>56</v>
      </c>
      <c r="AC37" s="143" t="s">
        <v>56</v>
      </c>
      <c r="AD37" s="146" t="s">
        <v>56</v>
      </c>
    </row>
    <row r="39" spans="1:30" x14ac:dyDescent="0.25">
      <c r="A39" s="114" t="s">
        <v>57</v>
      </c>
      <c r="B39" s="114"/>
      <c r="C39" s="114"/>
      <c r="D39" s="114"/>
      <c r="E39" s="114"/>
      <c r="F39" s="114"/>
      <c r="G39" s="114"/>
      <c r="H39" s="114"/>
      <c r="I39" s="114"/>
      <c r="J39" s="114"/>
      <c r="K39" s="115">
        <f>'Standard values'!B5</f>
        <v>30</v>
      </c>
      <c r="L39" s="115">
        <f>'Standard values'!D5</f>
        <v>60</v>
      </c>
      <c r="M39" s="115">
        <f>'Standard values'!E5</f>
        <v>30</v>
      </c>
      <c r="N39" s="115">
        <f>'Standard values'!F5</f>
        <v>20</v>
      </c>
      <c r="O39" s="115">
        <f>'Standard values'!G5</f>
        <v>40</v>
      </c>
      <c r="P39" s="115">
        <f>'Standard values'!H5</f>
        <v>780</v>
      </c>
      <c r="Q39" s="115">
        <f>'Standard values'!I5</f>
        <v>5</v>
      </c>
      <c r="R39" s="114"/>
      <c r="S39" s="114"/>
      <c r="T39" s="114"/>
      <c r="U39" s="114">
        <f>'Standard values'!B6</f>
        <v>8.1000000000000014</v>
      </c>
      <c r="V39" s="114">
        <f>'Standard values'!C6</f>
        <v>21.9</v>
      </c>
      <c r="W39" s="114">
        <f>'Standard values'!D6</f>
        <v>60</v>
      </c>
      <c r="X39" s="114">
        <f>'Standard values'!E6</f>
        <v>30</v>
      </c>
      <c r="Y39" s="114">
        <f>'Standard values'!F6</f>
        <v>20</v>
      </c>
      <c r="Z39" s="114">
        <f>'Standard values'!G6</f>
        <v>40</v>
      </c>
      <c r="AA39" s="114">
        <f>'Standard values'!H6</f>
        <v>780</v>
      </c>
      <c r="AB39" s="114">
        <f>'Standard values'!I6</f>
        <v>5</v>
      </c>
      <c r="AC39" s="135">
        <f>'Standard values'!J6</f>
        <v>0.38181818181818183</v>
      </c>
      <c r="AD39" s="135">
        <f>'Standard values'!K6</f>
        <v>1.65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2178A-4DB5-40D6-BCED-73F8562D49CC}">
  <dimension ref="A2:AD39"/>
  <sheetViews>
    <sheetView topLeftCell="A15" workbookViewId="0">
      <selection activeCell="G35" sqref="G35"/>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2" t="s">
        <v>67</v>
      </c>
    </row>
    <row r="4" spans="1:30" ht="15.75" x14ac:dyDescent="0.25">
      <c r="A4" s="124" t="s">
        <v>33</v>
      </c>
      <c r="B4" s="116" t="s">
        <v>34</v>
      </c>
      <c r="C4" s="125"/>
      <c r="D4" s="116"/>
      <c r="E4" s="125"/>
      <c r="F4" s="125"/>
      <c r="G4" s="125"/>
      <c r="H4" s="125"/>
      <c r="I4" s="125"/>
      <c r="J4" s="125"/>
      <c r="K4" s="124" t="s">
        <v>35</v>
      </c>
      <c r="L4" s="116"/>
      <c r="M4" s="116"/>
      <c r="N4" s="116"/>
      <c r="O4" s="116"/>
      <c r="P4" s="116"/>
      <c r="Q4" s="116"/>
      <c r="R4" s="116"/>
      <c r="S4" s="117"/>
      <c r="T4" s="117"/>
      <c r="U4" s="124" t="s">
        <v>36</v>
      </c>
      <c r="V4" s="116"/>
      <c r="W4" s="116"/>
      <c r="X4" s="116"/>
      <c r="Y4" s="116"/>
      <c r="Z4" s="116"/>
      <c r="AA4" s="116"/>
      <c r="AB4" s="116"/>
      <c r="AC4" s="116"/>
      <c r="AD4" s="117"/>
    </row>
    <row r="5" spans="1:30" x14ac:dyDescent="0.25">
      <c r="A5" s="123" t="s">
        <v>37</v>
      </c>
      <c r="K5" s="118"/>
      <c r="S5" s="6"/>
      <c r="T5" s="6"/>
      <c r="U5" s="118"/>
      <c r="AD5" s="6"/>
    </row>
    <row r="6" spans="1:30" ht="32.25" customHeight="1" x14ac:dyDescent="0.25">
      <c r="A6" s="119" t="s">
        <v>38</v>
      </c>
      <c r="B6" s="120" t="s">
        <v>39</v>
      </c>
      <c r="C6" s="120" t="s">
        <v>0</v>
      </c>
      <c r="D6" s="120" t="s">
        <v>40</v>
      </c>
      <c r="E6" s="127" t="s">
        <v>41</v>
      </c>
      <c r="F6" s="120" t="s">
        <v>42</v>
      </c>
      <c r="G6" s="120" t="s">
        <v>43</v>
      </c>
      <c r="H6" s="120" t="s">
        <v>44</v>
      </c>
      <c r="I6" s="127" t="s">
        <v>45</v>
      </c>
      <c r="J6" s="120" t="s">
        <v>46</v>
      </c>
      <c r="K6" s="119" t="s">
        <v>39</v>
      </c>
      <c r="L6" s="120" t="s">
        <v>0</v>
      </c>
      <c r="M6" s="120" t="s">
        <v>40</v>
      </c>
      <c r="N6" s="127" t="s">
        <v>41</v>
      </c>
      <c r="O6" s="120" t="s">
        <v>42</v>
      </c>
      <c r="P6" s="120" t="s">
        <v>43</v>
      </c>
      <c r="Q6" s="120" t="s">
        <v>44</v>
      </c>
      <c r="R6" s="120" t="s">
        <v>47</v>
      </c>
      <c r="S6" s="121" t="s">
        <v>46</v>
      </c>
      <c r="T6" s="126" t="s">
        <v>48</v>
      </c>
      <c r="U6" s="131" t="s">
        <v>49</v>
      </c>
      <c r="V6" s="138" t="s">
        <v>50</v>
      </c>
      <c r="W6" s="120" t="s">
        <v>0</v>
      </c>
      <c r="X6" s="120" t="s">
        <v>51</v>
      </c>
      <c r="Y6" s="127" t="s">
        <v>52</v>
      </c>
      <c r="Z6" s="120" t="s">
        <v>42</v>
      </c>
      <c r="AA6" s="120" t="s">
        <v>53</v>
      </c>
      <c r="AB6" s="120" t="s">
        <v>44</v>
      </c>
      <c r="AC6" s="120" t="s">
        <v>54</v>
      </c>
      <c r="AD6" s="121" t="s">
        <v>55</v>
      </c>
    </row>
    <row r="7" spans="1:30" x14ac:dyDescent="0.25">
      <c r="A7" s="118" t="s">
        <v>1</v>
      </c>
      <c r="B7">
        <v>421.66840500000001</v>
      </c>
      <c r="C7">
        <v>357.24840499999999</v>
      </c>
      <c r="D7">
        <v>89.071185999999997</v>
      </c>
      <c r="E7">
        <v>36.106000000000002</v>
      </c>
      <c r="F7">
        <v>0</v>
      </c>
      <c r="G7">
        <v>0</v>
      </c>
      <c r="H7">
        <v>38.198799999999999</v>
      </c>
      <c r="I7" s="12">
        <f>SUM(B7:H7)</f>
        <v>942.29279599999995</v>
      </c>
      <c r="J7" s="147">
        <v>46.3</v>
      </c>
      <c r="K7" s="122">
        <f t="shared" ref="K7:K36" si="0">B7*$K$39</f>
        <v>12650.05215</v>
      </c>
      <c r="L7" s="3">
        <f t="shared" ref="L7:L36" si="1">C7*$L$39</f>
        <v>21434.904299999998</v>
      </c>
      <c r="M7" s="3">
        <f t="shared" ref="M7:M36" si="2">D7*$M$39</f>
        <v>2672.1355800000001</v>
      </c>
      <c r="N7" s="3">
        <f t="shared" ref="N7:N36" si="3">E7*$N$39</f>
        <v>722.12</v>
      </c>
      <c r="O7" s="3">
        <f t="shared" ref="O7:O36" si="4">F7*$O$39</f>
        <v>0</v>
      </c>
      <c r="P7" s="3">
        <f t="shared" ref="P7:P36" si="5">G7*$P$39</f>
        <v>0</v>
      </c>
      <c r="Q7" s="3">
        <f t="shared" ref="Q7:Q36" si="6">H7*$Q$39</f>
        <v>190.994</v>
      </c>
      <c r="R7" s="12">
        <f>SUM(K7:Q7)</f>
        <v>37670.206030000001</v>
      </c>
      <c r="S7" s="149">
        <f t="shared" ref="S7:S36" si="7">R7/I7</f>
        <v>39.977177146963989</v>
      </c>
      <c r="T7" s="129">
        <f t="shared" ref="T7:T36" si="8">J7/S7</f>
        <v>1.1581608133508794</v>
      </c>
      <c r="U7" s="136">
        <f>$U$39*$T7</f>
        <v>9.3811025881421255</v>
      </c>
      <c r="V7" s="139">
        <f>$V$39*$T7</f>
        <v>25.363721812384256</v>
      </c>
      <c r="W7" s="9">
        <f>$W$39*$T7</f>
        <v>69.489648801052766</v>
      </c>
      <c r="X7" s="9">
        <f>$X$39*$T7</f>
        <v>34.744824400526383</v>
      </c>
      <c r="Y7" s="9">
        <f>$Y$39*$T7</f>
        <v>23.163216267017589</v>
      </c>
      <c r="Z7" s="9">
        <f>$Z$39*$T7</f>
        <v>46.326432534035177</v>
      </c>
      <c r="AA7" s="9">
        <f>$AA$39*$T7</f>
        <v>903.36543441368588</v>
      </c>
      <c r="AB7" s="9">
        <f>$AB$39*$T7</f>
        <v>5.7908040667543972</v>
      </c>
      <c r="AC7" s="3">
        <f>$AC$39*$T7</f>
        <v>0.4422068560066994</v>
      </c>
      <c r="AD7" s="137">
        <f>$AD$39*$T7</f>
        <v>1.910965342028951</v>
      </c>
    </row>
    <row r="8" spans="1:30" x14ac:dyDescent="0.25">
      <c r="A8" s="118" t="s">
        <v>2</v>
      </c>
      <c r="B8">
        <v>484.29897</v>
      </c>
      <c r="C8">
        <v>832.11613499999999</v>
      </c>
      <c r="D8">
        <v>284.54551600000002</v>
      </c>
      <c r="E8">
        <v>18.533825</v>
      </c>
      <c r="F8">
        <v>0</v>
      </c>
      <c r="G8">
        <v>3.6366679999999998</v>
      </c>
      <c r="H8">
        <v>122.2</v>
      </c>
      <c r="I8" s="12">
        <f t="shared" ref="I8:I36" si="9">SUM(B8:H8)</f>
        <v>1745.3311140000003</v>
      </c>
      <c r="J8" s="147">
        <v>103.4</v>
      </c>
      <c r="K8" s="122">
        <f t="shared" si="0"/>
        <v>14528.9691</v>
      </c>
      <c r="L8" s="3">
        <f t="shared" si="1"/>
        <v>49926.968099999998</v>
      </c>
      <c r="M8" s="3">
        <f t="shared" si="2"/>
        <v>8536.3654800000004</v>
      </c>
      <c r="N8" s="3">
        <f t="shared" si="3"/>
        <v>370.67650000000003</v>
      </c>
      <c r="O8" s="3">
        <f t="shared" si="4"/>
        <v>0</v>
      </c>
      <c r="P8" s="3">
        <f t="shared" si="5"/>
        <v>2836.60104</v>
      </c>
      <c r="Q8" s="3">
        <f t="shared" si="6"/>
        <v>611</v>
      </c>
      <c r="R8" s="12">
        <f t="shared" ref="R8:R36" si="10">SUM(K8:Q8)</f>
        <v>76810.580219999989</v>
      </c>
      <c r="S8" s="149">
        <f t="shared" si="7"/>
        <v>44.009173734354214</v>
      </c>
      <c r="T8" s="129">
        <f t="shared" si="8"/>
        <v>2.3495101413204771</v>
      </c>
      <c r="U8" s="136">
        <f t="shared" ref="U8:U36" si="11">$U$39*$T8</f>
        <v>19.031032144695867</v>
      </c>
      <c r="V8" s="139">
        <f t="shared" ref="V8:V36" si="12">$V$39*$T8</f>
        <v>51.454272094918444</v>
      </c>
      <c r="W8" s="9">
        <f t="shared" ref="W8:W36" si="13">$W$39*$T8</f>
        <v>140.97060847922862</v>
      </c>
      <c r="X8" s="9">
        <f t="shared" ref="X8:X36" si="14">$X$39*$T8</f>
        <v>70.485304239614308</v>
      </c>
      <c r="Y8" s="9">
        <f t="shared" ref="Y8:Y36" si="15">$Y$39*$T8</f>
        <v>46.990202826409543</v>
      </c>
      <c r="Z8" s="9">
        <f t="shared" ref="Z8:Z36" si="16">$Z$39*$T8</f>
        <v>93.980405652819087</v>
      </c>
      <c r="AA8" s="9">
        <f t="shared" ref="AA8:AA36" si="17">$AA$39*$T8</f>
        <v>1832.617910229972</v>
      </c>
      <c r="AB8" s="9">
        <f t="shared" ref="AB8:AB36" si="18">$AB$39*$T8</f>
        <v>11.747550706602386</v>
      </c>
      <c r="AC8" s="3">
        <f t="shared" ref="AC8:AC36" si="19">$AC$39*$T8</f>
        <v>0.89708569032236407</v>
      </c>
      <c r="AD8" s="137">
        <f t="shared" ref="AD8:AD36" si="20">$AD$39*$T8</f>
        <v>3.8766917331787871</v>
      </c>
    </row>
    <row r="9" spans="1:30" x14ac:dyDescent="0.25">
      <c r="A9" s="118" t="s">
        <v>3</v>
      </c>
      <c r="B9">
        <v>113.82147500000001</v>
      </c>
      <c r="C9">
        <v>75.724360000000004</v>
      </c>
      <c r="D9">
        <v>42.382441</v>
      </c>
      <c r="E9">
        <v>99.620739999999998</v>
      </c>
      <c r="F9">
        <v>14.053000000000001</v>
      </c>
      <c r="G9">
        <v>2.8195999999999998E-3</v>
      </c>
      <c r="H9">
        <v>22.750800000000002</v>
      </c>
      <c r="I9" s="12">
        <f t="shared" si="9"/>
        <v>368.35563560000003</v>
      </c>
      <c r="J9" s="147">
        <v>120.9</v>
      </c>
      <c r="K9" s="122">
        <f t="shared" si="0"/>
        <v>3414.6442500000003</v>
      </c>
      <c r="L9" s="3">
        <f t="shared" si="1"/>
        <v>4543.4616000000005</v>
      </c>
      <c r="M9" s="3">
        <f t="shared" si="2"/>
        <v>1271.4732300000001</v>
      </c>
      <c r="N9" s="3">
        <f t="shared" si="3"/>
        <v>1992.4148</v>
      </c>
      <c r="O9" s="3">
        <f t="shared" si="4"/>
        <v>562.12</v>
      </c>
      <c r="P9" s="3">
        <f t="shared" si="5"/>
        <v>2.1992879999999997</v>
      </c>
      <c r="Q9" s="3">
        <f t="shared" si="6"/>
        <v>113.754</v>
      </c>
      <c r="R9" s="12">
        <f t="shared" si="10"/>
        <v>11900.067168000003</v>
      </c>
      <c r="S9" s="149">
        <f t="shared" si="7"/>
        <v>32.305918568658385</v>
      </c>
      <c r="T9" s="129">
        <f t="shared" si="8"/>
        <v>3.7423483174780006</v>
      </c>
      <c r="U9" s="136">
        <f t="shared" si="11"/>
        <v>30.313021371571811</v>
      </c>
      <c r="V9" s="139">
        <f t="shared" si="12"/>
        <v>81.957428152768202</v>
      </c>
      <c r="W9" s="9">
        <f t="shared" si="13"/>
        <v>224.54089904868005</v>
      </c>
      <c r="X9" s="9">
        <f t="shared" si="14"/>
        <v>112.27044952434002</v>
      </c>
      <c r="Y9" s="9">
        <f t="shared" si="15"/>
        <v>74.846966349560006</v>
      </c>
      <c r="Z9" s="9">
        <f t="shared" si="16"/>
        <v>149.69393269912001</v>
      </c>
      <c r="AA9" s="9">
        <f t="shared" si="17"/>
        <v>2919.0316876328407</v>
      </c>
      <c r="AB9" s="9">
        <f t="shared" si="18"/>
        <v>18.711741587390001</v>
      </c>
      <c r="AC9" s="3">
        <f t="shared" si="19"/>
        <v>1.4288966303097821</v>
      </c>
      <c r="AD9" s="137">
        <f t="shared" si="20"/>
        <v>6.174874723838701</v>
      </c>
    </row>
    <row r="10" spans="1:30" x14ac:dyDescent="0.25">
      <c r="A10" s="118" t="s">
        <v>4</v>
      </c>
      <c r="B10">
        <v>103.300505</v>
      </c>
      <c r="C10">
        <v>92.002080000000007</v>
      </c>
      <c r="D10">
        <v>49.388599999999997</v>
      </c>
      <c r="E10">
        <v>52.46658</v>
      </c>
      <c r="F10">
        <v>20.92</v>
      </c>
      <c r="G10">
        <v>8.3300000000000006E-3</v>
      </c>
      <c r="H10">
        <v>10.8392</v>
      </c>
      <c r="I10" s="12">
        <f t="shared" si="9"/>
        <v>328.92529500000006</v>
      </c>
      <c r="J10" s="147">
        <v>68.599999999999994</v>
      </c>
      <c r="K10" s="122">
        <f t="shared" si="0"/>
        <v>3099.0151500000002</v>
      </c>
      <c r="L10" s="3">
        <f t="shared" si="1"/>
        <v>5520.1248000000005</v>
      </c>
      <c r="M10" s="3">
        <f t="shared" si="2"/>
        <v>1481.6579999999999</v>
      </c>
      <c r="N10" s="3">
        <f t="shared" si="3"/>
        <v>1049.3316</v>
      </c>
      <c r="O10" s="3">
        <f t="shared" si="4"/>
        <v>836.80000000000007</v>
      </c>
      <c r="P10" s="3">
        <f t="shared" si="5"/>
        <v>6.4974000000000007</v>
      </c>
      <c r="Q10" s="3">
        <f t="shared" si="6"/>
        <v>54.195999999999998</v>
      </c>
      <c r="R10" s="12">
        <f t="shared" si="10"/>
        <v>12047.622949999999</v>
      </c>
      <c r="S10" s="149">
        <f t="shared" si="7"/>
        <v>36.627231572445645</v>
      </c>
      <c r="T10" s="129">
        <f t="shared" si="8"/>
        <v>1.8729234248653177</v>
      </c>
      <c r="U10" s="136">
        <f t="shared" si="11"/>
        <v>15.170679741409076</v>
      </c>
      <c r="V10" s="139">
        <f t="shared" si="12"/>
        <v>41.017023004550452</v>
      </c>
      <c r="W10" s="9">
        <f t="shared" si="13"/>
        <v>112.37540549191907</v>
      </c>
      <c r="X10" s="9">
        <f t="shared" si="14"/>
        <v>56.187702745959534</v>
      </c>
      <c r="Y10" s="9">
        <f t="shared" si="15"/>
        <v>37.458468497306356</v>
      </c>
      <c r="Z10" s="9">
        <f t="shared" si="16"/>
        <v>74.916936994612712</v>
      </c>
      <c r="AA10" s="9">
        <f t="shared" si="17"/>
        <v>1460.8802713949478</v>
      </c>
      <c r="AB10" s="9">
        <f t="shared" si="18"/>
        <v>9.364617124326589</v>
      </c>
      <c r="AC10" s="3">
        <f t="shared" si="19"/>
        <v>0.71511621676675774</v>
      </c>
      <c r="AD10" s="137">
        <f t="shared" si="20"/>
        <v>3.0903236510277741</v>
      </c>
    </row>
    <row r="11" spans="1:30" x14ac:dyDescent="0.25">
      <c r="A11" s="118" t="s">
        <v>5</v>
      </c>
      <c r="B11">
        <v>24.810105</v>
      </c>
      <c r="C11">
        <v>44.783445</v>
      </c>
      <c r="D11">
        <v>12.716995000000001</v>
      </c>
      <c r="E11">
        <v>48.551650000000002</v>
      </c>
      <c r="F11">
        <v>7.343</v>
      </c>
      <c r="G11">
        <v>6.0513600000000001E-2</v>
      </c>
      <c r="H11">
        <v>2.0131999999999999</v>
      </c>
      <c r="I11" s="12">
        <f t="shared" si="9"/>
        <v>140.27890859999999</v>
      </c>
      <c r="J11" s="147">
        <v>344.2</v>
      </c>
      <c r="K11" s="122">
        <f t="shared" si="0"/>
        <v>744.30314999999996</v>
      </c>
      <c r="L11" s="3">
        <f t="shared" si="1"/>
        <v>2687.0066999999999</v>
      </c>
      <c r="M11" s="3">
        <f t="shared" si="2"/>
        <v>381.50985000000003</v>
      </c>
      <c r="N11" s="3">
        <f t="shared" si="3"/>
        <v>971.03300000000002</v>
      </c>
      <c r="O11" s="3">
        <f t="shared" si="4"/>
        <v>293.72000000000003</v>
      </c>
      <c r="P11" s="3">
        <f t="shared" si="5"/>
        <v>47.200608000000003</v>
      </c>
      <c r="Q11" s="3">
        <f t="shared" si="6"/>
        <v>10.065999999999999</v>
      </c>
      <c r="R11" s="12">
        <f t="shared" si="10"/>
        <v>5134.8393079999996</v>
      </c>
      <c r="S11" s="149">
        <f t="shared" si="7"/>
        <v>36.604499986821253</v>
      </c>
      <c r="T11" s="129">
        <f t="shared" si="8"/>
        <v>9.4032154550375662</v>
      </c>
      <c r="U11" s="136">
        <f t="shared" si="11"/>
        <v>76.166045185804293</v>
      </c>
      <c r="V11" s="139">
        <f t="shared" si="12"/>
        <v>205.93041846532267</v>
      </c>
      <c r="W11" s="9">
        <f t="shared" si="13"/>
        <v>564.19292730225402</v>
      </c>
      <c r="X11" s="9">
        <f t="shared" si="14"/>
        <v>282.09646365112701</v>
      </c>
      <c r="Y11" s="9">
        <f t="shared" si="15"/>
        <v>188.06430910075133</v>
      </c>
      <c r="Z11" s="9">
        <f t="shared" si="16"/>
        <v>376.12861820150266</v>
      </c>
      <c r="AA11" s="9">
        <f t="shared" si="17"/>
        <v>7334.5080549293016</v>
      </c>
      <c r="AB11" s="9">
        <f t="shared" si="18"/>
        <v>47.016077275187833</v>
      </c>
      <c r="AC11" s="3">
        <f t="shared" si="19"/>
        <v>3.5903186282870707</v>
      </c>
      <c r="AD11" s="137">
        <f t="shared" si="20"/>
        <v>15.515305500811984</v>
      </c>
    </row>
    <row r="12" spans="1:30" x14ac:dyDescent="0.25">
      <c r="A12" s="118" t="s">
        <v>6</v>
      </c>
      <c r="B12">
        <v>287.82780500000001</v>
      </c>
      <c r="C12">
        <v>198.59393499999999</v>
      </c>
      <c r="D12">
        <v>130.92396099999999</v>
      </c>
      <c r="E12">
        <v>15.83376</v>
      </c>
      <c r="F12">
        <v>20.401</v>
      </c>
      <c r="G12">
        <v>6.8963999999999999</v>
      </c>
      <c r="H12">
        <v>38.8688</v>
      </c>
      <c r="I12" s="12">
        <f t="shared" si="9"/>
        <v>699.34566099999984</v>
      </c>
      <c r="J12" s="147">
        <v>56.2</v>
      </c>
      <c r="K12" s="122">
        <f t="shared" si="0"/>
        <v>8634.8341500000006</v>
      </c>
      <c r="L12" s="3">
        <f t="shared" si="1"/>
        <v>11915.6361</v>
      </c>
      <c r="M12" s="3">
        <f t="shared" si="2"/>
        <v>3927.7188299999998</v>
      </c>
      <c r="N12" s="3">
        <f t="shared" si="3"/>
        <v>316.67520000000002</v>
      </c>
      <c r="O12" s="3">
        <f t="shared" si="4"/>
        <v>816.04</v>
      </c>
      <c r="P12" s="3">
        <f t="shared" si="5"/>
        <v>5379.192</v>
      </c>
      <c r="Q12" s="3">
        <f t="shared" si="6"/>
        <v>194.34399999999999</v>
      </c>
      <c r="R12" s="12">
        <f t="shared" si="10"/>
        <v>31184.440279999999</v>
      </c>
      <c r="S12" s="149">
        <f t="shared" si="7"/>
        <v>44.590882619346097</v>
      </c>
      <c r="T12" s="129">
        <f t="shared" si="8"/>
        <v>1.2603473333272215</v>
      </c>
      <c r="U12" s="136">
        <f t="shared" si="11"/>
        <v>10.208813399950495</v>
      </c>
      <c r="V12" s="139">
        <f t="shared" si="12"/>
        <v>27.601606599866148</v>
      </c>
      <c r="W12" s="9">
        <f t="shared" si="13"/>
        <v>75.62083999963329</v>
      </c>
      <c r="X12" s="9">
        <f t="shared" si="14"/>
        <v>37.810419999816645</v>
      </c>
      <c r="Y12" s="9">
        <f t="shared" si="15"/>
        <v>25.206946666544429</v>
      </c>
      <c r="Z12" s="9">
        <f t="shared" si="16"/>
        <v>50.413893333088858</v>
      </c>
      <c r="AA12" s="9">
        <f t="shared" si="17"/>
        <v>983.07091999523277</v>
      </c>
      <c r="AB12" s="9">
        <f t="shared" si="18"/>
        <v>6.3017366666361072</v>
      </c>
      <c r="AC12" s="3">
        <f t="shared" si="19"/>
        <v>0.48122352727039369</v>
      </c>
      <c r="AD12" s="137">
        <f t="shared" si="20"/>
        <v>2.0795730999899154</v>
      </c>
    </row>
    <row r="13" spans="1:30" x14ac:dyDescent="0.25">
      <c r="A13" s="118" t="s">
        <v>7</v>
      </c>
      <c r="B13">
        <v>380.40699999999998</v>
      </c>
      <c r="C13">
        <v>1753.5227850000001</v>
      </c>
      <c r="D13">
        <v>122.90025</v>
      </c>
      <c r="E13">
        <v>11.560425</v>
      </c>
      <c r="F13">
        <v>46.353000000000002</v>
      </c>
      <c r="G13">
        <v>0</v>
      </c>
      <c r="H13">
        <v>70</v>
      </c>
      <c r="I13" s="12">
        <f t="shared" si="9"/>
        <v>2384.7434600000006</v>
      </c>
      <c r="J13" s="147">
        <v>37.200000000000003</v>
      </c>
      <c r="K13" s="122">
        <f t="shared" si="0"/>
        <v>11412.21</v>
      </c>
      <c r="L13" s="3">
        <f t="shared" si="1"/>
        <v>105211.3671</v>
      </c>
      <c r="M13" s="3">
        <f t="shared" si="2"/>
        <v>3687.0075000000002</v>
      </c>
      <c r="N13" s="3">
        <f t="shared" si="3"/>
        <v>231.20850000000002</v>
      </c>
      <c r="O13" s="3">
        <f t="shared" si="4"/>
        <v>1854.1200000000001</v>
      </c>
      <c r="P13" s="3">
        <f t="shared" si="5"/>
        <v>0</v>
      </c>
      <c r="Q13" s="3">
        <f t="shared" si="6"/>
        <v>350</v>
      </c>
      <c r="R13" s="12">
        <f t="shared" si="10"/>
        <v>122745.91309999999</v>
      </c>
      <c r="S13" s="149">
        <f t="shared" si="7"/>
        <v>51.471328115100462</v>
      </c>
      <c r="T13" s="129">
        <f t="shared" si="8"/>
        <v>0.72273246800263558</v>
      </c>
      <c r="U13" s="136">
        <f t="shared" si="11"/>
        <v>5.8541329908213493</v>
      </c>
      <c r="V13" s="139">
        <f t="shared" si="12"/>
        <v>15.827841049257717</v>
      </c>
      <c r="W13" s="9">
        <f t="shared" si="13"/>
        <v>43.363948080158131</v>
      </c>
      <c r="X13" s="9">
        <f t="shared" si="14"/>
        <v>21.681974040079066</v>
      </c>
      <c r="Y13" s="9">
        <f t="shared" si="15"/>
        <v>14.454649360052711</v>
      </c>
      <c r="Z13" s="9">
        <f t="shared" si="16"/>
        <v>28.909298720105422</v>
      </c>
      <c r="AA13" s="9">
        <f t="shared" si="17"/>
        <v>563.7313250420558</v>
      </c>
      <c r="AB13" s="9">
        <f t="shared" si="18"/>
        <v>3.6136623400131778</v>
      </c>
      <c r="AC13" s="3">
        <f t="shared" si="19"/>
        <v>0.27595239687373357</v>
      </c>
      <c r="AD13" s="137">
        <f t="shared" si="20"/>
        <v>1.1925085722043487</v>
      </c>
    </row>
    <row r="14" spans="1:30" x14ac:dyDescent="0.25">
      <c r="A14" s="118" t="s">
        <v>8</v>
      </c>
      <c r="B14">
        <v>59.199125000000002</v>
      </c>
      <c r="C14">
        <v>43.169229999999999</v>
      </c>
      <c r="D14">
        <v>2.3706719999999999</v>
      </c>
      <c r="E14">
        <v>5.4985400000000002</v>
      </c>
      <c r="F14">
        <v>1.04</v>
      </c>
      <c r="G14">
        <v>0</v>
      </c>
      <c r="H14">
        <v>4.6124000000000001</v>
      </c>
      <c r="I14" s="12">
        <f t="shared" si="9"/>
        <v>115.88996700000001</v>
      </c>
      <c r="J14" s="147">
        <v>49.2</v>
      </c>
      <c r="K14" s="122">
        <f t="shared" si="0"/>
        <v>1775.9737500000001</v>
      </c>
      <c r="L14" s="3">
        <f t="shared" si="1"/>
        <v>2590.1538</v>
      </c>
      <c r="M14" s="3">
        <f t="shared" si="2"/>
        <v>71.120159999999998</v>
      </c>
      <c r="N14" s="3">
        <f t="shared" si="3"/>
        <v>109.9708</v>
      </c>
      <c r="O14" s="3">
        <f t="shared" si="4"/>
        <v>41.6</v>
      </c>
      <c r="P14" s="3">
        <f t="shared" si="5"/>
        <v>0</v>
      </c>
      <c r="Q14" s="3">
        <f t="shared" si="6"/>
        <v>23.062000000000001</v>
      </c>
      <c r="R14" s="12">
        <f t="shared" si="10"/>
        <v>4611.8805100000009</v>
      </c>
      <c r="S14" s="149">
        <f t="shared" si="7"/>
        <v>39.795338883822446</v>
      </c>
      <c r="T14" s="129">
        <f t="shared" si="8"/>
        <v>1.2363256949170178</v>
      </c>
      <c r="U14" s="136">
        <f t="shared" si="11"/>
        <v>10.014238128827847</v>
      </c>
      <c r="V14" s="139">
        <f t="shared" si="12"/>
        <v>27.075532718682688</v>
      </c>
      <c r="W14" s="9">
        <f t="shared" si="13"/>
        <v>74.179541695021072</v>
      </c>
      <c r="X14" s="9">
        <f t="shared" si="14"/>
        <v>37.089770847510536</v>
      </c>
      <c r="Y14" s="9">
        <f t="shared" si="15"/>
        <v>24.726513898340357</v>
      </c>
      <c r="Z14" s="9">
        <f t="shared" si="16"/>
        <v>49.453027796680715</v>
      </c>
      <c r="AA14" s="9">
        <f t="shared" si="17"/>
        <v>964.33404203527391</v>
      </c>
      <c r="AB14" s="9">
        <f t="shared" si="18"/>
        <v>6.1816284745850894</v>
      </c>
      <c r="AC14" s="3">
        <f t="shared" si="19"/>
        <v>0.47205162896831593</v>
      </c>
      <c r="AD14" s="137">
        <f t="shared" si="20"/>
        <v>2.0399373966130794</v>
      </c>
    </row>
    <row r="15" spans="1:30" x14ac:dyDescent="0.25">
      <c r="A15" s="118" t="s">
        <v>9</v>
      </c>
      <c r="B15">
        <v>206.84291999999999</v>
      </c>
      <c r="C15">
        <v>145.68317500000001</v>
      </c>
      <c r="D15">
        <v>85.367643999999999</v>
      </c>
      <c r="E15">
        <v>11.845459999999999</v>
      </c>
      <c r="F15">
        <v>15.053000000000001</v>
      </c>
      <c r="G15">
        <v>0</v>
      </c>
      <c r="H15">
        <v>29.6</v>
      </c>
      <c r="I15" s="12">
        <f t="shared" si="9"/>
        <v>494.39219900000001</v>
      </c>
      <c r="J15" s="147">
        <v>16.2</v>
      </c>
      <c r="K15" s="122">
        <f t="shared" si="0"/>
        <v>6205.2875999999997</v>
      </c>
      <c r="L15" s="3">
        <f t="shared" si="1"/>
        <v>8740.9904999999999</v>
      </c>
      <c r="M15" s="3">
        <f t="shared" si="2"/>
        <v>2561.0293200000001</v>
      </c>
      <c r="N15" s="3">
        <f t="shared" si="3"/>
        <v>236.9092</v>
      </c>
      <c r="O15" s="3">
        <f t="shared" si="4"/>
        <v>602.12</v>
      </c>
      <c r="P15" s="3">
        <f t="shared" si="5"/>
        <v>0</v>
      </c>
      <c r="Q15" s="3">
        <f t="shared" si="6"/>
        <v>148</v>
      </c>
      <c r="R15" s="12">
        <f t="shared" si="10"/>
        <v>18494.336619999998</v>
      </c>
      <c r="S15" s="149">
        <f t="shared" si="7"/>
        <v>37.40822904853318</v>
      </c>
      <c r="T15" s="129">
        <f t="shared" si="8"/>
        <v>0.43305979491791047</v>
      </c>
      <c r="U15" s="136">
        <f t="shared" si="11"/>
        <v>3.5077843388350756</v>
      </c>
      <c r="V15" s="139">
        <f t="shared" si="12"/>
        <v>9.484009508702238</v>
      </c>
      <c r="W15" s="9">
        <f t="shared" si="13"/>
        <v>25.983587695074629</v>
      </c>
      <c r="X15" s="9">
        <f t="shared" si="14"/>
        <v>12.991793847537314</v>
      </c>
      <c r="Y15" s="9">
        <f t="shared" si="15"/>
        <v>8.6611958983582085</v>
      </c>
      <c r="Z15" s="9">
        <f t="shared" si="16"/>
        <v>17.322391796716417</v>
      </c>
      <c r="AA15" s="9">
        <f t="shared" si="17"/>
        <v>337.78664003597015</v>
      </c>
      <c r="AB15" s="9">
        <f t="shared" si="18"/>
        <v>2.1652989745895521</v>
      </c>
      <c r="AC15" s="3">
        <f t="shared" si="19"/>
        <v>0.16535010351411128</v>
      </c>
      <c r="AD15" s="137">
        <f t="shared" si="20"/>
        <v>0.71454866161455222</v>
      </c>
    </row>
    <row r="16" spans="1:30" x14ac:dyDescent="0.25">
      <c r="A16" s="118" t="s">
        <v>10</v>
      </c>
      <c r="B16">
        <v>3065.4282149999999</v>
      </c>
      <c r="C16">
        <v>1810.92922</v>
      </c>
      <c r="D16">
        <v>1086.8053709999999</v>
      </c>
      <c r="E16">
        <v>644.02919999999995</v>
      </c>
      <c r="F16">
        <v>46.271999999999998</v>
      </c>
      <c r="G16">
        <v>39.104799999999997</v>
      </c>
      <c r="H16">
        <v>272.3048</v>
      </c>
      <c r="I16" s="12">
        <f t="shared" si="9"/>
        <v>6964.8736060000001</v>
      </c>
      <c r="J16" s="147">
        <v>56.6</v>
      </c>
      <c r="K16" s="122">
        <f t="shared" si="0"/>
        <v>91962.846449999997</v>
      </c>
      <c r="L16" s="3">
        <f t="shared" si="1"/>
        <v>108655.75320000001</v>
      </c>
      <c r="M16" s="3">
        <f t="shared" si="2"/>
        <v>32604.161129999997</v>
      </c>
      <c r="N16" s="3">
        <f t="shared" si="3"/>
        <v>12880.583999999999</v>
      </c>
      <c r="O16" s="3">
        <f t="shared" si="4"/>
        <v>1850.8799999999999</v>
      </c>
      <c r="P16" s="3">
        <f t="shared" si="5"/>
        <v>30501.743999999999</v>
      </c>
      <c r="Q16" s="3">
        <f t="shared" si="6"/>
        <v>1361.5239999999999</v>
      </c>
      <c r="R16" s="12">
        <f t="shared" si="10"/>
        <v>279817.49277999997</v>
      </c>
      <c r="S16" s="149">
        <f t="shared" si="7"/>
        <v>40.175530613929126</v>
      </c>
      <c r="T16" s="129">
        <f t="shared" si="8"/>
        <v>1.4088177339561112</v>
      </c>
      <c r="U16" s="136">
        <f t="shared" si="11"/>
        <v>11.411423645044502</v>
      </c>
      <c r="V16" s="139">
        <f t="shared" si="12"/>
        <v>30.853108373638833</v>
      </c>
      <c r="W16" s="9">
        <f t="shared" si="13"/>
        <v>84.529064037366666</v>
      </c>
      <c r="X16" s="9">
        <f t="shared" si="14"/>
        <v>42.264532018683333</v>
      </c>
      <c r="Y16" s="9">
        <f t="shared" si="15"/>
        <v>28.176354679122223</v>
      </c>
      <c r="Z16" s="9">
        <f t="shared" si="16"/>
        <v>56.352709358244446</v>
      </c>
      <c r="AA16" s="9">
        <f t="shared" si="17"/>
        <v>1098.8778324857667</v>
      </c>
      <c r="AB16" s="9">
        <f t="shared" si="18"/>
        <v>7.0440886697805558</v>
      </c>
      <c r="AC16" s="3">
        <f t="shared" si="19"/>
        <v>0.53791222569233343</v>
      </c>
      <c r="AD16" s="137">
        <f t="shared" si="20"/>
        <v>2.3245492610275833</v>
      </c>
    </row>
    <row r="17" spans="1:30" x14ac:dyDescent="0.25">
      <c r="A17" s="118" t="s">
        <v>11</v>
      </c>
      <c r="B17">
        <v>2922.400705</v>
      </c>
      <c r="C17">
        <v>3534.23594</v>
      </c>
      <c r="D17">
        <v>1022.092141</v>
      </c>
      <c r="E17">
        <v>132.36876000000001</v>
      </c>
      <c r="F17">
        <v>18.547999999999998</v>
      </c>
      <c r="G17">
        <v>23.132480000000001</v>
      </c>
      <c r="H17">
        <v>520</v>
      </c>
      <c r="I17" s="12">
        <f t="shared" si="9"/>
        <v>8172.7780260000009</v>
      </c>
      <c r="J17" s="147">
        <v>83.8</v>
      </c>
      <c r="K17" s="122">
        <f t="shared" si="0"/>
        <v>87672.02115</v>
      </c>
      <c r="L17" s="3">
        <f t="shared" si="1"/>
        <v>212054.15640000001</v>
      </c>
      <c r="M17" s="3">
        <f t="shared" si="2"/>
        <v>30662.764230000001</v>
      </c>
      <c r="N17" s="3">
        <f t="shared" si="3"/>
        <v>2647.3752000000004</v>
      </c>
      <c r="O17" s="3">
        <f t="shared" si="4"/>
        <v>741.92</v>
      </c>
      <c r="P17" s="3">
        <f t="shared" si="5"/>
        <v>18043.3344</v>
      </c>
      <c r="Q17" s="3">
        <f t="shared" si="6"/>
        <v>2600</v>
      </c>
      <c r="R17" s="12">
        <f t="shared" si="10"/>
        <v>354421.57137999998</v>
      </c>
      <c r="S17" s="149">
        <f t="shared" si="7"/>
        <v>43.366107613895927</v>
      </c>
      <c r="T17" s="129">
        <f t="shared" si="8"/>
        <v>1.9323846342425188</v>
      </c>
      <c r="U17" s="136">
        <f t="shared" si="11"/>
        <v>15.652315537364405</v>
      </c>
      <c r="V17" s="139">
        <f t="shared" si="12"/>
        <v>42.31922348991116</v>
      </c>
      <c r="W17" s="9">
        <f t="shared" si="13"/>
        <v>115.94307805455114</v>
      </c>
      <c r="X17" s="9">
        <f t="shared" si="14"/>
        <v>57.971539027275568</v>
      </c>
      <c r="Y17" s="9">
        <f t="shared" si="15"/>
        <v>38.647692684850377</v>
      </c>
      <c r="Z17" s="9">
        <f t="shared" si="16"/>
        <v>77.295385369700753</v>
      </c>
      <c r="AA17" s="9">
        <f t="shared" si="17"/>
        <v>1507.2600147091646</v>
      </c>
      <c r="AB17" s="9">
        <f t="shared" si="18"/>
        <v>9.6619231712125941</v>
      </c>
      <c r="AC17" s="3">
        <f t="shared" si="19"/>
        <v>0.73781958761987088</v>
      </c>
      <c r="AD17" s="137">
        <f t="shared" si="20"/>
        <v>3.1884346465001561</v>
      </c>
    </row>
    <row r="18" spans="1:30" x14ac:dyDescent="0.25">
      <c r="A18" s="118" t="s">
        <v>12</v>
      </c>
      <c r="B18">
        <v>75.691185000000004</v>
      </c>
      <c r="C18">
        <v>99.164699999999996</v>
      </c>
      <c r="D18">
        <v>144.47534999999999</v>
      </c>
      <c r="E18">
        <v>687.53592000000003</v>
      </c>
      <c r="F18">
        <v>112.9147</v>
      </c>
      <c r="G18">
        <v>2.1253791999999998</v>
      </c>
      <c r="H18">
        <v>2.2023999999999999</v>
      </c>
      <c r="I18" s="12">
        <f t="shared" si="9"/>
        <v>1124.1096341999998</v>
      </c>
      <c r="J18" s="147">
        <v>96.4</v>
      </c>
      <c r="K18" s="122">
        <f t="shared" si="0"/>
        <v>2270.7355500000003</v>
      </c>
      <c r="L18" s="3">
        <f t="shared" si="1"/>
        <v>5949.8819999999996</v>
      </c>
      <c r="M18" s="3">
        <f t="shared" si="2"/>
        <v>4334.2604999999994</v>
      </c>
      <c r="N18" s="3">
        <f t="shared" si="3"/>
        <v>13750.718400000002</v>
      </c>
      <c r="O18" s="3">
        <f t="shared" si="4"/>
        <v>4516.5879999999997</v>
      </c>
      <c r="P18" s="3">
        <f t="shared" si="5"/>
        <v>1657.7957759999999</v>
      </c>
      <c r="Q18" s="3">
        <f t="shared" si="6"/>
        <v>11.012</v>
      </c>
      <c r="R18" s="12">
        <f t="shared" si="10"/>
        <v>32490.992225999998</v>
      </c>
      <c r="S18" s="149">
        <f t="shared" si="7"/>
        <v>28.903757460563895</v>
      </c>
      <c r="T18" s="129">
        <f t="shared" si="8"/>
        <v>3.3352065084108031</v>
      </c>
      <c r="U18" s="136">
        <f t="shared" si="11"/>
        <v>27.015172718127509</v>
      </c>
      <c r="V18" s="139">
        <f t="shared" si="12"/>
        <v>73.041022534196586</v>
      </c>
      <c r="W18" s="9">
        <f t="shared" si="13"/>
        <v>200.11239050464818</v>
      </c>
      <c r="X18" s="9">
        <f t="shared" si="14"/>
        <v>100.05619525232409</v>
      </c>
      <c r="Y18" s="9">
        <f t="shared" si="15"/>
        <v>66.704130168216068</v>
      </c>
      <c r="Z18" s="9">
        <f t="shared" si="16"/>
        <v>133.40826033643214</v>
      </c>
      <c r="AA18" s="9">
        <f t="shared" si="17"/>
        <v>2601.4610765604266</v>
      </c>
      <c r="AB18" s="9">
        <f t="shared" si="18"/>
        <v>16.676032542054017</v>
      </c>
      <c r="AC18" s="3">
        <f t="shared" si="19"/>
        <v>1.2734424850295794</v>
      </c>
      <c r="AD18" s="137">
        <f t="shared" si="20"/>
        <v>5.503090738877825</v>
      </c>
    </row>
    <row r="19" spans="1:30" x14ac:dyDescent="0.25">
      <c r="A19" s="118" t="s">
        <v>13</v>
      </c>
      <c r="B19">
        <v>154.00805</v>
      </c>
      <c r="C19">
        <v>333.07511</v>
      </c>
      <c r="D19">
        <v>210.89182299999999</v>
      </c>
      <c r="E19">
        <v>81.979029999999995</v>
      </c>
      <c r="F19">
        <v>21.353000000000002</v>
      </c>
      <c r="G19">
        <v>7.7109997999999997</v>
      </c>
      <c r="H19">
        <v>24</v>
      </c>
      <c r="I19" s="12">
        <f t="shared" si="9"/>
        <v>833.01801279999995</v>
      </c>
      <c r="J19" s="147">
        <v>163.4</v>
      </c>
      <c r="K19" s="122">
        <f t="shared" si="0"/>
        <v>4620.2415000000001</v>
      </c>
      <c r="L19" s="3">
        <f t="shared" si="1"/>
        <v>19984.506600000001</v>
      </c>
      <c r="M19" s="3">
        <f t="shared" si="2"/>
        <v>6326.7546899999998</v>
      </c>
      <c r="N19" s="3">
        <f t="shared" si="3"/>
        <v>1639.5805999999998</v>
      </c>
      <c r="O19" s="3">
        <f t="shared" si="4"/>
        <v>854.12000000000012</v>
      </c>
      <c r="P19" s="3">
        <f t="shared" si="5"/>
        <v>6014.5798439999999</v>
      </c>
      <c r="Q19" s="3">
        <f t="shared" si="6"/>
        <v>120</v>
      </c>
      <c r="R19" s="12">
        <f t="shared" si="10"/>
        <v>39559.783234000002</v>
      </c>
      <c r="S19" s="149">
        <f t="shared" si="7"/>
        <v>47.489709257341048</v>
      </c>
      <c r="T19" s="129">
        <f t="shared" si="8"/>
        <v>3.4407454279106022</v>
      </c>
      <c r="U19" s="136">
        <f t="shared" si="11"/>
        <v>27.870037966075884</v>
      </c>
      <c r="V19" s="139">
        <f t="shared" si="12"/>
        <v>75.352324871242189</v>
      </c>
      <c r="W19" s="9">
        <f t="shared" si="13"/>
        <v>206.44472567463615</v>
      </c>
      <c r="X19" s="9">
        <f t="shared" si="14"/>
        <v>103.22236283731807</v>
      </c>
      <c r="Y19" s="9">
        <f t="shared" si="15"/>
        <v>68.814908558212039</v>
      </c>
      <c r="Z19" s="9">
        <f t="shared" si="16"/>
        <v>137.62981711642408</v>
      </c>
      <c r="AA19" s="9">
        <f t="shared" si="17"/>
        <v>2683.7814337702698</v>
      </c>
      <c r="AB19" s="9">
        <f t="shared" si="18"/>
        <v>17.20372713955301</v>
      </c>
      <c r="AC19" s="3">
        <f t="shared" si="19"/>
        <v>1.3137391633840483</v>
      </c>
      <c r="AD19" s="137">
        <f t="shared" si="20"/>
        <v>5.6772299560524937</v>
      </c>
    </row>
    <row r="20" spans="1:30" x14ac:dyDescent="0.25">
      <c r="A20" s="118" t="s">
        <v>14</v>
      </c>
      <c r="B20">
        <v>18.937574999999999</v>
      </c>
      <c r="C20">
        <v>5.9187000000000003</v>
      </c>
      <c r="D20">
        <v>5.6971949999999998</v>
      </c>
      <c r="E20">
        <v>40.77205</v>
      </c>
      <c r="F20">
        <v>40.594999999999999</v>
      </c>
      <c r="G20">
        <v>0</v>
      </c>
      <c r="H20">
        <v>23.386399999999998</v>
      </c>
      <c r="I20" s="12">
        <f t="shared" si="9"/>
        <v>135.30691999999999</v>
      </c>
      <c r="J20" s="147">
        <v>3.8</v>
      </c>
      <c r="K20" s="122">
        <f t="shared" si="0"/>
        <v>568.12725</v>
      </c>
      <c r="L20" s="3">
        <f t="shared" si="1"/>
        <v>355.12200000000001</v>
      </c>
      <c r="M20" s="3">
        <f t="shared" si="2"/>
        <v>170.91585000000001</v>
      </c>
      <c r="N20" s="3">
        <f t="shared" si="3"/>
        <v>815.44100000000003</v>
      </c>
      <c r="O20" s="3">
        <f t="shared" si="4"/>
        <v>1623.8</v>
      </c>
      <c r="P20" s="3">
        <f t="shared" si="5"/>
        <v>0</v>
      </c>
      <c r="Q20" s="3">
        <f t="shared" si="6"/>
        <v>116.93199999999999</v>
      </c>
      <c r="R20" s="12">
        <f t="shared" si="10"/>
        <v>3650.3380999999999</v>
      </c>
      <c r="S20" s="149">
        <f t="shared" si="7"/>
        <v>26.978207027401112</v>
      </c>
      <c r="T20" s="129">
        <f t="shared" si="8"/>
        <v>0.14085443099092657</v>
      </c>
      <c r="U20" s="136">
        <f t="shared" si="11"/>
        <v>1.1409208910265054</v>
      </c>
      <c r="V20" s="139">
        <f t="shared" si="12"/>
        <v>3.0847120387012916</v>
      </c>
      <c r="W20" s="9">
        <f t="shared" si="13"/>
        <v>8.4512658594555941</v>
      </c>
      <c r="X20" s="9">
        <f t="shared" si="14"/>
        <v>4.225632929727797</v>
      </c>
      <c r="Y20" s="9">
        <f t="shared" si="15"/>
        <v>2.8170886198185312</v>
      </c>
      <c r="Z20" s="9">
        <f t="shared" si="16"/>
        <v>5.6341772396370624</v>
      </c>
      <c r="AA20" s="9">
        <f t="shared" si="17"/>
        <v>109.86645617292272</v>
      </c>
      <c r="AB20" s="9">
        <f t="shared" si="18"/>
        <v>0.7042721549546328</v>
      </c>
      <c r="AC20" s="3">
        <f t="shared" si="19"/>
        <v>5.3780782741990142E-2</v>
      </c>
      <c r="AD20" s="137">
        <f t="shared" si="20"/>
        <v>0.23240981113502882</v>
      </c>
    </row>
    <row r="21" spans="1:30" x14ac:dyDescent="0.25">
      <c r="A21" s="118" t="s">
        <v>15</v>
      </c>
      <c r="B21">
        <v>1304.0005450000001</v>
      </c>
      <c r="C21">
        <v>293.70828999999998</v>
      </c>
      <c r="D21">
        <v>110.70960700000001</v>
      </c>
      <c r="E21">
        <v>343.57792999999998</v>
      </c>
      <c r="F21">
        <v>37.837000000000003</v>
      </c>
      <c r="G21">
        <v>0</v>
      </c>
      <c r="H21">
        <v>100</v>
      </c>
      <c r="I21" s="12">
        <f t="shared" si="9"/>
        <v>2189.8333720000001</v>
      </c>
      <c r="J21" s="147">
        <v>47</v>
      </c>
      <c r="K21" s="122">
        <f t="shared" si="0"/>
        <v>39120.016350000005</v>
      </c>
      <c r="L21" s="3">
        <f t="shared" si="1"/>
        <v>17622.4974</v>
      </c>
      <c r="M21" s="3">
        <f t="shared" si="2"/>
        <v>3321.2882100000002</v>
      </c>
      <c r="N21" s="3">
        <f t="shared" si="3"/>
        <v>6871.5585999999994</v>
      </c>
      <c r="O21" s="3">
        <f t="shared" si="4"/>
        <v>1513.48</v>
      </c>
      <c r="P21" s="3">
        <f t="shared" si="5"/>
        <v>0</v>
      </c>
      <c r="Q21" s="3">
        <f t="shared" si="6"/>
        <v>500</v>
      </c>
      <c r="R21" s="12">
        <f t="shared" si="10"/>
        <v>68948.840559999997</v>
      </c>
      <c r="S21" s="149">
        <f t="shared" si="7"/>
        <v>31.485884470300235</v>
      </c>
      <c r="T21" s="129">
        <f t="shared" si="8"/>
        <v>1.4927324034468146</v>
      </c>
      <c r="U21" s="136">
        <f t="shared" si="11"/>
        <v>12.0911324679192</v>
      </c>
      <c r="V21" s="139">
        <f t="shared" si="12"/>
        <v>32.69083963548524</v>
      </c>
      <c r="W21" s="9">
        <f t="shared" si="13"/>
        <v>89.56394420680887</v>
      </c>
      <c r="X21" s="9">
        <f t="shared" si="14"/>
        <v>44.781972103404435</v>
      </c>
      <c r="Y21" s="9">
        <f t="shared" si="15"/>
        <v>29.854648068936292</v>
      </c>
      <c r="Z21" s="9">
        <f t="shared" si="16"/>
        <v>59.709296137872585</v>
      </c>
      <c r="AA21" s="9">
        <f t="shared" si="17"/>
        <v>1164.3312746885154</v>
      </c>
      <c r="AB21" s="9">
        <f t="shared" si="18"/>
        <v>7.4636620172340731</v>
      </c>
      <c r="AC21" s="3">
        <f t="shared" si="19"/>
        <v>0.56995237222514739</v>
      </c>
      <c r="AD21" s="137">
        <f t="shared" si="20"/>
        <v>2.4630084656872437</v>
      </c>
    </row>
    <row r="22" spans="1:30" x14ac:dyDescent="0.25">
      <c r="A22" s="118" t="s">
        <v>16</v>
      </c>
      <c r="B22">
        <v>1423.8437200000001</v>
      </c>
      <c r="C22">
        <v>782.08757000000003</v>
      </c>
      <c r="D22">
        <v>766.49903400000005</v>
      </c>
      <c r="E22">
        <v>571.14178000000004</v>
      </c>
      <c r="F22">
        <v>59.45</v>
      </c>
      <c r="G22">
        <v>30.1</v>
      </c>
      <c r="H22">
        <v>157.29079999999999</v>
      </c>
      <c r="I22" s="12">
        <f t="shared" si="9"/>
        <v>3790.4129039999998</v>
      </c>
      <c r="J22" s="147">
        <v>181.8</v>
      </c>
      <c r="K22" s="122">
        <f t="shared" si="0"/>
        <v>42715.311600000001</v>
      </c>
      <c r="L22" s="3">
        <f t="shared" si="1"/>
        <v>46925.254200000003</v>
      </c>
      <c r="M22" s="3">
        <f t="shared" si="2"/>
        <v>22994.971020000001</v>
      </c>
      <c r="N22" s="3">
        <f t="shared" si="3"/>
        <v>11422.8356</v>
      </c>
      <c r="O22" s="3">
        <f t="shared" si="4"/>
        <v>2378</v>
      </c>
      <c r="P22" s="3">
        <f t="shared" si="5"/>
        <v>23478</v>
      </c>
      <c r="Q22" s="3">
        <f t="shared" si="6"/>
        <v>786.45399999999995</v>
      </c>
      <c r="R22" s="12">
        <f t="shared" si="10"/>
        <v>150700.82642000003</v>
      </c>
      <c r="S22" s="149">
        <f t="shared" si="7"/>
        <v>39.758419527584017</v>
      </c>
      <c r="T22" s="129">
        <f t="shared" si="8"/>
        <v>4.5726163705745115</v>
      </c>
      <c r="U22" s="136">
        <f t="shared" si="11"/>
        <v>37.038192601653549</v>
      </c>
      <c r="V22" s="139">
        <f t="shared" si="12"/>
        <v>100.14029851558179</v>
      </c>
      <c r="W22" s="9">
        <f t="shared" si="13"/>
        <v>274.35698223447071</v>
      </c>
      <c r="X22" s="9">
        <f t="shared" si="14"/>
        <v>137.17849111723535</v>
      </c>
      <c r="Y22" s="9">
        <f t="shared" si="15"/>
        <v>91.452327411490231</v>
      </c>
      <c r="Z22" s="9">
        <f t="shared" si="16"/>
        <v>182.90465482298046</v>
      </c>
      <c r="AA22" s="9">
        <f t="shared" si="17"/>
        <v>3566.6407690481192</v>
      </c>
      <c r="AB22" s="9">
        <f t="shared" si="18"/>
        <v>22.863081852872558</v>
      </c>
      <c r="AC22" s="3">
        <f t="shared" si="19"/>
        <v>1.7459080687648136</v>
      </c>
      <c r="AD22" s="137">
        <f t="shared" si="20"/>
        <v>7.544817011447944</v>
      </c>
    </row>
    <row r="23" spans="1:30" x14ac:dyDescent="0.25">
      <c r="A23" s="118" t="s">
        <v>17</v>
      </c>
      <c r="B23">
        <v>87.828474999999997</v>
      </c>
      <c r="C23">
        <v>36.259599999999999</v>
      </c>
      <c r="D23">
        <v>22.613513000000001</v>
      </c>
      <c r="E23">
        <v>7.5688899999999997</v>
      </c>
      <c r="F23">
        <v>0</v>
      </c>
      <c r="G23">
        <v>4.1118000000000002E-2</v>
      </c>
      <c r="H23">
        <v>3.3191999999999999</v>
      </c>
      <c r="I23" s="12">
        <f t="shared" si="9"/>
        <v>157.63079600000003</v>
      </c>
      <c r="J23" s="147">
        <v>29.6</v>
      </c>
      <c r="K23" s="122">
        <f t="shared" si="0"/>
        <v>2634.8542499999999</v>
      </c>
      <c r="L23" s="3">
        <f t="shared" si="1"/>
        <v>2175.576</v>
      </c>
      <c r="M23" s="3">
        <f t="shared" si="2"/>
        <v>678.40539000000001</v>
      </c>
      <c r="N23" s="3">
        <f t="shared" si="3"/>
        <v>151.37779999999998</v>
      </c>
      <c r="O23" s="3">
        <f t="shared" si="4"/>
        <v>0</v>
      </c>
      <c r="P23" s="3">
        <f t="shared" si="5"/>
        <v>32.072040000000001</v>
      </c>
      <c r="Q23" s="3">
        <f t="shared" si="6"/>
        <v>16.596</v>
      </c>
      <c r="R23" s="12">
        <f t="shared" si="10"/>
        <v>5688.8814799999991</v>
      </c>
      <c r="S23" s="149">
        <f t="shared" si="7"/>
        <v>36.089911517036292</v>
      </c>
      <c r="T23" s="129">
        <f t="shared" si="8"/>
        <v>0.82017380358572733</v>
      </c>
      <c r="U23" s="136">
        <f t="shared" si="11"/>
        <v>6.6434078090443922</v>
      </c>
      <c r="V23" s="139">
        <f t="shared" si="12"/>
        <v>17.961806298527428</v>
      </c>
      <c r="W23" s="9">
        <f t="shared" si="13"/>
        <v>49.210428215143637</v>
      </c>
      <c r="X23" s="9">
        <f t="shared" si="14"/>
        <v>24.605214107571818</v>
      </c>
      <c r="Y23" s="9">
        <f t="shared" si="15"/>
        <v>16.403476071714547</v>
      </c>
      <c r="Z23" s="9">
        <f t="shared" si="16"/>
        <v>32.806952143429093</v>
      </c>
      <c r="AA23" s="9">
        <f t="shared" si="17"/>
        <v>639.73556679686737</v>
      </c>
      <c r="AB23" s="9">
        <f t="shared" si="18"/>
        <v>4.1008690179286367</v>
      </c>
      <c r="AC23" s="3">
        <f t="shared" si="19"/>
        <v>0.31315727046000502</v>
      </c>
      <c r="AD23" s="137">
        <f t="shared" si="20"/>
        <v>1.35328677591645</v>
      </c>
    </row>
    <row r="24" spans="1:30" x14ac:dyDescent="0.25">
      <c r="A24" s="118" t="s">
        <v>18</v>
      </c>
      <c r="B24">
        <v>156.74602999999999</v>
      </c>
      <c r="C24">
        <v>70.680054999999996</v>
      </c>
      <c r="D24">
        <v>56.750141999999997</v>
      </c>
      <c r="E24">
        <v>10.8673</v>
      </c>
      <c r="F24">
        <v>1.597</v>
      </c>
      <c r="G24">
        <v>3.7895199999999997E-2</v>
      </c>
      <c r="H24">
        <v>5.97</v>
      </c>
      <c r="I24" s="12">
        <f t="shared" si="9"/>
        <v>302.64842219999997</v>
      </c>
      <c r="J24" s="147">
        <v>60.2</v>
      </c>
      <c r="K24" s="122">
        <f t="shared" si="0"/>
        <v>4702.3809000000001</v>
      </c>
      <c r="L24" s="3">
        <f t="shared" si="1"/>
        <v>4240.8032999999996</v>
      </c>
      <c r="M24" s="3">
        <f t="shared" si="2"/>
        <v>1702.5042599999999</v>
      </c>
      <c r="N24" s="3">
        <f t="shared" si="3"/>
        <v>217.346</v>
      </c>
      <c r="O24" s="3">
        <f t="shared" si="4"/>
        <v>63.879999999999995</v>
      </c>
      <c r="P24" s="3">
        <f t="shared" si="5"/>
        <v>29.558255999999997</v>
      </c>
      <c r="Q24" s="3">
        <f t="shared" si="6"/>
        <v>29.849999999999998</v>
      </c>
      <c r="R24" s="12">
        <f t="shared" si="10"/>
        <v>10986.322715999999</v>
      </c>
      <c r="S24" s="149">
        <f t="shared" si="7"/>
        <v>36.30061123774793</v>
      </c>
      <c r="T24" s="129">
        <f t="shared" si="8"/>
        <v>1.6583742793124048</v>
      </c>
      <c r="U24" s="136">
        <f t="shared" si="11"/>
        <v>13.43283166243048</v>
      </c>
      <c r="V24" s="139">
        <f t="shared" si="12"/>
        <v>36.318396716941663</v>
      </c>
      <c r="W24" s="9">
        <f t="shared" si="13"/>
        <v>99.502456758744287</v>
      </c>
      <c r="X24" s="9">
        <f t="shared" si="14"/>
        <v>49.751228379372144</v>
      </c>
      <c r="Y24" s="9">
        <f t="shared" si="15"/>
        <v>33.167485586248098</v>
      </c>
      <c r="Z24" s="9">
        <f t="shared" si="16"/>
        <v>66.334971172496196</v>
      </c>
      <c r="AA24" s="9">
        <f t="shared" si="17"/>
        <v>1293.5319378636757</v>
      </c>
      <c r="AB24" s="9">
        <f t="shared" si="18"/>
        <v>8.2918713965620245</v>
      </c>
      <c r="AC24" s="3">
        <f t="shared" si="19"/>
        <v>0.63319745210110001</v>
      </c>
      <c r="AD24" s="137">
        <f t="shared" si="20"/>
        <v>2.7363175608654675</v>
      </c>
    </row>
    <row r="25" spans="1:30" x14ac:dyDescent="0.25">
      <c r="A25" s="118" t="s">
        <v>19</v>
      </c>
      <c r="B25">
        <v>41.964950000000002</v>
      </c>
      <c r="C25">
        <v>9.7487499999999994</v>
      </c>
      <c r="D25">
        <v>0.143786</v>
      </c>
      <c r="E25">
        <v>0.71001499999999995</v>
      </c>
      <c r="F25">
        <v>0</v>
      </c>
      <c r="G25">
        <v>0</v>
      </c>
      <c r="H25">
        <v>1.8675999999999999</v>
      </c>
      <c r="I25" s="12">
        <f t="shared" si="9"/>
        <v>54.435101000000003</v>
      </c>
      <c r="J25" s="147">
        <v>29</v>
      </c>
      <c r="K25" s="122">
        <f t="shared" si="0"/>
        <v>1258.9485</v>
      </c>
      <c r="L25" s="3">
        <f t="shared" si="1"/>
        <v>584.92499999999995</v>
      </c>
      <c r="M25" s="3">
        <f t="shared" si="2"/>
        <v>4.31358</v>
      </c>
      <c r="N25" s="3">
        <f t="shared" si="3"/>
        <v>14.200299999999999</v>
      </c>
      <c r="O25" s="3">
        <f t="shared" si="4"/>
        <v>0</v>
      </c>
      <c r="P25" s="3">
        <f t="shared" si="5"/>
        <v>0</v>
      </c>
      <c r="Q25" s="3">
        <f t="shared" si="6"/>
        <v>9.3379999999999992</v>
      </c>
      <c r="R25" s="12">
        <f t="shared" si="10"/>
        <v>1871.7253799999999</v>
      </c>
      <c r="S25" s="149">
        <f t="shared" si="7"/>
        <v>34.384530305179368</v>
      </c>
      <c r="T25" s="129">
        <f t="shared" si="8"/>
        <v>0.84340253429699197</v>
      </c>
      <c r="U25" s="136">
        <f t="shared" si="11"/>
        <v>6.8315605278056362</v>
      </c>
      <c r="V25" s="139">
        <f t="shared" si="12"/>
        <v>18.470515501104124</v>
      </c>
      <c r="W25" s="9">
        <f t="shared" si="13"/>
        <v>50.604152057819519</v>
      </c>
      <c r="X25" s="9">
        <f t="shared" si="14"/>
        <v>25.302076028909759</v>
      </c>
      <c r="Y25" s="9">
        <f t="shared" si="15"/>
        <v>16.868050685939838</v>
      </c>
      <c r="Z25" s="9">
        <f t="shared" si="16"/>
        <v>33.736101371879677</v>
      </c>
      <c r="AA25" s="9">
        <f t="shared" si="17"/>
        <v>657.8539767516537</v>
      </c>
      <c r="AB25" s="9">
        <f t="shared" si="18"/>
        <v>4.2170126714849596</v>
      </c>
      <c r="AC25" s="3">
        <f t="shared" si="19"/>
        <v>0.32202642218612421</v>
      </c>
      <c r="AD25" s="137">
        <f t="shared" si="20"/>
        <v>1.3916141815900367</v>
      </c>
    </row>
    <row r="26" spans="1:30" x14ac:dyDescent="0.25">
      <c r="A26" s="118" t="s">
        <v>20</v>
      </c>
      <c r="B26">
        <v>4.4993449999999999</v>
      </c>
      <c r="C26">
        <v>4.59213</v>
      </c>
      <c r="D26">
        <v>2.3574980000000001</v>
      </c>
      <c r="E26">
        <v>1.124055</v>
      </c>
      <c r="F26">
        <v>0</v>
      </c>
      <c r="G26">
        <v>7.4486999999999998E-2</v>
      </c>
      <c r="H26">
        <v>2.0404</v>
      </c>
      <c r="I26" s="12">
        <f t="shared" si="9"/>
        <v>14.687914999999998</v>
      </c>
      <c r="J26" s="147">
        <v>115.8</v>
      </c>
      <c r="K26" s="122">
        <f t="shared" si="0"/>
        <v>134.98034999999999</v>
      </c>
      <c r="L26" s="3">
        <f t="shared" si="1"/>
        <v>275.52780000000001</v>
      </c>
      <c r="M26" s="3">
        <f t="shared" si="2"/>
        <v>70.724940000000004</v>
      </c>
      <c r="N26" s="3">
        <f t="shared" si="3"/>
        <v>22.481100000000001</v>
      </c>
      <c r="O26" s="3">
        <f t="shared" si="4"/>
        <v>0</v>
      </c>
      <c r="P26" s="3">
        <f t="shared" si="5"/>
        <v>58.09986</v>
      </c>
      <c r="Q26" s="3">
        <f t="shared" si="6"/>
        <v>10.202</v>
      </c>
      <c r="R26" s="12">
        <f t="shared" si="10"/>
        <v>572.01605000000006</v>
      </c>
      <c r="S26" s="149">
        <f t="shared" si="7"/>
        <v>38.94467322285022</v>
      </c>
      <c r="T26" s="129">
        <f t="shared" si="8"/>
        <v>2.9734490089919676</v>
      </c>
      <c r="U26" s="136">
        <f t="shared" si="11"/>
        <v>24.084936972834942</v>
      </c>
      <c r="V26" s="139">
        <f t="shared" si="12"/>
        <v>65.118533296924085</v>
      </c>
      <c r="W26" s="9">
        <f t="shared" si="13"/>
        <v>178.40694053951805</v>
      </c>
      <c r="X26" s="9">
        <f t="shared" si="14"/>
        <v>89.203470269759023</v>
      </c>
      <c r="Y26" s="9">
        <f t="shared" si="15"/>
        <v>59.468980179839349</v>
      </c>
      <c r="Z26" s="9">
        <f t="shared" si="16"/>
        <v>118.9379603596787</v>
      </c>
      <c r="AA26" s="9">
        <f t="shared" si="17"/>
        <v>2319.2902270137347</v>
      </c>
      <c r="AB26" s="9">
        <f t="shared" si="18"/>
        <v>14.867245044959837</v>
      </c>
      <c r="AC26" s="3">
        <f t="shared" si="19"/>
        <v>1.1353168943423877</v>
      </c>
      <c r="AD26" s="137">
        <f t="shared" si="20"/>
        <v>4.9061908648367467</v>
      </c>
    </row>
    <row r="27" spans="1:30" x14ac:dyDescent="0.25">
      <c r="A27" s="118" t="s">
        <v>21</v>
      </c>
      <c r="B27">
        <v>1021.20282</v>
      </c>
      <c r="C27">
        <v>1596.7888250000001</v>
      </c>
      <c r="D27">
        <v>382.47977700000001</v>
      </c>
      <c r="E27">
        <v>72.209019999999995</v>
      </c>
      <c r="F27">
        <v>5.5819999999999999</v>
      </c>
      <c r="G27">
        <v>0.46894819999999998</v>
      </c>
      <c r="H27">
        <v>36.155999999999999</v>
      </c>
      <c r="I27" s="12">
        <f t="shared" si="9"/>
        <v>3114.8873901999996</v>
      </c>
      <c r="J27" s="147">
        <v>50.2</v>
      </c>
      <c r="K27" s="122">
        <f t="shared" si="0"/>
        <v>30636.084599999998</v>
      </c>
      <c r="L27" s="3">
        <f t="shared" si="1"/>
        <v>95807.329500000007</v>
      </c>
      <c r="M27" s="3">
        <f t="shared" si="2"/>
        <v>11474.393309999999</v>
      </c>
      <c r="N27" s="3">
        <f t="shared" si="3"/>
        <v>1444.1804</v>
      </c>
      <c r="O27" s="3">
        <f t="shared" si="4"/>
        <v>223.28</v>
      </c>
      <c r="P27" s="3">
        <f t="shared" si="5"/>
        <v>365.77959599999997</v>
      </c>
      <c r="Q27" s="3">
        <f t="shared" si="6"/>
        <v>180.78</v>
      </c>
      <c r="R27" s="12">
        <f t="shared" si="10"/>
        <v>140131.82740600003</v>
      </c>
      <c r="S27" s="149">
        <f t="shared" si="7"/>
        <v>44.987766763858033</v>
      </c>
      <c r="T27" s="129">
        <f t="shared" si="8"/>
        <v>1.1158589014542801</v>
      </c>
      <c r="U27" s="136">
        <f t="shared" si="11"/>
        <v>9.0384571017796702</v>
      </c>
      <c r="V27" s="139">
        <f t="shared" si="12"/>
        <v>24.437309941848735</v>
      </c>
      <c r="W27" s="9">
        <f t="shared" si="13"/>
        <v>66.951534087256803</v>
      </c>
      <c r="X27" s="9">
        <f t="shared" si="14"/>
        <v>33.475767043628402</v>
      </c>
      <c r="Y27" s="9">
        <f t="shared" si="15"/>
        <v>22.317178029085603</v>
      </c>
      <c r="Z27" s="9">
        <f t="shared" si="16"/>
        <v>44.634356058171207</v>
      </c>
      <c r="AA27" s="9">
        <f t="shared" si="17"/>
        <v>870.36994313433854</v>
      </c>
      <c r="AB27" s="9">
        <f t="shared" si="18"/>
        <v>5.5792945072714009</v>
      </c>
      <c r="AC27" s="3">
        <f t="shared" si="19"/>
        <v>0.42605521691890696</v>
      </c>
      <c r="AD27" s="137">
        <f t="shared" si="20"/>
        <v>1.8411671873995621</v>
      </c>
    </row>
    <row r="28" spans="1:30" x14ac:dyDescent="0.25">
      <c r="A28" s="118" t="s">
        <v>22</v>
      </c>
      <c r="B28">
        <v>213.47275500000001</v>
      </c>
      <c r="C28">
        <v>120.050355</v>
      </c>
      <c r="D28">
        <v>68.982733999999994</v>
      </c>
      <c r="E28">
        <v>92.33408</v>
      </c>
      <c r="F28">
        <v>1485.9939999999999</v>
      </c>
      <c r="G28">
        <v>0</v>
      </c>
      <c r="H28">
        <v>50</v>
      </c>
      <c r="I28" s="12">
        <f t="shared" si="9"/>
        <v>2030.833924</v>
      </c>
      <c r="J28" s="147">
        <v>2.2999999999999998</v>
      </c>
      <c r="K28" s="122">
        <f t="shared" si="0"/>
        <v>6404.1826500000006</v>
      </c>
      <c r="L28" s="3">
        <f t="shared" si="1"/>
        <v>7203.0212999999994</v>
      </c>
      <c r="M28" s="3">
        <f t="shared" si="2"/>
        <v>2069.4820199999999</v>
      </c>
      <c r="N28" s="3">
        <f t="shared" si="3"/>
        <v>1846.6815999999999</v>
      </c>
      <c r="O28" s="3">
        <f t="shared" si="4"/>
        <v>59439.759999999995</v>
      </c>
      <c r="P28" s="3">
        <f t="shared" si="5"/>
        <v>0</v>
      </c>
      <c r="Q28" s="3">
        <f t="shared" si="6"/>
        <v>250</v>
      </c>
      <c r="R28" s="12">
        <f t="shared" si="10"/>
        <v>77213.127569999997</v>
      </c>
      <c r="S28" s="149">
        <f t="shared" si="7"/>
        <v>38.020404651266794</v>
      </c>
      <c r="T28" s="129">
        <f t="shared" si="8"/>
        <v>6.0493832748394136E-2</v>
      </c>
      <c r="U28" s="136">
        <f t="shared" si="11"/>
        <v>0.49000004526199259</v>
      </c>
      <c r="V28" s="139">
        <f t="shared" si="12"/>
        <v>1.3248149371898315</v>
      </c>
      <c r="W28" s="9">
        <f t="shared" si="13"/>
        <v>3.6296299649036481</v>
      </c>
      <c r="X28" s="9">
        <f t="shared" si="14"/>
        <v>1.814814982451824</v>
      </c>
      <c r="Y28" s="9">
        <f t="shared" si="15"/>
        <v>1.2098766549678828</v>
      </c>
      <c r="Z28" s="9">
        <f t="shared" si="16"/>
        <v>2.4197533099357655</v>
      </c>
      <c r="AA28" s="9">
        <f t="shared" si="17"/>
        <v>47.185189543747427</v>
      </c>
      <c r="AB28" s="9">
        <f t="shared" si="18"/>
        <v>0.30246916374197069</v>
      </c>
      <c r="AC28" s="3">
        <f t="shared" si="19"/>
        <v>2.3097645231205034E-2</v>
      </c>
      <c r="AD28" s="137">
        <f t="shared" si="20"/>
        <v>9.9814824034850314E-2</v>
      </c>
    </row>
    <row r="29" spans="1:30" x14ac:dyDescent="0.25">
      <c r="A29" s="118" t="s">
        <v>23</v>
      </c>
      <c r="B29">
        <v>1583.0936300000001</v>
      </c>
      <c r="C29">
        <v>1370.4431950000001</v>
      </c>
      <c r="D29">
        <v>1408.6120040000001</v>
      </c>
      <c r="E29">
        <v>21.236045000000001</v>
      </c>
      <c r="F29">
        <v>39.730539999999998</v>
      </c>
      <c r="G29">
        <v>2.1375633999999999</v>
      </c>
      <c r="H29">
        <v>116.4432</v>
      </c>
      <c r="I29" s="12">
        <f t="shared" si="9"/>
        <v>4541.6961773999983</v>
      </c>
      <c r="J29" s="147">
        <v>187.9</v>
      </c>
      <c r="K29" s="122">
        <f t="shared" si="0"/>
        <v>47492.808900000004</v>
      </c>
      <c r="L29" s="3">
        <f t="shared" si="1"/>
        <v>82226.591700000004</v>
      </c>
      <c r="M29" s="3">
        <f t="shared" si="2"/>
        <v>42258.360120000005</v>
      </c>
      <c r="N29" s="3">
        <f t="shared" si="3"/>
        <v>424.72090000000003</v>
      </c>
      <c r="O29" s="3">
        <f t="shared" si="4"/>
        <v>1589.2215999999999</v>
      </c>
      <c r="P29" s="3">
        <f t="shared" si="5"/>
        <v>1667.299452</v>
      </c>
      <c r="Q29" s="3">
        <f t="shared" si="6"/>
        <v>582.21600000000001</v>
      </c>
      <c r="R29" s="12">
        <f t="shared" si="10"/>
        <v>176241.21867199999</v>
      </c>
      <c r="S29" s="149">
        <f t="shared" si="7"/>
        <v>38.805153798925723</v>
      </c>
      <c r="T29" s="129">
        <f t="shared" si="8"/>
        <v>4.8421403242886205</v>
      </c>
      <c r="U29" s="136">
        <f t="shared" si="11"/>
        <v>39.22133662673783</v>
      </c>
      <c r="V29" s="139">
        <f t="shared" si="12"/>
        <v>106.04287310192078</v>
      </c>
      <c r="W29" s="9">
        <f t="shared" si="13"/>
        <v>290.52841945731723</v>
      </c>
      <c r="X29" s="9">
        <f t="shared" si="14"/>
        <v>145.26420972865861</v>
      </c>
      <c r="Y29" s="9">
        <f t="shared" si="15"/>
        <v>96.842806485772414</v>
      </c>
      <c r="Z29" s="9">
        <f t="shared" si="16"/>
        <v>193.68561297154483</v>
      </c>
      <c r="AA29" s="9">
        <f t="shared" si="17"/>
        <v>3776.8694529451241</v>
      </c>
      <c r="AB29" s="9">
        <f t="shared" si="18"/>
        <v>24.210701621443103</v>
      </c>
      <c r="AC29" s="3">
        <f t="shared" si="19"/>
        <v>1.8488172147283826</v>
      </c>
      <c r="AD29" s="137">
        <f t="shared" si="20"/>
        <v>7.9895315350762237</v>
      </c>
    </row>
    <row r="30" spans="1:30" x14ac:dyDescent="0.25">
      <c r="A30" s="118" t="s">
        <v>24</v>
      </c>
      <c r="B30">
        <v>212.21372</v>
      </c>
      <c r="C30">
        <v>359.15778999999998</v>
      </c>
      <c r="D30">
        <v>229.40056799999999</v>
      </c>
      <c r="E30">
        <v>177.77853999999999</v>
      </c>
      <c r="F30">
        <v>12.881</v>
      </c>
      <c r="G30">
        <v>5.7953700000000001</v>
      </c>
      <c r="H30">
        <v>34</v>
      </c>
      <c r="I30" s="12">
        <f t="shared" si="9"/>
        <v>1031.2269879999999</v>
      </c>
      <c r="J30" s="147">
        <v>172.5</v>
      </c>
      <c r="K30" s="122">
        <f t="shared" si="0"/>
        <v>6366.4115999999995</v>
      </c>
      <c r="L30" s="3">
        <f t="shared" si="1"/>
        <v>21549.467399999998</v>
      </c>
      <c r="M30" s="3">
        <f t="shared" si="2"/>
        <v>6882.0170399999997</v>
      </c>
      <c r="N30" s="3">
        <f t="shared" si="3"/>
        <v>3555.5708</v>
      </c>
      <c r="O30" s="3">
        <f t="shared" si="4"/>
        <v>515.24</v>
      </c>
      <c r="P30" s="3">
        <f t="shared" si="5"/>
        <v>4520.3886000000002</v>
      </c>
      <c r="Q30" s="3">
        <f t="shared" si="6"/>
        <v>170</v>
      </c>
      <c r="R30" s="12">
        <f t="shared" si="10"/>
        <v>43559.095439999997</v>
      </c>
      <c r="S30" s="149">
        <f t="shared" si="7"/>
        <v>42.240065423889007</v>
      </c>
      <c r="T30" s="129">
        <f t="shared" si="8"/>
        <v>4.0838004929424674</v>
      </c>
      <c r="U30" s="136">
        <f t="shared" si="11"/>
        <v>33.078783992833991</v>
      </c>
      <c r="V30" s="139">
        <f t="shared" si="12"/>
        <v>89.435230795440035</v>
      </c>
      <c r="W30" s="9">
        <f t="shared" si="13"/>
        <v>245.02802957654805</v>
      </c>
      <c r="X30" s="9">
        <f t="shared" si="14"/>
        <v>122.51401478827403</v>
      </c>
      <c r="Y30" s="9">
        <f t="shared" si="15"/>
        <v>81.676009858849341</v>
      </c>
      <c r="Z30" s="9">
        <f t="shared" si="16"/>
        <v>163.35201971769868</v>
      </c>
      <c r="AA30" s="9">
        <f t="shared" si="17"/>
        <v>3185.3643844951243</v>
      </c>
      <c r="AB30" s="9">
        <f t="shared" si="18"/>
        <v>20.419002464712335</v>
      </c>
      <c r="AC30" s="3">
        <f t="shared" si="19"/>
        <v>1.5592692791234877</v>
      </c>
      <c r="AD30" s="137">
        <f t="shared" si="20"/>
        <v>6.7382708133550704</v>
      </c>
    </row>
    <row r="31" spans="1:30" x14ac:dyDescent="0.25">
      <c r="A31" s="118" t="s">
        <v>25</v>
      </c>
      <c r="B31">
        <v>886.28446499999995</v>
      </c>
      <c r="C31">
        <v>618.17871000000002</v>
      </c>
      <c r="D31">
        <v>534.42355050000003</v>
      </c>
      <c r="E31">
        <v>850.14338999999995</v>
      </c>
      <c r="F31">
        <v>6.7756800000000004</v>
      </c>
      <c r="G31">
        <v>3.5000000000000001E-3</v>
      </c>
      <c r="H31">
        <v>107.9332</v>
      </c>
      <c r="I31" s="12">
        <f t="shared" si="9"/>
        <v>3003.7424954999997</v>
      </c>
      <c r="J31" s="147">
        <v>57.8</v>
      </c>
      <c r="K31" s="122">
        <f t="shared" si="0"/>
        <v>26588.533949999997</v>
      </c>
      <c r="L31" s="3">
        <f t="shared" si="1"/>
        <v>37090.722600000001</v>
      </c>
      <c r="M31" s="3">
        <f t="shared" si="2"/>
        <v>16032.706515000002</v>
      </c>
      <c r="N31" s="3">
        <f t="shared" si="3"/>
        <v>17002.8678</v>
      </c>
      <c r="O31" s="3">
        <f t="shared" si="4"/>
        <v>271.02719999999999</v>
      </c>
      <c r="P31" s="3">
        <f t="shared" si="5"/>
        <v>2.73</v>
      </c>
      <c r="Q31" s="3">
        <f t="shared" si="6"/>
        <v>539.66599999999994</v>
      </c>
      <c r="R31" s="12">
        <f t="shared" si="10"/>
        <v>97528.254064999986</v>
      </c>
      <c r="S31" s="149">
        <f t="shared" si="7"/>
        <v>32.468913101276193</v>
      </c>
      <c r="T31" s="129">
        <f t="shared" si="8"/>
        <v>1.7801643011489707</v>
      </c>
      <c r="U31" s="136">
        <f t="shared" si="11"/>
        <v>14.419330839306665</v>
      </c>
      <c r="V31" s="139">
        <f t="shared" si="12"/>
        <v>38.98559819516246</v>
      </c>
      <c r="W31" s="9">
        <f t="shared" si="13"/>
        <v>106.80985806893824</v>
      </c>
      <c r="X31" s="9">
        <f t="shared" si="14"/>
        <v>53.40492903446912</v>
      </c>
      <c r="Y31" s="9">
        <f t="shared" si="15"/>
        <v>35.603286022979418</v>
      </c>
      <c r="Z31" s="9">
        <f t="shared" si="16"/>
        <v>71.206572045958836</v>
      </c>
      <c r="AA31" s="9">
        <f t="shared" si="17"/>
        <v>1388.5281548961971</v>
      </c>
      <c r="AB31" s="9">
        <f t="shared" si="18"/>
        <v>8.9008215057448545</v>
      </c>
      <c r="AC31" s="3">
        <f t="shared" si="19"/>
        <v>0.67969909680233431</v>
      </c>
      <c r="AD31" s="137">
        <f t="shared" si="20"/>
        <v>2.9372710968958016</v>
      </c>
    </row>
    <row r="32" spans="1:30" x14ac:dyDescent="0.25">
      <c r="A32" s="118" t="s">
        <v>26</v>
      </c>
      <c r="B32">
        <v>83.276415</v>
      </c>
      <c r="C32">
        <v>59.525894999999998</v>
      </c>
      <c r="D32">
        <v>51.781188</v>
      </c>
      <c r="E32">
        <v>25.52637</v>
      </c>
      <c r="F32">
        <v>2.254</v>
      </c>
      <c r="G32">
        <v>4.4197999999999998E-3</v>
      </c>
      <c r="H32">
        <v>5.9340000000000002</v>
      </c>
      <c r="I32" s="12">
        <f t="shared" si="9"/>
        <v>228.30228779999999</v>
      </c>
      <c r="J32" s="147">
        <v>51.9</v>
      </c>
      <c r="K32" s="122">
        <f t="shared" si="0"/>
        <v>2498.2924499999999</v>
      </c>
      <c r="L32" s="3">
        <f t="shared" si="1"/>
        <v>3571.5536999999999</v>
      </c>
      <c r="M32" s="3">
        <f t="shared" si="2"/>
        <v>1553.4356399999999</v>
      </c>
      <c r="N32" s="3">
        <f t="shared" si="3"/>
        <v>510.5274</v>
      </c>
      <c r="O32" s="3">
        <f t="shared" si="4"/>
        <v>90.16</v>
      </c>
      <c r="P32" s="3">
        <f t="shared" si="5"/>
        <v>3.447444</v>
      </c>
      <c r="Q32" s="3">
        <f t="shared" si="6"/>
        <v>29.67</v>
      </c>
      <c r="R32" s="12">
        <f t="shared" si="10"/>
        <v>8257.0866339999993</v>
      </c>
      <c r="S32" s="149">
        <f t="shared" si="7"/>
        <v>36.16734073744135</v>
      </c>
      <c r="T32" s="129">
        <f t="shared" si="8"/>
        <v>1.4349962961548843</v>
      </c>
      <c r="U32" s="136">
        <f t="shared" si="11"/>
        <v>11.623469998854565</v>
      </c>
      <c r="V32" s="139">
        <f t="shared" si="12"/>
        <v>31.426418885791964</v>
      </c>
      <c r="W32" s="9">
        <f t="shared" si="13"/>
        <v>86.099777769293055</v>
      </c>
      <c r="X32" s="9">
        <f t="shared" si="14"/>
        <v>43.049888884646528</v>
      </c>
      <c r="Y32" s="9">
        <f t="shared" si="15"/>
        <v>28.699925923097688</v>
      </c>
      <c r="Z32" s="9">
        <f t="shared" si="16"/>
        <v>57.399851846195375</v>
      </c>
      <c r="AA32" s="9">
        <f t="shared" si="17"/>
        <v>1119.2971110008098</v>
      </c>
      <c r="AB32" s="9">
        <f t="shared" si="18"/>
        <v>7.1749814807744219</v>
      </c>
      <c r="AC32" s="3">
        <f t="shared" si="19"/>
        <v>0.54790767671368312</v>
      </c>
      <c r="AD32" s="137">
        <f t="shared" si="20"/>
        <v>2.3677438886555588</v>
      </c>
    </row>
    <row r="33" spans="1:30" x14ac:dyDescent="0.25">
      <c r="A33" s="118" t="s">
        <v>27</v>
      </c>
      <c r="B33">
        <v>93.645790000000005</v>
      </c>
      <c r="C33">
        <v>17.656379999999999</v>
      </c>
      <c r="D33">
        <v>43.489297999999998</v>
      </c>
      <c r="E33">
        <v>8.8935899999999997</v>
      </c>
      <c r="F33">
        <v>1.845</v>
      </c>
      <c r="G33">
        <v>3.4299999999999999E-3</v>
      </c>
      <c r="H33">
        <v>10.4168</v>
      </c>
      <c r="I33" s="12">
        <f t="shared" si="9"/>
        <v>175.950288</v>
      </c>
      <c r="J33" s="147">
        <v>33.299999999999997</v>
      </c>
      <c r="K33" s="122">
        <f t="shared" si="0"/>
        <v>2809.3737000000001</v>
      </c>
      <c r="L33" s="3">
        <f t="shared" si="1"/>
        <v>1059.3827999999999</v>
      </c>
      <c r="M33" s="3">
        <f t="shared" si="2"/>
        <v>1304.67894</v>
      </c>
      <c r="N33" s="3">
        <f t="shared" si="3"/>
        <v>177.87180000000001</v>
      </c>
      <c r="O33" s="3">
        <f t="shared" si="4"/>
        <v>73.8</v>
      </c>
      <c r="P33" s="3">
        <f t="shared" si="5"/>
        <v>2.6753999999999998</v>
      </c>
      <c r="Q33" s="3">
        <f t="shared" si="6"/>
        <v>52.084000000000003</v>
      </c>
      <c r="R33" s="12">
        <f t="shared" si="10"/>
        <v>5479.8666400000002</v>
      </c>
      <c r="S33" s="149">
        <f t="shared" si="7"/>
        <v>31.14440278722363</v>
      </c>
      <c r="T33" s="129">
        <f t="shared" si="8"/>
        <v>1.0692129891686559</v>
      </c>
      <c r="U33" s="136">
        <f t="shared" si="11"/>
        <v>8.6606252122661154</v>
      </c>
      <c r="V33" s="139">
        <f t="shared" si="12"/>
        <v>23.415764462793565</v>
      </c>
      <c r="W33" s="9">
        <f t="shared" si="13"/>
        <v>64.15277935011936</v>
      </c>
      <c r="X33" s="9">
        <f t="shared" si="14"/>
        <v>32.07638967505968</v>
      </c>
      <c r="Y33" s="9">
        <f t="shared" si="15"/>
        <v>21.384259783373118</v>
      </c>
      <c r="Z33" s="9">
        <f t="shared" si="16"/>
        <v>42.768519566746235</v>
      </c>
      <c r="AA33" s="9">
        <f t="shared" si="17"/>
        <v>833.98613155155158</v>
      </c>
      <c r="AB33" s="9">
        <f t="shared" si="18"/>
        <v>5.3460649458432794</v>
      </c>
      <c r="AC33" s="3">
        <f t="shared" si="19"/>
        <v>0.40824495950075956</v>
      </c>
      <c r="AD33" s="137">
        <f t="shared" si="20"/>
        <v>1.7642014321282822</v>
      </c>
    </row>
    <row r="34" spans="1:30" x14ac:dyDescent="0.25">
      <c r="A34" s="118" t="s">
        <v>28</v>
      </c>
      <c r="B34">
        <v>934.99446499999999</v>
      </c>
      <c r="C34">
        <v>4253.0181249999996</v>
      </c>
      <c r="D34">
        <v>888.45945500000005</v>
      </c>
      <c r="E34">
        <v>1371.7252000000001</v>
      </c>
      <c r="F34">
        <v>310</v>
      </c>
      <c r="G34">
        <v>57.040199999999999</v>
      </c>
      <c r="H34">
        <v>252.28120000000001</v>
      </c>
      <c r="I34" s="12">
        <f t="shared" si="9"/>
        <v>8067.5186450000001</v>
      </c>
      <c r="J34" s="147">
        <v>154.30000000000001</v>
      </c>
      <c r="K34" s="122">
        <f t="shared" si="0"/>
        <v>28049.83395</v>
      </c>
      <c r="L34" s="3">
        <f t="shared" si="1"/>
        <v>255181.08749999997</v>
      </c>
      <c r="M34" s="3">
        <f t="shared" si="2"/>
        <v>26653.783650000001</v>
      </c>
      <c r="N34" s="3">
        <f t="shared" si="3"/>
        <v>27434.504000000001</v>
      </c>
      <c r="O34" s="3">
        <f t="shared" si="4"/>
        <v>12400</v>
      </c>
      <c r="P34" s="3">
        <f t="shared" si="5"/>
        <v>44491.356</v>
      </c>
      <c r="Q34" s="3">
        <f t="shared" si="6"/>
        <v>1261.4059999999999</v>
      </c>
      <c r="R34" s="12">
        <f t="shared" si="10"/>
        <v>395471.97110000002</v>
      </c>
      <c r="S34" s="149">
        <f t="shared" si="7"/>
        <v>49.020273581282815</v>
      </c>
      <c r="T34" s="129">
        <f t="shared" si="8"/>
        <v>3.1476772512121531</v>
      </c>
      <c r="U34" s="136">
        <f t="shared" si="11"/>
        <v>25.496185734818447</v>
      </c>
      <c r="V34" s="139">
        <f t="shared" si="12"/>
        <v>68.934131801546144</v>
      </c>
      <c r="W34" s="9">
        <f t="shared" si="13"/>
        <v>188.8606350727292</v>
      </c>
      <c r="X34" s="9">
        <f t="shared" si="14"/>
        <v>94.430317536364598</v>
      </c>
      <c r="Y34" s="9">
        <f t="shared" si="15"/>
        <v>62.953545024243063</v>
      </c>
      <c r="Z34" s="9">
        <f t="shared" si="16"/>
        <v>125.90709004848613</v>
      </c>
      <c r="AA34" s="9">
        <f t="shared" si="17"/>
        <v>2455.1882559454793</v>
      </c>
      <c r="AB34" s="9">
        <f t="shared" si="18"/>
        <v>15.738386256060766</v>
      </c>
      <c r="AC34" s="3">
        <f t="shared" si="19"/>
        <v>1.2018404050082767</v>
      </c>
      <c r="AD34" s="137">
        <f t="shared" si="20"/>
        <v>5.1936674645000522</v>
      </c>
    </row>
    <row r="35" spans="1:30" x14ac:dyDescent="0.25">
      <c r="A35" s="118" t="s">
        <v>29</v>
      </c>
      <c r="B35">
        <v>294.83120000000002</v>
      </c>
      <c r="C35">
        <v>200.82050000000001</v>
      </c>
      <c r="D35">
        <v>113.72589499999999</v>
      </c>
      <c r="E35">
        <v>24.584095000000001</v>
      </c>
      <c r="F35">
        <v>9.6020000000000003</v>
      </c>
      <c r="G35">
        <v>0</v>
      </c>
      <c r="H35">
        <v>142.4</v>
      </c>
      <c r="I35" s="12">
        <f t="shared" si="9"/>
        <v>785.96369000000004</v>
      </c>
      <c r="J35" s="147">
        <v>12.2</v>
      </c>
      <c r="K35" s="122">
        <f t="shared" si="0"/>
        <v>8844.9360000000015</v>
      </c>
      <c r="L35" s="3">
        <f t="shared" si="1"/>
        <v>12049.230000000001</v>
      </c>
      <c r="M35" s="3">
        <f t="shared" si="2"/>
        <v>3411.7768499999997</v>
      </c>
      <c r="N35" s="3">
        <f t="shared" si="3"/>
        <v>491.68190000000004</v>
      </c>
      <c r="O35" s="3">
        <f t="shared" si="4"/>
        <v>384.08000000000004</v>
      </c>
      <c r="P35" s="3">
        <f t="shared" si="5"/>
        <v>0</v>
      </c>
      <c r="Q35" s="3">
        <f t="shared" si="6"/>
        <v>712</v>
      </c>
      <c r="R35" s="12">
        <f t="shared" si="10"/>
        <v>25893.704750000004</v>
      </c>
      <c r="S35" s="149">
        <f t="shared" si="7"/>
        <v>32.945166652673237</v>
      </c>
      <c r="T35" s="129">
        <f t="shared" si="8"/>
        <v>0.37031228673448119</v>
      </c>
      <c r="U35" s="136">
        <f t="shared" si="11"/>
        <v>2.9995295225492979</v>
      </c>
      <c r="V35" s="139">
        <f t="shared" si="12"/>
        <v>8.1098390794851376</v>
      </c>
      <c r="W35" s="9">
        <f t="shared" si="13"/>
        <v>22.218737204068873</v>
      </c>
      <c r="X35" s="9">
        <f t="shared" si="14"/>
        <v>11.109368602034436</v>
      </c>
      <c r="Y35" s="9">
        <f t="shared" si="15"/>
        <v>7.406245734689624</v>
      </c>
      <c r="Z35" s="9">
        <f t="shared" si="16"/>
        <v>14.812491469379248</v>
      </c>
      <c r="AA35" s="9">
        <f t="shared" si="17"/>
        <v>288.84358365289535</v>
      </c>
      <c r="AB35" s="9">
        <f t="shared" si="18"/>
        <v>1.851561433672406</v>
      </c>
      <c r="AC35" s="3">
        <f t="shared" si="19"/>
        <v>0.14139196402589282</v>
      </c>
      <c r="AD35" s="137">
        <f t="shared" si="20"/>
        <v>0.61101527311189396</v>
      </c>
    </row>
    <row r="36" spans="1:30" x14ac:dyDescent="0.25">
      <c r="A36" s="118" t="s">
        <v>30</v>
      </c>
      <c r="B36">
        <v>463.36259999999999</v>
      </c>
      <c r="C36">
        <v>187.85968</v>
      </c>
      <c r="D36">
        <v>78.387835999999993</v>
      </c>
      <c r="E36">
        <v>31.292235000000002</v>
      </c>
      <c r="F36">
        <v>0</v>
      </c>
      <c r="G36">
        <v>0.57182160000000004</v>
      </c>
      <c r="H36">
        <v>44.655999999999999</v>
      </c>
      <c r="I36" s="12">
        <f t="shared" si="9"/>
        <v>806.13017259999992</v>
      </c>
      <c r="J36" s="147">
        <v>34.299999999999997</v>
      </c>
      <c r="K36" s="122">
        <f t="shared" si="0"/>
        <v>13900.877999999999</v>
      </c>
      <c r="L36" s="3">
        <f t="shared" si="1"/>
        <v>11271.5808</v>
      </c>
      <c r="M36" s="3">
        <f t="shared" si="2"/>
        <v>2351.63508</v>
      </c>
      <c r="N36" s="3">
        <f t="shared" si="3"/>
        <v>625.84469999999999</v>
      </c>
      <c r="O36" s="3">
        <f t="shared" si="4"/>
        <v>0</v>
      </c>
      <c r="P36" s="3">
        <f t="shared" si="5"/>
        <v>446.02084800000006</v>
      </c>
      <c r="Q36" s="3">
        <f t="shared" si="6"/>
        <v>223.28</v>
      </c>
      <c r="R36" s="12">
        <f t="shared" si="10"/>
        <v>28819.239428000001</v>
      </c>
      <c r="S36" s="149">
        <f t="shared" si="7"/>
        <v>35.750106381764283</v>
      </c>
      <c r="T36" s="129">
        <f t="shared" si="8"/>
        <v>0.95943770442865117</v>
      </c>
      <c r="U36" s="136">
        <f t="shared" si="11"/>
        <v>7.7714454058720754</v>
      </c>
      <c r="V36" s="139">
        <f t="shared" si="12"/>
        <v>21.011685726987459</v>
      </c>
      <c r="W36" s="9">
        <f t="shared" si="13"/>
        <v>57.566262265719068</v>
      </c>
      <c r="X36" s="9">
        <f t="shared" si="14"/>
        <v>28.783131132859534</v>
      </c>
      <c r="Y36" s="9">
        <f t="shared" si="15"/>
        <v>19.188754088573024</v>
      </c>
      <c r="Z36" s="9">
        <f t="shared" si="16"/>
        <v>38.377508177146048</v>
      </c>
      <c r="AA36" s="9">
        <f t="shared" si="17"/>
        <v>748.36140945434795</v>
      </c>
      <c r="AB36" s="9">
        <f t="shared" si="18"/>
        <v>4.797188522143256</v>
      </c>
      <c r="AC36" s="3">
        <f t="shared" si="19"/>
        <v>0.36633075987275776</v>
      </c>
      <c r="AD36" s="137">
        <f t="shared" si="20"/>
        <v>1.5830722123072742</v>
      </c>
    </row>
    <row r="37" spans="1:30" x14ac:dyDescent="0.25">
      <c r="A37" s="70" t="s">
        <v>31</v>
      </c>
      <c r="B37" s="143" t="s">
        <v>56</v>
      </c>
      <c r="C37" s="143" t="s">
        <v>56</v>
      </c>
      <c r="D37" s="143" t="s">
        <v>56</v>
      </c>
      <c r="E37" s="143" t="s">
        <v>56</v>
      </c>
      <c r="F37" s="143" t="s">
        <v>56</v>
      </c>
      <c r="G37" s="143" t="s">
        <v>56</v>
      </c>
      <c r="H37" s="143" t="s">
        <v>56</v>
      </c>
      <c r="I37" s="143" t="s">
        <v>56</v>
      </c>
      <c r="J37" s="148">
        <v>30.2</v>
      </c>
      <c r="K37" s="145" t="s">
        <v>56</v>
      </c>
      <c r="L37" s="143" t="s">
        <v>56</v>
      </c>
      <c r="M37" s="143" t="s">
        <v>56</v>
      </c>
      <c r="N37" s="143" t="s">
        <v>56</v>
      </c>
      <c r="O37" s="143" t="s">
        <v>56</v>
      </c>
      <c r="P37" s="143" t="s">
        <v>56</v>
      </c>
      <c r="Q37" s="143" t="s">
        <v>56</v>
      </c>
      <c r="R37" s="143" t="s">
        <v>56</v>
      </c>
      <c r="S37" s="150" t="s">
        <v>56</v>
      </c>
      <c r="T37" s="143" t="s">
        <v>56</v>
      </c>
      <c r="U37" s="143" t="s">
        <v>56</v>
      </c>
      <c r="V37" s="143" t="s">
        <v>56</v>
      </c>
      <c r="W37" s="143" t="s">
        <v>56</v>
      </c>
      <c r="X37" s="143" t="s">
        <v>56</v>
      </c>
      <c r="Y37" s="143" t="s">
        <v>56</v>
      </c>
      <c r="Z37" s="143" t="s">
        <v>56</v>
      </c>
      <c r="AA37" s="143" t="s">
        <v>56</v>
      </c>
      <c r="AB37" s="143" t="s">
        <v>56</v>
      </c>
      <c r="AC37" s="143" t="s">
        <v>56</v>
      </c>
      <c r="AD37" s="146" t="s">
        <v>56</v>
      </c>
    </row>
    <row r="39" spans="1:30" x14ac:dyDescent="0.25">
      <c r="A39" s="114" t="s">
        <v>57</v>
      </c>
      <c r="B39" s="114"/>
      <c r="C39" s="114"/>
      <c r="D39" s="114"/>
      <c r="E39" s="114"/>
      <c r="F39" s="114"/>
      <c r="G39" s="114"/>
      <c r="H39" s="114"/>
      <c r="I39" s="114"/>
      <c r="J39" s="114"/>
      <c r="K39" s="115">
        <f>'Standard values'!B5</f>
        <v>30</v>
      </c>
      <c r="L39" s="115">
        <f>'Standard values'!D5</f>
        <v>60</v>
      </c>
      <c r="M39" s="115">
        <f>'Standard values'!E5</f>
        <v>30</v>
      </c>
      <c r="N39" s="115">
        <f>'Standard values'!F5</f>
        <v>20</v>
      </c>
      <c r="O39" s="115">
        <f>'Standard values'!G5</f>
        <v>40</v>
      </c>
      <c r="P39" s="115">
        <f>'Standard values'!H5</f>
        <v>780</v>
      </c>
      <c r="Q39" s="115">
        <f>'Standard values'!I5</f>
        <v>5</v>
      </c>
      <c r="R39" s="114"/>
      <c r="S39" s="114"/>
      <c r="T39" s="114"/>
      <c r="U39" s="114">
        <f>'Standard values'!B6</f>
        <v>8.1000000000000014</v>
      </c>
      <c r="V39" s="114">
        <f>'Standard values'!C6</f>
        <v>21.9</v>
      </c>
      <c r="W39" s="114">
        <f>'Standard values'!D6</f>
        <v>60</v>
      </c>
      <c r="X39" s="114">
        <f>'Standard values'!E6</f>
        <v>30</v>
      </c>
      <c r="Y39" s="114">
        <f>'Standard values'!F6</f>
        <v>20</v>
      </c>
      <c r="Z39" s="114">
        <f>'Standard values'!G6</f>
        <v>40</v>
      </c>
      <c r="AA39" s="114">
        <f>'Standard values'!H6</f>
        <v>780</v>
      </c>
      <c r="AB39" s="114">
        <f>'Standard values'!I6</f>
        <v>5</v>
      </c>
      <c r="AC39" s="135">
        <f>'Standard values'!J6</f>
        <v>0.38181818181818183</v>
      </c>
      <c r="AD39" s="135">
        <f>'Standard values'!K6</f>
        <v>1.65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06AE8-6E92-488F-80CE-6D7A74261EAA}">
  <dimension ref="A2:AG41"/>
  <sheetViews>
    <sheetView topLeftCell="A17" workbookViewId="0">
      <selection activeCell="AH45" sqref="AH45"/>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3" ht="21" x14ac:dyDescent="0.35">
      <c r="A2" s="132" t="s">
        <v>68</v>
      </c>
      <c r="AE2" s="132" t="s">
        <v>68</v>
      </c>
    </row>
    <row r="4" spans="1:33" ht="15.75" x14ac:dyDescent="0.25">
      <c r="A4" s="124" t="s">
        <v>33</v>
      </c>
      <c r="B4" s="116" t="s">
        <v>34</v>
      </c>
      <c r="C4" s="125"/>
      <c r="D4" s="116"/>
      <c r="E4" s="125"/>
      <c r="F4" s="125"/>
      <c r="G4" s="125"/>
      <c r="H4" s="125"/>
      <c r="I4" s="125"/>
      <c r="J4" s="125"/>
      <c r="K4" s="124" t="s">
        <v>35</v>
      </c>
      <c r="L4" s="116"/>
      <c r="M4" s="116"/>
      <c r="N4" s="116"/>
      <c r="O4" s="116"/>
      <c r="P4" s="116"/>
      <c r="Q4" s="116"/>
      <c r="R4" s="116"/>
      <c r="S4" s="117"/>
      <c r="T4" s="117"/>
      <c r="U4" s="124" t="s">
        <v>36</v>
      </c>
      <c r="V4" s="116"/>
      <c r="W4" s="116"/>
      <c r="X4" s="116"/>
      <c r="Y4" s="116"/>
      <c r="Z4" s="116"/>
      <c r="AA4" s="116"/>
      <c r="AB4" s="116"/>
      <c r="AC4" s="116"/>
      <c r="AD4" s="117"/>
      <c r="AE4" s="124" t="s">
        <v>33</v>
      </c>
    </row>
    <row r="5" spans="1:33" x14ac:dyDescent="0.25">
      <c r="A5" s="123" t="s">
        <v>37</v>
      </c>
      <c r="K5" s="118"/>
      <c r="S5" s="6"/>
      <c r="T5" s="6"/>
      <c r="U5" s="118"/>
      <c r="AD5" s="6"/>
      <c r="AE5" s="123" t="s">
        <v>37</v>
      </c>
    </row>
    <row r="6" spans="1:33" ht="32.25" customHeight="1" x14ac:dyDescent="0.25">
      <c r="A6" s="119" t="s">
        <v>38</v>
      </c>
      <c r="B6" s="120" t="s">
        <v>39</v>
      </c>
      <c r="C6" s="120" t="s">
        <v>0</v>
      </c>
      <c r="D6" s="120" t="s">
        <v>40</v>
      </c>
      <c r="E6" s="127" t="s">
        <v>41</v>
      </c>
      <c r="F6" s="120" t="s">
        <v>42</v>
      </c>
      <c r="G6" s="120" t="s">
        <v>43</v>
      </c>
      <c r="H6" s="120" t="s">
        <v>44</v>
      </c>
      <c r="I6" s="127" t="s">
        <v>45</v>
      </c>
      <c r="J6" s="120" t="s">
        <v>46</v>
      </c>
      <c r="K6" s="119" t="s">
        <v>39</v>
      </c>
      <c r="L6" s="120" t="s">
        <v>0</v>
      </c>
      <c r="M6" s="120" t="s">
        <v>40</v>
      </c>
      <c r="N6" s="127" t="s">
        <v>41</v>
      </c>
      <c r="O6" s="120" t="s">
        <v>42</v>
      </c>
      <c r="P6" s="120" t="s">
        <v>43</v>
      </c>
      <c r="Q6" s="120" t="s">
        <v>44</v>
      </c>
      <c r="R6" s="120" t="s">
        <v>47</v>
      </c>
      <c r="S6" s="121" t="s">
        <v>46</v>
      </c>
      <c r="T6" s="126" t="s">
        <v>48</v>
      </c>
      <c r="U6" s="131" t="s">
        <v>49</v>
      </c>
      <c r="V6" s="138" t="s">
        <v>50</v>
      </c>
      <c r="W6" s="120" t="s">
        <v>0</v>
      </c>
      <c r="X6" s="120" t="s">
        <v>51</v>
      </c>
      <c r="Y6" s="127" t="s">
        <v>52</v>
      </c>
      <c r="Z6" s="120" t="s">
        <v>42</v>
      </c>
      <c r="AA6" s="120" t="s">
        <v>53</v>
      </c>
      <c r="AB6" s="120" t="s">
        <v>44</v>
      </c>
      <c r="AC6" s="120" t="s">
        <v>54</v>
      </c>
      <c r="AD6" s="121" t="s">
        <v>55</v>
      </c>
      <c r="AE6" s="119" t="s">
        <v>38</v>
      </c>
    </row>
    <row r="7" spans="1:33" x14ac:dyDescent="0.25">
      <c r="A7" s="118" t="s">
        <v>1</v>
      </c>
      <c r="B7" s="3">
        <v>419.96803</v>
      </c>
      <c r="C7" s="3">
        <v>358.44580999999999</v>
      </c>
      <c r="D7" s="3">
        <v>90.563336000000007</v>
      </c>
      <c r="E7" s="3">
        <v>37.143329999999999</v>
      </c>
      <c r="F7" s="3">
        <v>0</v>
      </c>
      <c r="G7" s="3">
        <v>0</v>
      </c>
      <c r="H7" s="3">
        <v>39.269599999999997</v>
      </c>
      <c r="I7" s="12">
        <f>SUM(B7:H7)</f>
        <v>945.39010599999995</v>
      </c>
      <c r="J7" s="147">
        <v>41.3</v>
      </c>
      <c r="K7" s="122">
        <f t="shared" ref="K7:K36" si="0">B7*$K$39</f>
        <v>12599.0409</v>
      </c>
      <c r="L7" s="3">
        <f t="shared" ref="L7:L36" si="1">C7*$L$39</f>
        <v>21506.748599999999</v>
      </c>
      <c r="M7" s="3">
        <f t="shared" ref="M7:M36" si="2">D7*$M$39</f>
        <v>2716.9000800000003</v>
      </c>
      <c r="N7" s="3">
        <f t="shared" ref="N7:N36" si="3">E7*$N$39</f>
        <v>742.86659999999995</v>
      </c>
      <c r="O7" s="3">
        <f t="shared" ref="O7:O36" si="4">F7*$O$39</f>
        <v>0</v>
      </c>
      <c r="P7" s="3">
        <f t="shared" ref="P7:P36" si="5">G7*$P$39</f>
        <v>0</v>
      </c>
      <c r="Q7" s="3">
        <f t="shared" ref="Q7:Q36" si="6">H7*$Q$39</f>
        <v>196.34799999999998</v>
      </c>
      <c r="R7" s="12">
        <f>SUM(K7:Q7)</f>
        <v>37761.904179999998</v>
      </c>
      <c r="S7" s="149">
        <f t="shared" ref="S7:S36" si="7">R7/I7</f>
        <v>39.943197988154111</v>
      </c>
      <c r="T7" s="129">
        <f t="shared" ref="T7:T36" si="8">J7/S7</f>
        <v>1.0339682869721216</v>
      </c>
      <c r="U7" s="136">
        <f>$U$39*$T7</f>
        <v>8.375143124474187</v>
      </c>
      <c r="V7" s="139">
        <f>$V$39*$T7</f>
        <v>22.643905484689462</v>
      </c>
      <c r="W7" s="9">
        <f>$W$39*$T7</f>
        <v>62.038097218327295</v>
      </c>
      <c r="X7" s="9">
        <f>$X$39*$T7</f>
        <v>31.019048609163647</v>
      </c>
      <c r="Y7" s="9">
        <f>$Y$39*$T7</f>
        <v>20.679365739442432</v>
      </c>
      <c r="Z7" s="9">
        <f>$Z$39*$T7</f>
        <v>41.358731478884863</v>
      </c>
      <c r="AA7" s="9">
        <f>$AA$39*$T7</f>
        <v>806.49526383825491</v>
      </c>
      <c r="AB7" s="9">
        <f>$AB$39*$T7</f>
        <v>5.1698414348606079</v>
      </c>
      <c r="AC7" s="3">
        <f>$AC$39*$T7</f>
        <v>0.39478789138935555</v>
      </c>
      <c r="AD7" s="137">
        <f>$AD$39*$T7</f>
        <v>1.7060476735040007</v>
      </c>
      <c r="AE7" s="118" t="s">
        <v>1</v>
      </c>
      <c r="AG7" s="9">
        <f>AVERAGE(U7:AD7)</f>
        <v>99.988023249299076</v>
      </c>
    </row>
    <row r="8" spans="1:33" x14ac:dyDescent="0.25">
      <c r="A8" s="118" t="s">
        <v>2</v>
      </c>
      <c r="B8" s="3">
        <v>473.38801000000001</v>
      </c>
      <c r="C8" s="3">
        <v>867.25062000000003</v>
      </c>
      <c r="D8" s="3">
        <v>283.44001300000002</v>
      </c>
      <c r="E8" s="3">
        <v>19.084685</v>
      </c>
      <c r="F8" s="3">
        <v>0</v>
      </c>
      <c r="G8" s="3">
        <v>3.6522192000000002</v>
      </c>
      <c r="H8" s="3">
        <v>122.706</v>
      </c>
      <c r="I8" s="12">
        <f t="shared" ref="I8:I36" si="9">SUM(B8:H8)</f>
        <v>1769.5215471999998</v>
      </c>
      <c r="J8" s="147">
        <v>95.3</v>
      </c>
      <c r="K8" s="122">
        <f t="shared" si="0"/>
        <v>14201.640300000001</v>
      </c>
      <c r="L8" s="3">
        <f t="shared" si="1"/>
        <v>52035.037199999999</v>
      </c>
      <c r="M8" s="3">
        <f t="shared" si="2"/>
        <v>8503.20039</v>
      </c>
      <c r="N8" s="3">
        <f t="shared" si="3"/>
        <v>381.69370000000004</v>
      </c>
      <c r="O8" s="3">
        <f t="shared" si="4"/>
        <v>0</v>
      </c>
      <c r="P8" s="3">
        <f t="shared" si="5"/>
        <v>2848.7309760000003</v>
      </c>
      <c r="Q8" s="3">
        <f t="shared" si="6"/>
        <v>613.53</v>
      </c>
      <c r="R8" s="12">
        <f t="shared" ref="R8:R36" si="10">SUM(K8:Q8)</f>
        <v>78583.832566000012</v>
      </c>
      <c r="S8" s="149">
        <f t="shared" si="7"/>
        <v>44.409649992873518</v>
      </c>
      <c r="T8" s="129">
        <f t="shared" si="8"/>
        <v>2.1459299952891531</v>
      </c>
      <c r="U8" s="136">
        <f t="shared" ref="U8:U36" si="11">$U$39*$T8</f>
        <v>17.382032961842143</v>
      </c>
      <c r="V8" s="139">
        <f t="shared" ref="V8:V36" si="12">$V$39*$T8</f>
        <v>46.995866896832446</v>
      </c>
      <c r="W8" s="9">
        <f t="shared" ref="W8:W36" si="13">$W$39*$T8</f>
        <v>128.75579971734919</v>
      </c>
      <c r="X8" s="9">
        <f t="shared" ref="X8:X36" si="14">$X$39*$T8</f>
        <v>64.377899858674596</v>
      </c>
      <c r="Y8" s="9">
        <f t="shared" ref="Y8:Y36" si="15">$Y$39*$T8</f>
        <v>42.918599905783061</v>
      </c>
      <c r="Z8" s="9">
        <f t="shared" ref="Z8:Z36" si="16">$Z$39*$T8</f>
        <v>85.837199811566123</v>
      </c>
      <c r="AA8" s="9">
        <f t="shared" ref="AA8:AA36" si="17">$AA$39*$T8</f>
        <v>1673.8253963255395</v>
      </c>
      <c r="AB8" s="9">
        <f t="shared" ref="AB8:AB36" si="18">$AB$39*$T8</f>
        <v>10.729649976445765</v>
      </c>
      <c r="AC8" s="3">
        <f t="shared" ref="AC8:AC36" si="19">$AC$39*$T8</f>
        <v>0.81935508911040389</v>
      </c>
      <c r="AD8" s="137">
        <f t="shared" ref="AD8:AD36" si="20">$AD$39*$T8</f>
        <v>3.5407844922271026</v>
      </c>
      <c r="AE8" s="118" t="s">
        <v>2</v>
      </c>
      <c r="AG8" s="9">
        <f t="shared" ref="AG8:AG35" si="21">AVERAGE(U8:AD8)</f>
        <v>207.51825850353703</v>
      </c>
    </row>
    <row r="9" spans="1:33" x14ac:dyDescent="0.25">
      <c r="A9" s="118" t="s">
        <v>3</v>
      </c>
      <c r="B9" s="3">
        <v>110.747955</v>
      </c>
      <c r="C9" s="3">
        <v>92.544995</v>
      </c>
      <c r="D9" s="3">
        <v>51.428848000000002</v>
      </c>
      <c r="E9" s="3">
        <v>104.19929999999999</v>
      </c>
      <c r="F9" s="3">
        <v>13</v>
      </c>
      <c r="G9" s="3">
        <v>2.8419999999999999E-3</v>
      </c>
      <c r="H9" s="3">
        <v>19.341200000000001</v>
      </c>
      <c r="I9" s="12">
        <f t="shared" si="9"/>
        <v>391.26514000000003</v>
      </c>
      <c r="J9" s="147">
        <v>124.5</v>
      </c>
      <c r="K9" s="122">
        <f t="shared" si="0"/>
        <v>3322.4386500000001</v>
      </c>
      <c r="L9" s="3">
        <f t="shared" si="1"/>
        <v>5552.6997000000001</v>
      </c>
      <c r="M9" s="3">
        <f t="shared" si="2"/>
        <v>1542.86544</v>
      </c>
      <c r="N9" s="3">
        <f t="shared" si="3"/>
        <v>2083.9859999999999</v>
      </c>
      <c r="O9" s="3">
        <f t="shared" si="4"/>
        <v>520</v>
      </c>
      <c r="P9" s="3">
        <f t="shared" si="5"/>
        <v>2.2167599999999998</v>
      </c>
      <c r="Q9" s="3">
        <f t="shared" si="6"/>
        <v>96.706000000000003</v>
      </c>
      <c r="R9" s="12">
        <f t="shared" si="10"/>
        <v>13120.912549999999</v>
      </c>
      <c r="S9" s="149">
        <f t="shared" si="7"/>
        <v>33.534581051611184</v>
      </c>
      <c r="T9" s="129">
        <f t="shared" si="8"/>
        <v>3.7125855190613257</v>
      </c>
      <c r="U9" s="136">
        <f t="shared" si="11"/>
        <v>30.071942704396744</v>
      </c>
      <c r="V9" s="139">
        <f t="shared" si="12"/>
        <v>81.305622867443034</v>
      </c>
      <c r="W9" s="9">
        <f t="shared" si="13"/>
        <v>222.75513114367953</v>
      </c>
      <c r="X9" s="9">
        <f t="shared" si="14"/>
        <v>111.37756557183977</v>
      </c>
      <c r="Y9" s="9">
        <f t="shared" si="15"/>
        <v>74.251710381226516</v>
      </c>
      <c r="Z9" s="9">
        <f t="shared" si="16"/>
        <v>148.50342076245303</v>
      </c>
      <c r="AA9" s="9">
        <f t="shared" si="17"/>
        <v>2895.8167048678342</v>
      </c>
      <c r="AB9" s="9">
        <f t="shared" si="18"/>
        <v>18.562927595306629</v>
      </c>
      <c r="AC9" s="3">
        <f t="shared" si="19"/>
        <v>1.4175326527325063</v>
      </c>
      <c r="AD9" s="137">
        <f t="shared" si="20"/>
        <v>6.125766106451187</v>
      </c>
      <c r="AE9" s="118" t="s">
        <v>3</v>
      </c>
      <c r="AG9" s="9">
        <f t="shared" si="21"/>
        <v>359.01883246533629</v>
      </c>
    </row>
    <row r="10" spans="1:33" x14ac:dyDescent="0.25">
      <c r="A10" s="118" t="s">
        <v>4</v>
      </c>
      <c r="B10" s="3">
        <v>95.986504999999994</v>
      </c>
      <c r="C10" s="3">
        <v>98.046310000000005</v>
      </c>
      <c r="D10" s="3">
        <v>49.065379499999999</v>
      </c>
      <c r="E10" s="3">
        <v>49.086460000000002</v>
      </c>
      <c r="F10" s="3">
        <v>26.518681000000001</v>
      </c>
      <c r="G10" s="3">
        <v>8.2501999999999992E-3</v>
      </c>
      <c r="H10" s="3">
        <v>12.064399999999999</v>
      </c>
      <c r="I10" s="12">
        <f t="shared" si="9"/>
        <v>330.77598570000004</v>
      </c>
      <c r="J10" s="147">
        <v>62.7</v>
      </c>
      <c r="K10" s="122">
        <f t="shared" si="0"/>
        <v>2879.5951499999996</v>
      </c>
      <c r="L10" s="3">
        <f t="shared" si="1"/>
        <v>5882.7786000000006</v>
      </c>
      <c r="M10" s="3">
        <f t="shared" si="2"/>
        <v>1471.9613850000001</v>
      </c>
      <c r="N10" s="3">
        <f t="shared" si="3"/>
        <v>981.72919999999999</v>
      </c>
      <c r="O10" s="3">
        <f t="shared" si="4"/>
        <v>1060.7472400000001</v>
      </c>
      <c r="P10" s="3">
        <f t="shared" si="5"/>
        <v>6.4351559999999992</v>
      </c>
      <c r="Q10" s="3">
        <f t="shared" si="6"/>
        <v>60.321999999999996</v>
      </c>
      <c r="R10" s="12">
        <f t="shared" si="10"/>
        <v>12343.568731000001</v>
      </c>
      <c r="S10" s="149">
        <f t="shared" si="7"/>
        <v>37.317003847416849</v>
      </c>
      <c r="T10" s="129">
        <f t="shared" si="8"/>
        <v>1.680199199709872</v>
      </c>
      <c r="U10" s="136">
        <f t="shared" si="11"/>
        <v>13.609613517649965</v>
      </c>
      <c r="V10" s="139">
        <f t="shared" si="12"/>
        <v>36.796362473646191</v>
      </c>
      <c r="W10" s="9">
        <f t="shared" si="13"/>
        <v>100.81195198259232</v>
      </c>
      <c r="X10" s="9">
        <f t="shared" si="14"/>
        <v>50.40597599129616</v>
      </c>
      <c r="Y10" s="9">
        <f t="shared" si="15"/>
        <v>33.603983994197442</v>
      </c>
      <c r="Z10" s="9">
        <f t="shared" si="16"/>
        <v>67.207967988394884</v>
      </c>
      <c r="AA10" s="9">
        <f t="shared" si="17"/>
        <v>1310.5553757737002</v>
      </c>
      <c r="AB10" s="9">
        <f t="shared" si="18"/>
        <v>8.4009959985493605</v>
      </c>
      <c r="AC10" s="3">
        <f t="shared" si="19"/>
        <v>0.64153060352558755</v>
      </c>
      <c r="AD10" s="137">
        <f t="shared" si="20"/>
        <v>2.7723286795212885</v>
      </c>
      <c r="AE10" s="118" t="s">
        <v>4</v>
      </c>
      <c r="AG10" s="9">
        <f t="shared" si="21"/>
        <v>162.48060870030733</v>
      </c>
    </row>
    <row r="11" spans="1:33" x14ac:dyDescent="0.25">
      <c r="A11" s="118" t="s">
        <v>5</v>
      </c>
      <c r="B11" s="3">
        <v>28.616115000000001</v>
      </c>
      <c r="C11" s="3">
        <v>45.7545</v>
      </c>
      <c r="D11" s="3">
        <v>13.485935</v>
      </c>
      <c r="E11" s="3">
        <v>54.452244999999998</v>
      </c>
      <c r="F11" s="3">
        <v>7.9619999999999997</v>
      </c>
      <c r="G11" s="3">
        <v>8.2775000000000001E-2</v>
      </c>
      <c r="H11" s="3">
        <v>1.6679999999999999</v>
      </c>
      <c r="I11" s="12">
        <f t="shared" si="9"/>
        <v>152.02157</v>
      </c>
      <c r="J11" s="147">
        <v>296.5</v>
      </c>
      <c r="K11" s="122">
        <f t="shared" si="0"/>
        <v>858.48345000000006</v>
      </c>
      <c r="L11" s="3">
        <f t="shared" si="1"/>
        <v>2745.27</v>
      </c>
      <c r="M11" s="3">
        <f t="shared" si="2"/>
        <v>404.57804999999996</v>
      </c>
      <c r="N11" s="3">
        <f t="shared" si="3"/>
        <v>1089.0448999999999</v>
      </c>
      <c r="O11" s="3">
        <f t="shared" si="4"/>
        <v>318.48</v>
      </c>
      <c r="P11" s="3">
        <f t="shared" si="5"/>
        <v>64.564499999999995</v>
      </c>
      <c r="Q11" s="3">
        <f t="shared" si="6"/>
        <v>8.34</v>
      </c>
      <c r="R11" s="12">
        <f t="shared" si="10"/>
        <v>5488.7609000000011</v>
      </c>
      <c r="S11" s="149">
        <f t="shared" si="7"/>
        <v>36.105145473764026</v>
      </c>
      <c r="T11" s="129">
        <f t="shared" si="8"/>
        <v>8.2121258925671174</v>
      </c>
      <c r="U11" s="136">
        <f t="shared" si="11"/>
        <v>66.518219729793657</v>
      </c>
      <c r="V11" s="139">
        <f t="shared" si="12"/>
        <v>179.84555704721987</v>
      </c>
      <c r="W11" s="9">
        <f t="shared" si="13"/>
        <v>492.72755355402705</v>
      </c>
      <c r="X11" s="9">
        <f t="shared" si="14"/>
        <v>246.36377677701353</v>
      </c>
      <c r="Y11" s="9">
        <f t="shared" si="15"/>
        <v>164.24251785134234</v>
      </c>
      <c r="Z11" s="9">
        <f t="shared" si="16"/>
        <v>328.48503570268468</v>
      </c>
      <c r="AA11" s="9">
        <f t="shared" si="17"/>
        <v>6405.4581962023512</v>
      </c>
      <c r="AB11" s="9">
        <f t="shared" si="18"/>
        <v>41.060629462835585</v>
      </c>
      <c r="AC11" s="3">
        <f t="shared" si="19"/>
        <v>3.1355389771619904</v>
      </c>
      <c r="AD11" s="137">
        <f t="shared" si="20"/>
        <v>13.550007722735742</v>
      </c>
      <c r="AE11" s="118" t="s">
        <v>5</v>
      </c>
      <c r="AG11" s="9">
        <f t="shared" si="21"/>
        <v>794.13870330271664</v>
      </c>
    </row>
    <row r="12" spans="1:33" x14ac:dyDescent="0.25">
      <c r="A12" s="118" t="s">
        <v>6</v>
      </c>
      <c r="B12" s="3">
        <v>289.67637500000001</v>
      </c>
      <c r="C12" s="3">
        <v>202.19246000000001</v>
      </c>
      <c r="D12" s="3">
        <v>135.16223099999999</v>
      </c>
      <c r="E12" s="3">
        <v>14.037255</v>
      </c>
      <c r="F12" s="3">
        <v>20.991</v>
      </c>
      <c r="G12" s="3">
        <v>7.2085999999999997</v>
      </c>
      <c r="H12" s="3">
        <v>39.704000000000001</v>
      </c>
      <c r="I12" s="12">
        <f t="shared" si="9"/>
        <v>708.97192099999995</v>
      </c>
      <c r="J12" s="147">
        <v>50</v>
      </c>
      <c r="K12" s="122">
        <f t="shared" si="0"/>
        <v>8690.2912500000002</v>
      </c>
      <c r="L12" s="3">
        <f t="shared" si="1"/>
        <v>12131.5476</v>
      </c>
      <c r="M12" s="3">
        <f t="shared" si="2"/>
        <v>4054.8669299999997</v>
      </c>
      <c r="N12" s="3">
        <f t="shared" si="3"/>
        <v>280.74509999999998</v>
      </c>
      <c r="O12" s="3">
        <f t="shared" si="4"/>
        <v>839.64</v>
      </c>
      <c r="P12" s="3">
        <f t="shared" si="5"/>
        <v>5622.7079999999996</v>
      </c>
      <c r="Q12" s="3">
        <f t="shared" si="6"/>
        <v>198.52</v>
      </c>
      <c r="R12" s="12">
        <f t="shared" si="10"/>
        <v>31818.318879999999</v>
      </c>
      <c r="S12" s="149">
        <f t="shared" si="7"/>
        <v>44.879519114269691</v>
      </c>
      <c r="T12" s="129">
        <f t="shared" si="8"/>
        <v>1.114093933865308</v>
      </c>
      <c r="U12" s="136">
        <f t="shared" si="11"/>
        <v>9.0241608643089961</v>
      </c>
      <c r="V12" s="139">
        <f t="shared" si="12"/>
        <v>24.398657151650244</v>
      </c>
      <c r="W12" s="9">
        <f t="shared" si="13"/>
        <v>66.845636031918474</v>
      </c>
      <c r="X12" s="9">
        <f t="shared" si="14"/>
        <v>33.422818015959237</v>
      </c>
      <c r="Y12" s="9">
        <f t="shared" si="15"/>
        <v>22.28187867730616</v>
      </c>
      <c r="Z12" s="9">
        <f t="shared" si="16"/>
        <v>44.563757354612321</v>
      </c>
      <c r="AA12" s="9">
        <f t="shared" si="17"/>
        <v>868.99326841494019</v>
      </c>
      <c r="AB12" s="9">
        <f t="shared" si="18"/>
        <v>5.5704696693265401</v>
      </c>
      <c r="AC12" s="3">
        <f t="shared" si="19"/>
        <v>0.42538132020311759</v>
      </c>
      <c r="AD12" s="137">
        <f t="shared" si="20"/>
        <v>1.8382549908777581</v>
      </c>
      <c r="AE12" s="118" t="s">
        <v>6</v>
      </c>
      <c r="AG12" s="9">
        <f t="shared" si="21"/>
        <v>107.73642824911028</v>
      </c>
    </row>
    <row r="13" spans="1:33" x14ac:dyDescent="0.25">
      <c r="A13" s="118" t="s">
        <v>7</v>
      </c>
      <c r="B13" s="3">
        <v>378.10901999999999</v>
      </c>
      <c r="C13" s="3">
        <v>1825.6647399999999</v>
      </c>
      <c r="D13" s="3">
        <v>121.47075</v>
      </c>
      <c r="E13" s="3">
        <v>11.417524999999999</v>
      </c>
      <c r="F13" s="3">
        <v>45.482999999999997</v>
      </c>
      <c r="G13" s="3">
        <v>0</v>
      </c>
      <c r="H13" s="3">
        <v>70</v>
      </c>
      <c r="I13" s="12">
        <f t="shared" si="9"/>
        <v>2452.145035</v>
      </c>
      <c r="J13" s="147">
        <v>33.4</v>
      </c>
      <c r="K13" s="122">
        <f t="shared" si="0"/>
        <v>11343.2706</v>
      </c>
      <c r="L13" s="3">
        <f t="shared" si="1"/>
        <v>109539.8844</v>
      </c>
      <c r="M13" s="3">
        <f t="shared" si="2"/>
        <v>3644.1224999999999</v>
      </c>
      <c r="N13" s="3">
        <f t="shared" si="3"/>
        <v>228.35049999999998</v>
      </c>
      <c r="O13" s="3">
        <f t="shared" si="4"/>
        <v>1819.32</v>
      </c>
      <c r="P13" s="3">
        <f t="shared" si="5"/>
        <v>0</v>
      </c>
      <c r="Q13" s="3">
        <f t="shared" si="6"/>
        <v>350</v>
      </c>
      <c r="R13" s="12">
        <f t="shared" si="10"/>
        <v>126924.948</v>
      </c>
      <c r="S13" s="149">
        <f t="shared" si="7"/>
        <v>51.760783391019935</v>
      </c>
      <c r="T13" s="129">
        <f t="shared" si="8"/>
        <v>0.64527616878755778</v>
      </c>
      <c r="U13" s="136">
        <f t="shared" si="11"/>
        <v>5.2267369671792192</v>
      </c>
      <c r="V13" s="139">
        <f t="shared" si="12"/>
        <v>14.131548096447515</v>
      </c>
      <c r="W13" s="9">
        <f t="shared" si="13"/>
        <v>38.716570127253469</v>
      </c>
      <c r="X13" s="9">
        <f t="shared" si="14"/>
        <v>19.358285063626735</v>
      </c>
      <c r="Y13" s="9">
        <f t="shared" si="15"/>
        <v>12.905523375751155</v>
      </c>
      <c r="Z13" s="9">
        <f t="shared" si="16"/>
        <v>25.81104675150231</v>
      </c>
      <c r="AA13" s="9">
        <f t="shared" si="17"/>
        <v>503.31541165429508</v>
      </c>
      <c r="AB13" s="9">
        <f t="shared" si="18"/>
        <v>3.2263808439377888</v>
      </c>
      <c r="AC13" s="3">
        <f t="shared" si="19"/>
        <v>0.24637817353706754</v>
      </c>
      <c r="AD13" s="137">
        <f t="shared" si="20"/>
        <v>1.0647056784994702</v>
      </c>
      <c r="AE13" s="118" t="s">
        <v>7</v>
      </c>
      <c r="AG13" s="9">
        <f t="shared" si="21"/>
        <v>62.400258673202984</v>
      </c>
    </row>
    <row r="14" spans="1:33" x14ac:dyDescent="0.25">
      <c r="A14" s="118" t="s">
        <v>8</v>
      </c>
      <c r="B14" s="3">
        <v>58.225405000000002</v>
      </c>
      <c r="C14" s="3">
        <v>43.030205000000002</v>
      </c>
      <c r="D14" s="3">
        <v>2.3760965000000001</v>
      </c>
      <c r="E14" s="3">
        <v>5.1229199999999997</v>
      </c>
      <c r="F14" s="3">
        <v>0.84899999999999998</v>
      </c>
      <c r="G14" s="3">
        <v>5.4739999999999997E-4</v>
      </c>
      <c r="H14" s="3">
        <v>4.8163999999999998</v>
      </c>
      <c r="I14" s="12">
        <f t="shared" si="9"/>
        <v>114.42057390000001</v>
      </c>
      <c r="J14" s="147">
        <v>46.6</v>
      </c>
      <c r="K14" s="122">
        <f t="shared" si="0"/>
        <v>1746.76215</v>
      </c>
      <c r="L14" s="3">
        <f t="shared" si="1"/>
        <v>2581.8123000000001</v>
      </c>
      <c r="M14" s="3">
        <f t="shared" si="2"/>
        <v>71.282894999999996</v>
      </c>
      <c r="N14" s="3">
        <f t="shared" si="3"/>
        <v>102.4584</v>
      </c>
      <c r="O14" s="3">
        <f t="shared" si="4"/>
        <v>33.96</v>
      </c>
      <c r="P14" s="3">
        <f t="shared" si="5"/>
        <v>0.42697199999999996</v>
      </c>
      <c r="Q14" s="3">
        <f t="shared" si="6"/>
        <v>24.082000000000001</v>
      </c>
      <c r="R14" s="12">
        <f t="shared" si="10"/>
        <v>4560.7847170000014</v>
      </c>
      <c r="S14" s="149">
        <f t="shared" si="7"/>
        <v>39.859830811423691</v>
      </c>
      <c r="T14" s="129">
        <f t="shared" si="8"/>
        <v>1.1690967836884194</v>
      </c>
      <c r="U14" s="136">
        <f t="shared" si="11"/>
        <v>9.4696839478761987</v>
      </c>
      <c r="V14" s="139">
        <f t="shared" si="12"/>
        <v>25.603219562776385</v>
      </c>
      <c r="W14" s="9">
        <f t="shared" si="13"/>
        <v>70.14580702130516</v>
      </c>
      <c r="X14" s="9">
        <f t="shared" si="14"/>
        <v>35.07290351065258</v>
      </c>
      <c r="Y14" s="9">
        <f t="shared" si="15"/>
        <v>23.381935673768389</v>
      </c>
      <c r="Z14" s="9">
        <f t="shared" si="16"/>
        <v>46.763871347536778</v>
      </c>
      <c r="AA14" s="9">
        <f t="shared" si="17"/>
        <v>911.89549127696716</v>
      </c>
      <c r="AB14" s="9">
        <f t="shared" si="18"/>
        <v>5.8454839184420972</v>
      </c>
      <c r="AC14" s="3">
        <f t="shared" si="19"/>
        <v>0.44638240831739651</v>
      </c>
      <c r="AD14" s="137">
        <f t="shared" si="20"/>
        <v>1.929009693085892</v>
      </c>
      <c r="AE14" s="118" t="s">
        <v>8</v>
      </c>
      <c r="AG14" s="9">
        <f t="shared" si="21"/>
        <v>113.0553788360728</v>
      </c>
    </row>
    <row r="15" spans="1:33" x14ac:dyDescent="0.25">
      <c r="A15" s="118" t="s">
        <v>9</v>
      </c>
      <c r="B15" s="3">
        <v>202.66030000000001</v>
      </c>
      <c r="C15" s="3">
        <v>147.65084999999999</v>
      </c>
      <c r="D15" s="3">
        <v>86.655360000000002</v>
      </c>
      <c r="E15" s="3">
        <v>11.04965</v>
      </c>
      <c r="F15" s="3">
        <v>14.398999999999999</v>
      </c>
      <c r="G15" s="3">
        <v>0</v>
      </c>
      <c r="H15" s="3">
        <v>29.6</v>
      </c>
      <c r="I15" s="12">
        <f t="shared" si="9"/>
        <v>492.01515999999998</v>
      </c>
      <c r="J15" s="147">
        <v>17</v>
      </c>
      <c r="K15" s="122">
        <f t="shared" si="0"/>
        <v>6079.8090000000002</v>
      </c>
      <c r="L15" s="3">
        <f t="shared" si="1"/>
        <v>8859.0509999999995</v>
      </c>
      <c r="M15" s="3">
        <f t="shared" si="2"/>
        <v>2599.6608000000001</v>
      </c>
      <c r="N15" s="3">
        <f t="shared" si="3"/>
        <v>220.99299999999999</v>
      </c>
      <c r="O15" s="3">
        <f t="shared" si="4"/>
        <v>575.95999999999992</v>
      </c>
      <c r="P15" s="3">
        <f t="shared" si="5"/>
        <v>0</v>
      </c>
      <c r="Q15" s="3">
        <f t="shared" si="6"/>
        <v>148</v>
      </c>
      <c r="R15" s="12">
        <f t="shared" si="10"/>
        <v>18483.4738</v>
      </c>
      <c r="S15" s="149">
        <f t="shared" si="7"/>
        <v>37.566878630325135</v>
      </c>
      <c r="T15" s="129">
        <f t="shared" si="8"/>
        <v>0.45252628431783204</v>
      </c>
      <c r="U15" s="136">
        <f t="shared" si="11"/>
        <v>3.6654629029744403</v>
      </c>
      <c r="V15" s="139">
        <f t="shared" si="12"/>
        <v>9.9103256265605211</v>
      </c>
      <c r="W15" s="9">
        <f t="shared" si="13"/>
        <v>27.151577059069922</v>
      </c>
      <c r="X15" s="9">
        <f t="shared" si="14"/>
        <v>13.575788529534961</v>
      </c>
      <c r="Y15" s="9">
        <f t="shared" si="15"/>
        <v>9.0505256863566412</v>
      </c>
      <c r="Z15" s="9">
        <f t="shared" si="16"/>
        <v>18.101051372713282</v>
      </c>
      <c r="AA15" s="9">
        <f t="shared" si="17"/>
        <v>352.97050176790901</v>
      </c>
      <c r="AB15" s="9">
        <f t="shared" si="18"/>
        <v>2.2626314215891603</v>
      </c>
      <c r="AC15" s="3">
        <f t="shared" si="19"/>
        <v>0.17278276310317223</v>
      </c>
      <c r="AD15" s="137">
        <f t="shared" si="20"/>
        <v>0.7466683691244228</v>
      </c>
      <c r="AE15" s="118" t="s">
        <v>9</v>
      </c>
      <c r="AG15" s="9">
        <f t="shared" si="21"/>
        <v>43.760731549893549</v>
      </c>
    </row>
    <row r="16" spans="1:33" x14ac:dyDescent="0.25">
      <c r="A16" s="118" t="s">
        <v>10</v>
      </c>
      <c r="B16" s="3">
        <v>2961.4261700000002</v>
      </c>
      <c r="C16" s="3">
        <v>1773.713475</v>
      </c>
      <c r="D16" s="3">
        <v>1054.7177879999999</v>
      </c>
      <c r="E16" s="3">
        <v>627.32559000000003</v>
      </c>
      <c r="F16" s="3">
        <v>44.86</v>
      </c>
      <c r="G16" s="3">
        <v>38.532200000000003</v>
      </c>
      <c r="H16" s="3">
        <v>257.52999999999997</v>
      </c>
      <c r="I16" s="12">
        <f t="shared" si="9"/>
        <v>6758.1052229999996</v>
      </c>
      <c r="J16" s="147">
        <v>51.7</v>
      </c>
      <c r="K16" s="122">
        <f t="shared" si="0"/>
        <v>88842.785100000008</v>
      </c>
      <c r="L16" s="3">
        <f t="shared" si="1"/>
        <v>106422.8085</v>
      </c>
      <c r="M16" s="3">
        <f t="shared" si="2"/>
        <v>31641.533639999998</v>
      </c>
      <c r="N16" s="3">
        <f t="shared" si="3"/>
        <v>12546.5118</v>
      </c>
      <c r="O16" s="3">
        <f t="shared" si="4"/>
        <v>1794.4</v>
      </c>
      <c r="P16" s="3">
        <f t="shared" si="5"/>
        <v>30055.116000000002</v>
      </c>
      <c r="Q16" s="3">
        <f t="shared" si="6"/>
        <v>1287.6499999999999</v>
      </c>
      <c r="R16" s="12">
        <f t="shared" si="10"/>
        <v>272590.80504000006</v>
      </c>
      <c r="S16" s="149">
        <f t="shared" si="7"/>
        <v>40.335389291111674</v>
      </c>
      <c r="T16" s="129">
        <f t="shared" si="8"/>
        <v>1.2817528455438172</v>
      </c>
      <c r="U16" s="136">
        <f t="shared" si="11"/>
        <v>10.382198048904922</v>
      </c>
      <c r="V16" s="139">
        <f t="shared" si="12"/>
        <v>28.070387317409594</v>
      </c>
      <c r="W16" s="9">
        <f t="shared" si="13"/>
        <v>76.905170732629031</v>
      </c>
      <c r="X16" s="9">
        <f t="shared" si="14"/>
        <v>38.452585366314516</v>
      </c>
      <c r="Y16" s="9">
        <f t="shared" si="15"/>
        <v>25.635056910876344</v>
      </c>
      <c r="Z16" s="9">
        <f t="shared" si="16"/>
        <v>51.270113821752687</v>
      </c>
      <c r="AA16" s="9">
        <f t="shared" si="17"/>
        <v>999.76721952417745</v>
      </c>
      <c r="AB16" s="9">
        <f t="shared" si="18"/>
        <v>6.4087642277190859</v>
      </c>
      <c r="AC16" s="3">
        <f t="shared" si="19"/>
        <v>0.48939654102582114</v>
      </c>
      <c r="AD16" s="137">
        <f t="shared" si="20"/>
        <v>2.1148921951472981</v>
      </c>
      <c r="AE16" s="118" t="s">
        <v>10</v>
      </c>
      <c r="AG16" s="9">
        <f t="shared" si="21"/>
        <v>123.94957846859567</v>
      </c>
    </row>
    <row r="17" spans="1:33" x14ac:dyDescent="0.25">
      <c r="A17" s="118" t="s">
        <v>11</v>
      </c>
      <c r="B17" s="3">
        <v>2838.2139499999998</v>
      </c>
      <c r="C17" s="3">
        <v>3544.8249799999999</v>
      </c>
      <c r="D17" s="3">
        <v>992.45430599999997</v>
      </c>
      <c r="E17" s="3">
        <v>134.25932</v>
      </c>
      <c r="F17" s="3">
        <v>18.266999999999999</v>
      </c>
      <c r="G17" s="3">
        <v>23.132480000000001</v>
      </c>
      <c r="H17" s="3">
        <v>520</v>
      </c>
      <c r="I17" s="12">
        <f t="shared" si="9"/>
        <v>8071.1520359999995</v>
      </c>
      <c r="J17" s="147">
        <v>73.2</v>
      </c>
      <c r="K17" s="122">
        <f t="shared" si="0"/>
        <v>85146.4185</v>
      </c>
      <c r="L17" s="3">
        <f t="shared" si="1"/>
        <v>212689.4988</v>
      </c>
      <c r="M17" s="3">
        <f t="shared" si="2"/>
        <v>29773.62918</v>
      </c>
      <c r="N17" s="3">
        <f t="shared" si="3"/>
        <v>2685.1864</v>
      </c>
      <c r="O17" s="3">
        <f t="shared" si="4"/>
        <v>730.68</v>
      </c>
      <c r="P17" s="3">
        <f t="shared" si="5"/>
        <v>18043.3344</v>
      </c>
      <c r="Q17" s="3">
        <f t="shared" si="6"/>
        <v>2600</v>
      </c>
      <c r="R17" s="12">
        <f t="shared" si="10"/>
        <v>351668.74727999995</v>
      </c>
      <c r="S17" s="149">
        <f t="shared" si="7"/>
        <v>43.571072098684475</v>
      </c>
      <c r="T17" s="129">
        <f t="shared" si="8"/>
        <v>1.6800137447664525</v>
      </c>
      <c r="U17" s="136">
        <f t="shared" si="11"/>
        <v>13.608111332608267</v>
      </c>
      <c r="V17" s="139">
        <f t="shared" si="12"/>
        <v>36.792301010385309</v>
      </c>
      <c r="W17" s="9">
        <f t="shared" si="13"/>
        <v>100.80082468598715</v>
      </c>
      <c r="X17" s="9">
        <f t="shared" si="14"/>
        <v>50.400412342993576</v>
      </c>
      <c r="Y17" s="9">
        <f t="shared" si="15"/>
        <v>33.600274895329051</v>
      </c>
      <c r="Z17" s="9">
        <f t="shared" si="16"/>
        <v>67.200549790658101</v>
      </c>
      <c r="AA17" s="9">
        <f t="shared" si="17"/>
        <v>1310.410720917833</v>
      </c>
      <c r="AB17" s="9">
        <f t="shared" si="18"/>
        <v>8.4000687238322627</v>
      </c>
      <c r="AC17" s="3">
        <f t="shared" si="19"/>
        <v>0.6414597934562819</v>
      </c>
      <c r="AD17" s="137">
        <f t="shared" si="20"/>
        <v>2.7720226788646465</v>
      </c>
      <c r="AE17" s="118" t="s">
        <v>11</v>
      </c>
      <c r="AG17" s="9">
        <f t="shared" si="21"/>
        <v>162.46267461719475</v>
      </c>
    </row>
    <row r="18" spans="1:33" x14ac:dyDescent="0.25">
      <c r="A18" s="118" t="s">
        <v>12</v>
      </c>
      <c r="B18" s="3">
        <v>74.060505000000006</v>
      </c>
      <c r="C18" s="3">
        <v>101.38957499999999</v>
      </c>
      <c r="D18" s="3">
        <v>145.79785999999999</v>
      </c>
      <c r="E18" s="3">
        <v>661.37144000000001</v>
      </c>
      <c r="F18" s="3">
        <v>112.9147</v>
      </c>
      <c r="G18" s="3">
        <v>2.1253806000000002</v>
      </c>
      <c r="H18" s="3">
        <v>2.2023999999999999</v>
      </c>
      <c r="I18" s="12">
        <f t="shared" si="9"/>
        <v>1099.8618605999998</v>
      </c>
      <c r="J18" s="147">
        <v>108.8</v>
      </c>
      <c r="K18" s="122">
        <f t="shared" si="0"/>
        <v>2221.8151500000004</v>
      </c>
      <c r="L18" s="3">
        <f t="shared" si="1"/>
        <v>6083.3744999999999</v>
      </c>
      <c r="M18" s="3">
        <f t="shared" si="2"/>
        <v>4373.9357999999993</v>
      </c>
      <c r="N18" s="3">
        <f t="shared" si="3"/>
        <v>13227.4288</v>
      </c>
      <c r="O18" s="3">
        <f t="shared" si="4"/>
        <v>4516.5879999999997</v>
      </c>
      <c r="P18" s="3">
        <f t="shared" si="5"/>
        <v>1657.7968680000001</v>
      </c>
      <c r="Q18" s="3">
        <f t="shared" si="6"/>
        <v>11.012</v>
      </c>
      <c r="R18" s="12">
        <f t="shared" si="10"/>
        <v>32091.951118000001</v>
      </c>
      <c r="S18" s="149">
        <f t="shared" si="7"/>
        <v>29.178165247491268</v>
      </c>
      <c r="T18" s="129">
        <f t="shared" si="8"/>
        <v>3.7288156769677148</v>
      </c>
      <c r="U18" s="136">
        <f t="shared" si="11"/>
        <v>30.203406983438494</v>
      </c>
      <c r="V18" s="139">
        <f t="shared" si="12"/>
        <v>81.661063325592949</v>
      </c>
      <c r="W18" s="9">
        <f t="shared" si="13"/>
        <v>223.72894061806289</v>
      </c>
      <c r="X18" s="9">
        <f t="shared" si="14"/>
        <v>111.86447030903145</v>
      </c>
      <c r="Y18" s="9">
        <f t="shared" si="15"/>
        <v>74.576313539354288</v>
      </c>
      <c r="Z18" s="9">
        <f t="shared" si="16"/>
        <v>149.15262707870858</v>
      </c>
      <c r="AA18" s="9">
        <f t="shared" si="17"/>
        <v>2908.4762280348177</v>
      </c>
      <c r="AB18" s="9">
        <f t="shared" si="18"/>
        <v>18.644078384838572</v>
      </c>
      <c r="AC18" s="3">
        <f t="shared" si="19"/>
        <v>1.4237296221149458</v>
      </c>
      <c r="AD18" s="137">
        <f t="shared" si="20"/>
        <v>6.1525458669967295</v>
      </c>
      <c r="AE18" s="118" t="s">
        <v>12</v>
      </c>
      <c r="AG18" s="9">
        <f t="shared" si="21"/>
        <v>360.5883403762956</v>
      </c>
    </row>
    <row r="19" spans="1:33" x14ac:dyDescent="0.25">
      <c r="A19" s="118" t="s">
        <v>13</v>
      </c>
      <c r="B19" s="3">
        <v>190.633275</v>
      </c>
      <c r="C19" s="3">
        <v>340.00234</v>
      </c>
      <c r="D19" s="3">
        <v>189.752127</v>
      </c>
      <c r="E19" s="3">
        <v>74.487080000000006</v>
      </c>
      <c r="F19" s="3">
        <v>21.184000000000001</v>
      </c>
      <c r="G19" s="3">
        <v>5.3052454000000004</v>
      </c>
      <c r="H19" s="3">
        <v>24.4</v>
      </c>
      <c r="I19" s="12">
        <f t="shared" si="9"/>
        <v>845.76406739999993</v>
      </c>
      <c r="J19" s="147">
        <v>155.6</v>
      </c>
      <c r="K19" s="122">
        <f t="shared" si="0"/>
        <v>5718.9982499999996</v>
      </c>
      <c r="L19" s="3">
        <f t="shared" si="1"/>
        <v>20400.1404</v>
      </c>
      <c r="M19" s="3">
        <f t="shared" si="2"/>
        <v>5692.5638099999996</v>
      </c>
      <c r="N19" s="3">
        <f t="shared" si="3"/>
        <v>1489.7416000000001</v>
      </c>
      <c r="O19" s="3">
        <f t="shared" si="4"/>
        <v>847.36</v>
      </c>
      <c r="P19" s="3">
        <f t="shared" si="5"/>
        <v>4138.0914120000007</v>
      </c>
      <c r="Q19" s="3">
        <f t="shared" si="6"/>
        <v>122</v>
      </c>
      <c r="R19" s="12">
        <f t="shared" si="10"/>
        <v>38408.895472000004</v>
      </c>
      <c r="S19" s="149">
        <f t="shared" si="7"/>
        <v>45.413250518048677</v>
      </c>
      <c r="T19" s="129">
        <f t="shared" si="8"/>
        <v>3.4263127660980706</v>
      </c>
      <c r="U19" s="136">
        <f t="shared" si="11"/>
        <v>27.753133405394376</v>
      </c>
      <c r="V19" s="139">
        <f t="shared" si="12"/>
        <v>75.036249577547736</v>
      </c>
      <c r="W19" s="9">
        <f t="shared" si="13"/>
        <v>205.57876596588423</v>
      </c>
      <c r="X19" s="9">
        <f t="shared" si="14"/>
        <v>102.78938298294212</v>
      </c>
      <c r="Y19" s="9">
        <f t="shared" si="15"/>
        <v>68.526255321961415</v>
      </c>
      <c r="Z19" s="9">
        <f t="shared" si="16"/>
        <v>137.05251064392283</v>
      </c>
      <c r="AA19" s="9">
        <f t="shared" si="17"/>
        <v>2672.5239575564951</v>
      </c>
      <c r="AB19" s="9">
        <f t="shared" si="18"/>
        <v>17.131563830490354</v>
      </c>
      <c r="AC19" s="3">
        <f t="shared" si="19"/>
        <v>1.3082285106919906</v>
      </c>
      <c r="AD19" s="137">
        <f t="shared" si="20"/>
        <v>5.6534160640618163</v>
      </c>
      <c r="AE19" s="118" t="s">
        <v>13</v>
      </c>
      <c r="AG19" s="9">
        <f t="shared" si="21"/>
        <v>331.3353463859392</v>
      </c>
    </row>
    <row r="20" spans="1:33" x14ac:dyDescent="0.25">
      <c r="A20" s="118" t="s">
        <v>14</v>
      </c>
      <c r="B20" s="3">
        <v>19.35615</v>
      </c>
      <c r="C20" s="3">
        <v>5.8101599999999998</v>
      </c>
      <c r="D20" s="3">
        <v>5.7296849999999999</v>
      </c>
      <c r="E20" s="3">
        <v>39.172550000000001</v>
      </c>
      <c r="F20" s="3">
        <v>53.136000000000003</v>
      </c>
      <c r="G20" s="3">
        <v>1.008E-4</v>
      </c>
      <c r="H20" s="3">
        <v>21.627600000000001</v>
      </c>
      <c r="I20" s="12">
        <f t="shared" si="9"/>
        <v>144.83224580000001</v>
      </c>
      <c r="J20" s="147">
        <v>3.6</v>
      </c>
      <c r="K20" s="122">
        <f t="shared" si="0"/>
        <v>580.68449999999996</v>
      </c>
      <c r="L20" s="3">
        <f t="shared" si="1"/>
        <v>348.6096</v>
      </c>
      <c r="M20" s="3">
        <f t="shared" si="2"/>
        <v>171.89054999999999</v>
      </c>
      <c r="N20" s="3">
        <f t="shared" si="3"/>
        <v>783.45100000000002</v>
      </c>
      <c r="O20" s="3">
        <f t="shared" si="4"/>
        <v>2125.44</v>
      </c>
      <c r="P20" s="3">
        <f t="shared" si="5"/>
        <v>7.8623999999999999E-2</v>
      </c>
      <c r="Q20" s="3">
        <f t="shared" si="6"/>
        <v>108.13800000000001</v>
      </c>
      <c r="R20" s="12">
        <f t="shared" si="10"/>
        <v>4118.2922740000004</v>
      </c>
      <c r="S20" s="149">
        <f t="shared" si="7"/>
        <v>28.434912758909938</v>
      </c>
      <c r="T20" s="129">
        <f t="shared" si="8"/>
        <v>0.12660492509764984</v>
      </c>
      <c r="U20" s="136">
        <f t="shared" si="11"/>
        <v>1.0254998932909638</v>
      </c>
      <c r="V20" s="139">
        <f t="shared" si="12"/>
        <v>2.7726478596385311</v>
      </c>
      <c r="W20" s="9">
        <f t="shared" si="13"/>
        <v>7.5962955058589907</v>
      </c>
      <c r="X20" s="9">
        <f t="shared" si="14"/>
        <v>3.7981477529294954</v>
      </c>
      <c r="Y20" s="9">
        <f t="shared" si="15"/>
        <v>2.5320985019529969</v>
      </c>
      <c r="Z20" s="9">
        <f t="shared" si="16"/>
        <v>5.0641970039059938</v>
      </c>
      <c r="AA20" s="9">
        <f t="shared" si="17"/>
        <v>98.751841576166882</v>
      </c>
      <c r="AB20" s="9">
        <f t="shared" si="18"/>
        <v>0.63302462548824923</v>
      </c>
      <c r="AC20" s="3">
        <f t="shared" si="19"/>
        <v>4.8340062310011762E-2</v>
      </c>
      <c r="AD20" s="137">
        <f t="shared" si="20"/>
        <v>0.20889812641112224</v>
      </c>
      <c r="AE20" s="118" t="s">
        <v>14</v>
      </c>
      <c r="AG20" s="9">
        <f t="shared" si="21"/>
        <v>12.243099090795324</v>
      </c>
    </row>
    <row r="21" spans="1:33" x14ac:dyDescent="0.25">
      <c r="A21" s="118" t="s">
        <v>15</v>
      </c>
      <c r="B21" s="3">
        <v>1298.03235</v>
      </c>
      <c r="C21" s="3">
        <v>296.27386999999999</v>
      </c>
      <c r="D21" s="3">
        <v>105.616519</v>
      </c>
      <c r="E21" s="3">
        <v>353.58346</v>
      </c>
      <c r="F21" s="3">
        <v>42.64</v>
      </c>
      <c r="G21" s="3">
        <v>0</v>
      </c>
      <c r="H21" s="3">
        <v>100</v>
      </c>
      <c r="I21" s="12">
        <f t="shared" si="9"/>
        <v>2196.1461989999998</v>
      </c>
      <c r="J21" s="147">
        <v>42.4</v>
      </c>
      <c r="K21" s="122">
        <f t="shared" si="0"/>
        <v>38940.970499999996</v>
      </c>
      <c r="L21" s="3">
        <f t="shared" si="1"/>
        <v>17776.432199999999</v>
      </c>
      <c r="M21" s="3">
        <f t="shared" si="2"/>
        <v>3168.49557</v>
      </c>
      <c r="N21" s="3">
        <f t="shared" si="3"/>
        <v>7071.6692000000003</v>
      </c>
      <c r="O21" s="3">
        <f t="shared" si="4"/>
        <v>1705.6</v>
      </c>
      <c r="P21" s="3">
        <f t="shared" si="5"/>
        <v>0</v>
      </c>
      <c r="Q21" s="3">
        <f t="shared" si="6"/>
        <v>500</v>
      </c>
      <c r="R21" s="12">
        <f t="shared" si="10"/>
        <v>69163.16747</v>
      </c>
      <c r="S21" s="149">
        <f t="shared" si="7"/>
        <v>31.492970505102519</v>
      </c>
      <c r="T21" s="129">
        <f t="shared" si="8"/>
        <v>1.346332191595909</v>
      </c>
      <c r="U21" s="136">
        <f t="shared" si="11"/>
        <v>10.905290751926865</v>
      </c>
      <c r="V21" s="139">
        <f t="shared" si="12"/>
        <v>29.484674995950407</v>
      </c>
      <c r="W21" s="9">
        <f t="shared" si="13"/>
        <v>80.779931495754539</v>
      </c>
      <c r="X21" s="9">
        <f t="shared" si="14"/>
        <v>40.38996574787727</v>
      </c>
      <c r="Y21" s="9">
        <f t="shared" si="15"/>
        <v>26.926643831918181</v>
      </c>
      <c r="Z21" s="9">
        <f t="shared" si="16"/>
        <v>53.853287663836362</v>
      </c>
      <c r="AA21" s="9">
        <f t="shared" si="17"/>
        <v>1050.139109444809</v>
      </c>
      <c r="AB21" s="9">
        <f t="shared" si="18"/>
        <v>6.7316609579795452</v>
      </c>
      <c r="AC21" s="3">
        <f t="shared" si="19"/>
        <v>0.514054109518438</v>
      </c>
      <c r="AD21" s="137">
        <f t="shared" si="20"/>
        <v>2.2214481161332498</v>
      </c>
      <c r="AE21" s="118" t="s">
        <v>15</v>
      </c>
      <c r="AG21" s="9">
        <f t="shared" si="21"/>
        <v>130.19460671157037</v>
      </c>
    </row>
    <row r="22" spans="1:33" x14ac:dyDescent="0.25">
      <c r="A22" s="118" t="s">
        <v>16</v>
      </c>
      <c r="B22" s="3">
        <v>1469.022915</v>
      </c>
      <c r="C22" s="3">
        <v>802.80856000000006</v>
      </c>
      <c r="D22" s="3">
        <v>759.29307600000004</v>
      </c>
      <c r="E22" s="3">
        <v>549.99334999999996</v>
      </c>
      <c r="F22" s="3">
        <v>62.15</v>
      </c>
      <c r="G22" s="3">
        <v>28.7</v>
      </c>
      <c r="H22" s="3">
        <v>140.6036</v>
      </c>
      <c r="I22" s="12">
        <f t="shared" si="9"/>
        <v>3812.5715009999994</v>
      </c>
      <c r="J22" s="147">
        <v>173.5</v>
      </c>
      <c r="K22" s="122">
        <f t="shared" si="0"/>
        <v>44070.687449999998</v>
      </c>
      <c r="L22" s="3">
        <f t="shared" si="1"/>
        <v>48168.513600000006</v>
      </c>
      <c r="M22" s="3">
        <f t="shared" si="2"/>
        <v>22778.792280000001</v>
      </c>
      <c r="N22" s="3">
        <f t="shared" si="3"/>
        <v>10999.866999999998</v>
      </c>
      <c r="O22" s="3">
        <f t="shared" si="4"/>
        <v>2486</v>
      </c>
      <c r="P22" s="3">
        <f t="shared" si="5"/>
        <v>22386</v>
      </c>
      <c r="Q22" s="3">
        <f t="shared" si="6"/>
        <v>703.01800000000003</v>
      </c>
      <c r="R22" s="12">
        <f t="shared" si="10"/>
        <v>151592.87833000001</v>
      </c>
      <c r="S22" s="149">
        <f t="shared" si="7"/>
        <v>39.761320749063643</v>
      </c>
      <c r="T22" s="129">
        <f t="shared" si="8"/>
        <v>4.3635371444266182</v>
      </c>
      <c r="U22" s="136">
        <f t="shared" si="11"/>
        <v>35.344650869855613</v>
      </c>
      <c r="V22" s="139">
        <f t="shared" si="12"/>
        <v>95.561463462942939</v>
      </c>
      <c r="W22" s="9">
        <f t="shared" si="13"/>
        <v>261.8122286655971</v>
      </c>
      <c r="X22" s="9">
        <f t="shared" si="14"/>
        <v>130.90611433279855</v>
      </c>
      <c r="Y22" s="9">
        <f t="shared" si="15"/>
        <v>87.270742888532368</v>
      </c>
      <c r="Z22" s="9">
        <f t="shared" si="16"/>
        <v>174.54148577706474</v>
      </c>
      <c r="AA22" s="9">
        <f t="shared" si="17"/>
        <v>3403.5589726527623</v>
      </c>
      <c r="AB22" s="9">
        <f t="shared" si="18"/>
        <v>21.817685722133092</v>
      </c>
      <c r="AC22" s="3">
        <f t="shared" si="19"/>
        <v>1.6660778187810725</v>
      </c>
      <c r="AD22" s="137">
        <f t="shared" si="20"/>
        <v>7.1998362883039198</v>
      </c>
      <c r="AE22" s="118" t="s">
        <v>16</v>
      </c>
      <c r="AG22" s="9">
        <f t="shared" si="21"/>
        <v>421.96792584787715</v>
      </c>
    </row>
    <row r="23" spans="1:33" x14ac:dyDescent="0.25">
      <c r="A23" s="118" t="s">
        <v>17</v>
      </c>
      <c r="B23" s="3">
        <v>85.096485000000001</v>
      </c>
      <c r="C23" s="3">
        <v>33.424460000000003</v>
      </c>
      <c r="D23" s="3">
        <v>23.358417500000002</v>
      </c>
      <c r="E23" s="3">
        <v>7.3127800000000001</v>
      </c>
      <c r="F23" s="3">
        <v>0</v>
      </c>
      <c r="G23" s="3">
        <v>2.9826999999999999E-2</v>
      </c>
      <c r="H23" s="3">
        <v>3.3727999999999998</v>
      </c>
      <c r="I23" s="12">
        <f t="shared" si="9"/>
        <v>152.59476950000004</v>
      </c>
      <c r="J23" s="147">
        <v>25.5</v>
      </c>
      <c r="K23" s="122">
        <f t="shared" si="0"/>
        <v>2552.89455</v>
      </c>
      <c r="L23" s="3">
        <f t="shared" si="1"/>
        <v>2005.4676000000002</v>
      </c>
      <c r="M23" s="3">
        <f t="shared" si="2"/>
        <v>700.75252500000011</v>
      </c>
      <c r="N23" s="3">
        <f t="shared" si="3"/>
        <v>146.25560000000002</v>
      </c>
      <c r="O23" s="3">
        <f t="shared" si="4"/>
        <v>0</v>
      </c>
      <c r="P23" s="3">
        <f t="shared" si="5"/>
        <v>23.265059999999998</v>
      </c>
      <c r="Q23" s="3">
        <f t="shared" si="6"/>
        <v>16.863999999999997</v>
      </c>
      <c r="R23" s="12">
        <f t="shared" si="10"/>
        <v>5445.4993349999995</v>
      </c>
      <c r="S23" s="149">
        <f t="shared" si="7"/>
        <v>35.686015666480614</v>
      </c>
      <c r="T23" s="129">
        <f t="shared" si="8"/>
        <v>0.71456562252063915</v>
      </c>
      <c r="U23" s="136">
        <f t="shared" si="11"/>
        <v>5.7879815424171781</v>
      </c>
      <c r="V23" s="139">
        <f t="shared" si="12"/>
        <v>15.648987133201997</v>
      </c>
      <c r="W23" s="9">
        <f t="shared" si="13"/>
        <v>42.873937351238347</v>
      </c>
      <c r="X23" s="9">
        <f t="shared" si="14"/>
        <v>21.436968675619173</v>
      </c>
      <c r="Y23" s="9">
        <f t="shared" si="15"/>
        <v>14.291312450412782</v>
      </c>
      <c r="Z23" s="9">
        <f t="shared" si="16"/>
        <v>28.582624900825564</v>
      </c>
      <c r="AA23" s="9">
        <f t="shared" si="17"/>
        <v>557.36118556609858</v>
      </c>
      <c r="AB23" s="9">
        <f t="shared" si="18"/>
        <v>3.5728281126031955</v>
      </c>
      <c r="AC23" s="3">
        <f t="shared" si="19"/>
        <v>0.27283414678060769</v>
      </c>
      <c r="AD23" s="137">
        <f t="shared" si="20"/>
        <v>1.1790332771590546</v>
      </c>
      <c r="AE23" s="118" t="s">
        <v>17</v>
      </c>
      <c r="AG23" s="9">
        <f t="shared" si="21"/>
        <v>69.100769315635659</v>
      </c>
    </row>
    <row r="24" spans="1:33" x14ac:dyDescent="0.25">
      <c r="A24" s="118" t="s">
        <v>18</v>
      </c>
      <c r="B24" s="3">
        <v>153.652345</v>
      </c>
      <c r="C24" s="3">
        <v>73.179225000000002</v>
      </c>
      <c r="D24" s="3">
        <v>51.337935999999999</v>
      </c>
      <c r="E24" s="3">
        <v>10.50672</v>
      </c>
      <c r="F24" s="3">
        <v>2.04</v>
      </c>
      <c r="G24" s="3">
        <v>3.6400000000000002E-2</v>
      </c>
      <c r="H24" s="3">
        <v>5.8491999999999997</v>
      </c>
      <c r="I24" s="12">
        <f t="shared" si="9"/>
        <v>296.60182600000002</v>
      </c>
      <c r="J24" s="147">
        <v>71.2</v>
      </c>
      <c r="K24" s="122">
        <f t="shared" si="0"/>
        <v>4609.57035</v>
      </c>
      <c r="L24" s="3">
        <f t="shared" si="1"/>
        <v>4390.7534999999998</v>
      </c>
      <c r="M24" s="3">
        <f t="shared" si="2"/>
        <v>1540.1380799999999</v>
      </c>
      <c r="N24" s="3">
        <f t="shared" si="3"/>
        <v>210.1344</v>
      </c>
      <c r="O24" s="3">
        <f t="shared" si="4"/>
        <v>81.599999999999994</v>
      </c>
      <c r="P24" s="3">
        <f t="shared" si="5"/>
        <v>28.392000000000003</v>
      </c>
      <c r="Q24" s="3">
        <f t="shared" si="6"/>
        <v>29.245999999999999</v>
      </c>
      <c r="R24" s="12">
        <f t="shared" si="10"/>
        <v>10889.834330000002</v>
      </c>
      <c r="S24" s="149">
        <f t="shared" si="7"/>
        <v>36.715331381675313</v>
      </c>
      <c r="T24" s="129">
        <f t="shared" si="8"/>
        <v>1.9392443788628324</v>
      </c>
      <c r="U24" s="136">
        <f t="shared" si="11"/>
        <v>15.707879468788946</v>
      </c>
      <c r="V24" s="139">
        <f t="shared" si="12"/>
        <v>42.469451897096029</v>
      </c>
      <c r="W24" s="9">
        <f t="shared" si="13"/>
        <v>116.35466273176995</v>
      </c>
      <c r="X24" s="9">
        <f t="shared" si="14"/>
        <v>58.177331365884974</v>
      </c>
      <c r="Y24" s="9">
        <f t="shared" si="15"/>
        <v>38.784887577256647</v>
      </c>
      <c r="Z24" s="9">
        <f t="shared" si="16"/>
        <v>77.569775154513295</v>
      </c>
      <c r="AA24" s="9">
        <f t="shared" si="17"/>
        <v>1512.6106155130092</v>
      </c>
      <c r="AB24" s="9">
        <f t="shared" si="18"/>
        <v>9.6962218943141618</v>
      </c>
      <c r="AC24" s="3">
        <f t="shared" si="19"/>
        <v>0.74043876283853605</v>
      </c>
      <c r="AD24" s="137">
        <f t="shared" si="20"/>
        <v>3.1997532251236733</v>
      </c>
      <c r="AE24" s="118" t="s">
        <v>18</v>
      </c>
      <c r="AG24" s="9">
        <f t="shared" si="21"/>
        <v>187.53110175905954</v>
      </c>
    </row>
    <row r="25" spans="1:33" x14ac:dyDescent="0.25">
      <c r="A25" s="118" t="s">
        <v>19</v>
      </c>
      <c r="B25" s="3">
        <v>41.503934999999998</v>
      </c>
      <c r="C25" s="3">
        <v>9.6434099999999994</v>
      </c>
      <c r="D25" s="3">
        <v>0.39290700000000001</v>
      </c>
      <c r="E25" s="3">
        <v>0.80986499999999995</v>
      </c>
      <c r="F25" s="3">
        <v>0</v>
      </c>
      <c r="G25" s="3">
        <v>0</v>
      </c>
      <c r="H25" s="3">
        <v>1.8675999999999999</v>
      </c>
      <c r="I25" s="12">
        <f t="shared" si="9"/>
        <v>54.217717000000007</v>
      </c>
      <c r="J25" s="147">
        <v>27.1</v>
      </c>
      <c r="K25" s="122">
        <f t="shared" si="0"/>
        <v>1245.11805</v>
      </c>
      <c r="L25" s="3">
        <f t="shared" si="1"/>
        <v>578.6046</v>
      </c>
      <c r="M25" s="3">
        <f t="shared" si="2"/>
        <v>11.78721</v>
      </c>
      <c r="N25" s="3">
        <f t="shared" si="3"/>
        <v>16.197299999999998</v>
      </c>
      <c r="O25" s="3">
        <f t="shared" si="4"/>
        <v>0</v>
      </c>
      <c r="P25" s="3">
        <f t="shared" si="5"/>
        <v>0</v>
      </c>
      <c r="Q25" s="3">
        <f t="shared" si="6"/>
        <v>9.3379999999999992</v>
      </c>
      <c r="R25" s="12">
        <f t="shared" si="10"/>
        <v>1861.0451600000001</v>
      </c>
      <c r="S25" s="149">
        <f t="shared" si="7"/>
        <v>34.325406213618322</v>
      </c>
      <c r="T25" s="129">
        <f t="shared" si="8"/>
        <v>0.78950267423924325</v>
      </c>
      <c r="U25" s="136">
        <f t="shared" si="11"/>
        <v>6.3949716613378715</v>
      </c>
      <c r="V25" s="139">
        <f t="shared" si="12"/>
        <v>17.290108565839425</v>
      </c>
      <c r="W25" s="9">
        <f t="shared" si="13"/>
        <v>47.370160454354597</v>
      </c>
      <c r="X25" s="9">
        <f t="shared" si="14"/>
        <v>23.685080227177298</v>
      </c>
      <c r="Y25" s="9">
        <f t="shared" si="15"/>
        <v>15.790053484784865</v>
      </c>
      <c r="Z25" s="9">
        <f t="shared" si="16"/>
        <v>31.58010696956973</v>
      </c>
      <c r="AA25" s="9">
        <f t="shared" si="17"/>
        <v>615.8120859066097</v>
      </c>
      <c r="AB25" s="9">
        <f t="shared" si="18"/>
        <v>3.9475133711962163</v>
      </c>
      <c r="AC25" s="3">
        <f t="shared" si="19"/>
        <v>0.30144647561862015</v>
      </c>
      <c r="AD25" s="137">
        <f t="shared" si="20"/>
        <v>1.3026794124947514</v>
      </c>
      <c r="AE25" s="118" t="s">
        <v>19</v>
      </c>
      <c r="AG25" s="9">
        <f t="shared" si="21"/>
        <v>76.347420652898307</v>
      </c>
    </row>
    <row r="26" spans="1:33" x14ac:dyDescent="0.25">
      <c r="A26" s="118" t="s">
        <v>20</v>
      </c>
      <c r="B26" s="3">
        <v>4.3499049999999997</v>
      </c>
      <c r="C26" s="3">
        <v>4.4129649999999998</v>
      </c>
      <c r="D26" s="3">
        <v>2.49424</v>
      </c>
      <c r="E26" s="3">
        <v>1.1003499999999999</v>
      </c>
      <c r="F26" s="3">
        <v>0</v>
      </c>
      <c r="G26" s="3">
        <v>7.4534600000000006E-2</v>
      </c>
      <c r="H26" s="3">
        <v>2.4064000000000001</v>
      </c>
      <c r="I26" s="12">
        <f t="shared" si="9"/>
        <v>14.838394599999999</v>
      </c>
      <c r="J26" s="147">
        <v>110.4</v>
      </c>
      <c r="K26" s="122">
        <f t="shared" si="0"/>
        <v>130.49714999999998</v>
      </c>
      <c r="L26" s="3">
        <f t="shared" si="1"/>
        <v>264.77789999999999</v>
      </c>
      <c r="M26" s="3">
        <f t="shared" si="2"/>
        <v>74.827200000000005</v>
      </c>
      <c r="N26" s="3">
        <f t="shared" si="3"/>
        <v>22.006999999999998</v>
      </c>
      <c r="O26" s="3">
        <f t="shared" si="4"/>
        <v>0</v>
      </c>
      <c r="P26" s="3">
        <f t="shared" si="5"/>
        <v>58.136988000000002</v>
      </c>
      <c r="Q26" s="3">
        <f t="shared" si="6"/>
        <v>12.032</v>
      </c>
      <c r="R26" s="12">
        <f t="shared" si="10"/>
        <v>562.27823799999999</v>
      </c>
      <c r="S26" s="149">
        <f t="shared" si="7"/>
        <v>37.893468475356492</v>
      </c>
      <c r="T26" s="129">
        <f t="shared" si="8"/>
        <v>2.9134308481631117</v>
      </c>
      <c r="U26" s="136">
        <f t="shared" si="11"/>
        <v>23.598789870121209</v>
      </c>
      <c r="V26" s="139">
        <f t="shared" si="12"/>
        <v>63.80413557477214</v>
      </c>
      <c r="W26" s="9">
        <f t="shared" si="13"/>
        <v>174.80585088978671</v>
      </c>
      <c r="X26" s="9">
        <f t="shared" si="14"/>
        <v>87.402925444893356</v>
      </c>
      <c r="Y26" s="9">
        <f t="shared" si="15"/>
        <v>58.268616963262232</v>
      </c>
      <c r="Z26" s="9">
        <f t="shared" si="16"/>
        <v>116.53723392652446</v>
      </c>
      <c r="AA26" s="9">
        <f t="shared" si="17"/>
        <v>2272.4760615672271</v>
      </c>
      <c r="AB26" s="9">
        <f t="shared" si="18"/>
        <v>14.567154240815558</v>
      </c>
      <c r="AC26" s="3">
        <f t="shared" si="19"/>
        <v>1.1124008692986427</v>
      </c>
      <c r="AD26" s="137">
        <f t="shared" si="20"/>
        <v>4.8071608994691344</v>
      </c>
      <c r="AE26" s="118" t="s">
        <v>20</v>
      </c>
      <c r="AG26" s="9">
        <f t="shared" si="21"/>
        <v>281.73803302461704</v>
      </c>
    </row>
    <row r="27" spans="1:33" x14ac:dyDescent="0.25">
      <c r="A27" s="118" t="s">
        <v>21</v>
      </c>
      <c r="B27" s="3">
        <v>1078.86151</v>
      </c>
      <c r="C27" s="3">
        <v>1544.1068749999999</v>
      </c>
      <c r="D27" s="3">
        <v>350.18077699999998</v>
      </c>
      <c r="E27" s="3">
        <v>73.952740000000006</v>
      </c>
      <c r="F27" s="3">
        <v>5.3369999999999997</v>
      </c>
      <c r="G27" s="3">
        <v>0.44980599999999998</v>
      </c>
      <c r="H27" s="3">
        <v>39.040799999999997</v>
      </c>
      <c r="I27" s="12">
        <f t="shared" si="9"/>
        <v>3091.9295080000006</v>
      </c>
      <c r="J27" s="147">
        <v>47.6</v>
      </c>
      <c r="K27" s="122">
        <f t="shared" si="0"/>
        <v>32365.845299999997</v>
      </c>
      <c r="L27" s="3">
        <f t="shared" si="1"/>
        <v>92646.412499999991</v>
      </c>
      <c r="M27" s="3">
        <f t="shared" si="2"/>
        <v>10505.42331</v>
      </c>
      <c r="N27" s="3">
        <f t="shared" si="3"/>
        <v>1479.0548000000001</v>
      </c>
      <c r="O27" s="3">
        <f t="shared" si="4"/>
        <v>213.48</v>
      </c>
      <c r="P27" s="3">
        <f t="shared" si="5"/>
        <v>350.84868</v>
      </c>
      <c r="Q27" s="3">
        <f t="shared" si="6"/>
        <v>195.20399999999998</v>
      </c>
      <c r="R27" s="12">
        <f t="shared" si="10"/>
        <v>137756.26859000002</v>
      </c>
      <c r="S27" s="149">
        <f t="shared" si="7"/>
        <v>44.553495878082607</v>
      </c>
      <c r="T27" s="129">
        <f t="shared" si="8"/>
        <v>1.0683785651804727</v>
      </c>
      <c r="U27" s="136">
        <f t="shared" si="11"/>
        <v>8.6538663779618297</v>
      </c>
      <c r="V27" s="139">
        <f t="shared" si="12"/>
        <v>23.397490577452352</v>
      </c>
      <c r="W27" s="9">
        <f t="shared" si="13"/>
        <v>64.102713910828356</v>
      </c>
      <c r="X27" s="9">
        <f t="shared" si="14"/>
        <v>32.051356955414178</v>
      </c>
      <c r="Y27" s="9">
        <f t="shared" si="15"/>
        <v>21.367571303609452</v>
      </c>
      <c r="Z27" s="9">
        <f t="shared" si="16"/>
        <v>42.735142607218904</v>
      </c>
      <c r="AA27" s="9">
        <f t="shared" si="17"/>
        <v>833.33528084076875</v>
      </c>
      <c r="AB27" s="9">
        <f t="shared" si="18"/>
        <v>5.341892825902363</v>
      </c>
      <c r="AC27" s="3">
        <f t="shared" si="19"/>
        <v>0.40792636125072596</v>
      </c>
      <c r="AD27" s="137">
        <f t="shared" si="20"/>
        <v>1.7628246325477799</v>
      </c>
      <c r="AE27" s="118" t="s">
        <v>21</v>
      </c>
      <c r="AG27" s="9">
        <f t="shared" si="21"/>
        <v>103.31560663929545</v>
      </c>
    </row>
    <row r="28" spans="1:33" x14ac:dyDescent="0.25">
      <c r="A28" s="118" t="s">
        <v>22</v>
      </c>
      <c r="B28" s="3">
        <v>215.00965500000001</v>
      </c>
      <c r="C28" s="3">
        <v>117.60611</v>
      </c>
      <c r="D28" s="3">
        <v>73.613857999999993</v>
      </c>
      <c r="E28" s="3">
        <v>95.136404999999996</v>
      </c>
      <c r="F28" s="3">
        <v>1645.538</v>
      </c>
      <c r="G28" s="3">
        <v>0</v>
      </c>
      <c r="H28" s="3">
        <v>50</v>
      </c>
      <c r="I28" s="12">
        <f t="shared" si="9"/>
        <v>2196.9040279999999</v>
      </c>
      <c r="J28" s="147">
        <v>2.2999999999999998</v>
      </c>
      <c r="K28" s="122">
        <f t="shared" si="0"/>
        <v>6450.2896500000006</v>
      </c>
      <c r="L28" s="3">
        <f t="shared" si="1"/>
        <v>7056.3666000000003</v>
      </c>
      <c r="M28" s="3">
        <f t="shared" si="2"/>
        <v>2208.4157399999999</v>
      </c>
      <c r="N28" s="3">
        <f t="shared" si="3"/>
        <v>1902.7280999999998</v>
      </c>
      <c r="O28" s="3">
        <f t="shared" si="4"/>
        <v>65821.52</v>
      </c>
      <c r="P28" s="3">
        <f t="shared" si="5"/>
        <v>0</v>
      </c>
      <c r="Q28" s="3">
        <f t="shared" si="6"/>
        <v>250</v>
      </c>
      <c r="R28" s="12">
        <f t="shared" si="10"/>
        <v>83689.320090000008</v>
      </c>
      <c r="S28" s="149">
        <f t="shared" si="7"/>
        <v>38.094208496758242</v>
      </c>
      <c r="T28" s="129">
        <f t="shared" si="8"/>
        <v>6.0376631796818306E-2</v>
      </c>
      <c r="U28" s="136">
        <f t="shared" si="11"/>
        <v>0.48905071755422835</v>
      </c>
      <c r="V28" s="139">
        <f t="shared" si="12"/>
        <v>1.3222482363503207</v>
      </c>
      <c r="W28" s="9">
        <f t="shared" si="13"/>
        <v>3.6225979078090984</v>
      </c>
      <c r="X28" s="9">
        <f t="shared" si="14"/>
        <v>1.8112989539045492</v>
      </c>
      <c r="Y28" s="9">
        <f t="shared" si="15"/>
        <v>1.2075326359363661</v>
      </c>
      <c r="Z28" s="9">
        <f t="shared" si="16"/>
        <v>2.4150652718727321</v>
      </c>
      <c r="AA28" s="9">
        <f t="shared" si="17"/>
        <v>47.093772801518277</v>
      </c>
      <c r="AB28" s="9">
        <f t="shared" si="18"/>
        <v>0.30188315898409152</v>
      </c>
      <c r="AC28" s="3">
        <f t="shared" si="19"/>
        <v>2.3052895776966991E-2</v>
      </c>
      <c r="AD28" s="137">
        <f t="shared" si="20"/>
        <v>9.9621442464750201E-2</v>
      </c>
      <c r="AE28" s="118" t="s">
        <v>22</v>
      </c>
      <c r="AG28" s="9">
        <f t="shared" si="21"/>
        <v>5.8386124022171373</v>
      </c>
    </row>
    <row r="29" spans="1:33" x14ac:dyDescent="0.25">
      <c r="A29" s="118" t="s">
        <v>23</v>
      </c>
      <c r="B29" s="3">
        <v>1538.1580349999999</v>
      </c>
      <c r="C29" s="3">
        <v>1387.2993200000001</v>
      </c>
      <c r="D29" s="3">
        <v>1302.2667220000001</v>
      </c>
      <c r="E29" s="3">
        <v>22.447955</v>
      </c>
      <c r="F29" s="3">
        <v>45.417999999999999</v>
      </c>
      <c r="G29" s="3">
        <v>2.0713349999999999</v>
      </c>
      <c r="H29" s="3">
        <v>119.5116</v>
      </c>
      <c r="I29" s="12">
        <f t="shared" si="9"/>
        <v>4417.1729669999986</v>
      </c>
      <c r="J29" s="147">
        <v>175.5</v>
      </c>
      <c r="K29" s="122">
        <f t="shared" si="0"/>
        <v>46144.741049999997</v>
      </c>
      <c r="L29" s="3">
        <f t="shared" si="1"/>
        <v>83237.959200000012</v>
      </c>
      <c r="M29" s="3">
        <f t="shared" si="2"/>
        <v>39068.001660000002</v>
      </c>
      <c r="N29" s="3">
        <f t="shared" si="3"/>
        <v>448.95910000000003</v>
      </c>
      <c r="O29" s="3">
        <f t="shared" si="4"/>
        <v>1816.72</v>
      </c>
      <c r="P29" s="3">
        <f t="shared" si="5"/>
        <v>1615.6413</v>
      </c>
      <c r="Q29" s="3">
        <f t="shared" si="6"/>
        <v>597.55799999999999</v>
      </c>
      <c r="R29" s="12">
        <f t="shared" si="10"/>
        <v>172929.58030999999</v>
      </c>
      <c r="S29" s="149">
        <f t="shared" si="7"/>
        <v>39.149379388565848</v>
      </c>
      <c r="T29" s="129">
        <f t="shared" si="8"/>
        <v>4.4828296831509249</v>
      </c>
      <c r="U29" s="136">
        <f t="shared" si="11"/>
        <v>36.310920433522497</v>
      </c>
      <c r="V29" s="139">
        <f t="shared" si="12"/>
        <v>98.173970061005249</v>
      </c>
      <c r="W29" s="9">
        <f t="shared" si="13"/>
        <v>268.96978098905549</v>
      </c>
      <c r="X29" s="9">
        <f t="shared" si="14"/>
        <v>134.48489049452775</v>
      </c>
      <c r="Y29" s="9">
        <f t="shared" si="15"/>
        <v>89.656593663018498</v>
      </c>
      <c r="Z29" s="9">
        <f t="shared" si="16"/>
        <v>179.313187326037</v>
      </c>
      <c r="AA29" s="9">
        <f t="shared" si="17"/>
        <v>3496.6071528577213</v>
      </c>
      <c r="AB29" s="9">
        <f t="shared" si="18"/>
        <v>22.414148415754624</v>
      </c>
      <c r="AC29" s="3">
        <f t="shared" si="19"/>
        <v>1.7116258790212624</v>
      </c>
      <c r="AD29" s="137">
        <f t="shared" si="20"/>
        <v>7.3966689771990257</v>
      </c>
      <c r="AE29" s="118" t="s">
        <v>23</v>
      </c>
      <c r="AG29" s="9">
        <f t="shared" si="21"/>
        <v>433.50389390968621</v>
      </c>
    </row>
    <row r="30" spans="1:33" x14ac:dyDescent="0.25">
      <c r="A30" s="118" t="s">
        <v>24</v>
      </c>
      <c r="B30" s="3">
        <v>212.49003999999999</v>
      </c>
      <c r="C30" s="3">
        <v>374.77093500000001</v>
      </c>
      <c r="D30" s="3">
        <v>235.55028999999999</v>
      </c>
      <c r="E30" s="3">
        <v>182.70847000000001</v>
      </c>
      <c r="F30" s="3">
        <v>17</v>
      </c>
      <c r="G30" s="3">
        <v>5.5511358</v>
      </c>
      <c r="H30" s="3">
        <v>35.200000000000003</v>
      </c>
      <c r="I30" s="12">
        <f t="shared" si="9"/>
        <v>1063.2708708000002</v>
      </c>
      <c r="J30" s="147">
        <v>149.9</v>
      </c>
      <c r="K30" s="122">
        <f t="shared" si="0"/>
        <v>6374.7011999999995</v>
      </c>
      <c r="L30" s="3">
        <f t="shared" si="1"/>
        <v>22486.256099999999</v>
      </c>
      <c r="M30" s="3">
        <f t="shared" si="2"/>
        <v>7066.5086999999994</v>
      </c>
      <c r="N30" s="3">
        <f t="shared" si="3"/>
        <v>3654.1694000000002</v>
      </c>
      <c r="O30" s="3">
        <f t="shared" si="4"/>
        <v>680</v>
      </c>
      <c r="P30" s="3">
        <f t="shared" si="5"/>
        <v>4329.8859240000002</v>
      </c>
      <c r="Q30" s="3">
        <f t="shared" si="6"/>
        <v>176</v>
      </c>
      <c r="R30" s="12">
        <f t="shared" si="10"/>
        <v>44767.521324000001</v>
      </c>
      <c r="S30" s="149">
        <f t="shared" si="7"/>
        <v>42.10359048989757</v>
      </c>
      <c r="T30" s="129">
        <f t="shared" si="8"/>
        <v>3.5602664346635082</v>
      </c>
      <c r="U30" s="136">
        <f t="shared" si="11"/>
        <v>28.838158120774423</v>
      </c>
      <c r="V30" s="139">
        <f t="shared" si="12"/>
        <v>77.969834919130818</v>
      </c>
      <c r="W30" s="9">
        <f t="shared" si="13"/>
        <v>213.61598607981048</v>
      </c>
      <c r="X30" s="9">
        <f t="shared" si="14"/>
        <v>106.80799303990524</v>
      </c>
      <c r="Y30" s="9">
        <f t="shared" si="15"/>
        <v>71.205328693270161</v>
      </c>
      <c r="Z30" s="9">
        <f t="shared" si="16"/>
        <v>142.41065738654032</v>
      </c>
      <c r="AA30" s="9">
        <f t="shared" si="17"/>
        <v>2777.0078190375366</v>
      </c>
      <c r="AB30" s="9">
        <f t="shared" si="18"/>
        <v>17.80133217331754</v>
      </c>
      <c r="AC30" s="3">
        <f t="shared" si="19"/>
        <v>1.3593744568715214</v>
      </c>
      <c r="AD30" s="137">
        <f t="shared" si="20"/>
        <v>5.8744396171947884</v>
      </c>
      <c r="AE30" s="118" t="s">
        <v>24</v>
      </c>
      <c r="AG30" s="9">
        <f t="shared" si="21"/>
        <v>344.2890923524352</v>
      </c>
    </row>
    <row r="31" spans="1:33" x14ac:dyDescent="0.25">
      <c r="A31" s="118" t="s">
        <v>25</v>
      </c>
      <c r="B31" s="3">
        <v>732.60469999999998</v>
      </c>
      <c r="C31" s="3">
        <v>707.32526499999994</v>
      </c>
      <c r="D31" s="3">
        <v>536.67366500000003</v>
      </c>
      <c r="E31" s="3">
        <v>864.14458999999999</v>
      </c>
      <c r="F31" s="3">
        <v>6.92354</v>
      </c>
      <c r="G31" s="3">
        <v>3.5000000000000001E-3</v>
      </c>
      <c r="H31" s="3">
        <v>95.113200000000006</v>
      </c>
      <c r="I31" s="12">
        <f t="shared" si="9"/>
        <v>2942.7884599999998</v>
      </c>
      <c r="J31" s="147">
        <v>59</v>
      </c>
      <c r="K31" s="122">
        <f t="shared" si="0"/>
        <v>21978.141</v>
      </c>
      <c r="L31" s="3">
        <f t="shared" si="1"/>
        <v>42439.515899999999</v>
      </c>
      <c r="M31" s="3">
        <f t="shared" si="2"/>
        <v>16100.20995</v>
      </c>
      <c r="N31" s="3">
        <f t="shared" si="3"/>
        <v>17282.891800000001</v>
      </c>
      <c r="O31" s="3">
        <f t="shared" si="4"/>
        <v>276.94159999999999</v>
      </c>
      <c r="P31" s="3">
        <f t="shared" si="5"/>
        <v>2.73</v>
      </c>
      <c r="Q31" s="3">
        <f t="shared" si="6"/>
        <v>475.56600000000003</v>
      </c>
      <c r="R31" s="12">
        <f t="shared" si="10"/>
        <v>98555.996250000011</v>
      </c>
      <c r="S31" s="149">
        <f t="shared" si="7"/>
        <v>33.490683271878815</v>
      </c>
      <c r="T31" s="129">
        <f t="shared" si="8"/>
        <v>1.7616839740484076</v>
      </c>
      <c r="U31" s="136">
        <f t="shared" si="11"/>
        <v>14.269640189792105</v>
      </c>
      <c r="V31" s="139">
        <f t="shared" si="12"/>
        <v>38.580879031660125</v>
      </c>
      <c r="W31" s="9">
        <f t="shared" si="13"/>
        <v>105.70103844290446</v>
      </c>
      <c r="X31" s="9">
        <f t="shared" si="14"/>
        <v>52.850519221452231</v>
      </c>
      <c r="Y31" s="9">
        <f t="shared" si="15"/>
        <v>35.233679480968149</v>
      </c>
      <c r="Z31" s="9">
        <f t="shared" si="16"/>
        <v>70.467358961936299</v>
      </c>
      <c r="AA31" s="9">
        <f t="shared" si="17"/>
        <v>1374.1134997577578</v>
      </c>
      <c r="AB31" s="9">
        <f t="shared" si="18"/>
        <v>8.8084198702420373</v>
      </c>
      <c r="AC31" s="3">
        <f t="shared" si="19"/>
        <v>0.67264297190939204</v>
      </c>
      <c r="AD31" s="137">
        <f t="shared" si="20"/>
        <v>2.9067785571798725</v>
      </c>
      <c r="AE31" s="118" t="s">
        <v>25</v>
      </c>
      <c r="AG31" s="9">
        <f t="shared" si="21"/>
        <v>170.36044564858025</v>
      </c>
    </row>
    <row r="32" spans="1:33" x14ac:dyDescent="0.25">
      <c r="A32" s="118" t="s">
        <v>26</v>
      </c>
      <c r="B32" s="3">
        <v>83.162109999999998</v>
      </c>
      <c r="C32" s="3">
        <v>59.683165000000002</v>
      </c>
      <c r="D32" s="3">
        <v>48.821888999999999</v>
      </c>
      <c r="E32" s="3">
        <v>27.852399999999999</v>
      </c>
      <c r="F32" s="3">
        <v>4.2629999999999999</v>
      </c>
      <c r="G32" s="3">
        <v>0.18099899999999999</v>
      </c>
      <c r="H32" s="3">
        <v>5.9340000000000002</v>
      </c>
      <c r="I32" s="12">
        <f t="shared" si="9"/>
        <v>229.89756300000002</v>
      </c>
      <c r="J32" s="147">
        <v>41.7</v>
      </c>
      <c r="K32" s="122">
        <f t="shared" si="0"/>
        <v>2494.8633</v>
      </c>
      <c r="L32" s="3">
        <f t="shared" si="1"/>
        <v>3580.9899</v>
      </c>
      <c r="M32" s="3">
        <f t="shared" si="2"/>
        <v>1464.6566699999998</v>
      </c>
      <c r="N32" s="3">
        <f t="shared" si="3"/>
        <v>557.048</v>
      </c>
      <c r="O32" s="3">
        <f t="shared" si="4"/>
        <v>170.51999999999998</v>
      </c>
      <c r="P32" s="3">
        <f t="shared" si="5"/>
        <v>141.17921999999999</v>
      </c>
      <c r="Q32" s="3">
        <f t="shared" si="6"/>
        <v>29.67</v>
      </c>
      <c r="R32" s="12">
        <f t="shared" si="10"/>
        <v>8438.9270899999992</v>
      </c>
      <c r="S32" s="149">
        <f t="shared" si="7"/>
        <v>36.707335997293711</v>
      </c>
      <c r="T32" s="129">
        <f t="shared" si="8"/>
        <v>1.1360127033755427</v>
      </c>
      <c r="U32" s="136">
        <f t="shared" si="11"/>
        <v>9.2017028973418977</v>
      </c>
      <c r="V32" s="139">
        <f t="shared" si="12"/>
        <v>24.878678203924384</v>
      </c>
      <c r="W32" s="9">
        <f t="shared" si="13"/>
        <v>68.160762202532567</v>
      </c>
      <c r="X32" s="9">
        <f t="shared" si="14"/>
        <v>34.080381101266283</v>
      </c>
      <c r="Y32" s="9">
        <f t="shared" si="15"/>
        <v>22.720254067510854</v>
      </c>
      <c r="Z32" s="9">
        <f t="shared" si="16"/>
        <v>45.440508135021709</v>
      </c>
      <c r="AA32" s="9">
        <f t="shared" si="17"/>
        <v>886.08990863292331</v>
      </c>
      <c r="AB32" s="9">
        <f t="shared" si="18"/>
        <v>5.6800635168777136</v>
      </c>
      <c r="AC32" s="3">
        <f t="shared" si="19"/>
        <v>0.43375030492520722</v>
      </c>
      <c r="AD32" s="137">
        <f t="shared" si="20"/>
        <v>1.8744209605696454</v>
      </c>
      <c r="AE32" s="118" t="s">
        <v>26</v>
      </c>
      <c r="AG32" s="9">
        <f t="shared" si="21"/>
        <v>109.85604300228938</v>
      </c>
    </row>
    <row r="33" spans="1:33" x14ac:dyDescent="0.25">
      <c r="A33" s="118" t="s">
        <v>27</v>
      </c>
      <c r="B33" s="3">
        <v>99.621215000000007</v>
      </c>
      <c r="C33" s="3">
        <v>19.15213</v>
      </c>
      <c r="D33" s="3">
        <v>43.468184000000001</v>
      </c>
      <c r="E33" s="3">
        <v>9.2464949999999995</v>
      </c>
      <c r="F33" s="3">
        <v>1.6740999999999999</v>
      </c>
      <c r="G33" s="3">
        <v>5.7064000000000004E-3</v>
      </c>
      <c r="H33" s="3">
        <v>10.5236</v>
      </c>
      <c r="I33" s="12">
        <f t="shared" si="9"/>
        <v>183.69143040000003</v>
      </c>
      <c r="J33" s="147">
        <v>31.8</v>
      </c>
      <c r="K33" s="122">
        <f t="shared" si="0"/>
        <v>2988.63645</v>
      </c>
      <c r="L33" s="3">
        <f t="shared" si="1"/>
        <v>1149.1278</v>
      </c>
      <c r="M33" s="3">
        <f t="shared" si="2"/>
        <v>1304.0455200000001</v>
      </c>
      <c r="N33" s="3">
        <f t="shared" si="3"/>
        <v>184.92989999999998</v>
      </c>
      <c r="O33" s="3">
        <f t="shared" si="4"/>
        <v>66.963999999999999</v>
      </c>
      <c r="P33" s="3">
        <f t="shared" si="5"/>
        <v>4.4509920000000003</v>
      </c>
      <c r="Q33" s="3">
        <f t="shared" si="6"/>
        <v>52.618000000000002</v>
      </c>
      <c r="R33" s="12">
        <f t="shared" si="10"/>
        <v>5750.7726620000003</v>
      </c>
      <c r="S33" s="149">
        <f t="shared" si="7"/>
        <v>31.306700859573684</v>
      </c>
      <c r="T33" s="129">
        <f t="shared" si="8"/>
        <v>1.0157569825910118</v>
      </c>
      <c r="U33" s="136">
        <f t="shared" si="11"/>
        <v>8.2276315589871967</v>
      </c>
      <c r="V33" s="139">
        <f t="shared" si="12"/>
        <v>22.245077918743156</v>
      </c>
      <c r="W33" s="9">
        <f t="shared" si="13"/>
        <v>60.94541895546071</v>
      </c>
      <c r="X33" s="9">
        <f t="shared" si="14"/>
        <v>30.472709477730355</v>
      </c>
      <c r="Y33" s="9">
        <f t="shared" si="15"/>
        <v>20.315139651820235</v>
      </c>
      <c r="Z33" s="9">
        <f t="shared" si="16"/>
        <v>40.630279303640471</v>
      </c>
      <c r="AA33" s="9">
        <f t="shared" si="17"/>
        <v>792.29044642098916</v>
      </c>
      <c r="AB33" s="9">
        <f t="shared" si="18"/>
        <v>5.0787849129550589</v>
      </c>
      <c r="AC33" s="3">
        <f t="shared" si="19"/>
        <v>0.38783448426202272</v>
      </c>
      <c r="AD33" s="137">
        <f t="shared" si="20"/>
        <v>1.6759990212751694</v>
      </c>
      <c r="AE33" s="118" t="s">
        <v>27</v>
      </c>
      <c r="AG33" s="9">
        <f t="shared" si="21"/>
        <v>98.226932170586352</v>
      </c>
    </row>
    <row r="34" spans="1:33" x14ac:dyDescent="0.25">
      <c r="A34" s="118" t="s">
        <v>28</v>
      </c>
      <c r="B34" s="3">
        <v>1009.112215</v>
      </c>
      <c r="C34" s="3">
        <v>4391.3025600000001</v>
      </c>
      <c r="D34" s="3">
        <v>868.56905300000005</v>
      </c>
      <c r="E34" s="3">
        <v>1351.0094899999999</v>
      </c>
      <c r="F34" s="3">
        <v>313.274</v>
      </c>
      <c r="G34" s="3">
        <v>54.005000000000003</v>
      </c>
      <c r="H34" s="3">
        <v>257.67880000000002</v>
      </c>
      <c r="I34" s="12">
        <f t="shared" si="9"/>
        <v>8244.9511180000009</v>
      </c>
      <c r="J34" s="147">
        <v>157.19999999999999</v>
      </c>
      <c r="K34" s="122">
        <f t="shared" si="0"/>
        <v>30273.366450000001</v>
      </c>
      <c r="L34" s="3">
        <f t="shared" si="1"/>
        <v>263478.15360000002</v>
      </c>
      <c r="M34" s="3">
        <f t="shared" si="2"/>
        <v>26057.071590000003</v>
      </c>
      <c r="N34" s="3">
        <f t="shared" si="3"/>
        <v>27020.1898</v>
      </c>
      <c r="O34" s="3">
        <f t="shared" si="4"/>
        <v>12530.96</v>
      </c>
      <c r="P34" s="3">
        <f t="shared" si="5"/>
        <v>42123.9</v>
      </c>
      <c r="Q34" s="3">
        <f t="shared" si="6"/>
        <v>1288.3940000000002</v>
      </c>
      <c r="R34" s="12">
        <f t="shared" si="10"/>
        <v>402772.03544000012</v>
      </c>
      <c r="S34" s="149">
        <f t="shared" si="7"/>
        <v>48.850748740121283</v>
      </c>
      <c r="T34" s="129">
        <f t="shared" si="8"/>
        <v>3.2179650067654153</v>
      </c>
      <c r="U34" s="136">
        <f t="shared" si="11"/>
        <v>26.065516554799867</v>
      </c>
      <c r="V34" s="139">
        <f t="shared" si="12"/>
        <v>70.473433648162597</v>
      </c>
      <c r="W34" s="9">
        <f t="shared" si="13"/>
        <v>193.07790040592491</v>
      </c>
      <c r="X34" s="9">
        <f t="shared" si="14"/>
        <v>96.538950202962454</v>
      </c>
      <c r="Y34" s="9">
        <f t="shared" si="15"/>
        <v>64.359300135308303</v>
      </c>
      <c r="Z34" s="9">
        <f t="shared" si="16"/>
        <v>128.71860027061661</v>
      </c>
      <c r="AA34" s="9">
        <f t="shared" si="17"/>
        <v>2510.012705277024</v>
      </c>
      <c r="AB34" s="9">
        <f t="shared" si="18"/>
        <v>16.089825033827076</v>
      </c>
      <c r="AC34" s="3">
        <f t="shared" si="19"/>
        <v>1.2286775480377041</v>
      </c>
      <c r="AD34" s="137">
        <f t="shared" si="20"/>
        <v>5.309642261162935</v>
      </c>
      <c r="AE34" s="118" t="s">
        <v>28</v>
      </c>
      <c r="AG34" s="9">
        <f t="shared" si="21"/>
        <v>311.18745513378269</v>
      </c>
    </row>
    <row r="35" spans="1:33" x14ac:dyDescent="0.25">
      <c r="A35" s="118" t="s">
        <v>29</v>
      </c>
      <c r="B35" s="3">
        <v>284.27719999999999</v>
      </c>
      <c r="C35" s="3">
        <v>201.29015000000001</v>
      </c>
      <c r="D35" s="3">
        <v>119.06345</v>
      </c>
      <c r="E35" s="3">
        <v>30.71237</v>
      </c>
      <c r="F35" s="3">
        <v>9.8640000000000008</v>
      </c>
      <c r="G35" s="3">
        <v>0</v>
      </c>
      <c r="H35" s="3">
        <v>142.4</v>
      </c>
      <c r="I35" s="12">
        <f t="shared" si="9"/>
        <v>787.60717</v>
      </c>
      <c r="J35" s="147">
        <v>12.1</v>
      </c>
      <c r="K35" s="122">
        <f t="shared" si="0"/>
        <v>8528.3159999999989</v>
      </c>
      <c r="L35" s="3">
        <f t="shared" si="1"/>
        <v>12077.409000000001</v>
      </c>
      <c r="M35" s="3">
        <f t="shared" si="2"/>
        <v>3571.9034999999999</v>
      </c>
      <c r="N35" s="3">
        <f t="shared" si="3"/>
        <v>614.24739999999997</v>
      </c>
      <c r="O35" s="3">
        <f t="shared" si="4"/>
        <v>394.56000000000006</v>
      </c>
      <c r="P35" s="3">
        <f t="shared" si="5"/>
        <v>0</v>
      </c>
      <c r="Q35" s="3">
        <f t="shared" si="6"/>
        <v>712</v>
      </c>
      <c r="R35" s="12">
        <f t="shared" si="10"/>
        <v>25898.4359</v>
      </c>
      <c r="S35" s="149">
        <f t="shared" si="7"/>
        <v>32.882427797095858</v>
      </c>
      <c r="T35" s="129">
        <f t="shared" si="8"/>
        <v>0.36797769540206088</v>
      </c>
      <c r="U35" s="136">
        <f t="shared" si="11"/>
        <v>2.9806193327566937</v>
      </c>
      <c r="V35" s="139">
        <f t="shared" si="12"/>
        <v>8.0587115293051319</v>
      </c>
      <c r="W35" s="9">
        <f t="shared" si="13"/>
        <v>22.078661724123652</v>
      </c>
      <c r="X35" s="9">
        <f t="shared" si="14"/>
        <v>11.039330862061826</v>
      </c>
      <c r="Y35" s="9">
        <f t="shared" si="15"/>
        <v>7.3595539080412173</v>
      </c>
      <c r="Z35" s="9">
        <f t="shared" si="16"/>
        <v>14.719107816082435</v>
      </c>
      <c r="AA35" s="9">
        <f t="shared" si="17"/>
        <v>287.0226024136075</v>
      </c>
      <c r="AB35" s="9">
        <f t="shared" si="18"/>
        <v>1.8398884770103043</v>
      </c>
      <c r="AC35" s="3">
        <f t="shared" si="19"/>
        <v>0.14050057460805962</v>
      </c>
      <c r="AD35" s="137">
        <f t="shared" si="20"/>
        <v>0.60716319741340041</v>
      </c>
      <c r="AE35" s="118" t="s">
        <v>29</v>
      </c>
      <c r="AG35" s="9">
        <f t="shared" si="21"/>
        <v>35.584613983501022</v>
      </c>
    </row>
    <row r="36" spans="1:33" x14ac:dyDescent="0.25">
      <c r="A36" s="118" t="s">
        <v>30</v>
      </c>
      <c r="B36" s="3">
        <v>460.42183</v>
      </c>
      <c r="C36" s="3">
        <v>192.08881</v>
      </c>
      <c r="D36" s="3">
        <v>80.116480999999993</v>
      </c>
      <c r="E36" s="3">
        <v>31.752099999999999</v>
      </c>
      <c r="F36" s="3">
        <v>0</v>
      </c>
      <c r="G36" s="3">
        <v>0.5696348</v>
      </c>
      <c r="H36" s="3">
        <v>44.8172</v>
      </c>
      <c r="I36" s="12">
        <f t="shared" si="9"/>
        <v>809.7660558</v>
      </c>
      <c r="J36" s="147">
        <v>32</v>
      </c>
      <c r="K36" s="122">
        <f t="shared" si="0"/>
        <v>13812.6549</v>
      </c>
      <c r="L36" s="3">
        <f t="shared" si="1"/>
        <v>11525.328599999999</v>
      </c>
      <c r="M36" s="3">
        <f t="shared" si="2"/>
        <v>2403.4944299999997</v>
      </c>
      <c r="N36" s="3">
        <f t="shared" si="3"/>
        <v>635.04199999999992</v>
      </c>
      <c r="O36" s="3">
        <f t="shared" si="4"/>
        <v>0</v>
      </c>
      <c r="P36" s="3">
        <f t="shared" si="5"/>
        <v>444.31514399999998</v>
      </c>
      <c r="Q36" s="3">
        <f t="shared" si="6"/>
        <v>224.08600000000001</v>
      </c>
      <c r="R36" s="12">
        <f t="shared" si="10"/>
        <v>29044.921073999998</v>
      </c>
      <c r="S36" s="149">
        <f t="shared" si="7"/>
        <v>35.868286730425332</v>
      </c>
      <c r="T36" s="129">
        <f t="shared" si="8"/>
        <v>0.89215301083382803</v>
      </c>
      <c r="U36" s="136">
        <f t="shared" si="11"/>
        <v>7.2264393877540085</v>
      </c>
      <c r="V36" s="139">
        <f t="shared" si="12"/>
        <v>19.538150937260834</v>
      </c>
      <c r="W36" s="9">
        <f t="shared" si="13"/>
        <v>53.52918065002968</v>
      </c>
      <c r="X36" s="9">
        <f t="shared" si="14"/>
        <v>26.76459032501484</v>
      </c>
      <c r="Y36" s="9">
        <f t="shared" si="15"/>
        <v>17.843060216676562</v>
      </c>
      <c r="Z36" s="9">
        <f t="shared" si="16"/>
        <v>35.686120433353125</v>
      </c>
      <c r="AA36" s="9">
        <f t="shared" si="17"/>
        <v>695.87934845038592</v>
      </c>
      <c r="AB36" s="9">
        <f t="shared" si="18"/>
        <v>4.4607650541691406</v>
      </c>
      <c r="AC36" s="3">
        <f t="shared" si="19"/>
        <v>0.34064024050018887</v>
      </c>
      <c r="AD36" s="137">
        <f t="shared" si="20"/>
        <v>1.4720524678758162</v>
      </c>
      <c r="AE36" s="118" t="s">
        <v>30</v>
      </c>
      <c r="AG36" s="9">
        <f>AVERAGE(U36:AD36)</f>
        <v>86.27403481630202</v>
      </c>
    </row>
    <row r="37" spans="1:33" x14ac:dyDescent="0.25">
      <c r="A37" s="70" t="s">
        <v>31</v>
      </c>
      <c r="B37" s="143" t="s">
        <v>56</v>
      </c>
      <c r="C37" s="143" t="s">
        <v>56</v>
      </c>
      <c r="D37" s="143" t="s">
        <v>56</v>
      </c>
      <c r="E37" s="143" t="s">
        <v>56</v>
      </c>
      <c r="F37" s="143" t="s">
        <v>56</v>
      </c>
      <c r="G37" s="143" t="s">
        <v>56</v>
      </c>
      <c r="H37" s="143" t="s">
        <v>56</v>
      </c>
      <c r="I37" s="143" t="s">
        <v>56</v>
      </c>
      <c r="J37" s="148">
        <v>28.3</v>
      </c>
      <c r="K37" s="145" t="s">
        <v>56</v>
      </c>
      <c r="L37" s="143" t="s">
        <v>56</v>
      </c>
      <c r="M37" s="143" t="s">
        <v>56</v>
      </c>
      <c r="N37" s="143" t="s">
        <v>56</v>
      </c>
      <c r="O37" s="143" t="s">
        <v>56</v>
      </c>
      <c r="P37" s="143" t="s">
        <v>56</v>
      </c>
      <c r="Q37" s="143" t="s">
        <v>56</v>
      </c>
      <c r="R37" s="143" t="s">
        <v>56</v>
      </c>
      <c r="S37" s="150" t="s">
        <v>56</v>
      </c>
      <c r="T37" s="143" t="s">
        <v>56</v>
      </c>
      <c r="U37" s="143" t="s">
        <v>56</v>
      </c>
      <c r="V37" s="143" t="s">
        <v>56</v>
      </c>
      <c r="W37" s="143" t="s">
        <v>56</v>
      </c>
      <c r="X37" s="143" t="s">
        <v>56</v>
      </c>
      <c r="Y37" s="143" t="s">
        <v>56</v>
      </c>
      <c r="Z37" s="143" t="s">
        <v>56</v>
      </c>
      <c r="AA37" s="143" t="s">
        <v>56</v>
      </c>
      <c r="AB37" s="143" t="s">
        <v>56</v>
      </c>
      <c r="AC37" s="143" t="s">
        <v>56</v>
      </c>
      <c r="AD37" s="146" t="s">
        <v>56</v>
      </c>
      <c r="AE37" s="70" t="s">
        <v>31</v>
      </c>
      <c r="AG37" s="9"/>
    </row>
    <row r="39" spans="1:33" x14ac:dyDescent="0.25">
      <c r="A39" s="114" t="s">
        <v>57</v>
      </c>
      <c r="B39" s="114"/>
      <c r="C39" s="114"/>
      <c r="D39" s="114"/>
      <c r="E39" s="114"/>
      <c r="F39" s="114"/>
      <c r="G39" s="114"/>
      <c r="H39" s="114"/>
      <c r="I39" s="114"/>
      <c r="J39" s="114"/>
      <c r="K39" s="115">
        <f>'Standard values'!B5</f>
        <v>30</v>
      </c>
      <c r="L39" s="115">
        <f>'Standard values'!D5</f>
        <v>60</v>
      </c>
      <c r="M39" s="115">
        <f>'Standard values'!E5</f>
        <v>30</v>
      </c>
      <c r="N39" s="115">
        <f>'Standard values'!F5</f>
        <v>20</v>
      </c>
      <c r="O39" s="115">
        <f>'Standard values'!G5</f>
        <v>40</v>
      </c>
      <c r="P39" s="115">
        <f>'Standard values'!H5</f>
        <v>780</v>
      </c>
      <c r="Q39" s="115">
        <f>'Standard values'!I5</f>
        <v>5</v>
      </c>
      <c r="R39" s="114"/>
      <c r="S39" s="114"/>
      <c r="T39" s="114"/>
      <c r="U39" s="114">
        <f>'Standard values'!B6</f>
        <v>8.1000000000000014</v>
      </c>
      <c r="V39" s="114">
        <f>'Standard values'!C6</f>
        <v>21.9</v>
      </c>
      <c r="W39" s="114">
        <f>'Standard values'!D6</f>
        <v>60</v>
      </c>
      <c r="X39" s="114">
        <f>'Standard values'!E6</f>
        <v>30</v>
      </c>
      <c r="Y39" s="114">
        <f>'Standard values'!F6</f>
        <v>20</v>
      </c>
      <c r="Z39" s="114">
        <f>'Standard values'!G6</f>
        <v>40</v>
      </c>
      <c r="AA39" s="114">
        <f>'Standard values'!H6</f>
        <v>780</v>
      </c>
      <c r="AB39" s="114">
        <f>'Standard values'!I6</f>
        <v>5</v>
      </c>
      <c r="AC39" s="135">
        <f>'Standard values'!J6</f>
        <v>0.38181818181818183</v>
      </c>
      <c r="AD39" s="135">
        <f>'Standard values'!K6</f>
        <v>1.65</v>
      </c>
      <c r="AE39" s="114" t="s">
        <v>57</v>
      </c>
    </row>
    <row r="41" spans="1:33" x14ac:dyDescent="0.25">
      <c r="T41" t="s">
        <v>69</v>
      </c>
      <c r="U41" s="9">
        <f>AVERAGE(U7:U36)</f>
        <v>16.210615203994166</v>
      </c>
      <c r="V41" s="9">
        <f t="shared" ref="V41:AD41" si="22">AVERAGE(V7:V36)</f>
        <v>43.828700366354589</v>
      </c>
      <c r="W41" s="9">
        <f t="shared" si="22"/>
        <v>120.07863114069752</v>
      </c>
      <c r="X41" s="9">
        <f t="shared" si="22"/>
        <v>60.039315570348762</v>
      </c>
      <c r="Y41" s="9">
        <f t="shared" si="22"/>
        <v>40.02621038023252</v>
      </c>
      <c r="Z41" s="9">
        <f t="shared" si="22"/>
        <v>80.05242076046504</v>
      </c>
      <c r="AA41" s="9">
        <f t="shared" si="22"/>
        <v>1561.0222048290677</v>
      </c>
      <c r="AB41" s="9">
        <f t="shared" si="22"/>
        <v>10.00655259505813</v>
      </c>
      <c r="AC41" s="9">
        <f t="shared" si="22"/>
        <v>0.76413674362262063</v>
      </c>
      <c r="AD41" s="9">
        <f t="shared" si="22"/>
        <v>3.3021623563691818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F3FFA-58B6-4252-94FF-5FC38AB0C113}">
  <dimension ref="A2:AD39"/>
  <sheetViews>
    <sheetView workbookViewId="0">
      <selection activeCell="A4" sqref="A4:AD37"/>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2" t="s">
        <v>70</v>
      </c>
    </row>
    <row r="4" spans="1:30" ht="15.75" x14ac:dyDescent="0.25">
      <c r="A4" s="124" t="s">
        <v>33</v>
      </c>
      <c r="B4" s="116" t="s">
        <v>34</v>
      </c>
      <c r="C4" s="125"/>
      <c r="D4" s="116"/>
      <c r="E4" s="125"/>
      <c r="F4" s="125"/>
      <c r="G4" s="125"/>
      <c r="H4" s="125"/>
      <c r="I4" s="125"/>
      <c r="J4" s="125"/>
      <c r="K4" s="124" t="s">
        <v>35</v>
      </c>
      <c r="L4" s="116"/>
      <c r="M4" s="116"/>
      <c r="N4" s="116"/>
      <c r="O4" s="116"/>
      <c r="P4" s="116"/>
      <c r="Q4" s="116"/>
      <c r="R4" s="116"/>
      <c r="S4" s="117"/>
      <c r="T4" s="117"/>
      <c r="U4" s="124" t="s">
        <v>36</v>
      </c>
      <c r="V4" s="116"/>
      <c r="W4" s="116"/>
      <c r="X4" s="116"/>
      <c r="Y4" s="116"/>
      <c r="Z4" s="116"/>
      <c r="AA4" s="116"/>
      <c r="AB4" s="116"/>
      <c r="AC4" s="116"/>
      <c r="AD4" s="117"/>
    </row>
    <row r="5" spans="1:30" x14ac:dyDescent="0.25">
      <c r="A5" s="123" t="s">
        <v>37</v>
      </c>
      <c r="K5" s="118"/>
      <c r="S5" s="6"/>
      <c r="T5" s="6"/>
      <c r="U5" s="118"/>
      <c r="AD5" s="6"/>
    </row>
    <row r="6" spans="1:30" ht="32.25" customHeight="1" x14ac:dyDescent="0.25">
      <c r="A6" s="119" t="s">
        <v>38</v>
      </c>
      <c r="B6" s="120" t="s">
        <v>39</v>
      </c>
      <c r="C6" s="120" t="s">
        <v>0</v>
      </c>
      <c r="D6" s="120" t="s">
        <v>40</v>
      </c>
      <c r="E6" s="127" t="s">
        <v>41</v>
      </c>
      <c r="F6" s="120" t="s">
        <v>42</v>
      </c>
      <c r="G6" s="120" t="s">
        <v>43</v>
      </c>
      <c r="H6" s="120" t="s">
        <v>44</v>
      </c>
      <c r="I6" s="127" t="s">
        <v>45</v>
      </c>
      <c r="J6" s="120" t="s">
        <v>46</v>
      </c>
      <c r="K6" s="119" t="s">
        <v>39</v>
      </c>
      <c r="L6" s="120" t="s">
        <v>0</v>
      </c>
      <c r="M6" s="120" t="s">
        <v>40</v>
      </c>
      <c r="N6" s="127" t="s">
        <v>41</v>
      </c>
      <c r="O6" s="120" t="s">
        <v>42</v>
      </c>
      <c r="P6" s="120" t="s">
        <v>43</v>
      </c>
      <c r="Q6" s="120" t="s">
        <v>44</v>
      </c>
      <c r="R6" s="120" t="s">
        <v>47</v>
      </c>
      <c r="S6" s="121" t="s">
        <v>46</v>
      </c>
      <c r="T6" s="126" t="s">
        <v>48</v>
      </c>
      <c r="U6" s="131" t="s">
        <v>49</v>
      </c>
      <c r="V6" s="138" t="s">
        <v>50</v>
      </c>
      <c r="W6" s="120" t="s">
        <v>0</v>
      </c>
      <c r="X6" s="120" t="s">
        <v>51</v>
      </c>
      <c r="Y6" s="127" t="s">
        <v>52</v>
      </c>
      <c r="Z6" s="120" t="s">
        <v>42</v>
      </c>
      <c r="AA6" s="120" t="s">
        <v>53</v>
      </c>
      <c r="AB6" s="120" t="s">
        <v>44</v>
      </c>
      <c r="AC6" s="120" t="s">
        <v>54</v>
      </c>
      <c r="AD6" s="121" t="s">
        <v>55</v>
      </c>
    </row>
    <row r="7" spans="1:30" x14ac:dyDescent="0.25">
      <c r="A7" s="118" t="s">
        <v>1</v>
      </c>
      <c r="B7">
        <v>433.39881000000003</v>
      </c>
      <c r="C7">
        <v>342.28735999999998</v>
      </c>
      <c r="D7">
        <v>91.384443000000005</v>
      </c>
      <c r="E7">
        <v>37.730440000000002</v>
      </c>
      <c r="F7">
        <v>0</v>
      </c>
      <c r="G7">
        <v>0</v>
      </c>
      <c r="H7">
        <v>41.633600000000001</v>
      </c>
      <c r="I7" s="12">
        <f>SUM(B7:H7)</f>
        <v>946.43465300000003</v>
      </c>
      <c r="J7" s="147">
        <v>36.200000000000003</v>
      </c>
      <c r="K7" s="122">
        <f t="shared" ref="K7:K36" si="0">B7*$K$39</f>
        <v>13001.964300000001</v>
      </c>
      <c r="L7" s="3">
        <f t="shared" ref="L7:L36" si="1">C7*$L$39</f>
        <v>20537.241599999998</v>
      </c>
      <c r="M7" s="3">
        <f t="shared" ref="M7:M36" si="2">D7*$M$39</f>
        <v>2741.5332900000003</v>
      </c>
      <c r="N7" s="3">
        <f t="shared" ref="N7:N36" si="3">E7*$N$39</f>
        <v>754.60879999999997</v>
      </c>
      <c r="O7" s="3">
        <f t="shared" ref="O7:O36" si="4">F7*$O$39</f>
        <v>0</v>
      </c>
      <c r="P7" s="3">
        <f t="shared" ref="P7:P36" si="5">G7*$P$39</f>
        <v>0</v>
      </c>
      <c r="Q7" s="3">
        <f t="shared" ref="Q7:Q36" si="6">H7*$Q$39</f>
        <v>208.16800000000001</v>
      </c>
      <c r="R7" s="12">
        <f>SUM(K7:Q7)</f>
        <v>37243.51599</v>
      </c>
      <c r="S7" s="149">
        <f t="shared" ref="S7:S36" si="7">R7/I7</f>
        <v>39.35138667201781</v>
      </c>
      <c r="T7" s="129">
        <f t="shared" ref="T7:T36" si="8">J7/S7</f>
        <v>0.91991675672616868</v>
      </c>
      <c r="U7" s="136">
        <f>$U$39*$T7</f>
        <v>7.4513257294819679</v>
      </c>
      <c r="V7" s="139">
        <f>$V$39*$T7</f>
        <v>20.146176972303092</v>
      </c>
      <c r="W7" s="9">
        <f>$W$39*$T7</f>
        <v>55.195005403570121</v>
      </c>
      <c r="X7" s="9">
        <f>$X$39*$T7</f>
        <v>27.597502701785061</v>
      </c>
      <c r="Y7" s="9">
        <f>$Y$39*$T7</f>
        <v>18.398335134523375</v>
      </c>
      <c r="Z7" s="9">
        <f>$Z$39*$T7</f>
        <v>36.79667026904675</v>
      </c>
      <c r="AA7" s="9">
        <f>$AA$39*$T7</f>
        <v>717.53507024641158</v>
      </c>
      <c r="AB7" s="9">
        <f>$AB$39*$T7</f>
        <v>4.5995837836308437</v>
      </c>
      <c r="AC7" s="3">
        <f>$AC$39*$T7</f>
        <v>0.35124094347726442</v>
      </c>
      <c r="AD7" s="137">
        <f>$AD$39*$T7</f>
        <v>1.5178626485981783</v>
      </c>
    </row>
    <row r="8" spans="1:30" x14ac:dyDescent="0.25">
      <c r="A8" s="118" t="s">
        <v>2</v>
      </c>
      <c r="B8">
        <v>465.93412499999999</v>
      </c>
      <c r="C8">
        <v>783.63464499999998</v>
      </c>
      <c r="D8">
        <v>247.59897699999999</v>
      </c>
      <c r="E8">
        <v>18.817885</v>
      </c>
      <c r="F8">
        <v>0</v>
      </c>
      <c r="G8">
        <v>3.4118826000000002</v>
      </c>
      <c r="H8">
        <v>115.1564</v>
      </c>
      <c r="I8" s="12">
        <f t="shared" ref="I8:I36" si="9">SUM(B8:H8)</f>
        <v>1634.5539145999999</v>
      </c>
      <c r="J8" s="147">
        <v>73.5</v>
      </c>
      <c r="K8" s="122">
        <f t="shared" si="0"/>
        <v>13978.02375</v>
      </c>
      <c r="L8" s="3">
        <f t="shared" si="1"/>
        <v>47018.078699999998</v>
      </c>
      <c r="M8" s="3">
        <f t="shared" si="2"/>
        <v>7427.9693099999995</v>
      </c>
      <c r="N8" s="3">
        <f t="shared" si="3"/>
        <v>376.35770000000002</v>
      </c>
      <c r="O8" s="3">
        <f t="shared" si="4"/>
        <v>0</v>
      </c>
      <c r="P8" s="3">
        <f t="shared" si="5"/>
        <v>2661.2684280000003</v>
      </c>
      <c r="Q8" s="3">
        <f t="shared" si="6"/>
        <v>575.78200000000004</v>
      </c>
      <c r="R8" s="12">
        <f t="shared" ref="R8:R36" si="10">SUM(K8:Q8)</f>
        <v>72037.479887999987</v>
      </c>
      <c r="S8" s="149">
        <f t="shared" si="7"/>
        <v>44.071645018591298</v>
      </c>
      <c r="T8" s="129">
        <f t="shared" si="8"/>
        <v>1.6677389729608361</v>
      </c>
      <c r="U8" s="136">
        <f t="shared" ref="U8:U36" si="11">$U$39*$T8</f>
        <v>13.508685680982774</v>
      </c>
      <c r="V8" s="139">
        <f t="shared" ref="V8:V36" si="12">$V$39*$T8</f>
        <v>36.523483507842307</v>
      </c>
      <c r="W8" s="9">
        <f t="shared" ref="W8:W36" si="13">$W$39*$T8</f>
        <v>100.06433837765016</v>
      </c>
      <c r="X8" s="9">
        <f t="shared" ref="X8:X36" si="14">$X$39*$T8</f>
        <v>50.03216918882508</v>
      </c>
      <c r="Y8" s="9">
        <f t="shared" ref="Y8:Y36" si="15">$Y$39*$T8</f>
        <v>33.354779459216722</v>
      </c>
      <c r="Z8" s="9">
        <f t="shared" ref="Z8:Z36" si="16">$Z$39*$T8</f>
        <v>66.709558918433444</v>
      </c>
      <c r="AA8" s="9">
        <f t="shared" ref="AA8:AA36" si="17">$AA$39*$T8</f>
        <v>1300.8363989094521</v>
      </c>
      <c r="AB8" s="9">
        <f t="shared" ref="AB8:AB36" si="18">$AB$39*$T8</f>
        <v>8.3386948648041805</v>
      </c>
      <c r="AC8" s="3">
        <f t="shared" ref="AC8:AC36" si="19">$AC$39*$T8</f>
        <v>0.6367730624032284</v>
      </c>
      <c r="AD8" s="137">
        <f t="shared" ref="AD8:AD36" si="20">$AD$39*$T8</f>
        <v>2.7517693053853796</v>
      </c>
    </row>
    <row r="9" spans="1:30" x14ac:dyDescent="0.25">
      <c r="A9" s="118" t="s">
        <v>3</v>
      </c>
      <c r="B9">
        <v>102.00216500000001</v>
      </c>
      <c r="C9">
        <v>90.708269999999999</v>
      </c>
      <c r="D9">
        <v>50.394500000000001</v>
      </c>
      <c r="E9">
        <v>83.519679999999994</v>
      </c>
      <c r="F9">
        <v>13</v>
      </c>
      <c r="G9">
        <v>2.3968000000000001E-3</v>
      </c>
      <c r="H9">
        <v>18.334</v>
      </c>
      <c r="I9" s="12">
        <f t="shared" si="9"/>
        <v>357.96101179999999</v>
      </c>
      <c r="J9" s="147">
        <v>103.2</v>
      </c>
      <c r="K9" s="122">
        <f t="shared" si="0"/>
        <v>3060.06495</v>
      </c>
      <c r="L9" s="3">
        <f t="shared" si="1"/>
        <v>5442.4961999999996</v>
      </c>
      <c r="M9" s="3">
        <f t="shared" si="2"/>
        <v>1511.835</v>
      </c>
      <c r="N9" s="3">
        <f t="shared" si="3"/>
        <v>1670.3935999999999</v>
      </c>
      <c r="O9" s="3">
        <f t="shared" si="4"/>
        <v>520</v>
      </c>
      <c r="P9" s="3">
        <f t="shared" si="5"/>
        <v>1.8695040000000001</v>
      </c>
      <c r="Q9" s="3">
        <f t="shared" si="6"/>
        <v>91.67</v>
      </c>
      <c r="R9" s="12">
        <f t="shared" si="10"/>
        <v>12298.329254</v>
      </c>
      <c r="S9" s="149">
        <f t="shared" si="7"/>
        <v>34.356616638661542</v>
      </c>
      <c r="T9" s="129">
        <f t="shared" si="8"/>
        <v>3.0037882101542244</v>
      </c>
      <c r="U9" s="136">
        <f t="shared" si="11"/>
        <v>24.330684502249223</v>
      </c>
      <c r="V9" s="139">
        <f t="shared" si="12"/>
        <v>65.782961802377514</v>
      </c>
      <c r="W9" s="9">
        <f t="shared" si="13"/>
        <v>180.22729260925345</v>
      </c>
      <c r="X9" s="9">
        <f t="shared" si="14"/>
        <v>90.113646304626727</v>
      </c>
      <c r="Y9" s="9">
        <f t="shared" si="15"/>
        <v>60.075764203084489</v>
      </c>
      <c r="Z9" s="9">
        <f t="shared" si="16"/>
        <v>120.15152840616898</v>
      </c>
      <c r="AA9" s="9">
        <f t="shared" si="17"/>
        <v>2342.954803920295</v>
      </c>
      <c r="AB9" s="9">
        <f t="shared" si="18"/>
        <v>15.018941050771122</v>
      </c>
      <c r="AC9" s="3">
        <f t="shared" si="19"/>
        <v>1.1469009529679766</v>
      </c>
      <c r="AD9" s="137">
        <f t="shared" si="20"/>
        <v>4.95625054675447</v>
      </c>
    </row>
    <row r="10" spans="1:30" x14ac:dyDescent="0.25">
      <c r="A10" s="118" t="s">
        <v>4</v>
      </c>
      <c r="B10">
        <v>80.921520000000001</v>
      </c>
      <c r="C10">
        <v>85.984885000000006</v>
      </c>
      <c r="D10">
        <v>49.652929</v>
      </c>
      <c r="E10">
        <v>47.702800000000003</v>
      </c>
      <c r="F10">
        <v>27.245000000000001</v>
      </c>
      <c r="G10">
        <v>8.2235999999999993E-3</v>
      </c>
      <c r="H10">
        <v>12.592000000000001</v>
      </c>
      <c r="I10" s="12">
        <f t="shared" si="9"/>
        <v>304.1073576</v>
      </c>
      <c r="J10" s="147">
        <v>56.2</v>
      </c>
      <c r="K10" s="122">
        <f t="shared" si="0"/>
        <v>2427.6455999999998</v>
      </c>
      <c r="L10" s="3">
        <f t="shared" si="1"/>
        <v>5159.0931</v>
      </c>
      <c r="M10" s="3">
        <f t="shared" si="2"/>
        <v>1489.5878700000001</v>
      </c>
      <c r="N10" s="3">
        <f t="shared" si="3"/>
        <v>954.05600000000004</v>
      </c>
      <c r="O10" s="3">
        <f t="shared" si="4"/>
        <v>1089.8</v>
      </c>
      <c r="P10" s="3">
        <f t="shared" si="5"/>
        <v>6.4144079999999999</v>
      </c>
      <c r="Q10" s="3">
        <f t="shared" si="6"/>
        <v>62.96</v>
      </c>
      <c r="R10" s="12">
        <f t="shared" si="10"/>
        <v>11189.556977999999</v>
      </c>
      <c r="S10" s="149">
        <f t="shared" si="7"/>
        <v>36.794759147912174</v>
      </c>
      <c r="T10" s="129">
        <f t="shared" si="8"/>
        <v>1.5273914356683302</v>
      </c>
      <c r="U10" s="136">
        <f t="shared" si="11"/>
        <v>12.371870628913477</v>
      </c>
      <c r="V10" s="139">
        <f t="shared" si="12"/>
        <v>33.449872441136428</v>
      </c>
      <c r="W10" s="9">
        <f t="shared" si="13"/>
        <v>91.64348614009981</v>
      </c>
      <c r="X10" s="9">
        <f t="shared" si="14"/>
        <v>45.821743070049905</v>
      </c>
      <c r="Y10" s="9">
        <f t="shared" si="15"/>
        <v>30.547828713366606</v>
      </c>
      <c r="Z10" s="9">
        <f t="shared" si="16"/>
        <v>61.095657426733212</v>
      </c>
      <c r="AA10" s="9">
        <f t="shared" si="17"/>
        <v>1191.3653198212976</v>
      </c>
      <c r="AB10" s="9">
        <f t="shared" si="18"/>
        <v>7.6369571783416514</v>
      </c>
      <c r="AC10" s="3">
        <f t="shared" si="19"/>
        <v>0.58318582089154425</v>
      </c>
      <c r="AD10" s="137">
        <f t="shared" si="20"/>
        <v>2.5201958688527446</v>
      </c>
    </row>
    <row r="11" spans="1:30" x14ac:dyDescent="0.25">
      <c r="A11" s="118" t="s">
        <v>5</v>
      </c>
      <c r="B11">
        <v>28.663740000000001</v>
      </c>
      <c r="C11">
        <v>42.436250000000001</v>
      </c>
      <c r="D11">
        <v>13.856344</v>
      </c>
      <c r="E11">
        <v>44.99183</v>
      </c>
      <c r="F11">
        <v>8</v>
      </c>
      <c r="G11">
        <v>7.8663200000000003E-2</v>
      </c>
      <c r="H11">
        <v>1.7136</v>
      </c>
      <c r="I11" s="12">
        <f t="shared" si="9"/>
        <v>139.7404272</v>
      </c>
      <c r="J11" s="147">
        <v>254.7</v>
      </c>
      <c r="K11" s="122">
        <f t="shared" si="0"/>
        <v>859.91219999999998</v>
      </c>
      <c r="L11" s="3">
        <f t="shared" si="1"/>
        <v>2546.1750000000002</v>
      </c>
      <c r="M11" s="3">
        <f t="shared" si="2"/>
        <v>415.69031999999999</v>
      </c>
      <c r="N11" s="3">
        <f t="shared" si="3"/>
        <v>899.83659999999998</v>
      </c>
      <c r="O11" s="3">
        <f t="shared" si="4"/>
        <v>320</v>
      </c>
      <c r="P11" s="3">
        <f t="shared" si="5"/>
        <v>61.357296000000005</v>
      </c>
      <c r="Q11" s="3">
        <f t="shared" si="6"/>
        <v>8.5679999999999996</v>
      </c>
      <c r="R11" s="12">
        <f t="shared" si="10"/>
        <v>5111.5394160000005</v>
      </c>
      <c r="S11" s="149">
        <f t="shared" si="7"/>
        <v>36.578816298337472</v>
      </c>
      <c r="T11" s="129">
        <f t="shared" si="8"/>
        <v>6.9630465327981721</v>
      </c>
      <c r="U11" s="136">
        <f t="shared" si="11"/>
        <v>56.400676915665201</v>
      </c>
      <c r="V11" s="139">
        <f t="shared" si="12"/>
        <v>152.49071906827996</v>
      </c>
      <c r="W11" s="9">
        <f t="shared" si="13"/>
        <v>417.78279196789032</v>
      </c>
      <c r="X11" s="9">
        <f t="shared" si="14"/>
        <v>208.89139598394516</v>
      </c>
      <c r="Y11" s="9">
        <f t="shared" si="15"/>
        <v>139.26093065596345</v>
      </c>
      <c r="Z11" s="9">
        <f t="shared" si="16"/>
        <v>278.5218613119269</v>
      </c>
      <c r="AA11" s="9">
        <f t="shared" si="17"/>
        <v>5431.1762955825743</v>
      </c>
      <c r="AB11" s="9">
        <f t="shared" si="18"/>
        <v>34.815232663990862</v>
      </c>
      <c r="AC11" s="3">
        <f t="shared" si="19"/>
        <v>2.6586177670683933</v>
      </c>
      <c r="AD11" s="137">
        <f t="shared" si="20"/>
        <v>11.489026779116983</v>
      </c>
    </row>
    <row r="12" spans="1:30" x14ac:dyDescent="0.25">
      <c r="A12" s="118" t="s">
        <v>6</v>
      </c>
      <c r="B12">
        <v>293.47503999999998</v>
      </c>
      <c r="C12">
        <v>189.89490499999999</v>
      </c>
      <c r="D12">
        <v>132.62026499999999</v>
      </c>
      <c r="E12">
        <v>13.64866</v>
      </c>
      <c r="F12">
        <v>19.259</v>
      </c>
      <c r="G12">
        <v>7.0328999999999997</v>
      </c>
      <c r="H12">
        <v>40.778799999999997</v>
      </c>
      <c r="I12" s="12">
        <f t="shared" si="9"/>
        <v>696.70956999999999</v>
      </c>
      <c r="J12" s="147">
        <v>46.4</v>
      </c>
      <c r="K12" s="122">
        <f t="shared" si="0"/>
        <v>8804.2511999999988</v>
      </c>
      <c r="L12" s="3">
        <f t="shared" si="1"/>
        <v>11393.694299999999</v>
      </c>
      <c r="M12" s="3">
        <f t="shared" si="2"/>
        <v>3978.6079499999996</v>
      </c>
      <c r="N12" s="3">
        <f t="shared" si="3"/>
        <v>272.97320000000002</v>
      </c>
      <c r="O12" s="3">
        <f t="shared" si="4"/>
        <v>770.36</v>
      </c>
      <c r="P12" s="3">
        <f t="shared" si="5"/>
        <v>5485.6619999999994</v>
      </c>
      <c r="Q12" s="3">
        <f t="shared" si="6"/>
        <v>203.89399999999998</v>
      </c>
      <c r="R12" s="12">
        <f t="shared" si="10"/>
        <v>30909.442650000001</v>
      </c>
      <c r="S12" s="149">
        <f t="shared" si="7"/>
        <v>44.364888873279007</v>
      </c>
      <c r="T12" s="129">
        <f t="shared" si="8"/>
        <v>1.0458721114468235</v>
      </c>
      <c r="U12" s="136">
        <f t="shared" si="11"/>
        <v>8.4715641027192721</v>
      </c>
      <c r="V12" s="139">
        <f t="shared" si="12"/>
        <v>22.904599240685432</v>
      </c>
      <c r="W12" s="9">
        <f t="shared" si="13"/>
        <v>62.752326686809411</v>
      </c>
      <c r="X12" s="9">
        <f t="shared" si="14"/>
        <v>31.376163343404706</v>
      </c>
      <c r="Y12" s="9">
        <f t="shared" si="15"/>
        <v>20.917442228936469</v>
      </c>
      <c r="Z12" s="9">
        <f t="shared" si="16"/>
        <v>41.834884457872938</v>
      </c>
      <c r="AA12" s="9">
        <f t="shared" si="17"/>
        <v>815.78024692852227</v>
      </c>
      <c r="AB12" s="9">
        <f t="shared" si="18"/>
        <v>5.2293605572341173</v>
      </c>
      <c r="AC12" s="3">
        <f t="shared" si="19"/>
        <v>0.39933298800696898</v>
      </c>
      <c r="AD12" s="137">
        <f t="shared" si="20"/>
        <v>1.7256889838872587</v>
      </c>
    </row>
    <row r="13" spans="1:30" x14ac:dyDescent="0.25">
      <c r="A13" s="118" t="s">
        <v>7</v>
      </c>
      <c r="B13">
        <v>376.56768</v>
      </c>
      <c r="C13">
        <v>1736.7402</v>
      </c>
      <c r="D13">
        <v>117.04644500000001</v>
      </c>
      <c r="E13">
        <v>14.818625000000001</v>
      </c>
      <c r="F13">
        <v>40.698999999999998</v>
      </c>
      <c r="G13">
        <v>0</v>
      </c>
      <c r="H13">
        <v>70</v>
      </c>
      <c r="I13" s="12">
        <f t="shared" si="9"/>
        <v>2355.8719499999997</v>
      </c>
      <c r="J13" s="147">
        <v>34.1</v>
      </c>
      <c r="K13" s="122">
        <f t="shared" si="0"/>
        <v>11297.0304</v>
      </c>
      <c r="L13" s="3">
        <f t="shared" si="1"/>
        <v>104204.412</v>
      </c>
      <c r="M13" s="3">
        <f t="shared" si="2"/>
        <v>3511.3933500000003</v>
      </c>
      <c r="N13" s="3">
        <f t="shared" si="3"/>
        <v>296.3725</v>
      </c>
      <c r="O13" s="3">
        <f t="shared" si="4"/>
        <v>1627.96</v>
      </c>
      <c r="P13" s="3">
        <f t="shared" si="5"/>
        <v>0</v>
      </c>
      <c r="Q13" s="3">
        <f t="shared" si="6"/>
        <v>350</v>
      </c>
      <c r="R13" s="12">
        <f t="shared" si="10"/>
        <v>121287.16825</v>
      </c>
      <c r="S13" s="149">
        <f t="shared" si="7"/>
        <v>51.482920474519005</v>
      </c>
      <c r="T13" s="129">
        <f t="shared" si="8"/>
        <v>0.66235558677906547</v>
      </c>
      <c r="U13" s="136">
        <f t="shared" si="11"/>
        <v>5.3650802529104311</v>
      </c>
      <c r="V13" s="139">
        <f t="shared" si="12"/>
        <v>14.505587350461534</v>
      </c>
      <c r="W13" s="9">
        <f t="shared" si="13"/>
        <v>39.741335206743926</v>
      </c>
      <c r="X13" s="9">
        <f t="shared" si="14"/>
        <v>19.870667603371963</v>
      </c>
      <c r="Y13" s="9">
        <f t="shared" si="15"/>
        <v>13.24711173558131</v>
      </c>
      <c r="Z13" s="9">
        <f t="shared" si="16"/>
        <v>26.49422347116262</v>
      </c>
      <c r="AA13" s="9">
        <f t="shared" si="17"/>
        <v>516.63735768767106</v>
      </c>
      <c r="AB13" s="9">
        <f t="shared" si="18"/>
        <v>3.3117779338953275</v>
      </c>
      <c r="AC13" s="3">
        <f t="shared" si="19"/>
        <v>0.25289940586109771</v>
      </c>
      <c r="AD13" s="137">
        <f t="shared" si="20"/>
        <v>1.092886718185458</v>
      </c>
    </row>
    <row r="14" spans="1:30" x14ac:dyDescent="0.25">
      <c r="A14" s="118" t="s">
        <v>8</v>
      </c>
      <c r="B14">
        <v>59.675825000000003</v>
      </c>
      <c r="C14">
        <v>41.236134999999997</v>
      </c>
      <c r="D14">
        <v>2.5013695</v>
      </c>
      <c r="E14">
        <v>5.1273799999999996</v>
      </c>
      <c r="F14">
        <v>0.80100000000000005</v>
      </c>
      <c r="G14">
        <v>5.3899999999999998E-4</v>
      </c>
      <c r="H14">
        <v>5.1379999999999999</v>
      </c>
      <c r="I14" s="12">
        <f t="shared" si="9"/>
        <v>114.4802485</v>
      </c>
      <c r="J14" s="147">
        <v>45.8</v>
      </c>
      <c r="K14" s="122">
        <f t="shared" si="0"/>
        <v>1790.27475</v>
      </c>
      <c r="L14" s="3">
        <f t="shared" si="1"/>
        <v>2474.1680999999999</v>
      </c>
      <c r="M14" s="3">
        <f t="shared" si="2"/>
        <v>75.041084999999995</v>
      </c>
      <c r="N14" s="3">
        <f t="shared" si="3"/>
        <v>102.54759999999999</v>
      </c>
      <c r="O14" s="3">
        <f t="shared" si="4"/>
        <v>32.04</v>
      </c>
      <c r="P14" s="3">
        <f t="shared" si="5"/>
        <v>0.42041999999999996</v>
      </c>
      <c r="Q14" s="3">
        <f t="shared" si="6"/>
        <v>25.689999999999998</v>
      </c>
      <c r="R14" s="12">
        <f t="shared" si="10"/>
        <v>4500.1819549999991</v>
      </c>
      <c r="S14" s="149">
        <f t="shared" si="7"/>
        <v>39.309680175965021</v>
      </c>
      <c r="T14" s="129">
        <f t="shared" si="8"/>
        <v>1.1651074187065844</v>
      </c>
      <c r="U14" s="136">
        <f t="shared" si="11"/>
        <v>9.4373700915233361</v>
      </c>
      <c r="V14" s="139">
        <f t="shared" si="12"/>
        <v>25.515852469674197</v>
      </c>
      <c r="W14" s="9">
        <f t="shared" si="13"/>
        <v>69.90644512239507</v>
      </c>
      <c r="X14" s="9">
        <f t="shared" si="14"/>
        <v>34.953222561197535</v>
      </c>
      <c r="Y14" s="9">
        <f t="shared" si="15"/>
        <v>23.30214837413169</v>
      </c>
      <c r="Z14" s="9">
        <f t="shared" si="16"/>
        <v>46.60429674826338</v>
      </c>
      <c r="AA14" s="9">
        <f t="shared" si="17"/>
        <v>908.78378659113582</v>
      </c>
      <c r="AB14" s="9">
        <f t="shared" si="18"/>
        <v>5.8255370935329225</v>
      </c>
      <c r="AC14" s="3">
        <f t="shared" si="19"/>
        <v>0.44485919623342318</v>
      </c>
      <c r="AD14" s="137">
        <f t="shared" si="20"/>
        <v>1.9224272408658643</v>
      </c>
    </row>
    <row r="15" spans="1:30" x14ac:dyDescent="0.25">
      <c r="A15" s="118" t="s">
        <v>9</v>
      </c>
      <c r="B15">
        <v>199.33572000000001</v>
      </c>
      <c r="C15">
        <v>141.38409999999999</v>
      </c>
      <c r="D15">
        <v>87.084209999999999</v>
      </c>
      <c r="E15">
        <v>11.106619999999999</v>
      </c>
      <c r="F15">
        <v>16.280999999999999</v>
      </c>
      <c r="G15">
        <v>0</v>
      </c>
      <c r="H15">
        <v>29.6</v>
      </c>
      <c r="I15" s="12">
        <f t="shared" si="9"/>
        <v>484.79165000000006</v>
      </c>
      <c r="J15" s="147">
        <v>14.9</v>
      </c>
      <c r="K15" s="122">
        <f t="shared" si="0"/>
        <v>5980.0716000000002</v>
      </c>
      <c r="L15" s="3">
        <f t="shared" si="1"/>
        <v>8483.0459999999985</v>
      </c>
      <c r="M15" s="3">
        <f t="shared" si="2"/>
        <v>2612.5263</v>
      </c>
      <c r="N15" s="3">
        <f t="shared" si="3"/>
        <v>222.13239999999999</v>
      </c>
      <c r="O15" s="3">
        <f t="shared" si="4"/>
        <v>651.24</v>
      </c>
      <c r="P15" s="3">
        <f t="shared" si="5"/>
        <v>0</v>
      </c>
      <c r="Q15" s="3">
        <f t="shared" si="6"/>
        <v>148</v>
      </c>
      <c r="R15" s="12">
        <f t="shared" si="10"/>
        <v>18097.016299999999</v>
      </c>
      <c r="S15" s="149">
        <f t="shared" si="7"/>
        <v>37.329471949444667</v>
      </c>
      <c r="T15" s="129">
        <f t="shared" si="8"/>
        <v>0.39914842674922063</v>
      </c>
      <c r="U15" s="136">
        <f t="shared" si="11"/>
        <v>3.2331022566686878</v>
      </c>
      <c r="V15" s="139">
        <f t="shared" si="12"/>
        <v>8.741350545807931</v>
      </c>
      <c r="W15" s="9">
        <f t="shared" si="13"/>
        <v>23.948905604953239</v>
      </c>
      <c r="X15" s="9">
        <f t="shared" si="14"/>
        <v>11.97445280247662</v>
      </c>
      <c r="Y15" s="9">
        <f t="shared" si="15"/>
        <v>7.9829685349844128</v>
      </c>
      <c r="Z15" s="9">
        <f t="shared" si="16"/>
        <v>15.965937069968826</v>
      </c>
      <c r="AA15" s="9">
        <f t="shared" si="17"/>
        <v>311.33577286439208</v>
      </c>
      <c r="AB15" s="9">
        <f t="shared" si="18"/>
        <v>1.9957421337461032</v>
      </c>
      <c r="AC15" s="3">
        <f t="shared" si="19"/>
        <v>0.15240212657697516</v>
      </c>
      <c r="AD15" s="137">
        <f t="shared" si="20"/>
        <v>0.65859490413621402</v>
      </c>
    </row>
    <row r="16" spans="1:30" x14ac:dyDescent="0.25">
      <c r="A16" s="118" t="s">
        <v>10</v>
      </c>
      <c r="B16">
        <v>2910.8982599999999</v>
      </c>
      <c r="C16">
        <v>1719.8894299999999</v>
      </c>
      <c r="D16">
        <v>989.88365999999996</v>
      </c>
      <c r="E16">
        <v>595.02120000000002</v>
      </c>
      <c r="F16">
        <v>45.164000000000001</v>
      </c>
      <c r="G16">
        <v>35.628599999999999</v>
      </c>
      <c r="H16">
        <v>264.95999999999998</v>
      </c>
      <c r="I16" s="12">
        <f t="shared" si="9"/>
        <v>6561.4451500000005</v>
      </c>
      <c r="J16" s="147">
        <v>38.9</v>
      </c>
      <c r="K16" s="122">
        <f t="shared" si="0"/>
        <v>87326.947799999994</v>
      </c>
      <c r="L16" s="3">
        <f t="shared" si="1"/>
        <v>103193.3658</v>
      </c>
      <c r="M16" s="3">
        <f t="shared" si="2"/>
        <v>29696.5098</v>
      </c>
      <c r="N16" s="3">
        <f t="shared" si="3"/>
        <v>11900.424000000001</v>
      </c>
      <c r="O16" s="3">
        <f t="shared" si="4"/>
        <v>1806.56</v>
      </c>
      <c r="P16" s="3">
        <f t="shared" si="5"/>
        <v>27790.307999999997</v>
      </c>
      <c r="Q16" s="3">
        <f t="shared" si="6"/>
        <v>1324.8</v>
      </c>
      <c r="R16" s="12">
        <f t="shared" si="10"/>
        <v>263038.9154</v>
      </c>
      <c r="S16" s="149">
        <f t="shared" si="7"/>
        <v>40.088564239541036</v>
      </c>
      <c r="T16" s="129">
        <f t="shared" si="8"/>
        <v>0.97035153884686376</v>
      </c>
      <c r="U16" s="136">
        <f t="shared" si="11"/>
        <v>7.8598474646595982</v>
      </c>
      <c r="V16" s="139">
        <f t="shared" si="12"/>
        <v>21.250698700746316</v>
      </c>
      <c r="W16" s="9">
        <f t="shared" si="13"/>
        <v>58.221092330811828</v>
      </c>
      <c r="X16" s="9">
        <f t="shared" si="14"/>
        <v>29.110546165405914</v>
      </c>
      <c r="Y16" s="9">
        <f t="shared" si="15"/>
        <v>19.407030776937276</v>
      </c>
      <c r="Z16" s="9">
        <f t="shared" si="16"/>
        <v>38.814061553874552</v>
      </c>
      <c r="AA16" s="9">
        <f t="shared" si="17"/>
        <v>756.87420030055375</v>
      </c>
      <c r="AB16" s="9">
        <f t="shared" si="18"/>
        <v>4.851757694234319</v>
      </c>
      <c r="AC16" s="3">
        <f t="shared" si="19"/>
        <v>0.37049786028698434</v>
      </c>
      <c r="AD16" s="137">
        <f t="shared" si="20"/>
        <v>1.6010800390973252</v>
      </c>
    </row>
    <row r="17" spans="1:30" x14ac:dyDescent="0.25">
      <c r="A17" s="118" t="s">
        <v>11</v>
      </c>
      <c r="B17">
        <v>2751.2838449999999</v>
      </c>
      <c r="C17">
        <v>3171.0321300000001</v>
      </c>
      <c r="D17">
        <v>985.57711300000005</v>
      </c>
      <c r="E17">
        <v>132.02943999999999</v>
      </c>
      <c r="F17">
        <v>17.832999999999998</v>
      </c>
      <c r="G17">
        <v>23.132480000000001</v>
      </c>
      <c r="H17">
        <v>520</v>
      </c>
      <c r="I17" s="12">
        <f t="shared" si="9"/>
        <v>7600.8880079999999</v>
      </c>
      <c r="J17" s="147">
        <v>69.900000000000006</v>
      </c>
      <c r="K17" s="122">
        <f t="shared" si="0"/>
        <v>82538.515350000001</v>
      </c>
      <c r="L17" s="3">
        <f t="shared" si="1"/>
        <v>190261.9278</v>
      </c>
      <c r="M17" s="3">
        <f t="shared" si="2"/>
        <v>29567.313390000003</v>
      </c>
      <c r="N17" s="3">
        <f t="shared" si="3"/>
        <v>2640.5888</v>
      </c>
      <c r="O17" s="3">
        <f t="shared" si="4"/>
        <v>713.31999999999994</v>
      </c>
      <c r="P17" s="3">
        <f t="shared" si="5"/>
        <v>18043.3344</v>
      </c>
      <c r="Q17" s="3">
        <f t="shared" si="6"/>
        <v>2600</v>
      </c>
      <c r="R17" s="12">
        <f t="shared" si="10"/>
        <v>326364.99974000006</v>
      </c>
      <c r="S17" s="149">
        <f t="shared" si="7"/>
        <v>42.937746141832122</v>
      </c>
      <c r="T17" s="129">
        <f t="shared" si="8"/>
        <v>1.6279382659980817</v>
      </c>
      <c r="U17" s="136">
        <f t="shared" si="11"/>
        <v>13.186299954584463</v>
      </c>
      <c r="V17" s="139">
        <f t="shared" si="12"/>
        <v>35.651848025357985</v>
      </c>
      <c r="W17" s="9">
        <f t="shared" si="13"/>
        <v>97.676295959884897</v>
      </c>
      <c r="X17" s="9">
        <f t="shared" si="14"/>
        <v>48.838147979942448</v>
      </c>
      <c r="Y17" s="9">
        <f t="shared" si="15"/>
        <v>32.558765319961637</v>
      </c>
      <c r="Z17" s="9">
        <f t="shared" si="16"/>
        <v>65.117530639923274</v>
      </c>
      <c r="AA17" s="9">
        <f t="shared" si="17"/>
        <v>1269.7918474785038</v>
      </c>
      <c r="AB17" s="9">
        <f t="shared" si="18"/>
        <v>8.1396913299904092</v>
      </c>
      <c r="AC17" s="3">
        <f t="shared" si="19"/>
        <v>0.62157642883563125</v>
      </c>
      <c r="AD17" s="137">
        <f t="shared" si="20"/>
        <v>2.6860981388968348</v>
      </c>
    </row>
    <row r="18" spans="1:30" x14ac:dyDescent="0.25">
      <c r="A18" s="118" t="s">
        <v>12</v>
      </c>
      <c r="B18">
        <v>76.921364999999994</v>
      </c>
      <c r="C18">
        <v>99.94041</v>
      </c>
      <c r="D18">
        <v>150.39824999999999</v>
      </c>
      <c r="E18">
        <v>680.11077999999998</v>
      </c>
      <c r="F18">
        <v>130.17740800000001</v>
      </c>
      <c r="G18">
        <v>2.1253791999999998</v>
      </c>
      <c r="H18">
        <v>2.2023999999999999</v>
      </c>
      <c r="I18" s="12">
        <f t="shared" si="9"/>
        <v>1141.8759921999999</v>
      </c>
      <c r="J18" s="147">
        <v>89</v>
      </c>
      <c r="K18" s="122">
        <f t="shared" si="0"/>
        <v>2307.64095</v>
      </c>
      <c r="L18" s="3">
        <f t="shared" si="1"/>
        <v>5996.4246000000003</v>
      </c>
      <c r="M18" s="3">
        <f t="shared" si="2"/>
        <v>4511.9474999999993</v>
      </c>
      <c r="N18" s="3">
        <f t="shared" si="3"/>
        <v>13602.2156</v>
      </c>
      <c r="O18" s="3">
        <f t="shared" si="4"/>
        <v>5207.0963200000006</v>
      </c>
      <c r="P18" s="3">
        <f t="shared" si="5"/>
        <v>1657.7957759999999</v>
      </c>
      <c r="Q18" s="3">
        <f t="shared" si="6"/>
        <v>11.012</v>
      </c>
      <c r="R18" s="12">
        <f t="shared" si="10"/>
        <v>33294.132746000003</v>
      </c>
      <c r="S18" s="149">
        <f t="shared" si="7"/>
        <v>29.157397977913284</v>
      </c>
      <c r="T18" s="129">
        <f t="shared" si="8"/>
        <v>3.05239857367991</v>
      </c>
      <c r="U18" s="136">
        <f t="shared" si="11"/>
        <v>24.724428446807273</v>
      </c>
      <c r="V18" s="139">
        <f t="shared" si="12"/>
        <v>66.84752876359002</v>
      </c>
      <c r="W18" s="9">
        <f t="shared" si="13"/>
        <v>183.1439144207946</v>
      </c>
      <c r="X18" s="9">
        <f t="shared" si="14"/>
        <v>91.571957210397301</v>
      </c>
      <c r="Y18" s="9">
        <f t="shared" si="15"/>
        <v>61.047971473598196</v>
      </c>
      <c r="Z18" s="9">
        <f t="shared" si="16"/>
        <v>122.09594294719639</v>
      </c>
      <c r="AA18" s="9">
        <f t="shared" si="17"/>
        <v>2380.8708874703298</v>
      </c>
      <c r="AB18" s="9">
        <f t="shared" si="18"/>
        <v>15.261992868399549</v>
      </c>
      <c r="AC18" s="3">
        <f t="shared" si="19"/>
        <v>1.1654612735868748</v>
      </c>
      <c r="AD18" s="137">
        <f t="shared" si="20"/>
        <v>5.0364576465718516</v>
      </c>
    </row>
    <row r="19" spans="1:30" x14ac:dyDescent="0.25">
      <c r="A19" s="118" t="s">
        <v>13</v>
      </c>
      <c r="B19">
        <v>179.55275</v>
      </c>
      <c r="C19">
        <v>321.44296000000003</v>
      </c>
      <c r="D19">
        <v>200.94122999999999</v>
      </c>
      <c r="E19">
        <v>74.046379999999999</v>
      </c>
      <c r="F19">
        <v>26.99</v>
      </c>
      <c r="G19">
        <v>5.4958217999999999</v>
      </c>
      <c r="H19">
        <v>24.4</v>
      </c>
      <c r="I19" s="12">
        <f t="shared" si="9"/>
        <v>832.86914180000008</v>
      </c>
      <c r="J19" s="147">
        <v>111.2</v>
      </c>
      <c r="K19" s="122">
        <f t="shared" si="0"/>
        <v>5386.5825000000004</v>
      </c>
      <c r="L19" s="3">
        <f t="shared" si="1"/>
        <v>19286.577600000001</v>
      </c>
      <c r="M19" s="3">
        <f t="shared" si="2"/>
        <v>6028.2368999999999</v>
      </c>
      <c r="N19" s="3">
        <f t="shared" si="3"/>
        <v>1480.9276</v>
      </c>
      <c r="O19" s="3">
        <f t="shared" si="4"/>
        <v>1079.5999999999999</v>
      </c>
      <c r="P19" s="3">
        <f t="shared" si="5"/>
        <v>4286.7410039999995</v>
      </c>
      <c r="Q19" s="3">
        <f t="shared" si="6"/>
        <v>122</v>
      </c>
      <c r="R19" s="12">
        <f t="shared" si="10"/>
        <v>37670.665603999994</v>
      </c>
      <c r="S19" s="149">
        <f t="shared" si="7"/>
        <v>45.229993180664614</v>
      </c>
      <c r="T19" s="129">
        <f t="shared" si="8"/>
        <v>2.4585455840293369</v>
      </c>
      <c r="U19" s="136">
        <f t="shared" si="11"/>
        <v>19.914219230637631</v>
      </c>
      <c r="V19" s="139">
        <f t="shared" si="12"/>
        <v>53.842148290242477</v>
      </c>
      <c r="W19" s="9">
        <f t="shared" si="13"/>
        <v>147.51273504176021</v>
      </c>
      <c r="X19" s="9">
        <f t="shared" si="14"/>
        <v>73.756367520880104</v>
      </c>
      <c r="Y19" s="9">
        <f t="shared" si="15"/>
        <v>49.170911680586741</v>
      </c>
      <c r="Z19" s="9">
        <f t="shared" si="16"/>
        <v>98.341823361173482</v>
      </c>
      <c r="AA19" s="9">
        <f t="shared" si="17"/>
        <v>1917.6655555428827</v>
      </c>
      <c r="AB19" s="9">
        <f t="shared" si="18"/>
        <v>12.292727920146685</v>
      </c>
      <c r="AC19" s="3">
        <f t="shared" si="19"/>
        <v>0.93871740481120136</v>
      </c>
      <c r="AD19" s="137">
        <f t="shared" si="20"/>
        <v>4.0566002136484061</v>
      </c>
    </row>
    <row r="20" spans="1:30" x14ac:dyDescent="0.25">
      <c r="A20" s="118" t="s">
        <v>14</v>
      </c>
      <c r="B20">
        <v>19.311875000000001</v>
      </c>
      <c r="C20">
        <v>5.5706499999999997</v>
      </c>
      <c r="D20">
        <v>5.8264100000000001</v>
      </c>
      <c r="E20">
        <v>37.426900000000003</v>
      </c>
      <c r="F20">
        <v>51.35</v>
      </c>
      <c r="G20">
        <v>0</v>
      </c>
      <c r="H20">
        <v>20.76</v>
      </c>
      <c r="I20" s="12">
        <f t="shared" si="9"/>
        <v>140.245835</v>
      </c>
      <c r="J20" s="147">
        <v>4.4000000000000004</v>
      </c>
      <c r="K20" s="122">
        <f t="shared" si="0"/>
        <v>579.35625000000005</v>
      </c>
      <c r="L20" s="3">
        <f t="shared" si="1"/>
        <v>334.23899999999998</v>
      </c>
      <c r="M20" s="3">
        <f t="shared" si="2"/>
        <v>174.79230000000001</v>
      </c>
      <c r="N20" s="3">
        <f t="shared" si="3"/>
        <v>748.53800000000001</v>
      </c>
      <c r="O20" s="3">
        <f t="shared" si="4"/>
        <v>2054</v>
      </c>
      <c r="P20" s="3">
        <f t="shared" si="5"/>
        <v>0</v>
      </c>
      <c r="Q20" s="3">
        <f t="shared" si="6"/>
        <v>103.80000000000001</v>
      </c>
      <c r="R20" s="12">
        <f t="shared" si="10"/>
        <v>3994.7255500000001</v>
      </c>
      <c r="S20" s="149">
        <f t="shared" si="7"/>
        <v>28.483737502792863</v>
      </c>
      <c r="T20" s="129">
        <f t="shared" si="8"/>
        <v>0.15447410999236233</v>
      </c>
      <c r="U20" s="136">
        <f t="shared" si="11"/>
        <v>1.251240290938135</v>
      </c>
      <c r="V20" s="139">
        <f t="shared" si="12"/>
        <v>3.3829830088327348</v>
      </c>
      <c r="W20" s="9">
        <f t="shared" si="13"/>
        <v>9.2684465995417398</v>
      </c>
      <c r="X20" s="9">
        <f t="shared" si="14"/>
        <v>4.6342232997708699</v>
      </c>
      <c r="Y20" s="9">
        <f t="shared" si="15"/>
        <v>3.0894821998472466</v>
      </c>
      <c r="Z20" s="9">
        <f t="shared" si="16"/>
        <v>6.1789643996944932</v>
      </c>
      <c r="AA20" s="9">
        <f t="shared" si="17"/>
        <v>120.48980579404261</v>
      </c>
      <c r="AB20" s="9">
        <f t="shared" si="18"/>
        <v>0.77237054996181165</v>
      </c>
      <c r="AC20" s="3">
        <f t="shared" si="19"/>
        <v>5.8981023815265619E-2</v>
      </c>
      <c r="AD20" s="137">
        <f t="shared" si="20"/>
        <v>0.25488228148739783</v>
      </c>
    </row>
    <row r="21" spans="1:30" x14ac:dyDescent="0.25">
      <c r="A21" s="118" t="s">
        <v>15</v>
      </c>
      <c r="B21">
        <v>1352.034085</v>
      </c>
      <c r="C21">
        <v>289.51479999999998</v>
      </c>
      <c r="D21">
        <v>101.978273</v>
      </c>
      <c r="E21">
        <v>357.82069999999999</v>
      </c>
      <c r="F21">
        <v>44.7</v>
      </c>
      <c r="G21">
        <v>0</v>
      </c>
      <c r="H21">
        <v>100</v>
      </c>
      <c r="I21" s="12">
        <f t="shared" si="9"/>
        <v>2246.0478579999999</v>
      </c>
      <c r="J21" s="147">
        <v>33.6</v>
      </c>
      <c r="K21" s="122">
        <f t="shared" si="0"/>
        <v>40561.022550000002</v>
      </c>
      <c r="L21" s="3">
        <f t="shared" si="1"/>
        <v>17370.887999999999</v>
      </c>
      <c r="M21" s="3">
        <f t="shared" si="2"/>
        <v>3059.3481900000002</v>
      </c>
      <c r="N21" s="3">
        <f t="shared" si="3"/>
        <v>7156.4139999999998</v>
      </c>
      <c r="O21" s="3">
        <f t="shared" si="4"/>
        <v>1788</v>
      </c>
      <c r="P21" s="3">
        <f t="shared" si="5"/>
        <v>0</v>
      </c>
      <c r="Q21" s="3">
        <f t="shared" si="6"/>
        <v>500</v>
      </c>
      <c r="R21" s="12">
        <f t="shared" si="10"/>
        <v>70435.672739999995</v>
      </c>
      <c r="S21" s="149">
        <f t="shared" si="7"/>
        <v>31.359827213441324</v>
      </c>
      <c r="T21" s="129">
        <f t="shared" si="8"/>
        <v>1.0714344747919562</v>
      </c>
      <c r="U21" s="136">
        <f t="shared" si="11"/>
        <v>8.678619245814847</v>
      </c>
      <c r="V21" s="139">
        <f t="shared" si="12"/>
        <v>23.464414997943837</v>
      </c>
      <c r="W21" s="9">
        <f t="shared" si="13"/>
        <v>64.286068487517369</v>
      </c>
      <c r="X21" s="9">
        <f t="shared" si="14"/>
        <v>32.143034243758684</v>
      </c>
      <c r="Y21" s="9">
        <f t="shared" si="15"/>
        <v>21.428689495839123</v>
      </c>
      <c r="Z21" s="9">
        <f t="shared" si="16"/>
        <v>42.857378991678246</v>
      </c>
      <c r="AA21" s="9">
        <f t="shared" si="17"/>
        <v>835.71889033772584</v>
      </c>
      <c r="AB21" s="9">
        <f t="shared" si="18"/>
        <v>5.3571723739597807</v>
      </c>
      <c r="AC21" s="3">
        <f t="shared" si="19"/>
        <v>0.40909316310238331</v>
      </c>
      <c r="AD21" s="137">
        <f t="shared" si="20"/>
        <v>1.7678668834067277</v>
      </c>
    </row>
    <row r="22" spans="1:30" x14ac:dyDescent="0.25">
      <c r="A22" s="118" t="s">
        <v>16</v>
      </c>
      <c r="B22">
        <v>1458.100825</v>
      </c>
      <c r="C22">
        <v>796.84173499999997</v>
      </c>
      <c r="D22">
        <v>666.67922399999998</v>
      </c>
      <c r="E22">
        <v>536.88616000000002</v>
      </c>
      <c r="F22">
        <v>53.9</v>
      </c>
      <c r="G22">
        <v>27.3</v>
      </c>
      <c r="H22">
        <v>176.57400000000001</v>
      </c>
      <c r="I22" s="12">
        <f t="shared" si="9"/>
        <v>3716.2819440000003</v>
      </c>
      <c r="J22" s="147">
        <v>157.5</v>
      </c>
      <c r="K22" s="122">
        <f t="shared" si="0"/>
        <v>43743.024749999997</v>
      </c>
      <c r="L22" s="3">
        <f t="shared" si="1"/>
        <v>47810.504099999998</v>
      </c>
      <c r="M22" s="3">
        <f t="shared" si="2"/>
        <v>20000.37672</v>
      </c>
      <c r="N22" s="3">
        <f t="shared" si="3"/>
        <v>10737.7232</v>
      </c>
      <c r="O22" s="3">
        <f t="shared" si="4"/>
        <v>2156</v>
      </c>
      <c r="P22" s="3">
        <f t="shared" si="5"/>
        <v>21294</v>
      </c>
      <c r="Q22" s="3">
        <f t="shared" si="6"/>
        <v>882.87000000000012</v>
      </c>
      <c r="R22" s="12">
        <f t="shared" si="10"/>
        <v>146624.49877000001</v>
      </c>
      <c r="S22" s="149">
        <f t="shared" si="7"/>
        <v>39.45462184502113</v>
      </c>
      <c r="T22" s="129">
        <f t="shared" si="8"/>
        <v>3.9919277548436392</v>
      </c>
      <c r="U22" s="136">
        <f t="shared" si="11"/>
        <v>32.334614814233483</v>
      </c>
      <c r="V22" s="139">
        <f t="shared" si="12"/>
        <v>87.423217831075689</v>
      </c>
      <c r="W22" s="9">
        <f t="shared" si="13"/>
        <v>239.51566529061836</v>
      </c>
      <c r="X22" s="9">
        <f t="shared" si="14"/>
        <v>119.75783264530918</v>
      </c>
      <c r="Y22" s="9">
        <f t="shared" si="15"/>
        <v>79.838555096872781</v>
      </c>
      <c r="Z22" s="9">
        <f t="shared" si="16"/>
        <v>159.67711019374556</v>
      </c>
      <c r="AA22" s="9">
        <f t="shared" si="17"/>
        <v>3113.7036487780383</v>
      </c>
      <c r="AB22" s="9">
        <f t="shared" si="18"/>
        <v>19.959638774218195</v>
      </c>
      <c r="AC22" s="3">
        <f t="shared" si="19"/>
        <v>1.5241905973039349</v>
      </c>
      <c r="AD22" s="137">
        <f t="shared" si="20"/>
        <v>6.5866807954920041</v>
      </c>
    </row>
    <row r="23" spans="1:30" x14ac:dyDescent="0.25">
      <c r="A23" s="118" t="s">
        <v>17</v>
      </c>
      <c r="B23">
        <v>92.327489999999997</v>
      </c>
      <c r="C23">
        <v>37.907474999999998</v>
      </c>
      <c r="D23">
        <v>22.750154500000001</v>
      </c>
      <c r="E23">
        <v>7.1192200000000003</v>
      </c>
      <c r="F23">
        <v>0</v>
      </c>
      <c r="G23">
        <v>6.5137799999999996E-2</v>
      </c>
      <c r="H23">
        <v>3.4828000000000001</v>
      </c>
      <c r="I23" s="12">
        <f t="shared" si="9"/>
        <v>163.65227730000001</v>
      </c>
      <c r="J23" s="147">
        <v>20.8</v>
      </c>
      <c r="K23" s="122">
        <f t="shared" si="0"/>
        <v>2769.8247000000001</v>
      </c>
      <c r="L23" s="3">
        <f t="shared" si="1"/>
        <v>2274.4485</v>
      </c>
      <c r="M23" s="3">
        <f t="shared" si="2"/>
        <v>682.50463500000001</v>
      </c>
      <c r="N23" s="3">
        <f t="shared" si="3"/>
        <v>142.3844</v>
      </c>
      <c r="O23" s="3">
        <f t="shared" si="4"/>
        <v>0</v>
      </c>
      <c r="P23" s="3">
        <f t="shared" si="5"/>
        <v>50.807483999999995</v>
      </c>
      <c r="Q23" s="3">
        <f t="shared" si="6"/>
        <v>17.414000000000001</v>
      </c>
      <c r="R23" s="12">
        <f t="shared" si="10"/>
        <v>5937.3837189999995</v>
      </c>
      <c r="S23" s="149">
        <f t="shared" si="7"/>
        <v>36.280483333060218</v>
      </c>
      <c r="T23" s="129">
        <f t="shared" si="8"/>
        <v>0.57331099503424243</v>
      </c>
      <c r="U23" s="136">
        <f t="shared" si="11"/>
        <v>4.6438190597773641</v>
      </c>
      <c r="V23" s="139">
        <f t="shared" si="12"/>
        <v>12.555510791249908</v>
      </c>
      <c r="W23" s="9">
        <f t="shared" si="13"/>
        <v>34.398659702054545</v>
      </c>
      <c r="X23" s="9">
        <f t="shared" si="14"/>
        <v>17.199329851027272</v>
      </c>
      <c r="Y23" s="9">
        <f t="shared" si="15"/>
        <v>11.466219900684848</v>
      </c>
      <c r="Z23" s="9">
        <f t="shared" si="16"/>
        <v>22.932439801369696</v>
      </c>
      <c r="AA23" s="9">
        <f t="shared" si="17"/>
        <v>447.18257612670908</v>
      </c>
      <c r="AB23" s="9">
        <f t="shared" si="18"/>
        <v>2.866554975171212</v>
      </c>
      <c r="AC23" s="3">
        <f t="shared" si="19"/>
        <v>0.21890056174034711</v>
      </c>
      <c r="AD23" s="137">
        <f t="shared" si="20"/>
        <v>0.94596314180649999</v>
      </c>
    </row>
    <row r="24" spans="1:30" x14ac:dyDescent="0.25">
      <c r="A24" s="118" t="s">
        <v>18</v>
      </c>
      <c r="B24">
        <v>156.17052000000001</v>
      </c>
      <c r="C24">
        <v>69.040364999999994</v>
      </c>
      <c r="D24">
        <v>55.043541500000003</v>
      </c>
      <c r="E24">
        <v>10.46001</v>
      </c>
      <c r="F24">
        <v>4.3929999999999998</v>
      </c>
      <c r="G24">
        <v>3.2520599999999997E-2</v>
      </c>
      <c r="H24">
        <v>5.0007999999999999</v>
      </c>
      <c r="I24" s="12">
        <f t="shared" si="9"/>
        <v>300.14075710000003</v>
      </c>
      <c r="J24" s="147">
        <v>48.2</v>
      </c>
      <c r="K24" s="122">
        <f t="shared" si="0"/>
        <v>4685.1156000000001</v>
      </c>
      <c r="L24" s="3">
        <f t="shared" si="1"/>
        <v>4142.4218999999994</v>
      </c>
      <c r="M24" s="3">
        <f t="shared" si="2"/>
        <v>1651.3062450000002</v>
      </c>
      <c r="N24" s="3">
        <f t="shared" si="3"/>
        <v>209.2002</v>
      </c>
      <c r="O24" s="3">
        <f t="shared" si="4"/>
        <v>175.72</v>
      </c>
      <c r="P24" s="3">
        <f t="shared" si="5"/>
        <v>25.366067999999999</v>
      </c>
      <c r="Q24" s="3">
        <f t="shared" si="6"/>
        <v>25.003999999999998</v>
      </c>
      <c r="R24" s="12">
        <f t="shared" si="10"/>
        <v>10914.134012999997</v>
      </c>
      <c r="S24" s="149">
        <f t="shared" si="7"/>
        <v>36.363385361101287</v>
      </c>
      <c r="T24" s="129">
        <f t="shared" si="8"/>
        <v>1.3255091494193112</v>
      </c>
      <c r="U24" s="136">
        <f t="shared" si="11"/>
        <v>10.736624110296422</v>
      </c>
      <c r="V24" s="139">
        <f t="shared" si="12"/>
        <v>29.028650372282915</v>
      </c>
      <c r="W24" s="9">
        <f t="shared" si="13"/>
        <v>79.530548965158673</v>
      </c>
      <c r="X24" s="9">
        <f t="shared" si="14"/>
        <v>39.765274482579336</v>
      </c>
      <c r="Y24" s="9">
        <f t="shared" si="15"/>
        <v>26.510182988386223</v>
      </c>
      <c r="Z24" s="9">
        <f t="shared" si="16"/>
        <v>53.020365976772446</v>
      </c>
      <c r="AA24" s="9">
        <f t="shared" si="17"/>
        <v>1033.8971365470627</v>
      </c>
      <c r="AB24" s="9">
        <f t="shared" si="18"/>
        <v>6.6275457470965558</v>
      </c>
      <c r="AC24" s="3">
        <f t="shared" si="19"/>
        <v>0.50610349341464611</v>
      </c>
      <c r="AD24" s="137">
        <f t="shared" si="20"/>
        <v>2.1870900965418634</v>
      </c>
    </row>
    <row r="25" spans="1:30" x14ac:dyDescent="0.25">
      <c r="A25" s="118" t="s">
        <v>19</v>
      </c>
      <c r="B25">
        <v>41.906390000000002</v>
      </c>
      <c r="C25">
        <v>8.6924550000000007</v>
      </c>
      <c r="D25">
        <v>0.37129899999999999</v>
      </c>
      <c r="E25">
        <v>8.6739999999999998E-2</v>
      </c>
      <c r="F25">
        <v>0</v>
      </c>
      <c r="G25">
        <v>0</v>
      </c>
      <c r="H25">
        <v>0</v>
      </c>
      <c r="I25" s="12">
        <f t="shared" si="9"/>
        <v>51.056884000000004</v>
      </c>
      <c r="J25" s="147">
        <v>25.1</v>
      </c>
      <c r="K25" s="122">
        <f t="shared" si="0"/>
        <v>1257.1917000000001</v>
      </c>
      <c r="L25" s="3">
        <f t="shared" si="1"/>
        <v>521.54730000000006</v>
      </c>
      <c r="M25" s="3">
        <f t="shared" si="2"/>
        <v>11.13897</v>
      </c>
      <c r="N25" s="3">
        <f t="shared" si="3"/>
        <v>1.7347999999999999</v>
      </c>
      <c r="O25" s="3">
        <f t="shared" si="4"/>
        <v>0</v>
      </c>
      <c r="P25" s="3">
        <f t="shared" si="5"/>
        <v>0</v>
      </c>
      <c r="Q25" s="3">
        <f t="shared" si="6"/>
        <v>0</v>
      </c>
      <c r="R25" s="12">
        <f t="shared" si="10"/>
        <v>1791.61277</v>
      </c>
      <c r="S25" s="149">
        <f t="shared" si="7"/>
        <v>35.090523150609812</v>
      </c>
      <c r="T25" s="129">
        <f t="shared" si="8"/>
        <v>0.71529284109757729</v>
      </c>
      <c r="U25" s="136">
        <f t="shared" si="11"/>
        <v>5.7938720128903771</v>
      </c>
      <c r="V25" s="139">
        <f t="shared" si="12"/>
        <v>15.664913220036942</v>
      </c>
      <c r="W25" s="9">
        <f t="shared" si="13"/>
        <v>42.917570465854638</v>
      </c>
      <c r="X25" s="9">
        <f t="shared" si="14"/>
        <v>21.458785232927319</v>
      </c>
      <c r="Y25" s="9">
        <f t="shared" si="15"/>
        <v>14.305856821951545</v>
      </c>
      <c r="Z25" s="9">
        <f t="shared" si="16"/>
        <v>28.611713643903091</v>
      </c>
      <c r="AA25" s="9">
        <f t="shared" si="17"/>
        <v>557.92841605611034</v>
      </c>
      <c r="AB25" s="9">
        <f t="shared" si="18"/>
        <v>3.5764642054878863</v>
      </c>
      <c r="AC25" s="3">
        <f t="shared" si="19"/>
        <v>0.27311181205543861</v>
      </c>
      <c r="AD25" s="137">
        <f t="shared" si="20"/>
        <v>1.1802331878110024</v>
      </c>
    </row>
    <row r="26" spans="1:30" x14ac:dyDescent="0.25">
      <c r="A26" s="118" t="s">
        <v>20</v>
      </c>
      <c r="B26">
        <v>4.48095</v>
      </c>
      <c r="C26">
        <v>4.1940499999999998</v>
      </c>
      <c r="D26">
        <v>2.7132900000000002</v>
      </c>
      <c r="E26">
        <v>1.200855</v>
      </c>
      <c r="F26">
        <v>0</v>
      </c>
      <c r="G26">
        <v>8.0054799999999995E-2</v>
      </c>
      <c r="H26">
        <v>2.6472000000000002</v>
      </c>
      <c r="I26" s="12">
        <f t="shared" si="9"/>
        <v>15.316399800000001</v>
      </c>
      <c r="J26" s="147">
        <v>74.2</v>
      </c>
      <c r="K26" s="122">
        <f t="shared" si="0"/>
        <v>134.42849999999999</v>
      </c>
      <c r="L26" s="3">
        <f t="shared" si="1"/>
        <v>251.643</v>
      </c>
      <c r="M26" s="3">
        <f t="shared" si="2"/>
        <v>81.398700000000005</v>
      </c>
      <c r="N26" s="3">
        <f t="shared" si="3"/>
        <v>24.017099999999999</v>
      </c>
      <c r="O26" s="3">
        <f t="shared" si="4"/>
        <v>0</v>
      </c>
      <c r="P26" s="3">
        <f t="shared" si="5"/>
        <v>62.442743999999998</v>
      </c>
      <c r="Q26" s="3">
        <f t="shared" si="6"/>
        <v>13.236000000000001</v>
      </c>
      <c r="R26" s="12">
        <f t="shared" si="10"/>
        <v>567.16604399999994</v>
      </c>
      <c r="S26" s="149">
        <f t="shared" si="7"/>
        <v>37.02998429173936</v>
      </c>
      <c r="T26" s="129">
        <f t="shared" si="8"/>
        <v>2.003781568347911</v>
      </c>
      <c r="U26" s="136">
        <f t="shared" si="11"/>
        <v>16.230630703618083</v>
      </c>
      <c r="V26" s="139">
        <f t="shared" si="12"/>
        <v>43.882816346819247</v>
      </c>
      <c r="W26" s="9">
        <f t="shared" si="13"/>
        <v>120.22689410087466</v>
      </c>
      <c r="X26" s="9">
        <f t="shared" si="14"/>
        <v>60.11344705043733</v>
      </c>
      <c r="Y26" s="9">
        <f t="shared" si="15"/>
        <v>40.07563136695822</v>
      </c>
      <c r="Z26" s="9">
        <f t="shared" si="16"/>
        <v>80.15126273391644</v>
      </c>
      <c r="AA26" s="9">
        <f t="shared" si="17"/>
        <v>1562.9496233113705</v>
      </c>
      <c r="AB26" s="9">
        <f t="shared" si="18"/>
        <v>10.018907841739555</v>
      </c>
      <c r="AC26" s="3">
        <f t="shared" si="19"/>
        <v>0.76508023518738422</v>
      </c>
      <c r="AD26" s="137">
        <f t="shared" si="20"/>
        <v>3.3062395877740531</v>
      </c>
    </row>
    <row r="27" spans="1:30" x14ac:dyDescent="0.25">
      <c r="A27" s="118" t="s">
        <v>21</v>
      </c>
      <c r="B27">
        <v>1015.244535</v>
      </c>
      <c r="C27">
        <v>1562.097485</v>
      </c>
      <c r="D27">
        <v>330.87391300000002</v>
      </c>
      <c r="E27">
        <v>72.049840000000003</v>
      </c>
      <c r="F27">
        <v>5.65</v>
      </c>
      <c r="G27">
        <v>0.42059639999999998</v>
      </c>
      <c r="H27">
        <v>39.040799999999997</v>
      </c>
      <c r="I27" s="12">
        <f t="shared" si="9"/>
        <v>3025.3771694000002</v>
      </c>
      <c r="J27" s="147">
        <v>37</v>
      </c>
      <c r="K27" s="122">
        <f t="shared" si="0"/>
        <v>30457.336050000002</v>
      </c>
      <c r="L27" s="3">
        <f t="shared" si="1"/>
        <v>93725.849100000007</v>
      </c>
      <c r="M27" s="3">
        <f t="shared" si="2"/>
        <v>9926.2173899999998</v>
      </c>
      <c r="N27" s="3">
        <f t="shared" si="3"/>
        <v>1440.9968000000001</v>
      </c>
      <c r="O27" s="3">
        <f t="shared" si="4"/>
        <v>226</v>
      </c>
      <c r="P27" s="3">
        <f t="shared" si="5"/>
        <v>328.06519199999997</v>
      </c>
      <c r="Q27" s="3">
        <f t="shared" si="6"/>
        <v>195.20399999999998</v>
      </c>
      <c r="R27" s="12">
        <f t="shared" si="10"/>
        <v>136299.66853200001</v>
      </c>
      <c r="S27" s="149">
        <f t="shared" si="7"/>
        <v>45.052124379926909</v>
      </c>
      <c r="T27" s="129">
        <f t="shared" si="8"/>
        <v>0.82127092804718982</v>
      </c>
      <c r="U27" s="136">
        <f t="shared" si="11"/>
        <v>6.6522945171822387</v>
      </c>
      <c r="V27" s="139">
        <f t="shared" si="12"/>
        <v>17.985833324233457</v>
      </c>
      <c r="W27" s="9">
        <f t="shared" si="13"/>
        <v>49.27625568283139</v>
      </c>
      <c r="X27" s="9">
        <f t="shared" si="14"/>
        <v>24.638127841415695</v>
      </c>
      <c r="Y27" s="9">
        <f t="shared" si="15"/>
        <v>16.425418560943797</v>
      </c>
      <c r="Z27" s="9">
        <f t="shared" si="16"/>
        <v>32.850837121887594</v>
      </c>
      <c r="AA27" s="9">
        <f t="shared" si="17"/>
        <v>640.59132387680802</v>
      </c>
      <c r="AB27" s="9">
        <f t="shared" si="18"/>
        <v>4.1063546402359492</v>
      </c>
      <c r="AC27" s="3">
        <f t="shared" si="19"/>
        <v>0.31357617252710884</v>
      </c>
      <c r="AD27" s="137">
        <f t="shared" si="20"/>
        <v>1.3550970312778632</v>
      </c>
    </row>
    <row r="28" spans="1:30" x14ac:dyDescent="0.25">
      <c r="A28" s="118" t="s">
        <v>22</v>
      </c>
      <c r="B28">
        <v>219.85849999999999</v>
      </c>
      <c r="C28">
        <v>115.629655</v>
      </c>
      <c r="D28">
        <v>73.581804000000005</v>
      </c>
      <c r="E28">
        <v>93.453289999999996</v>
      </c>
      <c r="F28">
        <v>1645.6010000000001</v>
      </c>
      <c r="G28">
        <v>0</v>
      </c>
      <c r="H28">
        <v>50</v>
      </c>
      <c r="I28" s="12">
        <f t="shared" si="9"/>
        <v>2198.124249</v>
      </c>
      <c r="J28" s="147">
        <v>2.1</v>
      </c>
      <c r="K28" s="122">
        <f t="shared" si="0"/>
        <v>6595.7550000000001</v>
      </c>
      <c r="L28" s="3">
        <f t="shared" si="1"/>
        <v>6937.7793000000001</v>
      </c>
      <c r="M28" s="3">
        <f t="shared" si="2"/>
        <v>2207.4541200000003</v>
      </c>
      <c r="N28" s="3">
        <f t="shared" si="3"/>
        <v>1869.0657999999999</v>
      </c>
      <c r="O28" s="3">
        <f t="shared" si="4"/>
        <v>65824.040000000008</v>
      </c>
      <c r="P28" s="3">
        <f t="shared" si="5"/>
        <v>0</v>
      </c>
      <c r="Q28" s="3">
        <f t="shared" si="6"/>
        <v>250</v>
      </c>
      <c r="R28" s="12">
        <f t="shared" si="10"/>
        <v>83684.094219999999</v>
      </c>
      <c r="S28" s="149">
        <f t="shared" si="7"/>
        <v>38.070684247294338</v>
      </c>
      <c r="T28" s="129">
        <f t="shared" si="8"/>
        <v>5.5160553100624815E-2</v>
      </c>
      <c r="U28" s="136">
        <f t="shared" si="11"/>
        <v>0.44680048011506107</v>
      </c>
      <c r="V28" s="139">
        <f t="shared" si="12"/>
        <v>1.2080161129036833</v>
      </c>
      <c r="W28" s="9">
        <f t="shared" si="13"/>
        <v>3.3096331860374888</v>
      </c>
      <c r="X28" s="9">
        <f t="shared" si="14"/>
        <v>1.6548165930187444</v>
      </c>
      <c r="Y28" s="9">
        <f t="shared" si="15"/>
        <v>1.1032110620124964</v>
      </c>
      <c r="Z28" s="9">
        <f t="shared" si="16"/>
        <v>2.2064221240249928</v>
      </c>
      <c r="AA28" s="9">
        <f t="shared" si="17"/>
        <v>43.025231418487358</v>
      </c>
      <c r="AB28" s="9">
        <f t="shared" si="18"/>
        <v>0.2758027655031241</v>
      </c>
      <c r="AC28" s="3">
        <f t="shared" si="19"/>
        <v>2.106130209296584E-2</v>
      </c>
      <c r="AD28" s="137">
        <f t="shared" si="20"/>
        <v>9.1014912616030938E-2</v>
      </c>
    </row>
    <row r="29" spans="1:30" x14ac:dyDescent="0.25">
      <c r="A29" s="118" t="s">
        <v>23</v>
      </c>
      <c r="B29">
        <v>1479.9223300000001</v>
      </c>
      <c r="C29">
        <v>1203.1009100000001</v>
      </c>
      <c r="D29">
        <v>1411.490548</v>
      </c>
      <c r="E29">
        <v>21.241605</v>
      </c>
      <c r="F29">
        <v>45.417827899999999</v>
      </c>
      <c r="G29">
        <v>2.0425118000000002</v>
      </c>
      <c r="H29">
        <v>114.5008</v>
      </c>
      <c r="I29" s="12">
        <f t="shared" si="9"/>
        <v>4277.7165327000002</v>
      </c>
      <c r="J29" s="147">
        <v>196</v>
      </c>
      <c r="K29" s="122">
        <f t="shared" si="0"/>
        <v>44397.669900000001</v>
      </c>
      <c r="L29" s="3">
        <f t="shared" si="1"/>
        <v>72186.054600000003</v>
      </c>
      <c r="M29" s="3">
        <f t="shared" si="2"/>
        <v>42344.716439999997</v>
      </c>
      <c r="N29" s="3">
        <f t="shared" si="3"/>
        <v>424.83209999999997</v>
      </c>
      <c r="O29" s="3">
        <f t="shared" si="4"/>
        <v>1816.7131159999999</v>
      </c>
      <c r="P29" s="3">
        <f t="shared" si="5"/>
        <v>1593.1592040000003</v>
      </c>
      <c r="Q29" s="3">
        <f t="shared" si="6"/>
        <v>572.50400000000002</v>
      </c>
      <c r="R29" s="12">
        <f t="shared" si="10"/>
        <v>163335.64935999998</v>
      </c>
      <c r="S29" s="149">
        <f t="shared" si="7"/>
        <v>38.182906256508332</v>
      </c>
      <c r="T29" s="129">
        <f t="shared" si="8"/>
        <v>5.133187051904712</v>
      </c>
      <c r="U29" s="136">
        <f t="shared" si="11"/>
        <v>41.578815120428175</v>
      </c>
      <c r="V29" s="139">
        <f t="shared" si="12"/>
        <v>112.41679643671318</v>
      </c>
      <c r="W29" s="9">
        <f t="shared" si="13"/>
        <v>307.99122311428272</v>
      </c>
      <c r="X29" s="9">
        <f t="shared" si="14"/>
        <v>153.99561155714136</v>
      </c>
      <c r="Y29" s="9">
        <f t="shared" si="15"/>
        <v>102.66374103809424</v>
      </c>
      <c r="Z29" s="9">
        <f t="shared" si="16"/>
        <v>205.32748207618849</v>
      </c>
      <c r="AA29" s="9">
        <f t="shared" si="17"/>
        <v>4003.8859004856754</v>
      </c>
      <c r="AB29" s="9">
        <f t="shared" si="18"/>
        <v>25.665935259523561</v>
      </c>
      <c r="AC29" s="3">
        <f t="shared" si="19"/>
        <v>1.95994414709089</v>
      </c>
      <c r="AD29" s="137">
        <f t="shared" si="20"/>
        <v>8.4697586356427745</v>
      </c>
    </row>
    <row r="30" spans="1:30" x14ac:dyDescent="0.25">
      <c r="A30" s="118" t="s">
        <v>24</v>
      </c>
      <c r="B30">
        <v>215.86696000000001</v>
      </c>
      <c r="C30">
        <v>365.65250500000002</v>
      </c>
      <c r="D30">
        <v>244.20058499999999</v>
      </c>
      <c r="E30">
        <v>179.38082</v>
      </c>
      <c r="F30">
        <v>17</v>
      </c>
      <c r="G30">
        <v>4.2929165999999999</v>
      </c>
      <c r="H30">
        <v>36</v>
      </c>
      <c r="I30" s="12">
        <f t="shared" si="9"/>
        <v>1062.3937866000001</v>
      </c>
      <c r="J30" s="147">
        <v>77.099999999999994</v>
      </c>
      <c r="K30" s="122">
        <f t="shared" si="0"/>
        <v>6476.0088000000005</v>
      </c>
      <c r="L30" s="3">
        <f t="shared" si="1"/>
        <v>21939.150300000001</v>
      </c>
      <c r="M30" s="3">
        <f t="shared" si="2"/>
        <v>7326.0175499999996</v>
      </c>
      <c r="N30" s="3">
        <f t="shared" si="3"/>
        <v>3587.6163999999999</v>
      </c>
      <c r="O30" s="3">
        <f t="shared" si="4"/>
        <v>680</v>
      </c>
      <c r="P30" s="3">
        <f t="shared" si="5"/>
        <v>3348.474948</v>
      </c>
      <c r="Q30" s="3">
        <f t="shared" si="6"/>
        <v>180</v>
      </c>
      <c r="R30" s="12">
        <f t="shared" si="10"/>
        <v>43537.267998000003</v>
      </c>
      <c r="S30" s="149">
        <f t="shared" si="7"/>
        <v>40.980348856644937</v>
      </c>
      <c r="T30" s="129">
        <f t="shared" si="8"/>
        <v>1.8813895477002089</v>
      </c>
      <c r="U30" s="136">
        <f t="shared" si="11"/>
        <v>15.239255336371695</v>
      </c>
      <c r="V30" s="139">
        <f t="shared" si="12"/>
        <v>41.202431094634576</v>
      </c>
      <c r="W30" s="9">
        <f t="shared" si="13"/>
        <v>112.88337286201254</v>
      </c>
      <c r="X30" s="9">
        <f t="shared" si="14"/>
        <v>56.441686431006268</v>
      </c>
      <c r="Y30" s="9">
        <f t="shared" si="15"/>
        <v>37.627790954004176</v>
      </c>
      <c r="Z30" s="9">
        <f t="shared" si="16"/>
        <v>75.255581908008352</v>
      </c>
      <c r="AA30" s="9">
        <f t="shared" si="17"/>
        <v>1467.4838472061629</v>
      </c>
      <c r="AB30" s="9">
        <f t="shared" si="18"/>
        <v>9.406947738501044</v>
      </c>
      <c r="AC30" s="3">
        <f t="shared" si="19"/>
        <v>0.71834873639462526</v>
      </c>
      <c r="AD30" s="137">
        <f t="shared" si="20"/>
        <v>3.1042927537053444</v>
      </c>
    </row>
    <row r="31" spans="1:30" x14ac:dyDescent="0.25">
      <c r="A31" s="118" t="s">
        <v>25</v>
      </c>
      <c r="B31">
        <v>662.73291500000005</v>
      </c>
      <c r="C31">
        <v>659.19987000000003</v>
      </c>
      <c r="D31">
        <v>517.05558299999996</v>
      </c>
      <c r="E31">
        <v>868.05001000000004</v>
      </c>
      <c r="F31">
        <v>6.8940000000000001</v>
      </c>
      <c r="G31">
        <v>4.9994000000000002E-3</v>
      </c>
      <c r="H31">
        <v>80.463200000000001</v>
      </c>
      <c r="I31" s="12">
        <f t="shared" si="9"/>
        <v>2794.4005773999997</v>
      </c>
      <c r="J31" s="147">
        <v>48.8</v>
      </c>
      <c r="K31" s="122">
        <f t="shared" si="0"/>
        <v>19881.987450000001</v>
      </c>
      <c r="L31" s="3">
        <f t="shared" si="1"/>
        <v>39551.992200000001</v>
      </c>
      <c r="M31" s="3">
        <f t="shared" si="2"/>
        <v>15511.667489999998</v>
      </c>
      <c r="N31" s="3">
        <f t="shared" si="3"/>
        <v>17361.000200000002</v>
      </c>
      <c r="O31" s="3">
        <f t="shared" si="4"/>
        <v>275.76</v>
      </c>
      <c r="P31" s="3">
        <f t="shared" si="5"/>
        <v>3.8995320000000002</v>
      </c>
      <c r="Q31" s="3">
        <f t="shared" si="6"/>
        <v>402.31600000000003</v>
      </c>
      <c r="R31" s="12">
        <f t="shared" si="10"/>
        <v>92988.622871999993</v>
      </c>
      <c r="S31" s="149">
        <f t="shared" si="7"/>
        <v>33.276769130401341</v>
      </c>
      <c r="T31" s="129">
        <f t="shared" si="8"/>
        <v>1.4664885226317472</v>
      </c>
      <c r="U31" s="136">
        <f t="shared" si="11"/>
        <v>11.878557033317154</v>
      </c>
      <c r="V31" s="139">
        <f t="shared" si="12"/>
        <v>32.116098645635262</v>
      </c>
      <c r="W31" s="9">
        <f t="shared" si="13"/>
        <v>87.989311357904839</v>
      </c>
      <c r="X31" s="9">
        <f t="shared" si="14"/>
        <v>43.994655678952419</v>
      </c>
      <c r="Y31" s="9">
        <f t="shared" si="15"/>
        <v>29.329770452634946</v>
      </c>
      <c r="Z31" s="9">
        <f t="shared" si="16"/>
        <v>58.659540905269893</v>
      </c>
      <c r="AA31" s="9">
        <f t="shared" si="17"/>
        <v>1143.8610476527629</v>
      </c>
      <c r="AB31" s="9">
        <f t="shared" si="18"/>
        <v>7.3324426131587366</v>
      </c>
      <c r="AC31" s="3">
        <f t="shared" si="19"/>
        <v>0.55993198136848532</v>
      </c>
      <c r="AD31" s="137">
        <f t="shared" si="20"/>
        <v>2.4197060623423829</v>
      </c>
    </row>
    <row r="32" spans="1:30" x14ac:dyDescent="0.25">
      <c r="A32" s="118" t="s">
        <v>26</v>
      </c>
      <c r="B32">
        <v>82.151615000000007</v>
      </c>
      <c r="C32">
        <v>50.321019999999997</v>
      </c>
      <c r="D32">
        <v>54.903188499999999</v>
      </c>
      <c r="E32">
        <v>28.138539999999999</v>
      </c>
      <c r="F32">
        <v>1.819078</v>
      </c>
      <c r="G32">
        <v>0.1965712</v>
      </c>
      <c r="H32">
        <v>6.4016000000000002</v>
      </c>
      <c r="I32" s="12">
        <f t="shared" si="9"/>
        <v>223.93161269999999</v>
      </c>
      <c r="J32" s="147">
        <v>41.1</v>
      </c>
      <c r="K32" s="122">
        <f t="shared" si="0"/>
        <v>2464.5484500000002</v>
      </c>
      <c r="L32" s="3">
        <f t="shared" si="1"/>
        <v>3019.2611999999999</v>
      </c>
      <c r="M32" s="3">
        <f t="shared" si="2"/>
        <v>1647.0956550000001</v>
      </c>
      <c r="N32" s="3">
        <f t="shared" si="3"/>
        <v>562.77080000000001</v>
      </c>
      <c r="O32" s="3">
        <f t="shared" si="4"/>
        <v>72.763120000000001</v>
      </c>
      <c r="P32" s="3">
        <f t="shared" si="5"/>
        <v>153.325536</v>
      </c>
      <c r="Q32" s="3">
        <f t="shared" si="6"/>
        <v>32.008000000000003</v>
      </c>
      <c r="R32" s="12">
        <f t="shared" si="10"/>
        <v>7951.7727610000002</v>
      </c>
      <c r="S32" s="149">
        <f t="shared" si="7"/>
        <v>35.509826706124556</v>
      </c>
      <c r="T32" s="129">
        <f t="shared" si="8"/>
        <v>1.1574260933498524</v>
      </c>
      <c r="U32" s="136">
        <f t="shared" si="11"/>
        <v>9.3751513561338058</v>
      </c>
      <c r="V32" s="139">
        <f t="shared" si="12"/>
        <v>25.347631444361767</v>
      </c>
      <c r="W32" s="9">
        <f t="shared" si="13"/>
        <v>69.445565600991145</v>
      </c>
      <c r="X32" s="9">
        <f t="shared" si="14"/>
        <v>34.722782800495573</v>
      </c>
      <c r="Y32" s="9">
        <f t="shared" si="15"/>
        <v>23.148521866997047</v>
      </c>
      <c r="Z32" s="9">
        <f t="shared" si="16"/>
        <v>46.297043733994094</v>
      </c>
      <c r="AA32" s="9">
        <f t="shared" si="17"/>
        <v>902.79235281288481</v>
      </c>
      <c r="AB32" s="9">
        <f t="shared" si="18"/>
        <v>5.7871304667492618</v>
      </c>
      <c r="AC32" s="3">
        <f t="shared" si="19"/>
        <v>0.44192632655176184</v>
      </c>
      <c r="AD32" s="137">
        <f t="shared" si="20"/>
        <v>1.9097530540272563</v>
      </c>
    </row>
    <row r="33" spans="1:30" x14ac:dyDescent="0.25">
      <c r="A33" s="118" t="s">
        <v>27</v>
      </c>
      <c r="B33">
        <v>96.769019999999998</v>
      </c>
      <c r="C33">
        <v>18.280374999999999</v>
      </c>
      <c r="D33">
        <v>44.986854000000001</v>
      </c>
      <c r="E33">
        <v>9.7938650000000003</v>
      </c>
      <c r="F33">
        <v>1.6919999999999999</v>
      </c>
      <c r="G33">
        <v>5.8044000000000004E-3</v>
      </c>
      <c r="H33">
        <v>10.888</v>
      </c>
      <c r="I33" s="12">
        <f t="shared" si="9"/>
        <v>182.41591840000001</v>
      </c>
      <c r="J33" s="147">
        <v>25.7</v>
      </c>
      <c r="K33" s="122">
        <f t="shared" si="0"/>
        <v>2903.0706</v>
      </c>
      <c r="L33" s="3">
        <f t="shared" si="1"/>
        <v>1096.8225</v>
      </c>
      <c r="M33" s="3">
        <f t="shared" si="2"/>
        <v>1349.60562</v>
      </c>
      <c r="N33" s="3">
        <f t="shared" si="3"/>
        <v>195.87729999999999</v>
      </c>
      <c r="O33" s="3">
        <f t="shared" si="4"/>
        <v>67.679999999999993</v>
      </c>
      <c r="P33" s="3">
        <f t="shared" si="5"/>
        <v>4.5274320000000001</v>
      </c>
      <c r="Q33" s="3">
        <f t="shared" si="6"/>
        <v>54.44</v>
      </c>
      <c r="R33" s="12">
        <f t="shared" si="10"/>
        <v>5672.0234520000004</v>
      </c>
      <c r="S33" s="149">
        <f t="shared" si="7"/>
        <v>31.093906177433691</v>
      </c>
      <c r="T33" s="129">
        <f t="shared" si="8"/>
        <v>0.82652851183592035</v>
      </c>
      <c r="U33" s="136">
        <f t="shared" si="11"/>
        <v>6.6948809458709562</v>
      </c>
      <c r="V33" s="139">
        <f t="shared" si="12"/>
        <v>18.100974409206653</v>
      </c>
      <c r="W33" s="9">
        <f t="shared" si="13"/>
        <v>49.591710710155219</v>
      </c>
      <c r="X33" s="9">
        <f t="shared" si="14"/>
        <v>24.79585535507761</v>
      </c>
      <c r="Y33" s="9">
        <f t="shared" si="15"/>
        <v>16.530570236718408</v>
      </c>
      <c r="Z33" s="9">
        <f t="shared" si="16"/>
        <v>33.061140473436815</v>
      </c>
      <c r="AA33" s="9">
        <f t="shared" si="17"/>
        <v>644.69223923201787</v>
      </c>
      <c r="AB33" s="9">
        <f t="shared" si="18"/>
        <v>4.1326425591796019</v>
      </c>
      <c r="AC33" s="3">
        <f t="shared" si="19"/>
        <v>0.31558361361007869</v>
      </c>
      <c r="AD33" s="137">
        <f t="shared" si="20"/>
        <v>1.3637720445292685</v>
      </c>
    </row>
    <row r="34" spans="1:30" x14ac:dyDescent="0.25">
      <c r="A34" s="118" t="s">
        <v>28</v>
      </c>
      <c r="B34">
        <v>1011.937995</v>
      </c>
      <c r="C34">
        <v>4270.2509099999997</v>
      </c>
      <c r="D34">
        <v>880.21718899999996</v>
      </c>
      <c r="E34">
        <v>1298.2682500000001</v>
      </c>
      <c r="F34">
        <v>301.72300000000001</v>
      </c>
      <c r="G34">
        <v>46.9</v>
      </c>
      <c r="H34">
        <v>253.9924</v>
      </c>
      <c r="I34" s="12">
        <f t="shared" si="9"/>
        <v>8063.2897439999997</v>
      </c>
      <c r="J34" s="147">
        <v>127.4</v>
      </c>
      <c r="K34" s="122">
        <f t="shared" si="0"/>
        <v>30358.13985</v>
      </c>
      <c r="L34" s="3">
        <f t="shared" si="1"/>
        <v>256215.05459999997</v>
      </c>
      <c r="M34" s="3">
        <f t="shared" si="2"/>
        <v>26406.515670000001</v>
      </c>
      <c r="N34" s="3">
        <f t="shared" si="3"/>
        <v>25965.365000000002</v>
      </c>
      <c r="O34" s="3">
        <f t="shared" si="4"/>
        <v>12068.92</v>
      </c>
      <c r="P34" s="3">
        <f t="shared" si="5"/>
        <v>36582</v>
      </c>
      <c r="Q34" s="3">
        <f t="shared" si="6"/>
        <v>1269.962</v>
      </c>
      <c r="R34" s="12">
        <f t="shared" si="10"/>
        <v>388865.95711999992</v>
      </c>
      <c r="S34" s="149">
        <f t="shared" si="7"/>
        <v>48.226712603172942</v>
      </c>
      <c r="T34" s="129">
        <f t="shared" si="8"/>
        <v>2.6416894937105475</v>
      </c>
      <c r="U34" s="136">
        <f t="shared" si="11"/>
        <v>21.397684899055438</v>
      </c>
      <c r="V34" s="139">
        <f t="shared" si="12"/>
        <v>57.852999912260984</v>
      </c>
      <c r="W34" s="9">
        <f t="shared" si="13"/>
        <v>158.50136962263286</v>
      </c>
      <c r="X34" s="9">
        <f t="shared" si="14"/>
        <v>79.250684811316432</v>
      </c>
      <c r="Y34" s="9">
        <f t="shared" si="15"/>
        <v>52.83378987421095</v>
      </c>
      <c r="Z34" s="9">
        <f t="shared" si="16"/>
        <v>105.6675797484219</v>
      </c>
      <c r="AA34" s="9">
        <f t="shared" si="17"/>
        <v>2060.5178050942272</v>
      </c>
      <c r="AB34" s="9">
        <f t="shared" si="18"/>
        <v>13.208447468552738</v>
      </c>
      <c r="AC34" s="3">
        <f t="shared" si="19"/>
        <v>1.0086450794167545</v>
      </c>
      <c r="AD34" s="137">
        <f t="shared" si="20"/>
        <v>4.3587876646224029</v>
      </c>
    </row>
    <row r="35" spans="1:30" x14ac:dyDescent="0.25">
      <c r="A35" s="118" t="s">
        <v>29</v>
      </c>
      <c r="B35">
        <v>283.62878999999998</v>
      </c>
      <c r="C35">
        <v>203.85541000000001</v>
      </c>
      <c r="D35">
        <v>116.316345</v>
      </c>
      <c r="E35">
        <v>30.220904999999998</v>
      </c>
      <c r="F35">
        <v>11.884</v>
      </c>
      <c r="G35">
        <v>0</v>
      </c>
      <c r="H35">
        <v>142.19999999999999</v>
      </c>
      <c r="I35" s="12">
        <f t="shared" si="9"/>
        <v>788.10545000000002</v>
      </c>
      <c r="J35" s="147">
        <v>10.6</v>
      </c>
      <c r="K35" s="122">
        <f t="shared" si="0"/>
        <v>8508.8636999999999</v>
      </c>
      <c r="L35" s="3">
        <f t="shared" si="1"/>
        <v>12231.3246</v>
      </c>
      <c r="M35" s="3">
        <f t="shared" si="2"/>
        <v>3489.49035</v>
      </c>
      <c r="N35" s="3">
        <f t="shared" si="3"/>
        <v>604.41809999999998</v>
      </c>
      <c r="O35" s="3">
        <f t="shared" si="4"/>
        <v>475.36</v>
      </c>
      <c r="P35" s="3">
        <f t="shared" si="5"/>
        <v>0</v>
      </c>
      <c r="Q35" s="3">
        <f t="shared" si="6"/>
        <v>711</v>
      </c>
      <c r="R35" s="12">
        <f t="shared" si="10"/>
        <v>26020.456750000001</v>
      </c>
      <c r="S35" s="149">
        <f t="shared" si="7"/>
        <v>33.016465943738872</v>
      </c>
      <c r="T35" s="129">
        <f t="shared" si="8"/>
        <v>0.32105192657696141</v>
      </c>
      <c r="U35" s="136">
        <f t="shared" si="11"/>
        <v>2.6005206052733878</v>
      </c>
      <c r="V35" s="139">
        <f t="shared" si="12"/>
        <v>7.0310371920354546</v>
      </c>
      <c r="W35" s="9">
        <f t="shared" si="13"/>
        <v>19.263115594617684</v>
      </c>
      <c r="X35" s="9">
        <f t="shared" si="14"/>
        <v>9.631557797308842</v>
      </c>
      <c r="Y35" s="9">
        <f t="shared" si="15"/>
        <v>6.421038531539228</v>
      </c>
      <c r="Z35" s="9">
        <f t="shared" si="16"/>
        <v>12.842077063078456</v>
      </c>
      <c r="AA35" s="9">
        <f t="shared" si="17"/>
        <v>250.42050273002991</v>
      </c>
      <c r="AB35" s="9">
        <f t="shared" si="18"/>
        <v>1.605259632884807</v>
      </c>
      <c r="AC35" s="3">
        <f t="shared" si="19"/>
        <v>0.12258346287483982</v>
      </c>
      <c r="AD35" s="137">
        <f t="shared" si="20"/>
        <v>0.52973567885198625</v>
      </c>
    </row>
    <row r="36" spans="1:30" x14ac:dyDescent="0.25">
      <c r="A36" s="118" t="s">
        <v>30</v>
      </c>
      <c r="B36">
        <v>476.09327500000001</v>
      </c>
      <c r="C36">
        <v>192.49245500000001</v>
      </c>
      <c r="D36">
        <v>82.395381</v>
      </c>
      <c r="E36">
        <v>32.142490000000002</v>
      </c>
      <c r="F36">
        <v>0</v>
      </c>
      <c r="G36">
        <v>0.52808840000000001</v>
      </c>
      <c r="H36">
        <v>45.302799999999998</v>
      </c>
      <c r="I36" s="12">
        <f t="shared" si="9"/>
        <v>828.95448940000006</v>
      </c>
      <c r="J36" s="147">
        <v>27.3</v>
      </c>
      <c r="K36" s="122">
        <f t="shared" si="0"/>
        <v>14282.79825</v>
      </c>
      <c r="L36" s="3">
        <f t="shared" si="1"/>
        <v>11549.5473</v>
      </c>
      <c r="M36" s="3">
        <f t="shared" si="2"/>
        <v>2471.8614299999999</v>
      </c>
      <c r="N36" s="3">
        <f t="shared" si="3"/>
        <v>642.84980000000007</v>
      </c>
      <c r="O36" s="3">
        <f t="shared" si="4"/>
        <v>0</v>
      </c>
      <c r="P36" s="3">
        <f t="shared" si="5"/>
        <v>411.908952</v>
      </c>
      <c r="Q36" s="3">
        <f t="shared" si="6"/>
        <v>226.51399999999998</v>
      </c>
      <c r="R36" s="12">
        <f t="shared" si="10"/>
        <v>29585.479732</v>
      </c>
      <c r="S36" s="149">
        <f t="shared" si="7"/>
        <v>35.690113402261765</v>
      </c>
      <c r="T36" s="129">
        <f t="shared" si="8"/>
        <v>0.76491771523118601</v>
      </c>
      <c r="U36" s="136">
        <f t="shared" si="11"/>
        <v>6.195833493372608</v>
      </c>
      <c r="V36" s="139">
        <f t="shared" si="12"/>
        <v>16.751697963562972</v>
      </c>
      <c r="W36" s="9">
        <f t="shared" si="13"/>
        <v>45.895062913871158</v>
      </c>
      <c r="X36" s="9">
        <f t="shared" si="14"/>
        <v>22.947531456935579</v>
      </c>
      <c r="Y36" s="9">
        <f t="shared" si="15"/>
        <v>15.29835430462372</v>
      </c>
      <c r="Z36" s="9">
        <f t="shared" si="16"/>
        <v>30.59670860924744</v>
      </c>
      <c r="AA36" s="9">
        <f t="shared" si="17"/>
        <v>596.63581788032513</v>
      </c>
      <c r="AB36" s="9">
        <f t="shared" si="18"/>
        <v>3.82458857615593</v>
      </c>
      <c r="AC36" s="3">
        <f t="shared" si="19"/>
        <v>0.29205949127008923</v>
      </c>
      <c r="AD36" s="137">
        <f t="shared" si="20"/>
        <v>1.262114230131457</v>
      </c>
    </row>
    <row r="37" spans="1:30" x14ac:dyDescent="0.25">
      <c r="A37" s="70" t="s">
        <v>31</v>
      </c>
      <c r="B37" s="143" t="s">
        <v>56</v>
      </c>
      <c r="C37" s="143" t="s">
        <v>56</v>
      </c>
      <c r="D37" s="143" t="s">
        <v>56</v>
      </c>
      <c r="E37" s="143" t="s">
        <v>56</v>
      </c>
      <c r="F37" s="143" t="s">
        <v>56</v>
      </c>
      <c r="G37" s="143" t="s">
        <v>56</v>
      </c>
      <c r="H37" s="143" t="s">
        <v>56</v>
      </c>
      <c r="I37" s="143" t="s">
        <v>56</v>
      </c>
      <c r="J37" s="148">
        <v>25.7</v>
      </c>
      <c r="K37" s="145" t="s">
        <v>56</v>
      </c>
      <c r="L37" s="143" t="s">
        <v>56</v>
      </c>
      <c r="M37" s="143" t="s">
        <v>56</v>
      </c>
      <c r="N37" s="143" t="s">
        <v>56</v>
      </c>
      <c r="O37" s="143" t="s">
        <v>56</v>
      </c>
      <c r="P37" s="143" t="s">
        <v>56</v>
      </c>
      <c r="Q37" s="143" t="s">
        <v>56</v>
      </c>
      <c r="R37" s="143" t="s">
        <v>56</v>
      </c>
      <c r="S37" s="150" t="s">
        <v>56</v>
      </c>
      <c r="T37" s="143" t="s">
        <v>56</v>
      </c>
      <c r="U37" s="143" t="s">
        <v>56</v>
      </c>
      <c r="V37" s="143" t="s">
        <v>56</v>
      </c>
      <c r="W37" s="143" t="s">
        <v>56</v>
      </c>
      <c r="X37" s="143" t="s">
        <v>56</v>
      </c>
      <c r="Y37" s="143" t="s">
        <v>56</v>
      </c>
      <c r="Z37" s="143" t="s">
        <v>56</v>
      </c>
      <c r="AA37" s="143" t="s">
        <v>56</v>
      </c>
      <c r="AB37" s="143" t="s">
        <v>56</v>
      </c>
      <c r="AC37" s="143" t="s">
        <v>56</v>
      </c>
      <c r="AD37" s="146" t="s">
        <v>56</v>
      </c>
    </row>
    <row r="39" spans="1:30" x14ac:dyDescent="0.25">
      <c r="A39" s="114" t="s">
        <v>57</v>
      </c>
      <c r="B39" s="114"/>
      <c r="C39" s="114"/>
      <c r="D39" s="114"/>
      <c r="E39" s="114"/>
      <c r="F39" s="114"/>
      <c r="G39" s="114"/>
      <c r="H39" s="114"/>
      <c r="I39" s="114"/>
      <c r="J39" s="114"/>
      <c r="K39" s="115">
        <f>'Standard values'!B5</f>
        <v>30</v>
      </c>
      <c r="L39" s="115">
        <f>'Standard values'!D5</f>
        <v>60</v>
      </c>
      <c r="M39" s="115">
        <f>'Standard values'!E5</f>
        <v>30</v>
      </c>
      <c r="N39" s="115">
        <f>'Standard values'!F5</f>
        <v>20</v>
      </c>
      <c r="O39" s="115">
        <f>'Standard values'!G5</f>
        <v>40</v>
      </c>
      <c r="P39" s="115">
        <f>'Standard values'!H5</f>
        <v>780</v>
      </c>
      <c r="Q39" s="115">
        <f>'Standard values'!I5</f>
        <v>5</v>
      </c>
      <c r="R39" s="114"/>
      <c r="S39" s="114"/>
      <c r="T39" s="114"/>
      <c r="U39" s="114">
        <f>'Standard values'!B6</f>
        <v>8.1000000000000014</v>
      </c>
      <c r="V39" s="114">
        <f>'Standard values'!C6</f>
        <v>21.9</v>
      </c>
      <c r="W39" s="114">
        <f>'Standard values'!D6</f>
        <v>60</v>
      </c>
      <c r="X39" s="114">
        <f>'Standard values'!E6</f>
        <v>30</v>
      </c>
      <c r="Y39" s="114">
        <f>'Standard values'!F6</f>
        <v>20</v>
      </c>
      <c r="Z39" s="114">
        <f>'Standard values'!G6</f>
        <v>40</v>
      </c>
      <c r="AA39" s="114">
        <f>'Standard values'!H6</f>
        <v>780</v>
      </c>
      <c r="AB39" s="114">
        <f>'Standard values'!I6</f>
        <v>5</v>
      </c>
      <c r="AC39" s="135">
        <f>'Standard values'!J6</f>
        <v>0.38181818181818183</v>
      </c>
      <c r="AD39" s="135">
        <f>'Standard values'!K6</f>
        <v>1.65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C5D30-5DA7-4CD1-BB08-045A0A7A7AC5}">
  <dimension ref="A2:K6"/>
  <sheetViews>
    <sheetView workbookViewId="0">
      <selection activeCell="J14" sqref="J14"/>
    </sheetView>
  </sheetViews>
  <sheetFormatPr defaultRowHeight="15" x14ac:dyDescent="0.25"/>
  <cols>
    <col min="1" max="1" width="35.7109375" customWidth="1"/>
  </cols>
  <sheetData>
    <row r="2" spans="1:11" ht="21" x14ac:dyDescent="0.35">
      <c r="A2" s="132" t="s">
        <v>71</v>
      </c>
    </row>
    <row r="3" spans="1:11" ht="18" customHeight="1" x14ac:dyDescent="0.35">
      <c r="A3" s="132"/>
    </row>
    <row r="4" spans="1:11" ht="30.75" customHeight="1" x14ac:dyDescent="0.25">
      <c r="A4" s="133"/>
      <c r="B4" s="134" t="s">
        <v>49</v>
      </c>
      <c r="C4" s="134" t="s">
        <v>50</v>
      </c>
      <c r="D4" s="114" t="s">
        <v>0</v>
      </c>
      <c r="E4" s="114" t="s">
        <v>51</v>
      </c>
      <c r="F4" s="134" t="s">
        <v>52</v>
      </c>
      <c r="G4" s="114" t="s">
        <v>42</v>
      </c>
      <c r="H4" s="114" t="s">
        <v>53</v>
      </c>
      <c r="I4" s="114" t="s">
        <v>44</v>
      </c>
      <c r="J4" s="114" t="s">
        <v>54</v>
      </c>
      <c r="K4" s="114" t="s">
        <v>55</v>
      </c>
    </row>
    <row r="5" spans="1:11" x14ac:dyDescent="0.25">
      <c r="A5" t="s">
        <v>72</v>
      </c>
      <c r="B5" s="32">
        <v>30</v>
      </c>
      <c r="C5" s="32"/>
      <c r="D5" s="32">
        <v>60</v>
      </c>
      <c r="E5" s="32">
        <v>30</v>
      </c>
      <c r="F5" s="32">
        <v>20</v>
      </c>
      <c r="G5" s="32">
        <v>40</v>
      </c>
      <c r="H5" s="32">
        <v>780</v>
      </c>
      <c r="I5">
        <v>5</v>
      </c>
    </row>
    <row r="6" spans="1:11" x14ac:dyDescent="0.25">
      <c r="A6" t="s">
        <v>73</v>
      </c>
      <c r="B6">
        <v>8.1000000000000014</v>
      </c>
      <c r="C6">
        <v>21.9</v>
      </c>
      <c r="D6">
        <v>60</v>
      </c>
      <c r="E6">
        <v>30</v>
      </c>
      <c r="F6">
        <v>20</v>
      </c>
      <c r="G6">
        <v>40</v>
      </c>
      <c r="H6">
        <v>780</v>
      </c>
      <c r="I6">
        <v>5</v>
      </c>
      <c r="J6" s="3">
        <v>0.38181818181818183</v>
      </c>
      <c r="K6" s="3">
        <v>1.65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FB88B-32EE-4F2E-92F7-F052A6F99A93}">
  <dimension ref="A1:I367"/>
  <sheetViews>
    <sheetView workbookViewId="0">
      <selection activeCell="C21" sqref="C21:I21"/>
    </sheetView>
  </sheetViews>
  <sheetFormatPr defaultRowHeight="15" x14ac:dyDescent="0.25"/>
  <cols>
    <col min="5" max="5" width="16.42578125" customWidth="1"/>
  </cols>
  <sheetData>
    <row r="1" spans="1:9" x14ac:dyDescent="0.25">
      <c r="A1" t="s">
        <v>38</v>
      </c>
      <c r="B1" t="s">
        <v>74</v>
      </c>
      <c r="C1" t="s">
        <v>39</v>
      </c>
      <c r="D1" t="s">
        <v>0</v>
      </c>
      <c r="E1" t="s">
        <v>40</v>
      </c>
      <c r="F1" t="s">
        <v>41</v>
      </c>
      <c r="G1" t="s">
        <v>42</v>
      </c>
      <c r="H1" t="s">
        <v>43</v>
      </c>
      <c r="I1" t="s">
        <v>44</v>
      </c>
    </row>
    <row r="2" spans="1:9" x14ac:dyDescent="0.25">
      <c r="A2" t="s">
        <v>1</v>
      </c>
      <c r="B2">
        <v>2010</v>
      </c>
      <c r="C2">
        <v>444.33916499999998</v>
      </c>
      <c r="D2">
        <v>403.20585999999997</v>
      </c>
      <c r="E2">
        <v>79.225167499999998</v>
      </c>
      <c r="F2">
        <v>34.404299999999999</v>
      </c>
      <c r="G2">
        <v>0</v>
      </c>
      <c r="H2">
        <v>0</v>
      </c>
      <c r="I2">
        <v>33.0732</v>
      </c>
    </row>
    <row r="3" spans="1:9" x14ac:dyDescent="0.25">
      <c r="A3" t="s">
        <v>2</v>
      </c>
      <c r="B3">
        <v>2010</v>
      </c>
      <c r="C3">
        <v>478.52147000000002</v>
      </c>
      <c r="D3">
        <v>901.27763500000003</v>
      </c>
      <c r="E3">
        <v>173.81867349999999</v>
      </c>
      <c r="F3">
        <v>16.446809999999999</v>
      </c>
      <c r="G3">
        <v>0.57599999999999996</v>
      </c>
      <c r="H3">
        <v>4.2587999999999999</v>
      </c>
      <c r="I3">
        <v>85.586399999999998</v>
      </c>
    </row>
    <row r="4" spans="1:9" x14ac:dyDescent="0.25">
      <c r="A4" t="s">
        <v>6</v>
      </c>
      <c r="B4">
        <v>2010</v>
      </c>
      <c r="C4">
        <v>292.07171</v>
      </c>
      <c r="D4">
        <v>240.16889499999999</v>
      </c>
      <c r="E4">
        <v>146.1986</v>
      </c>
      <c r="F4">
        <v>15.161854999999999</v>
      </c>
      <c r="G4">
        <v>20.420000000000002</v>
      </c>
      <c r="H4">
        <v>11.628399999999999</v>
      </c>
      <c r="I4">
        <v>29.572800000000001</v>
      </c>
    </row>
    <row r="5" spans="1:9" x14ac:dyDescent="0.25">
      <c r="A5" t="s">
        <v>7</v>
      </c>
      <c r="B5">
        <v>2010</v>
      </c>
      <c r="C5">
        <v>409.08433000000002</v>
      </c>
      <c r="D5">
        <v>1855.9094500000001</v>
      </c>
      <c r="E5">
        <v>120.406825</v>
      </c>
      <c r="F5">
        <v>13.72725</v>
      </c>
      <c r="G5">
        <v>34.131</v>
      </c>
      <c r="H5">
        <v>0</v>
      </c>
      <c r="I5">
        <v>70</v>
      </c>
    </row>
    <row r="6" spans="1:9" x14ac:dyDescent="0.25">
      <c r="A6" t="s">
        <v>8</v>
      </c>
      <c r="B6">
        <v>2010</v>
      </c>
      <c r="C6">
        <v>61.116435000000003</v>
      </c>
      <c r="D6">
        <v>34.959665000000001</v>
      </c>
      <c r="E6">
        <v>2.095567</v>
      </c>
      <c r="F6">
        <v>4.8092600000000001</v>
      </c>
      <c r="G6">
        <v>0.65400000000000003</v>
      </c>
      <c r="H6">
        <v>0</v>
      </c>
      <c r="I6">
        <v>4.04</v>
      </c>
    </row>
    <row r="7" spans="1:9" x14ac:dyDescent="0.25">
      <c r="A7" t="s">
        <v>9</v>
      </c>
      <c r="B7">
        <v>2010</v>
      </c>
      <c r="C7">
        <v>224.39418000000001</v>
      </c>
      <c r="D7">
        <v>181.240465</v>
      </c>
      <c r="E7">
        <v>59.537886499999999</v>
      </c>
      <c r="F7">
        <v>10.17292</v>
      </c>
      <c r="G7">
        <v>11.8</v>
      </c>
      <c r="H7">
        <v>0</v>
      </c>
      <c r="I7">
        <v>29.72</v>
      </c>
    </row>
    <row r="8" spans="1:9" x14ac:dyDescent="0.25">
      <c r="A8" t="s">
        <v>10</v>
      </c>
      <c r="B8">
        <v>2010</v>
      </c>
      <c r="C8">
        <v>3340.3962200000001</v>
      </c>
      <c r="D8">
        <v>1886.9729500000001</v>
      </c>
      <c r="E8">
        <v>1150.9532180000001</v>
      </c>
      <c r="F8">
        <v>695.50249499999995</v>
      </c>
      <c r="G8">
        <v>45.042000000000002</v>
      </c>
      <c r="H8">
        <v>48.651400000000002</v>
      </c>
      <c r="I8">
        <v>311.31799999999998</v>
      </c>
    </row>
    <row r="9" spans="1:9" x14ac:dyDescent="0.25">
      <c r="A9" t="s">
        <v>13</v>
      </c>
      <c r="B9">
        <v>2010</v>
      </c>
      <c r="C9">
        <v>151.32914500000001</v>
      </c>
      <c r="D9">
        <v>316.02211499999999</v>
      </c>
      <c r="E9">
        <v>170.43446449999999</v>
      </c>
      <c r="F9">
        <v>102.26428</v>
      </c>
      <c r="G9">
        <v>0</v>
      </c>
      <c r="H9">
        <v>1.1564000000000001</v>
      </c>
      <c r="I9">
        <v>27.2</v>
      </c>
    </row>
    <row r="10" spans="1:9" x14ac:dyDescent="0.25">
      <c r="A10" t="s">
        <v>14</v>
      </c>
      <c r="B10">
        <v>2010</v>
      </c>
      <c r="C10">
        <v>18.9925</v>
      </c>
      <c r="D10">
        <v>5.8040000000000003</v>
      </c>
      <c r="E10">
        <v>4.9264999999999999</v>
      </c>
      <c r="F10">
        <v>47.1</v>
      </c>
      <c r="G10">
        <v>5.05</v>
      </c>
      <c r="H10">
        <v>0</v>
      </c>
      <c r="I10">
        <v>30.8</v>
      </c>
    </row>
    <row r="11" spans="1:9" x14ac:dyDescent="0.25">
      <c r="A11" t="s">
        <v>15</v>
      </c>
      <c r="B11">
        <v>2010</v>
      </c>
      <c r="C11">
        <v>1091.1218650000001</v>
      </c>
      <c r="D11">
        <v>249.53832499999999</v>
      </c>
      <c r="E11">
        <v>79.870661999999996</v>
      </c>
      <c r="F11">
        <v>274.75200000000001</v>
      </c>
      <c r="G11">
        <v>47.212000000000003</v>
      </c>
      <c r="H11">
        <v>0</v>
      </c>
      <c r="I11">
        <v>36</v>
      </c>
    </row>
    <row r="12" spans="1:9" x14ac:dyDescent="0.25">
      <c r="A12" t="s">
        <v>16</v>
      </c>
      <c r="B12">
        <v>2010</v>
      </c>
      <c r="C12">
        <v>1820.8867399999999</v>
      </c>
      <c r="D12">
        <v>1032.1504749999999</v>
      </c>
      <c r="E12">
        <v>674.80434700000001</v>
      </c>
      <c r="F12">
        <v>614.43902000000003</v>
      </c>
      <c r="G12">
        <v>232.13</v>
      </c>
      <c r="H12">
        <v>34.061999999999998</v>
      </c>
      <c r="I12">
        <v>164.01480000000001</v>
      </c>
    </row>
    <row r="13" spans="1:9" x14ac:dyDescent="0.25">
      <c r="A13" t="s">
        <v>17</v>
      </c>
      <c r="B13">
        <v>2010</v>
      </c>
      <c r="C13">
        <v>103.77506</v>
      </c>
      <c r="D13">
        <v>33.447274999999998</v>
      </c>
      <c r="E13">
        <v>16.298148999999999</v>
      </c>
      <c r="F13">
        <v>5.9286000000000003</v>
      </c>
      <c r="G13">
        <v>0.51700000000000002</v>
      </c>
      <c r="H13">
        <v>2.4385199999999999E-2</v>
      </c>
      <c r="I13">
        <v>4.71</v>
      </c>
    </row>
    <row r="14" spans="1:9" x14ac:dyDescent="0.25">
      <c r="A14" t="s">
        <v>18</v>
      </c>
      <c r="B14">
        <v>2010</v>
      </c>
      <c r="C14">
        <v>223.67621</v>
      </c>
      <c r="D14">
        <v>67.147880000000001</v>
      </c>
      <c r="E14">
        <v>39.6550145</v>
      </c>
      <c r="F14">
        <v>4.4866000000000001</v>
      </c>
      <c r="G14">
        <v>3.4279999999999999</v>
      </c>
      <c r="H14">
        <v>4.2000000000000003E-2</v>
      </c>
      <c r="I14">
        <v>3.294</v>
      </c>
    </row>
    <row r="15" spans="1:9" x14ac:dyDescent="0.25">
      <c r="A15" t="s">
        <v>21</v>
      </c>
      <c r="B15">
        <v>2010</v>
      </c>
      <c r="C15">
        <v>982.97573499999999</v>
      </c>
      <c r="D15">
        <v>1492.9683500000001</v>
      </c>
      <c r="E15">
        <v>391.06257649999998</v>
      </c>
      <c r="F15">
        <v>109.158</v>
      </c>
      <c r="G15">
        <v>7.36</v>
      </c>
      <c r="H15">
        <v>2.6208</v>
      </c>
      <c r="I15">
        <v>169.2</v>
      </c>
    </row>
    <row r="16" spans="1:9" x14ac:dyDescent="0.25">
      <c r="A16" t="s">
        <v>22</v>
      </c>
      <c r="B16">
        <v>2010</v>
      </c>
      <c r="C16">
        <v>221.56949499999999</v>
      </c>
      <c r="D16">
        <v>125.100675</v>
      </c>
      <c r="E16">
        <v>62.374000000000002</v>
      </c>
      <c r="F16">
        <v>93.639179999999996</v>
      </c>
      <c r="G16">
        <v>1019.711</v>
      </c>
      <c r="H16">
        <v>0</v>
      </c>
      <c r="I16">
        <v>50</v>
      </c>
    </row>
    <row r="17" spans="1:9" x14ac:dyDescent="0.25">
      <c r="A17" t="s">
        <v>24</v>
      </c>
      <c r="B17">
        <v>2010</v>
      </c>
      <c r="C17">
        <v>237.72893999999999</v>
      </c>
      <c r="D17">
        <v>348.621555</v>
      </c>
      <c r="E17">
        <v>204.71990249999999</v>
      </c>
      <c r="F17">
        <v>190.35831999999999</v>
      </c>
      <c r="G17">
        <v>7.9790000000000001</v>
      </c>
      <c r="H17">
        <v>8.4413573999999993</v>
      </c>
      <c r="I17">
        <v>38.799999999999997</v>
      </c>
    </row>
    <row r="18" spans="1:9" x14ac:dyDescent="0.25">
      <c r="A18" t="s">
        <v>27</v>
      </c>
      <c r="B18">
        <v>2010</v>
      </c>
      <c r="C18">
        <v>100.145205</v>
      </c>
      <c r="D18">
        <v>26.457355</v>
      </c>
      <c r="E18">
        <v>33.517240999999999</v>
      </c>
      <c r="F18">
        <v>9.9486600000000003</v>
      </c>
      <c r="G18">
        <v>0.77800000000000002</v>
      </c>
      <c r="H18">
        <v>2.478E-2</v>
      </c>
      <c r="I18">
        <v>8.92</v>
      </c>
    </row>
    <row r="19" spans="1:9" x14ac:dyDescent="0.25">
      <c r="A19" t="s">
        <v>28</v>
      </c>
      <c r="B19">
        <v>2010</v>
      </c>
      <c r="C19">
        <v>925.64426500000002</v>
      </c>
      <c r="D19">
        <v>3332.8805849999999</v>
      </c>
      <c r="E19">
        <v>703.34683649999999</v>
      </c>
      <c r="F19">
        <v>1651.00702</v>
      </c>
      <c r="G19">
        <v>268.565</v>
      </c>
      <c r="H19">
        <v>73.686608100000001</v>
      </c>
      <c r="I19">
        <v>0</v>
      </c>
    </row>
    <row r="20" spans="1:9" x14ac:dyDescent="0.25">
      <c r="A20" t="s">
        <v>29</v>
      </c>
      <c r="B20">
        <v>2010</v>
      </c>
      <c r="C20">
        <v>320.106785</v>
      </c>
      <c r="D20">
        <v>230.03315499999999</v>
      </c>
      <c r="E20">
        <v>81.726157000000001</v>
      </c>
      <c r="F20">
        <v>47.47</v>
      </c>
      <c r="G20">
        <v>7.851</v>
      </c>
      <c r="H20">
        <v>0</v>
      </c>
      <c r="I20">
        <v>145.08000000000001</v>
      </c>
    </row>
    <row r="21" spans="1:9" x14ac:dyDescent="0.25">
      <c r="A21" t="s">
        <v>31</v>
      </c>
      <c r="B21">
        <v>2010</v>
      </c>
      <c r="C21">
        <v>1750.2786599999999</v>
      </c>
      <c r="D21">
        <v>623.27045499999997</v>
      </c>
      <c r="E21">
        <v>1008.87188</v>
      </c>
      <c r="F21">
        <v>2615.2822000000001</v>
      </c>
      <c r="G21">
        <v>196.28</v>
      </c>
      <c r="H21">
        <v>0</v>
      </c>
      <c r="I21">
        <v>520</v>
      </c>
    </row>
    <row r="22" spans="1:9" x14ac:dyDescent="0.25">
      <c r="A22" t="s">
        <v>1</v>
      </c>
      <c r="B22">
        <v>2011</v>
      </c>
      <c r="C22">
        <v>439.59815500000002</v>
      </c>
      <c r="D22">
        <v>392.44684999999998</v>
      </c>
      <c r="E22">
        <v>80.204063500000004</v>
      </c>
      <c r="F22">
        <v>34.980080000000001</v>
      </c>
      <c r="G22">
        <v>0</v>
      </c>
      <c r="H22">
        <v>0</v>
      </c>
      <c r="I22">
        <v>29.280799999999999</v>
      </c>
    </row>
    <row r="23" spans="1:9" x14ac:dyDescent="0.25">
      <c r="A23" t="s">
        <v>2</v>
      </c>
      <c r="B23">
        <v>2011</v>
      </c>
      <c r="C23">
        <v>491.11774000000003</v>
      </c>
      <c r="D23">
        <v>930.88077099999998</v>
      </c>
      <c r="E23">
        <v>159.42369049999999</v>
      </c>
      <c r="F23">
        <v>16.513020000000001</v>
      </c>
      <c r="G23">
        <v>0.57599999999999996</v>
      </c>
      <c r="H23">
        <v>4.0772130000000004</v>
      </c>
      <c r="I23">
        <v>92.748800000000003</v>
      </c>
    </row>
    <row r="24" spans="1:9" x14ac:dyDescent="0.25">
      <c r="A24" t="s">
        <v>3</v>
      </c>
      <c r="B24">
        <v>2011</v>
      </c>
      <c r="C24">
        <v>137.45612499999999</v>
      </c>
      <c r="D24">
        <v>61.869410000000002</v>
      </c>
      <c r="E24">
        <v>44.408234</v>
      </c>
      <c r="F24">
        <v>93.639939999999996</v>
      </c>
      <c r="G24">
        <v>5.5039999999999996</v>
      </c>
      <c r="H24">
        <v>0</v>
      </c>
      <c r="I24">
        <v>55.708399999999997</v>
      </c>
    </row>
    <row r="25" spans="1:9" x14ac:dyDescent="0.25">
      <c r="A25" t="s">
        <v>5</v>
      </c>
      <c r="B25">
        <v>2011</v>
      </c>
      <c r="C25">
        <v>17.984375</v>
      </c>
      <c r="D25">
        <v>55.842525000000002</v>
      </c>
      <c r="E25">
        <v>13.79693</v>
      </c>
      <c r="F25">
        <v>60.238819999999997</v>
      </c>
      <c r="G25">
        <v>5.0140000000000002</v>
      </c>
      <c r="H25">
        <v>0.17896200000000001</v>
      </c>
      <c r="I25">
        <v>2.6616</v>
      </c>
    </row>
    <row r="26" spans="1:9" x14ac:dyDescent="0.25">
      <c r="A26" t="s">
        <v>6</v>
      </c>
      <c r="B26">
        <v>2011</v>
      </c>
      <c r="C26">
        <v>293.10894500000001</v>
      </c>
      <c r="D26">
        <v>222.26040499999999</v>
      </c>
      <c r="E26">
        <v>139.48458450000001</v>
      </c>
      <c r="F26">
        <v>16.153300000000002</v>
      </c>
      <c r="G26">
        <v>21.009</v>
      </c>
      <c r="H26">
        <v>9.5969999999999995</v>
      </c>
      <c r="I26">
        <v>30.545999999999999</v>
      </c>
    </row>
    <row r="27" spans="1:9" x14ac:dyDescent="0.25">
      <c r="A27" t="s">
        <v>7</v>
      </c>
      <c r="B27">
        <v>2011</v>
      </c>
      <c r="C27">
        <v>402.40634999999997</v>
      </c>
      <c r="D27">
        <v>1835.824425</v>
      </c>
      <c r="E27">
        <v>120.488502</v>
      </c>
      <c r="F27">
        <v>13.055524999999999</v>
      </c>
      <c r="G27">
        <v>34.9</v>
      </c>
      <c r="H27">
        <v>0</v>
      </c>
      <c r="I27">
        <v>72</v>
      </c>
    </row>
    <row r="28" spans="1:9" x14ac:dyDescent="0.25">
      <c r="A28" t="s">
        <v>8</v>
      </c>
      <c r="B28">
        <v>2011</v>
      </c>
      <c r="C28">
        <v>60.851754999999997</v>
      </c>
      <c r="D28">
        <v>34.116300000000003</v>
      </c>
      <c r="E28">
        <v>2.1079119999999998</v>
      </c>
      <c r="F28">
        <v>4.8199199999999998</v>
      </c>
      <c r="G28">
        <v>0.42</v>
      </c>
      <c r="H28">
        <v>0</v>
      </c>
      <c r="I28">
        <v>4.04</v>
      </c>
    </row>
    <row r="29" spans="1:9" x14ac:dyDescent="0.25">
      <c r="A29" t="s">
        <v>9</v>
      </c>
      <c r="B29">
        <v>2011</v>
      </c>
      <c r="C29">
        <v>224.39443</v>
      </c>
      <c r="D29">
        <v>181.63016999999999</v>
      </c>
      <c r="E29">
        <v>61.818424999999998</v>
      </c>
      <c r="F29">
        <v>10.663080000000001</v>
      </c>
      <c r="G29">
        <v>11.275</v>
      </c>
      <c r="H29">
        <v>0</v>
      </c>
      <c r="I29">
        <v>30.2</v>
      </c>
    </row>
    <row r="30" spans="1:9" x14ac:dyDescent="0.25">
      <c r="A30" t="s">
        <v>10</v>
      </c>
      <c r="B30">
        <v>2011</v>
      </c>
      <c r="C30">
        <v>3376.1276899999998</v>
      </c>
      <c r="D30">
        <v>1901.9278850000001</v>
      </c>
      <c r="E30">
        <v>1218.9661610000001</v>
      </c>
      <c r="F30">
        <v>687.50355999999999</v>
      </c>
      <c r="G30">
        <v>234</v>
      </c>
      <c r="H30">
        <v>54.520200000000003</v>
      </c>
      <c r="I30">
        <v>311.80119999999999</v>
      </c>
    </row>
    <row r="31" spans="1:9" x14ac:dyDescent="0.25">
      <c r="A31" t="s">
        <v>11</v>
      </c>
      <c r="B31">
        <v>2011</v>
      </c>
      <c r="C31">
        <v>3169.2477549999999</v>
      </c>
      <c r="D31">
        <v>4032.9262199999998</v>
      </c>
      <c r="E31">
        <v>1045.3329699999999</v>
      </c>
      <c r="F31">
        <v>146.24737999999999</v>
      </c>
      <c r="G31">
        <v>20.83</v>
      </c>
      <c r="H31">
        <v>0.35980000000000001</v>
      </c>
      <c r="I31">
        <v>184.7116</v>
      </c>
    </row>
    <row r="32" spans="1:9" x14ac:dyDescent="0.25">
      <c r="A32" t="s">
        <v>13</v>
      </c>
      <c r="B32">
        <v>2011</v>
      </c>
      <c r="C32">
        <v>142.09475</v>
      </c>
      <c r="D32">
        <v>314.25458500000002</v>
      </c>
      <c r="E32">
        <v>169.93186349999999</v>
      </c>
      <c r="F32">
        <v>89.243340000000003</v>
      </c>
      <c r="G32">
        <v>20.25</v>
      </c>
      <c r="H32">
        <v>1.1564000000000001</v>
      </c>
      <c r="I32">
        <v>29.6</v>
      </c>
    </row>
    <row r="33" spans="1:9" x14ac:dyDescent="0.25">
      <c r="A33" t="s">
        <v>14</v>
      </c>
      <c r="B33">
        <v>2011</v>
      </c>
      <c r="C33">
        <v>18.954035000000001</v>
      </c>
      <c r="D33">
        <v>5.7800599999999998</v>
      </c>
      <c r="E33">
        <v>4.8897044999999997</v>
      </c>
      <c r="F33">
        <v>47.305325000000003</v>
      </c>
      <c r="G33">
        <v>5.3090000000000002</v>
      </c>
      <c r="H33">
        <v>0</v>
      </c>
      <c r="I33">
        <v>31.3108</v>
      </c>
    </row>
    <row r="34" spans="1:9" x14ac:dyDescent="0.25">
      <c r="A34" t="s">
        <v>15</v>
      </c>
      <c r="B34">
        <v>2011</v>
      </c>
      <c r="C34">
        <v>1050.0357650000001</v>
      </c>
      <c r="D34">
        <v>264.93223</v>
      </c>
      <c r="E34">
        <v>79.472362000000004</v>
      </c>
      <c r="F34">
        <v>288.54327999999998</v>
      </c>
      <c r="G34">
        <v>44.289000000000001</v>
      </c>
      <c r="H34">
        <v>0</v>
      </c>
      <c r="I34">
        <v>42.4</v>
      </c>
    </row>
    <row r="35" spans="1:9" x14ac:dyDescent="0.25">
      <c r="A35" t="s">
        <v>16</v>
      </c>
      <c r="B35">
        <v>2011</v>
      </c>
      <c r="C35">
        <v>1700.807055</v>
      </c>
      <c r="D35">
        <v>988.69558500000005</v>
      </c>
      <c r="E35">
        <v>694.82064600000001</v>
      </c>
      <c r="F35">
        <v>680.48155999999994</v>
      </c>
      <c r="G35">
        <v>203.81</v>
      </c>
      <c r="H35">
        <v>33.0246</v>
      </c>
      <c r="I35">
        <v>195.0848</v>
      </c>
    </row>
    <row r="36" spans="1:9" x14ac:dyDescent="0.25">
      <c r="A36" t="s">
        <v>17</v>
      </c>
      <c r="B36">
        <v>2011</v>
      </c>
      <c r="C36">
        <v>110.81131499999999</v>
      </c>
      <c r="D36">
        <v>33.324289999999998</v>
      </c>
      <c r="E36">
        <v>14.741690999999999</v>
      </c>
      <c r="F36">
        <v>6.4788800000000002</v>
      </c>
      <c r="G36">
        <v>0.54600000000000004</v>
      </c>
      <c r="H36">
        <v>2.3533999999999998E-3</v>
      </c>
      <c r="I36">
        <v>4.8155999999999999</v>
      </c>
    </row>
    <row r="37" spans="1:9" x14ac:dyDescent="0.25">
      <c r="A37" t="s">
        <v>18</v>
      </c>
      <c r="B37">
        <v>2011</v>
      </c>
      <c r="C37">
        <v>212.75782000000001</v>
      </c>
      <c r="D37">
        <v>69.583484999999996</v>
      </c>
      <c r="E37">
        <v>40.581815499999998</v>
      </c>
      <c r="F37">
        <v>4.6076600000000001</v>
      </c>
      <c r="G37">
        <v>3.2730000000000001</v>
      </c>
      <c r="H37">
        <v>4.2000000000000003E-2</v>
      </c>
      <c r="I37">
        <v>5.6764000000000001</v>
      </c>
    </row>
    <row r="38" spans="1:9" x14ac:dyDescent="0.25">
      <c r="A38" t="s">
        <v>21</v>
      </c>
      <c r="B38">
        <v>2011</v>
      </c>
      <c r="C38">
        <v>973.71163999999999</v>
      </c>
      <c r="D38">
        <v>1508.411795</v>
      </c>
      <c r="E38">
        <v>386.85527100000002</v>
      </c>
      <c r="F38">
        <v>101.4038</v>
      </c>
      <c r="G38">
        <v>43.72</v>
      </c>
      <c r="H38">
        <v>2.6208</v>
      </c>
      <c r="I38">
        <v>169.2</v>
      </c>
    </row>
    <row r="39" spans="1:9" x14ac:dyDescent="0.25">
      <c r="A39" t="s">
        <v>22</v>
      </c>
      <c r="B39">
        <v>2011</v>
      </c>
      <c r="C39">
        <v>227.51147499999999</v>
      </c>
      <c r="D39">
        <v>126.48148</v>
      </c>
      <c r="E39">
        <v>63.725881000000001</v>
      </c>
      <c r="F39">
        <v>102.499285</v>
      </c>
      <c r="G39">
        <v>1145.0530000000001</v>
      </c>
      <c r="H39">
        <v>0</v>
      </c>
      <c r="I39">
        <v>50</v>
      </c>
    </row>
    <row r="40" spans="1:9" x14ac:dyDescent="0.25">
      <c r="A40" t="s">
        <v>23</v>
      </c>
      <c r="B40">
        <v>2011</v>
      </c>
      <c r="C40">
        <v>1610.4308799999999</v>
      </c>
      <c r="D40">
        <v>1550.5422799999999</v>
      </c>
      <c r="E40">
        <v>739.15912600000001</v>
      </c>
      <c r="F40">
        <v>17.869019999999999</v>
      </c>
      <c r="G40">
        <v>34.24577</v>
      </c>
      <c r="H40">
        <v>0</v>
      </c>
      <c r="I40">
        <v>10.568</v>
      </c>
    </row>
    <row r="41" spans="1:9" x14ac:dyDescent="0.25">
      <c r="A41" t="s">
        <v>24</v>
      </c>
      <c r="B41">
        <v>2011</v>
      </c>
      <c r="C41">
        <v>238.71104500000001</v>
      </c>
      <c r="D41">
        <v>347.84921000000003</v>
      </c>
      <c r="E41">
        <v>205.741795</v>
      </c>
      <c r="F41">
        <v>185.23903999999999</v>
      </c>
      <c r="G41">
        <v>9.1669999999999998</v>
      </c>
      <c r="H41">
        <v>7.5822893999999996</v>
      </c>
      <c r="I41">
        <v>38.799999999999997</v>
      </c>
    </row>
    <row r="42" spans="1:9" x14ac:dyDescent="0.25">
      <c r="A42" t="s">
        <v>26</v>
      </c>
      <c r="B42">
        <v>2011</v>
      </c>
      <c r="C42">
        <v>103.587115</v>
      </c>
      <c r="D42">
        <v>58.055504999999997</v>
      </c>
      <c r="E42">
        <v>49.960989499999997</v>
      </c>
      <c r="F42">
        <v>33.662174999999998</v>
      </c>
      <c r="G42">
        <v>0.91300000000000003</v>
      </c>
      <c r="H42">
        <v>0</v>
      </c>
      <c r="I42">
        <v>2</v>
      </c>
    </row>
    <row r="43" spans="1:9" x14ac:dyDescent="0.25">
      <c r="A43" t="s">
        <v>27</v>
      </c>
      <c r="B43">
        <v>2011</v>
      </c>
      <c r="C43">
        <v>101.375955</v>
      </c>
      <c r="D43">
        <v>25.082954999999998</v>
      </c>
      <c r="E43">
        <v>35.818346499999997</v>
      </c>
      <c r="F43">
        <v>9.9565800000000007</v>
      </c>
      <c r="G43">
        <v>5.6000000000000001E-2</v>
      </c>
      <c r="H43">
        <v>2.478E-2</v>
      </c>
      <c r="I43">
        <v>9.2775999999999996</v>
      </c>
    </row>
    <row r="44" spans="1:9" x14ac:dyDescent="0.25">
      <c r="A44" t="s">
        <v>28</v>
      </c>
      <c r="B44">
        <v>2011</v>
      </c>
      <c r="C44">
        <v>877.19362000000001</v>
      </c>
      <c r="D44">
        <v>3382.7751750000002</v>
      </c>
      <c r="E44">
        <v>707.50312199999996</v>
      </c>
      <c r="F44">
        <v>1527.3576399999999</v>
      </c>
      <c r="G44">
        <v>274.22300000000001</v>
      </c>
      <c r="H44">
        <v>73.735064116000004</v>
      </c>
      <c r="I44">
        <v>277.39359999999999</v>
      </c>
    </row>
    <row r="45" spans="1:9" x14ac:dyDescent="0.25">
      <c r="A45" t="s">
        <v>29</v>
      </c>
      <c r="B45">
        <v>2011</v>
      </c>
      <c r="C45">
        <v>322.59156000000002</v>
      </c>
      <c r="D45">
        <v>222.48702499999999</v>
      </c>
      <c r="E45">
        <v>81.916355499999995</v>
      </c>
      <c r="F45">
        <v>51.945920000000001</v>
      </c>
      <c r="G45">
        <v>11.97</v>
      </c>
      <c r="H45">
        <v>0</v>
      </c>
      <c r="I45">
        <v>145.08000000000001</v>
      </c>
    </row>
    <row r="46" spans="1:9" x14ac:dyDescent="0.25">
      <c r="A46" t="s">
        <v>31</v>
      </c>
      <c r="B46">
        <v>2011</v>
      </c>
      <c r="C46">
        <v>1766.566165</v>
      </c>
      <c r="D46">
        <v>717.05057499999998</v>
      </c>
      <c r="E46">
        <v>1011.858511</v>
      </c>
      <c r="F46">
        <v>2663.6939600000001</v>
      </c>
      <c r="G46">
        <v>170</v>
      </c>
      <c r="H46">
        <v>0</v>
      </c>
      <c r="I46">
        <v>395.2</v>
      </c>
    </row>
    <row r="47" spans="1:9" x14ac:dyDescent="0.25">
      <c r="A47" t="s">
        <v>1</v>
      </c>
      <c r="B47">
        <v>2012</v>
      </c>
      <c r="C47">
        <v>434.98995000000002</v>
      </c>
      <c r="D47">
        <v>384.44137000000001</v>
      </c>
      <c r="E47">
        <v>81.330641999999997</v>
      </c>
      <c r="F47">
        <v>35.291240000000002</v>
      </c>
      <c r="G47">
        <v>0</v>
      </c>
      <c r="H47">
        <v>0</v>
      </c>
      <c r="I47">
        <v>29.648800000000001</v>
      </c>
    </row>
    <row r="48" spans="1:9" x14ac:dyDescent="0.25">
      <c r="A48" t="s">
        <v>2</v>
      </c>
      <c r="B48">
        <v>2012</v>
      </c>
      <c r="C48">
        <v>460.89677999999998</v>
      </c>
      <c r="D48">
        <v>915.58085000000005</v>
      </c>
      <c r="E48">
        <v>166.96735050000001</v>
      </c>
      <c r="F48">
        <v>15.972379999999999</v>
      </c>
      <c r="G48">
        <v>0.57599999999999996</v>
      </c>
      <c r="H48">
        <v>4.0772130000000004</v>
      </c>
      <c r="I48">
        <v>94.243600000000001</v>
      </c>
    </row>
    <row r="49" spans="1:9" x14ac:dyDescent="0.25">
      <c r="A49" t="s">
        <v>3</v>
      </c>
      <c r="B49">
        <v>2012</v>
      </c>
      <c r="C49">
        <v>134.26176000000001</v>
      </c>
      <c r="D49">
        <v>61.537889999999997</v>
      </c>
      <c r="E49">
        <v>45.342606000000004</v>
      </c>
      <c r="F49">
        <v>99.044020000000003</v>
      </c>
      <c r="G49">
        <v>0</v>
      </c>
      <c r="H49">
        <v>1.218E-2</v>
      </c>
      <c r="I49">
        <v>48</v>
      </c>
    </row>
    <row r="50" spans="1:9" x14ac:dyDescent="0.25">
      <c r="A50" t="s">
        <v>5</v>
      </c>
      <c r="B50">
        <v>2012</v>
      </c>
      <c r="C50">
        <v>18.731055000000001</v>
      </c>
      <c r="D50">
        <v>51.033110000000001</v>
      </c>
      <c r="E50">
        <v>12.7277355</v>
      </c>
      <c r="F50">
        <v>59.886800000000001</v>
      </c>
      <c r="G50">
        <v>4.3339999999999996</v>
      </c>
      <c r="H50">
        <v>0.15942780000000001</v>
      </c>
      <c r="I50">
        <v>2.0716000000000001</v>
      </c>
    </row>
    <row r="51" spans="1:9" x14ac:dyDescent="0.25">
      <c r="A51" t="s">
        <v>6</v>
      </c>
      <c r="B51">
        <v>2012</v>
      </c>
      <c r="C51">
        <v>283.85251</v>
      </c>
      <c r="D51">
        <v>197.56820999999999</v>
      </c>
      <c r="E51">
        <v>111.517405</v>
      </c>
      <c r="F51">
        <v>17.044370000000001</v>
      </c>
      <c r="G51">
        <v>20.8</v>
      </c>
      <c r="H51">
        <v>10.212999999999999</v>
      </c>
      <c r="I51">
        <v>31.789200000000001</v>
      </c>
    </row>
    <row r="52" spans="1:9" x14ac:dyDescent="0.25">
      <c r="A52" t="s">
        <v>7</v>
      </c>
      <c r="B52">
        <v>2012</v>
      </c>
      <c r="C52">
        <v>409.94621000000001</v>
      </c>
      <c r="D52">
        <v>1807.7919449999999</v>
      </c>
      <c r="E52">
        <v>104.816436</v>
      </c>
      <c r="F52">
        <v>1.68252</v>
      </c>
      <c r="G52">
        <v>34.1</v>
      </c>
      <c r="H52">
        <v>0</v>
      </c>
      <c r="I52">
        <v>66</v>
      </c>
    </row>
    <row r="53" spans="1:9" x14ac:dyDescent="0.25">
      <c r="A53" t="s">
        <v>8</v>
      </c>
      <c r="B53">
        <v>2012</v>
      </c>
      <c r="C53">
        <v>61.373208599999998</v>
      </c>
      <c r="D53">
        <v>42.57705</v>
      </c>
      <c r="E53">
        <v>2.226709</v>
      </c>
      <c r="F53">
        <v>6.1765699999999999</v>
      </c>
      <c r="G53">
        <v>0.42</v>
      </c>
      <c r="H53">
        <v>0</v>
      </c>
      <c r="I53">
        <v>4.04</v>
      </c>
    </row>
    <row r="54" spans="1:9" x14ac:dyDescent="0.25">
      <c r="A54" t="s">
        <v>9</v>
      </c>
      <c r="B54">
        <v>2012</v>
      </c>
      <c r="C54">
        <v>222.16832500000001</v>
      </c>
      <c r="D54">
        <v>170.602645</v>
      </c>
      <c r="E54">
        <v>65.295148999999995</v>
      </c>
      <c r="F54">
        <v>10.652699999999999</v>
      </c>
      <c r="G54">
        <v>12.7</v>
      </c>
      <c r="H54">
        <v>0</v>
      </c>
      <c r="I54">
        <v>29.64</v>
      </c>
    </row>
    <row r="55" spans="1:9" x14ac:dyDescent="0.25">
      <c r="A55" t="s">
        <v>10</v>
      </c>
      <c r="B55">
        <v>2012</v>
      </c>
      <c r="C55">
        <v>3266.6536999999998</v>
      </c>
      <c r="D55">
        <v>1854.94695</v>
      </c>
      <c r="E55">
        <v>1146.1467789999999</v>
      </c>
      <c r="F55">
        <v>665.31358</v>
      </c>
      <c r="G55">
        <v>234</v>
      </c>
      <c r="H55">
        <v>52.091200000000001</v>
      </c>
      <c r="I55">
        <v>310.31119999999999</v>
      </c>
    </row>
    <row r="56" spans="1:9" x14ac:dyDescent="0.25">
      <c r="A56" t="s">
        <v>11</v>
      </c>
      <c r="B56">
        <v>2012</v>
      </c>
      <c r="C56">
        <v>3128.8053749999999</v>
      </c>
      <c r="D56">
        <v>3957.44902</v>
      </c>
      <c r="E56">
        <v>903.27427599999999</v>
      </c>
      <c r="F56">
        <v>144.09880000000001</v>
      </c>
      <c r="G56">
        <v>19.600000000000001</v>
      </c>
      <c r="H56">
        <v>0</v>
      </c>
      <c r="I56">
        <v>184.7116</v>
      </c>
    </row>
    <row r="57" spans="1:9" x14ac:dyDescent="0.25">
      <c r="A57" t="s">
        <v>13</v>
      </c>
      <c r="B57">
        <v>2012</v>
      </c>
      <c r="C57">
        <v>144.19903500000001</v>
      </c>
      <c r="D57">
        <v>276.92767500000002</v>
      </c>
      <c r="E57">
        <v>179.51935750000001</v>
      </c>
      <c r="F57">
        <v>95.815079999999995</v>
      </c>
      <c r="G57">
        <v>1.9111E-2</v>
      </c>
      <c r="H57">
        <v>1.09522E-2</v>
      </c>
      <c r="I57">
        <v>30.52</v>
      </c>
    </row>
    <row r="58" spans="1:9" x14ac:dyDescent="0.25">
      <c r="A58" t="s">
        <v>14</v>
      </c>
      <c r="B58">
        <v>2012</v>
      </c>
      <c r="C58">
        <v>19.047165</v>
      </c>
      <c r="D58">
        <v>5.6193049999999998</v>
      </c>
      <c r="E58">
        <v>5.2265664999999997</v>
      </c>
      <c r="F58">
        <v>47.444749999999999</v>
      </c>
      <c r="G58">
        <v>7.431</v>
      </c>
      <c r="H58">
        <v>0</v>
      </c>
      <c r="I58">
        <v>30.952000000000002</v>
      </c>
    </row>
    <row r="59" spans="1:9" x14ac:dyDescent="0.25">
      <c r="A59" t="s">
        <v>15</v>
      </c>
      <c r="B59">
        <v>2012</v>
      </c>
      <c r="C59">
        <v>1006.603945</v>
      </c>
      <c r="D59">
        <v>266.85612500000002</v>
      </c>
      <c r="E59">
        <v>83.367492999999996</v>
      </c>
      <c r="F59">
        <v>304.14332000000002</v>
      </c>
      <c r="G59">
        <v>36.142000000000003</v>
      </c>
      <c r="H59">
        <v>0</v>
      </c>
      <c r="I59">
        <v>28</v>
      </c>
    </row>
    <row r="60" spans="1:9" x14ac:dyDescent="0.25">
      <c r="A60" t="s">
        <v>16</v>
      </c>
      <c r="B60">
        <v>2012</v>
      </c>
      <c r="C60">
        <v>1745.9871000000001</v>
      </c>
      <c r="D60">
        <v>991.231315</v>
      </c>
      <c r="E60">
        <v>714.86931700000002</v>
      </c>
      <c r="F60">
        <v>610.60537999999997</v>
      </c>
      <c r="G60">
        <v>194.8</v>
      </c>
      <c r="H60">
        <v>32.699800000000003</v>
      </c>
      <c r="I60">
        <v>209.67</v>
      </c>
    </row>
    <row r="61" spans="1:9" x14ac:dyDescent="0.25">
      <c r="A61" t="s">
        <v>17</v>
      </c>
      <c r="B61">
        <v>2012</v>
      </c>
      <c r="C61">
        <v>109.26251499999999</v>
      </c>
      <c r="D61">
        <v>32.509174999999999</v>
      </c>
      <c r="E61">
        <v>15.270731</v>
      </c>
      <c r="F61">
        <v>0.27622000000000002</v>
      </c>
      <c r="G61">
        <v>0</v>
      </c>
      <c r="H61">
        <v>0</v>
      </c>
      <c r="I61">
        <v>4.5903999999999998</v>
      </c>
    </row>
    <row r="62" spans="1:9" x14ac:dyDescent="0.25">
      <c r="A62" t="s">
        <v>18</v>
      </c>
      <c r="B62">
        <v>2012</v>
      </c>
      <c r="C62">
        <v>206.12515500000001</v>
      </c>
      <c r="D62">
        <v>74.916794999999993</v>
      </c>
      <c r="E62">
        <v>45.244896500000003</v>
      </c>
      <c r="F62">
        <v>6.3024399999999998</v>
      </c>
      <c r="G62">
        <v>0</v>
      </c>
      <c r="H62">
        <v>0</v>
      </c>
      <c r="I62">
        <v>6.8175999999999997</v>
      </c>
    </row>
    <row r="63" spans="1:9" x14ac:dyDescent="0.25">
      <c r="A63" t="s">
        <v>19</v>
      </c>
      <c r="B63">
        <v>2012</v>
      </c>
      <c r="C63">
        <v>37.386870000000002</v>
      </c>
      <c r="D63">
        <v>11.090624999999999</v>
      </c>
      <c r="E63">
        <v>2.6179999999999998E-2</v>
      </c>
      <c r="F63">
        <v>3.9919999999999997E-2</v>
      </c>
      <c r="G63">
        <v>0</v>
      </c>
      <c r="H63">
        <v>0</v>
      </c>
      <c r="I63">
        <v>1.8375999999999999</v>
      </c>
    </row>
    <row r="64" spans="1:9" x14ac:dyDescent="0.25">
      <c r="A64" t="s">
        <v>21</v>
      </c>
      <c r="B64">
        <v>2012</v>
      </c>
      <c r="C64">
        <v>991.36619499999995</v>
      </c>
      <c r="D64">
        <v>1475.1790149999999</v>
      </c>
      <c r="E64">
        <v>496.22911449999998</v>
      </c>
      <c r="F64">
        <v>98.565200000000004</v>
      </c>
      <c r="G64">
        <v>45.954000000000001</v>
      </c>
      <c r="H64">
        <v>2.6208</v>
      </c>
      <c r="I64">
        <v>169.2</v>
      </c>
    </row>
    <row r="65" spans="1:9" x14ac:dyDescent="0.25">
      <c r="A65" t="s">
        <v>22</v>
      </c>
      <c r="B65">
        <v>2012</v>
      </c>
      <c r="C65">
        <v>221.150565</v>
      </c>
      <c r="D65">
        <v>127.409345</v>
      </c>
      <c r="E65">
        <v>65.918492999999998</v>
      </c>
      <c r="F65">
        <v>100.873115</v>
      </c>
      <c r="G65">
        <v>1321.1279999999999</v>
      </c>
      <c r="H65">
        <v>0</v>
      </c>
      <c r="I65">
        <v>50</v>
      </c>
    </row>
    <row r="66" spans="1:9" x14ac:dyDescent="0.25">
      <c r="A66" t="s">
        <v>23</v>
      </c>
      <c r="B66">
        <v>2012</v>
      </c>
      <c r="C66">
        <v>1542.0307849999999</v>
      </c>
      <c r="D66">
        <v>1345.3154500000001</v>
      </c>
      <c r="E66">
        <v>900.702766</v>
      </c>
      <c r="F66">
        <v>18.194040000000001</v>
      </c>
      <c r="G66">
        <v>33.225610000000003</v>
      </c>
      <c r="H66">
        <v>0</v>
      </c>
      <c r="I66">
        <v>101.6</v>
      </c>
    </row>
    <row r="67" spans="1:9" x14ac:dyDescent="0.25">
      <c r="A67" t="s">
        <v>24</v>
      </c>
      <c r="B67">
        <v>2012</v>
      </c>
      <c r="C67">
        <v>237.40725</v>
      </c>
      <c r="D67">
        <v>343.01985999999999</v>
      </c>
      <c r="E67">
        <v>199.392247</v>
      </c>
      <c r="F67">
        <v>177.47883999999999</v>
      </c>
      <c r="G67">
        <v>9.1660000000000004</v>
      </c>
      <c r="H67">
        <v>7.6593803999999999</v>
      </c>
      <c r="I67">
        <v>35.200000000000003</v>
      </c>
    </row>
    <row r="68" spans="1:9" x14ac:dyDescent="0.25">
      <c r="A68" t="s">
        <v>26</v>
      </c>
      <c r="B68">
        <v>2012</v>
      </c>
      <c r="C68">
        <v>991.36619499999995</v>
      </c>
      <c r="D68">
        <v>1475.1790149999999</v>
      </c>
      <c r="E68">
        <v>496.22911449999998</v>
      </c>
      <c r="F68">
        <v>98.565200000000004</v>
      </c>
      <c r="G68">
        <v>45.954000000000001</v>
      </c>
      <c r="H68">
        <v>2.6208</v>
      </c>
      <c r="I68">
        <v>169.2</v>
      </c>
    </row>
    <row r="69" spans="1:9" x14ac:dyDescent="0.25">
      <c r="A69" t="s">
        <v>27</v>
      </c>
      <c r="B69">
        <v>2012</v>
      </c>
      <c r="C69">
        <v>221.150565</v>
      </c>
      <c r="D69">
        <v>127.409345</v>
      </c>
      <c r="E69">
        <v>65.918492999999998</v>
      </c>
      <c r="F69">
        <v>100.873115</v>
      </c>
      <c r="G69">
        <v>1321.1279999999999</v>
      </c>
      <c r="H69">
        <v>0</v>
      </c>
      <c r="I69">
        <v>50</v>
      </c>
    </row>
    <row r="70" spans="1:9" x14ac:dyDescent="0.25">
      <c r="A70" t="s">
        <v>28</v>
      </c>
      <c r="B70">
        <v>2012</v>
      </c>
      <c r="C70">
        <v>1542.0307849999999</v>
      </c>
      <c r="D70">
        <v>1345.3154500000001</v>
      </c>
      <c r="E70">
        <v>900.702766</v>
      </c>
      <c r="F70">
        <v>18.194040000000001</v>
      </c>
      <c r="G70">
        <v>33.225610000000003</v>
      </c>
      <c r="H70">
        <v>0</v>
      </c>
      <c r="I70">
        <v>101.6</v>
      </c>
    </row>
    <row r="71" spans="1:9" x14ac:dyDescent="0.25">
      <c r="A71" t="s">
        <v>29</v>
      </c>
      <c r="B71">
        <v>2012</v>
      </c>
      <c r="C71">
        <v>237.40725</v>
      </c>
      <c r="D71">
        <v>343.01985999999999</v>
      </c>
      <c r="E71">
        <v>199.392247</v>
      </c>
      <c r="F71">
        <v>177.47883999999999</v>
      </c>
      <c r="G71">
        <v>9.1660000000000004</v>
      </c>
      <c r="H71">
        <v>7.6593803999999999</v>
      </c>
      <c r="I71">
        <v>35.200000000000003</v>
      </c>
    </row>
    <row r="72" spans="1:9" x14ac:dyDescent="0.25">
      <c r="A72" t="s">
        <v>31</v>
      </c>
      <c r="B72">
        <v>2012</v>
      </c>
      <c r="C72">
        <v>1708.5878700000001</v>
      </c>
      <c r="D72">
        <v>732.62117499999999</v>
      </c>
      <c r="E72">
        <v>1040.437003</v>
      </c>
      <c r="F72">
        <v>2700.3303599999999</v>
      </c>
      <c r="G72">
        <v>172</v>
      </c>
      <c r="H72">
        <v>0</v>
      </c>
      <c r="I72">
        <v>395.2</v>
      </c>
    </row>
    <row r="73" spans="1:9" x14ac:dyDescent="0.25">
      <c r="A73" t="s">
        <v>1</v>
      </c>
      <c r="B73">
        <v>2013</v>
      </c>
      <c r="C73">
        <v>436.4895000006</v>
      </c>
      <c r="D73">
        <v>379.69209998300499</v>
      </c>
      <c r="E73">
        <v>76.4413999975</v>
      </c>
      <c r="F73">
        <v>34.628300000000003</v>
      </c>
      <c r="G73">
        <v>0</v>
      </c>
      <c r="H73">
        <v>0</v>
      </c>
      <c r="I73">
        <v>29.782399999999999</v>
      </c>
    </row>
    <row r="74" spans="1:9" x14ac:dyDescent="0.25">
      <c r="A74" t="s">
        <v>2</v>
      </c>
      <c r="B74">
        <v>2013</v>
      </c>
      <c r="C74">
        <v>437.34229998450002</v>
      </c>
      <c r="D74">
        <v>927.99779999550003</v>
      </c>
      <c r="E74">
        <v>173.66190000005</v>
      </c>
      <c r="F74">
        <v>13.205299997499999</v>
      </c>
      <c r="G74">
        <v>0</v>
      </c>
      <c r="H74">
        <v>4.3447000001999996</v>
      </c>
      <c r="I74">
        <v>100.9268</v>
      </c>
    </row>
    <row r="75" spans="1:9" x14ac:dyDescent="0.25">
      <c r="A75" t="s">
        <v>3</v>
      </c>
      <c r="B75">
        <v>2013</v>
      </c>
      <c r="C75">
        <v>139.99499998126501</v>
      </c>
      <c r="D75">
        <v>64.559799999998006</v>
      </c>
      <c r="E75">
        <v>42.678400000000003</v>
      </c>
      <c r="F75">
        <v>103.8105</v>
      </c>
      <c r="G75">
        <v>0</v>
      </c>
      <c r="H75">
        <v>2.0900000001999999E-2</v>
      </c>
      <c r="I75">
        <v>49.818399999999997</v>
      </c>
    </row>
    <row r="76" spans="1:9" x14ac:dyDescent="0.25">
      <c r="A76" t="s">
        <v>5</v>
      </c>
      <c r="B76">
        <v>2013</v>
      </c>
      <c r="C76">
        <v>18.748044999975001</v>
      </c>
      <c r="D76">
        <v>49.664400000000001</v>
      </c>
      <c r="E76">
        <v>11.056400000029999</v>
      </c>
      <c r="F76">
        <v>56.876584999999999</v>
      </c>
      <c r="G76">
        <v>5.3390000000000004</v>
      </c>
      <c r="H76">
        <v>0.110726</v>
      </c>
      <c r="I76">
        <v>1.8740000000000001</v>
      </c>
    </row>
    <row r="77" spans="1:9" x14ac:dyDescent="0.25">
      <c r="A77" t="s">
        <v>6</v>
      </c>
      <c r="B77">
        <v>2013</v>
      </c>
      <c r="C77">
        <v>292.46059997848602</v>
      </c>
      <c r="D77">
        <v>209.38049998400001</v>
      </c>
      <c r="E77">
        <v>116.981400000025</v>
      </c>
      <c r="F77">
        <v>17.057399997499999</v>
      </c>
      <c r="G77">
        <v>19.358000000000001</v>
      </c>
      <c r="H77">
        <v>9.0663999999999998</v>
      </c>
      <c r="I77">
        <v>32.449599999999997</v>
      </c>
    </row>
    <row r="78" spans="1:9" x14ac:dyDescent="0.25">
      <c r="A78" t="s">
        <v>7</v>
      </c>
      <c r="B78">
        <v>2013</v>
      </c>
      <c r="C78">
        <v>406.29439999941098</v>
      </c>
      <c r="D78">
        <v>1775.992</v>
      </c>
      <c r="E78">
        <v>120.18514999999999</v>
      </c>
      <c r="F78">
        <v>1.64</v>
      </c>
      <c r="G78">
        <v>43.1</v>
      </c>
      <c r="H78">
        <v>0</v>
      </c>
      <c r="I78">
        <v>70</v>
      </c>
    </row>
    <row r="79" spans="1:9" x14ac:dyDescent="0.25">
      <c r="A79" t="s">
        <v>8</v>
      </c>
      <c r="B79">
        <v>2013</v>
      </c>
      <c r="C79">
        <v>62.533500000825001</v>
      </c>
      <c r="D79">
        <v>46.888299998500003</v>
      </c>
      <c r="E79">
        <v>2.5102000000000002</v>
      </c>
      <c r="F79">
        <v>6.3624999999999998</v>
      </c>
      <c r="G79">
        <v>0.42</v>
      </c>
      <c r="H79">
        <v>0</v>
      </c>
      <c r="I79">
        <v>2.52</v>
      </c>
    </row>
    <row r="80" spans="1:9" x14ac:dyDescent="0.25">
      <c r="A80" t="s">
        <v>9</v>
      </c>
      <c r="B80">
        <v>2013</v>
      </c>
      <c r="C80">
        <v>223.31269998125001</v>
      </c>
      <c r="D80">
        <v>169.47569998494501</v>
      </c>
      <c r="E80">
        <v>66.913400000249993</v>
      </c>
      <c r="F80">
        <v>11.1035</v>
      </c>
      <c r="G80">
        <v>13.6</v>
      </c>
      <c r="H80">
        <v>0</v>
      </c>
      <c r="I80">
        <v>30</v>
      </c>
    </row>
    <row r="81" spans="1:9" x14ac:dyDescent="0.25">
      <c r="A81" t="s">
        <v>10</v>
      </c>
      <c r="B81">
        <v>2013</v>
      </c>
      <c r="C81">
        <v>3206.4422999630001</v>
      </c>
      <c r="D81">
        <v>1828.86240000045</v>
      </c>
      <c r="E81">
        <v>1169.6602</v>
      </c>
      <c r="F81">
        <v>644.1096</v>
      </c>
      <c r="G81">
        <v>40.204999999999998</v>
      </c>
      <c r="H81">
        <v>51.220399999999998</v>
      </c>
      <c r="I81">
        <v>306.60559999999998</v>
      </c>
    </row>
    <row r="82" spans="1:9" x14ac:dyDescent="0.25">
      <c r="A82" t="s">
        <v>11</v>
      </c>
      <c r="B82">
        <v>2013</v>
      </c>
      <c r="C82">
        <v>3137.1524001506</v>
      </c>
      <c r="D82">
        <v>3990.6946000449998</v>
      </c>
      <c r="E82">
        <v>1050.2373</v>
      </c>
      <c r="F82">
        <v>137.4958</v>
      </c>
      <c r="G82">
        <v>25.5</v>
      </c>
      <c r="H82">
        <v>0</v>
      </c>
      <c r="I82">
        <v>184.52</v>
      </c>
    </row>
    <row r="83" spans="1:9" x14ac:dyDescent="0.25">
      <c r="A83" t="s">
        <v>13</v>
      </c>
      <c r="B83">
        <v>2013</v>
      </c>
      <c r="C83">
        <v>150.98140000011</v>
      </c>
      <c r="D83">
        <v>295.17139998149997</v>
      </c>
      <c r="E83">
        <v>164.6747000025</v>
      </c>
      <c r="F83">
        <v>103.0187</v>
      </c>
      <c r="G83">
        <v>19.061</v>
      </c>
      <c r="H83">
        <v>6.58</v>
      </c>
      <c r="I83">
        <v>23.6</v>
      </c>
    </row>
    <row r="84" spans="1:9" x14ac:dyDescent="0.25">
      <c r="A84" t="s">
        <v>14</v>
      </c>
      <c r="B84">
        <v>2013</v>
      </c>
      <c r="C84">
        <v>18.196300001205</v>
      </c>
      <c r="D84">
        <v>5.9117999998700004</v>
      </c>
      <c r="E84">
        <v>5.1560999999800003</v>
      </c>
      <c r="F84">
        <v>48.121200000000002</v>
      </c>
      <c r="G84">
        <v>7.0529999999999999</v>
      </c>
      <c r="H84">
        <v>0</v>
      </c>
      <c r="I84">
        <v>30.8</v>
      </c>
    </row>
    <row r="85" spans="1:9" x14ac:dyDescent="0.25">
      <c r="A85" t="s">
        <v>15</v>
      </c>
      <c r="B85">
        <v>2013</v>
      </c>
      <c r="C85">
        <v>1056.5957999990101</v>
      </c>
      <c r="D85">
        <v>260.94439999752501</v>
      </c>
      <c r="E85">
        <v>84.602000000000004</v>
      </c>
      <c r="F85">
        <v>293.36290002499999</v>
      </c>
      <c r="G85">
        <v>36.142000000000003</v>
      </c>
      <c r="H85">
        <v>0</v>
      </c>
      <c r="I85">
        <v>30</v>
      </c>
    </row>
    <row r="86" spans="1:9" x14ac:dyDescent="0.25">
      <c r="A86" t="s">
        <v>16</v>
      </c>
      <c r="B86">
        <v>2013</v>
      </c>
      <c r="C86">
        <v>1669.1633000083</v>
      </c>
      <c r="D86">
        <v>971.00240004980003</v>
      </c>
      <c r="E86">
        <v>690.62549999999999</v>
      </c>
      <c r="F86">
        <v>592.34919997500003</v>
      </c>
      <c r="G86">
        <v>200.7</v>
      </c>
      <c r="H86">
        <v>31.151399999999999</v>
      </c>
      <c r="I86">
        <v>216.9128</v>
      </c>
    </row>
    <row r="87" spans="1:9" x14ac:dyDescent="0.25">
      <c r="A87" t="s">
        <v>17</v>
      </c>
      <c r="B87">
        <v>2013</v>
      </c>
      <c r="C87">
        <v>106.058599980594</v>
      </c>
      <c r="D87">
        <v>33.071700000100002</v>
      </c>
      <c r="E87">
        <v>16.7499</v>
      </c>
      <c r="F87">
        <v>7.2082000002499997</v>
      </c>
      <c r="G87">
        <v>0</v>
      </c>
      <c r="H87">
        <v>3.7999999996000001E-3</v>
      </c>
      <c r="I87">
        <v>4.0540000000000003</v>
      </c>
    </row>
    <row r="88" spans="1:9" x14ac:dyDescent="0.25">
      <c r="A88" t="s">
        <v>18</v>
      </c>
      <c r="B88">
        <v>2013</v>
      </c>
      <c r="C88">
        <v>198.29020000017999</v>
      </c>
      <c r="D88">
        <v>78.480100003499999</v>
      </c>
      <c r="E88">
        <v>48.282699999899997</v>
      </c>
      <c r="F88">
        <v>7.5758999999999999</v>
      </c>
      <c r="G88">
        <v>0</v>
      </c>
      <c r="H88">
        <v>0</v>
      </c>
      <c r="I88">
        <v>6.8624000000000001</v>
      </c>
    </row>
    <row r="89" spans="1:9" x14ac:dyDescent="0.25">
      <c r="A89" t="s">
        <v>19</v>
      </c>
      <c r="B89">
        <v>2013</v>
      </c>
      <c r="C89">
        <v>37.488200001817503</v>
      </c>
      <c r="D89">
        <v>11.451399997699999</v>
      </c>
      <c r="E89">
        <v>9.2499999999999999E-2</v>
      </c>
      <c r="F89">
        <v>5.6000000000000001E-2</v>
      </c>
      <c r="G89">
        <v>0</v>
      </c>
      <c r="H89">
        <v>0</v>
      </c>
      <c r="I89">
        <v>1.9448000000000001</v>
      </c>
    </row>
    <row r="90" spans="1:9" x14ac:dyDescent="0.25">
      <c r="A90" t="s">
        <v>21</v>
      </c>
      <c r="B90">
        <v>2013</v>
      </c>
      <c r="C90">
        <v>1047.36810000175</v>
      </c>
      <c r="D90">
        <v>1473.3339999674999</v>
      </c>
      <c r="E90">
        <v>393.058300000001</v>
      </c>
      <c r="F90">
        <v>94.656300000000002</v>
      </c>
      <c r="G90">
        <v>45.954000000000001</v>
      </c>
      <c r="H90">
        <v>2.7551999999999999</v>
      </c>
      <c r="I90">
        <v>169.2</v>
      </c>
    </row>
    <row r="91" spans="1:9" x14ac:dyDescent="0.25">
      <c r="A91" t="s">
        <v>22</v>
      </c>
      <c r="B91">
        <v>2013</v>
      </c>
      <c r="C91">
        <v>224.5122999804</v>
      </c>
      <c r="D91">
        <v>127.5922999958</v>
      </c>
      <c r="E91">
        <v>74.095399999999998</v>
      </c>
      <c r="F91">
        <v>101.362800025</v>
      </c>
      <c r="G91">
        <v>1246.5440000000001</v>
      </c>
      <c r="H91">
        <v>0</v>
      </c>
      <c r="I91">
        <v>50</v>
      </c>
    </row>
    <row r="92" spans="1:9" x14ac:dyDescent="0.25">
      <c r="A92" t="s">
        <v>23</v>
      </c>
      <c r="B92">
        <v>2013</v>
      </c>
      <c r="C92">
        <v>1446.9337999804</v>
      </c>
      <c r="D92">
        <v>1326.8051000749499</v>
      </c>
      <c r="E92">
        <v>925.55599998499997</v>
      </c>
      <c r="F92">
        <v>18.148299999999999</v>
      </c>
      <c r="G92">
        <v>31.257950000000001</v>
      </c>
      <c r="H92">
        <v>0</v>
      </c>
      <c r="I92">
        <v>88.8</v>
      </c>
    </row>
    <row r="93" spans="1:9" x14ac:dyDescent="0.25">
      <c r="A93" t="s">
        <v>24</v>
      </c>
      <c r="B93">
        <v>2013</v>
      </c>
      <c r="C93">
        <v>223.35219997895001</v>
      </c>
      <c r="D93">
        <v>320.03820003250001</v>
      </c>
      <c r="E93">
        <v>203.13580000050001</v>
      </c>
      <c r="F93">
        <v>175.6437</v>
      </c>
      <c r="G93">
        <v>10.32</v>
      </c>
      <c r="H93">
        <v>7.2889000002</v>
      </c>
      <c r="I93">
        <v>31.2</v>
      </c>
    </row>
    <row r="94" spans="1:9" x14ac:dyDescent="0.25">
      <c r="A94" t="s">
        <v>26</v>
      </c>
      <c r="B94">
        <v>2013</v>
      </c>
      <c r="C94">
        <v>100.375300000884</v>
      </c>
      <c r="D94">
        <v>59.305779997499997</v>
      </c>
      <c r="E94">
        <v>49.6641975</v>
      </c>
      <c r="F94">
        <v>32.676799997499998</v>
      </c>
      <c r="G94">
        <v>2.4620000000000002</v>
      </c>
      <c r="H94">
        <v>5.6756000000000003E-3</v>
      </c>
      <c r="I94">
        <v>2.6848000000000001</v>
      </c>
    </row>
    <row r="95" spans="1:9" x14ac:dyDescent="0.25">
      <c r="A95" t="s">
        <v>27</v>
      </c>
      <c r="B95">
        <v>2013</v>
      </c>
      <c r="C95">
        <v>97.509299981887494</v>
      </c>
      <c r="D95">
        <v>24.797900000685001</v>
      </c>
      <c r="E95">
        <v>35.738899999899999</v>
      </c>
      <c r="F95">
        <v>10.5054000025</v>
      </c>
      <c r="G95">
        <v>0.88</v>
      </c>
      <c r="H95">
        <v>4.2000000000000003E-2</v>
      </c>
      <c r="I95">
        <v>10.7072</v>
      </c>
    </row>
    <row r="96" spans="1:9" x14ac:dyDescent="0.25">
      <c r="A96" t="s">
        <v>28</v>
      </c>
      <c r="B96">
        <v>2013</v>
      </c>
      <c r="C96">
        <v>891.36229998285</v>
      </c>
      <c r="D96">
        <v>3292.3578000460002</v>
      </c>
      <c r="E96">
        <v>715.99919998999997</v>
      </c>
      <c r="F96">
        <v>1436.8169002499999</v>
      </c>
      <c r="G96">
        <v>274.22300000000001</v>
      </c>
      <c r="H96">
        <v>74.775400000000005</v>
      </c>
      <c r="I96">
        <v>258.04640000000001</v>
      </c>
    </row>
    <row r="97" spans="1:9" x14ac:dyDescent="0.25">
      <c r="A97" t="s">
        <v>29</v>
      </c>
      <c r="B97">
        <v>2013</v>
      </c>
      <c r="C97">
        <v>303.97239996000002</v>
      </c>
      <c r="D97">
        <v>201.70799998502901</v>
      </c>
      <c r="E97">
        <v>84.763500000199997</v>
      </c>
      <c r="F97">
        <v>48.326000002500002</v>
      </c>
      <c r="G97">
        <v>11.663</v>
      </c>
      <c r="H97">
        <v>0</v>
      </c>
      <c r="I97">
        <v>145.19999999999999</v>
      </c>
    </row>
    <row r="98" spans="1:9" x14ac:dyDescent="0.25">
      <c r="A98" t="s">
        <v>31</v>
      </c>
      <c r="B98">
        <v>2013</v>
      </c>
      <c r="C98">
        <v>1692.1044999989699</v>
      </c>
      <c r="D98">
        <v>715.85860000247499</v>
      </c>
      <c r="E98">
        <v>1058.637799975</v>
      </c>
      <c r="F98">
        <v>2765.3339999999998</v>
      </c>
      <c r="G98">
        <v>172</v>
      </c>
      <c r="H98">
        <v>0</v>
      </c>
      <c r="I98">
        <v>395.2</v>
      </c>
    </row>
    <row r="99" spans="1:9" x14ac:dyDescent="0.25">
      <c r="A99" t="s">
        <v>1</v>
      </c>
      <c r="B99">
        <v>2014</v>
      </c>
      <c r="C99">
        <v>438.07438000000002</v>
      </c>
      <c r="D99">
        <v>370.27974499999999</v>
      </c>
      <c r="E99">
        <v>77.499055499999997</v>
      </c>
      <c r="F99">
        <v>33.466850000000001</v>
      </c>
      <c r="G99">
        <v>0</v>
      </c>
      <c r="H99">
        <v>0</v>
      </c>
      <c r="I99">
        <v>28.9756</v>
      </c>
    </row>
    <row r="100" spans="1:9" x14ac:dyDescent="0.25">
      <c r="A100" t="s">
        <v>2</v>
      </c>
      <c r="B100">
        <v>2014</v>
      </c>
      <c r="C100">
        <v>440.71785</v>
      </c>
      <c r="D100">
        <v>931.05667500000004</v>
      </c>
      <c r="E100">
        <v>183.02565999999999</v>
      </c>
      <c r="F100">
        <v>10.75029</v>
      </c>
      <c r="G100">
        <v>0</v>
      </c>
      <c r="H100">
        <v>4.3596000000000004</v>
      </c>
      <c r="I100">
        <v>108.0596</v>
      </c>
    </row>
    <row r="101" spans="1:9" x14ac:dyDescent="0.25">
      <c r="A101" t="s">
        <v>3</v>
      </c>
      <c r="B101">
        <v>2014</v>
      </c>
      <c r="C101">
        <v>134.16195500000001</v>
      </c>
      <c r="D101">
        <v>65.852945000000005</v>
      </c>
      <c r="E101">
        <v>43.188164999999998</v>
      </c>
      <c r="F101">
        <v>101.46545999999999</v>
      </c>
      <c r="G101">
        <v>0</v>
      </c>
      <c r="H101">
        <v>7.2734199999999999E-2</v>
      </c>
      <c r="I101">
        <v>48.723999999999997</v>
      </c>
    </row>
    <row r="102" spans="1:9" x14ac:dyDescent="0.25">
      <c r="A102" t="s">
        <v>4</v>
      </c>
      <c r="B102">
        <v>2014</v>
      </c>
      <c r="C102">
        <v>114.72756</v>
      </c>
      <c r="D102">
        <v>78.650270000000006</v>
      </c>
      <c r="E102">
        <v>40.257527000000003</v>
      </c>
      <c r="F102">
        <v>46.462260000000001</v>
      </c>
      <c r="G102">
        <v>13.768000000000001</v>
      </c>
      <c r="H102">
        <v>1.5000006E-2</v>
      </c>
      <c r="I102">
        <v>8.4575999999999993</v>
      </c>
    </row>
    <row r="103" spans="1:9" x14ac:dyDescent="0.25">
      <c r="A103" t="s">
        <v>5</v>
      </c>
      <c r="B103">
        <v>2014</v>
      </c>
      <c r="C103">
        <v>18.841629999999999</v>
      </c>
      <c r="D103">
        <v>44.91865</v>
      </c>
      <c r="E103">
        <v>14.802474999999999</v>
      </c>
      <c r="F103">
        <v>46.616765000000001</v>
      </c>
      <c r="G103">
        <v>4.835</v>
      </c>
      <c r="H103">
        <v>8.5026199999999996E-2</v>
      </c>
      <c r="I103">
        <v>1.5387999999999999</v>
      </c>
    </row>
    <row r="104" spans="1:9" x14ac:dyDescent="0.25">
      <c r="A104" t="s">
        <v>6</v>
      </c>
      <c r="B104">
        <v>2014</v>
      </c>
      <c r="C104">
        <v>290.41764499999999</v>
      </c>
      <c r="D104">
        <v>215.302785</v>
      </c>
      <c r="E104">
        <v>117.974722</v>
      </c>
      <c r="F104">
        <v>17.506215000000001</v>
      </c>
      <c r="G104">
        <v>20.646999999999998</v>
      </c>
      <c r="H104">
        <v>7.9463999999999997</v>
      </c>
      <c r="I104">
        <v>32.841999999999999</v>
      </c>
    </row>
    <row r="105" spans="1:9" x14ac:dyDescent="0.25">
      <c r="A105" t="s">
        <v>7</v>
      </c>
      <c r="B105">
        <v>2014</v>
      </c>
      <c r="C105">
        <v>405.21138500000001</v>
      </c>
      <c r="D105">
        <v>1765.998</v>
      </c>
      <c r="E105">
        <v>117.8646</v>
      </c>
      <c r="F105">
        <v>13.19993</v>
      </c>
      <c r="G105">
        <v>43</v>
      </c>
      <c r="H105">
        <v>0</v>
      </c>
      <c r="I105">
        <v>70</v>
      </c>
    </row>
    <row r="106" spans="1:9" x14ac:dyDescent="0.25">
      <c r="A106" t="s">
        <v>8</v>
      </c>
      <c r="B106">
        <v>2014</v>
      </c>
      <c r="C106">
        <v>64.625825000000006</v>
      </c>
      <c r="D106">
        <v>48.513635000000001</v>
      </c>
      <c r="E106">
        <v>2.7133479999999999</v>
      </c>
      <c r="F106">
        <v>6.65686</v>
      </c>
      <c r="G106">
        <v>0.75</v>
      </c>
      <c r="H106">
        <v>0</v>
      </c>
      <c r="I106">
        <v>4.0216000000000003</v>
      </c>
    </row>
    <row r="107" spans="1:9" x14ac:dyDescent="0.25">
      <c r="A107" t="s">
        <v>9</v>
      </c>
      <c r="B107">
        <v>2014</v>
      </c>
      <c r="C107">
        <v>224.62225000000001</v>
      </c>
      <c r="D107">
        <v>161.82945000000001</v>
      </c>
      <c r="E107">
        <v>68.319884999999999</v>
      </c>
      <c r="F107">
        <v>11.440655</v>
      </c>
      <c r="G107">
        <v>13.32</v>
      </c>
      <c r="H107">
        <v>0</v>
      </c>
      <c r="I107">
        <v>29.84</v>
      </c>
    </row>
    <row r="108" spans="1:9" x14ac:dyDescent="0.25">
      <c r="A108" t="s">
        <v>10</v>
      </c>
      <c r="B108">
        <v>2014</v>
      </c>
      <c r="C108">
        <v>3209.178625</v>
      </c>
      <c r="D108">
        <v>1817.4827849999999</v>
      </c>
      <c r="E108">
        <v>1134.302588</v>
      </c>
      <c r="F108">
        <v>640.63103999999998</v>
      </c>
      <c r="G108">
        <v>41.640999999999998</v>
      </c>
      <c r="H108">
        <v>52.402000000000001</v>
      </c>
      <c r="I108">
        <v>301.0172</v>
      </c>
    </row>
    <row r="109" spans="1:9" x14ac:dyDescent="0.25">
      <c r="A109" t="s">
        <v>11</v>
      </c>
      <c r="B109">
        <v>2014</v>
      </c>
      <c r="C109">
        <v>3192.4183349999998</v>
      </c>
      <c r="D109">
        <v>4135.1649699999998</v>
      </c>
      <c r="E109">
        <v>1070.9903159999999</v>
      </c>
      <c r="F109">
        <v>139.17898</v>
      </c>
      <c r="G109">
        <v>26.293934</v>
      </c>
      <c r="H109">
        <v>0</v>
      </c>
      <c r="I109">
        <v>184.52</v>
      </c>
    </row>
    <row r="110" spans="1:9" x14ac:dyDescent="0.25">
      <c r="A110" t="s">
        <v>13</v>
      </c>
      <c r="B110">
        <v>2014</v>
      </c>
      <c r="C110">
        <v>155.38783000000001</v>
      </c>
      <c r="D110">
        <v>303.09284000000002</v>
      </c>
      <c r="E110">
        <v>171.19794400000001</v>
      </c>
      <c r="F110">
        <v>99.75376</v>
      </c>
      <c r="G110">
        <v>18.771000000000001</v>
      </c>
      <c r="H110">
        <v>6.5183999999999997</v>
      </c>
      <c r="I110">
        <v>24.4</v>
      </c>
    </row>
    <row r="111" spans="1:9" x14ac:dyDescent="0.25">
      <c r="A111" t="s">
        <v>14</v>
      </c>
      <c r="B111">
        <v>2014</v>
      </c>
      <c r="C111">
        <v>17.516575</v>
      </c>
      <c r="D111">
        <v>5.9789450000000004</v>
      </c>
      <c r="E111">
        <v>5.1360000000000001</v>
      </c>
      <c r="F111">
        <v>48.404625000000003</v>
      </c>
      <c r="G111">
        <v>8</v>
      </c>
      <c r="H111">
        <v>0</v>
      </c>
      <c r="I111">
        <v>30.8</v>
      </c>
    </row>
    <row r="112" spans="1:9" x14ac:dyDescent="0.25">
      <c r="A112" t="s">
        <v>15</v>
      </c>
      <c r="B112">
        <v>2014</v>
      </c>
      <c r="C112">
        <v>1130.6145550000001</v>
      </c>
      <c r="D112">
        <v>266.11696000000001</v>
      </c>
      <c r="E112">
        <v>75.705900999999997</v>
      </c>
      <c r="F112">
        <v>299.76065999999997</v>
      </c>
      <c r="G112">
        <v>34.198999999999998</v>
      </c>
      <c r="H112">
        <v>0</v>
      </c>
      <c r="I112">
        <v>60</v>
      </c>
    </row>
    <row r="113" spans="1:9" x14ac:dyDescent="0.25">
      <c r="A113" t="s">
        <v>16</v>
      </c>
      <c r="B113">
        <v>2014</v>
      </c>
      <c r="C113">
        <v>1523.504735</v>
      </c>
      <c r="D113">
        <v>828.35847999999999</v>
      </c>
      <c r="E113">
        <v>702.36729300000002</v>
      </c>
      <c r="F113">
        <v>568.92488000000003</v>
      </c>
      <c r="G113">
        <v>174.55</v>
      </c>
      <c r="H113">
        <v>31.767399999999999</v>
      </c>
      <c r="I113">
        <v>147.88120000000001</v>
      </c>
    </row>
    <row r="114" spans="1:9" x14ac:dyDescent="0.25">
      <c r="A114" t="s">
        <v>17</v>
      </c>
      <c r="B114">
        <v>2014</v>
      </c>
      <c r="C114">
        <v>108.53001</v>
      </c>
      <c r="D114">
        <v>34.654559999999996</v>
      </c>
      <c r="E114">
        <v>18.522497999999999</v>
      </c>
      <c r="F114">
        <v>7.1601749999999997</v>
      </c>
      <c r="G114">
        <v>0</v>
      </c>
      <c r="H114">
        <v>5.9878000000000001E-2</v>
      </c>
      <c r="I114">
        <v>4.0743999999999998</v>
      </c>
    </row>
    <row r="115" spans="1:9" x14ac:dyDescent="0.25">
      <c r="A115" t="s">
        <v>18</v>
      </c>
      <c r="B115">
        <v>2014</v>
      </c>
      <c r="C115">
        <v>193.83209500000001</v>
      </c>
      <c r="D115">
        <v>74.100269999999995</v>
      </c>
      <c r="E115">
        <v>49.966293999999998</v>
      </c>
      <c r="F115">
        <v>9.4059000000000008</v>
      </c>
      <c r="G115">
        <v>0</v>
      </c>
      <c r="H115">
        <v>0.16700599999999999</v>
      </c>
      <c r="I115">
        <v>7.4816000000000003</v>
      </c>
    </row>
    <row r="116" spans="1:9" x14ac:dyDescent="0.25">
      <c r="A116" t="s">
        <v>19</v>
      </c>
      <c r="B116">
        <v>2014</v>
      </c>
      <c r="C116">
        <v>38.555990000000001</v>
      </c>
      <c r="D116">
        <v>11.335905</v>
      </c>
      <c r="E116">
        <v>0.11973399999999999</v>
      </c>
      <c r="F116">
        <v>6.7680000000000004E-2</v>
      </c>
      <c r="G116">
        <v>0</v>
      </c>
      <c r="H116">
        <v>0</v>
      </c>
      <c r="I116">
        <v>1.8895999999999999</v>
      </c>
    </row>
    <row r="117" spans="1:9" x14ac:dyDescent="0.25">
      <c r="A117" t="s">
        <v>21</v>
      </c>
      <c r="B117">
        <v>2014</v>
      </c>
      <c r="C117">
        <v>1042.7004850000001</v>
      </c>
      <c r="D117">
        <v>1468.7400050000001</v>
      </c>
      <c r="E117">
        <v>414.67455899999999</v>
      </c>
      <c r="F117">
        <v>111.43227</v>
      </c>
      <c r="G117">
        <v>46.604999999999997</v>
      </c>
      <c r="H117">
        <v>0.44897999999999999</v>
      </c>
      <c r="I117">
        <v>50.636000000000003</v>
      </c>
    </row>
    <row r="118" spans="1:9" x14ac:dyDescent="0.25">
      <c r="A118" t="s">
        <v>22</v>
      </c>
      <c r="B118">
        <v>2014</v>
      </c>
      <c r="C118">
        <v>215.68604999999999</v>
      </c>
      <c r="D118">
        <v>126.044025</v>
      </c>
      <c r="E118">
        <v>75.971778</v>
      </c>
      <c r="F118">
        <v>101.396005</v>
      </c>
      <c r="G118">
        <v>1332.4970000000001</v>
      </c>
      <c r="H118">
        <v>0</v>
      </c>
      <c r="I118">
        <v>50</v>
      </c>
    </row>
    <row r="119" spans="1:9" x14ac:dyDescent="0.25">
      <c r="A119" t="s">
        <v>23</v>
      </c>
      <c r="B119">
        <v>2014</v>
      </c>
      <c r="C119">
        <v>1515.0054299999999</v>
      </c>
      <c r="D119">
        <v>1484.50962</v>
      </c>
      <c r="E119">
        <v>1006.7534439999999</v>
      </c>
      <c r="F119">
        <v>19.673400000000001</v>
      </c>
      <c r="G119">
        <v>36.335810000000002</v>
      </c>
      <c r="H119">
        <v>0</v>
      </c>
      <c r="I119">
        <v>82.84</v>
      </c>
    </row>
    <row r="120" spans="1:9" x14ac:dyDescent="0.25">
      <c r="A120" t="s">
        <v>24</v>
      </c>
      <c r="B120">
        <v>2014</v>
      </c>
      <c r="C120">
        <v>215.13584499999999</v>
      </c>
      <c r="D120">
        <v>318.44017000000002</v>
      </c>
      <c r="E120">
        <v>199.463325</v>
      </c>
      <c r="F120">
        <v>173.25594000000001</v>
      </c>
      <c r="G120">
        <v>9.9550000000000001</v>
      </c>
      <c r="H120">
        <v>7.5099233999999999</v>
      </c>
      <c r="I120">
        <v>33.200000000000003</v>
      </c>
    </row>
    <row r="121" spans="1:9" x14ac:dyDescent="0.25">
      <c r="A121" t="s">
        <v>25</v>
      </c>
      <c r="B121">
        <v>2014</v>
      </c>
      <c r="C121">
        <v>584.166965</v>
      </c>
      <c r="D121">
        <v>343.58436499999999</v>
      </c>
      <c r="E121">
        <v>408.09562999974997</v>
      </c>
      <c r="F121">
        <v>975.49644999999998</v>
      </c>
      <c r="G121">
        <v>5.1660000000000004</v>
      </c>
      <c r="H121">
        <v>0</v>
      </c>
      <c r="I121">
        <v>185.32159999999999</v>
      </c>
    </row>
    <row r="122" spans="1:9" x14ac:dyDescent="0.25">
      <c r="A122" t="s">
        <v>26</v>
      </c>
      <c r="B122">
        <v>2014</v>
      </c>
      <c r="C122">
        <v>98.843010000000007</v>
      </c>
      <c r="D122">
        <v>60.227024999999998</v>
      </c>
      <c r="E122">
        <v>52.975373500000003</v>
      </c>
      <c r="F122">
        <v>31.80799</v>
      </c>
      <c r="G122">
        <v>2.657</v>
      </c>
      <c r="H122">
        <v>0</v>
      </c>
      <c r="I122">
        <v>2.7311999999999999</v>
      </c>
    </row>
    <row r="123" spans="1:9" x14ac:dyDescent="0.25">
      <c r="A123" t="s">
        <v>27</v>
      </c>
      <c r="B123">
        <v>2014</v>
      </c>
      <c r="C123">
        <v>94.034689999999998</v>
      </c>
      <c r="D123">
        <v>19.72072</v>
      </c>
      <c r="E123">
        <v>37.143734000000002</v>
      </c>
      <c r="F123">
        <v>8.3293350000000004</v>
      </c>
      <c r="G123">
        <v>1.8420000000000001</v>
      </c>
      <c r="H123">
        <v>2.2447600000000002E-2</v>
      </c>
      <c r="I123">
        <v>10.147600000000001</v>
      </c>
    </row>
    <row r="124" spans="1:9" x14ac:dyDescent="0.25">
      <c r="A124" t="s">
        <v>28</v>
      </c>
      <c r="B124">
        <v>2014</v>
      </c>
      <c r="C124">
        <v>867.55860499999994</v>
      </c>
      <c r="D124">
        <v>3456.4353249999999</v>
      </c>
      <c r="E124">
        <v>751.72279900000001</v>
      </c>
      <c r="F124">
        <v>1387.00486</v>
      </c>
      <c r="G124">
        <v>305.73399999999998</v>
      </c>
      <c r="H124">
        <v>73.257577400000002</v>
      </c>
      <c r="I124">
        <v>235.43199999999999</v>
      </c>
    </row>
    <row r="125" spans="1:9" x14ac:dyDescent="0.25">
      <c r="A125" t="s">
        <v>29</v>
      </c>
      <c r="B125">
        <v>2014</v>
      </c>
      <c r="C125">
        <v>308.28025000000002</v>
      </c>
      <c r="D125">
        <v>203.38148000000001</v>
      </c>
      <c r="E125">
        <v>93.408929999999998</v>
      </c>
      <c r="F125">
        <v>49.328400000000002</v>
      </c>
      <c r="G125">
        <v>11.151999999999999</v>
      </c>
      <c r="H125">
        <v>0</v>
      </c>
      <c r="I125">
        <v>145.19999999999999</v>
      </c>
    </row>
    <row r="126" spans="1:9" x14ac:dyDescent="0.25">
      <c r="A126" t="s">
        <v>30</v>
      </c>
      <c r="B126">
        <v>2014</v>
      </c>
      <c r="C126">
        <v>483.93773499999998</v>
      </c>
      <c r="D126">
        <v>208.64851999999999</v>
      </c>
      <c r="E126">
        <v>65.544565000000006</v>
      </c>
      <c r="F126">
        <v>35.940519999999999</v>
      </c>
      <c r="G126">
        <v>0</v>
      </c>
      <c r="H126">
        <v>1.0451826</v>
      </c>
      <c r="I126">
        <v>22.88</v>
      </c>
    </row>
    <row r="127" spans="1:9" x14ac:dyDescent="0.25">
      <c r="A127" t="s">
        <v>31</v>
      </c>
      <c r="B127">
        <v>2014</v>
      </c>
      <c r="C127">
        <v>1731.3223</v>
      </c>
      <c r="D127">
        <v>744.57771500000001</v>
      </c>
      <c r="E127">
        <v>1041.661263</v>
      </c>
      <c r="F127">
        <v>2824.9173000000001</v>
      </c>
      <c r="G127">
        <v>177</v>
      </c>
      <c r="H127">
        <v>0</v>
      </c>
      <c r="I127">
        <v>395.2</v>
      </c>
    </row>
    <row r="128" spans="1:9" x14ac:dyDescent="0.25">
      <c r="A128" t="s">
        <v>1</v>
      </c>
      <c r="B128">
        <v>2015</v>
      </c>
      <c r="C128">
        <v>438.19731999999999</v>
      </c>
      <c r="D128">
        <v>373.80417999999997</v>
      </c>
      <c r="E128">
        <v>79.159057500000003</v>
      </c>
      <c r="F128">
        <v>33.636470000000003</v>
      </c>
      <c r="G128">
        <v>0</v>
      </c>
      <c r="H128">
        <v>0</v>
      </c>
      <c r="I128">
        <v>31.954799999999999</v>
      </c>
    </row>
    <row r="129" spans="1:9" x14ac:dyDescent="0.25">
      <c r="A129" t="s">
        <v>2</v>
      </c>
      <c r="B129">
        <v>2015</v>
      </c>
      <c r="C129">
        <v>457.06509</v>
      </c>
      <c r="D129">
        <v>905.21759499999996</v>
      </c>
      <c r="E129">
        <v>221.17026300000001</v>
      </c>
      <c r="F129">
        <v>16.442409999999999</v>
      </c>
      <c r="G129">
        <v>0</v>
      </c>
      <c r="H129">
        <v>4.2145712</v>
      </c>
      <c r="I129">
        <v>115.28879999999999</v>
      </c>
    </row>
    <row r="130" spans="1:9" x14ac:dyDescent="0.25">
      <c r="A130" t="s">
        <v>3</v>
      </c>
      <c r="B130">
        <v>2015</v>
      </c>
      <c r="C130">
        <v>129.448295</v>
      </c>
      <c r="D130">
        <v>73.105930000000001</v>
      </c>
      <c r="E130">
        <v>45.906199999999998</v>
      </c>
      <c r="F130">
        <v>96.321950000000001</v>
      </c>
      <c r="G130">
        <v>0</v>
      </c>
      <c r="H130">
        <v>7.2800000000000004E-2</v>
      </c>
      <c r="I130">
        <v>35.185200000000002</v>
      </c>
    </row>
    <row r="131" spans="1:9" x14ac:dyDescent="0.25">
      <c r="A131" t="s">
        <v>4</v>
      </c>
      <c r="B131">
        <v>2015</v>
      </c>
      <c r="C131">
        <v>111.73718</v>
      </c>
      <c r="D131">
        <v>81.087109999999996</v>
      </c>
      <c r="E131">
        <v>42.428704500000002</v>
      </c>
      <c r="F131">
        <v>46.517245000000003</v>
      </c>
      <c r="G131">
        <v>16.875</v>
      </c>
      <c r="H131">
        <v>8.2445999999999995E-3</v>
      </c>
      <c r="I131">
        <v>8.7260000000000009</v>
      </c>
    </row>
    <row r="132" spans="1:9" x14ac:dyDescent="0.25">
      <c r="A132" t="s">
        <v>5</v>
      </c>
      <c r="B132">
        <v>2015</v>
      </c>
      <c r="C132">
        <v>21.255955</v>
      </c>
      <c r="D132">
        <v>46.120460000000001</v>
      </c>
      <c r="E132">
        <v>12.52576</v>
      </c>
      <c r="F132">
        <v>46.90746</v>
      </c>
      <c r="G132">
        <v>5.4589999999999996</v>
      </c>
      <c r="H132">
        <v>5.5227199999999997E-2</v>
      </c>
      <c r="I132">
        <v>1.552</v>
      </c>
    </row>
    <row r="133" spans="1:9" x14ac:dyDescent="0.25">
      <c r="A133" t="s">
        <v>6</v>
      </c>
      <c r="B133">
        <v>2015</v>
      </c>
      <c r="C133">
        <v>294.68142499999999</v>
      </c>
      <c r="D133">
        <v>201.97617500000001</v>
      </c>
      <c r="E133">
        <v>122.225576</v>
      </c>
      <c r="F133">
        <v>17.97655</v>
      </c>
      <c r="G133">
        <v>20.100000000000001</v>
      </c>
      <c r="H133">
        <v>7.2114000000000003</v>
      </c>
      <c r="I133">
        <v>33.8812</v>
      </c>
    </row>
    <row r="134" spans="1:9" x14ac:dyDescent="0.25">
      <c r="A134" t="s">
        <v>7</v>
      </c>
      <c r="B134">
        <v>2015</v>
      </c>
      <c r="C134">
        <v>389.01738</v>
      </c>
      <c r="D134">
        <v>1783.514905</v>
      </c>
      <c r="E134">
        <v>116.40949999999999</v>
      </c>
      <c r="F134">
        <v>12.475350000000001</v>
      </c>
      <c r="G134">
        <v>44</v>
      </c>
      <c r="H134">
        <v>0</v>
      </c>
      <c r="I134">
        <v>70</v>
      </c>
    </row>
    <row r="135" spans="1:9" x14ac:dyDescent="0.25">
      <c r="A135" t="s">
        <v>8</v>
      </c>
      <c r="B135">
        <v>2015</v>
      </c>
      <c r="C135">
        <v>64.209469999999996</v>
      </c>
      <c r="D135">
        <v>45.111559999999997</v>
      </c>
      <c r="E135">
        <v>2.6048550000000001</v>
      </c>
      <c r="F135">
        <v>6.68668</v>
      </c>
      <c r="G135">
        <v>0.79830000000000001</v>
      </c>
      <c r="H135">
        <v>0</v>
      </c>
      <c r="I135">
        <v>4.0199999999999996</v>
      </c>
    </row>
    <row r="136" spans="1:9" x14ac:dyDescent="0.25">
      <c r="A136" t="s">
        <v>9</v>
      </c>
      <c r="B136">
        <v>2015</v>
      </c>
      <c r="C136">
        <v>226.90289000000001</v>
      </c>
      <c r="D136">
        <v>164.50049000000001</v>
      </c>
      <c r="E136">
        <v>70.221593999999996</v>
      </c>
      <c r="F136">
        <v>12.826040000000001</v>
      </c>
      <c r="G136">
        <v>14.877000000000001</v>
      </c>
      <c r="H136">
        <v>0</v>
      </c>
      <c r="I136">
        <v>29.68</v>
      </c>
    </row>
    <row r="137" spans="1:9" x14ac:dyDescent="0.25">
      <c r="A137" t="s">
        <v>10</v>
      </c>
      <c r="B137">
        <v>2015</v>
      </c>
      <c r="C137">
        <v>3213.816315</v>
      </c>
      <c r="D137">
        <v>1816.6335099999999</v>
      </c>
      <c r="E137">
        <v>1168.7754560000001</v>
      </c>
      <c r="F137">
        <v>632.18406000000004</v>
      </c>
      <c r="G137">
        <v>44.594999999999999</v>
      </c>
      <c r="H137">
        <v>51.38</v>
      </c>
      <c r="I137">
        <v>294.18079999999998</v>
      </c>
    </row>
    <row r="138" spans="1:9" x14ac:dyDescent="0.25">
      <c r="A138" t="s">
        <v>11</v>
      </c>
      <c r="B138">
        <v>2015</v>
      </c>
      <c r="C138">
        <v>3167.4522750000001</v>
      </c>
      <c r="D138">
        <v>3901.1782499999999</v>
      </c>
      <c r="E138">
        <v>1067.39239</v>
      </c>
      <c r="F138">
        <v>137.7218</v>
      </c>
      <c r="G138">
        <v>26.9</v>
      </c>
      <c r="H138">
        <v>33.6</v>
      </c>
      <c r="I138">
        <v>356</v>
      </c>
    </row>
    <row r="139" spans="1:9" x14ac:dyDescent="0.25">
      <c r="A139" t="s">
        <v>12</v>
      </c>
      <c r="B139">
        <v>2015</v>
      </c>
      <c r="C139">
        <v>104.18514500000001</v>
      </c>
      <c r="D139">
        <v>130.24917500000001</v>
      </c>
      <c r="E139">
        <v>115.69967</v>
      </c>
      <c r="F139">
        <v>798.80737999999997</v>
      </c>
      <c r="G139">
        <v>89.334900000000005</v>
      </c>
      <c r="H139">
        <v>2.8632422000000002</v>
      </c>
      <c r="I139">
        <v>5.9547999999999996</v>
      </c>
    </row>
    <row r="140" spans="1:9" x14ac:dyDescent="0.25">
      <c r="A140" t="s">
        <v>13</v>
      </c>
      <c r="B140">
        <v>2015</v>
      </c>
      <c r="C140">
        <v>156.50528499999999</v>
      </c>
      <c r="D140">
        <v>333.35125499999998</v>
      </c>
      <c r="E140">
        <v>190.89943299999999</v>
      </c>
      <c r="F140">
        <v>100.2664</v>
      </c>
      <c r="G140">
        <v>19.882999999999999</v>
      </c>
      <c r="H140">
        <v>7.2422000000000004</v>
      </c>
      <c r="I140">
        <v>24.4</v>
      </c>
    </row>
    <row r="141" spans="1:9" x14ac:dyDescent="0.25">
      <c r="A141" t="s">
        <v>14</v>
      </c>
      <c r="B141">
        <v>2015</v>
      </c>
      <c r="C141">
        <v>18.3095</v>
      </c>
      <c r="D141">
        <v>5.9248599999999998</v>
      </c>
      <c r="E141">
        <v>5.3329000000000004</v>
      </c>
      <c r="F141">
        <v>48.488999999999997</v>
      </c>
      <c r="G141">
        <v>8.3339999999999996</v>
      </c>
      <c r="H141">
        <v>4.9280000000000005E-4</v>
      </c>
      <c r="I141">
        <v>30</v>
      </c>
    </row>
    <row r="142" spans="1:9" x14ac:dyDescent="0.25">
      <c r="A142" t="s">
        <v>15</v>
      </c>
      <c r="B142">
        <v>2015</v>
      </c>
      <c r="C142">
        <v>1136.6160850000001</v>
      </c>
      <c r="D142">
        <v>276.38572499999998</v>
      </c>
      <c r="E142">
        <v>79.278766000000005</v>
      </c>
      <c r="F142">
        <v>300.03825999999998</v>
      </c>
      <c r="G142">
        <v>39.999000000000002</v>
      </c>
      <c r="H142">
        <v>0</v>
      </c>
      <c r="I142">
        <v>60</v>
      </c>
    </row>
    <row r="143" spans="1:9" x14ac:dyDescent="0.25">
      <c r="A143" t="s">
        <v>16</v>
      </c>
      <c r="B143">
        <v>2015</v>
      </c>
      <c r="C143">
        <v>1569.3474000000001</v>
      </c>
      <c r="D143">
        <v>828.32501000000002</v>
      </c>
      <c r="E143">
        <v>730.12699399999997</v>
      </c>
      <c r="F143">
        <v>573.49440000000004</v>
      </c>
      <c r="G143">
        <v>176.79</v>
      </c>
      <c r="H143">
        <v>29.806736399999998</v>
      </c>
      <c r="I143">
        <v>129.70920000000001</v>
      </c>
    </row>
    <row r="144" spans="1:9" x14ac:dyDescent="0.25">
      <c r="A144" t="s">
        <v>17</v>
      </c>
      <c r="B144">
        <v>2015</v>
      </c>
      <c r="C144">
        <v>109.8793</v>
      </c>
      <c r="D144">
        <v>39.592579999999998</v>
      </c>
      <c r="E144">
        <v>18.820738500000001</v>
      </c>
      <c r="F144">
        <v>7.983765</v>
      </c>
      <c r="G144">
        <v>0</v>
      </c>
      <c r="H144">
        <v>7.3141600000000001E-2</v>
      </c>
      <c r="I144">
        <v>3.9020000000000001</v>
      </c>
    </row>
    <row r="145" spans="1:9" x14ac:dyDescent="0.25">
      <c r="A145" t="s">
        <v>18</v>
      </c>
      <c r="B145">
        <v>2015</v>
      </c>
      <c r="C145">
        <v>196.69016500000001</v>
      </c>
      <c r="D145">
        <v>72.352279999999993</v>
      </c>
      <c r="E145">
        <v>51.429741999999997</v>
      </c>
      <c r="F145">
        <v>11.190519999999999</v>
      </c>
      <c r="G145">
        <v>0</v>
      </c>
      <c r="H145">
        <v>0.1033004</v>
      </c>
      <c r="I145">
        <v>7.1428000000000003</v>
      </c>
    </row>
    <row r="146" spans="1:9" x14ac:dyDescent="0.25">
      <c r="A146" t="s">
        <v>19</v>
      </c>
      <c r="B146">
        <v>2015</v>
      </c>
      <c r="C146">
        <v>39.799534999999999</v>
      </c>
      <c r="D146">
        <v>10.928330000000001</v>
      </c>
      <c r="E146">
        <v>0.120089</v>
      </c>
      <c r="F146">
        <v>7.7420000000000003E-2</v>
      </c>
      <c r="G146">
        <v>0</v>
      </c>
      <c r="H146">
        <v>0</v>
      </c>
      <c r="I146">
        <v>1.8868</v>
      </c>
    </row>
    <row r="147" spans="1:9" x14ac:dyDescent="0.25">
      <c r="A147" t="s">
        <v>21</v>
      </c>
      <c r="B147">
        <v>2015</v>
      </c>
      <c r="C147">
        <v>1055.0956249999999</v>
      </c>
      <c r="D147">
        <v>1660.8348350000001</v>
      </c>
      <c r="E147">
        <v>404.26045800000003</v>
      </c>
      <c r="F147">
        <v>87.745284999999996</v>
      </c>
      <c r="G147">
        <v>62.204000000000001</v>
      </c>
      <c r="H147">
        <v>0.53358620000000001</v>
      </c>
      <c r="I147">
        <v>47.353999999999999</v>
      </c>
    </row>
    <row r="148" spans="1:9" x14ac:dyDescent="0.25">
      <c r="A148" t="s">
        <v>22</v>
      </c>
      <c r="B148">
        <v>2015</v>
      </c>
      <c r="C148">
        <v>213.794465</v>
      </c>
      <c r="D148">
        <v>126.33798</v>
      </c>
      <c r="E148">
        <v>65.163348999999997</v>
      </c>
      <c r="F148">
        <v>104.40954499999999</v>
      </c>
      <c r="G148">
        <v>1388.319</v>
      </c>
      <c r="H148">
        <v>0</v>
      </c>
      <c r="I148">
        <v>50</v>
      </c>
    </row>
    <row r="149" spans="1:9" x14ac:dyDescent="0.25">
      <c r="A149" t="s">
        <v>23</v>
      </c>
      <c r="B149">
        <v>2015</v>
      </c>
      <c r="C149">
        <v>1521.2479149999999</v>
      </c>
      <c r="D149">
        <v>1412.2472399999999</v>
      </c>
      <c r="E149">
        <v>1118.053406</v>
      </c>
      <c r="F149">
        <v>18.18432</v>
      </c>
      <c r="G149">
        <v>33.559600000000003</v>
      </c>
      <c r="H149">
        <v>1.529318</v>
      </c>
      <c r="I149">
        <v>121.3436</v>
      </c>
    </row>
    <row r="150" spans="1:9" x14ac:dyDescent="0.25">
      <c r="A150" t="s">
        <v>24</v>
      </c>
      <c r="B150">
        <v>2015</v>
      </c>
      <c r="C150">
        <v>229.18102500000001</v>
      </c>
      <c r="D150">
        <v>343.52569</v>
      </c>
      <c r="E150">
        <v>214.48648299999999</v>
      </c>
      <c r="F150">
        <v>173.52373</v>
      </c>
      <c r="G150">
        <v>11.218</v>
      </c>
      <c r="H150">
        <v>6.8047741999999998</v>
      </c>
      <c r="I150">
        <v>29.6</v>
      </c>
    </row>
    <row r="151" spans="1:9" x14ac:dyDescent="0.25">
      <c r="A151" t="s">
        <v>25</v>
      </c>
      <c r="B151">
        <v>2015</v>
      </c>
      <c r="C151">
        <v>613.77704000000006</v>
      </c>
      <c r="D151">
        <v>336.93891000000002</v>
      </c>
      <c r="E151">
        <v>422.78374602500003</v>
      </c>
      <c r="F151">
        <v>997.66206</v>
      </c>
      <c r="G151">
        <v>4.4539999999999997</v>
      </c>
      <c r="H151">
        <v>0</v>
      </c>
      <c r="I151">
        <v>183.01320000000001</v>
      </c>
    </row>
    <row r="152" spans="1:9" x14ac:dyDescent="0.25">
      <c r="A152" t="s">
        <v>26</v>
      </c>
      <c r="B152">
        <v>2015</v>
      </c>
      <c r="C152">
        <v>96.405914999999993</v>
      </c>
      <c r="D152">
        <v>60.687955000000002</v>
      </c>
      <c r="E152">
        <v>54.218913999999998</v>
      </c>
      <c r="F152">
        <v>30.98076</v>
      </c>
      <c r="G152">
        <v>1.2535799999999999</v>
      </c>
      <c r="H152">
        <v>0</v>
      </c>
      <c r="I152">
        <v>3.7075999999999998</v>
      </c>
    </row>
    <row r="153" spans="1:9" x14ac:dyDescent="0.25">
      <c r="A153" t="s">
        <v>27</v>
      </c>
      <c r="B153">
        <v>2015</v>
      </c>
      <c r="C153">
        <v>95.637979999999999</v>
      </c>
      <c r="D153">
        <v>18.873024999999998</v>
      </c>
      <c r="E153">
        <v>37.987957000000002</v>
      </c>
      <c r="F153">
        <v>8.4864700000000006</v>
      </c>
      <c r="G153">
        <v>1.9272</v>
      </c>
      <c r="H153">
        <v>1.5611399999999999E-2</v>
      </c>
      <c r="I153">
        <v>10.207599999999999</v>
      </c>
    </row>
    <row r="154" spans="1:9" x14ac:dyDescent="0.25">
      <c r="A154" t="s">
        <v>28</v>
      </c>
      <c r="B154">
        <v>2015</v>
      </c>
      <c r="C154">
        <v>940.88062000000002</v>
      </c>
      <c r="D154">
        <v>3660.0479500000001</v>
      </c>
      <c r="E154">
        <v>793.19380899999999</v>
      </c>
      <c r="F154">
        <v>1476.8673200000001</v>
      </c>
      <c r="G154">
        <v>335.23700000000002</v>
      </c>
      <c r="H154">
        <v>72.632389200000006</v>
      </c>
      <c r="I154">
        <v>252.93639999999999</v>
      </c>
    </row>
    <row r="155" spans="1:9" x14ac:dyDescent="0.25">
      <c r="A155" t="s">
        <v>29</v>
      </c>
      <c r="B155">
        <v>2015</v>
      </c>
      <c r="C155">
        <v>305.45994999999999</v>
      </c>
      <c r="D155">
        <v>200.213065</v>
      </c>
      <c r="E155">
        <v>97.139255000000006</v>
      </c>
      <c r="F155">
        <v>49.750075000000002</v>
      </c>
      <c r="G155">
        <v>10.752000000000001</v>
      </c>
      <c r="H155">
        <v>0</v>
      </c>
      <c r="I155">
        <v>145.08000000000001</v>
      </c>
    </row>
    <row r="156" spans="1:9" x14ac:dyDescent="0.25">
      <c r="A156" t="s">
        <v>30</v>
      </c>
      <c r="B156">
        <v>2015</v>
      </c>
      <c r="C156">
        <v>484.60971000000001</v>
      </c>
      <c r="D156">
        <v>208.30492000000001</v>
      </c>
      <c r="E156">
        <v>66.953872500000003</v>
      </c>
      <c r="F156">
        <v>31.530315000000002</v>
      </c>
      <c r="G156">
        <v>0</v>
      </c>
      <c r="H156">
        <v>0.83303079999999996</v>
      </c>
      <c r="I156">
        <v>22.167200000000001</v>
      </c>
    </row>
    <row r="157" spans="1:9" x14ac:dyDescent="0.25">
      <c r="A157" t="s">
        <v>31</v>
      </c>
      <c r="B157">
        <v>2015</v>
      </c>
      <c r="C157">
        <v>1743.026515</v>
      </c>
      <c r="D157">
        <v>769.66737499999999</v>
      </c>
      <c r="E157">
        <v>1082.4209539999999</v>
      </c>
      <c r="F157">
        <v>2795.6398199999999</v>
      </c>
      <c r="G157">
        <v>193.09399999999999</v>
      </c>
      <c r="H157">
        <v>0</v>
      </c>
      <c r="I157">
        <v>377.6</v>
      </c>
    </row>
    <row r="158" spans="1:9" x14ac:dyDescent="0.25">
      <c r="A158" t="s">
        <v>1</v>
      </c>
      <c r="B158">
        <v>2016</v>
      </c>
      <c r="C158">
        <v>441.31009</v>
      </c>
      <c r="D158">
        <v>369.07269500000001</v>
      </c>
      <c r="E158">
        <v>79.879112000000006</v>
      </c>
      <c r="F158">
        <v>34.920819999999999</v>
      </c>
      <c r="G158">
        <v>0</v>
      </c>
      <c r="H158">
        <v>0</v>
      </c>
      <c r="I158">
        <v>31.954799999999999</v>
      </c>
    </row>
    <row r="159" spans="1:9" x14ac:dyDescent="0.25">
      <c r="A159" t="s">
        <v>2</v>
      </c>
      <c r="B159">
        <v>2016</v>
      </c>
      <c r="C159">
        <v>455.06925000000001</v>
      </c>
      <c r="D159">
        <v>882.30627000000004</v>
      </c>
      <c r="E159">
        <v>236.04378399999999</v>
      </c>
      <c r="F159">
        <v>16.270025</v>
      </c>
      <c r="G159">
        <v>0</v>
      </c>
      <c r="H159">
        <v>4.0752964</v>
      </c>
      <c r="I159">
        <v>121.3396</v>
      </c>
    </row>
    <row r="160" spans="1:9" x14ac:dyDescent="0.25">
      <c r="A160" t="s">
        <v>3</v>
      </c>
      <c r="B160">
        <v>2016</v>
      </c>
      <c r="C160">
        <v>130.11317500000001</v>
      </c>
      <c r="D160">
        <v>82.837424999999996</v>
      </c>
      <c r="E160">
        <v>46.862623999999997</v>
      </c>
      <c r="F160">
        <v>100.24097</v>
      </c>
      <c r="G160">
        <v>0</v>
      </c>
      <c r="H160">
        <v>7.2800000000000004E-2</v>
      </c>
      <c r="I160">
        <v>33.0792</v>
      </c>
    </row>
    <row r="161" spans="1:9" x14ac:dyDescent="0.25">
      <c r="A161" t="s">
        <v>4</v>
      </c>
      <c r="B161">
        <v>2016</v>
      </c>
      <c r="C161">
        <v>110.96898</v>
      </c>
      <c r="D161">
        <v>90.374960000000002</v>
      </c>
      <c r="E161">
        <v>42.740539499999997</v>
      </c>
      <c r="F161">
        <v>47.253819999999997</v>
      </c>
      <c r="G161">
        <v>17.268999999999998</v>
      </c>
      <c r="H161">
        <v>3.9998000000000004E-3</v>
      </c>
      <c r="I161">
        <v>9.11</v>
      </c>
    </row>
    <row r="162" spans="1:9" x14ac:dyDescent="0.25">
      <c r="A162" t="s">
        <v>5</v>
      </c>
      <c r="B162">
        <v>2016</v>
      </c>
      <c r="C162">
        <v>20.203925000000002</v>
      </c>
      <c r="D162">
        <v>45.449694999999998</v>
      </c>
      <c r="E162">
        <v>13.004944999999999</v>
      </c>
      <c r="F162">
        <v>46.761054999999999</v>
      </c>
      <c r="G162">
        <v>6.625</v>
      </c>
      <c r="H162">
        <v>5.2820600000000002E-2</v>
      </c>
      <c r="I162">
        <v>1.6224000000000001</v>
      </c>
    </row>
    <row r="163" spans="1:9" x14ac:dyDescent="0.25">
      <c r="A163" t="s">
        <v>6</v>
      </c>
      <c r="B163">
        <v>2016</v>
      </c>
      <c r="C163">
        <v>293.97852999999998</v>
      </c>
      <c r="D163">
        <v>205.336715</v>
      </c>
      <c r="E163">
        <v>126.98080400000001</v>
      </c>
      <c r="F163">
        <v>18.118375</v>
      </c>
      <c r="G163">
        <v>20.952000000000002</v>
      </c>
      <c r="H163">
        <v>7.5137999999999998</v>
      </c>
      <c r="I163">
        <v>32</v>
      </c>
    </row>
    <row r="164" spans="1:9" x14ac:dyDescent="0.25">
      <c r="A164" t="s">
        <v>7</v>
      </c>
      <c r="B164">
        <v>2016</v>
      </c>
      <c r="C164">
        <v>398.45585999999997</v>
      </c>
      <c r="D164">
        <v>1772.9550400000001</v>
      </c>
      <c r="E164">
        <v>122.66785</v>
      </c>
      <c r="F164">
        <v>12.594675000000001</v>
      </c>
      <c r="G164">
        <v>43</v>
      </c>
      <c r="H164">
        <v>0</v>
      </c>
      <c r="I164">
        <v>70</v>
      </c>
    </row>
    <row r="165" spans="1:9" x14ac:dyDescent="0.25">
      <c r="A165" t="s">
        <v>8</v>
      </c>
      <c r="B165">
        <v>2016</v>
      </c>
      <c r="C165">
        <v>60.434465000000003</v>
      </c>
      <c r="D165">
        <v>38.017305</v>
      </c>
      <c r="E165">
        <v>2.3375919999999999</v>
      </c>
      <c r="F165">
        <v>7.1677850000000003</v>
      </c>
      <c r="G165">
        <v>0.86773299999999998</v>
      </c>
      <c r="H165">
        <v>2.8532000000000002E-3</v>
      </c>
      <c r="I165">
        <v>3.8948</v>
      </c>
    </row>
    <row r="166" spans="1:9" x14ac:dyDescent="0.25">
      <c r="A166" t="s">
        <v>9</v>
      </c>
      <c r="B166">
        <v>2016</v>
      </c>
      <c r="C166">
        <v>224.37943000000001</v>
      </c>
      <c r="D166">
        <v>165.87997999999999</v>
      </c>
      <c r="E166">
        <v>73.317025000000001</v>
      </c>
      <c r="F166">
        <v>13.005100000000001</v>
      </c>
      <c r="G166">
        <v>14.413</v>
      </c>
      <c r="H166">
        <v>0</v>
      </c>
      <c r="I166">
        <v>29.68</v>
      </c>
    </row>
    <row r="167" spans="1:9" x14ac:dyDescent="0.25">
      <c r="A167" t="s">
        <v>10</v>
      </c>
      <c r="B167">
        <v>2016</v>
      </c>
      <c r="C167">
        <v>3239.707175</v>
      </c>
      <c r="D167">
        <v>1814.665305</v>
      </c>
      <c r="E167">
        <v>1144.906479</v>
      </c>
      <c r="F167">
        <v>641.54700000000003</v>
      </c>
      <c r="G167">
        <v>44.521000000000001</v>
      </c>
      <c r="H167">
        <v>46.5458</v>
      </c>
      <c r="I167">
        <v>285.05919999999998</v>
      </c>
    </row>
    <row r="168" spans="1:9" x14ac:dyDescent="0.25">
      <c r="A168" t="s">
        <v>11</v>
      </c>
      <c r="B168">
        <v>2016</v>
      </c>
      <c r="C168">
        <v>3160.5013349999999</v>
      </c>
      <c r="D168">
        <v>3806.7516900000001</v>
      </c>
      <c r="E168">
        <v>1070.6214669999999</v>
      </c>
      <c r="F168">
        <v>137.30128999999999</v>
      </c>
      <c r="G168">
        <v>19.238</v>
      </c>
      <c r="H168">
        <v>19.600000000000001</v>
      </c>
      <c r="I168">
        <v>520</v>
      </c>
    </row>
    <row r="169" spans="1:9" x14ac:dyDescent="0.25">
      <c r="A169" t="s">
        <v>12</v>
      </c>
      <c r="B169">
        <v>2016</v>
      </c>
      <c r="C169">
        <v>96.182079999999999</v>
      </c>
      <c r="D169">
        <v>115.87836</v>
      </c>
      <c r="E169">
        <v>127.55947500000001</v>
      </c>
      <c r="F169">
        <v>784.22598000000005</v>
      </c>
      <c r="G169">
        <v>100.29510000000001</v>
      </c>
      <c r="H169">
        <v>2.7968752000000001</v>
      </c>
      <c r="I169">
        <v>5.7480000000000002</v>
      </c>
    </row>
    <row r="170" spans="1:9" x14ac:dyDescent="0.25">
      <c r="A170" t="s">
        <v>13</v>
      </c>
      <c r="B170">
        <v>2016</v>
      </c>
      <c r="C170">
        <v>149.34759</v>
      </c>
      <c r="D170">
        <v>345.80729000000002</v>
      </c>
      <c r="E170">
        <v>193.10379649999999</v>
      </c>
      <c r="F170">
        <v>96.844899999999996</v>
      </c>
      <c r="G170">
        <v>23.498999999999999</v>
      </c>
      <c r="H170">
        <v>1.84884</v>
      </c>
      <c r="I170">
        <v>21.2</v>
      </c>
    </row>
    <row r="171" spans="1:9" x14ac:dyDescent="0.25">
      <c r="A171" t="s">
        <v>14</v>
      </c>
      <c r="B171">
        <v>2016</v>
      </c>
      <c r="C171">
        <v>19.334375000000001</v>
      </c>
      <c r="D171">
        <v>5.7792899999999996</v>
      </c>
      <c r="E171">
        <v>5.6610199999999997</v>
      </c>
      <c r="F171">
        <v>47.438000000000002</v>
      </c>
      <c r="G171">
        <v>15.129</v>
      </c>
      <c r="H171">
        <v>0</v>
      </c>
      <c r="I171">
        <v>26.8</v>
      </c>
    </row>
    <row r="172" spans="1:9" x14ac:dyDescent="0.25">
      <c r="A172" t="s">
        <v>15</v>
      </c>
      <c r="B172">
        <v>2016</v>
      </c>
      <c r="C172">
        <v>1183.7466199999999</v>
      </c>
      <c r="D172">
        <v>275.55119999999999</v>
      </c>
      <c r="E172">
        <v>90.871049999999997</v>
      </c>
      <c r="F172">
        <v>308.49716999999998</v>
      </c>
      <c r="G172">
        <v>44.012</v>
      </c>
      <c r="H172">
        <v>0</v>
      </c>
      <c r="I172">
        <v>60</v>
      </c>
    </row>
    <row r="173" spans="1:9" x14ac:dyDescent="0.25">
      <c r="A173" t="s">
        <v>16</v>
      </c>
      <c r="B173">
        <v>2016</v>
      </c>
      <c r="C173">
        <v>1591.5152399999999</v>
      </c>
      <c r="D173">
        <v>847.20561999999995</v>
      </c>
      <c r="E173">
        <v>754.98330499999997</v>
      </c>
      <c r="F173">
        <v>589.93429000000003</v>
      </c>
      <c r="G173">
        <v>170.8</v>
      </c>
      <c r="H173">
        <v>29.233752800000001</v>
      </c>
      <c r="I173">
        <v>132.16159999999999</v>
      </c>
    </row>
    <row r="174" spans="1:9" x14ac:dyDescent="0.25">
      <c r="A174" t="s">
        <v>17</v>
      </c>
      <c r="B174">
        <v>2016</v>
      </c>
      <c r="C174">
        <v>111.34891</v>
      </c>
      <c r="D174">
        <v>37.336950000000002</v>
      </c>
      <c r="E174">
        <v>18.929571500000002</v>
      </c>
      <c r="F174">
        <v>8.3809900000000006</v>
      </c>
      <c r="G174">
        <v>0</v>
      </c>
      <c r="H174">
        <v>7.41034E-2</v>
      </c>
      <c r="I174">
        <v>3.9296000000000002</v>
      </c>
    </row>
    <row r="175" spans="1:9" x14ac:dyDescent="0.25">
      <c r="A175" t="s">
        <v>18</v>
      </c>
      <c r="B175">
        <v>2016</v>
      </c>
      <c r="C175">
        <v>191.51785000000001</v>
      </c>
      <c r="D175">
        <v>71.912390000000002</v>
      </c>
      <c r="E175">
        <v>55.606791999999999</v>
      </c>
      <c r="F175">
        <v>12.46256</v>
      </c>
      <c r="G175">
        <v>1.335</v>
      </c>
      <c r="H175">
        <v>7.2245599999999993E-2</v>
      </c>
      <c r="I175">
        <v>6.5839999999999996</v>
      </c>
    </row>
    <row r="176" spans="1:9" x14ac:dyDescent="0.25">
      <c r="A176" t="s">
        <v>19</v>
      </c>
      <c r="B176">
        <v>2016</v>
      </c>
      <c r="C176">
        <v>40.31794</v>
      </c>
      <c r="D176">
        <v>11.539714999999999</v>
      </c>
      <c r="E176">
        <v>0.128022</v>
      </c>
      <c r="F176">
        <v>0.74333000000000005</v>
      </c>
      <c r="G176">
        <v>0</v>
      </c>
      <c r="H176">
        <v>0</v>
      </c>
      <c r="I176">
        <v>1.8868</v>
      </c>
    </row>
    <row r="177" spans="1:9" x14ac:dyDescent="0.25">
      <c r="A177" t="s">
        <v>21</v>
      </c>
      <c r="B177">
        <v>2016</v>
      </c>
      <c r="C177">
        <v>1173.7681849999999</v>
      </c>
      <c r="D177">
        <v>1684.95243</v>
      </c>
      <c r="E177">
        <v>397.84675299999998</v>
      </c>
      <c r="F177">
        <v>93.966200000000001</v>
      </c>
      <c r="G177">
        <v>61.763440000000003</v>
      </c>
      <c r="H177">
        <v>0.5084282</v>
      </c>
      <c r="I177">
        <v>32.925199999999997</v>
      </c>
    </row>
    <row r="178" spans="1:9" x14ac:dyDescent="0.25">
      <c r="A178" t="s">
        <v>22</v>
      </c>
      <c r="B178">
        <v>2016</v>
      </c>
      <c r="C178">
        <v>214.47504499999999</v>
      </c>
      <c r="D178">
        <v>129.56908999999999</v>
      </c>
      <c r="E178">
        <v>67.902951999999999</v>
      </c>
      <c r="F178">
        <v>108.33226999999999</v>
      </c>
      <c r="G178">
        <v>1326.1559999999999</v>
      </c>
      <c r="H178">
        <v>0</v>
      </c>
      <c r="I178">
        <v>50</v>
      </c>
    </row>
    <row r="179" spans="1:9" x14ac:dyDescent="0.25">
      <c r="A179" t="s">
        <v>23</v>
      </c>
      <c r="B179">
        <v>2016</v>
      </c>
      <c r="C179">
        <v>1547.2980700000001</v>
      </c>
      <c r="D179">
        <v>1452.6335799999999</v>
      </c>
      <c r="E179">
        <v>1266.4592990000001</v>
      </c>
      <c r="F179">
        <v>18.4481</v>
      </c>
      <c r="G179">
        <v>35.451936799999999</v>
      </c>
      <c r="H179">
        <v>1.6588362000000001</v>
      </c>
      <c r="I179">
        <v>120.8224</v>
      </c>
    </row>
    <row r="180" spans="1:9" x14ac:dyDescent="0.25">
      <c r="A180" t="s">
        <v>24</v>
      </c>
      <c r="B180">
        <v>2016</v>
      </c>
      <c r="C180">
        <v>227.91903500000001</v>
      </c>
      <c r="D180">
        <v>358.64319999999998</v>
      </c>
      <c r="E180">
        <v>219.79638600000001</v>
      </c>
      <c r="F180">
        <v>173.85740999999999</v>
      </c>
      <c r="G180">
        <v>9.5609999999999999</v>
      </c>
      <c r="H180">
        <v>5.9454345999999996</v>
      </c>
      <c r="I180">
        <v>26.4</v>
      </c>
    </row>
    <row r="181" spans="1:9" x14ac:dyDescent="0.25">
      <c r="A181" t="s">
        <v>25</v>
      </c>
      <c r="B181">
        <v>2016</v>
      </c>
      <c r="C181">
        <v>928.96177499999999</v>
      </c>
      <c r="D181">
        <v>553.10403499999995</v>
      </c>
      <c r="E181">
        <v>453.03707850000001</v>
      </c>
      <c r="F181">
        <v>1000.68267</v>
      </c>
      <c r="G181">
        <v>7.1520000000000001</v>
      </c>
      <c r="H181">
        <v>2.3898000000000001E-3</v>
      </c>
      <c r="I181">
        <v>173.19880000000001</v>
      </c>
    </row>
    <row r="182" spans="1:9" x14ac:dyDescent="0.25">
      <c r="A182" t="s">
        <v>26</v>
      </c>
      <c r="B182">
        <v>2016</v>
      </c>
      <c r="C182">
        <v>93.461420000000004</v>
      </c>
      <c r="D182">
        <v>55.236269999999998</v>
      </c>
      <c r="E182">
        <v>56.574756000000001</v>
      </c>
      <c r="F182">
        <v>30.823164999999999</v>
      </c>
      <c r="G182">
        <v>2.1625000000000001</v>
      </c>
      <c r="H182">
        <v>0</v>
      </c>
      <c r="I182">
        <v>4.3680000000000003</v>
      </c>
    </row>
    <row r="183" spans="1:9" x14ac:dyDescent="0.25">
      <c r="A183" t="s">
        <v>27</v>
      </c>
      <c r="B183">
        <v>2016</v>
      </c>
      <c r="C183">
        <v>98.162904999999995</v>
      </c>
      <c r="D183">
        <v>18.949365</v>
      </c>
      <c r="E183">
        <v>39.735042999999997</v>
      </c>
      <c r="F183">
        <v>8.6391299999999998</v>
      </c>
      <c r="G183">
        <v>1.984</v>
      </c>
      <c r="H183">
        <v>1.9490799999999999E-2</v>
      </c>
      <c r="I183">
        <v>10.6572</v>
      </c>
    </row>
    <row r="184" spans="1:9" x14ac:dyDescent="0.25">
      <c r="A184" t="s">
        <v>28</v>
      </c>
      <c r="B184">
        <v>2016</v>
      </c>
      <c r="C184">
        <v>917.98369000000002</v>
      </c>
      <c r="D184">
        <v>3737.5982349999999</v>
      </c>
      <c r="E184">
        <v>833.57234000000005</v>
      </c>
      <c r="F184">
        <v>1436.6143300000001</v>
      </c>
      <c r="G184">
        <v>308.19600000000003</v>
      </c>
      <c r="H184">
        <v>67.9084</v>
      </c>
      <c r="I184">
        <v>215.80439999999999</v>
      </c>
    </row>
    <row r="185" spans="1:9" x14ac:dyDescent="0.25">
      <c r="A185" t="s">
        <v>29</v>
      </c>
      <c r="B185">
        <v>2016</v>
      </c>
      <c r="C185">
        <v>298.26666499999999</v>
      </c>
      <c r="D185">
        <v>197.93046000000001</v>
      </c>
      <c r="E185">
        <v>104.744705</v>
      </c>
      <c r="F185">
        <v>48.41095</v>
      </c>
      <c r="G185">
        <v>13.451000000000001</v>
      </c>
      <c r="H185">
        <v>0</v>
      </c>
      <c r="I185">
        <v>142.19999999999999</v>
      </c>
    </row>
    <row r="186" spans="1:9" x14ac:dyDescent="0.25">
      <c r="A186" t="s">
        <v>30</v>
      </c>
      <c r="B186">
        <v>2016</v>
      </c>
      <c r="C186">
        <v>476.76122500000002</v>
      </c>
      <c r="D186">
        <v>202.86691500000001</v>
      </c>
      <c r="E186">
        <v>68.910367500000007</v>
      </c>
      <c r="F186">
        <v>34.217545000000001</v>
      </c>
      <c r="G186">
        <v>0</v>
      </c>
      <c r="H186">
        <v>0.76139699999999999</v>
      </c>
      <c r="I186">
        <v>22.264800000000001</v>
      </c>
    </row>
    <row r="187" spans="1:9" x14ac:dyDescent="0.25">
      <c r="A187" t="s">
        <v>31</v>
      </c>
      <c r="B187">
        <v>2016</v>
      </c>
      <c r="C187">
        <v>1792.3438900000001</v>
      </c>
      <c r="D187">
        <v>788.86324999999999</v>
      </c>
      <c r="E187">
        <v>1150.946535</v>
      </c>
      <c r="F187">
        <v>2845.31684</v>
      </c>
      <c r="G187">
        <v>187.32499999999999</v>
      </c>
      <c r="H187">
        <v>0</v>
      </c>
      <c r="I187">
        <v>377.6</v>
      </c>
    </row>
    <row r="188" spans="1:9" x14ac:dyDescent="0.25">
      <c r="A188" t="s">
        <v>1</v>
      </c>
      <c r="B188">
        <v>2017</v>
      </c>
      <c r="C188">
        <v>439.81975999999997</v>
      </c>
      <c r="D188">
        <v>364.32850999999999</v>
      </c>
      <c r="E188">
        <v>80.168128499999995</v>
      </c>
      <c r="F188">
        <v>37.614539999999998</v>
      </c>
      <c r="G188">
        <v>0</v>
      </c>
      <c r="H188">
        <v>0</v>
      </c>
      <c r="I188">
        <v>31.955200000000001</v>
      </c>
    </row>
    <row r="189" spans="1:9" x14ac:dyDescent="0.25">
      <c r="A189" t="s">
        <v>2</v>
      </c>
      <c r="B189">
        <v>2017</v>
      </c>
      <c r="C189">
        <v>449.48002000000002</v>
      </c>
      <c r="D189">
        <v>842.26887499999998</v>
      </c>
      <c r="E189">
        <v>247.723568</v>
      </c>
      <c r="F189">
        <v>13.844435000000001</v>
      </c>
      <c r="G189">
        <v>0</v>
      </c>
      <c r="H189">
        <v>3.7399138000000001</v>
      </c>
      <c r="I189">
        <v>126.0044</v>
      </c>
    </row>
    <row r="190" spans="1:9" x14ac:dyDescent="0.25">
      <c r="A190" t="s">
        <v>3</v>
      </c>
      <c r="B190">
        <v>2017</v>
      </c>
      <c r="C190">
        <v>119.932445</v>
      </c>
      <c r="D190">
        <v>83.806494999999998</v>
      </c>
      <c r="E190">
        <v>45.936974499999998</v>
      </c>
      <c r="F190">
        <v>104.99072</v>
      </c>
      <c r="G190">
        <v>0</v>
      </c>
      <c r="H190">
        <v>2.9399999999999999E-2</v>
      </c>
      <c r="I190">
        <v>27.2088</v>
      </c>
    </row>
    <row r="191" spans="1:9" x14ac:dyDescent="0.25">
      <c r="A191" t="s">
        <v>4</v>
      </c>
      <c r="B191">
        <v>2017</v>
      </c>
      <c r="C191">
        <v>104.05697499999999</v>
      </c>
      <c r="D191">
        <v>87.788525000000007</v>
      </c>
      <c r="E191">
        <v>44.4147015</v>
      </c>
      <c r="F191">
        <v>47.787799999999997</v>
      </c>
      <c r="G191">
        <v>17.114999999999998</v>
      </c>
      <c r="H191">
        <v>3.9998000000000004E-3</v>
      </c>
      <c r="I191">
        <v>9.2103999999999999</v>
      </c>
    </row>
    <row r="192" spans="1:9" x14ac:dyDescent="0.25">
      <c r="A192" t="s">
        <v>5</v>
      </c>
      <c r="B192">
        <v>2017</v>
      </c>
      <c r="C192">
        <v>21.042245000000001</v>
      </c>
      <c r="D192">
        <v>45.299495</v>
      </c>
      <c r="E192">
        <v>12.733594999999999</v>
      </c>
      <c r="F192">
        <v>47.106850000000001</v>
      </c>
      <c r="G192">
        <v>7.2759999999999998</v>
      </c>
      <c r="H192">
        <v>6.9120799999999996E-2</v>
      </c>
      <c r="I192">
        <v>1.9907999999999999</v>
      </c>
    </row>
    <row r="193" spans="1:9" x14ac:dyDescent="0.25">
      <c r="A193" t="s">
        <v>6</v>
      </c>
      <c r="B193">
        <v>2017</v>
      </c>
      <c r="C193">
        <v>283.21782999999999</v>
      </c>
      <c r="D193">
        <v>197.907725</v>
      </c>
      <c r="E193">
        <v>128.70531399999999</v>
      </c>
      <c r="F193">
        <v>18.037915000000002</v>
      </c>
      <c r="G193">
        <v>21.684999999999999</v>
      </c>
      <c r="H193">
        <v>7.4241999999999999</v>
      </c>
      <c r="I193">
        <v>36.087600000000002</v>
      </c>
    </row>
    <row r="194" spans="1:9" x14ac:dyDescent="0.25">
      <c r="A194" t="s">
        <v>7</v>
      </c>
      <c r="B194">
        <v>2017</v>
      </c>
      <c r="C194">
        <v>387.30056000000002</v>
      </c>
      <c r="D194">
        <v>1752.3040249999999</v>
      </c>
      <c r="E194">
        <v>131.84610000000001</v>
      </c>
      <c r="F194">
        <v>13.107675</v>
      </c>
      <c r="G194">
        <v>43</v>
      </c>
      <c r="H194">
        <v>0</v>
      </c>
      <c r="I194">
        <v>70</v>
      </c>
    </row>
    <row r="195" spans="1:9" x14ac:dyDescent="0.25">
      <c r="A195" t="s">
        <v>8</v>
      </c>
      <c r="B195">
        <v>2017</v>
      </c>
      <c r="C195">
        <v>59.674124999999997</v>
      </c>
      <c r="D195">
        <v>37.358755000000002</v>
      </c>
      <c r="E195">
        <v>2.620511</v>
      </c>
      <c r="F195">
        <v>6.4225000000000003</v>
      </c>
      <c r="G195">
        <v>0.871</v>
      </c>
      <c r="H195">
        <v>0</v>
      </c>
      <c r="I195">
        <v>3.9036</v>
      </c>
    </row>
    <row r="196" spans="1:9" x14ac:dyDescent="0.25">
      <c r="A196" t="s">
        <v>9</v>
      </c>
      <c r="B196">
        <v>2017</v>
      </c>
      <c r="C196">
        <v>219.3177</v>
      </c>
      <c r="D196">
        <v>153.868695</v>
      </c>
      <c r="E196">
        <v>76.747929999999997</v>
      </c>
      <c r="F196">
        <v>13.1942</v>
      </c>
      <c r="G196">
        <v>14.587</v>
      </c>
      <c r="H196">
        <v>0</v>
      </c>
      <c r="I196">
        <v>29.76</v>
      </c>
    </row>
    <row r="197" spans="1:9" x14ac:dyDescent="0.25">
      <c r="A197" t="s">
        <v>10</v>
      </c>
      <c r="B197">
        <v>2017</v>
      </c>
      <c r="C197">
        <v>3196.8977749999999</v>
      </c>
      <c r="D197">
        <v>1781.6824899999999</v>
      </c>
      <c r="E197">
        <v>1125.2241389999999</v>
      </c>
      <c r="F197">
        <v>619.50631999999996</v>
      </c>
      <c r="G197">
        <v>45.470999999999997</v>
      </c>
      <c r="H197">
        <v>44.846200000000003</v>
      </c>
      <c r="I197">
        <v>282.96719999999999</v>
      </c>
    </row>
    <row r="198" spans="1:9" x14ac:dyDescent="0.25">
      <c r="A198" t="s">
        <v>11</v>
      </c>
      <c r="B198">
        <v>2017</v>
      </c>
      <c r="C198">
        <v>3102.185575</v>
      </c>
      <c r="D198">
        <v>3748.9582099999998</v>
      </c>
      <c r="E198">
        <v>1051.8589750000001</v>
      </c>
      <c r="F198">
        <v>137.11929000000001</v>
      </c>
      <c r="G198">
        <v>19.247</v>
      </c>
      <c r="H198">
        <v>29.4</v>
      </c>
      <c r="I198">
        <v>520</v>
      </c>
    </row>
    <row r="199" spans="1:9" x14ac:dyDescent="0.25">
      <c r="A199" t="s">
        <v>12</v>
      </c>
      <c r="B199">
        <v>2017</v>
      </c>
      <c r="C199">
        <v>96.300700000000006</v>
      </c>
      <c r="D199">
        <v>111.963285</v>
      </c>
      <c r="E199">
        <v>129.45051000000001</v>
      </c>
      <c r="F199">
        <v>768.43528000000003</v>
      </c>
      <c r="G199">
        <v>106.23</v>
      </c>
      <c r="H199">
        <v>2.4112941999999999</v>
      </c>
      <c r="I199">
        <v>3.4428000000000001</v>
      </c>
    </row>
    <row r="200" spans="1:9" x14ac:dyDescent="0.25">
      <c r="A200" t="s">
        <v>13</v>
      </c>
      <c r="B200">
        <v>2017</v>
      </c>
      <c r="C200">
        <v>139.728915</v>
      </c>
      <c r="D200">
        <v>307.42070000000001</v>
      </c>
      <c r="E200">
        <v>189.607731</v>
      </c>
      <c r="F200">
        <v>90.057159999999996</v>
      </c>
      <c r="G200">
        <v>21.209</v>
      </c>
      <c r="H200">
        <v>1.6435999999999999</v>
      </c>
      <c r="I200">
        <v>21.2</v>
      </c>
    </row>
    <row r="201" spans="1:9" x14ac:dyDescent="0.25">
      <c r="A201" t="s">
        <v>14</v>
      </c>
      <c r="B201">
        <v>2017</v>
      </c>
      <c r="C201">
        <v>19.744350000000001</v>
      </c>
      <c r="D201">
        <v>5.80335</v>
      </c>
      <c r="E201">
        <v>6.0387199999999996</v>
      </c>
      <c r="F201">
        <v>46.725000000000001</v>
      </c>
      <c r="G201">
        <v>20.859000000000002</v>
      </c>
      <c r="H201">
        <v>2.6039999999999999E-4</v>
      </c>
      <c r="I201">
        <v>25.88</v>
      </c>
    </row>
    <row r="202" spans="1:9" x14ac:dyDescent="0.25">
      <c r="A202" t="s">
        <v>15</v>
      </c>
      <c r="B202">
        <v>2017</v>
      </c>
      <c r="C202">
        <v>1246.9611600000001</v>
      </c>
      <c r="D202">
        <v>280.55173000000002</v>
      </c>
      <c r="E202">
        <v>95.723545999999999</v>
      </c>
      <c r="F202">
        <v>345.14695999999998</v>
      </c>
      <c r="G202">
        <v>45.725999999999999</v>
      </c>
      <c r="H202">
        <v>0</v>
      </c>
      <c r="I202">
        <v>100</v>
      </c>
    </row>
    <row r="203" spans="1:9" x14ac:dyDescent="0.25">
      <c r="A203" t="s">
        <v>16</v>
      </c>
      <c r="B203">
        <v>2017</v>
      </c>
      <c r="C203">
        <v>1508.71894</v>
      </c>
      <c r="D203">
        <v>813.36518999999998</v>
      </c>
      <c r="E203">
        <v>733.891031</v>
      </c>
      <c r="F203">
        <v>588.99033999999995</v>
      </c>
      <c r="G203">
        <v>59.304000000000002</v>
      </c>
      <c r="H203">
        <v>26.5762</v>
      </c>
      <c r="I203">
        <v>132.93440000000001</v>
      </c>
    </row>
    <row r="204" spans="1:9" x14ac:dyDescent="0.25">
      <c r="A204" t="s">
        <v>17</v>
      </c>
      <c r="B204">
        <v>2017</v>
      </c>
      <c r="C204">
        <v>102.368765</v>
      </c>
      <c r="D204">
        <v>40.366660000000003</v>
      </c>
      <c r="E204">
        <v>20.782706999999998</v>
      </c>
      <c r="F204">
        <v>8.9381299999999992</v>
      </c>
      <c r="G204">
        <v>0</v>
      </c>
      <c r="H204">
        <v>7.4419799999999994E-2</v>
      </c>
      <c r="I204">
        <v>3.7984</v>
      </c>
    </row>
    <row r="205" spans="1:9" x14ac:dyDescent="0.25">
      <c r="A205" t="s">
        <v>18</v>
      </c>
      <c r="B205">
        <v>2017</v>
      </c>
      <c r="C205">
        <v>186.61425500000001</v>
      </c>
      <c r="D205">
        <v>70.176749999999998</v>
      </c>
      <c r="E205">
        <v>56.929338000000001</v>
      </c>
      <c r="F205">
        <v>12.946440000000001</v>
      </c>
      <c r="G205">
        <v>3.7490000000000001</v>
      </c>
      <c r="H205">
        <v>7.7092400000000005E-2</v>
      </c>
      <c r="I205">
        <v>6.2656000000000001</v>
      </c>
    </row>
    <row r="206" spans="1:9" x14ac:dyDescent="0.25">
      <c r="A206" t="s">
        <v>19</v>
      </c>
      <c r="B206">
        <v>2017</v>
      </c>
      <c r="C206">
        <v>40.705024999999999</v>
      </c>
      <c r="D206">
        <v>11.303884999999999</v>
      </c>
      <c r="E206">
        <v>0.102987</v>
      </c>
      <c r="F206">
        <v>0.74066500000000002</v>
      </c>
      <c r="G206">
        <v>0</v>
      </c>
      <c r="H206">
        <v>0</v>
      </c>
      <c r="I206">
        <v>1.8160000000000001</v>
      </c>
    </row>
    <row r="207" spans="1:9" x14ac:dyDescent="0.25">
      <c r="A207" t="s">
        <v>20</v>
      </c>
      <c r="B207">
        <v>2017</v>
      </c>
      <c r="C207">
        <v>4.5557749999999997</v>
      </c>
      <c r="D207">
        <v>4.5014849999999997</v>
      </c>
      <c r="E207">
        <v>2.1264500000000002</v>
      </c>
      <c r="F207">
        <v>0.97573500000000002</v>
      </c>
      <c r="G207">
        <v>0</v>
      </c>
      <c r="H207">
        <v>6.5911999999999998E-2</v>
      </c>
      <c r="I207">
        <v>1.4712000000000001</v>
      </c>
    </row>
    <row r="208" spans="1:9" x14ac:dyDescent="0.25">
      <c r="A208" t="s">
        <v>21</v>
      </c>
      <c r="B208">
        <v>2017</v>
      </c>
      <c r="C208">
        <v>1159.87751</v>
      </c>
      <c r="D208">
        <v>1616.259605</v>
      </c>
      <c r="E208">
        <v>377.36909100000003</v>
      </c>
      <c r="F208">
        <v>92.459980000000002</v>
      </c>
      <c r="G208">
        <v>60</v>
      </c>
      <c r="H208">
        <v>0.48005999999999999</v>
      </c>
      <c r="I208">
        <v>34.228000000000002</v>
      </c>
    </row>
    <row r="209" spans="1:9" x14ac:dyDescent="0.25">
      <c r="A209" t="s">
        <v>22</v>
      </c>
      <c r="B209">
        <v>2017</v>
      </c>
      <c r="C209">
        <v>217.73704000000001</v>
      </c>
      <c r="D209">
        <v>128.51942500000001</v>
      </c>
      <c r="E209">
        <v>65.518009000000006</v>
      </c>
      <c r="F209">
        <v>112.800755</v>
      </c>
      <c r="G209">
        <v>1286.67</v>
      </c>
      <c r="H209">
        <v>0</v>
      </c>
      <c r="I209">
        <v>50</v>
      </c>
    </row>
    <row r="210" spans="1:9" x14ac:dyDescent="0.25">
      <c r="A210" t="s">
        <v>23</v>
      </c>
      <c r="B210">
        <v>2017</v>
      </c>
      <c r="C210">
        <v>1616.5516150000001</v>
      </c>
      <c r="D210">
        <v>1472.3781449999999</v>
      </c>
      <c r="E210">
        <v>1309.107544</v>
      </c>
      <c r="F210">
        <v>18.440619999999999</v>
      </c>
      <c r="G210">
        <v>35.41807</v>
      </c>
      <c r="H210">
        <v>1.6588362000000001</v>
      </c>
      <c r="I210">
        <v>120.8224</v>
      </c>
    </row>
    <row r="211" spans="1:9" x14ac:dyDescent="0.25">
      <c r="A211" t="s">
        <v>24</v>
      </c>
      <c r="B211">
        <v>2017</v>
      </c>
      <c r="C211">
        <v>222.70121</v>
      </c>
      <c r="D211">
        <v>344.24597999999997</v>
      </c>
      <c r="E211">
        <v>223.50913199999999</v>
      </c>
      <c r="F211">
        <v>185.07492999999999</v>
      </c>
      <c r="G211">
        <v>11.259</v>
      </c>
      <c r="H211">
        <v>5.6108219999999998</v>
      </c>
      <c r="I211">
        <v>30.8</v>
      </c>
    </row>
    <row r="212" spans="1:9" x14ac:dyDescent="0.25">
      <c r="A212" t="s">
        <v>25</v>
      </c>
      <c r="B212">
        <v>2017</v>
      </c>
      <c r="C212">
        <v>827.28168500000004</v>
      </c>
      <c r="D212">
        <v>477.25945999999999</v>
      </c>
      <c r="E212">
        <v>481.36431900000002</v>
      </c>
      <c r="F212">
        <v>983.39371500000004</v>
      </c>
      <c r="G212">
        <v>8.4429999999999996</v>
      </c>
      <c r="H212">
        <v>1.19994E-2</v>
      </c>
      <c r="I212">
        <v>138.48480000000001</v>
      </c>
    </row>
    <row r="213" spans="1:9" x14ac:dyDescent="0.25">
      <c r="A213" t="s">
        <v>26</v>
      </c>
      <c r="B213">
        <v>2017</v>
      </c>
      <c r="C213">
        <v>91.404525000000007</v>
      </c>
      <c r="D213">
        <v>45.731465</v>
      </c>
      <c r="E213">
        <v>51.369354000000001</v>
      </c>
      <c r="F213">
        <v>29.64265</v>
      </c>
      <c r="G213">
        <v>1.119</v>
      </c>
      <c r="H213">
        <v>1.44844E-2</v>
      </c>
      <c r="I213">
        <v>5.6096000000000004</v>
      </c>
    </row>
    <row r="214" spans="1:9" x14ac:dyDescent="0.25">
      <c r="A214" t="s">
        <v>27</v>
      </c>
      <c r="B214">
        <v>2017</v>
      </c>
      <c r="C214">
        <v>102.561285</v>
      </c>
      <c r="D214">
        <v>18.268004999999999</v>
      </c>
      <c r="E214">
        <v>41.670214999999999</v>
      </c>
      <c r="F214">
        <v>9.0626499999999997</v>
      </c>
      <c r="G214">
        <v>2.0030000000000001</v>
      </c>
      <c r="H214">
        <v>1.5822800000000001E-2</v>
      </c>
      <c r="I214">
        <v>10.3392</v>
      </c>
    </row>
    <row r="215" spans="1:9" x14ac:dyDescent="0.25">
      <c r="A215" t="s">
        <v>28</v>
      </c>
      <c r="B215">
        <v>2017</v>
      </c>
      <c r="C215">
        <v>882.03518499999996</v>
      </c>
      <c r="D215">
        <v>3902.264165</v>
      </c>
      <c r="E215">
        <v>819.98839599999997</v>
      </c>
      <c r="F215">
        <v>1414.2748899999999</v>
      </c>
      <c r="G215">
        <v>351.05099999999999</v>
      </c>
      <c r="H215">
        <v>64.234800000000007</v>
      </c>
      <c r="I215">
        <v>250.648</v>
      </c>
    </row>
    <row r="216" spans="1:9" x14ac:dyDescent="0.25">
      <c r="A216" t="s">
        <v>29</v>
      </c>
      <c r="B216">
        <v>2017</v>
      </c>
      <c r="C216">
        <v>293.80054000000001</v>
      </c>
      <c r="D216">
        <v>200.96647999999999</v>
      </c>
      <c r="E216">
        <v>103.44217500000001</v>
      </c>
      <c r="F216">
        <v>50.710839999999997</v>
      </c>
      <c r="G216">
        <v>12.8</v>
      </c>
      <c r="H216">
        <v>0</v>
      </c>
      <c r="I216">
        <v>142.4</v>
      </c>
    </row>
    <row r="217" spans="1:9" x14ac:dyDescent="0.25">
      <c r="A217" t="s">
        <v>30</v>
      </c>
      <c r="B217">
        <v>2017</v>
      </c>
      <c r="C217">
        <v>474.81628000000001</v>
      </c>
      <c r="D217">
        <v>200.40814</v>
      </c>
      <c r="E217">
        <v>69.161831000000006</v>
      </c>
      <c r="F217">
        <v>29.0899</v>
      </c>
      <c r="G217">
        <v>0</v>
      </c>
      <c r="H217">
        <v>0.74141060000000003</v>
      </c>
      <c r="I217">
        <v>21.694400000000002</v>
      </c>
    </row>
    <row r="218" spans="1:9" x14ac:dyDescent="0.25">
      <c r="A218" t="s">
        <v>1</v>
      </c>
      <c r="B218">
        <v>2018</v>
      </c>
      <c r="C218">
        <v>442.45538499999998</v>
      </c>
      <c r="D218">
        <v>360.93412499999999</v>
      </c>
      <c r="E218">
        <v>79.227754000000004</v>
      </c>
      <c r="F218">
        <v>37.538960000000003</v>
      </c>
      <c r="G218">
        <v>0</v>
      </c>
      <c r="H218">
        <v>0</v>
      </c>
      <c r="I218">
        <v>37.017600000000002</v>
      </c>
    </row>
    <row r="219" spans="1:9" x14ac:dyDescent="0.25">
      <c r="A219" t="s">
        <v>2</v>
      </c>
      <c r="B219">
        <v>2018</v>
      </c>
      <c r="C219">
        <v>470.39579500000002</v>
      </c>
      <c r="D219">
        <v>858.33745999999996</v>
      </c>
      <c r="E219">
        <v>242.126081</v>
      </c>
      <c r="F219">
        <v>17.26831</v>
      </c>
      <c r="G219">
        <v>0</v>
      </c>
      <c r="H219">
        <v>3.6266902000000001</v>
      </c>
      <c r="I219">
        <v>132.67679999999999</v>
      </c>
    </row>
    <row r="220" spans="1:9" x14ac:dyDescent="0.25">
      <c r="A220" t="s">
        <v>3</v>
      </c>
      <c r="B220">
        <v>2018</v>
      </c>
      <c r="C220">
        <v>116.50508000000001</v>
      </c>
      <c r="D220">
        <v>94.385355000000004</v>
      </c>
      <c r="E220">
        <v>52.009202000000002</v>
      </c>
      <c r="F220">
        <v>104.42457</v>
      </c>
      <c r="G220">
        <v>6.7640000000000002</v>
      </c>
      <c r="H220">
        <v>6.1684000000000001E-3</v>
      </c>
      <c r="I220">
        <v>25.8368</v>
      </c>
    </row>
    <row r="221" spans="1:9" x14ac:dyDescent="0.25">
      <c r="A221" t="s">
        <v>4</v>
      </c>
      <c r="B221">
        <v>2018</v>
      </c>
      <c r="C221">
        <v>102.97893500000001</v>
      </c>
      <c r="D221">
        <v>87.100104999999999</v>
      </c>
      <c r="E221">
        <v>44.624034999999999</v>
      </c>
      <c r="F221">
        <v>47.205419999999997</v>
      </c>
      <c r="G221">
        <v>19.68</v>
      </c>
      <c r="H221">
        <v>7.8399999999999997E-3</v>
      </c>
      <c r="I221">
        <v>9.4596</v>
      </c>
    </row>
    <row r="222" spans="1:9" x14ac:dyDescent="0.25">
      <c r="A222" t="s">
        <v>5</v>
      </c>
      <c r="B222">
        <v>2018</v>
      </c>
      <c r="C222">
        <v>22.510860000000001</v>
      </c>
      <c r="D222">
        <v>44.635375000000003</v>
      </c>
      <c r="E222">
        <v>12.91344</v>
      </c>
      <c r="F222">
        <v>46.731845</v>
      </c>
      <c r="G222">
        <v>7.3470000000000004</v>
      </c>
      <c r="H222">
        <v>7.1488200000000002E-2</v>
      </c>
      <c r="I222">
        <v>1.9936</v>
      </c>
    </row>
    <row r="223" spans="1:9" x14ac:dyDescent="0.25">
      <c r="A223" t="s">
        <v>6</v>
      </c>
      <c r="B223">
        <v>2018</v>
      </c>
      <c r="C223">
        <v>289.45488</v>
      </c>
      <c r="D223">
        <v>202.74594500000001</v>
      </c>
      <c r="E223">
        <v>126.981526</v>
      </c>
      <c r="F223">
        <v>17.153105</v>
      </c>
      <c r="G223">
        <v>24.21</v>
      </c>
      <c r="H223">
        <v>6.9328000000000003</v>
      </c>
      <c r="I223">
        <v>37.094000000000001</v>
      </c>
    </row>
    <row r="224" spans="1:9" x14ac:dyDescent="0.25">
      <c r="A224" t="s">
        <v>7</v>
      </c>
      <c r="B224">
        <v>2018</v>
      </c>
      <c r="C224">
        <v>392.36509999999998</v>
      </c>
      <c r="D224">
        <v>1802.608635</v>
      </c>
      <c r="E224">
        <v>124.42829999999999</v>
      </c>
      <c r="F224">
        <v>12.306775</v>
      </c>
      <c r="G224">
        <v>45</v>
      </c>
      <c r="H224">
        <v>0</v>
      </c>
      <c r="I224">
        <v>70</v>
      </c>
    </row>
    <row r="225" spans="1:9" x14ac:dyDescent="0.25">
      <c r="A225" t="s">
        <v>8</v>
      </c>
      <c r="B225">
        <v>2018</v>
      </c>
      <c r="C225">
        <v>60.88402</v>
      </c>
      <c r="D225">
        <v>39.685119999999998</v>
      </c>
      <c r="E225">
        <v>2.6676470000000001</v>
      </c>
      <c r="F225">
        <v>5.9474600000000004</v>
      </c>
      <c r="G225">
        <v>0.94399999999999995</v>
      </c>
      <c r="H225">
        <v>0</v>
      </c>
      <c r="I225">
        <v>3.88</v>
      </c>
    </row>
    <row r="226" spans="1:9" x14ac:dyDescent="0.25">
      <c r="A226" t="s">
        <v>9</v>
      </c>
      <c r="B226">
        <v>2018</v>
      </c>
      <c r="C226">
        <v>216.05804000000001</v>
      </c>
      <c r="D226">
        <v>141.616715</v>
      </c>
      <c r="E226">
        <v>82.008534999999995</v>
      </c>
      <c r="F226">
        <v>13.016260000000001</v>
      </c>
      <c r="G226">
        <v>14.324</v>
      </c>
      <c r="H226">
        <v>0</v>
      </c>
      <c r="I226">
        <v>29.76</v>
      </c>
    </row>
    <row r="227" spans="1:9" x14ac:dyDescent="0.25">
      <c r="A227" t="s">
        <v>10</v>
      </c>
      <c r="B227">
        <v>2018</v>
      </c>
      <c r="C227">
        <v>3164.8838649999998</v>
      </c>
      <c r="D227">
        <v>1803.762115</v>
      </c>
      <c r="E227">
        <v>1129.1609619999999</v>
      </c>
      <c r="F227">
        <v>640.73208</v>
      </c>
      <c r="G227">
        <v>45.970999999999997</v>
      </c>
      <c r="H227">
        <v>42.301000000000002</v>
      </c>
      <c r="I227">
        <v>280.21080000000001</v>
      </c>
    </row>
    <row r="228" spans="1:9" x14ac:dyDescent="0.25">
      <c r="A228" t="s">
        <v>11</v>
      </c>
      <c r="B228">
        <v>2018</v>
      </c>
      <c r="C228">
        <v>3051.27736</v>
      </c>
      <c r="D228">
        <v>3712.4200300000002</v>
      </c>
      <c r="E228">
        <v>1048.7073270000001</v>
      </c>
      <c r="F228">
        <v>137.63892000000001</v>
      </c>
      <c r="G228">
        <v>18.109000000000002</v>
      </c>
      <c r="H228">
        <v>29.4</v>
      </c>
      <c r="I228">
        <v>520</v>
      </c>
    </row>
    <row r="229" spans="1:9" x14ac:dyDescent="0.25">
      <c r="A229" t="s">
        <v>12</v>
      </c>
      <c r="B229">
        <v>2018</v>
      </c>
      <c r="C229">
        <v>89.353020000000001</v>
      </c>
      <c r="D229">
        <v>107.244005</v>
      </c>
      <c r="E229">
        <v>137.24192500000001</v>
      </c>
      <c r="F229">
        <v>757.60698000000002</v>
      </c>
      <c r="G229">
        <v>110.1653</v>
      </c>
      <c r="H229">
        <v>2.1097454</v>
      </c>
      <c r="I229">
        <v>2.3607999999999998</v>
      </c>
    </row>
    <row r="230" spans="1:9" x14ac:dyDescent="0.25">
      <c r="A230" t="s">
        <v>13</v>
      </c>
      <c r="B230">
        <v>2018</v>
      </c>
      <c r="C230">
        <v>158.40625</v>
      </c>
      <c r="D230">
        <v>335.55279999999999</v>
      </c>
      <c r="E230">
        <v>198.706524</v>
      </c>
      <c r="F230">
        <v>94.109920000000002</v>
      </c>
      <c r="G230">
        <v>22.541</v>
      </c>
      <c r="H230">
        <v>1.6366000000000001</v>
      </c>
      <c r="I230">
        <v>20.8</v>
      </c>
    </row>
    <row r="231" spans="1:9" x14ac:dyDescent="0.25">
      <c r="A231" t="s">
        <v>14</v>
      </c>
      <c r="B231">
        <v>2018</v>
      </c>
      <c r="C231">
        <v>19.773399999999999</v>
      </c>
      <c r="D231">
        <v>6.0856000000000003</v>
      </c>
      <c r="E231">
        <v>5.8820050000000004</v>
      </c>
      <c r="F231">
        <v>44.402999999999999</v>
      </c>
      <c r="G231">
        <v>19.18</v>
      </c>
      <c r="H231">
        <v>1.652E-4</v>
      </c>
      <c r="I231">
        <v>21.12</v>
      </c>
    </row>
    <row r="232" spans="1:9" x14ac:dyDescent="0.25">
      <c r="A232" t="s">
        <v>15</v>
      </c>
      <c r="B232">
        <v>2018</v>
      </c>
      <c r="C232">
        <v>1282.8724099999999</v>
      </c>
      <c r="D232">
        <v>286.131575</v>
      </c>
      <c r="E232">
        <v>96.681635</v>
      </c>
      <c r="F232">
        <v>339.24536000000001</v>
      </c>
      <c r="G232">
        <v>37.204999999999998</v>
      </c>
      <c r="H232">
        <v>0</v>
      </c>
      <c r="I232">
        <v>100</v>
      </c>
    </row>
    <row r="233" spans="1:9" x14ac:dyDescent="0.25">
      <c r="A233" t="s">
        <v>16</v>
      </c>
      <c r="B233">
        <v>2018</v>
      </c>
      <c r="C233">
        <v>1500.31628</v>
      </c>
      <c r="D233">
        <v>807.84786999999994</v>
      </c>
      <c r="E233">
        <v>713.99719400000004</v>
      </c>
      <c r="F233">
        <v>576.23567000000003</v>
      </c>
      <c r="G233">
        <v>62.3</v>
      </c>
      <c r="H233">
        <v>35</v>
      </c>
      <c r="I233">
        <v>123.63760000000001</v>
      </c>
    </row>
    <row r="234" spans="1:9" x14ac:dyDescent="0.25">
      <c r="A234" t="s">
        <v>17</v>
      </c>
      <c r="B234">
        <v>2018</v>
      </c>
      <c r="C234">
        <v>94.089314999999999</v>
      </c>
      <c r="D234">
        <v>39.872439999999997</v>
      </c>
      <c r="E234">
        <v>21.286203</v>
      </c>
      <c r="F234">
        <v>8.6138499999999993</v>
      </c>
      <c r="G234">
        <v>0</v>
      </c>
      <c r="H234">
        <v>4.6048800000000001E-2</v>
      </c>
      <c r="I234">
        <v>3.3679999999999999</v>
      </c>
    </row>
    <row r="235" spans="1:9" x14ac:dyDescent="0.25">
      <c r="A235" t="s">
        <v>18</v>
      </c>
      <c r="B235">
        <v>2018</v>
      </c>
      <c r="C235">
        <v>176.47073499999999</v>
      </c>
      <c r="D235">
        <v>66.589619999999996</v>
      </c>
      <c r="E235">
        <v>62.007098999999997</v>
      </c>
      <c r="F235">
        <v>12.6012</v>
      </c>
      <c r="G235">
        <v>3.72</v>
      </c>
      <c r="H235">
        <v>5.7531600000000002E-2</v>
      </c>
      <c r="I235">
        <v>6.1180000000000003</v>
      </c>
    </row>
    <row r="236" spans="1:9" x14ac:dyDescent="0.25">
      <c r="A236" t="s">
        <v>19</v>
      </c>
      <c r="B236">
        <v>2018</v>
      </c>
      <c r="C236">
        <v>41.205475</v>
      </c>
      <c r="D236">
        <v>10.74094</v>
      </c>
      <c r="E236">
        <v>0.12868599999999999</v>
      </c>
      <c r="F236">
        <v>0.71787000000000001</v>
      </c>
      <c r="G236">
        <v>0</v>
      </c>
      <c r="H236">
        <v>0</v>
      </c>
      <c r="I236">
        <v>1.89</v>
      </c>
    </row>
    <row r="237" spans="1:9" x14ac:dyDescent="0.25">
      <c r="A237" t="s">
        <v>20</v>
      </c>
      <c r="B237">
        <v>2018</v>
      </c>
      <c r="C237">
        <v>4.4370099999999999</v>
      </c>
      <c r="D237">
        <v>4.34666</v>
      </c>
      <c r="E237">
        <v>2.2965800000000001</v>
      </c>
      <c r="F237">
        <v>1.09219</v>
      </c>
      <c r="G237">
        <v>0</v>
      </c>
      <c r="H237">
        <v>0.1091678</v>
      </c>
      <c r="I237">
        <v>1.6712</v>
      </c>
    </row>
    <row r="238" spans="1:9" x14ac:dyDescent="0.25">
      <c r="A238" t="s">
        <v>21</v>
      </c>
      <c r="B238">
        <v>2018</v>
      </c>
      <c r="C238">
        <v>1086.5199250000001</v>
      </c>
      <c r="D238">
        <v>1606.69363</v>
      </c>
      <c r="E238">
        <v>394.98676899999998</v>
      </c>
      <c r="F238">
        <v>71.652519999999996</v>
      </c>
      <c r="G238">
        <v>5.4710000000000001</v>
      </c>
      <c r="H238">
        <v>0.46440520000000002</v>
      </c>
      <c r="I238">
        <v>35.036000000000001</v>
      </c>
    </row>
    <row r="239" spans="1:9" x14ac:dyDescent="0.25">
      <c r="A239" t="s">
        <v>22</v>
      </c>
      <c r="B239">
        <v>2018</v>
      </c>
      <c r="C239">
        <v>224.555645</v>
      </c>
      <c r="D239">
        <v>132.61657500000001</v>
      </c>
      <c r="E239">
        <v>64.342219</v>
      </c>
      <c r="F239">
        <v>103.23487</v>
      </c>
      <c r="G239">
        <v>1352.759</v>
      </c>
      <c r="H239">
        <v>0</v>
      </c>
      <c r="I239">
        <v>50</v>
      </c>
    </row>
    <row r="240" spans="1:9" x14ac:dyDescent="0.25">
      <c r="A240" t="s">
        <v>23</v>
      </c>
      <c r="B240">
        <v>2018</v>
      </c>
      <c r="C240">
        <v>1645.1994400000001</v>
      </c>
      <c r="D240">
        <v>1467.8286250000001</v>
      </c>
      <c r="E240">
        <v>1376.9310270000001</v>
      </c>
      <c r="F240">
        <v>21.97503</v>
      </c>
      <c r="G240">
        <v>36.80603</v>
      </c>
      <c r="H240">
        <v>0.85300319999999996</v>
      </c>
      <c r="I240">
        <v>122.9832</v>
      </c>
    </row>
    <row r="241" spans="1:9" x14ac:dyDescent="0.25">
      <c r="A241" t="s">
        <v>24</v>
      </c>
      <c r="B241">
        <v>2018</v>
      </c>
      <c r="C241">
        <v>222.68093500000001</v>
      </c>
      <c r="D241">
        <v>344.37374499999999</v>
      </c>
      <c r="E241">
        <v>247.6126075</v>
      </c>
      <c r="F241">
        <v>180.01647</v>
      </c>
      <c r="G241">
        <v>12.548999999999999</v>
      </c>
      <c r="H241">
        <v>6.0360187999999999</v>
      </c>
      <c r="I241">
        <v>32.799999999999997</v>
      </c>
    </row>
    <row r="242" spans="1:9" x14ac:dyDescent="0.25">
      <c r="A242" t="s">
        <v>25</v>
      </c>
      <c r="B242">
        <v>2018</v>
      </c>
      <c r="C242">
        <v>739.18761500000005</v>
      </c>
      <c r="D242">
        <v>483.88719500000002</v>
      </c>
      <c r="E242">
        <v>491.83660700000001</v>
      </c>
      <c r="F242">
        <v>930.74411499999997</v>
      </c>
      <c r="G242">
        <v>7.3</v>
      </c>
      <c r="H242">
        <v>0</v>
      </c>
      <c r="I242">
        <v>135.21039999999999</v>
      </c>
    </row>
    <row r="243" spans="1:9" x14ac:dyDescent="0.25">
      <c r="A243" t="s">
        <v>26</v>
      </c>
      <c r="B243">
        <v>2018</v>
      </c>
      <c r="C243">
        <v>89.451220000000006</v>
      </c>
      <c r="D243">
        <v>64.128855000000001</v>
      </c>
      <c r="E243">
        <v>57.787117000000002</v>
      </c>
      <c r="F243">
        <v>28.488679999999999</v>
      </c>
      <c r="G243">
        <v>1.3380000000000001</v>
      </c>
      <c r="H243">
        <v>4.3204000000000003E-3</v>
      </c>
      <c r="I243">
        <v>5.3548</v>
      </c>
    </row>
    <row r="244" spans="1:9" x14ac:dyDescent="0.25">
      <c r="A244" t="s">
        <v>27</v>
      </c>
      <c r="B244">
        <v>2018</v>
      </c>
      <c r="C244">
        <v>97.115075000000004</v>
      </c>
      <c r="D244">
        <v>18.109304999999999</v>
      </c>
      <c r="E244">
        <v>42.810023000000001</v>
      </c>
      <c r="F244">
        <v>9.28782</v>
      </c>
      <c r="G244">
        <v>2.0790000000000002</v>
      </c>
      <c r="H244">
        <v>1.6273599999999999E-2</v>
      </c>
      <c r="I244">
        <v>10.3628</v>
      </c>
    </row>
    <row r="245" spans="1:9" x14ac:dyDescent="0.25">
      <c r="A245" t="s">
        <v>28</v>
      </c>
      <c r="B245">
        <v>2018</v>
      </c>
      <c r="C245">
        <v>893.65711499999998</v>
      </c>
      <c r="D245">
        <v>4024.3965149999999</v>
      </c>
      <c r="E245">
        <v>870.11329799999999</v>
      </c>
      <c r="F245">
        <v>1417.9500499999999</v>
      </c>
      <c r="G245">
        <v>345.63499999999999</v>
      </c>
      <c r="H245">
        <v>60.706800000000001</v>
      </c>
      <c r="I245">
        <v>252.94200000000001</v>
      </c>
    </row>
    <row r="246" spans="1:9" x14ac:dyDescent="0.25">
      <c r="A246" t="s">
        <v>29</v>
      </c>
      <c r="B246">
        <v>2018</v>
      </c>
      <c r="C246">
        <v>299.00257499999998</v>
      </c>
      <c r="D246">
        <v>197.95714000000001</v>
      </c>
      <c r="E246">
        <v>104.41024400000001</v>
      </c>
      <c r="F246">
        <v>27.8246</v>
      </c>
      <c r="G246">
        <v>11.108000000000001</v>
      </c>
      <c r="H246">
        <v>0</v>
      </c>
      <c r="I246">
        <v>142.4</v>
      </c>
    </row>
    <row r="247" spans="1:9" x14ac:dyDescent="0.25">
      <c r="A247" t="s">
        <v>30</v>
      </c>
      <c r="B247">
        <v>2018</v>
      </c>
      <c r="C247">
        <v>482.10712999999998</v>
      </c>
      <c r="D247">
        <v>196.71037999999999</v>
      </c>
      <c r="E247">
        <v>75.103847000000002</v>
      </c>
      <c r="F247">
        <v>31.99654</v>
      </c>
      <c r="G247">
        <v>0</v>
      </c>
      <c r="H247">
        <v>0.60775400000000002</v>
      </c>
      <c r="I247">
        <v>32.020000000000003</v>
      </c>
    </row>
    <row r="248" spans="1:9" x14ac:dyDescent="0.25">
      <c r="A248" t="s">
        <v>1</v>
      </c>
      <c r="B248">
        <v>2019</v>
      </c>
      <c r="C248">
        <v>434.28314499999999</v>
      </c>
      <c r="D248">
        <v>358.20507500000002</v>
      </c>
      <c r="E248">
        <v>81.986101000000005</v>
      </c>
      <c r="F248">
        <v>37.993960000000001</v>
      </c>
      <c r="G248">
        <v>0</v>
      </c>
      <c r="H248">
        <v>0</v>
      </c>
      <c r="I248">
        <v>38.198799999999999</v>
      </c>
    </row>
    <row r="249" spans="1:9" x14ac:dyDescent="0.25">
      <c r="A249" t="s">
        <v>2</v>
      </c>
      <c r="B249">
        <v>2019</v>
      </c>
      <c r="C249">
        <v>465.78500000000003</v>
      </c>
      <c r="D249">
        <v>839.46537999999998</v>
      </c>
      <c r="E249">
        <v>271.92829699999999</v>
      </c>
      <c r="F249">
        <v>17.160630000000001</v>
      </c>
      <c r="G249">
        <v>0</v>
      </c>
      <c r="H249">
        <v>3.7465540000000002</v>
      </c>
      <c r="I249">
        <v>119.25879999999999</v>
      </c>
    </row>
    <row r="250" spans="1:9" x14ac:dyDescent="0.25">
      <c r="A250" t="s">
        <v>3</v>
      </c>
      <c r="B250">
        <v>2019</v>
      </c>
      <c r="C250">
        <v>106.36833</v>
      </c>
      <c r="D250">
        <v>89.603245000000001</v>
      </c>
      <c r="E250">
        <v>51.854170000000003</v>
      </c>
      <c r="F250">
        <v>98.812740000000005</v>
      </c>
      <c r="G250">
        <v>13.494999999999999</v>
      </c>
      <c r="H250">
        <v>4.3217999999999998E-3</v>
      </c>
      <c r="I250">
        <v>25.369199999999999</v>
      </c>
    </row>
    <row r="251" spans="1:9" x14ac:dyDescent="0.25">
      <c r="A251" t="s">
        <v>4</v>
      </c>
      <c r="B251">
        <v>2019</v>
      </c>
      <c r="C251">
        <v>102.16546</v>
      </c>
      <c r="D251">
        <v>92.422965000000005</v>
      </c>
      <c r="E251">
        <v>45.957723000000001</v>
      </c>
      <c r="F251">
        <v>48.605980000000002</v>
      </c>
      <c r="G251">
        <v>20.39</v>
      </c>
      <c r="H251">
        <v>3.9998000000000004E-3</v>
      </c>
      <c r="I251">
        <v>9.8948</v>
      </c>
    </row>
    <row r="252" spans="1:9" x14ac:dyDescent="0.25">
      <c r="A252" t="s">
        <v>5</v>
      </c>
      <c r="B252">
        <v>2019</v>
      </c>
      <c r="C252">
        <v>24.284420000000001</v>
      </c>
      <c r="D252">
        <v>46.04336</v>
      </c>
      <c r="E252">
        <v>13.546035</v>
      </c>
      <c r="F252">
        <v>47.072674999999997</v>
      </c>
      <c r="G252">
        <v>8.0790000000000006</v>
      </c>
      <c r="H252">
        <v>6.9178199999999995E-2</v>
      </c>
      <c r="I252">
        <v>2.0108000000000001</v>
      </c>
    </row>
    <row r="253" spans="1:9" x14ac:dyDescent="0.25">
      <c r="A253" t="s">
        <v>6</v>
      </c>
      <c r="B253">
        <v>2019</v>
      </c>
      <c r="C253">
        <v>290.42622</v>
      </c>
      <c r="D253">
        <v>198.61372</v>
      </c>
      <c r="E253">
        <v>130.48242999999999</v>
      </c>
      <c r="F253">
        <v>16.708159999999999</v>
      </c>
      <c r="G253">
        <v>20.986000000000001</v>
      </c>
      <c r="H253">
        <v>6.8418000000000001</v>
      </c>
      <c r="I253">
        <v>37.962400000000002</v>
      </c>
    </row>
    <row r="254" spans="1:9" x14ac:dyDescent="0.25">
      <c r="A254" t="s">
        <v>7</v>
      </c>
      <c r="B254">
        <v>2019</v>
      </c>
      <c r="C254">
        <v>386.5016</v>
      </c>
      <c r="D254">
        <v>1724.261285</v>
      </c>
      <c r="E254">
        <v>126.1661</v>
      </c>
      <c r="F254">
        <v>12.439624999999999</v>
      </c>
      <c r="G254">
        <v>43</v>
      </c>
      <c r="H254">
        <v>0</v>
      </c>
      <c r="I254">
        <v>70</v>
      </c>
    </row>
    <row r="255" spans="1:9" x14ac:dyDescent="0.25">
      <c r="A255" t="s">
        <v>8</v>
      </c>
      <c r="B255">
        <v>2019</v>
      </c>
      <c r="C255">
        <v>59.284840000000003</v>
      </c>
      <c r="D255">
        <v>41.699159999999999</v>
      </c>
      <c r="E255">
        <v>2.4973580000000002</v>
      </c>
      <c r="F255">
        <v>5.6914600000000002</v>
      </c>
      <c r="G255">
        <v>1.0620000000000001</v>
      </c>
      <c r="H255">
        <v>0</v>
      </c>
      <c r="I255">
        <v>4.6608000000000001</v>
      </c>
    </row>
    <row r="256" spans="1:9" x14ac:dyDescent="0.25">
      <c r="A256" t="s">
        <v>9</v>
      </c>
      <c r="B256">
        <v>2019</v>
      </c>
      <c r="C256">
        <v>211.33946</v>
      </c>
      <c r="D256">
        <v>141.99709999999999</v>
      </c>
      <c r="E256">
        <v>83.861985000000004</v>
      </c>
      <c r="F256">
        <v>12.22752</v>
      </c>
      <c r="G256">
        <v>15.295999999999999</v>
      </c>
      <c r="H256">
        <v>0</v>
      </c>
      <c r="I256">
        <v>29.72</v>
      </c>
    </row>
    <row r="257" spans="1:9" x14ac:dyDescent="0.25">
      <c r="A257" t="s">
        <v>10</v>
      </c>
      <c r="B257">
        <v>2019</v>
      </c>
      <c r="C257">
        <v>3090.1624750000001</v>
      </c>
      <c r="D257">
        <v>1800.6317349999999</v>
      </c>
      <c r="E257">
        <v>1091.5196579999999</v>
      </c>
      <c r="F257">
        <v>635.61703999999997</v>
      </c>
      <c r="G257">
        <v>45.970999999999997</v>
      </c>
      <c r="H257">
        <v>41.014400000000002</v>
      </c>
      <c r="I257">
        <v>280.46159999999998</v>
      </c>
    </row>
    <row r="258" spans="1:9" x14ac:dyDescent="0.25">
      <c r="A258" t="s">
        <v>11</v>
      </c>
      <c r="B258">
        <v>2019</v>
      </c>
      <c r="C258">
        <v>3008.7059599999998</v>
      </c>
      <c r="D258">
        <v>3586.8033949999999</v>
      </c>
      <c r="E258">
        <v>1032.9533590000001</v>
      </c>
      <c r="F258">
        <v>137.26418000000001</v>
      </c>
      <c r="G258">
        <v>18.547999999999998</v>
      </c>
      <c r="H258">
        <v>22.894200000000001</v>
      </c>
      <c r="I258">
        <v>520</v>
      </c>
    </row>
    <row r="259" spans="1:9" x14ac:dyDescent="0.25">
      <c r="A259" t="s">
        <v>12</v>
      </c>
      <c r="B259">
        <v>2019</v>
      </c>
      <c r="C259">
        <v>78.327070000000006</v>
      </c>
      <c r="D259">
        <v>100.247355</v>
      </c>
      <c r="E259">
        <v>138.31438</v>
      </c>
      <c r="F259">
        <v>749.51233999999999</v>
      </c>
      <c r="G259">
        <v>104.944</v>
      </c>
      <c r="H259">
        <v>2.1097454</v>
      </c>
      <c r="I259">
        <v>2.3607999999999998</v>
      </c>
    </row>
    <row r="260" spans="1:9" x14ac:dyDescent="0.25">
      <c r="A260" t="s">
        <v>13</v>
      </c>
      <c r="B260">
        <v>2019</v>
      </c>
      <c r="C260">
        <v>168.09256500000001</v>
      </c>
      <c r="D260">
        <v>317.50592</v>
      </c>
      <c r="E260">
        <v>201.73697999999999</v>
      </c>
      <c r="F260">
        <v>92.858249999999998</v>
      </c>
      <c r="G260">
        <v>20.619</v>
      </c>
      <c r="H260">
        <v>1.6850400000000001</v>
      </c>
      <c r="I260">
        <v>20.64</v>
      </c>
    </row>
    <row r="261" spans="1:9" x14ac:dyDescent="0.25">
      <c r="A261" t="s">
        <v>14</v>
      </c>
      <c r="B261">
        <v>2019</v>
      </c>
      <c r="C261">
        <v>19.621749999999999</v>
      </c>
      <c r="D261">
        <v>5.9069000000000003</v>
      </c>
      <c r="E261">
        <v>6.06</v>
      </c>
      <c r="F261">
        <v>42.383499999999998</v>
      </c>
      <c r="G261">
        <v>33.959000000000003</v>
      </c>
      <c r="H261">
        <v>0</v>
      </c>
      <c r="I261">
        <v>23.349599999999999</v>
      </c>
    </row>
    <row r="262" spans="1:9" x14ac:dyDescent="0.25">
      <c r="A262" t="s">
        <v>15</v>
      </c>
      <c r="B262">
        <v>2019</v>
      </c>
      <c r="C262">
        <v>1282.3749749999999</v>
      </c>
      <c r="D262">
        <v>283.99529999999999</v>
      </c>
      <c r="E262">
        <v>101.94272100000001</v>
      </c>
      <c r="F262">
        <v>337.69263000000001</v>
      </c>
      <c r="G262">
        <v>38</v>
      </c>
      <c r="H262">
        <v>0</v>
      </c>
      <c r="I262">
        <v>100</v>
      </c>
    </row>
    <row r="263" spans="1:9" x14ac:dyDescent="0.25">
      <c r="A263" t="s">
        <v>16</v>
      </c>
      <c r="B263">
        <v>2019</v>
      </c>
      <c r="C263">
        <v>1448.6704</v>
      </c>
      <c r="D263">
        <v>830.71285</v>
      </c>
      <c r="E263">
        <v>755.39253699999995</v>
      </c>
      <c r="F263">
        <v>564.22843999999998</v>
      </c>
      <c r="G263">
        <v>61.8</v>
      </c>
      <c r="H263">
        <v>28.7</v>
      </c>
      <c r="I263">
        <v>138.012</v>
      </c>
    </row>
    <row r="264" spans="1:9" x14ac:dyDescent="0.25">
      <c r="A264" t="s">
        <v>17</v>
      </c>
      <c r="B264">
        <v>2019</v>
      </c>
      <c r="C264">
        <v>88.180515</v>
      </c>
      <c r="D264">
        <v>39.948009999999996</v>
      </c>
      <c r="E264">
        <v>21.746769</v>
      </c>
      <c r="F264">
        <v>8.1182599999999994</v>
      </c>
      <c r="G264">
        <v>0</v>
      </c>
      <c r="H264">
        <v>3.6682800000000002E-2</v>
      </c>
      <c r="I264">
        <v>3.3096000000000001</v>
      </c>
    </row>
    <row r="265" spans="1:9" x14ac:dyDescent="0.25">
      <c r="A265" t="s">
        <v>18</v>
      </c>
      <c r="B265">
        <v>2019</v>
      </c>
      <c r="C265">
        <v>164.54526000000001</v>
      </c>
      <c r="D265">
        <v>68.719139999999996</v>
      </c>
      <c r="E265">
        <v>58.027290000000001</v>
      </c>
      <c r="F265">
        <v>11.740259999999999</v>
      </c>
      <c r="G265">
        <v>1.5429999999999999</v>
      </c>
      <c r="H265">
        <v>4.5365599999999999E-2</v>
      </c>
      <c r="I265">
        <v>6.1180000000000003</v>
      </c>
    </row>
    <row r="266" spans="1:9" x14ac:dyDescent="0.25">
      <c r="A266" t="s">
        <v>19</v>
      </c>
      <c r="B266">
        <v>2019</v>
      </c>
      <c r="C266">
        <v>41.305815000000003</v>
      </c>
      <c r="D266">
        <v>9.7329450000000008</v>
      </c>
      <c r="E266">
        <v>0.16606699999999999</v>
      </c>
      <c r="F266">
        <v>0.720275</v>
      </c>
      <c r="G266">
        <v>0</v>
      </c>
      <c r="H266">
        <v>0</v>
      </c>
      <c r="I266">
        <v>1.8675999999999999</v>
      </c>
    </row>
    <row r="267" spans="1:9" x14ac:dyDescent="0.25">
      <c r="A267" t="s">
        <v>20</v>
      </c>
      <c r="B267">
        <v>2019</v>
      </c>
      <c r="C267">
        <v>4.2827000000000002</v>
      </c>
      <c r="D267">
        <v>4.1985950000000001</v>
      </c>
      <c r="E267">
        <v>2.29114</v>
      </c>
      <c r="F267">
        <v>1.1018650000000001</v>
      </c>
      <c r="G267">
        <v>0</v>
      </c>
      <c r="H267">
        <v>8.7371199999999996E-2</v>
      </c>
      <c r="I267">
        <v>1.8620000000000001</v>
      </c>
    </row>
    <row r="268" spans="1:9" x14ac:dyDescent="0.25">
      <c r="A268" t="s">
        <v>21</v>
      </c>
      <c r="B268">
        <v>2019</v>
      </c>
      <c r="C268">
        <v>1022.549605</v>
      </c>
      <c r="D268">
        <v>1643.68337</v>
      </c>
      <c r="E268">
        <v>391.623197</v>
      </c>
      <c r="F268">
        <v>73.427459999999996</v>
      </c>
      <c r="G268">
        <v>5.5819999999999999</v>
      </c>
      <c r="H268">
        <v>0.47086899999999998</v>
      </c>
      <c r="I268">
        <v>35.027200000000001</v>
      </c>
    </row>
    <row r="269" spans="1:9" x14ac:dyDescent="0.25">
      <c r="A269" t="s">
        <v>22</v>
      </c>
      <c r="B269">
        <v>2019</v>
      </c>
      <c r="C269">
        <v>217.35546500000001</v>
      </c>
      <c r="D269">
        <v>125.638575</v>
      </c>
      <c r="E269">
        <v>69.918645999999995</v>
      </c>
      <c r="F269">
        <v>95.03295</v>
      </c>
      <c r="G269">
        <v>1441.6179999999999</v>
      </c>
      <c r="H269">
        <v>0</v>
      </c>
      <c r="I269">
        <v>50</v>
      </c>
    </row>
    <row r="270" spans="1:9" x14ac:dyDescent="0.25">
      <c r="A270" t="s">
        <v>23</v>
      </c>
      <c r="B270">
        <v>2019</v>
      </c>
      <c r="C270">
        <v>1599.3314150000001</v>
      </c>
      <c r="D270">
        <v>1391.5037400000001</v>
      </c>
      <c r="E270">
        <v>1374.966015</v>
      </c>
      <c r="F270">
        <v>21.740929999999999</v>
      </c>
      <c r="G270">
        <v>39.730539999999998</v>
      </c>
      <c r="H270">
        <v>2.1572922000000001</v>
      </c>
      <c r="I270">
        <v>108.5296</v>
      </c>
    </row>
    <row r="271" spans="1:9" x14ac:dyDescent="0.25">
      <c r="A271" t="s">
        <v>24</v>
      </c>
      <c r="B271">
        <v>2019</v>
      </c>
      <c r="C271">
        <v>211.00221500000001</v>
      </c>
      <c r="D271">
        <v>362.68799000000001</v>
      </c>
      <c r="E271">
        <v>229.199018</v>
      </c>
      <c r="F271">
        <v>181.96972</v>
      </c>
      <c r="G271">
        <v>13.992000000000001</v>
      </c>
      <c r="H271">
        <v>6.1960443999999999</v>
      </c>
      <c r="I271">
        <v>34.799999999999997</v>
      </c>
    </row>
    <row r="272" spans="1:9" x14ac:dyDescent="0.25">
      <c r="A272" t="s">
        <v>25</v>
      </c>
      <c r="B272">
        <v>2019</v>
      </c>
      <c r="C272">
        <v>910.59686499999998</v>
      </c>
      <c r="D272">
        <v>692.72695999999996</v>
      </c>
      <c r="E272">
        <v>544.11072200000001</v>
      </c>
      <c r="F272">
        <v>861.2722</v>
      </c>
      <c r="G272">
        <v>7.3659999999999997</v>
      </c>
      <c r="H272">
        <v>4.8020000000000002E-4</v>
      </c>
      <c r="I272">
        <v>118.57599999999999</v>
      </c>
    </row>
    <row r="273" spans="1:9" x14ac:dyDescent="0.25">
      <c r="A273" t="s">
        <v>26</v>
      </c>
      <c r="B273">
        <v>2019</v>
      </c>
      <c r="C273">
        <v>83.148830000000004</v>
      </c>
      <c r="D273">
        <v>65.151989999999998</v>
      </c>
      <c r="E273">
        <v>59.192657500000003</v>
      </c>
      <c r="F273">
        <v>25.991160000000001</v>
      </c>
      <c r="G273">
        <v>2.536</v>
      </c>
      <c r="H273">
        <v>6.6556000000000002E-3</v>
      </c>
      <c r="I273">
        <v>5.7591999999999999</v>
      </c>
    </row>
    <row r="274" spans="1:9" x14ac:dyDescent="0.25">
      <c r="A274" t="s">
        <v>27</v>
      </c>
      <c r="B274">
        <v>2019</v>
      </c>
      <c r="C274">
        <v>94.242744999999999</v>
      </c>
      <c r="D274">
        <v>18.459095000000001</v>
      </c>
      <c r="E274">
        <v>42.59657</v>
      </c>
      <c r="F274">
        <v>8.9343850000000007</v>
      </c>
      <c r="G274">
        <v>2.3069999999999999</v>
      </c>
      <c r="H274">
        <v>3.4692E-3</v>
      </c>
      <c r="I274">
        <v>10.5372</v>
      </c>
    </row>
    <row r="275" spans="1:9" x14ac:dyDescent="0.25">
      <c r="A275" t="s">
        <v>28</v>
      </c>
      <c r="B275">
        <v>2019</v>
      </c>
      <c r="C275">
        <v>939.95061499999997</v>
      </c>
      <c r="D275">
        <v>4075.9440949999998</v>
      </c>
      <c r="E275">
        <v>893.40087400000004</v>
      </c>
      <c r="F275">
        <v>1388.1943200000001</v>
      </c>
      <c r="G275">
        <v>342.86700000000002</v>
      </c>
      <c r="H275">
        <v>57.4084</v>
      </c>
      <c r="I275">
        <v>252.28</v>
      </c>
    </row>
    <row r="276" spans="1:9" x14ac:dyDescent="0.25">
      <c r="A276" t="s">
        <v>29</v>
      </c>
      <c r="B276">
        <v>2019</v>
      </c>
      <c r="C276">
        <v>295.48189500000001</v>
      </c>
      <c r="D276">
        <v>198.11386999999999</v>
      </c>
      <c r="E276">
        <v>109.423705</v>
      </c>
      <c r="F276">
        <v>26.058399999999999</v>
      </c>
      <c r="G276">
        <v>9.6020000000000003</v>
      </c>
      <c r="H276">
        <v>0</v>
      </c>
      <c r="I276">
        <v>142.4</v>
      </c>
    </row>
    <row r="277" spans="1:9" x14ac:dyDescent="0.25">
      <c r="A277" t="s">
        <v>30</v>
      </c>
      <c r="B277">
        <v>2019</v>
      </c>
      <c r="C277">
        <v>475.22365000000002</v>
      </c>
      <c r="D277">
        <v>189.62286</v>
      </c>
      <c r="E277">
        <v>75.140538000000006</v>
      </c>
      <c r="F277">
        <v>32.004874999999998</v>
      </c>
      <c r="G277">
        <v>0</v>
      </c>
      <c r="H277">
        <v>0.64288979999999996</v>
      </c>
      <c r="I277">
        <v>44.7836</v>
      </c>
    </row>
    <row r="278" spans="1:9" x14ac:dyDescent="0.25">
      <c r="A278" t="s">
        <v>1</v>
      </c>
      <c r="B278">
        <v>2020</v>
      </c>
      <c r="C278">
        <v>421.66840500000001</v>
      </c>
      <c r="D278">
        <v>357.24840499999999</v>
      </c>
      <c r="E278">
        <v>89.071185999999997</v>
      </c>
      <c r="F278">
        <v>36.106000000000002</v>
      </c>
      <c r="G278">
        <v>0</v>
      </c>
      <c r="H278">
        <v>0</v>
      </c>
      <c r="I278">
        <v>38.198799999999999</v>
      </c>
    </row>
    <row r="279" spans="1:9" x14ac:dyDescent="0.25">
      <c r="A279" t="s">
        <v>2</v>
      </c>
      <c r="B279">
        <v>2020</v>
      </c>
      <c r="C279">
        <v>484.29897</v>
      </c>
      <c r="D279">
        <v>832.11613499999999</v>
      </c>
      <c r="E279">
        <v>284.54551600000002</v>
      </c>
      <c r="F279">
        <v>18.533825</v>
      </c>
      <c r="G279">
        <v>0</v>
      </c>
      <c r="H279">
        <v>3.6366679999999998</v>
      </c>
      <c r="I279">
        <v>122.2</v>
      </c>
    </row>
    <row r="280" spans="1:9" x14ac:dyDescent="0.25">
      <c r="A280" t="s">
        <v>3</v>
      </c>
      <c r="B280">
        <v>2020</v>
      </c>
      <c r="C280">
        <v>113.82147500000001</v>
      </c>
      <c r="D280">
        <v>75.724360000000004</v>
      </c>
      <c r="E280">
        <v>42.382441</v>
      </c>
      <c r="F280">
        <v>99.620739999999998</v>
      </c>
      <c r="G280">
        <v>14.053000000000001</v>
      </c>
      <c r="H280">
        <v>2.8195999999999998E-3</v>
      </c>
      <c r="I280">
        <v>22.750800000000002</v>
      </c>
    </row>
    <row r="281" spans="1:9" x14ac:dyDescent="0.25">
      <c r="A281" t="s">
        <v>4</v>
      </c>
      <c r="B281">
        <v>2020</v>
      </c>
      <c r="C281">
        <v>103.300505</v>
      </c>
      <c r="D281">
        <v>92.002080000000007</v>
      </c>
      <c r="E281">
        <v>49.388599999999997</v>
      </c>
      <c r="F281">
        <v>52.46658</v>
      </c>
      <c r="G281">
        <v>20.92</v>
      </c>
      <c r="H281">
        <v>8.3300000000000006E-3</v>
      </c>
      <c r="I281">
        <v>10.8392</v>
      </c>
    </row>
    <row r="282" spans="1:9" x14ac:dyDescent="0.25">
      <c r="A282" t="s">
        <v>5</v>
      </c>
      <c r="B282">
        <v>2020</v>
      </c>
      <c r="C282">
        <v>24.810105</v>
      </c>
      <c r="D282">
        <v>44.783445</v>
      </c>
      <c r="E282">
        <v>12.716995000000001</v>
      </c>
      <c r="F282">
        <v>48.551650000000002</v>
      </c>
      <c r="G282">
        <v>7.343</v>
      </c>
      <c r="H282">
        <v>6.0513600000000001E-2</v>
      </c>
      <c r="I282">
        <v>2.0131999999999999</v>
      </c>
    </row>
    <row r="283" spans="1:9" x14ac:dyDescent="0.25">
      <c r="A283" t="s">
        <v>6</v>
      </c>
      <c r="B283">
        <v>2020</v>
      </c>
      <c r="C283">
        <v>287.82780500000001</v>
      </c>
      <c r="D283">
        <v>198.59393499999999</v>
      </c>
      <c r="E283">
        <v>130.92396099999999</v>
      </c>
      <c r="F283">
        <v>15.83376</v>
      </c>
      <c r="G283">
        <v>20.401</v>
      </c>
      <c r="H283">
        <v>6.8963999999999999</v>
      </c>
      <c r="I283">
        <v>38.8688</v>
      </c>
    </row>
    <row r="284" spans="1:9" x14ac:dyDescent="0.25">
      <c r="A284" t="s">
        <v>7</v>
      </c>
      <c r="B284">
        <v>2020</v>
      </c>
      <c r="C284">
        <v>380.40699999999998</v>
      </c>
      <c r="D284">
        <v>1753.5227850000001</v>
      </c>
      <c r="E284">
        <v>122.90025</v>
      </c>
      <c r="F284">
        <v>11.560425</v>
      </c>
      <c r="G284">
        <v>46.353000000000002</v>
      </c>
      <c r="H284">
        <v>0</v>
      </c>
      <c r="I284">
        <v>70</v>
      </c>
    </row>
    <row r="285" spans="1:9" x14ac:dyDescent="0.25">
      <c r="A285" t="s">
        <v>8</v>
      </c>
      <c r="B285">
        <v>2020</v>
      </c>
      <c r="C285">
        <v>59.199125000000002</v>
      </c>
      <c r="D285">
        <v>43.169229999999999</v>
      </c>
      <c r="E285">
        <v>2.3706719999999999</v>
      </c>
      <c r="F285">
        <v>5.4985400000000002</v>
      </c>
      <c r="G285">
        <v>1.04</v>
      </c>
      <c r="H285">
        <v>0</v>
      </c>
      <c r="I285">
        <v>4.6124000000000001</v>
      </c>
    </row>
    <row r="286" spans="1:9" x14ac:dyDescent="0.25">
      <c r="A286" t="s">
        <v>9</v>
      </c>
      <c r="B286">
        <v>2020</v>
      </c>
      <c r="C286">
        <v>206.84291999999999</v>
      </c>
      <c r="D286">
        <v>145.68317500000001</v>
      </c>
      <c r="E286">
        <v>85.367643999999999</v>
      </c>
      <c r="F286">
        <v>11.845459999999999</v>
      </c>
      <c r="G286">
        <v>15.053000000000001</v>
      </c>
      <c r="H286">
        <v>0</v>
      </c>
      <c r="I286">
        <v>29.6</v>
      </c>
    </row>
    <row r="287" spans="1:9" x14ac:dyDescent="0.25">
      <c r="A287" t="s">
        <v>10</v>
      </c>
      <c r="B287">
        <v>2020</v>
      </c>
      <c r="C287">
        <v>3065.4282149999999</v>
      </c>
      <c r="D287">
        <v>1810.92922</v>
      </c>
      <c r="E287">
        <v>1086.8053709999999</v>
      </c>
      <c r="F287">
        <v>644.02919999999995</v>
      </c>
      <c r="G287">
        <v>46.271999999999998</v>
      </c>
      <c r="H287">
        <v>39.104799999999997</v>
      </c>
      <c r="I287">
        <v>272.3048</v>
      </c>
    </row>
    <row r="288" spans="1:9" x14ac:dyDescent="0.25">
      <c r="A288" t="s">
        <v>11</v>
      </c>
      <c r="B288">
        <v>2020</v>
      </c>
      <c r="C288">
        <v>2922.400705</v>
      </c>
      <c r="D288">
        <v>3534.23594</v>
      </c>
      <c r="E288">
        <v>1022.092141</v>
      </c>
      <c r="F288">
        <v>132.36876000000001</v>
      </c>
      <c r="G288">
        <v>18.547999999999998</v>
      </c>
      <c r="H288">
        <v>23.132480000000001</v>
      </c>
      <c r="I288">
        <v>520</v>
      </c>
    </row>
    <row r="289" spans="1:9" x14ac:dyDescent="0.25">
      <c r="A289" t="s">
        <v>12</v>
      </c>
      <c r="B289">
        <v>2020</v>
      </c>
      <c r="C289">
        <v>75.691185000000004</v>
      </c>
      <c r="D289">
        <v>99.164699999999996</v>
      </c>
      <c r="E289">
        <v>144.47534999999999</v>
      </c>
      <c r="F289">
        <v>687.53592000000003</v>
      </c>
      <c r="G289">
        <v>112.9147</v>
      </c>
      <c r="H289">
        <v>2.1253791999999998</v>
      </c>
      <c r="I289">
        <v>2.2023999999999999</v>
      </c>
    </row>
    <row r="290" spans="1:9" x14ac:dyDescent="0.25">
      <c r="A290" t="s">
        <v>13</v>
      </c>
      <c r="B290">
        <v>2020</v>
      </c>
      <c r="C290">
        <v>154.00805</v>
      </c>
      <c r="D290">
        <v>333.07511</v>
      </c>
      <c r="E290">
        <v>210.89182299999999</v>
      </c>
      <c r="F290">
        <v>81.979029999999995</v>
      </c>
      <c r="G290">
        <v>21.353000000000002</v>
      </c>
      <c r="H290">
        <v>7.7109997999999997</v>
      </c>
      <c r="I290">
        <v>24</v>
      </c>
    </row>
    <row r="291" spans="1:9" x14ac:dyDescent="0.25">
      <c r="A291" t="s">
        <v>14</v>
      </c>
      <c r="B291">
        <v>2020</v>
      </c>
      <c r="C291">
        <v>18.937574999999999</v>
      </c>
      <c r="D291">
        <v>5.9187000000000003</v>
      </c>
      <c r="E291">
        <v>5.6971949999999998</v>
      </c>
      <c r="F291">
        <v>40.77205</v>
      </c>
      <c r="G291">
        <v>40.594999999999999</v>
      </c>
      <c r="H291">
        <v>0</v>
      </c>
      <c r="I291">
        <v>23.386399999999998</v>
      </c>
    </row>
    <row r="292" spans="1:9" x14ac:dyDescent="0.25">
      <c r="A292" t="s">
        <v>15</v>
      </c>
      <c r="B292">
        <v>2020</v>
      </c>
      <c r="C292">
        <v>1304.0005450000001</v>
      </c>
      <c r="D292">
        <v>293.70828999999998</v>
      </c>
      <c r="E292">
        <v>110.70960700000001</v>
      </c>
      <c r="F292">
        <v>343.57792999999998</v>
      </c>
      <c r="G292">
        <v>37.837000000000003</v>
      </c>
      <c r="H292">
        <v>0</v>
      </c>
      <c r="I292">
        <v>100</v>
      </c>
    </row>
    <row r="293" spans="1:9" x14ac:dyDescent="0.25">
      <c r="A293" t="s">
        <v>16</v>
      </c>
      <c r="B293">
        <v>2020</v>
      </c>
      <c r="C293">
        <v>1423.8437200000001</v>
      </c>
      <c r="D293">
        <v>782.08757000000003</v>
      </c>
      <c r="E293">
        <v>766.49903400000005</v>
      </c>
      <c r="F293">
        <v>571.14178000000004</v>
      </c>
      <c r="G293">
        <v>59.45</v>
      </c>
      <c r="H293">
        <v>30.1</v>
      </c>
      <c r="I293">
        <v>157.29079999999999</v>
      </c>
    </row>
    <row r="294" spans="1:9" x14ac:dyDescent="0.25">
      <c r="A294" t="s">
        <v>17</v>
      </c>
      <c r="B294">
        <v>2020</v>
      </c>
      <c r="C294">
        <v>87.828474999999997</v>
      </c>
      <c r="D294">
        <v>36.259599999999999</v>
      </c>
      <c r="E294">
        <v>22.613513000000001</v>
      </c>
      <c r="F294">
        <v>7.5688899999999997</v>
      </c>
      <c r="G294">
        <v>0</v>
      </c>
      <c r="H294">
        <v>4.1118000000000002E-2</v>
      </c>
      <c r="I294">
        <v>3.3191999999999999</v>
      </c>
    </row>
    <row r="295" spans="1:9" x14ac:dyDescent="0.25">
      <c r="A295" t="s">
        <v>18</v>
      </c>
      <c r="B295">
        <v>2020</v>
      </c>
      <c r="C295">
        <v>156.74602999999999</v>
      </c>
      <c r="D295">
        <v>70.680054999999996</v>
      </c>
      <c r="E295">
        <v>56.750141999999997</v>
      </c>
      <c r="F295">
        <v>10.8673</v>
      </c>
      <c r="G295">
        <v>1.597</v>
      </c>
      <c r="H295">
        <v>3.7895199999999997E-2</v>
      </c>
      <c r="I295">
        <v>5.97</v>
      </c>
    </row>
    <row r="296" spans="1:9" x14ac:dyDescent="0.25">
      <c r="A296" t="s">
        <v>19</v>
      </c>
      <c r="B296">
        <v>2020</v>
      </c>
      <c r="C296">
        <v>41.964950000000002</v>
      </c>
      <c r="D296">
        <v>9.7487499999999994</v>
      </c>
      <c r="E296">
        <v>0.143786</v>
      </c>
      <c r="F296">
        <v>0.71001499999999995</v>
      </c>
      <c r="G296">
        <v>0</v>
      </c>
      <c r="H296">
        <v>0</v>
      </c>
      <c r="I296">
        <v>1.8675999999999999</v>
      </c>
    </row>
    <row r="297" spans="1:9" x14ac:dyDescent="0.25">
      <c r="A297" t="s">
        <v>20</v>
      </c>
      <c r="B297">
        <v>2020</v>
      </c>
      <c r="C297">
        <v>4.4993449999999999</v>
      </c>
      <c r="D297">
        <v>4.59213</v>
      </c>
      <c r="E297">
        <v>2.3574980000000001</v>
      </c>
      <c r="F297">
        <v>1.124055</v>
      </c>
      <c r="G297">
        <v>0</v>
      </c>
      <c r="H297">
        <v>7.4486999999999998E-2</v>
      </c>
      <c r="I297">
        <v>2.0404</v>
      </c>
    </row>
    <row r="298" spans="1:9" x14ac:dyDescent="0.25">
      <c r="A298" t="s">
        <v>21</v>
      </c>
      <c r="B298">
        <v>2020</v>
      </c>
      <c r="C298">
        <v>1021.20282</v>
      </c>
      <c r="D298">
        <v>1596.7888250000001</v>
      </c>
      <c r="E298">
        <v>382.47977700000001</v>
      </c>
      <c r="F298">
        <v>72.209019999999995</v>
      </c>
      <c r="G298">
        <v>5.5819999999999999</v>
      </c>
      <c r="H298">
        <v>0.46894819999999998</v>
      </c>
      <c r="I298">
        <v>36.155999999999999</v>
      </c>
    </row>
    <row r="299" spans="1:9" x14ac:dyDescent="0.25">
      <c r="A299" t="s">
        <v>22</v>
      </c>
      <c r="B299">
        <v>2020</v>
      </c>
      <c r="C299">
        <v>213.47275500000001</v>
      </c>
      <c r="D299">
        <v>120.050355</v>
      </c>
      <c r="E299">
        <v>68.982733999999994</v>
      </c>
      <c r="F299">
        <v>92.33408</v>
      </c>
      <c r="G299">
        <v>1485.9939999999999</v>
      </c>
      <c r="H299">
        <v>0</v>
      </c>
      <c r="I299">
        <v>50</v>
      </c>
    </row>
    <row r="300" spans="1:9" x14ac:dyDescent="0.25">
      <c r="A300" t="s">
        <v>23</v>
      </c>
      <c r="B300">
        <v>2020</v>
      </c>
      <c r="C300">
        <v>1583.0936300000001</v>
      </c>
      <c r="D300">
        <v>1370.4431950000001</v>
      </c>
      <c r="E300">
        <v>1408.6120040000001</v>
      </c>
      <c r="F300">
        <v>21.236045000000001</v>
      </c>
      <c r="G300">
        <v>39.730539999999998</v>
      </c>
      <c r="H300">
        <v>2.1375633999999999</v>
      </c>
      <c r="I300">
        <v>116.4432</v>
      </c>
    </row>
    <row r="301" spans="1:9" x14ac:dyDescent="0.25">
      <c r="A301" t="s">
        <v>24</v>
      </c>
      <c r="B301">
        <v>2020</v>
      </c>
      <c r="C301">
        <v>212.21372</v>
      </c>
      <c r="D301">
        <v>359.15778999999998</v>
      </c>
      <c r="E301">
        <v>229.40056799999999</v>
      </c>
      <c r="F301">
        <v>177.77853999999999</v>
      </c>
      <c r="G301">
        <v>12.881</v>
      </c>
      <c r="H301">
        <v>5.7953700000000001</v>
      </c>
      <c r="I301">
        <v>34</v>
      </c>
    </row>
    <row r="302" spans="1:9" x14ac:dyDescent="0.25">
      <c r="A302" t="s">
        <v>25</v>
      </c>
      <c r="B302">
        <v>2020</v>
      </c>
      <c r="C302">
        <v>886.28446499999995</v>
      </c>
      <c r="D302">
        <v>618.17871000000002</v>
      </c>
      <c r="E302">
        <v>534.42355050000003</v>
      </c>
      <c r="F302">
        <v>850.14338999999995</v>
      </c>
      <c r="G302">
        <v>6.7756800000000004</v>
      </c>
      <c r="H302">
        <v>3.5000000000000001E-3</v>
      </c>
      <c r="I302">
        <v>107.9332</v>
      </c>
    </row>
    <row r="303" spans="1:9" x14ac:dyDescent="0.25">
      <c r="A303" t="s">
        <v>26</v>
      </c>
      <c r="B303">
        <v>2020</v>
      </c>
      <c r="C303">
        <v>83.276415</v>
      </c>
      <c r="D303">
        <v>59.525894999999998</v>
      </c>
      <c r="E303">
        <v>51.781188</v>
      </c>
      <c r="F303">
        <v>25.52637</v>
      </c>
      <c r="G303">
        <v>2.254</v>
      </c>
      <c r="H303">
        <v>4.4197999999999998E-3</v>
      </c>
      <c r="I303">
        <v>5.9340000000000002</v>
      </c>
    </row>
    <row r="304" spans="1:9" x14ac:dyDescent="0.25">
      <c r="A304" t="s">
        <v>27</v>
      </c>
      <c r="B304">
        <v>2020</v>
      </c>
      <c r="C304">
        <v>93.645790000000005</v>
      </c>
      <c r="D304">
        <v>17.656379999999999</v>
      </c>
      <c r="E304">
        <v>43.489297999999998</v>
      </c>
      <c r="F304">
        <v>8.8935899999999997</v>
      </c>
      <c r="G304">
        <v>1.845</v>
      </c>
      <c r="H304">
        <v>3.4299999999999999E-3</v>
      </c>
      <c r="I304">
        <v>10.4168</v>
      </c>
    </row>
    <row r="305" spans="1:9" x14ac:dyDescent="0.25">
      <c r="A305" t="s">
        <v>28</v>
      </c>
      <c r="B305">
        <v>2020</v>
      </c>
      <c r="C305">
        <v>934.99446499999999</v>
      </c>
      <c r="D305">
        <v>4253.0181249999996</v>
      </c>
      <c r="E305">
        <v>888.45945500000005</v>
      </c>
      <c r="F305">
        <v>1371.7252000000001</v>
      </c>
      <c r="G305">
        <v>310</v>
      </c>
      <c r="H305">
        <v>57.040199999999999</v>
      </c>
      <c r="I305">
        <v>252.28120000000001</v>
      </c>
    </row>
    <row r="306" spans="1:9" x14ac:dyDescent="0.25">
      <c r="A306" t="s">
        <v>29</v>
      </c>
      <c r="B306">
        <v>2020</v>
      </c>
      <c r="C306">
        <v>294.83120000000002</v>
      </c>
      <c r="D306">
        <v>200.82050000000001</v>
      </c>
      <c r="E306">
        <v>113.72589499999999</v>
      </c>
      <c r="F306">
        <v>24.584095000000001</v>
      </c>
      <c r="G306">
        <v>9.6020000000000003</v>
      </c>
      <c r="H306">
        <v>0</v>
      </c>
      <c r="I306">
        <v>142.4</v>
      </c>
    </row>
    <row r="307" spans="1:9" x14ac:dyDescent="0.25">
      <c r="A307" t="s">
        <v>30</v>
      </c>
      <c r="B307">
        <v>2020</v>
      </c>
      <c r="C307">
        <v>463.36259999999999</v>
      </c>
      <c r="D307">
        <v>187.85968</v>
      </c>
      <c r="E307">
        <v>78.387835999999993</v>
      </c>
      <c r="F307">
        <v>31.292235000000002</v>
      </c>
      <c r="G307">
        <v>0</v>
      </c>
      <c r="H307">
        <v>0.57182160000000004</v>
      </c>
      <c r="I307">
        <v>44.655999999999999</v>
      </c>
    </row>
    <row r="308" spans="1:9" x14ac:dyDescent="0.25">
      <c r="A308" t="s">
        <v>1</v>
      </c>
      <c r="B308">
        <v>2021</v>
      </c>
      <c r="C308">
        <v>419.96803</v>
      </c>
      <c r="D308">
        <v>358.44580999999999</v>
      </c>
      <c r="E308">
        <v>90.563336000000007</v>
      </c>
      <c r="F308">
        <v>37.143329999999999</v>
      </c>
      <c r="G308">
        <v>0</v>
      </c>
      <c r="H308">
        <v>0</v>
      </c>
      <c r="I308">
        <v>39.269599999999997</v>
      </c>
    </row>
    <row r="309" spans="1:9" x14ac:dyDescent="0.25">
      <c r="A309" t="s">
        <v>2</v>
      </c>
      <c r="B309">
        <v>2021</v>
      </c>
      <c r="C309">
        <v>473.38801000000001</v>
      </c>
      <c r="D309">
        <v>867.25062000000003</v>
      </c>
      <c r="E309">
        <v>283.44001300000002</v>
      </c>
      <c r="F309">
        <v>19.084685</v>
      </c>
      <c r="G309">
        <v>0</v>
      </c>
      <c r="H309">
        <v>3.6522192000000002</v>
      </c>
      <c r="I309">
        <v>122.706</v>
      </c>
    </row>
    <row r="310" spans="1:9" x14ac:dyDescent="0.25">
      <c r="A310" t="s">
        <v>3</v>
      </c>
      <c r="B310">
        <v>2021</v>
      </c>
      <c r="C310">
        <v>110.747955</v>
      </c>
      <c r="D310">
        <v>92.544995</v>
      </c>
      <c r="E310">
        <v>51.428848000000002</v>
      </c>
      <c r="F310">
        <v>104.19929999999999</v>
      </c>
      <c r="G310">
        <v>13</v>
      </c>
      <c r="H310">
        <v>2.8419999999999999E-3</v>
      </c>
      <c r="I310">
        <v>19.341200000000001</v>
      </c>
    </row>
    <row r="311" spans="1:9" x14ac:dyDescent="0.25">
      <c r="A311" t="s">
        <v>4</v>
      </c>
      <c r="B311">
        <v>2021</v>
      </c>
      <c r="C311">
        <v>95.986504999999994</v>
      </c>
      <c r="D311">
        <v>98.046310000000005</v>
      </c>
      <c r="E311">
        <v>49.065379499999999</v>
      </c>
      <c r="F311">
        <v>49.086460000000002</v>
      </c>
      <c r="G311">
        <v>26.518681000000001</v>
      </c>
      <c r="H311">
        <v>8.2501999999999992E-3</v>
      </c>
      <c r="I311">
        <v>12.064399999999999</v>
      </c>
    </row>
    <row r="312" spans="1:9" x14ac:dyDescent="0.25">
      <c r="A312" t="s">
        <v>5</v>
      </c>
      <c r="B312">
        <v>2021</v>
      </c>
      <c r="C312">
        <v>28.616115000000001</v>
      </c>
      <c r="D312">
        <v>45.7545</v>
      </c>
      <c r="E312">
        <v>13.485935</v>
      </c>
      <c r="F312">
        <v>54.452244999999998</v>
      </c>
      <c r="G312">
        <v>7.9619999999999997</v>
      </c>
      <c r="H312">
        <v>8.2775000000000001E-2</v>
      </c>
      <c r="I312">
        <v>1.6679999999999999</v>
      </c>
    </row>
    <row r="313" spans="1:9" x14ac:dyDescent="0.25">
      <c r="A313" t="s">
        <v>6</v>
      </c>
      <c r="B313">
        <v>2021</v>
      </c>
      <c r="C313">
        <v>289.67637500000001</v>
      </c>
      <c r="D313">
        <v>202.19246000000001</v>
      </c>
      <c r="E313">
        <v>135.16223099999999</v>
      </c>
      <c r="F313">
        <v>14.037255</v>
      </c>
      <c r="G313">
        <v>20.991</v>
      </c>
      <c r="H313">
        <v>7.2085999999999997</v>
      </c>
      <c r="I313">
        <v>39.704000000000001</v>
      </c>
    </row>
    <row r="314" spans="1:9" x14ac:dyDescent="0.25">
      <c r="A314" t="s">
        <v>7</v>
      </c>
      <c r="B314">
        <v>2021</v>
      </c>
      <c r="C314">
        <v>378.10901999999999</v>
      </c>
      <c r="D314">
        <v>1825.6647399999999</v>
      </c>
      <c r="E314">
        <v>121.47075</v>
      </c>
      <c r="F314">
        <v>11.417524999999999</v>
      </c>
      <c r="G314">
        <v>45.482999999999997</v>
      </c>
      <c r="H314">
        <v>0</v>
      </c>
      <c r="I314">
        <v>70</v>
      </c>
    </row>
    <row r="315" spans="1:9" x14ac:dyDescent="0.25">
      <c r="A315" t="s">
        <v>8</v>
      </c>
      <c r="B315">
        <v>2021</v>
      </c>
      <c r="C315">
        <v>58.225405000000002</v>
      </c>
      <c r="D315">
        <v>43.030205000000002</v>
      </c>
      <c r="E315">
        <v>2.3760965000000001</v>
      </c>
      <c r="F315">
        <v>5.1229199999999997</v>
      </c>
      <c r="G315">
        <v>0.84899999999999998</v>
      </c>
      <c r="H315">
        <v>5.4739999999999997E-4</v>
      </c>
      <c r="I315">
        <v>4.8163999999999998</v>
      </c>
    </row>
    <row r="316" spans="1:9" x14ac:dyDescent="0.25">
      <c r="A316" t="s">
        <v>9</v>
      </c>
      <c r="B316">
        <v>2021</v>
      </c>
      <c r="C316">
        <v>202.66030000000001</v>
      </c>
      <c r="D316">
        <v>147.65084999999999</v>
      </c>
      <c r="E316">
        <v>86.655360000000002</v>
      </c>
      <c r="F316">
        <v>11.04965</v>
      </c>
      <c r="G316">
        <v>14.398999999999999</v>
      </c>
      <c r="H316">
        <v>0</v>
      </c>
      <c r="I316">
        <v>29.6</v>
      </c>
    </row>
    <row r="317" spans="1:9" x14ac:dyDescent="0.25">
      <c r="A317" t="s">
        <v>10</v>
      </c>
      <c r="B317">
        <v>2021</v>
      </c>
      <c r="C317">
        <v>2961.4261700000002</v>
      </c>
      <c r="D317">
        <v>1773.713475</v>
      </c>
      <c r="E317">
        <v>1054.7177879999999</v>
      </c>
      <c r="F317">
        <v>627.32559000000003</v>
      </c>
      <c r="G317">
        <v>44.86</v>
      </c>
      <c r="H317">
        <v>38.532200000000003</v>
      </c>
      <c r="I317">
        <v>257.52999999999997</v>
      </c>
    </row>
    <row r="318" spans="1:9" x14ac:dyDescent="0.25">
      <c r="A318" t="s">
        <v>11</v>
      </c>
      <c r="B318">
        <v>2021</v>
      </c>
      <c r="C318">
        <v>2838.2139499999998</v>
      </c>
      <c r="D318">
        <v>3544.8249799999999</v>
      </c>
      <c r="E318">
        <v>992.45430599999997</v>
      </c>
      <c r="F318">
        <v>134.25932</v>
      </c>
      <c r="G318">
        <v>18.266999999999999</v>
      </c>
      <c r="H318">
        <v>23.132480000000001</v>
      </c>
      <c r="I318">
        <v>520</v>
      </c>
    </row>
    <row r="319" spans="1:9" x14ac:dyDescent="0.25">
      <c r="A319" t="s">
        <v>12</v>
      </c>
      <c r="B319">
        <v>2021</v>
      </c>
      <c r="C319">
        <v>74.060505000000006</v>
      </c>
      <c r="D319">
        <v>101.38957499999999</v>
      </c>
      <c r="E319">
        <v>145.79785999999999</v>
      </c>
      <c r="F319">
        <v>661.37144000000001</v>
      </c>
      <c r="G319">
        <v>112.9147</v>
      </c>
      <c r="H319">
        <v>2.1253806000000002</v>
      </c>
      <c r="I319">
        <v>2.2023999999999999</v>
      </c>
    </row>
    <row r="320" spans="1:9" x14ac:dyDescent="0.25">
      <c r="A320" t="s">
        <v>13</v>
      </c>
      <c r="B320">
        <v>2021</v>
      </c>
      <c r="C320">
        <v>190.633275</v>
      </c>
      <c r="D320">
        <v>340.00234</v>
      </c>
      <c r="E320">
        <v>189.752127</v>
      </c>
      <c r="F320">
        <v>74.487080000000006</v>
      </c>
      <c r="G320">
        <v>21.184000000000001</v>
      </c>
      <c r="H320">
        <v>5.3052454000000004</v>
      </c>
      <c r="I320">
        <v>24.4</v>
      </c>
    </row>
    <row r="321" spans="1:9" x14ac:dyDescent="0.25">
      <c r="A321" t="s">
        <v>14</v>
      </c>
      <c r="B321">
        <v>2021</v>
      </c>
      <c r="C321">
        <v>19.35615</v>
      </c>
      <c r="D321">
        <v>5.8101599999999998</v>
      </c>
      <c r="E321">
        <v>5.7296849999999999</v>
      </c>
      <c r="F321">
        <v>39.172550000000001</v>
      </c>
      <c r="G321">
        <v>53.136000000000003</v>
      </c>
      <c r="H321">
        <v>1.008E-4</v>
      </c>
      <c r="I321">
        <v>21.627600000000001</v>
      </c>
    </row>
    <row r="322" spans="1:9" x14ac:dyDescent="0.25">
      <c r="A322" t="s">
        <v>15</v>
      </c>
      <c r="B322">
        <v>2021</v>
      </c>
      <c r="C322">
        <v>1298.03235</v>
      </c>
      <c r="D322">
        <v>296.27386999999999</v>
      </c>
      <c r="E322">
        <v>105.616519</v>
      </c>
      <c r="F322">
        <v>353.58346</v>
      </c>
      <c r="G322">
        <v>42.64</v>
      </c>
      <c r="H322">
        <v>0</v>
      </c>
      <c r="I322">
        <v>100</v>
      </c>
    </row>
    <row r="323" spans="1:9" x14ac:dyDescent="0.25">
      <c r="A323" t="s">
        <v>16</v>
      </c>
      <c r="B323">
        <v>2021</v>
      </c>
      <c r="C323">
        <v>1469.022915</v>
      </c>
      <c r="D323">
        <v>802.80856000000006</v>
      </c>
      <c r="E323">
        <v>759.29307600000004</v>
      </c>
      <c r="F323">
        <v>549.99334999999996</v>
      </c>
      <c r="G323">
        <v>62.15</v>
      </c>
      <c r="H323">
        <v>28.7</v>
      </c>
      <c r="I323">
        <v>140.6036</v>
      </c>
    </row>
    <row r="324" spans="1:9" x14ac:dyDescent="0.25">
      <c r="A324" t="s">
        <v>17</v>
      </c>
      <c r="B324">
        <v>2021</v>
      </c>
      <c r="C324">
        <v>85.096485000000001</v>
      </c>
      <c r="D324">
        <v>33.424460000000003</v>
      </c>
      <c r="E324">
        <v>23.358417500000002</v>
      </c>
      <c r="F324">
        <v>7.3127800000000001</v>
      </c>
      <c r="G324">
        <v>0</v>
      </c>
      <c r="H324">
        <v>2.9826999999999999E-2</v>
      </c>
      <c r="I324">
        <v>3.3727999999999998</v>
      </c>
    </row>
    <row r="325" spans="1:9" x14ac:dyDescent="0.25">
      <c r="A325" t="s">
        <v>18</v>
      </c>
      <c r="B325">
        <v>2021</v>
      </c>
      <c r="C325">
        <v>153.652345</v>
      </c>
      <c r="D325">
        <v>73.179225000000002</v>
      </c>
      <c r="E325">
        <v>51.337935999999999</v>
      </c>
      <c r="F325">
        <v>10.50672</v>
      </c>
      <c r="G325">
        <v>2.04</v>
      </c>
      <c r="H325">
        <v>3.6400000000000002E-2</v>
      </c>
      <c r="I325">
        <v>5.8491999999999997</v>
      </c>
    </row>
    <row r="326" spans="1:9" x14ac:dyDescent="0.25">
      <c r="A326" t="s">
        <v>19</v>
      </c>
      <c r="B326">
        <v>2021</v>
      </c>
      <c r="C326">
        <v>41.503934999999998</v>
      </c>
      <c r="D326">
        <v>9.6434099999999994</v>
      </c>
      <c r="E326">
        <v>0.39290700000000001</v>
      </c>
      <c r="F326">
        <v>0.80986499999999995</v>
      </c>
      <c r="G326">
        <v>0</v>
      </c>
      <c r="H326">
        <v>0</v>
      </c>
      <c r="I326">
        <v>1.8675999999999999</v>
      </c>
    </row>
    <row r="327" spans="1:9" x14ac:dyDescent="0.25">
      <c r="A327" t="s">
        <v>20</v>
      </c>
      <c r="B327">
        <v>2021</v>
      </c>
      <c r="C327">
        <v>4.3499049999999997</v>
      </c>
      <c r="D327">
        <v>4.4129649999999998</v>
      </c>
      <c r="E327">
        <v>2.49424</v>
      </c>
      <c r="F327">
        <v>1.1003499999999999</v>
      </c>
      <c r="G327">
        <v>0</v>
      </c>
      <c r="H327">
        <v>7.4534600000000006E-2</v>
      </c>
      <c r="I327">
        <v>2.4064000000000001</v>
      </c>
    </row>
    <row r="328" spans="1:9" x14ac:dyDescent="0.25">
      <c r="A328" t="s">
        <v>21</v>
      </c>
      <c r="B328">
        <v>2021</v>
      </c>
      <c r="C328">
        <v>1078.86151</v>
      </c>
      <c r="D328">
        <v>1544.1068749999999</v>
      </c>
      <c r="E328">
        <v>350.18077699999998</v>
      </c>
      <c r="F328">
        <v>73.952740000000006</v>
      </c>
      <c r="G328">
        <v>5.3369999999999997</v>
      </c>
      <c r="H328">
        <v>0.44980599999999998</v>
      </c>
      <c r="I328">
        <v>39.040799999999997</v>
      </c>
    </row>
    <row r="329" spans="1:9" x14ac:dyDescent="0.25">
      <c r="A329" t="s">
        <v>22</v>
      </c>
      <c r="B329">
        <v>2021</v>
      </c>
      <c r="C329">
        <v>215.00965500000001</v>
      </c>
      <c r="D329">
        <v>117.60611</v>
      </c>
      <c r="E329">
        <v>73.613857999999993</v>
      </c>
      <c r="F329">
        <v>95.136404999999996</v>
      </c>
      <c r="G329">
        <v>1645.538</v>
      </c>
      <c r="H329">
        <v>0</v>
      </c>
      <c r="I329">
        <v>50</v>
      </c>
    </row>
    <row r="330" spans="1:9" x14ac:dyDescent="0.25">
      <c r="A330" t="s">
        <v>23</v>
      </c>
      <c r="B330">
        <v>2021</v>
      </c>
      <c r="C330">
        <v>1538.1580349999999</v>
      </c>
      <c r="D330">
        <v>1387.2993200000001</v>
      </c>
      <c r="E330">
        <v>1302.2667220000001</v>
      </c>
      <c r="F330">
        <v>22.447955</v>
      </c>
      <c r="G330">
        <v>45.417999999999999</v>
      </c>
      <c r="H330">
        <v>2.0713349999999999</v>
      </c>
      <c r="I330">
        <v>119.5116</v>
      </c>
    </row>
    <row r="331" spans="1:9" x14ac:dyDescent="0.25">
      <c r="A331" t="s">
        <v>24</v>
      </c>
      <c r="B331">
        <v>2021</v>
      </c>
      <c r="C331">
        <v>212.49003999999999</v>
      </c>
      <c r="D331">
        <v>374.77093500000001</v>
      </c>
      <c r="E331">
        <v>235.55028999999999</v>
      </c>
      <c r="F331">
        <v>182.70847000000001</v>
      </c>
      <c r="G331">
        <v>17</v>
      </c>
      <c r="H331">
        <v>5.5511358</v>
      </c>
      <c r="I331">
        <v>35.200000000000003</v>
      </c>
    </row>
    <row r="332" spans="1:9" x14ac:dyDescent="0.25">
      <c r="A332" t="s">
        <v>25</v>
      </c>
      <c r="B332">
        <v>2021</v>
      </c>
      <c r="C332">
        <v>732.60469999999998</v>
      </c>
      <c r="D332">
        <v>707.32526499999994</v>
      </c>
      <c r="E332">
        <v>536.67366500000003</v>
      </c>
      <c r="F332">
        <v>864.14458999999999</v>
      </c>
      <c r="G332">
        <v>6.92354</v>
      </c>
      <c r="H332">
        <v>3.5000000000000001E-3</v>
      </c>
      <c r="I332">
        <v>95.113200000000006</v>
      </c>
    </row>
    <row r="333" spans="1:9" x14ac:dyDescent="0.25">
      <c r="A333" t="s">
        <v>26</v>
      </c>
      <c r="B333">
        <v>2021</v>
      </c>
      <c r="C333">
        <v>83.162109999999998</v>
      </c>
      <c r="D333">
        <v>59.683165000000002</v>
      </c>
      <c r="E333">
        <v>48.821888999999999</v>
      </c>
      <c r="F333">
        <v>27.852399999999999</v>
      </c>
      <c r="G333">
        <v>4.2629999999999999</v>
      </c>
      <c r="H333">
        <v>0.18099899999999999</v>
      </c>
      <c r="I333">
        <v>5.9340000000000002</v>
      </c>
    </row>
    <row r="334" spans="1:9" x14ac:dyDescent="0.25">
      <c r="A334" t="s">
        <v>27</v>
      </c>
      <c r="B334">
        <v>2021</v>
      </c>
      <c r="C334">
        <v>99.621215000000007</v>
      </c>
      <c r="D334">
        <v>19.15213</v>
      </c>
      <c r="E334">
        <v>43.468184000000001</v>
      </c>
      <c r="F334">
        <v>9.2464949999999995</v>
      </c>
      <c r="G334">
        <v>1.6740999999999999</v>
      </c>
      <c r="H334">
        <v>5.7064000000000004E-3</v>
      </c>
      <c r="I334">
        <v>10.5236</v>
      </c>
    </row>
    <row r="335" spans="1:9" x14ac:dyDescent="0.25">
      <c r="A335" t="s">
        <v>28</v>
      </c>
      <c r="B335">
        <v>2021</v>
      </c>
      <c r="C335">
        <v>1009.112215</v>
      </c>
      <c r="D335">
        <v>4391.3025600000001</v>
      </c>
      <c r="E335">
        <v>868.56905300000005</v>
      </c>
      <c r="F335">
        <v>1351.0094899999999</v>
      </c>
      <c r="G335">
        <v>313.274</v>
      </c>
      <c r="H335">
        <v>54.005000000000003</v>
      </c>
      <c r="I335">
        <v>257.67880000000002</v>
      </c>
    </row>
    <row r="336" spans="1:9" x14ac:dyDescent="0.25">
      <c r="A336" t="s">
        <v>29</v>
      </c>
      <c r="B336">
        <v>2021</v>
      </c>
      <c r="C336">
        <v>284.27719999999999</v>
      </c>
      <c r="D336">
        <v>201.29015000000001</v>
      </c>
      <c r="E336">
        <v>119.06345</v>
      </c>
      <c r="F336">
        <v>30.71237</v>
      </c>
      <c r="G336">
        <v>9.8640000000000008</v>
      </c>
      <c r="H336">
        <v>0</v>
      </c>
      <c r="I336">
        <v>142.4</v>
      </c>
    </row>
    <row r="337" spans="1:9" x14ac:dyDescent="0.25">
      <c r="A337" t="s">
        <v>30</v>
      </c>
      <c r="B337">
        <v>2021</v>
      </c>
      <c r="C337">
        <v>460.42183</v>
      </c>
      <c r="D337">
        <v>192.08881</v>
      </c>
      <c r="E337">
        <v>80.116480999999993</v>
      </c>
      <c r="F337">
        <v>31.752099999999999</v>
      </c>
      <c r="G337">
        <v>0</v>
      </c>
      <c r="H337">
        <v>0.5696348</v>
      </c>
      <c r="I337">
        <v>44.8172</v>
      </c>
    </row>
    <row r="338" spans="1:9" x14ac:dyDescent="0.25">
      <c r="A338" t="s">
        <v>1</v>
      </c>
      <c r="B338">
        <v>2022</v>
      </c>
      <c r="C338">
        <v>433.39881000000003</v>
      </c>
      <c r="D338">
        <v>342.28735999999998</v>
      </c>
      <c r="E338">
        <v>91.384443000000005</v>
      </c>
      <c r="F338">
        <v>37.730440000000002</v>
      </c>
      <c r="G338">
        <v>0</v>
      </c>
      <c r="H338">
        <v>0</v>
      </c>
      <c r="I338">
        <v>41.633600000000001</v>
      </c>
    </row>
    <row r="339" spans="1:9" x14ac:dyDescent="0.25">
      <c r="A339" t="s">
        <v>2</v>
      </c>
      <c r="B339">
        <v>2022</v>
      </c>
      <c r="C339">
        <v>465.93412499999999</v>
      </c>
      <c r="D339">
        <v>783.63464499999998</v>
      </c>
      <c r="E339">
        <v>247.59897699999999</v>
      </c>
      <c r="F339">
        <v>18.817885</v>
      </c>
      <c r="G339">
        <v>0</v>
      </c>
      <c r="H339">
        <v>3.4118826000000002</v>
      </c>
      <c r="I339">
        <v>115.1564</v>
      </c>
    </row>
    <row r="340" spans="1:9" x14ac:dyDescent="0.25">
      <c r="A340" t="s">
        <v>3</v>
      </c>
      <c r="B340">
        <v>2022</v>
      </c>
      <c r="C340">
        <v>102.00216500000001</v>
      </c>
      <c r="D340">
        <v>90.708269999999999</v>
      </c>
      <c r="E340">
        <v>50.394500000000001</v>
      </c>
      <c r="F340">
        <v>83.519679999999994</v>
      </c>
      <c r="G340">
        <v>13</v>
      </c>
      <c r="H340">
        <v>2.3968000000000001E-3</v>
      </c>
      <c r="I340">
        <v>18.334</v>
      </c>
    </row>
    <row r="341" spans="1:9" x14ac:dyDescent="0.25">
      <c r="A341" t="s">
        <v>4</v>
      </c>
      <c r="B341">
        <v>2022</v>
      </c>
      <c r="C341">
        <v>80.921520000000001</v>
      </c>
      <c r="D341">
        <v>85.984885000000006</v>
      </c>
      <c r="E341">
        <v>49.652929</v>
      </c>
      <c r="F341">
        <v>47.702800000000003</v>
      </c>
      <c r="G341">
        <v>27.245000000000001</v>
      </c>
      <c r="H341">
        <v>8.2235999999999993E-3</v>
      </c>
      <c r="I341">
        <v>12.592000000000001</v>
      </c>
    </row>
    <row r="342" spans="1:9" x14ac:dyDescent="0.25">
      <c r="A342" t="s">
        <v>5</v>
      </c>
      <c r="B342">
        <v>2022</v>
      </c>
      <c r="C342">
        <v>28.663740000000001</v>
      </c>
      <c r="D342">
        <v>42.436250000000001</v>
      </c>
      <c r="E342">
        <v>13.856344</v>
      </c>
      <c r="F342">
        <v>44.99183</v>
      </c>
      <c r="G342">
        <v>8</v>
      </c>
      <c r="H342">
        <v>7.8663200000000003E-2</v>
      </c>
      <c r="I342">
        <v>1.7136</v>
      </c>
    </row>
    <row r="343" spans="1:9" x14ac:dyDescent="0.25">
      <c r="A343" t="s">
        <v>6</v>
      </c>
      <c r="B343">
        <v>2022</v>
      </c>
      <c r="C343">
        <v>293.47503999999998</v>
      </c>
      <c r="D343">
        <v>189.89490499999999</v>
      </c>
      <c r="E343">
        <v>132.62026499999999</v>
      </c>
      <c r="F343">
        <v>13.64866</v>
      </c>
      <c r="G343">
        <v>19.259</v>
      </c>
      <c r="H343">
        <v>7.0328999999999997</v>
      </c>
      <c r="I343">
        <v>40.778799999999997</v>
      </c>
    </row>
    <row r="344" spans="1:9" x14ac:dyDescent="0.25">
      <c r="A344" t="s">
        <v>7</v>
      </c>
      <c r="B344">
        <v>2022</v>
      </c>
      <c r="C344">
        <v>376.56768</v>
      </c>
      <c r="D344">
        <v>1736.7402</v>
      </c>
      <c r="E344">
        <v>117.04644500000001</v>
      </c>
      <c r="F344">
        <v>14.818625000000001</v>
      </c>
      <c r="G344">
        <v>40.698999999999998</v>
      </c>
      <c r="H344">
        <v>0</v>
      </c>
      <c r="I344">
        <v>70</v>
      </c>
    </row>
    <row r="345" spans="1:9" x14ac:dyDescent="0.25">
      <c r="A345" t="s">
        <v>8</v>
      </c>
      <c r="B345">
        <v>2022</v>
      </c>
      <c r="C345">
        <v>59.675825000000003</v>
      </c>
      <c r="D345">
        <v>41.236134999999997</v>
      </c>
      <c r="E345">
        <v>2.5013695</v>
      </c>
      <c r="F345">
        <v>5.1273799999999996</v>
      </c>
      <c r="G345">
        <v>0.80100000000000005</v>
      </c>
      <c r="H345">
        <v>5.3899999999999998E-4</v>
      </c>
      <c r="I345">
        <v>5.1379999999999999</v>
      </c>
    </row>
    <row r="346" spans="1:9" x14ac:dyDescent="0.25">
      <c r="A346" t="s">
        <v>9</v>
      </c>
      <c r="B346">
        <v>2022</v>
      </c>
      <c r="C346">
        <v>199.33572000000001</v>
      </c>
      <c r="D346">
        <v>141.38409999999999</v>
      </c>
      <c r="E346">
        <v>87.084209999999999</v>
      </c>
      <c r="F346">
        <v>11.106619999999999</v>
      </c>
      <c r="G346">
        <v>16.280999999999999</v>
      </c>
      <c r="H346">
        <v>0</v>
      </c>
      <c r="I346">
        <v>29.6</v>
      </c>
    </row>
    <row r="347" spans="1:9" x14ac:dyDescent="0.25">
      <c r="A347" t="s">
        <v>10</v>
      </c>
      <c r="B347">
        <v>2022</v>
      </c>
      <c r="C347">
        <v>2910.8982599999999</v>
      </c>
      <c r="D347">
        <v>1719.8894299999999</v>
      </c>
      <c r="E347">
        <v>989.88365999999996</v>
      </c>
      <c r="F347">
        <v>595.02120000000002</v>
      </c>
      <c r="G347">
        <v>45.164000000000001</v>
      </c>
      <c r="H347">
        <v>35.628599999999999</v>
      </c>
      <c r="I347">
        <v>264.95999999999998</v>
      </c>
    </row>
    <row r="348" spans="1:9" x14ac:dyDescent="0.25">
      <c r="A348" t="s">
        <v>11</v>
      </c>
      <c r="B348">
        <v>2022</v>
      </c>
      <c r="C348">
        <v>2751.2838449999999</v>
      </c>
      <c r="D348">
        <v>3171.0321300000001</v>
      </c>
      <c r="E348">
        <v>985.57711300000005</v>
      </c>
      <c r="F348">
        <v>132.02943999999999</v>
      </c>
      <c r="G348">
        <v>17.832999999999998</v>
      </c>
      <c r="H348">
        <v>23.132480000000001</v>
      </c>
      <c r="I348">
        <v>520</v>
      </c>
    </row>
    <row r="349" spans="1:9" x14ac:dyDescent="0.25">
      <c r="A349" t="s">
        <v>12</v>
      </c>
      <c r="B349">
        <v>2022</v>
      </c>
      <c r="C349">
        <v>76.921364999999994</v>
      </c>
      <c r="D349">
        <v>99.94041</v>
      </c>
      <c r="E349">
        <v>150.39824999999999</v>
      </c>
      <c r="F349">
        <v>680.11077999999998</v>
      </c>
      <c r="G349">
        <v>130.17740800000001</v>
      </c>
      <c r="H349">
        <v>2.1253791999999998</v>
      </c>
      <c r="I349">
        <v>2.2023999999999999</v>
      </c>
    </row>
    <row r="350" spans="1:9" x14ac:dyDescent="0.25">
      <c r="A350" t="s">
        <v>13</v>
      </c>
      <c r="B350">
        <v>2022</v>
      </c>
      <c r="C350">
        <v>179.55275</v>
      </c>
      <c r="D350">
        <v>321.44296000000003</v>
      </c>
      <c r="E350">
        <v>200.94122999999999</v>
      </c>
      <c r="F350">
        <v>74.046379999999999</v>
      </c>
      <c r="G350">
        <v>26.99</v>
      </c>
      <c r="H350">
        <v>5.4958217999999999</v>
      </c>
      <c r="I350">
        <v>24.4</v>
      </c>
    </row>
    <row r="351" spans="1:9" x14ac:dyDescent="0.25">
      <c r="A351" t="s">
        <v>14</v>
      </c>
      <c r="B351">
        <v>2022</v>
      </c>
      <c r="C351">
        <v>19.311875000000001</v>
      </c>
      <c r="D351">
        <v>5.5706499999999997</v>
      </c>
      <c r="E351">
        <v>5.8264100000000001</v>
      </c>
      <c r="F351">
        <v>37.426900000000003</v>
      </c>
      <c r="G351">
        <v>51.35</v>
      </c>
      <c r="H351">
        <v>0</v>
      </c>
      <c r="I351">
        <v>20.76</v>
      </c>
    </row>
    <row r="352" spans="1:9" x14ac:dyDescent="0.25">
      <c r="A352" t="s">
        <v>15</v>
      </c>
      <c r="B352">
        <v>2022</v>
      </c>
      <c r="C352">
        <v>1352.034085</v>
      </c>
      <c r="D352">
        <v>289.51479999999998</v>
      </c>
      <c r="E352">
        <v>101.978273</v>
      </c>
      <c r="F352">
        <v>357.82069999999999</v>
      </c>
      <c r="G352">
        <v>44.7</v>
      </c>
      <c r="H352">
        <v>0</v>
      </c>
      <c r="I352">
        <v>100</v>
      </c>
    </row>
    <row r="353" spans="1:9" x14ac:dyDescent="0.25">
      <c r="A353" t="s">
        <v>16</v>
      </c>
      <c r="B353">
        <v>2022</v>
      </c>
      <c r="C353">
        <v>1458.100825</v>
      </c>
      <c r="D353">
        <v>796.84173499999997</v>
      </c>
      <c r="E353">
        <v>666.67922399999998</v>
      </c>
      <c r="F353">
        <v>536.88616000000002</v>
      </c>
      <c r="G353">
        <v>53.9</v>
      </c>
      <c r="H353">
        <v>27.3</v>
      </c>
      <c r="I353">
        <v>176.57400000000001</v>
      </c>
    </row>
    <row r="354" spans="1:9" x14ac:dyDescent="0.25">
      <c r="A354" t="s">
        <v>17</v>
      </c>
      <c r="B354">
        <v>2022</v>
      </c>
      <c r="C354">
        <v>92.327489999999997</v>
      </c>
      <c r="D354">
        <v>37.907474999999998</v>
      </c>
      <c r="E354">
        <v>22.750154500000001</v>
      </c>
      <c r="F354">
        <v>7.1192200000000003</v>
      </c>
      <c r="G354">
        <v>0</v>
      </c>
      <c r="H354">
        <v>6.5137799999999996E-2</v>
      </c>
      <c r="I354">
        <v>3.4828000000000001</v>
      </c>
    </row>
    <row r="355" spans="1:9" x14ac:dyDescent="0.25">
      <c r="A355" t="s">
        <v>18</v>
      </c>
      <c r="B355">
        <v>2022</v>
      </c>
      <c r="C355">
        <v>156.17052000000001</v>
      </c>
      <c r="D355">
        <v>69.040364999999994</v>
      </c>
      <c r="E355">
        <v>55.043541500000003</v>
      </c>
      <c r="F355">
        <v>10.46001</v>
      </c>
      <c r="G355">
        <v>4.3929999999999998</v>
      </c>
      <c r="H355">
        <v>3.2520599999999997E-2</v>
      </c>
      <c r="I355">
        <v>5.0007999999999999</v>
      </c>
    </row>
    <row r="356" spans="1:9" x14ac:dyDescent="0.25">
      <c r="A356" t="s">
        <v>19</v>
      </c>
      <c r="B356">
        <v>2022</v>
      </c>
      <c r="C356">
        <v>41.906390000000002</v>
      </c>
      <c r="D356">
        <v>8.6924550000000007</v>
      </c>
      <c r="E356">
        <v>0.37129899999999999</v>
      </c>
      <c r="F356">
        <v>8.6739999999999998E-2</v>
      </c>
      <c r="G356">
        <v>0</v>
      </c>
      <c r="H356">
        <v>0</v>
      </c>
      <c r="I356">
        <v>0</v>
      </c>
    </row>
    <row r="357" spans="1:9" x14ac:dyDescent="0.25">
      <c r="A357" t="s">
        <v>20</v>
      </c>
      <c r="B357">
        <v>2022</v>
      </c>
      <c r="C357">
        <v>4.48095</v>
      </c>
      <c r="D357">
        <v>4.1940499999999998</v>
      </c>
      <c r="E357">
        <v>2.7132900000000002</v>
      </c>
      <c r="F357">
        <v>1.200855</v>
      </c>
      <c r="G357">
        <v>0</v>
      </c>
      <c r="H357">
        <v>8.0054799999999995E-2</v>
      </c>
      <c r="I357">
        <v>2.6472000000000002</v>
      </c>
    </row>
    <row r="358" spans="1:9" x14ac:dyDescent="0.25">
      <c r="A358" t="s">
        <v>21</v>
      </c>
      <c r="B358">
        <v>2022</v>
      </c>
      <c r="C358">
        <v>1015.244535</v>
      </c>
      <c r="D358">
        <v>1562.097485</v>
      </c>
      <c r="E358">
        <v>330.87391300000002</v>
      </c>
      <c r="F358">
        <v>72.049840000000003</v>
      </c>
      <c r="G358">
        <v>5.65</v>
      </c>
      <c r="H358">
        <v>0.42059639999999998</v>
      </c>
      <c r="I358">
        <v>39.040799999999997</v>
      </c>
    </row>
    <row r="359" spans="1:9" x14ac:dyDescent="0.25">
      <c r="A359" t="s">
        <v>22</v>
      </c>
      <c r="B359">
        <v>2022</v>
      </c>
      <c r="C359">
        <v>219.85849999999999</v>
      </c>
      <c r="D359">
        <v>115.629655</v>
      </c>
      <c r="E359">
        <v>73.581804000000005</v>
      </c>
      <c r="F359">
        <v>93.453289999999996</v>
      </c>
      <c r="G359">
        <v>1645.6010000000001</v>
      </c>
      <c r="H359">
        <v>0</v>
      </c>
      <c r="I359">
        <v>50</v>
      </c>
    </row>
    <row r="360" spans="1:9" x14ac:dyDescent="0.25">
      <c r="A360" t="s">
        <v>23</v>
      </c>
      <c r="B360">
        <v>2022</v>
      </c>
      <c r="C360">
        <v>1479.9223300000001</v>
      </c>
      <c r="D360">
        <v>1203.1009100000001</v>
      </c>
      <c r="E360">
        <v>1411.490548</v>
      </c>
      <c r="F360">
        <v>21.241605</v>
      </c>
      <c r="G360">
        <v>45.417827899999999</v>
      </c>
      <c r="H360">
        <v>2.0425118000000002</v>
      </c>
      <c r="I360">
        <v>114.5008</v>
      </c>
    </row>
    <row r="361" spans="1:9" x14ac:dyDescent="0.25">
      <c r="A361" t="s">
        <v>24</v>
      </c>
      <c r="B361">
        <v>2022</v>
      </c>
      <c r="C361">
        <v>215.86696000000001</v>
      </c>
      <c r="D361">
        <v>365.65250500000002</v>
      </c>
      <c r="E361">
        <v>244.20058499999999</v>
      </c>
      <c r="F361">
        <v>179.38082</v>
      </c>
      <c r="G361">
        <v>17</v>
      </c>
      <c r="H361">
        <v>4.2929165999999999</v>
      </c>
      <c r="I361">
        <v>36</v>
      </c>
    </row>
    <row r="362" spans="1:9" x14ac:dyDescent="0.25">
      <c r="A362" t="s">
        <v>25</v>
      </c>
      <c r="B362">
        <v>2022</v>
      </c>
      <c r="C362">
        <v>662.73291500000005</v>
      </c>
      <c r="D362">
        <v>659.19987000000003</v>
      </c>
      <c r="E362">
        <v>517.05558299999996</v>
      </c>
      <c r="F362">
        <v>868.05001000000004</v>
      </c>
      <c r="G362">
        <v>6.8940000000000001</v>
      </c>
      <c r="H362">
        <v>4.9994000000000002E-3</v>
      </c>
      <c r="I362">
        <v>80.463200000000001</v>
      </c>
    </row>
    <row r="363" spans="1:9" x14ac:dyDescent="0.25">
      <c r="A363" t="s">
        <v>26</v>
      </c>
      <c r="B363">
        <v>2022</v>
      </c>
      <c r="C363">
        <v>82.151615000000007</v>
      </c>
      <c r="D363">
        <v>50.321019999999997</v>
      </c>
      <c r="E363">
        <v>54.903188499999999</v>
      </c>
      <c r="F363">
        <v>28.138539999999999</v>
      </c>
      <c r="G363">
        <v>1.819078</v>
      </c>
      <c r="H363">
        <v>0.1965712</v>
      </c>
      <c r="I363">
        <v>6.4016000000000002</v>
      </c>
    </row>
    <row r="364" spans="1:9" x14ac:dyDescent="0.25">
      <c r="A364" t="s">
        <v>27</v>
      </c>
      <c r="B364">
        <v>2022</v>
      </c>
      <c r="C364">
        <v>96.769019999999998</v>
      </c>
      <c r="D364">
        <v>18.280374999999999</v>
      </c>
      <c r="E364">
        <v>44.986854000000001</v>
      </c>
      <c r="F364">
        <v>9.7938650000000003</v>
      </c>
      <c r="G364">
        <v>1.6919999999999999</v>
      </c>
      <c r="H364">
        <v>5.8044000000000004E-3</v>
      </c>
      <c r="I364">
        <v>10.888</v>
      </c>
    </row>
    <row r="365" spans="1:9" x14ac:dyDescent="0.25">
      <c r="A365" t="s">
        <v>28</v>
      </c>
      <c r="B365">
        <v>2022</v>
      </c>
      <c r="C365">
        <v>1011.937995</v>
      </c>
      <c r="D365">
        <v>4270.2509099999997</v>
      </c>
      <c r="E365">
        <v>880.21718899999996</v>
      </c>
      <c r="F365">
        <v>1298.2682500000001</v>
      </c>
      <c r="G365">
        <v>301.72300000000001</v>
      </c>
      <c r="H365">
        <v>46.9</v>
      </c>
      <c r="I365">
        <v>253.9924</v>
      </c>
    </row>
    <row r="366" spans="1:9" x14ac:dyDescent="0.25">
      <c r="A366" t="s">
        <v>29</v>
      </c>
      <c r="B366">
        <v>2022</v>
      </c>
      <c r="C366">
        <v>283.62878999999998</v>
      </c>
      <c r="D366">
        <v>203.85541000000001</v>
      </c>
      <c r="E366">
        <v>116.316345</v>
      </c>
      <c r="F366">
        <v>30.220904999999998</v>
      </c>
      <c r="G366">
        <v>11.884</v>
      </c>
      <c r="H366">
        <v>0</v>
      </c>
      <c r="I366">
        <v>142.19999999999999</v>
      </c>
    </row>
    <row r="367" spans="1:9" x14ac:dyDescent="0.25">
      <c r="A367" t="s">
        <v>30</v>
      </c>
      <c r="B367">
        <v>2022</v>
      </c>
      <c r="C367">
        <v>476.09327500000001</v>
      </c>
      <c r="D367">
        <v>192.49245500000001</v>
      </c>
      <c r="E367">
        <v>82.395381</v>
      </c>
      <c r="F367">
        <v>32.142490000000002</v>
      </c>
      <c r="G367">
        <v>0</v>
      </c>
      <c r="H367">
        <v>0.52808840000000001</v>
      </c>
      <c r="I367">
        <v>45.302799999999998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1"/>
  <sheetViews>
    <sheetView topLeftCell="A17" zoomScale="74" workbookViewId="0">
      <selection activeCell="A51" sqref="A51"/>
    </sheetView>
  </sheetViews>
  <sheetFormatPr defaultRowHeight="15" x14ac:dyDescent="0.25"/>
  <cols>
    <col min="1" max="1" width="11.7109375" customWidth="1"/>
    <col min="2" max="2" width="12" bestFit="1" customWidth="1"/>
    <col min="3" max="3" width="8.28515625" customWidth="1"/>
    <col min="4" max="4" width="9.42578125" bestFit="1" customWidth="1"/>
    <col min="5" max="5" width="10" customWidth="1"/>
    <col min="6" max="6" width="10.140625" customWidth="1"/>
    <col min="7" max="7" width="9" customWidth="1"/>
    <col min="8" max="8" width="9.42578125" bestFit="1" customWidth="1"/>
    <col min="9" max="9" width="12.140625" customWidth="1"/>
    <col min="10" max="10" width="12" customWidth="1"/>
    <col min="11" max="11" width="11.7109375" customWidth="1"/>
    <col min="12" max="12" width="9.42578125" customWidth="1"/>
    <col min="13" max="13" width="9" customWidth="1"/>
    <col min="14" max="14" width="9.42578125" bestFit="1" customWidth="1"/>
    <col min="19" max="19" width="12.28515625" customWidth="1"/>
    <col min="22" max="22" width="13.5703125" customWidth="1"/>
    <col min="23" max="23" width="9.140625" customWidth="1"/>
    <col min="24" max="24" width="16" customWidth="1"/>
    <col min="25" max="25" width="12" bestFit="1" customWidth="1"/>
  </cols>
  <sheetData>
    <row r="1" spans="1:25" ht="45" customHeight="1" x14ac:dyDescent="0.25">
      <c r="A1">
        <v>2021</v>
      </c>
      <c r="B1" s="2" t="s">
        <v>37</v>
      </c>
      <c r="C1" s="46"/>
      <c r="D1" s="47"/>
      <c r="E1" s="47"/>
      <c r="F1" s="47"/>
      <c r="G1" s="47"/>
      <c r="H1" s="47"/>
      <c r="I1" s="47" t="s">
        <v>75</v>
      </c>
      <c r="J1" s="63" t="s">
        <v>76</v>
      </c>
      <c r="K1" s="63" t="s">
        <v>77</v>
      </c>
      <c r="L1" s="63" t="s">
        <v>78</v>
      </c>
      <c r="M1" s="47"/>
      <c r="N1" s="63" t="s">
        <v>79</v>
      </c>
      <c r="O1" s="47"/>
      <c r="P1" s="47"/>
      <c r="Q1" s="47"/>
      <c r="R1" s="47"/>
      <c r="S1" s="47"/>
      <c r="T1" s="47"/>
      <c r="U1" s="63" t="s">
        <v>80</v>
      </c>
      <c r="V1" s="63" t="s">
        <v>81</v>
      </c>
      <c r="W1" s="63" t="s">
        <v>82</v>
      </c>
      <c r="X1" s="64"/>
    </row>
    <row r="2" spans="1:25" x14ac:dyDescent="0.25">
      <c r="B2" t="s">
        <v>83</v>
      </c>
      <c r="C2" s="48" t="s">
        <v>84</v>
      </c>
      <c r="D2" t="s">
        <v>85</v>
      </c>
      <c r="E2" t="s">
        <v>86</v>
      </c>
      <c r="F2" t="s">
        <v>87</v>
      </c>
      <c r="G2" t="s">
        <v>88</v>
      </c>
      <c r="H2" t="s">
        <v>89</v>
      </c>
      <c r="I2" t="s">
        <v>90</v>
      </c>
      <c r="J2" t="s">
        <v>91</v>
      </c>
      <c r="K2" t="s">
        <v>46</v>
      </c>
      <c r="L2" t="s">
        <v>46</v>
      </c>
      <c r="N2" t="s">
        <v>83</v>
      </c>
      <c r="O2" t="s">
        <v>84</v>
      </c>
      <c r="P2" t="s">
        <v>85</v>
      </c>
      <c r="Q2" t="s">
        <v>86</v>
      </c>
      <c r="R2" t="s">
        <v>87</v>
      </c>
      <c r="S2" t="s">
        <v>88</v>
      </c>
      <c r="T2" t="s">
        <v>89</v>
      </c>
      <c r="X2" s="49"/>
    </row>
    <row r="3" spans="1:25" x14ac:dyDescent="0.25">
      <c r="A3" s="41" t="s">
        <v>1</v>
      </c>
      <c r="B3">
        <v>420</v>
      </c>
      <c r="C3" s="48">
        <v>358</v>
      </c>
      <c r="D3">
        <v>91</v>
      </c>
      <c r="E3">
        <v>37</v>
      </c>
      <c r="F3">
        <v>0</v>
      </c>
      <c r="G3">
        <v>0</v>
      </c>
      <c r="H3">
        <v>39</v>
      </c>
      <c r="I3" s="9">
        <f>SUM(B3:H3)</f>
        <v>945</v>
      </c>
      <c r="J3">
        <v>39.1</v>
      </c>
      <c r="K3">
        <v>41.3</v>
      </c>
      <c r="L3">
        <v>41.3</v>
      </c>
      <c r="N3">
        <f>B3*B$17</f>
        <v>12600</v>
      </c>
      <c r="O3">
        <f t="shared" ref="O3:O16" si="0">C3*C$17</f>
        <v>21480</v>
      </c>
      <c r="P3">
        <f t="shared" ref="P3:P16" si="1">D3*D$17</f>
        <v>2730</v>
      </c>
      <c r="Q3">
        <f t="shared" ref="Q3:Q16" si="2">E3*E$17</f>
        <v>740</v>
      </c>
      <c r="R3">
        <f t="shared" ref="R3:R16" si="3">F3*F$17</f>
        <v>0</v>
      </c>
      <c r="S3">
        <f t="shared" ref="S3:S16" si="4">G3*G$17</f>
        <v>0</v>
      </c>
      <c r="T3">
        <f t="shared" ref="T3:T16" si="5">H3*H$17</f>
        <v>195</v>
      </c>
      <c r="U3">
        <f>SUM(N3:T3)</f>
        <v>37745</v>
      </c>
      <c r="V3" s="3">
        <f>U3/I3</f>
        <v>39.941798941798943</v>
      </c>
      <c r="W3" s="43">
        <f>K3/V3</f>
        <v>1.0340045039078023</v>
      </c>
      <c r="X3" s="49"/>
    </row>
    <row r="4" spans="1:25" x14ac:dyDescent="0.25">
      <c r="A4" s="41" t="s">
        <v>7</v>
      </c>
      <c r="B4">
        <v>378</v>
      </c>
      <c r="C4" s="48">
        <v>1826</v>
      </c>
      <c r="D4">
        <v>121</v>
      </c>
      <c r="E4">
        <v>11</v>
      </c>
      <c r="F4">
        <v>45</v>
      </c>
      <c r="G4">
        <v>0</v>
      </c>
      <c r="H4">
        <v>70</v>
      </c>
      <c r="I4" s="9">
        <f>SUM(B4:H4)</f>
        <v>2451</v>
      </c>
      <c r="J4">
        <v>81.900000000000006</v>
      </c>
      <c r="K4" s="87">
        <f>(J4*1000000)/(I4*1000)</f>
        <v>33.414932680538556</v>
      </c>
      <c r="L4">
        <v>33.4</v>
      </c>
      <c r="M4" s="41"/>
      <c r="N4">
        <f>B4*B$17</f>
        <v>11340</v>
      </c>
      <c r="O4">
        <f t="shared" si="0"/>
        <v>109560</v>
      </c>
      <c r="P4">
        <f t="shared" si="1"/>
        <v>3630</v>
      </c>
      <c r="Q4">
        <f t="shared" si="2"/>
        <v>220</v>
      </c>
      <c r="R4">
        <f t="shared" si="3"/>
        <v>1800</v>
      </c>
      <c r="S4">
        <f t="shared" si="4"/>
        <v>0</v>
      </c>
      <c r="T4">
        <f t="shared" si="5"/>
        <v>350</v>
      </c>
      <c r="U4">
        <f>SUM(N4:T4)</f>
        <v>126900</v>
      </c>
      <c r="V4" s="65">
        <f>U4/I4</f>
        <v>51.774785801713584</v>
      </c>
      <c r="W4" s="43">
        <f>K4/V4</f>
        <v>0.64539007092198586</v>
      </c>
      <c r="X4" s="49"/>
      <c r="Y4" t="s">
        <v>92</v>
      </c>
    </row>
    <row r="5" spans="1:25" x14ac:dyDescent="0.25">
      <c r="A5" s="41" t="s">
        <v>10</v>
      </c>
      <c r="B5">
        <v>2961</v>
      </c>
      <c r="C5" s="48">
        <v>1774</v>
      </c>
      <c r="D5">
        <v>1055</v>
      </c>
      <c r="E5">
        <v>627</v>
      </c>
      <c r="F5">
        <v>45</v>
      </c>
      <c r="G5">
        <v>39</v>
      </c>
      <c r="H5">
        <v>258</v>
      </c>
      <c r="I5" s="9">
        <f>SUM(B5:H5)</f>
        <v>6759</v>
      </c>
      <c r="J5">
        <v>349.3</v>
      </c>
      <c r="K5" s="87">
        <f t="shared" ref="K5:K16" si="6">(J5*1000000)/(I5*1000)</f>
        <v>51.679242491492822</v>
      </c>
      <c r="L5">
        <v>51.7</v>
      </c>
      <c r="M5" s="42"/>
      <c r="N5">
        <f>B5*B$17</f>
        <v>88830</v>
      </c>
      <c r="O5">
        <f t="shared" si="0"/>
        <v>106440</v>
      </c>
      <c r="P5">
        <f t="shared" si="1"/>
        <v>31650</v>
      </c>
      <c r="Q5">
        <f t="shared" si="2"/>
        <v>12540</v>
      </c>
      <c r="R5">
        <f t="shared" si="3"/>
        <v>1800</v>
      </c>
      <c r="S5">
        <f t="shared" si="4"/>
        <v>30420</v>
      </c>
      <c r="T5">
        <f t="shared" si="5"/>
        <v>1290</v>
      </c>
      <c r="U5">
        <f t="shared" ref="U5:U16" si="7">SUM(N5:T5)</f>
        <v>272970</v>
      </c>
      <c r="V5" s="65">
        <f t="shared" ref="V5:V16" si="8">U5/I5</f>
        <v>40.386151797603198</v>
      </c>
      <c r="W5" s="43">
        <f>K5/V5</f>
        <v>1.279627797926512</v>
      </c>
      <c r="X5" s="49"/>
    </row>
    <row r="6" spans="1:25" x14ac:dyDescent="0.25">
      <c r="A6" s="1" t="s">
        <v>11</v>
      </c>
      <c r="B6">
        <v>2838</v>
      </c>
      <c r="C6" s="48">
        <v>3545</v>
      </c>
      <c r="D6">
        <v>992</v>
      </c>
      <c r="E6">
        <v>134</v>
      </c>
      <c r="F6">
        <v>18</v>
      </c>
      <c r="G6">
        <v>23</v>
      </c>
      <c r="H6">
        <v>520</v>
      </c>
      <c r="I6" s="9">
        <f t="shared" ref="I6:I16" si="9">SUM(B6:H6)</f>
        <v>8070</v>
      </c>
      <c r="J6">
        <v>590.70000000000005</v>
      </c>
      <c r="K6" s="65">
        <f t="shared" si="6"/>
        <v>73.197026022304826</v>
      </c>
      <c r="L6">
        <v>73.2</v>
      </c>
      <c r="N6">
        <f>B6*B$17</f>
        <v>85140</v>
      </c>
      <c r="O6">
        <f>C6*C$17</f>
        <v>212700</v>
      </c>
      <c r="P6">
        <f>D6*D$17</f>
        <v>29760</v>
      </c>
      <c r="Q6">
        <f t="shared" si="2"/>
        <v>2680</v>
      </c>
      <c r="R6">
        <f t="shared" si="3"/>
        <v>720</v>
      </c>
      <c r="S6">
        <f t="shared" si="4"/>
        <v>17940</v>
      </c>
      <c r="T6">
        <f t="shared" si="5"/>
        <v>2600</v>
      </c>
      <c r="U6">
        <f t="shared" si="7"/>
        <v>351540</v>
      </c>
      <c r="V6" s="65">
        <f t="shared" si="8"/>
        <v>43.561338289962826</v>
      </c>
      <c r="W6" s="43">
        <f t="shared" ref="W6:W16" si="10">K6/V6</f>
        <v>1.6803208738692608</v>
      </c>
      <c r="X6" s="49"/>
    </row>
    <row r="7" spans="1:25" x14ac:dyDescent="0.25">
      <c r="A7" s="1" t="s">
        <v>12</v>
      </c>
      <c r="B7">
        <v>74</v>
      </c>
      <c r="C7" s="48">
        <v>101</v>
      </c>
      <c r="D7">
        <v>146</v>
      </c>
      <c r="E7">
        <v>661</v>
      </c>
      <c r="F7">
        <v>113</v>
      </c>
      <c r="G7">
        <v>2</v>
      </c>
      <c r="H7">
        <v>2</v>
      </c>
      <c r="I7" s="9">
        <f t="shared" si="9"/>
        <v>1099</v>
      </c>
      <c r="J7">
        <v>119.7</v>
      </c>
      <c r="K7" s="65">
        <f t="shared" si="6"/>
        <v>108.9171974522293</v>
      </c>
      <c r="L7">
        <v>108.8</v>
      </c>
      <c r="N7">
        <f t="shared" ref="N7:N16" si="11">B7*B$17</f>
        <v>2220</v>
      </c>
      <c r="O7">
        <f t="shared" si="0"/>
        <v>6060</v>
      </c>
      <c r="P7">
        <f t="shared" si="1"/>
        <v>4380</v>
      </c>
      <c r="Q7">
        <f t="shared" si="2"/>
        <v>13220</v>
      </c>
      <c r="R7">
        <f t="shared" si="3"/>
        <v>4520</v>
      </c>
      <c r="S7">
        <f t="shared" si="4"/>
        <v>1560</v>
      </c>
      <c r="T7">
        <f t="shared" si="5"/>
        <v>10</v>
      </c>
      <c r="U7">
        <f t="shared" si="7"/>
        <v>31970</v>
      </c>
      <c r="V7" s="65">
        <f t="shared" si="8"/>
        <v>29.090081892629662</v>
      </c>
      <c r="W7" s="43">
        <f t="shared" si="10"/>
        <v>3.7441351266812641</v>
      </c>
      <c r="X7" s="49"/>
    </row>
    <row r="8" spans="1:25" x14ac:dyDescent="0.25">
      <c r="A8" s="1" t="s">
        <v>13</v>
      </c>
      <c r="B8">
        <v>191</v>
      </c>
      <c r="C8" s="48">
        <v>340</v>
      </c>
      <c r="D8">
        <v>190</v>
      </c>
      <c r="E8">
        <v>74</v>
      </c>
      <c r="F8">
        <v>21</v>
      </c>
      <c r="G8">
        <v>5</v>
      </c>
      <c r="H8">
        <v>24</v>
      </c>
      <c r="I8" s="9">
        <f t="shared" si="9"/>
        <v>845</v>
      </c>
      <c r="J8">
        <v>131.6</v>
      </c>
      <c r="K8" s="65">
        <f t="shared" si="6"/>
        <v>155.73964497041419</v>
      </c>
      <c r="L8">
        <v>155.6</v>
      </c>
      <c r="N8">
        <f t="shared" si="11"/>
        <v>5730</v>
      </c>
      <c r="O8">
        <f t="shared" si="0"/>
        <v>20400</v>
      </c>
      <c r="P8">
        <f t="shared" si="1"/>
        <v>5700</v>
      </c>
      <c r="Q8">
        <f t="shared" si="2"/>
        <v>1480</v>
      </c>
      <c r="R8">
        <f t="shared" si="3"/>
        <v>840</v>
      </c>
      <c r="S8">
        <f t="shared" si="4"/>
        <v>3900</v>
      </c>
      <c r="T8">
        <f t="shared" si="5"/>
        <v>120</v>
      </c>
      <c r="U8">
        <f t="shared" si="7"/>
        <v>38170</v>
      </c>
      <c r="V8" s="65">
        <f t="shared" si="8"/>
        <v>45.171597633136095</v>
      </c>
      <c r="W8" s="43">
        <f t="shared" si="10"/>
        <v>3.4477338223735914</v>
      </c>
      <c r="X8" s="49"/>
    </row>
    <row r="9" spans="1:25" x14ac:dyDescent="0.25">
      <c r="A9" s="1" t="s">
        <v>15</v>
      </c>
      <c r="B9">
        <v>1298</v>
      </c>
      <c r="C9" s="48">
        <v>296</v>
      </c>
      <c r="D9">
        <v>106</v>
      </c>
      <c r="E9">
        <v>354</v>
      </c>
      <c r="F9">
        <v>43</v>
      </c>
      <c r="G9">
        <v>0</v>
      </c>
      <c r="H9">
        <v>100</v>
      </c>
      <c r="I9" s="9">
        <f t="shared" si="9"/>
        <v>2197</v>
      </c>
      <c r="J9">
        <v>93.2</v>
      </c>
      <c r="K9" s="65">
        <f t="shared" si="6"/>
        <v>42.421483841602182</v>
      </c>
      <c r="L9">
        <v>42.4</v>
      </c>
      <c r="N9">
        <f t="shared" si="11"/>
        <v>38940</v>
      </c>
      <c r="O9">
        <f t="shared" si="0"/>
        <v>17760</v>
      </c>
      <c r="P9">
        <f t="shared" si="1"/>
        <v>3180</v>
      </c>
      <c r="Q9">
        <f t="shared" si="2"/>
        <v>7080</v>
      </c>
      <c r="R9">
        <f t="shared" si="3"/>
        <v>1720</v>
      </c>
      <c r="S9">
        <f t="shared" si="4"/>
        <v>0</v>
      </c>
      <c r="T9">
        <f t="shared" si="5"/>
        <v>500</v>
      </c>
      <c r="U9">
        <f t="shared" si="7"/>
        <v>69180</v>
      </c>
      <c r="V9" s="65">
        <f t="shared" si="8"/>
        <v>31.488393263541191</v>
      </c>
      <c r="W9" s="43">
        <f t="shared" si="10"/>
        <v>1.3472101763515467</v>
      </c>
      <c r="X9" s="49"/>
    </row>
    <row r="10" spans="1:25" x14ac:dyDescent="0.25">
      <c r="A10" s="1" t="s">
        <v>16</v>
      </c>
      <c r="B10">
        <v>1469</v>
      </c>
      <c r="C10" s="48">
        <v>803</v>
      </c>
      <c r="D10">
        <v>759</v>
      </c>
      <c r="E10">
        <v>550</v>
      </c>
      <c r="F10">
        <v>62</v>
      </c>
      <c r="G10">
        <v>29</v>
      </c>
      <c r="H10">
        <v>141</v>
      </c>
      <c r="I10" s="9">
        <f t="shared" si="9"/>
        <v>3813</v>
      </c>
      <c r="J10">
        <v>661.7</v>
      </c>
      <c r="K10" s="65">
        <f t="shared" si="6"/>
        <v>173.53789666928927</v>
      </c>
      <c r="L10">
        <v>173.5</v>
      </c>
      <c r="N10">
        <f t="shared" si="11"/>
        <v>44070</v>
      </c>
      <c r="O10">
        <f t="shared" si="0"/>
        <v>48180</v>
      </c>
      <c r="P10">
        <f t="shared" si="1"/>
        <v>22770</v>
      </c>
      <c r="Q10">
        <f t="shared" si="2"/>
        <v>11000</v>
      </c>
      <c r="R10">
        <f t="shared" si="3"/>
        <v>2480</v>
      </c>
      <c r="S10">
        <f t="shared" si="4"/>
        <v>22620</v>
      </c>
      <c r="T10">
        <f t="shared" si="5"/>
        <v>705</v>
      </c>
      <c r="U10">
        <f t="shared" si="7"/>
        <v>151825</v>
      </c>
      <c r="V10" s="65">
        <f t="shared" si="8"/>
        <v>39.817728822449517</v>
      </c>
      <c r="W10" s="43">
        <f t="shared" si="10"/>
        <v>4.3583072616499257</v>
      </c>
      <c r="X10" s="49"/>
    </row>
    <row r="11" spans="1:25" x14ac:dyDescent="0.25">
      <c r="A11" s="41" t="s">
        <v>93</v>
      </c>
      <c r="B11">
        <v>1079</v>
      </c>
      <c r="C11" s="48">
        <v>1544</v>
      </c>
      <c r="D11">
        <v>350</v>
      </c>
      <c r="E11">
        <v>74</v>
      </c>
      <c r="F11">
        <v>5</v>
      </c>
      <c r="G11">
        <v>0.4</v>
      </c>
      <c r="H11">
        <v>39</v>
      </c>
      <c r="I11" s="9">
        <f t="shared" si="9"/>
        <v>3091.4</v>
      </c>
      <c r="J11">
        <v>147.19999999999999</v>
      </c>
      <c r="K11" s="87">
        <f t="shared" si="6"/>
        <v>47.615966875849132</v>
      </c>
      <c r="L11">
        <v>47.6</v>
      </c>
      <c r="M11" s="41"/>
      <c r="N11">
        <f t="shared" si="11"/>
        <v>32370</v>
      </c>
      <c r="O11">
        <f t="shared" si="0"/>
        <v>92640</v>
      </c>
      <c r="P11">
        <f t="shared" si="1"/>
        <v>10500</v>
      </c>
      <c r="Q11">
        <f t="shared" si="2"/>
        <v>1480</v>
      </c>
      <c r="R11">
        <f t="shared" si="3"/>
        <v>200</v>
      </c>
      <c r="S11">
        <f t="shared" si="4"/>
        <v>312</v>
      </c>
      <c r="T11">
        <f t="shared" si="5"/>
        <v>195</v>
      </c>
      <c r="U11">
        <f t="shared" si="7"/>
        <v>137697</v>
      </c>
      <c r="V11" s="65">
        <f t="shared" si="8"/>
        <v>44.541955101248625</v>
      </c>
      <c r="W11" s="43">
        <f t="shared" si="10"/>
        <v>1.0690138492487129</v>
      </c>
      <c r="X11" s="49"/>
    </row>
    <row r="12" spans="1:25" x14ac:dyDescent="0.25">
      <c r="A12" s="1" t="s">
        <v>23</v>
      </c>
      <c r="B12">
        <v>1538</v>
      </c>
      <c r="C12" s="48">
        <v>1387</v>
      </c>
      <c r="D12">
        <v>1302</v>
      </c>
      <c r="E12">
        <v>22</v>
      </c>
      <c r="F12">
        <v>45</v>
      </c>
      <c r="G12">
        <v>2</v>
      </c>
      <c r="H12">
        <v>120</v>
      </c>
      <c r="I12" s="9">
        <f t="shared" si="9"/>
        <v>4416</v>
      </c>
      <c r="J12">
        <v>775.1</v>
      </c>
      <c r="K12" s="65">
        <f t="shared" si="6"/>
        <v>175.52083333333334</v>
      </c>
      <c r="L12">
        <v>175.5</v>
      </c>
      <c r="N12">
        <f t="shared" si="11"/>
        <v>46140</v>
      </c>
      <c r="O12">
        <f t="shared" si="0"/>
        <v>83220</v>
      </c>
      <c r="P12">
        <f t="shared" si="1"/>
        <v>39060</v>
      </c>
      <c r="Q12">
        <f t="shared" si="2"/>
        <v>440</v>
      </c>
      <c r="R12">
        <f t="shared" si="3"/>
        <v>1800</v>
      </c>
      <c r="S12">
        <f t="shared" si="4"/>
        <v>1560</v>
      </c>
      <c r="T12">
        <f t="shared" si="5"/>
        <v>600</v>
      </c>
      <c r="U12">
        <f t="shared" si="7"/>
        <v>172820</v>
      </c>
      <c r="V12" s="65">
        <f t="shared" si="8"/>
        <v>39.134963768115945</v>
      </c>
      <c r="W12" s="43">
        <f t="shared" si="10"/>
        <v>4.4850133086448327</v>
      </c>
      <c r="X12" s="49"/>
    </row>
    <row r="13" spans="1:25" x14ac:dyDescent="0.25">
      <c r="A13" s="1" t="s">
        <v>28</v>
      </c>
      <c r="B13">
        <v>1009</v>
      </c>
      <c r="C13" s="48">
        <v>4391</v>
      </c>
      <c r="D13">
        <v>869</v>
      </c>
      <c r="E13">
        <v>1351</v>
      </c>
      <c r="F13">
        <v>313</v>
      </c>
      <c r="G13">
        <v>54</v>
      </c>
      <c r="H13">
        <v>258</v>
      </c>
      <c r="I13" s="9">
        <f t="shared" si="9"/>
        <v>8245</v>
      </c>
      <c r="J13">
        <v>1296.5</v>
      </c>
      <c r="K13" s="65">
        <f t="shared" si="6"/>
        <v>157.2468162522741</v>
      </c>
      <c r="L13">
        <v>157.19999999999999</v>
      </c>
      <c r="N13">
        <f t="shared" si="11"/>
        <v>30270</v>
      </c>
      <c r="O13">
        <f t="shared" si="0"/>
        <v>263460</v>
      </c>
      <c r="P13">
        <f t="shared" si="1"/>
        <v>26070</v>
      </c>
      <c r="Q13">
        <f t="shared" si="2"/>
        <v>27020</v>
      </c>
      <c r="R13">
        <f t="shared" si="3"/>
        <v>12520</v>
      </c>
      <c r="S13">
        <f t="shared" si="4"/>
        <v>42120</v>
      </c>
      <c r="T13">
        <f t="shared" si="5"/>
        <v>1290</v>
      </c>
      <c r="U13">
        <f t="shared" si="7"/>
        <v>402750</v>
      </c>
      <c r="V13" s="65">
        <f t="shared" si="8"/>
        <v>48.847786537295327</v>
      </c>
      <c r="W13" s="43">
        <f t="shared" si="10"/>
        <v>3.2191185599006831</v>
      </c>
      <c r="X13" s="49"/>
    </row>
    <row r="14" spans="1:25" x14ac:dyDescent="0.25">
      <c r="A14" s="1" t="s">
        <v>29</v>
      </c>
      <c r="B14">
        <v>284</v>
      </c>
      <c r="C14" s="48">
        <v>201</v>
      </c>
      <c r="D14">
        <v>119</v>
      </c>
      <c r="E14">
        <v>31</v>
      </c>
      <c r="F14">
        <v>10</v>
      </c>
      <c r="G14">
        <v>0</v>
      </c>
      <c r="H14">
        <v>142</v>
      </c>
      <c r="I14" s="9">
        <f t="shared" si="9"/>
        <v>787</v>
      </c>
      <c r="J14">
        <v>8.6</v>
      </c>
      <c r="K14" s="65">
        <f t="shared" si="6"/>
        <v>10.927573062261754</v>
      </c>
      <c r="L14">
        <v>10.9</v>
      </c>
      <c r="N14">
        <f t="shared" si="11"/>
        <v>8520</v>
      </c>
      <c r="O14">
        <f t="shared" si="0"/>
        <v>12060</v>
      </c>
      <c r="P14">
        <f t="shared" si="1"/>
        <v>3570</v>
      </c>
      <c r="Q14">
        <f t="shared" si="2"/>
        <v>620</v>
      </c>
      <c r="R14">
        <f t="shared" si="3"/>
        <v>400</v>
      </c>
      <c r="S14">
        <f t="shared" si="4"/>
        <v>0</v>
      </c>
      <c r="T14">
        <f t="shared" si="5"/>
        <v>710</v>
      </c>
      <c r="U14">
        <f t="shared" si="7"/>
        <v>25880</v>
      </c>
      <c r="V14" s="65">
        <f t="shared" si="8"/>
        <v>32.884371029224901</v>
      </c>
      <c r="W14" s="43">
        <f t="shared" si="10"/>
        <v>0.33230293663060284</v>
      </c>
      <c r="X14" s="49"/>
      <c r="Y14" t="s">
        <v>94</v>
      </c>
    </row>
    <row r="15" spans="1:25" x14ac:dyDescent="0.25">
      <c r="A15" s="41" t="s">
        <v>95</v>
      </c>
      <c r="B15" s="70">
        <v>1716</v>
      </c>
      <c r="C15" s="71">
        <v>809</v>
      </c>
      <c r="D15" s="72">
        <v>1255</v>
      </c>
      <c r="E15" s="72">
        <v>2731</v>
      </c>
      <c r="F15" s="72">
        <v>204</v>
      </c>
      <c r="G15" s="72">
        <v>0</v>
      </c>
      <c r="H15" s="72">
        <v>339</v>
      </c>
      <c r="I15" s="73">
        <f t="shared" si="9"/>
        <v>7054</v>
      </c>
      <c r="J15" s="72">
        <v>199.5</v>
      </c>
      <c r="K15" s="87">
        <f t="shared" si="6"/>
        <v>28.281825914374824</v>
      </c>
      <c r="L15" s="72">
        <v>28.3</v>
      </c>
      <c r="M15" s="41"/>
      <c r="N15" s="72">
        <f t="shared" si="11"/>
        <v>51480</v>
      </c>
      <c r="O15" s="72">
        <f t="shared" si="0"/>
        <v>48540</v>
      </c>
      <c r="P15" s="72">
        <f t="shared" si="1"/>
        <v>37650</v>
      </c>
      <c r="Q15" s="72">
        <f t="shared" si="2"/>
        <v>54620</v>
      </c>
      <c r="R15" s="72">
        <f t="shared" si="3"/>
        <v>8160</v>
      </c>
      <c r="S15" s="72">
        <f t="shared" si="4"/>
        <v>0</v>
      </c>
      <c r="T15" s="72">
        <f t="shared" si="5"/>
        <v>1695</v>
      </c>
      <c r="U15" s="72">
        <f t="shared" si="7"/>
        <v>202145</v>
      </c>
      <c r="V15" s="74">
        <f t="shared" si="8"/>
        <v>28.656790473490219</v>
      </c>
      <c r="W15" s="75">
        <f t="shared" si="10"/>
        <v>0.98691533305300649</v>
      </c>
      <c r="X15" s="76"/>
    </row>
    <row r="16" spans="1:25" x14ac:dyDescent="0.25">
      <c r="A16" s="1" t="s">
        <v>22</v>
      </c>
      <c r="B16" s="16">
        <v>215</v>
      </c>
      <c r="C16" s="92">
        <v>118</v>
      </c>
      <c r="D16" s="16">
        <v>74</v>
      </c>
      <c r="E16" s="16">
        <v>95</v>
      </c>
      <c r="F16" s="16">
        <v>1646</v>
      </c>
      <c r="G16" s="16">
        <v>0</v>
      </c>
      <c r="H16" s="16">
        <v>50</v>
      </c>
      <c r="I16" s="27">
        <f t="shared" si="9"/>
        <v>2198</v>
      </c>
      <c r="J16" s="16">
        <v>5.5</v>
      </c>
      <c r="K16" s="90">
        <f t="shared" si="6"/>
        <v>2.5022747952684257</v>
      </c>
      <c r="L16" s="16">
        <v>2.5</v>
      </c>
      <c r="M16" s="16"/>
      <c r="N16" s="16">
        <f t="shared" si="11"/>
        <v>6450</v>
      </c>
      <c r="O16" s="16">
        <f t="shared" si="0"/>
        <v>7080</v>
      </c>
      <c r="P16" s="16">
        <f t="shared" si="1"/>
        <v>2220</v>
      </c>
      <c r="Q16" s="16">
        <f t="shared" si="2"/>
        <v>1900</v>
      </c>
      <c r="R16" s="16">
        <f t="shared" si="3"/>
        <v>65840</v>
      </c>
      <c r="S16" s="16">
        <f t="shared" si="4"/>
        <v>0</v>
      </c>
      <c r="T16" s="16">
        <f t="shared" si="5"/>
        <v>250</v>
      </c>
      <c r="U16" s="16">
        <f t="shared" si="7"/>
        <v>83740</v>
      </c>
      <c r="V16" s="90">
        <f t="shared" si="8"/>
        <v>38.098271155595995</v>
      </c>
      <c r="W16" s="93">
        <f t="shared" si="10"/>
        <v>6.567948411750657E-2</v>
      </c>
      <c r="X16" s="94"/>
    </row>
    <row r="17" spans="1:24" ht="15.75" thickBot="1" x14ac:dyDescent="0.3">
      <c r="A17" s="1" t="s">
        <v>96</v>
      </c>
      <c r="B17">
        <v>30</v>
      </c>
      <c r="C17" s="66">
        <v>60</v>
      </c>
      <c r="D17" s="59">
        <v>30</v>
      </c>
      <c r="E17" s="59">
        <v>20</v>
      </c>
      <c r="F17" s="59">
        <v>40</v>
      </c>
      <c r="G17" s="99">
        <v>780</v>
      </c>
      <c r="H17" s="99">
        <v>5</v>
      </c>
      <c r="I17" s="67"/>
      <c r="J17" s="68" t="s">
        <v>69</v>
      </c>
      <c r="K17" s="69">
        <f>AVERAGE(K4:K16)</f>
        <v>81.615593412402532</v>
      </c>
      <c r="L17" s="69"/>
      <c r="M17" s="69"/>
      <c r="N17" s="69"/>
      <c r="O17" s="69"/>
      <c r="P17" s="69"/>
      <c r="Q17" s="69"/>
      <c r="R17" s="69"/>
      <c r="S17" s="69"/>
      <c r="T17" s="69"/>
      <c r="U17" s="77" t="s">
        <v>69</v>
      </c>
      <c r="V17" s="69">
        <f t="shared" ref="V17" si="12">AVERAGE(V4:V15)</f>
        <v>39.612995367534261</v>
      </c>
      <c r="W17" s="59"/>
      <c r="X17" s="60"/>
    </row>
    <row r="18" spans="1:24" x14ac:dyDescent="0.25">
      <c r="A18">
        <v>2021</v>
      </c>
      <c r="B18" s="2" t="s">
        <v>37</v>
      </c>
      <c r="J18" s="2"/>
    </row>
    <row r="19" spans="1:24" x14ac:dyDescent="0.25">
      <c r="B19" s="1" t="s">
        <v>83</v>
      </c>
      <c r="C19" s="4" t="s">
        <v>97</v>
      </c>
      <c r="D19" s="1" t="s">
        <v>84</v>
      </c>
      <c r="E19" s="4" t="s">
        <v>97</v>
      </c>
      <c r="F19" s="1" t="s">
        <v>85</v>
      </c>
      <c r="G19" s="4" t="s">
        <v>97</v>
      </c>
      <c r="H19" t="s">
        <v>86</v>
      </c>
      <c r="I19" s="6" t="s">
        <v>97</v>
      </c>
      <c r="J19" t="s">
        <v>87</v>
      </c>
      <c r="K19" s="6" t="s">
        <v>97</v>
      </c>
      <c r="L19" s="20" t="s">
        <v>88</v>
      </c>
      <c r="M19" s="21" t="s">
        <v>97</v>
      </c>
      <c r="N19" t="s">
        <v>89</v>
      </c>
      <c r="O19" s="6" t="s">
        <v>97</v>
      </c>
      <c r="P19" t="s">
        <v>90</v>
      </c>
    </row>
    <row r="20" spans="1:24" x14ac:dyDescent="0.25">
      <c r="A20" t="s">
        <v>1</v>
      </c>
      <c r="B20">
        <v>420</v>
      </c>
      <c r="C20" s="17">
        <f t="shared" ref="C20:C33" si="13">(B20/P20)*100</f>
        <v>44.444444444444443</v>
      </c>
      <c r="D20">
        <v>358</v>
      </c>
      <c r="E20" s="17">
        <f t="shared" ref="E20:E33" si="14">(D20/P20)*100</f>
        <v>37.883597883597886</v>
      </c>
      <c r="F20">
        <v>91</v>
      </c>
      <c r="G20" s="17">
        <f t="shared" ref="G20:G33" si="15">(F20/P20)*100</f>
        <v>9.6296296296296298</v>
      </c>
      <c r="H20">
        <v>37</v>
      </c>
      <c r="I20" s="17">
        <f t="shared" ref="I20:I33" si="16">(H20/P20)*100</f>
        <v>3.9153439153439153</v>
      </c>
      <c r="J20">
        <v>0</v>
      </c>
      <c r="K20" s="17">
        <f t="shared" ref="K20:K33" si="17">(J20/P20)*100</f>
        <v>0</v>
      </c>
      <c r="L20" s="20">
        <v>0</v>
      </c>
      <c r="M20" s="24">
        <f t="shared" ref="M20:M33" si="18">(L20/P20)*100</f>
        <v>0</v>
      </c>
      <c r="N20">
        <v>39</v>
      </c>
      <c r="O20" s="17">
        <f t="shared" ref="O20:O33" si="19">(N20/P20)*100</f>
        <v>4.1269841269841265</v>
      </c>
      <c r="P20" s="27">
        <f t="shared" ref="P20:P33" si="20">B20+D20+F20+H20+J20+L20+N20</f>
        <v>945</v>
      </c>
    </row>
    <row r="21" spans="1:24" x14ac:dyDescent="0.25">
      <c r="A21" s="16" t="s">
        <v>7</v>
      </c>
      <c r="B21" s="16">
        <v>378</v>
      </c>
      <c r="C21" s="17">
        <f t="shared" si="13"/>
        <v>15.422276621787026</v>
      </c>
      <c r="D21" s="16">
        <v>1826</v>
      </c>
      <c r="E21" s="26">
        <f t="shared" si="14"/>
        <v>74.500203998368008</v>
      </c>
      <c r="F21" s="16">
        <v>121</v>
      </c>
      <c r="G21" s="18">
        <f t="shared" si="15"/>
        <v>4.9367605059159523</v>
      </c>
      <c r="H21" s="16">
        <v>11</v>
      </c>
      <c r="I21" s="18">
        <f t="shared" si="16"/>
        <v>0.44879640962872297</v>
      </c>
      <c r="J21" s="16">
        <v>45</v>
      </c>
      <c r="K21" s="17">
        <f t="shared" si="17"/>
        <v>1.8359853121175032</v>
      </c>
      <c r="L21" s="23">
        <v>0</v>
      </c>
      <c r="M21" s="24">
        <f t="shared" si="18"/>
        <v>0</v>
      </c>
      <c r="N21" s="16">
        <v>70</v>
      </c>
      <c r="O21" s="17">
        <f t="shared" si="19"/>
        <v>2.8559771521827826</v>
      </c>
      <c r="P21" s="27">
        <f t="shared" si="20"/>
        <v>2451</v>
      </c>
      <c r="R21" s="3"/>
    </row>
    <row r="22" spans="1:24" x14ac:dyDescent="0.25">
      <c r="A22" s="1" t="s">
        <v>10</v>
      </c>
      <c r="B22">
        <v>2961</v>
      </c>
      <c r="C22" s="5">
        <f t="shared" si="13"/>
        <v>43.808255659121173</v>
      </c>
      <c r="D22">
        <v>1774</v>
      </c>
      <c r="E22" s="5">
        <f t="shared" si="14"/>
        <v>26.246486166592693</v>
      </c>
      <c r="F22">
        <v>1055</v>
      </c>
      <c r="G22" s="5">
        <f t="shared" si="15"/>
        <v>15.608817872466341</v>
      </c>
      <c r="H22">
        <v>627</v>
      </c>
      <c r="I22" s="5">
        <f t="shared" si="16"/>
        <v>9.2765201952951628</v>
      </c>
      <c r="J22">
        <v>45</v>
      </c>
      <c r="K22" s="5">
        <f t="shared" si="17"/>
        <v>0.66577896138482018</v>
      </c>
      <c r="L22" s="20">
        <v>39</v>
      </c>
      <c r="M22" s="22">
        <f t="shared" si="18"/>
        <v>0.57700843320017747</v>
      </c>
      <c r="N22">
        <v>258</v>
      </c>
      <c r="O22" s="5">
        <f t="shared" si="19"/>
        <v>3.8171327119396361</v>
      </c>
      <c r="P22" s="9">
        <f t="shared" si="20"/>
        <v>6759</v>
      </c>
      <c r="R22" s="3"/>
    </row>
    <row r="23" spans="1:24" x14ac:dyDescent="0.25">
      <c r="A23" s="1" t="s">
        <v>11</v>
      </c>
      <c r="B23">
        <v>2838</v>
      </c>
      <c r="C23" s="5">
        <f t="shared" si="13"/>
        <v>35.167286245353161</v>
      </c>
      <c r="D23">
        <v>3545</v>
      </c>
      <c r="E23" s="5">
        <f t="shared" si="14"/>
        <v>43.928128872366791</v>
      </c>
      <c r="F23">
        <v>992</v>
      </c>
      <c r="G23" s="5">
        <f t="shared" si="15"/>
        <v>12.292441140024783</v>
      </c>
      <c r="H23">
        <v>134</v>
      </c>
      <c r="I23" s="5">
        <f t="shared" si="16"/>
        <v>1.6604708798017349</v>
      </c>
      <c r="J23">
        <v>18</v>
      </c>
      <c r="K23" s="8">
        <f t="shared" si="17"/>
        <v>0.22304832713754646</v>
      </c>
      <c r="L23" s="20">
        <v>23</v>
      </c>
      <c r="M23" s="22">
        <f t="shared" si="18"/>
        <v>0.28500619578686492</v>
      </c>
      <c r="N23">
        <v>520</v>
      </c>
      <c r="O23" s="5">
        <f t="shared" si="19"/>
        <v>6.4436183395291193</v>
      </c>
      <c r="P23" s="9">
        <f t="shared" si="20"/>
        <v>8070</v>
      </c>
      <c r="R23" s="3"/>
    </row>
    <row r="24" spans="1:24" x14ac:dyDescent="0.25">
      <c r="A24" s="1" t="s">
        <v>12</v>
      </c>
      <c r="B24">
        <v>74</v>
      </c>
      <c r="C24" s="8">
        <f t="shared" si="13"/>
        <v>6.7333939945404913</v>
      </c>
      <c r="D24">
        <v>101</v>
      </c>
      <c r="E24" s="8">
        <f t="shared" si="14"/>
        <v>9.1901728844404005</v>
      </c>
      <c r="F24">
        <v>146</v>
      </c>
      <c r="G24" s="5">
        <f t="shared" si="15"/>
        <v>13.284804367606915</v>
      </c>
      <c r="H24">
        <v>661</v>
      </c>
      <c r="I24" s="7">
        <f t="shared" si="16"/>
        <v>60.14558689717925</v>
      </c>
      <c r="J24">
        <v>113</v>
      </c>
      <c r="K24" s="7">
        <f t="shared" si="17"/>
        <v>10.282074613284804</v>
      </c>
      <c r="L24" s="20">
        <v>2</v>
      </c>
      <c r="M24" s="22">
        <f t="shared" si="18"/>
        <v>0.18198362147406735</v>
      </c>
      <c r="N24">
        <v>2</v>
      </c>
      <c r="O24" s="8">
        <f t="shared" si="19"/>
        <v>0.18198362147406735</v>
      </c>
      <c r="P24" s="9">
        <f t="shared" si="20"/>
        <v>1099</v>
      </c>
      <c r="R24" s="3"/>
      <c r="S24" t="s">
        <v>98</v>
      </c>
    </row>
    <row r="25" spans="1:24" x14ac:dyDescent="0.25">
      <c r="A25" s="1" t="s">
        <v>13</v>
      </c>
      <c r="B25">
        <v>191</v>
      </c>
      <c r="C25" s="5">
        <f t="shared" si="13"/>
        <v>22.603550295857989</v>
      </c>
      <c r="D25">
        <v>340</v>
      </c>
      <c r="E25" s="5">
        <f t="shared" si="14"/>
        <v>40.236686390532547</v>
      </c>
      <c r="F25">
        <v>190</v>
      </c>
      <c r="G25" s="5">
        <f t="shared" si="15"/>
        <v>22.485207100591715</v>
      </c>
      <c r="H25">
        <v>74</v>
      </c>
      <c r="I25" s="5">
        <f t="shared" si="16"/>
        <v>8.7573964497041423</v>
      </c>
      <c r="J25">
        <v>21</v>
      </c>
      <c r="K25" s="5">
        <f t="shared" si="17"/>
        <v>2.4852071005917158</v>
      </c>
      <c r="L25" s="20">
        <v>5</v>
      </c>
      <c r="M25" s="22">
        <f t="shared" si="18"/>
        <v>0.59171597633136097</v>
      </c>
      <c r="N25">
        <v>24</v>
      </c>
      <c r="O25" s="5">
        <f t="shared" si="19"/>
        <v>2.8402366863905324</v>
      </c>
      <c r="P25" s="9">
        <f t="shared" si="20"/>
        <v>845</v>
      </c>
      <c r="R25" s="3"/>
      <c r="S25" t="s">
        <v>99</v>
      </c>
    </row>
    <row r="26" spans="1:24" x14ac:dyDescent="0.25">
      <c r="A26" s="1" t="s">
        <v>15</v>
      </c>
      <c r="B26">
        <v>1298</v>
      </c>
      <c r="C26" s="7">
        <f t="shared" si="13"/>
        <v>59.080564406008193</v>
      </c>
      <c r="D26">
        <v>296</v>
      </c>
      <c r="E26" s="5">
        <f t="shared" si="14"/>
        <v>13.47291761492945</v>
      </c>
      <c r="F26">
        <v>106</v>
      </c>
      <c r="G26" s="8">
        <f t="shared" si="15"/>
        <v>4.8247610377787895</v>
      </c>
      <c r="H26">
        <v>354</v>
      </c>
      <c r="I26" s="5">
        <f t="shared" si="16"/>
        <v>16.112881201638597</v>
      </c>
      <c r="J26">
        <v>43</v>
      </c>
      <c r="K26" s="5">
        <f t="shared" si="17"/>
        <v>1.9572143832498861</v>
      </c>
      <c r="L26" s="20">
        <v>0</v>
      </c>
      <c r="M26" s="22">
        <f t="shared" si="18"/>
        <v>0</v>
      </c>
      <c r="N26">
        <v>100</v>
      </c>
      <c r="O26" s="5">
        <f t="shared" si="19"/>
        <v>4.5516613563950843</v>
      </c>
      <c r="P26" s="9">
        <f t="shared" si="20"/>
        <v>2197</v>
      </c>
      <c r="R26" s="3"/>
    </row>
    <row r="27" spans="1:24" x14ac:dyDescent="0.25">
      <c r="A27" s="1" t="s">
        <v>16</v>
      </c>
      <c r="B27">
        <v>1469</v>
      </c>
      <c r="C27" s="5">
        <f t="shared" si="13"/>
        <v>38.526094938368736</v>
      </c>
      <c r="D27">
        <v>803</v>
      </c>
      <c r="E27" s="5">
        <f t="shared" si="14"/>
        <v>21.05953317597692</v>
      </c>
      <c r="F27">
        <v>759</v>
      </c>
      <c r="G27" s="5">
        <f t="shared" si="15"/>
        <v>19.905586152635721</v>
      </c>
      <c r="H27">
        <v>550</v>
      </c>
      <c r="I27" s="5">
        <f t="shared" si="16"/>
        <v>14.424337791765016</v>
      </c>
      <c r="J27">
        <v>62</v>
      </c>
      <c r="K27" s="5">
        <f t="shared" si="17"/>
        <v>1.6260162601626018</v>
      </c>
      <c r="L27" s="20">
        <v>29</v>
      </c>
      <c r="M27" s="22">
        <f t="shared" si="18"/>
        <v>0.76055599265670071</v>
      </c>
      <c r="N27">
        <v>141</v>
      </c>
      <c r="O27" s="5">
        <f t="shared" si="19"/>
        <v>3.6978756884343036</v>
      </c>
      <c r="P27" s="9">
        <f t="shared" si="20"/>
        <v>3813</v>
      </c>
      <c r="R27" s="3"/>
    </row>
    <row r="28" spans="1:24" x14ac:dyDescent="0.25">
      <c r="A28" s="15" t="s">
        <v>93</v>
      </c>
      <c r="B28" s="16">
        <v>1079</v>
      </c>
      <c r="C28" s="17">
        <f t="shared" si="13"/>
        <v>34.903280067283433</v>
      </c>
      <c r="D28" s="16">
        <v>1544</v>
      </c>
      <c r="E28" s="17">
        <f t="shared" si="14"/>
        <v>49.945008733906967</v>
      </c>
      <c r="F28" s="16">
        <v>350</v>
      </c>
      <c r="G28" s="17">
        <f t="shared" si="15"/>
        <v>11.321731254447823</v>
      </c>
      <c r="H28" s="16">
        <v>74</v>
      </c>
      <c r="I28" s="17">
        <f t="shared" si="16"/>
        <v>2.3937374652261112</v>
      </c>
      <c r="J28" s="16">
        <v>5</v>
      </c>
      <c r="K28" s="18">
        <f t="shared" si="17"/>
        <v>0.16173901792068318</v>
      </c>
      <c r="L28" s="23">
        <v>0.4</v>
      </c>
      <c r="M28" s="24">
        <f t="shared" si="18"/>
        <v>1.2939121433654655E-2</v>
      </c>
      <c r="N28" s="16">
        <v>39</v>
      </c>
      <c r="O28" s="17">
        <f t="shared" si="19"/>
        <v>1.2615643397813288</v>
      </c>
      <c r="P28" s="19">
        <f t="shared" si="20"/>
        <v>3091.4</v>
      </c>
      <c r="R28" s="3"/>
    </row>
    <row r="29" spans="1:24" x14ac:dyDescent="0.25">
      <c r="A29" s="1" t="s">
        <v>23</v>
      </c>
      <c r="B29">
        <v>1538</v>
      </c>
      <c r="C29" s="5">
        <f t="shared" si="13"/>
        <v>34.82789855072464</v>
      </c>
      <c r="D29">
        <v>1387</v>
      </c>
      <c r="E29" s="5">
        <f t="shared" si="14"/>
        <v>31.408514492753625</v>
      </c>
      <c r="F29">
        <v>1302</v>
      </c>
      <c r="G29" s="7">
        <f t="shared" si="15"/>
        <v>29.483695652173914</v>
      </c>
      <c r="H29">
        <v>22</v>
      </c>
      <c r="I29" s="8">
        <f t="shared" si="16"/>
        <v>0.49818840579710139</v>
      </c>
      <c r="J29">
        <v>45</v>
      </c>
      <c r="K29" s="5">
        <f t="shared" si="17"/>
        <v>1.0190217391304348</v>
      </c>
      <c r="L29" s="20">
        <v>2</v>
      </c>
      <c r="M29" s="22">
        <f t="shared" si="18"/>
        <v>4.5289855072463768E-2</v>
      </c>
      <c r="N29">
        <v>120</v>
      </c>
      <c r="O29" s="5">
        <f t="shared" si="19"/>
        <v>2.7173913043478262</v>
      </c>
      <c r="P29" s="9">
        <f t="shared" si="20"/>
        <v>4416</v>
      </c>
      <c r="R29" s="3"/>
    </row>
    <row r="30" spans="1:24" x14ac:dyDescent="0.25">
      <c r="A30" s="1" t="s">
        <v>28</v>
      </c>
      <c r="B30">
        <v>1009</v>
      </c>
      <c r="C30" s="5">
        <f t="shared" si="13"/>
        <v>12.23771983020012</v>
      </c>
      <c r="D30">
        <v>4391</v>
      </c>
      <c r="E30" s="5">
        <f t="shared" si="14"/>
        <v>53.256519102486358</v>
      </c>
      <c r="F30">
        <v>869</v>
      </c>
      <c r="G30" s="5">
        <f t="shared" si="15"/>
        <v>10.539721043056398</v>
      </c>
      <c r="H30">
        <v>1351</v>
      </c>
      <c r="I30" s="5">
        <f t="shared" si="16"/>
        <v>16.38568829593693</v>
      </c>
      <c r="J30">
        <v>313</v>
      </c>
      <c r="K30" s="5">
        <f t="shared" si="17"/>
        <v>3.796240145542753</v>
      </c>
      <c r="L30" s="20">
        <v>54</v>
      </c>
      <c r="M30" s="22">
        <f t="shared" si="18"/>
        <v>0.65494238932686477</v>
      </c>
      <c r="N30">
        <v>258</v>
      </c>
      <c r="O30" s="5">
        <f t="shared" si="19"/>
        <v>3.1291691934505761</v>
      </c>
      <c r="P30" s="9">
        <f t="shared" si="20"/>
        <v>8245</v>
      </c>
      <c r="R30" s="3"/>
    </row>
    <row r="31" spans="1:24" x14ac:dyDescent="0.25">
      <c r="A31" s="1" t="s">
        <v>29</v>
      </c>
      <c r="B31">
        <v>284</v>
      </c>
      <c r="C31" s="5">
        <f t="shared" si="13"/>
        <v>36.086404066073698</v>
      </c>
      <c r="D31">
        <v>201</v>
      </c>
      <c r="E31" s="5">
        <f t="shared" si="14"/>
        <v>25.54002541296061</v>
      </c>
      <c r="F31">
        <v>119</v>
      </c>
      <c r="G31" s="5">
        <f t="shared" si="15"/>
        <v>15.120711562897077</v>
      </c>
      <c r="H31">
        <v>31</v>
      </c>
      <c r="I31" s="5">
        <f t="shared" si="16"/>
        <v>3.9390088945362134</v>
      </c>
      <c r="J31">
        <v>10</v>
      </c>
      <c r="K31" s="5">
        <f t="shared" si="17"/>
        <v>1.2706480304955527</v>
      </c>
      <c r="L31" s="20">
        <v>0</v>
      </c>
      <c r="M31" s="22">
        <f t="shared" si="18"/>
        <v>0</v>
      </c>
      <c r="N31">
        <v>142</v>
      </c>
      <c r="O31" s="7">
        <f t="shared" si="19"/>
        <v>18.043202033036849</v>
      </c>
      <c r="P31" s="9">
        <f t="shared" si="20"/>
        <v>787</v>
      </c>
      <c r="R31" s="3"/>
    </row>
    <row r="32" spans="1:24" x14ac:dyDescent="0.25">
      <c r="A32" s="16" t="s">
        <v>95</v>
      </c>
      <c r="B32" s="16">
        <v>1716</v>
      </c>
      <c r="C32" s="17">
        <f t="shared" si="13"/>
        <v>24.326623192514884</v>
      </c>
      <c r="D32" s="16">
        <v>809</v>
      </c>
      <c r="E32" s="17">
        <f t="shared" si="14"/>
        <v>11.46867025800964</v>
      </c>
      <c r="F32" s="16">
        <v>1255</v>
      </c>
      <c r="G32" s="17">
        <f t="shared" si="15"/>
        <v>17.791324071448823</v>
      </c>
      <c r="H32" s="16">
        <v>2731</v>
      </c>
      <c r="I32" s="26">
        <f t="shared" si="16"/>
        <v>38.715622341933653</v>
      </c>
      <c r="J32" s="16">
        <v>204</v>
      </c>
      <c r="K32" s="17">
        <f t="shared" si="17"/>
        <v>2.891976183725546</v>
      </c>
      <c r="L32" s="23">
        <v>0</v>
      </c>
      <c r="M32" s="24">
        <f t="shared" si="18"/>
        <v>0</v>
      </c>
      <c r="N32" s="16">
        <v>339</v>
      </c>
      <c r="O32" s="17">
        <f t="shared" si="19"/>
        <v>4.8057839523674515</v>
      </c>
      <c r="P32" s="27">
        <f t="shared" si="20"/>
        <v>7054</v>
      </c>
      <c r="R32" s="3"/>
    </row>
    <row r="33" spans="1:28" x14ac:dyDescent="0.25">
      <c r="A33" s="88" t="s">
        <v>22</v>
      </c>
      <c r="B33" s="16">
        <v>215</v>
      </c>
      <c r="C33" s="89">
        <f t="shared" si="13"/>
        <v>9.7816196542311182</v>
      </c>
      <c r="D33" s="16">
        <v>118</v>
      </c>
      <c r="E33" s="89">
        <f t="shared" si="14"/>
        <v>5.3685168334849864</v>
      </c>
      <c r="F33" s="16">
        <v>74</v>
      </c>
      <c r="G33" s="89">
        <f t="shared" si="15"/>
        <v>3.3666969972702456</v>
      </c>
      <c r="H33" s="16">
        <v>95</v>
      </c>
      <c r="I33" s="89">
        <f t="shared" si="16"/>
        <v>4.3221110100090989</v>
      </c>
      <c r="J33" s="16">
        <v>1646</v>
      </c>
      <c r="K33" s="90">
        <f t="shared" si="17"/>
        <v>74.886260236578707</v>
      </c>
      <c r="L33" s="23">
        <v>0</v>
      </c>
      <c r="M33" s="91">
        <f t="shared" si="18"/>
        <v>0</v>
      </c>
      <c r="N33" s="16">
        <v>50</v>
      </c>
      <c r="O33" s="89">
        <f t="shared" si="19"/>
        <v>2.2747952684258417</v>
      </c>
      <c r="P33" s="27">
        <f t="shared" si="20"/>
        <v>2198</v>
      </c>
      <c r="R33" s="3"/>
    </row>
    <row r="34" spans="1:28" x14ac:dyDescent="0.25">
      <c r="A34" t="s">
        <v>100</v>
      </c>
      <c r="C34" s="3">
        <f>AVERAGE(C21:C32)</f>
        <v>30.310278988986127</v>
      </c>
      <c r="D34" s="3"/>
      <c r="E34" s="3">
        <f t="shared" ref="E34:O34" si="21">AVERAGE(E21:E32)</f>
        <v>33.354405591943674</v>
      </c>
      <c r="F34" s="3"/>
      <c r="G34" s="3">
        <f t="shared" si="21"/>
        <v>14.799630146753687</v>
      </c>
      <c r="H34" s="3"/>
      <c r="I34" s="3">
        <f t="shared" si="21"/>
        <v>14.396519602370219</v>
      </c>
      <c r="J34" s="3"/>
      <c r="K34" s="3">
        <f t="shared" si="21"/>
        <v>2.3512458395619875</v>
      </c>
      <c r="L34" s="25"/>
      <c r="M34" s="25">
        <f t="shared" si="21"/>
        <v>0.2591201321068462</v>
      </c>
      <c r="N34" s="3"/>
      <c r="O34" s="3">
        <f t="shared" si="21"/>
        <v>4.5287996982774628</v>
      </c>
      <c r="P34" s="9"/>
      <c r="R34" s="3"/>
    </row>
    <row r="35" spans="1:28" x14ac:dyDescent="0.25">
      <c r="C35" s="3"/>
      <c r="D35" s="3"/>
      <c r="E35" s="3"/>
      <c r="F35" s="3"/>
      <c r="G35" s="3"/>
      <c r="H35" s="3"/>
      <c r="I35" s="3"/>
      <c r="J35" s="3"/>
      <c r="K35" s="3"/>
      <c r="L35" s="25"/>
      <c r="M35" s="25"/>
      <c r="N35" s="3"/>
      <c r="O35" s="3"/>
      <c r="P35" s="9"/>
      <c r="R35" s="3"/>
    </row>
    <row r="36" spans="1:28" x14ac:dyDescent="0.25">
      <c r="B36" s="1" t="s">
        <v>83</v>
      </c>
      <c r="C36" s="4"/>
      <c r="D36" s="1" t="s">
        <v>84</v>
      </c>
      <c r="E36" s="4"/>
      <c r="F36" s="1" t="s">
        <v>85</v>
      </c>
      <c r="G36" s="4"/>
      <c r="H36" t="s">
        <v>86</v>
      </c>
      <c r="I36" s="6"/>
      <c r="J36" t="s">
        <v>87</v>
      </c>
      <c r="K36" s="6"/>
      <c r="L36" s="20" t="s">
        <v>88</v>
      </c>
      <c r="M36" s="21"/>
      <c r="N36" t="s">
        <v>89</v>
      </c>
      <c r="O36" s="6"/>
      <c r="P36" t="s">
        <v>90</v>
      </c>
    </row>
    <row r="37" spans="1:28" x14ac:dyDescent="0.25">
      <c r="A37" t="s">
        <v>101</v>
      </c>
      <c r="B37">
        <v>378</v>
      </c>
      <c r="C37" s="5">
        <f>(B37/P37)*100</f>
        <v>15.422276621787026</v>
      </c>
      <c r="D37">
        <v>1826</v>
      </c>
      <c r="E37" s="5">
        <f>(D37/P37)*100</f>
        <v>74.500203998368008</v>
      </c>
      <c r="F37">
        <v>121</v>
      </c>
      <c r="G37" s="5">
        <f>(F37/P37)*100</f>
        <v>4.9367605059159523</v>
      </c>
      <c r="H37">
        <v>11</v>
      </c>
      <c r="I37" s="5">
        <f>(H37/P37)*100</f>
        <v>0.44879640962872297</v>
      </c>
      <c r="J37">
        <v>45</v>
      </c>
      <c r="K37" s="5">
        <f>(J37/P37)*100</f>
        <v>1.8359853121175032</v>
      </c>
      <c r="L37">
        <v>0</v>
      </c>
      <c r="M37" s="5">
        <f>(L37/P37)*100</f>
        <v>0</v>
      </c>
      <c r="N37">
        <v>70</v>
      </c>
      <c r="O37" s="5">
        <f>(N37/P37)*100</f>
        <v>2.8559771521827826</v>
      </c>
      <c r="P37" s="9">
        <f>B37+D37+F37+H37+J37+L37+N37</f>
        <v>2451</v>
      </c>
      <c r="R37" s="3"/>
    </row>
    <row r="38" spans="1:28" x14ac:dyDescent="0.25">
      <c r="A38" t="s">
        <v>102</v>
      </c>
      <c r="B38">
        <v>9425</v>
      </c>
      <c r="C38" s="5" t="s">
        <v>83</v>
      </c>
      <c r="D38">
        <v>72345</v>
      </c>
      <c r="E38" s="5" t="s">
        <v>84</v>
      </c>
      <c r="F38">
        <v>1196</v>
      </c>
      <c r="G38" s="5" t="s">
        <v>85</v>
      </c>
      <c r="H38">
        <v>15</v>
      </c>
      <c r="I38" s="5" t="s">
        <v>103</v>
      </c>
      <c r="J38">
        <v>1771</v>
      </c>
      <c r="K38" s="5" t="s">
        <v>104</v>
      </c>
      <c r="M38" s="5"/>
      <c r="N38">
        <v>113</v>
      </c>
      <c r="O38" s="5" t="s">
        <v>89</v>
      </c>
      <c r="P38" s="9"/>
      <c r="R38" s="61" t="s">
        <v>105</v>
      </c>
      <c r="S38" s="62"/>
      <c r="T38" s="62"/>
      <c r="U38" s="62"/>
      <c r="V38" s="62"/>
    </row>
    <row r="39" spans="1:28" s="11" customFormat="1" x14ac:dyDescent="0.25">
      <c r="A39" s="11" t="s">
        <v>106</v>
      </c>
      <c r="B39" s="10">
        <f>(B38*1000)/(B21*1000)</f>
        <v>24.933862433862434</v>
      </c>
      <c r="C39" s="10"/>
      <c r="D39" s="10">
        <f t="shared" ref="D39:N39" si="22">(D38*1000)/(D21*1000)</f>
        <v>39.619386637458923</v>
      </c>
      <c r="E39" s="10"/>
      <c r="F39" s="10">
        <f t="shared" si="22"/>
        <v>9.884297520661157</v>
      </c>
      <c r="G39" s="10"/>
      <c r="H39" s="10">
        <f t="shared" si="22"/>
        <v>1.3636363636363635</v>
      </c>
      <c r="I39" s="10"/>
      <c r="J39" s="10">
        <f t="shared" si="22"/>
        <v>39.355555555555554</v>
      </c>
      <c r="K39" s="10"/>
      <c r="L39" s="10"/>
      <c r="M39" s="10"/>
      <c r="N39" s="10">
        <f t="shared" si="22"/>
        <v>1.6142857142857143</v>
      </c>
      <c r="O39" s="10"/>
      <c r="P39" s="10"/>
      <c r="Q39" s="10"/>
      <c r="R39" s="12" t="s">
        <v>107</v>
      </c>
    </row>
    <row r="40" spans="1:28" x14ac:dyDescent="0.25">
      <c r="A40" t="s">
        <v>93</v>
      </c>
      <c r="B40">
        <v>1079</v>
      </c>
      <c r="C40" s="5">
        <f>(B40/P40)*100</f>
        <v>34.903280067283433</v>
      </c>
      <c r="D40">
        <v>1544</v>
      </c>
      <c r="E40" s="5">
        <f>(D40/P40)*100</f>
        <v>49.945008733906967</v>
      </c>
      <c r="F40">
        <v>350</v>
      </c>
      <c r="G40" s="5">
        <f>(F40/P40)*100</f>
        <v>11.321731254447823</v>
      </c>
      <c r="H40">
        <v>74</v>
      </c>
      <c r="I40" s="5">
        <f>(H40/P40)*100</f>
        <v>2.3937374652261112</v>
      </c>
      <c r="J40">
        <v>5</v>
      </c>
      <c r="K40" s="5">
        <f>(J40/P40)*100</f>
        <v>0.16173901792068318</v>
      </c>
      <c r="L40">
        <v>0.4</v>
      </c>
      <c r="M40" s="5">
        <f>(L40/P40)*100</f>
        <v>1.2939121433654655E-2</v>
      </c>
      <c r="N40">
        <v>39</v>
      </c>
      <c r="O40" s="5">
        <f>(N40/P40)*100</f>
        <v>1.2615643397813288</v>
      </c>
      <c r="P40" s="9">
        <f>B40+D40+F40+H40+J40+L40+N40</f>
        <v>3091.4</v>
      </c>
      <c r="Q40" s="11">
        <f>25*378+40*1826+10*121+15*11+39*45+0*0+2*70</f>
        <v>85760</v>
      </c>
      <c r="R40" s="12">
        <f>Q40/P37</f>
        <v>34.989800081599348</v>
      </c>
      <c r="S40" s="11" t="s">
        <v>108</v>
      </c>
    </row>
    <row r="41" spans="1:28" x14ac:dyDescent="0.25">
      <c r="A41" t="s">
        <v>102</v>
      </c>
      <c r="B41">
        <f>12195+44208+5782</f>
        <v>62185</v>
      </c>
      <c r="C41" s="5" t="s">
        <v>109</v>
      </c>
      <c r="D41">
        <v>52011</v>
      </c>
      <c r="E41" s="5" t="s">
        <v>84</v>
      </c>
      <c r="F41">
        <f>5752+2184</f>
        <v>7936</v>
      </c>
      <c r="G41" s="5" t="s">
        <v>109</v>
      </c>
      <c r="I41" s="5"/>
      <c r="K41" s="5"/>
      <c r="L41">
        <v>377</v>
      </c>
      <c r="M41" s="5"/>
      <c r="O41" s="5"/>
      <c r="P41" s="9"/>
      <c r="R41" s="3" t="s">
        <v>110</v>
      </c>
    </row>
    <row r="42" spans="1:28" s="11" customFormat="1" x14ac:dyDescent="0.25">
      <c r="A42" s="11" t="s">
        <v>106</v>
      </c>
      <c r="B42" s="10">
        <f>(B41*1000)/(B28*1000)</f>
        <v>57.632066728452273</v>
      </c>
      <c r="C42" s="10"/>
      <c r="D42" s="10">
        <f t="shared" ref="D42" si="23">(D41*1000)/(D28*1000)</f>
        <v>33.685880829015545</v>
      </c>
      <c r="E42" s="10"/>
      <c r="F42" s="10">
        <f>(F41*1000)/(F28*1000)</f>
        <v>22.674285714285713</v>
      </c>
      <c r="G42" s="10"/>
      <c r="H42" s="30">
        <v>21</v>
      </c>
      <c r="I42" s="10"/>
      <c r="J42" s="30">
        <v>41</v>
      </c>
      <c r="K42" s="10"/>
      <c r="L42" s="10">
        <f t="shared" ref="L42" si="24">(L41*1000)/(L28*1000)</f>
        <v>942.5</v>
      </c>
      <c r="M42" s="10"/>
      <c r="N42" s="30">
        <v>5</v>
      </c>
      <c r="O42" s="13"/>
      <c r="P42" s="10"/>
      <c r="Q42" s="11">
        <f>B42*B40+D42*D40+F42*F40+H42*H40+J42*J40+L42*L40+N42*N40</f>
        <v>124463</v>
      </c>
      <c r="R42" s="12">
        <f>Q42/P40</f>
        <v>40.261046774923983</v>
      </c>
      <c r="S42" s="11" t="s">
        <v>111</v>
      </c>
    </row>
    <row r="43" spans="1:28" x14ac:dyDescent="0.25">
      <c r="A43" t="s">
        <v>95</v>
      </c>
      <c r="B43">
        <v>1716</v>
      </c>
      <c r="C43" s="5">
        <f>(B43/P43)*100</f>
        <v>24.326623192514884</v>
      </c>
      <c r="D43">
        <v>809</v>
      </c>
      <c r="E43" s="5">
        <f>(D43/P43)*100</f>
        <v>11.46867025800964</v>
      </c>
      <c r="F43">
        <v>1255</v>
      </c>
      <c r="G43" s="5">
        <f>(F43/P43)*100</f>
        <v>17.791324071448823</v>
      </c>
      <c r="H43">
        <v>2731</v>
      </c>
      <c r="I43" s="5">
        <f>(H43/P43)*100</f>
        <v>38.715622341933653</v>
      </c>
      <c r="J43">
        <v>204</v>
      </c>
      <c r="K43" s="5">
        <f>(J43/P43)*100</f>
        <v>2.891976183725546</v>
      </c>
      <c r="L43">
        <v>0</v>
      </c>
      <c r="M43" s="5">
        <f>(L43/P43)*100</f>
        <v>0</v>
      </c>
      <c r="N43">
        <v>339</v>
      </c>
      <c r="O43" s="5">
        <f>(N43/P43)*100</f>
        <v>4.8057839523674515</v>
      </c>
      <c r="P43" s="9">
        <f>B43+D43+F43+H43+J43+L43+N43</f>
        <v>7054</v>
      </c>
      <c r="R43" s="3" t="s">
        <v>112</v>
      </c>
      <c r="T43" s="14">
        <v>2018</v>
      </c>
      <c r="U43" s="78" t="s">
        <v>113</v>
      </c>
      <c r="V43" s="78"/>
      <c r="W43" s="78"/>
      <c r="X43" s="78"/>
      <c r="Y43" s="78"/>
      <c r="Z43" s="78"/>
      <c r="AA43" s="11" t="s">
        <v>114</v>
      </c>
      <c r="AB43" s="11"/>
    </row>
    <row r="44" spans="1:28" s="11" customFormat="1" x14ac:dyDescent="0.25">
      <c r="A44" s="11" t="s">
        <v>106</v>
      </c>
      <c r="B44" s="38">
        <v>21</v>
      </c>
      <c r="C44" t="s">
        <v>115</v>
      </c>
      <c r="D44" s="11">
        <v>87.3</v>
      </c>
      <c r="E44" t="s">
        <v>84</v>
      </c>
      <c r="F44" s="11">
        <v>13.7</v>
      </c>
      <c r="G44" t="s">
        <v>116</v>
      </c>
      <c r="H44" s="37">
        <v>10</v>
      </c>
      <c r="I44" s="29" t="s">
        <v>117</v>
      </c>
      <c r="J44" s="11">
        <v>43.1</v>
      </c>
      <c r="K44" t="s">
        <v>118</v>
      </c>
      <c r="L44" s="11">
        <v>0</v>
      </c>
      <c r="N44" s="98">
        <v>9</v>
      </c>
      <c r="P44" s="28" t="s">
        <v>119</v>
      </c>
      <c r="Q44" s="10">
        <f>B44*B43+D44*D43+F44*F43+H44*H43+J44*J43+N44*N43</f>
        <v>163008.6</v>
      </c>
      <c r="R44" s="10">
        <f>Q44/P43</f>
        <v>23.108675928551179</v>
      </c>
      <c r="S44" s="11" t="s">
        <v>120</v>
      </c>
    </row>
    <row r="45" spans="1:28" x14ac:dyDescent="0.25">
      <c r="A45" s="1" t="s">
        <v>10</v>
      </c>
      <c r="B45">
        <v>2961</v>
      </c>
      <c r="C45" s="5">
        <f t="shared" ref="C45" si="25">(B45/P45)*100</f>
        <v>43.808255659121173</v>
      </c>
      <c r="D45">
        <v>1774</v>
      </c>
      <c r="E45" s="5">
        <f t="shared" ref="E45" si="26">(D45/P45)*100</f>
        <v>26.246486166592693</v>
      </c>
      <c r="F45">
        <v>1055</v>
      </c>
      <c r="G45" s="5">
        <f t="shared" ref="G45" si="27">(F45/P45)*100</f>
        <v>15.608817872466341</v>
      </c>
      <c r="H45">
        <v>627</v>
      </c>
      <c r="I45" s="5">
        <f t="shared" ref="I45" si="28">(H45/P45)*100</f>
        <v>9.2765201952951628</v>
      </c>
      <c r="J45">
        <v>45</v>
      </c>
      <c r="K45" s="5">
        <f t="shared" ref="K45" si="29">(J45/P45)*100</f>
        <v>0.66577896138482018</v>
      </c>
      <c r="L45" s="20">
        <v>39</v>
      </c>
      <c r="M45" s="22">
        <f t="shared" ref="M45" si="30">(L45/P45)*100</f>
        <v>0.57700843320017747</v>
      </c>
      <c r="N45">
        <v>258</v>
      </c>
      <c r="O45" s="5">
        <f t="shared" ref="O45" si="31">(N45/P45)*100</f>
        <v>3.8171327119396361</v>
      </c>
      <c r="P45" s="9">
        <f t="shared" ref="P45" si="32">B45+D45+F45+H45+J45+L45+N45</f>
        <v>6759</v>
      </c>
      <c r="R45" s="34" t="s">
        <v>121</v>
      </c>
      <c r="U45" t="s">
        <v>122</v>
      </c>
    </row>
    <row r="46" spans="1:28" s="31" customFormat="1" x14ac:dyDescent="0.25">
      <c r="A46" s="31" t="s">
        <v>123</v>
      </c>
      <c r="B46" s="31">
        <v>38</v>
      </c>
      <c r="C46" s="32"/>
      <c r="D46" s="31">
        <v>73</v>
      </c>
      <c r="E46" s="32"/>
      <c r="F46" s="31">
        <v>64</v>
      </c>
      <c r="G46" s="32"/>
      <c r="H46" s="31">
        <v>51</v>
      </c>
      <c r="J46" s="39">
        <v>41</v>
      </c>
      <c r="K46" s="32"/>
      <c r="L46" s="31">
        <v>775</v>
      </c>
      <c r="N46" s="39">
        <v>5</v>
      </c>
      <c r="P46" s="33" t="s">
        <v>119</v>
      </c>
      <c r="Q46" s="34">
        <f>B46*B45+D46*D45+F46*F45+H46*H45+J46*J45+L46*L45+N46*N45</f>
        <v>374877</v>
      </c>
      <c r="R46" s="40">
        <f>Q46/P45</f>
        <v>55.463382157123831</v>
      </c>
      <c r="S46" s="31" t="s">
        <v>124</v>
      </c>
    </row>
    <row r="47" spans="1:28" s="32" customFormat="1" x14ac:dyDescent="0.25">
      <c r="A47" s="32" t="s">
        <v>125</v>
      </c>
      <c r="B47" s="32">
        <v>117.47</v>
      </c>
      <c r="D47" s="32">
        <v>133.06</v>
      </c>
      <c r="F47" s="32">
        <v>69.44</v>
      </c>
      <c r="H47" s="32">
        <v>32.74</v>
      </c>
      <c r="L47" s="32">
        <v>30.24</v>
      </c>
      <c r="P47" s="35"/>
      <c r="Q47" s="36"/>
      <c r="R47" s="36"/>
    </row>
    <row r="48" spans="1:28" s="32" customFormat="1" x14ac:dyDescent="0.25">
      <c r="A48" s="32" t="s">
        <v>126</v>
      </c>
      <c r="B48" s="32">
        <v>13.42</v>
      </c>
      <c r="D48" s="32">
        <v>47.1</v>
      </c>
      <c r="F48" s="32">
        <v>33.11</v>
      </c>
      <c r="H48" s="32">
        <v>58.21</v>
      </c>
      <c r="L48" s="32">
        <v>390.02</v>
      </c>
      <c r="U48" s="32" t="s">
        <v>44</v>
      </c>
      <c r="V48" s="32" t="s">
        <v>127</v>
      </c>
    </row>
    <row r="49" spans="1:27" s="32" customFormat="1" x14ac:dyDescent="0.25">
      <c r="A49" s="32" t="s">
        <v>1</v>
      </c>
      <c r="B49" s="31">
        <v>15.6</v>
      </c>
      <c r="D49" s="31">
        <v>68.8</v>
      </c>
      <c r="F49" s="31">
        <v>25.1</v>
      </c>
      <c r="P49" s="32" t="s">
        <v>128</v>
      </c>
      <c r="S49" s="31" t="s">
        <v>129</v>
      </c>
    </row>
    <row r="50" spans="1:27" s="32" customFormat="1" ht="15.75" thickBot="1" x14ac:dyDescent="0.3">
      <c r="A50" s="32" t="s">
        <v>130</v>
      </c>
      <c r="D50" s="32">
        <v>12.5</v>
      </c>
      <c r="F50" s="32">
        <v>0.2</v>
      </c>
      <c r="J50" s="32">
        <v>15</v>
      </c>
    </row>
    <row r="51" spans="1:27" ht="32.25" customHeight="1" x14ac:dyDescent="0.25">
      <c r="A51" s="53" t="s">
        <v>131</v>
      </c>
      <c r="B51" s="54">
        <f>(B39+B42+B44+B46+B49)/5</f>
        <v>31.433185832462943</v>
      </c>
      <c r="C51" s="55"/>
      <c r="D51" s="54">
        <f>(D39+D42+D44+D46+D49)/5</f>
        <v>60.481053493294894</v>
      </c>
      <c r="E51" s="54"/>
      <c r="F51" s="54">
        <f>(F39+F42+F44+F46+F49)/5</f>
        <v>27.071716646989376</v>
      </c>
      <c r="G51" s="54"/>
      <c r="H51" s="54">
        <f>(H39+H44+H46)/3</f>
        <v>20.787878787878785</v>
      </c>
      <c r="I51" s="54"/>
      <c r="J51" s="54">
        <f>(J39+J44)/2</f>
        <v>41.227777777777774</v>
      </c>
      <c r="K51" s="54"/>
      <c r="L51" s="54">
        <f>(L42+L46)/2</f>
        <v>858.75</v>
      </c>
      <c r="M51" s="54"/>
      <c r="N51" s="54">
        <f>(N42+N39)/2</f>
        <v>3.3071428571428569</v>
      </c>
      <c r="O51" s="54"/>
      <c r="P51" s="47" t="s">
        <v>132</v>
      </c>
      <c r="Q51" s="47"/>
      <c r="R51" s="47"/>
      <c r="S51" s="47"/>
      <c r="T51" s="47"/>
      <c r="U51" s="47"/>
      <c r="V51" s="47"/>
      <c r="W51" s="56">
        <f>(K4+K5+K11+K15)/4</f>
        <v>40.247991990563833</v>
      </c>
      <c r="X51" s="47" t="s">
        <v>133</v>
      </c>
      <c r="Y51" s="57"/>
    </row>
    <row r="52" spans="1:27" ht="15.75" thickBot="1" x14ac:dyDescent="0.3">
      <c r="A52" s="84" t="s">
        <v>134</v>
      </c>
      <c r="B52" s="58">
        <v>30</v>
      </c>
      <c r="C52" s="59"/>
      <c r="D52" s="58">
        <v>60</v>
      </c>
      <c r="E52" s="59"/>
      <c r="F52" s="58">
        <v>30</v>
      </c>
      <c r="G52" s="59"/>
      <c r="H52" s="58">
        <v>20</v>
      </c>
      <c r="I52" s="59"/>
      <c r="J52" s="59">
        <v>40</v>
      </c>
      <c r="K52" s="59"/>
      <c r="L52" s="99">
        <v>780</v>
      </c>
      <c r="M52" s="59"/>
      <c r="N52" s="99">
        <v>5</v>
      </c>
      <c r="O52" s="59"/>
      <c r="P52" s="59"/>
      <c r="Q52" s="59"/>
      <c r="R52" s="59"/>
      <c r="S52" s="59"/>
      <c r="T52" s="59"/>
      <c r="U52" s="59"/>
      <c r="V52" s="59"/>
      <c r="W52" s="59"/>
      <c r="X52" s="59"/>
      <c r="Y52" s="60"/>
    </row>
    <row r="53" spans="1:27" x14ac:dyDescent="0.25">
      <c r="A53" s="32"/>
      <c r="B53" s="32"/>
      <c r="D53" s="32"/>
      <c r="F53" s="32"/>
      <c r="H53" s="32"/>
      <c r="L53" s="32" t="s">
        <v>135</v>
      </c>
    </row>
    <row r="54" spans="1:27" x14ac:dyDescent="0.25">
      <c r="A54" t="s">
        <v>136</v>
      </c>
      <c r="Q54" s="85" t="s">
        <v>137</v>
      </c>
      <c r="R54" s="85"/>
      <c r="S54" s="85"/>
      <c r="T54" s="85"/>
      <c r="U54" s="85"/>
      <c r="V54" s="85"/>
    </row>
    <row r="55" spans="1:27" x14ac:dyDescent="0.25">
      <c r="A55" t="s">
        <v>138</v>
      </c>
      <c r="Q55" s="85" t="s">
        <v>139</v>
      </c>
      <c r="R55" s="85"/>
      <c r="S55" s="85"/>
      <c r="T55" s="85"/>
      <c r="U55" s="85"/>
      <c r="V55" s="85"/>
    </row>
    <row r="56" spans="1:27" ht="15.75" thickBot="1" x14ac:dyDescent="0.3">
      <c r="A56" t="s">
        <v>140</v>
      </c>
      <c r="Q56" s="85" t="s">
        <v>141</v>
      </c>
      <c r="R56" s="85"/>
      <c r="S56" s="85"/>
      <c r="T56" s="104"/>
      <c r="U56" s="104"/>
    </row>
    <row r="57" spans="1:27" x14ac:dyDescent="0.25">
      <c r="A57" s="46" t="s">
        <v>142</v>
      </c>
      <c r="Q57" s="85" t="s">
        <v>143</v>
      </c>
      <c r="R57" s="85"/>
      <c r="S57" s="85"/>
      <c r="T57" s="112" t="s">
        <v>144</v>
      </c>
      <c r="U57" s="112"/>
      <c r="V57" s="112"/>
      <c r="W57" s="113"/>
      <c r="X57" s="14"/>
      <c r="Y57" s="14"/>
      <c r="Z57" s="14"/>
      <c r="AA57" s="14"/>
    </row>
    <row r="58" spans="1:27" x14ac:dyDescent="0.25">
      <c r="A58" s="48" t="s">
        <v>145</v>
      </c>
      <c r="T58" s="14" t="s">
        <v>146</v>
      </c>
      <c r="U58" s="14"/>
      <c r="V58" s="14"/>
      <c r="W58" s="14"/>
      <c r="X58" s="14"/>
      <c r="Y58" s="14"/>
      <c r="Z58" s="14"/>
      <c r="AA58" s="14"/>
    </row>
    <row r="59" spans="1:27" ht="15.75" thickBot="1" x14ac:dyDescent="0.3"/>
    <row r="60" spans="1:27" x14ac:dyDescent="0.25">
      <c r="A60" s="46"/>
      <c r="B60" s="47"/>
      <c r="C60" s="47"/>
      <c r="D60" s="47"/>
      <c r="E60" s="47"/>
      <c r="F60" s="47"/>
      <c r="G60" s="47"/>
      <c r="H60" s="47"/>
      <c r="I60" s="47"/>
      <c r="J60" s="47"/>
      <c r="K60" s="47"/>
      <c r="L60" s="47"/>
      <c r="M60" s="47"/>
      <c r="N60" s="47"/>
      <c r="O60" s="47"/>
    </row>
    <row r="61" spans="1:27" x14ac:dyDescent="0.25">
      <c r="A61" s="48"/>
    </row>
    <row r="62" spans="1:27" x14ac:dyDescent="0.25">
      <c r="A62" s="48"/>
    </row>
    <row r="63" spans="1:27" x14ac:dyDescent="0.25">
      <c r="A63" s="48"/>
      <c r="E63" s="78" t="s">
        <v>147</v>
      </c>
      <c r="F63" s="78"/>
      <c r="G63" s="78"/>
      <c r="H63" s="78"/>
      <c r="I63" s="78"/>
      <c r="J63" s="78"/>
      <c r="K63" s="78"/>
      <c r="L63" s="78"/>
      <c r="M63" s="78"/>
      <c r="S63" s="49"/>
    </row>
    <row r="64" spans="1:27" ht="45" customHeight="1" x14ac:dyDescent="0.25">
      <c r="A64" s="48"/>
      <c r="B64" s="2" t="s">
        <v>148</v>
      </c>
      <c r="C64" s="2" t="s">
        <v>149</v>
      </c>
      <c r="D64" s="44" t="s">
        <v>150</v>
      </c>
      <c r="E64" s="86" t="s">
        <v>151</v>
      </c>
      <c r="F64" s="101" t="s">
        <v>152</v>
      </c>
      <c r="G64" s="79" t="s">
        <v>84</v>
      </c>
      <c r="H64" s="79" t="s">
        <v>116</v>
      </c>
      <c r="I64" s="79" t="s">
        <v>86</v>
      </c>
      <c r="J64" s="79" t="s">
        <v>87</v>
      </c>
      <c r="K64" s="79" t="s">
        <v>88</v>
      </c>
      <c r="L64" s="79" t="s">
        <v>89</v>
      </c>
      <c r="M64" s="79" t="s">
        <v>153</v>
      </c>
      <c r="N64" s="80" t="s">
        <v>154</v>
      </c>
      <c r="O64" s="2"/>
      <c r="P64" s="2"/>
      <c r="Q64" s="2"/>
    </row>
    <row r="65" spans="1:26" x14ac:dyDescent="0.25">
      <c r="A65" s="48"/>
      <c r="B65" t="s">
        <v>46</v>
      </c>
      <c r="C65" t="s">
        <v>46</v>
      </c>
      <c r="D65" s="6" t="s">
        <v>155</v>
      </c>
      <c r="E65" s="110">
        <f>0.27*30</f>
        <v>8.1000000000000014</v>
      </c>
      <c r="F65" s="111">
        <f>0.73*30</f>
        <v>21.9</v>
      </c>
      <c r="G65" s="81">
        <v>60</v>
      </c>
      <c r="H65" s="81">
        <v>30</v>
      </c>
      <c r="I65" s="81">
        <v>20</v>
      </c>
      <c r="J65" s="81">
        <v>40</v>
      </c>
      <c r="K65" s="100">
        <v>780</v>
      </c>
      <c r="L65" s="100">
        <v>5</v>
      </c>
      <c r="M65" s="109">
        <f>Y72</f>
        <v>0.38181818181818183</v>
      </c>
      <c r="N65" s="108">
        <f>Y75</f>
        <v>1.65</v>
      </c>
      <c r="V65">
        <v>2021</v>
      </c>
      <c r="X65" t="s">
        <v>156</v>
      </c>
    </row>
    <row r="66" spans="1:26" x14ac:dyDescent="0.25">
      <c r="A66" s="48" t="s">
        <v>1</v>
      </c>
      <c r="B66">
        <f>K3</f>
        <v>41.3</v>
      </c>
      <c r="C66" s="3">
        <f>V3</f>
        <v>39.941798941798943</v>
      </c>
      <c r="D66" s="45">
        <f>B66/C66</f>
        <v>1.0340045039078023</v>
      </c>
      <c r="E66" s="82">
        <f>$E$65*D66</f>
        <v>8.3754364816531996</v>
      </c>
      <c r="F66" s="102">
        <f>$F$65*D66</f>
        <v>22.64469863558087</v>
      </c>
      <c r="G66" s="82">
        <f>$G$65*D66</f>
        <v>62.040270234468139</v>
      </c>
      <c r="H66" s="82">
        <f>$H$65*D66</f>
        <v>31.020135117234069</v>
      </c>
      <c r="I66" s="82">
        <f>$I$65*D66</f>
        <v>20.680090078156045</v>
      </c>
      <c r="J66" s="82">
        <f>$J$65*D66</f>
        <v>41.36018015631209</v>
      </c>
      <c r="K66" s="82">
        <f>$K$65*D66</f>
        <v>806.52351304808576</v>
      </c>
      <c r="L66" s="82">
        <f>$L$65*D66</f>
        <v>5.1700225195390113</v>
      </c>
      <c r="M66" s="82">
        <f>$M$65*D66</f>
        <v>0.39480171967388816</v>
      </c>
      <c r="N66" s="82">
        <f>$N$65*D66</f>
        <v>1.7061074314478737</v>
      </c>
      <c r="O66" t="s">
        <v>1</v>
      </c>
    </row>
    <row r="67" spans="1:26" x14ac:dyDescent="0.25">
      <c r="A67" s="50" t="s">
        <v>7</v>
      </c>
      <c r="B67">
        <f t="shared" ref="B67:B79" si="33">K4</f>
        <v>33.414932680538556</v>
      </c>
      <c r="C67" s="3">
        <f t="shared" ref="C67:C79" si="34">V4</f>
        <v>51.774785801713584</v>
      </c>
      <c r="D67" s="45">
        <f>B67/C67</f>
        <v>0.64539007092198586</v>
      </c>
      <c r="E67" s="82">
        <f t="shared" ref="E67:E78" si="35">$E$65*D67</f>
        <v>5.2276595744680865</v>
      </c>
      <c r="F67" s="102">
        <f>$F$65*D67</f>
        <v>14.13404255319149</v>
      </c>
      <c r="G67" s="82">
        <f>$G$65*D67</f>
        <v>38.723404255319153</v>
      </c>
      <c r="H67" s="82">
        <f>$H$65*D67</f>
        <v>19.361702127659576</v>
      </c>
      <c r="I67" s="82">
        <f>$I$65*D67</f>
        <v>12.907801418439718</v>
      </c>
      <c r="J67" s="82">
        <f>$J$65*D67</f>
        <v>25.815602836879435</v>
      </c>
      <c r="K67" s="82">
        <f>$K$65*D67</f>
        <v>503.40425531914894</v>
      </c>
      <c r="L67" s="82">
        <f>$L$65*D67</f>
        <v>3.2269503546099294</v>
      </c>
      <c r="M67" s="82">
        <f>$M$65*D67</f>
        <v>0.24642166344294006</v>
      </c>
      <c r="N67" s="82">
        <f>$N$65*D67</f>
        <v>1.0648936170212766</v>
      </c>
      <c r="O67" s="50" t="s">
        <v>7</v>
      </c>
      <c r="P67" s="43"/>
      <c r="V67" t="s">
        <v>157</v>
      </c>
      <c r="W67" t="s">
        <v>158</v>
      </c>
      <c r="X67">
        <v>2.5</v>
      </c>
      <c r="Y67">
        <f>2.5/(2.5+17.3)</f>
        <v>0.12626262626262627</v>
      </c>
    </row>
    <row r="68" spans="1:26" x14ac:dyDescent="0.25">
      <c r="A68" s="51" t="s">
        <v>10</v>
      </c>
      <c r="B68">
        <f t="shared" si="33"/>
        <v>51.679242491492822</v>
      </c>
      <c r="C68" s="3">
        <f t="shared" si="34"/>
        <v>40.386151797603198</v>
      </c>
      <c r="D68" s="45">
        <f t="shared" ref="D68:D79" si="36">B68/C68</f>
        <v>1.279627797926512</v>
      </c>
      <c r="E68" s="82">
        <f t="shared" si="35"/>
        <v>10.36498516320475</v>
      </c>
      <c r="F68" s="102">
        <f t="shared" ref="F68:F79" si="37">$F$65*D68</f>
        <v>28.023848774590611</v>
      </c>
      <c r="G68" s="82">
        <f t="shared" ref="G68:G79" si="38">$G$65*D68</f>
        <v>76.777667875590723</v>
      </c>
      <c r="H68" s="82">
        <f t="shared" ref="H68:H79" si="39">$H$65*D68</f>
        <v>38.388833937795361</v>
      </c>
      <c r="I68" s="82">
        <f t="shared" ref="I68:I79" si="40">$I$65*D68</f>
        <v>25.592555958530241</v>
      </c>
      <c r="J68" s="82">
        <f t="shared" ref="J68:J79" si="41">$J$65*D68</f>
        <v>51.185111917060482</v>
      </c>
      <c r="K68" s="82">
        <f t="shared" ref="K68:K79" si="42">$K$65*D68</f>
        <v>998.10968238267935</v>
      </c>
      <c r="L68" s="82">
        <f t="shared" ref="L68:L79" si="43">$L$65*D68</f>
        <v>6.3981389896325602</v>
      </c>
      <c r="M68" s="82">
        <f t="shared" ref="M68:M79" si="44">$M$65*D68</f>
        <v>0.48858515920830464</v>
      </c>
      <c r="N68" s="82">
        <f t="shared" ref="N68:N78" si="45">$N$65*D68</f>
        <v>2.1113858665787446</v>
      </c>
      <c r="O68" s="51" t="s">
        <v>10</v>
      </c>
      <c r="P68" s="43"/>
      <c r="W68" t="s">
        <v>116</v>
      </c>
      <c r="X68">
        <v>17.3</v>
      </c>
    </row>
    <row r="69" spans="1:26" x14ac:dyDescent="0.25">
      <c r="A69" s="52" t="s">
        <v>11</v>
      </c>
      <c r="B69">
        <f t="shared" si="33"/>
        <v>73.197026022304826</v>
      </c>
      <c r="C69" s="3">
        <f t="shared" si="34"/>
        <v>43.561338289962826</v>
      </c>
      <c r="D69" s="45">
        <f t="shared" si="36"/>
        <v>1.6803208738692608</v>
      </c>
      <c r="E69" s="82">
        <f t="shared" si="35"/>
        <v>13.610599078341014</v>
      </c>
      <c r="F69" s="102">
        <f t="shared" si="37"/>
        <v>36.799027137736807</v>
      </c>
      <c r="G69" s="82">
        <f t="shared" si="38"/>
        <v>100.81925243215565</v>
      </c>
      <c r="H69" s="82">
        <f t="shared" si="39"/>
        <v>50.409626216077825</v>
      </c>
      <c r="I69" s="82">
        <f t="shared" si="40"/>
        <v>33.606417477385214</v>
      </c>
      <c r="J69" s="82">
        <f t="shared" si="41"/>
        <v>67.212834954770429</v>
      </c>
      <c r="K69" s="82">
        <f>$K$65*D69</f>
        <v>1310.6502816180234</v>
      </c>
      <c r="L69" s="82">
        <f t="shared" si="43"/>
        <v>8.4016043693463036</v>
      </c>
      <c r="M69" s="82">
        <f t="shared" si="44"/>
        <v>0.64157706093189959</v>
      </c>
      <c r="N69" s="82">
        <f t="shared" si="45"/>
        <v>2.7725294418842803</v>
      </c>
      <c r="O69" s="52" t="s">
        <v>11</v>
      </c>
      <c r="P69" s="43"/>
      <c r="V69" t="s">
        <v>159</v>
      </c>
    </row>
    <row r="70" spans="1:26" x14ac:dyDescent="0.25">
      <c r="A70" s="52" t="s">
        <v>12</v>
      </c>
      <c r="B70">
        <f t="shared" si="33"/>
        <v>108.9171974522293</v>
      </c>
      <c r="C70" s="3">
        <f t="shared" si="34"/>
        <v>29.090081892629662</v>
      </c>
      <c r="D70" s="45">
        <f t="shared" si="36"/>
        <v>3.7441351266812641</v>
      </c>
      <c r="E70" s="82">
        <f t="shared" si="35"/>
        <v>30.327494526118244</v>
      </c>
      <c r="F70" s="102">
        <f t="shared" si="37"/>
        <v>81.996559274319679</v>
      </c>
      <c r="G70" s="82">
        <f t="shared" si="38"/>
        <v>224.64810760087585</v>
      </c>
      <c r="H70" s="82">
        <f t="shared" si="39"/>
        <v>112.32405380043792</v>
      </c>
      <c r="I70" s="82">
        <f t="shared" si="40"/>
        <v>74.882702533625277</v>
      </c>
      <c r="J70" s="82">
        <f t="shared" si="41"/>
        <v>149.76540506725055</v>
      </c>
      <c r="K70" s="82">
        <f t="shared" si="42"/>
        <v>2920.425398811386</v>
      </c>
      <c r="L70" s="82">
        <f t="shared" si="43"/>
        <v>18.720675633406319</v>
      </c>
      <c r="M70" s="82">
        <f t="shared" si="44"/>
        <v>1.4295788665510283</v>
      </c>
      <c r="N70" s="82">
        <f t="shared" si="45"/>
        <v>6.1778229590240858</v>
      </c>
      <c r="O70" s="52" t="s">
        <v>12</v>
      </c>
      <c r="P70" s="43"/>
      <c r="V70" s="32" t="s">
        <v>160</v>
      </c>
      <c r="W70" s="32"/>
      <c r="X70">
        <f>0.126*30</f>
        <v>3.7800000000000002</v>
      </c>
    </row>
    <row r="71" spans="1:26" x14ac:dyDescent="0.25">
      <c r="A71" s="52" t="s">
        <v>13</v>
      </c>
      <c r="B71">
        <f t="shared" si="33"/>
        <v>155.73964497041419</v>
      </c>
      <c r="C71" s="3">
        <f t="shared" si="34"/>
        <v>45.171597633136095</v>
      </c>
      <c r="D71" s="45">
        <f>B71/C71</f>
        <v>3.4477338223735914</v>
      </c>
      <c r="E71" s="82">
        <f t="shared" si="35"/>
        <v>27.926643961226095</v>
      </c>
      <c r="F71" s="102">
        <f t="shared" si="37"/>
        <v>75.505370709981648</v>
      </c>
      <c r="G71" s="82">
        <f>$G$65*D71</f>
        <v>206.86402934241548</v>
      </c>
      <c r="H71" s="82">
        <f t="shared" si="39"/>
        <v>103.43201467120774</v>
      </c>
      <c r="I71" s="82">
        <f t="shared" si="40"/>
        <v>68.954676447471826</v>
      </c>
      <c r="J71" s="82">
        <f t="shared" si="41"/>
        <v>137.90935289494365</v>
      </c>
      <c r="K71" s="82">
        <f t="shared" si="42"/>
        <v>2689.2323814514011</v>
      </c>
      <c r="L71" s="82">
        <f t="shared" si="43"/>
        <v>17.238669111867956</v>
      </c>
      <c r="M71" s="82">
        <f t="shared" si="44"/>
        <v>1.316407459451735</v>
      </c>
      <c r="N71" s="82">
        <f t="shared" si="45"/>
        <v>5.6887608069164255</v>
      </c>
      <c r="O71" s="52" t="s">
        <v>13</v>
      </c>
      <c r="P71" s="43"/>
      <c r="Q71" s="85" t="s">
        <v>161</v>
      </c>
      <c r="R71" s="85"/>
      <c r="S71" s="85"/>
      <c r="T71" s="97"/>
      <c r="V71" t="s">
        <v>162</v>
      </c>
      <c r="Y71">
        <f>270*0.055</f>
        <v>14.85</v>
      </c>
      <c r="Z71" t="s">
        <v>163</v>
      </c>
    </row>
    <row r="72" spans="1:26" x14ac:dyDescent="0.25">
      <c r="A72" s="52" t="s">
        <v>15</v>
      </c>
      <c r="B72">
        <f t="shared" si="33"/>
        <v>42.421483841602182</v>
      </c>
      <c r="C72" s="3">
        <f t="shared" si="34"/>
        <v>31.488393263541191</v>
      </c>
      <c r="D72" s="45">
        <f t="shared" si="36"/>
        <v>1.3472101763515467</v>
      </c>
      <c r="E72" s="82">
        <f t="shared" si="35"/>
        <v>10.91240242844753</v>
      </c>
      <c r="F72" s="102">
        <f t="shared" si="37"/>
        <v>29.503902862098872</v>
      </c>
      <c r="G72" s="82">
        <f t="shared" si="38"/>
        <v>80.832610581092808</v>
      </c>
      <c r="H72" s="82">
        <f t="shared" si="39"/>
        <v>40.416305290546404</v>
      </c>
      <c r="I72" s="82">
        <f t="shared" si="40"/>
        <v>26.944203527030936</v>
      </c>
      <c r="J72" s="82">
        <f t="shared" si="41"/>
        <v>53.888407054061872</v>
      </c>
      <c r="K72" s="82">
        <f t="shared" si="42"/>
        <v>1050.8239375542064</v>
      </c>
      <c r="L72" s="82">
        <f t="shared" si="43"/>
        <v>6.736050881757734</v>
      </c>
      <c r="M72" s="82">
        <f t="shared" si="44"/>
        <v>0.51438934006149972</v>
      </c>
      <c r="N72" s="82">
        <f t="shared" si="45"/>
        <v>2.2228967909800521</v>
      </c>
      <c r="O72" s="52" t="s">
        <v>15</v>
      </c>
      <c r="P72" s="43"/>
      <c r="Q72" s="85" t="s">
        <v>164</v>
      </c>
      <c r="R72" s="85"/>
      <c r="S72" s="85"/>
      <c r="T72" s="97"/>
      <c r="V72" s="32" t="s">
        <v>165</v>
      </c>
      <c r="W72" s="32"/>
      <c r="X72" s="32"/>
      <c r="Y72" s="105">
        <f>3.78*1.5/14.85</f>
        <v>0.38181818181818183</v>
      </c>
    </row>
    <row r="73" spans="1:26" x14ac:dyDescent="0.25">
      <c r="A73" s="52" t="s">
        <v>16</v>
      </c>
      <c r="B73">
        <f t="shared" si="33"/>
        <v>173.53789666928927</v>
      </c>
      <c r="C73" s="3">
        <f t="shared" si="34"/>
        <v>39.817728822449517</v>
      </c>
      <c r="D73" s="45">
        <f t="shared" si="36"/>
        <v>4.3583072616499257</v>
      </c>
      <c r="E73" s="82">
        <f t="shared" si="35"/>
        <v>35.302288819364406</v>
      </c>
      <c r="F73" s="102">
        <f t="shared" si="37"/>
        <v>95.446929030133361</v>
      </c>
      <c r="G73" s="82">
        <f t="shared" si="38"/>
        <v>261.49843569899554</v>
      </c>
      <c r="H73" s="82">
        <f t="shared" si="39"/>
        <v>130.74921784949777</v>
      </c>
      <c r="I73" s="82">
        <f t="shared" si="40"/>
        <v>87.166145232998517</v>
      </c>
      <c r="J73" s="82">
        <f t="shared" si="41"/>
        <v>174.33229046599703</v>
      </c>
      <c r="K73" s="82">
        <f t="shared" si="42"/>
        <v>3399.4796640869422</v>
      </c>
      <c r="L73" s="82">
        <f t="shared" si="43"/>
        <v>21.791536308249629</v>
      </c>
      <c r="M73" s="82">
        <f t="shared" si="44"/>
        <v>1.6640809544481534</v>
      </c>
      <c r="N73" s="82">
        <f t="shared" si="45"/>
        <v>7.1912069817223774</v>
      </c>
      <c r="O73" s="52" t="s">
        <v>16</v>
      </c>
      <c r="P73" s="43"/>
    </row>
    <row r="74" spans="1:26" x14ac:dyDescent="0.25">
      <c r="A74" s="50" t="s">
        <v>93</v>
      </c>
      <c r="B74">
        <f t="shared" si="33"/>
        <v>47.615966875849132</v>
      </c>
      <c r="C74" s="3">
        <f t="shared" si="34"/>
        <v>44.541955101248625</v>
      </c>
      <c r="D74" s="45">
        <f t="shared" si="36"/>
        <v>1.0690138492487129</v>
      </c>
      <c r="E74" s="82">
        <f t="shared" si="35"/>
        <v>8.6590121789145762</v>
      </c>
      <c r="F74" s="102">
        <f t="shared" si="37"/>
        <v>23.411403298546812</v>
      </c>
      <c r="G74" s="82">
        <f t="shared" si="38"/>
        <v>64.140830954922777</v>
      </c>
      <c r="H74" s="82">
        <f t="shared" si="39"/>
        <v>32.070415477461388</v>
      </c>
      <c r="I74" s="82">
        <f t="shared" si="40"/>
        <v>21.380276984974259</v>
      </c>
      <c r="J74" s="82">
        <f t="shared" si="41"/>
        <v>42.760553969948518</v>
      </c>
      <c r="K74" s="82">
        <f t="shared" si="42"/>
        <v>833.83080241399603</v>
      </c>
      <c r="L74" s="82">
        <f t="shared" si="43"/>
        <v>5.3450692462435647</v>
      </c>
      <c r="M74" s="82">
        <f t="shared" si="44"/>
        <v>0.40816892425859946</v>
      </c>
      <c r="N74" s="82">
        <f t="shared" si="45"/>
        <v>1.7638728512603763</v>
      </c>
      <c r="O74" s="50" t="s">
        <v>93</v>
      </c>
      <c r="P74" s="43"/>
      <c r="V74" t="s">
        <v>166</v>
      </c>
    </row>
    <row r="75" spans="1:26" x14ac:dyDescent="0.25">
      <c r="A75" s="52" t="s">
        <v>23</v>
      </c>
      <c r="B75">
        <f t="shared" si="33"/>
        <v>175.52083333333334</v>
      </c>
      <c r="C75" s="3">
        <f t="shared" si="34"/>
        <v>39.134963768115945</v>
      </c>
      <c r="D75" s="45">
        <f t="shared" si="36"/>
        <v>4.4850133086448327</v>
      </c>
      <c r="E75" s="82">
        <f t="shared" si="35"/>
        <v>36.32860780002315</v>
      </c>
      <c r="F75" s="102">
        <f t="shared" si="37"/>
        <v>98.221791459321835</v>
      </c>
      <c r="G75" s="82">
        <f t="shared" si="38"/>
        <v>269.10079851868994</v>
      </c>
      <c r="H75" s="82">
        <f t="shared" si="39"/>
        <v>134.55039925934497</v>
      </c>
      <c r="I75" s="82">
        <f t="shared" si="40"/>
        <v>89.700266172896647</v>
      </c>
      <c r="J75" s="82">
        <f t="shared" si="41"/>
        <v>179.40053234579329</v>
      </c>
      <c r="K75" s="82">
        <f t="shared" si="42"/>
        <v>3498.3103807429693</v>
      </c>
      <c r="L75" s="82">
        <f t="shared" si="43"/>
        <v>22.425066543224162</v>
      </c>
      <c r="M75" s="82">
        <f t="shared" si="44"/>
        <v>1.712459626937118</v>
      </c>
      <c r="N75" s="82">
        <f t="shared" si="45"/>
        <v>7.4002719592639732</v>
      </c>
      <c r="O75" s="52" t="s">
        <v>23</v>
      </c>
      <c r="P75" s="43"/>
      <c r="V75" s="176" t="s">
        <v>167</v>
      </c>
      <c r="Y75" s="107">
        <f>600*22/8000</f>
        <v>1.65</v>
      </c>
    </row>
    <row r="76" spans="1:26" x14ac:dyDescent="0.25">
      <c r="A76" s="52" t="s">
        <v>28</v>
      </c>
      <c r="B76">
        <f t="shared" si="33"/>
        <v>157.2468162522741</v>
      </c>
      <c r="C76" s="3">
        <f t="shared" si="34"/>
        <v>48.847786537295327</v>
      </c>
      <c r="D76" s="45">
        <f t="shared" si="36"/>
        <v>3.2191185599006831</v>
      </c>
      <c r="E76" s="82">
        <f t="shared" si="35"/>
        <v>26.074860335195538</v>
      </c>
      <c r="F76" s="102">
        <f t="shared" si="37"/>
        <v>70.498696461824949</v>
      </c>
      <c r="G76" s="82">
        <f t="shared" si="38"/>
        <v>193.14711359404097</v>
      </c>
      <c r="H76" s="82">
        <f t="shared" si="39"/>
        <v>96.573556797020487</v>
      </c>
      <c r="I76" s="82">
        <f t="shared" si="40"/>
        <v>64.382371198013658</v>
      </c>
      <c r="J76" s="82">
        <f t="shared" si="41"/>
        <v>128.76474239602732</v>
      </c>
      <c r="K76" s="82">
        <f t="shared" si="42"/>
        <v>2510.9124767225326</v>
      </c>
      <c r="L76" s="82">
        <f t="shared" si="43"/>
        <v>16.095592799503414</v>
      </c>
      <c r="M76" s="82">
        <f t="shared" si="44"/>
        <v>1.2291179955984426</v>
      </c>
      <c r="N76" s="82">
        <f t="shared" si="45"/>
        <v>5.3115456238361265</v>
      </c>
      <c r="O76" s="52" t="s">
        <v>28</v>
      </c>
      <c r="P76" s="43"/>
      <c r="V76" t="s">
        <v>168</v>
      </c>
    </row>
    <row r="77" spans="1:26" x14ac:dyDescent="0.25">
      <c r="A77" s="52" t="s">
        <v>29</v>
      </c>
      <c r="B77">
        <f t="shared" si="33"/>
        <v>10.927573062261754</v>
      </c>
      <c r="C77" s="3">
        <f t="shared" si="34"/>
        <v>32.884371029224901</v>
      </c>
      <c r="D77" s="45">
        <f t="shared" si="36"/>
        <v>0.33230293663060284</v>
      </c>
      <c r="E77" s="82">
        <f t="shared" si="35"/>
        <v>2.6916537867078834</v>
      </c>
      <c r="F77" s="102">
        <f t="shared" si="37"/>
        <v>7.2774343122102021</v>
      </c>
      <c r="G77" s="82">
        <f t="shared" si="38"/>
        <v>19.938176197836171</v>
      </c>
      <c r="H77" s="82">
        <f t="shared" si="39"/>
        <v>9.9690880989180854</v>
      </c>
      <c r="I77" s="82">
        <f t="shared" si="40"/>
        <v>6.6460587326120564</v>
      </c>
      <c r="J77" s="82">
        <f t="shared" si="41"/>
        <v>13.292117465224113</v>
      </c>
      <c r="K77" s="82">
        <f t="shared" si="42"/>
        <v>259.19629057187024</v>
      </c>
      <c r="L77" s="82">
        <f t="shared" si="43"/>
        <v>1.6615146831530141</v>
      </c>
      <c r="M77" s="82">
        <f t="shared" si="44"/>
        <v>0.12687930307713927</v>
      </c>
      <c r="N77" s="82">
        <f t="shared" si="45"/>
        <v>0.5482998454404947</v>
      </c>
      <c r="O77" s="52" t="s">
        <v>29</v>
      </c>
      <c r="P77" s="43"/>
    </row>
    <row r="78" spans="1:26" ht="15.75" thickBot="1" x14ac:dyDescent="0.3">
      <c r="A78" s="96" t="s">
        <v>95</v>
      </c>
      <c r="B78">
        <f t="shared" si="33"/>
        <v>28.281825914374824</v>
      </c>
      <c r="C78" s="3">
        <f t="shared" si="34"/>
        <v>28.656790473490219</v>
      </c>
      <c r="D78" s="43">
        <f t="shared" si="36"/>
        <v>0.98691533305300649</v>
      </c>
      <c r="E78" s="82">
        <f t="shared" si="35"/>
        <v>7.9940141977293537</v>
      </c>
      <c r="F78" s="102">
        <f t="shared" si="37"/>
        <v>21.613445793860841</v>
      </c>
      <c r="G78" s="82">
        <f t="shared" si="38"/>
        <v>59.214919983180387</v>
      </c>
      <c r="H78" s="82">
        <f t="shared" si="39"/>
        <v>29.607459991590193</v>
      </c>
      <c r="I78" s="82">
        <f t="shared" si="40"/>
        <v>19.738306661060129</v>
      </c>
      <c r="J78" s="82">
        <f t="shared" si="41"/>
        <v>39.476613322120258</v>
      </c>
      <c r="K78" s="82">
        <f t="shared" si="42"/>
        <v>769.79395978134505</v>
      </c>
      <c r="L78" s="82">
        <f t="shared" si="43"/>
        <v>4.9345766652650322</v>
      </c>
      <c r="M78" s="82">
        <f t="shared" si="44"/>
        <v>0.37682221807478433</v>
      </c>
      <c r="N78" s="82">
        <f t="shared" si="45"/>
        <v>1.6284102995374605</v>
      </c>
      <c r="O78" t="s">
        <v>95</v>
      </c>
      <c r="P78" s="43"/>
    </row>
    <row r="79" spans="1:26" x14ac:dyDescent="0.25">
      <c r="A79" s="95" t="s">
        <v>22</v>
      </c>
      <c r="B79">
        <f t="shared" si="33"/>
        <v>2.5022747952684257</v>
      </c>
      <c r="C79" s="3">
        <f t="shared" si="34"/>
        <v>38.098271155595995</v>
      </c>
      <c r="D79" s="75">
        <f t="shared" si="36"/>
        <v>6.567948411750657E-2</v>
      </c>
      <c r="E79" s="83">
        <f>$E$65*D79</f>
        <v>0.53200382135180335</v>
      </c>
      <c r="F79" s="103">
        <f t="shared" si="37"/>
        <v>1.4383807021733939</v>
      </c>
      <c r="G79" s="83">
        <f t="shared" si="38"/>
        <v>3.9407690470503942</v>
      </c>
      <c r="H79" s="83">
        <f t="shared" si="39"/>
        <v>1.9703845235251971</v>
      </c>
      <c r="I79" s="83">
        <f t="shared" si="40"/>
        <v>1.3135896823501314</v>
      </c>
      <c r="J79" s="83">
        <f t="shared" si="41"/>
        <v>2.6271793647002628</v>
      </c>
      <c r="K79" s="83">
        <f t="shared" si="42"/>
        <v>51.229997611655122</v>
      </c>
      <c r="L79" s="83">
        <f t="shared" si="43"/>
        <v>0.32839742058753285</v>
      </c>
      <c r="M79" s="83">
        <f t="shared" si="44"/>
        <v>2.5077621208502508E-2</v>
      </c>
      <c r="N79" s="83">
        <f>$N$65*D79</f>
        <v>0.10837114879388583</v>
      </c>
      <c r="O79" t="s">
        <v>22</v>
      </c>
      <c r="P79" s="43"/>
    </row>
    <row r="80" spans="1:26" x14ac:dyDescent="0.25">
      <c r="D80" t="s">
        <v>169</v>
      </c>
      <c r="E80" s="3">
        <f>AVERAGE(E66:E79)</f>
        <v>16.02340443948183</v>
      </c>
      <c r="F80" s="25">
        <f t="shared" ref="F80:N80" si="46">AVERAGE(F66:F79)</f>
        <v>43.322537928969375</v>
      </c>
      <c r="G80" s="3">
        <f t="shared" si="46"/>
        <v>118.69188473690245</v>
      </c>
      <c r="H80" s="3">
        <f t="shared" si="46"/>
        <v>59.345942368451226</v>
      </c>
      <c r="I80" s="3">
        <f t="shared" si="46"/>
        <v>39.563961578967472</v>
      </c>
      <c r="J80" s="3">
        <f t="shared" si="46"/>
        <v>79.127923157934944</v>
      </c>
      <c r="K80" s="3">
        <f t="shared" si="46"/>
        <v>1542.9945015797316</v>
      </c>
      <c r="L80" s="3">
        <f t="shared" si="46"/>
        <v>9.890990394741868</v>
      </c>
      <c r="M80" s="3">
        <f t="shared" si="46"/>
        <v>0.75531199378028824</v>
      </c>
      <c r="N80" s="3">
        <f t="shared" si="46"/>
        <v>3.2640268302648172</v>
      </c>
    </row>
    <row r="81" spans="1:10" ht="30" x14ac:dyDescent="0.25">
      <c r="E81" t="s">
        <v>170</v>
      </c>
      <c r="F81" s="2" t="s">
        <v>171</v>
      </c>
    </row>
    <row r="82" spans="1:10" ht="15.75" thickBot="1" x14ac:dyDescent="0.3">
      <c r="J82" s="3"/>
    </row>
    <row r="83" spans="1:10" x14ac:dyDescent="0.25">
      <c r="A83" s="46" t="s">
        <v>172</v>
      </c>
      <c r="B83" s="47"/>
      <c r="C83" s="47" t="s">
        <v>173</v>
      </c>
      <c r="D83" s="47"/>
      <c r="E83" s="47"/>
      <c r="F83" s="57"/>
    </row>
    <row r="84" spans="1:10" ht="30" x14ac:dyDescent="0.25">
      <c r="A84" s="48"/>
      <c r="B84" s="2" t="s">
        <v>148</v>
      </c>
      <c r="C84" s="2" t="s">
        <v>174</v>
      </c>
      <c r="D84" t="s">
        <v>175</v>
      </c>
      <c r="E84" t="s">
        <v>176</v>
      </c>
      <c r="F84" s="49"/>
    </row>
    <row r="85" spans="1:10" x14ac:dyDescent="0.25">
      <c r="A85" s="48"/>
      <c r="B85" t="s">
        <v>46</v>
      </c>
      <c r="F85" s="49"/>
    </row>
    <row r="86" spans="1:10" x14ac:dyDescent="0.25">
      <c r="A86" s="48" t="s">
        <v>1</v>
      </c>
      <c r="B86" s="3">
        <v>41.3</v>
      </c>
      <c r="C86" s="3">
        <f>B86</f>
        <v>41.3</v>
      </c>
      <c r="D86" s="3">
        <f t="shared" ref="D86:D99" si="47">1.5*0.126*B86/14.85</f>
        <v>0.52563636363636368</v>
      </c>
      <c r="E86" s="3">
        <f t="shared" ref="E86:E99" si="48">600*B86/8000</f>
        <v>3.0975000000000001</v>
      </c>
      <c r="F86" s="49"/>
    </row>
    <row r="87" spans="1:10" x14ac:dyDescent="0.25">
      <c r="A87" s="48" t="s">
        <v>7</v>
      </c>
      <c r="B87" s="3">
        <v>33.414932680538556</v>
      </c>
      <c r="C87" s="3">
        <f t="shared" ref="C87:C99" si="49">B87</f>
        <v>33.414932680538556</v>
      </c>
      <c r="D87" s="3">
        <f t="shared" si="47"/>
        <v>0.4252809613886725</v>
      </c>
      <c r="E87" s="3">
        <f t="shared" si="48"/>
        <v>2.5061199510403918</v>
      </c>
      <c r="F87" s="49"/>
    </row>
    <row r="88" spans="1:10" x14ac:dyDescent="0.25">
      <c r="A88" s="48" t="s">
        <v>10</v>
      </c>
      <c r="B88" s="3">
        <v>51.679242491492822</v>
      </c>
      <c r="C88" s="3">
        <f t="shared" si="49"/>
        <v>51.679242491492822</v>
      </c>
      <c r="D88" s="3">
        <f t="shared" si="47"/>
        <v>0.65773581352809052</v>
      </c>
      <c r="E88" s="3">
        <f t="shared" si="48"/>
        <v>3.8759431868619618</v>
      </c>
      <c r="F88" s="49"/>
    </row>
    <row r="89" spans="1:10" x14ac:dyDescent="0.25">
      <c r="A89" s="48" t="s">
        <v>11</v>
      </c>
      <c r="B89" s="3">
        <v>73.197026022304826</v>
      </c>
      <c r="C89" s="3">
        <f t="shared" si="49"/>
        <v>73.197026022304826</v>
      </c>
      <c r="D89" s="3">
        <f t="shared" si="47"/>
        <v>0.93159851301115237</v>
      </c>
      <c r="E89" s="3">
        <f t="shared" si="48"/>
        <v>5.4897769516728623</v>
      </c>
      <c r="F89" s="49"/>
    </row>
    <row r="90" spans="1:10" x14ac:dyDescent="0.25">
      <c r="A90" s="48" t="s">
        <v>12</v>
      </c>
      <c r="B90" s="3">
        <v>108.9171974522293</v>
      </c>
      <c r="C90" s="3">
        <f t="shared" si="49"/>
        <v>108.9171974522293</v>
      </c>
      <c r="D90" s="3">
        <f t="shared" si="47"/>
        <v>1.3862188766647365</v>
      </c>
      <c r="E90" s="3">
        <f t="shared" si="48"/>
        <v>8.1687898089171984</v>
      </c>
      <c r="F90" s="49"/>
    </row>
    <row r="91" spans="1:10" x14ac:dyDescent="0.25">
      <c r="A91" s="48" t="s">
        <v>13</v>
      </c>
      <c r="B91" s="3">
        <v>155.73964497041419</v>
      </c>
      <c r="C91" s="3">
        <f t="shared" si="49"/>
        <v>155.73964497041419</v>
      </c>
      <c r="D91" s="3">
        <f t="shared" si="47"/>
        <v>1.9821409359870898</v>
      </c>
      <c r="E91" s="3">
        <f t="shared" si="48"/>
        <v>11.680473372781064</v>
      </c>
      <c r="F91" s="49"/>
    </row>
    <row r="92" spans="1:10" x14ac:dyDescent="0.25">
      <c r="A92" s="48" t="s">
        <v>15</v>
      </c>
      <c r="B92" s="3">
        <v>42.421483841602182</v>
      </c>
      <c r="C92" s="3">
        <f t="shared" si="49"/>
        <v>42.421483841602182</v>
      </c>
      <c r="D92" s="3">
        <f t="shared" si="47"/>
        <v>0.53990979434766417</v>
      </c>
      <c r="E92" s="3">
        <f t="shared" si="48"/>
        <v>3.1816112881201639</v>
      </c>
      <c r="F92" s="49"/>
    </row>
    <row r="93" spans="1:10" x14ac:dyDescent="0.25">
      <c r="A93" s="48" t="s">
        <v>16</v>
      </c>
      <c r="B93" s="3">
        <v>173.53789666928927</v>
      </c>
      <c r="C93" s="3">
        <f t="shared" si="49"/>
        <v>173.53789666928927</v>
      </c>
      <c r="D93" s="3">
        <f t="shared" si="47"/>
        <v>2.2086641394273179</v>
      </c>
      <c r="E93" s="3">
        <f t="shared" si="48"/>
        <v>13.015342250196694</v>
      </c>
      <c r="F93" s="49"/>
    </row>
    <row r="94" spans="1:10" x14ac:dyDescent="0.25">
      <c r="A94" s="48" t="s">
        <v>93</v>
      </c>
      <c r="B94" s="3">
        <v>47.615966875849132</v>
      </c>
      <c r="C94" s="3">
        <f t="shared" si="49"/>
        <v>47.615966875849132</v>
      </c>
      <c r="D94" s="3">
        <f t="shared" si="47"/>
        <v>0.60602139660171628</v>
      </c>
      <c r="E94" s="3">
        <f t="shared" si="48"/>
        <v>3.5711975156886848</v>
      </c>
      <c r="F94" s="49"/>
    </row>
    <row r="95" spans="1:10" x14ac:dyDescent="0.25">
      <c r="A95" s="48" t="s">
        <v>23</v>
      </c>
      <c r="B95" s="3">
        <v>175.52083333333334</v>
      </c>
      <c r="C95" s="3">
        <f t="shared" si="49"/>
        <v>175.52083333333334</v>
      </c>
      <c r="D95" s="3">
        <f t="shared" si="47"/>
        <v>2.2339015151515151</v>
      </c>
      <c r="E95" s="3">
        <f t="shared" si="48"/>
        <v>13.1640625</v>
      </c>
      <c r="F95" s="49"/>
    </row>
    <row r="96" spans="1:10" x14ac:dyDescent="0.25">
      <c r="A96" s="48" t="s">
        <v>28</v>
      </c>
      <c r="B96" s="3">
        <v>157.2468162522741</v>
      </c>
      <c r="C96" s="3">
        <f t="shared" si="49"/>
        <v>157.2468162522741</v>
      </c>
      <c r="D96" s="3">
        <f t="shared" si="47"/>
        <v>2.001323115938034</v>
      </c>
      <c r="E96" s="3">
        <f t="shared" si="48"/>
        <v>11.793511218920557</v>
      </c>
      <c r="F96" s="49"/>
    </row>
    <row r="97" spans="1:6" x14ac:dyDescent="0.25">
      <c r="A97" s="48" t="s">
        <v>29</v>
      </c>
      <c r="B97" s="3">
        <v>10.927573062261754</v>
      </c>
      <c r="C97" s="3">
        <f t="shared" si="49"/>
        <v>10.927573062261754</v>
      </c>
      <c r="D97" s="3">
        <f t="shared" si="47"/>
        <v>0.13907820261060413</v>
      </c>
      <c r="E97" s="3">
        <f t="shared" si="48"/>
        <v>0.81956797966963157</v>
      </c>
      <c r="F97" s="49"/>
    </row>
    <row r="98" spans="1:6" x14ac:dyDescent="0.25">
      <c r="A98" s="48" t="s">
        <v>95</v>
      </c>
      <c r="B98" s="3">
        <v>28.281825914374824</v>
      </c>
      <c r="C98" s="3">
        <f t="shared" si="49"/>
        <v>28.281825914374824</v>
      </c>
      <c r="D98" s="3">
        <f t="shared" si="47"/>
        <v>0.35995051163749781</v>
      </c>
      <c r="E98" s="3">
        <f t="shared" si="48"/>
        <v>2.1211369435781116</v>
      </c>
      <c r="F98" s="49"/>
    </row>
    <row r="99" spans="1:6" x14ac:dyDescent="0.25">
      <c r="A99" s="71" t="s">
        <v>22</v>
      </c>
      <c r="B99" s="106">
        <v>2.5022747952684257</v>
      </c>
      <c r="C99" s="106">
        <f t="shared" si="49"/>
        <v>2.5022747952684257</v>
      </c>
      <c r="D99" s="106">
        <f t="shared" si="47"/>
        <v>3.1847133757961783E-2</v>
      </c>
      <c r="E99" s="106">
        <f t="shared" si="48"/>
        <v>0.18767060964513191</v>
      </c>
      <c r="F99" s="49"/>
    </row>
    <row r="100" spans="1:6" x14ac:dyDescent="0.25">
      <c r="A100" s="48" t="s">
        <v>169</v>
      </c>
      <c r="B100" s="3"/>
      <c r="C100" s="3">
        <f t="shared" ref="C100:D100" si="50">AVERAGE(C86:C99)</f>
        <v>78.735908168659492</v>
      </c>
      <c r="D100" s="3">
        <f t="shared" si="50"/>
        <v>1.0020933766920297</v>
      </c>
      <c r="E100" s="3">
        <f>AVERAGE(E86:E99)</f>
        <v>5.9051931126494619</v>
      </c>
      <c r="F100" s="49"/>
    </row>
    <row r="101" spans="1:6" ht="15.75" thickBot="1" x14ac:dyDescent="0.3">
      <c r="A101" s="66"/>
      <c r="B101" s="59"/>
      <c r="C101" s="59"/>
      <c r="D101" s="59"/>
      <c r="E101" s="59"/>
      <c r="F101" s="60"/>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Pigs timeseries</vt:lpstr>
      <vt:lpstr>2010</vt:lpstr>
      <vt:lpstr>2011</vt:lpstr>
      <vt:lpstr>2012</vt:lpstr>
      <vt:lpstr>2013</vt:lpstr>
      <vt:lpstr>2014</vt:lpstr>
      <vt:lpstr>2015</vt:lpstr>
      <vt:lpstr>2016</vt:lpstr>
      <vt:lpstr>2017</vt:lpstr>
      <vt:lpstr>2018</vt:lpstr>
      <vt:lpstr>2019</vt:lpstr>
      <vt:lpstr>2020</vt:lpstr>
      <vt:lpstr>2021</vt:lpstr>
      <vt:lpstr>2022</vt:lpstr>
      <vt:lpstr>Standard values</vt:lpstr>
      <vt:lpstr>PCU</vt:lpstr>
      <vt:lpstr>OLD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Lotta Rydhmer</dc:creator>
  <cp:keywords/>
  <dc:description/>
  <cp:lastModifiedBy>Elin Röös</cp:lastModifiedBy>
  <cp:revision/>
  <dcterms:created xsi:type="dcterms:W3CDTF">2023-06-06T20:27:03Z</dcterms:created>
  <dcterms:modified xsi:type="dcterms:W3CDTF">2024-09-16T07:02:19Z</dcterms:modified>
  <cp:category/>
  <cp:contentStatus/>
</cp:coreProperties>
</file>