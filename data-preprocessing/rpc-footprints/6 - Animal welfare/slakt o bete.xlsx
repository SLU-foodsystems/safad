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https://svelantbruksuniversitet-my.sharepoint.com/personal/elin_roos_slu_se/Documents/Dokument/SLU/Projekt 42 - Plan'eat/WP3/Animal welfare/"/>
    </mc:Choice>
  </mc:AlternateContent>
  <xr:revisionPtr revIDLastSave="2" documentId="8_{DBB8A336-E96E-41C9-852B-2C2CD2C4FA65}" xr6:coauthVersionLast="47" xr6:coauthVersionMax="47" xr10:uidLastSave="{0C3BED42-BC5E-4EB7-9DAB-95AE833F9DE9}"/>
  <bookViews>
    <workbookView xWindow="-108" yWindow="-108" windowWidth="23256" windowHeight="12576" activeTab="2" xr2:uid="{00000000-000D-0000-FFFF-FFFF00000000}"/>
  </bookViews>
  <sheets>
    <sheet name="slaktprocess" sheetId="1" r:id="rId1"/>
    <sheet name="ability" sheetId="2" r:id="rId2"/>
    <sheet name="be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L24" i="1"/>
  <c r="L23" i="1"/>
  <c r="L22" i="1"/>
  <c r="L21" i="1"/>
  <c r="L20" i="1"/>
  <c r="V18" i="1"/>
  <c r="W18" i="1" s="1"/>
  <c r="U18" i="1"/>
  <c r="T18" i="1"/>
  <c r="S18" i="1"/>
  <c r="R18" i="1"/>
  <c r="P18" i="1"/>
  <c r="Q18" i="1" s="1"/>
  <c r="N18" i="1"/>
  <c r="O18" i="1" s="1"/>
  <c r="M18" i="1"/>
  <c r="L18" i="1"/>
  <c r="K18" i="1"/>
  <c r="J18" i="1"/>
  <c r="H18" i="1"/>
  <c r="I18" i="1" s="1"/>
  <c r="F18" i="1"/>
  <c r="G18" i="1" s="1"/>
  <c r="E18" i="1"/>
  <c r="D18" i="1"/>
  <c r="C18" i="1"/>
  <c r="B18" i="1"/>
  <c r="W17" i="1"/>
  <c r="U17" i="1"/>
  <c r="S17" i="1"/>
  <c r="Q17" i="1"/>
  <c r="O17" i="1"/>
  <c r="M17" i="1"/>
  <c r="K17" i="1"/>
  <c r="I17" i="1"/>
  <c r="G17" i="1"/>
  <c r="E17" i="1"/>
  <c r="C17" i="1"/>
  <c r="W16" i="1"/>
  <c r="U16" i="1"/>
  <c r="S16" i="1"/>
  <c r="Q16" i="1"/>
  <c r="O16" i="1"/>
  <c r="M16" i="1"/>
  <c r="K16" i="1"/>
  <c r="I16" i="1"/>
  <c r="G16" i="1"/>
  <c r="E16" i="1"/>
  <c r="C16" i="1"/>
  <c r="W15" i="1"/>
  <c r="U15" i="1"/>
  <c r="S15" i="1"/>
  <c r="Q15" i="1"/>
  <c r="O15" i="1"/>
  <c r="M15" i="1"/>
  <c r="K15" i="1"/>
  <c r="I15" i="1"/>
  <c r="G15" i="1"/>
  <c r="E15" i="1"/>
  <c r="C15" i="1"/>
  <c r="W14" i="1"/>
  <c r="U14" i="1"/>
  <c r="S14" i="1"/>
  <c r="Q14" i="1"/>
  <c r="O14" i="1"/>
  <c r="M14" i="1"/>
  <c r="K14" i="1"/>
  <c r="I14" i="1"/>
  <c r="G14" i="1"/>
  <c r="E14" i="1"/>
  <c r="B14" i="1"/>
  <c r="C14" i="1" s="1"/>
  <c r="W13" i="1"/>
  <c r="U13" i="1"/>
  <c r="S13" i="1"/>
  <c r="Q13" i="1"/>
  <c r="O13" i="1"/>
  <c r="M13" i="1"/>
  <c r="K13" i="1"/>
  <c r="I13" i="1"/>
  <c r="G13" i="1"/>
  <c r="E13" i="1"/>
  <c r="C13" i="1"/>
  <c r="V12" i="1"/>
  <c r="W12" i="1" s="1"/>
  <c r="T12" i="1"/>
  <c r="U12" i="1" s="1"/>
  <c r="R12" i="1"/>
  <c r="S12" i="1" s="1"/>
  <c r="P12" i="1"/>
  <c r="Q12" i="1" s="1"/>
  <c r="N12" i="1"/>
  <c r="O12" i="1" s="1"/>
  <c r="L12" i="1"/>
  <c r="M12" i="1" s="1"/>
  <c r="J12" i="1"/>
  <c r="K12" i="1" s="1"/>
  <c r="I12" i="1"/>
  <c r="H12" i="1"/>
  <c r="F12" i="1"/>
  <c r="G12" i="1" s="1"/>
  <c r="D12" i="1"/>
  <c r="E12" i="1" s="1"/>
  <c r="B12" i="1"/>
  <c r="C12" i="1" s="1"/>
  <c r="V11" i="1"/>
  <c r="W11" i="1" s="1"/>
  <c r="T11" i="1"/>
  <c r="U11" i="1" s="1"/>
  <c r="R11" i="1"/>
  <c r="S11" i="1" s="1"/>
  <c r="P11" i="1"/>
  <c r="Q11" i="1" s="1"/>
  <c r="N11" i="1"/>
  <c r="O11" i="1" s="1"/>
  <c r="L11" i="1"/>
  <c r="M11" i="1" s="1"/>
  <c r="J11" i="1"/>
  <c r="K11" i="1" s="1"/>
  <c r="H11" i="1"/>
  <c r="I11" i="1" s="1"/>
  <c r="G11" i="1"/>
  <c r="F11" i="1"/>
  <c r="D11" i="1"/>
  <c r="E11" i="1" s="1"/>
  <c r="B11" i="1"/>
  <c r="C11" i="1" s="1"/>
  <c r="V10" i="1"/>
  <c r="W10" i="1" s="1"/>
  <c r="T10" i="1"/>
  <c r="U10" i="1" s="1"/>
  <c r="R10" i="1"/>
  <c r="S10" i="1" s="1"/>
  <c r="P10" i="1"/>
  <c r="Q10" i="1" s="1"/>
  <c r="N10" i="1"/>
  <c r="O10" i="1" s="1"/>
  <c r="L10" i="1"/>
  <c r="M10" i="1" s="1"/>
  <c r="J10" i="1"/>
  <c r="K10" i="1" s="1"/>
  <c r="H10" i="1"/>
  <c r="I10" i="1" s="1"/>
  <c r="F10" i="1"/>
  <c r="G10" i="1" s="1"/>
  <c r="D10" i="1"/>
  <c r="E10" i="1" s="1"/>
  <c r="B10" i="1"/>
  <c r="C10" i="1" s="1"/>
  <c r="W9" i="1"/>
  <c r="U9" i="1"/>
  <c r="S9" i="1"/>
  <c r="Q9" i="1"/>
  <c r="O9" i="1"/>
  <c r="M9" i="1"/>
  <c r="K9" i="1"/>
  <c r="I9" i="1"/>
  <c r="G9" i="1"/>
  <c r="E9" i="1"/>
  <c r="C9" i="1"/>
  <c r="W8" i="1"/>
  <c r="U8" i="1"/>
  <c r="S8" i="1"/>
  <c r="Q8" i="1"/>
  <c r="O8" i="1"/>
  <c r="M8" i="1"/>
  <c r="K8" i="1"/>
  <c r="I8" i="1"/>
  <c r="G8" i="1"/>
  <c r="E8" i="1"/>
  <c r="C8" i="1"/>
  <c r="W7" i="1"/>
  <c r="U7" i="1"/>
  <c r="S7" i="1"/>
  <c r="Q7" i="1"/>
  <c r="O7" i="1"/>
  <c r="M7" i="1"/>
  <c r="K7" i="1"/>
  <c r="I7" i="1"/>
  <c r="G7" i="1"/>
  <c r="E7" i="1"/>
  <c r="C7" i="1"/>
  <c r="W6" i="1"/>
  <c r="U6" i="1"/>
  <c r="S6" i="1"/>
  <c r="Q6" i="1"/>
  <c r="O6" i="1"/>
  <c r="M6" i="1"/>
  <c r="K6" i="1"/>
  <c r="I6" i="1"/>
  <c r="G6" i="1"/>
  <c r="E6" i="1"/>
  <c r="C6" i="1"/>
  <c r="W5" i="1"/>
  <c r="U5" i="1"/>
  <c r="S5" i="1"/>
  <c r="Q5" i="1"/>
  <c r="O5" i="1"/>
  <c r="M5" i="1"/>
  <c r="K5" i="1"/>
  <c r="I5" i="1"/>
  <c r="G5" i="1"/>
  <c r="E5" i="1"/>
  <c r="C5" i="1"/>
  <c r="W4" i="1"/>
  <c r="U4" i="1"/>
  <c r="S4" i="1"/>
  <c r="Q4" i="1"/>
  <c r="O4" i="1"/>
  <c r="M4" i="1"/>
  <c r="K4" i="1"/>
  <c r="I4" i="1"/>
  <c r="G4" i="1"/>
  <c r="E4" i="1"/>
  <c r="C4" i="1"/>
  <c r="W3" i="1"/>
  <c r="U3" i="1"/>
  <c r="S3" i="1"/>
  <c r="Q3" i="1"/>
  <c r="O3" i="1"/>
  <c r="M3" i="1"/>
  <c r="K3" i="1"/>
  <c r="I3" i="1"/>
  <c r="G3" i="1"/>
  <c r="E3" i="1"/>
  <c r="C3" i="1"/>
  <c r="E35" i="2"/>
  <c r="F34" i="2"/>
  <c r="F33" i="2"/>
  <c r="E31" i="2"/>
  <c r="F31" i="2" s="1"/>
  <c r="D13" i="2" s="1"/>
  <c r="F30" i="2"/>
  <c r="E29" i="2"/>
  <c r="F29" i="2" s="1"/>
  <c r="D5" i="2" s="1"/>
  <c r="F28" i="2"/>
  <c r="F27" i="2"/>
  <c r="F26" i="2"/>
  <c r="D4" i="2" s="1"/>
  <c r="E26" i="2"/>
  <c r="F32" i="2" s="1"/>
  <c r="D12" i="2" s="1"/>
  <c r="F25" i="2"/>
  <c r="E25" i="2"/>
  <c r="F24" i="2"/>
  <c r="F23" i="2"/>
  <c r="E22" i="2"/>
  <c r="F22" i="2" s="1"/>
  <c r="F21" i="2" s="1"/>
  <c r="E20" i="2"/>
  <c r="D9" i="2"/>
  <c r="F35" i="2" l="1"/>
  <c r="D19" i="2" s="1"/>
  <c r="G10" i="2"/>
  <c r="E32" i="2"/>
  <c r="F20" i="2"/>
  <c r="D8" i="2" s="1"/>
  <c r="D7" i="2"/>
</calcChain>
</file>

<file path=xl/sharedStrings.xml><?xml version="1.0" encoding="utf-8"?>
<sst xmlns="http://schemas.openxmlformats.org/spreadsheetml/2006/main" count="105" uniqueCount="82">
  <si>
    <t>Bläckfiskar</t>
  </si>
  <si>
    <t>med andra rundans vikter</t>
  </si>
  <si>
    <t>Mjölmask</t>
  </si>
  <si>
    <t>Idisslare vuxen</t>
  </si>
  <si>
    <t>Idisslare kalv/lamm/killing</t>
  </si>
  <si>
    <t>idisslare vilt</t>
  </si>
  <si>
    <t>Fjäderfä  vuxen</t>
  </si>
  <si>
    <t>Fjäderfä slaktkyckling</t>
  </si>
  <si>
    <t>Fjäderfä nykläckt</t>
  </si>
  <si>
    <t>Fjäderfä vilt</t>
  </si>
  <si>
    <t>Hummer, krabba, kräftor, räkor</t>
  </si>
  <si>
    <t>medelvilt</t>
  </si>
  <si>
    <t>Gris vuxen</t>
  </si>
  <si>
    <t>Gris ung</t>
  </si>
  <si>
    <t>Vildsvin</t>
  </si>
  <si>
    <t>Syrsor och honungsbin</t>
  </si>
  <si>
    <t>Musslor och ostron</t>
  </si>
  <si>
    <t>Häst och åsna</t>
  </si>
  <si>
    <t>Kanin och hare</t>
  </si>
  <si>
    <t>Laxfiskar och andra benfiskar</t>
  </si>
  <si>
    <t>Vildfisk</t>
  </si>
  <si>
    <t>Nykläckt kyckling</t>
  </si>
  <si>
    <t>från enkät</t>
  </si>
  <si>
    <t>Kyckling (5 v)</t>
  </si>
  <si>
    <t>antar samma förhållande som lamm-tacka</t>
  </si>
  <si>
    <t>Vuxen höna</t>
  </si>
  <si>
    <t>Domesticerad fjäderfä</t>
  </si>
  <si>
    <t>Fågel vilt</t>
  </si>
  <si>
    <t>antar samma förhållande som gris-vildsvin</t>
  </si>
  <si>
    <t>Lamm vid normal ålder för slakt (ca 6 månader)</t>
  </si>
  <si>
    <t>Vuxet får</t>
  </si>
  <si>
    <t>Domesticerad idisslare</t>
  </si>
  <si>
    <t>vild idisslare</t>
  </si>
  <si>
    <t>Domesticerad gris</t>
  </si>
  <si>
    <t>spädgris slaktgris</t>
  </si>
  <si>
    <t>vuxen gris</t>
  </si>
  <si>
    <t>timmar, inkl före o efter transp</t>
  </si>
  <si>
    <t>DK</t>
  </si>
  <si>
    <t>DKrel</t>
  </si>
  <si>
    <t>FR</t>
  </si>
  <si>
    <t>FRrel</t>
  </si>
  <si>
    <t>DE</t>
  </si>
  <si>
    <t>DErel</t>
  </si>
  <si>
    <t>GR</t>
  </si>
  <si>
    <t>GRrel</t>
  </si>
  <si>
    <t>HU</t>
  </si>
  <si>
    <t>HUrel</t>
  </si>
  <si>
    <t>IE</t>
  </si>
  <si>
    <t>Ierel</t>
  </si>
  <si>
    <t>IT</t>
  </si>
  <si>
    <t>Itrel</t>
  </si>
  <si>
    <t>NL</t>
  </si>
  <si>
    <t>Nlrel</t>
  </si>
  <si>
    <t>PL</t>
  </si>
  <si>
    <t>Plrel</t>
  </si>
  <si>
    <t>ES</t>
  </si>
  <si>
    <t>Esrel</t>
  </si>
  <si>
    <t>SE</t>
  </si>
  <si>
    <t>Serel</t>
  </si>
  <si>
    <t>poultry</t>
  </si>
  <si>
    <t>pig</t>
  </si>
  <si>
    <t>sheep/goat</t>
  </si>
  <si>
    <t>cattle</t>
  </si>
  <si>
    <t>horse</t>
  </si>
  <si>
    <t>rabbit</t>
  </si>
  <si>
    <t>rest påland EU</t>
  </si>
  <si>
    <t>jakt 1m</t>
  </si>
  <si>
    <t>male chick 10m</t>
  </si>
  <si>
    <t>wild fish</t>
  </si>
  <si>
    <t>salmon akva</t>
  </si>
  <si>
    <t>mjölmask</t>
  </si>
  <si>
    <t>blåmusslor</t>
  </si>
  <si>
    <t>räkor</t>
  </si>
  <si>
    <t>bläckfisk vild</t>
  </si>
  <si>
    <t>honungsbin</t>
  </si>
  <si>
    <t>alla i EU</t>
  </si>
  <si>
    <t>sheep</t>
  </si>
  <si>
    <t>köttkor</t>
  </si>
  <si>
    <t>UK</t>
  </si>
  <si>
    <t>Betessäsongens längd i månader</t>
  </si>
  <si>
    <t>mjölkkor</t>
  </si>
  <si>
    <t>får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</si>
</sst>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7" xfId="0" applyFont="1" applyBorder="1" applyAlignment="1">
      <alignment wrapText="1"/>
    </xf>
    <xf numFmtId="0" fontId="3" fillId="0" borderId="7" xfId="0" applyFont="1" applyBorder="1"/>
    <xf numFmtId="164" fontId="3" fillId="0" borderId="7" xfId="0" applyNumberFormat="1" applyFont="1" applyBorder="1"/>
    <xf numFmtId="0" fontId="2" fillId="0" borderId="0" xfId="0" applyFont="1"/>
    <xf numFmtId="2" fontId="0" fillId="0" borderId="0" xfId="0" applyNumberFormat="1"/>
    <xf numFmtId="164" fontId="0" fillId="0" borderId="0" xfId="0" applyNumberFormat="1"/>
    <xf numFmtId="164" fontId="0" fillId="2" borderId="0" xfId="0" applyNumberFormat="1" applyFill="1"/>
    <xf numFmtId="2" fontId="0" fillId="2" borderId="0" xfId="0" applyNumberFormat="1" applyFill="1"/>
    <xf numFmtId="2" fontId="1" fillId="0" borderId="0" xfId="0" applyNumberFormat="1" applyFont="1"/>
    <xf numFmtId="164" fontId="1" fillId="2" borderId="0" xfId="0" applyNumberFormat="1" applyFont="1" applyFill="1"/>
    <xf numFmtId="2" fontId="1" fillId="2" borderId="0" xfId="0" applyNumberFormat="1" applyFont="1" applyFill="1"/>
    <xf numFmtId="2" fontId="4" fillId="0" borderId="0" xfId="0" applyNumberFormat="1" applyFont="1"/>
    <xf numFmtId="164" fontId="5" fillId="0" borderId="0" xfId="0" applyNumberFormat="1" applyFont="1"/>
    <xf numFmtId="2" fontId="5" fillId="0" borderId="0" xfId="0" applyNumberFormat="1" applyFont="1"/>
    <xf numFmtId="0" fontId="6" fillId="0" borderId="0" xfId="0" applyFont="1"/>
    <xf numFmtId="0" fontId="7" fillId="0" borderId="0" xfId="0" applyFont="1" applyAlignment="1">
      <alignment horizontal="left" vertical="center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"/>
  <sheetViews>
    <sheetView workbookViewId="0">
      <selection activeCell="E32" sqref="E32"/>
    </sheetView>
  </sheetViews>
  <sheetFormatPr defaultRowHeight="14.4" x14ac:dyDescent="0.3"/>
  <cols>
    <col min="1" max="1" width="14.6640625" customWidth="1"/>
    <col min="3" max="3" width="11.109375" style="13" customWidth="1"/>
  </cols>
  <sheetData>
    <row r="1" spans="1:27" ht="43.2" x14ac:dyDescent="0.3">
      <c r="A1" s="8" t="s">
        <v>36</v>
      </c>
      <c r="B1" s="9" t="s">
        <v>37</v>
      </c>
      <c r="C1" s="10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9" t="s">
        <v>44</v>
      </c>
      <c r="J1" s="9" t="s">
        <v>45</v>
      </c>
      <c r="K1" s="9" t="s">
        <v>46</v>
      </c>
      <c r="L1" s="9" t="s">
        <v>47</v>
      </c>
      <c r="M1" s="9" t="s">
        <v>48</v>
      </c>
      <c r="N1" s="9" t="s">
        <v>49</v>
      </c>
      <c r="O1" s="9" t="s">
        <v>50</v>
      </c>
      <c r="P1" s="9" t="s">
        <v>51</v>
      </c>
      <c r="Q1" s="9" t="s">
        <v>52</v>
      </c>
      <c r="R1" s="9" t="s">
        <v>53</v>
      </c>
      <c r="S1" s="9" t="s">
        <v>54</v>
      </c>
      <c r="T1" s="9" t="s">
        <v>55</v>
      </c>
      <c r="U1" s="9" t="s">
        <v>56</v>
      </c>
      <c r="V1" s="9" t="s">
        <v>57</v>
      </c>
      <c r="W1" s="11" t="s">
        <v>58</v>
      </c>
      <c r="X1" s="11"/>
      <c r="Y1" s="11"/>
      <c r="Z1" s="11"/>
      <c r="AA1" s="11"/>
    </row>
    <row r="2" spans="1:27" s="12" customFormat="1" x14ac:dyDescent="0.3">
      <c r="C2" s="13"/>
    </row>
    <row r="3" spans="1:27" s="12" customFormat="1" x14ac:dyDescent="0.3">
      <c r="A3" s="12" t="s">
        <v>59</v>
      </c>
      <c r="B3" s="12">
        <v>6</v>
      </c>
      <c r="C3" s="14">
        <f>B3/24</f>
        <v>0.25</v>
      </c>
      <c r="D3" s="12">
        <v>6.62</v>
      </c>
      <c r="E3" s="15">
        <f t="shared" ref="E3:E17" si="0">D3/24</f>
        <v>0.27583333333333332</v>
      </c>
      <c r="F3" s="12">
        <v>6</v>
      </c>
      <c r="G3" s="15">
        <f>F3/24</f>
        <v>0.25</v>
      </c>
      <c r="H3" s="12">
        <v>6.62</v>
      </c>
      <c r="I3" s="15">
        <f>H3/24</f>
        <v>0.27583333333333332</v>
      </c>
      <c r="J3" s="12">
        <v>6.62</v>
      </c>
      <c r="K3" s="15">
        <f>J3/24</f>
        <v>0.27583333333333332</v>
      </c>
      <c r="L3" s="12">
        <v>6.62</v>
      </c>
      <c r="M3" s="15">
        <f>L3/24</f>
        <v>0.27583333333333332</v>
      </c>
      <c r="N3" s="12">
        <v>6.62</v>
      </c>
      <c r="O3" s="15">
        <f>N3/24</f>
        <v>0.27583333333333332</v>
      </c>
      <c r="P3" s="12">
        <v>6</v>
      </c>
      <c r="Q3" s="15">
        <f>P3/24</f>
        <v>0.25</v>
      </c>
      <c r="R3" s="12">
        <v>6.62</v>
      </c>
      <c r="S3" s="15">
        <f>R3/24</f>
        <v>0.27583333333333332</v>
      </c>
      <c r="T3" s="12">
        <v>6.62</v>
      </c>
      <c r="U3" s="15">
        <f>T3/24</f>
        <v>0.27583333333333332</v>
      </c>
      <c r="V3" s="12">
        <v>6</v>
      </c>
      <c r="W3" s="15">
        <f>V3/24</f>
        <v>0.25</v>
      </c>
    </row>
    <row r="4" spans="1:27" s="12" customFormat="1" x14ac:dyDescent="0.3">
      <c r="A4" s="12" t="s">
        <v>60</v>
      </c>
      <c r="B4" s="12">
        <v>6</v>
      </c>
      <c r="C4" s="14">
        <f t="shared" ref="C4:C18" si="1">B4/24</f>
        <v>0.25</v>
      </c>
      <c r="D4" s="12">
        <v>8</v>
      </c>
      <c r="E4" s="15">
        <f t="shared" si="0"/>
        <v>0.33333333333333331</v>
      </c>
      <c r="F4" s="12">
        <v>6</v>
      </c>
      <c r="G4" s="15">
        <f t="shared" ref="G4:G18" si="2">F4/24</f>
        <v>0.25</v>
      </c>
      <c r="H4" s="12">
        <v>8</v>
      </c>
      <c r="I4" s="15">
        <f t="shared" ref="I4:I18" si="3">H4/24</f>
        <v>0.33333333333333331</v>
      </c>
      <c r="J4" s="12">
        <v>8</v>
      </c>
      <c r="K4" s="15">
        <f t="shared" ref="K4:K18" si="4">J4/24</f>
        <v>0.33333333333333331</v>
      </c>
      <c r="L4" s="12">
        <v>8</v>
      </c>
      <c r="M4" s="15">
        <f t="shared" ref="M4:M18" si="5">L4/24</f>
        <v>0.33333333333333331</v>
      </c>
      <c r="N4" s="12">
        <v>8</v>
      </c>
      <c r="O4" s="15">
        <f t="shared" ref="O4:O18" si="6">N4/24</f>
        <v>0.33333333333333331</v>
      </c>
      <c r="P4" s="12">
        <v>6</v>
      </c>
      <c r="Q4" s="15">
        <f t="shared" ref="Q4:Q18" si="7">P4/24</f>
        <v>0.25</v>
      </c>
      <c r="R4" s="12">
        <v>8</v>
      </c>
      <c r="S4" s="15">
        <f t="shared" ref="S4:S18" si="8">R4/24</f>
        <v>0.33333333333333331</v>
      </c>
      <c r="T4" s="12">
        <v>8</v>
      </c>
      <c r="U4" s="15">
        <f t="shared" ref="U4:U18" si="9">T4/24</f>
        <v>0.33333333333333331</v>
      </c>
      <c r="V4" s="12">
        <v>6</v>
      </c>
      <c r="W4" s="15">
        <f t="shared" ref="W4:W18" si="10">V4/24</f>
        <v>0.25</v>
      </c>
    </row>
    <row r="5" spans="1:27" s="12" customFormat="1" x14ac:dyDescent="0.3">
      <c r="A5" s="12" t="s">
        <v>61</v>
      </c>
      <c r="B5" s="12">
        <v>6</v>
      </c>
      <c r="C5" s="14">
        <f t="shared" si="1"/>
        <v>0.25</v>
      </c>
      <c r="D5" s="12">
        <v>8.2799999999999994</v>
      </c>
      <c r="E5" s="15">
        <f t="shared" si="0"/>
        <v>0.34499999999999997</v>
      </c>
      <c r="F5" s="12">
        <v>6</v>
      </c>
      <c r="G5" s="15">
        <f t="shared" si="2"/>
        <v>0.25</v>
      </c>
      <c r="H5" s="12">
        <v>8.2799999999999994</v>
      </c>
      <c r="I5" s="15">
        <f t="shared" si="3"/>
        <v>0.34499999999999997</v>
      </c>
      <c r="J5" s="12">
        <v>8.2799999999999994</v>
      </c>
      <c r="K5" s="15">
        <f t="shared" si="4"/>
        <v>0.34499999999999997</v>
      </c>
      <c r="L5" s="12">
        <v>8.2799999999999994</v>
      </c>
      <c r="M5" s="15">
        <f t="shared" si="5"/>
        <v>0.34499999999999997</v>
      </c>
      <c r="N5" s="12">
        <v>8.2799999999999994</v>
      </c>
      <c r="O5" s="15">
        <f t="shared" si="6"/>
        <v>0.34499999999999997</v>
      </c>
      <c r="P5" s="12">
        <v>6</v>
      </c>
      <c r="Q5" s="15">
        <f t="shared" si="7"/>
        <v>0.25</v>
      </c>
      <c r="R5" s="12">
        <v>8.2799999999999994</v>
      </c>
      <c r="S5" s="15">
        <f t="shared" si="8"/>
        <v>0.34499999999999997</v>
      </c>
      <c r="T5" s="12">
        <v>8.2799999999999994</v>
      </c>
      <c r="U5" s="15">
        <f t="shared" si="9"/>
        <v>0.34499999999999997</v>
      </c>
      <c r="V5" s="12">
        <v>6</v>
      </c>
      <c r="W5" s="15">
        <f t="shared" si="10"/>
        <v>0.25</v>
      </c>
    </row>
    <row r="6" spans="1:27" s="12" customFormat="1" x14ac:dyDescent="0.3">
      <c r="A6" s="12" t="s">
        <v>62</v>
      </c>
      <c r="B6" s="12">
        <v>6</v>
      </c>
      <c r="C6" s="14">
        <f t="shared" si="1"/>
        <v>0.25</v>
      </c>
      <c r="D6" s="12">
        <v>8.1999999999999993</v>
      </c>
      <c r="E6" s="15">
        <f t="shared" si="0"/>
        <v>0.34166666666666662</v>
      </c>
      <c r="F6" s="12">
        <v>6</v>
      </c>
      <c r="G6" s="15">
        <f t="shared" si="2"/>
        <v>0.25</v>
      </c>
      <c r="H6" s="12">
        <v>8.1999999999999993</v>
      </c>
      <c r="I6" s="15">
        <f t="shared" si="3"/>
        <v>0.34166666666666662</v>
      </c>
      <c r="J6" s="12">
        <v>8.1999999999999993</v>
      </c>
      <c r="K6" s="15">
        <f t="shared" si="4"/>
        <v>0.34166666666666662</v>
      </c>
      <c r="L6" s="12">
        <v>8.1999999999999993</v>
      </c>
      <c r="M6" s="15">
        <f t="shared" si="5"/>
        <v>0.34166666666666662</v>
      </c>
      <c r="N6" s="12">
        <v>8.1999999999999993</v>
      </c>
      <c r="O6" s="15">
        <f t="shared" si="6"/>
        <v>0.34166666666666662</v>
      </c>
      <c r="P6" s="12">
        <v>6</v>
      </c>
      <c r="Q6" s="15">
        <f t="shared" si="7"/>
        <v>0.25</v>
      </c>
      <c r="R6" s="12">
        <v>8.1999999999999993</v>
      </c>
      <c r="S6" s="15">
        <f t="shared" si="8"/>
        <v>0.34166666666666662</v>
      </c>
      <c r="T6" s="12">
        <v>8.1999999999999993</v>
      </c>
      <c r="U6" s="15">
        <f t="shared" si="9"/>
        <v>0.34166666666666662</v>
      </c>
      <c r="V6" s="12">
        <v>6</v>
      </c>
      <c r="W6" s="15">
        <f t="shared" si="10"/>
        <v>0.25</v>
      </c>
    </row>
    <row r="7" spans="1:27" s="12" customFormat="1" x14ac:dyDescent="0.3">
      <c r="A7" s="12" t="s">
        <v>63</v>
      </c>
      <c r="B7" s="12">
        <v>6</v>
      </c>
      <c r="C7" s="14">
        <f t="shared" si="1"/>
        <v>0.25</v>
      </c>
      <c r="D7" s="12">
        <v>11.04</v>
      </c>
      <c r="E7" s="15">
        <f t="shared" si="0"/>
        <v>0.45999999999999996</v>
      </c>
      <c r="F7" s="12">
        <v>6</v>
      </c>
      <c r="G7" s="15">
        <f t="shared" si="2"/>
        <v>0.25</v>
      </c>
      <c r="H7" s="12">
        <v>11.04</v>
      </c>
      <c r="I7" s="15">
        <f t="shared" si="3"/>
        <v>0.45999999999999996</v>
      </c>
      <c r="J7" s="12">
        <v>11.04</v>
      </c>
      <c r="K7" s="15">
        <f t="shared" si="4"/>
        <v>0.45999999999999996</v>
      </c>
      <c r="L7" s="12">
        <v>11.04</v>
      </c>
      <c r="M7" s="15">
        <f t="shared" si="5"/>
        <v>0.45999999999999996</v>
      </c>
      <c r="N7" s="12">
        <v>11.04</v>
      </c>
      <c r="O7" s="15">
        <f t="shared" si="6"/>
        <v>0.45999999999999996</v>
      </c>
      <c r="P7" s="12">
        <v>6</v>
      </c>
      <c r="Q7" s="15">
        <f t="shared" si="7"/>
        <v>0.25</v>
      </c>
      <c r="R7" s="12">
        <v>11.04</v>
      </c>
      <c r="S7" s="15">
        <f t="shared" si="8"/>
        <v>0.45999999999999996</v>
      </c>
      <c r="T7" s="12">
        <v>11.04</v>
      </c>
      <c r="U7" s="15">
        <f t="shared" si="9"/>
        <v>0.45999999999999996</v>
      </c>
      <c r="V7" s="12">
        <v>6</v>
      </c>
      <c r="W7" s="15">
        <f t="shared" si="10"/>
        <v>0.25</v>
      </c>
    </row>
    <row r="8" spans="1:27" s="16" customFormat="1" x14ac:dyDescent="0.3">
      <c r="A8" s="16" t="s">
        <v>64</v>
      </c>
      <c r="B8" s="16">
        <v>6</v>
      </c>
      <c r="C8" s="17">
        <f t="shared" si="1"/>
        <v>0.25</v>
      </c>
      <c r="D8" s="16">
        <v>8.1199999999999992</v>
      </c>
      <c r="E8" s="18">
        <f t="shared" si="0"/>
        <v>0.33833333333333332</v>
      </c>
      <c r="F8" s="16">
        <v>6</v>
      </c>
      <c r="G8" s="18">
        <f t="shared" si="2"/>
        <v>0.25</v>
      </c>
      <c r="H8" s="16">
        <v>8.1199999999999992</v>
      </c>
      <c r="I8" s="18">
        <f t="shared" si="3"/>
        <v>0.33833333333333332</v>
      </c>
      <c r="J8" s="16">
        <v>8.1199999999999992</v>
      </c>
      <c r="K8" s="18">
        <f t="shared" si="4"/>
        <v>0.33833333333333332</v>
      </c>
      <c r="L8" s="16">
        <v>8.1199999999999992</v>
      </c>
      <c r="M8" s="18">
        <f t="shared" si="5"/>
        <v>0.33833333333333332</v>
      </c>
      <c r="N8" s="16">
        <v>8.1199999999999992</v>
      </c>
      <c r="O8" s="18">
        <f t="shared" si="6"/>
        <v>0.33833333333333332</v>
      </c>
      <c r="P8" s="16">
        <v>6</v>
      </c>
      <c r="Q8" s="18">
        <f t="shared" si="7"/>
        <v>0.25</v>
      </c>
      <c r="R8" s="16">
        <v>8.1199999999999992</v>
      </c>
      <c r="S8" s="18">
        <f t="shared" si="8"/>
        <v>0.33833333333333332</v>
      </c>
      <c r="T8" s="19">
        <v>6.37</v>
      </c>
      <c r="U8" s="18">
        <f t="shared" si="9"/>
        <v>0.26541666666666669</v>
      </c>
      <c r="V8" s="16">
        <v>6</v>
      </c>
      <c r="W8" s="18">
        <f t="shared" si="10"/>
        <v>0.25</v>
      </c>
    </row>
    <row r="9" spans="1:27" s="12" customFormat="1" x14ac:dyDescent="0.3">
      <c r="A9" s="12" t="s">
        <v>65</v>
      </c>
      <c r="B9" s="12">
        <v>6</v>
      </c>
      <c r="C9" s="14">
        <f t="shared" si="1"/>
        <v>0.25</v>
      </c>
      <c r="D9" s="12">
        <v>8.1199999999999992</v>
      </c>
      <c r="E9" s="15">
        <f t="shared" si="0"/>
        <v>0.33833333333333332</v>
      </c>
      <c r="F9" s="12">
        <v>6</v>
      </c>
      <c r="G9" s="15">
        <f t="shared" si="2"/>
        <v>0.25</v>
      </c>
      <c r="H9" s="12">
        <v>8.1199999999999992</v>
      </c>
      <c r="I9" s="15">
        <f t="shared" si="3"/>
        <v>0.33833333333333332</v>
      </c>
      <c r="J9" s="12">
        <v>8.1199999999999992</v>
      </c>
      <c r="K9" s="15">
        <f t="shared" si="4"/>
        <v>0.33833333333333332</v>
      </c>
      <c r="L9" s="12">
        <v>8.1199999999999992</v>
      </c>
      <c r="M9" s="15">
        <f t="shared" si="5"/>
        <v>0.33833333333333332</v>
      </c>
      <c r="N9" s="12">
        <v>8.1199999999999992</v>
      </c>
      <c r="O9" s="15">
        <f t="shared" si="6"/>
        <v>0.33833333333333332</v>
      </c>
      <c r="P9" s="12">
        <v>6</v>
      </c>
      <c r="Q9" s="15">
        <f t="shared" si="7"/>
        <v>0.25</v>
      </c>
      <c r="R9" s="12">
        <v>8.1199999999999992</v>
      </c>
      <c r="S9" s="15">
        <f t="shared" si="8"/>
        <v>0.33833333333333332</v>
      </c>
      <c r="T9" s="12">
        <v>8.1199999999999992</v>
      </c>
      <c r="U9" s="15">
        <f t="shared" si="9"/>
        <v>0.33833333333333332</v>
      </c>
      <c r="V9" s="12">
        <v>6</v>
      </c>
      <c r="W9" s="15">
        <f t="shared" si="10"/>
        <v>0.25</v>
      </c>
    </row>
    <row r="10" spans="1:27" s="13" customFormat="1" x14ac:dyDescent="0.3">
      <c r="A10" s="20" t="s">
        <v>66</v>
      </c>
      <c r="B10" s="13">
        <f>1/60</f>
        <v>1.6666666666666666E-2</v>
      </c>
      <c r="C10" s="14">
        <f t="shared" si="1"/>
        <v>6.9444444444444447E-4</v>
      </c>
      <c r="D10" s="13">
        <f t="shared" ref="D10:V10" si="11">1/60</f>
        <v>1.6666666666666666E-2</v>
      </c>
      <c r="E10" s="14">
        <f t="shared" si="0"/>
        <v>6.9444444444444447E-4</v>
      </c>
      <c r="F10" s="13">
        <f t="shared" si="11"/>
        <v>1.6666666666666666E-2</v>
      </c>
      <c r="G10" s="14">
        <f t="shared" si="2"/>
        <v>6.9444444444444447E-4</v>
      </c>
      <c r="H10" s="13">
        <f t="shared" si="11"/>
        <v>1.6666666666666666E-2</v>
      </c>
      <c r="I10" s="14">
        <f t="shared" si="3"/>
        <v>6.9444444444444447E-4</v>
      </c>
      <c r="J10" s="13">
        <f t="shared" si="11"/>
        <v>1.6666666666666666E-2</v>
      </c>
      <c r="K10" s="14">
        <f t="shared" si="4"/>
        <v>6.9444444444444447E-4</v>
      </c>
      <c r="L10" s="13">
        <f t="shared" si="11"/>
        <v>1.6666666666666666E-2</v>
      </c>
      <c r="M10" s="14">
        <f t="shared" si="5"/>
        <v>6.9444444444444447E-4</v>
      </c>
      <c r="N10" s="13">
        <f t="shared" si="11"/>
        <v>1.6666666666666666E-2</v>
      </c>
      <c r="O10" s="14">
        <f t="shared" si="6"/>
        <v>6.9444444444444447E-4</v>
      </c>
      <c r="P10" s="13">
        <f t="shared" si="11"/>
        <v>1.6666666666666666E-2</v>
      </c>
      <c r="Q10" s="14">
        <f t="shared" si="7"/>
        <v>6.9444444444444447E-4</v>
      </c>
      <c r="R10" s="13">
        <f t="shared" si="11"/>
        <v>1.6666666666666666E-2</v>
      </c>
      <c r="S10" s="14">
        <f t="shared" si="8"/>
        <v>6.9444444444444447E-4</v>
      </c>
      <c r="T10" s="13">
        <f t="shared" si="11"/>
        <v>1.6666666666666666E-2</v>
      </c>
      <c r="U10" s="14">
        <f t="shared" si="9"/>
        <v>6.9444444444444447E-4</v>
      </c>
      <c r="V10" s="13">
        <f t="shared" si="11"/>
        <v>1.6666666666666666E-2</v>
      </c>
      <c r="W10" s="14">
        <f t="shared" si="10"/>
        <v>6.9444444444444447E-4</v>
      </c>
    </row>
    <row r="11" spans="1:27" s="12" customFormat="1" x14ac:dyDescent="0.3">
      <c r="A11" s="12" t="s">
        <v>67</v>
      </c>
      <c r="B11" s="12">
        <f>10/60</f>
        <v>0.16666666666666666</v>
      </c>
      <c r="C11" s="14">
        <f t="shared" si="1"/>
        <v>6.9444444444444441E-3</v>
      </c>
      <c r="D11" s="12">
        <f t="shared" ref="D11:V11" si="12">10/60</f>
        <v>0.16666666666666666</v>
      </c>
      <c r="E11" s="15">
        <f t="shared" si="0"/>
        <v>6.9444444444444441E-3</v>
      </c>
      <c r="F11" s="12">
        <f t="shared" si="12"/>
        <v>0.16666666666666666</v>
      </c>
      <c r="G11" s="15">
        <f t="shared" si="2"/>
        <v>6.9444444444444441E-3</v>
      </c>
      <c r="H11" s="12">
        <f t="shared" si="12"/>
        <v>0.16666666666666666</v>
      </c>
      <c r="I11" s="15">
        <f t="shared" si="3"/>
        <v>6.9444444444444441E-3</v>
      </c>
      <c r="J11" s="12">
        <f t="shared" si="12"/>
        <v>0.16666666666666666</v>
      </c>
      <c r="K11" s="15">
        <f t="shared" si="4"/>
        <v>6.9444444444444441E-3</v>
      </c>
      <c r="L11" s="12">
        <f t="shared" si="12"/>
        <v>0.16666666666666666</v>
      </c>
      <c r="M11" s="15">
        <f t="shared" si="5"/>
        <v>6.9444444444444441E-3</v>
      </c>
      <c r="N11" s="12">
        <f t="shared" si="12"/>
        <v>0.16666666666666666</v>
      </c>
      <c r="O11" s="15">
        <f t="shared" si="6"/>
        <v>6.9444444444444441E-3</v>
      </c>
      <c r="P11" s="12">
        <f t="shared" si="12"/>
        <v>0.16666666666666666</v>
      </c>
      <c r="Q11" s="15">
        <f t="shared" si="7"/>
        <v>6.9444444444444441E-3</v>
      </c>
      <c r="R11" s="12">
        <f t="shared" si="12"/>
        <v>0.16666666666666666</v>
      </c>
      <c r="S11" s="15">
        <f t="shared" si="8"/>
        <v>6.9444444444444441E-3</v>
      </c>
      <c r="T11" s="12">
        <f t="shared" si="12"/>
        <v>0.16666666666666666</v>
      </c>
      <c r="U11" s="15">
        <f t="shared" si="9"/>
        <v>6.9444444444444441E-3</v>
      </c>
      <c r="V11" s="12">
        <f t="shared" si="12"/>
        <v>0.16666666666666666</v>
      </c>
      <c r="W11" s="15">
        <f t="shared" si="10"/>
        <v>6.9444444444444441E-3</v>
      </c>
    </row>
    <row r="12" spans="1:27" s="12" customFormat="1" x14ac:dyDescent="0.3">
      <c r="A12" s="12" t="s">
        <v>68</v>
      </c>
      <c r="B12" s="12">
        <f>210/60</f>
        <v>3.5</v>
      </c>
      <c r="C12" s="14">
        <f t="shared" si="1"/>
        <v>0.14583333333333334</v>
      </c>
      <c r="D12" s="12">
        <f t="shared" ref="D12:V12" si="13">210/60</f>
        <v>3.5</v>
      </c>
      <c r="E12" s="15">
        <f t="shared" si="0"/>
        <v>0.14583333333333334</v>
      </c>
      <c r="F12" s="12">
        <f t="shared" si="13"/>
        <v>3.5</v>
      </c>
      <c r="G12" s="15">
        <f t="shared" si="2"/>
        <v>0.14583333333333334</v>
      </c>
      <c r="H12" s="12">
        <f t="shared" si="13"/>
        <v>3.5</v>
      </c>
      <c r="I12" s="15">
        <f t="shared" si="3"/>
        <v>0.14583333333333334</v>
      </c>
      <c r="J12" s="12">
        <f t="shared" si="13"/>
        <v>3.5</v>
      </c>
      <c r="K12" s="15">
        <f t="shared" si="4"/>
        <v>0.14583333333333334</v>
      </c>
      <c r="L12" s="12">
        <f t="shared" si="13"/>
        <v>3.5</v>
      </c>
      <c r="M12" s="15">
        <f t="shared" si="5"/>
        <v>0.14583333333333334</v>
      </c>
      <c r="N12" s="12">
        <f t="shared" si="13"/>
        <v>3.5</v>
      </c>
      <c r="O12" s="15">
        <f t="shared" si="6"/>
        <v>0.14583333333333334</v>
      </c>
      <c r="P12" s="12">
        <f t="shared" si="13"/>
        <v>3.5</v>
      </c>
      <c r="Q12" s="15">
        <f t="shared" si="7"/>
        <v>0.14583333333333334</v>
      </c>
      <c r="R12" s="12">
        <f t="shared" si="13"/>
        <v>3.5</v>
      </c>
      <c r="S12" s="15">
        <f t="shared" si="8"/>
        <v>0.14583333333333334</v>
      </c>
      <c r="T12" s="12">
        <f t="shared" si="13"/>
        <v>3.5</v>
      </c>
      <c r="U12" s="15">
        <f t="shared" si="9"/>
        <v>0.14583333333333334</v>
      </c>
      <c r="V12" s="12">
        <f t="shared" si="13"/>
        <v>3.5</v>
      </c>
      <c r="W12" s="15">
        <f t="shared" si="10"/>
        <v>0.14583333333333334</v>
      </c>
    </row>
    <row r="13" spans="1:27" s="12" customFormat="1" x14ac:dyDescent="0.3">
      <c r="A13" s="12" t="s">
        <v>69</v>
      </c>
      <c r="B13" s="12">
        <v>2</v>
      </c>
      <c r="C13" s="14">
        <f t="shared" si="1"/>
        <v>8.3333333333333329E-2</v>
      </c>
      <c r="D13" s="12">
        <v>2</v>
      </c>
      <c r="E13" s="15">
        <f t="shared" si="0"/>
        <v>8.3333333333333329E-2</v>
      </c>
      <c r="F13" s="12">
        <v>2</v>
      </c>
      <c r="G13" s="15">
        <f t="shared" si="2"/>
        <v>8.3333333333333329E-2</v>
      </c>
      <c r="H13" s="12">
        <v>2</v>
      </c>
      <c r="I13" s="15">
        <f t="shared" si="3"/>
        <v>8.3333333333333329E-2</v>
      </c>
      <c r="J13" s="12">
        <v>2</v>
      </c>
      <c r="K13" s="15">
        <f t="shared" si="4"/>
        <v>8.3333333333333329E-2</v>
      </c>
      <c r="L13" s="12">
        <v>2</v>
      </c>
      <c r="M13" s="15">
        <f t="shared" si="5"/>
        <v>8.3333333333333329E-2</v>
      </c>
      <c r="N13" s="12">
        <v>2</v>
      </c>
      <c r="O13" s="15">
        <f t="shared" si="6"/>
        <v>8.3333333333333329E-2</v>
      </c>
      <c r="P13" s="12">
        <v>2</v>
      </c>
      <c r="Q13" s="15">
        <f t="shared" si="7"/>
        <v>8.3333333333333329E-2</v>
      </c>
      <c r="R13" s="12">
        <v>2</v>
      </c>
      <c r="S13" s="15">
        <f t="shared" si="8"/>
        <v>8.3333333333333329E-2</v>
      </c>
      <c r="T13" s="12">
        <v>2</v>
      </c>
      <c r="U13" s="15">
        <f t="shared" si="9"/>
        <v>8.3333333333333329E-2</v>
      </c>
      <c r="V13" s="12">
        <v>2</v>
      </c>
      <c r="W13" s="15">
        <f t="shared" si="10"/>
        <v>8.3333333333333329E-2</v>
      </c>
    </row>
    <row r="14" spans="1:27" s="13" customFormat="1" x14ac:dyDescent="0.3">
      <c r="A14" s="20" t="s">
        <v>70</v>
      </c>
      <c r="B14" s="13">
        <f>1/60</f>
        <v>1.6666666666666666E-2</v>
      </c>
      <c r="C14" s="14">
        <f t="shared" si="1"/>
        <v>6.9444444444444447E-4</v>
      </c>
      <c r="D14" s="13">
        <v>1.6666666666666666E-2</v>
      </c>
      <c r="E14" s="14">
        <f t="shared" si="0"/>
        <v>6.9444444444444447E-4</v>
      </c>
      <c r="F14" s="13">
        <v>1.6666666666666666E-2</v>
      </c>
      <c r="G14" s="14">
        <f t="shared" si="2"/>
        <v>6.9444444444444447E-4</v>
      </c>
      <c r="H14" s="13">
        <v>1.6666666666666666E-2</v>
      </c>
      <c r="I14" s="14">
        <f t="shared" si="3"/>
        <v>6.9444444444444447E-4</v>
      </c>
      <c r="J14" s="13">
        <v>1.6666666666666666E-2</v>
      </c>
      <c r="K14" s="14">
        <f t="shared" si="4"/>
        <v>6.9444444444444447E-4</v>
      </c>
      <c r="L14" s="13">
        <v>1.6666666666666666E-2</v>
      </c>
      <c r="M14" s="14">
        <f t="shared" si="5"/>
        <v>6.9444444444444447E-4</v>
      </c>
      <c r="N14" s="13">
        <v>1.6666666666666666E-2</v>
      </c>
      <c r="O14" s="14">
        <f t="shared" si="6"/>
        <v>6.9444444444444447E-4</v>
      </c>
      <c r="P14" s="13">
        <v>1.6666666666666666E-2</v>
      </c>
      <c r="Q14" s="14">
        <f t="shared" si="7"/>
        <v>6.9444444444444447E-4</v>
      </c>
      <c r="R14" s="13">
        <v>1.6666666666666666E-2</v>
      </c>
      <c r="S14" s="14">
        <f t="shared" si="8"/>
        <v>6.9444444444444447E-4</v>
      </c>
      <c r="T14" s="13">
        <v>1.6666666666666666E-2</v>
      </c>
      <c r="U14" s="14">
        <f t="shared" si="9"/>
        <v>6.9444444444444447E-4</v>
      </c>
      <c r="V14" s="13">
        <v>1.6666666666666666E-2</v>
      </c>
      <c r="W14" s="14">
        <f t="shared" si="10"/>
        <v>6.9444444444444447E-4</v>
      </c>
    </row>
    <row r="15" spans="1:27" s="12" customFormat="1" x14ac:dyDescent="0.3">
      <c r="A15" s="21" t="s">
        <v>71</v>
      </c>
      <c r="B15" s="12">
        <v>24</v>
      </c>
      <c r="C15" s="14">
        <f t="shared" si="1"/>
        <v>1</v>
      </c>
      <c r="D15" s="12">
        <v>24</v>
      </c>
      <c r="E15" s="15">
        <f t="shared" si="0"/>
        <v>1</v>
      </c>
      <c r="F15" s="12">
        <v>24</v>
      </c>
      <c r="G15" s="15">
        <f t="shared" si="2"/>
        <v>1</v>
      </c>
      <c r="H15" s="12">
        <v>24</v>
      </c>
      <c r="I15" s="15">
        <f t="shared" si="3"/>
        <v>1</v>
      </c>
      <c r="J15" s="12">
        <v>24</v>
      </c>
      <c r="K15" s="15">
        <f t="shared" si="4"/>
        <v>1</v>
      </c>
      <c r="L15" s="12">
        <v>24</v>
      </c>
      <c r="M15" s="15">
        <f t="shared" si="5"/>
        <v>1</v>
      </c>
      <c r="N15" s="12">
        <v>24</v>
      </c>
      <c r="O15" s="15">
        <f t="shared" si="6"/>
        <v>1</v>
      </c>
      <c r="P15" s="12">
        <v>24</v>
      </c>
      <c r="Q15" s="15">
        <f t="shared" si="7"/>
        <v>1</v>
      </c>
      <c r="R15" s="12">
        <v>24</v>
      </c>
      <c r="S15" s="15">
        <f t="shared" si="8"/>
        <v>1</v>
      </c>
      <c r="T15" s="12">
        <v>24</v>
      </c>
      <c r="U15" s="15">
        <f t="shared" si="9"/>
        <v>1</v>
      </c>
      <c r="V15" s="12">
        <v>24</v>
      </c>
      <c r="W15" s="15">
        <f t="shared" si="10"/>
        <v>1</v>
      </c>
    </row>
    <row r="16" spans="1:27" s="12" customFormat="1" x14ac:dyDescent="0.3">
      <c r="A16" s="21" t="s">
        <v>72</v>
      </c>
      <c r="B16" s="12">
        <v>1</v>
      </c>
      <c r="C16" s="14">
        <f t="shared" si="1"/>
        <v>4.1666666666666664E-2</v>
      </c>
      <c r="D16" s="12">
        <v>1</v>
      </c>
      <c r="E16" s="15">
        <f t="shared" si="0"/>
        <v>4.1666666666666664E-2</v>
      </c>
      <c r="F16" s="12">
        <v>1</v>
      </c>
      <c r="G16" s="15">
        <f t="shared" si="2"/>
        <v>4.1666666666666664E-2</v>
      </c>
      <c r="H16" s="12">
        <v>1</v>
      </c>
      <c r="I16" s="15">
        <f t="shared" si="3"/>
        <v>4.1666666666666664E-2</v>
      </c>
      <c r="J16" s="12">
        <v>1</v>
      </c>
      <c r="K16" s="15">
        <f t="shared" si="4"/>
        <v>4.1666666666666664E-2</v>
      </c>
      <c r="L16" s="12">
        <v>1</v>
      </c>
      <c r="M16" s="15">
        <f t="shared" si="5"/>
        <v>4.1666666666666664E-2</v>
      </c>
      <c r="N16" s="12">
        <v>1</v>
      </c>
      <c r="O16" s="15">
        <f t="shared" si="6"/>
        <v>4.1666666666666664E-2</v>
      </c>
      <c r="P16" s="12">
        <v>1</v>
      </c>
      <c r="Q16" s="15">
        <f t="shared" si="7"/>
        <v>4.1666666666666664E-2</v>
      </c>
      <c r="R16" s="12">
        <v>1</v>
      </c>
      <c r="S16" s="15">
        <f t="shared" si="8"/>
        <v>4.1666666666666664E-2</v>
      </c>
      <c r="T16" s="12">
        <v>1</v>
      </c>
      <c r="U16" s="15">
        <f t="shared" si="9"/>
        <v>4.1666666666666664E-2</v>
      </c>
      <c r="V16" s="12">
        <v>1</v>
      </c>
      <c r="W16" s="15">
        <f t="shared" si="10"/>
        <v>4.1666666666666664E-2</v>
      </c>
    </row>
    <row r="17" spans="1:23" s="12" customFormat="1" x14ac:dyDescent="0.3">
      <c r="A17" s="21" t="s">
        <v>73</v>
      </c>
      <c r="B17" s="12">
        <v>3.5</v>
      </c>
      <c r="C17" s="14">
        <f t="shared" si="1"/>
        <v>0.14583333333333334</v>
      </c>
      <c r="D17" s="12">
        <v>3.5</v>
      </c>
      <c r="E17" s="15">
        <f t="shared" si="0"/>
        <v>0.14583333333333334</v>
      </c>
      <c r="F17" s="12">
        <v>3.5</v>
      </c>
      <c r="G17" s="15">
        <f t="shared" si="2"/>
        <v>0.14583333333333334</v>
      </c>
      <c r="H17" s="12">
        <v>3.5</v>
      </c>
      <c r="I17" s="15">
        <f t="shared" si="3"/>
        <v>0.14583333333333334</v>
      </c>
      <c r="J17" s="12">
        <v>3.5</v>
      </c>
      <c r="K17" s="15">
        <f t="shared" si="4"/>
        <v>0.14583333333333334</v>
      </c>
      <c r="L17" s="12">
        <v>3.5</v>
      </c>
      <c r="M17" s="15">
        <f t="shared" si="5"/>
        <v>0.14583333333333334</v>
      </c>
      <c r="N17" s="12">
        <v>3.5</v>
      </c>
      <c r="O17" s="15">
        <f t="shared" si="6"/>
        <v>0.14583333333333334</v>
      </c>
      <c r="P17" s="12">
        <v>3.5</v>
      </c>
      <c r="Q17" s="15">
        <f t="shared" si="7"/>
        <v>0.14583333333333334</v>
      </c>
      <c r="R17" s="12">
        <v>3.5</v>
      </c>
      <c r="S17" s="15">
        <f t="shared" si="8"/>
        <v>0.14583333333333334</v>
      </c>
      <c r="T17" s="12">
        <v>3.5</v>
      </c>
      <c r="U17" s="15">
        <f t="shared" si="9"/>
        <v>0.14583333333333334</v>
      </c>
      <c r="V17" s="12">
        <v>3.5</v>
      </c>
      <c r="W17" s="15">
        <f t="shared" si="10"/>
        <v>0.14583333333333334</v>
      </c>
    </row>
    <row r="18" spans="1:23" s="13" customFormat="1" x14ac:dyDescent="0.3">
      <c r="A18" s="20" t="s">
        <v>74</v>
      </c>
      <c r="B18" s="13">
        <f>1/60</f>
        <v>1.6666666666666666E-2</v>
      </c>
      <c r="C18" s="14">
        <f t="shared" si="1"/>
        <v>6.9444444444444447E-4</v>
      </c>
      <c r="D18" s="13">
        <f t="shared" ref="D18:V18" si="14">1/60</f>
        <v>1.6666666666666666E-2</v>
      </c>
      <c r="E18" s="14">
        <f>D18/24</f>
        <v>6.9444444444444447E-4</v>
      </c>
      <c r="F18" s="13">
        <f t="shared" si="14"/>
        <v>1.6666666666666666E-2</v>
      </c>
      <c r="G18" s="14">
        <f t="shared" si="2"/>
        <v>6.9444444444444447E-4</v>
      </c>
      <c r="H18" s="13">
        <f t="shared" si="14"/>
        <v>1.6666666666666666E-2</v>
      </c>
      <c r="I18" s="13">
        <f t="shared" si="3"/>
        <v>6.9444444444444447E-4</v>
      </c>
      <c r="J18" s="13">
        <f t="shared" si="14"/>
        <v>1.6666666666666666E-2</v>
      </c>
      <c r="K18" s="14">
        <f t="shared" si="4"/>
        <v>6.9444444444444447E-4</v>
      </c>
      <c r="L18" s="13">
        <f t="shared" si="14"/>
        <v>1.6666666666666666E-2</v>
      </c>
      <c r="M18" s="14">
        <f t="shared" si="5"/>
        <v>6.9444444444444447E-4</v>
      </c>
      <c r="N18" s="13">
        <f t="shared" si="14"/>
        <v>1.6666666666666666E-2</v>
      </c>
      <c r="O18" s="14">
        <f t="shared" si="6"/>
        <v>6.9444444444444447E-4</v>
      </c>
      <c r="P18" s="13">
        <f t="shared" si="14"/>
        <v>1.6666666666666666E-2</v>
      </c>
      <c r="Q18" s="14">
        <f t="shared" si="7"/>
        <v>6.9444444444444447E-4</v>
      </c>
      <c r="R18" s="13">
        <f t="shared" si="14"/>
        <v>1.6666666666666666E-2</v>
      </c>
      <c r="S18" s="14">
        <f t="shared" si="8"/>
        <v>6.9444444444444447E-4</v>
      </c>
      <c r="T18" s="13">
        <f t="shared" si="14"/>
        <v>1.6666666666666666E-2</v>
      </c>
      <c r="U18" s="14">
        <f t="shared" si="9"/>
        <v>6.9444444444444447E-4</v>
      </c>
      <c r="V18" s="13">
        <f t="shared" si="14"/>
        <v>1.6666666666666666E-2</v>
      </c>
      <c r="W18" s="14">
        <f t="shared" si="10"/>
        <v>6.9444444444444447E-4</v>
      </c>
    </row>
    <row r="20" spans="1:23" x14ac:dyDescent="0.3">
      <c r="J20" t="s">
        <v>75</v>
      </c>
      <c r="L20">
        <f>(0.63*6)+(0.33*10)+(0.04*26)</f>
        <v>8.120000000000001</v>
      </c>
    </row>
    <row r="21" spans="1:23" x14ac:dyDescent="0.3">
      <c r="A21" s="22"/>
      <c r="J21" t="s">
        <v>59</v>
      </c>
      <c r="L21">
        <f>(0.865*6)+(0.13*10)+(0.005*26)</f>
        <v>6.6199999999999992</v>
      </c>
    </row>
    <row r="22" spans="1:23" ht="15.6" x14ac:dyDescent="0.3">
      <c r="A22" s="23"/>
      <c r="J22" t="s">
        <v>60</v>
      </c>
      <c r="L22">
        <f>(0.62*6)+(0.35*10)+(0.03*26)</f>
        <v>8</v>
      </c>
    </row>
    <row r="23" spans="1:23" ht="15.6" x14ac:dyDescent="0.3">
      <c r="A23" s="23"/>
      <c r="J23" t="s">
        <v>76</v>
      </c>
      <c r="L23">
        <f>(0.55*6)+(0.42*10)+(0.03*26)</f>
        <v>8.2799999999999994</v>
      </c>
    </row>
    <row r="24" spans="1:23" ht="15.6" x14ac:dyDescent="0.3">
      <c r="A24" s="23"/>
      <c r="J24" t="s">
        <v>62</v>
      </c>
      <c r="L24">
        <f>(0.57*6)+(0.4*10)+(0.03*26)</f>
        <v>8.1999999999999993</v>
      </c>
    </row>
    <row r="25" spans="1:23" ht="15.6" x14ac:dyDescent="0.3">
      <c r="A25" s="23"/>
      <c r="J25" t="s">
        <v>63</v>
      </c>
      <c r="L25">
        <f>(0.38*6)+(0.46*10)+(0.16*26)</f>
        <v>11.040000000000001</v>
      </c>
    </row>
    <row r="26" spans="1:23" ht="15.6" x14ac:dyDescent="0.3">
      <c r="A26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workbookViewId="0">
      <selection activeCell="F18" sqref="F18"/>
    </sheetView>
  </sheetViews>
  <sheetFormatPr defaultRowHeight="14.4" x14ac:dyDescent="0.3"/>
  <cols>
    <col min="4" max="4" width="9.109375" customWidth="1"/>
  </cols>
  <sheetData>
    <row r="1" spans="1:7" x14ac:dyDescent="0.3">
      <c r="A1" s="1" t="s">
        <v>0</v>
      </c>
      <c r="B1" s="1"/>
      <c r="C1" s="1"/>
      <c r="D1" s="1">
        <v>7.460278787878788E-2</v>
      </c>
      <c r="E1" t="s">
        <v>1</v>
      </c>
    </row>
    <row r="2" spans="1:7" x14ac:dyDescent="0.3">
      <c r="A2" s="1" t="s">
        <v>2</v>
      </c>
      <c r="B2" s="1"/>
      <c r="C2" s="1"/>
      <c r="D2" s="1">
        <v>7.9610606060606069E-3</v>
      </c>
    </row>
    <row r="3" spans="1:7" x14ac:dyDescent="0.3">
      <c r="A3" s="1" t="s">
        <v>3</v>
      </c>
      <c r="B3" s="1"/>
      <c r="C3" s="1"/>
      <c r="D3" s="1">
        <v>0.17799612121212119</v>
      </c>
    </row>
    <row r="4" spans="1:7" x14ac:dyDescent="0.3">
      <c r="A4" s="1" t="s">
        <v>4</v>
      </c>
      <c r="B4" s="1"/>
      <c r="C4" s="1"/>
      <c r="D4" s="1">
        <f>F26</f>
        <v>0.16518406107345951</v>
      </c>
    </row>
    <row r="5" spans="1:7" x14ac:dyDescent="0.3">
      <c r="A5" s="1" t="s">
        <v>5</v>
      </c>
      <c r="B5" s="1"/>
      <c r="C5" s="1"/>
      <c r="D5" s="1">
        <f>F29</f>
        <v>0.1877493333333333</v>
      </c>
    </row>
    <row r="6" spans="1:7" x14ac:dyDescent="0.3">
      <c r="A6" s="1" t="s">
        <v>6</v>
      </c>
      <c r="B6" s="1"/>
      <c r="C6" s="1"/>
      <c r="D6" s="1">
        <v>0.11784900000000001</v>
      </c>
    </row>
    <row r="7" spans="1:7" x14ac:dyDescent="0.3">
      <c r="A7" s="1" t="s">
        <v>7</v>
      </c>
      <c r="B7" s="1"/>
      <c r="C7" s="1"/>
      <c r="D7" s="1">
        <f>F21</f>
        <v>0.10936629562982006</v>
      </c>
    </row>
    <row r="8" spans="1:7" x14ac:dyDescent="0.3">
      <c r="A8" s="1" t="s">
        <v>8</v>
      </c>
      <c r="B8" s="1"/>
      <c r="C8" s="1"/>
      <c r="D8" s="1">
        <f>F20</f>
        <v>5.1466492061091794E-2</v>
      </c>
    </row>
    <row r="9" spans="1:7" x14ac:dyDescent="0.3">
      <c r="A9" s="1" t="s">
        <v>9</v>
      </c>
      <c r="B9" s="1"/>
      <c r="C9" s="1"/>
      <c r="D9" s="1">
        <f>F25</f>
        <v>0.12430647945205481</v>
      </c>
    </row>
    <row r="10" spans="1:7" x14ac:dyDescent="0.3">
      <c r="A10" s="1" t="s">
        <v>10</v>
      </c>
      <c r="B10" s="1"/>
      <c r="C10" s="1"/>
      <c r="D10" s="1">
        <v>2.9411363636363635E-2</v>
      </c>
      <c r="F10" t="s">
        <v>11</v>
      </c>
      <c r="G10">
        <f>(D13+D5)/2</f>
        <v>0.19454189041095887</v>
      </c>
    </row>
    <row r="11" spans="1:7" x14ac:dyDescent="0.3">
      <c r="A11" s="1" t="s">
        <v>12</v>
      </c>
      <c r="B11" s="1"/>
      <c r="C11" s="1"/>
      <c r="D11" s="1">
        <v>0.19087551515151513</v>
      </c>
    </row>
    <row r="12" spans="1:7" x14ac:dyDescent="0.3">
      <c r="A12" s="1" t="s">
        <v>13</v>
      </c>
      <c r="B12" s="1"/>
      <c r="C12" s="1"/>
      <c r="D12" s="1">
        <f>F32</f>
        <v>0.17713640352107188</v>
      </c>
    </row>
    <row r="13" spans="1:7" x14ac:dyDescent="0.3">
      <c r="A13" s="1" t="s">
        <v>14</v>
      </c>
      <c r="B13" s="1"/>
      <c r="C13" s="1"/>
      <c r="D13" s="1">
        <f>F31</f>
        <v>0.20133444748858445</v>
      </c>
    </row>
    <row r="14" spans="1:7" x14ac:dyDescent="0.3">
      <c r="A14" s="1" t="s">
        <v>15</v>
      </c>
      <c r="B14" s="1"/>
      <c r="C14" s="1"/>
      <c r="D14" s="1">
        <v>1.7871969696969699E-2</v>
      </c>
    </row>
    <row r="15" spans="1:7" x14ac:dyDescent="0.3">
      <c r="A15" s="1" t="s">
        <v>16</v>
      </c>
      <c r="B15" s="1"/>
      <c r="C15" s="1"/>
      <c r="D15" s="1">
        <v>1.0050151515151515E-2</v>
      </c>
    </row>
    <row r="16" spans="1:7" x14ac:dyDescent="0.3">
      <c r="A16" s="1" t="s">
        <v>17</v>
      </c>
      <c r="B16" s="1"/>
      <c r="C16" s="1"/>
      <c r="D16" s="1">
        <v>0.17706945454545453</v>
      </c>
    </row>
    <row r="17" spans="1:7" x14ac:dyDescent="0.3">
      <c r="A17" s="1" t="s">
        <v>18</v>
      </c>
      <c r="B17" s="1"/>
      <c r="C17" s="1"/>
      <c r="D17" s="1">
        <v>0.13529369696969698</v>
      </c>
    </row>
    <row r="18" spans="1:7" x14ac:dyDescent="0.3">
      <c r="A18" s="1" t="s">
        <v>19</v>
      </c>
      <c r="B18" s="1"/>
      <c r="C18" s="1"/>
      <c r="D18" s="1">
        <v>6.1018696969696973E-2</v>
      </c>
    </row>
    <row r="19" spans="1:7" ht="15" thickBot="1" x14ac:dyDescent="0.35">
      <c r="A19" s="1" t="s">
        <v>20</v>
      </c>
      <c r="B19" s="1"/>
      <c r="C19" s="1"/>
      <c r="D19" s="1">
        <f>F35</f>
        <v>6.4362187214611871E-2</v>
      </c>
    </row>
    <row r="20" spans="1:7" x14ac:dyDescent="0.3">
      <c r="A20" s="2" t="s">
        <v>21</v>
      </c>
      <c r="B20" s="3"/>
      <c r="C20" s="3"/>
      <c r="D20" s="4">
        <v>0.32</v>
      </c>
      <c r="E20">
        <f>D20/D21</f>
        <v>0.47058823529411764</v>
      </c>
      <c r="F20">
        <f>F21*E20</f>
        <v>5.1466492061091794E-2</v>
      </c>
      <c r="G20" t="s">
        <v>22</v>
      </c>
    </row>
    <row r="21" spans="1:7" ht="15" thickBot="1" x14ac:dyDescent="0.35">
      <c r="A21" s="5" t="s">
        <v>23</v>
      </c>
      <c r="B21" s="6"/>
      <c r="C21" s="6"/>
      <c r="D21" s="7">
        <v>0.68</v>
      </c>
      <c r="E21">
        <v>1</v>
      </c>
      <c r="F21">
        <f>F22</f>
        <v>0.10936629562982006</v>
      </c>
    </row>
    <row r="22" spans="1:7" x14ac:dyDescent="0.3">
      <c r="A22" s="2" t="s">
        <v>23</v>
      </c>
      <c r="B22" s="3"/>
      <c r="C22" s="3"/>
      <c r="D22" s="4"/>
      <c r="E22">
        <f>E26</f>
        <v>0.92802056555269918</v>
      </c>
      <c r="F22">
        <f>D6*E22</f>
        <v>0.10936629562982006</v>
      </c>
      <c r="G22" t="s">
        <v>24</v>
      </c>
    </row>
    <row r="23" spans="1:7" ht="15" thickBot="1" x14ac:dyDescent="0.35">
      <c r="A23" s="5" t="s">
        <v>25</v>
      </c>
      <c r="B23" s="6"/>
      <c r="C23" s="6"/>
      <c r="D23" s="7"/>
      <c r="E23">
        <v>1</v>
      </c>
      <c r="F23">
        <f>D6</f>
        <v>0.11784900000000001</v>
      </c>
    </row>
    <row r="24" spans="1:7" x14ac:dyDescent="0.3">
      <c r="A24" s="2" t="s">
        <v>26</v>
      </c>
      <c r="B24" s="3"/>
      <c r="C24" s="3"/>
      <c r="D24" s="4"/>
      <c r="E24">
        <v>1</v>
      </c>
      <c r="F24">
        <f>D6</f>
        <v>0.11784900000000001</v>
      </c>
    </row>
    <row r="25" spans="1:7" ht="15" thickBot="1" x14ac:dyDescent="0.35">
      <c r="A25" s="5" t="s">
        <v>27</v>
      </c>
      <c r="B25" s="6"/>
      <c r="C25" s="6"/>
      <c r="D25" s="7"/>
      <c r="E25">
        <f>E31</f>
        <v>1.0547945205479452</v>
      </c>
      <c r="F25">
        <f>D6*E31</f>
        <v>0.12430647945205481</v>
      </c>
      <c r="G25" t="s">
        <v>28</v>
      </c>
    </row>
    <row r="26" spans="1:7" x14ac:dyDescent="0.3">
      <c r="A26" s="2" t="s">
        <v>29</v>
      </c>
      <c r="B26" s="3"/>
      <c r="C26" s="3"/>
      <c r="D26" s="4">
        <v>0.48133333333333334</v>
      </c>
      <c r="E26">
        <f>D26/D27</f>
        <v>0.92802056555269918</v>
      </c>
      <c r="F26">
        <f>D3*E26</f>
        <v>0.16518406107345951</v>
      </c>
      <c r="G26" t="s">
        <v>22</v>
      </c>
    </row>
    <row r="27" spans="1:7" ht="15" thickBot="1" x14ac:dyDescent="0.35">
      <c r="A27" s="5" t="s">
        <v>30</v>
      </c>
      <c r="B27" s="6"/>
      <c r="C27" s="6"/>
      <c r="D27" s="7">
        <v>0.51866666666666672</v>
      </c>
      <c r="E27">
        <v>1</v>
      </c>
      <c r="F27">
        <f>D3</f>
        <v>0.17799612121212119</v>
      </c>
    </row>
    <row r="28" spans="1:7" x14ac:dyDescent="0.3">
      <c r="A28" s="2" t="s">
        <v>31</v>
      </c>
      <c r="B28" s="3"/>
      <c r="C28" s="3"/>
      <c r="D28" s="4"/>
      <c r="E28">
        <v>1</v>
      </c>
      <c r="F28">
        <f>D3</f>
        <v>0.17799612121212119</v>
      </c>
    </row>
    <row r="29" spans="1:7" ht="15" thickBot="1" x14ac:dyDescent="0.35">
      <c r="A29" s="5" t="s">
        <v>32</v>
      </c>
      <c r="B29" s="6"/>
      <c r="C29" s="6"/>
      <c r="D29" s="7"/>
      <c r="E29">
        <f>E31</f>
        <v>1.0547945205479452</v>
      </c>
      <c r="F29">
        <f>D3*E29</f>
        <v>0.1877493333333333</v>
      </c>
      <c r="G29" t="s">
        <v>28</v>
      </c>
    </row>
    <row r="30" spans="1:7" x14ac:dyDescent="0.3">
      <c r="A30" s="2" t="s">
        <v>33</v>
      </c>
      <c r="B30" s="3"/>
      <c r="C30" s="3"/>
      <c r="D30" s="4">
        <v>0.48666666666666664</v>
      </c>
      <c r="E30">
        <v>1</v>
      </c>
      <c r="F30">
        <f>D11</f>
        <v>0.19087551515151513</v>
      </c>
    </row>
    <row r="31" spans="1:7" ht="15" thickBot="1" x14ac:dyDescent="0.35">
      <c r="A31" s="5" t="s">
        <v>14</v>
      </c>
      <c r="B31" s="6"/>
      <c r="C31" s="6"/>
      <c r="D31" s="7">
        <v>0.51333333333333331</v>
      </c>
      <c r="E31">
        <f>D31/D30</f>
        <v>1.0547945205479452</v>
      </c>
      <c r="F31">
        <f>D11*E31</f>
        <v>0.20133444748858445</v>
      </c>
      <c r="G31" t="s">
        <v>22</v>
      </c>
    </row>
    <row r="32" spans="1:7" x14ac:dyDescent="0.3">
      <c r="A32" s="2" t="s">
        <v>34</v>
      </c>
      <c r="B32" s="3"/>
      <c r="C32" s="3"/>
      <c r="D32" s="4"/>
      <c r="E32">
        <f>E26</f>
        <v>0.92802056555269918</v>
      </c>
      <c r="F32">
        <f>D11*E26</f>
        <v>0.17713640352107188</v>
      </c>
      <c r="G32" t="s">
        <v>24</v>
      </c>
    </row>
    <row r="33" spans="1:6" ht="15" thickBot="1" x14ac:dyDescent="0.35">
      <c r="A33" s="5" t="s">
        <v>35</v>
      </c>
      <c r="B33" s="6"/>
      <c r="C33" s="6"/>
      <c r="D33" s="7"/>
      <c r="E33">
        <v>1</v>
      </c>
      <c r="F33">
        <f>D11</f>
        <v>0.19087551515151513</v>
      </c>
    </row>
    <row r="34" spans="1:6" x14ac:dyDescent="0.3">
      <c r="A34" s="2" t="s">
        <v>19</v>
      </c>
      <c r="B34" s="3"/>
      <c r="C34" s="3"/>
      <c r="D34" s="4"/>
      <c r="E34">
        <v>1</v>
      </c>
      <c r="F34">
        <f>D18</f>
        <v>6.1018696969696973E-2</v>
      </c>
    </row>
    <row r="35" spans="1:6" ht="15" thickBot="1" x14ac:dyDescent="0.35">
      <c r="A35" s="5" t="s">
        <v>20</v>
      </c>
      <c r="B35" s="6"/>
      <c r="C35" s="6"/>
      <c r="D35" s="7"/>
      <c r="E35">
        <f>E31</f>
        <v>1.0547945205479452</v>
      </c>
      <c r="F35">
        <f>D18*E31</f>
        <v>6.4362187214611871E-2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tabSelected="1" workbookViewId="0">
      <selection activeCell="O9" sqref="O9"/>
    </sheetView>
  </sheetViews>
  <sheetFormatPr defaultRowHeight="14.4" x14ac:dyDescent="0.3"/>
  <sheetData>
    <row r="1" spans="1:4" x14ac:dyDescent="0.3">
      <c r="A1" t="s">
        <v>79</v>
      </c>
    </row>
    <row r="2" spans="1:4" x14ac:dyDescent="0.3">
      <c r="B2" t="s">
        <v>77</v>
      </c>
      <c r="C2" t="s">
        <v>80</v>
      </c>
      <c r="D2" t="s">
        <v>81</v>
      </c>
    </row>
    <row r="3" spans="1:4" x14ac:dyDescent="0.3">
      <c r="A3" t="s">
        <v>37</v>
      </c>
      <c r="B3">
        <v>8.3000000000000007</v>
      </c>
      <c r="C3">
        <v>6.06</v>
      </c>
      <c r="D3">
        <v>8.6300000000000008</v>
      </c>
    </row>
    <row r="4" spans="1:4" x14ac:dyDescent="0.3">
      <c r="A4" t="s">
        <v>39</v>
      </c>
      <c r="B4">
        <v>9.25</v>
      </c>
      <c r="C4">
        <v>8.7200000000000006</v>
      </c>
      <c r="D4">
        <v>9.64</v>
      </c>
    </row>
    <row r="5" spans="1:4" x14ac:dyDescent="0.3">
      <c r="A5" t="s">
        <v>47</v>
      </c>
      <c r="B5">
        <v>8.31</v>
      </c>
      <c r="C5">
        <v>8.5299999999999994</v>
      </c>
      <c r="D5">
        <v>9.27</v>
      </c>
    </row>
    <row r="6" spans="1:4" x14ac:dyDescent="0.3">
      <c r="A6" t="s">
        <v>49</v>
      </c>
      <c r="B6">
        <v>8</v>
      </c>
      <c r="C6">
        <v>6.7</v>
      </c>
      <c r="D6">
        <v>8.8800000000000008</v>
      </c>
    </row>
    <row r="7" spans="1:4" x14ac:dyDescent="0.3">
      <c r="A7" t="s">
        <v>51</v>
      </c>
      <c r="B7">
        <v>7.21</v>
      </c>
      <c r="C7">
        <v>6.35</v>
      </c>
      <c r="D7">
        <v>8.42</v>
      </c>
    </row>
    <row r="8" spans="1:4" x14ac:dyDescent="0.3">
      <c r="A8" t="s">
        <v>55</v>
      </c>
      <c r="B8">
        <v>9.3000000000000007</v>
      </c>
      <c r="C8">
        <v>8</v>
      </c>
      <c r="D8">
        <v>9.57</v>
      </c>
    </row>
    <row r="9" spans="1:4" x14ac:dyDescent="0.3">
      <c r="A9" t="s">
        <v>78</v>
      </c>
      <c r="B9">
        <v>8.9</v>
      </c>
      <c r="C9">
        <v>8.0399999999999991</v>
      </c>
      <c r="D9">
        <v>10.34</v>
      </c>
    </row>
    <row r="10" spans="1:4" x14ac:dyDescent="0.3">
      <c r="A10" t="s">
        <v>41</v>
      </c>
      <c r="B10">
        <v>7.67</v>
      </c>
      <c r="C10">
        <v>6.46</v>
      </c>
      <c r="D10">
        <v>9.07</v>
      </c>
    </row>
    <row r="11" spans="1:4" x14ac:dyDescent="0.3">
      <c r="A11" t="s">
        <v>57</v>
      </c>
      <c r="B11">
        <v>6.5</v>
      </c>
      <c r="C11">
        <v>5.4</v>
      </c>
      <c r="D11">
        <v>7</v>
      </c>
    </row>
    <row r="12" spans="1:4" x14ac:dyDescent="0.3">
      <c r="A12" t="s">
        <v>53</v>
      </c>
      <c r="B12">
        <v>5.76</v>
      </c>
      <c r="C12">
        <v>5.56</v>
      </c>
      <c r="D12">
        <v>6.13</v>
      </c>
    </row>
    <row r="13" spans="1:4" x14ac:dyDescent="0.3">
      <c r="A13" t="s">
        <v>43</v>
      </c>
      <c r="B13">
        <v>9.1999999999999993</v>
      </c>
      <c r="C13">
        <v>7.9</v>
      </c>
      <c r="D13">
        <v>9.18</v>
      </c>
    </row>
    <row r="14" spans="1:4" x14ac:dyDescent="0.3">
      <c r="A14" t="s">
        <v>45</v>
      </c>
      <c r="B14">
        <v>8.1</v>
      </c>
      <c r="C14">
        <v>6.19</v>
      </c>
      <c r="D14">
        <v>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slaktprocess</vt:lpstr>
      <vt:lpstr>ability</vt:lpstr>
      <vt:lpstr>bete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Lotta Rydhmer</dc:creator>
  <cp:lastModifiedBy>Elin Röös</cp:lastModifiedBy>
  <dcterms:created xsi:type="dcterms:W3CDTF">2023-10-10T15:16:09Z</dcterms:created>
  <dcterms:modified xsi:type="dcterms:W3CDTF">2023-11-05T17:46:12Z</dcterms:modified>
</cp:coreProperties>
</file>