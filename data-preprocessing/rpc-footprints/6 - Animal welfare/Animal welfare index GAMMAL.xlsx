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9"/>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
    </mc:Choice>
  </mc:AlternateContent>
  <xr:revisionPtr revIDLastSave="5873" documentId="8_{35352341-F2BF-4D1A-BE8F-6E895294E19D}" xr6:coauthVersionLast="47" xr6:coauthVersionMax="47" xr10:uidLastSave="{7E2A0F35-378D-4D0C-8D24-B858EF9A7C39}"/>
  <bookViews>
    <workbookView xWindow="-108" yWindow="-108" windowWidth="23256" windowHeight="12576" firstSheet="4" activeTab="4" xr2:uid="{00000000-000D-0000-FFFF-FFFF00000000}"/>
  </bookViews>
  <sheets>
    <sheet name="Scherer" sheetId="27" r:id="rId1"/>
    <sheet name="Diagram" sheetId="22" r:id="rId2"/>
    <sheet name="Denmark" sheetId="26" r:id="rId3"/>
    <sheet name="README" sheetId="16" r:id="rId4"/>
    <sheet name="Animal welfare index" sheetId="11" r:id="rId5"/>
    <sheet name="Europe Utopia" sheetId="25" r:id="rId6"/>
    <sheet name="Algorithm - only testing" sheetId="24" r:id="rId7"/>
    <sheet name="Ability" sheetId="18" r:id="rId8"/>
    <sheet name="Slaughtering" sheetId="13" r:id="rId9"/>
    <sheet name="Pasture" sheetId="14" r:id="rId10"/>
    <sheet name="Mortality pigs" sheetId="17" r:id="rId11"/>
    <sheet name="GAMMALT--&gt;" sheetId="23" r:id="rId12"/>
    <sheet name="Ingrids tabell" sheetId="19" r:id="rId13"/>
    <sheet name="Prel, EAAP" sheetId="12" r:id="rId14"/>
    <sheet name="Wild game" sheetId="20" r:id="rId15"/>
  </sheets>
  <externalReferences>
    <externalReference r:id="rId16"/>
  </externalReferences>
  <definedNames>
    <definedName name="_xlnm._FilterDatabase" localSheetId="6" hidden="1">'Algorithm - only testing'!$A$3:$C$3</definedName>
    <definedName name="_xlchart.v1.0" hidden="1">Diagram!$N$5:$N$14</definedName>
    <definedName name="_xlchart.v1.1" hidden="1">Diagram!$O$4</definedName>
    <definedName name="_xlchart.v1.2" hidden="1">Diagram!$O$5:$O$14</definedName>
    <definedName name="_xlchart.v1.3" hidden="1">Diagram!$P$4</definedName>
    <definedName name="_xlchart.v1.4" hidden="1">Diagram!$P$5:$P$14</definedName>
    <definedName name="_xlchart.v1.5" hidden="1">Diagram!$Q$4</definedName>
    <definedName name="_xlchart.v1.6" hidden="1">Diagram!$Q$5:$Q$14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8" i="11" l="1"/>
  <c r="L46" i="11"/>
  <c r="C202" i="11" l="1"/>
  <c r="D202" i="11"/>
  <c r="E202" i="11"/>
  <c r="F202" i="11"/>
  <c r="G202" i="11"/>
  <c r="H202" i="11"/>
  <c r="I202" i="11"/>
  <c r="J202" i="11"/>
  <c r="K202" i="11"/>
  <c r="L202" i="11"/>
  <c r="B202" i="11"/>
  <c r="F7" i="26" l="1"/>
  <c r="F9" i="26"/>
  <c r="F11" i="26"/>
  <c r="J11" i="26"/>
  <c r="F12" i="26"/>
  <c r="J12" i="26"/>
  <c r="F13" i="26"/>
  <c r="J13" i="26"/>
  <c r="F14" i="26"/>
  <c r="F15" i="26"/>
  <c r="F16" i="26"/>
  <c r="F17" i="26"/>
  <c r="F18" i="26"/>
  <c r="F19" i="26"/>
  <c r="F24" i="26"/>
  <c r="E25" i="26"/>
  <c r="F25" i="26"/>
  <c r="B183" i="27" l="1"/>
  <c r="B180" i="27" s="1"/>
  <c r="P205" i="27"/>
  <c r="P204" i="27" s="1"/>
  <c r="O205" i="27"/>
  <c r="O204" i="27" s="1"/>
  <c r="L205" i="27"/>
  <c r="L204" i="27" s="1"/>
  <c r="K205" i="27"/>
  <c r="K204" i="27" s="1"/>
  <c r="J205" i="27"/>
  <c r="J204" i="27" s="1"/>
  <c r="I205" i="27"/>
  <c r="I204" i="27" s="1"/>
  <c r="H205" i="27"/>
  <c r="H204" i="27" s="1"/>
  <c r="G205" i="27"/>
  <c r="G204" i="27" s="1"/>
  <c r="F205" i="27"/>
  <c r="F204" i="27" s="1"/>
  <c r="E205" i="27"/>
  <c r="E204" i="27" s="1"/>
  <c r="D205" i="27"/>
  <c r="D204" i="27" s="1"/>
  <c r="C205" i="27"/>
  <c r="C204" i="27" s="1"/>
  <c r="B205" i="27"/>
  <c r="B204" i="27" s="1"/>
  <c r="P202" i="27"/>
  <c r="P197" i="27" s="1"/>
  <c r="L202" i="27"/>
  <c r="L197" i="27" s="1"/>
  <c r="K202" i="27"/>
  <c r="K197" i="27" s="1"/>
  <c r="J202" i="27"/>
  <c r="J197" i="27" s="1"/>
  <c r="I202" i="27"/>
  <c r="I197" i="27" s="1"/>
  <c r="H202" i="27"/>
  <c r="H197" i="27" s="1"/>
  <c r="G202" i="27"/>
  <c r="G197" i="27" s="1"/>
  <c r="F202" i="27"/>
  <c r="F197" i="27" s="1"/>
  <c r="E202" i="27"/>
  <c r="E197" i="27" s="1"/>
  <c r="D202" i="27"/>
  <c r="D197" i="27" s="1"/>
  <c r="C202" i="27"/>
  <c r="C197" i="27" s="1"/>
  <c r="B202" i="27"/>
  <c r="B197" i="27" s="1"/>
  <c r="P198" i="27"/>
  <c r="O198" i="27"/>
  <c r="L198" i="27"/>
  <c r="K198" i="27"/>
  <c r="J198" i="27"/>
  <c r="I198" i="27"/>
  <c r="H198" i="27"/>
  <c r="G198" i="27"/>
  <c r="F198" i="27"/>
  <c r="E198" i="27"/>
  <c r="D198" i="27"/>
  <c r="C198" i="27"/>
  <c r="B198" i="27"/>
  <c r="O197" i="27"/>
  <c r="P194" i="27"/>
  <c r="P189" i="27" s="1"/>
  <c r="L194" i="27"/>
  <c r="L189" i="27" s="1"/>
  <c r="K194" i="27"/>
  <c r="K189" i="27" s="1"/>
  <c r="J194" i="27"/>
  <c r="J189" i="27" s="1"/>
  <c r="I194" i="27"/>
  <c r="I189" i="27" s="1"/>
  <c r="H194" i="27"/>
  <c r="G194" i="27"/>
  <c r="F194" i="27"/>
  <c r="F189" i="27" s="1"/>
  <c r="E194" i="27"/>
  <c r="E189" i="27" s="1"/>
  <c r="D194" i="27"/>
  <c r="D189" i="27" s="1"/>
  <c r="C194" i="27"/>
  <c r="C189" i="27" s="1"/>
  <c r="B194" i="27"/>
  <c r="B189" i="27" s="1"/>
  <c r="P191" i="27"/>
  <c r="O191" i="27"/>
  <c r="L191" i="27"/>
  <c r="K191" i="27"/>
  <c r="J191" i="27"/>
  <c r="I191" i="27"/>
  <c r="H191" i="27"/>
  <c r="G191" i="27"/>
  <c r="F191" i="27"/>
  <c r="E191" i="27"/>
  <c r="D191" i="27"/>
  <c r="C191" i="27"/>
  <c r="B191" i="27"/>
  <c r="P190" i="27"/>
  <c r="O190" i="27"/>
  <c r="L190" i="27"/>
  <c r="K190" i="27"/>
  <c r="J190" i="27"/>
  <c r="I190" i="27"/>
  <c r="H190" i="27"/>
  <c r="G190" i="27"/>
  <c r="F190" i="27"/>
  <c r="E190" i="27"/>
  <c r="D190" i="27"/>
  <c r="C190" i="27"/>
  <c r="B190" i="27"/>
  <c r="O189" i="27"/>
  <c r="H189" i="27"/>
  <c r="G189" i="27"/>
  <c r="P186" i="27"/>
  <c r="P181" i="27" s="1"/>
  <c r="L186" i="27"/>
  <c r="K186" i="27"/>
  <c r="K181" i="27" s="1"/>
  <c r="J186" i="27"/>
  <c r="J181" i="27" s="1"/>
  <c r="I186" i="27"/>
  <c r="I181" i="27" s="1"/>
  <c r="H186" i="27"/>
  <c r="H181" i="27" s="1"/>
  <c r="G186" i="27"/>
  <c r="G181" i="27" s="1"/>
  <c r="F186" i="27"/>
  <c r="F181" i="27" s="1"/>
  <c r="E186" i="27"/>
  <c r="E181" i="27" s="1"/>
  <c r="D186" i="27"/>
  <c r="D181" i="27" s="1"/>
  <c r="C186" i="27"/>
  <c r="C181" i="27" s="1"/>
  <c r="B186" i="27"/>
  <c r="B181" i="27" s="1"/>
  <c r="P183" i="27"/>
  <c r="O183" i="27"/>
  <c r="L183" i="27"/>
  <c r="K183" i="27"/>
  <c r="J183" i="27"/>
  <c r="I183" i="27"/>
  <c r="H183" i="27"/>
  <c r="G183" i="27"/>
  <c r="F183" i="27"/>
  <c r="E183" i="27"/>
  <c r="D183" i="27"/>
  <c r="C183" i="27"/>
  <c r="P182" i="27"/>
  <c r="O182" i="27"/>
  <c r="L182" i="27"/>
  <c r="K182" i="27"/>
  <c r="J182" i="27"/>
  <c r="I182" i="27"/>
  <c r="H182" i="27"/>
  <c r="G182" i="27"/>
  <c r="F182" i="27"/>
  <c r="E182" i="27"/>
  <c r="D182" i="27"/>
  <c r="C182" i="27"/>
  <c r="B182" i="27"/>
  <c r="O181" i="27"/>
  <c r="L181" i="27"/>
  <c r="P177" i="27"/>
  <c r="P172" i="27" s="1"/>
  <c r="O177" i="27"/>
  <c r="L177" i="27"/>
  <c r="L172" i="27" s="1"/>
  <c r="K177" i="27"/>
  <c r="K172" i="27" s="1"/>
  <c r="J177" i="27"/>
  <c r="J172" i="27" s="1"/>
  <c r="I177" i="27"/>
  <c r="I172" i="27" s="1"/>
  <c r="H177" i="27"/>
  <c r="H172" i="27" s="1"/>
  <c r="G177" i="27"/>
  <c r="G172" i="27" s="1"/>
  <c r="F177" i="27"/>
  <c r="F172" i="27" s="1"/>
  <c r="E177" i="27"/>
  <c r="D177" i="27"/>
  <c r="D172" i="27" s="1"/>
  <c r="C177" i="27"/>
  <c r="C172" i="27" s="1"/>
  <c r="B177" i="27"/>
  <c r="B172" i="27" s="1"/>
  <c r="P174" i="27"/>
  <c r="O174" i="27"/>
  <c r="L174" i="27"/>
  <c r="K174" i="27"/>
  <c r="J174" i="27"/>
  <c r="I174" i="27"/>
  <c r="H174" i="27"/>
  <c r="G174" i="27"/>
  <c r="F174" i="27"/>
  <c r="E174" i="27"/>
  <c r="D174" i="27"/>
  <c r="C174" i="27"/>
  <c r="B174" i="27"/>
  <c r="P173" i="27"/>
  <c r="O173" i="27"/>
  <c r="L173" i="27"/>
  <c r="K173" i="27"/>
  <c r="J173" i="27"/>
  <c r="I173" i="27"/>
  <c r="H173" i="27"/>
  <c r="G173" i="27"/>
  <c r="F173" i="27"/>
  <c r="E173" i="27"/>
  <c r="D173" i="27"/>
  <c r="C173" i="27"/>
  <c r="B173" i="27"/>
  <c r="O172" i="27"/>
  <c r="E172" i="27"/>
  <c r="L169" i="27"/>
  <c r="L164" i="27" s="1"/>
  <c r="K169" i="27"/>
  <c r="K164" i="27" s="1"/>
  <c r="J169" i="27"/>
  <c r="J164" i="27" s="1"/>
  <c r="I169" i="27"/>
  <c r="I164" i="27" s="1"/>
  <c r="H169" i="27"/>
  <c r="H164" i="27" s="1"/>
  <c r="G169" i="27"/>
  <c r="F169" i="27"/>
  <c r="F164" i="27" s="1"/>
  <c r="E169" i="27"/>
  <c r="E164" i="27" s="1"/>
  <c r="D169" i="27"/>
  <c r="D164" i="27" s="1"/>
  <c r="C169" i="27"/>
  <c r="C164" i="27" s="1"/>
  <c r="B169" i="27"/>
  <c r="B164" i="27" s="1"/>
  <c r="P166" i="27"/>
  <c r="O166" i="27"/>
  <c r="L166" i="27"/>
  <c r="K166" i="27"/>
  <c r="J166" i="27"/>
  <c r="I166" i="27"/>
  <c r="H166" i="27"/>
  <c r="G166" i="27"/>
  <c r="F166" i="27"/>
  <c r="E166" i="27"/>
  <c r="D166" i="27"/>
  <c r="C166" i="27"/>
  <c r="B166" i="27"/>
  <c r="P165" i="27"/>
  <c r="O165" i="27"/>
  <c r="L165" i="27"/>
  <c r="K165" i="27"/>
  <c r="J165" i="27"/>
  <c r="I165" i="27"/>
  <c r="H165" i="27"/>
  <c r="G165" i="27"/>
  <c r="F165" i="27"/>
  <c r="E165" i="27"/>
  <c r="D165" i="27"/>
  <c r="C165" i="27"/>
  <c r="B165" i="27"/>
  <c r="P164" i="27"/>
  <c r="O164" i="27"/>
  <c r="G164" i="27"/>
  <c r="L161" i="27"/>
  <c r="L156" i="27" s="1"/>
  <c r="K161" i="27"/>
  <c r="K156" i="27" s="1"/>
  <c r="J161" i="27"/>
  <c r="I161" i="27"/>
  <c r="H161" i="27"/>
  <c r="H156" i="27" s="1"/>
  <c r="G161" i="27"/>
  <c r="F161" i="27"/>
  <c r="F156" i="27" s="1"/>
  <c r="E161" i="27"/>
  <c r="E156" i="27" s="1"/>
  <c r="D161" i="27"/>
  <c r="D156" i="27" s="1"/>
  <c r="C161" i="27"/>
  <c r="C156" i="27" s="1"/>
  <c r="B161" i="27"/>
  <c r="B156" i="27" s="1"/>
  <c r="P157" i="27"/>
  <c r="O157" i="27"/>
  <c r="L157" i="27"/>
  <c r="K157" i="27"/>
  <c r="J157" i="27"/>
  <c r="I157" i="27"/>
  <c r="H157" i="27"/>
  <c r="G157" i="27"/>
  <c r="F157" i="27"/>
  <c r="E157" i="27"/>
  <c r="D157" i="27"/>
  <c r="C157" i="27"/>
  <c r="B157" i="27"/>
  <c r="P156" i="27"/>
  <c r="O156" i="27"/>
  <c r="J156" i="27"/>
  <c r="I156" i="27"/>
  <c r="G156" i="27"/>
  <c r="L153" i="27"/>
  <c r="L148" i="27" s="1"/>
  <c r="K153" i="27"/>
  <c r="K148" i="27" s="1"/>
  <c r="J153" i="27"/>
  <c r="J148" i="27" s="1"/>
  <c r="I153" i="27"/>
  <c r="I148" i="27" s="1"/>
  <c r="H153" i="27"/>
  <c r="H148" i="27" s="1"/>
  <c r="G153" i="27"/>
  <c r="G148" i="27" s="1"/>
  <c r="F153" i="27"/>
  <c r="F148" i="27" s="1"/>
  <c r="E153" i="27"/>
  <c r="E148" i="27" s="1"/>
  <c r="D153" i="27"/>
  <c r="D148" i="27" s="1"/>
  <c r="C153" i="27"/>
  <c r="C148" i="27" s="1"/>
  <c r="B153" i="27"/>
  <c r="B148" i="27" s="1"/>
  <c r="P149" i="27"/>
  <c r="O149" i="27"/>
  <c r="L149" i="27"/>
  <c r="K149" i="27"/>
  <c r="J149" i="27"/>
  <c r="I149" i="27"/>
  <c r="H149" i="27"/>
  <c r="G149" i="27"/>
  <c r="F149" i="27"/>
  <c r="E149" i="27"/>
  <c r="D149" i="27"/>
  <c r="C149" i="27"/>
  <c r="B149" i="27"/>
  <c r="P148" i="27"/>
  <c r="O148" i="27"/>
  <c r="L145" i="27"/>
  <c r="L140" i="27" s="1"/>
  <c r="K145" i="27"/>
  <c r="K140" i="27" s="1"/>
  <c r="J145" i="27"/>
  <c r="I145" i="27"/>
  <c r="I140" i="27" s="1"/>
  <c r="H145" i="27"/>
  <c r="H140" i="27" s="1"/>
  <c r="G145" i="27"/>
  <c r="G140" i="27" s="1"/>
  <c r="F145" i="27"/>
  <c r="F140" i="27" s="1"/>
  <c r="E145" i="27"/>
  <c r="E140" i="27" s="1"/>
  <c r="D145" i="27"/>
  <c r="D140" i="27" s="1"/>
  <c r="C145" i="27"/>
  <c r="C140" i="27" s="1"/>
  <c r="B145" i="27"/>
  <c r="B140" i="27" s="1"/>
  <c r="P141" i="27"/>
  <c r="O141" i="27"/>
  <c r="L141" i="27"/>
  <c r="K141" i="27"/>
  <c r="J141" i="27"/>
  <c r="I141" i="27"/>
  <c r="H141" i="27"/>
  <c r="G141" i="27"/>
  <c r="F141" i="27"/>
  <c r="E141" i="27"/>
  <c r="D141" i="27"/>
  <c r="C141" i="27"/>
  <c r="B141" i="27"/>
  <c r="P140" i="27"/>
  <c r="O140" i="27"/>
  <c r="J140" i="27"/>
  <c r="L137" i="27"/>
  <c r="L132" i="27" s="1"/>
  <c r="K137" i="27"/>
  <c r="K132" i="27" s="1"/>
  <c r="J137" i="27"/>
  <c r="I137" i="27"/>
  <c r="H137" i="27"/>
  <c r="H132" i="27" s="1"/>
  <c r="G137" i="27"/>
  <c r="G132" i="27" s="1"/>
  <c r="F137" i="27"/>
  <c r="F132" i="27" s="1"/>
  <c r="E137" i="27"/>
  <c r="E132" i="27" s="1"/>
  <c r="D137" i="27"/>
  <c r="D132" i="27" s="1"/>
  <c r="C137" i="27"/>
  <c r="C132" i="27" s="1"/>
  <c r="B137" i="27"/>
  <c r="P133" i="27"/>
  <c r="O133" i="27"/>
  <c r="L133" i="27"/>
  <c r="K133" i="27"/>
  <c r="J133" i="27"/>
  <c r="I133" i="27"/>
  <c r="H133" i="27"/>
  <c r="G133" i="27"/>
  <c r="F133" i="27"/>
  <c r="E133" i="27"/>
  <c r="D133" i="27"/>
  <c r="C133" i="27"/>
  <c r="B133" i="27"/>
  <c r="P132" i="27"/>
  <c r="O132" i="27"/>
  <c r="J132" i="27"/>
  <c r="I132" i="27"/>
  <c r="B132" i="27"/>
  <c r="L129" i="27"/>
  <c r="L124" i="27" s="1"/>
  <c r="K129" i="27"/>
  <c r="K124" i="27" s="1"/>
  <c r="J129" i="27"/>
  <c r="J124" i="27" s="1"/>
  <c r="I129" i="27"/>
  <c r="I124" i="27" s="1"/>
  <c r="H129" i="27"/>
  <c r="H124" i="27" s="1"/>
  <c r="G129" i="27"/>
  <c r="G124" i="27" s="1"/>
  <c r="F129" i="27"/>
  <c r="F124" i="27" s="1"/>
  <c r="E129" i="27"/>
  <c r="E124" i="27" s="1"/>
  <c r="D129" i="27"/>
  <c r="D124" i="27" s="1"/>
  <c r="C129" i="27"/>
  <c r="C124" i="27" s="1"/>
  <c r="B129" i="27"/>
  <c r="P125" i="27"/>
  <c r="O125" i="27"/>
  <c r="L125" i="27"/>
  <c r="L123" i="27" s="1"/>
  <c r="K125" i="27"/>
  <c r="J125" i="27"/>
  <c r="I125" i="27"/>
  <c r="H125" i="27"/>
  <c r="H123" i="27" s="1"/>
  <c r="G125" i="27"/>
  <c r="F125" i="27"/>
  <c r="F123" i="27" s="1"/>
  <c r="E125" i="27"/>
  <c r="D125" i="27"/>
  <c r="C125" i="27"/>
  <c r="B125" i="27"/>
  <c r="P124" i="27"/>
  <c r="O124" i="27"/>
  <c r="B124" i="27"/>
  <c r="L121" i="27"/>
  <c r="L116" i="27" s="1"/>
  <c r="K121" i="27"/>
  <c r="J121" i="27"/>
  <c r="J116" i="27" s="1"/>
  <c r="I121" i="27"/>
  <c r="I116" i="27" s="1"/>
  <c r="H121" i="27"/>
  <c r="H116" i="27" s="1"/>
  <c r="G121" i="27"/>
  <c r="G116" i="27" s="1"/>
  <c r="F121" i="27"/>
  <c r="F116" i="27" s="1"/>
  <c r="E121" i="27"/>
  <c r="E116" i="27" s="1"/>
  <c r="D121" i="27"/>
  <c r="D116" i="27" s="1"/>
  <c r="C121" i="27"/>
  <c r="C116" i="27" s="1"/>
  <c r="B121" i="27"/>
  <c r="B116" i="27" s="1"/>
  <c r="P117" i="27"/>
  <c r="O117" i="27"/>
  <c r="L117" i="27"/>
  <c r="K117" i="27"/>
  <c r="J117" i="27"/>
  <c r="I117" i="27"/>
  <c r="H117" i="27"/>
  <c r="G117" i="27"/>
  <c r="F117" i="27"/>
  <c r="E117" i="27"/>
  <c r="D117" i="27"/>
  <c r="C117" i="27"/>
  <c r="B117" i="27"/>
  <c r="P116" i="27"/>
  <c r="O116" i="27"/>
  <c r="K116" i="27"/>
  <c r="N113" i="27"/>
  <c r="N108" i="27" s="1"/>
  <c r="M113" i="27"/>
  <c r="M108" i="27" s="1"/>
  <c r="L113" i="27"/>
  <c r="L108" i="27" s="1"/>
  <c r="K113" i="27"/>
  <c r="K108" i="27" s="1"/>
  <c r="J113" i="27"/>
  <c r="J108" i="27" s="1"/>
  <c r="I113" i="27"/>
  <c r="H113" i="27"/>
  <c r="H108" i="27" s="1"/>
  <c r="G113" i="27"/>
  <c r="G108" i="27" s="1"/>
  <c r="F113" i="27"/>
  <c r="F108" i="27" s="1"/>
  <c r="E113" i="27"/>
  <c r="E108" i="27" s="1"/>
  <c r="D113" i="27"/>
  <c r="D108" i="27" s="1"/>
  <c r="C113" i="27"/>
  <c r="C108" i="27" s="1"/>
  <c r="B113" i="27"/>
  <c r="B108" i="27" s="1"/>
  <c r="N109" i="27"/>
  <c r="M109" i="27"/>
  <c r="P108" i="27"/>
  <c r="O108" i="27"/>
  <c r="I108" i="27"/>
  <c r="N105" i="27"/>
  <c r="N100" i="27" s="1"/>
  <c r="M105" i="27"/>
  <c r="M100" i="27" s="1"/>
  <c r="L105" i="27"/>
  <c r="L100" i="27" s="1"/>
  <c r="K105" i="27"/>
  <c r="K100" i="27" s="1"/>
  <c r="J105" i="27"/>
  <c r="J100" i="27" s="1"/>
  <c r="I105" i="27"/>
  <c r="I100" i="27" s="1"/>
  <c r="H105" i="27"/>
  <c r="H100" i="27" s="1"/>
  <c r="G105" i="27"/>
  <c r="F105" i="27"/>
  <c r="F100" i="27" s="1"/>
  <c r="E105" i="27"/>
  <c r="E100" i="27" s="1"/>
  <c r="D105" i="27"/>
  <c r="D100" i="27" s="1"/>
  <c r="C105" i="27"/>
  <c r="C100" i="27" s="1"/>
  <c r="B105" i="27"/>
  <c r="B100" i="27" s="1"/>
  <c r="P101" i="27"/>
  <c r="O101" i="27"/>
  <c r="N101" i="27"/>
  <c r="M101" i="27"/>
  <c r="L101" i="27"/>
  <c r="K101" i="27"/>
  <c r="J101" i="27"/>
  <c r="I101" i="27"/>
  <c r="I99" i="27" s="1"/>
  <c r="H101" i="27"/>
  <c r="G101" i="27"/>
  <c r="F101" i="27"/>
  <c r="E101" i="27"/>
  <c r="D101" i="27"/>
  <c r="C101" i="27"/>
  <c r="B101" i="27"/>
  <c r="P100" i="27"/>
  <c r="O100" i="27"/>
  <c r="G100" i="27"/>
  <c r="G99" i="27" s="1"/>
  <c r="L96" i="27"/>
  <c r="L91" i="27" s="1"/>
  <c r="K96" i="27"/>
  <c r="K91" i="27" s="1"/>
  <c r="J96" i="27"/>
  <c r="I96" i="27"/>
  <c r="H96" i="27"/>
  <c r="H91" i="27" s="1"/>
  <c r="G96" i="27"/>
  <c r="G91" i="27" s="1"/>
  <c r="F96" i="27"/>
  <c r="F91" i="27" s="1"/>
  <c r="E96" i="27"/>
  <c r="E91" i="27" s="1"/>
  <c r="D96" i="27"/>
  <c r="D91" i="27" s="1"/>
  <c r="C96" i="27"/>
  <c r="C91" i="27" s="1"/>
  <c r="B96" i="27"/>
  <c r="B91" i="27" s="1"/>
  <c r="P92" i="27"/>
  <c r="O92" i="27"/>
  <c r="L92" i="27"/>
  <c r="K92" i="27"/>
  <c r="J92" i="27"/>
  <c r="I92" i="27"/>
  <c r="H92" i="27"/>
  <c r="G92" i="27"/>
  <c r="F92" i="27"/>
  <c r="E92" i="27"/>
  <c r="D92" i="27"/>
  <c r="C92" i="27"/>
  <c r="B92" i="27"/>
  <c r="P91" i="27"/>
  <c r="P90" i="27" s="1"/>
  <c r="O91" i="27"/>
  <c r="J91" i="27"/>
  <c r="I91" i="27"/>
  <c r="L88" i="27"/>
  <c r="L83" i="27" s="1"/>
  <c r="K88" i="27"/>
  <c r="K83" i="27" s="1"/>
  <c r="J88" i="27"/>
  <c r="J83" i="27" s="1"/>
  <c r="I88" i="27"/>
  <c r="I83" i="27" s="1"/>
  <c r="H88" i="27"/>
  <c r="H83" i="27" s="1"/>
  <c r="G88" i="27"/>
  <c r="G83" i="27" s="1"/>
  <c r="F88" i="27"/>
  <c r="F83" i="27" s="1"/>
  <c r="E88" i="27"/>
  <c r="E83" i="27" s="1"/>
  <c r="D88" i="27"/>
  <c r="D83" i="27" s="1"/>
  <c r="C88" i="27"/>
  <c r="C83" i="27" s="1"/>
  <c r="B88" i="27"/>
  <c r="B83" i="27" s="1"/>
  <c r="P84" i="27"/>
  <c r="O84" i="27"/>
  <c r="L84" i="27"/>
  <c r="K84" i="27"/>
  <c r="J84" i="27"/>
  <c r="I84" i="27"/>
  <c r="H84" i="27"/>
  <c r="G84" i="27"/>
  <c r="F84" i="27"/>
  <c r="E84" i="27"/>
  <c r="D84" i="27"/>
  <c r="C84" i="27"/>
  <c r="B84" i="27"/>
  <c r="P83" i="27"/>
  <c r="O83" i="27"/>
  <c r="L79" i="27"/>
  <c r="K79" i="27"/>
  <c r="K74" i="27" s="1"/>
  <c r="J79" i="27"/>
  <c r="J74" i="27" s="1"/>
  <c r="I79" i="27"/>
  <c r="I74" i="27" s="1"/>
  <c r="H79" i="27"/>
  <c r="H74" i="27" s="1"/>
  <c r="G79" i="27"/>
  <c r="G74" i="27" s="1"/>
  <c r="F79" i="27"/>
  <c r="E79" i="27"/>
  <c r="E74" i="27" s="1"/>
  <c r="D79" i="27"/>
  <c r="D74" i="27" s="1"/>
  <c r="C79" i="27"/>
  <c r="C74" i="27" s="1"/>
  <c r="B79" i="27"/>
  <c r="B74" i="27" s="1"/>
  <c r="B72" i="27" s="1"/>
  <c r="P75" i="27"/>
  <c r="O75" i="27"/>
  <c r="L75" i="27"/>
  <c r="K75" i="27"/>
  <c r="J75" i="27"/>
  <c r="I75" i="27"/>
  <c r="H75" i="27"/>
  <c r="G75" i="27"/>
  <c r="F75" i="27"/>
  <c r="E75" i="27"/>
  <c r="D75" i="27"/>
  <c r="C75" i="27"/>
  <c r="B75" i="27"/>
  <c r="P74" i="27"/>
  <c r="O74" i="27"/>
  <c r="L74" i="27"/>
  <c r="F74" i="27"/>
  <c r="L70" i="27"/>
  <c r="L65" i="27" s="1"/>
  <c r="K70" i="27"/>
  <c r="K65" i="27" s="1"/>
  <c r="J70" i="27"/>
  <c r="J65" i="27" s="1"/>
  <c r="I70" i="27"/>
  <c r="I65" i="27" s="1"/>
  <c r="H70" i="27"/>
  <c r="H65" i="27" s="1"/>
  <c r="G70" i="27"/>
  <c r="G65" i="27" s="1"/>
  <c r="F70" i="27"/>
  <c r="E70" i="27"/>
  <c r="E65" i="27" s="1"/>
  <c r="D70" i="27"/>
  <c r="D65" i="27" s="1"/>
  <c r="C70" i="27"/>
  <c r="C65" i="27" s="1"/>
  <c r="B70" i="27"/>
  <c r="B65" i="27" s="1"/>
  <c r="P66" i="27"/>
  <c r="O66" i="27"/>
  <c r="L66" i="27"/>
  <c r="K66" i="27"/>
  <c r="J66" i="27"/>
  <c r="I66" i="27"/>
  <c r="H66" i="27"/>
  <c r="G66" i="27"/>
  <c r="F66" i="27"/>
  <c r="E66" i="27"/>
  <c r="D66" i="27"/>
  <c r="C66" i="27"/>
  <c r="B66" i="27"/>
  <c r="P65" i="27"/>
  <c r="O65" i="27"/>
  <c r="F65" i="27"/>
  <c r="F64" i="27" s="1"/>
  <c r="L60" i="27"/>
  <c r="L55" i="27" s="1"/>
  <c r="K60" i="27"/>
  <c r="K55" i="27" s="1"/>
  <c r="J60" i="27"/>
  <c r="J55" i="27" s="1"/>
  <c r="I60" i="27"/>
  <c r="H60" i="27"/>
  <c r="H55" i="27" s="1"/>
  <c r="G60" i="27"/>
  <c r="G55" i="27" s="1"/>
  <c r="F60" i="27"/>
  <c r="F55" i="27" s="1"/>
  <c r="E60" i="27"/>
  <c r="E55" i="27" s="1"/>
  <c r="D60" i="27"/>
  <c r="D55" i="27" s="1"/>
  <c r="C60" i="27"/>
  <c r="C55" i="27" s="1"/>
  <c r="B60" i="27"/>
  <c r="B55" i="27" s="1"/>
  <c r="I57" i="27"/>
  <c r="I49" i="27" s="1"/>
  <c r="H57" i="27"/>
  <c r="H49" i="27" s="1"/>
  <c r="E57" i="27"/>
  <c r="E49" i="27" s="1"/>
  <c r="B57" i="27"/>
  <c r="B49" i="27" s="1"/>
  <c r="P56" i="27"/>
  <c r="O56" i="27"/>
  <c r="L56" i="27"/>
  <c r="K56" i="27"/>
  <c r="J56" i="27"/>
  <c r="I56" i="27"/>
  <c r="H56" i="27"/>
  <c r="G56" i="27"/>
  <c r="F56" i="27"/>
  <c r="E56" i="27"/>
  <c r="D56" i="27"/>
  <c r="C56" i="27"/>
  <c r="B56" i="27"/>
  <c r="P55" i="27"/>
  <c r="O55" i="27"/>
  <c r="I55" i="27"/>
  <c r="L52" i="27"/>
  <c r="L47" i="27" s="1"/>
  <c r="K52" i="27"/>
  <c r="J52" i="27"/>
  <c r="J47" i="27" s="1"/>
  <c r="I52" i="27"/>
  <c r="I47" i="27" s="1"/>
  <c r="H52" i="27"/>
  <c r="H47" i="27" s="1"/>
  <c r="G52" i="27"/>
  <c r="G47" i="27" s="1"/>
  <c r="F52" i="27"/>
  <c r="F47" i="27" s="1"/>
  <c r="E52" i="27"/>
  <c r="E47" i="27" s="1"/>
  <c r="D52" i="27"/>
  <c r="D47" i="27" s="1"/>
  <c r="C52" i="27"/>
  <c r="B52" i="27"/>
  <c r="B47" i="27" s="1"/>
  <c r="L49" i="27"/>
  <c r="K49" i="27"/>
  <c r="J49" i="27"/>
  <c r="G49" i="27"/>
  <c r="F49" i="27"/>
  <c r="P48" i="27"/>
  <c r="O48" i="27"/>
  <c r="L48" i="27"/>
  <c r="K48" i="27"/>
  <c r="J48" i="27"/>
  <c r="I48" i="27"/>
  <c r="H48" i="27"/>
  <c r="H46" i="27" s="1"/>
  <c r="G48" i="27"/>
  <c r="F48" i="27"/>
  <c r="E48" i="27"/>
  <c r="D48" i="27"/>
  <c r="C48" i="27"/>
  <c r="B48" i="27"/>
  <c r="P47" i="27"/>
  <c r="O47" i="27"/>
  <c r="K47" i="27"/>
  <c r="C47" i="27"/>
  <c r="C46" i="27" s="1"/>
  <c r="L43" i="27"/>
  <c r="L38" i="27" s="1"/>
  <c r="K43" i="27"/>
  <c r="K38" i="27" s="1"/>
  <c r="J43" i="27"/>
  <c r="I43" i="27"/>
  <c r="H43" i="27"/>
  <c r="H38" i="27" s="1"/>
  <c r="G43" i="27"/>
  <c r="G38" i="27" s="1"/>
  <c r="F43" i="27"/>
  <c r="F38" i="27" s="1"/>
  <c r="E43" i="27"/>
  <c r="E38" i="27" s="1"/>
  <c r="D43" i="27"/>
  <c r="D38" i="27" s="1"/>
  <c r="C43" i="27"/>
  <c r="C38" i="27" s="1"/>
  <c r="B43" i="27"/>
  <c r="B38" i="27" s="1"/>
  <c r="P39" i="27"/>
  <c r="P109" i="27" s="1"/>
  <c r="P107" i="27" s="1"/>
  <c r="O39" i="27"/>
  <c r="O109" i="27" s="1"/>
  <c r="L39" i="27"/>
  <c r="L109" i="27" s="1"/>
  <c r="K39" i="27"/>
  <c r="K109" i="27" s="1"/>
  <c r="J39" i="27"/>
  <c r="J109" i="27" s="1"/>
  <c r="I39" i="27"/>
  <c r="I109" i="27" s="1"/>
  <c r="I107" i="27" s="1"/>
  <c r="H39" i="27"/>
  <c r="H109" i="27" s="1"/>
  <c r="G39" i="27"/>
  <c r="G109" i="27" s="1"/>
  <c r="G107" i="27" s="1"/>
  <c r="F39" i="27"/>
  <c r="F109" i="27" s="1"/>
  <c r="E39" i="27"/>
  <c r="E109" i="27" s="1"/>
  <c r="D39" i="27"/>
  <c r="C39" i="27"/>
  <c r="C109" i="27" s="1"/>
  <c r="B39" i="27"/>
  <c r="B109" i="27" s="1"/>
  <c r="P38" i="27"/>
  <c r="O38" i="27"/>
  <c r="J38" i="27"/>
  <c r="I38" i="27"/>
  <c r="M35" i="27"/>
  <c r="M30" i="27" s="1"/>
  <c r="L35" i="27"/>
  <c r="L30" i="27" s="1"/>
  <c r="K35" i="27"/>
  <c r="K30" i="27" s="1"/>
  <c r="J35" i="27"/>
  <c r="J30" i="27" s="1"/>
  <c r="I35" i="27"/>
  <c r="I30" i="27" s="1"/>
  <c r="H35" i="27"/>
  <c r="H30" i="27" s="1"/>
  <c r="G35" i="27"/>
  <c r="G30" i="27" s="1"/>
  <c r="F35" i="27"/>
  <c r="F30" i="27" s="1"/>
  <c r="E35" i="27"/>
  <c r="E30" i="27" s="1"/>
  <c r="D35" i="27"/>
  <c r="D30" i="27" s="1"/>
  <c r="C35" i="27"/>
  <c r="C30" i="27" s="1"/>
  <c r="B35" i="27"/>
  <c r="B30" i="27" s="1"/>
  <c r="P31" i="27"/>
  <c r="O31" i="27"/>
  <c r="M31" i="27"/>
  <c r="L31" i="27"/>
  <c r="K31" i="27"/>
  <c r="J31" i="27"/>
  <c r="I31" i="27"/>
  <c r="H31" i="27"/>
  <c r="G31" i="27"/>
  <c r="F31" i="27"/>
  <c r="E31" i="27"/>
  <c r="D31" i="27"/>
  <c r="C31" i="27"/>
  <c r="B31" i="27"/>
  <c r="P30" i="27"/>
  <c r="O30" i="27"/>
  <c r="M27" i="27"/>
  <c r="M22" i="27" s="1"/>
  <c r="L27" i="27"/>
  <c r="L22" i="27" s="1"/>
  <c r="K27" i="27"/>
  <c r="K22" i="27" s="1"/>
  <c r="J27" i="27"/>
  <c r="J22" i="27" s="1"/>
  <c r="I27" i="27"/>
  <c r="H27" i="27"/>
  <c r="G27" i="27"/>
  <c r="G22" i="27" s="1"/>
  <c r="F27" i="27"/>
  <c r="F22" i="27" s="1"/>
  <c r="E27" i="27"/>
  <c r="E22" i="27" s="1"/>
  <c r="D27" i="27"/>
  <c r="D22" i="27" s="1"/>
  <c r="C27" i="27"/>
  <c r="C22" i="27" s="1"/>
  <c r="B27" i="27"/>
  <c r="B22" i="27" s="1"/>
  <c r="P23" i="27"/>
  <c r="O23" i="27"/>
  <c r="M23" i="27"/>
  <c r="L23" i="27"/>
  <c r="K23" i="27"/>
  <c r="J23" i="27"/>
  <c r="I23" i="27"/>
  <c r="H23" i="27"/>
  <c r="G23" i="27"/>
  <c r="F23" i="27"/>
  <c r="E23" i="27"/>
  <c r="D23" i="27"/>
  <c r="C23" i="27"/>
  <c r="B23" i="27"/>
  <c r="P22" i="27"/>
  <c r="O22" i="27"/>
  <c r="I22" i="27"/>
  <c r="H22" i="27"/>
  <c r="M19" i="27"/>
  <c r="M14" i="27" s="1"/>
  <c r="L19" i="27"/>
  <c r="L14" i="27" s="1"/>
  <c r="K19" i="27"/>
  <c r="K14" i="27" s="1"/>
  <c r="J19" i="27"/>
  <c r="J14" i="27" s="1"/>
  <c r="I19" i="27"/>
  <c r="I14" i="27" s="1"/>
  <c r="H19" i="27"/>
  <c r="H14" i="27" s="1"/>
  <c r="G19" i="27"/>
  <c r="G14" i="27" s="1"/>
  <c r="F19" i="27"/>
  <c r="F14" i="27" s="1"/>
  <c r="E19" i="27"/>
  <c r="E14" i="27" s="1"/>
  <c r="D19" i="27"/>
  <c r="D14" i="27" s="1"/>
  <c r="C19" i="27"/>
  <c r="C14" i="27" s="1"/>
  <c r="B19" i="27"/>
  <c r="B14" i="27" s="1"/>
  <c r="P15" i="27"/>
  <c r="O15" i="27"/>
  <c r="M15" i="27"/>
  <c r="L15" i="27"/>
  <c r="K15" i="27"/>
  <c r="J15" i="27"/>
  <c r="I15" i="27"/>
  <c r="H15" i="27"/>
  <c r="G15" i="27"/>
  <c r="F15" i="27"/>
  <c r="E15" i="27"/>
  <c r="D15" i="27"/>
  <c r="C15" i="27"/>
  <c r="B15" i="27"/>
  <c r="P14" i="27"/>
  <c r="O14" i="27"/>
  <c r="M10" i="27"/>
  <c r="L10" i="27"/>
  <c r="L5" i="27" s="1"/>
  <c r="K10" i="27"/>
  <c r="K5" i="27" s="1"/>
  <c r="J10" i="27"/>
  <c r="J5" i="27" s="1"/>
  <c r="I10" i="27"/>
  <c r="I5" i="27" s="1"/>
  <c r="H10" i="27"/>
  <c r="H5" i="27" s="1"/>
  <c r="G10" i="27"/>
  <c r="G5" i="27" s="1"/>
  <c r="F10" i="27"/>
  <c r="F5" i="27" s="1"/>
  <c r="E10" i="27"/>
  <c r="E5" i="27" s="1"/>
  <c r="D10" i="27"/>
  <c r="D5" i="27" s="1"/>
  <c r="C10" i="27"/>
  <c r="C5" i="27" s="1"/>
  <c r="B10" i="27"/>
  <c r="B5" i="27" s="1"/>
  <c r="P6" i="27"/>
  <c r="O6" i="27"/>
  <c r="M6" i="27"/>
  <c r="L6" i="27"/>
  <c r="K6" i="27"/>
  <c r="J6" i="27"/>
  <c r="I6" i="27"/>
  <c r="H6" i="27"/>
  <c r="G6" i="27"/>
  <c r="F6" i="27"/>
  <c r="E6" i="27"/>
  <c r="D6" i="27"/>
  <c r="C6" i="27"/>
  <c r="B6" i="27"/>
  <c r="V5" i="27"/>
  <c r="P5" i="27"/>
  <c r="O5" i="27"/>
  <c r="M5" i="27"/>
  <c r="V4" i="27"/>
  <c r="O21" i="27" l="1"/>
  <c r="H21" i="27"/>
  <c r="H82" i="27"/>
  <c r="C73" i="27"/>
  <c r="O115" i="27"/>
  <c r="D21" i="27"/>
  <c r="O37" i="27"/>
  <c r="C90" i="27"/>
  <c r="O147" i="27"/>
  <c r="B115" i="27"/>
  <c r="E37" i="27"/>
  <c r="B63" i="27"/>
  <c r="I54" i="27"/>
  <c r="O82" i="27"/>
  <c r="J115" i="27"/>
  <c r="O107" i="27"/>
  <c r="O188" i="27"/>
  <c r="D99" i="27"/>
  <c r="L147" i="27"/>
  <c r="J64" i="27"/>
  <c r="D82" i="27"/>
  <c r="G90" i="27"/>
  <c r="G139" i="27"/>
  <c r="C139" i="27"/>
  <c r="B171" i="27"/>
  <c r="O131" i="27"/>
  <c r="H155" i="27"/>
  <c r="P196" i="27"/>
  <c r="K115" i="27"/>
  <c r="B99" i="27"/>
  <c r="J99" i="27"/>
  <c r="J98" i="27" s="1"/>
  <c r="P163" i="27"/>
  <c r="E82" i="27"/>
  <c r="B90" i="27"/>
  <c r="E147" i="27"/>
  <c r="H54" i="27"/>
  <c r="H45" i="27" s="1"/>
  <c r="K171" i="27"/>
  <c r="O179" i="27"/>
  <c r="H179" i="27"/>
  <c r="B37" i="27"/>
  <c r="J90" i="27"/>
  <c r="O99" i="27"/>
  <c r="P99" i="27"/>
  <c r="P131" i="27"/>
  <c r="O196" i="27"/>
  <c r="D123" i="27"/>
  <c r="F131" i="27"/>
  <c r="P147" i="27"/>
  <c r="I147" i="27"/>
  <c r="C155" i="27"/>
  <c r="E196" i="27"/>
  <c r="J107" i="27"/>
  <c r="D54" i="27"/>
  <c r="D45" i="27" s="1"/>
  <c r="P73" i="27"/>
  <c r="H131" i="27"/>
  <c r="B139" i="27"/>
  <c r="P188" i="27"/>
  <c r="E64" i="27"/>
  <c r="I131" i="27"/>
  <c r="P155" i="27"/>
  <c r="D155" i="27"/>
  <c r="P21" i="27"/>
  <c r="I21" i="27"/>
  <c r="P64" i="27"/>
  <c r="P62" i="27" s="1"/>
  <c r="I64" i="27"/>
  <c r="K73" i="27"/>
  <c r="F90" i="27"/>
  <c r="D179" i="27"/>
  <c r="F99" i="27"/>
  <c r="N99" i="27"/>
  <c r="D115" i="27"/>
  <c r="F155" i="27"/>
  <c r="F188" i="27"/>
  <c r="G196" i="27"/>
  <c r="J171" i="27"/>
  <c r="J196" i="27"/>
  <c r="G37" i="27"/>
  <c r="P115" i="27"/>
  <c r="I115" i="27"/>
  <c r="V6" i="27"/>
  <c r="W5" i="27" s="1"/>
  <c r="M16" i="27" s="1"/>
  <c r="M13" i="27" s="1"/>
  <c r="B64" i="27"/>
  <c r="B62" i="27" s="1"/>
  <c r="G82" i="27"/>
  <c r="F139" i="27"/>
  <c r="F37" i="27"/>
  <c r="E73" i="27"/>
  <c r="O73" i="27"/>
  <c r="H73" i="27"/>
  <c r="D147" i="27"/>
  <c r="G171" i="27"/>
  <c r="I188" i="27"/>
  <c r="F107" i="27"/>
  <c r="F73" i="27"/>
  <c r="F62" i="27" s="1"/>
  <c r="I73" i="27"/>
  <c r="J131" i="27"/>
  <c r="C147" i="27"/>
  <c r="I163" i="27"/>
  <c r="E171" i="27"/>
  <c r="O171" i="27"/>
  <c r="I179" i="27"/>
  <c r="H188" i="27"/>
  <c r="F115" i="27"/>
  <c r="L73" i="27"/>
  <c r="F82" i="27"/>
  <c r="F81" i="27" s="1"/>
  <c r="C123" i="27"/>
  <c r="K123" i="27"/>
  <c r="G131" i="27"/>
  <c r="D46" i="27"/>
  <c r="L46" i="27"/>
  <c r="B82" i="27"/>
  <c r="P123" i="27"/>
  <c r="O139" i="27"/>
  <c r="K139" i="27"/>
  <c r="G155" i="27"/>
  <c r="E155" i="27"/>
  <c r="O155" i="27"/>
  <c r="I171" i="27"/>
  <c r="J179" i="27"/>
  <c r="P179" i="27"/>
  <c r="C196" i="27"/>
  <c r="F196" i="27"/>
  <c r="F46" i="27"/>
  <c r="L54" i="27"/>
  <c r="D73" i="27"/>
  <c r="F163" i="27"/>
  <c r="F179" i="27"/>
  <c r="O54" i="27"/>
  <c r="L82" i="27"/>
  <c r="E139" i="27"/>
  <c r="B147" i="27"/>
  <c r="J147" i="27"/>
  <c r="E21" i="27"/>
  <c r="P54" i="27"/>
  <c r="K64" i="27"/>
  <c r="I98" i="27"/>
  <c r="D188" i="27"/>
  <c r="H196" i="27"/>
  <c r="F21" i="27"/>
  <c r="B46" i="27"/>
  <c r="M107" i="27"/>
  <c r="H115" i="27"/>
  <c r="L107" i="27"/>
  <c r="K155" i="27"/>
  <c r="I196" i="27"/>
  <c r="K99" i="27"/>
  <c r="G147" i="27"/>
  <c r="B123" i="27"/>
  <c r="H139" i="27"/>
  <c r="F171" i="27"/>
  <c r="E188" i="27"/>
  <c r="K196" i="27"/>
  <c r="M21" i="27"/>
  <c r="G21" i="27"/>
  <c r="J37" i="27"/>
  <c r="K46" i="27"/>
  <c r="O64" i="27"/>
  <c r="H64" i="27"/>
  <c r="D90" i="27"/>
  <c r="D81" i="27" s="1"/>
  <c r="L90" i="27"/>
  <c r="P139" i="27"/>
  <c r="I139" i="27"/>
  <c r="D139" i="27"/>
  <c r="L139" i="27"/>
  <c r="J155" i="27"/>
  <c r="C179" i="27"/>
  <c r="K179" i="27"/>
  <c r="D196" i="27"/>
  <c r="L196" i="27"/>
  <c r="H107" i="27"/>
  <c r="C37" i="27"/>
  <c r="K37" i="27"/>
  <c r="E46" i="27"/>
  <c r="O46" i="27"/>
  <c r="P82" i="27"/>
  <c r="P81" i="27" s="1"/>
  <c r="I82" i="27"/>
  <c r="E90" i="27"/>
  <c r="O90" i="27"/>
  <c r="O81" i="27" s="1"/>
  <c r="H90" i="27"/>
  <c r="H81" i="27" s="1"/>
  <c r="E115" i="27"/>
  <c r="G123" i="27"/>
  <c r="J139" i="27"/>
  <c r="K147" i="27"/>
  <c r="O163" i="27"/>
  <c r="H163" i="27"/>
  <c r="L179" i="27"/>
  <c r="G179" i="27"/>
  <c r="P171" i="27"/>
  <c r="P37" i="27"/>
  <c r="P46" i="27"/>
  <c r="P45" i="27" s="1"/>
  <c r="I46" i="27"/>
  <c r="I45" i="27" s="1"/>
  <c r="G73" i="27"/>
  <c r="P98" i="27"/>
  <c r="C115" i="27"/>
  <c r="O123" i="27"/>
  <c r="B155" i="27"/>
  <c r="C163" i="27"/>
  <c r="K163" i="27"/>
  <c r="J123" i="27"/>
  <c r="J21" i="27"/>
  <c r="C54" i="27"/>
  <c r="C45" i="27" s="1"/>
  <c r="K54" i="27"/>
  <c r="C64" i="27"/>
  <c r="C62" i="27" s="1"/>
  <c r="L115" i="27"/>
  <c r="I155" i="27"/>
  <c r="L155" i="27"/>
  <c r="D171" i="27"/>
  <c r="L171" i="27"/>
  <c r="C188" i="27"/>
  <c r="K188" i="27"/>
  <c r="B196" i="27"/>
  <c r="L21" i="27"/>
  <c r="B21" i="27"/>
  <c r="C107" i="27"/>
  <c r="K107" i="27"/>
  <c r="L64" i="27"/>
  <c r="L62" i="27" s="1"/>
  <c r="K90" i="27"/>
  <c r="E131" i="27"/>
  <c r="H171" i="27"/>
  <c r="C171" i="27"/>
  <c r="B179" i="27"/>
  <c r="E179" i="27"/>
  <c r="L188" i="27"/>
  <c r="G188" i="27"/>
  <c r="J188" i="27"/>
  <c r="C99" i="27"/>
  <c r="C131" i="27"/>
  <c r="K131" i="27"/>
  <c r="E107" i="27"/>
  <c r="G46" i="27"/>
  <c r="F54" i="27"/>
  <c r="E54" i="27"/>
  <c r="L99" i="27"/>
  <c r="E99" i="27"/>
  <c r="E98" i="27" s="1"/>
  <c r="M99" i="27"/>
  <c r="M98" i="27" s="1"/>
  <c r="I123" i="27"/>
  <c r="D131" i="27"/>
  <c r="L131" i="27"/>
  <c r="H147" i="27"/>
  <c r="G163" i="27"/>
  <c r="B163" i="27"/>
  <c r="J163" i="27"/>
  <c r="F147" i="27"/>
  <c r="B188" i="27"/>
  <c r="J82" i="27"/>
  <c r="G98" i="27"/>
  <c r="G54" i="27"/>
  <c r="B54" i="27"/>
  <c r="C82" i="27"/>
  <c r="K82" i="27"/>
  <c r="I37" i="27"/>
  <c r="D64" i="27"/>
  <c r="B131" i="27"/>
  <c r="C21" i="27"/>
  <c r="K21" i="27"/>
  <c r="H37" i="27"/>
  <c r="J46" i="27"/>
  <c r="B73" i="27"/>
  <c r="J73" i="27"/>
  <c r="J62" i="27" s="1"/>
  <c r="B107" i="27"/>
  <c r="N107" i="27"/>
  <c r="G115" i="27"/>
  <c r="E163" i="27"/>
  <c r="D37" i="27"/>
  <c r="L37" i="27"/>
  <c r="G64" i="27"/>
  <c r="I90" i="27"/>
  <c r="D109" i="27"/>
  <c r="D107" i="27" s="1"/>
  <c r="D98" i="27" s="1"/>
  <c r="E123" i="27"/>
  <c r="J54" i="27"/>
  <c r="H99" i="27"/>
  <c r="D163" i="27"/>
  <c r="L163" i="27"/>
  <c r="O32" i="27" l="1"/>
  <c r="O29" i="27" s="1"/>
  <c r="L81" i="27"/>
  <c r="C81" i="27"/>
  <c r="O62" i="27"/>
  <c r="F98" i="27"/>
  <c r="G81" i="27"/>
  <c r="O98" i="27"/>
  <c r="B81" i="27"/>
  <c r="H98" i="27"/>
  <c r="C98" i="27"/>
  <c r="N98" i="27"/>
  <c r="C32" i="27"/>
  <c r="C29" i="27" s="1"/>
  <c r="H62" i="27"/>
  <c r="C16" i="27"/>
  <c r="C13" i="27" s="1"/>
  <c r="O16" i="27"/>
  <c r="O13" i="27" s="1"/>
  <c r="K62" i="27"/>
  <c r="P32" i="27"/>
  <c r="P29" i="27" s="1"/>
  <c r="E81" i="27"/>
  <c r="J81" i="27"/>
  <c r="K81" i="27"/>
  <c r="D32" i="27"/>
  <c r="D29" i="27" s="1"/>
  <c r="L16" i="27"/>
  <c r="L13" i="27" s="1"/>
  <c r="W4" i="27"/>
  <c r="E7" i="27" s="1"/>
  <c r="E4" i="27" s="1"/>
  <c r="J32" i="27"/>
  <c r="J29" i="27" s="1"/>
  <c r="K32" i="27"/>
  <c r="K29" i="27" s="1"/>
  <c r="D62" i="27"/>
  <c r="P16" i="27"/>
  <c r="P13" i="27" s="1"/>
  <c r="M32" i="27"/>
  <c r="M29" i="27" s="1"/>
  <c r="H32" i="27"/>
  <c r="H29" i="27" s="1"/>
  <c r="H16" i="27"/>
  <c r="H13" i="27" s="1"/>
  <c r="D16" i="27"/>
  <c r="D13" i="27" s="1"/>
  <c r="K16" i="27"/>
  <c r="K13" i="27" s="1"/>
  <c r="L32" i="27"/>
  <c r="L29" i="27" s="1"/>
  <c r="G16" i="27"/>
  <c r="G13" i="27" s="1"/>
  <c r="B16" i="27"/>
  <c r="F32" i="27"/>
  <c r="F29" i="27" s="1"/>
  <c r="B32" i="27"/>
  <c r="B29" i="27" s="1"/>
  <c r="I32" i="27"/>
  <c r="I29" i="27" s="1"/>
  <c r="L7" i="27"/>
  <c r="L4" i="27" s="1"/>
  <c r="I16" i="27"/>
  <c r="I13" i="27" s="1"/>
  <c r="G32" i="27"/>
  <c r="G29" i="27" s="1"/>
  <c r="E16" i="27"/>
  <c r="E13" i="27" s="1"/>
  <c r="E62" i="27"/>
  <c r="J16" i="27"/>
  <c r="J13" i="27" s="1"/>
  <c r="K45" i="27"/>
  <c r="E32" i="27"/>
  <c r="E29" i="27" s="1"/>
  <c r="F16" i="27"/>
  <c r="F13" i="27" s="1"/>
  <c r="G7" i="27"/>
  <c r="G4" i="27" s="1"/>
  <c r="G3" i="27" s="1"/>
  <c r="O45" i="27"/>
  <c r="E45" i="27"/>
  <c r="I62" i="27"/>
  <c r="L45" i="27"/>
  <c r="K98" i="27"/>
  <c r="H7" i="27"/>
  <c r="H4" i="27" s="1"/>
  <c r="I81" i="27"/>
  <c r="B7" i="27"/>
  <c r="B4" i="27" s="1"/>
  <c r="G45" i="27"/>
  <c r="G62" i="27"/>
  <c r="K7" i="27"/>
  <c r="K4" i="27" s="1"/>
  <c r="F45" i="27"/>
  <c r="J45" i="27"/>
  <c r="L98" i="27"/>
  <c r="B45" i="27"/>
  <c r="B98" i="27"/>
  <c r="L3" i="27" l="1"/>
  <c r="P7" i="27"/>
  <c r="P4" i="27" s="1"/>
  <c r="I7" i="27"/>
  <c r="I4" i="27" s="1"/>
  <c r="I3" i="27" s="1"/>
  <c r="J7" i="27"/>
  <c r="J4" i="27" s="1"/>
  <c r="D7" i="27"/>
  <c r="D4" i="27" s="1"/>
  <c r="D3" i="27" s="1"/>
  <c r="C7" i="27"/>
  <c r="C4" i="27" s="1"/>
  <c r="C3" i="27" s="1"/>
  <c r="F7" i="27"/>
  <c r="F4" i="27" s="1"/>
  <c r="F3" i="27" s="1"/>
  <c r="E3" i="27"/>
  <c r="B13" i="27"/>
  <c r="B3" i="27" s="1"/>
  <c r="B12" i="27"/>
  <c r="P3" i="27"/>
  <c r="O7" i="27"/>
  <c r="O4" i="27" s="1"/>
  <c r="O3" i="27" s="1"/>
  <c r="M7" i="27"/>
  <c r="M4" i="27" s="1"/>
  <c r="M3" i="27" s="1"/>
  <c r="J3" i="27"/>
  <c r="K3" i="27"/>
  <c r="H3" i="27"/>
  <c r="C14" i="11"/>
  <c r="D14" i="11"/>
  <c r="E14" i="11"/>
  <c r="F14" i="11"/>
  <c r="G14" i="11"/>
  <c r="H14" i="11"/>
  <c r="I14" i="11"/>
  <c r="J14" i="11"/>
  <c r="K14" i="11"/>
  <c r="L14" i="11"/>
  <c r="M14" i="11"/>
  <c r="B14" i="11"/>
  <c r="E6" i="26" s="1"/>
  <c r="B30" i="11"/>
  <c r="E8" i="26" s="1"/>
  <c r="L126" i="11" l="1"/>
  <c r="K126" i="11"/>
  <c r="J126" i="11"/>
  <c r="I126" i="11"/>
  <c r="H126" i="11"/>
  <c r="G126" i="11"/>
  <c r="F126" i="11"/>
  <c r="E126" i="11"/>
  <c r="Q12" i="13"/>
  <c r="W12" i="13"/>
  <c r="U12" i="13"/>
  <c r="S12" i="13"/>
  <c r="O12" i="13"/>
  <c r="M12" i="13"/>
  <c r="K12" i="13"/>
  <c r="I12" i="13"/>
  <c r="G12" i="13"/>
  <c r="E12" i="13"/>
  <c r="C126" i="11"/>
  <c r="D126" i="11"/>
  <c r="B126" i="11"/>
  <c r="B13" i="13"/>
  <c r="B81" i="11"/>
  <c r="E12" i="26" s="1"/>
  <c r="B72" i="11"/>
  <c r="I11" i="26" s="1"/>
  <c r="O200" i="11"/>
  <c r="O201" i="11"/>
  <c r="P201" i="11"/>
  <c r="P200" i="11" s="1"/>
  <c r="O193" i="11"/>
  <c r="O194" i="11"/>
  <c r="P194" i="11"/>
  <c r="O185" i="11"/>
  <c r="O186" i="11"/>
  <c r="P186" i="11"/>
  <c r="O187" i="11"/>
  <c r="P187" i="11"/>
  <c r="O179" i="11"/>
  <c r="P179" i="11"/>
  <c r="O177" i="11"/>
  <c r="O178" i="11"/>
  <c r="P178" i="11"/>
  <c r="O170" i="11"/>
  <c r="P170" i="11"/>
  <c r="O171" i="11"/>
  <c r="P171" i="11"/>
  <c r="O161" i="11"/>
  <c r="P161" i="11"/>
  <c r="O162" i="11"/>
  <c r="P162" i="11"/>
  <c r="O163" i="11"/>
  <c r="O160" i="11" s="1"/>
  <c r="P163" i="11"/>
  <c r="O153" i="11"/>
  <c r="P153" i="11"/>
  <c r="O154" i="11"/>
  <c r="P154" i="11"/>
  <c r="P152" i="11" s="1"/>
  <c r="P144" i="11"/>
  <c r="O145" i="11"/>
  <c r="O144" i="11" s="1"/>
  <c r="P145" i="11"/>
  <c r="O146" i="11"/>
  <c r="P146" i="11"/>
  <c r="O137" i="11"/>
  <c r="P137" i="11"/>
  <c r="O138" i="11"/>
  <c r="O136" i="11" s="1"/>
  <c r="P138" i="11"/>
  <c r="P136" i="11" s="1"/>
  <c r="O129" i="11"/>
  <c r="P129" i="11"/>
  <c r="O130" i="11"/>
  <c r="P130" i="11"/>
  <c r="O121" i="11"/>
  <c r="P121" i="11"/>
  <c r="P120" i="11" s="1"/>
  <c r="O122" i="11"/>
  <c r="O120" i="11" s="1"/>
  <c r="P122" i="11"/>
  <c r="O113" i="11"/>
  <c r="P113" i="11"/>
  <c r="O114" i="11"/>
  <c r="O112" i="11" s="1"/>
  <c r="P114" i="11"/>
  <c r="P112" i="11" s="1"/>
  <c r="M106" i="11"/>
  <c r="N106" i="11"/>
  <c r="P106" i="11"/>
  <c r="P104" i="11" s="1"/>
  <c r="O105" i="11"/>
  <c r="P105" i="11"/>
  <c r="O97" i="11"/>
  <c r="P97" i="11"/>
  <c r="O98" i="11"/>
  <c r="O96" i="11" s="1"/>
  <c r="P98" i="11"/>
  <c r="P88" i="11"/>
  <c r="P87" i="11" s="1"/>
  <c r="O89" i="11"/>
  <c r="P89" i="11"/>
  <c r="O80" i="11"/>
  <c r="P80" i="11"/>
  <c r="O81" i="11"/>
  <c r="O79" i="11" s="1"/>
  <c r="P81" i="11"/>
  <c r="O71" i="11"/>
  <c r="P71" i="11"/>
  <c r="O72" i="11"/>
  <c r="P72" i="11"/>
  <c r="O63" i="11"/>
  <c r="P63" i="11"/>
  <c r="P62" i="11" s="1"/>
  <c r="O64" i="11"/>
  <c r="P64" i="11"/>
  <c r="F48" i="11"/>
  <c r="G48" i="11"/>
  <c r="J48" i="11"/>
  <c r="K48" i="11"/>
  <c r="L48" i="11"/>
  <c r="O54" i="11"/>
  <c r="O53" i="11" s="1"/>
  <c r="P54" i="11"/>
  <c r="P53" i="11" s="1"/>
  <c r="L55" i="11"/>
  <c r="O55" i="11"/>
  <c r="P55" i="11"/>
  <c r="O46" i="11"/>
  <c r="P46" i="11"/>
  <c r="O47" i="11"/>
  <c r="P47" i="11"/>
  <c r="P45" i="11" s="1"/>
  <c r="O37" i="11"/>
  <c r="P37" i="11"/>
  <c r="O38" i="11"/>
  <c r="O36" i="11" s="1"/>
  <c r="P38" i="11"/>
  <c r="P36" i="11" s="1"/>
  <c r="O29" i="11"/>
  <c r="P29" i="11"/>
  <c r="O30" i="11"/>
  <c r="P30" i="11"/>
  <c r="O21" i="11"/>
  <c r="P21" i="11"/>
  <c r="O22" i="11"/>
  <c r="O20" i="11" s="1"/>
  <c r="E7" i="25" s="1"/>
  <c r="P22" i="11"/>
  <c r="P20" i="11" s="1"/>
  <c r="O13" i="11"/>
  <c r="P13" i="11"/>
  <c r="O14" i="11"/>
  <c r="P14" i="11"/>
  <c r="O5" i="11"/>
  <c r="P5" i="11"/>
  <c r="C21" i="13"/>
  <c r="O6" i="11"/>
  <c r="P6" i="11"/>
  <c r="C154" i="11"/>
  <c r="D154" i="11"/>
  <c r="E154" i="11"/>
  <c r="F154" i="11"/>
  <c r="G154" i="11"/>
  <c r="H154" i="11"/>
  <c r="I154" i="11"/>
  <c r="J154" i="11"/>
  <c r="K154" i="11"/>
  <c r="L154" i="11"/>
  <c r="B154" i="11"/>
  <c r="E19" i="26" s="1"/>
  <c r="C146" i="11"/>
  <c r="D146" i="11"/>
  <c r="E146" i="11"/>
  <c r="F146" i="11"/>
  <c r="G146" i="11"/>
  <c r="H146" i="11"/>
  <c r="I146" i="11"/>
  <c r="J146" i="11"/>
  <c r="K146" i="11"/>
  <c r="L146" i="11"/>
  <c r="B146" i="11"/>
  <c r="E18" i="26" s="1"/>
  <c r="N20" i="22" a="1"/>
  <c r="N20" i="22" s="1"/>
  <c r="C187" i="11"/>
  <c r="D187" i="11"/>
  <c r="E187" i="11"/>
  <c r="F187" i="11"/>
  <c r="G187" i="11"/>
  <c r="H187" i="11"/>
  <c r="I187" i="11"/>
  <c r="J187" i="11"/>
  <c r="K187" i="11"/>
  <c r="L187" i="11"/>
  <c r="B187" i="11"/>
  <c r="F23" i="26" s="1"/>
  <c r="C179" i="11"/>
  <c r="D179" i="11"/>
  <c r="E179" i="11"/>
  <c r="F179" i="11"/>
  <c r="G179" i="11"/>
  <c r="H179" i="11"/>
  <c r="I179" i="11"/>
  <c r="J179" i="11"/>
  <c r="K179" i="11"/>
  <c r="L179" i="11"/>
  <c r="B179" i="11"/>
  <c r="F22" i="26" s="1"/>
  <c r="C171" i="11"/>
  <c r="D171" i="11"/>
  <c r="E171" i="11"/>
  <c r="F171" i="11"/>
  <c r="G171" i="11"/>
  <c r="H171" i="11"/>
  <c r="I171" i="11"/>
  <c r="J171" i="11"/>
  <c r="K171" i="11"/>
  <c r="L171" i="11"/>
  <c r="B171" i="11"/>
  <c r="F21" i="26" s="1"/>
  <c r="C163" i="11"/>
  <c r="D163" i="11"/>
  <c r="E163" i="11"/>
  <c r="F163" i="11"/>
  <c r="G163" i="11"/>
  <c r="H163" i="11"/>
  <c r="I163" i="11"/>
  <c r="J163" i="11"/>
  <c r="K163" i="11"/>
  <c r="L163" i="11"/>
  <c r="B163" i="11"/>
  <c r="F20" i="26" s="1"/>
  <c r="F11" i="24"/>
  <c r="B20" i="18"/>
  <c r="B6" i="18"/>
  <c r="B7" i="18"/>
  <c r="B8" i="18"/>
  <c r="B9" i="18"/>
  <c r="B10" i="18"/>
  <c r="B11" i="18"/>
  <c r="B12" i="18"/>
  <c r="B13" i="18"/>
  <c r="B14" i="18"/>
  <c r="B15" i="18"/>
  <c r="B16" i="18"/>
  <c r="B17" i="18"/>
  <c r="B18" i="18"/>
  <c r="B19" i="18"/>
  <c r="B21" i="18"/>
  <c r="B22" i="18"/>
  <c r="B23" i="18"/>
  <c r="B24" i="18"/>
  <c r="B25" i="18"/>
  <c r="B5" i="18"/>
  <c r="D12" i="24"/>
  <c r="F12" i="24"/>
  <c r="F8" i="24"/>
  <c r="F9" i="24"/>
  <c r="F10" i="24"/>
  <c r="F7" i="24"/>
  <c r="D16" i="24"/>
  <c r="I16" i="24" s="1"/>
  <c r="I17" i="24"/>
  <c r="I18" i="24"/>
  <c r="I19" i="24"/>
  <c r="I21" i="24"/>
  <c r="H17" i="24"/>
  <c r="H18" i="24"/>
  <c r="H19" i="24"/>
  <c r="H21" i="24"/>
  <c r="D21" i="24"/>
  <c r="G21" i="24" s="1"/>
  <c r="D20" i="24"/>
  <c r="D19" i="24"/>
  <c r="D18" i="24"/>
  <c r="F18" i="24" s="1"/>
  <c r="G20" i="24"/>
  <c r="G17" i="24"/>
  <c r="F19" i="24"/>
  <c r="F17" i="24"/>
  <c r="B17" i="24"/>
  <c r="B18" i="24"/>
  <c r="B19" i="24"/>
  <c r="B20" i="24"/>
  <c r="I20" i="24" s="1"/>
  <c r="B21" i="24"/>
  <c r="B16" i="24"/>
  <c r="N20" i="24"/>
  <c r="G8" i="24"/>
  <c r="D179" i="24"/>
  <c r="D139" i="24"/>
  <c r="D89" i="24"/>
  <c r="AA10" i="13"/>
  <c r="Y10" i="13"/>
  <c r="Y6" i="13"/>
  <c r="B20" i="13"/>
  <c r="G45" i="24"/>
  <c r="C20" i="13"/>
  <c r="D20" i="13"/>
  <c r="E20" i="13" s="1"/>
  <c r="C68" i="11" s="1"/>
  <c r="F20" i="13"/>
  <c r="G20" i="13" s="1"/>
  <c r="D68" i="11" s="1"/>
  <c r="H20" i="13"/>
  <c r="I20" i="13" s="1"/>
  <c r="E68" i="11" s="1"/>
  <c r="J20" i="13"/>
  <c r="K20" i="13" s="1"/>
  <c r="F68" i="11" s="1"/>
  <c r="L20" i="13"/>
  <c r="M20" i="13" s="1"/>
  <c r="G68" i="11" s="1"/>
  <c r="N20" i="13"/>
  <c r="O20" i="13" s="1"/>
  <c r="H68" i="11" s="1"/>
  <c r="P20" i="13"/>
  <c r="Q20" i="13" s="1"/>
  <c r="I68" i="11" s="1"/>
  <c r="R20" i="13"/>
  <c r="S20" i="13" s="1"/>
  <c r="J68" i="11" s="1"/>
  <c r="T20" i="13"/>
  <c r="U20" i="13" s="1"/>
  <c r="K68" i="11" s="1"/>
  <c r="V20" i="13"/>
  <c r="W20" i="13" s="1"/>
  <c r="L68" i="11" s="1"/>
  <c r="F34" i="13"/>
  <c r="F35" i="13"/>
  <c r="F36" i="13"/>
  <c r="F37" i="13"/>
  <c r="F33" i="13"/>
  <c r="G33" i="13" s="1"/>
  <c r="D225" i="24"/>
  <c r="D224" i="24"/>
  <c r="D145" i="24"/>
  <c r="I56" i="11"/>
  <c r="I48" i="11" s="1"/>
  <c r="H56" i="11"/>
  <c r="H48" i="11" s="1"/>
  <c r="E56" i="11"/>
  <c r="E48" i="11" s="1"/>
  <c r="B56" i="11"/>
  <c r="F10" i="26" s="1"/>
  <c r="G9" i="24"/>
  <c r="G10" i="24"/>
  <c r="G12" i="24"/>
  <c r="G7" i="24"/>
  <c r="C225" i="24"/>
  <c r="C224" i="24" s="1"/>
  <c r="C145" i="24"/>
  <c r="C142" i="24"/>
  <c r="C137" i="24" s="1"/>
  <c r="C63" i="24"/>
  <c r="B225" i="24"/>
  <c r="B224" i="24" s="1"/>
  <c r="B145" i="24"/>
  <c r="B63" i="24"/>
  <c r="C9" i="13"/>
  <c r="R24" i="22"/>
  <c r="E3" i="20"/>
  <c r="P44" i="11" l="1"/>
  <c r="P79" i="11"/>
  <c r="P78" i="11" s="1"/>
  <c r="O184" i="11"/>
  <c r="O45" i="11"/>
  <c r="P61" i="11"/>
  <c r="P96" i="11"/>
  <c r="P95" i="11" s="1"/>
  <c r="O78" i="11"/>
  <c r="O176" i="11"/>
  <c r="O192" i="11"/>
  <c r="P70" i="11"/>
  <c r="O152" i="11"/>
  <c r="O70" i="11"/>
  <c r="O87" i="11"/>
  <c r="B48" i="11"/>
  <c r="J10" i="26" s="1"/>
  <c r="O44" i="11"/>
  <c r="O106" i="11"/>
  <c r="O104" i="11" s="1"/>
  <c r="O95" i="11" s="1"/>
  <c r="O128" i="11"/>
  <c r="O62" i="11"/>
  <c r="P128" i="11"/>
  <c r="P160" i="11"/>
  <c r="H20" i="24"/>
  <c r="F20" i="24"/>
  <c r="H16" i="24"/>
  <c r="F16" i="24"/>
  <c r="O16" i="24"/>
  <c r="G16" i="24"/>
  <c r="F21" i="24"/>
  <c r="N21" i="24"/>
  <c r="O19" i="24"/>
  <c r="G19" i="24"/>
  <c r="N18" i="24"/>
  <c r="G18" i="24"/>
  <c r="O20" i="24"/>
  <c r="N17" i="24"/>
  <c r="N19" i="24"/>
  <c r="O17" i="24"/>
  <c r="G11" i="24"/>
  <c r="M34" i="11"/>
  <c r="M29" i="11" s="1"/>
  <c r="M26" i="11"/>
  <c r="M21" i="11" s="1"/>
  <c r="M18" i="11"/>
  <c r="M13" i="11" s="1"/>
  <c r="M10" i="11"/>
  <c r="M5" i="11" s="1"/>
  <c r="M102" i="11"/>
  <c r="M97" i="11" s="1"/>
  <c r="M110" i="11"/>
  <c r="M105" i="11" s="1"/>
  <c r="N102" i="11"/>
  <c r="N97" i="11" s="1"/>
  <c r="N110" i="11"/>
  <c r="N105" i="11" s="1"/>
  <c r="D92" i="24"/>
  <c r="C92" i="24"/>
  <c r="B92" i="24"/>
  <c r="B87" i="24" s="1"/>
  <c r="B68" i="11"/>
  <c r="B63" i="11" s="1"/>
  <c r="D117" i="24"/>
  <c r="D112" i="24" s="1"/>
  <c r="D109" i="24"/>
  <c r="D104" i="24" s="1"/>
  <c r="C117" i="24"/>
  <c r="C112" i="24" s="1"/>
  <c r="C109" i="24"/>
  <c r="C104" i="24" s="1"/>
  <c r="B117" i="24"/>
  <c r="B112" i="24" s="1"/>
  <c r="B109" i="24"/>
  <c r="B104" i="24" s="1"/>
  <c r="O61" i="11" l="1"/>
  <c r="D11" i="26"/>
  <c r="N16" i="24"/>
  <c r="O21" i="24"/>
  <c r="O18" i="24"/>
  <c r="C18" i="20" l="1"/>
  <c r="C19" i="20"/>
  <c r="C20" i="20"/>
  <c r="C21" i="20"/>
  <c r="C22" i="20"/>
  <c r="C23" i="20"/>
  <c r="C24" i="20"/>
  <c r="C25" i="20"/>
  <c r="C26" i="20"/>
  <c r="C27" i="20"/>
  <c r="C17" i="20"/>
  <c r="B18" i="20"/>
  <c r="B19" i="20"/>
  <c r="B20" i="20"/>
  <c r="B21" i="20"/>
  <c r="B22" i="20"/>
  <c r="B23" i="20"/>
  <c r="B24" i="20"/>
  <c r="B25" i="20"/>
  <c r="B26" i="20"/>
  <c r="B27" i="20"/>
  <c r="B17" i="20"/>
  <c r="E13" i="20"/>
  <c r="I4" i="20"/>
  <c r="I5" i="20"/>
  <c r="I6" i="20"/>
  <c r="I7" i="20"/>
  <c r="I8" i="20"/>
  <c r="I9" i="20"/>
  <c r="I10" i="20"/>
  <c r="I11" i="20"/>
  <c r="I12" i="20"/>
  <c r="I13" i="20"/>
  <c r="L201" i="11"/>
  <c r="L200" i="11" s="1"/>
  <c r="K201" i="11"/>
  <c r="K200" i="11" s="1"/>
  <c r="J201" i="11"/>
  <c r="J200" i="11" s="1"/>
  <c r="I201" i="11"/>
  <c r="I200" i="11" s="1"/>
  <c r="H201" i="11"/>
  <c r="H200" i="11" s="1"/>
  <c r="G201" i="11"/>
  <c r="G200" i="11" s="1"/>
  <c r="F201" i="11"/>
  <c r="F200" i="11" s="1"/>
  <c r="E201" i="11"/>
  <c r="E200" i="11" s="1"/>
  <c r="D201" i="11"/>
  <c r="D200" i="11" s="1"/>
  <c r="C201" i="11"/>
  <c r="C200" i="11" s="1"/>
  <c r="B201" i="11"/>
  <c r="D25" i="26" s="1"/>
  <c r="F8" i="14"/>
  <c r="C17" i="14"/>
  <c r="C16" i="14"/>
  <c r="C15" i="14"/>
  <c r="C14" i="14"/>
  <c r="C13" i="14"/>
  <c r="C12" i="14"/>
  <c r="C11" i="14"/>
  <c r="C9" i="14"/>
  <c r="C8" i="14"/>
  <c r="C7" i="14"/>
  <c r="C6" i="14"/>
  <c r="F17" i="14"/>
  <c r="B17" i="14"/>
  <c r="F16" i="14"/>
  <c r="B16" i="14"/>
  <c r="F15" i="14"/>
  <c r="B15" i="14"/>
  <c r="B14" i="14"/>
  <c r="F13" i="14"/>
  <c r="B13" i="14"/>
  <c r="F12" i="14"/>
  <c r="B12" i="14"/>
  <c r="F11" i="14"/>
  <c r="B6" i="14"/>
  <c r="B7" i="14"/>
  <c r="B8" i="14"/>
  <c r="F9" i="14"/>
  <c r="B9" i="14"/>
  <c r="F10" i="14"/>
  <c r="E10" i="14"/>
  <c r="B10" i="14"/>
  <c r="D10" i="14"/>
  <c r="F7" i="14"/>
  <c r="F6" i="14"/>
  <c r="F14" i="14" s="1"/>
  <c r="F33" i="20"/>
  <c r="F35" i="20" s="1"/>
  <c r="F6" i="20" s="1"/>
  <c r="G33" i="20"/>
  <c r="G35" i="20" s="1"/>
  <c r="H33" i="20"/>
  <c r="H35" i="20" s="1"/>
  <c r="I33" i="20"/>
  <c r="I35" i="20" s="1"/>
  <c r="J33" i="20"/>
  <c r="J35" i="20" s="1"/>
  <c r="K33" i="20"/>
  <c r="K35" i="20" s="1"/>
  <c r="E31" i="20"/>
  <c r="E33" i="20" s="1"/>
  <c r="E35" i="20" s="1"/>
  <c r="O31" i="20"/>
  <c r="V15" i="13"/>
  <c r="T15" i="13"/>
  <c r="R15" i="13"/>
  <c r="P15" i="13"/>
  <c r="N15" i="13"/>
  <c r="L15" i="13"/>
  <c r="J15" i="13"/>
  <c r="H15" i="13"/>
  <c r="F15" i="13"/>
  <c r="D15" i="13"/>
  <c r="B15" i="13"/>
  <c r="C17" i="13"/>
  <c r="B182" i="11"/>
  <c r="B16" i="13"/>
  <c r="B200" i="11" l="1"/>
  <c r="D206" i="24"/>
  <c r="D201" i="24" s="1"/>
  <c r="C206" i="24"/>
  <c r="C201" i="24" s="1"/>
  <c r="B206" i="24"/>
  <c r="B201" i="24" s="1"/>
  <c r="E10" i="20"/>
  <c r="E5" i="20"/>
  <c r="K4" i="20"/>
  <c r="K10" i="20"/>
  <c r="K3" i="20"/>
  <c r="J4" i="20"/>
  <c r="J10" i="20"/>
  <c r="J3" i="20"/>
  <c r="I3" i="20"/>
  <c r="H7" i="20"/>
  <c r="H10" i="20"/>
  <c r="H3" i="20"/>
  <c r="G7" i="20"/>
  <c r="G10" i="20"/>
  <c r="G3" i="20"/>
  <c r="F10" i="20"/>
  <c r="F3" i="20"/>
  <c r="C3" i="20"/>
  <c r="E12" i="20"/>
  <c r="E11" i="20"/>
  <c r="K11" i="20"/>
  <c r="E9" i="20"/>
  <c r="K9" i="20"/>
  <c r="E8" i="20"/>
  <c r="K8" i="20"/>
  <c r="E7" i="20"/>
  <c r="K7" i="20"/>
  <c r="K12" i="20"/>
  <c r="E6" i="20"/>
  <c r="K6" i="20"/>
  <c r="E4" i="20"/>
  <c r="K5" i="20"/>
  <c r="K13" i="20"/>
  <c r="H13" i="20"/>
  <c r="J9" i="20"/>
  <c r="J6" i="20"/>
  <c r="G13" i="20"/>
  <c r="F13" i="20"/>
  <c r="H8" i="20"/>
  <c r="J5" i="20"/>
  <c r="G8" i="20"/>
  <c r="F12" i="20"/>
  <c r="F8" i="20"/>
  <c r="H4" i="20"/>
  <c r="F4" i="20"/>
  <c r="J11" i="20"/>
  <c r="F7" i="20"/>
  <c r="H5" i="20"/>
  <c r="G9" i="20"/>
  <c r="G5" i="20"/>
  <c r="J12" i="20"/>
  <c r="H11" i="20"/>
  <c r="F9" i="20"/>
  <c r="J7" i="20"/>
  <c r="H6" i="20"/>
  <c r="F5" i="20"/>
  <c r="G4" i="20"/>
  <c r="H9" i="20"/>
  <c r="G11" i="20"/>
  <c r="G6" i="20"/>
  <c r="J13" i="20"/>
  <c r="H12" i="20"/>
  <c r="F11" i="20"/>
  <c r="J8" i="20"/>
  <c r="G12" i="20"/>
  <c r="C11" i="17"/>
  <c r="D11" i="17"/>
  <c r="E11" i="17"/>
  <c r="F11" i="17"/>
  <c r="G11" i="17"/>
  <c r="H11" i="17"/>
  <c r="I11" i="17"/>
  <c r="J11" i="17"/>
  <c r="K11" i="17"/>
  <c r="L11" i="17"/>
  <c r="B11" i="17"/>
  <c r="E10" i="17"/>
  <c r="J10" i="17"/>
  <c r="J9" i="17"/>
  <c r="E9" i="17"/>
  <c r="E7" i="17"/>
  <c r="J7" i="17" s="1"/>
  <c r="B25" i="26" l="1"/>
  <c r="C25" i="26"/>
  <c r="C10" i="20"/>
  <c r="C6" i="20"/>
  <c r="C4" i="20"/>
  <c r="C7" i="20"/>
  <c r="C13" i="20"/>
  <c r="C9" i="20"/>
  <c r="C8" i="20"/>
  <c r="C12" i="20"/>
  <c r="C11" i="20"/>
  <c r="C5" i="20"/>
  <c r="E8" i="17"/>
  <c r="J8" i="17" s="1"/>
  <c r="V5" i="11" l="1"/>
  <c r="W6" i="13"/>
  <c r="L42" i="11" s="1"/>
  <c r="U6" i="13"/>
  <c r="K42" i="11" s="1"/>
  <c r="S6" i="13"/>
  <c r="J26" i="11" s="1"/>
  <c r="Q6" i="13"/>
  <c r="I26" i="11" s="1"/>
  <c r="O6" i="13"/>
  <c r="H10" i="11" s="1"/>
  <c r="M6" i="13"/>
  <c r="G34" i="11" s="1"/>
  <c r="K6" i="13"/>
  <c r="F34" i="11" s="1"/>
  <c r="I6" i="13"/>
  <c r="E18" i="11" s="1"/>
  <c r="G6" i="13"/>
  <c r="D42" i="11" s="1"/>
  <c r="E6" i="13"/>
  <c r="C42" i="11" s="1"/>
  <c r="C6" i="13"/>
  <c r="W16" i="13"/>
  <c r="U16" i="13"/>
  <c r="K174" i="11" s="1"/>
  <c r="K169" i="11" s="1"/>
  <c r="S16" i="13"/>
  <c r="J174" i="11" s="1"/>
  <c r="J169" i="11" s="1"/>
  <c r="Q16" i="13"/>
  <c r="I174" i="11" s="1"/>
  <c r="I169" i="11" s="1"/>
  <c r="O16" i="13"/>
  <c r="H174" i="11" s="1"/>
  <c r="H169" i="11" s="1"/>
  <c r="M16" i="13"/>
  <c r="G174" i="11" s="1"/>
  <c r="G169" i="11" s="1"/>
  <c r="K16" i="13"/>
  <c r="F174" i="11" s="1"/>
  <c r="F169" i="11" s="1"/>
  <c r="I16" i="13"/>
  <c r="E174" i="11" s="1"/>
  <c r="E169" i="11" s="1"/>
  <c r="G16" i="13"/>
  <c r="D174" i="11" s="1"/>
  <c r="D169" i="11" s="1"/>
  <c r="E16" i="13"/>
  <c r="C174" i="11" s="1"/>
  <c r="C169" i="11" s="1"/>
  <c r="C16" i="13"/>
  <c r="W19" i="13"/>
  <c r="U19" i="13"/>
  <c r="K198" i="11" s="1"/>
  <c r="S19" i="13"/>
  <c r="J198" i="11" s="1"/>
  <c r="Q19" i="13"/>
  <c r="I198" i="11" s="1"/>
  <c r="O19" i="13"/>
  <c r="H198" i="11" s="1"/>
  <c r="M19" i="13"/>
  <c r="G198" i="11" s="1"/>
  <c r="K19" i="13"/>
  <c r="F198" i="11" s="1"/>
  <c r="I19" i="13"/>
  <c r="E198" i="11" s="1"/>
  <c r="G19" i="13"/>
  <c r="D198" i="11" s="1"/>
  <c r="E19" i="13"/>
  <c r="C198" i="11" s="1"/>
  <c r="C19" i="13"/>
  <c r="W18" i="13"/>
  <c r="P190" i="11" s="1"/>
  <c r="P185" i="11" s="1"/>
  <c r="P184" i="11" s="1"/>
  <c r="U18" i="13"/>
  <c r="S18" i="13"/>
  <c r="Q18" i="13"/>
  <c r="O18" i="13"/>
  <c r="M18" i="13"/>
  <c r="K18" i="13"/>
  <c r="I18" i="13"/>
  <c r="G18" i="13"/>
  <c r="E18" i="13"/>
  <c r="C18" i="13"/>
  <c r="W17" i="13"/>
  <c r="U17" i="13"/>
  <c r="K182" i="11" s="1"/>
  <c r="S17" i="13"/>
  <c r="J182" i="11" s="1"/>
  <c r="Q17" i="13"/>
  <c r="I182" i="11" s="1"/>
  <c r="O17" i="13"/>
  <c r="H182" i="11" s="1"/>
  <c r="M17" i="13"/>
  <c r="G182" i="11" s="1"/>
  <c r="K17" i="13"/>
  <c r="F182" i="11" s="1"/>
  <c r="I17" i="13"/>
  <c r="E182" i="11" s="1"/>
  <c r="G17" i="13"/>
  <c r="D182" i="11" s="1"/>
  <c r="E17" i="13"/>
  <c r="C182" i="11" s="1"/>
  <c r="W15" i="13"/>
  <c r="L166" i="11" s="1"/>
  <c r="U15" i="13"/>
  <c r="K166" i="11" s="1"/>
  <c r="S15" i="13"/>
  <c r="J166" i="11" s="1"/>
  <c r="Q15" i="13"/>
  <c r="I166" i="11" s="1"/>
  <c r="O15" i="13"/>
  <c r="H166" i="11" s="1"/>
  <c r="M15" i="13"/>
  <c r="G166" i="11" s="1"/>
  <c r="K15" i="13"/>
  <c r="F166" i="11" s="1"/>
  <c r="I15" i="13"/>
  <c r="E166" i="11" s="1"/>
  <c r="G15" i="13"/>
  <c r="D166" i="11" s="1"/>
  <c r="E15" i="13"/>
  <c r="C166" i="11" s="1"/>
  <c r="C15" i="13"/>
  <c r="D142" i="24"/>
  <c r="D137" i="24" s="1"/>
  <c r="C12" i="13"/>
  <c r="B142" i="24" s="1"/>
  <c r="B137" i="24" s="1"/>
  <c r="V13" i="13"/>
  <c r="W13" i="13" s="1"/>
  <c r="L134" i="11" s="1"/>
  <c r="T13" i="13"/>
  <c r="U13" i="13" s="1"/>
  <c r="K134" i="11" s="1"/>
  <c r="R13" i="13"/>
  <c r="S13" i="13" s="1"/>
  <c r="J134" i="11" s="1"/>
  <c r="P13" i="13"/>
  <c r="Q13" i="13" s="1"/>
  <c r="I134" i="11" s="1"/>
  <c r="N13" i="13"/>
  <c r="O13" i="13" s="1"/>
  <c r="H134" i="11" s="1"/>
  <c r="L13" i="13"/>
  <c r="M13" i="13" s="1"/>
  <c r="G134" i="11" s="1"/>
  <c r="J13" i="13"/>
  <c r="K13" i="13" s="1"/>
  <c r="F134" i="11" s="1"/>
  <c r="H13" i="13"/>
  <c r="I13" i="13" s="1"/>
  <c r="E134" i="11" s="1"/>
  <c r="F13" i="13"/>
  <c r="G13" i="13" s="1"/>
  <c r="D134" i="11" s="1"/>
  <c r="D13" i="13"/>
  <c r="E13" i="13" s="1"/>
  <c r="C134" i="11" s="1"/>
  <c r="C13" i="13"/>
  <c r="V7" i="13"/>
  <c r="W7" i="13" s="1"/>
  <c r="L51" i="11" s="1"/>
  <c r="T7" i="13"/>
  <c r="U7" i="13" s="1"/>
  <c r="K51" i="11" s="1"/>
  <c r="R7" i="13"/>
  <c r="S7" i="13" s="1"/>
  <c r="J51" i="11" s="1"/>
  <c r="P7" i="13"/>
  <c r="Q7" i="13" s="1"/>
  <c r="I51" i="11" s="1"/>
  <c r="N7" i="13"/>
  <c r="O7" i="13" s="1"/>
  <c r="H51" i="11" s="1"/>
  <c r="L7" i="13"/>
  <c r="M7" i="13" s="1"/>
  <c r="G51" i="11" s="1"/>
  <c r="J7" i="13"/>
  <c r="K7" i="13" s="1"/>
  <c r="F51" i="11" s="1"/>
  <c r="H7" i="13"/>
  <c r="I7" i="13" s="1"/>
  <c r="E51" i="11" s="1"/>
  <c r="F7" i="13"/>
  <c r="G7" i="13" s="1"/>
  <c r="D51" i="11" s="1"/>
  <c r="D7" i="13"/>
  <c r="E7" i="13" s="1"/>
  <c r="C51" i="11" s="1"/>
  <c r="B7" i="13"/>
  <c r="C7" i="13" s="1"/>
  <c r="V14" i="13"/>
  <c r="W14" i="13" s="1"/>
  <c r="T14" i="13"/>
  <c r="U14" i="13" s="1"/>
  <c r="R14" i="13"/>
  <c r="S14" i="13" s="1"/>
  <c r="P14" i="13"/>
  <c r="Q14" i="13" s="1"/>
  <c r="N14" i="13"/>
  <c r="O14" i="13" s="1"/>
  <c r="L14" i="13"/>
  <c r="M14" i="13" s="1"/>
  <c r="J14" i="13"/>
  <c r="K14" i="13" s="1"/>
  <c r="H14" i="13"/>
  <c r="I14" i="13" s="1"/>
  <c r="F14" i="13"/>
  <c r="G14" i="13" s="1"/>
  <c r="D14" i="13"/>
  <c r="E14" i="13" s="1"/>
  <c r="B14" i="13"/>
  <c r="C14" i="13" s="1"/>
  <c r="W11" i="13"/>
  <c r="L118" i="11" s="1"/>
  <c r="U11" i="13"/>
  <c r="K118" i="11" s="1"/>
  <c r="S11" i="13"/>
  <c r="J118" i="11" s="1"/>
  <c r="Q11" i="13"/>
  <c r="I118" i="11" s="1"/>
  <c r="O11" i="13"/>
  <c r="H118" i="11" s="1"/>
  <c r="M11" i="13"/>
  <c r="G118" i="11" s="1"/>
  <c r="K11" i="13"/>
  <c r="F118" i="11" s="1"/>
  <c r="I11" i="13"/>
  <c r="E118" i="11" s="1"/>
  <c r="G11" i="13"/>
  <c r="D118" i="11" s="1"/>
  <c r="E11" i="13"/>
  <c r="C118" i="11" s="1"/>
  <c r="C11" i="13"/>
  <c r="B118" i="11" s="1"/>
  <c r="W5" i="13"/>
  <c r="U5" i="13"/>
  <c r="S5" i="13"/>
  <c r="Q5" i="13"/>
  <c r="O5" i="13"/>
  <c r="M5" i="13"/>
  <c r="K5" i="13"/>
  <c r="I5" i="13"/>
  <c r="G5" i="13"/>
  <c r="E5" i="13"/>
  <c r="C5" i="13"/>
  <c r="W10" i="13"/>
  <c r="L110" i="11" s="1"/>
  <c r="U10" i="13"/>
  <c r="K110" i="11" s="1"/>
  <c r="S10" i="13"/>
  <c r="J110" i="11" s="1"/>
  <c r="Q10" i="13"/>
  <c r="I110" i="11" s="1"/>
  <c r="O10" i="13"/>
  <c r="H110" i="11" s="1"/>
  <c r="M10" i="13"/>
  <c r="G102" i="11" s="1"/>
  <c r="K10" i="13"/>
  <c r="F102" i="11" s="1"/>
  <c r="I10" i="13"/>
  <c r="E102" i="11" s="1"/>
  <c r="G10" i="13"/>
  <c r="D110" i="11" s="1"/>
  <c r="E10" i="13"/>
  <c r="C110" i="11" s="1"/>
  <c r="C10" i="13"/>
  <c r="W9" i="13"/>
  <c r="L85" i="11" s="1"/>
  <c r="U9" i="13"/>
  <c r="K93" i="11" s="1"/>
  <c r="S9" i="13"/>
  <c r="J93" i="11" s="1"/>
  <c r="Q9" i="13"/>
  <c r="I93" i="11" s="1"/>
  <c r="O9" i="13"/>
  <c r="H93" i="11" s="1"/>
  <c r="M9" i="13"/>
  <c r="G93" i="11" s="1"/>
  <c r="K9" i="13"/>
  <c r="F85" i="11" s="1"/>
  <c r="I9" i="13"/>
  <c r="E85" i="11" s="1"/>
  <c r="G9" i="13"/>
  <c r="D85" i="11" s="1"/>
  <c r="E9" i="13"/>
  <c r="C93" i="11" s="1"/>
  <c r="B93" i="11"/>
  <c r="W8" i="13"/>
  <c r="U8" i="13"/>
  <c r="S8" i="13"/>
  <c r="Q8" i="13"/>
  <c r="I76" i="11" s="1"/>
  <c r="O8" i="13"/>
  <c r="H76" i="11" s="1"/>
  <c r="M8" i="13"/>
  <c r="G59" i="11" s="1"/>
  <c r="K8" i="13"/>
  <c r="F59" i="11" s="1"/>
  <c r="I8" i="13"/>
  <c r="E59" i="11" s="1"/>
  <c r="G8" i="13"/>
  <c r="E8" i="13"/>
  <c r="C8" i="13"/>
  <c r="L182" i="11" l="1"/>
  <c r="P182" i="11"/>
  <c r="P177" i="11" s="1"/>
  <c r="P176" i="11" s="1"/>
  <c r="L198" i="11"/>
  <c r="P198" i="11"/>
  <c r="P193" i="11" s="1"/>
  <c r="P192" i="11" s="1"/>
  <c r="L174" i="11"/>
  <c r="L169" i="11" s="1"/>
  <c r="P174" i="11"/>
  <c r="P169" i="11" s="1"/>
  <c r="P168" i="11" s="1"/>
  <c r="O174" i="11"/>
  <c r="O169" i="11" s="1"/>
  <c r="O168" i="11" s="1"/>
  <c r="D100" i="24"/>
  <c r="D95" i="24" s="1"/>
  <c r="D87" i="24"/>
  <c r="D83" i="24"/>
  <c r="D78" i="24" s="1"/>
  <c r="C100" i="24"/>
  <c r="C95" i="24" s="1"/>
  <c r="C87" i="24"/>
  <c r="C83" i="24"/>
  <c r="C78" i="24" s="1"/>
  <c r="B100" i="24"/>
  <c r="B95" i="24" s="1"/>
  <c r="B83" i="24"/>
  <c r="B78" i="24" s="1"/>
  <c r="B110" i="11"/>
  <c r="B105" i="11" s="1"/>
  <c r="H13" i="26" s="1"/>
  <c r="D134" i="24"/>
  <c r="D129" i="24" s="1"/>
  <c r="D126" i="24"/>
  <c r="D121" i="24" s="1"/>
  <c r="C134" i="24"/>
  <c r="C129" i="24" s="1"/>
  <c r="C126" i="24"/>
  <c r="C121" i="24" s="1"/>
  <c r="B134" i="24"/>
  <c r="B129" i="24" s="1"/>
  <c r="B126" i="24"/>
  <c r="B121" i="24" s="1"/>
  <c r="B142" i="11"/>
  <c r="D182" i="24"/>
  <c r="D177" i="24" s="1"/>
  <c r="D176" i="24" s="1"/>
  <c r="G39" i="24" s="1"/>
  <c r="D174" i="24"/>
  <c r="D169" i="24" s="1"/>
  <c r="D168" i="24" s="1"/>
  <c r="G38" i="24" s="1"/>
  <c r="D166" i="24"/>
  <c r="D161" i="24" s="1"/>
  <c r="C182" i="24"/>
  <c r="C177" i="24" s="1"/>
  <c r="C176" i="24" s="1"/>
  <c r="C174" i="24"/>
  <c r="C169" i="24" s="1"/>
  <c r="C168" i="24" s="1"/>
  <c r="C166" i="24"/>
  <c r="C161" i="24" s="1"/>
  <c r="B182" i="24"/>
  <c r="B177" i="24" s="1"/>
  <c r="B176" i="24" s="1"/>
  <c r="B174" i="24"/>
  <c r="B169" i="24" s="1"/>
  <c r="B168" i="24" s="1"/>
  <c r="B166" i="24"/>
  <c r="B161" i="24" s="1"/>
  <c r="B158" i="11"/>
  <c r="B153" i="11" s="1"/>
  <c r="D19" i="26" s="1"/>
  <c r="B150" i="11"/>
  <c r="B145" i="11" s="1"/>
  <c r="D18" i="26" s="1"/>
  <c r="C142" i="11"/>
  <c r="C158" i="11"/>
  <c r="C153" i="11" s="1"/>
  <c r="C152" i="11" s="1"/>
  <c r="C150" i="11"/>
  <c r="C145" i="11" s="1"/>
  <c r="C144" i="11" s="1"/>
  <c r="D142" i="11"/>
  <c r="D158" i="11"/>
  <c r="D153" i="11" s="1"/>
  <c r="D152" i="11" s="1"/>
  <c r="D150" i="11"/>
  <c r="D145" i="11" s="1"/>
  <c r="D144" i="11" s="1"/>
  <c r="E142" i="11"/>
  <c r="E158" i="11"/>
  <c r="E153" i="11" s="1"/>
  <c r="E152" i="11" s="1"/>
  <c r="E150" i="11"/>
  <c r="E145" i="11" s="1"/>
  <c r="E144" i="11" s="1"/>
  <c r="F142" i="11"/>
  <c r="F158" i="11"/>
  <c r="F153" i="11" s="1"/>
  <c r="F152" i="11" s="1"/>
  <c r="F150" i="11"/>
  <c r="F145" i="11" s="1"/>
  <c r="F144" i="11" s="1"/>
  <c r="G142" i="11"/>
  <c r="G158" i="11"/>
  <c r="G153" i="11" s="1"/>
  <c r="G152" i="11" s="1"/>
  <c r="G150" i="11"/>
  <c r="G145" i="11" s="1"/>
  <c r="G144" i="11" s="1"/>
  <c r="H142" i="11"/>
  <c r="H158" i="11"/>
  <c r="H153" i="11" s="1"/>
  <c r="H152" i="11" s="1"/>
  <c r="H150" i="11"/>
  <c r="H145" i="11" s="1"/>
  <c r="H144" i="11" s="1"/>
  <c r="I142" i="11"/>
  <c r="I158" i="11"/>
  <c r="I153" i="11" s="1"/>
  <c r="I152" i="11" s="1"/>
  <c r="I150" i="11"/>
  <c r="I145" i="11" s="1"/>
  <c r="I144" i="11" s="1"/>
  <c r="J142" i="11"/>
  <c r="J158" i="11"/>
  <c r="J153" i="11" s="1"/>
  <c r="J152" i="11" s="1"/>
  <c r="J150" i="11"/>
  <c r="J145" i="11" s="1"/>
  <c r="J144" i="11" s="1"/>
  <c r="K142" i="11"/>
  <c r="K158" i="11"/>
  <c r="K153" i="11" s="1"/>
  <c r="K152" i="11" s="1"/>
  <c r="K150" i="11"/>
  <c r="K145" i="11" s="1"/>
  <c r="K144" i="11" s="1"/>
  <c r="L142" i="11"/>
  <c r="L158" i="11"/>
  <c r="L153" i="11" s="1"/>
  <c r="L152" i="11" s="1"/>
  <c r="L150" i="11"/>
  <c r="L145" i="11" s="1"/>
  <c r="L144" i="11" s="1"/>
  <c r="B51" i="11"/>
  <c r="B46" i="11" s="1"/>
  <c r="H10" i="26" s="1"/>
  <c r="D75" i="24"/>
  <c r="D70" i="24" s="1"/>
  <c r="C75" i="24"/>
  <c r="C70" i="24" s="1"/>
  <c r="B75" i="24"/>
  <c r="B70" i="24" s="1"/>
  <c r="B134" i="11"/>
  <c r="D158" i="24"/>
  <c r="D153" i="24" s="1"/>
  <c r="C158" i="24"/>
  <c r="C153" i="24" s="1"/>
  <c r="B158" i="24"/>
  <c r="B153" i="24" s="1"/>
  <c r="B166" i="11"/>
  <c r="D190" i="24"/>
  <c r="D185" i="24" s="1"/>
  <c r="C190" i="24"/>
  <c r="C185" i="24" s="1"/>
  <c r="B190" i="24"/>
  <c r="B185" i="24" s="1"/>
  <c r="D214" i="24"/>
  <c r="D209" i="24" s="1"/>
  <c r="C214" i="24"/>
  <c r="C209" i="24" s="1"/>
  <c r="B214" i="24"/>
  <c r="B209" i="24" s="1"/>
  <c r="B198" i="11"/>
  <c r="D222" i="24"/>
  <c r="D217" i="24" s="1"/>
  <c r="C222" i="24"/>
  <c r="C217" i="24" s="1"/>
  <c r="B222" i="24"/>
  <c r="B217" i="24" s="1"/>
  <c r="B174" i="11"/>
  <c r="D198" i="24"/>
  <c r="D193" i="24" s="1"/>
  <c r="C198" i="24"/>
  <c r="C193" i="24" s="1"/>
  <c r="B198" i="24"/>
  <c r="B193" i="24" s="1"/>
  <c r="B26" i="11"/>
  <c r="D66" i="24"/>
  <c r="D61" i="24" s="1"/>
  <c r="D58" i="24"/>
  <c r="D53" i="24" s="1"/>
  <c r="D50" i="24"/>
  <c r="D45" i="24" s="1"/>
  <c r="D42" i="24"/>
  <c r="D37" i="24" s="1"/>
  <c r="D34" i="24"/>
  <c r="D29" i="24" s="1"/>
  <c r="C66" i="24"/>
  <c r="C61" i="24" s="1"/>
  <c r="C58" i="24"/>
  <c r="C53" i="24" s="1"/>
  <c r="C50" i="24"/>
  <c r="C45" i="24" s="1"/>
  <c r="C42" i="24"/>
  <c r="C37" i="24" s="1"/>
  <c r="C34" i="24"/>
  <c r="C29" i="24" s="1"/>
  <c r="B66" i="24"/>
  <c r="B61" i="24" s="1"/>
  <c r="B58" i="24"/>
  <c r="B53" i="24" s="1"/>
  <c r="B50" i="24"/>
  <c r="B45" i="24" s="1"/>
  <c r="B42" i="24"/>
  <c r="B37" i="24" s="1"/>
  <c r="B34" i="24"/>
  <c r="B29" i="24" s="1"/>
  <c r="I190" i="11"/>
  <c r="C190" i="11"/>
  <c r="K190" i="11"/>
  <c r="J190" i="11"/>
  <c r="D190" i="11"/>
  <c r="L190" i="11"/>
  <c r="E190" i="11"/>
  <c r="F190" i="11"/>
  <c r="H190" i="11"/>
  <c r="B190" i="11"/>
  <c r="B185" i="11" s="1"/>
  <c r="D23" i="26" s="1"/>
  <c r="G190" i="11"/>
  <c r="E26" i="11"/>
  <c r="H18" i="11"/>
  <c r="J76" i="11"/>
  <c r="D93" i="11"/>
  <c r="L93" i="11"/>
  <c r="G85" i="11"/>
  <c r="H59" i="11"/>
  <c r="H102" i="11"/>
  <c r="B76" i="11"/>
  <c r="I18" i="11"/>
  <c r="E110" i="11"/>
  <c r="I59" i="11"/>
  <c r="C76" i="11"/>
  <c r="K76" i="11"/>
  <c r="H85" i="11"/>
  <c r="E93" i="11"/>
  <c r="I102" i="11"/>
  <c r="F110" i="11"/>
  <c r="C10" i="11"/>
  <c r="B59" i="11"/>
  <c r="J59" i="11"/>
  <c r="D76" i="11"/>
  <c r="L76" i="11"/>
  <c r="I85" i="11"/>
  <c r="F93" i="11"/>
  <c r="B102" i="11"/>
  <c r="J102" i="11"/>
  <c r="G110" i="11"/>
  <c r="D10" i="11"/>
  <c r="F26" i="11"/>
  <c r="C59" i="11"/>
  <c r="K59" i="11"/>
  <c r="E76" i="11"/>
  <c r="B85" i="11"/>
  <c r="J85" i="11"/>
  <c r="C102" i="11"/>
  <c r="K102" i="11"/>
  <c r="I10" i="11"/>
  <c r="J34" i="11"/>
  <c r="J29" i="11" s="1"/>
  <c r="D59" i="11"/>
  <c r="L59" i="11"/>
  <c r="F76" i="11"/>
  <c r="C85" i="11"/>
  <c r="K85" i="11"/>
  <c r="D102" i="11"/>
  <c r="L102" i="11"/>
  <c r="K10" i="11"/>
  <c r="E42" i="11"/>
  <c r="G76" i="11"/>
  <c r="L10" i="11"/>
  <c r="G42" i="11"/>
  <c r="F18" i="11"/>
  <c r="C26" i="11"/>
  <c r="K26" i="11"/>
  <c r="H34" i="11"/>
  <c r="H29" i="11" s="1"/>
  <c r="B10" i="11"/>
  <c r="B5" i="11" s="1"/>
  <c r="H6" i="26" s="1"/>
  <c r="J10" i="11"/>
  <c r="G18" i="11"/>
  <c r="D26" i="11"/>
  <c r="L26" i="11"/>
  <c r="I34" i="11"/>
  <c r="I29" i="11" s="1"/>
  <c r="F42" i="11"/>
  <c r="B34" i="11"/>
  <c r="B29" i="11" s="1"/>
  <c r="D8" i="26" s="1"/>
  <c r="H42" i="11"/>
  <c r="E10" i="11"/>
  <c r="B18" i="11"/>
  <c r="B13" i="11" s="1"/>
  <c r="D6" i="26" s="1"/>
  <c r="J18" i="11"/>
  <c r="G26" i="11"/>
  <c r="D34" i="11"/>
  <c r="D29" i="11" s="1"/>
  <c r="L34" i="11"/>
  <c r="L29" i="11" s="1"/>
  <c r="I42" i="11"/>
  <c r="K34" i="11"/>
  <c r="F10" i="11"/>
  <c r="C18" i="11"/>
  <c r="K18" i="11"/>
  <c r="H26" i="11"/>
  <c r="E34" i="11"/>
  <c r="E29" i="11" s="1"/>
  <c r="B42" i="11"/>
  <c r="J42" i="11"/>
  <c r="C34" i="11"/>
  <c r="C29" i="11" s="1"/>
  <c r="G10" i="11"/>
  <c r="D18" i="11"/>
  <c r="L18" i="11"/>
  <c r="K29" i="11"/>
  <c r="G29" i="11"/>
  <c r="F29" i="11"/>
  <c r="V4" i="11"/>
  <c r="B80" i="11" l="1"/>
  <c r="D12" i="26" s="1"/>
  <c r="B144" i="11"/>
  <c r="B152" i="11"/>
  <c r="P24" i="22"/>
  <c r="P20" i="22"/>
  <c r="V6" i="11"/>
  <c r="B18" i="26" l="1"/>
  <c r="C18" i="26"/>
  <c r="B19" i="26"/>
  <c r="C19" i="26"/>
  <c r="W4" i="11"/>
  <c r="W5" i="11"/>
  <c r="B31" i="11" s="1"/>
  <c r="F8" i="26" s="1"/>
  <c r="O7" i="11" l="1"/>
  <c r="O4" i="11" s="1"/>
  <c r="P7" i="11"/>
  <c r="P4" i="11" s="1"/>
  <c r="O31" i="11"/>
  <c r="O28" i="11" s="1"/>
  <c r="D7" i="25" s="1"/>
  <c r="P31" i="11"/>
  <c r="P28" i="11" s="1"/>
  <c r="P15" i="11"/>
  <c r="P12" i="11" s="1"/>
  <c r="P3" i="11" s="1"/>
  <c r="O15" i="11"/>
  <c r="O12" i="11" s="1"/>
  <c r="B15" i="11"/>
  <c r="M31" i="11"/>
  <c r="M15" i="11"/>
  <c r="C7" i="11"/>
  <c r="D7" i="11"/>
  <c r="E7" i="11"/>
  <c r="M7" i="11"/>
  <c r="F7" i="11"/>
  <c r="B7" i="11"/>
  <c r="J6" i="26" s="1"/>
  <c r="G7" i="11"/>
  <c r="H7" i="11"/>
  <c r="I7" i="11"/>
  <c r="J7" i="11"/>
  <c r="K7" i="11"/>
  <c r="L7" i="11"/>
  <c r="L15" i="11"/>
  <c r="E31" i="11"/>
  <c r="C31" i="11"/>
  <c r="D31" i="11"/>
  <c r="K15" i="11"/>
  <c r="J15" i="11"/>
  <c r="H15" i="11"/>
  <c r="G31" i="11"/>
  <c r="K31" i="11"/>
  <c r="G15" i="11"/>
  <c r="H31" i="11"/>
  <c r="F15" i="11"/>
  <c r="I31" i="11"/>
  <c r="F31" i="11"/>
  <c r="D15" i="11"/>
  <c r="I15" i="11"/>
  <c r="L31" i="11"/>
  <c r="C15" i="11"/>
  <c r="E15" i="11"/>
  <c r="J31" i="11"/>
  <c r="F6" i="26" l="1"/>
  <c r="B12" i="11"/>
  <c r="C6" i="26" s="1"/>
  <c r="O3" i="11"/>
  <c r="C7" i="25" s="1"/>
  <c r="B9" i="25" s="1"/>
  <c r="R20" i="22"/>
  <c r="C5" i="11"/>
  <c r="D5" i="11"/>
  <c r="E5" i="11"/>
  <c r="F5" i="11"/>
  <c r="G5" i="11"/>
  <c r="H5" i="11"/>
  <c r="I5" i="11"/>
  <c r="J5" i="11"/>
  <c r="K5" i="11"/>
  <c r="L5" i="11"/>
  <c r="C13" i="11" l="1"/>
  <c r="D13" i="11"/>
  <c r="E13" i="11"/>
  <c r="F13" i="11"/>
  <c r="G13" i="11"/>
  <c r="H13" i="11"/>
  <c r="I13" i="11"/>
  <c r="J13" i="11"/>
  <c r="K13" i="11"/>
  <c r="L13" i="11"/>
  <c r="C21" i="11"/>
  <c r="D21" i="11"/>
  <c r="E21" i="11"/>
  <c r="F21" i="11"/>
  <c r="G21" i="11"/>
  <c r="H21" i="11"/>
  <c r="I21" i="11"/>
  <c r="J21" i="11"/>
  <c r="K21" i="11"/>
  <c r="L21" i="11"/>
  <c r="B21" i="11" l="1"/>
  <c r="D7" i="26" s="1"/>
  <c r="C105" i="11"/>
  <c r="D105" i="11"/>
  <c r="E105" i="11"/>
  <c r="F105" i="11"/>
  <c r="G105" i="11"/>
  <c r="H105" i="11"/>
  <c r="I105" i="11"/>
  <c r="J105" i="11"/>
  <c r="K105" i="11"/>
  <c r="L105" i="11"/>
  <c r="C97" i="11"/>
  <c r="D97" i="11"/>
  <c r="E97" i="11"/>
  <c r="F97" i="11"/>
  <c r="G97" i="11"/>
  <c r="H97" i="11"/>
  <c r="I97" i="11"/>
  <c r="J97" i="11"/>
  <c r="K97" i="11"/>
  <c r="L97" i="11"/>
  <c r="B97" i="11"/>
  <c r="D13" i="26" s="1"/>
  <c r="L193" i="11" l="1"/>
  <c r="K193" i="11"/>
  <c r="J193" i="11"/>
  <c r="I193" i="11"/>
  <c r="H193" i="11"/>
  <c r="G193" i="11"/>
  <c r="F193" i="11"/>
  <c r="E193" i="11"/>
  <c r="D193" i="11"/>
  <c r="C193" i="11"/>
  <c r="B193" i="11"/>
  <c r="D24" i="26" s="1"/>
  <c r="L185" i="11"/>
  <c r="K185" i="11"/>
  <c r="J185" i="11"/>
  <c r="I185" i="11"/>
  <c r="H185" i="11"/>
  <c r="G185" i="11"/>
  <c r="F185" i="11"/>
  <c r="E185" i="11"/>
  <c r="D185" i="11"/>
  <c r="C185" i="11"/>
  <c r="L177" i="11"/>
  <c r="K177" i="11"/>
  <c r="J177" i="11"/>
  <c r="I177" i="11"/>
  <c r="H177" i="11"/>
  <c r="G177" i="11"/>
  <c r="F177" i="11"/>
  <c r="E177" i="11"/>
  <c r="D177" i="11"/>
  <c r="C177" i="11"/>
  <c r="B177" i="11"/>
  <c r="D22" i="26" s="1"/>
  <c r="B169" i="11"/>
  <c r="D21" i="26" s="1"/>
  <c r="L161" i="11"/>
  <c r="K161" i="11"/>
  <c r="J161" i="11"/>
  <c r="I161" i="11"/>
  <c r="H161" i="11"/>
  <c r="G161" i="11"/>
  <c r="F161" i="11"/>
  <c r="E161" i="11"/>
  <c r="D161" i="11"/>
  <c r="C161" i="11"/>
  <c r="B161" i="11"/>
  <c r="D20" i="26" s="1"/>
  <c r="L137" i="11"/>
  <c r="K137" i="11"/>
  <c r="J137" i="11"/>
  <c r="I137" i="11"/>
  <c r="H137" i="11"/>
  <c r="G137" i="11"/>
  <c r="F137" i="11"/>
  <c r="E137" i="11"/>
  <c r="D137" i="11"/>
  <c r="C137" i="11"/>
  <c r="B137" i="11"/>
  <c r="D17" i="26" s="1"/>
  <c r="C37" i="11"/>
  <c r="D37" i="11"/>
  <c r="E37" i="11"/>
  <c r="F37" i="11"/>
  <c r="G37" i="11"/>
  <c r="H37" i="11"/>
  <c r="I37" i="11"/>
  <c r="J37" i="11"/>
  <c r="K37" i="11"/>
  <c r="L37" i="11"/>
  <c r="B37" i="11"/>
  <c r="D9" i="26" s="1"/>
  <c r="F13" i="12" l="1"/>
  <c r="F14" i="12"/>
  <c r="F15" i="12"/>
  <c r="F16" i="12"/>
  <c r="F17" i="12"/>
  <c r="F18" i="12"/>
  <c r="F19" i="12"/>
  <c r="C63" i="11" l="1"/>
  <c r="D63" i="11"/>
  <c r="E63" i="11"/>
  <c r="F63" i="11"/>
  <c r="G63" i="11"/>
  <c r="H63" i="11"/>
  <c r="I63" i="11"/>
  <c r="J63" i="11"/>
  <c r="K63" i="11"/>
  <c r="L63" i="11"/>
  <c r="C71" i="11"/>
  <c r="D71" i="11"/>
  <c r="E71" i="11"/>
  <c r="F71" i="11"/>
  <c r="G71" i="11"/>
  <c r="H71" i="11"/>
  <c r="I71" i="11"/>
  <c r="J71" i="11"/>
  <c r="K71" i="11"/>
  <c r="L71" i="11"/>
  <c r="B71" i="11"/>
  <c r="H11" i="26" s="1"/>
  <c r="C54" i="11"/>
  <c r="D54" i="11"/>
  <c r="E54" i="11"/>
  <c r="F54" i="11"/>
  <c r="G54" i="11"/>
  <c r="H54" i="11"/>
  <c r="I54" i="11"/>
  <c r="J54" i="11"/>
  <c r="K54" i="11"/>
  <c r="L54" i="11"/>
  <c r="B54" i="11"/>
  <c r="D10" i="26" s="1"/>
  <c r="C46" i="11"/>
  <c r="D46" i="11"/>
  <c r="E46" i="11"/>
  <c r="F46" i="11"/>
  <c r="G46" i="11"/>
  <c r="H46" i="11"/>
  <c r="I46" i="11"/>
  <c r="J46" i="11"/>
  <c r="K46" i="11"/>
  <c r="C80" i="11"/>
  <c r="D80" i="11"/>
  <c r="E80" i="11"/>
  <c r="F80" i="11"/>
  <c r="G80" i="11"/>
  <c r="H80" i="11"/>
  <c r="I80" i="11"/>
  <c r="J80" i="11"/>
  <c r="K80" i="11"/>
  <c r="L80" i="11"/>
  <c r="C88" i="11"/>
  <c r="D88" i="11"/>
  <c r="E88" i="11"/>
  <c r="F88" i="11"/>
  <c r="G88" i="11"/>
  <c r="H88" i="11"/>
  <c r="I88" i="11"/>
  <c r="J88" i="11"/>
  <c r="K88" i="11"/>
  <c r="L88" i="11"/>
  <c r="B88" i="11"/>
  <c r="H12" i="26" s="1"/>
  <c r="C113" i="11"/>
  <c r="D113" i="11"/>
  <c r="E113" i="11"/>
  <c r="F113" i="11"/>
  <c r="G113" i="11"/>
  <c r="H113" i="11"/>
  <c r="I113" i="11"/>
  <c r="J113" i="11"/>
  <c r="K113" i="11"/>
  <c r="L113" i="11"/>
  <c r="B113" i="11"/>
  <c r="D14" i="26" s="1"/>
  <c r="L129" i="11"/>
  <c r="K129" i="11"/>
  <c r="J129" i="11"/>
  <c r="I129" i="11"/>
  <c r="H129" i="11"/>
  <c r="G129" i="11"/>
  <c r="F129" i="11"/>
  <c r="E129" i="11"/>
  <c r="D129" i="11"/>
  <c r="C129" i="11"/>
  <c r="B129" i="11"/>
  <c r="D16" i="26" s="1"/>
  <c r="C121" i="11"/>
  <c r="D121" i="11"/>
  <c r="E121" i="11"/>
  <c r="F121" i="11"/>
  <c r="G121" i="11"/>
  <c r="H121" i="11"/>
  <c r="I121" i="11"/>
  <c r="J121" i="11"/>
  <c r="K121" i="11"/>
  <c r="L121" i="11"/>
  <c r="B121" i="11"/>
  <c r="D15" i="26" s="1"/>
  <c r="I6" i="12" l="1"/>
  <c r="I7" i="12"/>
  <c r="I8" i="12"/>
  <c r="I9" i="12"/>
  <c r="I10" i="12"/>
  <c r="I5" i="12"/>
  <c r="F6" i="12"/>
  <c r="G6" i="12" s="1"/>
  <c r="F7" i="12"/>
  <c r="G7" i="12" s="1"/>
  <c r="F8" i="12"/>
  <c r="G8" i="12" s="1"/>
  <c r="F9" i="12"/>
  <c r="G9" i="12" s="1"/>
  <c r="F10" i="12"/>
  <c r="G10" i="12" s="1"/>
  <c r="F5" i="12"/>
  <c r="G5" i="12" s="1"/>
  <c r="J98" i="11"/>
  <c r="J96" i="11" s="1"/>
  <c r="H178" i="11"/>
  <c r="H176" i="11" s="1"/>
  <c r="D218" i="24"/>
  <c r="D216" i="24" s="1"/>
  <c r="G44" i="24" s="1"/>
  <c r="B210" i="24"/>
  <c r="B208" i="24" s="1"/>
  <c r="L170" i="11"/>
  <c r="L168" i="11" s="1"/>
  <c r="B170" i="11"/>
  <c r="E21" i="26" s="1"/>
  <c r="B186" i="11"/>
  <c r="E23" i="26" s="1"/>
  <c r="E186" i="11"/>
  <c r="E184" i="11" s="1"/>
  <c r="E16" i="22" s="1"/>
  <c r="D170" i="11"/>
  <c r="D168" i="11" s="1"/>
  <c r="F130" i="11"/>
  <c r="F128" i="11" s="1"/>
  <c r="K162" i="11"/>
  <c r="K160" i="11" s="1"/>
  <c r="K15" i="22" s="1"/>
  <c r="H170" i="11"/>
  <c r="H168" i="11" s="1"/>
  <c r="D98" i="11"/>
  <c r="D96" i="11" s="1"/>
  <c r="I138" i="11"/>
  <c r="I136" i="11" s="1"/>
  <c r="B162" i="11"/>
  <c r="E20" i="26" s="1"/>
  <c r="C186" i="11"/>
  <c r="C184" i="11" s="1"/>
  <c r="C16" i="22" s="1"/>
  <c r="K194" i="11"/>
  <c r="K192" i="11" s="1"/>
  <c r="B120" i="24"/>
  <c r="B122" i="24"/>
  <c r="C98" i="11"/>
  <c r="C96" i="11" s="1"/>
  <c r="D186" i="11"/>
  <c r="D184" i="11" s="1"/>
  <c r="D16" i="22" s="1"/>
  <c r="C162" i="11"/>
  <c r="C160" i="11" s="1"/>
  <c r="C15" i="22" s="1"/>
  <c r="E122" i="11"/>
  <c r="E120" i="11" s="1"/>
  <c r="E14" i="22" s="1"/>
  <c r="C186" i="24"/>
  <c r="C184" i="24" s="1"/>
  <c r="H40" i="24" s="1"/>
  <c r="F186" i="11"/>
  <c r="F184" i="11" s="1"/>
  <c r="F16" i="22" s="1"/>
  <c r="B178" i="11"/>
  <c r="E22" i="26" s="1"/>
  <c r="D120" i="24"/>
  <c r="D122" i="24"/>
  <c r="C154" i="24"/>
  <c r="C152" i="24" s="1"/>
  <c r="K130" i="11"/>
  <c r="K128" i="11" s="1"/>
  <c r="D146" i="24"/>
  <c r="D144" i="24" s="1"/>
  <c r="G35" i="24" s="1"/>
  <c r="B154" i="24"/>
  <c r="B152" i="24" s="1"/>
  <c r="C113" i="24"/>
  <c r="C111" i="24" s="1"/>
  <c r="E114" i="11"/>
  <c r="E112" i="11" s="1"/>
  <c r="K178" i="11"/>
  <c r="K176" i="11" s="1"/>
  <c r="I130" i="11"/>
  <c r="I128" i="11" s="1"/>
  <c r="C202" i="24"/>
  <c r="C200" i="24" s="1"/>
  <c r="H42" i="24" s="1"/>
  <c r="K122" i="11"/>
  <c r="K120" i="11" s="1"/>
  <c r="K14" i="22" s="1"/>
  <c r="J122" i="11"/>
  <c r="J120" i="11" s="1"/>
  <c r="J14" i="22" s="1"/>
  <c r="C122" i="24"/>
  <c r="C120" i="24" s="1"/>
  <c r="L114" i="11"/>
  <c r="L112" i="11" s="1"/>
  <c r="D114" i="11"/>
  <c r="D112" i="11" s="1"/>
  <c r="C162" i="24"/>
  <c r="C160" i="24" s="1"/>
  <c r="K138" i="11"/>
  <c r="K136" i="11" s="1"/>
  <c r="B186" i="24"/>
  <c r="B184" i="24" s="1"/>
  <c r="D178" i="11"/>
  <c r="D176" i="11" s="1"/>
  <c r="F122" i="11"/>
  <c r="F120" i="11" s="1"/>
  <c r="F14" i="22" s="1"/>
  <c r="D162" i="11"/>
  <c r="D160" i="11" s="1"/>
  <c r="D15" i="22" s="1"/>
  <c r="B98" i="11"/>
  <c r="E13" i="26" s="1"/>
  <c r="D210" i="24"/>
  <c r="D208" i="24" s="1"/>
  <c r="G43" i="24" s="1"/>
  <c r="E162" i="11"/>
  <c r="E160" i="11" s="1"/>
  <c r="E15" i="22" s="1"/>
  <c r="D162" i="24"/>
  <c r="D160" i="24"/>
  <c r="G37" i="24" s="1"/>
  <c r="E89" i="11"/>
  <c r="E87" i="11" s="1"/>
  <c r="G98" i="11"/>
  <c r="G96" i="11"/>
  <c r="K98" i="11"/>
  <c r="K96" i="11" s="1"/>
  <c r="F162" i="11"/>
  <c r="F160" i="11" s="1"/>
  <c r="F15" i="22" s="1"/>
  <c r="C138" i="11"/>
  <c r="C136" i="11" s="1"/>
  <c r="G170" i="11"/>
  <c r="G168" i="11" s="1"/>
  <c r="E98" i="11"/>
  <c r="E96" i="11" s="1"/>
  <c r="I186" i="11"/>
  <c r="I184" i="11" s="1"/>
  <c r="I16" i="22" s="1"/>
  <c r="B138" i="24"/>
  <c r="B136" i="24" s="1"/>
  <c r="G178" i="11"/>
  <c r="G176" i="11" s="1"/>
  <c r="K186" i="11"/>
  <c r="K184" i="11" s="1"/>
  <c r="K16" i="22" s="1"/>
  <c r="J170" i="11"/>
  <c r="J168" i="11" s="1"/>
  <c r="I194" i="11"/>
  <c r="I192" i="11" s="1"/>
  <c r="L194" i="11"/>
  <c r="L192" i="11" s="1"/>
  <c r="B194" i="11"/>
  <c r="E24" i="26" s="1"/>
  <c r="L178" i="11"/>
  <c r="L176" i="11" s="1"/>
  <c r="K89" i="11"/>
  <c r="K87" i="11" s="1"/>
  <c r="H186" i="11"/>
  <c r="H184" i="11" s="1"/>
  <c r="H16" i="22" s="1"/>
  <c r="I162" i="11"/>
  <c r="I160" i="11" s="1"/>
  <c r="I15" i="22" s="1"/>
  <c r="D122" i="11"/>
  <c r="D120" i="11" s="1"/>
  <c r="D14" i="22" s="1"/>
  <c r="D130" i="11"/>
  <c r="D128" i="11" s="1"/>
  <c r="D138" i="24"/>
  <c r="D136" i="24" s="1"/>
  <c r="G34" i="24" s="1"/>
  <c r="C114" i="11"/>
  <c r="C112" i="11" s="1"/>
  <c r="C13" i="22" s="1"/>
  <c r="E170" i="11"/>
  <c r="E168" i="11" s="1"/>
  <c r="D186" i="24"/>
  <c r="D184" i="24" s="1"/>
  <c r="G40" i="24" s="1"/>
  <c r="D89" i="11"/>
  <c r="D87" i="11" s="1"/>
  <c r="G162" i="11"/>
  <c r="G160" i="11" s="1"/>
  <c r="G15" i="22" s="1"/>
  <c r="G194" i="11"/>
  <c r="G192" i="11" s="1"/>
  <c r="C170" i="11"/>
  <c r="C168" i="11" s="1"/>
  <c r="C21" i="26" s="1"/>
  <c r="F138" i="11"/>
  <c r="F136" i="11" s="1"/>
  <c r="B162" i="24"/>
  <c r="B160" i="24" s="1"/>
  <c r="G138" i="11"/>
  <c r="G136" i="11" s="1"/>
  <c r="J89" i="11"/>
  <c r="J87" i="11" s="1"/>
  <c r="L138" i="11"/>
  <c r="L136" i="11" s="1"/>
  <c r="F114" i="11"/>
  <c r="F112" i="11" s="1"/>
  <c r="F13" i="22" s="1"/>
  <c r="K114" i="11"/>
  <c r="K112" i="11" s="1"/>
  <c r="K13" i="22" s="1"/>
  <c r="L186" i="11"/>
  <c r="L184" i="11" s="1"/>
  <c r="L16" i="22" s="1"/>
  <c r="B146" i="24"/>
  <c r="B144" i="24" s="1"/>
  <c r="F194" i="11"/>
  <c r="F192" i="11" s="1"/>
  <c r="C210" i="24"/>
  <c r="C208" i="24" s="1"/>
  <c r="H43" i="24" s="1"/>
  <c r="J130" i="11"/>
  <c r="J128" i="11" s="1"/>
  <c r="I178" i="11"/>
  <c r="I176" i="11" s="1"/>
  <c r="G186" i="11"/>
  <c r="G184" i="11" s="1"/>
  <c r="G16" i="22" s="1"/>
  <c r="L122" i="11"/>
  <c r="L120" i="11" s="1"/>
  <c r="L14" i="22" s="1"/>
  <c r="E194" i="11"/>
  <c r="E192" i="11" s="1"/>
  <c r="I89" i="11"/>
  <c r="I87" i="11" s="1"/>
  <c r="I122" i="11"/>
  <c r="I120" i="11" s="1"/>
  <c r="I14" i="22" s="1"/>
  <c r="B89" i="11"/>
  <c r="I12" i="26" s="1"/>
  <c r="B122" i="11"/>
  <c r="E15" i="26" s="1"/>
  <c r="M98" i="11"/>
  <c r="M96" i="11" s="1"/>
  <c r="C194" i="11"/>
  <c r="C192" i="11" s="1"/>
  <c r="G89" i="11"/>
  <c r="G87" i="11" s="1"/>
  <c r="L89" i="11"/>
  <c r="L87" i="11" s="1"/>
  <c r="D113" i="24"/>
  <c r="D111" i="24" s="1"/>
  <c r="C138" i="24"/>
  <c r="C136" i="24" s="1"/>
  <c r="B218" i="24"/>
  <c r="B216" i="24" s="1"/>
  <c r="B114" i="11"/>
  <c r="E14" i="26" s="1"/>
  <c r="F89" i="11"/>
  <c r="F87" i="11" s="1"/>
  <c r="C218" i="24"/>
  <c r="C216" i="24" s="1"/>
  <c r="G130" i="11"/>
  <c r="G128" i="11" s="1"/>
  <c r="J178" i="11"/>
  <c r="J176" i="11" s="1"/>
  <c r="H130" i="11"/>
  <c r="H128" i="11" s="1"/>
  <c r="D194" i="24"/>
  <c r="D192" i="24" s="1"/>
  <c r="G41" i="24" s="1"/>
  <c r="G114" i="11"/>
  <c r="G112" i="11" s="1"/>
  <c r="B202" i="24"/>
  <c r="B200" i="24" s="1"/>
  <c r="B130" i="11"/>
  <c r="E16" i="26" s="1"/>
  <c r="B194" i="24"/>
  <c r="B192" i="24" s="1"/>
  <c r="B138" i="11"/>
  <c r="E17" i="26" s="1"/>
  <c r="I170" i="11"/>
  <c r="I168" i="11" s="1"/>
  <c r="L98" i="11"/>
  <c r="L96" i="11" s="1"/>
  <c r="H98" i="11"/>
  <c r="H96" i="11" s="1"/>
  <c r="C122" i="11"/>
  <c r="C120" i="11" s="1"/>
  <c r="C14" i="22" s="1"/>
  <c r="D154" i="24"/>
  <c r="D152" i="24" s="1"/>
  <c r="G36" i="24" s="1"/>
  <c r="L162" i="11"/>
  <c r="L160" i="11" s="1"/>
  <c r="L15" i="22" s="1"/>
  <c r="I98" i="11"/>
  <c r="I96" i="11" s="1"/>
  <c r="G122" i="11"/>
  <c r="G120" i="11" s="1"/>
  <c r="G14" i="22" s="1"/>
  <c r="C194" i="24"/>
  <c r="C192" i="24" s="1"/>
  <c r="H41" i="24" s="1"/>
  <c r="J114" i="11"/>
  <c r="J112" i="11" s="1"/>
  <c r="K72" i="11"/>
  <c r="K70" i="11" s="1"/>
  <c r="H138" i="11"/>
  <c r="H136" i="11" s="1"/>
  <c r="E178" i="11"/>
  <c r="E176" i="11" s="1"/>
  <c r="N98" i="11"/>
  <c r="N96" i="11" s="1"/>
  <c r="D138" i="11"/>
  <c r="D136" i="11" s="1"/>
  <c r="C178" i="11"/>
  <c r="C176" i="11" s="1"/>
  <c r="J186" i="11"/>
  <c r="J184" i="11" s="1"/>
  <c r="J16" i="22" s="1"/>
  <c r="C130" i="11"/>
  <c r="C128" i="11" s="1"/>
  <c r="L30" i="11"/>
  <c r="L28" i="11" s="1"/>
  <c r="L7" i="22" s="1"/>
  <c r="C146" i="24"/>
  <c r="C144" i="24" s="1"/>
  <c r="H194" i="11"/>
  <c r="H192" i="11" s="1"/>
  <c r="B113" i="24"/>
  <c r="B111" i="24" s="1"/>
  <c r="H162" i="11"/>
  <c r="H160" i="11" s="1"/>
  <c r="H15" i="22" s="1"/>
  <c r="D202" i="24"/>
  <c r="D200" i="24"/>
  <c r="G42" i="24" s="1"/>
  <c r="C71" i="24"/>
  <c r="C69" i="24" s="1"/>
  <c r="I114" i="11"/>
  <c r="I112" i="11" s="1"/>
  <c r="C30" i="11"/>
  <c r="C28" i="11" s="1"/>
  <c r="C7" i="22" s="1"/>
  <c r="F170" i="11"/>
  <c r="F168" i="11" s="1"/>
  <c r="F98" i="11"/>
  <c r="F96" i="11"/>
  <c r="L130" i="11"/>
  <c r="L128" i="11" s="1"/>
  <c r="J138" i="11"/>
  <c r="J136" i="11" s="1"/>
  <c r="E138" i="11"/>
  <c r="E136" i="11" s="1"/>
  <c r="C89" i="11"/>
  <c r="C87" i="11" s="1"/>
  <c r="J194" i="11"/>
  <c r="J192" i="11" s="1"/>
  <c r="F178" i="11"/>
  <c r="F176" i="11" s="1"/>
  <c r="I64" i="11"/>
  <c r="I62" i="11" s="1"/>
  <c r="E38" i="11"/>
  <c r="E106" i="11" s="1"/>
  <c r="E104" i="11" s="1"/>
  <c r="E130" i="11"/>
  <c r="E128" i="11" s="1"/>
  <c r="K170" i="11"/>
  <c r="K168" i="11" s="1"/>
  <c r="H89" i="11"/>
  <c r="H87" i="11" s="1"/>
  <c r="C38" i="24"/>
  <c r="C36" i="24" s="1"/>
  <c r="D194" i="11"/>
  <c r="D192" i="11" s="1"/>
  <c r="H114" i="11"/>
  <c r="H112" i="11" s="1"/>
  <c r="H13" i="22" s="1"/>
  <c r="H122" i="11"/>
  <c r="H120" i="11" s="1"/>
  <c r="H14" i="22" s="1"/>
  <c r="K55" i="11"/>
  <c r="K53" i="11" s="1"/>
  <c r="J162" i="11"/>
  <c r="J160" i="11" s="1"/>
  <c r="J15" i="22" s="1"/>
  <c r="L72" i="11"/>
  <c r="L70" i="11" s="1"/>
  <c r="B105" i="24"/>
  <c r="B103" i="24" s="1"/>
  <c r="C30" i="24"/>
  <c r="C28" i="24" s="1"/>
  <c r="K47" i="11"/>
  <c r="K45" i="11" s="1"/>
  <c r="F22" i="11"/>
  <c r="F20" i="11" s="1"/>
  <c r="F6" i="22" s="1"/>
  <c r="B70" i="11" l="1"/>
  <c r="B136" i="11"/>
  <c r="B128" i="11"/>
  <c r="B112" i="11"/>
  <c r="B120" i="11"/>
  <c r="B87" i="11"/>
  <c r="G12" i="26" s="1"/>
  <c r="B192" i="11"/>
  <c r="B96" i="11"/>
  <c r="C13" i="26" s="1"/>
  <c r="B176" i="11"/>
  <c r="B160" i="11"/>
  <c r="B184" i="11"/>
  <c r="B168" i="11"/>
  <c r="B21" i="26" s="1"/>
  <c r="P13" i="22"/>
  <c r="K44" i="11"/>
  <c r="K9" i="22" s="1"/>
  <c r="B102" i="24"/>
  <c r="C27" i="24"/>
  <c r="C105" i="24"/>
  <c r="C103" i="24" s="1"/>
  <c r="C102" i="24" s="1"/>
  <c r="C81" i="11"/>
  <c r="C79" i="11" s="1"/>
  <c r="C78" i="11" s="1"/>
  <c r="C11" i="22" s="1"/>
  <c r="E81" i="11"/>
  <c r="E79" i="11" s="1"/>
  <c r="E78" i="11" s="1"/>
  <c r="E11" i="22" s="1"/>
  <c r="G30" i="11"/>
  <c r="G28" i="11" s="1"/>
  <c r="G7" i="22" s="1"/>
  <c r="E95" i="11"/>
  <c r="E12" i="22" s="1"/>
  <c r="H6" i="11"/>
  <c r="H4" i="11" s="1"/>
  <c r="B46" i="24"/>
  <c r="B44" i="24" s="1"/>
  <c r="E36" i="11"/>
  <c r="E8" i="22" s="1"/>
  <c r="J38" i="11"/>
  <c r="C6" i="11"/>
  <c r="C4" i="11" s="1"/>
  <c r="D6" i="11"/>
  <c r="D4" i="11" s="1"/>
  <c r="L6" i="11"/>
  <c r="L4" i="11" s="1"/>
  <c r="I81" i="11"/>
  <c r="I79" i="11" s="1"/>
  <c r="I78" i="11" s="1"/>
  <c r="I11" i="22" s="1"/>
  <c r="O13" i="22"/>
  <c r="Q13" i="22"/>
  <c r="C22" i="11"/>
  <c r="C20" i="11" s="1"/>
  <c r="C6" i="22" s="1"/>
  <c r="M30" i="11"/>
  <c r="M28" i="11" s="1"/>
  <c r="H72" i="11"/>
  <c r="H70" i="11" s="1"/>
  <c r="I12" i="11"/>
  <c r="D22" i="11"/>
  <c r="D20" i="11" s="1"/>
  <c r="D6" i="22" s="1"/>
  <c r="G12" i="11"/>
  <c r="D38" i="24"/>
  <c r="D36" i="24" s="1"/>
  <c r="K22" i="11"/>
  <c r="K20" i="11" s="1"/>
  <c r="K6" i="22" s="1"/>
  <c r="G22" i="11"/>
  <c r="G20" i="11" s="1"/>
  <c r="G6" i="22" s="1"/>
  <c r="M12" i="11"/>
  <c r="D30" i="11"/>
  <c r="D28" i="11" s="1"/>
  <c r="D7" i="22" s="1"/>
  <c r="L53" i="11"/>
  <c r="C72" i="11"/>
  <c r="C70" i="11" s="1"/>
  <c r="D72" i="11"/>
  <c r="D70" i="11" s="1"/>
  <c r="J72" i="11"/>
  <c r="J70" i="11" s="1"/>
  <c r="E72" i="11"/>
  <c r="E70" i="11" s="1"/>
  <c r="C55" i="11"/>
  <c r="C53" i="11" s="1"/>
  <c r="D55" i="11"/>
  <c r="D53" i="11" s="1"/>
  <c r="C79" i="24"/>
  <c r="C77" i="24" s="1"/>
  <c r="C68" i="24" s="1"/>
  <c r="J55" i="11"/>
  <c r="J53" i="11" s="1"/>
  <c r="H55" i="11"/>
  <c r="H53" i="11" s="1"/>
  <c r="F55" i="11"/>
  <c r="F53" i="11" s="1"/>
  <c r="E55" i="11"/>
  <c r="E53" i="11" s="1"/>
  <c r="C64" i="11"/>
  <c r="C62" i="11" s="1"/>
  <c r="D88" i="24"/>
  <c r="D86" i="24" s="1"/>
  <c r="J64" i="11"/>
  <c r="J62" i="11" s="1"/>
  <c r="B88" i="24"/>
  <c r="B86" i="24" s="1"/>
  <c r="C88" i="24"/>
  <c r="C86" i="24" s="1"/>
  <c r="D64" i="11"/>
  <c r="D62" i="11" s="1"/>
  <c r="F64" i="11"/>
  <c r="F62" i="11" s="1"/>
  <c r="K64" i="11"/>
  <c r="L64" i="11"/>
  <c r="B64" i="11"/>
  <c r="K30" i="11"/>
  <c r="K28" i="11" s="1"/>
  <c r="K7" i="22" s="1"/>
  <c r="D79" i="24"/>
  <c r="D77" i="24" s="1"/>
  <c r="G30" i="24" s="1"/>
  <c r="E64" i="11"/>
  <c r="E62" i="11" s="1"/>
  <c r="B47" i="11"/>
  <c r="I10" i="26" s="1"/>
  <c r="F47" i="11"/>
  <c r="F45" i="11" s="1"/>
  <c r="F44" i="11" s="1"/>
  <c r="F9" i="22" s="1"/>
  <c r="C47" i="11"/>
  <c r="C45" i="11" s="1"/>
  <c r="B71" i="24"/>
  <c r="B69" i="24" s="1"/>
  <c r="H47" i="11"/>
  <c r="H45" i="11" s="1"/>
  <c r="J47" i="11"/>
  <c r="J45" i="11" s="1"/>
  <c r="J44" i="11" s="1"/>
  <c r="J9" i="22" s="1"/>
  <c r="L47" i="11"/>
  <c r="L45" i="11" s="1"/>
  <c r="I47" i="11"/>
  <c r="I45" i="11" s="1"/>
  <c r="E47" i="11"/>
  <c r="E45" i="11" s="1"/>
  <c r="H38" i="11"/>
  <c r="D12" i="11"/>
  <c r="D96" i="24"/>
  <c r="D94" i="24" s="1"/>
  <c r="I72" i="11"/>
  <c r="I70" i="11" s="1"/>
  <c r="I61" i="11" s="1"/>
  <c r="I10" i="22" s="1"/>
  <c r="E22" i="11"/>
  <c r="E20" i="11" s="1"/>
  <c r="E6" i="22" s="1"/>
  <c r="D47" i="11"/>
  <c r="D45" i="11" s="1"/>
  <c r="G47" i="11"/>
  <c r="G45" i="11" s="1"/>
  <c r="B79" i="24"/>
  <c r="B77" i="24" s="1"/>
  <c r="B22" i="11"/>
  <c r="E7" i="26" s="1"/>
  <c r="B55" i="11"/>
  <c r="E10" i="26" s="1"/>
  <c r="M6" i="11"/>
  <c r="M4" i="11" s="1"/>
  <c r="H64" i="11"/>
  <c r="H62" i="11" s="1"/>
  <c r="B54" i="24"/>
  <c r="B52" i="24" s="1"/>
  <c r="J22" i="11"/>
  <c r="J20" i="11" s="1"/>
  <c r="J6" i="22" s="1"/>
  <c r="C62" i="24"/>
  <c r="H81" i="11"/>
  <c r="H79" i="11" s="1"/>
  <c r="H78" i="11" s="1"/>
  <c r="H11" i="22" s="1"/>
  <c r="E12" i="11"/>
  <c r="D54" i="24"/>
  <c r="D52" i="24" s="1"/>
  <c r="G28" i="24" s="1"/>
  <c r="D30" i="24"/>
  <c r="D28" i="24" s="1"/>
  <c r="K12" i="11"/>
  <c r="F81" i="11"/>
  <c r="F79" i="11" s="1"/>
  <c r="F78" i="11" s="1"/>
  <c r="F11" i="22" s="1"/>
  <c r="L22" i="11"/>
  <c r="L20" i="11" s="1"/>
  <c r="L6" i="22" s="1"/>
  <c r="C96" i="24"/>
  <c r="C94" i="24" s="1"/>
  <c r="F72" i="11"/>
  <c r="F70" i="11" s="1"/>
  <c r="G55" i="11"/>
  <c r="G53" i="11" s="1"/>
  <c r="D71" i="24"/>
  <c r="D69" i="24" s="1"/>
  <c r="D81" i="11"/>
  <c r="D79" i="11" s="1"/>
  <c r="D78" i="11" s="1"/>
  <c r="D11" i="22" s="1"/>
  <c r="J81" i="11"/>
  <c r="J79" i="11" s="1"/>
  <c r="J78" i="11" s="1"/>
  <c r="J11" i="22" s="1"/>
  <c r="D105" i="24"/>
  <c r="D103" i="24" s="1"/>
  <c r="D102" i="24" s="1"/>
  <c r="G32" i="24" s="1"/>
  <c r="G81" i="11"/>
  <c r="G79" i="11" s="1"/>
  <c r="G78" i="11" s="1"/>
  <c r="G11" i="22" s="1"/>
  <c r="L81" i="11"/>
  <c r="L79" i="11" s="1"/>
  <c r="L78" i="11" s="1"/>
  <c r="L11" i="22" s="1"/>
  <c r="K81" i="11"/>
  <c r="K79" i="11" s="1"/>
  <c r="K78" i="11" s="1"/>
  <c r="K11" i="22" s="1"/>
  <c r="C54" i="24"/>
  <c r="C52" i="24" s="1"/>
  <c r="H30" i="11"/>
  <c r="H28" i="11" s="1"/>
  <c r="H7" i="22" s="1"/>
  <c r="B38" i="24"/>
  <c r="B36" i="24" s="1"/>
  <c r="C46" i="24"/>
  <c r="C44" i="24" s="1"/>
  <c r="H12" i="11"/>
  <c r="I22" i="11"/>
  <c r="I20" i="11" s="1"/>
  <c r="I6" i="22" s="1"/>
  <c r="D46" i="24"/>
  <c r="D44" i="24" s="1"/>
  <c r="G27" i="24" s="1"/>
  <c r="J12" i="11"/>
  <c r="E30" i="11"/>
  <c r="E28" i="11" s="1"/>
  <c r="E7" i="22" s="1"/>
  <c r="J30" i="11"/>
  <c r="J28" i="11" s="1"/>
  <c r="J7" i="22" s="1"/>
  <c r="I30" i="11"/>
  <c r="I28" i="11" s="1"/>
  <c r="I7" i="22" s="1"/>
  <c r="C12" i="11"/>
  <c r="H22" i="11"/>
  <c r="H20" i="11" s="1"/>
  <c r="H6" i="22" s="1"/>
  <c r="B62" i="24"/>
  <c r="B30" i="24"/>
  <c r="B28" i="24" s="1"/>
  <c r="I38" i="11"/>
  <c r="D62" i="24"/>
  <c r="K6" i="11"/>
  <c r="K4" i="11" s="1"/>
  <c r="B38" i="11"/>
  <c r="E9" i="26" s="1"/>
  <c r="I6" i="11"/>
  <c r="I4" i="11" s="1"/>
  <c r="L38" i="11"/>
  <c r="F38" i="11"/>
  <c r="C38" i="11"/>
  <c r="G6" i="11"/>
  <c r="G4" i="11" s="1"/>
  <c r="E6" i="11"/>
  <c r="E4" i="11" s="1"/>
  <c r="J6" i="11"/>
  <c r="J4" i="11" s="1"/>
  <c r="G38" i="11"/>
  <c r="D38" i="11"/>
  <c r="L12" i="11"/>
  <c r="F30" i="11"/>
  <c r="F28" i="11" s="1"/>
  <c r="F7" i="22" s="1"/>
  <c r="F6" i="11"/>
  <c r="F4" i="11" s="1"/>
  <c r="F12" i="11"/>
  <c r="K38" i="11"/>
  <c r="B6" i="11"/>
  <c r="I6" i="26" s="1"/>
  <c r="I55" i="11"/>
  <c r="I53" i="11" s="1"/>
  <c r="G72" i="11"/>
  <c r="G70" i="11" s="1"/>
  <c r="M22" i="11"/>
  <c r="M20" i="11" s="1"/>
  <c r="B96" i="24"/>
  <c r="B94" i="24" s="1"/>
  <c r="G64" i="11"/>
  <c r="G62" i="11" s="1"/>
  <c r="B24" i="26" l="1"/>
  <c r="C24" i="26"/>
  <c r="L62" i="11"/>
  <c r="L61" i="11" s="1"/>
  <c r="L10" i="22" s="1"/>
  <c r="C15" i="26"/>
  <c r="B15" i="26"/>
  <c r="E44" i="11"/>
  <c r="E9" i="22" s="1"/>
  <c r="B14" i="26"/>
  <c r="C14" i="26"/>
  <c r="E11" i="26"/>
  <c r="B62" i="11"/>
  <c r="C11" i="26" s="1"/>
  <c r="B23" i="26"/>
  <c r="C23" i="26"/>
  <c r="B16" i="26"/>
  <c r="C16" i="26"/>
  <c r="K62" i="11"/>
  <c r="K61" i="11" s="1"/>
  <c r="K10" i="22" s="1"/>
  <c r="B20" i="26"/>
  <c r="C20" i="26"/>
  <c r="B17" i="26"/>
  <c r="C17" i="26"/>
  <c r="B22" i="26"/>
  <c r="C22" i="26"/>
  <c r="B61" i="11"/>
  <c r="B11" i="26" s="1"/>
  <c r="G11" i="26"/>
  <c r="B27" i="24"/>
  <c r="B28" i="11"/>
  <c r="B79" i="11"/>
  <c r="C12" i="26" s="1"/>
  <c r="B53" i="11"/>
  <c r="C10" i="26" s="1"/>
  <c r="B20" i="11"/>
  <c r="B45" i="11"/>
  <c r="G10" i="26" s="1"/>
  <c r="B16" i="22"/>
  <c r="B15" i="22"/>
  <c r="B14" i="22"/>
  <c r="S24" i="22"/>
  <c r="B4" i="11"/>
  <c r="G6" i="26" s="1"/>
  <c r="C3" i="11"/>
  <c r="C5" i="22" s="1"/>
  <c r="L3" i="11"/>
  <c r="L5" i="22" s="1"/>
  <c r="H3" i="11"/>
  <c r="H5" i="22" s="1"/>
  <c r="J61" i="11"/>
  <c r="J10" i="22" s="1"/>
  <c r="F3" i="11"/>
  <c r="F5" i="22" s="1"/>
  <c r="D3" i="11"/>
  <c r="D5" i="22" s="1"/>
  <c r="H44" i="11"/>
  <c r="H9" i="22" s="1"/>
  <c r="B85" i="24"/>
  <c r="D68" i="24"/>
  <c r="D85" i="24"/>
  <c r="G31" i="24" s="1"/>
  <c r="G44" i="11"/>
  <c r="G9" i="22" s="1"/>
  <c r="L44" i="11"/>
  <c r="L9" i="22" s="1"/>
  <c r="E61" i="11"/>
  <c r="E10" i="22" s="1"/>
  <c r="Q20" i="22"/>
  <c r="D106" i="11"/>
  <c r="D104" i="11" s="1"/>
  <c r="D95" i="11" s="1"/>
  <c r="D12" i="22" s="1"/>
  <c r="D36" i="11"/>
  <c r="D8" i="22" s="1"/>
  <c r="N104" i="11"/>
  <c r="N95" i="11" s="1"/>
  <c r="M104" i="11"/>
  <c r="M95" i="11" s="1"/>
  <c r="L106" i="11"/>
  <c r="L104" i="11" s="1"/>
  <c r="L95" i="11" s="1"/>
  <c r="L12" i="22" s="1"/>
  <c r="L36" i="11"/>
  <c r="L8" i="22" s="1"/>
  <c r="I3" i="11"/>
  <c r="I5" i="22" s="1"/>
  <c r="B106" i="11"/>
  <c r="I13" i="26" s="1"/>
  <c r="B36" i="11"/>
  <c r="D44" i="11"/>
  <c r="D9" i="22" s="1"/>
  <c r="C61" i="11"/>
  <c r="C10" i="22" s="1"/>
  <c r="M3" i="11"/>
  <c r="K3" i="11"/>
  <c r="K5" i="22" s="1"/>
  <c r="H106" i="11"/>
  <c r="H104" i="11" s="1"/>
  <c r="H95" i="11" s="1"/>
  <c r="H12" i="22" s="1"/>
  <c r="H36" i="11"/>
  <c r="H8" i="22" s="1"/>
  <c r="G36" i="11"/>
  <c r="G8" i="22" s="1"/>
  <c r="G106" i="11"/>
  <c r="G104" i="11" s="1"/>
  <c r="G95" i="11" s="1"/>
  <c r="G12" i="22" s="1"/>
  <c r="I44" i="11"/>
  <c r="I9" i="22" s="1"/>
  <c r="D60" i="24"/>
  <c r="G29" i="24" s="1"/>
  <c r="D130" i="24"/>
  <c r="D128" i="24" s="1"/>
  <c r="D119" i="24" s="1"/>
  <c r="G33" i="24" s="1"/>
  <c r="H61" i="11"/>
  <c r="H10" i="22" s="1"/>
  <c r="F61" i="11"/>
  <c r="F10" i="22" s="1"/>
  <c r="C130" i="24"/>
  <c r="C128" i="24" s="1"/>
  <c r="C119" i="24" s="1"/>
  <c r="C60" i="24"/>
  <c r="Q24" i="22"/>
  <c r="K106" i="11"/>
  <c r="K104" i="11" s="1"/>
  <c r="K95" i="11" s="1"/>
  <c r="K12" i="22" s="1"/>
  <c r="K36" i="11"/>
  <c r="K8" i="22" s="1"/>
  <c r="G61" i="11"/>
  <c r="G10" i="22" s="1"/>
  <c r="C36" i="11"/>
  <c r="C8" i="22" s="1"/>
  <c r="C106" i="11"/>
  <c r="C104" i="11" s="1"/>
  <c r="C95" i="11" s="1"/>
  <c r="C12" i="22" s="1"/>
  <c r="I36" i="11"/>
  <c r="I8" i="22" s="1"/>
  <c r="I106" i="11"/>
  <c r="I104" i="11" s="1"/>
  <c r="I95" i="11" s="1"/>
  <c r="I12" i="22" s="1"/>
  <c r="J3" i="11"/>
  <c r="J5" i="22" s="1"/>
  <c r="B68" i="24"/>
  <c r="D61" i="11"/>
  <c r="D10" i="22" s="1"/>
  <c r="D27" i="24"/>
  <c r="G26" i="24" s="1"/>
  <c r="J36" i="11"/>
  <c r="J8" i="22" s="1"/>
  <c r="J106" i="11"/>
  <c r="J104" i="11" s="1"/>
  <c r="J95" i="11" s="1"/>
  <c r="J12" i="22" s="1"/>
  <c r="B60" i="24"/>
  <c r="B130" i="24"/>
  <c r="B128" i="24" s="1"/>
  <c r="B119" i="24" s="1"/>
  <c r="F36" i="11"/>
  <c r="F8" i="22" s="1"/>
  <c r="F106" i="11"/>
  <c r="F104" i="11" s="1"/>
  <c r="F95" i="11" s="1"/>
  <c r="F12" i="22" s="1"/>
  <c r="E3" i="11"/>
  <c r="E5" i="22" s="1"/>
  <c r="C44" i="11"/>
  <c r="C9" i="22" s="1"/>
  <c r="C85" i="24"/>
  <c r="G3" i="11"/>
  <c r="G5" i="22" s="1"/>
  <c r="B44" i="11" l="1"/>
  <c r="B10" i="26" s="1"/>
  <c r="B7" i="26"/>
  <c r="C7" i="26"/>
  <c r="B6" i="22"/>
  <c r="B9" i="26"/>
  <c r="C9" i="26"/>
  <c r="B8" i="26"/>
  <c r="C8" i="26"/>
  <c r="B8" i="22"/>
  <c r="O14" i="22"/>
  <c r="Q14" i="22"/>
  <c r="P14" i="22"/>
  <c r="B78" i="11"/>
  <c r="B12" i="26" s="1"/>
  <c r="B7" i="22"/>
  <c r="B3" i="11"/>
  <c r="B6" i="26" s="1"/>
  <c r="S20" i="22"/>
  <c r="B104" i="11"/>
  <c r="G13" i="26" s="1"/>
  <c r="N24" i="22"/>
  <c r="B10" i="22"/>
  <c r="B9" i="22" l="1"/>
  <c r="Q6" i="22"/>
  <c r="P6" i="22"/>
  <c r="O6" i="22"/>
  <c r="B5" i="22"/>
  <c r="B95" i="11"/>
  <c r="B13" i="26" s="1"/>
  <c r="Q7" i="22"/>
  <c r="O7" i="22"/>
  <c r="P7" i="22"/>
  <c r="B11" i="22"/>
  <c r="O10" i="22"/>
  <c r="P10" i="22"/>
  <c r="Q10" i="22"/>
  <c r="P5" i="22"/>
  <c r="Q5" i="22"/>
  <c r="O5" i="22"/>
  <c r="O9" i="22" l="1"/>
  <c r="Q9" i="22"/>
  <c r="P9" i="22"/>
  <c r="O11" i="22"/>
  <c r="Q11" i="22"/>
  <c r="P11" i="22"/>
  <c r="B12" i="22"/>
  <c r="Q12" i="22" l="1"/>
  <c r="O12" i="22"/>
  <c r="P1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3" authorId="0" shapeId="0" xr:uid="{7678BE02-9C24-4938-A574-A1896CEE0492}">
      <text>
        <r>
          <rPr>
            <b/>
            <sz val="9"/>
            <color indexed="81"/>
            <rFont val="Tahoma"/>
            <family val="2"/>
          </rPr>
          <t>Elin Röös:</t>
        </r>
        <r>
          <rPr>
            <sz val="9"/>
            <color indexed="81"/>
            <rFont val="Tahoma"/>
            <family val="2"/>
          </rPr>
          <t xml:space="preserve">
Suckler cow and her calves slaughtered at 24 month</t>
        </r>
      </text>
    </comment>
    <comment ref="B57" authorId="0" shapeId="0" xr:uid="{8D213685-6DFC-4D5C-B20D-68FD342280BB}">
      <text>
        <r>
          <rPr>
            <b/>
            <sz val="9"/>
            <color indexed="81"/>
            <rFont val="Tahoma"/>
            <family val="2"/>
          </rPr>
          <t>Elin Röös:</t>
        </r>
        <r>
          <rPr>
            <sz val="9"/>
            <color indexed="81"/>
            <rFont val="Tahoma"/>
            <family val="2"/>
          </rPr>
          <t xml:space="preserve">
Approx DE
</t>
        </r>
      </text>
    </comment>
    <comment ref="E57" authorId="0" shapeId="0" xr:uid="{F8F8AC58-DD39-4794-9AF6-DE1A266D5FF4}">
      <text>
        <r>
          <rPr>
            <b/>
            <sz val="9"/>
            <color indexed="81"/>
            <rFont val="Tahoma"/>
            <family val="2"/>
          </rPr>
          <t>Elin Röös:</t>
        </r>
        <r>
          <rPr>
            <sz val="9"/>
            <color indexed="81"/>
            <rFont val="Tahoma"/>
            <family val="2"/>
          </rPr>
          <t xml:space="preserve">
Approx HU</t>
        </r>
      </text>
    </comment>
    <comment ref="H57" authorId="0" shapeId="0" xr:uid="{A9B5FC2B-711A-4756-ABFD-03A83AF25F07}">
      <text>
        <r>
          <rPr>
            <b/>
            <sz val="9"/>
            <color indexed="81"/>
            <rFont val="Tahoma"/>
            <family val="2"/>
          </rPr>
          <t>Elin Röös:</t>
        </r>
        <r>
          <rPr>
            <sz val="9"/>
            <color indexed="81"/>
            <rFont val="Tahoma"/>
            <family val="2"/>
          </rPr>
          <t xml:space="preserve">
Approx IT</t>
        </r>
      </text>
    </comment>
    <comment ref="I57" authorId="0" shapeId="0" xr:uid="{673E4C0F-D888-40A7-B3FC-2E3251AFE2B4}">
      <text>
        <r>
          <rPr>
            <b/>
            <sz val="9"/>
            <color indexed="81"/>
            <rFont val="Tahoma"/>
            <family val="2"/>
          </rPr>
          <t>Elin Röös:</t>
        </r>
        <r>
          <rPr>
            <sz val="9"/>
            <color indexed="81"/>
            <rFont val="Tahoma"/>
            <family val="2"/>
          </rPr>
          <t xml:space="preserve">
Approx 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3" authorId="0" shapeId="0" xr:uid="{E91E0CBE-085A-44A7-8E8E-2763A6EA04C8}">
      <text>
        <r>
          <rPr>
            <b/>
            <sz val="9"/>
            <color indexed="81"/>
            <rFont val="Tahoma"/>
            <family val="2"/>
          </rPr>
          <t>Elin Röös:</t>
        </r>
        <r>
          <rPr>
            <sz val="9"/>
            <color indexed="81"/>
            <rFont val="Tahoma"/>
            <family val="2"/>
          </rPr>
          <t xml:space="preserve">
Suckler cow and her calves slaughtered at 24 month</t>
        </r>
      </text>
    </comment>
    <comment ref="B56" authorId="0" shapeId="0" xr:uid="{E041B6AC-4B4C-4B3C-8B77-BF7D94FFD46C}">
      <text>
        <r>
          <rPr>
            <b/>
            <sz val="9"/>
            <color indexed="81"/>
            <rFont val="Tahoma"/>
            <family val="2"/>
          </rPr>
          <t>Elin Röös:</t>
        </r>
        <r>
          <rPr>
            <sz val="9"/>
            <color indexed="81"/>
            <rFont val="Tahoma"/>
            <family val="2"/>
          </rPr>
          <t xml:space="preserve">
Approx DE
</t>
        </r>
      </text>
    </comment>
    <comment ref="E56" authorId="0" shapeId="0" xr:uid="{6FF2168A-25DF-43B6-A7BC-5378142BE9F1}">
      <text>
        <r>
          <rPr>
            <b/>
            <sz val="9"/>
            <color indexed="81"/>
            <rFont val="Tahoma"/>
            <family val="2"/>
          </rPr>
          <t>Elin Röös:</t>
        </r>
        <r>
          <rPr>
            <sz val="9"/>
            <color indexed="81"/>
            <rFont val="Tahoma"/>
            <family val="2"/>
          </rPr>
          <t xml:space="preserve">
Approx HU</t>
        </r>
      </text>
    </comment>
    <comment ref="H56" authorId="0" shapeId="0" xr:uid="{2D4A173E-49B9-4EEA-BE1A-32E20AF5C1DE}">
      <text>
        <r>
          <rPr>
            <b/>
            <sz val="9"/>
            <color indexed="81"/>
            <rFont val="Tahoma"/>
            <family val="2"/>
          </rPr>
          <t>Elin Röös:</t>
        </r>
        <r>
          <rPr>
            <sz val="9"/>
            <color indexed="81"/>
            <rFont val="Tahoma"/>
            <family val="2"/>
          </rPr>
          <t xml:space="preserve">
Approx IT</t>
        </r>
      </text>
    </comment>
    <comment ref="I56" authorId="0" shapeId="0" xr:uid="{B684D717-E873-4409-937F-C3C71D7984DD}">
      <text>
        <r>
          <rPr>
            <b/>
            <sz val="9"/>
            <color indexed="81"/>
            <rFont val="Tahoma"/>
            <family val="2"/>
          </rPr>
          <t>Elin Röös:</t>
        </r>
        <r>
          <rPr>
            <sz val="9"/>
            <color indexed="81"/>
            <rFont val="Tahoma"/>
            <family val="2"/>
          </rPr>
          <t xml:space="preserve">
Approx 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27" authorId="0" shapeId="0" xr:uid="{50367FBC-7D68-4257-8E81-207F0A587288}">
      <text>
        <r>
          <rPr>
            <b/>
            <sz val="9"/>
            <color indexed="81"/>
            <rFont val="Tahoma"/>
            <family val="2"/>
          </rPr>
          <t>Elin Röös:</t>
        </r>
        <r>
          <rPr>
            <sz val="9"/>
            <color indexed="81"/>
            <rFont val="Tahoma"/>
            <family val="2"/>
          </rPr>
          <t xml:space="preserve">
Suckler cow and her calves slaughtered at 24 month</t>
        </r>
      </text>
    </comment>
    <comment ref="A237" authorId="0" shapeId="0" xr:uid="{F48FBD49-5E75-49F0-83F7-3E0134E4619A}">
      <text>
        <r>
          <rPr>
            <b/>
            <sz val="9"/>
            <color indexed="81"/>
            <rFont val="Tahoma"/>
            <family val="2"/>
          </rPr>
          <t>Elin Röös:</t>
        </r>
        <r>
          <rPr>
            <sz val="9"/>
            <color indexed="81"/>
            <rFont val="Tahoma"/>
            <family val="2"/>
          </rPr>
          <t xml:space="preserve">
Suckler cow and her calves slaughtered at 24 month</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<sst xmlns="http://schemas.openxmlformats.org/spreadsheetml/2006/main" count="1461" uniqueCount="658">
  <si>
    <t>Animal welfare index</t>
  </si>
  <si>
    <t>Blue number are inputed here</t>
  </si>
  <si>
    <t>Black are calculated</t>
  </si>
  <si>
    <t>DK</t>
  </si>
  <si>
    <t>FR</t>
  </si>
  <si>
    <t>DE</t>
  </si>
  <si>
    <t>GR</t>
  </si>
  <si>
    <t>HU</t>
  </si>
  <si>
    <t>IE</t>
  </si>
  <si>
    <t>IT</t>
  </si>
  <si>
    <t>NL</t>
  </si>
  <si>
    <t>PL</t>
  </si>
  <si>
    <t>ES</t>
  </si>
  <si>
    <t>SE</t>
  </si>
  <si>
    <t>UK</t>
  </si>
  <si>
    <t>NZ</t>
  </si>
  <si>
    <t>Utopia</t>
  </si>
  <si>
    <t>Dystopia</t>
  </si>
  <si>
    <t>Assumptions and comments:</t>
  </si>
  <si>
    <t>Source:</t>
  </si>
  <si>
    <t>fem kalvar per ko (livstidsproduktion) räknat från Gård&amp;Djurhälsan, 2023 men det ska väl användas för beef parent cow</t>
  </si>
  <si>
    <t>beef suckler tot welfare index</t>
  </si>
  <si>
    <t>Per suckler herd per yr???</t>
  </si>
  <si>
    <t>No of animals</t>
  </si>
  <si>
    <t>Slaughtering weight</t>
  </si>
  <si>
    <t>Meat produced (bonefree weight)</t>
  </si>
  <si>
    <t xml:space="preserve">welfare index beef parent </t>
  </si>
  <si>
    <t>Suckler cows</t>
  </si>
  <si>
    <t>beef parent  level</t>
  </si>
  <si>
    <t>Young animals</t>
  </si>
  <si>
    <t>beef parent ability</t>
  </si>
  <si>
    <t>Value for ruminats</t>
  </si>
  <si>
    <t>Sum meat</t>
  </si>
  <si>
    <t>kg meat</t>
  </si>
  <si>
    <t>beef parent  no per kg meat</t>
  </si>
  <si>
    <t>Lotta - dödlighet dikor 2% i Ahlgren et al - ANVÄNDA????</t>
  </si>
  <si>
    <t>Vi kan ta ett värde mittemellan de två referenserna. Men jag förstår inte var Ahlgren har fått 2% ifrån (otydlig hänvisning)</t>
  </si>
  <si>
    <t>beef parent mortality</t>
  </si>
  <si>
    <t>Assumed 3% based on Ahlgren et al, 2022 (2%) and 60% of dairy cow mortality, based on Thomson et al, 2020 (4%)</t>
  </si>
  <si>
    <t>Assumption</t>
  </si>
  <si>
    <t>beef parent  disease</t>
  </si>
  <si>
    <t>No data found; assumed 25% of dairy cow disease</t>
  </si>
  <si>
    <t>Saknar källa. Mastit hos dikor 1,5% (Andersson, 2028) och 7,9% på mjölkkor (Växa 2023b) Gammal anonym källa säger 2% (slutrapport SLF troligen fr 2005)</t>
  </si>
  <si>
    <t>beef parent slaughter</t>
  </si>
  <si>
    <t>Tab "Slaughtering"</t>
  </si>
  <si>
    <t>Från Ahlgren et al (2022):</t>
  </si>
  <si>
    <t>beef parent space</t>
  </si>
  <si>
    <t>Assuming all animals on pasture during the grazing season and free-range indoor during the stable season</t>
  </si>
  <si>
    <t>welfare index beef calves 24m suckler syst</t>
  </si>
  <si>
    <t>beef calves 24m level</t>
  </si>
  <si>
    <t>beef calves 24m ability</t>
  </si>
  <si>
    <t>beef calves 24m no per kg meat</t>
  </si>
  <si>
    <t>beef calves 24m mortality</t>
  </si>
  <si>
    <t>Mortality of live born from birth to slaughter. Based on combination of Swedish data. Most calves die first week and in UK 4.4% of suckler calves died from day 1 to day 21 (AHDP, 2021)</t>
  </si>
  <si>
    <t xml:space="preserve">Jordbruksverket 2012; 2022;2023; </t>
  </si>
  <si>
    <t>2,7+1,5=4,2. Kombination av Jordbruksverket 2023 (4,7 tot vid 6 mån) och Jordbruksverket 2022 (2,7 dikokalv och 6,0 mjölkkokalv,  tot 4,7 vid 6 mån) och Jordbruksverket 2012 (1,5% under 6-24 mån, tabell 2.14)</t>
  </si>
  <si>
    <t>beef calves 24m disease</t>
  </si>
  <si>
    <t>Lower disease and injury risk for beef than dairy calves, and for calves raised to 18m than for veal calves (Mandel et al, 2022). Assumed value set to 50% of the value for young dairy calves.</t>
  </si>
  <si>
    <t>Jordbruksverket 2012; 2022; 2023; Mandel et al, 2022</t>
  </si>
  <si>
    <t>beef calves 24m slaughter</t>
  </si>
  <si>
    <t>beef calves 24m space</t>
  </si>
  <si>
    <t>dairy calf 9m tot welfare index</t>
  </si>
  <si>
    <t>Parent (cow) is not included; all welfare isssues are allocated to the dairy production</t>
  </si>
  <si>
    <t>dairy calf 9m level</t>
  </si>
  <si>
    <t>dairy calf 9m ability</t>
  </si>
  <si>
    <t>Var kommer slaktvikten nedan ifrån?</t>
  </si>
  <si>
    <t>dairy calf 9m no per kg meat</t>
  </si>
  <si>
    <t xml:space="preserve">Här ska vi ha 1/(slaktvikt (240 kg)*0.7), vi antar bara mjölkras och all impact för moderdjuren hamnar för mjölken </t>
  </si>
  <si>
    <t>dairy calf 9m  mortality</t>
  </si>
  <si>
    <t>Mortality of liveborn from birth to slaughter. Based on combination of Swedish data</t>
  </si>
  <si>
    <t xml:space="preserve">Jordbruksverket 2012; 2022; 2023; </t>
  </si>
  <si>
    <t>Kombination av Jordbruksverket 2023 (4,7 tot vid 6 mån) och Jordbruksverket 2022 (2,7 dikokalv och 6,0 mjölkkokalv,  tot 4,7 vid 6 mån) och Jordbruksverket 2012 (0,5% under 6-9 mån, tabell 2.14)</t>
  </si>
  <si>
    <t>dairy calf 9m disease</t>
  </si>
  <si>
    <t>Data are scarce. 10% is an assumed value within a range from 4% (0-15m, calculated from Jordbruksverket, 2023b) to 23% (0-3m, Svensson et al, 2003).</t>
  </si>
  <si>
    <t>Jordbruksverket 2023b, Svensson et al, 2003</t>
  </si>
  <si>
    <t>dairy calf 9m  slaughter</t>
  </si>
  <si>
    <t>dairy calf 9m  space</t>
  </si>
  <si>
    <t>Assuming all animals indoors all year</t>
  </si>
  <si>
    <t>dairy calf 24m tot welfare index</t>
  </si>
  <si>
    <t>dairy calves 24m level</t>
  </si>
  <si>
    <t>dairy calves 24m ability</t>
  </si>
  <si>
    <t>Är rad 33 rätt? Det är inte 1/slaktvikt utan tagit från tabellen ovan, men borde det inte vara samma sak här som för 9m??</t>
  </si>
  <si>
    <t>dairy calves 24m no per kg meat</t>
  </si>
  <si>
    <t xml:space="preserve">Här ska vi ha 1/(slaktvikt*0.7), vi antar bara mjölkras och all impact för moderdjuren hamnar för mjölken </t>
  </si>
  <si>
    <t>dairy calves 24m mortality</t>
  </si>
  <si>
    <t>Kombination av Jordbruksverket 2023 (4,7 tot vid 6 mån) och Jordbruksverket 2022 (2,7 dikokalv och 6,0 mjölkkokalv,  tot 4,7 vid 6 mån) och Jordbruksverket 2012 (1,5% under 6-24 mån, tabell 2.14)</t>
  </si>
  <si>
    <t>dairy calves 24m disease</t>
  </si>
  <si>
    <t>Lower disease and injury risk for beef than dairy calves, and for calves raised to  18m than for veal calves (Mandel et al, 2022). Assumed value set to 50% of the value for young dairy calves.</t>
  </si>
  <si>
    <t>dairy calves 24m slaughter</t>
  </si>
  <si>
    <t>dairy calves 24m space</t>
  </si>
  <si>
    <t>dairy cow welfare index</t>
  </si>
  <si>
    <t>Dairy cow space includes the cow's whole life. Disease and mortality in % affected cows per year.</t>
  </si>
  <si>
    <t>kan inte sudda här?</t>
  </si>
  <si>
    <r>
      <rPr>
        <sz val="11"/>
        <color rgb="FFFF0000"/>
        <rFont val="Calibri"/>
        <family val="2"/>
        <scheme val="minor"/>
      </rPr>
      <t xml:space="preserve">Vad menas med detta? </t>
    </r>
    <r>
      <rPr>
        <sz val="11"/>
        <color rgb="FF000000"/>
        <rFont val="Calibri"/>
        <family val="2"/>
        <scheme val="minor"/>
      </rPr>
      <t>Förenklat genom att inte ha med en beräkning för kvigan. Sjukdom o dödlighet gäller vuxna kor per år</t>
    </r>
  </si>
  <si>
    <t>dairy cow level</t>
  </si>
  <si>
    <t>dairy cow ability</t>
  </si>
  <si>
    <t xml:space="preserve">See också Ingrids artikel: </t>
  </si>
  <si>
    <t xml:space="preserve"> https://www.frontiersin.org/articles/10.3389/fsufs.2023.1171865/full</t>
  </si>
  <si>
    <t>dairy cows no per kg milk</t>
  </si>
  <si>
    <t>1/life time milk production, but here adjusted to 0.0001</t>
  </si>
  <si>
    <t>Comes from Dairy.xlsx, tab Parameters, country specific</t>
  </si>
  <si>
    <t>dairy cows mortality</t>
  </si>
  <si>
    <t>Mortality per year</t>
  </si>
  <si>
    <t xml:space="preserve">Växa 2023b </t>
  </si>
  <si>
    <t>figur 4</t>
  </si>
  <si>
    <t>dairy cows disease</t>
  </si>
  <si>
    <t>Disease frequency per year. Based on combination of Swedish data</t>
  </si>
  <si>
    <t>Jordbruksverket 2023; Växa 2023a</t>
  </si>
  <si>
    <t>Medeltal av Jordbruksverket 2023 (12%) och Växa 2023a (20,4%, tabell 42)</t>
  </si>
  <si>
    <t>dairy cows slaughter</t>
  </si>
  <si>
    <t>dairy cows space</t>
  </si>
  <si>
    <t>lösdrift resp uppbundna, bete</t>
  </si>
  <si>
    <t>laying hen tot welfare index</t>
  </si>
  <si>
    <t>Laying hen parents are assumed to have similar conditions as laying hens and are included in number of hens</t>
  </si>
  <si>
    <t>welfare index laying hen male</t>
  </si>
  <si>
    <t>laying hen male level</t>
  </si>
  <si>
    <t>male chick ability</t>
  </si>
  <si>
    <t>male chick no per kg</t>
  </si>
  <si>
    <t xml:space="preserve">1 male per laying hen, but killing male chicks is forbidden in France and Germany (EFSA, 2023). </t>
  </si>
  <si>
    <t>male chick mort</t>
  </si>
  <si>
    <t>male chick disease</t>
  </si>
  <si>
    <t>male chick slaughter</t>
  </si>
  <si>
    <t>male chick space</t>
  </si>
  <si>
    <t>welfare index laying hen hen</t>
  </si>
  <si>
    <t>Laying hen parents are included in number of hens/ kg egg. Thus they are assumed to have the same welfare as laying hens (a simplification)</t>
  </si>
  <si>
    <t>laying hen hen level</t>
  </si>
  <si>
    <t>laying hen ability</t>
  </si>
  <si>
    <r>
      <rPr>
        <sz val="11"/>
        <color rgb="FF000000"/>
        <rFont val="Calibri"/>
        <family val="2"/>
        <scheme val="minor"/>
      </rPr>
      <t xml:space="preserve">laying hens no per kg </t>
    </r>
    <r>
      <rPr>
        <b/>
        <sz val="11"/>
        <color rgb="FF000000"/>
        <rFont val="Calibri"/>
        <family val="2"/>
        <scheme val="minor"/>
      </rPr>
      <t>egg</t>
    </r>
  </si>
  <si>
    <t>1/life time production. Including laying hen breeders</t>
  </si>
  <si>
    <t>Comes from Eggs.xlsx, tab Egg yield, data from Eurostat</t>
  </si>
  <si>
    <t>laying hen mort</t>
  </si>
  <si>
    <t xml:space="preserve">Cumulative mortality at 60wk. 4% in cages and 3% in avaries. Percent in cages within country range from 7 to 88; no data on Greece. </t>
  </si>
  <si>
    <t>Schuck‑Paim et al, 2021</t>
  </si>
  <si>
    <t>laying hen disease</t>
  </si>
  <si>
    <t>Comparable disease data are scarce and only keel bone fracture is used for this indicator. Studies in European countries from 2023-2019 in the review of Rufener &amp; Makagon (2020) were used. 12 studies (25 lines/replicates/treatments) averaged at 44% prevalence around 68 wk of age. Risk of bone fracture is lower in cages (Thöfner et al, 2021). Percent of hens in cages from Schuk-Paim et al (2021).</t>
  </si>
  <si>
    <t>Rufener &amp; Makagon, 2020</t>
  </si>
  <si>
    <t>laying hen slaughter</t>
  </si>
  <si>
    <t>laying hen space</t>
  </si>
  <si>
    <t xml:space="preserve">chicken tot welfare index </t>
  </si>
  <si>
    <t>welfare index chicken sl</t>
  </si>
  <si>
    <t>chicken sl level</t>
  </si>
  <si>
    <t>chicken sl ability</t>
  </si>
  <si>
    <t>chicken sl no per kg product</t>
  </si>
  <si>
    <t>Comes from Chicken.xlsx, tab Production</t>
  </si>
  <si>
    <t>chicken sl mortality</t>
  </si>
  <si>
    <t>Mortality from day 1 to slaughter</t>
  </si>
  <si>
    <t xml:space="preserve">Van Limbergen et al, 2020. </t>
  </si>
  <si>
    <t>Hittar ej specifika värden. Ref visar medel för 7 EU-länder</t>
  </si>
  <si>
    <t>chicken sl disease</t>
  </si>
  <si>
    <t xml:space="preserve">Comparable disease data are scarce and only leg problem is used for this indicator. 10% with leg problems (gait score 3-5) is an assumed average value within a range from 3% (Svensk fågel, 2023) to 17-18% (Grankvist et al, 2017; Bailie et al, 2018) in recent, large studies. Gait score is influenced by stocking density (van der Eijk et al, 2023) which range within nation from 36 kg/m2 (5,5% leg problems) to 42 kg/m2 (14,5% leg problems). </t>
  </si>
  <si>
    <t>Svensk fågel, 2023; Bailie et al, 2018; Grankvist et al, 2017; Van der Eijk et al, 2023</t>
  </si>
  <si>
    <t>chicken sl slaughter</t>
  </si>
  <si>
    <t>kortat slakttid, se flik slaughtering</t>
  </si>
  <si>
    <t>chicken sl space</t>
  </si>
  <si>
    <t>welfare index chicken parent</t>
  </si>
  <si>
    <t>chicken parent level</t>
  </si>
  <si>
    <t>chicken parent ability</t>
  </si>
  <si>
    <t>chicken parent no per kg</t>
  </si>
  <si>
    <t>chicken parents mortality</t>
  </si>
  <si>
    <t>Mortality from 20 to 60 weeks of age.</t>
  </si>
  <si>
    <t>Thøfner et al, 2019</t>
  </si>
  <si>
    <t>chicken parent disease</t>
  </si>
  <si>
    <t>Assumed the same as for laying hens due to lack of data. It may be lower in breeders than in layers due to lower selection pressure on eggmass, but on the other hand breeders suffer from hunger (De Jong &amp; Guémené, 2011)</t>
  </si>
  <si>
    <t>chicken parent slaughter</t>
  </si>
  <si>
    <t>chicken parent space</t>
  </si>
  <si>
    <t>pig tot welfare index</t>
  </si>
  <si>
    <t>welfare index pig sl</t>
  </si>
  <si>
    <t>pig sl level</t>
  </si>
  <si>
    <t>pigs sl ability</t>
  </si>
  <si>
    <t>pigs sl no  per kg meat</t>
  </si>
  <si>
    <t>Comes from Pigs.xlsx, tab Production</t>
  </si>
  <si>
    <t>pigs sl mortality</t>
  </si>
  <si>
    <t>Mortality of live born from birth to slaughter. National data from Interpig report. Mean values for Greece and Poland.</t>
  </si>
  <si>
    <t>Gårdochdjurhälsan, 2022</t>
  </si>
  <si>
    <t xml:space="preserve">Includes both piglet and sl. pigs, from figur 9 och 11-12, Gård &amp; Djurhälsan, Internationella rapporten 2022. https://www.gardochdjurhalsan.se/wp-content/uploads/2022/12/internationella-rapporten-2022.pdf </t>
  </si>
  <si>
    <t>pigs sl disease</t>
  </si>
  <si>
    <t xml:space="preserve">Assumed 15% disease frequency. Comparable data are scarce. Respiratory diseases and joint inflamations are common diseases. </t>
  </si>
  <si>
    <t>pigs sl slaughter</t>
  </si>
  <si>
    <t>pig sl space</t>
  </si>
  <si>
    <t>welfare index pig parent</t>
  </si>
  <si>
    <t>welfare level prod syst</t>
  </si>
  <si>
    <t>pig parent ability</t>
  </si>
  <si>
    <t>pigs no parent per kg meat</t>
  </si>
  <si>
    <t>pig parent mortality</t>
  </si>
  <si>
    <t>Mortality per year, based on Swedish national data</t>
  </si>
  <si>
    <t>Landquist et al, 2021</t>
  </si>
  <si>
    <t>Comes from Pigs.xlsx, tab Parameters, country specific</t>
  </si>
  <si>
    <t>pig parent disease</t>
  </si>
  <si>
    <t>Assumed 15% disease frequency. Comparable data are scarce. Leg problems and dysgalactia are common diseases. Prevalence of lameness in 7 European studies range from 9 to 29% (Huneau-Salaün et al, 2021). Prevalence of leg problems and dysgalactia in Finnish study was 14% (Niemi et al, 2017).</t>
  </si>
  <si>
    <t>Huneau-Salaun et al, 2021; Niemi et al, 2017</t>
  </si>
  <si>
    <t>pig parent slaughter</t>
  </si>
  <si>
    <t>pig parent space</t>
  </si>
  <si>
    <t>sheep tot welfare index</t>
  </si>
  <si>
    <t>welfare index sheep lamb</t>
  </si>
  <si>
    <t>sheep lamb level</t>
  </si>
  <si>
    <t xml:space="preserve">sheep lamb ability </t>
  </si>
  <si>
    <t>sheep lamb no per kg</t>
  </si>
  <si>
    <t>sheep lamb mort</t>
  </si>
  <si>
    <t>Assumed value of mortality of live born from birth to slaughter. Based on combination of data from Sweden (mean mortality from birth to weaning 5-10%, Rydhmer et al, 2021) and UK (median mortality from birth to 3 weeks 8.2% (AHDB, 2021) and Ireland (Shiels et al, 2022). Higher mortality in NZ's extensive system (Bruce et al, 2021)</t>
  </si>
  <si>
    <t>Rydhmer et al, 2021, AHDB (2021)</t>
  </si>
  <si>
    <t>sheep lamb disease</t>
  </si>
  <si>
    <t>Assumed value of 6 % disease frequency, based on 14% with disease symptoms around weaning in Spain (Gonzales et al, 2016) and 3% during a period 1 month before weaning to 2 months after weaning in UK (Lima et al, 2020).</t>
  </si>
  <si>
    <t>Gonzales et al, 2016; Lima et al, 2020</t>
  </si>
  <si>
    <t>sheep lamb slaughter</t>
  </si>
  <si>
    <t>sheep lamb space</t>
  </si>
  <si>
    <t>welfare index sheep parent</t>
  </si>
  <si>
    <t>sheep parent level</t>
  </si>
  <si>
    <t>sheep parent ability</t>
  </si>
  <si>
    <t>sheep parent no per kg</t>
  </si>
  <si>
    <t>2.3</t>
  </si>
  <si>
    <t>sheep parent mortality</t>
  </si>
  <si>
    <r>
      <rPr>
        <sz val="11"/>
        <color rgb="FF000000"/>
        <rFont val="Calibri"/>
        <family val="2"/>
        <scheme val="minor"/>
      </rPr>
      <t xml:space="preserve">Assumed </t>
    </r>
    <r>
      <rPr>
        <sz val="11"/>
        <color rgb="FFFF0000"/>
        <rFont val="Calibri"/>
        <family val="2"/>
        <scheme val="minor"/>
      </rPr>
      <t>6%</t>
    </r>
    <r>
      <rPr>
        <sz val="11"/>
        <color rgb="FF000000"/>
        <rFont val="Calibri"/>
        <family val="2"/>
        <scheme val="minor"/>
      </rPr>
      <t xml:space="preserve"> mortality by year, based on data from UK (5-7%, AssureWel, 2023), Sweden (5%, Rydhmer et al, 2021; 2-3% Ahlgren et al, 2022) and Australia and NZ (3-27%, reviewed by Flay et al, 2021)</t>
    </r>
  </si>
  <si>
    <t>AssureWel (2023), Rydhmer et al (2021)</t>
  </si>
  <si>
    <t>sheep parent disease</t>
  </si>
  <si>
    <t xml:space="preserve">Assumed value. Matsitis is a common disease and Arsenaut et al (2008) found ranged among flocks from 0 to 6.6%. Footroot is another common disease and Storms et al (2021) found that 6% of ewes had clear signs of footroot. </t>
  </si>
  <si>
    <t xml:space="preserve">Arsenaut et al (2008); Storms et al (2021) </t>
  </si>
  <si>
    <t>sheep parent slaughter</t>
  </si>
  <si>
    <t>sheep parent space</t>
  </si>
  <si>
    <t>antar alla på bete hela säsongen</t>
  </si>
  <si>
    <t>rabbit welfare index</t>
  </si>
  <si>
    <t>Rabbit parents are assumed to have similar conditions as rabbits reared for slaughter and are included in number of rabbits (a simplification)</t>
  </si>
  <si>
    <t>rabbit level</t>
  </si>
  <si>
    <t>rabbit ability</t>
  </si>
  <si>
    <t>rabbit no per kg</t>
  </si>
  <si>
    <t>Including rabbit breeders</t>
  </si>
  <si>
    <t>Ökat till 0,743 här. 1 kaninmamma ger 76 kg kaninkött . Krupova et al, 2020</t>
  </si>
  <si>
    <t>rabbit mort</t>
  </si>
  <si>
    <t>Mortality of rabbits raised for slaughter set to 15% based on EFSA (2005) stating 10-15% "on the most successful intensive closed cycle farms" and EFSA (2021) highlighting savaging and gastroenteeric disorders as common causes of mortality.</t>
  </si>
  <si>
    <t>EFSA, 2005; EFSA 2021</t>
  </si>
  <si>
    <t>rabbit disease</t>
  </si>
  <si>
    <t xml:space="preserve">Assumed disease rate 11% based on 19% rhinitis and 11% skin lesions and wounds (average over different production systems) reported by EFSA (2020) and 11 % dermatomycosis and 1% diarrhea found by Trocino et al (2022) </t>
  </si>
  <si>
    <t>rabbit slaughter</t>
  </si>
  <si>
    <t>Time for Spain from Buil et al (2004), and from Italy from Caucci (2018) assuming the same time for loading as in Spain. Average time of these two for the other countries.</t>
  </si>
  <si>
    <t>Buil et al, 2004; Cauccia et al, 2018</t>
  </si>
  <si>
    <t>rabbit space</t>
  </si>
  <si>
    <t>salmon welfare index</t>
  </si>
  <si>
    <t xml:space="preserve">Since each parent salmon produces huge numbers of salmon for slaughter, the parents are not included. </t>
  </si>
  <si>
    <t>salmon level</t>
  </si>
  <si>
    <t>salmon ability</t>
  </si>
  <si>
    <t>salmon no per kg</t>
  </si>
  <si>
    <t>See Blue food.xlsx</t>
  </si>
  <si>
    <t>salmon mortality</t>
  </si>
  <si>
    <t>Yearly mortality in % in salmon production in Norway</t>
  </si>
  <si>
    <t>Sommerset et al, 2023</t>
  </si>
  <si>
    <t>salmon disease</t>
  </si>
  <si>
    <t xml:space="preserve">Assumed value. Disease prevalence of fish in aquaculture is not measured in % of individuals. At slaughter, 14,5% of the produced weigth is classified as less than 'superior' due to  defects and malformations, clinical signs, wounds and injuries and puberty. Puberty (approx 20% on non-superior) is not a sign of disease or injury, but on the other hand the rate of non-superior individuals is higher than rate of non-superior weight since non-superior individuals are smaller. (Sommerset el al, 2022). </t>
  </si>
  <si>
    <t>salmon slaughter</t>
  </si>
  <si>
    <t xml:space="preserve">ökat på till 5 h här för alla länder </t>
  </si>
  <si>
    <t>salmon space</t>
  </si>
  <si>
    <t>wild fish welfare index</t>
  </si>
  <si>
    <t>wild fish level</t>
  </si>
  <si>
    <t>wild fish ability</t>
  </si>
  <si>
    <t>wild fish no per kg</t>
  </si>
  <si>
    <t>Assumed body weight in the middle of cod (xkg) and hering (60g)</t>
  </si>
  <si>
    <t>wild fish mortality</t>
  </si>
  <si>
    <t>wild fish disease</t>
  </si>
  <si>
    <t>wild fish slaughter</t>
  </si>
  <si>
    <t>Breen et al, 2020</t>
  </si>
  <si>
    <t>wild fish space</t>
  </si>
  <si>
    <t>wild ruminant tot welfare index</t>
  </si>
  <si>
    <t>game: moose, raw deer, fallow deer, red dear</t>
  </si>
  <si>
    <t>wild ruminant level</t>
  </si>
  <si>
    <t>wild ruminant ability</t>
  </si>
  <si>
    <t>wild ruminant no per kg</t>
  </si>
  <si>
    <t>wild ruminant mortality</t>
  </si>
  <si>
    <t>wild ruminant disease</t>
  </si>
  <si>
    <t>wild ruminant slaughter</t>
  </si>
  <si>
    <t>hur ska vi tänka här? Stressande jakt 1 timme?</t>
  </si>
  <si>
    <t>wild ruminant space</t>
  </si>
  <si>
    <t>wild boar tot welfare index</t>
  </si>
  <si>
    <t>game: wild boar</t>
  </si>
  <si>
    <t>wild boar level</t>
  </si>
  <si>
    <t>wild boar ability</t>
  </si>
  <si>
    <t>wild boar no per kg</t>
  </si>
  <si>
    <t>wild boar mortality</t>
  </si>
  <si>
    <t>wild boar disease</t>
  </si>
  <si>
    <t>wild boar slaughter</t>
  </si>
  <si>
    <t>wild boar space</t>
  </si>
  <si>
    <t>wild rabbit tot welfare index</t>
  </si>
  <si>
    <t>game: European hare and rabbit</t>
  </si>
  <si>
    <t>wild rabbit level</t>
  </si>
  <si>
    <t>wild rabbit ability</t>
  </si>
  <si>
    <t>wild rabbit no per kg</t>
  </si>
  <si>
    <t>wild rabbit mortality</t>
  </si>
  <si>
    <t>wild rabbit disease</t>
  </si>
  <si>
    <t>wild rabbit slaughter</t>
  </si>
  <si>
    <t>wild rabbit space</t>
  </si>
  <si>
    <t>mealworm welfare index</t>
  </si>
  <si>
    <t>mealworm level</t>
  </si>
  <si>
    <t>mealworm ability</t>
  </si>
  <si>
    <t>mealworm no per kg</t>
  </si>
  <si>
    <t>Adjusted by dividing by 100</t>
  </si>
  <si>
    <t>mealworm mortality</t>
  </si>
  <si>
    <t>mealworm disease</t>
  </si>
  <si>
    <t>mealworm slaughter</t>
  </si>
  <si>
    <t>Slaughter is here assumed to be done by shredding and time of slaughter process is set to 1 minute. According to Erens et al (2012) it takes a "split second". But slaughter is also made by freezing which takes longer time; see the discussion</t>
  </si>
  <si>
    <t>Erens et al (2021)</t>
  </si>
  <si>
    <t>hur ska vi tänka med "slakten" i Dystopia?</t>
  </si>
  <si>
    <t>mealworm space</t>
  </si>
  <si>
    <t>Assuming stocking density is not relevant for mealworms</t>
  </si>
  <si>
    <t>welfare index honeybee</t>
  </si>
  <si>
    <t>honeybee level</t>
  </si>
  <si>
    <t>honeybee ability</t>
  </si>
  <si>
    <t>honeybee no per kg honey</t>
  </si>
  <si>
    <t>Assumed number of bees needed to produce 1 kg honey, adjusted by dividing by 100</t>
  </si>
  <si>
    <t>honeybee mortality</t>
  </si>
  <si>
    <t>honeybee disease</t>
  </si>
  <si>
    <t>honeybee slaughter</t>
  </si>
  <si>
    <t>The slaughter process is irrelevant for honey bees and thus given a very low, arbitrary value</t>
  </si>
  <si>
    <t>honeybee space</t>
  </si>
  <si>
    <t>Assuming stocking density is not relevant for bees</t>
  </si>
  <si>
    <t>welfare index mussels</t>
  </si>
  <si>
    <t>Till diskussionen: Musslor rör sig inte och sitter trångt i det vilda. Om de växer där det är tidvatten är de vana att vara ovanför yten. Välfärdsindex funkar inte om 1 timmes eller 1 dygns lagring från skörd till kokning är ovidkommande för musslan och det vet vi inte. Vi kan presentera två värden, ett där räknar med ett dygn och detta</t>
  </si>
  <si>
    <t>mussels level</t>
  </si>
  <si>
    <t>mussels ability</t>
  </si>
  <si>
    <t>mussels no per kg</t>
  </si>
  <si>
    <t>Assumed weight per animal 7,5 g (without shell). utan skal blir det 133 st, adjusted by divided by 10</t>
  </si>
  <si>
    <t>https://receptfavoriter.se/matartiklar/matt-och-vikt-pa-olika-livsmedel.html</t>
  </si>
  <si>
    <t>medelstor 25 g varav 70% skal</t>
  </si>
  <si>
    <t>mussels mortality</t>
  </si>
  <si>
    <t>mussels disease</t>
  </si>
  <si>
    <t>mussels slaughter</t>
  </si>
  <si>
    <t>The length of slaughter process is set to 2 h to represent the time for handling the mussels and for killing  by boiling. Storing mussels before sale is not included, which can be questionned; see the discussion.</t>
  </si>
  <si>
    <t>mussels space</t>
  </si>
  <si>
    <t>Assuming stocking density is not relevant for mussels</t>
  </si>
  <si>
    <t>welfare index shrimps</t>
  </si>
  <si>
    <t>shrimps level</t>
  </si>
  <si>
    <t>shrimps ability</t>
  </si>
  <si>
    <t>shrimps no per kg</t>
  </si>
  <si>
    <t>Assumed weight per animal 8 g (peeled) Om 8 g skalad blir det 125 st, adjusted by dividing by 10</t>
  </si>
  <si>
    <t>http://www.kunskapskokboken.se/4.22713/varufakta/nordhavsraka/</t>
  </si>
  <si>
    <t xml:space="preserve">normalstor 14 g, varav 8 g skalad  </t>
  </si>
  <si>
    <t>shrimps mortality</t>
  </si>
  <si>
    <t>shrimps disease</t>
  </si>
  <si>
    <t>shrimps slaughter</t>
  </si>
  <si>
    <t>kan de leva längre än 1 timma?</t>
  </si>
  <si>
    <t>shrimps space</t>
  </si>
  <si>
    <t>welfare index wild octopus squid</t>
  </si>
  <si>
    <t>octopus squid level</t>
  </si>
  <si>
    <t>wild octopus squid ability</t>
  </si>
  <si>
    <t>wild octopus squid no per kg</t>
  </si>
  <si>
    <t>Assumed body weight in the middle of octopus (15kg) and squid (60g)</t>
  </si>
  <si>
    <t>från bluefood.xlsx</t>
  </si>
  <si>
    <t>wild octopus squid mortality</t>
  </si>
  <si>
    <t>wild octopus squid disease</t>
  </si>
  <si>
    <t>wild octopus squid slaughter</t>
  </si>
  <si>
    <t>kan de leva längre än 3,5 timme?</t>
  </si>
  <si>
    <t>wild octopus squid space</t>
  </si>
  <si>
    <t>horse welfare index</t>
  </si>
  <si>
    <t>All horses (parents and non-parents) are assumed to have similar conditions. The welfare index is based on data from adult animals only, since a horse has a long life and thus the adult phase is a large part of the total life phase.</t>
  </si>
  <si>
    <t>horse level</t>
  </si>
  <si>
    <t>horse ability</t>
  </si>
  <si>
    <t>horse no per kg</t>
  </si>
  <si>
    <t>Assuming carcasse weight 300 kg and dressing percentage 65%. Rätt så? Eller det ska bara vara köttet (inte ben)? Jag minns inte</t>
  </si>
  <si>
    <t>horse mort</t>
  </si>
  <si>
    <t xml:space="preserve">Mortality of horses set to 3% based on Tapprest et al 2017 (large epidemiological study in France) </t>
  </si>
  <si>
    <t>horse disease</t>
  </si>
  <si>
    <t>Assumed disease rate 15% based on Ireland et al (2013) reporting 14% of horses have osteoarthritis (most prevalent owner-reported chronic/recurrent condition)</t>
  </si>
  <si>
    <t>http://dx.doi.org/10.1016/j.rvsc.2013.05.007</t>
  </si>
  <si>
    <t>horse slaughter</t>
  </si>
  <si>
    <t>horse space</t>
  </si>
  <si>
    <t>Diagrams</t>
  </si>
  <si>
    <t>High</t>
  </si>
  <si>
    <t>Average</t>
  </si>
  <si>
    <t>Low</t>
  </si>
  <si>
    <t>Meat from suckler herds</t>
  </si>
  <si>
    <t>Meat from dairy calves 9m</t>
  </si>
  <si>
    <t>Meat from dairy calves 24m</t>
  </si>
  <si>
    <t>Milk</t>
  </si>
  <si>
    <t>Egg</t>
  </si>
  <si>
    <t>Chicken</t>
  </si>
  <si>
    <t>Pig</t>
  </si>
  <si>
    <t>Sheep</t>
  </si>
  <si>
    <t>Rabbit</t>
  </si>
  <si>
    <t>Salmon</t>
  </si>
  <si>
    <t>Meal worm</t>
  </si>
  <si>
    <t>Shrimp</t>
  </si>
  <si>
    <t>COMPARISON ACROSS ANIMAL SPECIES BASED ON DENMARK</t>
  </si>
  <si>
    <t>En sån här tabell skulle kunna vara användbar för att diskutera vad skillnaderna mellan djurslagen beror på eg</t>
  </si>
  <si>
    <t>Det är inte så stora skillnader mellan länder så det är värt att rita dem i ett diagram så här, bättre visa för ett land, eller bättre i tabell? -&gt;</t>
  </si>
  <si>
    <t>Production animal</t>
  </si>
  <si>
    <t>Parent animal</t>
  </si>
  <si>
    <t>Chicken much higher index because high no of animal per kg of meat and high value for level due to limited space and high disease rate. Parent animals contribute 10%...</t>
  </si>
  <si>
    <t>Bättre att ha i tabell? Och diskutera intressanta skillnader tex ungern högre för får än gris</t>
  </si>
  <si>
    <t>Overall index</t>
  </si>
  <si>
    <t>Index</t>
  </si>
  <si>
    <t>Level</t>
  </si>
  <si>
    <t>Ability</t>
  </si>
  <si>
    <t>No of animal</t>
  </si>
  <si>
    <t>Interesting that the parent animal contributes more than per kg of meat from beef.</t>
  </si>
  <si>
    <t>Wild ruminants</t>
  </si>
  <si>
    <t>Wild boar</t>
  </si>
  <si>
    <t xml:space="preserve">Wild rabbit </t>
  </si>
  <si>
    <t> </t>
  </si>
  <si>
    <t>Parent animal, or other involved animals</t>
  </si>
  <si>
    <t>Milk from dairy cows</t>
  </si>
  <si>
    <t>*</t>
  </si>
  <si>
    <t>Chicken meat</t>
  </si>
  <si>
    <t>Pig meat</t>
  </si>
  <si>
    <t>Lamb meat</t>
  </si>
  <si>
    <t>Rabbit meat</t>
  </si>
  <si>
    <t>Wild fish</t>
  </si>
  <si>
    <t>Meat from wild ruminants</t>
  </si>
  <si>
    <t>Wildboar meat</t>
  </si>
  <si>
    <t>Wild rabbit meat</t>
  </si>
  <si>
    <t>Mealworm</t>
  </si>
  <si>
    <t>Honey from bees</t>
  </si>
  <si>
    <t>Mussels</t>
  </si>
  <si>
    <t>Shrimps</t>
  </si>
  <si>
    <t>Wild octapus</t>
  </si>
  <si>
    <t>Horse meat</t>
  </si>
  <si>
    <t>Read me</t>
  </si>
  <si>
    <t>This file contains the calculations of the Animal Welfare Index.</t>
  </si>
  <si>
    <t>The index is calculated by multiplying:</t>
  </si>
  <si>
    <t>A number between 0-1</t>
  </si>
  <si>
    <t xml:space="preserve">A number between 0.001-5 representing the </t>
  </si>
  <si>
    <t>No of animals needed to produce 1 kg of meat/fish/seafood/milk/egg</t>
  </si>
  <si>
    <t>This is "cut off" in both ends</t>
  </si>
  <si>
    <t>It can not be lower that 0.0001, otherwise the level and ability of dairy cows and some parents animals would not matter at all</t>
  </si>
  <si>
    <t>And for "small animals" (shrimp and mussels) it is divided by 10 not to get very high numbers for these</t>
  </si>
  <si>
    <t>And then multiplying by 100 to get a convenient no</t>
  </si>
  <si>
    <t>Averge beef Europe</t>
  </si>
  <si>
    <t>Shares_dairy_cows</t>
  </si>
  <si>
    <t>Shares_suckler</t>
  </si>
  <si>
    <t>Shares_dairy24m</t>
  </si>
  <si>
    <t>Shares_dairy9m</t>
  </si>
  <si>
    <t>Shares</t>
  </si>
  <si>
    <t>Average of SAFAD countries, calculated from Shares beef.xlsx</t>
  </si>
  <si>
    <t>AW</t>
  </si>
  <si>
    <t>Weights</t>
  </si>
  <si>
    <t>Test av olika algoritmer</t>
  </si>
  <si>
    <t>Vårt index som vi har beslutat</t>
  </si>
  <si>
    <t>Kan anta värden mellan 0.001 och 5 teoretisk</t>
  </si>
  <si>
    <t xml:space="preserve">Ability </t>
  </si>
  <si>
    <t>No of anim</t>
  </si>
  <si>
    <t>Mult</t>
  </si>
  <si>
    <t>Add</t>
  </si>
  <si>
    <t>Wild ruminant</t>
  </si>
  <si>
    <t>Kycklingen kan få ett mkt lägre index med bättre skötsel tex om rastgård, låg sjukdom, låg dödlighet och snabb slakt</t>
  </si>
  <si>
    <t>Att de är många är positivt för en förbättring i skötsel får stort genomslag</t>
  </si>
  <si>
    <t>Allt normerade</t>
  </si>
  <si>
    <t xml:space="preserve">Add  with </t>
  </si>
  <si>
    <t>(level+ability)*no of animal</t>
  </si>
  <si>
    <t xml:space="preserve">Vid multiplikation blir det stora skillnader, level förr </t>
  </si>
  <si>
    <t>nuvarande med liv/1</t>
  </si>
  <si>
    <t>weight=4</t>
  </si>
  <si>
    <t>weight=1</t>
  </si>
  <si>
    <t>weight=test</t>
  </si>
  <si>
    <t>beef suckler</t>
  </si>
  <si>
    <t>dairy calf 9 m</t>
  </si>
  <si>
    <t>dairy calf 24m</t>
  </si>
  <si>
    <t>dairy cow milk</t>
  </si>
  <si>
    <t>laying hen egg</t>
  </si>
  <si>
    <t>sedan satt till 0,0001</t>
  </si>
  <si>
    <t>chicken</t>
  </si>
  <si>
    <t>även kortat slaktprocess 2h</t>
  </si>
  <si>
    <t>pig</t>
  </si>
  <si>
    <t>sheep</t>
  </si>
  <si>
    <t>rabbit</t>
  </si>
  <si>
    <t>salmon</t>
  </si>
  <si>
    <t>wild fish</t>
  </si>
  <si>
    <t>wild ruminant</t>
  </si>
  <si>
    <t>wild boar</t>
  </si>
  <si>
    <t>wild rabbit</t>
  </si>
  <si>
    <t>meal worm</t>
  </si>
  <si>
    <t>honey bee</t>
  </si>
  <si>
    <t>mussels</t>
  </si>
  <si>
    <t>shrimps</t>
  </si>
  <si>
    <t>octopus-squid</t>
  </si>
  <si>
    <t>horse</t>
  </si>
  <si>
    <r>
      <t xml:space="preserve">Since number of animals (lives) per functional unit  is not an animal welfare issue </t>
    </r>
    <r>
      <rPr>
        <i/>
        <sz val="11"/>
        <color rgb="FFFF0000"/>
        <rFont val="Calibri"/>
        <family val="2"/>
        <scheme val="minor"/>
      </rPr>
      <t>per se</t>
    </r>
    <r>
      <rPr>
        <sz val="11"/>
        <color rgb="FFFF0000"/>
        <rFont val="Calibri"/>
        <family val="2"/>
        <scheme val="minor"/>
      </rPr>
      <t>, we chose to reduce the importance of this number.</t>
    </r>
  </si>
  <si>
    <t xml:space="preserve">This transformation can be regarded as a kind of weighting. We used a minimum number of 0,001 for all animals which resulted in an increased number for </t>
  </si>
  <si>
    <t xml:space="preserve">beef parent, dairy cow and pig parent. We reduced the importance by dividing the number for chicken, rabbit and wild rabbit with 2,  </t>
  </si>
  <si>
    <t>and by dividing the number for mussels and shrimps with 10 and the number for honey bees and meal worms with 100.</t>
  </si>
  <si>
    <t>&lt;0,001 set to 0,001</t>
  </si>
  <si>
    <t>&gt;0,003-0,4 unchanged</t>
  </si>
  <si>
    <t>0,6-0,7 divided by 2</t>
  </si>
  <si>
    <t>125-133 divided by 10</t>
  </si>
  <si>
    <t>10000-12000 divided by 100</t>
  </si>
  <si>
    <r>
      <t xml:space="preserve">dairy cows no per kg </t>
    </r>
    <r>
      <rPr>
        <b/>
        <sz val="11"/>
        <color rgb="FF000000"/>
        <rFont val="Calibri"/>
        <family val="2"/>
        <scheme val="minor"/>
      </rPr>
      <t>milk</t>
    </r>
  </si>
  <si>
    <t>satt till 0,001</t>
  </si>
  <si>
    <t>halverat (som viktning)</t>
  </si>
  <si>
    <t>ändra tillbaka</t>
  </si>
  <si>
    <t>/100</t>
  </si>
  <si>
    <t>honeybee no per kg</t>
  </si>
  <si>
    <t>/10</t>
  </si>
  <si>
    <t>Species</t>
  </si>
  <si>
    <t>Ability score, norm</t>
  </si>
  <si>
    <t>Non-normalised</t>
  </si>
  <si>
    <t>Beef parents/cows</t>
  </si>
  <si>
    <t>Beef calves</t>
  </si>
  <si>
    <t>Male chick 10m</t>
  </si>
  <si>
    <t>Laying hens</t>
  </si>
  <si>
    <t xml:space="preserve">Pigs, slaughtering </t>
  </si>
  <si>
    <t>Pigs, parents/sows</t>
  </si>
  <si>
    <t>Sheep/goat, lamb</t>
  </si>
  <si>
    <t>Sheep/goat, parents</t>
  </si>
  <si>
    <t>Salmon, farmed</t>
  </si>
  <si>
    <t>Non-domestic ruminants, hunting</t>
  </si>
  <si>
    <t>Non-domestic pigs, hunting</t>
  </si>
  <si>
    <t>Non-domestic rabits, hunting</t>
  </si>
  <si>
    <t>Honey bees</t>
  </si>
  <si>
    <t>Musslor har ett högre värde än mjölmask!</t>
  </si>
  <si>
    <t>Ja, och vi har nog egentligen ingen aning...</t>
  </si>
  <si>
    <t>Octopus, wild</t>
  </si>
  <si>
    <t>Horse</t>
  </si>
  <si>
    <t xml:space="preserve">Slaughtering </t>
  </si>
  <si>
    <t xml:space="preserve">Slaughter process duration in hours and relative value for slaughter </t>
  </si>
  <si>
    <t>DK**</t>
  </si>
  <si>
    <t>DKrel</t>
  </si>
  <si>
    <t>FRrel</t>
  </si>
  <si>
    <t>DE**</t>
  </si>
  <si>
    <t>DErel</t>
  </si>
  <si>
    <t>GRrel</t>
  </si>
  <si>
    <t>HUrel</t>
  </si>
  <si>
    <t>IErel</t>
  </si>
  <si>
    <t>ITrel</t>
  </si>
  <si>
    <t>NL**</t>
  </si>
  <si>
    <t>NLrel</t>
  </si>
  <si>
    <t>PLrel</t>
  </si>
  <si>
    <t>ESrel</t>
  </si>
  <si>
    <t>SE**</t>
  </si>
  <si>
    <t>SErel</t>
  </si>
  <si>
    <t>UKrel</t>
  </si>
  <si>
    <t>NZrel</t>
  </si>
  <si>
    <t>Cattle</t>
  </si>
  <si>
    <t>Poultry - hen</t>
  </si>
  <si>
    <t>Både hönor och kyckling??</t>
  </si>
  <si>
    <t>Svar Nej, ändrat nu</t>
  </si>
  <si>
    <t>Sheep/goat</t>
  </si>
  <si>
    <t xml:space="preserve">Time for Spain from Buil et al (2004), and from Italy from Caucci (2018) assuming the same time for loading as in Spain. Average time of these two for France, Greece, Hungary, Irland, Polen. Denmark, Germany, Netherlands and Sweden set to 6 h. </t>
  </si>
  <si>
    <t>Wild mammals, hunting</t>
  </si>
  <si>
    <t>ändrat!</t>
  </si>
  <si>
    <t>Poultry - chicken *</t>
  </si>
  <si>
    <t>Slaughter process duration includes cathing or collecting animals on farm, loading, transport, loading off and lairage time on the slaughter house, i.e. from start of handling until the animal is dead or has lost consiuosness.</t>
  </si>
  <si>
    <t xml:space="preserve">Data on average duration of slaughter process are scarce and thus based on assumptions (except data for Italian and Spanish rabbits). In addition to the transport, 1 h pre-transport and 1 h post-transport is assumed. </t>
  </si>
  <si>
    <t xml:space="preserve">The duration of transport from farm to slaughter plant is assumed based on frequencies of short (&lt;8h), long (8-24) and very long (&gt;24 h) journeys in EU 2017-2021 presented by ECA (2023) for intra-EU transports of horses, poultry, pigs, small ruminants and cattle. These data are used for the slaughter process indicator although many journeys are between farms and not between farm and slaughter plant. European data on localisation of farms and slaughter plants are lacking. </t>
  </si>
  <si>
    <t xml:space="preserve"> UK (with brexit 2021) is assumed to have the same transport durations as reported for EU countries' average 2017-2021 (ECA, 2023). Journeys &lt;8h is set to 6 h, 8-24 h to 10h and &gt;24 h to 26 h. </t>
  </si>
  <si>
    <t>The transport duration for NZ is assumed to nbe shorter (4 h) due to NZ relatively small size and large number of slaughter plants; &gt;30 slaughter plants for sheep (beeflambnz, 2019)</t>
  </si>
  <si>
    <t>* The structure of chicken production differs from other animal production; a group of chicken farms is often localised in a cluster close to a slaughter plant (Albihn et al, 2021) and the time for chicken is therefore reduced with 2 h, compared to hens (within country).</t>
  </si>
  <si>
    <t xml:space="preserve">**  Ministers responsible for animal welfare during transport in Denmark, Germany, Netherlands  and Sweden (and Belgium) suggest in a position paper (European Council, 2022) a maximum of 8 h of transport for all animals destinated for slaughter. The assumed average duration of transport for these countries was set to 6 h. </t>
  </si>
  <si>
    <t>Wild fish ref: Breen et al (2020)</t>
  </si>
  <si>
    <t>Aquaculture fish ref: Artctic seafood export, 2024 and Leröy, 2017</t>
  </si>
  <si>
    <t>ECA, 2023</t>
  </si>
  <si>
    <t>Percent of animals</t>
  </si>
  <si>
    <t>short = 6</t>
  </si>
  <si>
    <t>long = 10</t>
  </si>
  <si>
    <t>very long =26</t>
  </si>
  <si>
    <t>minus 2h</t>
  </si>
  <si>
    <t>poultry</t>
  </si>
  <si>
    <t>cattle</t>
  </si>
  <si>
    <t>Pasture</t>
  </si>
  <si>
    <t>Share of manure on pasture</t>
  </si>
  <si>
    <t>Dairy</t>
  </si>
  <si>
    <t>No-dairy cattle</t>
  </si>
  <si>
    <t>Other mature cattle</t>
  </si>
  <si>
    <t>Growing cattle</t>
  </si>
  <si>
    <t>Comment:</t>
  </si>
  <si>
    <t xml:space="preserve">National inventory reporting. CRF files. </t>
  </si>
  <si>
    <t xml:space="preserve">https://unfccc.int/ghg-inventories-annex-i-parties/2023  </t>
  </si>
  <si>
    <t>For sheep Ireland, average Upland sheep and sheep other</t>
  </si>
  <si>
    <t>CRF 2023, Table 3B(a)s2 Allocation.</t>
  </si>
  <si>
    <t>Only Netherlands provide data divided on Other mature cattle and Growing cattle</t>
  </si>
  <si>
    <t>No value for sheep Sweden, assuming same as Denmark</t>
  </si>
  <si>
    <t>inte använt gödsel för dairy</t>
  </si>
  <si>
    <t>Betessäsongens längd i månader</t>
  </si>
  <si>
    <t>köttkor</t>
  </si>
  <si>
    <t>mjölkkor</t>
  </si>
  <si>
    <t>får</t>
  </si>
  <si>
    <t>Mortality</t>
  </si>
  <si>
    <t>Source: Gård&amp;Djurhälsan, 2022, figures 9, 11 and 12</t>
  </si>
  <si>
    <t xml:space="preserve">Denmark </t>
  </si>
  <si>
    <t>France</t>
  </si>
  <si>
    <t>Germany</t>
  </si>
  <si>
    <t>Greece*</t>
  </si>
  <si>
    <t xml:space="preserve">Hungary </t>
  </si>
  <si>
    <t>Ireland</t>
  </si>
  <si>
    <t>Italy</t>
  </si>
  <si>
    <t>Netherlands</t>
  </si>
  <si>
    <t>Poland*</t>
  </si>
  <si>
    <t>Spain</t>
  </si>
  <si>
    <t>Sweden</t>
  </si>
  <si>
    <t>Born</t>
  </si>
  <si>
    <t>Mortality weaning %</t>
  </si>
  <si>
    <t>Mortality piglet growth phase %</t>
  </si>
  <si>
    <t>Mortality slaughtering/fattening pigs %</t>
  </si>
  <si>
    <t>Total mortality of liveborn</t>
  </si>
  <si>
    <t>* Missing data, used average of other countries</t>
  </si>
  <si>
    <t>Preliminary results shown at the EAAP conference????</t>
  </si>
  <si>
    <t>gram</t>
  </si>
  <si>
    <t>level</t>
  </si>
  <si>
    <t>number</t>
  </si>
  <si>
    <t>ability</t>
  </si>
  <si>
    <t>per kg</t>
  </si>
  <si>
    <t>per diet</t>
  </si>
  <si>
    <t>per år</t>
  </si>
  <si>
    <t>Beef</t>
  </si>
  <si>
    <t>Pork</t>
  </si>
  <si>
    <t>Available space</t>
  </si>
  <si>
    <t>Disease ratio</t>
  </si>
  <si>
    <t>Mortality on farm</t>
  </si>
  <si>
    <t>Slaughter process duration</t>
  </si>
  <si>
    <t>Welfare level      of production system</t>
  </si>
  <si>
    <t>Beef cattle</t>
  </si>
  <si>
    <t>Dairy cow</t>
  </si>
  <si>
    <t>-”- parents</t>
  </si>
  <si>
    <t>Laying hen</t>
  </si>
  <si>
    <t>Använt för Lyon</t>
  </si>
  <si>
    <t>Total, per country</t>
  </si>
  <si>
    <t>European</t>
  </si>
  <si>
    <t>Country</t>
  </si>
  <si>
    <t>animals / kg meat</t>
  </si>
  <si>
    <t>Moose</t>
  </si>
  <si>
    <t>Roe deer</t>
  </si>
  <si>
    <t>Red deer</t>
  </si>
  <si>
    <t>Fallow deer</t>
  </si>
  <si>
    <t>Hare</t>
  </si>
  <si>
    <t xml:space="preserve"> </t>
  </si>
  <si>
    <t>Estimation was done by:</t>
  </si>
  <si>
    <t>Denmark</t>
  </si>
  <si>
    <t>Inga uppgifter om konsumtion från  fågeljakt?</t>
  </si>
  <si>
    <t>1. As no complete consumption data could be found, it was assumed that the share of game animals consumed (on a weight basis) mirrored the national production of game meat. There seems to be a large difference between amounts produced and consumed (due to trade), but as the end goal is to provide the number of game animals killed for 1 kg of meat - the difference in total amount is not superrelevant</t>
  </si>
  <si>
    <t>2. National production of game animals was found in the UNECE report. All animals that contributed 10% or more of the meat supply (on a weight basis) for at least one country were considered, and the share that each species contributed to the national production of game meat calculated</t>
  </si>
  <si>
    <t>Greece</t>
  </si>
  <si>
    <t>3. Number of animals needed for 1 kg of meat were determined on a species by species basis, using the total mass of the animals (as presented in the UNECE report) and the meat yield of each animal</t>
  </si>
  <si>
    <t>Hungary</t>
  </si>
  <si>
    <t>4. By using the share of game animals produced in each country and species-specific number of animals / kg of meat, a national average of number of animals / kg of meat could be determined</t>
  </si>
  <si>
    <t>Sources:</t>
  </si>
  <si>
    <t>1. UNECE report, for determining national production per species, species weight, and meat yield for hares / rabbits</t>
  </si>
  <si>
    <t>https://unece.org/fileadmin/DAM/timber/meetings/2018/20180321/game-meat-draft-2018-03.pdf</t>
  </si>
  <si>
    <t>Netherland</t>
  </si>
  <si>
    <t>2. For meat yields of roe and red deer, and wild boar.</t>
  </si>
  <si>
    <t>https://www.sciencedirect.com/science/article/pii/S0921800914001980#bb0165</t>
  </si>
  <si>
    <t>Poland</t>
  </si>
  <si>
    <t>3. For meat yield of mooses.</t>
  </si>
  <si>
    <t>https://www.adfg.alaska.gov/index.cfm?adfg=moosehunting.main</t>
  </si>
  <si>
    <t>This article also has kg game meat consumed / capita and country, if we need it in the future</t>
  </si>
  <si>
    <t xml:space="preserve">Share of hunted wild meat </t>
  </si>
  <si>
    <t>sum rum</t>
  </si>
  <si>
    <t>rum</t>
  </si>
  <si>
    <t>European Hare</t>
  </si>
  <si>
    <t>European Rabbit</t>
  </si>
  <si>
    <t>Approximated with Germany</t>
  </si>
  <si>
    <t>Approximated with Italy</t>
  </si>
  <si>
    <t>Approximated with Poland</t>
  </si>
  <si>
    <t>Animals per kg of meat</t>
  </si>
  <si>
    <t>Live weight</t>
  </si>
  <si>
    <t>Animal</t>
  </si>
  <si>
    <t>Meat Yield</t>
  </si>
  <si>
    <t>Source</t>
  </si>
  <si>
    <t>Meat yield</t>
  </si>
  <si>
    <t>Roe Deer</t>
  </si>
  <si>
    <t>kg meat / animal</t>
  </si>
  <si>
    <t>Red Deer</t>
  </si>
  <si>
    <t>https://www.sciencedirect.com/science/article/pii/S0921800914001980#bb0166</t>
  </si>
  <si>
    <t>https://www.sciencedirect.com/science/article/pii/S0921800914001980#bb0167</t>
  </si>
  <si>
    <t>animal / kg meat</t>
  </si>
  <si>
    <t>Assumed meat yield for all species in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</si>
</sst>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
    <numFmt numFmtId="166" formatCode="#,##0.0000"/>
    <numFmt numFmtId="167" formatCode="#,##0.0000000"/>
    <numFmt numFmtId="168" formatCode="0.000000"/>
    <numFmt numFmtId="169" formatCode="0.00000"/>
    <numFmt numFmtId="170" formatCode="0.0"/>
    <numFmt numFmtId="171" formatCode="0.000E+00"/>
  </numFmts>
  <fonts count="32">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0"/>
      <color rgb="FF000000"/>
      <name val="Calibri"/>
      <family val="2"/>
      <scheme val="minor"/>
    </font>
    <font>
      <sz val="9"/>
      <color rgb="FF000000"/>
      <name val="Calibri"/>
      <family val="2"/>
      <scheme val="minor"/>
    </font>
    <font>
      <b/>
      <sz val="11"/>
      <color rgb="FF000000"/>
      <name val="Calibri"/>
      <family val="2"/>
      <scheme val="minor"/>
    </font>
    <font>
      <sz val="9"/>
      <color theme="1"/>
      <name val="Calibri"/>
      <family val="2"/>
      <scheme val="minor"/>
    </font>
    <font>
      <b/>
      <sz val="9"/>
      <color rgb="FFFFFFFF"/>
      <name val="Calibri"/>
      <family val="2"/>
      <scheme val="minor"/>
    </font>
    <font>
      <b/>
      <sz val="9"/>
      <color rgb="FFFFFFFF"/>
      <name val="Calibri"/>
      <family val="2"/>
    </font>
    <font>
      <sz val="9"/>
      <color rgb="FF000000"/>
      <name val="Calibri"/>
      <family val="2"/>
    </font>
    <font>
      <sz val="9"/>
      <name val="Arial"/>
      <family val="2"/>
    </font>
    <font>
      <i/>
      <sz val="9"/>
      <color rgb="FF000000"/>
      <name val="Calibri"/>
      <family val="2"/>
    </font>
    <font>
      <sz val="11"/>
      <color theme="0" tint="-0.34998626667073579"/>
      <name val="Calibri"/>
      <family val="2"/>
      <scheme val="minor"/>
    </font>
    <font>
      <sz val="11"/>
      <color theme="0"/>
      <name val="Calibri"/>
      <family val="2"/>
      <scheme val="minor"/>
    </font>
    <font>
      <sz val="16"/>
      <color theme="1"/>
      <name val="Calibri"/>
      <family val="2"/>
      <scheme val="minor"/>
    </font>
    <font>
      <sz val="11"/>
      <color theme="8"/>
      <name val="Calibri"/>
      <family val="2"/>
      <scheme val="minor"/>
    </font>
    <font>
      <sz val="9"/>
      <color indexed="81"/>
      <name val="Tahoma"/>
      <family val="2"/>
    </font>
    <font>
      <b/>
      <sz val="9"/>
      <color indexed="81"/>
      <name val="Tahoma"/>
      <family val="2"/>
    </font>
    <font>
      <i/>
      <sz val="11"/>
      <color theme="1"/>
      <name val="Calibri"/>
      <family val="2"/>
      <scheme val="minor"/>
    </font>
    <font>
      <sz val="12"/>
      <color theme="1"/>
      <name val="Times New Roman"/>
      <family val="1"/>
    </font>
    <font>
      <b/>
      <i/>
      <sz val="11"/>
      <color theme="1"/>
      <name val="Calibri"/>
      <family val="2"/>
      <scheme val="minor"/>
    </font>
    <font>
      <sz val="10"/>
      <color theme="1"/>
      <name val="Calibri"/>
      <family val="2"/>
      <scheme val="minor"/>
    </font>
    <font>
      <sz val="11"/>
      <color theme="1"/>
      <name val="Calibri"/>
      <family val="2"/>
      <charset val="1"/>
    </font>
    <font>
      <sz val="11"/>
      <color rgb="FF000000"/>
      <name val="Calibri"/>
      <family val="2"/>
    </font>
    <font>
      <u/>
      <sz val="11"/>
      <color theme="10"/>
      <name val="Calibri"/>
      <family val="2"/>
      <scheme val="minor"/>
    </font>
    <font>
      <b/>
      <sz val="11"/>
      <color theme="1"/>
      <name val="Calibri"/>
      <family val="2"/>
      <scheme val="minor"/>
    </font>
    <font>
      <sz val="8"/>
      <name val="Calibri"/>
      <family val="2"/>
      <scheme val="minor"/>
    </font>
    <font>
      <i/>
      <sz val="11"/>
      <color rgb="FFFF0000"/>
      <name val="Calibri"/>
      <family val="2"/>
      <scheme val="minor"/>
    </font>
    <font>
      <strike/>
      <sz val="11"/>
      <color rgb="FFFF0000"/>
      <name val="Calibri"/>
      <family val="2"/>
      <scheme val="minor"/>
    </font>
    <font>
      <i/>
      <sz val="11"/>
      <color rgb="FF000000"/>
      <name val="Calibri"/>
      <family val="2"/>
    </font>
  </fonts>
  <fills count="25">
    <fill>
      <patternFill patternType="none"/>
    </fill>
    <fill>
      <patternFill patternType="gray125"/>
    </fill>
    <fill>
      <patternFill patternType="solid">
        <fgColor rgb="FFFFFF00"/>
        <bgColor indexed="64"/>
      </patternFill>
    </fill>
    <fill>
      <patternFill patternType="solid">
        <fgColor rgb="FF5B9BD5"/>
        <bgColor indexed="64"/>
      </patternFill>
    </fill>
    <fill>
      <patternFill patternType="solid">
        <fgColor rgb="FFD2DEEF"/>
        <bgColor indexed="64"/>
      </patternFill>
    </fill>
    <fill>
      <patternFill patternType="solid">
        <fgColor rgb="FFEAEFF7"/>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bgColor indexed="64"/>
      </patternFill>
    </fill>
    <fill>
      <patternFill patternType="solid">
        <fgColor rgb="FF5B9BD5"/>
        <bgColor rgb="FF000000"/>
      </patternFill>
    </fill>
    <fill>
      <patternFill patternType="solid">
        <fgColor rgb="FFDDEBF7"/>
        <bgColor rgb="FF000000"/>
      </patternFill>
    </fill>
    <fill>
      <patternFill patternType="solid">
        <fgColor rgb="FFFAF2FA"/>
        <bgColor indexed="64"/>
      </patternFill>
    </fill>
    <fill>
      <patternFill patternType="solid">
        <fgColor theme="4" tint="0.39997558519241921"/>
        <bgColor indexed="64"/>
      </patternFill>
    </fill>
  </fills>
  <borders count="26">
    <border>
      <left/>
      <right/>
      <top/>
      <bottom/>
      <diagonal/>
    </border>
    <border>
      <left/>
      <right/>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diagonal/>
    </border>
    <border>
      <left/>
      <right/>
      <top style="thin">
        <color indexed="64"/>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top style="thin">
        <color rgb="FF000000"/>
      </top>
      <bottom style="thin">
        <color indexed="64"/>
      </bottom>
      <diagonal/>
    </border>
  </borders>
  <cellStyleXfs count="2">
    <xf numFmtId="0" fontId="0" fillId="0" borderId="0"/>
    <xf numFmtId="0" fontId="26" fillId="0" borderId="0" applyNumberFormat="0" applyFill="0" applyBorder="0" applyAlignment="0" applyProtection="0"/>
  </cellStyleXfs>
  <cellXfs count="23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3" fillId="0" borderId="1" xfId="0" applyFont="1" applyBorder="1"/>
    <xf numFmtId="0" fontId="6" fillId="0" borderId="0" xfId="0" applyFont="1"/>
    <xf numFmtId="0" fontId="0" fillId="2" borderId="0" xfId="0" applyFill="1"/>
    <xf numFmtId="0" fontId="8" fillId="0" borderId="0" xfId="0" applyFont="1"/>
    <xf numFmtId="0" fontId="9" fillId="3" borderId="2" xfId="0" applyFont="1" applyFill="1" applyBorder="1" applyAlignment="1">
      <alignment horizontal="left" vertical="center" wrapText="1" readingOrder="1"/>
    </xf>
    <xf numFmtId="0" fontId="6" fillId="4" borderId="3" xfId="0" applyFont="1" applyFill="1" applyBorder="1" applyAlignment="1">
      <alignment horizontal="left" vertical="center" wrapText="1" readingOrder="1"/>
    </xf>
    <xf numFmtId="0" fontId="6" fillId="5" borderId="4" xfId="0" applyFont="1" applyFill="1" applyBorder="1" applyAlignment="1">
      <alignment horizontal="left" vertical="center" wrapText="1" readingOrder="1"/>
    </xf>
    <xf numFmtId="0" fontId="6" fillId="4" borderId="4" xfId="0" applyFont="1" applyFill="1" applyBorder="1" applyAlignment="1">
      <alignment horizontal="left" vertical="center" wrapText="1" readingOrder="1"/>
    </xf>
    <xf numFmtId="0" fontId="10" fillId="3" borderId="2" xfId="0" applyFont="1" applyFill="1" applyBorder="1" applyAlignment="1">
      <alignment horizontal="left" vertical="center" wrapText="1" readingOrder="1"/>
    </xf>
    <xf numFmtId="0" fontId="11" fillId="4" borderId="3" xfId="0" applyFont="1" applyFill="1" applyBorder="1" applyAlignment="1">
      <alignment horizontal="left" vertical="center" wrapText="1" readingOrder="1"/>
    </xf>
    <xf numFmtId="0" fontId="11" fillId="5" borderId="4" xfId="0" applyFont="1" applyFill="1" applyBorder="1" applyAlignment="1">
      <alignment horizontal="left" vertical="center" wrapText="1" readingOrder="1"/>
    </xf>
    <xf numFmtId="0" fontId="12" fillId="5" borderId="4" xfId="0" applyFont="1" applyFill="1" applyBorder="1" applyAlignment="1">
      <alignment vertical="top" wrapText="1"/>
    </xf>
    <xf numFmtId="0" fontId="11" fillId="4" borderId="4" xfId="0" applyFont="1" applyFill="1" applyBorder="1" applyAlignment="1">
      <alignment horizontal="left" vertical="center" wrapText="1" readingOrder="1"/>
    </xf>
    <xf numFmtId="0" fontId="12" fillId="4" borderId="4" xfId="0" applyFont="1" applyFill="1" applyBorder="1" applyAlignment="1">
      <alignment vertical="top" wrapText="1"/>
    </xf>
    <xf numFmtId="0" fontId="13" fillId="4" borderId="3" xfId="0" applyFont="1" applyFill="1" applyBorder="1" applyAlignment="1">
      <alignment horizontal="left" vertical="center" wrapText="1" readingOrder="1"/>
    </xf>
    <xf numFmtId="164" fontId="3" fillId="0" borderId="0" xfId="0" applyNumberFormat="1" applyFont="1"/>
    <xf numFmtId="164" fontId="0" fillId="0" borderId="0" xfId="0" applyNumberFormat="1"/>
    <xf numFmtId="0" fontId="4" fillId="6" borderId="0" xfId="0" applyFont="1" applyFill="1"/>
    <xf numFmtId="0" fontId="4" fillId="6" borderId="1" xfId="0" applyFont="1" applyFill="1" applyBorder="1"/>
    <xf numFmtId="164" fontId="14" fillId="0" borderId="0" xfId="0" applyNumberFormat="1" applyFont="1"/>
    <xf numFmtId="0" fontId="14" fillId="0" borderId="0" xfId="0" applyFont="1"/>
    <xf numFmtId="0" fontId="3" fillId="6" borderId="0" xfId="0" applyFont="1" applyFill="1"/>
    <xf numFmtId="164" fontId="3" fillId="0" borderId="5" xfId="0" applyNumberFormat="1" applyFont="1" applyBorder="1"/>
    <xf numFmtId="0" fontId="4" fillId="6" borderId="5" xfId="0" applyFont="1" applyFill="1" applyBorder="1"/>
    <xf numFmtId="4" fontId="0" fillId="0" borderId="0" xfId="0" applyNumberFormat="1"/>
    <xf numFmtId="4" fontId="4" fillId="0" borderId="0" xfId="0" applyNumberFormat="1" applyFont="1"/>
    <xf numFmtId="167" fontId="0" fillId="0" borderId="0" xfId="0" applyNumberFormat="1"/>
    <xf numFmtId="0" fontId="16" fillId="0" borderId="0" xfId="0" applyFont="1"/>
    <xf numFmtId="166" fontId="0" fillId="0" borderId="0" xfId="0" applyNumberFormat="1"/>
    <xf numFmtId="0" fontId="4" fillId="8" borderId="0" xfId="0" applyFont="1" applyFill="1"/>
    <xf numFmtId="164" fontId="3" fillId="8" borderId="0" xfId="0" applyNumberFormat="1" applyFont="1" applyFill="1"/>
    <xf numFmtId="0" fontId="4" fillId="8" borderId="6" xfId="0" applyFont="1" applyFill="1" applyBorder="1"/>
    <xf numFmtId="164" fontId="3" fillId="8" borderId="6" xfId="0" applyNumberFormat="1" applyFont="1" applyFill="1" applyBorder="1"/>
    <xf numFmtId="0" fontId="17" fillId="0" borderId="0" xfId="0" applyFont="1"/>
    <xf numFmtId="0" fontId="4" fillId="8" borderId="1" xfId="0" applyFont="1" applyFill="1" applyBorder="1"/>
    <xf numFmtId="0" fontId="0" fillId="8" borderId="1" xfId="0" applyFill="1" applyBorder="1"/>
    <xf numFmtId="0" fontId="3" fillId="9" borderId="0" xfId="0" applyFont="1" applyFill="1"/>
    <xf numFmtId="168" fontId="3" fillId="9" borderId="0" xfId="0" applyNumberFormat="1" applyFont="1" applyFill="1"/>
    <xf numFmtId="169" fontId="0" fillId="9" borderId="0" xfId="0" applyNumberFormat="1" applyFill="1"/>
    <xf numFmtId="164" fontId="3" fillId="0" borderId="1" xfId="0" applyNumberFormat="1" applyFont="1" applyBorder="1"/>
    <xf numFmtId="2" fontId="0" fillId="0" borderId="0" xfId="0" applyNumberFormat="1"/>
    <xf numFmtId="164" fontId="0" fillId="10" borderId="0" xfId="0" applyNumberFormat="1" applyFill="1"/>
    <xf numFmtId="164" fontId="20" fillId="0" borderId="0" xfId="0" applyNumberFormat="1" applyFont="1"/>
    <xf numFmtId="2" fontId="20" fillId="0" borderId="0" xfId="0" applyNumberFormat="1" applyFont="1"/>
    <xf numFmtId="0" fontId="21" fillId="0" borderId="0" xfId="0" applyFont="1" applyAlignment="1">
      <alignment horizontal="left" vertical="center" indent="5"/>
    </xf>
    <xf numFmtId="164" fontId="2" fillId="0" borderId="0" xfId="0" applyNumberFormat="1" applyFont="1"/>
    <xf numFmtId="0" fontId="17" fillId="0" borderId="1" xfId="0" applyFont="1" applyBorder="1"/>
    <xf numFmtId="164" fontId="3" fillId="6" borderId="0" xfId="0" applyNumberFormat="1" applyFont="1" applyFill="1"/>
    <xf numFmtId="164" fontId="0" fillId="6" borderId="0" xfId="0" applyNumberFormat="1" applyFill="1"/>
    <xf numFmtId="164" fontId="17" fillId="0" borderId="0" xfId="0" applyNumberFormat="1" applyFont="1"/>
    <xf numFmtId="2" fontId="3" fillId="0" borderId="0" xfId="0" applyNumberFormat="1" applyFont="1"/>
    <xf numFmtId="2" fontId="2" fillId="0" borderId="0" xfId="0" applyNumberFormat="1" applyFont="1"/>
    <xf numFmtId="0" fontId="0" fillId="7" borderId="6" xfId="0" applyFill="1" applyBorder="1"/>
    <xf numFmtId="164" fontId="3" fillId="7" borderId="6" xfId="0" applyNumberFormat="1" applyFont="1" applyFill="1" applyBorder="1"/>
    <xf numFmtId="165" fontId="3" fillId="6" borderId="0" xfId="0" applyNumberFormat="1" applyFont="1" applyFill="1"/>
    <xf numFmtId="0" fontId="4" fillId="11" borderId="6" xfId="0" applyFont="1" applyFill="1" applyBorder="1"/>
    <xf numFmtId="164" fontId="3" fillId="11" borderId="6" xfId="0" applyNumberFormat="1" applyFont="1" applyFill="1" applyBorder="1"/>
    <xf numFmtId="0" fontId="3" fillId="12" borderId="0" xfId="0" applyFont="1" applyFill="1"/>
    <xf numFmtId="164" fontId="14" fillId="8" borderId="6" xfId="0" applyNumberFormat="1" applyFont="1" applyFill="1" applyBorder="1"/>
    <xf numFmtId="0" fontId="4" fillId="13" borderId="6" xfId="0" applyFont="1" applyFill="1" applyBorder="1"/>
    <xf numFmtId="164" fontId="3" fillId="13" borderId="6" xfId="0" applyNumberFormat="1" applyFont="1" applyFill="1" applyBorder="1"/>
    <xf numFmtId="0" fontId="4" fillId="14" borderId="6" xfId="0" applyFont="1" applyFill="1" applyBorder="1"/>
    <xf numFmtId="164" fontId="3" fillId="14" borderId="6" xfId="0" applyNumberFormat="1" applyFont="1" applyFill="1" applyBorder="1"/>
    <xf numFmtId="0" fontId="4" fillId="15" borderId="6" xfId="0" applyFont="1" applyFill="1" applyBorder="1"/>
    <xf numFmtId="165" fontId="3" fillId="15" borderId="6" xfId="0" applyNumberFormat="1" applyFont="1" applyFill="1" applyBorder="1"/>
    <xf numFmtId="2" fontId="22" fillId="0" borderId="0" xfId="0" applyNumberFormat="1" applyFont="1"/>
    <xf numFmtId="0" fontId="20" fillId="0" borderId="0" xfId="0" applyFont="1"/>
    <xf numFmtId="0" fontId="23" fillId="0" borderId="0" xfId="0" applyFont="1"/>
    <xf numFmtId="3" fontId="0" fillId="0" borderId="0" xfId="0" applyNumberFormat="1"/>
    <xf numFmtId="0" fontId="0" fillId="14" borderId="0" xfId="0" applyFill="1"/>
    <xf numFmtId="0" fontId="0" fillId="0" borderId="0" xfId="0" applyAlignment="1">
      <alignment horizontal="left" vertical="center" wrapText="1"/>
    </xf>
    <xf numFmtId="170" fontId="0" fillId="10" borderId="0" xfId="0" applyNumberFormat="1" applyFill="1"/>
    <xf numFmtId="0" fontId="23" fillId="0" borderId="0" xfId="0" applyFont="1" applyAlignment="1">
      <alignment horizontal="left" vertical="center"/>
    </xf>
    <xf numFmtId="0" fontId="4" fillId="17" borderId="6" xfId="0" applyFont="1" applyFill="1" applyBorder="1"/>
    <xf numFmtId="164" fontId="3" fillId="17" borderId="6" xfId="0" applyNumberFormat="1" applyFont="1" applyFill="1" applyBorder="1"/>
    <xf numFmtId="0" fontId="4" fillId="16" borderId="6" xfId="0" applyFont="1" applyFill="1" applyBorder="1"/>
    <xf numFmtId="0" fontId="3" fillId="14" borderId="0" xfId="0" applyFont="1" applyFill="1"/>
    <xf numFmtId="0" fontId="0" fillId="10" borderId="0" xfId="0" applyFill="1"/>
    <xf numFmtId="0" fontId="4" fillId="10" borderId="0" xfId="0" applyFont="1" applyFill="1"/>
    <xf numFmtId="0" fontId="17" fillId="10" borderId="0" xfId="0" applyFont="1" applyFill="1"/>
    <xf numFmtId="0" fontId="3" fillId="10" borderId="0" xfId="0" applyFont="1" applyFill="1"/>
    <xf numFmtId="0" fontId="2" fillId="10" borderId="0" xfId="0" applyFont="1" applyFill="1"/>
    <xf numFmtId="164" fontId="17" fillId="10" borderId="0" xfId="0" applyNumberFormat="1" applyFont="1" applyFill="1"/>
    <xf numFmtId="0" fontId="24" fillId="10" borderId="0" xfId="0" applyFont="1" applyFill="1"/>
    <xf numFmtId="0" fontId="25" fillId="10" borderId="0" xfId="0" applyFont="1" applyFill="1"/>
    <xf numFmtId="0" fontId="15" fillId="0" borderId="0" xfId="0" applyFont="1"/>
    <xf numFmtId="0" fontId="2" fillId="10" borderId="7" xfId="0" applyFont="1" applyFill="1" applyBorder="1"/>
    <xf numFmtId="0" fontId="0" fillId="0" borderId="8" xfId="0" applyBorder="1"/>
    <xf numFmtId="0" fontId="4" fillId="8" borderId="9" xfId="0" applyFont="1" applyFill="1" applyBorder="1"/>
    <xf numFmtId="0" fontId="4" fillId="0" borderId="7" xfId="0" applyFont="1" applyBorder="1"/>
    <xf numFmtId="0" fontId="4" fillId="0" borderId="10" xfId="0" applyFont="1" applyBorder="1"/>
    <xf numFmtId="0" fontId="4" fillId="0" borderId="11" xfId="0" applyFont="1" applyBorder="1"/>
    <xf numFmtId="0" fontId="0" fillId="0" borderId="11" xfId="0" applyBorder="1"/>
    <xf numFmtId="0" fontId="0" fillId="0" borderId="12" xfId="0" applyBorder="1"/>
    <xf numFmtId="170" fontId="0" fillId="0" borderId="0" xfId="0" applyNumberFormat="1"/>
    <xf numFmtId="0" fontId="3" fillId="16" borderId="6" xfId="0" applyFont="1" applyFill="1" applyBorder="1" applyAlignment="1">
      <alignment horizontal="center" vertical="center"/>
    </xf>
    <xf numFmtId="164" fontId="4" fillId="0" borderId="0" xfId="0" applyNumberFormat="1" applyFont="1"/>
    <xf numFmtId="0" fontId="4" fillId="2" borderId="0" xfId="0" applyFont="1" applyFill="1"/>
    <xf numFmtId="0" fontId="3" fillId="2" borderId="0" xfId="0" applyFont="1" applyFill="1"/>
    <xf numFmtId="0" fontId="14" fillId="2" borderId="0" xfId="0" applyFont="1" applyFill="1"/>
    <xf numFmtId="0" fontId="26" fillId="0" borderId="0" xfId="1"/>
    <xf numFmtId="164" fontId="0" fillId="2" borderId="0" xfId="0" applyNumberFormat="1" applyFill="1"/>
    <xf numFmtId="164" fontId="3" fillId="10" borderId="0" xfId="0" applyNumberFormat="1" applyFont="1" applyFill="1"/>
    <xf numFmtId="2" fontId="20" fillId="2" borderId="0" xfId="0" applyNumberFormat="1" applyFont="1" applyFill="1"/>
    <xf numFmtId="164" fontId="4" fillId="8" borderId="6" xfId="0" applyNumberFormat="1" applyFont="1" applyFill="1" applyBorder="1"/>
    <xf numFmtId="0" fontId="0" fillId="10" borderId="0" xfId="0" applyFill="1" applyAlignment="1">
      <alignment horizontal="left"/>
    </xf>
    <xf numFmtId="0" fontId="25" fillId="0" borderId="0" xfId="0" applyFont="1"/>
    <xf numFmtId="0" fontId="25" fillId="0" borderId="1" xfId="0" applyFont="1" applyBorder="1" applyAlignment="1">
      <alignment wrapText="1"/>
    </xf>
    <xf numFmtId="0" fontId="25" fillId="0" borderId="13" xfId="0" applyFont="1" applyBorder="1"/>
    <xf numFmtId="169" fontId="3" fillId="8" borderId="6" xfId="0" applyNumberFormat="1" applyFont="1" applyFill="1" applyBorder="1"/>
    <xf numFmtId="0" fontId="27" fillId="0" borderId="0" xfId="0" applyFont="1"/>
    <xf numFmtId="0" fontId="0" fillId="0" borderId="14" xfId="0" applyBorder="1"/>
    <xf numFmtId="165" fontId="0" fillId="0" borderId="0" xfId="0" applyNumberFormat="1"/>
    <xf numFmtId="165" fontId="0" fillId="0" borderId="15" xfId="0" applyNumberFormat="1" applyBorder="1"/>
    <xf numFmtId="0" fontId="0" fillId="0" borderId="16" xfId="0" applyBorder="1"/>
    <xf numFmtId="165" fontId="0" fillId="0" borderId="1" xfId="0" applyNumberFormat="1"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2" fontId="0" fillId="0" borderId="15" xfId="0" applyNumberFormat="1" applyBorder="1"/>
    <xf numFmtId="0" fontId="0" fillId="0" borderId="15" xfId="0" applyBorder="1"/>
    <xf numFmtId="170" fontId="0" fillId="0" borderId="15" xfId="0" applyNumberFormat="1" applyBorder="1"/>
    <xf numFmtId="164" fontId="0" fillId="0" borderId="1" xfId="0" applyNumberFormat="1" applyBorder="1"/>
    <xf numFmtId="164" fontId="0" fillId="0" borderId="17" xfId="0" applyNumberFormat="1" applyBorder="1"/>
    <xf numFmtId="0" fontId="0" fillId="0" borderId="21" xfId="0" applyBorder="1"/>
    <xf numFmtId="0" fontId="27" fillId="0" borderId="22" xfId="0" applyFont="1" applyBorder="1"/>
    <xf numFmtId="0" fontId="0" fillId="0" borderId="22" xfId="0" applyBorder="1"/>
    <xf numFmtId="0" fontId="0" fillId="0" borderId="23" xfId="0" applyBorder="1"/>
    <xf numFmtId="165" fontId="0" fillId="0" borderId="24" xfId="0" applyNumberFormat="1" applyBorder="1"/>
    <xf numFmtId="164" fontId="20" fillId="10" borderId="0" xfId="0" applyNumberFormat="1" applyFont="1" applyFill="1"/>
    <xf numFmtId="164" fontId="27" fillId="0" borderId="0" xfId="0" applyNumberFormat="1" applyFont="1"/>
    <xf numFmtId="0" fontId="17" fillId="0" borderId="13" xfId="0" applyFont="1" applyBorder="1"/>
    <xf numFmtId="164" fontId="27" fillId="0" borderId="1" xfId="0" applyNumberFormat="1" applyFont="1" applyBorder="1"/>
    <xf numFmtId="2" fontId="17" fillId="0" borderId="0" xfId="0" applyNumberFormat="1" applyFont="1"/>
    <xf numFmtId="2" fontId="17" fillId="0" borderId="15" xfId="0" applyNumberFormat="1" applyFont="1" applyBorder="1"/>
    <xf numFmtId="0" fontId="17" fillId="10" borderId="1" xfId="0" applyFont="1" applyFill="1" applyBorder="1"/>
    <xf numFmtId="0" fontId="17" fillId="10" borderId="13" xfId="0" applyFont="1" applyFill="1" applyBorder="1"/>
    <xf numFmtId="0" fontId="3" fillId="10" borderId="1" xfId="0" applyFont="1" applyFill="1" applyBorder="1"/>
    <xf numFmtId="169" fontId="4" fillId="14" borderId="0" xfId="0" applyNumberFormat="1" applyFont="1" applyFill="1"/>
    <xf numFmtId="0" fontId="4" fillId="18" borderId="6" xfId="0" applyFont="1" applyFill="1" applyBorder="1"/>
    <xf numFmtId="164" fontId="3" fillId="18" borderId="6" xfId="0" applyNumberFormat="1" applyFont="1" applyFill="1" applyBorder="1"/>
    <xf numFmtId="0" fontId="0" fillId="18" borderId="6" xfId="0" applyFill="1" applyBorder="1"/>
    <xf numFmtId="0" fontId="4" fillId="0" borderId="1" xfId="0" applyFont="1" applyBorder="1"/>
    <xf numFmtId="0" fontId="0" fillId="0" borderId="1" xfId="0" applyBorder="1"/>
    <xf numFmtId="0" fontId="14" fillId="10" borderId="1" xfId="0" applyFont="1" applyFill="1" applyBorder="1"/>
    <xf numFmtId="0" fontId="4" fillId="10" borderId="1" xfId="0" applyFont="1" applyFill="1" applyBorder="1"/>
    <xf numFmtId="0" fontId="4" fillId="19" borderId="6" xfId="0" applyFont="1" applyFill="1" applyBorder="1"/>
    <xf numFmtId="164" fontId="3" fillId="19" borderId="6" xfId="0" applyNumberFormat="1" applyFont="1" applyFill="1" applyBorder="1"/>
    <xf numFmtId="0" fontId="4" fillId="19" borderId="25" xfId="0" applyFont="1" applyFill="1" applyBorder="1"/>
    <xf numFmtId="164" fontId="3" fillId="19" borderId="25" xfId="0" applyNumberFormat="1" applyFont="1" applyFill="1" applyBorder="1"/>
    <xf numFmtId="164" fontId="4" fillId="17" borderId="6" xfId="0" applyNumberFormat="1" applyFont="1" applyFill="1" applyBorder="1"/>
    <xf numFmtId="164" fontId="4" fillId="10" borderId="0" xfId="0" applyNumberFormat="1" applyFont="1" applyFill="1"/>
    <xf numFmtId="164" fontId="14" fillId="10" borderId="0" xfId="0" applyNumberFormat="1" applyFont="1" applyFill="1"/>
    <xf numFmtId="0" fontId="26" fillId="10" borderId="0" xfId="1" applyFill="1"/>
    <xf numFmtId="0" fontId="4" fillId="0" borderId="13" xfId="0" applyFont="1" applyBorder="1"/>
    <xf numFmtId="0" fontId="0" fillId="20" borderId="0" xfId="0" applyFill="1"/>
    <xf numFmtId="0" fontId="3" fillId="0" borderId="0" xfId="0" applyFont="1" applyAlignment="1">
      <alignment horizontal="center" vertical="center"/>
    </xf>
    <xf numFmtId="168" fontId="2" fillId="9" borderId="0" xfId="0" applyNumberFormat="1" applyFont="1" applyFill="1"/>
    <xf numFmtId="169" fontId="2" fillId="14" borderId="0" xfId="0" applyNumberFormat="1" applyFont="1" applyFill="1"/>
    <xf numFmtId="165" fontId="2" fillId="6" borderId="0" xfId="0" applyNumberFormat="1" applyFont="1" applyFill="1"/>
    <xf numFmtId="0" fontId="2" fillId="2" borderId="0" xfId="0" applyFont="1" applyFill="1"/>
    <xf numFmtId="0" fontId="2" fillId="6" borderId="0" xfId="0" applyFont="1" applyFill="1"/>
    <xf numFmtId="2" fontId="0" fillId="2" borderId="0" xfId="0" applyNumberFormat="1" applyFill="1"/>
    <xf numFmtId="2" fontId="3" fillId="2" borderId="0" xfId="0" applyNumberFormat="1" applyFont="1" applyFill="1"/>
    <xf numFmtId="169" fontId="2" fillId="0" borderId="0" xfId="0" applyNumberFormat="1" applyFont="1"/>
    <xf numFmtId="0" fontId="3" fillId="16" borderId="0" xfId="0" applyFont="1" applyFill="1" applyAlignment="1">
      <alignment horizontal="center" vertical="center"/>
    </xf>
    <xf numFmtId="169" fontId="3" fillId="8" borderId="0" xfId="0" applyNumberFormat="1" applyFont="1" applyFill="1"/>
    <xf numFmtId="164" fontId="3" fillId="7" borderId="0" xfId="0" applyNumberFormat="1" applyFont="1" applyFill="1"/>
    <xf numFmtId="0" fontId="14" fillId="10" borderId="0" xfId="0" applyFont="1" applyFill="1"/>
    <xf numFmtId="0" fontId="3" fillId="10" borderId="13" xfId="0" applyFont="1" applyFill="1" applyBorder="1"/>
    <xf numFmtId="164" fontId="2" fillId="6" borderId="0" xfId="0" applyNumberFormat="1" applyFont="1" applyFill="1"/>
    <xf numFmtId="164" fontId="2" fillId="2" borderId="0" xfId="0" applyNumberFormat="1" applyFont="1" applyFill="1"/>
    <xf numFmtId="165" fontId="2" fillId="0" borderId="0" xfId="0" applyNumberFormat="1" applyFont="1"/>
    <xf numFmtId="0" fontId="4" fillId="0" borderId="6" xfId="0" applyFont="1" applyBorder="1"/>
    <xf numFmtId="0" fontId="3" fillId="0" borderId="6" xfId="0" applyFont="1" applyBorder="1" applyAlignment="1">
      <alignment horizontal="center" vertical="center"/>
    </xf>
    <xf numFmtId="0" fontId="4" fillId="0" borderId="5" xfId="0" applyFont="1" applyBorder="1"/>
    <xf numFmtId="168" fontId="3" fillId="0" borderId="0" xfId="0" applyNumberFormat="1" applyFont="1"/>
    <xf numFmtId="168" fontId="2" fillId="0" borderId="0" xfId="0" applyNumberFormat="1" applyFont="1"/>
    <xf numFmtId="169" fontId="0" fillId="0" borderId="0" xfId="0" applyNumberFormat="1"/>
    <xf numFmtId="164" fontId="3" fillId="0" borderId="6" xfId="0" applyNumberFormat="1" applyFont="1" applyBorder="1"/>
    <xf numFmtId="169" fontId="3" fillId="0" borderId="6" xfId="0" applyNumberFormat="1" applyFont="1" applyBorder="1"/>
    <xf numFmtId="169" fontId="4" fillId="0" borderId="0" xfId="0" applyNumberFormat="1" applyFont="1"/>
    <xf numFmtId="0" fontId="0" fillId="0" borderId="6" xfId="0" applyBorder="1"/>
    <xf numFmtId="165" fontId="3" fillId="0" borderId="0" xfId="0" applyNumberFormat="1" applyFont="1"/>
    <xf numFmtId="164" fontId="14" fillId="0" borderId="6" xfId="0" applyNumberFormat="1" applyFont="1" applyBorder="1"/>
    <xf numFmtId="0" fontId="14" fillId="0" borderId="1" xfId="0" applyFont="1" applyBorder="1"/>
    <xf numFmtId="165" fontId="3" fillId="0" borderId="6" xfId="0" applyNumberFormat="1" applyFont="1" applyBorder="1"/>
    <xf numFmtId="0" fontId="4" fillId="0" borderId="25" xfId="0" applyFont="1" applyBorder="1"/>
    <xf numFmtId="164" fontId="3" fillId="0" borderId="25" xfId="0" applyNumberFormat="1" applyFont="1" applyBorder="1"/>
    <xf numFmtId="164" fontId="4" fillId="0" borderId="6" xfId="0" applyNumberFormat="1" applyFont="1" applyBorder="1"/>
    <xf numFmtId="1" fontId="0" fillId="0" borderId="0" xfId="0" applyNumberFormat="1"/>
    <xf numFmtId="171" fontId="0" fillId="0" borderId="0" xfId="0" applyNumberFormat="1"/>
    <xf numFmtId="0" fontId="30" fillId="0" borderId="0" xfId="0" applyFont="1"/>
    <xf numFmtId="169" fontId="4" fillId="18" borderId="0" xfId="0" applyNumberFormat="1" applyFont="1" applyFill="1"/>
    <xf numFmtId="169" fontId="3" fillId="0" borderId="0" xfId="0" applyNumberFormat="1" applyFont="1"/>
    <xf numFmtId="164" fontId="0" fillId="14" borderId="0" xfId="0" applyNumberFormat="1" applyFill="1"/>
    <xf numFmtId="2" fontId="4" fillId="0" borderId="0" xfId="0" applyNumberFormat="1" applyFont="1"/>
    <xf numFmtId="2" fontId="14" fillId="0" borderId="0" xfId="0" applyNumberFormat="1" applyFont="1"/>
    <xf numFmtId="170" fontId="14" fillId="8" borderId="6" xfId="0" applyNumberFormat="1" applyFont="1" applyFill="1" applyBorder="1"/>
    <xf numFmtId="170" fontId="3" fillId="8" borderId="6" xfId="0" applyNumberFormat="1" applyFont="1" applyFill="1" applyBorder="1"/>
    <xf numFmtId="0" fontId="25" fillId="21" borderId="0" xfId="0" applyFont="1" applyFill="1"/>
    <xf numFmtId="0" fontId="25" fillId="22" borderId="0" xfId="0" applyFont="1" applyFill="1"/>
    <xf numFmtId="0" fontId="25" fillId="0" borderId="0" xfId="0" applyFont="1" applyAlignment="1">
      <alignment wrapText="1"/>
    </xf>
    <xf numFmtId="164" fontId="25" fillId="0" borderId="0" xfId="0" applyNumberFormat="1" applyFont="1"/>
    <xf numFmtId="0" fontId="25" fillId="0" borderId="0" xfId="0" applyFont="1" applyAlignment="1">
      <alignment horizontal="left" wrapText="1"/>
    </xf>
    <xf numFmtId="0" fontId="17" fillId="7" borderId="0" xfId="0" applyFont="1" applyFill="1"/>
    <xf numFmtId="0" fontId="0" fillId="7" borderId="0" xfId="0" applyFill="1"/>
    <xf numFmtId="0" fontId="3" fillId="7" borderId="0" xfId="0" applyFont="1" applyFill="1"/>
    <xf numFmtId="169" fontId="3" fillId="0" borderId="5" xfId="0" applyNumberFormat="1" applyFont="1" applyBorder="1"/>
    <xf numFmtId="164" fontId="3" fillId="2" borderId="0" xfId="0" applyNumberFormat="1" applyFont="1" applyFill="1"/>
    <xf numFmtId="0" fontId="0" fillId="23" borderId="6" xfId="0" applyFill="1" applyBorder="1"/>
    <xf numFmtId="164" fontId="3" fillId="23" borderId="6" xfId="0" applyNumberFormat="1" applyFont="1" applyFill="1" applyBorder="1"/>
    <xf numFmtId="170" fontId="4" fillId="8" borderId="6" xfId="0" applyNumberFormat="1" applyFont="1" applyFill="1" applyBorder="1"/>
    <xf numFmtId="169" fontId="3" fillId="10" borderId="0" xfId="0" applyNumberFormat="1" applyFont="1" applyFill="1"/>
    <xf numFmtId="169" fontId="4" fillId="8" borderId="6" xfId="0" applyNumberFormat="1" applyFont="1" applyFill="1" applyBorder="1"/>
    <xf numFmtId="2" fontId="25" fillId="0" borderId="0" xfId="0" applyNumberFormat="1" applyFont="1"/>
    <xf numFmtId="170" fontId="25" fillId="0" borderId="0" xfId="0" applyNumberFormat="1" applyFont="1"/>
    <xf numFmtId="165" fontId="31" fillId="0" borderId="0" xfId="0" applyNumberFormat="1" applyFont="1"/>
    <xf numFmtId="1" fontId="31" fillId="0" borderId="0" xfId="0" applyNumberFormat="1" applyFont="1"/>
    <xf numFmtId="2" fontId="3" fillId="6" borderId="0" xfId="0" applyNumberFormat="1" applyFont="1" applyFill="1"/>
    <xf numFmtId="0" fontId="1" fillId="7" borderId="0" xfId="0" applyFont="1" applyFill="1"/>
    <xf numFmtId="0" fontId="4" fillId="24" borderId="0" xfId="0" applyFont="1" applyFill="1"/>
    <xf numFmtId="0" fontId="17" fillId="24" borderId="0" xfId="0" applyFont="1" applyFill="1"/>
    <xf numFmtId="0" fontId="2" fillId="24" borderId="0" xfId="0" applyFont="1" applyFill="1"/>
    <xf numFmtId="0" fontId="5" fillId="24" borderId="0" xfId="0" applyFont="1" applyFill="1"/>
    <xf numFmtId="0" fontId="6" fillId="24" borderId="0" xfId="0" applyFont="1" applyFill="1"/>
    <xf numFmtId="4" fontId="4" fillId="24" borderId="0" xfId="0" applyNumberFormat="1" applyFont="1" applyFill="1"/>
    <xf numFmtId="4" fontId="0" fillId="24" borderId="0" xfId="0" applyNumberFormat="1" applyFill="1"/>
    <xf numFmtId="0" fontId="0" fillId="24" borderId="0" xfId="0" applyFill="1"/>
    <xf numFmtId="2" fontId="17" fillId="24" borderId="0" xfId="0" applyNumberFormat="1" applyFont="1" applyFill="1"/>
    <xf numFmtId="0" fontId="25" fillId="0" borderId="0" xfId="0" applyFont="1" applyAlignment="1"/>
    <xf numFmtId="0" fontId="25" fillId="21" borderId="0" xfId="0" applyFont="1" applyFill="1" applyAlignment="1"/>
  </cellXfs>
  <cellStyles count="2">
    <cellStyle name="Hyperlink" xfId="1" xr:uid="{00000000-000B-0000-0000-000008000000}"/>
    <cellStyle name="Normal" xfId="0" builtinId="0"/>
  </cellStyles>
  <dxfs count="0"/>
  <tableStyles count="0" defaultTableStyle="TableStyleMedium2" defaultPivotStyle="PivotStyleLight16"/>
  <colors>
    <mruColors>
      <color rgb="FFFFCCFF"/>
      <color rgb="FFFA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91782757924489E-2"/>
          <c:y val="1.9878826221640861E-2"/>
          <c:w val="0.92655003183773621"/>
          <c:h val="0.7934368953066534"/>
        </c:manualLayout>
      </c:layout>
      <c:barChart>
        <c:barDir val="col"/>
        <c:grouping val="clustered"/>
        <c:varyColors val="0"/>
        <c:ser>
          <c:idx val="0"/>
          <c:order val="0"/>
          <c:tx>
            <c:strRef>
              <c:f>Diagram!$A$5</c:f>
              <c:strCache>
                <c:ptCount val="1"/>
                <c:pt idx="0">
                  <c:v>Meat from suckler herds</c:v>
                </c:pt>
              </c:strCache>
            </c:strRef>
          </c:tx>
          <c:spPr>
            <a:solidFill>
              <a:schemeClr val="accent1"/>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Diagram!$B$5:$L$5</c:f>
              <c:numCache>
                <c:formatCode>0.00</c:formatCode>
                <c:ptCount val="11"/>
                <c:pt idx="0">
                  <c:v>0.29560175819971807</c:v>
                </c:pt>
                <c:pt idx="1">
                  <c:v>0.28068068375958927</c:v>
                </c:pt>
                <c:pt idx="2">
                  <c:v>0.31780713669723276</c:v>
                </c:pt>
                <c:pt idx="3">
                  <c:v>0.32250668770199775</c:v>
                </c:pt>
                <c:pt idx="4">
                  <c:v>0.34083493662058117</c:v>
                </c:pt>
                <c:pt idx="5">
                  <c:v>0.28690758884090289</c:v>
                </c:pt>
                <c:pt idx="6">
                  <c:v>0.38512820484049132</c:v>
                </c:pt>
                <c:pt idx="7">
                  <c:v>0.28596767863994993</c:v>
                </c:pt>
                <c:pt idx="8">
                  <c:v>0.37208695080226839</c:v>
                </c:pt>
                <c:pt idx="9">
                  <c:v>0.25882777158743203</c:v>
                </c:pt>
                <c:pt idx="10">
                  <c:v>0.23814974716646609</c:v>
                </c:pt>
              </c:numCache>
            </c:numRef>
          </c:val>
          <c:extLst>
            <c:ext xmlns:c16="http://schemas.microsoft.com/office/drawing/2014/chart" uri="{C3380CC4-5D6E-409C-BE32-E72D297353CC}">
              <c16:uniqueId val="{00000000-EA1B-40B5-990E-24FFA2AE3B92}"/>
            </c:ext>
          </c:extLst>
        </c:ser>
        <c:ser>
          <c:idx val="1"/>
          <c:order val="1"/>
          <c:tx>
            <c:strRef>
              <c:f>Diagram!$A$6</c:f>
              <c:strCache>
                <c:ptCount val="1"/>
                <c:pt idx="0">
                  <c:v>Meat from dairy calves 9m</c:v>
                </c:pt>
              </c:strCache>
            </c:strRef>
          </c:tx>
          <c:spPr>
            <a:solidFill>
              <a:schemeClr val="accent2"/>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Diagram!$B$6:$L$6</c:f>
              <c:numCache>
                <c:formatCode>0.00</c:formatCode>
                <c:ptCount val="11"/>
                <c:pt idx="0">
                  <c:v>0.38593870051236046</c:v>
                </c:pt>
                <c:pt idx="1">
                  <c:v>0.49604281107519799</c:v>
                </c:pt>
                <c:pt idx="2">
                  <c:v>0.45091817559862518</c:v>
                </c:pt>
                <c:pt idx="3">
                  <c:v>0.49604281107519799</c:v>
                </c:pt>
                <c:pt idx="4">
                  <c:v>0.49604281107519799</c:v>
                </c:pt>
                <c:pt idx="5">
                  <c:v>0.49604281107519799</c:v>
                </c:pt>
                <c:pt idx="6">
                  <c:v>0.49604281107519799</c:v>
                </c:pt>
                <c:pt idx="7">
                  <c:v>0.45091817559862518</c:v>
                </c:pt>
                <c:pt idx="8">
                  <c:v>0.49604281107519799</c:v>
                </c:pt>
                <c:pt idx="9">
                  <c:v>0.49604281107519799</c:v>
                </c:pt>
                <c:pt idx="10">
                  <c:v>0.44599548809209</c:v>
                </c:pt>
              </c:numCache>
            </c:numRef>
          </c:val>
          <c:extLst>
            <c:ext xmlns:c16="http://schemas.microsoft.com/office/drawing/2014/chart" uri="{C3380CC4-5D6E-409C-BE32-E72D297353CC}">
              <c16:uniqueId val="{00000001-EA1B-40B5-990E-24FFA2AE3B92}"/>
            </c:ext>
          </c:extLst>
        </c:ser>
        <c:ser>
          <c:idx val="2"/>
          <c:order val="2"/>
          <c:tx>
            <c:strRef>
              <c:f>Diagram!$A$7</c:f>
              <c:strCache>
                <c:ptCount val="1"/>
                <c:pt idx="0">
                  <c:v>Meat from dairy calves 24m</c:v>
                </c:pt>
              </c:strCache>
            </c:strRef>
          </c:tx>
          <c:spPr>
            <a:solidFill>
              <a:schemeClr val="accent3"/>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Diagram!$B$7:$L$7</c:f>
              <c:numCache>
                <c:formatCode>0.00</c:formatCode>
                <c:ptCount val="11"/>
                <c:pt idx="0">
                  <c:v>0.20061450746455783</c:v>
                </c:pt>
                <c:pt idx="1">
                  <c:v>0.24631609136613059</c:v>
                </c:pt>
                <c:pt idx="2">
                  <c:v>0.28238672518108959</c:v>
                </c:pt>
                <c:pt idx="3">
                  <c:v>0.28502160775195556</c:v>
                </c:pt>
                <c:pt idx="4">
                  <c:v>0.2997406069409313</c:v>
                </c:pt>
                <c:pt idx="5">
                  <c:v>0.25013212819290204</c:v>
                </c:pt>
                <c:pt idx="6">
                  <c:v>0.34062671579919718</c:v>
                </c:pt>
                <c:pt idx="7">
                  <c:v>0.2518584305669177</c:v>
                </c:pt>
                <c:pt idx="8">
                  <c:v>0.3237271241377806</c:v>
                </c:pt>
                <c:pt idx="9">
                  <c:v>0.22614561099605271</c:v>
                </c:pt>
                <c:pt idx="10">
                  <c:v>0.20988202547243145</c:v>
                </c:pt>
              </c:numCache>
            </c:numRef>
          </c:val>
          <c:extLst>
            <c:ext xmlns:c16="http://schemas.microsoft.com/office/drawing/2014/chart" uri="{C3380CC4-5D6E-409C-BE32-E72D297353CC}">
              <c16:uniqueId val="{00000002-EA1B-40B5-990E-24FFA2AE3B92}"/>
            </c:ext>
          </c:extLst>
        </c:ser>
        <c:ser>
          <c:idx val="3"/>
          <c:order val="3"/>
          <c:tx>
            <c:strRef>
              <c:f>Diagram!$A$9</c:f>
              <c:strCache>
                <c:ptCount val="1"/>
                <c:pt idx="0">
                  <c:v>Egg</c:v>
                </c:pt>
              </c:strCache>
            </c:strRef>
          </c:tx>
          <c:spPr>
            <a:solidFill>
              <a:schemeClr val="accent4"/>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Diagram!$B$9:$L$9</c:f>
              <c:numCache>
                <c:formatCode>0.0</c:formatCode>
                <c:ptCount val="11"/>
                <c:pt idx="0">
                  <c:v>6.7125007851221232</c:v>
                </c:pt>
                <c:pt idx="1">
                  <c:v>6.8052206520011511</c:v>
                </c:pt>
                <c:pt idx="2">
                  <c:v>6.9023384425879382</c:v>
                </c:pt>
                <c:pt idx="3">
                  <c:v>9.9274161982778928</c:v>
                </c:pt>
                <c:pt idx="4">
                  <c:v>10.42729722185066</c:v>
                </c:pt>
                <c:pt idx="5">
                  <c:v>7.3563894007634918</c:v>
                </c:pt>
                <c:pt idx="6">
                  <c:v>8.509213884238191</c:v>
                </c:pt>
                <c:pt idx="7">
                  <c:v>8.1405739301218869</c:v>
                </c:pt>
                <c:pt idx="8" formatCode="0">
                  <c:v>10.001434627962157</c:v>
                </c:pt>
                <c:pt idx="9">
                  <c:v>8.8463701718001548</c:v>
                </c:pt>
                <c:pt idx="10">
                  <c:v>7.7135092992100676</c:v>
                </c:pt>
              </c:numCache>
            </c:numRef>
          </c:val>
          <c:extLst>
            <c:ext xmlns:c16="http://schemas.microsoft.com/office/drawing/2014/chart" uri="{C3380CC4-5D6E-409C-BE32-E72D297353CC}">
              <c16:uniqueId val="{00000003-EA1B-40B5-990E-24FFA2AE3B92}"/>
            </c:ext>
          </c:extLst>
        </c:ser>
        <c:ser>
          <c:idx val="4"/>
          <c:order val="4"/>
          <c:tx>
            <c:strRef>
              <c:f>Diagram!$A$10</c:f>
              <c:strCache>
                <c:ptCount val="1"/>
                <c:pt idx="0">
                  <c:v>Chicken</c:v>
                </c:pt>
              </c:strCache>
            </c:strRef>
          </c:tx>
          <c:spPr>
            <a:solidFill>
              <a:schemeClr val="accent5"/>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Diagram!$B$10:$L$10</c:f>
              <c:numCache>
                <c:formatCode>0</c:formatCode>
                <c:ptCount val="11"/>
                <c:pt idx="0">
                  <c:v>70.378120212897656</c:v>
                </c:pt>
                <c:pt idx="1">
                  <c:v>76.868549579077296</c:v>
                </c:pt>
                <c:pt idx="2">
                  <c:v>67.939375147030404</c:v>
                </c:pt>
                <c:pt idx="3">
                  <c:v>76.426602115042613</c:v>
                </c:pt>
                <c:pt idx="4">
                  <c:v>76.41384051491049</c:v>
                </c:pt>
                <c:pt idx="5">
                  <c:v>76.426602115042613</c:v>
                </c:pt>
                <c:pt idx="6">
                  <c:v>76.426602115042613</c:v>
                </c:pt>
                <c:pt idx="7">
                  <c:v>75.375612033895237</c:v>
                </c:pt>
                <c:pt idx="8">
                  <c:v>76.41384051491049</c:v>
                </c:pt>
                <c:pt idx="9">
                  <c:v>76.41384051491049</c:v>
                </c:pt>
                <c:pt idx="10">
                  <c:v>60.503138260165535</c:v>
                </c:pt>
              </c:numCache>
            </c:numRef>
          </c:val>
          <c:extLst>
            <c:ext xmlns:c16="http://schemas.microsoft.com/office/drawing/2014/chart" uri="{C3380CC4-5D6E-409C-BE32-E72D297353CC}">
              <c16:uniqueId val="{00000004-EA1B-40B5-990E-24FFA2AE3B92}"/>
            </c:ext>
          </c:extLst>
        </c:ser>
        <c:ser>
          <c:idx val="5"/>
          <c:order val="5"/>
          <c:tx>
            <c:strRef>
              <c:f>Diagram!$A$11</c:f>
              <c:strCache>
                <c:ptCount val="1"/>
                <c:pt idx="0">
                  <c:v>Pig</c:v>
                </c:pt>
              </c:strCache>
            </c:strRef>
          </c:tx>
          <c:spPr>
            <a:solidFill>
              <a:schemeClr val="accent6"/>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Diagram!$B$11:$L$11</c:f>
              <c:numCache>
                <c:formatCode>0.0</c:formatCode>
                <c:ptCount val="11"/>
                <c:pt idx="0">
                  <c:v>3.7603024624306398</c:v>
                </c:pt>
                <c:pt idx="1">
                  <c:v>3.8528813937224173</c:v>
                </c:pt>
                <c:pt idx="2">
                  <c:v>3.658512280664648</c:v>
                </c:pt>
                <c:pt idx="3">
                  <c:v>3.7782569595637128</c:v>
                </c:pt>
                <c:pt idx="4">
                  <c:v>3.6643868424530748</c:v>
                </c:pt>
                <c:pt idx="5">
                  <c:v>3.6547804586127444</c:v>
                </c:pt>
                <c:pt idx="6">
                  <c:v>2.9314832390092738</c:v>
                </c:pt>
                <c:pt idx="7">
                  <c:v>3.521250969971935</c:v>
                </c:pt>
                <c:pt idx="8">
                  <c:v>3.7782569595637128</c:v>
                </c:pt>
                <c:pt idx="9">
                  <c:v>3.9766058701166638</c:v>
                </c:pt>
                <c:pt idx="10">
                  <c:v>2.8930738532209359</c:v>
                </c:pt>
              </c:numCache>
            </c:numRef>
          </c:val>
          <c:extLst>
            <c:ext xmlns:c16="http://schemas.microsoft.com/office/drawing/2014/chart" uri="{C3380CC4-5D6E-409C-BE32-E72D297353CC}">
              <c16:uniqueId val="{00000005-EA1B-40B5-990E-24FFA2AE3B92}"/>
            </c:ext>
          </c:extLst>
        </c:ser>
        <c:ser>
          <c:idx val="6"/>
          <c:order val="6"/>
          <c:tx>
            <c:strRef>
              <c:f>Diagram!$A$12</c:f>
              <c:strCache>
                <c:ptCount val="1"/>
                <c:pt idx="0">
                  <c:v>Sheep</c:v>
                </c:pt>
              </c:strCache>
            </c:strRef>
          </c:tx>
          <c:spPr>
            <a:solidFill>
              <a:schemeClr val="accent1">
                <a:lumMod val="60000"/>
              </a:schemeClr>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Diagram!$B$12:$L$12</c:f>
              <c:numCache>
                <c:formatCode>0.0</c:formatCode>
                <c:ptCount val="11"/>
                <c:pt idx="0">
                  <c:v>3.0059866098436268</c:v>
                </c:pt>
                <c:pt idx="1">
                  <c:v>3.2933591015914891</c:v>
                </c:pt>
                <c:pt idx="2">
                  <c:v>3.4800640589215956</c:v>
                </c:pt>
                <c:pt idx="3">
                  <c:v>2.8533373134696354</c:v>
                </c:pt>
                <c:pt idx="4">
                  <c:v>199.07249104665692</c:v>
                </c:pt>
                <c:pt idx="5">
                  <c:v>2.6711695862508478</c:v>
                </c:pt>
                <c:pt idx="6">
                  <c:v>2.8706657329119549</c:v>
                </c:pt>
                <c:pt idx="7">
                  <c:v>2.5248575574030254</c:v>
                </c:pt>
                <c:pt idx="8">
                  <c:v>4.4878251046775421</c:v>
                </c:pt>
                <c:pt idx="9">
                  <c:v>3.324564411943197</c:v>
                </c:pt>
                <c:pt idx="10">
                  <c:v>2.854762488771839</c:v>
                </c:pt>
              </c:numCache>
            </c:numRef>
          </c:val>
          <c:extLst>
            <c:ext xmlns:c16="http://schemas.microsoft.com/office/drawing/2014/chart" uri="{C3380CC4-5D6E-409C-BE32-E72D297353CC}">
              <c16:uniqueId val="{00000006-EA1B-40B5-990E-24FFA2AE3B92}"/>
            </c:ext>
          </c:extLst>
        </c:ser>
        <c:ser>
          <c:idx val="7"/>
          <c:order val="7"/>
          <c:tx>
            <c:strRef>
              <c:f>Diagram!$A$13</c:f>
              <c:strCache>
                <c:ptCount val="1"/>
                <c:pt idx="0">
                  <c:v>Rabbit</c:v>
                </c:pt>
              </c:strCache>
            </c:strRef>
          </c:tx>
          <c:spPr>
            <a:solidFill>
              <a:schemeClr val="accent2">
                <a:lumMod val="60000"/>
              </a:schemeClr>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Diagram!$B$13:$L$13</c:f>
              <c:numCache>
                <c:formatCode>0</c:formatCode>
                <c:ptCount val="11"/>
                <c:pt idx="1">
                  <c:v>72.655755424485335</c:v>
                </c:pt>
                <c:pt idx="4">
                  <c:v>72.655755424485335</c:v>
                </c:pt>
                <c:pt idx="6">
                  <c:v>69.058707221892462</c:v>
                </c:pt>
                <c:pt idx="9">
                  <c:v>72.864617629991272</c:v>
                </c:pt>
              </c:numCache>
            </c:numRef>
          </c:val>
          <c:extLst>
            <c:ext xmlns:c16="http://schemas.microsoft.com/office/drawing/2014/chart" uri="{C3380CC4-5D6E-409C-BE32-E72D297353CC}">
              <c16:uniqueId val="{00000007-EA1B-40B5-990E-24FFA2AE3B92}"/>
            </c:ext>
          </c:extLst>
        </c:ser>
        <c:ser>
          <c:idx val="8"/>
          <c:order val="8"/>
          <c:tx>
            <c:strRef>
              <c:f>Diagram!$A$14</c:f>
              <c:strCache>
                <c:ptCount val="1"/>
                <c:pt idx="0">
                  <c:v>Salmon</c:v>
                </c:pt>
              </c:strCache>
            </c:strRef>
          </c:tx>
          <c:spPr>
            <a:solidFill>
              <a:schemeClr val="accent3">
                <a:lumMod val="60000"/>
              </a:schemeClr>
            </a:solidFill>
            <a:ln>
              <a:noFill/>
            </a:ln>
            <a:effectLst/>
          </c:spPr>
          <c:invertIfNegative val="0"/>
          <c:cat>
            <c:strRef>
              <c:f>Diagram!$B$4:$L$4</c:f>
              <c:strCache>
                <c:ptCount val="11"/>
                <c:pt idx="0">
                  <c:v>DK</c:v>
                </c:pt>
                <c:pt idx="1">
                  <c:v>FR</c:v>
                </c:pt>
                <c:pt idx="2">
                  <c:v>DE</c:v>
                </c:pt>
                <c:pt idx="3">
                  <c:v>GR</c:v>
                </c:pt>
                <c:pt idx="4">
                  <c:v>HU</c:v>
                </c:pt>
                <c:pt idx="5">
                  <c:v>IE</c:v>
                </c:pt>
                <c:pt idx="6">
                  <c:v>IT</c:v>
                </c:pt>
                <c:pt idx="7">
                  <c:v>NL</c:v>
                </c:pt>
                <c:pt idx="8">
                  <c:v>PL</c:v>
                </c:pt>
                <c:pt idx="9">
                  <c:v>ES</c:v>
                </c:pt>
                <c:pt idx="10">
                  <c:v>SE</c:v>
                </c:pt>
              </c:strCache>
            </c:strRef>
          </c:cat>
          <c:val>
            <c:numRef>
              <c:f>Diagram!$B$14:$L$14</c:f>
              <c:numCache>
                <c:formatCode>0.0</c:formatCode>
                <c:ptCount val="11"/>
                <c:pt idx="0">
                  <c:v>10.939088941579248</c:v>
                </c:pt>
                <c:pt idx="1">
                  <c:v>10.939088941579248</c:v>
                </c:pt>
                <c:pt idx="2">
                  <c:v>10.939088941579248</c:v>
                </c:pt>
                <c:pt idx="3">
                  <c:v>10.939088941579248</c:v>
                </c:pt>
                <c:pt idx="4">
                  <c:v>10.939088941579248</c:v>
                </c:pt>
                <c:pt idx="5">
                  <c:v>10.939088941579248</c:v>
                </c:pt>
                <c:pt idx="6">
                  <c:v>10.939088941579248</c:v>
                </c:pt>
                <c:pt idx="7">
                  <c:v>10.939088941579248</c:v>
                </c:pt>
                <c:pt idx="8">
                  <c:v>10.939088941579248</c:v>
                </c:pt>
                <c:pt idx="9">
                  <c:v>10.939088941579248</c:v>
                </c:pt>
                <c:pt idx="10">
                  <c:v>10.939088941579248</c:v>
                </c:pt>
              </c:numCache>
            </c:numRef>
          </c:val>
          <c:extLst>
            <c:ext xmlns:c16="http://schemas.microsoft.com/office/drawing/2014/chart" uri="{C3380CC4-5D6E-409C-BE32-E72D297353CC}">
              <c16:uniqueId val="{00000008-EA1B-40B5-990E-24FFA2AE3B92}"/>
            </c:ext>
          </c:extLst>
        </c:ser>
        <c:dLbls>
          <c:showLegendKey val="0"/>
          <c:showVal val="0"/>
          <c:showCatName val="0"/>
          <c:showSerName val="0"/>
          <c:showPercent val="0"/>
          <c:showBubbleSize val="0"/>
        </c:dLbls>
        <c:gapWidth val="219"/>
        <c:overlap val="-27"/>
        <c:axId val="465846864"/>
        <c:axId val="368028992"/>
      </c:barChart>
      <c:catAx>
        <c:axId val="46584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28992"/>
        <c:crosses val="autoZero"/>
        <c:auto val="1"/>
        <c:lblAlgn val="ctr"/>
        <c:lblOffset val="100"/>
        <c:noMultiLvlLbl val="0"/>
      </c:catAx>
      <c:valAx>
        <c:axId val="36802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4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25400">
              <a:noFill/>
            </a:ln>
            <a:effectLst/>
          </c:spPr>
          <c:invertIfNegative val="0"/>
          <c:cat>
            <c:strRef>
              <c:f>'Algorithm - only testing'!$F$26:$F$45</c:f>
              <c:strCache>
                <c:ptCount val="20"/>
                <c:pt idx="0">
                  <c:v>beef suckler</c:v>
                </c:pt>
                <c:pt idx="1">
                  <c:v>dairy calf 9 m</c:v>
                </c:pt>
                <c:pt idx="2">
                  <c:v>dairy calf 24m</c:v>
                </c:pt>
                <c:pt idx="3">
                  <c:v>dairy cow milk</c:v>
                </c:pt>
                <c:pt idx="4">
                  <c:v>laying hen egg</c:v>
                </c:pt>
                <c:pt idx="5">
                  <c:v>chicken</c:v>
                </c:pt>
                <c:pt idx="6">
                  <c:v>pig</c:v>
                </c:pt>
                <c:pt idx="7">
                  <c:v>sheep</c:v>
                </c:pt>
                <c:pt idx="8">
                  <c:v>rabbit</c:v>
                </c:pt>
                <c:pt idx="9">
                  <c:v>salmon</c:v>
                </c:pt>
                <c:pt idx="10">
                  <c:v>wild fish</c:v>
                </c:pt>
                <c:pt idx="11">
                  <c:v>wild ruminant</c:v>
                </c:pt>
                <c:pt idx="12">
                  <c:v>wild boar</c:v>
                </c:pt>
                <c:pt idx="13">
                  <c:v>wild rabbit</c:v>
                </c:pt>
                <c:pt idx="14">
                  <c:v>meal worm</c:v>
                </c:pt>
                <c:pt idx="15">
                  <c:v>honey bee</c:v>
                </c:pt>
                <c:pt idx="16">
                  <c:v>mussels</c:v>
                </c:pt>
                <c:pt idx="17">
                  <c:v>shrimps</c:v>
                </c:pt>
                <c:pt idx="18">
                  <c:v>octopus-squid</c:v>
                </c:pt>
                <c:pt idx="19">
                  <c:v>horse</c:v>
                </c:pt>
              </c:strCache>
            </c:strRef>
          </c:cat>
          <c:val>
            <c:numRef>
              <c:f>'Algorithm - only testing'!$G$26:$G$45</c:f>
              <c:numCache>
                <c:formatCode>0.000</c:formatCode>
                <c:ptCount val="20"/>
                <c:pt idx="0">
                  <c:v>0.29242436598527122</c:v>
                </c:pt>
                <c:pt idx="1">
                  <c:v>0.38593870051236046</c:v>
                </c:pt>
                <c:pt idx="2">
                  <c:v>0.20061450746455783</c:v>
                </c:pt>
                <c:pt idx="3" formatCode="0.00000">
                  <c:v>8.5404352965718647E-2</c:v>
                </c:pt>
                <c:pt idx="4">
                  <c:v>6.5808692878500388</c:v>
                </c:pt>
                <c:pt idx="5">
                  <c:v>35.512247629795063</c:v>
                </c:pt>
                <c:pt idx="6">
                  <c:v>3.7765335592669103</c:v>
                </c:pt>
                <c:pt idx="7">
                  <c:v>3.0307414947612266</c:v>
                </c:pt>
                <c:pt idx="8">
                  <c:v>35.007302731613464</c:v>
                </c:pt>
                <c:pt idx="9">
                  <c:v>6.8676113986377558</c:v>
                </c:pt>
                <c:pt idx="10">
                  <c:v>1.8647868715666507</c:v>
                </c:pt>
                <c:pt idx="11" formatCode="0.0000">
                  <c:v>4.4035905510246658E-3</c:v>
                </c:pt>
                <c:pt idx="12" formatCode="0.0000">
                  <c:v>4.4740888888888898E-4</c:v>
                </c:pt>
                <c:pt idx="13" formatCode="0.0000">
                  <c:v>3.1514462499999999E-3</c:v>
                </c:pt>
                <c:pt idx="14">
                  <c:v>2.745941723585839</c:v>
                </c:pt>
                <c:pt idx="15">
                  <c:v>3.6986569781577092</c:v>
                </c:pt>
                <c:pt idx="16">
                  <c:v>5.5325568107189609</c:v>
                </c:pt>
                <c:pt idx="17">
                  <c:v>7.6084608464571506</c:v>
                </c:pt>
                <c:pt idx="18">
                  <c:v>0.70248667398552689</c:v>
                </c:pt>
                <c:pt idx="19">
                  <c:v>6.9737999999999994E-2</c:v>
                </c:pt>
              </c:numCache>
            </c:numRef>
          </c:val>
          <c:extLst>
            <c:ext xmlns:c16="http://schemas.microsoft.com/office/drawing/2014/chart" uri="{C3380CC4-5D6E-409C-BE32-E72D297353CC}">
              <c16:uniqueId val="{00000001-0D13-4A5E-B010-4E0C93D4B439}"/>
            </c:ext>
          </c:extLst>
        </c:ser>
        <c:dLbls>
          <c:showLegendKey val="0"/>
          <c:showVal val="0"/>
          <c:showCatName val="0"/>
          <c:showSerName val="0"/>
          <c:showPercent val="0"/>
          <c:showBubbleSize val="0"/>
        </c:dLbls>
        <c:gapWidth val="150"/>
        <c:axId val="480483847"/>
        <c:axId val="480490503"/>
      </c:barChart>
      <c:catAx>
        <c:axId val="480483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490503"/>
        <c:crosses val="autoZero"/>
        <c:auto val="1"/>
        <c:lblAlgn val="ctr"/>
        <c:lblOffset val="100"/>
        <c:noMultiLvlLbl val="0"/>
      </c:catAx>
      <c:valAx>
        <c:axId val="48049050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483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Ability!$A$5:$A$24</c:f>
              <c:strCache>
                <c:ptCount val="20"/>
                <c:pt idx="0">
                  <c:v>Beef parents/cows</c:v>
                </c:pt>
                <c:pt idx="1">
                  <c:v>Beef calves</c:v>
                </c:pt>
                <c:pt idx="2">
                  <c:v>Male chick 10m</c:v>
                </c:pt>
                <c:pt idx="3">
                  <c:v>Laying hens</c:v>
                </c:pt>
                <c:pt idx="4">
                  <c:v>Chicken</c:v>
                </c:pt>
                <c:pt idx="5">
                  <c:v>Pigs, slaughtering </c:v>
                </c:pt>
                <c:pt idx="6">
                  <c:v>Pigs, parents/sows</c:v>
                </c:pt>
                <c:pt idx="7">
                  <c:v>Sheep/goat, lamb</c:v>
                </c:pt>
                <c:pt idx="8">
                  <c:v>Sheep/goat, parents</c:v>
                </c:pt>
                <c:pt idx="9">
                  <c:v>Rabbit</c:v>
                </c:pt>
                <c:pt idx="10">
                  <c:v>Salmon, farmed</c:v>
                </c:pt>
                <c:pt idx="11">
                  <c:v>Wild fish</c:v>
                </c:pt>
                <c:pt idx="12">
                  <c:v>Non-domestic ruminants, hunting</c:v>
                </c:pt>
                <c:pt idx="13">
                  <c:v>Non-domestic pigs, hunting</c:v>
                </c:pt>
                <c:pt idx="14">
                  <c:v>Non-domestic rabits, hunting</c:v>
                </c:pt>
                <c:pt idx="15">
                  <c:v>Mealworm</c:v>
                </c:pt>
                <c:pt idx="16">
                  <c:v>Honey bees</c:v>
                </c:pt>
                <c:pt idx="17">
                  <c:v>Mussels</c:v>
                </c:pt>
                <c:pt idx="18">
                  <c:v>Shrimps</c:v>
                </c:pt>
                <c:pt idx="19">
                  <c:v>Octopus, wild</c:v>
                </c:pt>
              </c:strCache>
            </c:strRef>
          </c:cat>
          <c:val>
            <c:numRef>
              <c:f>Ability!$B$5:$B$24</c:f>
              <c:numCache>
                <c:formatCode>0.000</c:formatCode>
                <c:ptCount val="20"/>
                <c:pt idx="0">
                  <c:v>0.88410303277141455</c:v>
                </c:pt>
                <c:pt idx="1">
                  <c:v>0.82044791775586834</c:v>
                </c:pt>
                <c:pt idx="2">
                  <c:v>0.2556274253781865</c:v>
                </c:pt>
                <c:pt idx="3">
                  <c:v>0.58534077701729459</c:v>
                </c:pt>
                <c:pt idx="4">
                  <c:v>0.54320827892864587</c:v>
                </c:pt>
                <c:pt idx="5">
                  <c:v>0.87981165625279378</c:v>
                </c:pt>
                <c:pt idx="6">
                  <c:v>0.94805646338919392</c:v>
                </c:pt>
                <c:pt idx="7">
                  <c:v>0.82044791775586834</c:v>
                </c:pt>
                <c:pt idx="8">
                  <c:v>0.88410303277141455</c:v>
                </c:pt>
                <c:pt idx="9">
                  <c:v>0.67196797361598137</c:v>
                </c:pt>
                <c:pt idx="10">
                  <c:v>0.30307199464420814</c:v>
                </c:pt>
                <c:pt idx="11">
                  <c:v>0.31967774941142579</c:v>
                </c:pt>
                <c:pt idx="12">
                  <c:v>0.93252505786404671</c:v>
                </c:pt>
                <c:pt idx="13">
                  <c:v>1</c:v>
                </c:pt>
                <c:pt idx="14">
                  <c:v>0.70880725560511382</c:v>
                </c:pt>
                <c:pt idx="15">
                  <c:v>3.9541560819636078E-2</c:v>
                </c:pt>
                <c:pt idx="16">
                  <c:v>8.8767767475785006E-2</c:v>
                </c:pt>
                <c:pt idx="17">
                  <c:v>4.9917805810998139E-2</c:v>
                </c:pt>
                <c:pt idx="18">
                  <c:v>0.1460824482519773</c:v>
                </c:pt>
                <c:pt idx="19">
                  <c:v>0.37054242144291522</c:v>
                </c:pt>
              </c:numCache>
            </c:numRef>
          </c:val>
          <c:extLst>
            <c:ext xmlns:c16="http://schemas.microsoft.com/office/drawing/2014/chart" uri="{C3380CC4-5D6E-409C-BE32-E72D297353CC}">
              <c16:uniqueId val="{00000000-C171-472C-99D3-D315A108132A}"/>
            </c:ext>
          </c:extLst>
        </c:ser>
        <c:dLbls>
          <c:showLegendKey val="0"/>
          <c:showVal val="0"/>
          <c:showCatName val="0"/>
          <c:showSerName val="0"/>
          <c:showPercent val="0"/>
          <c:showBubbleSize val="0"/>
        </c:dLbls>
        <c:gapWidth val="219"/>
        <c:overlap val="-27"/>
        <c:axId val="666551311"/>
        <c:axId val="642189567"/>
      </c:barChart>
      <c:catAx>
        <c:axId val="6665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89567"/>
        <c:crosses val="autoZero"/>
        <c:auto val="1"/>
        <c:lblAlgn val="ctr"/>
        <c:lblOffset val="100"/>
        <c:noMultiLvlLbl val="0"/>
      </c:catAx>
      <c:valAx>
        <c:axId val="6421895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55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chartData>
  <cx:chart>
    <cx:plotArea>
      <cx:plotAreaRegion>
        <cx:series layoutId="boxWhisker" uniqueId="{276ECEAF-FAB9-4E78-834F-D86B64EB2850}">
          <cx:tx>
            <cx:txData>
              <cx:f>_xlchart.v1.1</cx:f>
              <cx:v>High</cx:v>
            </cx:txData>
          </cx:tx>
          <cx:dataId val="0"/>
          <cx:layoutPr>
            <cx:visibility meanLine="0" meanMarker="1" nonoutliers="0" outliers="1"/>
            <cx:statistics quartileMethod="exclusive"/>
          </cx:layoutPr>
        </cx:series>
        <cx:series layoutId="boxWhisker" uniqueId="{9A317BCA-84A0-4BF7-9946-12A60564F0BD}">
          <cx:tx>
            <cx:txData>
              <cx:f>_xlchart.v1.3</cx:f>
              <cx:v>Average</cx:v>
            </cx:txData>
          </cx:tx>
          <cx:dataId val="1"/>
          <cx:layoutPr>
            <cx:visibility meanLine="0" meanMarker="1" nonoutliers="0" outliers="1"/>
            <cx:statistics quartileMethod="exclusive"/>
          </cx:layoutPr>
        </cx:series>
        <cx:series layoutId="boxWhisker" uniqueId="{4DD59D14-05E2-4365-A462-CF548A49FCAC}">
          <cx:tx>
            <cx:txData>
              <cx:f>_xlchart.v1.5</cx:f>
              <cx:v>Low</cx:v>
            </cx:txData>
          </cx:tx>
          <cx:dataId val="2"/>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99060</xdr:colOff>
      <xdr:row>20</xdr:row>
      <xdr:rowOff>80010</xdr:rowOff>
    </xdr:from>
    <xdr:to>
      <xdr:col>8</xdr:col>
      <xdr:colOff>525780</xdr:colOff>
      <xdr:row>46</xdr:row>
      <xdr:rowOff>38100</xdr:rowOff>
    </xdr:to>
    <xdr:graphicFrame macro="">
      <xdr:nvGraphicFramePr>
        <xdr:cNvPr id="2" name="Chart 1">
          <a:extLst>
            <a:ext uri="{FF2B5EF4-FFF2-40B4-BE49-F238E27FC236}">
              <a16:creationId xmlns:a16="http://schemas.microsoft.com/office/drawing/2014/main" id="{4C9DCA38-1017-3327-FB50-67AC83B70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331470</xdr:colOff>
      <xdr:row>21</xdr:row>
      <xdr:rowOff>78105</xdr:rowOff>
    </xdr:from>
    <xdr:to>
      <xdr:col>32</xdr:col>
      <xdr:colOff>430530</xdr:colOff>
      <xdr:row>41</xdr:row>
      <xdr:rowOff>83820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7BAE93-0D88-2035-939B-BE3AC9D181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Det här diagrammet är inte tillgängligt i din version av Excel.
Om du redigerar figuren eller sparar arbetsboken i ett annat filformat bryts diagrammet permanent.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82</xdr:row>
      <xdr:rowOff>85725</xdr:rowOff>
    </xdr:from>
    <xdr:to>
      <xdr:col>4</xdr:col>
      <xdr:colOff>171450</xdr:colOff>
      <xdr:row>117</xdr:row>
      <xdr:rowOff>28575</xdr:rowOff>
    </xdr:to>
    <xdr:graphicFrame macro="">
      <xdr:nvGraphicFramePr>
        <xdr:cNvPr id="7" name="Diagram 1">
          <a:extLst>
            <a:ext uri="{FF2B5EF4-FFF2-40B4-BE49-F238E27FC236}">
              <a16:creationId xmlns:a16="http://schemas.microsoft.com/office/drawing/2014/main" id="{81AE1860-419B-6630-7452-FBF95F3C2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4</xdr:row>
      <xdr:rowOff>4761</xdr:rowOff>
    </xdr:from>
    <xdr:to>
      <xdr:col>14</xdr:col>
      <xdr:colOff>409575</xdr:colOff>
      <xdr:row>23</xdr:row>
      <xdr:rowOff>161924</xdr:rowOff>
    </xdr:to>
    <xdr:graphicFrame macro="">
      <xdr:nvGraphicFramePr>
        <xdr:cNvPr id="2" name="Chart 1">
          <a:extLst>
            <a:ext uri="{FF2B5EF4-FFF2-40B4-BE49-F238E27FC236}">
              <a16:creationId xmlns:a16="http://schemas.microsoft.com/office/drawing/2014/main" id="{CC615D75-EAE7-24A1-E733-5CDC62193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325755</xdr:colOff>
      <xdr:row>21</xdr:row>
      <xdr:rowOff>9524</xdr:rowOff>
    </xdr:from>
    <xdr:to>
      <xdr:col>15</xdr:col>
      <xdr:colOff>154305</xdr:colOff>
      <xdr:row>45</xdr:row>
      <xdr:rowOff>64769</xdr:rowOff>
    </xdr:to>
    <xdr:sp macro="" textlink="">
      <xdr:nvSpPr>
        <xdr:cNvPr id="2" name="TextBox 1">
          <a:extLst>
            <a:ext uri="{FF2B5EF4-FFF2-40B4-BE49-F238E27FC236}">
              <a16:creationId xmlns:a16="http://schemas.microsoft.com/office/drawing/2014/main" id="{A1A687CB-DC82-4A39-FB64-56CB76A29602}"/>
            </a:ext>
          </a:extLst>
        </xdr:cNvPr>
        <xdr:cNvSpPr txBox="1"/>
      </xdr:nvSpPr>
      <xdr:spPr>
        <a:xfrm>
          <a:off x="2764155" y="3750944"/>
          <a:ext cx="6534150" cy="4444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Journal of Agricultural Science (2016), 154, 765–781. doi:10.1017/S0021859615000830 där jag använde observerad beteslängd år 2010. Det är 13 år sedan och vi skulle kunna öka upp med hjälp av prognosen i artikeln. Prognosen gäller för 2050, så en fjärdedel av ökningen från 2010-2050, men enligt vilket scenario? Tror inte det är värt att göra en sådan korrigering</a:t>
          </a:r>
          <a:r>
            <a:rPr lang="en-US" sz="1100" b="0" i="0" u="none" strike="noStrike">
              <a:solidFill>
                <a:schemeClr val="dk1"/>
              </a:solidFill>
              <a:latin typeface="Calibri" panose="020F0502020204030204" pitchFamily="34" charset="0"/>
              <a:cs typeface="Calibri" panose="020F0502020204030204" pitchFamily="34" charset="0"/>
            </a:rPr>
            <a:t> (alltså inte gjort)</a:t>
          </a:r>
          <a:r>
            <a:rPr lang="en-US" sz="1100">
              <a:solidFill>
                <a:schemeClr val="dk1"/>
              </a:solidFill>
              <a:latin typeface="+mn-lt"/>
              <a:ea typeface="+mn-lt"/>
              <a:cs typeface="+mn-lt"/>
            </a:rPr>
            <a:t>.</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Betestid under dygnet</a:t>
          </a:r>
          <a:r>
            <a:rPr lang="en-US" sz="1100">
              <a:solidFill>
                <a:schemeClr val="dk1"/>
              </a:solidFill>
              <a:latin typeface="+mn-lt"/>
              <a:ea typeface="+mn-lt"/>
              <a:cs typeface="+mn-lt"/>
            </a:rPr>
            <a:t>: Får och köttkor, mjölk-sinkor och mjölk-kvigor är på bete dygnet runt, men mjölkkor går ju in för mjölkning, sammanlagt 3-4 t per dag. Går korna i lösdrift med robot kan de gå in och ut som de vill, men de måste ju ha betet i direkt anslutning till lagården så ofta funkar deras betet nog mer som rasthage än som utfodring.  För djurvälfärdsindikatorn har jag förenklat som om mjölkkor på bete är ute på betet dygnet runt. Antalet timmar per dygn kan variera inom land. Är det mycket varmt kan korna hållas inomhus, i skuggan, på dagen. Är betet dåligt kan korna hållas inne för stödutfodring några timmar per dag. Är det mycket insekter kan korna hållas inomhus på natten. Och så vidare.</a:t>
          </a:r>
          <a:r>
            <a:rPr lang="en-US" sz="1100" b="0" i="0" u="none" strike="noStrike">
              <a:solidFill>
                <a:schemeClr val="dk1"/>
              </a:solidFill>
              <a:latin typeface="Calibri" panose="020F0502020204030204" pitchFamily="34" charset="0"/>
              <a:cs typeface="Calibri" panose="020F0502020204030204" pitchFamily="34" charset="0"/>
            </a:rPr>
            <a:t> Sådan minskad tid på bete leder dock till högre välfärd än dygnet runt på bete. </a:t>
          </a:r>
          <a:r>
            <a:rPr lang="en-US" sz="1100">
              <a:solidFill>
                <a:schemeClr val="dk1"/>
              </a:solidFill>
              <a:latin typeface="+mn-lt"/>
              <a:ea typeface="+mn-lt"/>
              <a:cs typeface="+mn-lt"/>
            </a:rPr>
            <a:t>  </a:t>
          </a:r>
        </a:p>
        <a:p>
          <a:pPr marL="0" indent="0"/>
          <a:r>
            <a:rPr lang="en-US" sz="1100">
              <a:solidFill>
                <a:schemeClr val="dk1"/>
              </a:solidFill>
              <a:latin typeface="+mn-lt"/>
              <a:ea typeface="+mn-lt"/>
              <a:cs typeface="+mn-lt"/>
            </a:rPr>
            <a:t> </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Andel djur som tillåts gå på bete</a:t>
          </a:r>
          <a:r>
            <a:rPr lang="en-US" sz="1100">
              <a:solidFill>
                <a:schemeClr val="dk1"/>
              </a:solidFill>
              <a:latin typeface="+mn-lt"/>
              <a:ea typeface="+mn-lt"/>
              <a:cs typeface="+mn-lt"/>
            </a:rPr>
            <a:t>: För mjölkkor har jag tagit andel mjölkkor som tillåts gå på bete från Sustainability 2020, 12, 1098; doi:10.3390/su12031098, tabell 3. </a:t>
          </a:r>
        </a:p>
        <a:p>
          <a:pPr marL="0" indent="0"/>
          <a:r>
            <a:rPr lang="en-US" sz="1100">
              <a:solidFill>
                <a:schemeClr val="dk1"/>
              </a:solidFill>
              <a:latin typeface="+mn-lt"/>
              <a:ea typeface="+mn-lt"/>
              <a:cs typeface="+mn-lt"/>
            </a:rPr>
            <a:t>Jag har inte hittat motsvarade uppgifter för köttkor eller får. </a:t>
          </a:r>
        </a:p>
        <a:p>
          <a:pPr marL="0" indent="0"/>
          <a:r>
            <a:rPr lang="en-US" sz="1100">
              <a:solidFill>
                <a:schemeClr val="dk1"/>
              </a:solidFill>
              <a:latin typeface="+mn-lt"/>
              <a:ea typeface="+mn-lt"/>
              <a:cs typeface="+mn-lt"/>
            </a:rPr>
            <a:t>För köttkor har jag antagit att alla kor tillåts gå på bete. För kalvar som slaktas vid 9 mån har jag antagit att alla kalvar går inne från födsel till slakt. För ungnöt som slaktas vid 24 mån har jag a</a:t>
          </a:r>
          <a:r>
            <a:rPr lang="en-US" sz="1100" b="0" i="0" u="none" strike="noStrike">
              <a:solidFill>
                <a:schemeClr val="dk1"/>
              </a:solidFill>
              <a:latin typeface="Calibri" panose="020F0502020204030204" pitchFamily="34" charset="0"/>
              <a:cs typeface="Calibri" panose="020F0502020204030204" pitchFamily="34" charset="0"/>
            </a:rPr>
            <a:t>nvänt gödsel-siffror</a:t>
          </a: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För fåren har jag antagit att alla tackor tillåts gå på bete och f</a:t>
          </a:r>
          <a:r>
            <a:rPr lang="en-US" sz="1100" b="0" i="0" u="none" strike="noStrike">
              <a:solidFill>
                <a:schemeClr val="dk1"/>
              </a:solidFill>
              <a:latin typeface="Calibri" panose="020F0502020204030204" pitchFamily="34" charset="0"/>
              <a:cs typeface="Calibri" panose="020F0502020204030204" pitchFamily="34" charset="0"/>
            </a:rPr>
            <a:t>ör</a:t>
          </a:r>
          <a:r>
            <a:rPr lang="en-US" sz="1100">
              <a:solidFill>
                <a:schemeClr val="dk1"/>
              </a:solidFill>
              <a:latin typeface="+mn-lt"/>
              <a:ea typeface="+mn-lt"/>
              <a:cs typeface="+mn-lt"/>
            </a:rPr>
            <a:t> lammen </a:t>
          </a:r>
          <a:r>
            <a:rPr lang="en-US" sz="1100" b="0" i="0" u="none" strike="noStrike">
              <a:solidFill>
                <a:schemeClr val="dk1"/>
              </a:solidFill>
              <a:latin typeface="Calibri" panose="020F0502020204030204" pitchFamily="34" charset="0"/>
              <a:cs typeface="Calibri" panose="020F0502020204030204" pitchFamily="34" charset="0"/>
            </a:rPr>
            <a:t>har jag använt gödselsiffror.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281941</xdr:colOff>
      <xdr:row>4</xdr:row>
      <xdr:rowOff>76201</xdr:rowOff>
    </xdr:from>
    <xdr:to>
      <xdr:col>7</xdr:col>
      <xdr:colOff>480061</xdr:colOff>
      <xdr:row>26</xdr:row>
      <xdr:rowOff>32161</xdr:rowOff>
    </xdr:to>
    <xdr:pic>
      <xdr:nvPicPr>
        <xdr:cNvPr id="2" name="Bild 1" descr="A table with numbers and text&#10;&#10;Description automatically generated">
          <a:extLst>
            <a:ext uri="{FF2B5EF4-FFF2-40B4-BE49-F238E27FC236}">
              <a16:creationId xmlns:a16="http://schemas.microsoft.com/office/drawing/2014/main" id="{5A62710C-88A3-4425-80D5-33493AD94409}"/>
            </a:ext>
          </a:extLst>
        </xdr:cNvPr>
        <xdr:cNvPicPr>
          <a:picLocks noChangeAspect="1"/>
        </xdr:cNvPicPr>
      </xdr:nvPicPr>
      <xdr:blipFill>
        <a:blip xmlns:r="http://schemas.openxmlformats.org/officeDocument/2006/relationships" r:embed="rId1"/>
        <a:stretch>
          <a:fillRect/>
        </a:stretch>
      </xdr:blipFill>
      <xdr:spPr>
        <a:xfrm>
          <a:off x="281941" y="807721"/>
          <a:ext cx="4465320" cy="39793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de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1016/j.rvsc.2013.05.007" TargetMode="External"/><Relationship Id="rId2" Type="http://schemas.openxmlformats.org/officeDocument/2006/relationships/hyperlink" Target="https://receptfavoriter.se/matartiklar/matt-och-vikt-pa-olika-livsmedel.html" TargetMode="External"/><Relationship Id="rId1" Type="http://schemas.openxmlformats.org/officeDocument/2006/relationships/hyperlink" Target="http://www.kunskapskokboken.se/4.22713/varufakta/nordhavsraka/"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dx.doi.org/10.1016/j.rvsc.2013.05.007" TargetMode="External"/><Relationship Id="rId2" Type="http://schemas.openxmlformats.org/officeDocument/2006/relationships/hyperlink" Target="https://receptfavoriter.se/matartiklar/matt-och-vikt-pa-olika-livsmedel.html" TargetMode="External"/><Relationship Id="rId1" Type="http://schemas.openxmlformats.org/officeDocument/2006/relationships/hyperlink" Target="http://www.kunskapskokboken.se/4.22713/varufakta/nordhavsraka/"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unfccc.int/ghg-inventories-annex-i-parties/2023"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CD5D-775B-44E3-B8E3-EC3294BA2954}">
  <dimension ref="A1:BR231"/>
  <sheetViews>
    <sheetView zoomScale="90" zoomScaleNormal="90" workbookViewId="0">
      <pane ySplit="2" topLeftCell="A3" activePane="bottomLeft" state="frozen"/>
      <selection pane="bottomLeft" activeCell="B63" sqref="B63"/>
    </sheetView>
  </sheetViews>
  <sheetFormatPr defaultRowHeight="15" customHeight="1"/>
  <cols>
    <col min="1" max="1" width="34.5703125" customWidth="1"/>
    <col min="2" max="2" width="12.28515625" style="2" bestFit="1" customWidth="1"/>
    <col min="3" max="12" width="11.5703125" style="2" bestFit="1" customWidth="1"/>
    <col min="13" max="16" width="11.5703125" style="2" customWidth="1"/>
    <col min="17" max="17" width="39.42578125" customWidth="1"/>
    <col min="18" max="18" width="38.28515625" customWidth="1"/>
    <col min="19" max="19" width="21.140625" customWidth="1"/>
    <col min="20" max="20" width="14.85546875" customWidth="1"/>
    <col min="21" max="21" width="18.28515625" customWidth="1"/>
    <col min="22" max="22" width="18.5703125" customWidth="1"/>
    <col min="23" max="23" width="10.28515625" bestFit="1" customWidth="1"/>
    <col min="24" max="24" width="9.28515625" bestFit="1" customWidth="1"/>
    <col min="25" max="25" width="14" bestFit="1" customWidth="1"/>
    <col min="27" max="27" width="9.28515625" bestFit="1" customWidth="1"/>
    <col min="28" max="28" width="14.5703125" customWidth="1"/>
  </cols>
  <sheetData>
    <row r="1" spans="1:70" ht="20.25" customHeight="1">
      <c r="A1" s="32" t="s">
        <v>0</v>
      </c>
      <c r="H1" s="38" t="s">
        <v>1</v>
      </c>
      <c r="K1" s="2" t="s">
        <v>2</v>
      </c>
    </row>
    <row r="2" spans="1:70" ht="14.45">
      <c r="A2" s="80"/>
      <c r="B2" s="100" t="s">
        <v>3</v>
      </c>
      <c r="C2" s="100" t="s">
        <v>4</v>
      </c>
      <c r="D2" s="100" t="s">
        <v>5</v>
      </c>
      <c r="E2" s="100" t="s">
        <v>6</v>
      </c>
      <c r="F2" s="100" t="s">
        <v>7</v>
      </c>
      <c r="G2" s="100" t="s">
        <v>8</v>
      </c>
      <c r="H2" s="100" t="s">
        <v>9</v>
      </c>
      <c r="I2" s="100" t="s">
        <v>10</v>
      </c>
      <c r="J2" s="100" t="s">
        <v>11</v>
      </c>
      <c r="K2" s="100" t="s">
        <v>12</v>
      </c>
      <c r="L2" s="100" t="s">
        <v>13</v>
      </c>
      <c r="M2" s="171" t="s">
        <v>14</v>
      </c>
      <c r="N2" s="171" t="s">
        <v>15</v>
      </c>
      <c r="O2" s="171" t="s">
        <v>16</v>
      </c>
      <c r="P2" s="171" t="s">
        <v>17</v>
      </c>
      <c r="Q2" s="3" t="s">
        <v>18</v>
      </c>
      <c r="R2" s="3" t="s">
        <v>19</v>
      </c>
      <c r="S2" s="91" t="s">
        <v>20</v>
      </c>
      <c r="T2" s="86"/>
      <c r="U2" s="3"/>
      <c r="V2" s="3"/>
      <c r="Y2" s="92"/>
    </row>
    <row r="3" spans="1:70" s="7" customFormat="1" ht="14.45">
      <c r="A3" s="34" t="s">
        <v>21</v>
      </c>
      <c r="B3" s="35">
        <f>B13+B4</f>
        <v>0.29560175819971807</v>
      </c>
      <c r="C3" s="35">
        <f>C13+C4</f>
        <v>0.28068068375958927</v>
      </c>
      <c r="D3" s="35">
        <f>D13+D4</f>
        <v>0.31780713669723276</v>
      </c>
      <c r="E3" s="35">
        <f>E13+E4</f>
        <v>0.32250668770199775</v>
      </c>
      <c r="F3" s="35">
        <f>F13+F4</f>
        <v>0.34083493662058117</v>
      </c>
      <c r="G3" s="35">
        <f>G13+G4</f>
        <v>0.28690758884090289</v>
      </c>
      <c r="H3" s="35">
        <f>H13+H4</f>
        <v>0.38512820484049132</v>
      </c>
      <c r="I3" s="35">
        <f>I13+I4</f>
        <v>0.28596767863994993</v>
      </c>
      <c r="J3" s="35">
        <f>J13+J4</f>
        <v>0.37208695080226839</v>
      </c>
      <c r="K3" s="35">
        <f>K13+K4</f>
        <v>0.25882777158743203</v>
      </c>
      <c r="L3" s="35">
        <f>L13+L4</f>
        <v>0.23814974716646609</v>
      </c>
      <c r="M3" s="35">
        <f>M13+M4</f>
        <v>0.26681700829553257</v>
      </c>
      <c r="N3" s="35"/>
      <c r="O3" s="172">
        <f>O13+O4</f>
        <v>3.3131844661466825E-4</v>
      </c>
      <c r="P3" s="35">
        <f>P13+P4</f>
        <v>1.6565922330733409</v>
      </c>
      <c r="Q3" s="3"/>
      <c r="R3" s="3"/>
      <c r="S3" s="93" t="s">
        <v>22</v>
      </c>
      <c r="T3" s="39" t="s">
        <v>23</v>
      </c>
      <c r="U3" s="40" t="s">
        <v>24</v>
      </c>
      <c r="V3" s="40" t="s">
        <v>25</v>
      </c>
      <c r="W3" s="40"/>
      <c r="X3"/>
      <c r="Y3" s="92"/>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15.75" customHeight="1">
      <c r="A4" s="28" t="s">
        <v>26</v>
      </c>
      <c r="B4" s="27">
        <f>B7*B6*B5*100</f>
        <v>2.8314794803709093E-2</v>
      </c>
      <c r="C4" s="27">
        <f t="shared" ref="C4:P4" si="0">C7*C6*C5*100</f>
        <v>3.4639607197621977E-2</v>
      </c>
      <c r="D4" s="27">
        <f t="shared" si="0"/>
        <v>3.2896857033354966E-2</v>
      </c>
      <c r="E4" s="27">
        <f t="shared" si="0"/>
        <v>3.4757095972741098E-2</v>
      </c>
      <c r="F4" s="27">
        <f t="shared" si="0"/>
        <v>3.7224360250242727E-2</v>
      </c>
      <c r="G4" s="27">
        <f t="shared" si="0"/>
        <v>3.6754405149766224E-2</v>
      </c>
      <c r="H4" s="27">
        <f t="shared" si="0"/>
        <v>3.7459337800480975E-2</v>
      </c>
      <c r="I4" s="27">
        <f t="shared" si="0"/>
        <v>3.3954256009427093E-2</v>
      </c>
      <c r="J4" s="27">
        <f t="shared" si="0"/>
        <v>4.2628843905722476E-2</v>
      </c>
      <c r="K4" s="27">
        <f t="shared" si="0"/>
        <v>3.452211842250285E-2</v>
      </c>
      <c r="L4" s="27">
        <f t="shared" si="0"/>
        <v>3.1369502956806336E-2</v>
      </c>
      <c r="M4" s="27">
        <f t="shared" si="0"/>
        <v>3.5462028623455849E-2</v>
      </c>
      <c r="N4" s="27"/>
      <c r="O4" s="214">
        <f t="shared" si="0"/>
        <v>5.8744387559562437E-5</v>
      </c>
      <c r="P4" s="27">
        <f t="shared" si="0"/>
        <v>0.29372193779781214</v>
      </c>
      <c r="Q4" s="3"/>
      <c r="R4" s="3"/>
      <c r="S4" s="94" t="s">
        <v>27</v>
      </c>
      <c r="T4" s="3">
        <v>1</v>
      </c>
      <c r="U4">
        <v>400</v>
      </c>
      <c r="V4">
        <f>T4*U4*0.7</f>
        <v>280</v>
      </c>
      <c r="W4">
        <f>T4/V6</f>
        <v>6.6445182724252495E-4</v>
      </c>
      <c r="Y4" s="92"/>
      <c r="AA4" s="29"/>
      <c r="AB4" s="29"/>
    </row>
    <row r="5" spans="1:70" ht="14.45">
      <c r="A5" s="22" t="s">
        <v>28</v>
      </c>
      <c r="B5" s="20">
        <f>(2*(B8+B9+B11))+B10</f>
        <v>0.48199999999999998</v>
      </c>
      <c r="C5" s="20">
        <f t="shared" ref="C5:P5" si="1">(2*(C8+C9+C11))+C10</f>
        <v>0.58966666666666656</v>
      </c>
      <c r="D5" s="20">
        <f t="shared" si="1"/>
        <v>0.56000000000000005</v>
      </c>
      <c r="E5" s="20">
        <f t="shared" si="1"/>
        <v>0.59166666666666656</v>
      </c>
      <c r="F5" s="20">
        <f t="shared" si="1"/>
        <v>0.6336666666666666</v>
      </c>
      <c r="G5" s="20">
        <f t="shared" si="1"/>
        <v>0.62566666666666659</v>
      </c>
      <c r="H5" s="20">
        <f t="shared" si="1"/>
        <v>0.6376666666666666</v>
      </c>
      <c r="I5" s="20">
        <f t="shared" si="1"/>
        <v>0.57800000000000007</v>
      </c>
      <c r="J5" s="20">
        <f t="shared" si="1"/>
        <v>0.72566666666666668</v>
      </c>
      <c r="K5" s="20">
        <f t="shared" si="1"/>
        <v>0.58766666666666656</v>
      </c>
      <c r="L5" s="20">
        <f t="shared" si="1"/>
        <v>0.53400000000000003</v>
      </c>
      <c r="M5" s="20">
        <f t="shared" si="1"/>
        <v>0.60366666666666657</v>
      </c>
      <c r="N5" s="20"/>
      <c r="O5" s="20">
        <f t="shared" si="1"/>
        <v>1E-3</v>
      </c>
      <c r="P5" s="20">
        <f t="shared" si="1"/>
        <v>5</v>
      </c>
      <c r="Q5" s="3"/>
      <c r="R5" s="3"/>
      <c r="S5" s="94" t="s">
        <v>29</v>
      </c>
      <c r="T5" s="3">
        <v>5</v>
      </c>
      <c r="U5">
        <v>350</v>
      </c>
      <c r="V5">
        <f>T5*U5*0.7</f>
        <v>1225</v>
      </c>
      <c r="W5">
        <f>T5/V6</f>
        <v>3.3222591362126247E-3</v>
      </c>
      <c r="Y5" s="92"/>
      <c r="AA5" s="29"/>
      <c r="AB5" s="29"/>
    </row>
    <row r="6" spans="1:70" thickBot="1">
      <c r="A6" s="22" t="s">
        <v>30</v>
      </c>
      <c r="B6" s="21">
        <f>Ability!$B$5</f>
        <v>0.88410303277141455</v>
      </c>
      <c r="C6" s="21">
        <f>Ability!$B$5</f>
        <v>0.88410303277141455</v>
      </c>
      <c r="D6" s="21">
        <f>Ability!$B$5</f>
        <v>0.88410303277141455</v>
      </c>
      <c r="E6" s="21">
        <f>Ability!$B$5</f>
        <v>0.88410303277141455</v>
      </c>
      <c r="F6" s="21">
        <f>Ability!$B$5</f>
        <v>0.88410303277141455</v>
      </c>
      <c r="G6" s="21">
        <f>Ability!$B$5</f>
        <v>0.88410303277141455</v>
      </c>
      <c r="H6" s="21">
        <f>Ability!$B$5</f>
        <v>0.88410303277141455</v>
      </c>
      <c r="I6" s="21">
        <f>Ability!$B$5</f>
        <v>0.88410303277141455</v>
      </c>
      <c r="J6" s="21">
        <f>Ability!$B$5</f>
        <v>0.88410303277141455</v>
      </c>
      <c r="K6" s="21">
        <f>Ability!$B$5</f>
        <v>0.88410303277141455</v>
      </c>
      <c r="L6" s="21">
        <f>Ability!$B$5</f>
        <v>0.88410303277141455</v>
      </c>
      <c r="M6" s="21">
        <f>Ability!$B$5</f>
        <v>0.88410303277141455</v>
      </c>
      <c r="N6" s="21"/>
      <c r="O6" s="21">
        <f>Ability!$B$5</f>
        <v>0.88410303277141455</v>
      </c>
      <c r="P6" s="21">
        <f>Ability!$B$5</f>
        <v>0.88410303277141455</v>
      </c>
      <c r="Q6" s="2" t="s">
        <v>31</v>
      </c>
      <c r="R6" s="3"/>
      <c r="S6" s="95" t="s">
        <v>32</v>
      </c>
      <c r="T6" s="96"/>
      <c r="U6" s="97"/>
      <c r="V6" s="97">
        <f>V4+V5</f>
        <v>1505</v>
      </c>
      <c r="W6" s="97" t="s">
        <v>33</v>
      </c>
      <c r="X6" s="97"/>
      <c r="Y6" s="98"/>
      <c r="AA6" s="29"/>
      <c r="AB6" s="29"/>
    </row>
    <row r="7" spans="1:70" ht="14.45">
      <c r="A7" s="22" t="s">
        <v>34</v>
      </c>
      <c r="B7" s="200">
        <f>$W$4</f>
        <v>6.6445182724252495E-4</v>
      </c>
      <c r="C7" s="200">
        <f t="shared" ref="C7:P7" si="2">$W$4</f>
        <v>6.6445182724252495E-4</v>
      </c>
      <c r="D7" s="200">
        <f t="shared" si="2"/>
        <v>6.6445182724252495E-4</v>
      </c>
      <c r="E7" s="200">
        <f t="shared" si="2"/>
        <v>6.6445182724252495E-4</v>
      </c>
      <c r="F7" s="200">
        <f t="shared" si="2"/>
        <v>6.6445182724252495E-4</v>
      </c>
      <c r="G7" s="200">
        <f t="shared" si="2"/>
        <v>6.6445182724252495E-4</v>
      </c>
      <c r="H7" s="200">
        <f t="shared" si="2"/>
        <v>6.6445182724252495E-4</v>
      </c>
      <c r="I7" s="200">
        <f t="shared" si="2"/>
        <v>6.6445182724252495E-4</v>
      </c>
      <c r="J7" s="200">
        <f t="shared" si="2"/>
        <v>6.6445182724252495E-4</v>
      </c>
      <c r="K7" s="200">
        <f t="shared" si="2"/>
        <v>6.6445182724252495E-4</v>
      </c>
      <c r="L7" s="200">
        <f t="shared" si="2"/>
        <v>6.6445182724252495E-4</v>
      </c>
      <c r="M7" s="200">
        <f t="shared" si="2"/>
        <v>6.6445182724252495E-4</v>
      </c>
      <c r="N7" s="200"/>
      <c r="O7" s="200">
        <f t="shared" si="2"/>
        <v>6.6445182724252495E-4</v>
      </c>
      <c r="P7" s="200">
        <f t="shared" si="2"/>
        <v>6.6445182724252495E-4</v>
      </c>
      <c r="Q7" s="1" t="s">
        <v>35</v>
      </c>
      <c r="R7" s="3" t="s">
        <v>36</v>
      </c>
      <c r="S7" s="4"/>
      <c r="T7" s="6"/>
      <c r="U7" s="3"/>
      <c r="V7" s="30"/>
      <c r="W7" s="29"/>
      <c r="X7" s="33"/>
      <c r="Y7" s="29"/>
      <c r="Z7" s="29"/>
      <c r="AA7" s="29"/>
      <c r="AB7" s="29"/>
    </row>
    <row r="8" spans="1:70" ht="14.45">
      <c r="A8" s="22" t="s">
        <v>37</v>
      </c>
      <c r="B8" s="211">
        <v>0.03</v>
      </c>
      <c r="C8" s="211">
        <v>0.03</v>
      </c>
      <c r="D8" s="211">
        <v>0.03</v>
      </c>
      <c r="E8" s="211">
        <v>0.03</v>
      </c>
      <c r="F8" s="211">
        <v>0.03</v>
      </c>
      <c r="G8" s="211">
        <v>0.03</v>
      </c>
      <c r="H8" s="211">
        <v>0.03</v>
      </c>
      <c r="I8" s="211">
        <v>0.03</v>
      </c>
      <c r="J8" s="211">
        <v>0.03</v>
      </c>
      <c r="K8" s="211">
        <v>0.03</v>
      </c>
      <c r="L8" s="211">
        <v>0.03</v>
      </c>
      <c r="M8" s="211">
        <v>0.03</v>
      </c>
      <c r="N8" s="84"/>
      <c r="O8" s="84">
        <v>0</v>
      </c>
      <c r="P8" s="84">
        <v>0.5</v>
      </c>
      <c r="Q8" s="212" t="s">
        <v>38</v>
      </c>
      <c r="R8" s="83" t="s">
        <v>39</v>
      </c>
      <c r="S8" s="4"/>
      <c r="T8" s="6"/>
      <c r="U8" s="3"/>
      <c r="V8" s="30"/>
      <c r="W8" s="29"/>
      <c r="X8" s="29"/>
      <c r="Y8" s="29"/>
      <c r="Z8" s="29"/>
      <c r="AA8" s="29"/>
      <c r="AB8" s="29"/>
    </row>
    <row r="9" spans="1:70" ht="14.45">
      <c r="A9" s="22" t="s">
        <v>40</v>
      </c>
      <c r="B9" s="84">
        <v>0.04</v>
      </c>
      <c r="C9" s="84">
        <v>0.04</v>
      </c>
      <c r="D9" s="84">
        <v>0.04</v>
      </c>
      <c r="E9" s="84">
        <v>0.04</v>
      </c>
      <c r="F9" s="84">
        <v>0.04</v>
      </c>
      <c r="G9" s="84">
        <v>0.04</v>
      </c>
      <c r="H9" s="84">
        <v>0.04</v>
      </c>
      <c r="I9" s="84">
        <v>0.04</v>
      </c>
      <c r="J9" s="84">
        <v>0.04</v>
      </c>
      <c r="K9" s="84">
        <v>0.04</v>
      </c>
      <c r="L9" s="84">
        <v>0.04</v>
      </c>
      <c r="M9" s="84">
        <v>0.04</v>
      </c>
      <c r="N9" s="84"/>
      <c r="O9" s="84">
        <v>0</v>
      </c>
      <c r="P9" s="84">
        <v>0.5</v>
      </c>
      <c r="Q9" s="82" t="s">
        <v>41</v>
      </c>
      <c r="R9" s="82" t="s">
        <v>39</v>
      </c>
      <c r="S9" s="83" t="s">
        <v>42</v>
      </c>
      <c r="T9" s="6"/>
      <c r="U9" s="3"/>
      <c r="V9" s="30"/>
      <c r="W9" s="29"/>
      <c r="X9" s="29"/>
      <c r="Y9" s="29"/>
      <c r="Z9" s="29"/>
      <c r="AA9" s="29"/>
      <c r="AB9" s="29"/>
    </row>
    <row r="10" spans="1:70" ht="14.45">
      <c r="A10" s="22" t="s">
        <v>43</v>
      </c>
      <c r="B10" s="2">
        <f>Slaughtering!$C$6</f>
        <v>0.25</v>
      </c>
      <c r="C10" s="55">
        <f>Slaughtering!$E$6</f>
        <v>0.34166666666666662</v>
      </c>
      <c r="D10" s="55">
        <f>Slaughtering!$G$6</f>
        <v>0.25</v>
      </c>
      <c r="E10" s="55">
        <f>Slaughtering!$I$6</f>
        <v>0.34166666666666662</v>
      </c>
      <c r="F10" s="55">
        <f>Slaughtering!$K$6</f>
        <v>0.34166666666666662</v>
      </c>
      <c r="G10" s="55">
        <f>Slaughtering!$M$6</f>
        <v>0.34166666666666662</v>
      </c>
      <c r="H10" s="55">
        <f>Slaughtering!$O$6</f>
        <v>0.34166666666666662</v>
      </c>
      <c r="I10" s="55">
        <f>Slaughtering!$Q$6</f>
        <v>0.25</v>
      </c>
      <c r="J10" s="55">
        <f>Slaughtering!$S$6</f>
        <v>0.34166666666666662</v>
      </c>
      <c r="K10" s="55">
        <f>Slaughtering!$U$6</f>
        <v>0.34166666666666662</v>
      </c>
      <c r="L10" s="55">
        <f>Slaughtering!$W$6</f>
        <v>0.25</v>
      </c>
      <c r="M10" s="55">
        <f>Slaughtering!$Y$6</f>
        <v>0.34166666666666662</v>
      </c>
      <c r="N10" s="55"/>
      <c r="O10" s="20">
        <v>1E-3</v>
      </c>
      <c r="P10" s="55">
        <v>1</v>
      </c>
      <c r="R10" t="s">
        <v>44</v>
      </c>
      <c r="S10" s="4" t="s">
        <v>45</v>
      </c>
      <c r="T10" s="6"/>
      <c r="U10" s="3"/>
      <c r="V10" s="30"/>
      <c r="W10" s="29"/>
      <c r="X10" s="29"/>
      <c r="Y10" s="31"/>
      <c r="Z10" s="29"/>
      <c r="AA10" s="29"/>
      <c r="AB10" s="29"/>
    </row>
    <row r="11" spans="1:70" ht="14.45">
      <c r="A11" s="23" t="s">
        <v>46</v>
      </c>
      <c r="B11" s="84">
        <v>4.5999999999999999E-2</v>
      </c>
      <c r="C11" s="84">
        <v>5.3999999999999999E-2</v>
      </c>
      <c r="D11" s="84">
        <v>8.5000000000000006E-2</v>
      </c>
      <c r="E11" s="84">
        <v>5.5E-2</v>
      </c>
      <c r="F11" s="84">
        <v>7.5999999999999998E-2</v>
      </c>
      <c r="G11" s="84">
        <v>7.1999999999999995E-2</v>
      </c>
      <c r="H11" s="84">
        <v>7.8E-2</v>
      </c>
      <c r="I11" s="84">
        <v>9.4E-2</v>
      </c>
      <c r="J11" s="84">
        <v>0.122</v>
      </c>
      <c r="K11" s="84">
        <v>5.2999999999999999E-2</v>
      </c>
      <c r="L11" s="84">
        <v>7.1999999999999995E-2</v>
      </c>
      <c r="M11" s="84">
        <v>6.0999999999999999E-2</v>
      </c>
      <c r="N11" s="84"/>
      <c r="O11" s="84">
        <v>0</v>
      </c>
      <c r="P11" s="84">
        <v>1</v>
      </c>
      <c r="Q11" s="3" t="s">
        <v>47</v>
      </c>
      <c r="R11" s="1"/>
      <c r="S11" s="4"/>
      <c r="T11" s="6"/>
      <c r="U11" s="3"/>
      <c r="V11" s="30"/>
      <c r="W11" s="29"/>
      <c r="X11" s="29"/>
      <c r="Y11" s="29"/>
      <c r="Z11" s="29"/>
      <c r="AA11" s="29"/>
      <c r="AB11" s="29"/>
    </row>
    <row r="12" spans="1:70" s="234" customFormat="1" ht="14.45">
      <c r="A12" s="227"/>
      <c r="B12" s="228">
        <f>B16*((2-6/(365*24))*B14+6/(365*24))*B15</f>
        <v>5.3459203293886861E-3</v>
      </c>
      <c r="C12" s="228"/>
      <c r="D12" s="228"/>
      <c r="E12" s="228"/>
      <c r="F12" s="228"/>
      <c r="G12" s="228"/>
      <c r="H12" s="228"/>
      <c r="I12" s="228"/>
      <c r="J12" s="228"/>
      <c r="K12" s="228"/>
      <c r="L12" s="228"/>
      <c r="M12" s="228"/>
      <c r="N12" s="228"/>
      <c r="O12" s="228"/>
      <c r="P12" s="228"/>
      <c r="Q12" s="227"/>
      <c r="R12" s="229"/>
      <c r="S12" s="230"/>
      <c r="T12" s="231"/>
      <c r="U12" s="227"/>
      <c r="V12" s="232"/>
      <c r="W12" s="233"/>
      <c r="X12" s="233"/>
      <c r="Y12" s="233"/>
      <c r="Z12" s="233"/>
      <c r="AA12" s="233"/>
      <c r="AB12" s="233"/>
    </row>
    <row r="13" spans="1:70" ht="14.45">
      <c r="A13" s="28" t="s">
        <v>48</v>
      </c>
      <c r="B13" s="27">
        <f>B16*B15*B14*100</f>
        <v>0.26728696339600899</v>
      </c>
      <c r="C13" s="27">
        <f t="shared" ref="C13:P13" si="3">C16*C15*C14*100</f>
        <v>0.24604107656196728</v>
      </c>
      <c r="D13" s="27">
        <f t="shared" si="3"/>
        <v>0.28491027966387777</v>
      </c>
      <c r="E13" s="27">
        <f t="shared" si="3"/>
        <v>0.28774959172925663</v>
      </c>
      <c r="F13" s="27">
        <f t="shared" si="3"/>
        <v>0.30361057637033845</v>
      </c>
      <c r="G13" s="27">
        <f t="shared" si="3"/>
        <v>0.25015318369113665</v>
      </c>
      <c r="H13" s="27">
        <f t="shared" si="3"/>
        <v>0.34766886704001032</v>
      </c>
      <c r="I13" s="27">
        <f t="shared" si="3"/>
        <v>0.25201342263052284</v>
      </c>
      <c r="J13" s="27">
        <f t="shared" si="3"/>
        <v>0.32945810689654592</v>
      </c>
      <c r="K13" s="27">
        <f t="shared" si="3"/>
        <v>0.2243056531649292</v>
      </c>
      <c r="L13" s="27">
        <f t="shared" si="3"/>
        <v>0.20678024420965974</v>
      </c>
      <c r="M13" s="27">
        <f t="shared" si="3"/>
        <v>0.23135497967207669</v>
      </c>
      <c r="N13" s="27"/>
      <c r="O13" s="214">
        <f t="shared" si="3"/>
        <v>2.7257405905510579E-4</v>
      </c>
      <c r="P13" s="27">
        <f t="shared" si="3"/>
        <v>1.3628702952755287</v>
      </c>
      <c r="Q13" s="3"/>
      <c r="R13" s="3"/>
      <c r="S13" s="3"/>
      <c r="T13" s="3"/>
      <c r="U13" s="3"/>
      <c r="V13" s="3"/>
    </row>
    <row r="14" spans="1:70" ht="14.45">
      <c r="A14" s="22" t="s">
        <v>49</v>
      </c>
      <c r="B14" s="20">
        <f>(2*(B17+B18+B20))+B19</f>
        <v>0.90999999999999992</v>
      </c>
      <c r="C14" s="20">
        <f t="shared" ref="C14:P14" si="4">(2*(C17+C18+C20))+C19</f>
        <v>0.83766666666666656</v>
      </c>
      <c r="D14" s="20">
        <f t="shared" si="4"/>
        <v>0.97</v>
      </c>
      <c r="E14" s="20">
        <f t="shared" si="4"/>
        <v>0.97966666666666669</v>
      </c>
      <c r="F14" s="20">
        <f t="shared" si="4"/>
        <v>1.0336666666666665</v>
      </c>
      <c r="G14" s="20">
        <f t="shared" si="4"/>
        <v>0.85166666666666657</v>
      </c>
      <c r="H14" s="20">
        <f t="shared" si="4"/>
        <v>1.1836666666666666</v>
      </c>
      <c r="I14" s="20">
        <f t="shared" si="4"/>
        <v>0.85799999999999998</v>
      </c>
      <c r="J14" s="20">
        <f t="shared" si="4"/>
        <v>1.1216666666666666</v>
      </c>
      <c r="K14" s="20">
        <f t="shared" si="4"/>
        <v>0.7636666666666666</v>
      </c>
      <c r="L14" s="20">
        <f t="shared" si="4"/>
        <v>0.70399999999999996</v>
      </c>
      <c r="M14" s="20">
        <f t="shared" si="4"/>
        <v>0.78766666666666663</v>
      </c>
      <c r="N14" s="20"/>
      <c r="O14" s="20">
        <f t="shared" si="4"/>
        <v>1E-3</v>
      </c>
      <c r="P14" s="20">
        <f t="shared" si="4"/>
        <v>5</v>
      </c>
      <c r="Q14" s="3"/>
      <c r="R14" s="3"/>
      <c r="S14" s="3"/>
      <c r="T14" s="3"/>
    </row>
    <row r="15" spans="1:70" ht="14.45">
      <c r="A15" s="22" t="s">
        <v>50</v>
      </c>
      <c r="B15" s="21">
        <f>Ability!$B$5</f>
        <v>0.88410303277141455</v>
      </c>
      <c r="C15" s="21">
        <f>Ability!$B$5</f>
        <v>0.88410303277141455</v>
      </c>
      <c r="D15" s="21">
        <f>Ability!$B$5</f>
        <v>0.88410303277141455</v>
      </c>
      <c r="E15" s="21">
        <f>Ability!$B$5</f>
        <v>0.88410303277141455</v>
      </c>
      <c r="F15" s="21">
        <f>Ability!$B$5</f>
        <v>0.88410303277141455</v>
      </c>
      <c r="G15" s="21">
        <f>Ability!$B$5</f>
        <v>0.88410303277141455</v>
      </c>
      <c r="H15" s="21">
        <f>Ability!$B$5</f>
        <v>0.88410303277141455</v>
      </c>
      <c r="I15" s="21">
        <f>Ability!$B$5</f>
        <v>0.88410303277141455</v>
      </c>
      <c r="J15" s="21">
        <f>Ability!$B$5</f>
        <v>0.88410303277141455</v>
      </c>
      <c r="K15" s="21">
        <f>Ability!$B$5</f>
        <v>0.88410303277141455</v>
      </c>
      <c r="L15" s="21">
        <f>Ability!$B$5</f>
        <v>0.88410303277141455</v>
      </c>
      <c r="M15" s="21">
        <f>Ability!$B$5</f>
        <v>0.88410303277141455</v>
      </c>
      <c r="N15" s="20"/>
      <c r="O15" s="20">
        <f>Ability!$B$6</f>
        <v>0.82044791775586834</v>
      </c>
      <c r="P15" s="20">
        <f>Ability!$B$6</f>
        <v>0.82044791775586834</v>
      </c>
      <c r="Q15" s="3"/>
      <c r="R15" s="3"/>
      <c r="S15" s="3"/>
      <c r="T15" s="3"/>
    </row>
    <row r="16" spans="1:70" ht="14.45">
      <c r="A16" s="22" t="s">
        <v>51</v>
      </c>
      <c r="B16" s="43">
        <f>$W$5</f>
        <v>3.3222591362126247E-3</v>
      </c>
      <c r="C16" s="43">
        <f t="shared" ref="C16:P16" si="5">$W$5</f>
        <v>3.3222591362126247E-3</v>
      </c>
      <c r="D16" s="43">
        <f t="shared" si="5"/>
        <v>3.3222591362126247E-3</v>
      </c>
      <c r="E16" s="43">
        <f t="shared" si="5"/>
        <v>3.3222591362126247E-3</v>
      </c>
      <c r="F16" s="43">
        <f t="shared" si="5"/>
        <v>3.3222591362126247E-3</v>
      </c>
      <c r="G16" s="43">
        <f t="shared" si="5"/>
        <v>3.3222591362126247E-3</v>
      </c>
      <c r="H16" s="43">
        <f t="shared" si="5"/>
        <v>3.3222591362126247E-3</v>
      </c>
      <c r="I16" s="43">
        <f t="shared" si="5"/>
        <v>3.3222591362126247E-3</v>
      </c>
      <c r="J16" s="43">
        <f t="shared" si="5"/>
        <v>3.3222591362126247E-3</v>
      </c>
      <c r="K16" s="43">
        <f t="shared" si="5"/>
        <v>3.3222591362126247E-3</v>
      </c>
      <c r="L16" s="43">
        <f t="shared" si="5"/>
        <v>3.3222591362126247E-3</v>
      </c>
      <c r="M16" s="43">
        <f t="shared" si="5"/>
        <v>3.3222591362126247E-3</v>
      </c>
      <c r="N16" s="43"/>
      <c r="O16" s="43">
        <f t="shared" si="5"/>
        <v>3.3222591362126247E-3</v>
      </c>
      <c r="P16" s="43">
        <f t="shared" si="5"/>
        <v>3.3222591362126247E-3</v>
      </c>
      <c r="Q16" s="1"/>
      <c r="R16" s="1"/>
      <c r="S16" s="4"/>
      <c r="T16" s="6"/>
    </row>
    <row r="17" spans="1:70" ht="14.45">
      <c r="A17" s="22" t="s">
        <v>52</v>
      </c>
      <c r="B17" s="84">
        <v>4.2000000000000003E-2</v>
      </c>
      <c r="C17" s="84">
        <v>4.2000000000000003E-2</v>
      </c>
      <c r="D17" s="84">
        <v>4.2000000000000003E-2</v>
      </c>
      <c r="E17" s="84">
        <v>4.2000000000000003E-2</v>
      </c>
      <c r="F17" s="84">
        <v>4.2000000000000003E-2</v>
      </c>
      <c r="G17" s="84">
        <v>4.2000000000000003E-2</v>
      </c>
      <c r="H17" s="84">
        <v>4.2000000000000003E-2</v>
      </c>
      <c r="I17" s="84">
        <v>4.2000000000000003E-2</v>
      </c>
      <c r="J17" s="84">
        <v>4.2000000000000003E-2</v>
      </c>
      <c r="K17" s="84">
        <v>4.2000000000000003E-2</v>
      </c>
      <c r="L17" s="84">
        <v>4.2000000000000003E-2</v>
      </c>
      <c r="M17" s="84">
        <v>4.2000000000000003E-2</v>
      </c>
      <c r="N17" s="84"/>
      <c r="O17" s="84">
        <v>0</v>
      </c>
      <c r="P17" s="84">
        <v>0.5</v>
      </c>
      <c r="Q17" s="82" t="s">
        <v>53</v>
      </c>
      <c r="R17" s="82" t="s">
        <v>54</v>
      </c>
      <c r="S17" s="83" t="s">
        <v>55</v>
      </c>
      <c r="T17" s="6"/>
    </row>
    <row r="18" spans="1:70" ht="14.45">
      <c r="A18" s="22" t="s">
        <v>56</v>
      </c>
      <c r="B18" s="38">
        <v>0.05</v>
      </c>
      <c r="C18" s="38">
        <v>0.05</v>
      </c>
      <c r="D18" s="38">
        <v>0.05</v>
      </c>
      <c r="E18" s="38">
        <v>0.05</v>
      </c>
      <c r="F18" s="38">
        <v>0.05</v>
      </c>
      <c r="G18" s="38">
        <v>0.05</v>
      </c>
      <c r="H18" s="38">
        <v>0.05</v>
      </c>
      <c r="I18" s="38">
        <v>0.05</v>
      </c>
      <c r="J18" s="38">
        <v>0.05</v>
      </c>
      <c r="K18" s="38">
        <v>0.05</v>
      </c>
      <c r="L18" s="38">
        <v>0.05</v>
      </c>
      <c r="M18" s="38">
        <v>0.05</v>
      </c>
      <c r="N18" s="38"/>
      <c r="O18" s="38">
        <v>0</v>
      </c>
      <c r="P18" s="38">
        <v>0.5</v>
      </c>
      <c r="Q18" s="83" t="s">
        <v>57</v>
      </c>
      <c r="R18" s="82" t="s">
        <v>58</v>
      </c>
      <c r="S18" s="4"/>
      <c r="T18" s="6"/>
      <c r="U18" s="3"/>
      <c r="V18" s="3"/>
    </row>
    <row r="19" spans="1:70" ht="14.45">
      <c r="A19" s="22" t="s">
        <v>59</v>
      </c>
      <c r="B19" s="2">
        <f>Slaughtering!$C$6</f>
        <v>0.25</v>
      </c>
      <c r="C19" s="55">
        <f>Slaughtering!$E$6</f>
        <v>0.34166666666666662</v>
      </c>
      <c r="D19" s="55">
        <f>Slaughtering!$G$6</f>
        <v>0.25</v>
      </c>
      <c r="E19" s="55">
        <f>Slaughtering!$I$6</f>
        <v>0.34166666666666662</v>
      </c>
      <c r="F19" s="55">
        <f>Slaughtering!$K$6</f>
        <v>0.34166666666666662</v>
      </c>
      <c r="G19" s="55">
        <f>Slaughtering!$M$6</f>
        <v>0.34166666666666662</v>
      </c>
      <c r="H19" s="55">
        <f>Slaughtering!$O$6</f>
        <v>0.34166666666666662</v>
      </c>
      <c r="I19" s="55">
        <f>Slaughtering!$Q$6</f>
        <v>0.25</v>
      </c>
      <c r="J19" s="55">
        <f>Slaughtering!$S$6</f>
        <v>0.34166666666666662</v>
      </c>
      <c r="K19" s="55">
        <f>Slaughtering!$U$6</f>
        <v>0.34166666666666662</v>
      </c>
      <c r="L19" s="55">
        <f>Slaughtering!$W$6</f>
        <v>0.25</v>
      </c>
      <c r="M19" s="55">
        <f>Slaughtering!$Y$6</f>
        <v>0.34166666666666662</v>
      </c>
      <c r="N19" s="55"/>
      <c r="O19" s="20">
        <v>1E-3</v>
      </c>
      <c r="P19" s="55">
        <v>1</v>
      </c>
      <c r="Q19" s="3"/>
      <c r="R19" t="s">
        <v>44</v>
      </c>
      <c r="S19" s="4"/>
      <c r="T19" s="6"/>
      <c r="U19" s="3"/>
      <c r="V19" s="3"/>
    </row>
    <row r="20" spans="1:70" ht="14.45">
      <c r="A20" s="23" t="s">
        <v>60</v>
      </c>
      <c r="B20" s="142">
        <v>0.23799999999999999</v>
      </c>
      <c r="C20" s="142">
        <v>0.156</v>
      </c>
      <c r="D20" s="142">
        <v>0.26800000000000002</v>
      </c>
      <c r="E20" s="142">
        <v>0.22700000000000001</v>
      </c>
      <c r="F20" s="142">
        <v>0.254</v>
      </c>
      <c r="G20" s="142">
        <v>0.16300000000000001</v>
      </c>
      <c r="H20" s="142">
        <v>0.32900000000000001</v>
      </c>
      <c r="I20" s="142">
        <v>0.21199999999999999</v>
      </c>
      <c r="J20" s="142">
        <v>0.29799999999999999</v>
      </c>
      <c r="K20" s="142">
        <v>0.11899999999999999</v>
      </c>
      <c r="L20" s="142">
        <v>0.13500000000000001</v>
      </c>
      <c r="M20" s="84">
        <v>0.13100000000000001</v>
      </c>
      <c r="N20" s="84"/>
      <c r="O20" s="84">
        <v>0</v>
      </c>
      <c r="P20" s="84">
        <v>1</v>
      </c>
      <c r="Q20" s="3"/>
      <c r="R20" s="1"/>
      <c r="S20" s="4"/>
      <c r="T20" s="6"/>
      <c r="U20" s="3"/>
      <c r="V20" s="3"/>
    </row>
    <row r="21" spans="1:70" s="7" customFormat="1" ht="14.45">
      <c r="A21" s="36" t="s">
        <v>61</v>
      </c>
      <c r="B21" s="37">
        <f>B24*B23*B22*100</f>
        <v>0.38593870051236046</v>
      </c>
      <c r="C21" s="37">
        <f t="shared" ref="C21:P21" si="6">C24*C23*C22*100</f>
        <v>0.49604281107519799</v>
      </c>
      <c r="D21" s="37">
        <f t="shared" si="6"/>
        <v>0.45091817559862518</v>
      </c>
      <c r="E21" s="37">
        <f t="shared" si="6"/>
        <v>0.49604281107519799</v>
      </c>
      <c r="F21" s="37">
        <f t="shared" si="6"/>
        <v>0.49604281107519799</v>
      </c>
      <c r="G21" s="37">
        <f t="shared" si="6"/>
        <v>0.49604281107519799</v>
      </c>
      <c r="H21" s="37">
        <f t="shared" si="6"/>
        <v>0.49604281107519799</v>
      </c>
      <c r="I21" s="37">
        <f t="shared" si="6"/>
        <v>0.45091817559862518</v>
      </c>
      <c r="J21" s="37">
        <f t="shared" si="6"/>
        <v>0.49604281107519799</v>
      </c>
      <c r="K21" s="37">
        <f t="shared" si="6"/>
        <v>0.49604281107519799</v>
      </c>
      <c r="L21" s="37">
        <f t="shared" si="6"/>
        <v>0.44599548809209</v>
      </c>
      <c r="M21" s="37">
        <f t="shared" si="6"/>
        <v>0.46749122353729378</v>
      </c>
      <c r="N21" s="37"/>
      <c r="O21" s="114">
        <f t="shared" si="6"/>
        <v>4.9226875065352103E-4</v>
      </c>
      <c r="P21" s="37">
        <f t="shared" si="6"/>
        <v>2.461343753267605</v>
      </c>
      <c r="Q21" s="83" t="s">
        <v>62</v>
      </c>
      <c r="R21" s="3"/>
      <c r="S21" s="4"/>
      <c r="T21" s="6"/>
      <c r="U21" s="3"/>
      <c r="V21" s="3"/>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row>
    <row r="22" spans="1:70" ht="14.45">
      <c r="A22" s="22" t="s">
        <v>63</v>
      </c>
      <c r="B22" s="20">
        <f>(2*(B25+B26+B28))+B27</f>
        <v>0.78400000000000003</v>
      </c>
      <c r="C22" s="20">
        <f t="shared" ref="C22:P22" si="7">(2*(C25+C26+C28))+C27</f>
        <v>1.0076666666666667</v>
      </c>
      <c r="D22" s="20">
        <f t="shared" si="7"/>
        <v>0.91600000000000004</v>
      </c>
      <c r="E22" s="20">
        <f t="shared" si="7"/>
        <v>1.0076666666666667</v>
      </c>
      <c r="F22" s="20">
        <f t="shared" si="7"/>
        <v>1.0076666666666667</v>
      </c>
      <c r="G22" s="20">
        <f t="shared" si="7"/>
        <v>1.0076666666666667</v>
      </c>
      <c r="H22" s="20">
        <f t="shared" si="7"/>
        <v>1.0076666666666667</v>
      </c>
      <c r="I22" s="20">
        <f t="shared" si="7"/>
        <v>0.91600000000000004</v>
      </c>
      <c r="J22" s="20">
        <f t="shared" si="7"/>
        <v>1.0076666666666667</v>
      </c>
      <c r="K22" s="20">
        <f t="shared" si="7"/>
        <v>1.0076666666666667</v>
      </c>
      <c r="L22" s="20">
        <f t="shared" si="7"/>
        <v>0.90600000000000003</v>
      </c>
      <c r="M22" s="20">
        <f t="shared" si="7"/>
        <v>0.94966666666666666</v>
      </c>
      <c r="N22" s="20"/>
      <c r="O22" s="20">
        <f t="shared" si="7"/>
        <v>1E-3</v>
      </c>
      <c r="P22" s="20">
        <f t="shared" si="7"/>
        <v>5</v>
      </c>
      <c r="Q22" s="3"/>
      <c r="R22" s="3"/>
      <c r="S22" s="4"/>
      <c r="T22" s="6"/>
      <c r="U22" s="3"/>
      <c r="V22" s="3"/>
    </row>
    <row r="23" spans="1:70" ht="14.45">
      <c r="A23" s="22" t="s">
        <v>64</v>
      </c>
      <c r="B23" s="20">
        <f>Ability!$B$6</f>
        <v>0.82044791775586834</v>
      </c>
      <c r="C23" s="20">
        <f>Ability!$B$6</f>
        <v>0.82044791775586834</v>
      </c>
      <c r="D23" s="20">
        <f>Ability!$B$6</f>
        <v>0.82044791775586834</v>
      </c>
      <c r="E23" s="20">
        <f>Ability!$B$6</f>
        <v>0.82044791775586834</v>
      </c>
      <c r="F23" s="20">
        <f>Ability!$B$6</f>
        <v>0.82044791775586834</v>
      </c>
      <c r="G23" s="20">
        <f>Ability!$B$6</f>
        <v>0.82044791775586834</v>
      </c>
      <c r="H23" s="20">
        <f>Ability!$B$6</f>
        <v>0.82044791775586834</v>
      </c>
      <c r="I23" s="20">
        <f>Ability!$B$6</f>
        <v>0.82044791775586834</v>
      </c>
      <c r="J23" s="20">
        <f>Ability!$B$6</f>
        <v>0.82044791775586834</v>
      </c>
      <c r="K23" s="20">
        <f>Ability!$B$6</f>
        <v>0.82044791775586834</v>
      </c>
      <c r="L23" s="20">
        <f>Ability!$B$6</f>
        <v>0.82044791775586834</v>
      </c>
      <c r="M23" s="20">
        <f>Ability!$B$6</f>
        <v>0.82044791775586834</v>
      </c>
      <c r="N23" s="20"/>
      <c r="O23" s="20">
        <f>Ability!$B$6</f>
        <v>0.82044791775586834</v>
      </c>
      <c r="P23" s="20">
        <f>Ability!$B$6</f>
        <v>0.82044791775586834</v>
      </c>
      <c r="Q23" s="1" t="s">
        <v>65</v>
      </c>
      <c r="R23" s="3"/>
      <c r="S23" s="4"/>
      <c r="T23" s="6"/>
      <c r="U23" s="3"/>
      <c r="V23" s="3"/>
    </row>
    <row r="24" spans="1:70" ht="14.45">
      <c r="A24" s="22" t="s">
        <v>66</v>
      </c>
      <c r="B24" s="41">
        <v>6.0000000000000001E-3</v>
      </c>
      <c r="C24" s="41">
        <v>6.0000000000000001E-3</v>
      </c>
      <c r="D24" s="41">
        <v>6.0000000000000001E-3</v>
      </c>
      <c r="E24" s="41">
        <v>6.0000000000000001E-3</v>
      </c>
      <c r="F24" s="41">
        <v>6.0000000000000001E-3</v>
      </c>
      <c r="G24" s="41">
        <v>6.0000000000000001E-3</v>
      </c>
      <c r="H24" s="41">
        <v>6.0000000000000001E-3</v>
      </c>
      <c r="I24" s="41">
        <v>6.0000000000000001E-3</v>
      </c>
      <c r="J24" s="41">
        <v>6.0000000000000001E-3</v>
      </c>
      <c r="K24" s="41">
        <v>6.0000000000000001E-3</v>
      </c>
      <c r="L24" s="41">
        <v>6.0000000000000001E-3</v>
      </c>
      <c r="M24" s="41">
        <v>6.0000000000000001E-3</v>
      </c>
      <c r="N24" s="41"/>
      <c r="O24" s="41">
        <v>6.0000000000000001E-3</v>
      </c>
      <c r="P24" s="41">
        <v>6.0000000000000001E-3</v>
      </c>
      <c r="Q24" s="3" t="s">
        <v>67</v>
      </c>
      <c r="R24" s="3"/>
      <c r="T24" s="3"/>
      <c r="U24" s="3"/>
      <c r="V24" s="3"/>
    </row>
    <row r="25" spans="1:70" ht="14.45">
      <c r="A25" s="22" t="s">
        <v>68</v>
      </c>
      <c r="B25" s="84">
        <v>6.5000000000000002E-2</v>
      </c>
      <c r="C25" s="84">
        <v>6.5000000000000002E-2</v>
      </c>
      <c r="D25" s="84">
        <v>6.5000000000000002E-2</v>
      </c>
      <c r="E25" s="84">
        <v>6.5000000000000002E-2</v>
      </c>
      <c r="F25" s="84">
        <v>6.5000000000000002E-2</v>
      </c>
      <c r="G25" s="84">
        <v>6.5000000000000002E-2</v>
      </c>
      <c r="H25" s="84">
        <v>6.5000000000000002E-2</v>
      </c>
      <c r="I25" s="84">
        <v>6.5000000000000002E-2</v>
      </c>
      <c r="J25" s="84">
        <v>6.5000000000000002E-2</v>
      </c>
      <c r="K25" s="84">
        <v>6.5000000000000002E-2</v>
      </c>
      <c r="L25" s="84">
        <v>6.5000000000000002E-2</v>
      </c>
      <c r="M25" s="84">
        <v>6.5000000000000002E-2</v>
      </c>
      <c r="N25" s="84"/>
      <c r="O25" s="84">
        <v>0</v>
      </c>
      <c r="P25" s="84">
        <v>0.5</v>
      </c>
      <c r="Q25" s="82" t="s">
        <v>69</v>
      </c>
      <c r="R25" s="82" t="s">
        <v>70</v>
      </c>
      <c r="S25" s="83" t="s">
        <v>71</v>
      </c>
      <c r="T25" s="6"/>
      <c r="U25" s="3"/>
      <c r="V25" s="3"/>
    </row>
    <row r="26" spans="1:70" ht="14.45">
      <c r="A26" s="22" t="s">
        <v>72</v>
      </c>
      <c r="B26" s="38">
        <v>0.1</v>
      </c>
      <c r="C26" s="38">
        <v>0.1</v>
      </c>
      <c r="D26" s="38">
        <v>0.1</v>
      </c>
      <c r="E26" s="38">
        <v>0.1</v>
      </c>
      <c r="F26" s="38">
        <v>0.1</v>
      </c>
      <c r="G26" s="38">
        <v>0.1</v>
      </c>
      <c r="H26" s="38">
        <v>0.1</v>
      </c>
      <c r="I26" s="38">
        <v>0.1</v>
      </c>
      <c r="J26" s="38">
        <v>0.1</v>
      </c>
      <c r="K26" s="38">
        <v>0.1</v>
      </c>
      <c r="L26" s="38">
        <v>0.1</v>
      </c>
      <c r="M26" s="38">
        <v>0.1</v>
      </c>
      <c r="N26" s="38"/>
      <c r="O26" s="38">
        <v>0</v>
      </c>
      <c r="P26" s="38">
        <v>0.5</v>
      </c>
      <c r="Q26" s="83" t="s">
        <v>73</v>
      </c>
      <c r="R26" s="83" t="s">
        <v>74</v>
      </c>
      <c r="S26" s="4"/>
      <c r="T26" s="6"/>
      <c r="U26" s="3"/>
      <c r="V26" s="3"/>
    </row>
    <row r="27" spans="1:70" ht="14.45">
      <c r="A27" s="22" t="s">
        <v>75</v>
      </c>
      <c r="B27" s="2">
        <f>Slaughtering!$C$6</f>
        <v>0.25</v>
      </c>
      <c r="C27" s="55">
        <f>Slaughtering!$E$6</f>
        <v>0.34166666666666662</v>
      </c>
      <c r="D27" s="55">
        <f>Slaughtering!$G$6</f>
        <v>0.25</v>
      </c>
      <c r="E27" s="55">
        <f>Slaughtering!$I$6</f>
        <v>0.34166666666666662</v>
      </c>
      <c r="F27" s="55">
        <f>Slaughtering!$K$6</f>
        <v>0.34166666666666662</v>
      </c>
      <c r="G27" s="55">
        <f>Slaughtering!$M$6</f>
        <v>0.34166666666666662</v>
      </c>
      <c r="H27" s="55">
        <f>Slaughtering!$O$6</f>
        <v>0.34166666666666662</v>
      </c>
      <c r="I27" s="55">
        <f>Slaughtering!$Q$6</f>
        <v>0.25</v>
      </c>
      <c r="J27" s="55">
        <f>Slaughtering!$S$6</f>
        <v>0.34166666666666662</v>
      </c>
      <c r="K27" s="55">
        <f>Slaughtering!$U$6</f>
        <v>0.34166666666666662</v>
      </c>
      <c r="L27" s="55">
        <f>Slaughtering!$W$6</f>
        <v>0.25</v>
      </c>
      <c r="M27" s="55">
        <f>Slaughtering!$Y$6</f>
        <v>0.34166666666666662</v>
      </c>
      <c r="N27" s="55"/>
      <c r="O27" s="20">
        <v>1E-3</v>
      </c>
      <c r="P27" s="55">
        <v>1</v>
      </c>
      <c r="Q27" s="3"/>
      <c r="R27" t="s">
        <v>44</v>
      </c>
      <c r="S27" s="4"/>
      <c r="T27" s="6"/>
      <c r="U27" s="3"/>
      <c r="V27" s="3"/>
    </row>
    <row r="28" spans="1:70" ht="14.45">
      <c r="A28" s="23" t="s">
        <v>76</v>
      </c>
      <c r="B28" s="141">
        <v>0.10199999999999999</v>
      </c>
      <c r="C28" s="51">
        <v>0.16800000000000001</v>
      </c>
      <c r="D28" s="51">
        <v>0.16800000000000001</v>
      </c>
      <c r="E28" s="51">
        <v>0.16800000000000001</v>
      </c>
      <c r="F28" s="51">
        <v>0.16800000000000001</v>
      </c>
      <c r="G28" s="51">
        <v>0.16800000000000001</v>
      </c>
      <c r="H28" s="51">
        <v>0.16800000000000001</v>
      </c>
      <c r="I28" s="51">
        <v>0.16800000000000001</v>
      </c>
      <c r="J28" s="51">
        <v>0.16800000000000001</v>
      </c>
      <c r="K28" s="51">
        <v>0.16800000000000001</v>
      </c>
      <c r="L28" s="141">
        <v>0.16300000000000001</v>
      </c>
      <c r="M28" s="84">
        <v>0.13900000000000001</v>
      </c>
      <c r="N28" s="84"/>
      <c r="O28" s="84">
        <v>0</v>
      </c>
      <c r="P28" s="84">
        <v>1</v>
      </c>
      <c r="Q28" s="3" t="s">
        <v>77</v>
      </c>
      <c r="R28" s="1"/>
      <c r="S28" s="4"/>
      <c r="T28" s="6"/>
      <c r="U28" s="3"/>
      <c r="V28" s="3"/>
    </row>
    <row r="29" spans="1:70" s="7" customFormat="1" ht="14.45">
      <c r="A29" s="36" t="s">
        <v>78</v>
      </c>
      <c r="B29" s="37">
        <f>B32*B31*B30*100</f>
        <v>0.20061450746455783</v>
      </c>
      <c r="C29" s="37">
        <f t="shared" ref="C29:P29" si="8">C32*C31*C30*100</f>
        <v>0.24631609136613059</v>
      </c>
      <c r="D29" s="37">
        <f t="shared" si="8"/>
        <v>0.28238672518108959</v>
      </c>
      <c r="E29" s="37">
        <f t="shared" si="8"/>
        <v>0.28502160775195556</v>
      </c>
      <c r="F29" s="37">
        <f t="shared" si="8"/>
        <v>0.2997406069409313</v>
      </c>
      <c r="G29" s="37">
        <f t="shared" si="8"/>
        <v>0.25013212819290204</v>
      </c>
      <c r="H29" s="37">
        <f t="shared" si="8"/>
        <v>0.34062671579919718</v>
      </c>
      <c r="I29" s="37">
        <f t="shared" si="8"/>
        <v>0.2518584305669177</v>
      </c>
      <c r="J29" s="37">
        <f t="shared" si="8"/>
        <v>0.3237271241377806</v>
      </c>
      <c r="K29" s="37">
        <f t="shared" si="8"/>
        <v>0.22614561099605271</v>
      </c>
      <c r="L29" s="37">
        <f t="shared" si="8"/>
        <v>0.20988202547243145</v>
      </c>
      <c r="M29" s="37">
        <f t="shared" si="8"/>
        <v>0.23268738841337525</v>
      </c>
      <c r="N29" s="37"/>
      <c r="O29" s="114">
        <f t="shared" si="8"/>
        <v>2.7257405905510579E-4</v>
      </c>
      <c r="P29" s="37">
        <f t="shared" si="8"/>
        <v>1.3628702952755287</v>
      </c>
      <c r="Q29" s="83" t="s">
        <v>62</v>
      </c>
      <c r="R29" s="3"/>
      <c r="S29" s="4"/>
      <c r="T29" s="6"/>
      <c r="U29" s="3"/>
      <c r="V29" s="3"/>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row>
    <row r="30" spans="1:70" ht="14.45">
      <c r="A30" s="22" t="s">
        <v>79</v>
      </c>
      <c r="B30" s="20">
        <f>(2*(B33+B34+B36))+B35</f>
        <v>0.73599999999999999</v>
      </c>
      <c r="C30" s="20">
        <f t="shared" ref="C30:P30" si="9">(2*(C33+C34+C36))+C35</f>
        <v>0.90366666666666662</v>
      </c>
      <c r="D30" s="20">
        <f t="shared" si="9"/>
        <v>1.036</v>
      </c>
      <c r="E30" s="20">
        <f t="shared" si="9"/>
        <v>1.0456666666666665</v>
      </c>
      <c r="F30" s="20">
        <f t="shared" si="9"/>
        <v>1.0996666666666666</v>
      </c>
      <c r="G30" s="20">
        <f t="shared" si="9"/>
        <v>0.91766666666666663</v>
      </c>
      <c r="H30" s="20">
        <f t="shared" si="9"/>
        <v>1.2496666666666667</v>
      </c>
      <c r="I30" s="20">
        <f t="shared" si="9"/>
        <v>0.92399999999999993</v>
      </c>
      <c r="J30" s="20">
        <f t="shared" si="9"/>
        <v>1.1876666666666666</v>
      </c>
      <c r="K30" s="20">
        <f t="shared" si="9"/>
        <v>0.82966666666666655</v>
      </c>
      <c r="L30" s="20">
        <f t="shared" si="9"/>
        <v>0.77</v>
      </c>
      <c r="M30" s="20">
        <f t="shared" si="9"/>
        <v>0.85366666666666657</v>
      </c>
      <c r="N30" s="20"/>
      <c r="O30" s="20">
        <f t="shared" si="9"/>
        <v>1E-3</v>
      </c>
      <c r="P30" s="20">
        <f t="shared" si="9"/>
        <v>5</v>
      </c>
      <c r="Q30" s="3"/>
      <c r="S30" s="3"/>
      <c r="T30" s="3"/>
      <c r="U30" s="3"/>
      <c r="V30" s="3"/>
    </row>
    <row r="31" spans="1:70" ht="14.45">
      <c r="A31" s="22" t="s">
        <v>80</v>
      </c>
      <c r="B31" s="20">
        <f>Ability!$B$6</f>
        <v>0.82044791775586834</v>
      </c>
      <c r="C31" s="20">
        <f>Ability!$B$6</f>
        <v>0.82044791775586834</v>
      </c>
      <c r="D31" s="20">
        <f>Ability!$B$6</f>
        <v>0.82044791775586834</v>
      </c>
      <c r="E31" s="20">
        <f>Ability!$B$6</f>
        <v>0.82044791775586834</v>
      </c>
      <c r="F31" s="20">
        <f>Ability!$B$6</f>
        <v>0.82044791775586834</v>
      </c>
      <c r="G31" s="20">
        <f>Ability!$B$6</f>
        <v>0.82044791775586834</v>
      </c>
      <c r="H31" s="20">
        <f>Ability!$B$6</f>
        <v>0.82044791775586834</v>
      </c>
      <c r="I31" s="20">
        <f>Ability!$B$6</f>
        <v>0.82044791775586834</v>
      </c>
      <c r="J31" s="20">
        <f>Ability!$B$6</f>
        <v>0.82044791775586834</v>
      </c>
      <c r="K31" s="20">
        <f>Ability!$B$6</f>
        <v>0.82044791775586834</v>
      </c>
      <c r="L31" s="20">
        <f>Ability!$B$6</f>
        <v>0.82044791775586834</v>
      </c>
      <c r="M31" s="20">
        <f>Ability!$B$6</f>
        <v>0.82044791775586834</v>
      </c>
      <c r="N31" s="20"/>
      <c r="O31" s="20">
        <f>Ability!$B$6</f>
        <v>0.82044791775586834</v>
      </c>
      <c r="P31" s="20">
        <f>Ability!$B$6</f>
        <v>0.82044791775586834</v>
      </c>
      <c r="Q31" s="1" t="s">
        <v>81</v>
      </c>
      <c r="S31" s="3"/>
      <c r="T31" s="3"/>
      <c r="U31" s="3"/>
      <c r="V31" s="3"/>
    </row>
    <row r="32" spans="1:70" ht="14.45">
      <c r="A32" s="22" t="s">
        <v>82</v>
      </c>
      <c r="B32" s="43">
        <f t="shared" ref="B32:P32" si="10">$W$5</f>
        <v>3.3222591362126247E-3</v>
      </c>
      <c r="C32" s="43">
        <f t="shared" si="10"/>
        <v>3.3222591362126247E-3</v>
      </c>
      <c r="D32" s="43">
        <f t="shared" si="10"/>
        <v>3.3222591362126247E-3</v>
      </c>
      <c r="E32" s="43">
        <f t="shared" si="10"/>
        <v>3.3222591362126247E-3</v>
      </c>
      <c r="F32" s="43">
        <f t="shared" si="10"/>
        <v>3.3222591362126247E-3</v>
      </c>
      <c r="G32" s="43">
        <f t="shared" si="10"/>
        <v>3.3222591362126247E-3</v>
      </c>
      <c r="H32" s="43">
        <f t="shared" si="10"/>
        <v>3.3222591362126247E-3</v>
      </c>
      <c r="I32" s="43">
        <f t="shared" si="10"/>
        <v>3.3222591362126247E-3</v>
      </c>
      <c r="J32" s="43">
        <f t="shared" si="10"/>
        <v>3.3222591362126247E-3</v>
      </c>
      <c r="K32" s="43">
        <f t="shared" si="10"/>
        <v>3.3222591362126247E-3</v>
      </c>
      <c r="L32" s="43">
        <f t="shared" si="10"/>
        <v>3.3222591362126247E-3</v>
      </c>
      <c r="M32" s="43">
        <f t="shared" si="10"/>
        <v>3.3222591362126247E-3</v>
      </c>
      <c r="N32" s="43"/>
      <c r="O32" s="43">
        <f t="shared" si="10"/>
        <v>3.3222591362126247E-3</v>
      </c>
      <c r="P32" s="43">
        <f t="shared" si="10"/>
        <v>3.3222591362126247E-3</v>
      </c>
      <c r="Q32" s="3" t="s">
        <v>83</v>
      </c>
      <c r="T32" s="6"/>
      <c r="U32" s="3"/>
      <c r="V32" s="3"/>
    </row>
    <row r="33" spans="1:70" ht="14.45">
      <c r="A33" s="22" t="s">
        <v>84</v>
      </c>
      <c r="B33" s="84">
        <v>7.4999999999999997E-2</v>
      </c>
      <c r="C33" s="84">
        <v>7.4999999999999997E-2</v>
      </c>
      <c r="D33" s="84">
        <v>7.4999999999999997E-2</v>
      </c>
      <c r="E33" s="84">
        <v>7.4999999999999997E-2</v>
      </c>
      <c r="F33" s="84">
        <v>7.4999999999999997E-2</v>
      </c>
      <c r="G33" s="84">
        <v>7.4999999999999997E-2</v>
      </c>
      <c r="H33" s="84">
        <v>7.4999999999999997E-2</v>
      </c>
      <c r="I33" s="84">
        <v>7.4999999999999997E-2</v>
      </c>
      <c r="J33" s="84">
        <v>7.4999999999999997E-2</v>
      </c>
      <c r="K33" s="84">
        <v>7.4999999999999997E-2</v>
      </c>
      <c r="L33" s="84">
        <v>7.4999999999999997E-2</v>
      </c>
      <c r="M33" s="84">
        <v>7.4999999999999997E-2</v>
      </c>
      <c r="N33" s="84"/>
      <c r="O33" s="84">
        <v>0</v>
      </c>
      <c r="P33" s="84">
        <v>0.5</v>
      </c>
      <c r="Q33" s="82" t="s">
        <v>69</v>
      </c>
      <c r="R33" s="82" t="s">
        <v>70</v>
      </c>
      <c r="S33" s="83" t="s">
        <v>85</v>
      </c>
      <c r="T33" s="6"/>
      <c r="U33" s="3"/>
      <c r="V33" s="3"/>
    </row>
    <row r="34" spans="1:70" ht="14.45">
      <c r="A34" s="22" t="s">
        <v>86</v>
      </c>
      <c r="B34" s="38">
        <v>0.05</v>
      </c>
      <c r="C34" s="38">
        <v>0.05</v>
      </c>
      <c r="D34" s="38">
        <v>0.05</v>
      </c>
      <c r="E34" s="38">
        <v>0.05</v>
      </c>
      <c r="F34" s="38">
        <v>0.05</v>
      </c>
      <c r="G34" s="38">
        <v>0.05</v>
      </c>
      <c r="H34" s="38">
        <v>0.05</v>
      </c>
      <c r="I34" s="38">
        <v>0.05</v>
      </c>
      <c r="J34" s="38">
        <v>0.05</v>
      </c>
      <c r="K34" s="38">
        <v>0.05</v>
      </c>
      <c r="L34" s="38">
        <v>0.05</v>
      </c>
      <c r="M34" s="38">
        <v>0.05</v>
      </c>
      <c r="N34" s="38"/>
      <c r="O34" s="38">
        <v>0</v>
      </c>
      <c r="P34" s="38">
        <v>0.5</v>
      </c>
      <c r="Q34" s="83" t="s">
        <v>87</v>
      </c>
      <c r="R34" s="83" t="s">
        <v>74</v>
      </c>
      <c r="S34" s="4"/>
      <c r="T34" s="6"/>
      <c r="U34" s="3"/>
      <c r="V34" s="3"/>
    </row>
    <row r="35" spans="1:70" ht="14.45">
      <c r="A35" s="22" t="s">
        <v>88</v>
      </c>
      <c r="B35" s="2">
        <f>Slaughtering!$C$6</f>
        <v>0.25</v>
      </c>
      <c r="C35" s="55">
        <f>Slaughtering!$E$6</f>
        <v>0.34166666666666662</v>
      </c>
      <c r="D35" s="55">
        <f>Slaughtering!$G$6</f>
        <v>0.25</v>
      </c>
      <c r="E35" s="55">
        <f>Slaughtering!$I$6</f>
        <v>0.34166666666666662</v>
      </c>
      <c r="F35" s="55">
        <f>Slaughtering!$K$6</f>
        <v>0.34166666666666662</v>
      </c>
      <c r="G35" s="55">
        <f>Slaughtering!$M$6</f>
        <v>0.34166666666666662</v>
      </c>
      <c r="H35" s="55">
        <f>Slaughtering!$O$6</f>
        <v>0.34166666666666662</v>
      </c>
      <c r="I35" s="55">
        <f>Slaughtering!$Q$6</f>
        <v>0.25</v>
      </c>
      <c r="J35" s="55">
        <f>Slaughtering!$S$6</f>
        <v>0.34166666666666662</v>
      </c>
      <c r="K35" s="55">
        <f>Slaughtering!$U$6</f>
        <v>0.34166666666666662</v>
      </c>
      <c r="L35" s="55">
        <f>Slaughtering!$W$6</f>
        <v>0.25</v>
      </c>
      <c r="M35" s="55">
        <f>Slaughtering!$Y$6</f>
        <v>0.34166666666666662</v>
      </c>
      <c r="N35" s="55"/>
      <c r="O35" s="20">
        <v>1E-3</v>
      </c>
      <c r="P35" s="55">
        <v>1</v>
      </c>
      <c r="Q35" s="3"/>
      <c r="R35" t="s">
        <v>44</v>
      </c>
      <c r="S35" s="4"/>
      <c r="T35" s="6"/>
      <c r="U35" s="3"/>
      <c r="V35" s="3"/>
    </row>
    <row r="36" spans="1:70" ht="14.45">
      <c r="A36" s="22" t="s">
        <v>89</v>
      </c>
      <c r="B36" s="142">
        <v>0.11799999999999999</v>
      </c>
      <c r="C36" s="142">
        <v>0.156</v>
      </c>
      <c r="D36" s="142">
        <v>0.26800000000000002</v>
      </c>
      <c r="E36" s="142">
        <v>0.22700000000000001</v>
      </c>
      <c r="F36" s="142">
        <v>0.254</v>
      </c>
      <c r="G36" s="142">
        <v>0.16300000000000001</v>
      </c>
      <c r="H36" s="142">
        <v>0.32900000000000001</v>
      </c>
      <c r="I36" s="142">
        <v>0.21199999999999999</v>
      </c>
      <c r="J36" s="142">
        <v>0.29799999999999999</v>
      </c>
      <c r="K36" s="142">
        <v>0.11899999999999999</v>
      </c>
      <c r="L36" s="142">
        <v>0.13500000000000001</v>
      </c>
      <c r="M36" s="84">
        <v>0.13100000000000001</v>
      </c>
      <c r="N36" s="84"/>
      <c r="O36" s="84">
        <v>0</v>
      </c>
      <c r="P36" s="84">
        <v>1</v>
      </c>
      <c r="Q36" s="3"/>
      <c r="R36" s="1"/>
      <c r="S36" s="4"/>
      <c r="T36" s="6"/>
      <c r="U36" s="3"/>
      <c r="V36" s="3"/>
    </row>
    <row r="37" spans="1:70" s="7" customFormat="1" ht="14.45">
      <c r="A37" s="36" t="s">
        <v>90</v>
      </c>
      <c r="B37" s="114">
        <f>B40*B39*B38*100</f>
        <v>8.5404352965718633E-3</v>
      </c>
      <c r="C37" s="114">
        <f t="shared" ref="C37:P37" si="11">C40*C39*C38*100</f>
        <v>8.3960318012192003E-3</v>
      </c>
      <c r="D37" s="114">
        <f t="shared" si="11"/>
        <v>9.848907785073557E-3</v>
      </c>
      <c r="E37" s="114">
        <f t="shared" si="11"/>
        <v>1.2851911086387129E-2</v>
      </c>
      <c r="F37" s="114">
        <f t="shared" si="11"/>
        <v>1.3134824056873981E-2</v>
      </c>
      <c r="G37" s="114">
        <f t="shared" si="11"/>
        <v>8.2192111946649167E-3</v>
      </c>
      <c r="H37" s="114">
        <f t="shared" si="11"/>
        <v>1.1189797384776868E-2</v>
      </c>
      <c r="I37" s="114">
        <f t="shared" si="11"/>
        <v>8.6818917818152902E-3</v>
      </c>
      <c r="J37" s="114">
        <f t="shared" si="11"/>
        <v>1.2374495448690565E-2</v>
      </c>
      <c r="K37" s="114">
        <f t="shared" si="11"/>
        <v>1.0500197019215167E-2</v>
      </c>
      <c r="L37" s="114">
        <f t="shared" si="11"/>
        <v>8.0983837801861577E-3</v>
      </c>
      <c r="M37" s="114"/>
      <c r="N37" s="114"/>
      <c r="O37" s="114">
        <f t="shared" si="11"/>
        <v>8.8410303277141463E-6</v>
      </c>
      <c r="P37" s="114">
        <f t="shared" si="11"/>
        <v>4.4205151638570722E-2</v>
      </c>
      <c r="Q37" s="83" t="s">
        <v>91</v>
      </c>
      <c r="R37" s="90" t="s">
        <v>92</v>
      </c>
      <c r="S37" s="1" t="s">
        <v>93</v>
      </c>
      <c r="T37" s="6"/>
      <c r="U37" s="3"/>
      <c r="V37" s="3"/>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row>
    <row r="38" spans="1:70" ht="14.45">
      <c r="A38" s="22" t="s">
        <v>94</v>
      </c>
      <c r="B38" s="20">
        <f>(2*(B41+B42+B44))+B43</f>
        <v>0.96599999999999997</v>
      </c>
      <c r="C38" s="20">
        <f t="shared" ref="C38:P38" si="12">(2*(C41+C42+C44))+C43</f>
        <v>0.94966666666666666</v>
      </c>
      <c r="D38" s="20">
        <f t="shared" si="12"/>
        <v>1.1139999999999999</v>
      </c>
      <c r="E38" s="20">
        <f t="shared" si="12"/>
        <v>1.4536666666666667</v>
      </c>
      <c r="F38" s="20">
        <f t="shared" si="12"/>
        <v>1.4856666666666665</v>
      </c>
      <c r="G38" s="20">
        <f t="shared" si="12"/>
        <v>0.92966666666666664</v>
      </c>
      <c r="H38" s="20">
        <f t="shared" si="12"/>
        <v>1.2656666666666665</v>
      </c>
      <c r="I38" s="20">
        <f t="shared" si="12"/>
        <v>0.98199999999999998</v>
      </c>
      <c r="J38" s="20">
        <f t="shared" si="12"/>
        <v>1.3996666666666666</v>
      </c>
      <c r="K38" s="20">
        <f t="shared" si="12"/>
        <v>1.1876666666666666</v>
      </c>
      <c r="L38" s="20">
        <f t="shared" si="12"/>
        <v>0.91600000000000004</v>
      </c>
      <c r="M38" s="20"/>
      <c r="N38" s="20"/>
      <c r="O38" s="20">
        <f t="shared" si="12"/>
        <v>1E-3</v>
      </c>
      <c r="P38" s="20">
        <f t="shared" si="12"/>
        <v>5</v>
      </c>
      <c r="Q38" s="3"/>
      <c r="R38" s="3"/>
      <c r="S38" s="4"/>
      <c r="T38" s="6"/>
      <c r="U38" s="3"/>
      <c r="V38" s="3"/>
    </row>
    <row r="39" spans="1:70" ht="14.45">
      <c r="A39" s="22" t="s">
        <v>95</v>
      </c>
      <c r="B39" s="21">
        <f>Ability!$B$5</f>
        <v>0.88410303277141455</v>
      </c>
      <c r="C39" s="21">
        <f>Ability!$B$5</f>
        <v>0.88410303277141455</v>
      </c>
      <c r="D39" s="21">
        <f>Ability!$B$5</f>
        <v>0.88410303277141455</v>
      </c>
      <c r="E39" s="21">
        <f>Ability!$B$5</f>
        <v>0.88410303277141455</v>
      </c>
      <c r="F39" s="21">
        <f>Ability!$B$5</f>
        <v>0.88410303277141455</v>
      </c>
      <c r="G39" s="21">
        <f>Ability!$B$5</f>
        <v>0.88410303277141455</v>
      </c>
      <c r="H39" s="21">
        <f>Ability!$B$5</f>
        <v>0.88410303277141455</v>
      </c>
      <c r="I39" s="21">
        <f>Ability!$B$5</f>
        <v>0.88410303277141455</v>
      </c>
      <c r="J39" s="21">
        <f>Ability!$B$5</f>
        <v>0.88410303277141455</v>
      </c>
      <c r="K39" s="21">
        <f>Ability!$B$5</f>
        <v>0.88410303277141455</v>
      </c>
      <c r="L39" s="21">
        <f>Ability!$B$5</f>
        <v>0.88410303277141455</v>
      </c>
      <c r="M39" s="21"/>
      <c r="N39" s="21"/>
      <c r="O39" s="21">
        <f>Ability!$B$5</f>
        <v>0.88410303277141455</v>
      </c>
      <c r="P39" s="21">
        <f>Ability!$B$5</f>
        <v>0.88410303277141455</v>
      </c>
      <c r="S39" s="4" t="s">
        <v>96</v>
      </c>
      <c r="T39" s="6" t="s">
        <v>97</v>
      </c>
      <c r="U39" s="3"/>
      <c r="V39" s="3"/>
    </row>
    <row r="40" spans="1:70" ht="14.45">
      <c r="A40" s="22" t="s">
        <v>98</v>
      </c>
      <c r="B40" s="199">
        <v>1E-4</v>
      </c>
      <c r="C40" s="199">
        <v>1E-4</v>
      </c>
      <c r="D40" s="199">
        <v>1E-4</v>
      </c>
      <c r="E40" s="199">
        <v>1E-4</v>
      </c>
      <c r="F40" s="199">
        <v>1E-4</v>
      </c>
      <c r="G40" s="199">
        <v>1E-4</v>
      </c>
      <c r="H40" s="199">
        <v>1E-4</v>
      </c>
      <c r="I40" s="199">
        <v>1E-4</v>
      </c>
      <c r="J40" s="199">
        <v>1E-4</v>
      </c>
      <c r="K40" s="199">
        <v>1E-4</v>
      </c>
      <c r="L40" s="199">
        <v>1E-4</v>
      </c>
      <c r="M40" s="199"/>
      <c r="N40" s="199"/>
      <c r="O40" s="199">
        <v>1E-4</v>
      </c>
      <c r="P40" s="199">
        <v>1E-4</v>
      </c>
      <c r="Q40" s="74" t="s">
        <v>99</v>
      </c>
      <c r="R40" s="2" t="s">
        <v>100</v>
      </c>
      <c r="S40" s="1"/>
      <c r="T40" s="3"/>
      <c r="U40" s="3"/>
      <c r="V40" s="3"/>
    </row>
    <row r="41" spans="1:70" ht="14.45">
      <c r="A41" s="22" t="s">
        <v>101</v>
      </c>
      <c r="B41" s="84">
        <v>0.06</v>
      </c>
      <c r="C41" s="84">
        <v>0.06</v>
      </c>
      <c r="D41" s="84">
        <v>0.06</v>
      </c>
      <c r="E41" s="84">
        <v>0.06</v>
      </c>
      <c r="F41" s="84">
        <v>0.06</v>
      </c>
      <c r="G41" s="84">
        <v>0.06</v>
      </c>
      <c r="H41" s="84">
        <v>0.06</v>
      </c>
      <c r="I41" s="84">
        <v>0.06</v>
      </c>
      <c r="J41" s="84">
        <v>0.06</v>
      </c>
      <c r="K41" s="84">
        <v>0.06</v>
      </c>
      <c r="L41" s="84">
        <v>0.06</v>
      </c>
      <c r="M41" s="84"/>
      <c r="N41" s="84"/>
      <c r="O41" s="84">
        <v>0</v>
      </c>
      <c r="P41" s="84">
        <v>0.5</v>
      </c>
      <c r="Q41" s="3" t="s">
        <v>102</v>
      </c>
      <c r="R41" s="83" t="s">
        <v>103</v>
      </c>
      <c r="S41" s="4" t="s">
        <v>104</v>
      </c>
      <c r="T41" s="6"/>
      <c r="U41" s="3"/>
      <c r="V41" s="3"/>
    </row>
    <row r="42" spans="1:70" ht="14.45">
      <c r="A42" s="22" t="s">
        <v>105</v>
      </c>
      <c r="B42" s="84">
        <v>0.16</v>
      </c>
      <c r="C42" s="84">
        <v>0.16</v>
      </c>
      <c r="D42" s="84">
        <v>0.16</v>
      </c>
      <c r="E42" s="84">
        <v>0.16</v>
      </c>
      <c r="F42" s="84">
        <v>0.16</v>
      </c>
      <c r="G42" s="84">
        <v>0.16</v>
      </c>
      <c r="H42" s="84">
        <v>0.16</v>
      </c>
      <c r="I42" s="84">
        <v>0.16</v>
      </c>
      <c r="J42" s="84">
        <v>0.16</v>
      </c>
      <c r="K42" s="84">
        <v>0.16</v>
      </c>
      <c r="L42" s="84">
        <v>0.16</v>
      </c>
      <c r="M42" s="84"/>
      <c r="N42" s="84"/>
      <c r="O42" s="84">
        <v>0</v>
      </c>
      <c r="P42" s="84">
        <v>0.5</v>
      </c>
      <c r="Q42" s="82" t="s">
        <v>106</v>
      </c>
      <c r="R42" s="82" t="s">
        <v>107</v>
      </c>
      <c r="S42" s="83" t="s">
        <v>108</v>
      </c>
      <c r="T42" s="6"/>
      <c r="U42" s="3"/>
      <c r="V42" s="3"/>
    </row>
    <row r="43" spans="1:70" ht="14.45">
      <c r="A43" s="22" t="s">
        <v>109</v>
      </c>
      <c r="B43" s="2">
        <f>Slaughtering!$C$6</f>
        <v>0.25</v>
      </c>
      <c r="C43" s="55">
        <f>Slaughtering!$E$6</f>
        <v>0.34166666666666662</v>
      </c>
      <c r="D43" s="55">
        <f>Slaughtering!$G$6</f>
        <v>0.25</v>
      </c>
      <c r="E43" s="55">
        <f>Slaughtering!$I$6</f>
        <v>0.34166666666666662</v>
      </c>
      <c r="F43" s="55">
        <f>Slaughtering!$K$6</f>
        <v>0.34166666666666662</v>
      </c>
      <c r="G43" s="55">
        <f>Slaughtering!$M$6</f>
        <v>0.34166666666666662</v>
      </c>
      <c r="H43" s="55">
        <f>Slaughtering!$O$6</f>
        <v>0.34166666666666662</v>
      </c>
      <c r="I43" s="55">
        <f>Slaughtering!$Q$6</f>
        <v>0.25</v>
      </c>
      <c r="J43" s="55">
        <f>Slaughtering!$S$6</f>
        <v>0.34166666666666662</v>
      </c>
      <c r="K43" s="55">
        <f>Slaughtering!$U$6</f>
        <v>0.34166666666666662</v>
      </c>
      <c r="L43" s="55">
        <f>Slaughtering!$W$6</f>
        <v>0.25</v>
      </c>
      <c r="M43" s="55"/>
      <c r="N43" s="55"/>
      <c r="O43" s="20">
        <v>1E-3</v>
      </c>
      <c r="P43" s="55">
        <v>1</v>
      </c>
      <c r="Q43" s="3"/>
      <c r="R43" t="s">
        <v>44</v>
      </c>
      <c r="S43" s="4"/>
      <c r="T43" s="6"/>
      <c r="U43" s="3"/>
      <c r="V43" s="3"/>
    </row>
    <row r="44" spans="1:70" ht="14.45">
      <c r="A44" s="23" t="s">
        <v>110</v>
      </c>
      <c r="B44" s="141">
        <v>0.13800000000000001</v>
      </c>
      <c r="C44" s="141">
        <v>8.4000000000000005E-2</v>
      </c>
      <c r="D44" s="141">
        <v>0.21199999999999999</v>
      </c>
      <c r="E44" s="141">
        <v>0.33600000000000002</v>
      </c>
      <c r="F44" s="141">
        <v>0.35199999999999998</v>
      </c>
      <c r="G44" s="141">
        <v>7.3999999999999996E-2</v>
      </c>
      <c r="H44" s="141">
        <v>0.24199999999999999</v>
      </c>
      <c r="I44" s="141">
        <v>0.14599999999999999</v>
      </c>
      <c r="J44" s="141">
        <v>0.309</v>
      </c>
      <c r="K44" s="141">
        <v>0.20300000000000001</v>
      </c>
      <c r="L44" s="141">
        <v>0.113</v>
      </c>
      <c r="M44" s="84"/>
      <c r="N44" s="84"/>
      <c r="O44" s="84">
        <v>0</v>
      </c>
      <c r="P44" s="84">
        <v>1</v>
      </c>
      <c r="Q44" s="3" t="s">
        <v>111</v>
      </c>
      <c r="R44" s="1"/>
      <c r="S44" s="4"/>
      <c r="T44" s="6"/>
      <c r="U44" s="3"/>
      <c r="V44" s="3"/>
    </row>
    <row r="45" spans="1:70" s="7" customFormat="1" ht="14.45">
      <c r="A45" s="145" t="s">
        <v>112</v>
      </c>
      <c r="B45" s="146">
        <f>B46+B54</f>
        <v>6.7125007851221232</v>
      </c>
      <c r="C45" s="146">
        <f t="shared" ref="C45:P45" si="13">C46+C54</f>
        <v>6.8052206520011511</v>
      </c>
      <c r="D45" s="146">
        <f t="shared" si="13"/>
        <v>6.9023384425879382</v>
      </c>
      <c r="E45" s="146">
        <f t="shared" si="13"/>
        <v>9.9274161982778928</v>
      </c>
      <c r="F45" s="146">
        <f t="shared" si="13"/>
        <v>10.42729722185066</v>
      </c>
      <c r="G45" s="146">
        <f t="shared" si="13"/>
        <v>7.3563894007634918</v>
      </c>
      <c r="H45" s="146">
        <f t="shared" si="13"/>
        <v>8.509213884238191</v>
      </c>
      <c r="I45" s="146">
        <f t="shared" si="13"/>
        <v>8.1405739301218869</v>
      </c>
      <c r="J45" s="146">
        <f t="shared" si="13"/>
        <v>10.001434627962157</v>
      </c>
      <c r="K45" s="146">
        <f t="shared" si="13"/>
        <v>8.8463701718001548</v>
      </c>
      <c r="L45" s="146">
        <f t="shared" si="13"/>
        <v>7.7135092992100676</v>
      </c>
      <c r="M45" s="146"/>
      <c r="N45" s="146"/>
      <c r="O45" s="146">
        <f t="shared" si="13"/>
        <v>4.5741996280995092E-3</v>
      </c>
      <c r="P45" s="146">
        <f t="shared" si="13"/>
        <v>21.8417525501097</v>
      </c>
      <c r="Q45" s="83" t="s">
        <v>113</v>
      </c>
      <c r="R45" s="3"/>
      <c r="S45" s="4"/>
      <c r="T45" s="6"/>
      <c r="U45" s="3"/>
      <c r="V45" s="3"/>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row>
    <row r="46" spans="1:70" ht="14.45">
      <c r="A46" s="3" t="s">
        <v>114</v>
      </c>
      <c r="B46" s="20">
        <f>B49*B48*B47*100</f>
        <v>9.7635474970835124E-3</v>
      </c>
      <c r="C46" s="20">
        <f t="shared" ref="C46:P46" si="14">C49*C48*C47*100</f>
        <v>0</v>
      </c>
      <c r="D46" s="20">
        <f t="shared" si="14"/>
        <v>0</v>
      </c>
      <c r="E46" s="20">
        <f t="shared" si="14"/>
        <v>1.2426333178106288E-2</v>
      </c>
      <c r="F46" s="20">
        <f t="shared" si="14"/>
        <v>1.2426333178106288E-2</v>
      </c>
      <c r="G46" s="20">
        <f t="shared" si="14"/>
        <v>9.2309903608789566E-3</v>
      </c>
      <c r="H46" s="20">
        <f t="shared" si="14"/>
        <v>1.0651142724091104E-2</v>
      </c>
      <c r="I46" s="20">
        <f t="shared" si="14"/>
        <v>1.1361218905697178E-2</v>
      </c>
      <c r="J46" s="20">
        <f t="shared" si="14"/>
        <v>1.1716256996500213E-2</v>
      </c>
      <c r="K46" s="20">
        <f t="shared" si="14"/>
        <v>1.0651142724091104E-2</v>
      </c>
      <c r="L46" s="20">
        <f t="shared" si="14"/>
        <v>1.1361218905697178E-2</v>
      </c>
      <c r="M46" s="20"/>
      <c r="N46" s="20"/>
      <c r="O46" s="20">
        <f t="shared" si="14"/>
        <v>1.3548253545043886E-3</v>
      </c>
      <c r="P46" s="20">
        <f t="shared" si="14"/>
        <v>1.3548253545043885</v>
      </c>
      <c r="Q46" s="3"/>
      <c r="R46" s="3"/>
      <c r="S46" s="4"/>
      <c r="T46" s="6"/>
      <c r="U46" s="3"/>
      <c r="V46" s="3"/>
    </row>
    <row r="47" spans="1:70" ht="14.45">
      <c r="A47" s="3" t="s">
        <v>115</v>
      </c>
      <c r="B47" s="20">
        <f>(2*(B50+B51+B53))+B52</f>
        <v>6.9444444444444441E-3</v>
      </c>
      <c r="C47" s="20">
        <f t="shared" ref="C47:P47" si="15">(2*(C50+C51+C53))+C52</f>
        <v>6.9444444444444441E-3</v>
      </c>
      <c r="D47" s="20">
        <f t="shared" si="15"/>
        <v>6.9444444444444441E-3</v>
      </c>
      <c r="E47" s="20">
        <f t="shared" si="15"/>
        <v>6.9444444444444441E-3</v>
      </c>
      <c r="F47" s="20">
        <f t="shared" si="15"/>
        <v>6.9444444444444441E-3</v>
      </c>
      <c r="G47" s="20">
        <f t="shared" si="15"/>
        <v>6.9444444444444441E-3</v>
      </c>
      <c r="H47" s="20">
        <f t="shared" si="15"/>
        <v>6.9444444444444441E-3</v>
      </c>
      <c r="I47" s="20">
        <f t="shared" si="15"/>
        <v>6.9444444444444441E-3</v>
      </c>
      <c r="J47" s="20">
        <f t="shared" si="15"/>
        <v>6.9444444444444441E-3</v>
      </c>
      <c r="K47" s="20">
        <f t="shared" si="15"/>
        <v>6.9444444444444441E-3</v>
      </c>
      <c r="L47" s="20">
        <f t="shared" si="15"/>
        <v>6.9444444444444441E-3</v>
      </c>
      <c r="M47" s="20"/>
      <c r="N47" s="20"/>
      <c r="O47" s="20">
        <f t="shared" si="15"/>
        <v>1E-3</v>
      </c>
      <c r="P47" s="20">
        <f t="shared" si="15"/>
        <v>1</v>
      </c>
      <c r="Q47" s="3"/>
      <c r="R47" s="3"/>
      <c r="S47" s="4"/>
      <c r="T47" s="6"/>
      <c r="U47" s="3"/>
      <c r="V47" s="3"/>
    </row>
    <row r="48" spans="1:70" ht="14.45">
      <c r="A48" s="3" t="s">
        <v>116</v>
      </c>
      <c r="B48" s="21">
        <f>Ability!$B$7</f>
        <v>0.2556274253781865</v>
      </c>
      <c r="C48" s="21">
        <f>Ability!$B$7</f>
        <v>0.2556274253781865</v>
      </c>
      <c r="D48" s="21">
        <f>Ability!$B$7</f>
        <v>0.2556274253781865</v>
      </c>
      <c r="E48" s="21">
        <f>Ability!$B$7</f>
        <v>0.2556274253781865</v>
      </c>
      <c r="F48" s="21">
        <f>Ability!$B$7</f>
        <v>0.2556274253781865</v>
      </c>
      <c r="G48" s="21">
        <f>Ability!$B$7</f>
        <v>0.2556274253781865</v>
      </c>
      <c r="H48" s="21">
        <f>Ability!$B$7</f>
        <v>0.2556274253781865</v>
      </c>
      <c r="I48" s="21">
        <f>Ability!$B$7</f>
        <v>0.2556274253781865</v>
      </c>
      <c r="J48" s="21">
        <f>Ability!$B$7</f>
        <v>0.2556274253781865</v>
      </c>
      <c r="K48" s="21">
        <f>Ability!$B$7</f>
        <v>0.2556274253781865</v>
      </c>
      <c r="L48" s="21">
        <f>Ability!$B$7</f>
        <v>0.2556274253781865</v>
      </c>
      <c r="M48" s="21"/>
      <c r="N48" s="21"/>
      <c r="O48" s="21">
        <f>Ability!$B$7</f>
        <v>0.2556274253781865</v>
      </c>
      <c r="P48" s="21">
        <f>Ability!$B$7</f>
        <v>0.2556274253781865</v>
      </c>
      <c r="Q48" s="3"/>
      <c r="R48" s="3"/>
      <c r="S48" s="4"/>
      <c r="T48" s="6"/>
      <c r="U48" s="3"/>
      <c r="V48" s="3"/>
    </row>
    <row r="49" spans="1:70" ht="14.45">
      <c r="A49" s="3" t="s">
        <v>117</v>
      </c>
      <c r="B49" s="213">
        <f>B57</f>
        <v>5.5E-2</v>
      </c>
      <c r="C49" s="82">
        <v>0</v>
      </c>
      <c r="D49" s="85">
        <v>0</v>
      </c>
      <c r="E49" s="173">
        <f>E57</f>
        <v>7.0000000000000007E-2</v>
      </c>
      <c r="F49" s="173">
        <f t="shared" ref="F49:L49" si="16">F57</f>
        <v>7.0000000000000007E-2</v>
      </c>
      <c r="G49" s="173">
        <f t="shared" si="16"/>
        <v>5.1999999999999998E-2</v>
      </c>
      <c r="H49" s="173">
        <f t="shared" si="16"/>
        <v>0.06</v>
      </c>
      <c r="I49" s="173">
        <f t="shared" si="16"/>
        <v>6.4000000000000001E-2</v>
      </c>
      <c r="J49" s="173">
        <f t="shared" si="16"/>
        <v>6.6000000000000003E-2</v>
      </c>
      <c r="K49" s="173">
        <f t="shared" si="16"/>
        <v>0.06</v>
      </c>
      <c r="L49" s="173">
        <f t="shared" si="16"/>
        <v>6.4000000000000001E-2</v>
      </c>
      <c r="M49" s="26"/>
      <c r="N49" s="26"/>
      <c r="O49" s="26">
        <v>5.2999999999999999E-2</v>
      </c>
      <c r="P49" s="26">
        <v>5.2999999999999999E-2</v>
      </c>
      <c r="Q49" s="83" t="s">
        <v>118</v>
      </c>
      <c r="R49" s="3"/>
      <c r="S49" s="4"/>
      <c r="T49" s="6"/>
      <c r="U49" s="3"/>
      <c r="V49" s="3"/>
    </row>
    <row r="50" spans="1:70" ht="14.45">
      <c r="A50" s="3" t="s">
        <v>119</v>
      </c>
      <c r="B50" s="38">
        <v>0</v>
      </c>
      <c r="C50" s="38">
        <v>0</v>
      </c>
      <c r="D50" s="38">
        <v>0</v>
      </c>
      <c r="E50" s="38">
        <v>0</v>
      </c>
      <c r="F50" s="38">
        <v>0</v>
      </c>
      <c r="G50" s="38">
        <v>0</v>
      </c>
      <c r="H50" s="38">
        <v>0</v>
      </c>
      <c r="I50" s="38">
        <v>0</v>
      </c>
      <c r="J50" s="38">
        <v>0</v>
      </c>
      <c r="K50" s="38">
        <v>0</v>
      </c>
      <c r="L50" s="38">
        <v>0</v>
      </c>
      <c r="M50" s="38"/>
      <c r="N50" s="38"/>
      <c r="O50" s="38">
        <v>0</v>
      </c>
      <c r="P50" s="38">
        <v>0</v>
      </c>
      <c r="Q50" s="3"/>
      <c r="R50" s="3"/>
      <c r="S50" s="4"/>
      <c r="T50" s="6"/>
      <c r="U50" s="3"/>
      <c r="V50" s="3"/>
    </row>
    <row r="51" spans="1:70" ht="14.45">
      <c r="A51" s="3" t="s">
        <v>120</v>
      </c>
      <c r="B51" s="38">
        <v>0</v>
      </c>
      <c r="C51" s="38">
        <v>0</v>
      </c>
      <c r="D51" s="38">
        <v>0</v>
      </c>
      <c r="E51" s="38">
        <v>0</v>
      </c>
      <c r="F51" s="38">
        <v>0</v>
      </c>
      <c r="G51" s="38">
        <v>0</v>
      </c>
      <c r="H51" s="38">
        <v>0</v>
      </c>
      <c r="I51" s="38">
        <v>0</v>
      </c>
      <c r="J51" s="38">
        <v>0</v>
      </c>
      <c r="K51" s="38">
        <v>0</v>
      </c>
      <c r="L51" s="38">
        <v>0</v>
      </c>
      <c r="M51" s="38"/>
      <c r="N51" s="38"/>
      <c r="O51" s="38">
        <v>0</v>
      </c>
      <c r="P51" s="38">
        <v>0</v>
      </c>
      <c r="Q51" s="3"/>
      <c r="R51" s="3"/>
      <c r="S51" s="4"/>
      <c r="T51" s="6"/>
      <c r="U51" s="3"/>
      <c r="V51" s="3"/>
    </row>
    <row r="52" spans="1:70" ht="14.45">
      <c r="A52" s="3" t="s">
        <v>121</v>
      </c>
      <c r="B52" s="55">
        <f>Slaughtering!$C$7</f>
        <v>6.9444444444444441E-3</v>
      </c>
      <c r="C52" s="55">
        <f>Slaughtering!$E$7</f>
        <v>6.9444444444444441E-3</v>
      </c>
      <c r="D52" s="55">
        <f>Slaughtering!$G$7</f>
        <v>6.9444444444444441E-3</v>
      </c>
      <c r="E52" s="55">
        <f>Slaughtering!$I$7</f>
        <v>6.9444444444444441E-3</v>
      </c>
      <c r="F52" s="55">
        <f>Slaughtering!$K$7</f>
        <v>6.9444444444444441E-3</v>
      </c>
      <c r="G52" s="55">
        <f>Slaughtering!$M$7</f>
        <v>6.9444444444444441E-3</v>
      </c>
      <c r="H52" s="55">
        <f>Slaughtering!$O$7</f>
        <v>6.9444444444444441E-3</v>
      </c>
      <c r="I52" s="55">
        <f>Slaughtering!$Q$7</f>
        <v>6.9444444444444441E-3</v>
      </c>
      <c r="J52" s="55">
        <f>Slaughtering!$S$7</f>
        <v>6.9444444444444441E-3</v>
      </c>
      <c r="K52" s="55">
        <f>Slaughtering!$U$7</f>
        <v>6.9444444444444441E-3</v>
      </c>
      <c r="L52" s="55">
        <f>Slaughtering!$W$7</f>
        <v>6.9444444444444441E-3</v>
      </c>
      <c r="M52" s="55"/>
      <c r="N52" s="55"/>
      <c r="O52" s="55">
        <v>1E-3</v>
      </c>
      <c r="P52" s="55">
        <v>1</v>
      </c>
      <c r="Q52" s="3"/>
      <c r="R52" s="3"/>
      <c r="S52" s="4"/>
      <c r="T52" s="6"/>
      <c r="U52" s="3"/>
      <c r="V52" s="3"/>
    </row>
    <row r="53" spans="1:70" ht="14.45">
      <c r="A53" s="148" t="s">
        <v>122</v>
      </c>
      <c r="B53" s="51">
        <v>0</v>
      </c>
      <c r="C53" s="51">
        <v>0</v>
      </c>
      <c r="D53" s="51">
        <v>0</v>
      </c>
      <c r="E53" s="51">
        <v>0</v>
      </c>
      <c r="F53" s="51">
        <v>0</v>
      </c>
      <c r="G53" s="51">
        <v>0</v>
      </c>
      <c r="H53" s="51">
        <v>0</v>
      </c>
      <c r="I53" s="51">
        <v>0</v>
      </c>
      <c r="J53" s="51">
        <v>0</v>
      </c>
      <c r="K53" s="51">
        <v>0</v>
      </c>
      <c r="L53" s="51">
        <v>0</v>
      </c>
      <c r="M53" s="38"/>
      <c r="N53" s="38"/>
      <c r="O53" s="38">
        <v>0</v>
      </c>
      <c r="P53" s="38">
        <v>0</v>
      </c>
      <c r="Q53" s="3"/>
      <c r="R53" s="3"/>
      <c r="S53" s="4"/>
      <c r="T53" s="6"/>
      <c r="U53" s="3"/>
      <c r="V53" s="3"/>
    </row>
    <row r="54" spans="1:70" ht="14.45">
      <c r="A54" s="3" t="s">
        <v>123</v>
      </c>
      <c r="B54" s="20">
        <f>B57*B56*B55*100</f>
        <v>6.7027372376250396</v>
      </c>
      <c r="C54" s="20">
        <f t="shared" ref="C54:P54" si="17">C57*C56*C55*100</f>
        <v>6.8052206520011511</v>
      </c>
      <c r="D54" s="20">
        <f t="shared" si="17"/>
        <v>6.9023384425879382</v>
      </c>
      <c r="E54" s="20">
        <f t="shared" si="17"/>
        <v>9.9149898650997859</v>
      </c>
      <c r="F54" s="20">
        <f t="shared" si="17"/>
        <v>10.414870888672553</v>
      </c>
      <c r="G54" s="20">
        <f t="shared" si="17"/>
        <v>7.3471584104026126</v>
      </c>
      <c r="H54" s="20">
        <f t="shared" si="17"/>
        <v>8.4985627415140996</v>
      </c>
      <c r="I54" s="20">
        <f t="shared" si="17"/>
        <v>8.1292127112161889</v>
      </c>
      <c r="J54" s="20">
        <f t="shared" si="17"/>
        <v>9.9897183709656563</v>
      </c>
      <c r="K54" s="20">
        <f t="shared" si="17"/>
        <v>8.8357190290760634</v>
      </c>
      <c r="L54" s="20">
        <f t="shared" si="17"/>
        <v>7.7021480803043705</v>
      </c>
      <c r="M54" s="20"/>
      <c r="N54" s="20"/>
      <c r="O54" s="20">
        <f t="shared" si="17"/>
        <v>3.2193742735951202E-3</v>
      </c>
      <c r="P54" s="20">
        <f t="shared" si="17"/>
        <v>20.486927195605311</v>
      </c>
      <c r="Q54" s="83" t="s">
        <v>124</v>
      </c>
      <c r="R54" s="3"/>
      <c r="S54" s="4"/>
      <c r="T54" s="6"/>
      <c r="U54" s="3"/>
      <c r="V54" s="3"/>
    </row>
    <row r="55" spans="1:70" ht="14.45">
      <c r="A55" s="3" t="s">
        <v>125</v>
      </c>
      <c r="B55" s="20">
        <f>(2*(B58+B59+B61))+B60</f>
        <v>2.0819999999999999</v>
      </c>
      <c r="C55" s="20">
        <f t="shared" ref="C55:P55" si="18">(2*(C58+C59+C61))+C60</f>
        <v>2.1138333333333335</v>
      </c>
      <c r="D55" s="20">
        <f t="shared" si="18"/>
        <v>2.1440000000000001</v>
      </c>
      <c r="E55" s="20">
        <f t="shared" si="18"/>
        <v>2.4198333333333335</v>
      </c>
      <c r="F55" s="20">
        <f t="shared" si="18"/>
        <v>2.5418333333333334</v>
      </c>
      <c r="G55" s="20">
        <f t="shared" si="18"/>
        <v>2.4138333333333333</v>
      </c>
      <c r="H55" s="20">
        <f t="shared" si="18"/>
        <v>2.4198333333333335</v>
      </c>
      <c r="I55" s="20">
        <f t="shared" si="18"/>
        <v>2.17</v>
      </c>
      <c r="J55" s="20">
        <f t="shared" si="18"/>
        <v>2.585833333333333</v>
      </c>
      <c r="K55" s="20">
        <f t="shared" si="18"/>
        <v>2.5158333333333336</v>
      </c>
      <c r="L55" s="20">
        <f t="shared" si="18"/>
        <v>2.056</v>
      </c>
      <c r="M55" s="20"/>
      <c r="N55" s="20"/>
      <c r="O55" s="200">
        <f t="shared" si="18"/>
        <v>1E-3</v>
      </c>
      <c r="P55" s="20">
        <f t="shared" si="18"/>
        <v>5</v>
      </c>
      <c r="Q55" s="3"/>
      <c r="R55" s="3"/>
      <c r="S55" s="4"/>
      <c r="T55" s="6"/>
      <c r="U55" s="3"/>
      <c r="V55" s="3"/>
    </row>
    <row r="56" spans="1:70" ht="14.45">
      <c r="A56" s="3" t="s">
        <v>126</v>
      </c>
      <c r="B56" s="20">
        <f>Ability!$B$8</f>
        <v>0.58534077701729459</v>
      </c>
      <c r="C56" s="20">
        <f>Ability!$B$8</f>
        <v>0.58534077701729459</v>
      </c>
      <c r="D56" s="20">
        <f>Ability!$B$8</f>
        <v>0.58534077701729459</v>
      </c>
      <c r="E56" s="20">
        <f>Ability!$B$8</f>
        <v>0.58534077701729459</v>
      </c>
      <c r="F56" s="20">
        <f>Ability!$B$8</f>
        <v>0.58534077701729459</v>
      </c>
      <c r="G56" s="20">
        <f>Ability!$B$8</f>
        <v>0.58534077701729459</v>
      </c>
      <c r="H56" s="20">
        <f>Ability!$B$8</f>
        <v>0.58534077701729459</v>
      </c>
      <c r="I56" s="20">
        <f>Ability!$B$8</f>
        <v>0.58534077701729459</v>
      </c>
      <c r="J56" s="20">
        <f>Ability!$B$8</f>
        <v>0.58534077701729459</v>
      </c>
      <c r="K56" s="20">
        <f>Ability!$B$8</f>
        <v>0.58534077701729459</v>
      </c>
      <c r="L56" s="20">
        <f>Ability!$B$8</f>
        <v>0.58534077701729459</v>
      </c>
      <c r="M56" s="20"/>
      <c r="N56" s="20"/>
      <c r="O56" s="20">
        <f>Ability!$B$8</f>
        <v>0.58534077701729459</v>
      </c>
      <c r="P56" s="20">
        <f>Ability!$B$8</f>
        <v>0.58534077701729459</v>
      </c>
      <c r="Q56" s="3"/>
      <c r="R56" s="3"/>
      <c r="S56" s="4"/>
      <c r="T56" s="6"/>
      <c r="U56" s="3"/>
      <c r="V56" s="3"/>
    </row>
    <row r="57" spans="1:70" ht="14.45">
      <c r="A57" s="3" t="s">
        <v>127</v>
      </c>
      <c r="B57" s="2">
        <f>D57</f>
        <v>5.5E-2</v>
      </c>
      <c r="C57" s="2">
        <v>5.5E-2</v>
      </c>
      <c r="D57" s="2">
        <v>5.5E-2</v>
      </c>
      <c r="E57" s="20">
        <f>F57</f>
        <v>7.0000000000000007E-2</v>
      </c>
      <c r="F57" s="20">
        <v>7.0000000000000007E-2</v>
      </c>
      <c r="G57" s="2">
        <v>5.1999999999999998E-2</v>
      </c>
      <c r="H57" s="20">
        <f>K57</f>
        <v>0.06</v>
      </c>
      <c r="I57" s="2">
        <f>L57</f>
        <v>6.4000000000000001E-2</v>
      </c>
      <c r="J57" s="2">
        <v>6.6000000000000003E-2</v>
      </c>
      <c r="K57" s="20">
        <v>0.06</v>
      </c>
      <c r="L57" s="2">
        <v>6.4000000000000001E-2</v>
      </c>
      <c r="O57" s="2">
        <v>5.5E-2</v>
      </c>
      <c r="P57" s="2">
        <v>7.0000000000000007E-2</v>
      </c>
      <c r="Q57" s="82" t="s">
        <v>128</v>
      </c>
      <c r="R57" t="s">
        <v>129</v>
      </c>
    </row>
    <row r="58" spans="1:70" ht="14.45">
      <c r="A58" t="s">
        <v>130</v>
      </c>
      <c r="B58" s="84">
        <v>0.04</v>
      </c>
      <c r="C58" s="84">
        <v>3.5000000000000003E-2</v>
      </c>
      <c r="D58" s="84">
        <v>0.04</v>
      </c>
      <c r="E58" s="84">
        <v>3.5000000000000003E-2</v>
      </c>
      <c r="F58" s="84">
        <v>0.03</v>
      </c>
      <c r="G58" s="84">
        <v>3.5000000000000003E-2</v>
      </c>
      <c r="H58" s="84">
        <v>3.5000000000000003E-2</v>
      </c>
      <c r="I58" s="84">
        <v>0.04</v>
      </c>
      <c r="J58" s="84">
        <v>0.03</v>
      </c>
      <c r="K58" s="84">
        <v>0.03</v>
      </c>
      <c r="L58" s="84">
        <v>0.04</v>
      </c>
      <c r="M58" s="84"/>
      <c r="N58" s="84"/>
      <c r="O58" s="84">
        <v>0</v>
      </c>
      <c r="P58" s="84">
        <v>0.5</v>
      </c>
      <c r="Q58" s="82" t="s">
        <v>131</v>
      </c>
      <c r="R58" s="83" t="s">
        <v>132</v>
      </c>
    </row>
    <row r="59" spans="1:70" ht="14.45">
      <c r="A59" t="s">
        <v>133</v>
      </c>
      <c r="B59" s="84">
        <v>0.46</v>
      </c>
      <c r="C59" s="84">
        <v>0.44</v>
      </c>
      <c r="D59" s="84">
        <v>0.46</v>
      </c>
      <c r="E59" s="84">
        <v>0.44</v>
      </c>
      <c r="F59" s="84">
        <v>0.42</v>
      </c>
      <c r="G59" s="84">
        <v>0.44</v>
      </c>
      <c r="H59" s="84">
        <v>0.44</v>
      </c>
      <c r="I59" s="84">
        <v>0.46</v>
      </c>
      <c r="J59" s="84">
        <v>0.42</v>
      </c>
      <c r="K59" s="84">
        <v>0.42</v>
      </c>
      <c r="L59" s="84">
        <v>0.46</v>
      </c>
      <c r="M59" s="84"/>
      <c r="N59" s="84"/>
      <c r="O59" s="84">
        <v>0</v>
      </c>
      <c r="P59" s="84">
        <v>0.5</v>
      </c>
      <c r="Q59" s="82" t="s">
        <v>134</v>
      </c>
      <c r="R59" s="82" t="s">
        <v>135</v>
      </c>
    </row>
    <row r="60" spans="1:70" ht="14.45">
      <c r="A60" t="s">
        <v>136</v>
      </c>
      <c r="B60" s="55">
        <f>Slaughtering!$C$8</f>
        <v>0.25</v>
      </c>
      <c r="C60" s="55">
        <f>Slaughtering!$E$8</f>
        <v>0.27583333333333332</v>
      </c>
      <c r="D60" s="55">
        <f>Slaughtering!$G$8</f>
        <v>0.25</v>
      </c>
      <c r="E60" s="55">
        <f>Slaughtering!$I$8</f>
        <v>0.27583333333333332</v>
      </c>
      <c r="F60" s="55">
        <f>Slaughtering!$K$8</f>
        <v>0.27583333333333332</v>
      </c>
      <c r="G60" s="55">
        <f>Slaughtering!$M$8</f>
        <v>0.27583333333333332</v>
      </c>
      <c r="H60" s="55">
        <f>Slaughtering!$O$8</f>
        <v>0.27583333333333332</v>
      </c>
      <c r="I60" s="55">
        <f>Slaughtering!$Q$8</f>
        <v>0.25</v>
      </c>
      <c r="J60" s="55">
        <f>Slaughtering!$S$8</f>
        <v>0.27583333333333332</v>
      </c>
      <c r="K60" s="55">
        <f>Slaughtering!$U$8</f>
        <v>0.27583333333333332</v>
      </c>
      <c r="L60" s="55">
        <f>Slaughtering!$W$8</f>
        <v>0.25</v>
      </c>
      <c r="M60" s="55"/>
      <c r="N60" s="55"/>
      <c r="O60" s="20">
        <v>1E-3</v>
      </c>
      <c r="P60" s="55">
        <v>1</v>
      </c>
      <c r="R60" t="s">
        <v>44</v>
      </c>
    </row>
    <row r="61" spans="1:70" ht="14.45">
      <c r="A61" s="149" t="s">
        <v>137</v>
      </c>
      <c r="B61" s="141">
        <v>0.41599999999999998</v>
      </c>
      <c r="C61" s="141">
        <v>0.44400000000000001</v>
      </c>
      <c r="D61" s="141">
        <v>0.44700000000000001</v>
      </c>
      <c r="E61" s="141">
        <v>0.59699999999999998</v>
      </c>
      <c r="F61" s="141">
        <v>0.68300000000000005</v>
      </c>
      <c r="G61" s="141">
        <v>0.59399999999999997</v>
      </c>
      <c r="H61" s="141">
        <v>0.59699999999999998</v>
      </c>
      <c r="I61" s="141">
        <v>0.46</v>
      </c>
      <c r="J61" s="141">
        <v>0.70499999999999996</v>
      </c>
      <c r="K61" s="141">
        <v>0.67</v>
      </c>
      <c r="L61" s="141">
        <v>0.40300000000000002</v>
      </c>
      <c r="M61" s="84"/>
      <c r="N61" s="84"/>
      <c r="O61" s="84">
        <v>0</v>
      </c>
      <c r="P61" s="84">
        <v>1</v>
      </c>
      <c r="R61" s="1"/>
    </row>
    <row r="62" spans="1:70" s="7" customFormat="1" ht="14.45">
      <c r="A62" s="147" t="s">
        <v>138</v>
      </c>
      <c r="B62" s="146">
        <f>B64+B73</f>
        <v>70.378120212897656</v>
      </c>
      <c r="C62" s="146">
        <f t="shared" ref="C62:P62" si="19">C64+C73</f>
        <v>76.868549579077296</v>
      </c>
      <c r="D62" s="146">
        <f t="shared" si="19"/>
        <v>67.939375147030404</v>
      </c>
      <c r="E62" s="146">
        <f t="shared" si="19"/>
        <v>76.426602115042613</v>
      </c>
      <c r="F62" s="146">
        <f t="shared" si="19"/>
        <v>76.41384051491049</v>
      </c>
      <c r="G62" s="146">
        <f t="shared" si="19"/>
        <v>76.426602115042613</v>
      </c>
      <c r="H62" s="146">
        <f t="shared" si="19"/>
        <v>76.426602115042613</v>
      </c>
      <c r="I62" s="146">
        <f t="shared" si="19"/>
        <v>75.375612033895237</v>
      </c>
      <c r="J62" s="146">
        <f t="shared" si="19"/>
        <v>76.41384051491049</v>
      </c>
      <c r="K62" s="146">
        <f t="shared" si="19"/>
        <v>76.41384051491049</v>
      </c>
      <c r="L62" s="146">
        <f t="shared" si="19"/>
        <v>60.503138260165535</v>
      </c>
      <c r="M62" s="146"/>
      <c r="N62" s="146"/>
      <c r="O62" s="146">
        <f t="shared" si="19"/>
        <v>4.1177484436626645E-2</v>
      </c>
      <c r="P62" s="146">
        <f t="shared" si="19"/>
        <v>205.88742218313325</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row>
    <row r="63" spans="1:70" s="234" customFormat="1" ht="14.45">
      <c r="A63" s="227"/>
      <c r="B63" s="228">
        <f>B67*((35/365-6/(365*24))*B65+6/(365*24))*B66</f>
        <v>6.6668294674903067E-2</v>
      </c>
      <c r="C63" s="228"/>
      <c r="D63" s="228"/>
      <c r="E63" s="228"/>
      <c r="F63" s="228"/>
      <c r="G63" s="228"/>
      <c r="H63" s="228"/>
      <c r="I63" s="228"/>
      <c r="J63" s="228"/>
      <c r="K63" s="228"/>
      <c r="L63" s="228"/>
      <c r="M63" s="228"/>
      <c r="N63" s="228"/>
      <c r="O63" s="228"/>
      <c r="P63" s="228"/>
      <c r="Q63" s="227"/>
      <c r="R63" s="229"/>
      <c r="S63" s="230"/>
      <c r="T63" s="231"/>
      <c r="U63" s="227"/>
      <c r="V63" s="232"/>
      <c r="W63" s="233"/>
      <c r="X63" s="233"/>
      <c r="Y63" s="233"/>
      <c r="Z63" s="233"/>
      <c r="AA63" s="233"/>
      <c r="AB63" s="233"/>
    </row>
    <row r="64" spans="1:70" ht="15.75" customHeight="1">
      <c r="A64" t="s">
        <v>139</v>
      </c>
      <c r="B64" s="20">
        <f>B67*B66*B65*100</f>
        <v>69.731745166205215</v>
      </c>
      <c r="C64" s="20">
        <f t="shared" ref="C64:P64" si="20">C67*C66*C65*100</f>
        <v>76.21014725221913</v>
      </c>
      <c r="D64" s="20">
        <f t="shared" si="20"/>
        <v>67.280238500205826</v>
      </c>
      <c r="E64" s="20">
        <f t="shared" si="20"/>
        <v>75.77198520159817</v>
      </c>
      <c r="F64" s="20">
        <f t="shared" si="20"/>
        <v>75.77198520159817</v>
      </c>
      <c r="G64" s="20">
        <f t="shared" si="20"/>
        <v>75.77198520159817</v>
      </c>
      <c r="H64" s="20">
        <f t="shared" si="20"/>
        <v>75.77198520159817</v>
      </c>
      <c r="I64" s="20">
        <f t="shared" si="20"/>
        <v>74.716475387070659</v>
      </c>
      <c r="J64" s="20">
        <f t="shared" si="20"/>
        <v>75.77198520159817</v>
      </c>
      <c r="K64" s="20">
        <f>K67*K66*K65*100</f>
        <v>75.77198520159817</v>
      </c>
      <c r="L64" s="20">
        <f>L67*L66*L65*100</f>
        <v>59.844001613340957</v>
      </c>
      <c r="M64" s="20"/>
      <c r="N64" s="20"/>
      <c r="O64" s="20">
        <f>O67*O66*O65*100</f>
        <v>4.0858444433323364E-2</v>
      </c>
      <c r="P64" s="20">
        <f t="shared" si="20"/>
        <v>204.29222216661685</v>
      </c>
    </row>
    <row r="65" spans="1:28" ht="14.45">
      <c r="A65" t="s">
        <v>140</v>
      </c>
      <c r="B65" s="20">
        <f>(2*(B68+B69+B71))+B70</f>
        <v>1.7066666666666668</v>
      </c>
      <c r="C65" s="20">
        <f t="shared" ref="C65:P65" si="21">(2*(C68+C69+C71))+C70</f>
        <v>1.8544999999999998</v>
      </c>
      <c r="D65" s="20">
        <f t="shared" si="21"/>
        <v>1.6466666666666667</v>
      </c>
      <c r="E65" s="20">
        <f t="shared" si="21"/>
        <v>1.8544999999999998</v>
      </c>
      <c r="F65" s="20">
        <f t="shared" si="21"/>
        <v>1.8544999999999998</v>
      </c>
      <c r="G65" s="20">
        <f t="shared" si="21"/>
        <v>1.8544999999999998</v>
      </c>
      <c r="H65" s="20">
        <f t="shared" si="21"/>
        <v>1.8544999999999998</v>
      </c>
      <c r="I65" s="20">
        <f t="shared" si="21"/>
        <v>1.8286666666666667</v>
      </c>
      <c r="J65" s="20">
        <f t="shared" si="21"/>
        <v>1.8544999999999998</v>
      </c>
      <c r="K65" s="20">
        <f t="shared" si="21"/>
        <v>1.8544999999999998</v>
      </c>
      <c r="L65" s="20">
        <f t="shared" si="21"/>
        <v>1.4646666666666668</v>
      </c>
      <c r="M65" s="20"/>
      <c r="N65" s="20"/>
      <c r="O65" s="20">
        <f t="shared" si="21"/>
        <v>1E-3</v>
      </c>
      <c r="P65" s="20">
        <f t="shared" si="21"/>
        <v>5</v>
      </c>
    </row>
    <row r="66" spans="1:28" ht="14.45">
      <c r="A66" t="s">
        <v>141</v>
      </c>
      <c r="B66" s="20">
        <f>Ability!$B$9</f>
        <v>0.54320827892864587</v>
      </c>
      <c r="C66" s="20">
        <f>Ability!$B$9</f>
        <v>0.54320827892864587</v>
      </c>
      <c r="D66" s="20">
        <f>Ability!$B$9</f>
        <v>0.54320827892864587</v>
      </c>
      <c r="E66" s="20">
        <f>Ability!$B$9</f>
        <v>0.54320827892864587</v>
      </c>
      <c r="F66" s="20">
        <f>Ability!$B$9</f>
        <v>0.54320827892864587</v>
      </c>
      <c r="G66" s="20">
        <f>Ability!$B$9</f>
        <v>0.54320827892864587</v>
      </c>
      <c r="H66" s="20">
        <f>Ability!$B$9</f>
        <v>0.54320827892864587</v>
      </c>
      <c r="I66" s="20">
        <f>Ability!$B$9</f>
        <v>0.54320827892864587</v>
      </c>
      <c r="J66" s="20">
        <f>Ability!$B$9</f>
        <v>0.54320827892864587</v>
      </c>
      <c r="K66" s="20">
        <f>Ability!$B$9</f>
        <v>0.54320827892864587</v>
      </c>
      <c r="L66" s="20">
        <f>Ability!$B$9</f>
        <v>0.54320827892864587</v>
      </c>
      <c r="M66" s="20"/>
      <c r="N66" s="20"/>
      <c r="O66" s="20">
        <f>Ability!$B$9</f>
        <v>0.54320827892864587</v>
      </c>
      <c r="P66" s="20">
        <f>Ability!$B$9</f>
        <v>0.54320827892864587</v>
      </c>
    </row>
    <row r="67" spans="1:28" ht="14.45">
      <c r="A67" s="3" t="s">
        <v>142</v>
      </c>
      <c r="B67" s="52">
        <v>0.75216903015372494</v>
      </c>
      <c r="C67" s="53">
        <v>0.75651855225993447</v>
      </c>
      <c r="D67" s="52">
        <v>0.75216903015372505</v>
      </c>
      <c r="E67" s="52">
        <v>0.75216903015372494</v>
      </c>
      <c r="F67" s="52">
        <v>0.75216903015372494</v>
      </c>
      <c r="G67" s="52">
        <v>0.75216903015372494</v>
      </c>
      <c r="H67" s="52">
        <v>0.75216903015372494</v>
      </c>
      <c r="I67" s="52">
        <v>0.75216903015372494</v>
      </c>
      <c r="J67" s="52">
        <v>0.75216903015372494</v>
      </c>
      <c r="K67" s="52">
        <v>0.75216903015372494</v>
      </c>
      <c r="L67" s="52">
        <v>0.75216903015372494</v>
      </c>
      <c r="M67" s="52"/>
      <c r="N67" s="52"/>
      <c r="O67" s="52">
        <v>0.75216903015372494</v>
      </c>
      <c r="P67" s="52">
        <v>0.75216903015372494</v>
      </c>
      <c r="R67" t="s">
        <v>143</v>
      </c>
      <c r="S67" s="4"/>
      <c r="T67" s="6"/>
      <c r="U67" s="3"/>
      <c r="V67" s="3"/>
    </row>
    <row r="68" spans="1:28" ht="14.45">
      <c r="A68" t="s">
        <v>144</v>
      </c>
      <c r="B68" s="87">
        <v>3.7999999999999999E-2</v>
      </c>
      <c r="C68" s="87">
        <v>3.7999999999999999E-2</v>
      </c>
      <c r="D68" s="87">
        <v>3.7999999999999999E-2</v>
      </c>
      <c r="E68" s="87">
        <v>3.7999999999999999E-2</v>
      </c>
      <c r="F68" s="87">
        <v>3.7999999999999999E-2</v>
      </c>
      <c r="G68" s="87">
        <v>3.7999999999999999E-2</v>
      </c>
      <c r="H68" s="87">
        <v>3.7999999999999999E-2</v>
      </c>
      <c r="I68" s="87">
        <v>3.7999999999999999E-2</v>
      </c>
      <c r="J68" s="87">
        <v>3.7999999999999999E-2</v>
      </c>
      <c r="K68" s="87">
        <v>3.7999999999999999E-2</v>
      </c>
      <c r="L68" s="87">
        <v>3.7999999999999999E-2</v>
      </c>
      <c r="M68" s="87"/>
      <c r="N68" s="87"/>
      <c r="O68" s="87">
        <v>0</v>
      </c>
      <c r="P68" s="87">
        <v>0.5</v>
      </c>
      <c r="Q68" s="82" t="s">
        <v>145</v>
      </c>
      <c r="R68" s="88" t="s">
        <v>146</v>
      </c>
      <c r="S68" s="1" t="s">
        <v>147</v>
      </c>
    </row>
    <row r="69" spans="1:28" ht="14.45">
      <c r="A69" t="s">
        <v>148</v>
      </c>
      <c r="B69" s="84">
        <v>0.115</v>
      </c>
      <c r="C69" s="84">
        <v>0.14499999999999999</v>
      </c>
      <c r="D69" s="84">
        <v>0.1</v>
      </c>
      <c r="E69" s="84">
        <v>0.14499999999999999</v>
      </c>
      <c r="F69" s="84">
        <v>0.14499999999999999</v>
      </c>
      <c r="G69" s="84">
        <v>0.14499999999999999</v>
      </c>
      <c r="H69" s="84">
        <v>0.14499999999999999</v>
      </c>
      <c r="I69" s="84">
        <v>0.14499999999999999</v>
      </c>
      <c r="J69" s="84">
        <v>0.14499999999999999</v>
      </c>
      <c r="K69" s="84">
        <v>0.14499999999999999</v>
      </c>
      <c r="L69" s="84">
        <v>5.5E-2</v>
      </c>
      <c r="M69" s="84"/>
      <c r="N69" s="84"/>
      <c r="O69" s="84">
        <v>0</v>
      </c>
      <c r="P69" s="84">
        <v>0.5</v>
      </c>
      <c r="Q69" s="83" t="s">
        <v>149</v>
      </c>
      <c r="R69" s="82" t="s">
        <v>150</v>
      </c>
    </row>
    <row r="70" spans="1:28" ht="14.45">
      <c r="A70" t="s">
        <v>151</v>
      </c>
      <c r="B70" s="169">
        <f>Slaughtering!$C$20</f>
        <v>0.16666666666666666</v>
      </c>
      <c r="C70" s="169">
        <f>Slaughtering!$E$20</f>
        <v>0.1925</v>
      </c>
      <c r="D70" s="169">
        <f>Slaughtering!$G$20</f>
        <v>0.16666666666666666</v>
      </c>
      <c r="E70" s="169">
        <f>Slaughtering!$I$20</f>
        <v>0.1925</v>
      </c>
      <c r="F70" s="169">
        <f>Slaughtering!$K$20</f>
        <v>0.1925</v>
      </c>
      <c r="G70" s="169">
        <f>Slaughtering!$M$20</f>
        <v>0.1925</v>
      </c>
      <c r="H70" s="169">
        <f>Slaughtering!$O$20</f>
        <v>0.1925</v>
      </c>
      <c r="I70" s="169">
        <f>Slaughtering!$Q$20</f>
        <v>0.16666666666666666</v>
      </c>
      <c r="J70" s="169">
        <f>Slaughtering!$S$20</f>
        <v>0.1925</v>
      </c>
      <c r="K70" s="169">
        <f>Slaughtering!$U$20</f>
        <v>0.1925</v>
      </c>
      <c r="L70" s="169">
        <f>Slaughtering!$W$20</f>
        <v>0.16666666666666666</v>
      </c>
      <c r="M70" s="169"/>
      <c r="N70" s="169"/>
      <c r="O70" s="215">
        <v>1E-3</v>
      </c>
      <c r="P70" s="169">
        <v>1</v>
      </c>
      <c r="Q70" s="7" t="s">
        <v>152</v>
      </c>
    </row>
    <row r="71" spans="1:28" ht="14.45">
      <c r="A71" s="149" t="s">
        <v>153</v>
      </c>
      <c r="B71" s="141">
        <v>0.61699999999999999</v>
      </c>
      <c r="C71" s="141">
        <v>0.64800000000000002</v>
      </c>
      <c r="D71" s="141">
        <v>0.60199999999999998</v>
      </c>
      <c r="E71" s="141">
        <v>0.64800000000000002</v>
      </c>
      <c r="F71" s="141">
        <v>0.64800000000000002</v>
      </c>
      <c r="G71" s="141">
        <v>0.64800000000000002</v>
      </c>
      <c r="H71" s="141">
        <v>0.64800000000000002</v>
      </c>
      <c r="I71" s="141">
        <v>0.64800000000000002</v>
      </c>
      <c r="J71" s="141">
        <v>0.64800000000000002</v>
      </c>
      <c r="K71" s="141">
        <v>0.64800000000000002</v>
      </c>
      <c r="L71" s="141">
        <v>0.55600000000000005</v>
      </c>
      <c r="M71" s="84"/>
      <c r="N71" s="84"/>
      <c r="O71" s="84">
        <v>0</v>
      </c>
      <c r="P71" s="84">
        <v>1</v>
      </c>
    </row>
    <row r="72" spans="1:28" s="234" customFormat="1" ht="14.45">
      <c r="A72" s="227"/>
      <c r="B72" s="228">
        <f>B76*((400/365-6/(365*24))*B74+6/(365*24))*B75</f>
        <v>7.0813201346885124E-3</v>
      </c>
      <c r="C72" s="228"/>
      <c r="D72" s="228"/>
      <c r="E72" s="228"/>
      <c r="F72" s="228"/>
      <c r="G72" s="228"/>
      <c r="H72" s="228"/>
      <c r="I72" s="228"/>
      <c r="J72" s="228"/>
      <c r="K72" s="228"/>
      <c r="L72" s="228"/>
      <c r="M72" s="228"/>
      <c r="N72" s="228"/>
      <c r="O72" s="228"/>
      <c r="P72" s="228"/>
      <c r="Q72" s="227"/>
      <c r="R72" s="229"/>
      <c r="S72" s="230"/>
      <c r="T72" s="231"/>
      <c r="U72" s="227"/>
      <c r="V72" s="232"/>
      <c r="W72" s="233"/>
      <c r="X72" s="233"/>
      <c r="Y72" s="233"/>
      <c r="Z72" s="233"/>
      <c r="AA72" s="233"/>
      <c r="AB72" s="233"/>
    </row>
    <row r="73" spans="1:28" ht="14.45">
      <c r="A73" t="s">
        <v>154</v>
      </c>
      <c r="B73" s="20">
        <f>B76*B75*B74*100</f>
        <v>0.64637504669244505</v>
      </c>
      <c r="C73" s="20">
        <f t="shared" ref="C73:P73" si="22">C76*C75*C74*100</f>
        <v>0.6584023268581618</v>
      </c>
      <c r="D73" s="20">
        <f t="shared" si="22"/>
        <v>0.65913664682457618</v>
      </c>
      <c r="E73" s="20">
        <f t="shared" si="22"/>
        <v>0.65461691344444639</v>
      </c>
      <c r="F73" s="20">
        <f t="shared" si="22"/>
        <v>0.64185531331231527</v>
      </c>
      <c r="G73" s="20">
        <f t="shared" si="22"/>
        <v>0.65461691344444639</v>
      </c>
      <c r="H73" s="20">
        <f t="shared" si="22"/>
        <v>0.65461691344444639</v>
      </c>
      <c r="I73" s="20">
        <f t="shared" si="22"/>
        <v>0.65913664682457618</v>
      </c>
      <c r="J73" s="20">
        <f t="shared" si="22"/>
        <v>0.64185531331231527</v>
      </c>
      <c r="K73" s="20">
        <f t="shared" si="22"/>
        <v>0.64185531331231527</v>
      </c>
      <c r="L73" s="20">
        <f t="shared" si="22"/>
        <v>0.65913664682457618</v>
      </c>
      <c r="M73" s="20"/>
      <c r="N73" s="20"/>
      <c r="O73" s="200">
        <f t="shared" si="22"/>
        <v>3.1904000330327994E-4</v>
      </c>
      <c r="P73" s="20">
        <f t="shared" si="22"/>
        <v>1.5952000165163995</v>
      </c>
    </row>
    <row r="74" spans="1:28" ht="14.45">
      <c r="A74" t="s">
        <v>155</v>
      </c>
      <c r="B74" s="20">
        <f>(2*(B77+B78+B80))+B79</f>
        <v>2.0259999999999998</v>
      </c>
      <c r="C74" s="20">
        <f t="shared" ref="C74:P74" si="23">(2*(C77+C78+C80))+C79</f>
        <v>2.0518333333333332</v>
      </c>
      <c r="D74" s="20">
        <f t="shared" si="23"/>
        <v>2.0659999999999998</v>
      </c>
      <c r="E74" s="20">
        <f t="shared" si="23"/>
        <v>2.0518333333333332</v>
      </c>
      <c r="F74" s="20">
        <f t="shared" si="23"/>
        <v>2.0118333333333331</v>
      </c>
      <c r="G74" s="20">
        <f t="shared" si="23"/>
        <v>2.0518333333333332</v>
      </c>
      <c r="H74" s="20">
        <f t="shared" si="23"/>
        <v>2.0518333333333332</v>
      </c>
      <c r="I74" s="20">
        <f t="shared" si="23"/>
        <v>2.0659999999999998</v>
      </c>
      <c r="J74" s="20">
        <f t="shared" si="23"/>
        <v>2.0118333333333331</v>
      </c>
      <c r="K74" s="20">
        <f t="shared" si="23"/>
        <v>2.0118333333333331</v>
      </c>
      <c r="L74" s="20">
        <f t="shared" si="23"/>
        <v>2.0659999999999998</v>
      </c>
      <c r="M74" s="20"/>
      <c r="N74" s="20"/>
      <c r="O74" s="20">
        <f t="shared" si="23"/>
        <v>1E-3</v>
      </c>
      <c r="P74" s="20">
        <f t="shared" si="23"/>
        <v>5</v>
      </c>
    </row>
    <row r="75" spans="1:28" ht="14.45">
      <c r="A75" t="s">
        <v>156</v>
      </c>
      <c r="B75" s="20">
        <f>Ability!$B$8</f>
        <v>0.58534077701729459</v>
      </c>
      <c r="C75" s="20">
        <f>Ability!$B$8</f>
        <v>0.58534077701729459</v>
      </c>
      <c r="D75" s="20">
        <f>Ability!$B$8</f>
        <v>0.58534077701729459</v>
      </c>
      <c r="E75" s="20">
        <f>Ability!$B$8</f>
        <v>0.58534077701729459</v>
      </c>
      <c r="F75" s="20">
        <f>Ability!$B$8</f>
        <v>0.58534077701729459</v>
      </c>
      <c r="G75" s="20">
        <f>Ability!$B$8</f>
        <v>0.58534077701729459</v>
      </c>
      <c r="H75" s="20">
        <f>Ability!$B$8</f>
        <v>0.58534077701729459</v>
      </c>
      <c r="I75" s="20">
        <f>Ability!$B$8</f>
        <v>0.58534077701729459</v>
      </c>
      <c r="J75" s="20">
        <f>Ability!$B$8</f>
        <v>0.58534077701729459</v>
      </c>
      <c r="K75" s="20">
        <f>Ability!$B$8</f>
        <v>0.58534077701729459</v>
      </c>
      <c r="L75" s="20">
        <f>Ability!$B$8</f>
        <v>0.58534077701729459</v>
      </c>
      <c r="M75" s="20"/>
      <c r="N75" s="20"/>
      <c r="O75" s="20">
        <f>Ability!$B$8</f>
        <v>0.58534077701729459</v>
      </c>
      <c r="P75" s="20">
        <f>Ability!$B$8</f>
        <v>0.58534077701729459</v>
      </c>
    </row>
    <row r="76" spans="1:28" ht="14.45">
      <c r="A76" s="3" t="s">
        <v>157</v>
      </c>
      <c r="B76" s="52">
        <v>5.4505002185052534E-3</v>
      </c>
      <c r="C76" s="52">
        <v>5.4820184946372062E-3</v>
      </c>
      <c r="D76" s="52">
        <v>5.4505002185052534E-3</v>
      </c>
      <c r="E76" s="52">
        <v>5.4505002185052534E-3</v>
      </c>
      <c r="F76" s="52">
        <v>5.4505002185052534E-3</v>
      </c>
      <c r="G76" s="52">
        <v>5.4505002185052534E-3</v>
      </c>
      <c r="H76" s="52">
        <v>5.4505002185052534E-3</v>
      </c>
      <c r="I76" s="52">
        <v>5.4505002185052534E-3</v>
      </c>
      <c r="J76" s="52">
        <v>5.4505002185052534E-3</v>
      </c>
      <c r="K76" s="52">
        <v>5.4505002185052534E-3</v>
      </c>
      <c r="L76" s="52">
        <v>5.4505002185052534E-3</v>
      </c>
      <c r="M76" s="52"/>
      <c r="N76" s="52"/>
      <c r="O76" s="52">
        <v>5.4505002185052534E-3</v>
      </c>
      <c r="P76" s="52">
        <v>5.4505002185052534E-3</v>
      </c>
      <c r="R76" t="s">
        <v>143</v>
      </c>
    </row>
    <row r="77" spans="1:28" ht="14.45">
      <c r="A77" t="s">
        <v>158</v>
      </c>
      <c r="B77" s="84">
        <v>0.06</v>
      </c>
      <c r="C77" s="84">
        <v>0.06</v>
      </c>
      <c r="D77" s="84">
        <v>0.06</v>
      </c>
      <c r="E77" s="84">
        <v>0.06</v>
      </c>
      <c r="F77" s="84">
        <v>0.06</v>
      </c>
      <c r="G77" s="84">
        <v>0.06</v>
      </c>
      <c r="H77" s="84">
        <v>0.06</v>
      </c>
      <c r="I77" s="84">
        <v>0.06</v>
      </c>
      <c r="J77" s="84">
        <v>0.06</v>
      </c>
      <c r="K77" s="84">
        <v>0.06</v>
      </c>
      <c r="L77" s="84">
        <v>0.06</v>
      </c>
      <c r="M77" s="84"/>
      <c r="N77" s="84"/>
      <c r="O77" s="84">
        <v>0</v>
      </c>
      <c r="P77" s="84">
        <v>0.5</v>
      </c>
      <c r="Q77" s="82" t="s">
        <v>159</v>
      </c>
      <c r="R77" s="89" t="s">
        <v>160</v>
      </c>
    </row>
    <row r="78" spans="1:28" ht="14.45">
      <c r="A78" t="s">
        <v>161</v>
      </c>
      <c r="B78" s="84">
        <v>0.44</v>
      </c>
      <c r="C78" s="84">
        <v>0.44</v>
      </c>
      <c r="D78" s="84">
        <v>0.46</v>
      </c>
      <c r="E78" s="86">
        <v>0.44</v>
      </c>
      <c r="F78" s="84">
        <v>0.42</v>
      </c>
      <c r="G78" s="84">
        <v>0.44</v>
      </c>
      <c r="H78" s="84">
        <v>0.44</v>
      </c>
      <c r="I78" s="84">
        <v>0.46</v>
      </c>
      <c r="J78" s="84">
        <v>0.42</v>
      </c>
      <c r="K78" s="84">
        <v>0.42</v>
      </c>
      <c r="L78" s="84">
        <v>0.46</v>
      </c>
      <c r="M78" s="84"/>
      <c r="N78" s="84"/>
      <c r="O78" s="84">
        <v>0</v>
      </c>
      <c r="P78" s="84">
        <v>0.5</v>
      </c>
      <c r="Q78" s="82" t="s">
        <v>162</v>
      </c>
      <c r="R78" s="82" t="s">
        <v>39</v>
      </c>
    </row>
    <row r="79" spans="1:28" ht="14.45">
      <c r="A79" t="s">
        <v>163</v>
      </c>
      <c r="B79" s="55">
        <f>Slaughtering!$C$8</f>
        <v>0.25</v>
      </c>
      <c r="C79" s="55">
        <f>Slaughtering!$E$8</f>
        <v>0.27583333333333332</v>
      </c>
      <c r="D79" s="55">
        <f>Slaughtering!$G$8</f>
        <v>0.25</v>
      </c>
      <c r="E79" s="55">
        <f>Slaughtering!$I$8</f>
        <v>0.27583333333333332</v>
      </c>
      <c r="F79" s="55">
        <f>Slaughtering!$K$8</f>
        <v>0.27583333333333332</v>
      </c>
      <c r="G79" s="55">
        <f>Slaughtering!$M$8</f>
        <v>0.27583333333333332</v>
      </c>
      <c r="H79" s="55">
        <f>Slaughtering!$O$8</f>
        <v>0.27583333333333332</v>
      </c>
      <c r="I79" s="55">
        <f>Slaughtering!$Q$8</f>
        <v>0.25</v>
      </c>
      <c r="J79" s="55">
        <f>Slaughtering!$S$8</f>
        <v>0.27583333333333332</v>
      </c>
      <c r="K79" s="55">
        <f>Slaughtering!$U$8</f>
        <v>0.27583333333333332</v>
      </c>
      <c r="L79" s="55">
        <f>Slaughtering!$W$8</f>
        <v>0.25</v>
      </c>
      <c r="M79" s="55"/>
      <c r="N79" s="55"/>
      <c r="O79" s="20">
        <v>1E-3</v>
      </c>
      <c r="P79" s="55">
        <v>1</v>
      </c>
    </row>
    <row r="80" spans="1:28" ht="14.45">
      <c r="A80" s="149" t="s">
        <v>164</v>
      </c>
      <c r="B80" s="141">
        <v>0.38800000000000001</v>
      </c>
      <c r="C80" s="141">
        <v>0.38800000000000001</v>
      </c>
      <c r="D80" s="141">
        <v>0.38800000000000001</v>
      </c>
      <c r="E80" s="141">
        <v>0.38800000000000001</v>
      </c>
      <c r="F80" s="141">
        <v>0.38800000000000001</v>
      </c>
      <c r="G80" s="141">
        <v>0.38800000000000001</v>
      </c>
      <c r="H80" s="141">
        <v>0.38800000000000001</v>
      </c>
      <c r="I80" s="141">
        <v>0.38800000000000001</v>
      </c>
      <c r="J80" s="141">
        <v>0.38800000000000001</v>
      </c>
      <c r="K80" s="141">
        <v>0.38800000000000001</v>
      </c>
      <c r="L80" s="141">
        <v>0.38800000000000001</v>
      </c>
      <c r="M80" s="84"/>
      <c r="N80" s="84"/>
      <c r="O80" s="84">
        <v>0</v>
      </c>
      <c r="P80" s="84">
        <v>1</v>
      </c>
    </row>
    <row r="81" spans="1:70" s="7" customFormat="1" ht="14.45">
      <c r="A81" s="216" t="s">
        <v>165</v>
      </c>
      <c r="B81" s="217">
        <f>B82+B90</f>
        <v>3.7603024624306398</v>
      </c>
      <c r="C81" s="217">
        <f t="shared" ref="C81:P81" si="24">C82+C90</f>
        <v>3.8528813937224173</v>
      </c>
      <c r="D81" s="217">
        <f t="shared" si="24"/>
        <v>3.658512280664648</v>
      </c>
      <c r="E81" s="217">
        <f t="shared" si="24"/>
        <v>3.7782569595637128</v>
      </c>
      <c r="F81" s="217">
        <f t="shared" si="24"/>
        <v>3.6643868424530748</v>
      </c>
      <c r="G81" s="217">
        <f t="shared" si="24"/>
        <v>3.6547804586127444</v>
      </c>
      <c r="H81" s="217">
        <f t="shared" si="24"/>
        <v>2.9314832390092738</v>
      </c>
      <c r="I81" s="217">
        <f t="shared" si="24"/>
        <v>3.521250969971935</v>
      </c>
      <c r="J81" s="217">
        <f t="shared" si="24"/>
        <v>3.7782569595637128</v>
      </c>
      <c r="K81" s="217">
        <f t="shared" si="24"/>
        <v>3.9766058701166638</v>
      </c>
      <c r="L81" s="217">
        <f t="shared" si="24"/>
        <v>2.8930738532209359</v>
      </c>
      <c r="M81" s="217"/>
      <c r="N81" s="217"/>
      <c r="O81" s="217">
        <f t="shared" si="24"/>
        <v>1.6425917132724729E-3</v>
      </c>
      <c r="P81" s="217">
        <f t="shared" si="24"/>
        <v>8.5277171267644807</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row>
    <row r="82" spans="1:70" ht="14.45">
      <c r="A82" s="3" t="s">
        <v>166</v>
      </c>
      <c r="B82" s="20">
        <f>B85*B84*B83*100</f>
        <v>3.6384965381974435</v>
      </c>
      <c r="C82" s="20">
        <f t="shared" ref="C82:P82" si="25">C85*C84*C83*100</f>
        <v>3.709650030807949</v>
      </c>
      <c r="D82" s="20">
        <f t="shared" si="25"/>
        <v>3.5248383938629058</v>
      </c>
      <c r="E82" s="20">
        <f t="shared" si="25"/>
        <v>3.6342087684782567</v>
      </c>
      <c r="F82" s="20">
        <f t="shared" si="25"/>
        <v>3.5271813898258411</v>
      </c>
      <c r="G82" s="20">
        <f t="shared" si="25"/>
        <v>3.5111882005194412</v>
      </c>
      <c r="H82" s="20">
        <f t="shared" si="25"/>
        <v>2.800298884578706</v>
      </c>
      <c r="I82" s="20">
        <f t="shared" si="25"/>
        <v>3.3963391439455788</v>
      </c>
      <c r="J82" s="20">
        <f t="shared" si="25"/>
        <v>3.6342087684782567</v>
      </c>
      <c r="K82" s="20">
        <f t="shared" si="25"/>
        <v>3.8159246154538597</v>
      </c>
      <c r="L82" s="20">
        <f t="shared" si="25"/>
        <v>2.7700098519643994</v>
      </c>
      <c r="M82" s="20"/>
      <c r="N82" s="20"/>
      <c r="O82" s="20">
        <f t="shared" si="25"/>
        <v>1.5572666315674453E-3</v>
      </c>
      <c r="P82" s="20">
        <f t="shared" si="25"/>
        <v>8.0062860719004245</v>
      </c>
    </row>
    <row r="83" spans="1:70" ht="14.45">
      <c r="A83" s="101" t="s">
        <v>167</v>
      </c>
      <c r="B83" s="20">
        <f>(2*(B86+B87+B89))+B88</f>
        <v>2.2759999999999998</v>
      </c>
      <c r="C83" s="20">
        <f t="shared" ref="C83:P83" si="26">(2*(C86+C87+C89))+C88</f>
        <v>2.3273333333333333</v>
      </c>
      <c r="D83" s="20">
        <f t="shared" si="26"/>
        <v>2.234</v>
      </c>
      <c r="E83" s="20">
        <f t="shared" si="26"/>
        <v>2.2993333333333332</v>
      </c>
      <c r="F83" s="20">
        <f t="shared" si="26"/>
        <v>2.2273333333333336</v>
      </c>
      <c r="G83" s="20">
        <f t="shared" si="26"/>
        <v>2.2333333333333334</v>
      </c>
      <c r="H83" s="20">
        <f t="shared" si="26"/>
        <v>2.2893333333333334</v>
      </c>
      <c r="I83" s="20">
        <f t="shared" si="26"/>
        <v>2.1579999999999999</v>
      </c>
      <c r="J83" s="20">
        <f t="shared" si="26"/>
        <v>2.2993333333333332</v>
      </c>
      <c r="K83" s="20">
        <f t="shared" si="26"/>
        <v>2.3853333333333335</v>
      </c>
      <c r="L83" s="20">
        <f t="shared" si="26"/>
        <v>1.7759999999999998</v>
      </c>
      <c r="M83" s="20"/>
      <c r="N83" s="20"/>
      <c r="O83" s="20">
        <f t="shared" si="26"/>
        <v>1E-3</v>
      </c>
      <c r="P83" s="20">
        <f t="shared" si="26"/>
        <v>5</v>
      </c>
    </row>
    <row r="84" spans="1:70" ht="14.45">
      <c r="A84" t="s">
        <v>168</v>
      </c>
      <c r="B84" s="20">
        <f>Ability!$B$10</f>
        <v>0.87981165625279378</v>
      </c>
      <c r="C84" s="20">
        <f>Ability!$B$10</f>
        <v>0.87981165625279378</v>
      </c>
      <c r="D84" s="20">
        <f>Ability!$B$10</f>
        <v>0.87981165625279378</v>
      </c>
      <c r="E84" s="20">
        <f>Ability!$B$10</f>
        <v>0.87981165625279378</v>
      </c>
      <c r="F84" s="20">
        <f>Ability!$B$10</f>
        <v>0.87981165625279378</v>
      </c>
      <c r="G84" s="20">
        <f>Ability!$B$10</f>
        <v>0.87981165625279378</v>
      </c>
      <c r="H84" s="20">
        <f>Ability!$B$10</f>
        <v>0.87981165625279378</v>
      </c>
      <c r="I84" s="20">
        <f>Ability!$B$10</f>
        <v>0.87981165625279378</v>
      </c>
      <c r="J84" s="20">
        <f>Ability!$B$10</f>
        <v>0.87981165625279378</v>
      </c>
      <c r="K84" s="20">
        <f>Ability!$B$10</f>
        <v>0.87981165625279378</v>
      </c>
      <c r="L84" s="20">
        <f>Ability!$B$10</f>
        <v>0.87981165625279378</v>
      </c>
      <c r="M84" s="20"/>
      <c r="N84" s="20"/>
      <c r="O84" s="20">
        <f>Ability!$B$10</f>
        <v>0.87981165625279378</v>
      </c>
      <c r="P84" s="20">
        <f>Ability!$B$10</f>
        <v>0.87981165625279378</v>
      </c>
    </row>
    <row r="85" spans="1:70" ht="14.45">
      <c r="A85" s="3" t="s">
        <v>169</v>
      </c>
      <c r="B85" s="59">
        <v>1.81702121013212E-2</v>
      </c>
      <c r="C85" s="59">
        <v>1.8116931359148457E-2</v>
      </c>
      <c r="D85" s="59">
        <v>1.7933552565197779E-2</v>
      </c>
      <c r="E85" s="59">
        <v>1.7964627858546044E-2</v>
      </c>
      <c r="F85" s="59">
        <v>1.7999186060066438E-2</v>
      </c>
      <c r="G85" s="59">
        <v>1.7869436145278569E-2</v>
      </c>
      <c r="H85" s="59">
        <v>1.3902907848700446E-2</v>
      </c>
      <c r="I85" s="59">
        <v>1.7888334146650121E-2</v>
      </c>
      <c r="J85" s="59">
        <v>1.7964627858546047E-2</v>
      </c>
      <c r="K85" s="59">
        <v>1.8182809885212182E-2</v>
      </c>
      <c r="L85" s="59">
        <v>1.7727546809334332E-2</v>
      </c>
      <c r="M85" s="59"/>
      <c r="N85" s="59"/>
      <c r="O85" s="59">
        <v>1.77E-2</v>
      </c>
      <c r="P85" s="59">
        <v>1.8200000000000001E-2</v>
      </c>
      <c r="R85" t="s">
        <v>170</v>
      </c>
    </row>
    <row r="86" spans="1:70" ht="14.45">
      <c r="A86" s="3" t="s">
        <v>171</v>
      </c>
      <c r="B86" s="85">
        <v>0.22800000000000001</v>
      </c>
      <c r="C86" s="85">
        <v>0.21199999999999999</v>
      </c>
      <c r="D86" s="85">
        <v>0.20699999999999999</v>
      </c>
      <c r="E86" s="83">
        <v>0.19800000000000001</v>
      </c>
      <c r="F86" s="83">
        <v>0.16200000000000001</v>
      </c>
      <c r="G86" s="85">
        <v>0.16500000000000001</v>
      </c>
      <c r="H86" s="85">
        <v>0.193</v>
      </c>
      <c r="I86" s="83">
        <v>0.16900000000000001</v>
      </c>
      <c r="J86" s="83">
        <v>0.19800000000000001</v>
      </c>
      <c r="K86" s="85">
        <v>0.24099999999999999</v>
      </c>
      <c r="L86" s="85">
        <v>0.20599999999999999</v>
      </c>
      <c r="M86" s="85"/>
      <c r="N86" s="85"/>
      <c r="O86" s="85">
        <v>0</v>
      </c>
      <c r="P86" s="85">
        <v>0.5</v>
      </c>
      <c r="Q86" s="82" t="s">
        <v>172</v>
      </c>
      <c r="R86" t="s">
        <v>173</v>
      </c>
      <c r="S86" s="1" t="s">
        <v>174</v>
      </c>
    </row>
    <row r="87" spans="1:70" ht="14.45">
      <c r="A87" s="3" t="s">
        <v>175</v>
      </c>
      <c r="B87" s="84">
        <v>0.15</v>
      </c>
      <c r="C87" s="84">
        <v>0.15</v>
      </c>
      <c r="D87" s="84">
        <v>0.15</v>
      </c>
      <c r="E87" s="84">
        <v>0.15</v>
      </c>
      <c r="F87" s="84">
        <v>0.15</v>
      </c>
      <c r="G87" s="84">
        <v>0.15</v>
      </c>
      <c r="H87" s="84">
        <v>0.15</v>
      </c>
      <c r="I87" s="84">
        <v>0.15</v>
      </c>
      <c r="J87" s="84">
        <v>0.15</v>
      </c>
      <c r="K87" s="84">
        <v>0.15</v>
      </c>
      <c r="L87" s="84">
        <v>0.15</v>
      </c>
      <c r="M87" s="84"/>
      <c r="N87" s="84"/>
      <c r="O87" s="84">
        <v>0</v>
      </c>
      <c r="P87" s="84">
        <v>0.5</v>
      </c>
      <c r="Q87" s="83" t="s">
        <v>176</v>
      </c>
      <c r="W87" s="1"/>
    </row>
    <row r="88" spans="1:70" ht="14.45">
      <c r="A88" s="3" t="s">
        <v>177</v>
      </c>
      <c r="B88" s="55">
        <f>Slaughtering!$C$9</f>
        <v>0.25</v>
      </c>
      <c r="C88" s="55">
        <f>Slaughtering!$E$9</f>
        <v>0.33333333333333331</v>
      </c>
      <c r="D88" s="55">
        <f>Slaughtering!$G$9</f>
        <v>0.25</v>
      </c>
      <c r="E88" s="55">
        <f>Slaughtering!$I$9</f>
        <v>0.33333333333333331</v>
      </c>
      <c r="F88" s="55">
        <f>Slaughtering!$K$9</f>
        <v>0.33333333333333331</v>
      </c>
      <c r="G88" s="55">
        <f>Slaughtering!$M$9</f>
        <v>0.33333333333333331</v>
      </c>
      <c r="H88" s="55">
        <f>Slaughtering!$O$9</f>
        <v>0.33333333333333331</v>
      </c>
      <c r="I88" s="55">
        <f>Slaughtering!$Q$9</f>
        <v>0.25</v>
      </c>
      <c r="J88" s="55">
        <f>Slaughtering!$S$9</f>
        <v>0.33333333333333331</v>
      </c>
      <c r="K88" s="55">
        <f>Slaughtering!$U$9</f>
        <v>0.33333333333333331</v>
      </c>
      <c r="L88" s="55">
        <f>Slaughtering!$W$9</f>
        <v>0.25</v>
      </c>
      <c r="M88" s="55"/>
      <c r="N88" s="55"/>
      <c r="O88" s="20">
        <v>1E-3</v>
      </c>
      <c r="P88" s="55">
        <v>1</v>
      </c>
      <c r="Q88" s="1"/>
      <c r="R88" s="1"/>
      <c r="S88" s="1"/>
    </row>
    <row r="89" spans="1:70" ht="14.45">
      <c r="A89" s="148" t="s">
        <v>178</v>
      </c>
      <c r="B89" s="51">
        <v>0.63500000000000001</v>
      </c>
      <c r="C89" s="51">
        <v>0.63500000000000001</v>
      </c>
      <c r="D89" s="51">
        <v>0.63500000000000001</v>
      </c>
      <c r="E89" s="51">
        <v>0.63500000000000001</v>
      </c>
      <c r="F89" s="51">
        <v>0.63500000000000001</v>
      </c>
      <c r="G89" s="51">
        <v>0.63500000000000001</v>
      </c>
      <c r="H89" s="51">
        <v>0.63500000000000001</v>
      </c>
      <c r="I89" s="51">
        <v>0.63500000000000001</v>
      </c>
      <c r="J89" s="51">
        <v>0.63500000000000001</v>
      </c>
      <c r="K89" s="51">
        <v>0.63500000000000001</v>
      </c>
      <c r="L89" s="51">
        <v>0.40699999999999997</v>
      </c>
      <c r="M89" s="38"/>
      <c r="N89" s="38"/>
      <c r="O89" s="38">
        <v>0</v>
      </c>
      <c r="P89" s="38">
        <v>1</v>
      </c>
    </row>
    <row r="90" spans="1:70" ht="14.45">
      <c r="A90" s="3" t="s">
        <v>179</v>
      </c>
      <c r="B90" s="20">
        <f>B93*B92*B91*100</f>
        <v>0.12180592423319622</v>
      </c>
      <c r="C90" s="20">
        <f t="shared" ref="C90:P90" si="27">C93*C92*C91*100</f>
        <v>0.14323136291446853</v>
      </c>
      <c r="D90" s="20">
        <f t="shared" si="27"/>
        <v>0.13367388680174225</v>
      </c>
      <c r="E90" s="20">
        <f t="shared" si="27"/>
        <v>0.14404819108545602</v>
      </c>
      <c r="F90" s="20">
        <f t="shared" si="27"/>
        <v>0.13720545262723349</v>
      </c>
      <c r="G90" s="20">
        <f t="shared" si="27"/>
        <v>0.14359225809330295</v>
      </c>
      <c r="H90" s="20">
        <f t="shared" si="27"/>
        <v>0.13118435443056772</v>
      </c>
      <c r="I90" s="20">
        <f t="shared" si="27"/>
        <v>0.12491182602635634</v>
      </c>
      <c r="J90" s="20">
        <f t="shared" si="27"/>
        <v>0.14404819108545602</v>
      </c>
      <c r="K90" s="20">
        <f t="shared" si="27"/>
        <v>0.16068125466280392</v>
      </c>
      <c r="L90" s="20">
        <f t="shared" si="27"/>
        <v>0.12306400125653631</v>
      </c>
      <c r="M90" s="20"/>
      <c r="N90" s="20"/>
      <c r="O90" s="20">
        <f t="shared" si="27"/>
        <v>8.5325081705027456E-5</v>
      </c>
      <c r="P90" s="20">
        <f t="shared" si="27"/>
        <v>0.52143105486405672</v>
      </c>
    </row>
    <row r="91" spans="1:70" ht="14.45">
      <c r="A91" s="101" t="s">
        <v>180</v>
      </c>
      <c r="B91" s="20">
        <f>(2*(B94+B95+B97))+B96</f>
        <v>1.456</v>
      </c>
      <c r="C91" s="20">
        <f t="shared" ref="C91:P91" si="28">(2*(C94+C95+C97))+C96</f>
        <v>1.5393333333333332</v>
      </c>
      <c r="D91" s="20">
        <f t="shared" si="28"/>
        <v>1.456</v>
      </c>
      <c r="E91" s="20">
        <f t="shared" si="28"/>
        <v>1.5393333333333332</v>
      </c>
      <c r="F91" s="20">
        <f t="shared" si="28"/>
        <v>1.5393333333333332</v>
      </c>
      <c r="G91" s="20">
        <f t="shared" si="28"/>
        <v>1.5393333333333332</v>
      </c>
      <c r="H91" s="20">
        <f t="shared" si="28"/>
        <v>1.5393333333333332</v>
      </c>
      <c r="I91" s="20">
        <f t="shared" si="28"/>
        <v>1.456</v>
      </c>
      <c r="J91" s="20">
        <f t="shared" si="28"/>
        <v>1.5393333333333332</v>
      </c>
      <c r="K91" s="20">
        <f t="shared" si="28"/>
        <v>1.5393333333333332</v>
      </c>
      <c r="L91" s="20">
        <f t="shared" si="28"/>
        <v>1.258</v>
      </c>
      <c r="M91" s="20"/>
      <c r="N91" s="20"/>
      <c r="O91" s="20">
        <f t="shared" si="28"/>
        <v>1E-3</v>
      </c>
      <c r="P91" s="20">
        <f t="shared" si="28"/>
        <v>5</v>
      </c>
    </row>
    <row r="92" spans="1:70" s="21" customFormat="1" ht="14.45">
      <c r="A92" s="101" t="s">
        <v>181</v>
      </c>
      <c r="B92" s="20">
        <f>Ability!$B$11</f>
        <v>0.94805646338919392</v>
      </c>
      <c r="C92" s="20">
        <f>Ability!$B$11</f>
        <v>0.94805646338919392</v>
      </c>
      <c r="D92" s="20">
        <f>Ability!$B$11</f>
        <v>0.94805646338919392</v>
      </c>
      <c r="E92" s="20">
        <f>Ability!$B$11</f>
        <v>0.94805646338919392</v>
      </c>
      <c r="F92" s="20">
        <f>Ability!$B$11</f>
        <v>0.94805646338919392</v>
      </c>
      <c r="G92" s="20">
        <f>Ability!$B$11</f>
        <v>0.94805646338919392</v>
      </c>
      <c r="H92" s="20">
        <f>Ability!$B$11</f>
        <v>0.94805646338919392</v>
      </c>
      <c r="I92" s="20">
        <f>Ability!$B$11</f>
        <v>0.94805646338919392</v>
      </c>
      <c r="J92" s="20">
        <f>Ability!$B$11</f>
        <v>0.94805646338919392</v>
      </c>
      <c r="K92" s="20">
        <f>Ability!$B$11</f>
        <v>0.94805646338919392</v>
      </c>
      <c r="L92" s="20">
        <f>Ability!$B$11</f>
        <v>0.94805646338919392</v>
      </c>
      <c r="M92" s="20"/>
      <c r="N92" s="20"/>
      <c r="O92" s="20">
        <f>Ability!$B$11</f>
        <v>0.94805646338919392</v>
      </c>
      <c r="P92" s="20">
        <f>Ability!$B$11</f>
        <v>0.94805646338919392</v>
      </c>
    </row>
    <row r="93" spans="1:70" ht="14.45">
      <c r="A93" t="s">
        <v>182</v>
      </c>
      <c r="B93" s="189">
        <v>8.824149006511655E-4</v>
      </c>
      <c r="C93" s="189">
        <v>9.8145693300868107E-4</v>
      </c>
      <c r="D93" s="189">
        <v>9.6839156456782237E-4</v>
      </c>
      <c r="E93" s="189">
        <v>9.8705404285375897E-4</v>
      </c>
      <c r="F93" s="189">
        <v>9.4016589654324684E-4</v>
      </c>
      <c r="G93" s="189">
        <v>9.8392987656063173E-4</v>
      </c>
      <c r="H93" s="189">
        <v>8.9890783371958621E-4</v>
      </c>
      <c r="I93" s="189">
        <v>9.0491539920652803E-4</v>
      </c>
      <c r="J93" s="189">
        <v>9.8705404285375875E-4</v>
      </c>
      <c r="K93" s="189">
        <v>1.1010279326010108E-3</v>
      </c>
      <c r="L93" s="189">
        <v>1.0318490935234677E-3</v>
      </c>
      <c r="M93" s="59"/>
      <c r="N93" s="59"/>
      <c r="O93" s="59">
        <v>8.9999999999999998E-4</v>
      </c>
      <c r="P93" s="59">
        <v>1.1000000000000001E-3</v>
      </c>
      <c r="R93" t="s">
        <v>170</v>
      </c>
    </row>
    <row r="94" spans="1:70" ht="14.45">
      <c r="A94" s="3" t="s">
        <v>183</v>
      </c>
      <c r="B94" s="38">
        <v>3.4000000000000002E-2</v>
      </c>
      <c r="C94" s="38">
        <v>3.4000000000000002E-2</v>
      </c>
      <c r="D94" s="38">
        <v>3.4000000000000002E-2</v>
      </c>
      <c r="E94" s="38">
        <v>3.4000000000000002E-2</v>
      </c>
      <c r="F94" s="38">
        <v>3.4000000000000002E-2</v>
      </c>
      <c r="G94" s="38">
        <v>3.4000000000000002E-2</v>
      </c>
      <c r="H94" s="38">
        <v>3.4000000000000002E-2</v>
      </c>
      <c r="I94" s="38">
        <v>3.4000000000000002E-2</v>
      </c>
      <c r="J94" s="38">
        <v>3.4000000000000002E-2</v>
      </c>
      <c r="K94" s="38">
        <v>3.4000000000000002E-2</v>
      </c>
      <c r="L94" s="38">
        <v>3.4000000000000002E-2</v>
      </c>
      <c r="M94" s="38"/>
      <c r="N94" s="38"/>
      <c r="O94" s="38">
        <v>0</v>
      </c>
      <c r="P94" s="38">
        <v>0.5</v>
      </c>
      <c r="Q94" s="82" t="s">
        <v>184</v>
      </c>
      <c r="R94" s="82" t="s">
        <v>185</v>
      </c>
      <c r="S94" t="s">
        <v>186</v>
      </c>
    </row>
    <row r="95" spans="1:70" ht="14.45">
      <c r="A95" s="3" t="s">
        <v>187</v>
      </c>
      <c r="B95" s="84">
        <v>0.15</v>
      </c>
      <c r="C95" s="84">
        <v>0.15</v>
      </c>
      <c r="D95" s="84">
        <v>0.15</v>
      </c>
      <c r="E95" s="84">
        <v>0.15</v>
      </c>
      <c r="F95" s="84">
        <v>0.15</v>
      </c>
      <c r="G95" s="84">
        <v>0.15</v>
      </c>
      <c r="H95" s="84">
        <v>0.15</v>
      </c>
      <c r="I95" s="84">
        <v>0.15</v>
      </c>
      <c r="J95" s="84">
        <v>0.15</v>
      </c>
      <c r="K95" s="84">
        <v>0.15</v>
      </c>
      <c r="L95" s="84">
        <v>0.15</v>
      </c>
      <c r="M95" s="84"/>
      <c r="N95" s="84"/>
      <c r="O95" s="84">
        <v>0</v>
      </c>
      <c r="P95" s="84">
        <v>0.5</v>
      </c>
      <c r="Q95" s="82" t="s">
        <v>188</v>
      </c>
      <c r="R95" s="82" t="s">
        <v>189</v>
      </c>
    </row>
    <row r="96" spans="1:70" ht="14.45">
      <c r="A96" s="3" t="s">
        <v>190</v>
      </c>
      <c r="B96" s="55">
        <f>Slaughtering!$C$9</f>
        <v>0.25</v>
      </c>
      <c r="C96" s="55">
        <f>Slaughtering!$E$9</f>
        <v>0.33333333333333331</v>
      </c>
      <c r="D96" s="55">
        <f>Slaughtering!$G$9</f>
        <v>0.25</v>
      </c>
      <c r="E96" s="55">
        <f>Slaughtering!$I$9</f>
        <v>0.33333333333333331</v>
      </c>
      <c r="F96" s="55">
        <f>Slaughtering!$K$9</f>
        <v>0.33333333333333331</v>
      </c>
      <c r="G96" s="55">
        <f>Slaughtering!$M$9</f>
        <v>0.33333333333333331</v>
      </c>
      <c r="H96" s="55">
        <f>Slaughtering!$O$9</f>
        <v>0.33333333333333331</v>
      </c>
      <c r="I96" s="55">
        <f>Slaughtering!$Q$9</f>
        <v>0.25</v>
      </c>
      <c r="J96" s="55">
        <f>Slaughtering!$S$9</f>
        <v>0.33333333333333331</v>
      </c>
      <c r="K96" s="55">
        <f>Slaughtering!$U$9</f>
        <v>0.33333333333333331</v>
      </c>
      <c r="L96" s="55">
        <f>Slaughtering!$W$9</f>
        <v>0.25</v>
      </c>
      <c r="M96" s="55"/>
      <c r="N96" s="55"/>
      <c r="O96" s="20">
        <v>1E-3</v>
      </c>
      <c r="P96" s="55">
        <v>1</v>
      </c>
    </row>
    <row r="97" spans="1:70" ht="14.45">
      <c r="A97" s="148" t="s">
        <v>191</v>
      </c>
      <c r="B97" s="51">
        <v>0.41899999999999998</v>
      </c>
      <c r="C97" s="51">
        <v>0.41899999999999998</v>
      </c>
      <c r="D97" s="51">
        <v>0.41899999999999998</v>
      </c>
      <c r="E97" s="51">
        <v>0.41899999999999998</v>
      </c>
      <c r="F97" s="51">
        <v>0.41899999999999998</v>
      </c>
      <c r="G97" s="51">
        <v>0.41899999999999998</v>
      </c>
      <c r="H97" s="51">
        <v>0.41899999999999998</v>
      </c>
      <c r="I97" s="51">
        <v>0.41899999999999998</v>
      </c>
      <c r="J97" s="51">
        <v>0.41899999999999998</v>
      </c>
      <c r="K97" s="51">
        <v>0.41899999999999998</v>
      </c>
      <c r="L97" s="51">
        <v>0.32</v>
      </c>
      <c r="M97" s="38"/>
      <c r="N97" s="38"/>
      <c r="O97" s="38">
        <v>0</v>
      </c>
      <c r="P97" s="38">
        <v>1</v>
      </c>
    </row>
    <row r="98" spans="1:70" s="7" customFormat="1" ht="14.45">
      <c r="A98" s="60" t="s">
        <v>192</v>
      </c>
      <c r="B98" s="61">
        <f>B99+B107</f>
        <v>3.0059866098436268</v>
      </c>
      <c r="C98" s="61">
        <f t="shared" ref="C98:P98" si="29">C99+C107</f>
        <v>3.2933591015914891</v>
      </c>
      <c r="D98" s="61">
        <f t="shared" si="29"/>
        <v>3.4800640589215956</v>
      </c>
      <c r="E98" s="61">
        <f t="shared" si="29"/>
        <v>2.8533373134696354</v>
      </c>
      <c r="F98" s="61">
        <f t="shared" si="29"/>
        <v>199.07249104665692</v>
      </c>
      <c r="G98" s="61">
        <f t="shared" si="29"/>
        <v>2.6711695862508478</v>
      </c>
      <c r="H98" s="61">
        <f t="shared" si="29"/>
        <v>2.8706657329119549</v>
      </c>
      <c r="I98" s="61">
        <f t="shared" si="29"/>
        <v>2.5248575574030254</v>
      </c>
      <c r="J98" s="61">
        <f t="shared" si="29"/>
        <v>4.4878251046775421</v>
      </c>
      <c r="K98" s="61">
        <f t="shared" si="29"/>
        <v>3.324564411943197</v>
      </c>
      <c r="L98" s="61">
        <f t="shared" si="29"/>
        <v>2.854762488771839</v>
      </c>
      <c r="M98" s="61">
        <f t="shared" si="29"/>
        <v>2.1955186279147041</v>
      </c>
      <c r="N98" s="61">
        <f t="shared" si="29"/>
        <v>1.9253177803337711</v>
      </c>
      <c r="O98" s="61">
        <f t="shared" si="29"/>
        <v>3.9006637939634635E-3</v>
      </c>
      <c r="P98" s="61">
        <f t="shared" si="29"/>
        <v>19.503318969817318</v>
      </c>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row>
    <row r="99" spans="1:70" ht="14.45">
      <c r="A99" s="2" t="s">
        <v>193</v>
      </c>
      <c r="B99" s="20">
        <f>B102*B101*B100*100</f>
        <v>2.5269795866880744</v>
      </c>
      <c r="C99" s="20">
        <f t="shared" ref="C99:P99" si="30">C102*C101*C100*100</f>
        <v>2.8124954620671168</v>
      </c>
      <c r="D99" s="20">
        <f t="shared" si="30"/>
        <v>3.0258119206836427</v>
      </c>
      <c r="E99" s="20">
        <f t="shared" si="30"/>
        <v>2.3464810447817834</v>
      </c>
      <c r="F99" s="20">
        <f t="shared" si="30"/>
        <v>3.659197713191173</v>
      </c>
      <c r="G99" s="20">
        <f t="shared" si="30"/>
        <v>2.1692642945465157</v>
      </c>
      <c r="H99" s="20">
        <f t="shared" si="30"/>
        <v>2.3464810447817834</v>
      </c>
      <c r="I99" s="20">
        <f t="shared" si="30"/>
        <v>2.0347108360345532</v>
      </c>
      <c r="J99" s="20">
        <f t="shared" si="30"/>
        <v>3.8101601300582528</v>
      </c>
      <c r="K99" s="20">
        <f t="shared" si="30"/>
        <v>2.8387497954353047</v>
      </c>
      <c r="L99" s="20">
        <f t="shared" si="30"/>
        <v>2.3497628364528071</v>
      </c>
      <c r="M99" s="20">
        <f t="shared" si="30"/>
        <v>2.1955186279147041</v>
      </c>
      <c r="N99" s="20">
        <f t="shared" si="30"/>
        <v>1.9253177803337711</v>
      </c>
      <c r="O99" s="20">
        <f t="shared" si="30"/>
        <v>3.2817916710234734E-3</v>
      </c>
      <c r="P99" s="20">
        <f t="shared" si="30"/>
        <v>16.408958355117367</v>
      </c>
    </row>
    <row r="100" spans="1:70" ht="14.45">
      <c r="A100" s="101" t="s">
        <v>194</v>
      </c>
      <c r="B100" s="20">
        <f>(2*(B103+B104+B106))+B105</f>
        <v>0.77</v>
      </c>
      <c r="C100" s="20">
        <f t="shared" ref="C100:P100" si="31">(2*(C103+C104+C106))+C105</f>
        <v>0.85699999999999998</v>
      </c>
      <c r="D100" s="20">
        <f t="shared" si="31"/>
        <v>0.92200000000000004</v>
      </c>
      <c r="E100" s="20">
        <f t="shared" si="31"/>
        <v>0.71499999999999997</v>
      </c>
      <c r="F100" s="20">
        <f t="shared" si="31"/>
        <v>1.115</v>
      </c>
      <c r="G100" s="20">
        <f t="shared" si="31"/>
        <v>0.66100000000000003</v>
      </c>
      <c r="H100" s="20">
        <f t="shared" si="31"/>
        <v>0.71499999999999997</v>
      </c>
      <c r="I100" s="20">
        <f t="shared" si="31"/>
        <v>0.62</v>
      </c>
      <c r="J100" s="20">
        <f t="shared" si="31"/>
        <v>1.161</v>
      </c>
      <c r="K100" s="20">
        <f t="shared" si="31"/>
        <v>0.86499999999999999</v>
      </c>
      <c r="L100" s="20">
        <f t="shared" si="31"/>
        <v>0.71599999999999997</v>
      </c>
      <c r="M100" s="20">
        <f t="shared" si="31"/>
        <v>0.66900000000000004</v>
      </c>
      <c r="N100" s="20">
        <f t="shared" si="31"/>
        <v>0.58666666666666667</v>
      </c>
      <c r="O100" s="20">
        <f t="shared" si="31"/>
        <v>1E-3</v>
      </c>
      <c r="P100" s="20">
        <f t="shared" si="31"/>
        <v>5</v>
      </c>
    </row>
    <row r="101" spans="1:70" s="21" customFormat="1" ht="14.45">
      <c r="A101" s="101" t="s">
        <v>195</v>
      </c>
      <c r="B101" s="20">
        <f>Ability!$B$12</f>
        <v>0.82044791775586834</v>
      </c>
      <c r="C101" s="20">
        <f>Ability!$B$12</f>
        <v>0.82044791775586834</v>
      </c>
      <c r="D101" s="20">
        <f>Ability!$B$12</f>
        <v>0.82044791775586834</v>
      </c>
      <c r="E101" s="20">
        <f>Ability!$B$12</f>
        <v>0.82044791775586834</v>
      </c>
      <c r="F101" s="20">
        <f>Ability!$B$12</f>
        <v>0.82044791775586834</v>
      </c>
      <c r="G101" s="20">
        <f>Ability!$B$12</f>
        <v>0.82044791775586834</v>
      </c>
      <c r="H101" s="20">
        <f>Ability!$B$12</f>
        <v>0.82044791775586834</v>
      </c>
      <c r="I101" s="20">
        <f>Ability!$B$12</f>
        <v>0.82044791775586834</v>
      </c>
      <c r="J101" s="20">
        <f>Ability!$B$12</f>
        <v>0.82044791775586834</v>
      </c>
      <c r="K101" s="20">
        <f>Ability!$B$12</f>
        <v>0.82044791775586834</v>
      </c>
      <c r="L101" s="20">
        <f>Ability!$B$12</f>
        <v>0.82044791775586834</v>
      </c>
      <c r="M101" s="20">
        <f>Ability!$B$12</f>
        <v>0.82044791775586834</v>
      </c>
      <c r="N101" s="20">
        <f>Ability!$B$12</f>
        <v>0.82044791775586834</v>
      </c>
      <c r="O101" s="20">
        <f>Ability!$B$12</f>
        <v>0.82044791775586834</v>
      </c>
      <c r="P101" s="20">
        <f>Ability!$B$12</f>
        <v>0.82044791775586834</v>
      </c>
    </row>
    <row r="102" spans="1:70" ht="14.45">
      <c r="A102" s="3" t="s">
        <v>196</v>
      </c>
      <c r="B102" s="62">
        <v>0.04</v>
      </c>
      <c r="C102" s="62">
        <v>0.04</v>
      </c>
      <c r="D102" s="62">
        <v>0.04</v>
      </c>
      <c r="E102" s="62">
        <v>0.04</v>
      </c>
      <c r="F102" s="62">
        <v>0.04</v>
      </c>
      <c r="G102" s="62">
        <v>0.04</v>
      </c>
      <c r="H102" s="62">
        <v>0.04</v>
      </c>
      <c r="I102" s="62">
        <v>0.04</v>
      </c>
      <c r="J102" s="62">
        <v>0.04</v>
      </c>
      <c r="K102" s="62">
        <v>0.04</v>
      </c>
      <c r="L102" s="62">
        <v>0.04</v>
      </c>
      <c r="M102" s="62">
        <v>0.04</v>
      </c>
      <c r="N102" s="62">
        <v>0.04</v>
      </c>
      <c r="O102" s="62">
        <v>0.04</v>
      </c>
      <c r="P102" s="62">
        <v>0.04</v>
      </c>
    </row>
    <row r="103" spans="1:70" ht="14.45">
      <c r="A103" s="3" t="s">
        <v>197</v>
      </c>
      <c r="B103" s="2">
        <v>0.08</v>
      </c>
      <c r="C103" s="2">
        <v>0.08</v>
      </c>
      <c r="D103" s="2">
        <v>0.08</v>
      </c>
      <c r="E103" s="2">
        <v>0.08</v>
      </c>
      <c r="F103" s="2">
        <v>0.08</v>
      </c>
      <c r="G103" s="2">
        <v>0.08</v>
      </c>
      <c r="H103" s="2">
        <v>0.08</v>
      </c>
      <c r="I103" s="2">
        <v>0.08</v>
      </c>
      <c r="J103" s="2">
        <v>0.08</v>
      </c>
      <c r="K103" s="2">
        <v>0.08</v>
      </c>
      <c r="L103" s="2">
        <v>0.08</v>
      </c>
      <c r="M103" s="2">
        <v>0.08</v>
      </c>
      <c r="N103" s="2">
        <v>0.15</v>
      </c>
      <c r="O103" s="2">
        <v>0</v>
      </c>
      <c r="P103" s="2">
        <v>0.5</v>
      </c>
      <c r="Q103" s="82" t="s">
        <v>198</v>
      </c>
      <c r="R103" s="82" t="s">
        <v>199</v>
      </c>
    </row>
    <row r="104" spans="1:70" ht="14.45">
      <c r="A104" s="3" t="s">
        <v>200</v>
      </c>
      <c r="B104" s="2">
        <v>0.06</v>
      </c>
      <c r="C104" s="2">
        <v>0.06</v>
      </c>
      <c r="D104" s="2">
        <v>0.06</v>
      </c>
      <c r="E104" s="2">
        <v>0.06</v>
      </c>
      <c r="F104" s="2">
        <v>0.06</v>
      </c>
      <c r="G104" s="2">
        <v>0.06</v>
      </c>
      <c r="H104" s="2">
        <v>0.06</v>
      </c>
      <c r="I104" s="2">
        <v>0.06</v>
      </c>
      <c r="J104" s="2">
        <v>0.06</v>
      </c>
      <c r="K104" s="2">
        <v>0.06</v>
      </c>
      <c r="L104" s="2">
        <v>0.06</v>
      </c>
      <c r="M104" s="2">
        <v>0.06</v>
      </c>
      <c r="N104" s="2">
        <v>0.06</v>
      </c>
      <c r="O104" s="2">
        <v>0</v>
      </c>
      <c r="P104" s="2">
        <v>0.5</v>
      </c>
      <c r="Q104" s="82" t="s">
        <v>201</v>
      </c>
      <c r="R104" t="s">
        <v>202</v>
      </c>
    </row>
    <row r="105" spans="1:70" ht="14.45">
      <c r="A105" s="3" t="s">
        <v>203</v>
      </c>
      <c r="B105" s="55">
        <f>Slaughtering!$C$10</f>
        <v>0.25</v>
      </c>
      <c r="C105" s="55">
        <f>Slaughtering!$E$10</f>
        <v>0.34499999999999997</v>
      </c>
      <c r="D105" s="55">
        <f>Slaughtering!$G$10</f>
        <v>0.25</v>
      </c>
      <c r="E105" s="55">
        <f>Slaughtering!$I$10</f>
        <v>0.34499999999999997</v>
      </c>
      <c r="F105" s="55">
        <f>Slaughtering!$K$10</f>
        <v>0.34499999999999997</v>
      </c>
      <c r="G105" s="55">
        <f>Slaughtering!$M$10</f>
        <v>0.34499999999999997</v>
      </c>
      <c r="H105" s="55">
        <f>Slaughtering!$O$10</f>
        <v>0.34499999999999997</v>
      </c>
      <c r="I105" s="55">
        <f>Slaughtering!$Q$10</f>
        <v>0.25</v>
      </c>
      <c r="J105" s="55">
        <f>Slaughtering!$S$10</f>
        <v>0.34499999999999997</v>
      </c>
      <c r="K105" s="55">
        <f>Slaughtering!$U$10</f>
        <v>0.34499999999999997</v>
      </c>
      <c r="L105" s="55">
        <f>Slaughtering!$W$10</f>
        <v>0.25</v>
      </c>
      <c r="M105" s="55">
        <f>Slaughtering!$Y$10</f>
        <v>0.34499999999999997</v>
      </c>
      <c r="N105" s="55">
        <f>Slaughtering!$AA$10</f>
        <v>0.16666666666666666</v>
      </c>
      <c r="O105" s="20">
        <v>1E-3</v>
      </c>
      <c r="P105" s="55">
        <v>1</v>
      </c>
    </row>
    <row r="106" spans="1:70" ht="14.45">
      <c r="A106" s="148" t="s">
        <v>204</v>
      </c>
      <c r="B106" s="143">
        <v>0.12</v>
      </c>
      <c r="C106" s="143">
        <v>0.11600000000000001</v>
      </c>
      <c r="D106" s="143">
        <v>0.19600000000000001</v>
      </c>
      <c r="E106" s="143">
        <v>4.4999999999999998E-2</v>
      </c>
      <c r="F106" s="143">
        <v>0.245</v>
      </c>
      <c r="G106" s="143">
        <v>1.7999999999999999E-2</v>
      </c>
      <c r="H106" s="143">
        <v>4.4999999999999998E-2</v>
      </c>
      <c r="I106" s="143">
        <v>4.4999999999999998E-2</v>
      </c>
      <c r="J106" s="143">
        <v>0.26800000000000002</v>
      </c>
      <c r="K106" s="143">
        <v>0.12</v>
      </c>
      <c r="L106" s="143">
        <v>9.2999999999999999E-2</v>
      </c>
      <c r="M106" s="175">
        <v>2.1999999999999999E-2</v>
      </c>
      <c r="N106" s="175">
        <v>0</v>
      </c>
      <c r="O106" s="85">
        <v>0</v>
      </c>
      <c r="P106" s="85">
        <v>1</v>
      </c>
    </row>
    <row r="107" spans="1:70" ht="14.45">
      <c r="A107" s="2" t="s">
        <v>205</v>
      </c>
      <c r="B107" s="20">
        <f>B110*B109*B108*100</f>
        <v>0.47900702315555244</v>
      </c>
      <c r="C107" s="20">
        <f t="shared" ref="C107:P107" si="32">C110*C109*C108*100</f>
        <v>0.48086363952437239</v>
      </c>
      <c r="D107" s="20">
        <f t="shared" si="32"/>
        <v>0.4542521382379528</v>
      </c>
      <c r="E107" s="20">
        <f t="shared" si="32"/>
        <v>0.50685626868785194</v>
      </c>
      <c r="F107" s="20">
        <f t="shared" si="32"/>
        <v>195.41329333346576</v>
      </c>
      <c r="G107" s="20">
        <f t="shared" si="32"/>
        <v>0.50190529170433207</v>
      </c>
      <c r="H107" s="20">
        <f t="shared" si="32"/>
        <v>0.52418468813017172</v>
      </c>
      <c r="I107" s="20">
        <f t="shared" si="32"/>
        <v>0.49014672136847226</v>
      </c>
      <c r="J107" s="20">
        <f t="shared" si="32"/>
        <v>0.67766497461928932</v>
      </c>
      <c r="K107" s="20">
        <f t="shared" si="32"/>
        <v>0.48581461650789226</v>
      </c>
      <c r="L107" s="20">
        <f t="shared" si="32"/>
        <v>0.50499965231903199</v>
      </c>
      <c r="M107" s="20">
        <f t="shared" si="32"/>
        <v>0</v>
      </c>
      <c r="N107" s="20">
        <f t="shared" si="32"/>
        <v>0</v>
      </c>
      <c r="O107" s="20">
        <f t="shared" si="32"/>
        <v>6.1887212293999024E-4</v>
      </c>
      <c r="P107" s="20">
        <f t="shared" si="32"/>
        <v>3.0943606146999514</v>
      </c>
    </row>
    <row r="108" spans="1:70" ht="14.45">
      <c r="A108" s="101" t="s">
        <v>206</v>
      </c>
      <c r="B108" s="20">
        <f>(2*(B111+B112+B114))+B113</f>
        <v>0.77400000000000002</v>
      </c>
      <c r="C108" s="20">
        <f t="shared" ref="C108:P108" si="33">(2*(C111+C112+C114))+C113</f>
        <v>0.77699999999999991</v>
      </c>
      <c r="D108" s="20">
        <f t="shared" si="33"/>
        <v>0.73399999999999999</v>
      </c>
      <c r="E108" s="20">
        <f t="shared" si="33"/>
        <v>0.81899999999999995</v>
      </c>
      <c r="F108" s="20">
        <f t="shared" si="33"/>
        <v>0.96099999999999997</v>
      </c>
      <c r="G108" s="20">
        <f t="shared" si="33"/>
        <v>0.81099999999999994</v>
      </c>
      <c r="H108" s="20">
        <f t="shared" si="33"/>
        <v>0.84699999999999998</v>
      </c>
      <c r="I108" s="20">
        <f t="shared" si="33"/>
        <v>0.79200000000000004</v>
      </c>
      <c r="J108" s="20">
        <f t="shared" si="33"/>
        <v>1.095</v>
      </c>
      <c r="K108" s="20">
        <f t="shared" si="33"/>
        <v>0.78499999999999992</v>
      </c>
      <c r="L108" s="20">
        <f t="shared" si="33"/>
        <v>0.81599999999999995</v>
      </c>
      <c r="M108" s="20">
        <f t="shared" si="33"/>
        <v>0.71499999999999997</v>
      </c>
      <c r="N108" s="20">
        <f t="shared" si="33"/>
        <v>0.38666666666666666</v>
      </c>
      <c r="O108" s="20">
        <f t="shared" si="33"/>
        <v>1E-3</v>
      </c>
      <c r="P108" s="20">
        <f t="shared" si="33"/>
        <v>5</v>
      </c>
    </row>
    <row r="109" spans="1:70" ht="14.45">
      <c r="A109" s="3" t="s">
        <v>207</v>
      </c>
      <c r="B109" s="101">
        <f>B39</f>
        <v>0.88410303277141455</v>
      </c>
      <c r="C109" s="101">
        <f t="shared" ref="C109:P109" si="34">C39</f>
        <v>0.88410303277141455</v>
      </c>
      <c r="D109" s="101">
        <f t="shared" si="34"/>
        <v>0.88410303277141455</v>
      </c>
      <c r="E109" s="101">
        <f t="shared" si="34"/>
        <v>0.88410303277141455</v>
      </c>
      <c r="F109" s="101">
        <f t="shared" si="34"/>
        <v>0.88410303277141455</v>
      </c>
      <c r="G109" s="101">
        <f t="shared" si="34"/>
        <v>0.88410303277141455</v>
      </c>
      <c r="H109" s="101">
        <f t="shared" si="34"/>
        <v>0.88410303277141455</v>
      </c>
      <c r="I109" s="101">
        <f t="shared" si="34"/>
        <v>0.88410303277141455</v>
      </c>
      <c r="J109" s="101">
        <f t="shared" si="34"/>
        <v>0.88410303277141455</v>
      </c>
      <c r="K109" s="101">
        <f t="shared" si="34"/>
        <v>0.88410303277141455</v>
      </c>
      <c r="L109" s="101">
        <f t="shared" si="34"/>
        <v>0.88410303277141455</v>
      </c>
      <c r="M109" s="101">
        <f t="shared" si="34"/>
        <v>0</v>
      </c>
      <c r="N109" s="101">
        <f t="shared" si="34"/>
        <v>0</v>
      </c>
      <c r="O109" s="101">
        <f t="shared" si="34"/>
        <v>0.88410303277141455</v>
      </c>
      <c r="P109" s="101">
        <f t="shared" si="34"/>
        <v>0.88410303277141455</v>
      </c>
      <c r="Q109" s="2" t="s">
        <v>31</v>
      </c>
      <c r="S109" s="1"/>
    </row>
    <row r="110" spans="1:70" ht="14.45">
      <c r="A110" s="3" t="s">
        <v>208</v>
      </c>
      <c r="B110" s="62">
        <v>7.0000000000000001E-3</v>
      </c>
      <c r="C110" s="62">
        <v>7.0000000000000001E-3</v>
      </c>
      <c r="D110" s="62">
        <v>7.0000000000000001E-3</v>
      </c>
      <c r="E110" s="62">
        <v>7.0000000000000001E-3</v>
      </c>
      <c r="F110" s="62" t="s">
        <v>209</v>
      </c>
      <c r="G110" s="62">
        <v>7.0000000000000001E-3</v>
      </c>
      <c r="H110" s="62">
        <v>7.0000000000000001E-3</v>
      </c>
      <c r="I110" s="62">
        <v>7.0000000000000001E-3</v>
      </c>
      <c r="J110" s="62">
        <v>7.0000000000000001E-3</v>
      </c>
      <c r="K110" s="62">
        <v>7.0000000000000001E-3</v>
      </c>
      <c r="L110" s="62">
        <v>7.0000000000000001E-3</v>
      </c>
      <c r="M110" s="62">
        <v>7.0000000000000001E-3</v>
      </c>
      <c r="N110" s="62">
        <v>7.0000000000000001E-3</v>
      </c>
      <c r="O110" s="62">
        <v>7.0000000000000001E-3</v>
      </c>
      <c r="P110" s="62">
        <v>7.0000000000000001E-3</v>
      </c>
    </row>
    <row r="111" spans="1:70" ht="14.45">
      <c r="A111" s="3" t="s">
        <v>210</v>
      </c>
      <c r="B111" s="213">
        <v>0.06</v>
      </c>
      <c r="C111" s="213">
        <v>0.06</v>
      </c>
      <c r="D111" s="213">
        <v>0.06</v>
      </c>
      <c r="E111" s="213">
        <v>0.06</v>
      </c>
      <c r="F111" s="213">
        <v>0.06</v>
      </c>
      <c r="G111" s="213">
        <v>0.06</v>
      </c>
      <c r="H111" s="213">
        <v>0.06</v>
      </c>
      <c r="I111" s="213">
        <v>0.06</v>
      </c>
      <c r="J111" s="213">
        <v>0.06</v>
      </c>
      <c r="K111" s="213">
        <v>0.06</v>
      </c>
      <c r="L111" s="213">
        <v>0.06</v>
      </c>
      <c r="M111" s="213">
        <v>0.06</v>
      </c>
      <c r="N111" s="213">
        <v>0.06</v>
      </c>
      <c r="O111" s="213">
        <v>0</v>
      </c>
      <c r="P111" s="213">
        <v>0.5</v>
      </c>
      <c r="Q111" s="226" t="s">
        <v>211</v>
      </c>
      <c r="R111" t="s">
        <v>212</v>
      </c>
    </row>
    <row r="112" spans="1:70" ht="14.45">
      <c r="A112" s="3" t="s">
        <v>213</v>
      </c>
      <c r="B112" s="2">
        <v>0.05</v>
      </c>
      <c r="C112" s="2">
        <v>0.05</v>
      </c>
      <c r="D112" s="2">
        <v>0.05</v>
      </c>
      <c r="E112" s="2">
        <v>0.05</v>
      </c>
      <c r="F112" s="2">
        <v>0.05</v>
      </c>
      <c r="G112" s="2">
        <v>0.05</v>
      </c>
      <c r="H112" s="2">
        <v>0.05</v>
      </c>
      <c r="I112" s="2">
        <v>0.05</v>
      </c>
      <c r="J112" s="2">
        <v>0.05</v>
      </c>
      <c r="K112" s="2">
        <v>0.05</v>
      </c>
      <c r="L112" s="2">
        <v>0.05</v>
      </c>
      <c r="M112" s="2">
        <v>0.05</v>
      </c>
      <c r="N112" s="2">
        <v>0.05</v>
      </c>
      <c r="O112" s="2">
        <v>0</v>
      </c>
      <c r="P112" s="2">
        <v>0.5</v>
      </c>
      <c r="Q112" s="82" t="s">
        <v>214</v>
      </c>
      <c r="R112" t="s">
        <v>215</v>
      </c>
    </row>
    <row r="113" spans="1:70" ht="14.45">
      <c r="A113" s="3" t="s">
        <v>216</v>
      </c>
      <c r="B113" s="55">
        <f>Slaughtering!$C$10</f>
        <v>0.25</v>
      </c>
      <c r="C113" s="55">
        <f>Slaughtering!$E$10</f>
        <v>0.34499999999999997</v>
      </c>
      <c r="D113" s="55">
        <f>Slaughtering!$G$10</f>
        <v>0.25</v>
      </c>
      <c r="E113" s="55">
        <f>Slaughtering!$I$10</f>
        <v>0.34499999999999997</v>
      </c>
      <c r="F113" s="55">
        <f>Slaughtering!$K$10</f>
        <v>0.34499999999999997</v>
      </c>
      <c r="G113" s="55">
        <f>Slaughtering!$M$10</f>
        <v>0.34499999999999997</v>
      </c>
      <c r="H113" s="55">
        <f>Slaughtering!$O$10</f>
        <v>0.34499999999999997</v>
      </c>
      <c r="I113" s="55">
        <f>Slaughtering!$Q$10</f>
        <v>0.25</v>
      </c>
      <c r="J113" s="55">
        <f>Slaughtering!$S$10</f>
        <v>0.34499999999999997</v>
      </c>
      <c r="K113" s="55">
        <f>Slaughtering!$U$10</f>
        <v>0.34499999999999997</v>
      </c>
      <c r="L113" s="55">
        <f>Slaughtering!$W$10</f>
        <v>0.25</v>
      </c>
      <c r="M113" s="55">
        <f>Slaughtering!$Y$10</f>
        <v>0.34499999999999997</v>
      </c>
      <c r="N113" s="55">
        <f>Slaughtering!$AA$10</f>
        <v>0.16666666666666666</v>
      </c>
      <c r="O113" s="20">
        <v>1E-3</v>
      </c>
      <c r="P113" s="55">
        <v>1</v>
      </c>
    </row>
    <row r="114" spans="1:70" ht="14.45">
      <c r="A114" s="148" t="s">
        <v>217</v>
      </c>
      <c r="B114" s="143">
        <v>0.152</v>
      </c>
      <c r="C114" s="143">
        <v>0.106</v>
      </c>
      <c r="D114" s="143">
        <v>0.13200000000000001</v>
      </c>
      <c r="E114" s="143">
        <v>0.127</v>
      </c>
      <c r="F114" s="143">
        <v>0.19800000000000001</v>
      </c>
      <c r="G114" s="143">
        <v>0.123</v>
      </c>
      <c r="H114" s="143">
        <v>0.14099999999999999</v>
      </c>
      <c r="I114" s="143">
        <v>0.161</v>
      </c>
      <c r="J114" s="143">
        <v>0.26500000000000001</v>
      </c>
      <c r="K114" s="143">
        <v>0.11</v>
      </c>
      <c r="L114" s="143">
        <v>0.17299999999999999</v>
      </c>
      <c r="M114" s="175">
        <v>7.4999999999999997E-2</v>
      </c>
      <c r="N114" s="175">
        <v>0</v>
      </c>
      <c r="O114" s="85">
        <v>0</v>
      </c>
      <c r="P114" s="85">
        <v>1</v>
      </c>
      <c r="Q114" t="s">
        <v>218</v>
      </c>
    </row>
    <row r="115" spans="1:70" s="7" customFormat="1" ht="14.45">
      <c r="A115" s="36" t="s">
        <v>219</v>
      </c>
      <c r="B115" s="204">
        <f>B118*B117*B116*100</f>
        <v>72.094906314879751</v>
      </c>
      <c r="C115" s="205">
        <f t="shared" ref="C115:P115" si="35">C118*C117*C116*100</f>
        <v>72.655755424485335</v>
      </c>
      <c r="D115" s="204">
        <f t="shared" si="35"/>
        <v>72.094906314879751</v>
      </c>
      <c r="E115" s="204">
        <f t="shared" si="35"/>
        <v>72.655755424485335</v>
      </c>
      <c r="F115" s="205">
        <f t="shared" si="35"/>
        <v>72.655755424485335</v>
      </c>
      <c r="G115" s="204">
        <f t="shared" si="35"/>
        <v>72.655755424485335</v>
      </c>
      <c r="H115" s="205">
        <f t="shared" si="35"/>
        <v>69.058707221892462</v>
      </c>
      <c r="I115" s="204">
        <f t="shared" si="35"/>
        <v>72.094906314879751</v>
      </c>
      <c r="J115" s="204">
        <f t="shared" si="35"/>
        <v>72.655755424485335</v>
      </c>
      <c r="K115" s="205">
        <f t="shared" si="35"/>
        <v>72.864617629991272</v>
      </c>
      <c r="L115" s="204">
        <f t="shared" si="35"/>
        <v>46.132751686252696</v>
      </c>
      <c r="M115" s="204"/>
      <c r="N115" s="204"/>
      <c r="O115" s="109">
        <f t="shared" si="35"/>
        <v>4.9927220439667408E-2</v>
      </c>
      <c r="P115" s="218">
        <f t="shared" si="35"/>
        <v>249.63610219833706</v>
      </c>
      <c r="Q115" s="83" t="s">
        <v>220</v>
      </c>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row>
    <row r="116" spans="1:70" s="21" customFormat="1" ht="14.45">
      <c r="A116" s="101" t="s">
        <v>221</v>
      </c>
      <c r="B116" s="24">
        <f>(2*(B119+B120+B122))+B121</f>
        <v>1.444</v>
      </c>
      <c r="C116" s="101">
        <f t="shared" ref="C116:P116" si="36">(2*(C119+C120+C122))+C121</f>
        <v>1.4552333333333332</v>
      </c>
      <c r="D116" s="24">
        <f t="shared" si="36"/>
        <v>1.444</v>
      </c>
      <c r="E116" s="24">
        <f t="shared" si="36"/>
        <v>1.4552333333333332</v>
      </c>
      <c r="F116" s="101">
        <f t="shared" si="36"/>
        <v>1.4552333333333332</v>
      </c>
      <c r="G116" s="24">
        <f t="shared" si="36"/>
        <v>1.4552333333333332</v>
      </c>
      <c r="H116" s="101">
        <f t="shared" si="36"/>
        <v>1.3831875</v>
      </c>
      <c r="I116" s="24">
        <f t="shared" si="36"/>
        <v>1.444</v>
      </c>
      <c r="J116" s="24">
        <f t="shared" si="36"/>
        <v>1.4552333333333332</v>
      </c>
      <c r="K116" s="101">
        <f t="shared" si="36"/>
        <v>1.4594166666666666</v>
      </c>
      <c r="L116" s="24">
        <f t="shared" si="36"/>
        <v>0.92400000000000004</v>
      </c>
      <c r="M116" s="24"/>
      <c r="N116" s="24"/>
      <c r="O116" s="101">
        <f t="shared" si="36"/>
        <v>1E-3</v>
      </c>
      <c r="P116" s="101">
        <f t="shared" si="36"/>
        <v>5</v>
      </c>
    </row>
    <row r="117" spans="1:70" ht="14.45">
      <c r="A117" s="3" t="s">
        <v>222</v>
      </c>
      <c r="B117" s="24">
        <f>Ability!$B$14</f>
        <v>0.67196797361598137</v>
      </c>
      <c r="C117" s="101">
        <f>Ability!$B$14</f>
        <v>0.67196797361598137</v>
      </c>
      <c r="D117" s="24">
        <f>Ability!$B$14</f>
        <v>0.67196797361598137</v>
      </c>
      <c r="E117" s="24">
        <f>Ability!$B$14</f>
        <v>0.67196797361598137</v>
      </c>
      <c r="F117" s="101">
        <f>Ability!$B$14</f>
        <v>0.67196797361598137</v>
      </c>
      <c r="G117" s="24">
        <f>Ability!$B$14</f>
        <v>0.67196797361598137</v>
      </c>
      <c r="H117" s="101">
        <f>Ability!$B$14</f>
        <v>0.67196797361598137</v>
      </c>
      <c r="I117" s="24">
        <f>Ability!$B$14</f>
        <v>0.67196797361598137</v>
      </c>
      <c r="J117" s="24">
        <f>Ability!$B$14</f>
        <v>0.67196797361598137</v>
      </c>
      <c r="K117" s="101">
        <f>Ability!$B$14</f>
        <v>0.67196797361598137</v>
      </c>
      <c r="L117" s="24">
        <f>Ability!$B$14</f>
        <v>0.67196797361598137</v>
      </c>
      <c r="M117" s="24"/>
      <c r="N117" s="24"/>
      <c r="O117" s="101">
        <f>Ability!$B$14</f>
        <v>0.67196797361598137</v>
      </c>
      <c r="P117" s="101">
        <f>Ability!$B$14</f>
        <v>0.67196797361598137</v>
      </c>
    </row>
    <row r="118" spans="1:70" ht="14.45">
      <c r="A118" s="3" t="s">
        <v>223</v>
      </c>
      <c r="B118" s="104">
        <v>0.74299999999999999</v>
      </c>
      <c r="C118" s="104">
        <v>0.74299999999999999</v>
      </c>
      <c r="D118" s="104">
        <v>0.74299999999999999</v>
      </c>
      <c r="E118" s="104">
        <v>0.74299999999999999</v>
      </c>
      <c r="F118" s="104">
        <v>0.74299999999999999</v>
      </c>
      <c r="G118" s="104">
        <v>0.74299999999999999</v>
      </c>
      <c r="H118" s="104">
        <v>0.74299999999999999</v>
      </c>
      <c r="I118" s="104">
        <v>0.74299999999999999</v>
      </c>
      <c r="J118" s="104">
        <v>0.74299999999999999</v>
      </c>
      <c r="K118" s="104">
        <v>0.74299999999999999</v>
      </c>
      <c r="L118" s="104">
        <v>0.74299999999999999</v>
      </c>
      <c r="M118" s="104"/>
      <c r="N118" s="104"/>
      <c r="O118" s="102">
        <v>0.74299999999999999</v>
      </c>
      <c r="P118" s="102">
        <v>0.74299999999999999</v>
      </c>
      <c r="Q118" s="82" t="s">
        <v>224</v>
      </c>
      <c r="S118" t="s">
        <v>225</v>
      </c>
    </row>
    <row r="119" spans="1:70" ht="15" customHeight="1">
      <c r="A119" s="3" t="s">
        <v>226</v>
      </c>
      <c r="B119" s="25">
        <v>0.15</v>
      </c>
      <c r="C119" s="3">
        <v>0.15</v>
      </c>
      <c r="D119" s="25">
        <v>0.15</v>
      </c>
      <c r="E119" s="25">
        <v>0.15</v>
      </c>
      <c r="F119" s="3">
        <v>0.15</v>
      </c>
      <c r="G119" s="25">
        <v>0.15</v>
      </c>
      <c r="H119" s="3">
        <v>0.15</v>
      </c>
      <c r="I119" s="25">
        <v>0.15</v>
      </c>
      <c r="J119" s="25">
        <v>0.15</v>
      </c>
      <c r="K119" s="3">
        <v>0.15</v>
      </c>
      <c r="L119" s="25">
        <v>0.15</v>
      </c>
      <c r="M119" s="25"/>
      <c r="N119" s="25"/>
      <c r="O119" s="3">
        <v>0</v>
      </c>
      <c r="P119" s="3">
        <v>0.5</v>
      </c>
      <c r="Q119" s="110" t="s">
        <v>227</v>
      </c>
      <c r="R119" s="82" t="s">
        <v>228</v>
      </c>
    </row>
    <row r="120" spans="1:70" ht="14.45">
      <c r="A120" s="3" t="s">
        <v>229</v>
      </c>
      <c r="B120" s="25">
        <v>0.11</v>
      </c>
      <c r="C120" s="3">
        <v>0.11</v>
      </c>
      <c r="D120" s="25">
        <v>0.11</v>
      </c>
      <c r="E120" s="25">
        <v>0.11</v>
      </c>
      <c r="F120" s="3">
        <v>0.11</v>
      </c>
      <c r="G120" s="25">
        <v>0.11</v>
      </c>
      <c r="H120" s="3">
        <v>0.11</v>
      </c>
      <c r="I120" s="25">
        <v>0.11</v>
      </c>
      <c r="J120" s="25">
        <v>0.11</v>
      </c>
      <c r="K120" s="3">
        <v>0.11</v>
      </c>
      <c r="L120" s="25">
        <v>0.11</v>
      </c>
      <c r="M120" s="25"/>
      <c r="N120" s="25"/>
      <c r="O120" s="3">
        <v>0</v>
      </c>
      <c r="P120" s="3">
        <v>0.5</v>
      </c>
      <c r="Q120" s="82" t="s">
        <v>230</v>
      </c>
    </row>
    <row r="121" spans="1:70" ht="14.45">
      <c r="A121" s="3" t="s">
        <v>231</v>
      </c>
      <c r="B121" s="25">
        <f>Slaughtering!C11</f>
        <v>0.25</v>
      </c>
      <c r="C121" s="202">
        <f>Slaughtering!E11</f>
        <v>0.26123333333333332</v>
      </c>
      <c r="D121" s="203">
        <f>Slaughtering!G11</f>
        <v>0.25</v>
      </c>
      <c r="E121" s="203">
        <f>Slaughtering!I11</f>
        <v>0.26123333333333332</v>
      </c>
      <c r="F121" s="202">
        <f>Slaughtering!K11</f>
        <v>0.26123333333333332</v>
      </c>
      <c r="G121" s="203">
        <f>Slaughtering!M11</f>
        <v>0.26123333333333332</v>
      </c>
      <c r="H121" s="202">
        <f>Slaughtering!O11</f>
        <v>0.25718750000000001</v>
      </c>
      <c r="I121" s="203">
        <f>Slaughtering!Q11</f>
        <v>0.25</v>
      </c>
      <c r="J121" s="203">
        <f>Slaughtering!S11</f>
        <v>0.26123333333333332</v>
      </c>
      <c r="K121" s="202">
        <f>Slaughtering!U11</f>
        <v>0.26541666666666669</v>
      </c>
      <c r="L121" s="25">
        <f>Slaughtering!W11</f>
        <v>0.25</v>
      </c>
      <c r="M121" s="25"/>
      <c r="N121" s="25"/>
      <c r="O121" s="3">
        <v>1E-3</v>
      </c>
      <c r="P121" s="3">
        <v>1</v>
      </c>
      <c r="Q121" s="83" t="s">
        <v>232</v>
      </c>
      <c r="R121" s="83" t="s">
        <v>233</v>
      </c>
      <c r="S121" s="1"/>
    </row>
    <row r="122" spans="1:70" ht="14.45">
      <c r="A122" s="148" t="s">
        <v>234</v>
      </c>
      <c r="B122" s="150">
        <v>0.33700000000000002</v>
      </c>
      <c r="C122" s="151">
        <v>0.33700000000000002</v>
      </c>
      <c r="D122" s="150">
        <v>0.33700000000000002</v>
      </c>
      <c r="E122" s="150">
        <v>0.33700000000000002</v>
      </c>
      <c r="F122" s="151">
        <v>0.33700000000000002</v>
      </c>
      <c r="G122" s="150">
        <v>0.33700000000000002</v>
      </c>
      <c r="H122" s="151">
        <v>0.30299999999999999</v>
      </c>
      <c r="I122" s="150">
        <v>0.33700000000000002</v>
      </c>
      <c r="J122" s="150">
        <v>0.33700000000000002</v>
      </c>
      <c r="K122" s="151">
        <v>0.33700000000000002</v>
      </c>
      <c r="L122" s="150">
        <v>7.6999999999999999E-2</v>
      </c>
      <c r="M122" s="174"/>
      <c r="N122" s="174"/>
      <c r="O122" s="83">
        <v>0</v>
      </c>
      <c r="P122" s="83">
        <v>1</v>
      </c>
    </row>
    <row r="123" spans="1:70" s="7" customFormat="1" ht="14.45">
      <c r="A123" s="64" t="s">
        <v>235</v>
      </c>
      <c r="B123" s="65">
        <f>B126*B125*B124*100</f>
        <v>10.939088941579248</v>
      </c>
      <c r="C123" s="65">
        <f t="shared" ref="C123:P123" si="37">C126*C125*C124*100</f>
        <v>10.939088941579248</v>
      </c>
      <c r="D123" s="65">
        <f t="shared" si="37"/>
        <v>10.939088941579248</v>
      </c>
      <c r="E123" s="65">
        <f t="shared" si="37"/>
        <v>10.939088941579248</v>
      </c>
      <c r="F123" s="65">
        <f t="shared" si="37"/>
        <v>10.939088941579248</v>
      </c>
      <c r="G123" s="65">
        <f t="shared" si="37"/>
        <v>10.939088941579248</v>
      </c>
      <c r="H123" s="65">
        <f t="shared" si="37"/>
        <v>10.939088941579248</v>
      </c>
      <c r="I123" s="65">
        <f t="shared" si="37"/>
        <v>10.939088941579248</v>
      </c>
      <c r="J123" s="65">
        <f t="shared" si="37"/>
        <v>10.939088941579248</v>
      </c>
      <c r="K123" s="65">
        <f t="shared" si="37"/>
        <v>10.939088941579248</v>
      </c>
      <c r="L123" s="65">
        <f t="shared" si="37"/>
        <v>10.939088941579248</v>
      </c>
      <c r="M123" s="65"/>
      <c r="N123" s="65"/>
      <c r="O123" s="65">
        <f t="shared" si="37"/>
        <v>1.2426076041172946E-2</v>
      </c>
      <c r="P123" s="65">
        <f t="shared" si="37"/>
        <v>62.130380205864725</v>
      </c>
      <c r="Q123" s="83" t="s">
        <v>236</v>
      </c>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row>
    <row r="124" spans="1:70" s="21" customFormat="1" ht="14.45">
      <c r="A124" s="101" t="s">
        <v>237</v>
      </c>
      <c r="B124" s="20">
        <f>(2*(B127+B128+B130))+B129</f>
        <v>0.8803333333333333</v>
      </c>
      <c r="C124" s="20">
        <f t="shared" ref="C124:P124" si="38">(2*(C127+C128+C130))+C129</f>
        <v>0.8803333333333333</v>
      </c>
      <c r="D124" s="20">
        <f t="shared" si="38"/>
        <v>0.8803333333333333</v>
      </c>
      <c r="E124" s="20">
        <f t="shared" si="38"/>
        <v>0.8803333333333333</v>
      </c>
      <c r="F124" s="20">
        <f t="shared" si="38"/>
        <v>0.8803333333333333</v>
      </c>
      <c r="G124" s="20">
        <f t="shared" si="38"/>
        <v>0.8803333333333333</v>
      </c>
      <c r="H124" s="20">
        <f t="shared" si="38"/>
        <v>0.8803333333333333</v>
      </c>
      <c r="I124" s="20">
        <f t="shared" si="38"/>
        <v>0.8803333333333333</v>
      </c>
      <c r="J124" s="20">
        <f t="shared" si="38"/>
        <v>0.8803333333333333</v>
      </c>
      <c r="K124" s="20">
        <f t="shared" si="38"/>
        <v>0.8803333333333333</v>
      </c>
      <c r="L124" s="20">
        <f t="shared" si="38"/>
        <v>0.8803333333333333</v>
      </c>
      <c r="M124" s="20"/>
      <c r="N124" s="20"/>
      <c r="O124" s="20">
        <f t="shared" si="38"/>
        <v>1E-3</v>
      </c>
      <c r="P124" s="20">
        <f t="shared" si="38"/>
        <v>5</v>
      </c>
    </row>
    <row r="125" spans="1:70" ht="14.45">
      <c r="A125" s="3" t="s">
        <v>238</v>
      </c>
      <c r="B125" s="20">
        <f>Ability!$B$15</f>
        <v>0.30307199464420814</v>
      </c>
      <c r="C125" s="20">
        <f>Ability!$B$15</f>
        <v>0.30307199464420814</v>
      </c>
      <c r="D125" s="20">
        <f>Ability!$B$15</f>
        <v>0.30307199464420814</v>
      </c>
      <c r="E125" s="20">
        <f>Ability!$B$15</f>
        <v>0.30307199464420814</v>
      </c>
      <c r="F125" s="20">
        <f>Ability!$B$15</f>
        <v>0.30307199464420814</v>
      </c>
      <c r="G125" s="20">
        <f>Ability!$B$15</f>
        <v>0.30307199464420814</v>
      </c>
      <c r="H125" s="20">
        <f>Ability!$B$15</f>
        <v>0.30307199464420814</v>
      </c>
      <c r="I125" s="20">
        <f>Ability!$B$15</f>
        <v>0.30307199464420814</v>
      </c>
      <c r="J125" s="20">
        <f>Ability!$B$15</f>
        <v>0.30307199464420814</v>
      </c>
      <c r="K125" s="20">
        <f>Ability!$B$15</f>
        <v>0.30307199464420814</v>
      </c>
      <c r="L125" s="20">
        <f>Ability!$B$15</f>
        <v>0.30307199464420814</v>
      </c>
      <c r="M125" s="20"/>
      <c r="N125" s="20"/>
      <c r="O125" s="20">
        <f>Ability!$B$15</f>
        <v>0.30307199464420814</v>
      </c>
      <c r="P125" s="20">
        <f>Ability!$B$15</f>
        <v>0.30307199464420814</v>
      </c>
    </row>
    <row r="126" spans="1:70" ht="14.45">
      <c r="A126" s="3" t="s">
        <v>239</v>
      </c>
      <c r="B126" s="225">
        <v>0.41000410004100041</v>
      </c>
      <c r="C126" s="225">
        <v>0.41000410004100041</v>
      </c>
      <c r="D126" s="225">
        <v>0.41000410004100041</v>
      </c>
      <c r="E126" s="225">
        <v>0.41000410004100041</v>
      </c>
      <c r="F126" s="225">
        <v>0.41000410004100041</v>
      </c>
      <c r="G126" s="225">
        <v>0.41000410004100041</v>
      </c>
      <c r="H126" s="225">
        <v>0.41000410004100041</v>
      </c>
      <c r="I126" s="225">
        <v>0.41000410004100041</v>
      </c>
      <c r="J126" s="225">
        <v>0.41000410004100041</v>
      </c>
      <c r="K126" s="225">
        <v>0.41000410004100041</v>
      </c>
      <c r="L126" s="225">
        <v>0.41000410004100041</v>
      </c>
      <c r="M126" s="26"/>
      <c r="N126" s="26"/>
      <c r="O126" s="225">
        <v>0.41000410004100041</v>
      </c>
      <c r="P126" s="225">
        <v>0.41000410004100041</v>
      </c>
      <c r="Q126" t="s">
        <v>240</v>
      </c>
    </row>
    <row r="127" spans="1:70" ht="14.45">
      <c r="A127" s="3" t="s">
        <v>241</v>
      </c>
      <c r="B127" s="84">
        <v>0.161</v>
      </c>
      <c r="C127" s="84">
        <v>0.161</v>
      </c>
      <c r="D127" s="84">
        <v>0.161</v>
      </c>
      <c r="E127" s="84">
        <v>0.161</v>
      </c>
      <c r="F127" s="84">
        <v>0.161</v>
      </c>
      <c r="G127" s="84">
        <v>0.161</v>
      </c>
      <c r="H127" s="84">
        <v>0.161</v>
      </c>
      <c r="I127" s="84">
        <v>0.161</v>
      </c>
      <c r="J127" s="84">
        <v>0.161</v>
      </c>
      <c r="K127" s="84">
        <v>0.161</v>
      </c>
      <c r="L127" s="84">
        <v>0.161</v>
      </c>
      <c r="M127" s="84"/>
      <c r="N127" s="84"/>
      <c r="O127" s="84">
        <v>0</v>
      </c>
      <c r="P127" s="84">
        <v>0.5</v>
      </c>
      <c r="Q127" s="82" t="s">
        <v>242</v>
      </c>
      <c r="R127" s="82" t="s">
        <v>243</v>
      </c>
    </row>
    <row r="128" spans="1:70" ht="14.45">
      <c r="A128" s="3" t="s">
        <v>244</v>
      </c>
      <c r="B128" s="107">
        <v>0.14499999999999999</v>
      </c>
      <c r="C128" s="107">
        <v>0.14499999999999999</v>
      </c>
      <c r="D128" s="107">
        <v>0.14499999999999999</v>
      </c>
      <c r="E128" s="107">
        <v>0.14499999999999999</v>
      </c>
      <c r="F128" s="107">
        <v>0.14499999999999999</v>
      </c>
      <c r="G128" s="107">
        <v>0.14499999999999999</v>
      </c>
      <c r="H128" s="107">
        <v>0.14499999999999999</v>
      </c>
      <c r="I128" s="107">
        <v>0.14499999999999999</v>
      </c>
      <c r="J128" s="107">
        <v>0.14499999999999999</v>
      </c>
      <c r="K128" s="107">
        <v>0.14499999999999999</v>
      </c>
      <c r="L128" s="107">
        <v>0.14499999999999999</v>
      </c>
      <c r="M128" s="107"/>
      <c r="N128" s="107"/>
      <c r="O128" s="107">
        <v>0</v>
      </c>
      <c r="P128" s="107">
        <v>0.5</v>
      </c>
      <c r="Q128" s="82" t="s">
        <v>245</v>
      </c>
      <c r="R128" s="82" t="s">
        <v>243</v>
      </c>
    </row>
    <row r="129" spans="1:70" ht="14.45">
      <c r="A129" s="3" t="s">
        <v>246</v>
      </c>
      <c r="B129" s="54">
        <f>Slaughtering!C12</f>
        <v>0.20833333333333334</v>
      </c>
      <c r="C129" s="54">
        <f>Slaughtering!E12</f>
        <v>0.20833333333333334</v>
      </c>
      <c r="D129" s="54">
        <f>Slaughtering!E12</f>
        <v>0.20833333333333334</v>
      </c>
      <c r="E129" s="54">
        <f>Slaughtering!I12</f>
        <v>0.20833333333333334</v>
      </c>
      <c r="F129" s="54">
        <f>Slaughtering!K12</f>
        <v>0.20833333333333334</v>
      </c>
      <c r="G129" s="54">
        <f>Slaughtering!M12</f>
        <v>0.20833333333333334</v>
      </c>
      <c r="H129" s="54">
        <f>Slaughtering!O12</f>
        <v>0.20833333333333334</v>
      </c>
      <c r="I129" s="54">
        <f>Slaughtering!Q12</f>
        <v>0.20833333333333334</v>
      </c>
      <c r="J129" s="54">
        <f>Slaughtering!S12</f>
        <v>0.20833333333333334</v>
      </c>
      <c r="K129" s="54">
        <f>Slaughtering!U12</f>
        <v>0.20833333333333334</v>
      </c>
      <c r="L129" s="54">
        <f>Slaughtering!W12</f>
        <v>0.20833333333333334</v>
      </c>
      <c r="M129" s="54"/>
      <c r="N129" s="54"/>
      <c r="O129" s="54">
        <v>1E-3</v>
      </c>
      <c r="P129" s="54">
        <v>1</v>
      </c>
      <c r="Q129" s="212" t="s">
        <v>247</v>
      </c>
    </row>
    <row r="130" spans="1:70" ht="14.45">
      <c r="A130" s="148" t="s">
        <v>248</v>
      </c>
      <c r="B130" s="51">
        <v>0.03</v>
      </c>
      <c r="C130" s="51">
        <v>0.03</v>
      </c>
      <c r="D130" s="51">
        <v>0.03</v>
      </c>
      <c r="E130" s="51">
        <v>0.03</v>
      </c>
      <c r="F130" s="51">
        <v>0.03</v>
      </c>
      <c r="G130" s="51">
        <v>0.03</v>
      </c>
      <c r="H130" s="51">
        <v>0.03</v>
      </c>
      <c r="I130" s="51">
        <v>0.03</v>
      </c>
      <c r="J130" s="51">
        <v>0.03</v>
      </c>
      <c r="K130" s="51">
        <v>0.03</v>
      </c>
      <c r="L130" s="51">
        <v>0.03</v>
      </c>
      <c r="M130" s="38"/>
      <c r="N130" s="38"/>
      <c r="O130" s="38">
        <v>0</v>
      </c>
      <c r="P130" s="38">
        <v>1</v>
      </c>
    </row>
    <row r="131" spans="1:70" s="7" customFormat="1" ht="14.45">
      <c r="A131" s="66" t="s">
        <v>249</v>
      </c>
      <c r="B131" s="67">
        <f>B134*B133*B132*100</f>
        <v>1.8647868715666507</v>
      </c>
      <c r="C131" s="67">
        <f t="shared" ref="C131:P131" si="39">C134*C133*C132*100</f>
        <v>1.8647868715666507</v>
      </c>
      <c r="D131" s="67">
        <f t="shared" si="39"/>
        <v>1.8647868715666507</v>
      </c>
      <c r="E131" s="67">
        <f t="shared" si="39"/>
        <v>1.8647868715666507</v>
      </c>
      <c r="F131" s="67">
        <f t="shared" si="39"/>
        <v>1.8647868715666507</v>
      </c>
      <c r="G131" s="67">
        <f t="shared" si="39"/>
        <v>1.8647868715666507</v>
      </c>
      <c r="H131" s="67">
        <f t="shared" si="39"/>
        <v>1.8647868715666507</v>
      </c>
      <c r="I131" s="67">
        <f t="shared" si="39"/>
        <v>1.8647868715666507</v>
      </c>
      <c r="J131" s="67">
        <f t="shared" si="39"/>
        <v>1.8647868715666507</v>
      </c>
      <c r="K131" s="67">
        <f t="shared" si="39"/>
        <v>1.8647868715666507</v>
      </c>
      <c r="L131" s="67">
        <f t="shared" si="39"/>
        <v>1.8647868715666507</v>
      </c>
      <c r="M131" s="67"/>
      <c r="N131" s="67"/>
      <c r="O131" s="67">
        <f t="shared" si="39"/>
        <v>5.7541994894056647E-2</v>
      </c>
      <c r="P131" s="67">
        <f t="shared" si="39"/>
        <v>3.1967774941142579</v>
      </c>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row>
    <row r="132" spans="1:70" s="21" customFormat="1" ht="14.45">
      <c r="A132" s="101" t="s">
        <v>250</v>
      </c>
      <c r="B132" s="20">
        <f>(2*(B135+B136+B138))+B137</f>
        <v>0.14583333333333334</v>
      </c>
      <c r="C132" s="20">
        <f t="shared" ref="C132:P132" si="40">(2*(C135+C136+C138))+C137</f>
        <v>0.14583333333333334</v>
      </c>
      <c r="D132" s="20">
        <f t="shared" si="40"/>
        <v>0.14583333333333334</v>
      </c>
      <c r="E132" s="20">
        <f t="shared" si="40"/>
        <v>0.14583333333333334</v>
      </c>
      <c r="F132" s="20">
        <f t="shared" si="40"/>
        <v>0.14583333333333334</v>
      </c>
      <c r="G132" s="20">
        <f t="shared" si="40"/>
        <v>0.14583333333333334</v>
      </c>
      <c r="H132" s="20">
        <f t="shared" si="40"/>
        <v>0.14583333333333334</v>
      </c>
      <c r="I132" s="20">
        <f t="shared" si="40"/>
        <v>0.14583333333333334</v>
      </c>
      <c r="J132" s="20">
        <f t="shared" si="40"/>
        <v>0.14583333333333334</v>
      </c>
      <c r="K132" s="20">
        <f t="shared" si="40"/>
        <v>0.14583333333333334</v>
      </c>
      <c r="L132" s="20">
        <f t="shared" si="40"/>
        <v>0.14583333333333334</v>
      </c>
      <c r="M132" s="20"/>
      <c r="N132" s="20"/>
      <c r="O132" s="20">
        <f t="shared" si="40"/>
        <v>1E-3</v>
      </c>
      <c r="P132" s="20">
        <f t="shared" si="40"/>
        <v>0.25</v>
      </c>
    </row>
    <row r="133" spans="1:70" ht="14.45">
      <c r="A133" s="3" t="s">
        <v>251</v>
      </c>
      <c r="B133" s="20">
        <f>Ability!$B$16</f>
        <v>0.31967774941142579</v>
      </c>
      <c r="C133" s="20">
        <f>Ability!$B$16</f>
        <v>0.31967774941142579</v>
      </c>
      <c r="D133" s="20">
        <f>Ability!$B$16</f>
        <v>0.31967774941142579</v>
      </c>
      <c r="E133" s="20">
        <f>Ability!$B$16</f>
        <v>0.31967774941142579</v>
      </c>
      <c r="F133" s="20">
        <f>Ability!$B$16</f>
        <v>0.31967774941142579</v>
      </c>
      <c r="G133" s="20">
        <f>Ability!$B$16</f>
        <v>0.31967774941142579</v>
      </c>
      <c r="H133" s="20">
        <f>Ability!$B$16</f>
        <v>0.31967774941142579</v>
      </c>
      <c r="I133" s="20">
        <f>Ability!$B$16</f>
        <v>0.31967774941142579</v>
      </c>
      <c r="J133" s="20">
        <f>Ability!$B$16</f>
        <v>0.31967774941142579</v>
      </c>
      <c r="K133" s="20">
        <f>Ability!$B$16</f>
        <v>0.31967774941142579</v>
      </c>
      <c r="L133" s="20">
        <f>Ability!$B$16</f>
        <v>0.31967774941142579</v>
      </c>
      <c r="M133" s="20"/>
      <c r="N133" s="20"/>
      <c r="O133" s="20">
        <f>Ability!$B$16</f>
        <v>0.31967774941142579</v>
      </c>
      <c r="P133" s="20">
        <f>Ability!$B$16</f>
        <v>0.31967774941142579</v>
      </c>
    </row>
    <row r="134" spans="1:70" ht="14.45">
      <c r="A134" s="3" t="s">
        <v>252</v>
      </c>
      <c r="B134" s="26">
        <v>0.4</v>
      </c>
      <c r="C134" s="26">
        <v>0.4</v>
      </c>
      <c r="D134" s="26">
        <v>0.4</v>
      </c>
      <c r="E134" s="26">
        <v>0.4</v>
      </c>
      <c r="F134" s="26">
        <v>0.4</v>
      </c>
      <c r="G134" s="26">
        <v>0.4</v>
      </c>
      <c r="H134" s="26">
        <v>0.4</v>
      </c>
      <c r="I134" s="26">
        <v>0.4</v>
      </c>
      <c r="J134" s="26">
        <v>0.4</v>
      </c>
      <c r="K134" s="26">
        <v>0.4</v>
      </c>
      <c r="L134" s="26">
        <v>0.4</v>
      </c>
      <c r="M134" s="26"/>
      <c r="N134" s="26"/>
      <c r="O134" s="26">
        <v>1.8</v>
      </c>
      <c r="P134" s="26">
        <v>0.4</v>
      </c>
      <c r="Q134" s="7" t="s">
        <v>253</v>
      </c>
    </row>
    <row r="135" spans="1:70" ht="14.45">
      <c r="A135" s="3" t="s">
        <v>254</v>
      </c>
      <c r="B135" s="38">
        <v>0</v>
      </c>
      <c r="C135" s="38">
        <v>0</v>
      </c>
      <c r="D135" s="38">
        <v>0</v>
      </c>
      <c r="E135" s="38">
        <v>0</v>
      </c>
      <c r="F135" s="38">
        <v>0</v>
      </c>
      <c r="G135" s="38">
        <v>0</v>
      </c>
      <c r="H135" s="38">
        <v>0</v>
      </c>
      <c r="I135" s="38">
        <v>0</v>
      </c>
      <c r="J135" s="38">
        <v>0</v>
      </c>
      <c r="K135" s="38">
        <v>0</v>
      </c>
      <c r="L135" s="38">
        <v>0</v>
      </c>
      <c r="M135" s="38"/>
      <c r="N135" s="38"/>
      <c r="O135" s="38">
        <v>0</v>
      </c>
      <c r="P135" s="38">
        <v>0</v>
      </c>
    </row>
    <row r="136" spans="1:70" ht="14.45">
      <c r="A136" s="3" t="s">
        <v>255</v>
      </c>
      <c r="B136" s="38">
        <v>0</v>
      </c>
      <c r="C136" s="38">
        <v>0</v>
      </c>
      <c r="D136" s="38">
        <v>0</v>
      </c>
      <c r="E136" s="38">
        <v>0</v>
      </c>
      <c r="F136" s="38">
        <v>0</v>
      </c>
      <c r="G136" s="38">
        <v>0</v>
      </c>
      <c r="H136" s="38">
        <v>0</v>
      </c>
      <c r="I136" s="38">
        <v>0</v>
      </c>
      <c r="J136" s="38">
        <v>0</v>
      </c>
      <c r="K136" s="38">
        <v>0</v>
      </c>
      <c r="L136" s="38">
        <v>0</v>
      </c>
      <c r="M136" s="38"/>
      <c r="N136" s="38"/>
      <c r="O136" s="38">
        <v>0</v>
      </c>
      <c r="P136" s="38">
        <v>0</v>
      </c>
    </row>
    <row r="137" spans="1:70" s="21" customFormat="1" ht="14.45">
      <c r="A137" s="101" t="s">
        <v>256</v>
      </c>
      <c r="B137" s="55">
        <f>Slaughtering!$C$13</f>
        <v>0.14583333333333334</v>
      </c>
      <c r="C137" s="55">
        <f>Slaughtering!$E$13</f>
        <v>0.14583333333333334</v>
      </c>
      <c r="D137" s="55">
        <f>Slaughtering!$G$13</f>
        <v>0.14583333333333334</v>
      </c>
      <c r="E137" s="55">
        <f>Slaughtering!$I$13</f>
        <v>0.14583333333333334</v>
      </c>
      <c r="F137" s="55">
        <f>Slaughtering!$K$13</f>
        <v>0.14583333333333334</v>
      </c>
      <c r="G137" s="55">
        <f>Slaughtering!$M$13</f>
        <v>0.14583333333333334</v>
      </c>
      <c r="H137" s="55">
        <f>Slaughtering!$O$13</f>
        <v>0.14583333333333334</v>
      </c>
      <c r="I137" s="55">
        <f>Slaughtering!$Q$13</f>
        <v>0.14583333333333334</v>
      </c>
      <c r="J137" s="55">
        <f>Slaughtering!$S$13</f>
        <v>0.14583333333333334</v>
      </c>
      <c r="K137" s="55">
        <f>Slaughtering!$U$13</f>
        <v>0.14583333333333334</v>
      </c>
      <c r="L137" s="55">
        <f>Slaughtering!$W$13</f>
        <v>0.14583333333333334</v>
      </c>
      <c r="M137" s="55"/>
      <c r="N137" s="55"/>
      <c r="O137" s="20">
        <v>1E-3</v>
      </c>
      <c r="P137" s="55">
        <v>0.25</v>
      </c>
      <c r="Q137" s="21" t="s">
        <v>257</v>
      </c>
    </row>
    <row r="138" spans="1:70" ht="14.45">
      <c r="A138" s="148" t="s">
        <v>258</v>
      </c>
      <c r="B138" s="51">
        <v>0</v>
      </c>
      <c r="C138" s="51">
        <v>0</v>
      </c>
      <c r="D138" s="51">
        <v>0</v>
      </c>
      <c r="E138" s="51">
        <v>0</v>
      </c>
      <c r="F138" s="51">
        <v>0</v>
      </c>
      <c r="G138" s="51">
        <v>0</v>
      </c>
      <c r="H138" s="51">
        <v>0</v>
      </c>
      <c r="I138" s="51">
        <v>0</v>
      </c>
      <c r="J138" s="51">
        <v>0</v>
      </c>
      <c r="K138" s="51">
        <v>0</v>
      </c>
      <c r="L138" s="51">
        <v>0</v>
      </c>
      <c r="M138" s="38"/>
      <c r="N138" s="38"/>
      <c r="O138" s="38">
        <v>0</v>
      </c>
      <c r="P138" s="38">
        <v>0</v>
      </c>
    </row>
    <row r="139" spans="1:70" s="7" customFormat="1" ht="14.45">
      <c r="A139" s="68" t="s">
        <v>259</v>
      </c>
      <c r="B139" s="69">
        <f>B142*B141*B140*100</f>
        <v>4.4035905510246658E-3</v>
      </c>
      <c r="C139" s="69">
        <f t="shared" ref="C139:P139" si="41">C142*C141*C140*100</f>
        <v>5.9577989807980767E-3</v>
      </c>
      <c r="D139" s="69">
        <f t="shared" si="41"/>
        <v>4.416542287939443E-3</v>
      </c>
      <c r="E139" s="69">
        <f t="shared" si="41"/>
        <v>3.0954651226320442E-3</v>
      </c>
      <c r="F139" s="69">
        <f t="shared" si="41"/>
        <v>2.214747012427111E-3</v>
      </c>
      <c r="G139" s="69">
        <f t="shared" si="41"/>
        <v>3.3739274662997801E-3</v>
      </c>
      <c r="H139" s="69">
        <f t="shared" si="41"/>
        <v>3.0954651226320442E-3</v>
      </c>
      <c r="I139" s="69">
        <f t="shared" si="41"/>
        <v>4.4100664194820539E-3</v>
      </c>
      <c r="J139" s="69">
        <f t="shared" si="41"/>
        <v>2.214747012427111E-3</v>
      </c>
      <c r="K139" s="69">
        <f t="shared" si="41"/>
        <v>1.1786080592448367E-3</v>
      </c>
      <c r="L139" s="69">
        <f t="shared" si="41"/>
        <v>5.6987642425025079E-4</v>
      </c>
      <c r="M139" s="69"/>
      <c r="N139" s="69"/>
      <c r="O139" s="69">
        <f t="shared" si="41"/>
        <v>8.2062205092036115E-4</v>
      </c>
      <c r="P139" s="69">
        <f t="shared" si="41"/>
        <v>3.446612613865517E-2</v>
      </c>
      <c r="Q139" t="s">
        <v>260</v>
      </c>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row>
    <row r="140" spans="1:70" s="21" customFormat="1" ht="14.45">
      <c r="A140" s="101" t="s">
        <v>261</v>
      </c>
      <c r="B140" s="20">
        <f>(2*(B143+B144+B146))+B145</f>
        <v>6.9444444444444447E-4</v>
      </c>
      <c r="C140" s="20">
        <f t="shared" ref="C140:P140" si="42">(2*(C143+C144+C146))+C145</f>
        <v>6.9444444444444447E-4</v>
      </c>
      <c r="D140" s="20">
        <f t="shared" si="42"/>
        <v>6.9444444444444447E-4</v>
      </c>
      <c r="E140" s="20">
        <f t="shared" si="42"/>
        <v>6.9444444444444447E-4</v>
      </c>
      <c r="F140" s="20">
        <f t="shared" si="42"/>
        <v>6.9444444444444447E-4</v>
      </c>
      <c r="G140" s="20">
        <f t="shared" si="42"/>
        <v>6.9444444444444447E-4</v>
      </c>
      <c r="H140" s="20">
        <f t="shared" si="42"/>
        <v>6.9444444444444447E-4</v>
      </c>
      <c r="I140" s="20">
        <f t="shared" si="42"/>
        <v>6.9444444444444447E-4</v>
      </c>
      <c r="J140" s="20">
        <f t="shared" si="42"/>
        <v>6.9444444444444447E-4</v>
      </c>
      <c r="K140" s="20">
        <f t="shared" si="42"/>
        <v>6.9444444444444447E-4</v>
      </c>
      <c r="L140" s="20">
        <f t="shared" si="42"/>
        <v>6.9444444444444447E-4</v>
      </c>
      <c r="M140" s="20"/>
      <c r="N140" s="20"/>
      <c r="O140" s="20">
        <f t="shared" si="42"/>
        <v>1E-3</v>
      </c>
      <c r="P140" s="20">
        <f t="shared" si="42"/>
        <v>4.2000000000000003E-2</v>
      </c>
    </row>
    <row r="141" spans="1:70" ht="14.45">
      <c r="A141" s="3" t="s">
        <v>262</v>
      </c>
      <c r="B141" s="107">
        <f>Ability!$B$17</f>
        <v>0.93252505786404671</v>
      </c>
      <c r="C141" s="107">
        <f>Ability!$B$17</f>
        <v>0.93252505786404671</v>
      </c>
      <c r="D141" s="107">
        <f>Ability!$B$17</f>
        <v>0.93252505786404671</v>
      </c>
      <c r="E141" s="107">
        <f>Ability!$B$17</f>
        <v>0.93252505786404671</v>
      </c>
      <c r="F141" s="107">
        <f>Ability!$B$17</f>
        <v>0.93252505786404671</v>
      </c>
      <c r="G141" s="107">
        <f>Ability!$B$17</f>
        <v>0.93252505786404671</v>
      </c>
      <c r="H141" s="107">
        <f>Ability!$B$17</f>
        <v>0.93252505786404671</v>
      </c>
      <c r="I141" s="107">
        <f>Ability!$B$17</f>
        <v>0.93252505786404671</v>
      </c>
      <c r="J141" s="107">
        <f>Ability!$B$17</f>
        <v>0.93252505786404671</v>
      </c>
      <c r="K141" s="107">
        <f>Ability!$B$17</f>
        <v>0.93252505786404671</v>
      </c>
      <c r="L141" s="107">
        <f>Ability!$B$17</f>
        <v>0.93252505786404671</v>
      </c>
      <c r="M141" s="107"/>
      <c r="N141" s="107"/>
      <c r="O141" s="107">
        <f>Ability!$B$17</f>
        <v>0.93252505786404671</v>
      </c>
      <c r="P141" s="107">
        <f>Ability!$B$17</f>
        <v>0.93252505786404671</v>
      </c>
    </row>
    <row r="142" spans="1:70" ht="14.45">
      <c r="A142" s="102" t="s">
        <v>263</v>
      </c>
      <c r="B142" s="106">
        <v>6.8000000000000005E-2</v>
      </c>
      <c r="C142" s="106">
        <v>9.1999999999999998E-2</v>
      </c>
      <c r="D142" s="106">
        <v>6.8199999999999997E-2</v>
      </c>
      <c r="E142" s="106">
        <v>4.7800000000000002E-2</v>
      </c>
      <c r="F142" s="106">
        <v>3.4200000000000001E-2</v>
      </c>
      <c r="G142" s="106">
        <v>5.21E-2</v>
      </c>
      <c r="H142" s="106">
        <v>4.7800000000000002E-2</v>
      </c>
      <c r="I142" s="106">
        <v>6.8099999999999994E-2</v>
      </c>
      <c r="J142" s="106">
        <v>3.4200000000000001E-2</v>
      </c>
      <c r="K142" s="106">
        <v>1.8200000000000001E-2</v>
      </c>
      <c r="L142" s="106">
        <v>8.8000000000000005E-3</v>
      </c>
      <c r="M142" s="106"/>
      <c r="N142" s="106"/>
      <c r="O142" s="106">
        <v>8.8000000000000005E-3</v>
      </c>
      <c r="P142" s="106">
        <v>8.8000000000000005E-3</v>
      </c>
    </row>
    <row r="143" spans="1:70" ht="14.45">
      <c r="A143" s="3" t="s">
        <v>264</v>
      </c>
      <c r="B143" s="38">
        <v>0</v>
      </c>
      <c r="C143" s="38">
        <v>0</v>
      </c>
      <c r="D143" s="38">
        <v>0</v>
      </c>
      <c r="E143" s="38">
        <v>0</v>
      </c>
      <c r="F143" s="38">
        <v>0</v>
      </c>
      <c r="G143" s="38">
        <v>0</v>
      </c>
      <c r="H143" s="38">
        <v>0</v>
      </c>
      <c r="I143" s="38">
        <v>0</v>
      </c>
      <c r="J143" s="38">
        <v>0</v>
      </c>
      <c r="K143" s="38">
        <v>0</v>
      </c>
      <c r="L143" s="38">
        <v>0</v>
      </c>
      <c r="M143" s="38"/>
      <c r="N143" s="38"/>
      <c r="O143" s="38">
        <v>0</v>
      </c>
      <c r="P143" s="38">
        <v>0</v>
      </c>
    </row>
    <row r="144" spans="1:70" ht="14.45">
      <c r="A144" s="3" t="s">
        <v>265</v>
      </c>
      <c r="B144" s="38">
        <v>0</v>
      </c>
      <c r="C144" s="38">
        <v>0</v>
      </c>
      <c r="D144" s="38">
        <v>0</v>
      </c>
      <c r="E144" s="38">
        <v>0</v>
      </c>
      <c r="F144" s="38">
        <v>0</v>
      </c>
      <c r="G144" s="38">
        <v>0</v>
      </c>
      <c r="H144" s="38">
        <v>0</v>
      </c>
      <c r="I144" s="38">
        <v>0</v>
      </c>
      <c r="J144" s="38">
        <v>0</v>
      </c>
      <c r="K144" s="38">
        <v>0</v>
      </c>
      <c r="L144" s="38">
        <v>0</v>
      </c>
      <c r="M144" s="38"/>
      <c r="N144" s="38"/>
      <c r="O144" s="38">
        <v>0</v>
      </c>
      <c r="P144" s="38">
        <v>0</v>
      </c>
    </row>
    <row r="145" spans="1:70" ht="14.45">
      <c r="A145" s="3" t="s">
        <v>266</v>
      </c>
      <c r="B145" s="20">
        <f>Slaughtering!$C$14</f>
        <v>6.9444444444444447E-4</v>
      </c>
      <c r="C145" s="20">
        <f>Slaughtering!$E$14</f>
        <v>6.9444444444444447E-4</v>
      </c>
      <c r="D145" s="20">
        <f>Slaughtering!$G$14</f>
        <v>6.9444444444444447E-4</v>
      </c>
      <c r="E145" s="20">
        <f>Slaughtering!$I$14</f>
        <v>6.9444444444444447E-4</v>
      </c>
      <c r="F145" s="20">
        <f>Slaughtering!$K$14</f>
        <v>6.9444444444444447E-4</v>
      </c>
      <c r="G145" s="20">
        <f>Slaughtering!$M$14</f>
        <v>6.9444444444444447E-4</v>
      </c>
      <c r="H145" s="20">
        <f>Slaughtering!$O$14</f>
        <v>6.9444444444444447E-4</v>
      </c>
      <c r="I145" s="20">
        <f>Slaughtering!$Q$14</f>
        <v>6.9444444444444447E-4</v>
      </c>
      <c r="J145" s="20">
        <f>Slaughtering!$S$14</f>
        <v>6.9444444444444447E-4</v>
      </c>
      <c r="K145" s="20">
        <f>Slaughtering!$U$14</f>
        <v>6.9444444444444447E-4</v>
      </c>
      <c r="L145" s="20">
        <f>Slaughtering!$W$14</f>
        <v>6.9444444444444447E-4</v>
      </c>
      <c r="M145" s="20"/>
      <c r="N145" s="20"/>
      <c r="O145" s="20">
        <v>1E-3</v>
      </c>
      <c r="P145" s="173">
        <v>4.2000000000000003E-2</v>
      </c>
      <c r="Q145" s="212" t="s">
        <v>267</v>
      </c>
    </row>
    <row r="146" spans="1:70" ht="14.45">
      <c r="A146" s="160" t="s">
        <v>268</v>
      </c>
      <c r="B146" s="137">
        <v>0</v>
      </c>
      <c r="C146" s="137">
        <v>0</v>
      </c>
      <c r="D146" s="137">
        <v>0</v>
      </c>
      <c r="E146" s="137">
        <v>0</v>
      </c>
      <c r="F146" s="137">
        <v>0</v>
      </c>
      <c r="G146" s="137">
        <v>0</v>
      </c>
      <c r="H146" s="137">
        <v>0</v>
      </c>
      <c r="I146" s="137">
        <v>0</v>
      </c>
      <c r="J146" s="137">
        <v>0</v>
      </c>
      <c r="K146" s="137">
        <v>0</v>
      </c>
      <c r="L146" s="137">
        <v>0</v>
      </c>
      <c r="M146" s="38"/>
      <c r="N146" s="38"/>
      <c r="O146" s="38">
        <v>0</v>
      </c>
      <c r="P146" s="38">
        <v>0</v>
      </c>
    </row>
    <row r="147" spans="1:70" s="7" customFormat="1" ht="14.45">
      <c r="A147" s="68" t="s">
        <v>269</v>
      </c>
      <c r="B147" s="69">
        <f>B150*B149*B148*100</f>
        <v>2.2222222222222222E-3</v>
      </c>
      <c r="C147" s="69">
        <f t="shared" ref="C147:P147" si="43">C150*C149*C148*100</f>
        <v>2.2222222222222222E-3</v>
      </c>
      <c r="D147" s="69">
        <f t="shared" si="43"/>
        <v>2.2222222222222222E-3</v>
      </c>
      <c r="E147" s="69">
        <f t="shared" si="43"/>
        <v>2.2222222222222222E-3</v>
      </c>
      <c r="F147" s="69">
        <f t="shared" si="43"/>
        <v>2.2222222222222222E-3</v>
      </c>
      <c r="G147" s="69">
        <f t="shared" si="43"/>
        <v>2.2222222222222222E-3</v>
      </c>
      <c r="H147" s="69">
        <f t="shared" si="43"/>
        <v>2.2222222222222222E-3</v>
      </c>
      <c r="I147" s="69">
        <f t="shared" si="43"/>
        <v>2.2222222222222222E-3</v>
      </c>
      <c r="J147" s="69">
        <f t="shared" si="43"/>
        <v>2.2222222222222222E-3</v>
      </c>
      <c r="K147" s="69">
        <f t="shared" si="43"/>
        <v>2.2222222222222222E-3</v>
      </c>
      <c r="L147" s="69">
        <f t="shared" si="43"/>
        <v>2.2222222222222222E-3</v>
      </c>
      <c r="M147" s="69">
        <v>0</v>
      </c>
      <c r="N147" s="69">
        <v>0</v>
      </c>
      <c r="O147" s="69">
        <f t="shared" si="43"/>
        <v>3.1999999999999997E-3</v>
      </c>
      <c r="P147" s="69">
        <f t="shared" si="43"/>
        <v>0.13440000000000002</v>
      </c>
      <c r="Q147" t="s">
        <v>270</v>
      </c>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row>
    <row r="148" spans="1:70" s="21" customFormat="1" ht="14.45">
      <c r="A148" s="101" t="s">
        <v>271</v>
      </c>
      <c r="B148" s="20">
        <f>(2*(B151+B152+B154))+B153</f>
        <v>6.9444444444444447E-4</v>
      </c>
      <c r="C148" s="20">
        <f t="shared" ref="C148:P148" si="44">(2*(C151+C152+C154))+C153</f>
        <v>6.9444444444444447E-4</v>
      </c>
      <c r="D148" s="20">
        <f t="shared" si="44"/>
        <v>6.9444444444444447E-4</v>
      </c>
      <c r="E148" s="20">
        <f t="shared" si="44"/>
        <v>6.9444444444444447E-4</v>
      </c>
      <c r="F148" s="20">
        <f t="shared" si="44"/>
        <v>6.9444444444444447E-4</v>
      </c>
      <c r="G148" s="20">
        <f t="shared" si="44"/>
        <v>6.9444444444444447E-4</v>
      </c>
      <c r="H148" s="20">
        <f t="shared" si="44"/>
        <v>6.9444444444444447E-4</v>
      </c>
      <c r="I148" s="20">
        <f t="shared" si="44"/>
        <v>6.9444444444444447E-4</v>
      </c>
      <c r="J148" s="20">
        <f t="shared" si="44"/>
        <v>6.9444444444444447E-4</v>
      </c>
      <c r="K148" s="20">
        <f t="shared" si="44"/>
        <v>6.9444444444444447E-4</v>
      </c>
      <c r="L148" s="20">
        <f t="shared" si="44"/>
        <v>6.9444444444444447E-4</v>
      </c>
      <c r="M148" s="20">
        <v>0</v>
      </c>
      <c r="N148" s="20">
        <v>0</v>
      </c>
      <c r="O148" s="20">
        <f t="shared" si="44"/>
        <v>1E-3</v>
      </c>
      <c r="P148" s="20">
        <f t="shared" si="44"/>
        <v>4.2000000000000003E-2</v>
      </c>
    </row>
    <row r="149" spans="1:70" ht="14.45">
      <c r="A149" s="3" t="s">
        <v>272</v>
      </c>
      <c r="B149" s="107">
        <f>Ability!$B$18</f>
        <v>1</v>
      </c>
      <c r="C149" s="107">
        <f>Ability!$B$18</f>
        <v>1</v>
      </c>
      <c r="D149" s="107">
        <f>Ability!$B$18</f>
        <v>1</v>
      </c>
      <c r="E149" s="107">
        <f>Ability!$B$18</f>
        <v>1</v>
      </c>
      <c r="F149" s="107">
        <f>Ability!$B$18</f>
        <v>1</v>
      </c>
      <c r="G149" s="107">
        <f>Ability!$B$18</f>
        <v>1</v>
      </c>
      <c r="H149" s="107">
        <f>Ability!$B$18</f>
        <v>1</v>
      </c>
      <c r="I149" s="107">
        <f>Ability!$B$18</f>
        <v>1</v>
      </c>
      <c r="J149" s="107">
        <f>Ability!$B$18</f>
        <v>1</v>
      </c>
      <c r="K149" s="107">
        <f>Ability!$B$18</f>
        <v>1</v>
      </c>
      <c r="L149" s="107">
        <f>Ability!$B$18</f>
        <v>1</v>
      </c>
      <c r="M149" s="107">
        <v>0</v>
      </c>
      <c r="N149" s="107">
        <v>0</v>
      </c>
      <c r="O149" s="107">
        <f>Ability!$B$18</f>
        <v>1</v>
      </c>
      <c r="P149" s="107">
        <f>Ability!$B$18</f>
        <v>1</v>
      </c>
    </row>
    <row r="150" spans="1:70" ht="14.45">
      <c r="A150" s="102" t="s">
        <v>273</v>
      </c>
      <c r="B150" s="106">
        <v>3.2000000000000001E-2</v>
      </c>
      <c r="C150" s="106">
        <v>3.2000000000000001E-2</v>
      </c>
      <c r="D150" s="106">
        <v>3.2000000000000001E-2</v>
      </c>
      <c r="E150" s="106">
        <v>3.2000000000000001E-2</v>
      </c>
      <c r="F150" s="106">
        <v>3.2000000000000001E-2</v>
      </c>
      <c r="G150" s="106">
        <v>3.2000000000000001E-2</v>
      </c>
      <c r="H150" s="106">
        <v>3.2000000000000001E-2</v>
      </c>
      <c r="I150" s="106">
        <v>3.2000000000000001E-2</v>
      </c>
      <c r="J150" s="106">
        <v>3.2000000000000001E-2</v>
      </c>
      <c r="K150" s="106">
        <v>3.2000000000000001E-2</v>
      </c>
      <c r="L150" s="106">
        <v>3.2000000000000001E-2</v>
      </c>
      <c r="M150" s="106">
        <v>0</v>
      </c>
      <c r="N150" s="106">
        <v>0</v>
      </c>
      <c r="O150" s="106">
        <v>3.2000000000000001E-2</v>
      </c>
      <c r="P150" s="106">
        <v>3.2000000000000001E-2</v>
      </c>
    </row>
    <row r="151" spans="1:70" ht="14.45">
      <c r="A151" s="3" t="s">
        <v>274</v>
      </c>
      <c r="B151" s="38">
        <v>0</v>
      </c>
      <c r="C151" s="38">
        <v>0</v>
      </c>
      <c r="D151" s="38">
        <v>0</v>
      </c>
      <c r="E151" s="38">
        <v>0</v>
      </c>
      <c r="F151" s="38">
        <v>0</v>
      </c>
      <c r="G151" s="38">
        <v>0</v>
      </c>
      <c r="H151" s="38">
        <v>0</v>
      </c>
      <c r="I151" s="38">
        <v>0</v>
      </c>
      <c r="J151" s="38">
        <v>0</v>
      </c>
      <c r="K151" s="38">
        <v>0</v>
      </c>
      <c r="L151" s="38">
        <v>0</v>
      </c>
      <c r="M151" s="38"/>
      <c r="N151" s="38"/>
      <c r="O151" s="38">
        <v>0</v>
      </c>
      <c r="P151" s="38">
        <v>0</v>
      </c>
    </row>
    <row r="152" spans="1:70" ht="14.45">
      <c r="A152" s="3" t="s">
        <v>275</v>
      </c>
      <c r="B152" s="38">
        <v>0</v>
      </c>
      <c r="C152" s="38">
        <v>0</v>
      </c>
      <c r="D152" s="38">
        <v>0</v>
      </c>
      <c r="E152" s="38">
        <v>0</v>
      </c>
      <c r="F152" s="38">
        <v>0</v>
      </c>
      <c r="G152" s="38">
        <v>0</v>
      </c>
      <c r="H152" s="38">
        <v>0</v>
      </c>
      <c r="I152" s="38">
        <v>0</v>
      </c>
      <c r="J152" s="38">
        <v>0</v>
      </c>
      <c r="K152" s="38">
        <v>0</v>
      </c>
      <c r="L152" s="38">
        <v>0</v>
      </c>
      <c r="M152" s="38"/>
      <c r="N152" s="38"/>
      <c r="O152" s="38">
        <v>0</v>
      </c>
      <c r="P152" s="38">
        <v>0</v>
      </c>
    </row>
    <row r="153" spans="1:70" ht="14.45">
      <c r="A153" s="3" t="s">
        <v>276</v>
      </c>
      <c r="B153" s="20">
        <f>Slaughtering!$C$14</f>
        <v>6.9444444444444447E-4</v>
      </c>
      <c r="C153" s="20">
        <f>Slaughtering!$E$14</f>
        <v>6.9444444444444447E-4</v>
      </c>
      <c r="D153" s="20">
        <f>Slaughtering!$G$14</f>
        <v>6.9444444444444447E-4</v>
      </c>
      <c r="E153" s="20">
        <f>Slaughtering!$I$14</f>
        <v>6.9444444444444447E-4</v>
      </c>
      <c r="F153" s="20">
        <f>Slaughtering!$K$14</f>
        <v>6.9444444444444447E-4</v>
      </c>
      <c r="G153" s="20">
        <f>Slaughtering!$M$14</f>
        <v>6.9444444444444447E-4</v>
      </c>
      <c r="H153" s="20">
        <f>Slaughtering!$O$14</f>
        <v>6.9444444444444447E-4</v>
      </c>
      <c r="I153" s="20">
        <f>Slaughtering!$Q$14</f>
        <v>6.9444444444444447E-4</v>
      </c>
      <c r="J153" s="20">
        <f>Slaughtering!$S$14</f>
        <v>6.9444444444444447E-4</v>
      </c>
      <c r="K153" s="20">
        <f>Slaughtering!$U$14</f>
        <v>6.9444444444444447E-4</v>
      </c>
      <c r="L153" s="20">
        <f>Slaughtering!$W$14</f>
        <v>6.9444444444444447E-4</v>
      </c>
      <c r="M153" s="20"/>
      <c r="N153" s="20"/>
      <c r="O153" s="20">
        <v>1E-3</v>
      </c>
      <c r="P153" s="20">
        <v>4.2000000000000003E-2</v>
      </c>
    </row>
    <row r="154" spans="1:70" ht="14.45">
      <c r="A154" s="160" t="s">
        <v>277</v>
      </c>
      <c r="B154" s="137">
        <v>0</v>
      </c>
      <c r="C154" s="137">
        <v>0</v>
      </c>
      <c r="D154" s="137">
        <v>0</v>
      </c>
      <c r="E154" s="137">
        <v>0</v>
      </c>
      <c r="F154" s="137">
        <v>0</v>
      </c>
      <c r="G154" s="137">
        <v>0</v>
      </c>
      <c r="H154" s="137">
        <v>0</v>
      </c>
      <c r="I154" s="137">
        <v>0</v>
      </c>
      <c r="J154" s="137">
        <v>0</v>
      </c>
      <c r="K154" s="137">
        <v>0</v>
      </c>
      <c r="L154" s="137">
        <v>0</v>
      </c>
      <c r="M154" s="38"/>
      <c r="N154" s="38"/>
      <c r="O154" s="38">
        <v>0</v>
      </c>
      <c r="P154" s="38">
        <v>0</v>
      </c>
    </row>
    <row r="155" spans="1:70" s="7" customFormat="1" ht="14.45">
      <c r="A155" s="68" t="s">
        <v>278</v>
      </c>
      <c r="B155" s="69">
        <f>B158*B157*B156*100</f>
        <v>3.1305653789225861E-2</v>
      </c>
      <c r="C155" s="69">
        <f t="shared" ref="C155:P155" si="45">C158*C157*C156*100</f>
        <v>3.1305653789225861E-2</v>
      </c>
      <c r="D155" s="69">
        <f t="shared" si="45"/>
        <v>3.1305653789225861E-2</v>
      </c>
      <c r="E155" s="69">
        <f t="shared" si="45"/>
        <v>2.5497372111350624E-2</v>
      </c>
      <c r="F155" s="69">
        <f t="shared" si="45"/>
        <v>3.1305653789225861E-2</v>
      </c>
      <c r="G155" s="69">
        <f t="shared" si="45"/>
        <v>4.1002530827712484E-2</v>
      </c>
      <c r="H155" s="69">
        <f t="shared" si="45"/>
        <v>2.5497372111350624E-2</v>
      </c>
      <c r="I155" s="69">
        <f t="shared" si="45"/>
        <v>3.1305653789225861E-2</v>
      </c>
      <c r="J155" s="69">
        <f t="shared" si="45"/>
        <v>3.1305653789225861E-2</v>
      </c>
      <c r="K155" s="69">
        <f t="shared" si="45"/>
        <v>3.7409271823603235E-2</v>
      </c>
      <c r="L155" s="69">
        <f t="shared" si="45"/>
        <v>3.1305653789225861E-2</v>
      </c>
      <c r="M155" s="69"/>
      <c r="N155" s="69"/>
      <c r="O155" s="69">
        <f t="shared" si="45"/>
        <v>4.5080141456485243E-2</v>
      </c>
      <c r="P155" s="69">
        <f t="shared" si="45"/>
        <v>1.8933659411723802</v>
      </c>
      <c r="Q155" t="s">
        <v>279</v>
      </c>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row>
    <row r="156" spans="1:70" s="21" customFormat="1" ht="14.45">
      <c r="A156" s="101" t="s">
        <v>280</v>
      </c>
      <c r="B156" s="20">
        <f>(2*(B159+B160+B162))+B161</f>
        <v>6.9444444444444447E-4</v>
      </c>
      <c r="C156" s="20">
        <f t="shared" ref="C156:P156" si="46">(2*(C159+C160+C162))+C161</f>
        <v>6.9444444444444447E-4</v>
      </c>
      <c r="D156" s="20">
        <f t="shared" si="46"/>
        <v>6.9444444444444447E-4</v>
      </c>
      <c r="E156" s="20">
        <f t="shared" si="46"/>
        <v>6.9444444444444447E-4</v>
      </c>
      <c r="F156" s="20">
        <f t="shared" si="46"/>
        <v>6.9444444444444447E-4</v>
      </c>
      <c r="G156" s="20">
        <f t="shared" si="46"/>
        <v>6.9444444444444447E-4</v>
      </c>
      <c r="H156" s="20">
        <f t="shared" si="46"/>
        <v>6.9444444444444447E-4</v>
      </c>
      <c r="I156" s="20">
        <f t="shared" si="46"/>
        <v>6.9444444444444447E-4</v>
      </c>
      <c r="J156" s="20">
        <f t="shared" si="46"/>
        <v>6.9444444444444447E-4</v>
      </c>
      <c r="K156" s="20">
        <f t="shared" si="46"/>
        <v>6.9444444444444447E-4</v>
      </c>
      <c r="L156" s="20">
        <f t="shared" si="46"/>
        <v>6.9444444444444447E-4</v>
      </c>
      <c r="M156" s="20"/>
      <c r="N156" s="20"/>
      <c r="O156" s="20">
        <f t="shared" si="46"/>
        <v>1E-3</v>
      </c>
      <c r="P156" s="20">
        <f t="shared" si="46"/>
        <v>4.2000000000000003E-2</v>
      </c>
    </row>
    <row r="157" spans="1:70" ht="14.45">
      <c r="A157" s="3" t="s">
        <v>281</v>
      </c>
      <c r="B157" s="107">
        <f>Ability!$B$19</f>
        <v>0.70880725560511382</v>
      </c>
      <c r="C157" s="107">
        <f>Ability!$B$19</f>
        <v>0.70880725560511382</v>
      </c>
      <c r="D157" s="107">
        <f>Ability!$B$19</f>
        <v>0.70880725560511382</v>
      </c>
      <c r="E157" s="107">
        <f>Ability!$B$19</f>
        <v>0.70880725560511382</v>
      </c>
      <c r="F157" s="107">
        <f>Ability!$B$19</f>
        <v>0.70880725560511382</v>
      </c>
      <c r="G157" s="107">
        <f>Ability!$B$19</f>
        <v>0.70880725560511382</v>
      </c>
      <c r="H157" s="107">
        <f>Ability!$B$19</f>
        <v>0.70880725560511382</v>
      </c>
      <c r="I157" s="107">
        <f>Ability!$B$19</f>
        <v>0.70880725560511382</v>
      </c>
      <c r="J157" s="107">
        <f>Ability!$B$19</f>
        <v>0.70880725560511382</v>
      </c>
      <c r="K157" s="107">
        <f>Ability!$B$19</f>
        <v>0.70880725560511382</v>
      </c>
      <c r="L157" s="107">
        <f>Ability!$B$19</f>
        <v>0.70880725560511382</v>
      </c>
      <c r="M157" s="107"/>
      <c r="N157" s="107"/>
      <c r="O157" s="107">
        <f>Ability!$B$19</f>
        <v>0.70880725560511382</v>
      </c>
      <c r="P157" s="107">
        <f>Ability!$B$19</f>
        <v>0.70880725560511382</v>
      </c>
    </row>
    <row r="158" spans="1:70" ht="14.45">
      <c r="A158" s="102" t="s">
        <v>282</v>
      </c>
      <c r="B158" s="106">
        <v>0.63600000000000001</v>
      </c>
      <c r="C158" s="106">
        <v>0.63600000000000001</v>
      </c>
      <c r="D158" s="106">
        <v>0.63600000000000001</v>
      </c>
      <c r="E158" s="106">
        <v>0.51800000000000002</v>
      </c>
      <c r="F158" s="106">
        <v>0.63600000000000001</v>
      </c>
      <c r="G158" s="106">
        <v>0.83299999999999996</v>
      </c>
      <c r="H158" s="106">
        <v>0.51800000000000002</v>
      </c>
      <c r="I158" s="106">
        <v>0.63600000000000001</v>
      </c>
      <c r="J158" s="106">
        <v>0.63600000000000001</v>
      </c>
      <c r="K158" s="106">
        <v>0.76</v>
      </c>
      <c r="L158" s="106">
        <v>0.63600000000000001</v>
      </c>
      <c r="M158" s="106"/>
      <c r="N158" s="106"/>
      <c r="O158" s="106">
        <v>0.63600000000000001</v>
      </c>
      <c r="P158" s="106">
        <v>0.63600000000000001</v>
      </c>
    </row>
    <row r="159" spans="1:70" ht="14.45">
      <c r="A159" s="3" t="s">
        <v>283</v>
      </c>
      <c r="B159" s="38">
        <v>0</v>
      </c>
      <c r="C159" s="38">
        <v>0</v>
      </c>
      <c r="D159" s="38">
        <v>0</v>
      </c>
      <c r="E159" s="38">
        <v>0</v>
      </c>
      <c r="F159" s="38">
        <v>0</v>
      </c>
      <c r="G159" s="38">
        <v>0</v>
      </c>
      <c r="H159" s="38">
        <v>0</v>
      </c>
      <c r="I159" s="38">
        <v>0</v>
      </c>
      <c r="J159" s="38">
        <v>0</v>
      </c>
      <c r="K159" s="38">
        <v>0</v>
      </c>
      <c r="L159" s="38">
        <v>0</v>
      </c>
      <c r="M159" s="38"/>
      <c r="N159" s="38"/>
      <c r="O159" s="38">
        <v>0</v>
      </c>
      <c r="P159" s="38">
        <v>0</v>
      </c>
    </row>
    <row r="160" spans="1:70" ht="14.45">
      <c r="A160" s="3" t="s">
        <v>284</v>
      </c>
      <c r="B160" s="38">
        <v>0</v>
      </c>
      <c r="C160" s="38">
        <v>0</v>
      </c>
      <c r="D160" s="38">
        <v>0</v>
      </c>
      <c r="E160" s="38">
        <v>0</v>
      </c>
      <c r="F160" s="38">
        <v>0</v>
      </c>
      <c r="G160" s="38">
        <v>0</v>
      </c>
      <c r="H160" s="38">
        <v>0</v>
      </c>
      <c r="I160" s="38">
        <v>0</v>
      </c>
      <c r="J160" s="38">
        <v>0</v>
      </c>
      <c r="K160" s="38">
        <v>0</v>
      </c>
      <c r="L160" s="38">
        <v>0</v>
      </c>
      <c r="M160" s="38"/>
      <c r="N160" s="38"/>
      <c r="O160" s="38">
        <v>0</v>
      </c>
      <c r="P160" s="38">
        <v>0</v>
      </c>
    </row>
    <row r="161" spans="1:70" ht="14.45">
      <c r="A161" s="3" t="s">
        <v>285</v>
      </c>
      <c r="B161" s="20">
        <f>Slaughtering!$C$14</f>
        <v>6.9444444444444447E-4</v>
      </c>
      <c r="C161" s="20">
        <f>Slaughtering!$E$14</f>
        <v>6.9444444444444447E-4</v>
      </c>
      <c r="D161" s="20">
        <f>Slaughtering!$G$14</f>
        <v>6.9444444444444447E-4</v>
      </c>
      <c r="E161" s="20">
        <f>Slaughtering!$I$14</f>
        <v>6.9444444444444447E-4</v>
      </c>
      <c r="F161" s="20">
        <f>Slaughtering!$K$14</f>
        <v>6.9444444444444447E-4</v>
      </c>
      <c r="G161" s="20">
        <f>Slaughtering!$M$14</f>
        <v>6.9444444444444447E-4</v>
      </c>
      <c r="H161" s="20">
        <f>Slaughtering!$O$14</f>
        <v>6.9444444444444447E-4</v>
      </c>
      <c r="I161" s="20">
        <f>Slaughtering!$Q$14</f>
        <v>6.9444444444444447E-4</v>
      </c>
      <c r="J161" s="20">
        <f>Slaughtering!$S$14</f>
        <v>6.9444444444444447E-4</v>
      </c>
      <c r="K161" s="20">
        <f>Slaughtering!$U$14</f>
        <v>6.9444444444444447E-4</v>
      </c>
      <c r="L161" s="20">
        <f>Slaughtering!$W$14</f>
        <v>6.9444444444444447E-4</v>
      </c>
      <c r="M161" s="20"/>
      <c r="N161" s="20"/>
      <c r="O161" s="20">
        <v>1E-3</v>
      </c>
      <c r="P161" s="20">
        <v>4.2000000000000003E-2</v>
      </c>
    </row>
    <row r="162" spans="1:70" ht="14.45">
      <c r="A162" s="160" t="s">
        <v>286</v>
      </c>
      <c r="B162" s="137">
        <v>0</v>
      </c>
      <c r="C162" s="137">
        <v>0</v>
      </c>
      <c r="D162" s="137">
        <v>0</v>
      </c>
      <c r="E162" s="137">
        <v>0</v>
      </c>
      <c r="F162" s="137">
        <v>0</v>
      </c>
      <c r="G162" s="137">
        <v>0</v>
      </c>
      <c r="H162" s="137">
        <v>0</v>
      </c>
      <c r="I162" s="137">
        <v>0</v>
      </c>
      <c r="J162" s="137">
        <v>0</v>
      </c>
      <c r="K162" s="137">
        <v>0</v>
      </c>
      <c r="L162" s="137">
        <v>0</v>
      </c>
      <c r="M162" s="38"/>
      <c r="N162" s="38"/>
      <c r="O162" s="38">
        <v>0</v>
      </c>
      <c r="P162" s="38">
        <v>0</v>
      </c>
    </row>
    <row r="163" spans="1:70" s="7" customFormat="1" ht="14.45">
      <c r="A163" s="154" t="s">
        <v>287</v>
      </c>
      <c r="B163" s="155">
        <f>B166*B165*B164*100</f>
        <v>0.27459417235858385</v>
      </c>
      <c r="C163" s="155">
        <f t="shared" ref="C163:P163" si="47">C166*C165*C164*100</f>
        <v>0.27459417235858385</v>
      </c>
      <c r="D163" s="155">
        <f t="shared" si="47"/>
        <v>0.27459417235858385</v>
      </c>
      <c r="E163" s="155">
        <f t="shared" si="47"/>
        <v>0.27459417235858385</v>
      </c>
      <c r="F163" s="155">
        <f t="shared" si="47"/>
        <v>0.27459417235858385</v>
      </c>
      <c r="G163" s="155">
        <f t="shared" si="47"/>
        <v>0.27459417235858385</v>
      </c>
      <c r="H163" s="155">
        <f t="shared" si="47"/>
        <v>0.27459417235858385</v>
      </c>
      <c r="I163" s="155">
        <f t="shared" si="47"/>
        <v>0.27459417235858385</v>
      </c>
      <c r="J163" s="155">
        <f t="shared" si="47"/>
        <v>0.27459417235858385</v>
      </c>
      <c r="K163" s="155">
        <f t="shared" si="47"/>
        <v>0.27459417235858385</v>
      </c>
      <c r="L163" s="155">
        <f t="shared" si="47"/>
        <v>0.27459417235858385</v>
      </c>
      <c r="M163" s="155"/>
      <c r="N163" s="155"/>
      <c r="O163" s="155">
        <f t="shared" si="47"/>
        <v>0.39541560819636079</v>
      </c>
      <c r="P163" s="155">
        <f t="shared" si="47"/>
        <v>16.607455544247156</v>
      </c>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row>
    <row r="164" spans="1:70" s="21" customFormat="1" ht="14.45">
      <c r="A164" s="101" t="s">
        <v>288</v>
      </c>
      <c r="B164" s="20">
        <f>(2*(B167+B168+B170))+B169</f>
        <v>6.9444444444444447E-4</v>
      </c>
      <c r="C164" s="20">
        <f t="shared" ref="C164:P164" si="48">(2*(C167+C168+C170))+C169</f>
        <v>6.9444444444444447E-4</v>
      </c>
      <c r="D164" s="20">
        <f t="shared" si="48"/>
        <v>6.9444444444444447E-4</v>
      </c>
      <c r="E164" s="20">
        <f t="shared" si="48"/>
        <v>6.9444444444444447E-4</v>
      </c>
      <c r="F164" s="20">
        <f t="shared" si="48"/>
        <v>6.9444444444444447E-4</v>
      </c>
      <c r="G164" s="20">
        <f t="shared" si="48"/>
        <v>6.9444444444444447E-4</v>
      </c>
      <c r="H164" s="20">
        <f t="shared" si="48"/>
        <v>6.9444444444444447E-4</v>
      </c>
      <c r="I164" s="20">
        <f t="shared" si="48"/>
        <v>6.9444444444444447E-4</v>
      </c>
      <c r="J164" s="20">
        <f t="shared" si="48"/>
        <v>6.9444444444444447E-4</v>
      </c>
      <c r="K164" s="20">
        <f t="shared" si="48"/>
        <v>6.9444444444444447E-4</v>
      </c>
      <c r="L164" s="20">
        <f t="shared" si="48"/>
        <v>6.9444444444444447E-4</v>
      </c>
      <c r="M164" s="20"/>
      <c r="N164" s="20"/>
      <c r="O164" s="20">
        <f t="shared" si="48"/>
        <v>1E-3</v>
      </c>
      <c r="P164" s="20">
        <f t="shared" si="48"/>
        <v>4.2000000000000003E-2</v>
      </c>
    </row>
    <row r="165" spans="1:70" ht="14.45">
      <c r="A165" s="3" t="s">
        <v>289</v>
      </c>
      <c r="B165" s="20">
        <f>Ability!$B$20</f>
        <v>3.9541560819636078E-2</v>
      </c>
      <c r="C165" s="20">
        <f>Ability!$B$20</f>
        <v>3.9541560819636078E-2</v>
      </c>
      <c r="D165" s="20">
        <f>Ability!$B$20</f>
        <v>3.9541560819636078E-2</v>
      </c>
      <c r="E165" s="20">
        <f>Ability!$B$20</f>
        <v>3.9541560819636078E-2</v>
      </c>
      <c r="F165" s="20">
        <f>Ability!$B$20</f>
        <v>3.9541560819636078E-2</v>
      </c>
      <c r="G165" s="20">
        <f>Ability!$B$20</f>
        <v>3.9541560819636078E-2</v>
      </c>
      <c r="H165" s="20">
        <f>Ability!$B$20</f>
        <v>3.9541560819636078E-2</v>
      </c>
      <c r="I165" s="20">
        <f>Ability!$B$20</f>
        <v>3.9541560819636078E-2</v>
      </c>
      <c r="J165" s="20">
        <f>Ability!$B$20</f>
        <v>3.9541560819636078E-2</v>
      </c>
      <c r="K165" s="20">
        <f>Ability!$B$20</f>
        <v>3.9541560819636078E-2</v>
      </c>
      <c r="L165" s="20">
        <f>Ability!$B$20</f>
        <v>3.9541560819636078E-2</v>
      </c>
      <c r="M165" s="20"/>
      <c r="N165" s="20"/>
      <c r="O165" s="20">
        <f>Ability!$B$20</f>
        <v>3.9541560819636078E-2</v>
      </c>
      <c r="P165" s="20">
        <f>Ability!$B$20</f>
        <v>3.9541560819636078E-2</v>
      </c>
    </row>
    <row r="166" spans="1:70" ht="14.45">
      <c r="A166" s="3" t="s">
        <v>290</v>
      </c>
      <c r="B166" s="26">
        <f>10000/100</f>
        <v>100</v>
      </c>
      <c r="C166" s="26">
        <f t="shared" ref="C166:P166" si="49">10000/100</f>
        <v>100</v>
      </c>
      <c r="D166" s="26">
        <f t="shared" si="49"/>
        <v>100</v>
      </c>
      <c r="E166" s="26">
        <f t="shared" si="49"/>
        <v>100</v>
      </c>
      <c r="F166" s="26">
        <f t="shared" si="49"/>
        <v>100</v>
      </c>
      <c r="G166" s="26">
        <f t="shared" si="49"/>
        <v>100</v>
      </c>
      <c r="H166" s="26">
        <f t="shared" si="49"/>
        <v>100</v>
      </c>
      <c r="I166" s="26">
        <f t="shared" si="49"/>
        <v>100</v>
      </c>
      <c r="J166" s="26">
        <f t="shared" si="49"/>
        <v>100</v>
      </c>
      <c r="K166" s="26">
        <f t="shared" si="49"/>
        <v>100</v>
      </c>
      <c r="L166" s="26">
        <f t="shared" si="49"/>
        <v>100</v>
      </c>
      <c r="M166" s="26"/>
      <c r="N166" s="26"/>
      <c r="O166" s="26">
        <f t="shared" si="49"/>
        <v>100</v>
      </c>
      <c r="P166" s="26">
        <f t="shared" si="49"/>
        <v>100</v>
      </c>
      <c r="Q166" t="s">
        <v>291</v>
      </c>
    </row>
    <row r="167" spans="1:70" ht="14.45">
      <c r="A167" s="3" t="s">
        <v>292</v>
      </c>
      <c r="B167" s="38">
        <v>0</v>
      </c>
      <c r="C167" s="38">
        <v>0</v>
      </c>
      <c r="D167" s="38">
        <v>0</v>
      </c>
      <c r="E167" s="38">
        <v>0</v>
      </c>
      <c r="F167" s="38">
        <v>0</v>
      </c>
      <c r="G167" s="38">
        <v>0</v>
      </c>
      <c r="H167" s="38">
        <v>0</v>
      </c>
      <c r="I167" s="38">
        <v>0</v>
      </c>
      <c r="J167" s="38">
        <v>0</v>
      </c>
      <c r="K167" s="38">
        <v>0</v>
      </c>
      <c r="L167" s="38">
        <v>0</v>
      </c>
      <c r="M167" s="38"/>
      <c r="N167" s="38"/>
      <c r="O167" s="38">
        <v>0</v>
      </c>
      <c r="P167" s="38">
        <v>0</v>
      </c>
    </row>
    <row r="168" spans="1:70" ht="14.45">
      <c r="A168" s="3" t="s">
        <v>293</v>
      </c>
      <c r="B168" s="38">
        <v>0</v>
      </c>
      <c r="C168" s="38">
        <v>0</v>
      </c>
      <c r="D168" s="38">
        <v>0</v>
      </c>
      <c r="E168" s="38">
        <v>0</v>
      </c>
      <c r="F168" s="38">
        <v>0</v>
      </c>
      <c r="G168" s="38">
        <v>0</v>
      </c>
      <c r="H168" s="38">
        <v>0</v>
      </c>
      <c r="I168" s="38">
        <v>0</v>
      </c>
      <c r="J168" s="38">
        <v>0</v>
      </c>
      <c r="K168" s="38">
        <v>0</v>
      </c>
      <c r="L168" s="38">
        <v>0</v>
      </c>
      <c r="M168" s="38"/>
      <c r="N168" s="38"/>
      <c r="O168" s="38">
        <v>0</v>
      </c>
      <c r="P168" s="38">
        <v>0</v>
      </c>
    </row>
    <row r="169" spans="1:70" ht="14.45">
      <c r="A169" s="3" t="s">
        <v>294</v>
      </c>
      <c r="B169" s="107">
        <f>Slaughtering!$C$15</f>
        <v>6.9444444444444447E-4</v>
      </c>
      <c r="C169" s="107">
        <f>Slaughtering!$E$15</f>
        <v>6.9444444444444447E-4</v>
      </c>
      <c r="D169" s="107">
        <f>Slaughtering!$G$15</f>
        <v>6.9444444444444447E-4</v>
      </c>
      <c r="E169" s="107">
        <f>Slaughtering!$I$15</f>
        <v>6.9444444444444447E-4</v>
      </c>
      <c r="F169" s="107">
        <f>Slaughtering!$K$15</f>
        <v>6.9444444444444447E-4</v>
      </c>
      <c r="G169" s="107">
        <f>Slaughtering!$M$15</f>
        <v>6.9444444444444447E-4</v>
      </c>
      <c r="H169" s="107">
        <f>Slaughtering!$O$15</f>
        <v>6.9444444444444447E-4</v>
      </c>
      <c r="I169" s="107">
        <f>Slaughtering!$Q$15</f>
        <v>6.9444444444444447E-4</v>
      </c>
      <c r="J169" s="107">
        <f>Slaughtering!$S$15</f>
        <v>6.9444444444444447E-4</v>
      </c>
      <c r="K169" s="107">
        <f>Slaughtering!$U$15</f>
        <v>6.9444444444444447E-4</v>
      </c>
      <c r="L169" s="107">
        <f>Slaughtering!$W$15</f>
        <v>6.9444444444444447E-4</v>
      </c>
      <c r="M169" s="107"/>
      <c r="N169" s="107"/>
      <c r="O169" s="107">
        <v>1E-3</v>
      </c>
      <c r="P169" s="173">
        <v>4.2000000000000003E-2</v>
      </c>
      <c r="Q169" s="82" t="s">
        <v>295</v>
      </c>
      <c r="R169" t="s">
        <v>296</v>
      </c>
      <c r="S169" s="212" t="s">
        <v>297</v>
      </c>
    </row>
    <row r="170" spans="1:70" ht="14.45">
      <c r="A170" s="148" t="s">
        <v>298</v>
      </c>
      <c r="B170" s="51">
        <v>0</v>
      </c>
      <c r="C170" s="51">
        <v>0</v>
      </c>
      <c r="D170" s="51">
        <v>0</v>
      </c>
      <c r="E170" s="51">
        <v>0</v>
      </c>
      <c r="F170" s="51">
        <v>0</v>
      </c>
      <c r="G170" s="51">
        <v>0</v>
      </c>
      <c r="H170" s="51">
        <v>0</v>
      </c>
      <c r="I170" s="51">
        <v>0</v>
      </c>
      <c r="J170" s="51">
        <v>0</v>
      </c>
      <c r="K170" s="51">
        <v>0</v>
      </c>
      <c r="L170" s="51">
        <v>0</v>
      </c>
      <c r="M170" s="38"/>
      <c r="N170" s="38"/>
      <c r="O170" s="38">
        <v>0</v>
      </c>
      <c r="P170" s="38">
        <v>0</v>
      </c>
      <c r="Q170" s="82" t="s">
        <v>299</v>
      </c>
    </row>
    <row r="171" spans="1:70" s="7" customFormat="1" ht="14.45">
      <c r="A171" s="152" t="s">
        <v>300</v>
      </c>
      <c r="B171" s="153">
        <f>B174*B173*B172*100</f>
        <v>0.36986569781577089</v>
      </c>
      <c r="C171" s="153">
        <f t="shared" ref="C171:P171" si="50">C174*C173*C172*100</f>
        <v>0.36986569781577089</v>
      </c>
      <c r="D171" s="153">
        <f t="shared" si="50"/>
        <v>0.36986569781577089</v>
      </c>
      <c r="E171" s="153">
        <f t="shared" si="50"/>
        <v>0.36986569781577089</v>
      </c>
      <c r="F171" s="153">
        <f t="shared" si="50"/>
        <v>0.36986569781577089</v>
      </c>
      <c r="G171" s="153">
        <f t="shared" si="50"/>
        <v>0.36986569781577089</v>
      </c>
      <c r="H171" s="153">
        <f t="shared" si="50"/>
        <v>0.36986569781577089</v>
      </c>
      <c r="I171" s="153">
        <f t="shared" si="50"/>
        <v>0.36986569781577089</v>
      </c>
      <c r="J171" s="153">
        <f t="shared" si="50"/>
        <v>0.36986569781577089</v>
      </c>
      <c r="K171" s="153">
        <f t="shared" si="50"/>
        <v>0.36986569781577089</v>
      </c>
      <c r="L171" s="153">
        <f t="shared" si="50"/>
        <v>0.36986569781577089</v>
      </c>
      <c r="M171" s="153"/>
      <c r="N171" s="153"/>
      <c r="O171" s="153">
        <f t="shared" si="50"/>
        <v>0.36986569781577089</v>
      </c>
      <c r="P171" s="153">
        <f t="shared" si="50"/>
        <v>0.36986569781577089</v>
      </c>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row>
    <row r="172" spans="1:70" s="21" customFormat="1" ht="14.45">
      <c r="A172" s="101" t="s">
        <v>301</v>
      </c>
      <c r="B172" s="200">
        <f>(2*(B175+B176+B178))+B177</f>
        <v>3.4722222222222224E-4</v>
      </c>
      <c r="C172" s="200">
        <f t="shared" ref="C172:P172" si="51">(2*(C175+C176+C178))+C177</f>
        <v>3.4722222222222224E-4</v>
      </c>
      <c r="D172" s="200">
        <f t="shared" si="51"/>
        <v>3.4722222222222224E-4</v>
      </c>
      <c r="E172" s="200">
        <f t="shared" si="51"/>
        <v>3.4722222222222224E-4</v>
      </c>
      <c r="F172" s="200">
        <f t="shared" si="51"/>
        <v>3.4722222222222224E-4</v>
      </c>
      <c r="G172" s="200">
        <f t="shared" si="51"/>
        <v>3.4722222222222224E-4</v>
      </c>
      <c r="H172" s="200">
        <f t="shared" si="51"/>
        <v>3.4722222222222224E-4</v>
      </c>
      <c r="I172" s="200">
        <f t="shared" si="51"/>
        <v>3.4722222222222224E-4</v>
      </c>
      <c r="J172" s="200">
        <f t="shared" si="51"/>
        <v>3.4722222222222224E-4</v>
      </c>
      <c r="K172" s="200">
        <f t="shared" si="51"/>
        <v>3.4722222222222224E-4</v>
      </c>
      <c r="L172" s="200">
        <f t="shared" si="51"/>
        <v>3.4722222222222224E-4</v>
      </c>
      <c r="M172" s="200"/>
      <c r="N172" s="200"/>
      <c r="O172" s="200">
        <f t="shared" si="51"/>
        <v>3.4722222222222224E-4</v>
      </c>
      <c r="P172" s="200">
        <f t="shared" si="51"/>
        <v>3.4722222222222224E-4</v>
      </c>
    </row>
    <row r="173" spans="1:70" ht="14.45">
      <c r="A173" s="3" t="s">
        <v>302</v>
      </c>
      <c r="B173" s="20">
        <f>Ability!$B$21</f>
        <v>8.8767767475785006E-2</v>
      </c>
      <c r="C173" s="20">
        <f>Ability!$B$21</f>
        <v>8.8767767475785006E-2</v>
      </c>
      <c r="D173" s="20">
        <f>Ability!$B$21</f>
        <v>8.8767767475785006E-2</v>
      </c>
      <c r="E173" s="20">
        <f>Ability!$B$21</f>
        <v>8.8767767475785006E-2</v>
      </c>
      <c r="F173" s="20">
        <f>Ability!$B$21</f>
        <v>8.8767767475785006E-2</v>
      </c>
      <c r="G173" s="20">
        <f>Ability!$B$21</f>
        <v>8.8767767475785006E-2</v>
      </c>
      <c r="H173" s="20">
        <f>Ability!$B$21</f>
        <v>8.8767767475785006E-2</v>
      </c>
      <c r="I173" s="20">
        <f>Ability!$B$21</f>
        <v>8.8767767475785006E-2</v>
      </c>
      <c r="J173" s="20">
        <f>Ability!$B$21</f>
        <v>8.8767767475785006E-2</v>
      </c>
      <c r="K173" s="20">
        <f>Ability!$B$21</f>
        <v>8.8767767475785006E-2</v>
      </c>
      <c r="L173" s="20">
        <f>Ability!$B$21</f>
        <v>8.8767767475785006E-2</v>
      </c>
      <c r="M173" s="20"/>
      <c r="N173" s="20"/>
      <c r="O173" s="20">
        <f>Ability!$B$21</f>
        <v>8.8767767475785006E-2</v>
      </c>
      <c r="P173" s="20">
        <f>Ability!$B$21</f>
        <v>8.8767767475785006E-2</v>
      </c>
    </row>
    <row r="174" spans="1:70" ht="14.45">
      <c r="A174" s="3" t="s">
        <v>303</v>
      </c>
      <c r="B174" s="26">
        <f>12000/100</f>
        <v>120</v>
      </c>
      <c r="C174" s="26">
        <f t="shared" ref="C174:P174" si="52">12000/100</f>
        <v>120</v>
      </c>
      <c r="D174" s="26">
        <f t="shared" si="52"/>
        <v>120</v>
      </c>
      <c r="E174" s="26">
        <f t="shared" si="52"/>
        <v>120</v>
      </c>
      <c r="F174" s="26">
        <f t="shared" si="52"/>
        <v>120</v>
      </c>
      <c r="G174" s="26">
        <f t="shared" si="52"/>
        <v>120</v>
      </c>
      <c r="H174" s="26">
        <f t="shared" si="52"/>
        <v>120</v>
      </c>
      <c r="I174" s="26">
        <f t="shared" si="52"/>
        <v>120</v>
      </c>
      <c r="J174" s="26">
        <f t="shared" si="52"/>
        <v>120</v>
      </c>
      <c r="K174" s="26">
        <f t="shared" si="52"/>
        <v>120</v>
      </c>
      <c r="L174" s="26">
        <f t="shared" si="52"/>
        <v>120</v>
      </c>
      <c r="M174" s="26"/>
      <c r="N174" s="26"/>
      <c r="O174" s="26">
        <f t="shared" si="52"/>
        <v>120</v>
      </c>
      <c r="P174" s="26">
        <f t="shared" si="52"/>
        <v>120</v>
      </c>
      <c r="Q174" t="s">
        <v>304</v>
      </c>
    </row>
    <row r="175" spans="1:70" ht="14.45">
      <c r="A175" s="3" t="s">
        <v>305</v>
      </c>
      <c r="B175" s="38">
        <v>0</v>
      </c>
      <c r="C175" s="38">
        <v>0</v>
      </c>
      <c r="D175" s="38">
        <v>0</v>
      </c>
      <c r="E175" s="38">
        <v>0</v>
      </c>
      <c r="F175" s="38">
        <v>0</v>
      </c>
      <c r="G175" s="38">
        <v>0</v>
      </c>
      <c r="H175" s="38">
        <v>0</v>
      </c>
      <c r="I175" s="38">
        <v>0</v>
      </c>
      <c r="J175" s="38">
        <v>0</v>
      </c>
      <c r="K175" s="38">
        <v>0</v>
      </c>
      <c r="L175" s="38">
        <v>0</v>
      </c>
      <c r="M175" s="38"/>
      <c r="N175" s="38"/>
      <c r="O175" s="38">
        <v>0</v>
      </c>
      <c r="P175" s="38">
        <v>0</v>
      </c>
    </row>
    <row r="176" spans="1:70" ht="14.45">
      <c r="A176" s="3" t="s">
        <v>306</v>
      </c>
      <c r="B176" s="38">
        <v>0</v>
      </c>
      <c r="C176" s="38">
        <v>0</v>
      </c>
      <c r="D176" s="38">
        <v>0</v>
      </c>
      <c r="E176" s="38">
        <v>0</v>
      </c>
      <c r="F176" s="38">
        <v>0</v>
      </c>
      <c r="G176" s="38">
        <v>0</v>
      </c>
      <c r="H176" s="38">
        <v>0</v>
      </c>
      <c r="I176" s="38">
        <v>0</v>
      </c>
      <c r="J176" s="38">
        <v>0</v>
      </c>
      <c r="K176" s="38">
        <v>0</v>
      </c>
      <c r="L176" s="38">
        <v>0</v>
      </c>
      <c r="M176" s="38"/>
      <c r="N176" s="38"/>
      <c r="O176" s="38">
        <v>0</v>
      </c>
      <c r="P176" s="38">
        <v>0</v>
      </c>
    </row>
    <row r="177" spans="1:70" ht="14.45">
      <c r="A177" s="3" t="s">
        <v>307</v>
      </c>
      <c r="B177" s="107">
        <f>Slaughtering!$C$16</f>
        <v>3.4722222222222224E-4</v>
      </c>
      <c r="C177" s="107">
        <f>Slaughtering!$E$16</f>
        <v>3.4722222222222224E-4</v>
      </c>
      <c r="D177" s="107">
        <f>Slaughtering!$G$16</f>
        <v>3.4722222222222224E-4</v>
      </c>
      <c r="E177" s="107">
        <f>Slaughtering!$I$16</f>
        <v>3.4722222222222224E-4</v>
      </c>
      <c r="F177" s="107">
        <f>Slaughtering!$K$16</f>
        <v>3.4722222222222224E-4</v>
      </c>
      <c r="G177" s="107">
        <f>Slaughtering!$M$16</f>
        <v>3.4722222222222224E-4</v>
      </c>
      <c r="H177" s="107">
        <f>Slaughtering!$O$16</f>
        <v>3.4722222222222224E-4</v>
      </c>
      <c r="I177" s="107">
        <f>Slaughtering!$Q$16</f>
        <v>3.4722222222222224E-4</v>
      </c>
      <c r="J177" s="107">
        <f>Slaughtering!$S$16</f>
        <v>3.4722222222222224E-4</v>
      </c>
      <c r="K177" s="107">
        <f>Slaughtering!$U$16</f>
        <v>3.4722222222222224E-4</v>
      </c>
      <c r="L177" s="107">
        <f>Slaughtering!$W$16</f>
        <v>3.4722222222222224E-4</v>
      </c>
      <c r="M177" s="107"/>
      <c r="N177" s="107"/>
      <c r="O177" s="219">
        <f>Slaughtering!$W$16</f>
        <v>3.4722222222222224E-4</v>
      </c>
      <c r="P177" s="219">
        <f>Slaughtering!$W$16</f>
        <v>3.4722222222222224E-4</v>
      </c>
      <c r="Q177" s="82" t="s">
        <v>308</v>
      </c>
    </row>
    <row r="178" spans="1:70" ht="14.45">
      <c r="A178" s="148" t="s">
        <v>309</v>
      </c>
      <c r="B178" s="51">
        <v>0</v>
      </c>
      <c r="C178" s="51">
        <v>0</v>
      </c>
      <c r="D178" s="51">
        <v>0</v>
      </c>
      <c r="E178" s="51">
        <v>0</v>
      </c>
      <c r="F178" s="51">
        <v>0</v>
      </c>
      <c r="G178" s="51">
        <v>0</v>
      </c>
      <c r="H178" s="51">
        <v>0</v>
      </c>
      <c r="I178" s="51">
        <v>0</v>
      </c>
      <c r="J178" s="51">
        <v>0</v>
      </c>
      <c r="K178" s="51">
        <v>0</v>
      </c>
      <c r="L178" s="51">
        <v>0</v>
      </c>
      <c r="M178" s="38"/>
      <c r="N178" s="38"/>
      <c r="O178" s="38">
        <v>0</v>
      </c>
      <c r="P178" s="38">
        <v>0</v>
      </c>
      <c r="Q178" s="82" t="s">
        <v>310</v>
      </c>
    </row>
    <row r="179" spans="1:70" s="7" customFormat="1" ht="14.45">
      <c r="A179" s="78" t="s">
        <v>311</v>
      </c>
      <c r="B179" s="156">
        <f>B183*B182*B181*100</f>
        <v>5.5325568107189609</v>
      </c>
      <c r="C179" s="156">
        <f t="shared" ref="C179:P179" si="53">C183*C182*C181*100</f>
        <v>5.5325568107189609</v>
      </c>
      <c r="D179" s="156">
        <f t="shared" si="53"/>
        <v>5.5325568107189609</v>
      </c>
      <c r="E179" s="156">
        <f t="shared" si="53"/>
        <v>5.5325568107189609</v>
      </c>
      <c r="F179" s="156">
        <f t="shared" si="53"/>
        <v>5.5325568107189609</v>
      </c>
      <c r="G179" s="156">
        <f t="shared" si="53"/>
        <v>5.5325568107189609</v>
      </c>
      <c r="H179" s="156">
        <f t="shared" si="53"/>
        <v>5.5325568107189609</v>
      </c>
      <c r="I179" s="156">
        <f t="shared" si="53"/>
        <v>5.5325568107189609</v>
      </c>
      <c r="J179" s="156">
        <f t="shared" si="53"/>
        <v>5.5325568107189609</v>
      </c>
      <c r="K179" s="156">
        <f t="shared" si="53"/>
        <v>5.5325568107189609</v>
      </c>
      <c r="L179" s="156">
        <f t="shared" si="53"/>
        <v>5.5325568107189609</v>
      </c>
      <c r="M179" s="156"/>
      <c r="N179" s="156"/>
      <c r="O179" s="156">
        <f t="shared" si="53"/>
        <v>6.639068172862754E-2</v>
      </c>
      <c r="P179" s="156">
        <f t="shared" si="53"/>
        <v>5.5325568107189609</v>
      </c>
      <c r="Q179"/>
      <c r="R179"/>
      <c r="S179" t="s">
        <v>312</v>
      </c>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row>
    <row r="180" spans="1:70" s="234" customFormat="1" ht="14.45">
      <c r="A180" s="227"/>
      <c r="B180" s="235">
        <f>B183*((15/12-6/(365*24))*B181+6/(365*24))*B182</f>
        <v>6.9573796606027472E-2</v>
      </c>
      <c r="C180" s="228"/>
      <c r="D180" s="228"/>
      <c r="E180" s="228"/>
      <c r="F180" s="228"/>
      <c r="G180" s="228"/>
      <c r="H180" s="228"/>
      <c r="I180" s="228"/>
      <c r="J180" s="228"/>
      <c r="K180" s="228"/>
      <c r="L180" s="228"/>
      <c r="M180" s="228"/>
      <c r="N180" s="228"/>
      <c r="O180" s="228"/>
      <c r="P180" s="228"/>
      <c r="Q180" s="227"/>
      <c r="R180" s="229"/>
      <c r="S180" s="230"/>
      <c r="T180" s="231"/>
      <c r="U180" s="227"/>
      <c r="V180" s="232"/>
      <c r="W180" s="233"/>
      <c r="X180" s="233"/>
      <c r="Y180" s="233"/>
      <c r="Z180" s="233"/>
      <c r="AA180" s="233"/>
      <c r="AB180" s="233"/>
    </row>
    <row r="181" spans="1:70" s="21" customFormat="1" ht="14.45">
      <c r="A181" s="101" t="s">
        <v>313</v>
      </c>
      <c r="B181" s="20">
        <f>(2*(B184+B185+B187))+B186</f>
        <v>8.3333333333333329E-2</v>
      </c>
      <c r="C181" s="20">
        <f t="shared" ref="C181:P181" si="54">(2*(C184+C185+C187))+C186</f>
        <v>8.3333333333333329E-2</v>
      </c>
      <c r="D181" s="20">
        <f t="shared" si="54"/>
        <v>8.3333333333333329E-2</v>
      </c>
      <c r="E181" s="20">
        <f t="shared" si="54"/>
        <v>8.3333333333333329E-2</v>
      </c>
      <c r="F181" s="20">
        <f t="shared" si="54"/>
        <v>8.3333333333333329E-2</v>
      </c>
      <c r="G181" s="20">
        <f t="shared" si="54"/>
        <v>8.3333333333333329E-2</v>
      </c>
      <c r="H181" s="20">
        <f t="shared" si="54"/>
        <v>8.3333333333333329E-2</v>
      </c>
      <c r="I181" s="20">
        <f t="shared" si="54"/>
        <v>8.3333333333333329E-2</v>
      </c>
      <c r="J181" s="20">
        <f t="shared" si="54"/>
        <v>8.3333333333333329E-2</v>
      </c>
      <c r="K181" s="20">
        <f t="shared" si="54"/>
        <v>8.3333333333333329E-2</v>
      </c>
      <c r="L181" s="20">
        <f t="shared" si="54"/>
        <v>8.3333333333333329E-2</v>
      </c>
      <c r="M181" s="20"/>
      <c r="N181" s="20"/>
      <c r="O181" s="20">
        <f t="shared" si="54"/>
        <v>1E-3</v>
      </c>
      <c r="P181" s="20">
        <f t="shared" si="54"/>
        <v>8.3333333333333329E-2</v>
      </c>
    </row>
    <row r="182" spans="1:70" ht="14.45">
      <c r="A182" s="3" t="s">
        <v>314</v>
      </c>
      <c r="B182" s="20">
        <f>Ability!$B$22</f>
        <v>4.9917805810998139E-2</v>
      </c>
      <c r="C182" s="20">
        <f>Ability!$B$22</f>
        <v>4.9917805810998139E-2</v>
      </c>
      <c r="D182" s="20">
        <f>Ability!$B$22</f>
        <v>4.9917805810998139E-2</v>
      </c>
      <c r="E182" s="20">
        <f>Ability!$B$22</f>
        <v>4.9917805810998139E-2</v>
      </c>
      <c r="F182" s="20">
        <f>Ability!$B$22</f>
        <v>4.9917805810998139E-2</v>
      </c>
      <c r="G182" s="20">
        <f>Ability!$B$22</f>
        <v>4.9917805810998139E-2</v>
      </c>
      <c r="H182" s="20">
        <f>Ability!$B$22</f>
        <v>4.9917805810998139E-2</v>
      </c>
      <c r="I182" s="20">
        <f>Ability!$B$22</f>
        <v>4.9917805810998139E-2</v>
      </c>
      <c r="J182" s="20">
        <f>Ability!$B$22</f>
        <v>4.9917805810998139E-2</v>
      </c>
      <c r="K182" s="20">
        <f>Ability!$B$22</f>
        <v>4.9917805810998139E-2</v>
      </c>
      <c r="L182" s="20">
        <f>Ability!$B$22</f>
        <v>4.9917805810998139E-2</v>
      </c>
      <c r="M182" s="20"/>
      <c r="N182" s="20"/>
      <c r="O182" s="20">
        <f>Ability!$B$22</f>
        <v>4.9917805810998139E-2</v>
      </c>
      <c r="P182" s="20">
        <f>Ability!$B$22</f>
        <v>4.9917805810998139E-2</v>
      </c>
    </row>
    <row r="183" spans="1:70" ht="14.45">
      <c r="A183" s="102" t="s">
        <v>315</v>
      </c>
      <c r="B183" s="103">
        <f>133/10</f>
        <v>13.3</v>
      </c>
      <c r="C183" s="103">
        <f t="shared" ref="C183:P183" si="55">133/10</f>
        <v>13.3</v>
      </c>
      <c r="D183" s="103">
        <f t="shared" si="55"/>
        <v>13.3</v>
      </c>
      <c r="E183" s="103">
        <f t="shared" si="55"/>
        <v>13.3</v>
      </c>
      <c r="F183" s="103">
        <f t="shared" si="55"/>
        <v>13.3</v>
      </c>
      <c r="G183" s="103">
        <f t="shared" si="55"/>
        <v>13.3</v>
      </c>
      <c r="H183" s="103">
        <f t="shared" si="55"/>
        <v>13.3</v>
      </c>
      <c r="I183" s="103">
        <f t="shared" si="55"/>
        <v>13.3</v>
      </c>
      <c r="J183" s="103">
        <f t="shared" si="55"/>
        <v>13.3</v>
      </c>
      <c r="K183" s="103">
        <f t="shared" si="55"/>
        <v>13.3</v>
      </c>
      <c r="L183" s="103">
        <f t="shared" si="55"/>
        <v>13.3</v>
      </c>
      <c r="M183" s="103"/>
      <c r="N183" s="103"/>
      <c r="O183" s="103">
        <f t="shared" si="55"/>
        <v>13.3</v>
      </c>
      <c r="P183" s="103">
        <f t="shared" si="55"/>
        <v>13.3</v>
      </c>
      <c r="Q183" s="82" t="s">
        <v>316</v>
      </c>
      <c r="R183" s="105" t="s">
        <v>317</v>
      </c>
      <c r="S183" t="s">
        <v>318</v>
      </c>
    </row>
    <row r="184" spans="1:70" ht="14.45">
      <c r="A184" s="3" t="s">
        <v>319</v>
      </c>
      <c r="B184" s="38">
        <v>0</v>
      </c>
      <c r="C184" s="38">
        <v>0</v>
      </c>
      <c r="D184" s="38">
        <v>0</v>
      </c>
      <c r="E184" s="38">
        <v>0</v>
      </c>
      <c r="F184" s="38">
        <v>0</v>
      </c>
      <c r="G184" s="38">
        <v>0</v>
      </c>
      <c r="H184" s="38">
        <v>0</v>
      </c>
      <c r="I184" s="38">
        <v>0</v>
      </c>
      <c r="J184" s="38">
        <v>0</v>
      </c>
      <c r="K184" s="38">
        <v>0</v>
      </c>
      <c r="L184" s="38">
        <v>0</v>
      </c>
      <c r="M184" s="38"/>
      <c r="N184" s="38"/>
      <c r="O184" s="38">
        <v>0</v>
      </c>
      <c r="P184" s="38">
        <v>0</v>
      </c>
    </row>
    <row r="185" spans="1:70" ht="14.45">
      <c r="A185" s="3" t="s">
        <v>320</v>
      </c>
      <c r="B185" s="38">
        <v>0</v>
      </c>
      <c r="C185" s="38">
        <v>0</v>
      </c>
      <c r="D185" s="38">
        <v>0</v>
      </c>
      <c r="E185" s="38">
        <v>0</v>
      </c>
      <c r="F185" s="38">
        <v>0</v>
      </c>
      <c r="G185" s="38">
        <v>0</v>
      </c>
      <c r="H185" s="38">
        <v>0</v>
      </c>
      <c r="I185" s="38">
        <v>0</v>
      </c>
      <c r="J185" s="38">
        <v>0</v>
      </c>
      <c r="K185" s="38">
        <v>0</v>
      </c>
      <c r="L185" s="38">
        <v>0</v>
      </c>
      <c r="M185" s="38"/>
      <c r="N185" s="38"/>
      <c r="O185" s="38">
        <v>0</v>
      </c>
      <c r="P185" s="38">
        <v>0</v>
      </c>
    </row>
    <row r="186" spans="1:70" ht="14.45">
      <c r="A186" s="3" t="s">
        <v>321</v>
      </c>
      <c r="B186" s="107">
        <f>Slaughtering!$C$17</f>
        <v>8.3333333333333329E-2</v>
      </c>
      <c r="C186" s="107">
        <f>Slaughtering!$E$17</f>
        <v>8.3333333333333329E-2</v>
      </c>
      <c r="D186" s="107">
        <f>Slaughtering!$G$17</f>
        <v>8.3333333333333329E-2</v>
      </c>
      <c r="E186" s="107">
        <f>Slaughtering!$I$17</f>
        <v>8.3333333333333329E-2</v>
      </c>
      <c r="F186" s="107">
        <f>Slaughtering!$K$17</f>
        <v>8.3333333333333329E-2</v>
      </c>
      <c r="G186" s="107">
        <f>Slaughtering!$M$17</f>
        <v>8.3333333333333329E-2</v>
      </c>
      <c r="H186" s="107">
        <f>Slaughtering!$O$17</f>
        <v>8.3333333333333329E-2</v>
      </c>
      <c r="I186" s="107">
        <f>Slaughtering!$Q$17</f>
        <v>8.3333333333333329E-2</v>
      </c>
      <c r="J186" s="107">
        <f>Slaughtering!$S$17</f>
        <v>8.3333333333333329E-2</v>
      </c>
      <c r="K186" s="107">
        <f>Slaughtering!$U$17</f>
        <v>8.3333333333333329E-2</v>
      </c>
      <c r="L186" s="107">
        <f>Slaughtering!$W$17</f>
        <v>8.3333333333333329E-2</v>
      </c>
      <c r="M186" s="107"/>
      <c r="N186" s="107"/>
      <c r="O186" s="107">
        <v>1E-3</v>
      </c>
      <c r="P186" s="107">
        <f>Slaughtering!$W$17</f>
        <v>8.3333333333333329E-2</v>
      </c>
      <c r="Q186" s="82" t="s">
        <v>322</v>
      </c>
    </row>
    <row r="187" spans="1:70" ht="14.45">
      <c r="A187" s="148" t="s">
        <v>323</v>
      </c>
      <c r="B187" s="51">
        <v>0</v>
      </c>
      <c r="C187" s="51">
        <v>0</v>
      </c>
      <c r="D187" s="51">
        <v>0</v>
      </c>
      <c r="E187" s="51">
        <v>0</v>
      </c>
      <c r="F187" s="51">
        <v>0</v>
      </c>
      <c r="G187" s="51">
        <v>0</v>
      </c>
      <c r="H187" s="51">
        <v>0</v>
      </c>
      <c r="I187" s="51">
        <v>0</v>
      </c>
      <c r="J187" s="51">
        <v>0</v>
      </c>
      <c r="K187" s="51">
        <v>0</v>
      </c>
      <c r="L187" s="51">
        <v>0</v>
      </c>
      <c r="M187" s="38"/>
      <c r="N187" s="38"/>
      <c r="O187" s="38">
        <v>0</v>
      </c>
      <c r="P187" s="38">
        <v>0</v>
      </c>
      <c r="Q187" s="82" t="s">
        <v>324</v>
      </c>
    </row>
    <row r="188" spans="1:70" s="7" customFormat="1" ht="14.45">
      <c r="A188" s="78" t="s">
        <v>325</v>
      </c>
      <c r="B188" s="79">
        <f>B191*B190*B189*100</f>
        <v>7.6084608464571506</v>
      </c>
      <c r="C188" s="79">
        <f t="shared" ref="C188:P188" si="56">C191*C190*C189*100</f>
        <v>7.6084608464571506</v>
      </c>
      <c r="D188" s="79">
        <f t="shared" si="56"/>
        <v>7.6084608464571506</v>
      </c>
      <c r="E188" s="79">
        <f t="shared" si="56"/>
        <v>7.6084608464571506</v>
      </c>
      <c r="F188" s="79">
        <f t="shared" si="56"/>
        <v>7.6084608464571506</v>
      </c>
      <c r="G188" s="79">
        <f t="shared" si="56"/>
        <v>7.6084608464571506</v>
      </c>
      <c r="H188" s="79">
        <f t="shared" si="56"/>
        <v>7.6084608464571506</v>
      </c>
      <c r="I188" s="79">
        <f t="shared" si="56"/>
        <v>7.6084608464571506</v>
      </c>
      <c r="J188" s="79">
        <f t="shared" si="56"/>
        <v>7.6084608464571506</v>
      </c>
      <c r="K188" s="79">
        <f t="shared" si="56"/>
        <v>7.6084608464571506</v>
      </c>
      <c r="L188" s="79">
        <f t="shared" si="56"/>
        <v>7.6084608464571506</v>
      </c>
      <c r="M188" s="79"/>
      <c r="N188" s="79"/>
      <c r="O188" s="79">
        <f t="shared" si="56"/>
        <v>0.18260306031497164</v>
      </c>
      <c r="P188" s="79">
        <f t="shared" si="56"/>
        <v>7.6084608464571506</v>
      </c>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row>
    <row r="189" spans="1:70" s="21" customFormat="1" ht="14.45">
      <c r="A189" s="101" t="s">
        <v>326</v>
      </c>
      <c r="B189" s="20">
        <f>(2*(B192+B193+B195))+B194</f>
        <v>4.1666666666666664E-2</v>
      </c>
      <c r="C189" s="20">
        <f t="shared" ref="C189:P189" si="57">(2*(C192+C193+C195))+C194</f>
        <v>4.1666666666666664E-2</v>
      </c>
      <c r="D189" s="20">
        <f t="shared" si="57"/>
        <v>4.1666666666666664E-2</v>
      </c>
      <c r="E189" s="20">
        <f t="shared" si="57"/>
        <v>4.1666666666666664E-2</v>
      </c>
      <c r="F189" s="20">
        <f t="shared" si="57"/>
        <v>4.1666666666666664E-2</v>
      </c>
      <c r="G189" s="20">
        <f t="shared" si="57"/>
        <v>4.1666666666666664E-2</v>
      </c>
      <c r="H189" s="20">
        <f t="shared" si="57"/>
        <v>4.1666666666666664E-2</v>
      </c>
      <c r="I189" s="20">
        <f t="shared" si="57"/>
        <v>4.1666666666666664E-2</v>
      </c>
      <c r="J189" s="20">
        <f t="shared" si="57"/>
        <v>4.1666666666666664E-2</v>
      </c>
      <c r="K189" s="20">
        <f t="shared" si="57"/>
        <v>4.1666666666666664E-2</v>
      </c>
      <c r="L189" s="20">
        <f t="shared" si="57"/>
        <v>4.1666666666666664E-2</v>
      </c>
      <c r="M189" s="20"/>
      <c r="N189" s="20"/>
      <c r="O189" s="20">
        <f t="shared" si="57"/>
        <v>1E-3</v>
      </c>
      <c r="P189" s="20">
        <f t="shared" si="57"/>
        <v>4.1666666666666664E-2</v>
      </c>
    </row>
    <row r="190" spans="1:70" ht="14.45">
      <c r="A190" s="3" t="s">
        <v>327</v>
      </c>
      <c r="B190" s="20">
        <f>Ability!$B$23</f>
        <v>0.1460824482519773</v>
      </c>
      <c r="C190" s="20">
        <f>Ability!$B$23</f>
        <v>0.1460824482519773</v>
      </c>
      <c r="D190" s="20">
        <f>Ability!$B$23</f>
        <v>0.1460824482519773</v>
      </c>
      <c r="E190" s="20">
        <f>Ability!$B$23</f>
        <v>0.1460824482519773</v>
      </c>
      <c r="F190" s="20">
        <f>Ability!$B$23</f>
        <v>0.1460824482519773</v>
      </c>
      <c r="G190" s="20">
        <f>Ability!$B$23</f>
        <v>0.1460824482519773</v>
      </c>
      <c r="H190" s="20">
        <f>Ability!$B$23</f>
        <v>0.1460824482519773</v>
      </c>
      <c r="I190" s="20">
        <f>Ability!$B$23</f>
        <v>0.1460824482519773</v>
      </c>
      <c r="J190" s="20">
        <f>Ability!$B$23</f>
        <v>0.1460824482519773</v>
      </c>
      <c r="K190" s="20">
        <f>Ability!$B$23</f>
        <v>0.1460824482519773</v>
      </c>
      <c r="L190" s="20">
        <f>Ability!$B$23</f>
        <v>0.1460824482519773</v>
      </c>
      <c r="M190" s="20"/>
      <c r="N190" s="20"/>
      <c r="O190" s="20">
        <f>Ability!$B$23</f>
        <v>0.1460824482519773</v>
      </c>
      <c r="P190" s="20">
        <f>Ability!$B$23</f>
        <v>0.1460824482519773</v>
      </c>
    </row>
    <row r="191" spans="1:70" ht="14.45">
      <c r="A191" s="102" t="s">
        <v>328</v>
      </c>
      <c r="B191" s="103">
        <f>125/10</f>
        <v>12.5</v>
      </c>
      <c r="C191" s="103">
        <f t="shared" ref="C191:P191" si="58">125/10</f>
        <v>12.5</v>
      </c>
      <c r="D191" s="103">
        <f t="shared" si="58"/>
        <v>12.5</v>
      </c>
      <c r="E191" s="103">
        <f t="shared" si="58"/>
        <v>12.5</v>
      </c>
      <c r="F191" s="103">
        <f t="shared" si="58"/>
        <v>12.5</v>
      </c>
      <c r="G191" s="103">
        <f t="shared" si="58"/>
        <v>12.5</v>
      </c>
      <c r="H191" s="103">
        <f t="shared" si="58"/>
        <v>12.5</v>
      </c>
      <c r="I191" s="103">
        <f t="shared" si="58"/>
        <v>12.5</v>
      </c>
      <c r="J191" s="103">
        <f t="shared" si="58"/>
        <v>12.5</v>
      </c>
      <c r="K191" s="103">
        <f t="shared" si="58"/>
        <v>12.5</v>
      </c>
      <c r="L191" s="103">
        <f t="shared" si="58"/>
        <v>12.5</v>
      </c>
      <c r="M191" s="103"/>
      <c r="N191" s="103"/>
      <c r="O191" s="103">
        <f t="shared" si="58"/>
        <v>12.5</v>
      </c>
      <c r="P191" s="103">
        <f t="shared" si="58"/>
        <v>12.5</v>
      </c>
      <c r="Q191" s="82" t="s">
        <v>329</v>
      </c>
      <c r="R191" s="105" t="s">
        <v>330</v>
      </c>
      <c r="S191" t="s">
        <v>331</v>
      </c>
    </row>
    <row r="192" spans="1:70" ht="14.45">
      <c r="A192" s="3" t="s">
        <v>332</v>
      </c>
      <c r="B192" s="38">
        <v>0</v>
      </c>
      <c r="C192" s="38">
        <v>0</v>
      </c>
      <c r="D192" s="38">
        <v>0</v>
      </c>
      <c r="E192" s="38">
        <v>0</v>
      </c>
      <c r="F192" s="38">
        <v>0</v>
      </c>
      <c r="G192" s="38">
        <v>0</v>
      </c>
      <c r="H192" s="38">
        <v>0</v>
      </c>
      <c r="I192" s="38">
        <v>0</v>
      </c>
      <c r="J192" s="38">
        <v>0</v>
      </c>
      <c r="K192" s="38">
        <v>0</v>
      </c>
      <c r="L192" s="38">
        <v>0</v>
      </c>
      <c r="M192" s="38"/>
      <c r="N192" s="38"/>
      <c r="O192" s="38">
        <v>0</v>
      </c>
      <c r="P192" s="38">
        <v>0</v>
      </c>
    </row>
    <row r="193" spans="1:70" ht="14.45">
      <c r="A193" s="3" t="s">
        <v>333</v>
      </c>
      <c r="B193" s="38">
        <v>0</v>
      </c>
      <c r="C193" s="38">
        <v>0</v>
      </c>
      <c r="D193" s="38">
        <v>0</v>
      </c>
      <c r="E193" s="38">
        <v>0</v>
      </c>
      <c r="F193" s="38">
        <v>0</v>
      </c>
      <c r="G193" s="38">
        <v>0</v>
      </c>
      <c r="H193" s="38">
        <v>0</v>
      </c>
      <c r="I193" s="38">
        <v>0</v>
      </c>
      <c r="J193" s="38">
        <v>0</v>
      </c>
      <c r="K193" s="38">
        <v>0</v>
      </c>
      <c r="L193" s="38">
        <v>0</v>
      </c>
      <c r="M193" s="38"/>
      <c r="N193" s="38"/>
      <c r="O193" s="38">
        <v>0</v>
      </c>
      <c r="P193" s="38">
        <v>0</v>
      </c>
    </row>
    <row r="194" spans="1:70" ht="14.45">
      <c r="A194" s="3" t="s">
        <v>334</v>
      </c>
      <c r="B194" s="20">
        <f>Slaughtering!$C$18</f>
        <v>4.1666666666666664E-2</v>
      </c>
      <c r="C194" s="20">
        <f>Slaughtering!$E$18</f>
        <v>4.1666666666666664E-2</v>
      </c>
      <c r="D194" s="20">
        <f>Slaughtering!$G$18</f>
        <v>4.1666666666666664E-2</v>
      </c>
      <c r="E194" s="20">
        <f>Slaughtering!$I$18</f>
        <v>4.1666666666666664E-2</v>
      </c>
      <c r="F194" s="20">
        <f>Slaughtering!$K$18</f>
        <v>4.1666666666666664E-2</v>
      </c>
      <c r="G194" s="20">
        <f>Slaughtering!$M$18</f>
        <v>4.1666666666666664E-2</v>
      </c>
      <c r="H194" s="20">
        <f>Slaughtering!$O$18</f>
        <v>4.1666666666666664E-2</v>
      </c>
      <c r="I194" s="20">
        <f>Slaughtering!$Q$18</f>
        <v>4.1666666666666664E-2</v>
      </c>
      <c r="J194" s="20">
        <f>Slaughtering!$S$18</f>
        <v>4.1666666666666664E-2</v>
      </c>
      <c r="K194" s="20">
        <f>Slaughtering!$U$18</f>
        <v>4.1666666666666664E-2</v>
      </c>
      <c r="L194" s="20">
        <f>Slaughtering!$W$18</f>
        <v>4.1666666666666664E-2</v>
      </c>
      <c r="M194" s="20"/>
      <c r="N194" s="20"/>
      <c r="O194" s="20">
        <v>1E-3</v>
      </c>
      <c r="P194" s="20">
        <f>Slaughtering!$W$18</f>
        <v>4.1666666666666664E-2</v>
      </c>
      <c r="Q194" s="212" t="s">
        <v>335</v>
      </c>
    </row>
    <row r="195" spans="1:70" ht="14.45">
      <c r="A195" s="148" t="s">
        <v>336</v>
      </c>
      <c r="B195" s="51">
        <v>0</v>
      </c>
      <c r="C195" s="51">
        <v>0</v>
      </c>
      <c r="D195" s="51">
        <v>0</v>
      </c>
      <c r="E195" s="51">
        <v>0</v>
      </c>
      <c r="F195" s="51">
        <v>0</v>
      </c>
      <c r="G195" s="51">
        <v>0</v>
      </c>
      <c r="H195" s="51">
        <v>0</v>
      </c>
      <c r="I195" s="51">
        <v>0</v>
      </c>
      <c r="J195" s="51">
        <v>0</v>
      </c>
      <c r="K195" s="51">
        <v>0</v>
      </c>
      <c r="L195" s="51">
        <v>0</v>
      </c>
      <c r="M195" s="38"/>
      <c r="N195" s="38"/>
      <c r="O195" s="38">
        <v>0</v>
      </c>
      <c r="P195" s="38">
        <v>0</v>
      </c>
    </row>
    <row r="196" spans="1:70" s="7" customFormat="1" ht="14.45">
      <c r="A196" s="78" t="s">
        <v>337</v>
      </c>
      <c r="B196" s="79">
        <f>B199*B198*B197*100</f>
        <v>0.70248667398552689</v>
      </c>
      <c r="C196" s="79">
        <f t="shared" ref="C196:P196" si="59">C199*C198*C197*100</f>
        <v>0.70248667398552689</v>
      </c>
      <c r="D196" s="79">
        <f t="shared" si="59"/>
        <v>0.70248667398552689</v>
      </c>
      <c r="E196" s="79">
        <f t="shared" si="59"/>
        <v>0.70248667398552689</v>
      </c>
      <c r="F196" s="79">
        <f t="shared" si="59"/>
        <v>0.70248667398552689</v>
      </c>
      <c r="G196" s="79">
        <f t="shared" si="59"/>
        <v>0.70248667398552689</v>
      </c>
      <c r="H196" s="79">
        <f t="shared" si="59"/>
        <v>0.70248667398552689</v>
      </c>
      <c r="I196" s="79">
        <f t="shared" si="59"/>
        <v>0.70248667398552689</v>
      </c>
      <c r="J196" s="79">
        <f t="shared" si="59"/>
        <v>0.70248667398552689</v>
      </c>
      <c r="K196" s="79">
        <f t="shared" si="59"/>
        <v>0.70248667398552689</v>
      </c>
      <c r="L196" s="79">
        <f t="shared" si="59"/>
        <v>0.70248667398552689</v>
      </c>
      <c r="M196" s="79"/>
      <c r="N196" s="79"/>
      <c r="O196" s="79">
        <f t="shared" si="59"/>
        <v>4.8170514787578981E-3</v>
      </c>
      <c r="P196" s="79">
        <f t="shared" si="59"/>
        <v>0.70248667398552689</v>
      </c>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row>
    <row r="197" spans="1:70" s="21" customFormat="1" ht="14.45">
      <c r="A197" s="101" t="s">
        <v>338</v>
      </c>
      <c r="B197" s="20">
        <f>(2*(B200+B201+B203))+B202</f>
        <v>0.14583333333333334</v>
      </c>
      <c r="C197" s="20">
        <f t="shared" ref="C197:P197" si="60">(2*(C200+C201+C203))+C202</f>
        <v>0.14583333333333334</v>
      </c>
      <c r="D197" s="20">
        <f t="shared" si="60"/>
        <v>0.14583333333333334</v>
      </c>
      <c r="E197" s="20">
        <f t="shared" si="60"/>
        <v>0.14583333333333334</v>
      </c>
      <c r="F197" s="20">
        <f t="shared" si="60"/>
        <v>0.14583333333333334</v>
      </c>
      <c r="G197" s="20">
        <f t="shared" si="60"/>
        <v>0.14583333333333334</v>
      </c>
      <c r="H197" s="20">
        <f t="shared" si="60"/>
        <v>0.14583333333333334</v>
      </c>
      <c r="I197" s="20">
        <f t="shared" si="60"/>
        <v>0.14583333333333334</v>
      </c>
      <c r="J197" s="20">
        <f t="shared" si="60"/>
        <v>0.14583333333333334</v>
      </c>
      <c r="K197" s="20">
        <f t="shared" si="60"/>
        <v>0.14583333333333334</v>
      </c>
      <c r="L197" s="20">
        <f t="shared" si="60"/>
        <v>0.14583333333333334</v>
      </c>
      <c r="M197" s="20"/>
      <c r="N197" s="20"/>
      <c r="O197" s="20">
        <f t="shared" si="60"/>
        <v>1E-3</v>
      </c>
      <c r="P197" s="20">
        <f t="shared" si="60"/>
        <v>0.14583333333333334</v>
      </c>
    </row>
    <row r="198" spans="1:70" ht="14.45">
      <c r="A198" s="3" t="s">
        <v>339</v>
      </c>
      <c r="B198" s="20">
        <f>Ability!$B$24</f>
        <v>0.37054242144291522</v>
      </c>
      <c r="C198" s="20">
        <f>Ability!$B$24</f>
        <v>0.37054242144291522</v>
      </c>
      <c r="D198" s="20">
        <f>Ability!$B$24</f>
        <v>0.37054242144291522</v>
      </c>
      <c r="E198" s="20">
        <f>Ability!$B$24</f>
        <v>0.37054242144291522</v>
      </c>
      <c r="F198" s="20">
        <f>Ability!$B$24</f>
        <v>0.37054242144291522</v>
      </c>
      <c r="G198" s="20">
        <f>Ability!$B$24</f>
        <v>0.37054242144291522</v>
      </c>
      <c r="H198" s="20">
        <f>Ability!$B$24</f>
        <v>0.37054242144291522</v>
      </c>
      <c r="I198" s="20">
        <f>Ability!$B$24</f>
        <v>0.37054242144291522</v>
      </c>
      <c r="J198" s="20">
        <f>Ability!$B$24</f>
        <v>0.37054242144291522</v>
      </c>
      <c r="K198" s="20">
        <f>Ability!$B$24</f>
        <v>0.37054242144291522</v>
      </c>
      <c r="L198" s="20">
        <f>Ability!$B$24</f>
        <v>0.37054242144291522</v>
      </c>
      <c r="M198" s="20"/>
      <c r="N198" s="20"/>
      <c r="O198" s="20">
        <f>Ability!$B$24</f>
        <v>0.37054242144291522</v>
      </c>
      <c r="P198" s="20">
        <f>Ability!$B$24</f>
        <v>0.37054242144291522</v>
      </c>
    </row>
    <row r="199" spans="1:70" ht="14.45">
      <c r="A199" s="3" t="s">
        <v>340</v>
      </c>
      <c r="B199" s="26">
        <v>0.13</v>
      </c>
      <c r="C199" s="26">
        <v>0.13</v>
      </c>
      <c r="D199" s="26">
        <v>0.13</v>
      </c>
      <c r="E199" s="26">
        <v>0.13</v>
      </c>
      <c r="F199" s="26">
        <v>0.13</v>
      </c>
      <c r="G199" s="26">
        <v>0.13</v>
      </c>
      <c r="H199" s="26">
        <v>0.13</v>
      </c>
      <c r="I199" s="26">
        <v>0.13</v>
      </c>
      <c r="J199" s="26">
        <v>0.13</v>
      </c>
      <c r="K199" s="26">
        <v>0.13</v>
      </c>
      <c r="L199" s="26">
        <v>0.13</v>
      </c>
      <c r="M199" s="26"/>
      <c r="N199" s="26"/>
      <c r="O199" s="26">
        <v>0.13</v>
      </c>
      <c r="P199" s="26">
        <v>0.13</v>
      </c>
      <c r="Q199" s="82" t="s">
        <v>341</v>
      </c>
      <c r="S199" t="s">
        <v>342</v>
      </c>
    </row>
    <row r="200" spans="1:70" ht="14.45">
      <c r="A200" s="3" t="s">
        <v>343</v>
      </c>
      <c r="B200" s="38">
        <v>0</v>
      </c>
      <c r="C200" s="38">
        <v>0</v>
      </c>
      <c r="D200" s="38">
        <v>0</v>
      </c>
      <c r="E200" s="38">
        <v>0</v>
      </c>
      <c r="F200" s="38">
        <v>0</v>
      </c>
      <c r="G200" s="38">
        <v>0</v>
      </c>
      <c r="H200" s="38">
        <v>0</v>
      </c>
      <c r="I200" s="38">
        <v>0</v>
      </c>
      <c r="J200" s="38">
        <v>0</v>
      </c>
      <c r="K200" s="38">
        <v>0</v>
      </c>
      <c r="L200" s="38">
        <v>0</v>
      </c>
      <c r="M200" s="38"/>
      <c r="N200" s="38"/>
      <c r="O200" s="38">
        <v>0</v>
      </c>
      <c r="P200" s="38">
        <v>0</v>
      </c>
    </row>
    <row r="201" spans="1:70" ht="14.45">
      <c r="A201" s="3" t="s">
        <v>344</v>
      </c>
      <c r="B201" s="38">
        <v>0</v>
      </c>
      <c r="C201" s="38">
        <v>0</v>
      </c>
      <c r="D201" s="38">
        <v>0</v>
      </c>
      <c r="E201" s="38">
        <v>0</v>
      </c>
      <c r="F201" s="38">
        <v>0</v>
      </c>
      <c r="G201" s="38">
        <v>0</v>
      </c>
      <c r="H201" s="38">
        <v>0</v>
      </c>
      <c r="I201" s="38">
        <v>0</v>
      </c>
      <c r="J201" s="38">
        <v>0</v>
      </c>
      <c r="K201" s="38">
        <v>0</v>
      </c>
      <c r="L201" s="38">
        <v>0</v>
      </c>
      <c r="M201" s="38"/>
      <c r="N201" s="38"/>
      <c r="O201" s="38">
        <v>0</v>
      </c>
      <c r="P201" s="38">
        <v>0</v>
      </c>
    </row>
    <row r="202" spans="1:70" ht="14.45">
      <c r="A202" s="3" t="s">
        <v>345</v>
      </c>
      <c r="B202" s="20">
        <f>Slaughtering!$C$19</f>
        <v>0.14583333333333334</v>
      </c>
      <c r="C202" s="20">
        <f>Slaughtering!$E$19</f>
        <v>0.14583333333333334</v>
      </c>
      <c r="D202" s="20">
        <f>Slaughtering!$G$19</f>
        <v>0.14583333333333334</v>
      </c>
      <c r="E202" s="20">
        <f>Slaughtering!$I$19</f>
        <v>0.14583333333333334</v>
      </c>
      <c r="F202" s="20">
        <f>Slaughtering!$K$19</f>
        <v>0.14583333333333334</v>
      </c>
      <c r="G202" s="20">
        <f>Slaughtering!$M$19</f>
        <v>0.14583333333333334</v>
      </c>
      <c r="H202" s="20">
        <f>Slaughtering!$O$19</f>
        <v>0.14583333333333334</v>
      </c>
      <c r="I202" s="20">
        <f>Slaughtering!$Q$19</f>
        <v>0.14583333333333334</v>
      </c>
      <c r="J202" s="20">
        <f>Slaughtering!$S$19</f>
        <v>0.14583333333333334</v>
      </c>
      <c r="K202" s="20">
        <f>Slaughtering!$U$19</f>
        <v>0.14583333333333334</v>
      </c>
      <c r="L202" s="20">
        <f>Slaughtering!$W$19</f>
        <v>0.14583333333333334</v>
      </c>
      <c r="M202" s="20"/>
      <c r="N202" s="20"/>
      <c r="O202" s="20">
        <v>1E-3</v>
      </c>
      <c r="P202" s="20">
        <f>Slaughtering!$W$19</f>
        <v>0.14583333333333334</v>
      </c>
      <c r="Q202" s="212" t="s">
        <v>346</v>
      </c>
    </row>
    <row r="203" spans="1:70" ht="14.45">
      <c r="A203" s="148" t="s">
        <v>347</v>
      </c>
      <c r="B203" s="51">
        <v>0</v>
      </c>
      <c r="C203" s="51">
        <v>0</v>
      </c>
      <c r="D203" s="51">
        <v>0</v>
      </c>
      <c r="E203" s="51">
        <v>0</v>
      </c>
      <c r="F203" s="51">
        <v>0</v>
      </c>
      <c r="G203" s="51">
        <v>0</v>
      </c>
      <c r="H203" s="51">
        <v>0</v>
      </c>
      <c r="I203" s="51">
        <v>0</v>
      </c>
      <c r="J203" s="51">
        <v>0</v>
      </c>
      <c r="K203" s="51">
        <v>0</v>
      </c>
      <c r="L203" s="51">
        <v>0</v>
      </c>
      <c r="M203" s="38"/>
      <c r="N203" s="38"/>
      <c r="O203" s="38">
        <v>0</v>
      </c>
      <c r="P203" s="38">
        <v>0</v>
      </c>
    </row>
    <row r="204" spans="1:70" s="102" customFormat="1" ht="14.45">
      <c r="A204" s="36" t="s">
        <v>348</v>
      </c>
      <c r="B204" s="109">
        <f>B207*B206*B205*100</f>
        <v>6.9737999999999994E-2</v>
      </c>
      <c r="C204" s="109">
        <f t="shared" ref="C204:P204" si="61">C207*C206*C205*100</f>
        <v>8.4251999999999994E-2</v>
      </c>
      <c r="D204" s="109">
        <f t="shared" si="61"/>
        <v>7.2392999999999985E-2</v>
      </c>
      <c r="E204" s="109">
        <f t="shared" si="61"/>
        <v>8.442899999999999E-2</v>
      </c>
      <c r="F204" s="109">
        <f t="shared" si="61"/>
        <v>8.9207999999999996E-2</v>
      </c>
      <c r="G204" s="109">
        <f t="shared" si="61"/>
        <v>8.8322999999999999E-2</v>
      </c>
      <c r="H204" s="109">
        <f t="shared" si="61"/>
        <v>8.9562000000000003E-2</v>
      </c>
      <c r="I204" s="109">
        <f t="shared" si="61"/>
        <v>7.4339999999999989E-2</v>
      </c>
      <c r="J204" s="109">
        <f t="shared" si="61"/>
        <v>9.9119999999999986E-2</v>
      </c>
      <c r="K204" s="109">
        <f t="shared" si="61"/>
        <v>8.4074999999999997E-2</v>
      </c>
      <c r="L204" s="109">
        <f t="shared" si="61"/>
        <v>7.0800000000000002E-2</v>
      </c>
      <c r="M204" s="109"/>
      <c r="N204" s="109"/>
      <c r="O204" s="220">
        <f t="shared" si="61"/>
        <v>8.8499999999999996E-5</v>
      </c>
      <c r="P204" s="109">
        <f t="shared" si="61"/>
        <v>0.4425</v>
      </c>
      <c r="Q204" s="83" t="s">
        <v>349</v>
      </c>
      <c r="R204" s="8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row>
    <row r="205" spans="1:70" s="101" customFormat="1" ht="14.45">
      <c r="A205" s="101" t="s">
        <v>350</v>
      </c>
      <c r="B205" s="157">
        <f>(2*(B208+B209+B211))+B210</f>
        <v>0.78800000000000003</v>
      </c>
      <c r="C205" s="157">
        <f t="shared" ref="C205:P205" si="62">(2*(C208+C209+C211))+C210</f>
        <v>0.95199999999999996</v>
      </c>
      <c r="D205" s="157">
        <f t="shared" si="62"/>
        <v>0.81799999999999995</v>
      </c>
      <c r="E205" s="157">
        <f t="shared" si="62"/>
        <v>0.95399999999999996</v>
      </c>
      <c r="F205" s="157">
        <f t="shared" si="62"/>
        <v>1.008</v>
      </c>
      <c r="G205" s="157">
        <f t="shared" si="62"/>
        <v>0.998</v>
      </c>
      <c r="H205" s="157">
        <f t="shared" si="62"/>
        <v>1.012</v>
      </c>
      <c r="I205" s="157">
        <f t="shared" si="62"/>
        <v>0.84</v>
      </c>
      <c r="J205" s="157">
        <f t="shared" si="62"/>
        <v>1.1199999999999999</v>
      </c>
      <c r="K205" s="157">
        <f t="shared" si="62"/>
        <v>0.95</v>
      </c>
      <c r="L205" s="157">
        <f t="shared" si="62"/>
        <v>0.8</v>
      </c>
      <c r="M205" s="157"/>
      <c r="N205" s="157"/>
      <c r="O205" s="157">
        <f t="shared" si="62"/>
        <v>1E-3</v>
      </c>
      <c r="P205" s="157">
        <f t="shared" si="62"/>
        <v>5</v>
      </c>
      <c r="Q205" s="157"/>
      <c r="R205" s="157"/>
    </row>
    <row r="206" spans="1:70" ht="14.45">
      <c r="A206" s="3" t="s">
        <v>351</v>
      </c>
      <c r="B206" s="157">
        <v>0.17699999999999999</v>
      </c>
      <c r="C206" s="157">
        <v>0.17699999999999999</v>
      </c>
      <c r="D206" s="157">
        <v>0.17699999999999999</v>
      </c>
      <c r="E206" s="157">
        <v>0.17699999999999999</v>
      </c>
      <c r="F206" s="157">
        <v>0.17699999999999999</v>
      </c>
      <c r="G206" s="157">
        <v>0.17699999999999999</v>
      </c>
      <c r="H206" s="157">
        <v>0.17699999999999999</v>
      </c>
      <c r="I206" s="157">
        <v>0.17699999999999999</v>
      </c>
      <c r="J206" s="157">
        <v>0.17699999999999999</v>
      </c>
      <c r="K206" s="157">
        <v>0.17699999999999999</v>
      </c>
      <c r="L206" s="157">
        <v>0.17699999999999999</v>
      </c>
      <c r="M206" s="157"/>
      <c r="N206" s="157"/>
      <c r="O206" s="157">
        <v>0.17699999999999999</v>
      </c>
      <c r="P206" s="157">
        <v>0.17699999999999999</v>
      </c>
      <c r="Q206" s="158"/>
      <c r="R206" s="158"/>
    </row>
    <row r="207" spans="1:70" s="3" customFormat="1" ht="14.45">
      <c r="A207" s="102" t="s">
        <v>352</v>
      </c>
      <c r="B207" s="102">
        <v>5.0000000000000001E-3</v>
      </c>
      <c r="C207" s="102">
        <v>5.0000000000000001E-3</v>
      </c>
      <c r="D207" s="102">
        <v>5.0000000000000001E-3</v>
      </c>
      <c r="E207" s="102">
        <v>5.0000000000000001E-3</v>
      </c>
      <c r="F207" s="102">
        <v>5.0000000000000001E-3</v>
      </c>
      <c r="G207" s="102">
        <v>5.0000000000000001E-3</v>
      </c>
      <c r="H207" s="102">
        <v>5.0000000000000001E-3</v>
      </c>
      <c r="I207" s="102">
        <v>5.0000000000000001E-3</v>
      </c>
      <c r="J207" s="102">
        <v>5.0000000000000001E-3</v>
      </c>
      <c r="K207" s="102">
        <v>5.0000000000000001E-3</v>
      </c>
      <c r="L207" s="102">
        <v>5.0000000000000001E-3</v>
      </c>
      <c r="M207" s="102"/>
      <c r="N207" s="102"/>
      <c r="O207" s="102">
        <v>5.0000000000000001E-3</v>
      </c>
      <c r="P207" s="102">
        <v>5.0000000000000001E-3</v>
      </c>
      <c r="Q207" s="86" t="s">
        <v>353</v>
      </c>
      <c r="R207" s="86"/>
    </row>
    <row r="208" spans="1:70" ht="15" customHeight="1">
      <c r="A208" s="3" t="s">
        <v>354</v>
      </c>
      <c r="B208" s="83">
        <v>0.03</v>
      </c>
      <c r="C208" s="83">
        <v>0.03</v>
      </c>
      <c r="D208" s="83">
        <v>0.03</v>
      </c>
      <c r="E208" s="83">
        <v>0.03</v>
      </c>
      <c r="F208" s="83">
        <v>0.03</v>
      </c>
      <c r="G208" s="83">
        <v>0.03</v>
      </c>
      <c r="H208" s="83">
        <v>0.03</v>
      </c>
      <c r="I208" s="83">
        <v>0.03</v>
      </c>
      <c r="J208" s="83">
        <v>0.03</v>
      </c>
      <c r="K208" s="83">
        <v>0.03</v>
      </c>
      <c r="L208" s="83">
        <v>0.03</v>
      </c>
      <c r="M208" s="83"/>
      <c r="N208" s="83"/>
      <c r="O208" s="83">
        <v>0</v>
      </c>
      <c r="P208" s="83">
        <v>0.5</v>
      </c>
      <c r="Q208" s="110" t="s">
        <v>355</v>
      </c>
      <c r="R208" s="82"/>
    </row>
    <row r="209" spans="1:19" ht="14.45">
      <c r="A209" s="3" t="s">
        <v>356</v>
      </c>
      <c r="B209" s="83">
        <v>0.15</v>
      </c>
      <c r="C209" s="83">
        <v>0.15</v>
      </c>
      <c r="D209" s="83">
        <v>0.15</v>
      </c>
      <c r="E209" s="83">
        <v>0.15</v>
      </c>
      <c r="F209" s="83">
        <v>0.15</v>
      </c>
      <c r="G209" s="83">
        <v>0.15</v>
      </c>
      <c r="H209" s="83">
        <v>0.15</v>
      </c>
      <c r="I209" s="83">
        <v>0.15</v>
      </c>
      <c r="J209" s="83">
        <v>0.15</v>
      </c>
      <c r="K209" s="83">
        <v>0.15</v>
      </c>
      <c r="L209" s="83">
        <v>0.15</v>
      </c>
      <c r="M209" s="83"/>
      <c r="N209" s="83"/>
      <c r="O209" s="83">
        <v>0</v>
      </c>
      <c r="P209" s="83">
        <v>0.5</v>
      </c>
      <c r="Q209" s="82" t="s">
        <v>357</v>
      </c>
      <c r="R209" s="159" t="s">
        <v>358</v>
      </c>
    </row>
    <row r="210" spans="1:19" ht="14.45">
      <c r="A210" s="3" t="s">
        <v>359</v>
      </c>
      <c r="B210" s="83">
        <v>0.25</v>
      </c>
      <c r="C210" s="83">
        <v>0.46</v>
      </c>
      <c r="D210" s="83">
        <v>0.25</v>
      </c>
      <c r="E210" s="83">
        <v>0.46</v>
      </c>
      <c r="F210" s="83">
        <v>0.46</v>
      </c>
      <c r="G210" s="83">
        <v>0.46</v>
      </c>
      <c r="H210" s="83">
        <v>0.46</v>
      </c>
      <c r="I210" s="83">
        <v>0.25</v>
      </c>
      <c r="J210" s="83">
        <v>0.46</v>
      </c>
      <c r="K210" s="83">
        <v>0.46</v>
      </c>
      <c r="L210" s="83">
        <v>0.25</v>
      </c>
      <c r="M210" s="83"/>
      <c r="N210" s="83"/>
      <c r="O210" s="83">
        <v>1E-3</v>
      </c>
      <c r="P210" s="83">
        <v>1</v>
      </c>
      <c r="Q210" s="83"/>
      <c r="R210" s="83"/>
      <c r="S210" s="1"/>
    </row>
    <row r="211" spans="1:19" s="3" customFormat="1" ht="14.45">
      <c r="A211" s="148" t="s">
        <v>360</v>
      </c>
      <c r="B211" s="151">
        <v>8.8999999999999996E-2</v>
      </c>
      <c r="C211" s="151">
        <v>6.6000000000000003E-2</v>
      </c>
      <c r="D211" s="151">
        <v>0.104</v>
      </c>
      <c r="E211" s="151">
        <v>6.7000000000000004E-2</v>
      </c>
      <c r="F211" s="151">
        <v>9.4E-2</v>
      </c>
      <c r="G211" s="151">
        <v>8.8999999999999996E-2</v>
      </c>
      <c r="H211" s="151">
        <v>9.6000000000000002E-2</v>
      </c>
      <c r="I211" s="151">
        <v>0.115</v>
      </c>
      <c r="J211" s="151">
        <v>0.15</v>
      </c>
      <c r="K211" s="151">
        <v>6.5000000000000002E-2</v>
      </c>
      <c r="L211" s="151">
        <v>9.5000000000000001E-2</v>
      </c>
      <c r="M211" s="83"/>
      <c r="N211" s="83"/>
      <c r="O211" s="83">
        <v>0</v>
      </c>
      <c r="P211" s="83">
        <v>1</v>
      </c>
      <c r="Q211" s="83"/>
      <c r="R211" s="83"/>
    </row>
    <row r="213" spans="1:19" ht="14.45"/>
    <row r="214" spans="1:19" ht="14.45"/>
    <row r="216" spans="1:19" ht="14.45"/>
    <row r="217" spans="1:19" ht="14.45"/>
    <row r="218" spans="1:19" ht="14.45"/>
    <row r="219" spans="1:19" ht="14.45"/>
    <row r="220" spans="1:19" ht="14.45"/>
    <row r="221" spans="1:19" ht="14.45"/>
    <row r="222" spans="1:19" ht="14.45"/>
    <row r="223" spans="1:19" ht="14.45"/>
    <row r="224" spans="1:19" ht="14.45"/>
    <row r="225" ht="14.45"/>
    <row r="226" ht="14.45"/>
    <row r="227" ht="14.45"/>
    <row r="228" ht="14.45"/>
    <row r="229" ht="14.45"/>
    <row r="230" ht="14.45"/>
    <row r="231" ht="14.45"/>
  </sheetData>
  <hyperlinks>
    <hyperlink ref="R191" r:id="rId1" xr:uid="{8DB5BFB7-962C-47B6-A2B9-6FF761844C41}"/>
    <hyperlink ref="R183" r:id="rId2" xr:uid="{1190DE0F-43E0-4CF8-BC47-8B155B4A257D}"/>
    <hyperlink ref="R209" r:id="rId3" xr:uid="{F96416A3-C053-450C-85EA-C83EC01ACB70}"/>
  </hyperlinks>
  <pageMargins left="0.7" right="0.7" top="0.75" bottom="0.75" header="0.3" footer="0.3"/>
  <pageSetup paperSize="9" orientation="landscape"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BA371-3BE1-4F64-B6D2-A02FF545CD88}">
  <dimension ref="A2:X31"/>
  <sheetViews>
    <sheetView workbookViewId="0">
      <selection activeCell="N37" sqref="N37"/>
    </sheetView>
  </sheetViews>
  <sheetFormatPr defaultRowHeight="14.45"/>
  <cols>
    <col min="1" max="1" width="25.42578125" customWidth="1"/>
    <col min="2" max="2" width="9.5703125" bestFit="1" customWidth="1"/>
    <col min="12" max="12" width="8.85546875" customWidth="1"/>
    <col min="13" max="13" width="24" customWidth="1"/>
    <col min="14" max="14" width="13.28515625" customWidth="1"/>
    <col min="15" max="15" width="9.85546875" customWidth="1"/>
    <col min="16" max="16" width="6.7109375" customWidth="1"/>
    <col min="17" max="17" width="11.140625" customWidth="1"/>
    <col min="18" max="18" width="11.7109375" customWidth="1"/>
  </cols>
  <sheetData>
    <row r="2" spans="1:17" ht="21">
      <c r="A2" s="32" t="s">
        <v>361</v>
      </c>
    </row>
    <row r="4" spans="1:17">
      <c r="A4" s="74"/>
      <c r="B4" s="74" t="s">
        <v>3</v>
      </c>
      <c r="C4" s="74" t="s">
        <v>4</v>
      </c>
      <c r="D4" s="74" t="s">
        <v>5</v>
      </c>
      <c r="E4" s="74" t="s">
        <v>6</v>
      </c>
      <c r="F4" s="74" t="s">
        <v>7</v>
      </c>
      <c r="G4" s="74" t="s">
        <v>8</v>
      </c>
      <c r="H4" s="74" t="s">
        <v>9</v>
      </c>
      <c r="I4" s="74" t="s">
        <v>10</v>
      </c>
      <c r="J4" s="74" t="s">
        <v>11</v>
      </c>
      <c r="K4" s="74" t="s">
        <v>12</v>
      </c>
      <c r="L4" s="74" t="s">
        <v>13</v>
      </c>
      <c r="O4" t="s">
        <v>362</v>
      </c>
      <c r="P4" t="s">
        <v>363</v>
      </c>
      <c r="Q4" t="s">
        <v>364</v>
      </c>
    </row>
    <row r="5" spans="1:17">
      <c r="A5" t="s">
        <v>365</v>
      </c>
      <c r="B5" s="45">
        <f>'Animal welfare index'!B3</f>
        <v>0.29560175819971807</v>
      </c>
      <c r="C5" s="45">
        <f>'Animal welfare index'!C3</f>
        <v>0.28068068375958927</v>
      </c>
      <c r="D5" s="45">
        <f>'Animal welfare index'!D3</f>
        <v>0.31780713669723276</v>
      </c>
      <c r="E5" s="45">
        <f>'Animal welfare index'!E3</f>
        <v>0.32250668770199775</v>
      </c>
      <c r="F5" s="45">
        <f>'Animal welfare index'!F3</f>
        <v>0.34083493662058117</v>
      </c>
      <c r="G5" s="45">
        <f>'Animal welfare index'!G3</f>
        <v>0.28690758884090289</v>
      </c>
      <c r="H5" s="45">
        <f>'Animal welfare index'!H3</f>
        <v>0.38512820484049132</v>
      </c>
      <c r="I5" s="45">
        <f>'Animal welfare index'!I3</f>
        <v>0.28596767863994993</v>
      </c>
      <c r="J5" s="45">
        <f>'Animal welfare index'!J3</f>
        <v>0.37208695080226839</v>
      </c>
      <c r="K5" s="45">
        <f>'Animal welfare index'!K3</f>
        <v>0.25882777158743203</v>
      </c>
      <c r="L5" s="45">
        <f>'Animal welfare index'!L3</f>
        <v>0.23814974716646609</v>
      </c>
      <c r="N5" t="s">
        <v>365</v>
      </c>
      <c r="O5">
        <f>MAX(B5:L5)</f>
        <v>0.38512820484049132</v>
      </c>
      <c r="P5">
        <f>AVERAGE(B5:L5)</f>
        <v>0.30768174044151175</v>
      </c>
      <c r="Q5">
        <f>MIN(B5:L5)</f>
        <v>0.23814974716646609</v>
      </c>
    </row>
    <row r="6" spans="1:17">
      <c r="A6" t="s">
        <v>366</v>
      </c>
      <c r="B6" s="45">
        <f>'Animal welfare index'!B20</f>
        <v>0.38593870051236046</v>
      </c>
      <c r="C6" s="45">
        <f>'Animal welfare index'!C20</f>
        <v>0.49604281107519799</v>
      </c>
      <c r="D6" s="45">
        <f>'Animal welfare index'!D20</f>
        <v>0.45091817559862518</v>
      </c>
      <c r="E6" s="45">
        <f>'Animal welfare index'!E20</f>
        <v>0.49604281107519799</v>
      </c>
      <c r="F6" s="45">
        <f>'Animal welfare index'!F20</f>
        <v>0.49604281107519799</v>
      </c>
      <c r="G6" s="45">
        <f>'Animal welfare index'!G20</f>
        <v>0.49604281107519799</v>
      </c>
      <c r="H6" s="45">
        <f>'Animal welfare index'!H20</f>
        <v>0.49604281107519799</v>
      </c>
      <c r="I6" s="45">
        <f>'Animal welfare index'!I20</f>
        <v>0.45091817559862518</v>
      </c>
      <c r="J6" s="45">
        <f>'Animal welfare index'!J20</f>
        <v>0.49604281107519799</v>
      </c>
      <c r="K6" s="45">
        <f>'Animal welfare index'!K20</f>
        <v>0.49604281107519799</v>
      </c>
      <c r="L6" s="45">
        <f>'Animal welfare index'!L20</f>
        <v>0.44599548809209</v>
      </c>
      <c r="N6" t="s">
        <v>366</v>
      </c>
      <c r="O6">
        <f t="shared" ref="O6:O14" si="0">MAX(B6:L6)</f>
        <v>0.49604281107519799</v>
      </c>
      <c r="P6">
        <f t="shared" ref="P6:P14" si="1">AVERAGE(B6:L6)</f>
        <v>0.47327911066618977</v>
      </c>
      <c r="Q6">
        <f t="shared" ref="Q6:Q14" si="2">MIN(B6:L6)</f>
        <v>0.38593870051236046</v>
      </c>
    </row>
    <row r="7" spans="1:17">
      <c r="A7" t="s">
        <v>367</v>
      </c>
      <c r="B7" s="45">
        <f>'Animal welfare index'!B28</f>
        <v>0.20061450746455783</v>
      </c>
      <c r="C7" s="45">
        <f>'Animal welfare index'!C28</f>
        <v>0.24631609136613059</v>
      </c>
      <c r="D7" s="45">
        <f>'Animal welfare index'!D28</f>
        <v>0.28238672518108959</v>
      </c>
      <c r="E7" s="45">
        <f>'Animal welfare index'!E28</f>
        <v>0.28502160775195556</v>
      </c>
      <c r="F7" s="45">
        <f>'Animal welfare index'!F28</f>
        <v>0.2997406069409313</v>
      </c>
      <c r="G7" s="45">
        <f>'Animal welfare index'!G28</f>
        <v>0.25013212819290204</v>
      </c>
      <c r="H7" s="45">
        <f>'Animal welfare index'!H28</f>
        <v>0.34062671579919718</v>
      </c>
      <c r="I7" s="45">
        <f>'Animal welfare index'!I28</f>
        <v>0.2518584305669177</v>
      </c>
      <c r="J7" s="45">
        <f>'Animal welfare index'!J28</f>
        <v>0.3237271241377806</v>
      </c>
      <c r="K7" s="45">
        <f>'Animal welfare index'!K28</f>
        <v>0.22614561099605271</v>
      </c>
      <c r="L7" s="45">
        <f>'Animal welfare index'!L28</f>
        <v>0.20988202547243145</v>
      </c>
      <c r="N7" t="s">
        <v>367</v>
      </c>
      <c r="O7">
        <f t="shared" si="0"/>
        <v>0.34062671579919718</v>
      </c>
      <c r="P7">
        <f t="shared" si="1"/>
        <v>0.26513196126090421</v>
      </c>
      <c r="Q7">
        <f t="shared" si="2"/>
        <v>0.20061450746455783</v>
      </c>
    </row>
    <row r="8" spans="1:17">
      <c r="A8" t="s">
        <v>368</v>
      </c>
      <c r="B8" s="201">
        <f>'Animal welfare index'!B36</f>
        <v>8.5404352965718633E-3</v>
      </c>
      <c r="C8" s="201">
        <f>'Animal welfare index'!C36</f>
        <v>8.3960318012192003E-3</v>
      </c>
      <c r="D8" s="201">
        <f>'Animal welfare index'!D36</f>
        <v>9.848907785073557E-3</v>
      </c>
      <c r="E8" s="201">
        <f>'Animal welfare index'!E36</f>
        <v>1.2851911086387129E-2</v>
      </c>
      <c r="F8" s="201">
        <f>'Animal welfare index'!F36</f>
        <v>1.3134824056873981E-2</v>
      </c>
      <c r="G8" s="201">
        <f>'Animal welfare index'!G36</f>
        <v>8.2192111946649167E-3</v>
      </c>
      <c r="H8" s="201">
        <f>'Animal welfare index'!H36</f>
        <v>1.1189797384776868E-2</v>
      </c>
      <c r="I8" s="201">
        <f>'Animal welfare index'!I36</f>
        <v>8.6818917818152902E-3</v>
      </c>
      <c r="J8" s="201">
        <f>'Animal welfare index'!J36</f>
        <v>1.2374495448690565E-2</v>
      </c>
      <c r="K8" s="201">
        <f>'Animal welfare index'!K36</f>
        <v>1.0500197019215167E-2</v>
      </c>
      <c r="L8" s="201">
        <f>'Animal welfare index'!L36</f>
        <v>8.0983837801861577E-3</v>
      </c>
    </row>
    <row r="9" spans="1:17">
      <c r="A9" t="s">
        <v>369</v>
      </c>
      <c r="B9" s="99">
        <f>'Animal welfare index'!B44</f>
        <v>6.7125007851221232</v>
      </c>
      <c r="C9" s="99">
        <f>'Animal welfare index'!C44</f>
        <v>6.8052206520011511</v>
      </c>
      <c r="D9" s="99">
        <f>'Animal welfare index'!D44</f>
        <v>6.9023384425879382</v>
      </c>
      <c r="E9" s="99">
        <f>'Animal welfare index'!E44</f>
        <v>9.9274161982778928</v>
      </c>
      <c r="F9" s="99">
        <f>'Animal welfare index'!F44</f>
        <v>10.42729722185066</v>
      </c>
      <c r="G9" s="99">
        <f>'Animal welfare index'!G44</f>
        <v>7.3563894007634918</v>
      </c>
      <c r="H9" s="99">
        <f>'Animal welfare index'!H44</f>
        <v>8.509213884238191</v>
      </c>
      <c r="I9" s="99">
        <f>'Animal welfare index'!I44</f>
        <v>8.1405739301218869</v>
      </c>
      <c r="J9" s="196">
        <f>'Animal welfare index'!J44</f>
        <v>10.001434627962157</v>
      </c>
      <c r="K9" s="99">
        <f>'Animal welfare index'!K44</f>
        <v>8.8463701718001548</v>
      </c>
      <c r="L9" s="99">
        <f>'Animal welfare index'!L44</f>
        <v>7.7135092992100676</v>
      </c>
      <c r="N9" t="s">
        <v>369</v>
      </c>
      <c r="O9">
        <f t="shared" si="0"/>
        <v>10.42729722185066</v>
      </c>
      <c r="P9">
        <f t="shared" si="1"/>
        <v>8.303842237630521</v>
      </c>
      <c r="Q9">
        <f t="shared" si="2"/>
        <v>6.7125007851221232</v>
      </c>
    </row>
    <row r="10" spans="1:17">
      <c r="A10" t="s">
        <v>370</v>
      </c>
      <c r="B10" s="196">
        <f>'Animal welfare index'!B61</f>
        <v>70.378120212897656</v>
      </c>
      <c r="C10" s="196">
        <f>'Animal welfare index'!C61</f>
        <v>76.868549579077296</v>
      </c>
      <c r="D10" s="196">
        <f>'Animal welfare index'!D61</f>
        <v>67.939375147030404</v>
      </c>
      <c r="E10" s="196">
        <f>'Animal welfare index'!E61</f>
        <v>76.426602115042613</v>
      </c>
      <c r="F10" s="196">
        <f>'Animal welfare index'!F61</f>
        <v>76.41384051491049</v>
      </c>
      <c r="G10" s="196">
        <f>'Animal welfare index'!G61</f>
        <v>76.426602115042613</v>
      </c>
      <c r="H10" s="196">
        <f>'Animal welfare index'!H61</f>
        <v>76.426602115042613</v>
      </c>
      <c r="I10" s="196">
        <f>'Animal welfare index'!I61</f>
        <v>75.375612033895237</v>
      </c>
      <c r="J10" s="196">
        <f>'Animal welfare index'!J61</f>
        <v>76.41384051491049</v>
      </c>
      <c r="K10" s="196">
        <f>'Animal welfare index'!K61</f>
        <v>76.41384051491049</v>
      </c>
      <c r="L10" s="196">
        <f>'Animal welfare index'!L61</f>
        <v>60.503138260165535</v>
      </c>
      <c r="N10" t="s">
        <v>370</v>
      </c>
      <c r="O10">
        <f t="shared" si="0"/>
        <v>76.868549579077296</v>
      </c>
      <c r="P10">
        <f t="shared" si="1"/>
        <v>73.598738465720487</v>
      </c>
      <c r="Q10">
        <f t="shared" si="2"/>
        <v>60.503138260165535</v>
      </c>
    </row>
    <row r="11" spans="1:17">
      <c r="A11" t="s">
        <v>371</v>
      </c>
      <c r="B11" s="99">
        <f>'Animal welfare index'!B78</f>
        <v>3.7603024624306398</v>
      </c>
      <c r="C11" s="99">
        <f>'Animal welfare index'!C78</f>
        <v>3.8528813937224173</v>
      </c>
      <c r="D11" s="99">
        <f>'Animal welfare index'!D78</f>
        <v>3.658512280664648</v>
      </c>
      <c r="E11" s="99">
        <f>'Animal welfare index'!E78</f>
        <v>3.7782569595637128</v>
      </c>
      <c r="F11" s="99">
        <f>'Animal welfare index'!F78</f>
        <v>3.6643868424530748</v>
      </c>
      <c r="G11" s="99">
        <f>'Animal welfare index'!G78</f>
        <v>3.6547804586127444</v>
      </c>
      <c r="H11" s="99">
        <f>'Animal welfare index'!H78</f>
        <v>2.9314832390092738</v>
      </c>
      <c r="I11" s="99">
        <f>'Animal welfare index'!I78</f>
        <v>3.521250969971935</v>
      </c>
      <c r="J11" s="99">
        <f>'Animal welfare index'!J78</f>
        <v>3.7782569595637128</v>
      </c>
      <c r="K11" s="99">
        <f>'Animal welfare index'!K78</f>
        <v>3.9766058701166638</v>
      </c>
      <c r="L11" s="99">
        <f>'Animal welfare index'!L78</f>
        <v>2.8930738532209359</v>
      </c>
      <c r="N11" t="s">
        <v>371</v>
      </c>
      <c r="O11">
        <f t="shared" si="0"/>
        <v>3.9766058701166638</v>
      </c>
      <c r="P11">
        <f t="shared" si="1"/>
        <v>3.5881628444845233</v>
      </c>
      <c r="Q11">
        <f t="shared" si="2"/>
        <v>2.8930738532209359</v>
      </c>
    </row>
    <row r="12" spans="1:17">
      <c r="A12" t="s">
        <v>372</v>
      </c>
      <c r="B12" s="99">
        <f>'Animal welfare index'!B95</f>
        <v>3.0059866098436268</v>
      </c>
      <c r="C12" s="99">
        <f>'Animal welfare index'!C95</f>
        <v>3.2933591015914891</v>
      </c>
      <c r="D12" s="99">
        <f>'Animal welfare index'!D95</f>
        <v>3.4800640589215956</v>
      </c>
      <c r="E12" s="99">
        <f>'Animal welfare index'!E95</f>
        <v>2.8533373134696354</v>
      </c>
      <c r="F12" s="99">
        <f>'Animal welfare index'!F95</f>
        <v>199.07249104665692</v>
      </c>
      <c r="G12" s="99">
        <f>'Animal welfare index'!G95</f>
        <v>2.6711695862508478</v>
      </c>
      <c r="H12" s="99">
        <f>'Animal welfare index'!H95</f>
        <v>2.8706657329119549</v>
      </c>
      <c r="I12" s="99">
        <f>'Animal welfare index'!I95</f>
        <v>2.5248575574030254</v>
      </c>
      <c r="J12" s="99">
        <f>'Animal welfare index'!J95</f>
        <v>4.4878251046775421</v>
      </c>
      <c r="K12" s="99">
        <f>'Animal welfare index'!K95</f>
        <v>3.324564411943197</v>
      </c>
      <c r="L12" s="99">
        <f>'Animal welfare index'!L95</f>
        <v>2.854762488771839</v>
      </c>
      <c r="N12" t="s">
        <v>372</v>
      </c>
      <c r="O12">
        <f t="shared" si="0"/>
        <v>199.07249104665692</v>
      </c>
      <c r="P12">
        <f t="shared" si="1"/>
        <v>20.949007546585605</v>
      </c>
      <c r="Q12">
        <f t="shared" si="2"/>
        <v>2.5248575574030254</v>
      </c>
    </row>
    <row r="13" spans="1:17">
      <c r="A13" t="s">
        <v>373</v>
      </c>
      <c r="B13" s="45"/>
      <c r="C13" s="196">
        <f>'Animal welfare index'!C112</f>
        <v>72.655755424485335</v>
      </c>
      <c r="D13" s="196"/>
      <c r="E13" s="196"/>
      <c r="F13" s="196">
        <f>'Animal welfare index'!F112</f>
        <v>72.655755424485335</v>
      </c>
      <c r="G13" s="196"/>
      <c r="H13" s="196">
        <f>'Animal welfare index'!H112</f>
        <v>69.058707221892462</v>
      </c>
      <c r="I13" s="196"/>
      <c r="J13" s="196"/>
      <c r="K13" s="196">
        <f>'Animal welfare index'!K112</f>
        <v>72.864617629991272</v>
      </c>
      <c r="L13" s="45"/>
      <c r="N13" t="s">
        <v>373</v>
      </c>
      <c r="O13">
        <f t="shared" si="0"/>
        <v>72.864617629991272</v>
      </c>
      <c r="P13">
        <f t="shared" si="1"/>
        <v>71.808708925213608</v>
      </c>
      <c r="Q13">
        <f t="shared" si="2"/>
        <v>69.058707221892462</v>
      </c>
    </row>
    <row r="14" spans="1:17">
      <c r="A14" t="s">
        <v>374</v>
      </c>
      <c r="B14" s="99">
        <f>'Animal welfare index'!B120</f>
        <v>10.939088941579248</v>
      </c>
      <c r="C14" s="99">
        <f>'Animal welfare index'!C120</f>
        <v>10.939088941579248</v>
      </c>
      <c r="D14" s="99">
        <f>'Animal welfare index'!D120</f>
        <v>10.939088941579248</v>
      </c>
      <c r="E14" s="99">
        <f>'Animal welfare index'!E120</f>
        <v>10.939088941579248</v>
      </c>
      <c r="F14" s="99">
        <f>'Animal welfare index'!F120</f>
        <v>10.939088941579248</v>
      </c>
      <c r="G14" s="99">
        <f>'Animal welfare index'!G120</f>
        <v>10.939088941579248</v>
      </c>
      <c r="H14" s="99">
        <f>'Animal welfare index'!H120</f>
        <v>10.939088941579248</v>
      </c>
      <c r="I14" s="99">
        <f>'Animal welfare index'!I120</f>
        <v>10.939088941579248</v>
      </c>
      <c r="J14" s="99">
        <f>'Animal welfare index'!J120</f>
        <v>10.939088941579248</v>
      </c>
      <c r="K14" s="99">
        <f>'Animal welfare index'!K120</f>
        <v>10.939088941579248</v>
      </c>
      <c r="L14" s="99">
        <f>'Animal welfare index'!L120</f>
        <v>10.939088941579248</v>
      </c>
      <c r="N14" t="s">
        <v>374</v>
      </c>
      <c r="O14">
        <f t="shared" si="0"/>
        <v>10.939088941579248</v>
      </c>
      <c r="P14">
        <f t="shared" si="1"/>
        <v>10.939088941579245</v>
      </c>
      <c r="Q14">
        <f t="shared" si="2"/>
        <v>10.939088941579248</v>
      </c>
    </row>
    <row r="15" spans="1:17">
      <c r="A15" t="s">
        <v>375</v>
      </c>
      <c r="B15" s="45">
        <f>'Animal welfare index'!B160</f>
        <v>0.27459417235858385</v>
      </c>
      <c r="C15" s="45">
        <f>'Animal welfare index'!C160</f>
        <v>0.27459417235858385</v>
      </c>
      <c r="D15" s="45">
        <f>'Animal welfare index'!D160</f>
        <v>0.27459417235858385</v>
      </c>
      <c r="E15" s="45">
        <f>'Animal welfare index'!E160</f>
        <v>0.27459417235858385</v>
      </c>
      <c r="F15" s="45">
        <f>'Animal welfare index'!F160</f>
        <v>0.27459417235858385</v>
      </c>
      <c r="G15" s="45">
        <f>'Animal welfare index'!G160</f>
        <v>0.27459417235858385</v>
      </c>
      <c r="H15" s="45">
        <f>'Animal welfare index'!H160</f>
        <v>0.27459417235858385</v>
      </c>
      <c r="I15" s="45">
        <f>'Animal welfare index'!I160</f>
        <v>0.27459417235858385</v>
      </c>
      <c r="J15" s="45">
        <f>'Animal welfare index'!J160</f>
        <v>0.27459417235858385</v>
      </c>
      <c r="K15" s="45">
        <f>'Animal welfare index'!K160</f>
        <v>0.27459417235858385</v>
      </c>
      <c r="L15" s="45">
        <f>'Animal welfare index'!L160</f>
        <v>0.27459417235858385</v>
      </c>
    </row>
    <row r="16" spans="1:17">
      <c r="A16" t="s">
        <v>376</v>
      </c>
      <c r="B16" s="99">
        <f>'Animal welfare index'!B184</f>
        <v>7.6084608464571506</v>
      </c>
      <c r="C16" s="99">
        <f>'Animal welfare index'!C184</f>
        <v>7.6084608464571506</v>
      </c>
      <c r="D16" s="99">
        <f>'Animal welfare index'!D184</f>
        <v>7.6084608464571506</v>
      </c>
      <c r="E16" s="99">
        <f>'Animal welfare index'!E184</f>
        <v>7.6084608464571506</v>
      </c>
      <c r="F16" s="99">
        <f>'Animal welfare index'!F184</f>
        <v>7.6084608464571506</v>
      </c>
      <c r="G16" s="99">
        <f>'Animal welfare index'!G184</f>
        <v>7.6084608464571506</v>
      </c>
      <c r="H16" s="99">
        <f>'Animal welfare index'!H184</f>
        <v>7.6084608464571506</v>
      </c>
      <c r="I16" s="99">
        <f>'Animal welfare index'!I184</f>
        <v>7.6084608464571506</v>
      </c>
      <c r="J16" s="99">
        <f>'Animal welfare index'!J184</f>
        <v>7.6084608464571506</v>
      </c>
      <c r="K16" s="99">
        <f>'Animal welfare index'!K184</f>
        <v>7.6084608464571506</v>
      </c>
      <c r="L16" s="99">
        <f>'Animal welfare index'!L184</f>
        <v>7.6084608464571506</v>
      </c>
    </row>
    <row r="17" spans="1:24">
      <c r="M17" t="s">
        <v>377</v>
      </c>
      <c r="X17" s="1" t="s">
        <v>378</v>
      </c>
    </row>
    <row r="18" spans="1:24">
      <c r="A18" t="s">
        <v>379</v>
      </c>
      <c r="O18" s="161" t="s">
        <v>380</v>
      </c>
      <c r="P18" s="161"/>
      <c r="Q18" s="161"/>
      <c r="R18" s="161"/>
      <c r="S18" s="74" t="s">
        <v>381</v>
      </c>
      <c r="T18" s="74"/>
      <c r="U18" s="74"/>
      <c r="V18" s="74"/>
      <c r="X18" t="s">
        <v>382</v>
      </c>
    </row>
    <row r="19" spans="1:24">
      <c r="A19" t="s">
        <v>383</v>
      </c>
      <c r="N19" t="s">
        <v>384</v>
      </c>
      <c r="O19" t="s">
        <v>385</v>
      </c>
      <c r="P19" t="s">
        <v>386</v>
      </c>
      <c r="Q19" t="s">
        <v>387</v>
      </c>
      <c r="R19" t="s">
        <v>388</v>
      </c>
      <c r="S19" t="s">
        <v>385</v>
      </c>
      <c r="T19" t="s">
        <v>386</v>
      </c>
      <c r="U19" t="s">
        <v>387</v>
      </c>
      <c r="V19" t="s">
        <v>388</v>
      </c>
      <c r="X19" t="s">
        <v>389</v>
      </c>
    </row>
    <row r="20" spans="1:24">
      <c r="M20" t="s">
        <v>365</v>
      </c>
      <c r="N20" s="45" t="e" cm="1">
        <f t="array" aca="1" ref="N20" ca="1">Animal welfare [1]index!B5</f>
        <v>#NAME?</v>
      </c>
      <c r="P20">
        <f>'Animal welfare index'!B13</f>
        <v>0.90999999999999992</v>
      </c>
      <c r="Q20" s="45">
        <f>'Animal welfare index'!B14</f>
        <v>0.88410303277141455</v>
      </c>
      <c r="R20" s="117">
        <f>'Animal welfare index'!B15</f>
        <v>3.3222591362126247E-3</v>
      </c>
      <c r="S20" s="21">
        <f>'Animal welfare index'!B4</f>
        <v>2.8314794803709093E-2</v>
      </c>
    </row>
    <row r="21" spans="1:24">
      <c r="M21" t="s">
        <v>366</v>
      </c>
      <c r="S21" s="21"/>
    </row>
    <row r="22" spans="1:24">
      <c r="M22" t="s">
        <v>367</v>
      </c>
      <c r="S22" s="21"/>
    </row>
    <row r="23" spans="1:24">
      <c r="M23" t="s">
        <v>369</v>
      </c>
      <c r="S23" s="21"/>
    </row>
    <row r="24" spans="1:24">
      <c r="M24" t="s">
        <v>370</v>
      </c>
      <c r="N24" s="99">
        <f>'Animal welfare index'!B61</f>
        <v>70.378120212897656</v>
      </c>
      <c r="P24">
        <f>'Animal welfare index'!B63</f>
        <v>1.7066666666666668</v>
      </c>
      <c r="Q24" s="45">
        <f>'Animal welfare index'!B64</f>
        <v>0.54320827892864587</v>
      </c>
      <c r="R24" s="45">
        <f>'Animal welfare index'!B65</f>
        <v>0.75216903015372494</v>
      </c>
      <c r="S24" s="21">
        <f>'Animal welfare index'!B70</f>
        <v>0.64637504669244505</v>
      </c>
    </row>
    <row r="25" spans="1:24">
      <c r="M25" t="s">
        <v>371</v>
      </c>
    </row>
    <row r="26" spans="1:24">
      <c r="M26" t="s">
        <v>372</v>
      </c>
      <c r="P26" s="1"/>
    </row>
    <row r="27" spans="1:24">
      <c r="M27" t="s">
        <v>373</v>
      </c>
    </row>
    <row r="28" spans="1:24">
      <c r="M28" t="s">
        <v>374</v>
      </c>
    </row>
    <row r="29" spans="1:24">
      <c r="M29" t="s">
        <v>390</v>
      </c>
    </row>
    <row r="30" spans="1:24">
      <c r="M30" t="s">
        <v>391</v>
      </c>
    </row>
    <row r="31" spans="1:24">
      <c r="M31" t="s">
        <v>392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6E75-D3BE-483A-92E2-0D267DC80D68}">
  <dimension ref="A3:P25"/>
  <sheetViews>
    <sheetView workbookViewId="0">
      <selection activeCell="K21" sqref="K21"/>
    </sheetView>
  </sheetViews>
  <sheetFormatPr defaultRowHeight="14.45"/>
  <sheetData>
    <row r="3" spans="1:16" ht="15" customHeight="1">
      <c r="A3" s="111" t="s">
        <v>377</v>
      </c>
      <c r="B3" s="111"/>
      <c r="C3" s="111"/>
      <c r="D3" s="236"/>
      <c r="E3" s="236"/>
      <c r="F3" s="111"/>
      <c r="G3" s="111"/>
      <c r="H3" s="111"/>
      <c r="I3" s="111"/>
      <c r="J3" s="111"/>
      <c r="K3" s="2"/>
      <c r="L3" s="2"/>
      <c r="M3" s="2"/>
      <c r="N3" s="2"/>
      <c r="O3" s="2"/>
      <c r="P3" s="2"/>
    </row>
    <row r="4" spans="1:16" ht="15" customHeight="1">
      <c r="A4" s="111"/>
      <c r="B4" s="111"/>
      <c r="C4" s="206" t="s">
        <v>380</v>
      </c>
      <c r="D4" s="237" t="s">
        <v>393</v>
      </c>
      <c r="E4" s="237"/>
      <c r="F4" s="206" t="s">
        <v>393</v>
      </c>
      <c r="G4" s="207" t="s">
        <v>394</v>
      </c>
      <c r="H4" s="207"/>
      <c r="I4" s="207" t="s">
        <v>393</v>
      </c>
      <c r="J4" s="207" t="s">
        <v>393</v>
      </c>
      <c r="K4" s="2"/>
      <c r="L4" s="2"/>
      <c r="M4" s="2"/>
      <c r="N4" s="2"/>
      <c r="O4" s="2"/>
      <c r="P4" s="2"/>
    </row>
    <row r="5" spans="1:16" ht="30.6" customHeight="1">
      <c r="A5" s="111"/>
      <c r="B5" s="208" t="s">
        <v>384</v>
      </c>
      <c r="C5" s="111" t="s">
        <v>385</v>
      </c>
      <c r="D5" s="111" t="s">
        <v>386</v>
      </c>
      <c r="E5" s="111" t="s">
        <v>387</v>
      </c>
      <c r="F5" s="210" t="s">
        <v>23</v>
      </c>
      <c r="G5" s="111" t="s">
        <v>385</v>
      </c>
      <c r="H5" s="111" t="s">
        <v>386</v>
      </c>
      <c r="I5" s="111" t="s">
        <v>387</v>
      </c>
      <c r="J5" s="208" t="s">
        <v>388</v>
      </c>
      <c r="K5" s="2"/>
      <c r="L5" s="2"/>
      <c r="M5" s="2"/>
      <c r="N5" s="2"/>
      <c r="O5" s="2"/>
      <c r="P5" s="2"/>
    </row>
    <row r="6" spans="1:16" ht="15" customHeight="1">
      <c r="A6" s="111" t="s">
        <v>365</v>
      </c>
      <c r="B6" s="221">
        <f>'Animal welfare index'!B3</f>
        <v>0.29560175819971807</v>
      </c>
      <c r="C6" s="221">
        <f>'Animal welfare index'!B12</f>
        <v>0.26728696339600899</v>
      </c>
      <c r="D6" s="221">
        <f>'Animal welfare index'!B13</f>
        <v>0.90999999999999992</v>
      </c>
      <c r="E6" s="221">
        <f>'Animal welfare index'!B14</f>
        <v>0.88410303277141455</v>
      </c>
      <c r="F6" s="209">
        <f>'Animal welfare index'!B15</f>
        <v>3.3222591362126247E-3</v>
      </c>
      <c r="G6" s="221">
        <f>'Animal welfare index'!B4</f>
        <v>2.8314794803709093E-2</v>
      </c>
      <c r="H6" s="221">
        <f>'Animal welfare index'!B5</f>
        <v>0.48199999999999998</v>
      </c>
      <c r="I6" s="221">
        <f>'Animal welfare index'!B6</f>
        <v>0.88410303277141455</v>
      </c>
      <c r="J6" s="209">
        <f>'Animal welfare index'!B7</f>
        <v>6.6445182724252495E-4</v>
      </c>
      <c r="K6" s="2"/>
      <c r="L6" s="2"/>
      <c r="M6" s="2"/>
      <c r="N6" s="2"/>
      <c r="O6" s="2"/>
      <c r="P6" s="2"/>
    </row>
    <row r="7" spans="1:16" ht="15" customHeight="1">
      <c r="A7" s="111" t="s">
        <v>366</v>
      </c>
      <c r="B7" s="221">
        <f>'Animal welfare index'!B20</f>
        <v>0.38593870051236046</v>
      </c>
      <c r="C7" s="221">
        <f>'Animal welfare index'!B20</f>
        <v>0.38593870051236046</v>
      </c>
      <c r="D7" s="221">
        <f>'Animal welfare index'!B21</f>
        <v>0.78400000000000003</v>
      </c>
      <c r="E7" s="221">
        <f>'Animal welfare index'!B22</f>
        <v>0.82044791775586834</v>
      </c>
      <c r="F7" s="221">
        <f>'Animal welfare index'!B23</f>
        <v>6.0000000000000001E-3</v>
      </c>
      <c r="G7" s="221"/>
      <c r="H7" s="221"/>
      <c r="I7" s="55"/>
      <c r="J7" s="55"/>
      <c r="K7" s="2"/>
      <c r="L7" s="2"/>
      <c r="M7" s="2"/>
    </row>
    <row r="8" spans="1:16" ht="15" customHeight="1">
      <c r="A8" s="111" t="s">
        <v>367</v>
      </c>
      <c r="B8" s="221">
        <f>'Animal welfare index'!B28</f>
        <v>0.20061450746455783</v>
      </c>
      <c r="C8" s="221">
        <f>'Animal welfare index'!B28</f>
        <v>0.20061450746455783</v>
      </c>
      <c r="D8" s="221">
        <f>'Animal welfare index'!B29</f>
        <v>0.73599999999999999</v>
      </c>
      <c r="E8" s="221">
        <f>'Animal welfare index'!B30</f>
        <v>0.82044791775586834</v>
      </c>
      <c r="F8" s="209">
        <f>'Animal welfare index'!B31</f>
        <v>3.3222591362126247E-3</v>
      </c>
      <c r="G8" s="221"/>
      <c r="H8" s="221"/>
      <c r="I8" s="55"/>
      <c r="J8" s="55"/>
      <c r="K8" s="2"/>
      <c r="L8" s="2"/>
      <c r="M8" s="2"/>
    </row>
    <row r="9" spans="1:16" ht="15" customHeight="1">
      <c r="A9" s="111" t="s">
        <v>395</v>
      </c>
      <c r="B9" s="221">
        <f>'Animal welfare index'!B36</f>
        <v>8.5404352965718633E-3</v>
      </c>
      <c r="C9" s="221">
        <f>'Animal welfare index'!B36</f>
        <v>8.5404352965718633E-3</v>
      </c>
      <c r="D9" s="221">
        <f>'Animal welfare index'!B37</f>
        <v>0.96599999999999997</v>
      </c>
      <c r="E9" s="221">
        <f>'Animal welfare index'!B38</f>
        <v>0.88410303277141455</v>
      </c>
      <c r="F9" s="223">
        <f>'Animal welfare index'!B39</f>
        <v>1E-4</v>
      </c>
      <c r="G9" s="221" t="s">
        <v>396</v>
      </c>
      <c r="H9" s="221"/>
      <c r="I9" s="221"/>
      <c r="J9" s="221"/>
      <c r="K9" s="2"/>
      <c r="L9" s="2"/>
      <c r="M9" s="2"/>
      <c r="N9" s="2"/>
      <c r="O9" s="2"/>
      <c r="P9" s="2"/>
    </row>
    <row r="10" spans="1:16" ht="15" customHeight="1">
      <c r="A10" s="111" t="s">
        <v>369</v>
      </c>
      <c r="B10" s="221">
        <f>'Animal welfare index'!B44</f>
        <v>6.7125007851221232</v>
      </c>
      <c r="C10" s="221">
        <f>'Animal welfare index'!B53</f>
        <v>6.7027372376250396</v>
      </c>
      <c r="D10" s="221">
        <f>'Animal welfare index'!B54</f>
        <v>2.0819999999999999</v>
      </c>
      <c r="E10" s="221">
        <f>'Animal welfare index'!B55</f>
        <v>0.58534077701729459</v>
      </c>
      <c r="F10" s="221">
        <f>'Animal welfare index'!B56</f>
        <v>5.5E-2</v>
      </c>
      <c r="G10" s="221">
        <f>'Animal welfare index'!B45</f>
        <v>9.7635474970835124E-3</v>
      </c>
      <c r="H10" s="221">
        <f>'Animal welfare index'!B46</f>
        <v>6.9444444444444441E-3</v>
      </c>
      <c r="I10" s="55">
        <f>'Animal welfare index'!B47</f>
        <v>0.2556274253781865</v>
      </c>
      <c r="J10" s="55">
        <f>'Animal welfare index'!B48</f>
        <v>5.5E-2</v>
      </c>
      <c r="K10" s="2"/>
      <c r="L10" s="2"/>
      <c r="M10" s="2"/>
    </row>
    <row r="11" spans="1:16" ht="15" customHeight="1">
      <c r="A11" s="111" t="s">
        <v>397</v>
      </c>
      <c r="B11" s="221">
        <f>'Animal welfare index'!B61</f>
        <v>70.378120212897656</v>
      </c>
      <c r="C11" s="221">
        <f>'Animal welfare index'!B62</f>
        <v>69.731745166205215</v>
      </c>
      <c r="D11" s="221">
        <f>'Animal welfare index'!B63</f>
        <v>1.7066666666666668</v>
      </c>
      <c r="E11" s="221">
        <f>'Animal welfare index'!B64</f>
        <v>0.54320827892864587</v>
      </c>
      <c r="F11" s="221">
        <f>'Animal welfare index'!B65</f>
        <v>0.75216903015372494</v>
      </c>
      <c r="G11" s="221">
        <f>'Animal welfare index'!B70</f>
        <v>0.64637504669244505</v>
      </c>
      <c r="H11" s="221">
        <f>'Animal welfare index'!B71</f>
        <v>2.0259999999999998</v>
      </c>
      <c r="I11" s="221">
        <f>'Animal welfare index'!B72</f>
        <v>0.58534077701729459</v>
      </c>
      <c r="J11" s="221">
        <f>'Animal welfare index'!B73</f>
        <v>5.4505002185052534E-3</v>
      </c>
      <c r="K11" s="2"/>
      <c r="L11" s="2"/>
      <c r="M11" s="2"/>
      <c r="N11" s="2"/>
      <c r="O11" s="2"/>
      <c r="P11" s="2"/>
    </row>
    <row r="12" spans="1:16" ht="15" customHeight="1">
      <c r="A12" s="111" t="s">
        <v>398</v>
      </c>
      <c r="B12" s="221">
        <f>'Animal welfare index'!B78</f>
        <v>3.7603024624306398</v>
      </c>
      <c r="C12" s="221">
        <f>'Animal welfare index'!B79</f>
        <v>3.6384965381974435</v>
      </c>
      <c r="D12" s="221">
        <f>'Animal welfare index'!B80</f>
        <v>2.2759999999999998</v>
      </c>
      <c r="E12" s="221">
        <f>'Animal welfare index'!B81</f>
        <v>0.87981165625279378</v>
      </c>
      <c r="F12" s="221">
        <f>'Animal welfare index'!B82</f>
        <v>1.81702121013212E-2</v>
      </c>
      <c r="G12" s="221">
        <f>'Animal welfare index'!B87</f>
        <v>0.12180592423319622</v>
      </c>
      <c r="H12" s="221">
        <f>'Animal welfare index'!B88</f>
        <v>1.456</v>
      </c>
      <c r="I12" s="55">
        <f>'Animal welfare index'!B89</f>
        <v>0.94805646338919392</v>
      </c>
      <c r="J12" s="55">
        <f>'Animal welfare index'!B90</f>
        <v>8.824149006511655E-4</v>
      </c>
      <c r="K12" s="2"/>
      <c r="L12" s="2"/>
      <c r="M12" s="2"/>
    </row>
    <row r="13" spans="1:16" ht="15" customHeight="1">
      <c r="A13" s="111" t="s">
        <v>399</v>
      </c>
      <c r="B13" s="221">
        <f>'Animal welfare index'!B95</f>
        <v>3.0059866098436268</v>
      </c>
      <c r="C13" s="221">
        <f>'Animal welfare index'!B96</f>
        <v>2.5269795866880744</v>
      </c>
      <c r="D13" s="221">
        <f>'Animal welfare index'!B97</f>
        <v>0.77</v>
      </c>
      <c r="E13" s="221">
        <f>'Animal welfare index'!B98</f>
        <v>0.82044791775586834</v>
      </c>
      <c r="F13" s="221">
        <f>'Animal welfare index'!B99</f>
        <v>0.04</v>
      </c>
      <c r="G13" s="221">
        <f>'Animal welfare index'!B104</f>
        <v>0.47900702315555244</v>
      </c>
      <c r="H13" s="221">
        <f>'Animal welfare index'!B105</f>
        <v>0.77400000000000002</v>
      </c>
      <c r="I13" s="55">
        <f>'Animal welfare index'!B106</f>
        <v>0.88410303277141455</v>
      </c>
      <c r="J13" s="55">
        <f>'Animal welfare index'!B107</f>
        <v>7.0000000000000001E-3</v>
      </c>
      <c r="K13" s="2"/>
      <c r="L13" s="2"/>
      <c r="M13" s="2"/>
    </row>
    <row r="14" spans="1:16" ht="15" customHeight="1">
      <c r="A14" s="111" t="s">
        <v>400</v>
      </c>
      <c r="B14" s="221">
        <f>'Animal welfare index'!B112</f>
        <v>72.094906314879751</v>
      </c>
      <c r="C14" s="221">
        <f>'Animal welfare index'!B112</f>
        <v>72.094906314879751</v>
      </c>
      <c r="D14" s="221">
        <f>'Animal welfare index'!B113</f>
        <v>1.444</v>
      </c>
      <c r="E14" s="221">
        <f>'Animal welfare index'!B114</f>
        <v>0.67196797361598137</v>
      </c>
      <c r="F14" s="221">
        <f>'Animal welfare index'!B115</f>
        <v>0.74299999999999999</v>
      </c>
      <c r="G14" s="221"/>
      <c r="H14" s="221"/>
      <c r="I14" s="55"/>
      <c r="J14" s="55"/>
      <c r="K14" s="2"/>
      <c r="L14" s="2"/>
      <c r="M14" s="2"/>
    </row>
    <row r="15" spans="1:16" ht="15" customHeight="1">
      <c r="A15" s="111" t="s">
        <v>374</v>
      </c>
      <c r="B15" s="221">
        <f>'Animal welfare index'!B120</f>
        <v>10.939088941579248</v>
      </c>
      <c r="C15" s="221">
        <f>'Animal welfare index'!B120</f>
        <v>10.939088941579248</v>
      </c>
      <c r="D15" s="221">
        <f>'Animal welfare index'!B121</f>
        <v>0.8803333333333333</v>
      </c>
      <c r="E15" s="221">
        <f>'Animal welfare index'!B122</f>
        <v>0.30307199464420814</v>
      </c>
      <c r="F15" s="221">
        <f>'Animal welfare index'!B123</f>
        <v>0.41000410004100041</v>
      </c>
      <c r="G15" s="221"/>
      <c r="H15" s="221"/>
      <c r="I15" s="55"/>
      <c r="J15" s="55"/>
      <c r="K15" s="2"/>
      <c r="L15" s="2"/>
      <c r="M15" s="2"/>
    </row>
    <row r="16" spans="1:16" ht="15" customHeight="1">
      <c r="A16" s="111" t="s">
        <v>401</v>
      </c>
      <c r="B16" s="221">
        <f>'Animal welfare index'!B128</f>
        <v>1.8647868715666507</v>
      </c>
      <c r="C16" s="221">
        <f>'Animal welfare index'!B128</f>
        <v>1.8647868715666507</v>
      </c>
      <c r="D16" s="221">
        <f>'Animal welfare index'!B129</f>
        <v>0.14583333333333334</v>
      </c>
      <c r="E16" s="221">
        <f>'Animal welfare index'!B130</f>
        <v>0.31967774941142579</v>
      </c>
      <c r="F16" s="221">
        <f>'Animal welfare index'!B131</f>
        <v>0.4</v>
      </c>
      <c r="G16" s="221"/>
      <c r="H16" s="221"/>
      <c r="I16" s="55"/>
      <c r="J16" s="55"/>
      <c r="K16" s="2"/>
      <c r="L16" s="2"/>
      <c r="M16" s="2"/>
    </row>
    <row r="17" spans="1:16" ht="15" customHeight="1">
      <c r="A17" s="111" t="s">
        <v>402</v>
      </c>
      <c r="B17" s="209">
        <f>'Animal welfare index'!B136</f>
        <v>4.4035905510246658E-3</v>
      </c>
      <c r="C17" s="209">
        <f>'Animal welfare index'!B136</f>
        <v>4.4035905510246658E-3</v>
      </c>
      <c r="D17" s="209">
        <f>'Animal welfare index'!B137</f>
        <v>6.9444444444444447E-4</v>
      </c>
      <c r="E17" s="221">
        <f>'Animal welfare index'!B138</f>
        <v>0.93252505786404671</v>
      </c>
      <c r="F17" s="221">
        <f>'Animal welfare index'!B139</f>
        <v>6.8000000000000005E-2</v>
      </c>
      <c r="G17" s="221"/>
      <c r="H17" s="221"/>
      <c r="I17" s="55"/>
      <c r="J17" s="55"/>
      <c r="K17" s="2"/>
      <c r="L17" s="2"/>
      <c r="M17" s="2"/>
    </row>
    <row r="18" spans="1:16" ht="15" customHeight="1">
      <c r="A18" s="111" t="s">
        <v>403</v>
      </c>
      <c r="B18" s="209">
        <f>'Animal welfare index'!B144</f>
        <v>2.2222222222222222E-3</v>
      </c>
      <c r="C18" s="209">
        <f>'Animal welfare index'!B144</f>
        <v>2.2222222222222222E-3</v>
      </c>
      <c r="D18" s="209">
        <f>'Animal welfare index'!B145</f>
        <v>6.9444444444444447E-4</v>
      </c>
      <c r="E18" s="221">
        <f>'Animal welfare index'!B146</f>
        <v>1</v>
      </c>
      <c r="F18" s="221">
        <f>'Animal welfare index'!B147</f>
        <v>3.2000000000000001E-2</v>
      </c>
      <c r="G18" s="221"/>
      <c r="H18" s="221"/>
      <c r="I18" s="221"/>
      <c r="J18" s="221"/>
      <c r="K18" s="2"/>
      <c r="L18" s="2"/>
      <c r="M18" s="2"/>
      <c r="N18" s="2"/>
      <c r="O18" s="2"/>
      <c r="P18" s="2"/>
    </row>
    <row r="19" spans="1:16" ht="15" customHeight="1">
      <c r="A19" s="111" t="s">
        <v>404</v>
      </c>
      <c r="B19" s="221">
        <f>'Animal welfare index'!B152</f>
        <v>3.1305653789225861E-2</v>
      </c>
      <c r="C19" s="221">
        <f>'Animal welfare index'!B152</f>
        <v>3.1305653789225861E-2</v>
      </c>
      <c r="D19" s="221">
        <f>'Animal welfare index'!B153</f>
        <v>6.9444444444444447E-4</v>
      </c>
      <c r="E19" s="221">
        <f>'Animal welfare index'!B154</f>
        <v>0.70880725560511382</v>
      </c>
      <c r="F19" s="221">
        <f>'Animal welfare index'!B155</f>
        <v>0.63600000000000001</v>
      </c>
      <c r="G19" s="221"/>
      <c r="H19" s="221"/>
      <c r="I19" s="221"/>
      <c r="J19" s="221"/>
      <c r="K19" s="2"/>
      <c r="L19" s="2"/>
      <c r="M19" s="2"/>
      <c r="N19" s="2"/>
      <c r="O19" s="2"/>
      <c r="P19" s="2"/>
    </row>
    <row r="20" spans="1:16" ht="15" customHeight="1">
      <c r="A20" s="111" t="s">
        <v>405</v>
      </c>
      <c r="B20" s="221">
        <f>'Animal welfare index'!B160</f>
        <v>0.27459417235858385</v>
      </c>
      <c r="C20" s="221">
        <f>'Animal welfare index'!B160</f>
        <v>0.27459417235858385</v>
      </c>
      <c r="D20" s="221">
        <f>'Animal welfare index'!B161</f>
        <v>6.9444444444444447E-4</v>
      </c>
      <c r="E20" s="221">
        <f>'Animal welfare index'!B162</f>
        <v>3.9541560819636078E-2</v>
      </c>
      <c r="F20" s="224">
        <f>'Animal welfare index'!B163</f>
        <v>100</v>
      </c>
      <c r="G20" s="221" t="s">
        <v>396</v>
      </c>
      <c r="H20" s="221"/>
      <c r="I20" s="221"/>
      <c r="J20" s="221"/>
      <c r="K20" s="2"/>
      <c r="L20" s="2"/>
      <c r="M20" s="2"/>
      <c r="N20" s="2"/>
      <c r="O20" s="2"/>
      <c r="P20" s="2"/>
    </row>
    <row r="21" spans="1:16" ht="15" customHeight="1">
      <c r="A21" s="111" t="s">
        <v>406</v>
      </c>
      <c r="B21" s="221">
        <f>'Animal welfare index'!B168</f>
        <v>0.36986569781577089</v>
      </c>
      <c r="C21" s="221">
        <f>'Animal welfare index'!C168</f>
        <v>0.36986569781577089</v>
      </c>
      <c r="D21" s="221">
        <f>'Animal welfare index'!B169</f>
        <v>3.4722222222222224E-4</v>
      </c>
      <c r="E21" s="221">
        <f>'Animal welfare index'!B170</f>
        <v>8.8767767475785006E-2</v>
      </c>
      <c r="F21" s="224">
        <f>'Animal welfare index'!B171</f>
        <v>120</v>
      </c>
      <c r="G21" s="221" t="s">
        <v>396</v>
      </c>
      <c r="H21" s="221"/>
      <c r="I21" s="221"/>
      <c r="J21" s="221"/>
      <c r="K21" s="2"/>
      <c r="L21" s="2"/>
      <c r="M21" s="2"/>
      <c r="N21" s="2"/>
      <c r="O21" s="2"/>
      <c r="P21" s="2"/>
    </row>
    <row r="22" spans="1:16" ht="15" customHeight="1">
      <c r="A22" s="111" t="s">
        <v>407</v>
      </c>
      <c r="B22" s="222">
        <f>'Animal welfare index'!B176</f>
        <v>5.5325568107189609</v>
      </c>
      <c r="C22" s="221">
        <f>'Animal welfare index'!B176</f>
        <v>5.5325568107189609</v>
      </c>
      <c r="D22" s="221">
        <f>'Animal welfare index'!B177</f>
        <v>8.3333333333333329E-2</v>
      </c>
      <c r="E22" s="221">
        <f>'Animal welfare index'!B178</f>
        <v>4.9917805810998139E-2</v>
      </c>
      <c r="F22" s="224">
        <f>'Animal welfare index'!B179</f>
        <v>13.3</v>
      </c>
      <c r="G22" s="221" t="s">
        <v>396</v>
      </c>
      <c r="H22" s="221"/>
      <c r="I22" s="221"/>
      <c r="J22" s="221"/>
      <c r="K22" s="2"/>
      <c r="L22" s="2"/>
      <c r="M22" s="2"/>
      <c r="N22" s="2"/>
      <c r="O22" s="2"/>
      <c r="P22" s="2"/>
    </row>
    <row r="23" spans="1:16" ht="15" customHeight="1">
      <c r="A23" s="111" t="s">
        <v>408</v>
      </c>
      <c r="B23" s="222">
        <f>'Animal welfare index'!B184</f>
        <v>7.6084608464571506</v>
      </c>
      <c r="C23" s="221">
        <f>'Animal welfare index'!B184</f>
        <v>7.6084608464571506</v>
      </c>
      <c r="D23" s="221">
        <f>'Animal welfare index'!B185</f>
        <v>4.1666666666666664E-2</v>
      </c>
      <c r="E23" s="221">
        <f>'Animal welfare index'!B186</f>
        <v>0.1460824482519773</v>
      </c>
      <c r="F23" s="224">
        <f>'Animal welfare index'!B187</f>
        <v>12.5</v>
      </c>
      <c r="G23" s="221" t="s">
        <v>396</v>
      </c>
      <c r="H23" s="221"/>
      <c r="I23" s="221"/>
      <c r="J23" s="221"/>
      <c r="K23" s="2"/>
      <c r="L23" s="2"/>
      <c r="M23" s="2"/>
      <c r="N23" s="2"/>
      <c r="O23" s="2"/>
      <c r="P23" s="2"/>
    </row>
    <row r="24" spans="1:16" ht="15" customHeight="1">
      <c r="A24" s="111" t="s">
        <v>409</v>
      </c>
      <c r="B24" s="221">
        <f>'Animal welfare index'!B192</f>
        <v>0.70248667398552689</v>
      </c>
      <c r="C24" s="221">
        <f>'Animal welfare index'!B192</f>
        <v>0.70248667398552689</v>
      </c>
      <c r="D24" s="221">
        <f>'Animal welfare index'!B193</f>
        <v>0.14583333333333334</v>
      </c>
      <c r="E24" s="221">
        <f>'Animal welfare index'!B194</f>
        <v>0.37054242144291522</v>
      </c>
      <c r="F24" s="221">
        <f>'Animal welfare index'!B195</f>
        <v>0.13</v>
      </c>
      <c r="G24" s="221"/>
      <c r="H24" s="221"/>
      <c r="I24" s="221"/>
      <c r="J24" s="221"/>
      <c r="K24" s="2"/>
      <c r="L24" s="2"/>
      <c r="M24" s="2"/>
      <c r="N24" s="2"/>
      <c r="O24" s="2"/>
      <c r="P24" s="2"/>
    </row>
    <row r="25" spans="1:16" ht="15" customHeight="1">
      <c r="A25" s="111" t="s">
        <v>410</v>
      </c>
      <c r="B25" s="221">
        <f>'Animal welfare index'!B200</f>
        <v>0.34637964774951074</v>
      </c>
      <c r="C25" s="221">
        <f>'Animal welfare index'!B200</f>
        <v>0.34637964774951074</v>
      </c>
      <c r="D25" s="221">
        <f>'Animal welfare index'!B201</f>
        <v>0.78800000000000003</v>
      </c>
      <c r="E25" s="221">
        <f>'Animal welfare index'!B202</f>
        <v>0.87913616180078868</v>
      </c>
      <c r="F25" s="221">
        <f>'Animal welfare index'!B203</f>
        <v>5.0000000000000001E-3</v>
      </c>
      <c r="G25" s="221"/>
      <c r="H25" s="221"/>
      <c r="I25" s="221"/>
      <c r="J25" s="221"/>
      <c r="K25" s="2"/>
      <c r="L25" s="2"/>
      <c r="M25" s="2"/>
      <c r="N25" s="2"/>
      <c r="O25" s="2"/>
      <c r="P25" s="2"/>
    </row>
  </sheetData>
  <mergeCells count="2">
    <mergeCell ref="D3:E3"/>
    <mergeCell ref="D4: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B5-7CC3-4AC5-AABB-E87D1B4493C1}">
  <sheetPr>
    <tabColor theme="1"/>
  </sheetPr>
  <dimension ref="A2:B14"/>
  <sheetViews>
    <sheetView workbookViewId="0">
      <selection activeCell="C12" sqref="C12"/>
    </sheetView>
  </sheetViews>
  <sheetFormatPr defaultRowHeight="14.45"/>
  <cols>
    <col min="1" max="1" width="12.85546875" customWidth="1"/>
    <col min="2" max="2" width="20.42578125" customWidth="1"/>
  </cols>
  <sheetData>
    <row r="2" spans="1:2" ht="21">
      <c r="A2" s="32" t="s">
        <v>411</v>
      </c>
    </row>
    <row r="4" spans="1:2">
      <c r="A4" t="s">
        <v>412</v>
      </c>
    </row>
    <row r="6" spans="1:2">
      <c r="A6" t="s">
        <v>413</v>
      </c>
    </row>
    <row r="8" spans="1:2">
      <c r="A8" t="s">
        <v>387</v>
      </c>
      <c r="B8" t="s">
        <v>414</v>
      </c>
    </row>
    <row r="9" spans="1:2">
      <c r="A9" t="s">
        <v>386</v>
      </c>
      <c r="B9" t="s">
        <v>415</v>
      </c>
    </row>
    <row r="10" spans="1:2">
      <c r="A10" t="s">
        <v>23</v>
      </c>
      <c r="B10" t="s">
        <v>416</v>
      </c>
    </row>
    <row r="11" spans="1:2">
      <c r="B11" t="s">
        <v>417</v>
      </c>
    </row>
    <row r="12" spans="1:2">
      <c r="B12" t="s">
        <v>418</v>
      </c>
    </row>
    <row r="13" spans="1:2">
      <c r="B13" t="s">
        <v>419</v>
      </c>
    </row>
    <row r="14" spans="1:2">
      <c r="A14" t="s">
        <v>420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27"/>
  <sheetViews>
    <sheetView tabSelected="1" topLeftCell="A48" zoomScale="90" zoomScaleNormal="90" workbookViewId="0">
      <pane xSplit="3768" topLeftCell="L1" activePane="topRight"/>
      <selection pane="topRight" activeCell="Q58" sqref="Q58"/>
    </sheetView>
  </sheetViews>
  <sheetFormatPr defaultRowHeight="15" customHeight="1"/>
  <cols>
    <col min="1" max="1" width="34.5703125" customWidth="1"/>
    <col min="2" max="2" width="12.28515625" style="2" bestFit="1" customWidth="1"/>
    <col min="3" max="12" width="11.5703125" style="2" bestFit="1" customWidth="1"/>
    <col min="13" max="16" width="11.5703125" style="2" customWidth="1"/>
    <col min="17" max="17" width="39.42578125" customWidth="1"/>
    <col min="18" max="18" width="38.28515625" customWidth="1"/>
    <col min="19" max="19" width="21.140625" customWidth="1"/>
    <col min="20" max="20" width="14.85546875" customWidth="1"/>
    <col min="21" max="21" width="18.28515625" customWidth="1"/>
    <col min="22" max="22" width="18.5703125" customWidth="1"/>
    <col min="23" max="23" width="10.28515625" bestFit="1" customWidth="1"/>
    <col min="24" max="24" width="9.28515625" bestFit="1" customWidth="1"/>
    <col min="25" max="25" width="14" bestFit="1" customWidth="1"/>
    <col min="27" max="27" width="9.28515625" bestFit="1" customWidth="1"/>
    <col min="28" max="28" width="14.5703125" customWidth="1"/>
  </cols>
  <sheetData>
    <row r="1" spans="1:70" ht="20.25" customHeight="1">
      <c r="A1" s="32" t="s">
        <v>0</v>
      </c>
      <c r="H1" s="38" t="s">
        <v>1</v>
      </c>
      <c r="K1" s="2" t="s">
        <v>2</v>
      </c>
    </row>
    <row r="2" spans="1:70" ht="14.45">
      <c r="A2" s="80"/>
      <c r="B2" s="100" t="s">
        <v>3</v>
      </c>
      <c r="C2" s="100" t="s">
        <v>4</v>
      </c>
      <c r="D2" s="100" t="s">
        <v>5</v>
      </c>
      <c r="E2" s="100" t="s">
        <v>6</v>
      </c>
      <c r="F2" s="100" t="s">
        <v>7</v>
      </c>
      <c r="G2" s="100" t="s">
        <v>8</v>
      </c>
      <c r="H2" s="100" t="s">
        <v>9</v>
      </c>
      <c r="I2" s="100" t="s">
        <v>10</v>
      </c>
      <c r="J2" s="100" t="s">
        <v>11</v>
      </c>
      <c r="K2" s="100" t="s">
        <v>12</v>
      </c>
      <c r="L2" s="100" t="s">
        <v>13</v>
      </c>
      <c r="M2" s="171" t="s">
        <v>14</v>
      </c>
      <c r="N2" s="171" t="s">
        <v>15</v>
      </c>
      <c r="O2" s="171" t="s">
        <v>16</v>
      </c>
      <c r="P2" s="171" t="s">
        <v>17</v>
      </c>
      <c r="Q2" s="3" t="s">
        <v>18</v>
      </c>
      <c r="R2" s="3" t="s">
        <v>19</v>
      </c>
      <c r="S2" s="91" t="s">
        <v>20</v>
      </c>
      <c r="T2" s="86"/>
      <c r="U2" s="3"/>
      <c r="V2" s="3"/>
      <c r="Y2" s="92"/>
    </row>
    <row r="3" spans="1:70" s="7" customFormat="1" ht="14.45">
      <c r="A3" s="34" t="s">
        <v>21</v>
      </c>
      <c r="B3" s="35">
        <f>B12+B4</f>
        <v>0.29560175819971807</v>
      </c>
      <c r="C3" s="35">
        <f t="shared" ref="C3:P3" si="0">C12+C4</f>
        <v>0.28068068375958927</v>
      </c>
      <c r="D3" s="35">
        <f t="shared" si="0"/>
        <v>0.31780713669723276</v>
      </c>
      <c r="E3" s="35">
        <f t="shared" si="0"/>
        <v>0.32250668770199775</v>
      </c>
      <c r="F3" s="35">
        <f t="shared" si="0"/>
        <v>0.34083493662058117</v>
      </c>
      <c r="G3" s="35">
        <f t="shared" si="0"/>
        <v>0.28690758884090289</v>
      </c>
      <c r="H3" s="35">
        <f t="shared" si="0"/>
        <v>0.38512820484049132</v>
      </c>
      <c r="I3" s="35">
        <f t="shared" si="0"/>
        <v>0.28596767863994993</v>
      </c>
      <c r="J3" s="35">
        <f t="shared" si="0"/>
        <v>0.37208695080226839</v>
      </c>
      <c r="K3" s="35">
        <f t="shared" si="0"/>
        <v>0.25882777158743203</v>
      </c>
      <c r="L3" s="35">
        <f t="shared" si="0"/>
        <v>0.23814974716646609</v>
      </c>
      <c r="M3" s="35">
        <f t="shared" si="0"/>
        <v>0.26681700829553257</v>
      </c>
      <c r="N3" s="35"/>
      <c r="O3" s="172">
        <f t="shared" si="0"/>
        <v>3.3131844661466825E-4</v>
      </c>
      <c r="P3" s="35">
        <f t="shared" si="0"/>
        <v>1.6565922330733409</v>
      </c>
      <c r="Q3" s="3"/>
      <c r="R3" s="3"/>
      <c r="S3" s="93" t="s">
        <v>22</v>
      </c>
      <c r="T3" s="39" t="s">
        <v>23</v>
      </c>
      <c r="U3" s="40" t="s">
        <v>24</v>
      </c>
      <c r="V3" s="40" t="s">
        <v>25</v>
      </c>
      <c r="W3" s="40"/>
      <c r="X3"/>
      <c r="Y3" s="92"/>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15.75" customHeight="1">
      <c r="A4" s="28" t="s">
        <v>26</v>
      </c>
      <c r="B4" s="27">
        <f>B7*B6*B5*100</f>
        <v>2.8314794803709093E-2</v>
      </c>
      <c r="C4" s="27">
        <f t="shared" ref="C4:P4" si="1">C7*C6*C5*100</f>
        <v>3.4639607197621977E-2</v>
      </c>
      <c r="D4" s="27">
        <f t="shared" si="1"/>
        <v>3.2896857033354966E-2</v>
      </c>
      <c r="E4" s="27">
        <f t="shared" si="1"/>
        <v>3.4757095972741098E-2</v>
      </c>
      <c r="F4" s="27">
        <f t="shared" si="1"/>
        <v>3.7224360250242727E-2</v>
      </c>
      <c r="G4" s="27">
        <f t="shared" si="1"/>
        <v>3.6754405149766224E-2</v>
      </c>
      <c r="H4" s="27">
        <f t="shared" si="1"/>
        <v>3.7459337800480975E-2</v>
      </c>
      <c r="I4" s="27">
        <f t="shared" si="1"/>
        <v>3.3954256009427093E-2</v>
      </c>
      <c r="J4" s="27">
        <f t="shared" si="1"/>
        <v>4.2628843905722476E-2</v>
      </c>
      <c r="K4" s="27">
        <f t="shared" si="1"/>
        <v>3.452211842250285E-2</v>
      </c>
      <c r="L4" s="27">
        <f t="shared" si="1"/>
        <v>3.1369502956806336E-2</v>
      </c>
      <c r="M4" s="27">
        <f t="shared" si="1"/>
        <v>3.5462028623455849E-2</v>
      </c>
      <c r="N4" s="27"/>
      <c r="O4" s="214">
        <f t="shared" si="1"/>
        <v>5.8744387559562437E-5</v>
      </c>
      <c r="P4" s="27">
        <f t="shared" si="1"/>
        <v>0.29372193779781214</v>
      </c>
      <c r="Q4" s="3"/>
      <c r="R4" s="3"/>
      <c r="S4" s="94" t="s">
        <v>27</v>
      </c>
      <c r="T4" s="3">
        <v>1</v>
      </c>
      <c r="U4">
        <v>400</v>
      </c>
      <c r="V4">
        <f>T4*U4*0.7</f>
        <v>280</v>
      </c>
      <c r="W4">
        <f>T4/V6</f>
        <v>6.6445182724252495E-4</v>
      </c>
      <c r="Y4" s="92"/>
      <c r="AA4" s="29"/>
      <c r="AB4" s="29"/>
    </row>
    <row r="5" spans="1:70" ht="14.45">
      <c r="A5" s="22" t="s">
        <v>28</v>
      </c>
      <c r="B5" s="20">
        <f>(2*(B8+B9+B11))+B10</f>
        <v>0.48199999999999998</v>
      </c>
      <c r="C5" s="20">
        <f t="shared" ref="C5:P5" si="2">(2*(C8+C9+C11))+C10</f>
        <v>0.58966666666666656</v>
      </c>
      <c r="D5" s="20">
        <f t="shared" si="2"/>
        <v>0.56000000000000005</v>
      </c>
      <c r="E5" s="20">
        <f t="shared" si="2"/>
        <v>0.59166666666666656</v>
      </c>
      <c r="F5" s="20">
        <f t="shared" si="2"/>
        <v>0.6336666666666666</v>
      </c>
      <c r="G5" s="20">
        <f t="shared" si="2"/>
        <v>0.62566666666666659</v>
      </c>
      <c r="H5" s="20">
        <f t="shared" si="2"/>
        <v>0.6376666666666666</v>
      </c>
      <c r="I5" s="20">
        <f t="shared" si="2"/>
        <v>0.57800000000000007</v>
      </c>
      <c r="J5" s="20">
        <f t="shared" si="2"/>
        <v>0.72566666666666668</v>
      </c>
      <c r="K5" s="20">
        <f t="shared" si="2"/>
        <v>0.58766666666666656</v>
      </c>
      <c r="L5" s="20">
        <f t="shared" si="2"/>
        <v>0.53400000000000003</v>
      </c>
      <c r="M5" s="20">
        <f t="shared" si="2"/>
        <v>0.60366666666666657</v>
      </c>
      <c r="N5" s="20"/>
      <c r="O5" s="20">
        <f t="shared" si="2"/>
        <v>1E-3</v>
      </c>
      <c r="P5" s="20">
        <f t="shared" si="2"/>
        <v>5</v>
      </c>
      <c r="Q5" s="3"/>
      <c r="R5" s="3"/>
      <c r="S5" s="94" t="s">
        <v>29</v>
      </c>
      <c r="T5" s="3">
        <v>5</v>
      </c>
      <c r="U5">
        <v>350</v>
      </c>
      <c r="V5">
        <f>T5*U5*0.7</f>
        <v>1225</v>
      </c>
      <c r="W5">
        <f>T5/V6</f>
        <v>3.3222591362126247E-3</v>
      </c>
      <c r="Y5" s="92"/>
      <c r="AA5" s="29"/>
      <c r="AB5" s="29"/>
    </row>
    <row r="6" spans="1:70" ht="14.45">
      <c r="A6" s="22" t="s">
        <v>30</v>
      </c>
      <c r="B6" s="21">
        <f>Ability!$B$5</f>
        <v>0.88410303277141455</v>
      </c>
      <c r="C6" s="21">
        <f>Ability!$B$5</f>
        <v>0.88410303277141455</v>
      </c>
      <c r="D6" s="21">
        <f>Ability!$B$5</f>
        <v>0.88410303277141455</v>
      </c>
      <c r="E6" s="21">
        <f>Ability!$B$5</f>
        <v>0.88410303277141455</v>
      </c>
      <c r="F6" s="21">
        <f>Ability!$B$5</f>
        <v>0.88410303277141455</v>
      </c>
      <c r="G6" s="21">
        <f>Ability!$B$5</f>
        <v>0.88410303277141455</v>
      </c>
      <c r="H6" s="21">
        <f>Ability!$B$5</f>
        <v>0.88410303277141455</v>
      </c>
      <c r="I6" s="21">
        <f>Ability!$B$5</f>
        <v>0.88410303277141455</v>
      </c>
      <c r="J6" s="21">
        <f>Ability!$B$5</f>
        <v>0.88410303277141455</v>
      </c>
      <c r="K6" s="21">
        <f>Ability!$B$5</f>
        <v>0.88410303277141455</v>
      </c>
      <c r="L6" s="21">
        <f>Ability!$B$5</f>
        <v>0.88410303277141455</v>
      </c>
      <c r="M6" s="21">
        <f>Ability!$B$5</f>
        <v>0.88410303277141455</v>
      </c>
      <c r="N6" s="21"/>
      <c r="O6" s="21">
        <f>Ability!$B$5</f>
        <v>0.88410303277141455</v>
      </c>
      <c r="P6" s="21">
        <f>Ability!$B$5</f>
        <v>0.88410303277141455</v>
      </c>
      <c r="Q6" s="2" t="s">
        <v>31</v>
      </c>
      <c r="R6" s="3"/>
      <c r="S6" s="95" t="s">
        <v>32</v>
      </c>
      <c r="T6" s="96"/>
      <c r="U6" s="97"/>
      <c r="V6" s="97">
        <f>V4+V5</f>
        <v>1505</v>
      </c>
      <c r="W6" s="97" t="s">
        <v>33</v>
      </c>
      <c r="X6" s="97"/>
      <c r="Y6" s="98"/>
      <c r="AA6" s="29"/>
      <c r="AB6" s="29"/>
    </row>
    <row r="7" spans="1:70" ht="14.45">
      <c r="A7" s="22" t="s">
        <v>34</v>
      </c>
      <c r="B7" s="200">
        <f>$W$4</f>
        <v>6.6445182724252495E-4</v>
      </c>
      <c r="C7" s="200">
        <f t="shared" ref="C7:P7" si="3">$W$4</f>
        <v>6.6445182724252495E-4</v>
      </c>
      <c r="D7" s="200">
        <f t="shared" si="3"/>
        <v>6.6445182724252495E-4</v>
      </c>
      <c r="E7" s="200">
        <f t="shared" si="3"/>
        <v>6.6445182724252495E-4</v>
      </c>
      <c r="F7" s="200">
        <f t="shared" si="3"/>
        <v>6.6445182724252495E-4</v>
      </c>
      <c r="G7" s="200">
        <f t="shared" si="3"/>
        <v>6.6445182724252495E-4</v>
      </c>
      <c r="H7" s="200">
        <f t="shared" si="3"/>
        <v>6.6445182724252495E-4</v>
      </c>
      <c r="I7" s="200">
        <f t="shared" si="3"/>
        <v>6.6445182724252495E-4</v>
      </c>
      <c r="J7" s="200">
        <f t="shared" si="3"/>
        <v>6.6445182724252495E-4</v>
      </c>
      <c r="K7" s="200">
        <f t="shared" si="3"/>
        <v>6.6445182724252495E-4</v>
      </c>
      <c r="L7" s="200">
        <f t="shared" si="3"/>
        <v>6.6445182724252495E-4</v>
      </c>
      <c r="M7" s="200">
        <f t="shared" si="3"/>
        <v>6.6445182724252495E-4</v>
      </c>
      <c r="N7" s="200"/>
      <c r="O7" s="200">
        <f t="shared" si="3"/>
        <v>6.6445182724252495E-4</v>
      </c>
      <c r="P7" s="200">
        <f t="shared" si="3"/>
        <v>6.6445182724252495E-4</v>
      </c>
      <c r="Q7" s="1" t="s">
        <v>35</v>
      </c>
      <c r="R7" s="3" t="s">
        <v>36</v>
      </c>
      <c r="S7" s="4"/>
      <c r="T7" s="6"/>
      <c r="U7" s="3"/>
      <c r="V7" s="30"/>
      <c r="W7" s="29"/>
      <c r="X7" s="33"/>
      <c r="Y7" s="29"/>
      <c r="Z7" s="29"/>
      <c r="AA7" s="29"/>
      <c r="AB7" s="29"/>
    </row>
    <row r="8" spans="1:70" ht="14.45">
      <c r="A8" s="22" t="s">
        <v>37</v>
      </c>
      <c r="B8" s="211">
        <v>0.03</v>
      </c>
      <c r="C8" s="211">
        <v>0.03</v>
      </c>
      <c r="D8" s="211">
        <v>0.03</v>
      </c>
      <c r="E8" s="211">
        <v>0.03</v>
      </c>
      <c r="F8" s="211">
        <v>0.03</v>
      </c>
      <c r="G8" s="211">
        <v>0.03</v>
      </c>
      <c r="H8" s="211">
        <v>0.03</v>
      </c>
      <c r="I8" s="211">
        <v>0.03</v>
      </c>
      <c r="J8" s="211">
        <v>0.03</v>
      </c>
      <c r="K8" s="211">
        <v>0.03</v>
      </c>
      <c r="L8" s="211">
        <v>0.03</v>
      </c>
      <c r="M8" s="211">
        <v>0.03</v>
      </c>
      <c r="N8" s="84"/>
      <c r="O8" s="84">
        <v>0</v>
      </c>
      <c r="P8" s="84">
        <v>0.5</v>
      </c>
      <c r="Q8" s="212" t="s">
        <v>38</v>
      </c>
      <c r="R8" s="83" t="s">
        <v>39</v>
      </c>
      <c r="S8" s="4"/>
      <c r="T8" s="6"/>
      <c r="U8" s="3"/>
      <c r="V8" s="30"/>
      <c r="W8" s="29"/>
      <c r="X8" s="29"/>
      <c r="Y8" s="29"/>
      <c r="Z8" s="29"/>
      <c r="AA8" s="29"/>
      <c r="AB8" s="29"/>
    </row>
    <row r="9" spans="1:70" ht="14.45">
      <c r="A9" s="22" t="s">
        <v>40</v>
      </c>
      <c r="B9" s="84">
        <v>0.04</v>
      </c>
      <c r="C9" s="84">
        <v>0.04</v>
      </c>
      <c r="D9" s="84">
        <v>0.04</v>
      </c>
      <c r="E9" s="84">
        <v>0.04</v>
      </c>
      <c r="F9" s="84">
        <v>0.04</v>
      </c>
      <c r="G9" s="84">
        <v>0.04</v>
      </c>
      <c r="H9" s="84">
        <v>0.04</v>
      </c>
      <c r="I9" s="84">
        <v>0.04</v>
      </c>
      <c r="J9" s="84">
        <v>0.04</v>
      </c>
      <c r="K9" s="84">
        <v>0.04</v>
      </c>
      <c r="L9" s="84">
        <v>0.04</v>
      </c>
      <c r="M9" s="84">
        <v>0.04</v>
      </c>
      <c r="N9" s="84"/>
      <c r="O9" s="84">
        <v>0</v>
      </c>
      <c r="P9" s="84">
        <v>0.5</v>
      </c>
      <c r="Q9" s="82" t="s">
        <v>41</v>
      </c>
      <c r="R9" s="82" t="s">
        <v>39</v>
      </c>
      <c r="S9" s="83" t="s">
        <v>42</v>
      </c>
      <c r="T9" s="6"/>
      <c r="U9" s="3"/>
      <c r="V9" s="30"/>
      <c r="W9" s="29"/>
      <c r="X9" s="29"/>
      <c r="Y9" s="29"/>
      <c r="Z9" s="29"/>
      <c r="AA9" s="29"/>
      <c r="AB9" s="29"/>
    </row>
    <row r="10" spans="1:70" ht="14.45">
      <c r="A10" s="22" t="s">
        <v>43</v>
      </c>
      <c r="B10" s="2">
        <f>Slaughtering!$C$6</f>
        <v>0.25</v>
      </c>
      <c r="C10" s="55">
        <f>Slaughtering!$E$6</f>
        <v>0.34166666666666662</v>
      </c>
      <c r="D10" s="55">
        <f>Slaughtering!$G$6</f>
        <v>0.25</v>
      </c>
      <c r="E10" s="55">
        <f>Slaughtering!$I$6</f>
        <v>0.34166666666666662</v>
      </c>
      <c r="F10" s="55">
        <f>Slaughtering!$K$6</f>
        <v>0.34166666666666662</v>
      </c>
      <c r="G10" s="55">
        <f>Slaughtering!$M$6</f>
        <v>0.34166666666666662</v>
      </c>
      <c r="H10" s="55">
        <f>Slaughtering!$O$6</f>
        <v>0.34166666666666662</v>
      </c>
      <c r="I10" s="55">
        <f>Slaughtering!$Q$6</f>
        <v>0.25</v>
      </c>
      <c r="J10" s="55">
        <f>Slaughtering!$S$6</f>
        <v>0.34166666666666662</v>
      </c>
      <c r="K10" s="55">
        <f>Slaughtering!$U$6</f>
        <v>0.34166666666666662</v>
      </c>
      <c r="L10" s="55">
        <f>Slaughtering!$W$6</f>
        <v>0.25</v>
      </c>
      <c r="M10" s="55">
        <f>Slaughtering!$Y$6</f>
        <v>0.34166666666666662</v>
      </c>
      <c r="N10" s="55"/>
      <c r="O10" s="20">
        <v>1E-3</v>
      </c>
      <c r="P10" s="55">
        <v>1</v>
      </c>
      <c r="R10" t="s">
        <v>44</v>
      </c>
      <c r="S10" s="4" t="s">
        <v>45</v>
      </c>
      <c r="T10" s="6"/>
      <c r="U10" s="3"/>
      <c r="V10" s="30"/>
      <c r="W10" s="29"/>
      <c r="X10" s="29"/>
      <c r="Y10" s="31"/>
      <c r="Z10" s="29"/>
      <c r="AA10" s="29"/>
      <c r="AB10" s="29"/>
    </row>
    <row r="11" spans="1:70" ht="14.45">
      <c r="A11" s="23" t="s">
        <v>46</v>
      </c>
      <c r="B11" s="84">
        <v>4.5999999999999999E-2</v>
      </c>
      <c r="C11" s="84">
        <v>5.3999999999999999E-2</v>
      </c>
      <c r="D11" s="84">
        <v>8.5000000000000006E-2</v>
      </c>
      <c r="E11" s="84">
        <v>5.5E-2</v>
      </c>
      <c r="F11" s="84">
        <v>7.5999999999999998E-2</v>
      </c>
      <c r="G11" s="84">
        <v>7.1999999999999995E-2</v>
      </c>
      <c r="H11" s="84">
        <v>7.8E-2</v>
      </c>
      <c r="I11" s="84">
        <v>9.4E-2</v>
      </c>
      <c r="J11" s="84">
        <v>0.122</v>
      </c>
      <c r="K11" s="84">
        <v>5.2999999999999999E-2</v>
      </c>
      <c r="L11" s="84">
        <v>7.1999999999999995E-2</v>
      </c>
      <c r="M11" s="84">
        <v>6.0999999999999999E-2</v>
      </c>
      <c r="N11" s="84"/>
      <c r="O11" s="84">
        <v>0</v>
      </c>
      <c r="P11" s="84">
        <v>1</v>
      </c>
      <c r="Q11" s="3" t="s">
        <v>47</v>
      </c>
      <c r="R11" s="1"/>
      <c r="S11" s="4"/>
      <c r="T11" s="6"/>
      <c r="U11" s="3"/>
      <c r="V11" s="30"/>
      <c r="W11" s="29"/>
      <c r="X11" s="29"/>
      <c r="Y11" s="29"/>
      <c r="Z11" s="29"/>
      <c r="AA11" s="29"/>
      <c r="AB11" s="29"/>
    </row>
    <row r="12" spans="1:70" ht="14.45">
      <c r="A12" s="28" t="s">
        <v>48</v>
      </c>
      <c r="B12" s="27">
        <f>B15*B14*B13*100</f>
        <v>0.26728696339600899</v>
      </c>
      <c r="C12" s="27">
        <f t="shared" ref="C12:P12" si="4">C15*C14*C13*100</f>
        <v>0.24604107656196728</v>
      </c>
      <c r="D12" s="27">
        <f t="shared" si="4"/>
        <v>0.28491027966387777</v>
      </c>
      <c r="E12" s="27">
        <f t="shared" si="4"/>
        <v>0.28774959172925663</v>
      </c>
      <c r="F12" s="27">
        <f t="shared" si="4"/>
        <v>0.30361057637033845</v>
      </c>
      <c r="G12" s="27">
        <f t="shared" si="4"/>
        <v>0.25015318369113665</v>
      </c>
      <c r="H12" s="27">
        <f t="shared" si="4"/>
        <v>0.34766886704001032</v>
      </c>
      <c r="I12" s="27">
        <f t="shared" si="4"/>
        <v>0.25201342263052284</v>
      </c>
      <c r="J12" s="27">
        <f t="shared" si="4"/>
        <v>0.32945810689654592</v>
      </c>
      <c r="K12" s="27">
        <f t="shared" si="4"/>
        <v>0.2243056531649292</v>
      </c>
      <c r="L12" s="27">
        <f t="shared" si="4"/>
        <v>0.20678024420965974</v>
      </c>
      <c r="M12" s="27">
        <f t="shared" si="4"/>
        <v>0.23135497967207669</v>
      </c>
      <c r="N12" s="27"/>
      <c r="O12" s="214">
        <f t="shared" si="4"/>
        <v>2.7257405905510579E-4</v>
      </c>
      <c r="P12" s="27">
        <f t="shared" si="4"/>
        <v>1.3628702952755287</v>
      </c>
      <c r="Q12" s="3"/>
      <c r="R12" s="3"/>
      <c r="S12" s="3"/>
      <c r="T12" s="3"/>
      <c r="U12" s="3"/>
      <c r="V12" s="3"/>
    </row>
    <row r="13" spans="1:70" ht="14.45">
      <c r="A13" s="22" t="s">
        <v>49</v>
      </c>
      <c r="B13" s="20">
        <f>(2*(B16+B17+B19))+B18</f>
        <v>0.90999999999999992</v>
      </c>
      <c r="C13" s="20">
        <f t="shared" ref="C13:P13" si="5">(2*(C16+C17+C19))+C18</f>
        <v>0.83766666666666656</v>
      </c>
      <c r="D13" s="20">
        <f t="shared" si="5"/>
        <v>0.97</v>
      </c>
      <c r="E13" s="20">
        <f t="shared" si="5"/>
        <v>0.97966666666666669</v>
      </c>
      <c r="F13" s="20">
        <f t="shared" si="5"/>
        <v>1.0336666666666665</v>
      </c>
      <c r="G13" s="20">
        <f t="shared" si="5"/>
        <v>0.85166666666666657</v>
      </c>
      <c r="H13" s="20">
        <f t="shared" si="5"/>
        <v>1.1836666666666666</v>
      </c>
      <c r="I13" s="20">
        <f t="shared" si="5"/>
        <v>0.85799999999999998</v>
      </c>
      <c r="J13" s="20">
        <f t="shared" si="5"/>
        <v>1.1216666666666666</v>
      </c>
      <c r="K13" s="20">
        <f t="shared" si="5"/>
        <v>0.7636666666666666</v>
      </c>
      <c r="L13" s="20">
        <f t="shared" si="5"/>
        <v>0.70399999999999996</v>
      </c>
      <c r="M13" s="20">
        <f t="shared" si="5"/>
        <v>0.78766666666666663</v>
      </c>
      <c r="N13" s="20"/>
      <c r="O13" s="20">
        <f t="shared" si="5"/>
        <v>1E-3</v>
      </c>
      <c r="P13" s="20">
        <f t="shared" si="5"/>
        <v>5</v>
      </c>
      <c r="Q13" s="3"/>
      <c r="R13" s="3"/>
      <c r="S13" s="3"/>
      <c r="T13" s="3"/>
    </row>
    <row r="14" spans="1:70" ht="14.45">
      <c r="A14" s="22" t="s">
        <v>50</v>
      </c>
      <c r="B14" s="21">
        <f>Ability!$B$5</f>
        <v>0.88410303277141455</v>
      </c>
      <c r="C14" s="21">
        <f>Ability!$B$5</f>
        <v>0.88410303277141455</v>
      </c>
      <c r="D14" s="21">
        <f>Ability!$B$5</f>
        <v>0.88410303277141455</v>
      </c>
      <c r="E14" s="21">
        <f>Ability!$B$5</f>
        <v>0.88410303277141455</v>
      </c>
      <c r="F14" s="21">
        <f>Ability!$B$5</f>
        <v>0.88410303277141455</v>
      </c>
      <c r="G14" s="21">
        <f>Ability!$B$5</f>
        <v>0.88410303277141455</v>
      </c>
      <c r="H14" s="21">
        <f>Ability!$B$5</f>
        <v>0.88410303277141455</v>
      </c>
      <c r="I14" s="21">
        <f>Ability!$B$5</f>
        <v>0.88410303277141455</v>
      </c>
      <c r="J14" s="21">
        <f>Ability!$B$5</f>
        <v>0.88410303277141455</v>
      </c>
      <c r="K14" s="21">
        <f>Ability!$B$5</f>
        <v>0.88410303277141455</v>
      </c>
      <c r="L14" s="21">
        <f>Ability!$B$5</f>
        <v>0.88410303277141455</v>
      </c>
      <c r="M14" s="21">
        <f>Ability!$B$5</f>
        <v>0.88410303277141455</v>
      </c>
      <c r="N14" s="20"/>
      <c r="O14" s="20">
        <f>Ability!$B$6</f>
        <v>0.82044791775586834</v>
      </c>
      <c r="P14" s="20">
        <f>Ability!$B$6</f>
        <v>0.82044791775586834</v>
      </c>
      <c r="Q14" s="3"/>
      <c r="R14" s="3"/>
      <c r="S14" s="3"/>
      <c r="T14" s="3"/>
    </row>
    <row r="15" spans="1:70" ht="14.45">
      <c r="A15" s="22" t="s">
        <v>51</v>
      </c>
      <c r="B15" s="43">
        <f>$W$5</f>
        <v>3.3222591362126247E-3</v>
      </c>
      <c r="C15" s="43">
        <f t="shared" ref="C15:P15" si="6">$W$5</f>
        <v>3.3222591362126247E-3</v>
      </c>
      <c r="D15" s="43">
        <f t="shared" si="6"/>
        <v>3.3222591362126247E-3</v>
      </c>
      <c r="E15" s="43">
        <f t="shared" si="6"/>
        <v>3.3222591362126247E-3</v>
      </c>
      <c r="F15" s="43">
        <f t="shared" si="6"/>
        <v>3.3222591362126247E-3</v>
      </c>
      <c r="G15" s="43">
        <f t="shared" si="6"/>
        <v>3.3222591362126247E-3</v>
      </c>
      <c r="H15" s="43">
        <f t="shared" si="6"/>
        <v>3.3222591362126247E-3</v>
      </c>
      <c r="I15" s="43">
        <f t="shared" si="6"/>
        <v>3.3222591362126247E-3</v>
      </c>
      <c r="J15" s="43">
        <f t="shared" si="6"/>
        <v>3.3222591362126247E-3</v>
      </c>
      <c r="K15" s="43">
        <f t="shared" si="6"/>
        <v>3.3222591362126247E-3</v>
      </c>
      <c r="L15" s="43">
        <f t="shared" si="6"/>
        <v>3.3222591362126247E-3</v>
      </c>
      <c r="M15" s="43">
        <f t="shared" si="6"/>
        <v>3.3222591362126247E-3</v>
      </c>
      <c r="N15" s="43"/>
      <c r="O15" s="43">
        <f t="shared" si="6"/>
        <v>3.3222591362126247E-3</v>
      </c>
      <c r="P15" s="43">
        <f t="shared" si="6"/>
        <v>3.3222591362126247E-3</v>
      </c>
      <c r="Q15" s="1"/>
      <c r="R15" s="1"/>
      <c r="S15" s="4"/>
      <c r="T15" s="6"/>
    </row>
    <row r="16" spans="1:70" ht="14.45">
      <c r="A16" s="22" t="s">
        <v>52</v>
      </c>
      <c r="B16" s="84">
        <v>4.2000000000000003E-2</v>
      </c>
      <c r="C16" s="84">
        <v>4.2000000000000003E-2</v>
      </c>
      <c r="D16" s="84">
        <v>4.2000000000000003E-2</v>
      </c>
      <c r="E16" s="84">
        <v>4.2000000000000003E-2</v>
      </c>
      <c r="F16" s="84">
        <v>4.2000000000000003E-2</v>
      </c>
      <c r="G16" s="84">
        <v>4.2000000000000003E-2</v>
      </c>
      <c r="H16" s="84">
        <v>4.2000000000000003E-2</v>
      </c>
      <c r="I16" s="84">
        <v>4.2000000000000003E-2</v>
      </c>
      <c r="J16" s="84">
        <v>4.2000000000000003E-2</v>
      </c>
      <c r="K16" s="84">
        <v>4.2000000000000003E-2</v>
      </c>
      <c r="L16" s="84">
        <v>4.2000000000000003E-2</v>
      </c>
      <c r="M16" s="84">
        <v>4.2000000000000003E-2</v>
      </c>
      <c r="N16" s="84"/>
      <c r="O16" s="84">
        <v>0</v>
      </c>
      <c r="P16" s="84">
        <v>0.5</v>
      </c>
      <c r="Q16" s="82" t="s">
        <v>53</v>
      </c>
      <c r="R16" s="82" t="s">
        <v>54</v>
      </c>
      <c r="S16" s="83" t="s">
        <v>55</v>
      </c>
      <c r="T16" s="6"/>
    </row>
    <row r="17" spans="1:70" ht="14.45">
      <c r="A17" s="22" t="s">
        <v>56</v>
      </c>
      <c r="B17" s="38">
        <v>0.05</v>
      </c>
      <c r="C17" s="38">
        <v>0.05</v>
      </c>
      <c r="D17" s="38">
        <v>0.05</v>
      </c>
      <c r="E17" s="38">
        <v>0.05</v>
      </c>
      <c r="F17" s="38">
        <v>0.05</v>
      </c>
      <c r="G17" s="38">
        <v>0.05</v>
      </c>
      <c r="H17" s="38">
        <v>0.05</v>
      </c>
      <c r="I17" s="38">
        <v>0.05</v>
      </c>
      <c r="J17" s="38">
        <v>0.05</v>
      </c>
      <c r="K17" s="38">
        <v>0.05</v>
      </c>
      <c r="L17" s="38">
        <v>0.05</v>
      </c>
      <c r="M17" s="38">
        <v>0.05</v>
      </c>
      <c r="N17" s="38"/>
      <c r="O17" s="38">
        <v>0</v>
      </c>
      <c r="P17" s="38">
        <v>0.5</v>
      </c>
      <c r="Q17" s="83" t="s">
        <v>57</v>
      </c>
      <c r="R17" s="82" t="s">
        <v>58</v>
      </c>
      <c r="S17" s="4"/>
      <c r="T17" s="6"/>
      <c r="U17" s="3"/>
      <c r="V17" s="3"/>
    </row>
    <row r="18" spans="1:70" ht="14.45">
      <c r="A18" s="22" t="s">
        <v>59</v>
      </c>
      <c r="B18" s="2">
        <f>Slaughtering!$C$6</f>
        <v>0.25</v>
      </c>
      <c r="C18" s="55">
        <f>Slaughtering!$E$6</f>
        <v>0.34166666666666662</v>
      </c>
      <c r="D18" s="55">
        <f>Slaughtering!$G$6</f>
        <v>0.25</v>
      </c>
      <c r="E18" s="55">
        <f>Slaughtering!$I$6</f>
        <v>0.34166666666666662</v>
      </c>
      <c r="F18" s="55">
        <f>Slaughtering!$K$6</f>
        <v>0.34166666666666662</v>
      </c>
      <c r="G18" s="55">
        <f>Slaughtering!$M$6</f>
        <v>0.34166666666666662</v>
      </c>
      <c r="H18" s="55">
        <f>Slaughtering!$O$6</f>
        <v>0.34166666666666662</v>
      </c>
      <c r="I18" s="55">
        <f>Slaughtering!$Q$6</f>
        <v>0.25</v>
      </c>
      <c r="J18" s="55">
        <f>Slaughtering!$S$6</f>
        <v>0.34166666666666662</v>
      </c>
      <c r="K18" s="55">
        <f>Slaughtering!$U$6</f>
        <v>0.34166666666666662</v>
      </c>
      <c r="L18" s="55">
        <f>Slaughtering!$W$6</f>
        <v>0.25</v>
      </c>
      <c r="M18" s="55">
        <f>Slaughtering!$Y$6</f>
        <v>0.34166666666666662</v>
      </c>
      <c r="N18" s="55"/>
      <c r="O18" s="20">
        <v>1E-3</v>
      </c>
      <c r="P18" s="55">
        <v>1</v>
      </c>
      <c r="Q18" s="3"/>
      <c r="R18" t="s">
        <v>44</v>
      </c>
      <c r="S18" s="4"/>
      <c r="T18" s="6"/>
      <c r="U18" s="3"/>
      <c r="V18" s="3"/>
    </row>
    <row r="19" spans="1:70" ht="14.45">
      <c r="A19" s="23" t="s">
        <v>60</v>
      </c>
      <c r="B19" s="142">
        <v>0.23799999999999999</v>
      </c>
      <c r="C19" s="142">
        <v>0.156</v>
      </c>
      <c r="D19" s="142">
        <v>0.26800000000000002</v>
      </c>
      <c r="E19" s="142">
        <v>0.22700000000000001</v>
      </c>
      <c r="F19" s="142">
        <v>0.254</v>
      </c>
      <c r="G19" s="142">
        <v>0.16300000000000001</v>
      </c>
      <c r="H19" s="142">
        <v>0.32900000000000001</v>
      </c>
      <c r="I19" s="142">
        <v>0.21199999999999999</v>
      </c>
      <c r="J19" s="142">
        <v>0.29799999999999999</v>
      </c>
      <c r="K19" s="142">
        <v>0.11899999999999999</v>
      </c>
      <c r="L19" s="142">
        <v>0.13500000000000001</v>
      </c>
      <c r="M19" s="84">
        <v>0.13100000000000001</v>
      </c>
      <c r="N19" s="84"/>
      <c r="O19" s="84">
        <v>0</v>
      </c>
      <c r="P19" s="84">
        <v>1</v>
      </c>
      <c r="Q19" s="3"/>
      <c r="R19" s="1"/>
      <c r="S19" s="4"/>
      <c r="T19" s="6"/>
      <c r="U19" s="3"/>
      <c r="V19" s="3"/>
    </row>
    <row r="20" spans="1:70" s="7" customFormat="1" ht="14.45">
      <c r="A20" s="36" t="s">
        <v>61</v>
      </c>
      <c r="B20" s="37">
        <f>B23*B22*B21*100</f>
        <v>0.38593870051236046</v>
      </c>
      <c r="C20" s="37">
        <f t="shared" ref="C20:P20" si="7">C23*C22*C21*100</f>
        <v>0.49604281107519799</v>
      </c>
      <c r="D20" s="37">
        <f t="shared" si="7"/>
        <v>0.45091817559862518</v>
      </c>
      <c r="E20" s="37">
        <f t="shared" si="7"/>
        <v>0.49604281107519799</v>
      </c>
      <c r="F20" s="37">
        <f t="shared" si="7"/>
        <v>0.49604281107519799</v>
      </c>
      <c r="G20" s="37">
        <f t="shared" si="7"/>
        <v>0.49604281107519799</v>
      </c>
      <c r="H20" s="37">
        <f t="shared" si="7"/>
        <v>0.49604281107519799</v>
      </c>
      <c r="I20" s="37">
        <f t="shared" si="7"/>
        <v>0.45091817559862518</v>
      </c>
      <c r="J20" s="37">
        <f t="shared" si="7"/>
        <v>0.49604281107519799</v>
      </c>
      <c r="K20" s="37">
        <f t="shared" si="7"/>
        <v>0.49604281107519799</v>
      </c>
      <c r="L20" s="37">
        <f t="shared" si="7"/>
        <v>0.44599548809209</v>
      </c>
      <c r="M20" s="37">
        <f t="shared" si="7"/>
        <v>0.46749122353729378</v>
      </c>
      <c r="N20" s="37"/>
      <c r="O20" s="114">
        <f t="shared" si="7"/>
        <v>4.9226875065352103E-4</v>
      </c>
      <c r="P20" s="37">
        <f t="shared" si="7"/>
        <v>2.461343753267605</v>
      </c>
      <c r="Q20" s="83" t="s">
        <v>62</v>
      </c>
      <c r="R20" s="3"/>
      <c r="S20" s="4"/>
      <c r="T20" s="6"/>
      <c r="U20" s="3"/>
      <c r="V20" s="3"/>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row>
    <row r="21" spans="1:70" ht="14.45">
      <c r="A21" s="22" t="s">
        <v>63</v>
      </c>
      <c r="B21" s="20">
        <f>(2*(B24+B25+B27))+B26</f>
        <v>0.78400000000000003</v>
      </c>
      <c r="C21" s="20">
        <f t="shared" ref="C21:P21" si="8">(2*(C24+C25+C27))+C26</f>
        <v>1.0076666666666667</v>
      </c>
      <c r="D21" s="20">
        <f t="shared" si="8"/>
        <v>0.91600000000000004</v>
      </c>
      <c r="E21" s="20">
        <f t="shared" si="8"/>
        <v>1.0076666666666667</v>
      </c>
      <c r="F21" s="20">
        <f t="shared" si="8"/>
        <v>1.0076666666666667</v>
      </c>
      <c r="G21" s="20">
        <f t="shared" si="8"/>
        <v>1.0076666666666667</v>
      </c>
      <c r="H21" s="20">
        <f t="shared" si="8"/>
        <v>1.0076666666666667</v>
      </c>
      <c r="I21" s="20">
        <f t="shared" si="8"/>
        <v>0.91600000000000004</v>
      </c>
      <c r="J21" s="20">
        <f t="shared" si="8"/>
        <v>1.0076666666666667</v>
      </c>
      <c r="K21" s="20">
        <f t="shared" si="8"/>
        <v>1.0076666666666667</v>
      </c>
      <c r="L21" s="20">
        <f t="shared" si="8"/>
        <v>0.90600000000000003</v>
      </c>
      <c r="M21" s="20">
        <f t="shared" si="8"/>
        <v>0.94966666666666666</v>
      </c>
      <c r="N21" s="20"/>
      <c r="O21" s="20">
        <f t="shared" si="8"/>
        <v>1E-3</v>
      </c>
      <c r="P21" s="20">
        <f t="shared" si="8"/>
        <v>5</v>
      </c>
      <c r="Q21" s="3"/>
      <c r="R21" s="3"/>
      <c r="S21" s="4"/>
      <c r="T21" s="6"/>
      <c r="U21" s="3"/>
      <c r="V21" s="3"/>
    </row>
    <row r="22" spans="1:70" ht="14.45">
      <c r="A22" s="22" t="s">
        <v>64</v>
      </c>
      <c r="B22" s="20">
        <f>Ability!$B$6</f>
        <v>0.82044791775586834</v>
      </c>
      <c r="C22" s="20">
        <f>Ability!$B$6</f>
        <v>0.82044791775586834</v>
      </c>
      <c r="D22" s="20">
        <f>Ability!$B$6</f>
        <v>0.82044791775586834</v>
      </c>
      <c r="E22" s="20">
        <f>Ability!$B$6</f>
        <v>0.82044791775586834</v>
      </c>
      <c r="F22" s="20">
        <f>Ability!$B$6</f>
        <v>0.82044791775586834</v>
      </c>
      <c r="G22" s="20">
        <f>Ability!$B$6</f>
        <v>0.82044791775586834</v>
      </c>
      <c r="H22" s="20">
        <f>Ability!$B$6</f>
        <v>0.82044791775586834</v>
      </c>
      <c r="I22" s="20">
        <f>Ability!$B$6</f>
        <v>0.82044791775586834</v>
      </c>
      <c r="J22" s="20">
        <f>Ability!$B$6</f>
        <v>0.82044791775586834</v>
      </c>
      <c r="K22" s="20">
        <f>Ability!$B$6</f>
        <v>0.82044791775586834</v>
      </c>
      <c r="L22" s="20">
        <f>Ability!$B$6</f>
        <v>0.82044791775586834</v>
      </c>
      <c r="M22" s="20">
        <f>Ability!$B$6</f>
        <v>0.82044791775586834</v>
      </c>
      <c r="N22" s="20"/>
      <c r="O22" s="20">
        <f>Ability!$B$6</f>
        <v>0.82044791775586834</v>
      </c>
      <c r="P22" s="20">
        <f>Ability!$B$6</f>
        <v>0.82044791775586834</v>
      </c>
      <c r="Q22" s="1" t="s">
        <v>65</v>
      </c>
      <c r="R22" s="3"/>
      <c r="S22" s="4"/>
      <c r="T22" s="6"/>
      <c r="U22" s="3"/>
      <c r="V22" s="3"/>
    </row>
    <row r="23" spans="1:70" ht="14.45">
      <c r="A23" s="22" t="s">
        <v>66</v>
      </c>
      <c r="B23" s="41">
        <v>6.0000000000000001E-3</v>
      </c>
      <c r="C23" s="41">
        <v>6.0000000000000001E-3</v>
      </c>
      <c r="D23" s="41">
        <v>6.0000000000000001E-3</v>
      </c>
      <c r="E23" s="41">
        <v>6.0000000000000001E-3</v>
      </c>
      <c r="F23" s="41">
        <v>6.0000000000000001E-3</v>
      </c>
      <c r="G23" s="41">
        <v>6.0000000000000001E-3</v>
      </c>
      <c r="H23" s="41">
        <v>6.0000000000000001E-3</v>
      </c>
      <c r="I23" s="41">
        <v>6.0000000000000001E-3</v>
      </c>
      <c r="J23" s="41">
        <v>6.0000000000000001E-3</v>
      </c>
      <c r="K23" s="41">
        <v>6.0000000000000001E-3</v>
      </c>
      <c r="L23" s="41">
        <v>6.0000000000000001E-3</v>
      </c>
      <c r="M23" s="41">
        <v>6.0000000000000001E-3</v>
      </c>
      <c r="N23" s="41"/>
      <c r="O23" s="41">
        <v>6.0000000000000001E-3</v>
      </c>
      <c r="P23" s="41">
        <v>6.0000000000000001E-3</v>
      </c>
      <c r="Q23" s="3" t="s">
        <v>67</v>
      </c>
      <c r="R23" s="3"/>
      <c r="T23" s="3"/>
      <c r="U23" s="3"/>
      <c r="V23" s="3"/>
    </row>
    <row r="24" spans="1:70" ht="14.45">
      <c r="A24" s="22" t="s">
        <v>68</v>
      </c>
      <c r="B24" s="84">
        <v>6.5000000000000002E-2</v>
      </c>
      <c r="C24" s="84">
        <v>6.5000000000000002E-2</v>
      </c>
      <c r="D24" s="84">
        <v>6.5000000000000002E-2</v>
      </c>
      <c r="E24" s="84">
        <v>6.5000000000000002E-2</v>
      </c>
      <c r="F24" s="84">
        <v>6.5000000000000002E-2</v>
      </c>
      <c r="G24" s="84">
        <v>6.5000000000000002E-2</v>
      </c>
      <c r="H24" s="84">
        <v>6.5000000000000002E-2</v>
      </c>
      <c r="I24" s="84">
        <v>6.5000000000000002E-2</v>
      </c>
      <c r="J24" s="84">
        <v>6.5000000000000002E-2</v>
      </c>
      <c r="K24" s="84">
        <v>6.5000000000000002E-2</v>
      </c>
      <c r="L24" s="84">
        <v>6.5000000000000002E-2</v>
      </c>
      <c r="M24" s="84">
        <v>6.5000000000000002E-2</v>
      </c>
      <c r="N24" s="84"/>
      <c r="O24" s="84">
        <v>0</v>
      </c>
      <c r="P24" s="84">
        <v>0.5</v>
      </c>
      <c r="Q24" s="82" t="s">
        <v>69</v>
      </c>
      <c r="R24" s="82" t="s">
        <v>70</v>
      </c>
      <c r="S24" s="83" t="s">
        <v>71</v>
      </c>
      <c r="T24" s="6"/>
      <c r="U24" s="3"/>
      <c r="V24" s="3"/>
    </row>
    <row r="25" spans="1:70" ht="14.45">
      <c r="A25" s="22" t="s">
        <v>72</v>
      </c>
      <c r="B25" s="38">
        <v>0.1</v>
      </c>
      <c r="C25" s="38">
        <v>0.1</v>
      </c>
      <c r="D25" s="38">
        <v>0.1</v>
      </c>
      <c r="E25" s="38">
        <v>0.1</v>
      </c>
      <c r="F25" s="38">
        <v>0.1</v>
      </c>
      <c r="G25" s="38">
        <v>0.1</v>
      </c>
      <c r="H25" s="38">
        <v>0.1</v>
      </c>
      <c r="I25" s="38">
        <v>0.1</v>
      </c>
      <c r="J25" s="38">
        <v>0.1</v>
      </c>
      <c r="K25" s="38">
        <v>0.1</v>
      </c>
      <c r="L25" s="38">
        <v>0.1</v>
      </c>
      <c r="M25" s="38">
        <v>0.1</v>
      </c>
      <c r="N25" s="38"/>
      <c r="O25" s="38">
        <v>0</v>
      </c>
      <c r="P25" s="38">
        <v>0.5</v>
      </c>
      <c r="Q25" s="83" t="s">
        <v>73</v>
      </c>
      <c r="R25" s="83" t="s">
        <v>74</v>
      </c>
      <c r="S25" s="4"/>
      <c r="T25" s="6"/>
      <c r="U25" s="3"/>
      <c r="V25" s="3"/>
    </row>
    <row r="26" spans="1:70" ht="14.45">
      <c r="A26" s="22" t="s">
        <v>75</v>
      </c>
      <c r="B26" s="2">
        <f>Slaughtering!$C$6</f>
        <v>0.25</v>
      </c>
      <c r="C26" s="55">
        <f>Slaughtering!$E$6</f>
        <v>0.34166666666666662</v>
      </c>
      <c r="D26" s="55">
        <f>Slaughtering!$G$6</f>
        <v>0.25</v>
      </c>
      <c r="E26" s="55">
        <f>Slaughtering!$I$6</f>
        <v>0.34166666666666662</v>
      </c>
      <c r="F26" s="55">
        <f>Slaughtering!$K$6</f>
        <v>0.34166666666666662</v>
      </c>
      <c r="G26" s="55">
        <f>Slaughtering!$M$6</f>
        <v>0.34166666666666662</v>
      </c>
      <c r="H26" s="55">
        <f>Slaughtering!$O$6</f>
        <v>0.34166666666666662</v>
      </c>
      <c r="I26" s="55">
        <f>Slaughtering!$Q$6</f>
        <v>0.25</v>
      </c>
      <c r="J26" s="55">
        <f>Slaughtering!$S$6</f>
        <v>0.34166666666666662</v>
      </c>
      <c r="K26" s="55">
        <f>Slaughtering!$U$6</f>
        <v>0.34166666666666662</v>
      </c>
      <c r="L26" s="55">
        <f>Slaughtering!$W$6</f>
        <v>0.25</v>
      </c>
      <c r="M26" s="55">
        <f>Slaughtering!$Y$6</f>
        <v>0.34166666666666662</v>
      </c>
      <c r="N26" s="55"/>
      <c r="O26" s="20">
        <v>1E-3</v>
      </c>
      <c r="P26" s="55">
        <v>1</v>
      </c>
      <c r="Q26" s="3"/>
      <c r="R26" t="s">
        <v>44</v>
      </c>
      <c r="S26" s="4"/>
      <c r="T26" s="6"/>
      <c r="U26" s="3"/>
      <c r="V26" s="3"/>
    </row>
    <row r="27" spans="1:70" ht="14.45">
      <c r="A27" s="23" t="s">
        <v>76</v>
      </c>
      <c r="B27" s="141">
        <v>0.10199999999999999</v>
      </c>
      <c r="C27" s="51">
        <v>0.16800000000000001</v>
      </c>
      <c r="D27" s="51">
        <v>0.16800000000000001</v>
      </c>
      <c r="E27" s="51">
        <v>0.16800000000000001</v>
      </c>
      <c r="F27" s="51">
        <v>0.16800000000000001</v>
      </c>
      <c r="G27" s="51">
        <v>0.16800000000000001</v>
      </c>
      <c r="H27" s="51">
        <v>0.16800000000000001</v>
      </c>
      <c r="I27" s="51">
        <v>0.16800000000000001</v>
      </c>
      <c r="J27" s="51">
        <v>0.16800000000000001</v>
      </c>
      <c r="K27" s="51">
        <v>0.16800000000000001</v>
      </c>
      <c r="L27" s="141">
        <v>0.16300000000000001</v>
      </c>
      <c r="M27" s="84">
        <v>0.13900000000000001</v>
      </c>
      <c r="N27" s="84"/>
      <c r="O27" s="84">
        <v>0</v>
      </c>
      <c r="P27" s="84">
        <v>1</v>
      </c>
      <c r="Q27" s="3" t="s">
        <v>77</v>
      </c>
      <c r="R27" s="1"/>
      <c r="S27" s="4"/>
      <c r="T27" s="6"/>
      <c r="U27" s="3"/>
      <c r="V27" s="3"/>
    </row>
    <row r="28" spans="1:70" s="7" customFormat="1" ht="14.45">
      <c r="A28" s="36" t="s">
        <v>78</v>
      </c>
      <c r="B28" s="37">
        <f>B31*B30*B29*100</f>
        <v>0.20061450746455783</v>
      </c>
      <c r="C28" s="37">
        <f t="shared" ref="C28:P28" si="9">C31*C30*C29*100</f>
        <v>0.24631609136613059</v>
      </c>
      <c r="D28" s="37">
        <f t="shared" si="9"/>
        <v>0.28238672518108959</v>
      </c>
      <c r="E28" s="37">
        <f t="shared" si="9"/>
        <v>0.28502160775195556</v>
      </c>
      <c r="F28" s="37">
        <f t="shared" si="9"/>
        <v>0.2997406069409313</v>
      </c>
      <c r="G28" s="37">
        <f t="shared" si="9"/>
        <v>0.25013212819290204</v>
      </c>
      <c r="H28" s="37">
        <f t="shared" si="9"/>
        <v>0.34062671579919718</v>
      </c>
      <c r="I28" s="37">
        <f t="shared" si="9"/>
        <v>0.2518584305669177</v>
      </c>
      <c r="J28" s="37">
        <f t="shared" si="9"/>
        <v>0.3237271241377806</v>
      </c>
      <c r="K28" s="37">
        <f t="shared" si="9"/>
        <v>0.22614561099605271</v>
      </c>
      <c r="L28" s="37">
        <f t="shared" si="9"/>
        <v>0.20988202547243145</v>
      </c>
      <c r="M28" s="37">
        <f t="shared" si="9"/>
        <v>0.23268738841337525</v>
      </c>
      <c r="N28" s="37"/>
      <c r="O28" s="114">
        <f t="shared" si="9"/>
        <v>2.7257405905510579E-4</v>
      </c>
      <c r="P28" s="37">
        <f t="shared" si="9"/>
        <v>1.3628702952755287</v>
      </c>
      <c r="Q28" s="83" t="s">
        <v>62</v>
      </c>
      <c r="R28" s="3"/>
      <c r="S28" s="4"/>
      <c r="T28" s="6"/>
      <c r="U28" s="3"/>
      <c r="V28" s="3"/>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row>
    <row r="29" spans="1:70" ht="14.45">
      <c r="A29" s="22" t="s">
        <v>79</v>
      </c>
      <c r="B29" s="20">
        <f>(2*(B32+B33+B35))+B34</f>
        <v>0.73599999999999999</v>
      </c>
      <c r="C29" s="20">
        <f t="shared" ref="C29:P29" si="10">(2*(C32+C33+C35))+C34</f>
        <v>0.90366666666666662</v>
      </c>
      <c r="D29" s="20">
        <f t="shared" si="10"/>
        <v>1.036</v>
      </c>
      <c r="E29" s="20">
        <f t="shared" si="10"/>
        <v>1.0456666666666665</v>
      </c>
      <c r="F29" s="20">
        <f t="shared" si="10"/>
        <v>1.0996666666666666</v>
      </c>
      <c r="G29" s="20">
        <f t="shared" si="10"/>
        <v>0.91766666666666663</v>
      </c>
      <c r="H29" s="20">
        <f t="shared" si="10"/>
        <v>1.2496666666666667</v>
      </c>
      <c r="I29" s="20">
        <f t="shared" si="10"/>
        <v>0.92399999999999993</v>
      </c>
      <c r="J29" s="20">
        <f t="shared" si="10"/>
        <v>1.1876666666666666</v>
      </c>
      <c r="K29" s="20">
        <f t="shared" si="10"/>
        <v>0.82966666666666655</v>
      </c>
      <c r="L29" s="20">
        <f t="shared" si="10"/>
        <v>0.77</v>
      </c>
      <c r="M29" s="20">
        <f t="shared" si="10"/>
        <v>0.85366666666666657</v>
      </c>
      <c r="N29" s="20"/>
      <c r="O29" s="20">
        <f t="shared" si="10"/>
        <v>1E-3</v>
      </c>
      <c r="P29" s="20">
        <f t="shared" si="10"/>
        <v>5</v>
      </c>
      <c r="Q29" s="3"/>
      <c r="S29" s="3"/>
      <c r="T29" s="3"/>
      <c r="U29" s="3"/>
      <c r="V29" s="3"/>
    </row>
    <row r="30" spans="1:70" ht="14.45">
      <c r="A30" s="22" t="s">
        <v>80</v>
      </c>
      <c r="B30" s="20">
        <f>Ability!$B$6</f>
        <v>0.82044791775586834</v>
      </c>
      <c r="C30" s="20">
        <f>Ability!$B$6</f>
        <v>0.82044791775586834</v>
      </c>
      <c r="D30" s="20">
        <f>Ability!$B$6</f>
        <v>0.82044791775586834</v>
      </c>
      <c r="E30" s="20">
        <f>Ability!$B$6</f>
        <v>0.82044791775586834</v>
      </c>
      <c r="F30" s="20">
        <f>Ability!$B$6</f>
        <v>0.82044791775586834</v>
      </c>
      <c r="G30" s="20">
        <f>Ability!$B$6</f>
        <v>0.82044791775586834</v>
      </c>
      <c r="H30" s="20">
        <f>Ability!$B$6</f>
        <v>0.82044791775586834</v>
      </c>
      <c r="I30" s="20">
        <f>Ability!$B$6</f>
        <v>0.82044791775586834</v>
      </c>
      <c r="J30" s="20">
        <f>Ability!$B$6</f>
        <v>0.82044791775586834</v>
      </c>
      <c r="K30" s="20">
        <f>Ability!$B$6</f>
        <v>0.82044791775586834</v>
      </c>
      <c r="L30" s="20">
        <f>Ability!$B$6</f>
        <v>0.82044791775586834</v>
      </c>
      <c r="M30" s="20">
        <f>Ability!$B$6</f>
        <v>0.82044791775586834</v>
      </c>
      <c r="N30" s="20"/>
      <c r="O30" s="20">
        <f>Ability!$B$6</f>
        <v>0.82044791775586834</v>
      </c>
      <c r="P30" s="20">
        <f>Ability!$B$6</f>
        <v>0.82044791775586834</v>
      </c>
      <c r="Q30" s="1" t="s">
        <v>81</v>
      </c>
      <c r="S30" s="3"/>
      <c r="T30" s="3"/>
      <c r="U30" s="3"/>
      <c r="V30" s="3"/>
    </row>
    <row r="31" spans="1:70" ht="14.45">
      <c r="A31" s="22" t="s">
        <v>82</v>
      </c>
      <c r="B31" s="43">
        <f t="shared" ref="B31:P31" si="11">$W$5</f>
        <v>3.3222591362126247E-3</v>
      </c>
      <c r="C31" s="43">
        <f t="shared" si="11"/>
        <v>3.3222591362126247E-3</v>
      </c>
      <c r="D31" s="43">
        <f t="shared" si="11"/>
        <v>3.3222591362126247E-3</v>
      </c>
      <c r="E31" s="43">
        <f t="shared" si="11"/>
        <v>3.3222591362126247E-3</v>
      </c>
      <c r="F31" s="43">
        <f t="shared" si="11"/>
        <v>3.3222591362126247E-3</v>
      </c>
      <c r="G31" s="43">
        <f t="shared" si="11"/>
        <v>3.3222591362126247E-3</v>
      </c>
      <c r="H31" s="43">
        <f t="shared" si="11"/>
        <v>3.3222591362126247E-3</v>
      </c>
      <c r="I31" s="43">
        <f t="shared" si="11"/>
        <v>3.3222591362126247E-3</v>
      </c>
      <c r="J31" s="43">
        <f t="shared" si="11"/>
        <v>3.3222591362126247E-3</v>
      </c>
      <c r="K31" s="43">
        <f t="shared" si="11"/>
        <v>3.3222591362126247E-3</v>
      </c>
      <c r="L31" s="43">
        <f t="shared" si="11"/>
        <v>3.3222591362126247E-3</v>
      </c>
      <c r="M31" s="43">
        <f t="shared" si="11"/>
        <v>3.3222591362126247E-3</v>
      </c>
      <c r="N31" s="43"/>
      <c r="O31" s="43">
        <f t="shared" si="11"/>
        <v>3.3222591362126247E-3</v>
      </c>
      <c r="P31" s="43">
        <f t="shared" si="11"/>
        <v>3.3222591362126247E-3</v>
      </c>
      <c r="Q31" s="3" t="s">
        <v>83</v>
      </c>
      <c r="T31" s="6"/>
      <c r="U31" s="3"/>
      <c r="V31" s="3"/>
    </row>
    <row r="32" spans="1:70" ht="14.45">
      <c r="A32" s="22" t="s">
        <v>84</v>
      </c>
      <c r="B32" s="84">
        <v>7.4999999999999997E-2</v>
      </c>
      <c r="C32" s="84">
        <v>7.4999999999999997E-2</v>
      </c>
      <c r="D32" s="84">
        <v>7.4999999999999997E-2</v>
      </c>
      <c r="E32" s="84">
        <v>7.4999999999999997E-2</v>
      </c>
      <c r="F32" s="84">
        <v>7.4999999999999997E-2</v>
      </c>
      <c r="G32" s="84">
        <v>7.4999999999999997E-2</v>
      </c>
      <c r="H32" s="84">
        <v>7.4999999999999997E-2</v>
      </c>
      <c r="I32" s="84">
        <v>7.4999999999999997E-2</v>
      </c>
      <c r="J32" s="84">
        <v>7.4999999999999997E-2</v>
      </c>
      <c r="K32" s="84">
        <v>7.4999999999999997E-2</v>
      </c>
      <c r="L32" s="84">
        <v>7.4999999999999997E-2</v>
      </c>
      <c r="M32" s="84">
        <v>7.4999999999999997E-2</v>
      </c>
      <c r="N32" s="84"/>
      <c r="O32" s="84">
        <v>0</v>
      </c>
      <c r="P32" s="84">
        <v>0.5</v>
      </c>
      <c r="Q32" s="82" t="s">
        <v>69</v>
      </c>
      <c r="R32" s="82" t="s">
        <v>70</v>
      </c>
      <c r="S32" s="83" t="s">
        <v>85</v>
      </c>
      <c r="T32" s="6"/>
      <c r="U32" s="3"/>
      <c r="V32" s="3"/>
    </row>
    <row r="33" spans="1:70" ht="14.45">
      <c r="A33" s="22" t="s">
        <v>86</v>
      </c>
      <c r="B33" s="38">
        <v>0.05</v>
      </c>
      <c r="C33" s="38">
        <v>0.05</v>
      </c>
      <c r="D33" s="38">
        <v>0.05</v>
      </c>
      <c r="E33" s="38">
        <v>0.05</v>
      </c>
      <c r="F33" s="38">
        <v>0.05</v>
      </c>
      <c r="G33" s="38">
        <v>0.05</v>
      </c>
      <c r="H33" s="38">
        <v>0.05</v>
      </c>
      <c r="I33" s="38">
        <v>0.05</v>
      </c>
      <c r="J33" s="38">
        <v>0.05</v>
      </c>
      <c r="K33" s="38">
        <v>0.05</v>
      </c>
      <c r="L33" s="38">
        <v>0.05</v>
      </c>
      <c r="M33" s="38">
        <v>0.05</v>
      </c>
      <c r="N33" s="38"/>
      <c r="O33" s="38">
        <v>0</v>
      </c>
      <c r="P33" s="38">
        <v>0.5</v>
      </c>
      <c r="Q33" s="83" t="s">
        <v>87</v>
      </c>
      <c r="R33" s="83" t="s">
        <v>74</v>
      </c>
      <c r="S33" s="4"/>
      <c r="T33" s="6"/>
      <c r="U33" s="3"/>
      <c r="V33" s="3"/>
    </row>
    <row r="34" spans="1:70" ht="14.45">
      <c r="A34" s="22" t="s">
        <v>88</v>
      </c>
      <c r="B34" s="2">
        <f>Slaughtering!$C$6</f>
        <v>0.25</v>
      </c>
      <c r="C34" s="55">
        <f>Slaughtering!$E$6</f>
        <v>0.34166666666666662</v>
      </c>
      <c r="D34" s="55">
        <f>Slaughtering!$G$6</f>
        <v>0.25</v>
      </c>
      <c r="E34" s="55">
        <f>Slaughtering!$I$6</f>
        <v>0.34166666666666662</v>
      </c>
      <c r="F34" s="55">
        <f>Slaughtering!$K$6</f>
        <v>0.34166666666666662</v>
      </c>
      <c r="G34" s="55">
        <f>Slaughtering!$M$6</f>
        <v>0.34166666666666662</v>
      </c>
      <c r="H34" s="55">
        <f>Slaughtering!$O$6</f>
        <v>0.34166666666666662</v>
      </c>
      <c r="I34" s="55">
        <f>Slaughtering!$Q$6</f>
        <v>0.25</v>
      </c>
      <c r="J34" s="55">
        <f>Slaughtering!$S$6</f>
        <v>0.34166666666666662</v>
      </c>
      <c r="K34" s="55">
        <f>Slaughtering!$U$6</f>
        <v>0.34166666666666662</v>
      </c>
      <c r="L34" s="55">
        <f>Slaughtering!$W$6</f>
        <v>0.25</v>
      </c>
      <c r="M34" s="55">
        <f>Slaughtering!$Y$6</f>
        <v>0.34166666666666662</v>
      </c>
      <c r="N34" s="55"/>
      <c r="O34" s="20">
        <v>1E-3</v>
      </c>
      <c r="P34" s="55">
        <v>1</v>
      </c>
      <c r="Q34" s="3"/>
      <c r="R34" t="s">
        <v>44</v>
      </c>
      <c r="S34" s="4"/>
      <c r="T34" s="6"/>
      <c r="U34" s="3"/>
      <c r="V34" s="3"/>
    </row>
    <row r="35" spans="1:70" ht="14.45">
      <c r="A35" s="22" t="s">
        <v>89</v>
      </c>
      <c r="B35" s="142">
        <v>0.11799999999999999</v>
      </c>
      <c r="C35" s="142">
        <v>0.156</v>
      </c>
      <c r="D35" s="142">
        <v>0.26800000000000002</v>
      </c>
      <c r="E35" s="142">
        <v>0.22700000000000001</v>
      </c>
      <c r="F35" s="142">
        <v>0.254</v>
      </c>
      <c r="G35" s="142">
        <v>0.16300000000000001</v>
      </c>
      <c r="H35" s="142">
        <v>0.32900000000000001</v>
      </c>
      <c r="I35" s="142">
        <v>0.21199999999999999</v>
      </c>
      <c r="J35" s="142">
        <v>0.29799999999999999</v>
      </c>
      <c r="K35" s="142">
        <v>0.11899999999999999</v>
      </c>
      <c r="L35" s="142">
        <v>0.13500000000000001</v>
      </c>
      <c r="M35" s="84">
        <v>0.13100000000000001</v>
      </c>
      <c r="N35" s="84"/>
      <c r="O35" s="84">
        <v>0</v>
      </c>
      <c r="P35" s="84">
        <v>1</v>
      </c>
      <c r="Q35" s="3"/>
      <c r="R35" s="1"/>
      <c r="S35" s="4"/>
      <c r="T35" s="6"/>
      <c r="U35" s="3"/>
      <c r="V35" s="3"/>
    </row>
    <row r="36" spans="1:70" s="7" customFormat="1" ht="14.45">
      <c r="A36" s="36" t="s">
        <v>90</v>
      </c>
      <c r="B36" s="114">
        <f>B39*B38*B37*100</f>
        <v>8.5404352965718633E-3</v>
      </c>
      <c r="C36" s="114">
        <f t="shared" ref="C36:P36" si="12">C39*C38*C37*100</f>
        <v>8.3960318012192003E-3</v>
      </c>
      <c r="D36" s="114">
        <f t="shared" si="12"/>
        <v>9.848907785073557E-3</v>
      </c>
      <c r="E36" s="114">
        <f t="shared" si="12"/>
        <v>1.2851911086387129E-2</v>
      </c>
      <c r="F36" s="114">
        <f t="shared" si="12"/>
        <v>1.3134824056873981E-2</v>
      </c>
      <c r="G36" s="114">
        <f t="shared" si="12"/>
        <v>8.2192111946649167E-3</v>
      </c>
      <c r="H36" s="114">
        <f t="shared" si="12"/>
        <v>1.1189797384776868E-2</v>
      </c>
      <c r="I36" s="114">
        <f t="shared" si="12"/>
        <v>8.6818917818152902E-3</v>
      </c>
      <c r="J36" s="114">
        <f t="shared" si="12"/>
        <v>1.2374495448690565E-2</v>
      </c>
      <c r="K36" s="114">
        <f t="shared" si="12"/>
        <v>1.0500197019215167E-2</v>
      </c>
      <c r="L36" s="114">
        <f t="shared" si="12"/>
        <v>8.0983837801861577E-3</v>
      </c>
      <c r="M36" s="114"/>
      <c r="N36" s="114"/>
      <c r="O36" s="114">
        <f t="shared" si="12"/>
        <v>8.8410303277141463E-6</v>
      </c>
      <c r="P36" s="114">
        <f t="shared" si="12"/>
        <v>4.4205151638570722E-2</v>
      </c>
      <c r="Q36" s="83" t="s">
        <v>91</v>
      </c>
      <c r="R36" s="90" t="s">
        <v>92</v>
      </c>
      <c r="S36" s="1" t="s">
        <v>93</v>
      </c>
      <c r="T36" s="6"/>
      <c r="U36" s="3"/>
      <c r="V36" s="3"/>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spans="1:70" ht="14.45">
      <c r="A37" s="22" t="s">
        <v>94</v>
      </c>
      <c r="B37" s="20">
        <f>(2*(B40+B41+B43))+B42</f>
        <v>0.96599999999999997</v>
      </c>
      <c r="C37" s="20">
        <f t="shared" ref="C37:P37" si="13">(2*(C40+C41+C43))+C42</f>
        <v>0.94966666666666666</v>
      </c>
      <c r="D37" s="20">
        <f t="shared" si="13"/>
        <v>1.1139999999999999</v>
      </c>
      <c r="E37" s="20">
        <f t="shared" si="13"/>
        <v>1.4536666666666667</v>
      </c>
      <c r="F37" s="20">
        <f t="shared" si="13"/>
        <v>1.4856666666666665</v>
      </c>
      <c r="G37" s="20">
        <f t="shared" si="13"/>
        <v>0.92966666666666664</v>
      </c>
      <c r="H37" s="20">
        <f t="shared" si="13"/>
        <v>1.2656666666666665</v>
      </c>
      <c r="I37" s="20">
        <f t="shared" si="13"/>
        <v>0.98199999999999998</v>
      </c>
      <c r="J37" s="20">
        <f t="shared" si="13"/>
        <v>1.3996666666666666</v>
      </c>
      <c r="K37" s="20">
        <f t="shared" si="13"/>
        <v>1.1876666666666666</v>
      </c>
      <c r="L37" s="20">
        <f t="shared" si="13"/>
        <v>0.91600000000000004</v>
      </c>
      <c r="M37" s="20"/>
      <c r="N37" s="20"/>
      <c r="O37" s="20">
        <f t="shared" si="13"/>
        <v>1E-3</v>
      </c>
      <c r="P37" s="20">
        <f t="shared" si="13"/>
        <v>5</v>
      </c>
      <c r="Q37" s="3"/>
      <c r="R37" s="3"/>
      <c r="S37" s="4"/>
      <c r="T37" s="6"/>
      <c r="U37" s="3"/>
      <c r="V37" s="3"/>
    </row>
    <row r="38" spans="1:70" ht="14.45">
      <c r="A38" s="22" t="s">
        <v>95</v>
      </c>
      <c r="B38" s="21">
        <f>Ability!$B$5</f>
        <v>0.88410303277141455</v>
      </c>
      <c r="C38" s="21">
        <f>Ability!$B$5</f>
        <v>0.88410303277141455</v>
      </c>
      <c r="D38" s="21">
        <f>Ability!$B$5</f>
        <v>0.88410303277141455</v>
      </c>
      <c r="E38" s="21">
        <f>Ability!$B$5</f>
        <v>0.88410303277141455</v>
      </c>
      <c r="F38" s="21">
        <f>Ability!$B$5</f>
        <v>0.88410303277141455</v>
      </c>
      <c r="G38" s="21">
        <f>Ability!$B$5</f>
        <v>0.88410303277141455</v>
      </c>
      <c r="H38" s="21">
        <f>Ability!$B$5</f>
        <v>0.88410303277141455</v>
      </c>
      <c r="I38" s="21">
        <f>Ability!$B$5</f>
        <v>0.88410303277141455</v>
      </c>
      <c r="J38" s="21">
        <f>Ability!$B$5</f>
        <v>0.88410303277141455</v>
      </c>
      <c r="K38" s="21">
        <f>Ability!$B$5</f>
        <v>0.88410303277141455</v>
      </c>
      <c r="L38" s="21">
        <f>Ability!$B$5</f>
        <v>0.88410303277141455</v>
      </c>
      <c r="M38" s="21"/>
      <c r="N38" s="21"/>
      <c r="O38" s="21">
        <f>Ability!$B$5</f>
        <v>0.88410303277141455</v>
      </c>
      <c r="P38" s="21">
        <f>Ability!$B$5</f>
        <v>0.88410303277141455</v>
      </c>
      <c r="S38" s="4" t="s">
        <v>96</v>
      </c>
      <c r="T38" s="6" t="s">
        <v>97</v>
      </c>
      <c r="U38" s="3"/>
      <c r="V38" s="3"/>
    </row>
    <row r="39" spans="1:70" ht="14.45">
      <c r="A39" s="22" t="s">
        <v>98</v>
      </c>
      <c r="B39" s="199">
        <v>1E-4</v>
      </c>
      <c r="C39" s="199">
        <v>1E-4</v>
      </c>
      <c r="D39" s="199">
        <v>1E-4</v>
      </c>
      <c r="E39" s="199">
        <v>1E-4</v>
      </c>
      <c r="F39" s="199">
        <v>1E-4</v>
      </c>
      <c r="G39" s="199">
        <v>1E-4</v>
      </c>
      <c r="H39" s="199">
        <v>1E-4</v>
      </c>
      <c r="I39" s="199">
        <v>1E-4</v>
      </c>
      <c r="J39" s="199">
        <v>1E-4</v>
      </c>
      <c r="K39" s="199">
        <v>1E-4</v>
      </c>
      <c r="L39" s="199">
        <v>1E-4</v>
      </c>
      <c r="M39" s="199"/>
      <c r="N39" s="199"/>
      <c r="O39" s="199">
        <v>1E-4</v>
      </c>
      <c r="P39" s="199">
        <v>1E-4</v>
      </c>
      <c r="Q39" s="74" t="s">
        <v>99</v>
      </c>
      <c r="R39" s="2" t="s">
        <v>100</v>
      </c>
      <c r="S39" s="1"/>
      <c r="T39" s="3"/>
      <c r="U39" s="3"/>
      <c r="V39" s="3"/>
    </row>
    <row r="40" spans="1:70" ht="14.45">
      <c r="A40" s="22" t="s">
        <v>101</v>
      </c>
      <c r="B40" s="84">
        <v>0.06</v>
      </c>
      <c r="C40" s="84">
        <v>0.06</v>
      </c>
      <c r="D40" s="84">
        <v>0.06</v>
      </c>
      <c r="E40" s="84">
        <v>0.06</v>
      </c>
      <c r="F40" s="84">
        <v>0.06</v>
      </c>
      <c r="G40" s="84">
        <v>0.06</v>
      </c>
      <c r="H40" s="84">
        <v>0.06</v>
      </c>
      <c r="I40" s="84">
        <v>0.06</v>
      </c>
      <c r="J40" s="84">
        <v>0.06</v>
      </c>
      <c r="K40" s="84">
        <v>0.06</v>
      </c>
      <c r="L40" s="84">
        <v>0.06</v>
      </c>
      <c r="M40" s="84"/>
      <c r="N40" s="84"/>
      <c r="O40" s="84">
        <v>0</v>
      </c>
      <c r="P40" s="84">
        <v>0.5</v>
      </c>
      <c r="Q40" s="3" t="s">
        <v>102</v>
      </c>
      <c r="R40" s="83" t="s">
        <v>103</v>
      </c>
      <c r="S40" s="4" t="s">
        <v>104</v>
      </c>
      <c r="T40" s="6"/>
      <c r="U40" s="3"/>
      <c r="V40" s="3"/>
    </row>
    <row r="41" spans="1:70" ht="14.45">
      <c r="A41" s="22" t="s">
        <v>105</v>
      </c>
      <c r="B41" s="84">
        <v>0.16</v>
      </c>
      <c r="C41" s="84">
        <v>0.16</v>
      </c>
      <c r="D41" s="84">
        <v>0.16</v>
      </c>
      <c r="E41" s="84">
        <v>0.16</v>
      </c>
      <c r="F41" s="84">
        <v>0.16</v>
      </c>
      <c r="G41" s="84">
        <v>0.16</v>
      </c>
      <c r="H41" s="84">
        <v>0.16</v>
      </c>
      <c r="I41" s="84">
        <v>0.16</v>
      </c>
      <c r="J41" s="84">
        <v>0.16</v>
      </c>
      <c r="K41" s="84">
        <v>0.16</v>
      </c>
      <c r="L41" s="84">
        <v>0.16</v>
      </c>
      <c r="M41" s="84"/>
      <c r="N41" s="84"/>
      <c r="O41" s="84">
        <v>0</v>
      </c>
      <c r="P41" s="84">
        <v>0.5</v>
      </c>
      <c r="Q41" s="82" t="s">
        <v>106</v>
      </c>
      <c r="R41" s="82" t="s">
        <v>107</v>
      </c>
      <c r="S41" s="83" t="s">
        <v>108</v>
      </c>
      <c r="T41" s="6"/>
      <c r="U41" s="3"/>
      <c r="V41" s="3"/>
    </row>
    <row r="42" spans="1:70" ht="14.45">
      <c r="A42" s="22" t="s">
        <v>109</v>
      </c>
      <c r="B42" s="2">
        <f>Slaughtering!$C$6</f>
        <v>0.25</v>
      </c>
      <c r="C42" s="55">
        <f>Slaughtering!$E$6</f>
        <v>0.34166666666666662</v>
      </c>
      <c r="D42" s="55">
        <f>Slaughtering!$G$6</f>
        <v>0.25</v>
      </c>
      <c r="E42" s="55">
        <f>Slaughtering!$I$6</f>
        <v>0.34166666666666662</v>
      </c>
      <c r="F42" s="55">
        <f>Slaughtering!$K$6</f>
        <v>0.34166666666666662</v>
      </c>
      <c r="G42" s="55">
        <f>Slaughtering!$M$6</f>
        <v>0.34166666666666662</v>
      </c>
      <c r="H42" s="55">
        <f>Slaughtering!$O$6</f>
        <v>0.34166666666666662</v>
      </c>
      <c r="I42" s="55">
        <f>Slaughtering!$Q$6</f>
        <v>0.25</v>
      </c>
      <c r="J42" s="55">
        <f>Slaughtering!$S$6</f>
        <v>0.34166666666666662</v>
      </c>
      <c r="K42" s="55">
        <f>Slaughtering!$U$6</f>
        <v>0.34166666666666662</v>
      </c>
      <c r="L42" s="55">
        <f>Slaughtering!$W$6</f>
        <v>0.25</v>
      </c>
      <c r="M42" s="55"/>
      <c r="N42" s="55"/>
      <c r="O42" s="20">
        <v>1E-3</v>
      </c>
      <c r="P42" s="55">
        <v>1</v>
      </c>
      <c r="Q42" s="3"/>
      <c r="R42" t="s">
        <v>44</v>
      </c>
      <c r="S42" s="4"/>
      <c r="T42" s="6"/>
      <c r="U42" s="3"/>
      <c r="V42" s="3"/>
    </row>
    <row r="43" spans="1:70" ht="14.45">
      <c r="A43" s="23" t="s">
        <v>110</v>
      </c>
      <c r="B43" s="141">
        <v>0.13800000000000001</v>
      </c>
      <c r="C43" s="141">
        <v>8.4000000000000005E-2</v>
      </c>
      <c r="D43" s="141">
        <v>0.21199999999999999</v>
      </c>
      <c r="E43" s="141">
        <v>0.33600000000000002</v>
      </c>
      <c r="F43" s="141">
        <v>0.35199999999999998</v>
      </c>
      <c r="G43" s="141">
        <v>7.3999999999999996E-2</v>
      </c>
      <c r="H43" s="141">
        <v>0.24199999999999999</v>
      </c>
      <c r="I43" s="141">
        <v>0.14599999999999999</v>
      </c>
      <c r="J43" s="141">
        <v>0.309</v>
      </c>
      <c r="K43" s="141">
        <v>0.20300000000000001</v>
      </c>
      <c r="L43" s="141">
        <v>0.113</v>
      </c>
      <c r="M43" s="84"/>
      <c r="N43" s="84"/>
      <c r="O43" s="84">
        <v>0</v>
      </c>
      <c r="P43" s="84">
        <v>1</v>
      </c>
      <c r="Q43" s="3" t="s">
        <v>111</v>
      </c>
      <c r="R43" s="1"/>
      <c r="S43" s="4"/>
      <c r="T43" s="6"/>
      <c r="U43" s="3"/>
      <c r="V43" s="3"/>
    </row>
    <row r="44" spans="1:70" s="7" customFormat="1" ht="14.45">
      <c r="A44" s="145" t="s">
        <v>112</v>
      </c>
      <c r="B44" s="146">
        <f>B45+B53</f>
        <v>6.7125007851221232</v>
      </c>
      <c r="C44" s="146">
        <f t="shared" ref="C44:P44" si="14">C45+C53</f>
        <v>6.8052206520011511</v>
      </c>
      <c r="D44" s="146">
        <f t="shared" si="14"/>
        <v>6.9023384425879382</v>
      </c>
      <c r="E44" s="146">
        <f t="shared" si="14"/>
        <v>9.9274161982778928</v>
      </c>
      <c r="F44" s="146">
        <f t="shared" si="14"/>
        <v>10.42729722185066</v>
      </c>
      <c r="G44" s="146">
        <f t="shared" si="14"/>
        <v>7.3563894007634918</v>
      </c>
      <c r="H44" s="146">
        <f t="shared" si="14"/>
        <v>8.509213884238191</v>
      </c>
      <c r="I44" s="146">
        <f t="shared" si="14"/>
        <v>8.1405739301218869</v>
      </c>
      <c r="J44" s="146">
        <f t="shared" si="14"/>
        <v>10.001434627962157</v>
      </c>
      <c r="K44" s="146">
        <f t="shared" si="14"/>
        <v>8.8463701718001548</v>
      </c>
      <c r="L44" s="146">
        <f t="shared" si="14"/>
        <v>7.7135092992100676</v>
      </c>
      <c r="M44" s="146"/>
      <c r="N44" s="146"/>
      <c r="O44" s="146">
        <f t="shared" si="14"/>
        <v>4.5741996280995092E-3</v>
      </c>
      <c r="P44" s="146">
        <f t="shared" si="14"/>
        <v>21.8417525501097</v>
      </c>
      <c r="Q44" s="83">
        <v>9</v>
      </c>
      <c r="R44" s="3"/>
      <c r="S44" s="4"/>
      <c r="T44" s="6"/>
      <c r="U44" s="3"/>
      <c r="V44" s="3"/>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row>
    <row r="45" spans="1:70" ht="14.45">
      <c r="A45" s="3" t="s">
        <v>114</v>
      </c>
      <c r="B45" s="20">
        <f>B48*B47*B46*100</f>
        <v>9.7635474970835124E-3</v>
      </c>
      <c r="C45" s="20">
        <f t="shared" ref="C45:P45" si="15">C48*C47*C46*100</f>
        <v>0</v>
      </c>
      <c r="D45" s="20">
        <f t="shared" si="15"/>
        <v>0</v>
      </c>
      <c r="E45" s="20">
        <f t="shared" si="15"/>
        <v>1.2426333178106288E-2</v>
      </c>
      <c r="F45" s="20">
        <f t="shared" si="15"/>
        <v>1.2426333178106288E-2</v>
      </c>
      <c r="G45" s="20">
        <f t="shared" si="15"/>
        <v>9.2309903608789566E-3</v>
      </c>
      <c r="H45" s="20">
        <f t="shared" si="15"/>
        <v>1.0651142724091104E-2</v>
      </c>
      <c r="I45" s="20">
        <f t="shared" si="15"/>
        <v>1.1361218905697178E-2</v>
      </c>
      <c r="J45" s="20">
        <f t="shared" si="15"/>
        <v>1.1716256996500213E-2</v>
      </c>
      <c r="K45" s="20">
        <f t="shared" si="15"/>
        <v>1.0651142724091104E-2</v>
      </c>
      <c r="L45" s="20">
        <f t="shared" si="15"/>
        <v>1.1361218905697178E-2</v>
      </c>
      <c r="M45" s="20"/>
      <c r="N45" s="20"/>
      <c r="O45" s="20">
        <f t="shared" si="15"/>
        <v>1.3548253545043886E-3</v>
      </c>
      <c r="P45" s="20">
        <f t="shared" si="15"/>
        <v>1.3548253545043885</v>
      </c>
      <c r="Q45" s="3"/>
      <c r="R45" s="3"/>
      <c r="S45" s="4"/>
      <c r="T45" s="6"/>
      <c r="U45" s="3"/>
      <c r="V45" s="3"/>
    </row>
    <row r="46" spans="1:70" ht="14.45">
      <c r="A46" s="3" t="s">
        <v>115</v>
      </c>
      <c r="B46" s="20">
        <f>(2*(B49+B50+B52))+B51</f>
        <v>6.9444444444444441E-3</v>
      </c>
      <c r="C46" s="20">
        <f t="shared" ref="C46:P46" si="16">(2*(C49+C50+C52))+C51</f>
        <v>6.9444444444444441E-3</v>
      </c>
      <c r="D46" s="20">
        <f t="shared" si="16"/>
        <v>6.9444444444444441E-3</v>
      </c>
      <c r="E46" s="20">
        <f t="shared" si="16"/>
        <v>6.9444444444444441E-3</v>
      </c>
      <c r="F46" s="20">
        <f t="shared" si="16"/>
        <v>6.9444444444444441E-3</v>
      </c>
      <c r="G46" s="20">
        <f t="shared" si="16"/>
        <v>6.9444444444444441E-3</v>
      </c>
      <c r="H46" s="20">
        <f t="shared" si="16"/>
        <v>6.9444444444444441E-3</v>
      </c>
      <c r="I46" s="20">
        <f t="shared" si="16"/>
        <v>6.9444444444444441E-3</v>
      </c>
      <c r="J46" s="20">
        <f t="shared" si="16"/>
        <v>6.9444444444444441E-3</v>
      </c>
      <c r="K46" s="20">
        <f t="shared" si="16"/>
        <v>6.9444444444444441E-3</v>
      </c>
      <c r="L46" s="20">
        <f>(2*(L49+L50+L52))+L51</f>
        <v>6.9444444444444441E-3</v>
      </c>
      <c r="M46" s="20"/>
      <c r="N46" s="20"/>
      <c r="O46" s="20">
        <f t="shared" si="16"/>
        <v>1E-3</v>
      </c>
      <c r="P46" s="20">
        <f t="shared" si="16"/>
        <v>1</v>
      </c>
      <c r="Q46" s="3"/>
      <c r="R46" s="3"/>
      <c r="S46" s="4"/>
      <c r="T46" s="6"/>
      <c r="U46" s="3"/>
      <c r="V46" s="3"/>
    </row>
    <row r="47" spans="1:70" ht="14.45">
      <c r="A47" s="3" t="s">
        <v>116</v>
      </c>
      <c r="B47" s="21">
        <f>Ability!$B$7</f>
        <v>0.2556274253781865</v>
      </c>
      <c r="C47" s="21">
        <f>Ability!$B$7</f>
        <v>0.2556274253781865</v>
      </c>
      <c r="D47" s="21">
        <f>Ability!$B$7</f>
        <v>0.2556274253781865</v>
      </c>
      <c r="E47" s="21">
        <f>Ability!$B$7</f>
        <v>0.2556274253781865</v>
      </c>
      <c r="F47" s="21">
        <f>Ability!$B$7</f>
        <v>0.2556274253781865</v>
      </c>
      <c r="G47" s="21">
        <f>Ability!$B$7</f>
        <v>0.2556274253781865</v>
      </c>
      <c r="H47" s="21">
        <f>Ability!$B$7</f>
        <v>0.2556274253781865</v>
      </c>
      <c r="I47" s="21">
        <f>Ability!$B$7</f>
        <v>0.2556274253781865</v>
      </c>
      <c r="J47" s="21">
        <f>Ability!$B$7</f>
        <v>0.2556274253781865</v>
      </c>
      <c r="K47" s="21">
        <f>Ability!$B$7</f>
        <v>0.2556274253781865</v>
      </c>
      <c r="L47" s="21">
        <f>Ability!$B$7</f>
        <v>0.2556274253781865</v>
      </c>
      <c r="M47" s="21"/>
      <c r="N47" s="21"/>
      <c r="O47" s="21">
        <f>Ability!$B$7</f>
        <v>0.2556274253781865</v>
      </c>
      <c r="P47" s="21">
        <f>Ability!$B$7</f>
        <v>0.2556274253781865</v>
      </c>
      <c r="Q47" s="3"/>
      <c r="R47" s="3"/>
      <c r="S47" s="4"/>
      <c r="T47" s="6"/>
      <c r="U47" s="3"/>
      <c r="V47" s="3"/>
    </row>
    <row r="48" spans="1:70" ht="14.45">
      <c r="A48" s="3" t="s">
        <v>117</v>
      </c>
      <c r="B48" s="213">
        <f>B56</f>
        <v>5.5E-2</v>
      </c>
      <c r="C48" s="82">
        <v>0</v>
      </c>
      <c r="D48" s="85">
        <v>0</v>
      </c>
      <c r="E48" s="173">
        <f>E56</f>
        <v>7.0000000000000007E-2</v>
      </c>
      <c r="F48" s="173">
        <f t="shared" ref="F48:L48" si="17">F56</f>
        <v>7.0000000000000007E-2</v>
      </c>
      <c r="G48" s="173">
        <f t="shared" si="17"/>
        <v>5.1999999999999998E-2</v>
      </c>
      <c r="H48" s="173">
        <f t="shared" si="17"/>
        <v>0.06</v>
      </c>
      <c r="I48" s="173">
        <f t="shared" si="17"/>
        <v>6.4000000000000001E-2</v>
      </c>
      <c r="J48" s="173">
        <f t="shared" si="17"/>
        <v>6.6000000000000003E-2</v>
      </c>
      <c r="K48" s="173">
        <f t="shared" si="17"/>
        <v>0.06</v>
      </c>
      <c r="L48" s="173">
        <f t="shared" si="17"/>
        <v>6.4000000000000001E-2</v>
      </c>
      <c r="M48" s="26"/>
      <c r="N48" s="26"/>
      <c r="O48" s="26">
        <v>5.2999999999999999E-2</v>
      </c>
      <c r="P48" s="26">
        <v>5.2999999999999999E-2</v>
      </c>
      <c r="Q48" s="83" t="s">
        <v>118</v>
      </c>
      <c r="R48" s="3"/>
      <c r="S48" s="4"/>
      <c r="T48" s="6"/>
      <c r="U48" s="3"/>
      <c r="V48" s="3"/>
    </row>
    <row r="49" spans="1:70" ht="14.45">
      <c r="A49" s="3" t="s">
        <v>119</v>
      </c>
      <c r="B49" s="38">
        <v>0</v>
      </c>
      <c r="C49" s="38">
        <v>0</v>
      </c>
      <c r="D49" s="38">
        <v>0</v>
      </c>
      <c r="E49" s="38">
        <v>0</v>
      </c>
      <c r="F49" s="38">
        <v>0</v>
      </c>
      <c r="G49" s="38">
        <v>0</v>
      </c>
      <c r="H49" s="38">
        <v>0</v>
      </c>
      <c r="I49" s="38">
        <v>0</v>
      </c>
      <c r="J49" s="38">
        <v>0</v>
      </c>
      <c r="K49" s="38">
        <v>0</v>
      </c>
      <c r="L49" s="38">
        <v>0</v>
      </c>
      <c r="M49" s="38"/>
      <c r="N49" s="38"/>
      <c r="O49" s="38">
        <v>0</v>
      </c>
      <c r="P49" s="38">
        <v>0</v>
      </c>
      <c r="Q49" s="3"/>
      <c r="R49" s="3"/>
      <c r="S49" s="4"/>
      <c r="T49" s="6"/>
      <c r="U49" s="3"/>
      <c r="V49" s="3"/>
    </row>
    <row r="50" spans="1:70" ht="14.45">
      <c r="A50" s="3" t="s">
        <v>120</v>
      </c>
      <c r="B50" s="38">
        <v>0</v>
      </c>
      <c r="C50" s="38">
        <v>0</v>
      </c>
      <c r="D50" s="38">
        <v>0</v>
      </c>
      <c r="E50" s="38">
        <v>0</v>
      </c>
      <c r="F50" s="38">
        <v>0</v>
      </c>
      <c r="G50" s="38">
        <v>0</v>
      </c>
      <c r="H50" s="38">
        <v>0</v>
      </c>
      <c r="I50" s="38">
        <v>0</v>
      </c>
      <c r="J50" s="38">
        <v>0</v>
      </c>
      <c r="K50" s="38">
        <v>0</v>
      </c>
      <c r="L50" s="38">
        <v>0</v>
      </c>
      <c r="M50" s="38"/>
      <c r="N50" s="38"/>
      <c r="O50" s="38">
        <v>0</v>
      </c>
      <c r="P50" s="38">
        <v>0</v>
      </c>
      <c r="Q50" s="3"/>
      <c r="R50" s="3"/>
      <c r="S50" s="4"/>
      <c r="T50" s="6"/>
      <c r="U50" s="3"/>
      <c r="V50" s="3"/>
    </row>
    <row r="51" spans="1:70" ht="14.45">
      <c r="A51" s="3" t="s">
        <v>121</v>
      </c>
      <c r="B51" s="55">
        <f>Slaughtering!$C$7</f>
        <v>6.9444444444444441E-3</v>
      </c>
      <c r="C51" s="55">
        <f>Slaughtering!$E$7</f>
        <v>6.9444444444444441E-3</v>
      </c>
      <c r="D51" s="55">
        <f>Slaughtering!$G$7</f>
        <v>6.9444444444444441E-3</v>
      </c>
      <c r="E51" s="55">
        <f>Slaughtering!$I$7</f>
        <v>6.9444444444444441E-3</v>
      </c>
      <c r="F51" s="55">
        <f>Slaughtering!$K$7</f>
        <v>6.9444444444444441E-3</v>
      </c>
      <c r="G51" s="55">
        <f>Slaughtering!$M$7</f>
        <v>6.9444444444444441E-3</v>
      </c>
      <c r="H51" s="55">
        <f>Slaughtering!$O$7</f>
        <v>6.9444444444444441E-3</v>
      </c>
      <c r="I51" s="55">
        <f>Slaughtering!$Q$7</f>
        <v>6.9444444444444441E-3</v>
      </c>
      <c r="J51" s="55">
        <f>Slaughtering!$S$7</f>
        <v>6.9444444444444441E-3</v>
      </c>
      <c r="K51" s="55">
        <f>Slaughtering!$U$7</f>
        <v>6.9444444444444441E-3</v>
      </c>
      <c r="L51" s="55">
        <f>Slaughtering!$W$7</f>
        <v>6.9444444444444441E-3</v>
      </c>
      <c r="M51" s="55"/>
      <c r="N51" s="55"/>
      <c r="O51" s="55">
        <v>1E-3</v>
      </c>
      <c r="P51" s="55">
        <v>1</v>
      </c>
      <c r="Q51" s="3"/>
      <c r="R51" s="3"/>
      <c r="S51" s="4"/>
      <c r="T51" s="6"/>
      <c r="U51" s="3"/>
      <c r="V51" s="3"/>
    </row>
    <row r="52" spans="1:70" ht="14.45">
      <c r="A52" s="148" t="s">
        <v>122</v>
      </c>
      <c r="B52" s="51">
        <v>0</v>
      </c>
      <c r="C52" s="51">
        <v>0</v>
      </c>
      <c r="D52" s="51">
        <v>0</v>
      </c>
      <c r="E52" s="51">
        <v>0</v>
      </c>
      <c r="F52" s="51">
        <v>0</v>
      </c>
      <c r="G52" s="51">
        <v>0</v>
      </c>
      <c r="H52" s="51">
        <v>0</v>
      </c>
      <c r="I52" s="51">
        <v>0</v>
      </c>
      <c r="J52" s="51">
        <v>0</v>
      </c>
      <c r="K52" s="51">
        <v>0</v>
      </c>
      <c r="L52" s="51">
        <v>0</v>
      </c>
      <c r="M52" s="38"/>
      <c r="N52" s="38"/>
      <c r="O52" s="38">
        <v>0</v>
      </c>
      <c r="P52" s="38">
        <v>0</v>
      </c>
      <c r="Q52" s="3"/>
      <c r="R52" s="3"/>
      <c r="S52" s="4"/>
      <c r="T52" s="6"/>
      <c r="U52" s="3"/>
      <c r="V52" s="3"/>
    </row>
    <row r="53" spans="1:70" ht="14.45">
      <c r="A53" s="3" t="s">
        <v>123</v>
      </c>
      <c r="B53" s="20">
        <f>B56*B55*B54*100</f>
        <v>6.7027372376250396</v>
      </c>
      <c r="C53" s="20">
        <f t="shared" ref="C53:P53" si="18">C56*C55*C54*100</f>
        <v>6.8052206520011511</v>
      </c>
      <c r="D53" s="20">
        <f t="shared" si="18"/>
        <v>6.9023384425879382</v>
      </c>
      <c r="E53" s="20">
        <f t="shared" si="18"/>
        <v>9.9149898650997859</v>
      </c>
      <c r="F53" s="20">
        <f t="shared" si="18"/>
        <v>10.414870888672553</v>
      </c>
      <c r="G53" s="20">
        <f t="shared" si="18"/>
        <v>7.3471584104026126</v>
      </c>
      <c r="H53" s="20">
        <f t="shared" si="18"/>
        <v>8.4985627415140996</v>
      </c>
      <c r="I53" s="20">
        <f t="shared" si="18"/>
        <v>8.1292127112161889</v>
      </c>
      <c r="J53" s="20">
        <f t="shared" si="18"/>
        <v>9.9897183709656563</v>
      </c>
      <c r="K53" s="20">
        <f t="shared" si="18"/>
        <v>8.8357190290760634</v>
      </c>
      <c r="L53" s="20">
        <f t="shared" si="18"/>
        <v>7.7021480803043705</v>
      </c>
      <c r="M53" s="20"/>
      <c r="N53" s="20"/>
      <c r="O53" s="20">
        <f t="shared" si="18"/>
        <v>3.2193742735951202E-3</v>
      </c>
      <c r="P53" s="20">
        <f t="shared" si="18"/>
        <v>20.486927195605311</v>
      </c>
      <c r="Q53" s="83" t="s">
        <v>124</v>
      </c>
      <c r="R53" s="3"/>
      <c r="S53" s="4"/>
      <c r="T53" s="6"/>
      <c r="U53" s="3"/>
      <c r="V53" s="3"/>
    </row>
    <row r="54" spans="1:70" ht="14.45">
      <c r="A54" s="3" t="s">
        <v>125</v>
      </c>
      <c r="B54" s="20">
        <f>(2*(B57+B58+B60))+B59</f>
        <v>2.0819999999999999</v>
      </c>
      <c r="C54" s="20">
        <f t="shared" ref="C54:P54" si="19">(2*(C57+C58+C60))+C59</f>
        <v>2.1138333333333335</v>
      </c>
      <c r="D54" s="20">
        <f t="shared" si="19"/>
        <v>2.1440000000000001</v>
      </c>
      <c r="E54" s="20">
        <f t="shared" si="19"/>
        <v>2.4198333333333335</v>
      </c>
      <c r="F54" s="20">
        <f t="shared" si="19"/>
        <v>2.5418333333333334</v>
      </c>
      <c r="G54" s="20">
        <f t="shared" si="19"/>
        <v>2.4138333333333333</v>
      </c>
      <c r="H54" s="20">
        <f t="shared" si="19"/>
        <v>2.4198333333333335</v>
      </c>
      <c r="I54" s="20">
        <f t="shared" si="19"/>
        <v>2.17</v>
      </c>
      <c r="J54" s="20">
        <f t="shared" si="19"/>
        <v>2.585833333333333</v>
      </c>
      <c r="K54" s="20">
        <f t="shared" si="19"/>
        <v>2.5158333333333336</v>
      </c>
      <c r="L54" s="20">
        <f t="shared" si="19"/>
        <v>2.056</v>
      </c>
      <c r="M54" s="20"/>
      <c r="N54" s="20"/>
      <c r="O54" s="200">
        <f t="shared" si="19"/>
        <v>1E-3</v>
      </c>
      <c r="P54" s="20">
        <f t="shared" si="19"/>
        <v>5</v>
      </c>
      <c r="Q54" s="3"/>
      <c r="R54" s="3"/>
      <c r="S54" s="4"/>
      <c r="T54" s="6"/>
      <c r="U54" s="3"/>
      <c r="V54" s="3"/>
    </row>
    <row r="55" spans="1:70" ht="14.45">
      <c r="A55" s="3" t="s">
        <v>126</v>
      </c>
      <c r="B55" s="20">
        <f>Ability!$B$8</f>
        <v>0.58534077701729459</v>
      </c>
      <c r="C55" s="20">
        <f>Ability!$B$8</f>
        <v>0.58534077701729459</v>
      </c>
      <c r="D55" s="20">
        <f>Ability!$B$8</f>
        <v>0.58534077701729459</v>
      </c>
      <c r="E55" s="20">
        <f>Ability!$B$8</f>
        <v>0.58534077701729459</v>
      </c>
      <c r="F55" s="20">
        <f>Ability!$B$8</f>
        <v>0.58534077701729459</v>
      </c>
      <c r="G55" s="20">
        <f>Ability!$B$8</f>
        <v>0.58534077701729459</v>
      </c>
      <c r="H55" s="20">
        <f>Ability!$B$8</f>
        <v>0.58534077701729459</v>
      </c>
      <c r="I55" s="20">
        <f>Ability!$B$8</f>
        <v>0.58534077701729459</v>
      </c>
      <c r="J55" s="20">
        <f>Ability!$B$8</f>
        <v>0.58534077701729459</v>
      </c>
      <c r="K55" s="20">
        <f>Ability!$B$8</f>
        <v>0.58534077701729459</v>
      </c>
      <c r="L55" s="20">
        <f>Ability!$B$8</f>
        <v>0.58534077701729459</v>
      </c>
      <c r="M55" s="20"/>
      <c r="N55" s="20"/>
      <c r="O55" s="20">
        <f>Ability!$B$8</f>
        <v>0.58534077701729459</v>
      </c>
      <c r="P55" s="20">
        <f>Ability!$B$8</f>
        <v>0.58534077701729459</v>
      </c>
      <c r="Q55" s="3"/>
      <c r="R55" s="3"/>
      <c r="S55" s="4"/>
      <c r="T55" s="6"/>
      <c r="U55" s="3"/>
      <c r="V55" s="3"/>
    </row>
    <row r="56" spans="1:70" ht="14.45">
      <c r="A56" s="3" t="s">
        <v>127</v>
      </c>
      <c r="B56" s="2">
        <f>D56</f>
        <v>5.5E-2</v>
      </c>
      <c r="C56" s="2">
        <v>5.5E-2</v>
      </c>
      <c r="D56" s="2">
        <v>5.5E-2</v>
      </c>
      <c r="E56" s="20">
        <f>F56</f>
        <v>7.0000000000000007E-2</v>
      </c>
      <c r="F56" s="20">
        <v>7.0000000000000007E-2</v>
      </c>
      <c r="G56" s="2">
        <v>5.1999999999999998E-2</v>
      </c>
      <c r="H56" s="20">
        <f>K56</f>
        <v>0.06</v>
      </c>
      <c r="I56" s="2">
        <f>L56</f>
        <v>6.4000000000000001E-2</v>
      </c>
      <c r="J56" s="2">
        <v>6.6000000000000003E-2</v>
      </c>
      <c r="K56" s="20">
        <v>0.06</v>
      </c>
      <c r="L56" s="2">
        <v>6.4000000000000001E-2</v>
      </c>
      <c r="O56" s="2">
        <v>5.5E-2</v>
      </c>
      <c r="P56" s="2">
        <v>7.0000000000000007E-2</v>
      </c>
      <c r="Q56" s="82" t="s">
        <v>128</v>
      </c>
      <c r="R56" t="s">
        <v>129</v>
      </c>
    </row>
    <row r="57" spans="1:70" ht="14.45">
      <c r="A57" t="s">
        <v>130</v>
      </c>
      <c r="B57" s="84">
        <v>0.04</v>
      </c>
      <c r="C57" s="84">
        <v>3.5000000000000003E-2</v>
      </c>
      <c r="D57" s="84">
        <v>0.04</v>
      </c>
      <c r="E57" s="84">
        <v>3.5000000000000003E-2</v>
      </c>
      <c r="F57" s="84">
        <v>0.03</v>
      </c>
      <c r="G57" s="84">
        <v>3.5000000000000003E-2</v>
      </c>
      <c r="H57" s="84">
        <v>3.5000000000000003E-2</v>
      </c>
      <c r="I57" s="84">
        <v>0.04</v>
      </c>
      <c r="J57" s="84">
        <v>0.03</v>
      </c>
      <c r="K57" s="84">
        <v>0.03</v>
      </c>
      <c r="L57" s="84">
        <v>0.04</v>
      </c>
      <c r="M57" s="84"/>
      <c r="N57" s="84"/>
      <c r="O57" s="84">
        <v>0</v>
      </c>
      <c r="P57" s="84">
        <v>0.5</v>
      </c>
      <c r="Q57" s="82" t="s">
        <v>131</v>
      </c>
      <c r="R57" s="83" t="s">
        <v>132</v>
      </c>
    </row>
    <row r="58" spans="1:70" ht="14.45">
      <c r="A58" t="s">
        <v>133</v>
      </c>
      <c r="B58" s="84">
        <v>0.46</v>
      </c>
      <c r="C58" s="84">
        <v>0.44</v>
      </c>
      <c r="D58" s="84">
        <v>0.46</v>
      </c>
      <c r="E58" s="84">
        <v>0.44</v>
      </c>
      <c r="F58" s="84">
        <v>0.42</v>
      </c>
      <c r="G58" s="84">
        <v>0.44</v>
      </c>
      <c r="H58" s="84">
        <v>0.44</v>
      </c>
      <c r="I58" s="84">
        <v>0.46</v>
      </c>
      <c r="J58" s="84">
        <v>0.42</v>
      </c>
      <c r="K58" s="84">
        <v>0.42</v>
      </c>
      <c r="L58" s="84">
        <v>0.46</v>
      </c>
      <c r="M58" s="84"/>
      <c r="N58" s="84"/>
      <c r="O58" s="84">
        <v>0</v>
      </c>
      <c r="P58" s="84">
        <v>0.5</v>
      </c>
      <c r="Q58" s="82" t="s">
        <v>134</v>
      </c>
      <c r="R58" s="82" t="s">
        <v>135</v>
      </c>
    </row>
    <row r="59" spans="1:70" ht="14.45">
      <c r="A59" t="s">
        <v>136</v>
      </c>
      <c r="B59" s="55">
        <f>Slaughtering!$C$8</f>
        <v>0.25</v>
      </c>
      <c r="C59" s="55">
        <f>Slaughtering!$E$8</f>
        <v>0.27583333333333332</v>
      </c>
      <c r="D59" s="55">
        <f>Slaughtering!$G$8</f>
        <v>0.25</v>
      </c>
      <c r="E59" s="55">
        <f>Slaughtering!$I$8</f>
        <v>0.27583333333333332</v>
      </c>
      <c r="F59" s="55">
        <f>Slaughtering!$K$8</f>
        <v>0.27583333333333332</v>
      </c>
      <c r="G59" s="55">
        <f>Slaughtering!$M$8</f>
        <v>0.27583333333333332</v>
      </c>
      <c r="H59" s="55">
        <f>Slaughtering!$O$8</f>
        <v>0.27583333333333332</v>
      </c>
      <c r="I59" s="55">
        <f>Slaughtering!$Q$8</f>
        <v>0.25</v>
      </c>
      <c r="J59" s="55">
        <f>Slaughtering!$S$8</f>
        <v>0.27583333333333332</v>
      </c>
      <c r="K59" s="55">
        <f>Slaughtering!$U$8</f>
        <v>0.27583333333333332</v>
      </c>
      <c r="L59" s="55">
        <f>Slaughtering!$W$8</f>
        <v>0.25</v>
      </c>
      <c r="M59" s="55"/>
      <c r="N59" s="55"/>
      <c r="O59" s="20">
        <v>1E-3</v>
      </c>
      <c r="P59" s="55">
        <v>1</v>
      </c>
      <c r="R59" t="s">
        <v>44</v>
      </c>
    </row>
    <row r="60" spans="1:70" ht="14.45">
      <c r="A60" s="149" t="s">
        <v>137</v>
      </c>
      <c r="B60" s="141">
        <v>0.41599999999999998</v>
      </c>
      <c r="C60" s="141">
        <v>0.44400000000000001</v>
      </c>
      <c r="D60" s="141">
        <v>0.44700000000000001</v>
      </c>
      <c r="E60" s="141">
        <v>0.59699999999999998</v>
      </c>
      <c r="F60" s="141">
        <v>0.68300000000000005</v>
      </c>
      <c r="G60" s="141">
        <v>0.59399999999999997</v>
      </c>
      <c r="H60" s="141">
        <v>0.59699999999999998</v>
      </c>
      <c r="I60" s="141">
        <v>0.46</v>
      </c>
      <c r="J60" s="141">
        <v>0.70499999999999996</v>
      </c>
      <c r="K60" s="141">
        <v>0.67</v>
      </c>
      <c r="L60" s="141">
        <v>0.40300000000000002</v>
      </c>
      <c r="M60" s="84"/>
      <c r="N60" s="84"/>
      <c r="O60" s="84">
        <v>0</v>
      </c>
      <c r="P60" s="84">
        <v>1</v>
      </c>
      <c r="R60" s="1"/>
    </row>
    <row r="61" spans="1:70" s="7" customFormat="1" ht="14.45">
      <c r="A61" s="147" t="s">
        <v>138</v>
      </c>
      <c r="B61" s="146">
        <f>B62+B70</f>
        <v>70.378120212897656</v>
      </c>
      <c r="C61" s="146">
        <f t="shared" ref="C61:P61" si="20">C62+C70</f>
        <v>76.868549579077296</v>
      </c>
      <c r="D61" s="146">
        <f t="shared" si="20"/>
        <v>67.939375147030404</v>
      </c>
      <c r="E61" s="146">
        <f t="shared" si="20"/>
        <v>76.426602115042613</v>
      </c>
      <c r="F61" s="146">
        <f t="shared" si="20"/>
        <v>76.41384051491049</v>
      </c>
      <c r="G61" s="146">
        <f t="shared" si="20"/>
        <v>76.426602115042613</v>
      </c>
      <c r="H61" s="146">
        <f t="shared" si="20"/>
        <v>76.426602115042613</v>
      </c>
      <c r="I61" s="146">
        <f t="shared" si="20"/>
        <v>75.375612033895237</v>
      </c>
      <c r="J61" s="146">
        <f t="shared" si="20"/>
        <v>76.41384051491049</v>
      </c>
      <c r="K61" s="146">
        <f t="shared" si="20"/>
        <v>76.41384051491049</v>
      </c>
      <c r="L61" s="146">
        <f t="shared" si="20"/>
        <v>60.503138260165535</v>
      </c>
      <c r="M61" s="146"/>
      <c r="N61" s="146"/>
      <c r="O61" s="146">
        <f t="shared" si="20"/>
        <v>4.1177484436626645E-2</v>
      </c>
      <c r="P61" s="146">
        <f t="shared" si="20"/>
        <v>205.88742218313325</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row>
    <row r="62" spans="1:70" ht="15.75" customHeight="1">
      <c r="A62" t="s">
        <v>139</v>
      </c>
      <c r="B62" s="20">
        <f>B65*B64*B63*100</f>
        <v>69.731745166205215</v>
      </c>
      <c r="C62" s="20">
        <f t="shared" ref="C62:P62" si="21">C65*C64*C63*100</f>
        <v>76.21014725221913</v>
      </c>
      <c r="D62" s="20">
        <f t="shared" si="21"/>
        <v>67.280238500205826</v>
      </c>
      <c r="E62" s="20">
        <f t="shared" si="21"/>
        <v>75.77198520159817</v>
      </c>
      <c r="F62" s="20">
        <f t="shared" si="21"/>
        <v>75.77198520159817</v>
      </c>
      <c r="G62" s="20">
        <f t="shared" si="21"/>
        <v>75.77198520159817</v>
      </c>
      <c r="H62" s="20">
        <f t="shared" si="21"/>
        <v>75.77198520159817</v>
      </c>
      <c r="I62" s="20">
        <f t="shared" si="21"/>
        <v>74.716475387070659</v>
      </c>
      <c r="J62" s="20">
        <f t="shared" si="21"/>
        <v>75.77198520159817</v>
      </c>
      <c r="K62" s="20">
        <f>K65*K64*K63*100</f>
        <v>75.77198520159817</v>
      </c>
      <c r="L62" s="20">
        <f>L65*L64*L63*100</f>
        <v>59.844001613340957</v>
      </c>
      <c r="M62" s="20"/>
      <c r="N62" s="20"/>
      <c r="O62" s="20">
        <f>O65*O64*O63*100</f>
        <v>4.0858444433323364E-2</v>
      </c>
      <c r="P62" s="20">
        <f t="shared" si="21"/>
        <v>204.29222216661685</v>
      </c>
    </row>
    <row r="63" spans="1:70" ht="14.45">
      <c r="A63" t="s">
        <v>140</v>
      </c>
      <c r="B63" s="20">
        <f>(2*(B66+B67+B69))+B68</f>
        <v>1.7066666666666668</v>
      </c>
      <c r="C63" s="20">
        <f t="shared" ref="C63:P63" si="22">(2*(C66+C67+C69))+C68</f>
        <v>1.8544999999999998</v>
      </c>
      <c r="D63" s="20">
        <f t="shared" si="22"/>
        <v>1.6466666666666667</v>
      </c>
      <c r="E63" s="20">
        <f t="shared" si="22"/>
        <v>1.8544999999999998</v>
      </c>
      <c r="F63" s="20">
        <f t="shared" si="22"/>
        <v>1.8544999999999998</v>
      </c>
      <c r="G63" s="20">
        <f t="shared" si="22"/>
        <v>1.8544999999999998</v>
      </c>
      <c r="H63" s="20">
        <f t="shared" si="22"/>
        <v>1.8544999999999998</v>
      </c>
      <c r="I63" s="20">
        <f t="shared" si="22"/>
        <v>1.8286666666666667</v>
      </c>
      <c r="J63" s="20">
        <f t="shared" si="22"/>
        <v>1.8544999999999998</v>
      </c>
      <c r="K63" s="20">
        <f t="shared" si="22"/>
        <v>1.8544999999999998</v>
      </c>
      <c r="L63" s="20">
        <f t="shared" si="22"/>
        <v>1.4646666666666668</v>
      </c>
      <c r="M63" s="20"/>
      <c r="N63" s="20"/>
      <c r="O63" s="20">
        <f t="shared" si="22"/>
        <v>1E-3</v>
      </c>
      <c r="P63" s="20">
        <f t="shared" si="22"/>
        <v>5</v>
      </c>
    </row>
    <row r="64" spans="1:70" ht="14.45">
      <c r="A64" t="s">
        <v>141</v>
      </c>
      <c r="B64" s="20">
        <f>Ability!$B$9</f>
        <v>0.54320827892864587</v>
      </c>
      <c r="C64" s="20">
        <f>Ability!$B$9</f>
        <v>0.54320827892864587</v>
      </c>
      <c r="D64" s="20">
        <f>Ability!$B$9</f>
        <v>0.54320827892864587</v>
      </c>
      <c r="E64" s="20">
        <f>Ability!$B$9</f>
        <v>0.54320827892864587</v>
      </c>
      <c r="F64" s="20">
        <f>Ability!$B$9</f>
        <v>0.54320827892864587</v>
      </c>
      <c r="G64" s="20">
        <f>Ability!$B$9</f>
        <v>0.54320827892864587</v>
      </c>
      <c r="H64" s="20">
        <f>Ability!$B$9</f>
        <v>0.54320827892864587</v>
      </c>
      <c r="I64" s="20">
        <f>Ability!$B$9</f>
        <v>0.54320827892864587</v>
      </c>
      <c r="J64" s="20">
        <f>Ability!$B$9</f>
        <v>0.54320827892864587</v>
      </c>
      <c r="K64" s="20">
        <f>Ability!$B$9</f>
        <v>0.54320827892864587</v>
      </c>
      <c r="L64" s="20">
        <f>Ability!$B$9</f>
        <v>0.54320827892864587</v>
      </c>
      <c r="M64" s="20"/>
      <c r="N64" s="20"/>
      <c r="O64" s="20">
        <f>Ability!$B$9</f>
        <v>0.54320827892864587</v>
      </c>
      <c r="P64" s="20">
        <f>Ability!$B$9</f>
        <v>0.54320827892864587</v>
      </c>
    </row>
    <row r="65" spans="1:70" ht="14.45">
      <c r="A65" s="3" t="s">
        <v>142</v>
      </c>
      <c r="B65" s="52">
        <v>0.75216903015372494</v>
      </c>
      <c r="C65" s="53">
        <v>0.75651855225993447</v>
      </c>
      <c r="D65" s="52">
        <v>0.75216903015372505</v>
      </c>
      <c r="E65" s="52">
        <v>0.75216903015372494</v>
      </c>
      <c r="F65" s="52">
        <v>0.75216903015372494</v>
      </c>
      <c r="G65" s="52">
        <v>0.75216903015372494</v>
      </c>
      <c r="H65" s="52">
        <v>0.75216903015372494</v>
      </c>
      <c r="I65" s="52">
        <v>0.75216903015372494</v>
      </c>
      <c r="J65" s="52">
        <v>0.75216903015372494</v>
      </c>
      <c r="K65" s="52">
        <v>0.75216903015372494</v>
      </c>
      <c r="L65" s="52">
        <v>0.75216903015372494</v>
      </c>
      <c r="M65" s="52"/>
      <c r="N65" s="52"/>
      <c r="O65" s="52">
        <v>0.75216903015372494</v>
      </c>
      <c r="P65" s="52">
        <v>0.75216903015372494</v>
      </c>
      <c r="R65" t="s">
        <v>143</v>
      </c>
      <c r="S65" s="4"/>
      <c r="T65" s="6"/>
      <c r="U65" s="3"/>
      <c r="V65" s="3"/>
    </row>
    <row r="66" spans="1:70" ht="14.45">
      <c r="A66" t="s">
        <v>144</v>
      </c>
      <c r="B66" s="87">
        <v>3.7999999999999999E-2</v>
      </c>
      <c r="C66" s="87">
        <v>3.7999999999999999E-2</v>
      </c>
      <c r="D66" s="87">
        <v>3.7999999999999999E-2</v>
      </c>
      <c r="E66" s="87">
        <v>3.7999999999999999E-2</v>
      </c>
      <c r="F66" s="87">
        <v>3.7999999999999999E-2</v>
      </c>
      <c r="G66" s="87">
        <v>3.7999999999999999E-2</v>
      </c>
      <c r="H66" s="87">
        <v>3.7999999999999999E-2</v>
      </c>
      <c r="I66" s="87">
        <v>3.7999999999999999E-2</v>
      </c>
      <c r="J66" s="87">
        <v>3.7999999999999999E-2</v>
      </c>
      <c r="K66" s="87">
        <v>3.7999999999999999E-2</v>
      </c>
      <c r="L66" s="87">
        <v>3.7999999999999999E-2</v>
      </c>
      <c r="M66" s="87"/>
      <c r="N66" s="87"/>
      <c r="O66" s="87">
        <v>0</v>
      </c>
      <c r="P66" s="87">
        <v>0.5</v>
      </c>
      <c r="Q66" s="82" t="s">
        <v>145</v>
      </c>
      <c r="R66" s="88" t="s">
        <v>146</v>
      </c>
      <c r="S66" s="1" t="s">
        <v>147</v>
      </c>
    </row>
    <row r="67" spans="1:70" ht="14.45">
      <c r="A67" t="s">
        <v>148</v>
      </c>
      <c r="B67" s="84">
        <v>0.115</v>
      </c>
      <c r="C67" s="84">
        <v>0.14499999999999999</v>
      </c>
      <c r="D67" s="84">
        <v>0.1</v>
      </c>
      <c r="E67" s="84">
        <v>0.14499999999999999</v>
      </c>
      <c r="F67" s="84">
        <v>0.14499999999999999</v>
      </c>
      <c r="G67" s="84">
        <v>0.14499999999999999</v>
      </c>
      <c r="H67" s="84">
        <v>0.14499999999999999</v>
      </c>
      <c r="I67" s="84">
        <v>0.14499999999999999</v>
      </c>
      <c r="J67" s="84">
        <v>0.14499999999999999</v>
      </c>
      <c r="K67" s="84">
        <v>0.14499999999999999</v>
      </c>
      <c r="L67" s="84">
        <v>5.5E-2</v>
      </c>
      <c r="M67" s="84"/>
      <c r="N67" s="84"/>
      <c r="O67" s="84">
        <v>0</v>
      </c>
      <c r="P67" s="84">
        <v>0.5</v>
      </c>
      <c r="Q67" s="83" t="s">
        <v>149</v>
      </c>
      <c r="R67" s="82" t="s">
        <v>150</v>
      </c>
    </row>
    <row r="68" spans="1:70" ht="14.45">
      <c r="A68" t="s">
        <v>151</v>
      </c>
      <c r="B68" s="169">
        <f>Slaughtering!$C$20</f>
        <v>0.16666666666666666</v>
      </c>
      <c r="C68" s="169">
        <f>Slaughtering!$E$20</f>
        <v>0.1925</v>
      </c>
      <c r="D68" s="169">
        <f>Slaughtering!$G$20</f>
        <v>0.16666666666666666</v>
      </c>
      <c r="E68" s="169">
        <f>Slaughtering!$I$20</f>
        <v>0.1925</v>
      </c>
      <c r="F68" s="169">
        <f>Slaughtering!$K$20</f>
        <v>0.1925</v>
      </c>
      <c r="G68" s="169">
        <f>Slaughtering!$M$20</f>
        <v>0.1925</v>
      </c>
      <c r="H68" s="169">
        <f>Slaughtering!$O$20</f>
        <v>0.1925</v>
      </c>
      <c r="I68" s="169">
        <f>Slaughtering!$Q$20</f>
        <v>0.16666666666666666</v>
      </c>
      <c r="J68" s="169">
        <f>Slaughtering!$S$20</f>
        <v>0.1925</v>
      </c>
      <c r="K68" s="169">
        <f>Slaughtering!$U$20</f>
        <v>0.1925</v>
      </c>
      <c r="L68" s="169">
        <f>Slaughtering!$W$20</f>
        <v>0.16666666666666666</v>
      </c>
      <c r="M68" s="169"/>
      <c r="N68" s="169"/>
      <c r="O68" s="215">
        <v>1E-3</v>
      </c>
      <c r="P68" s="169">
        <v>1</v>
      </c>
      <c r="Q68" s="7" t="s">
        <v>152</v>
      </c>
    </row>
    <row r="69" spans="1:70" ht="14.45">
      <c r="A69" s="149" t="s">
        <v>153</v>
      </c>
      <c r="B69" s="141">
        <v>0.61699999999999999</v>
      </c>
      <c r="C69" s="141">
        <v>0.64800000000000002</v>
      </c>
      <c r="D69" s="141">
        <v>0.60199999999999998</v>
      </c>
      <c r="E69" s="141">
        <v>0.64800000000000002</v>
      </c>
      <c r="F69" s="141">
        <v>0.64800000000000002</v>
      </c>
      <c r="G69" s="141">
        <v>0.64800000000000002</v>
      </c>
      <c r="H69" s="141">
        <v>0.64800000000000002</v>
      </c>
      <c r="I69" s="141">
        <v>0.64800000000000002</v>
      </c>
      <c r="J69" s="141">
        <v>0.64800000000000002</v>
      </c>
      <c r="K69" s="141">
        <v>0.64800000000000002</v>
      </c>
      <c r="L69" s="141">
        <v>0.55600000000000005</v>
      </c>
      <c r="M69" s="84"/>
      <c r="N69" s="84"/>
      <c r="O69" s="84">
        <v>0</v>
      </c>
      <c r="P69" s="84">
        <v>1</v>
      </c>
    </row>
    <row r="70" spans="1:70" ht="14.45">
      <c r="A70" t="s">
        <v>154</v>
      </c>
      <c r="B70" s="20">
        <f>B73*B72*B71*100</f>
        <v>0.64637504669244505</v>
      </c>
      <c r="C70" s="20">
        <f t="shared" ref="C70:P70" si="23">C73*C72*C71*100</f>
        <v>0.6584023268581618</v>
      </c>
      <c r="D70" s="20">
        <f t="shared" si="23"/>
        <v>0.65913664682457618</v>
      </c>
      <c r="E70" s="20">
        <f t="shared" si="23"/>
        <v>0.65461691344444639</v>
      </c>
      <c r="F70" s="20">
        <f t="shared" si="23"/>
        <v>0.64185531331231527</v>
      </c>
      <c r="G70" s="20">
        <f t="shared" si="23"/>
        <v>0.65461691344444639</v>
      </c>
      <c r="H70" s="20">
        <f t="shared" si="23"/>
        <v>0.65461691344444639</v>
      </c>
      <c r="I70" s="20">
        <f t="shared" si="23"/>
        <v>0.65913664682457618</v>
      </c>
      <c r="J70" s="20">
        <f t="shared" si="23"/>
        <v>0.64185531331231527</v>
      </c>
      <c r="K70" s="20">
        <f t="shared" si="23"/>
        <v>0.64185531331231527</v>
      </c>
      <c r="L70" s="20">
        <f t="shared" si="23"/>
        <v>0.65913664682457618</v>
      </c>
      <c r="M70" s="20"/>
      <c r="N70" s="20"/>
      <c r="O70" s="200">
        <f t="shared" si="23"/>
        <v>3.1904000330327994E-4</v>
      </c>
      <c r="P70" s="20">
        <f t="shared" si="23"/>
        <v>1.5952000165163995</v>
      </c>
    </row>
    <row r="71" spans="1:70" ht="14.45">
      <c r="A71" t="s">
        <v>155</v>
      </c>
      <c r="B71" s="20">
        <f>(2*(B74+B75+B77))+B76</f>
        <v>2.0259999999999998</v>
      </c>
      <c r="C71" s="20">
        <f t="shared" ref="C71:P71" si="24">(2*(C74+C75+C77))+C76</f>
        <v>2.0518333333333332</v>
      </c>
      <c r="D71" s="20">
        <f t="shared" si="24"/>
        <v>2.0659999999999998</v>
      </c>
      <c r="E71" s="20">
        <f t="shared" si="24"/>
        <v>2.0518333333333332</v>
      </c>
      <c r="F71" s="20">
        <f t="shared" si="24"/>
        <v>2.0118333333333331</v>
      </c>
      <c r="G71" s="20">
        <f t="shared" si="24"/>
        <v>2.0518333333333332</v>
      </c>
      <c r="H71" s="20">
        <f t="shared" si="24"/>
        <v>2.0518333333333332</v>
      </c>
      <c r="I71" s="20">
        <f t="shared" si="24"/>
        <v>2.0659999999999998</v>
      </c>
      <c r="J71" s="20">
        <f t="shared" si="24"/>
        <v>2.0118333333333331</v>
      </c>
      <c r="K71" s="20">
        <f t="shared" si="24"/>
        <v>2.0118333333333331</v>
      </c>
      <c r="L71" s="20">
        <f t="shared" si="24"/>
        <v>2.0659999999999998</v>
      </c>
      <c r="M71" s="20"/>
      <c r="N71" s="20"/>
      <c r="O71" s="20">
        <f t="shared" si="24"/>
        <v>1E-3</v>
      </c>
      <c r="P71" s="20">
        <f t="shared" si="24"/>
        <v>5</v>
      </c>
    </row>
    <row r="72" spans="1:70" ht="14.45">
      <c r="A72" t="s">
        <v>156</v>
      </c>
      <c r="B72" s="20">
        <f>Ability!$B$8</f>
        <v>0.58534077701729459</v>
      </c>
      <c r="C72" s="20">
        <f>Ability!$B$8</f>
        <v>0.58534077701729459</v>
      </c>
      <c r="D72" s="20">
        <f>Ability!$B$8</f>
        <v>0.58534077701729459</v>
      </c>
      <c r="E72" s="20">
        <f>Ability!$B$8</f>
        <v>0.58534077701729459</v>
      </c>
      <c r="F72" s="20">
        <f>Ability!$B$8</f>
        <v>0.58534077701729459</v>
      </c>
      <c r="G72" s="20">
        <f>Ability!$B$8</f>
        <v>0.58534077701729459</v>
      </c>
      <c r="H72" s="20">
        <f>Ability!$B$8</f>
        <v>0.58534077701729459</v>
      </c>
      <c r="I72" s="20">
        <f>Ability!$B$8</f>
        <v>0.58534077701729459</v>
      </c>
      <c r="J72" s="20">
        <f>Ability!$B$8</f>
        <v>0.58534077701729459</v>
      </c>
      <c r="K72" s="20">
        <f>Ability!$B$8</f>
        <v>0.58534077701729459</v>
      </c>
      <c r="L72" s="20">
        <f>Ability!$B$8</f>
        <v>0.58534077701729459</v>
      </c>
      <c r="M72" s="20"/>
      <c r="N72" s="20"/>
      <c r="O72" s="20">
        <f>Ability!$B$8</f>
        <v>0.58534077701729459</v>
      </c>
      <c r="P72" s="20">
        <f>Ability!$B$8</f>
        <v>0.58534077701729459</v>
      </c>
    </row>
    <row r="73" spans="1:70" ht="14.45">
      <c r="A73" s="3" t="s">
        <v>157</v>
      </c>
      <c r="B73" s="52">
        <v>5.4505002185052534E-3</v>
      </c>
      <c r="C73" s="52">
        <v>5.4820184946372062E-3</v>
      </c>
      <c r="D73" s="52">
        <v>5.4505002185052534E-3</v>
      </c>
      <c r="E73" s="52">
        <v>5.4505002185052534E-3</v>
      </c>
      <c r="F73" s="52">
        <v>5.4505002185052534E-3</v>
      </c>
      <c r="G73" s="52">
        <v>5.4505002185052534E-3</v>
      </c>
      <c r="H73" s="52">
        <v>5.4505002185052534E-3</v>
      </c>
      <c r="I73" s="52">
        <v>5.4505002185052534E-3</v>
      </c>
      <c r="J73" s="52">
        <v>5.4505002185052534E-3</v>
      </c>
      <c r="K73" s="52">
        <v>5.4505002185052534E-3</v>
      </c>
      <c r="L73" s="52">
        <v>5.4505002185052534E-3</v>
      </c>
      <c r="M73" s="52"/>
      <c r="N73" s="52"/>
      <c r="O73" s="52">
        <v>5.4505002185052534E-3</v>
      </c>
      <c r="P73" s="52">
        <v>5.4505002185052534E-3</v>
      </c>
      <c r="R73" t="s">
        <v>143</v>
      </c>
    </row>
    <row r="74" spans="1:70" ht="14.45">
      <c r="A74" t="s">
        <v>158</v>
      </c>
      <c r="B74" s="84">
        <v>0.06</v>
      </c>
      <c r="C74" s="84">
        <v>0.06</v>
      </c>
      <c r="D74" s="84">
        <v>0.06</v>
      </c>
      <c r="E74" s="84">
        <v>0.06</v>
      </c>
      <c r="F74" s="84">
        <v>0.06</v>
      </c>
      <c r="G74" s="84">
        <v>0.06</v>
      </c>
      <c r="H74" s="84">
        <v>0.06</v>
      </c>
      <c r="I74" s="84">
        <v>0.06</v>
      </c>
      <c r="J74" s="84">
        <v>0.06</v>
      </c>
      <c r="K74" s="84">
        <v>0.06</v>
      </c>
      <c r="L74" s="84">
        <v>0.06</v>
      </c>
      <c r="M74" s="84"/>
      <c r="N74" s="84"/>
      <c r="O74" s="84">
        <v>0</v>
      </c>
      <c r="P74" s="84">
        <v>0.5</v>
      </c>
      <c r="Q74" s="82" t="s">
        <v>159</v>
      </c>
      <c r="R74" s="89" t="s">
        <v>160</v>
      </c>
    </row>
    <row r="75" spans="1:70" ht="14.45">
      <c r="A75" t="s">
        <v>161</v>
      </c>
      <c r="B75" s="84">
        <v>0.44</v>
      </c>
      <c r="C75" s="84">
        <v>0.44</v>
      </c>
      <c r="D75" s="84">
        <v>0.46</v>
      </c>
      <c r="E75" s="86">
        <v>0.44</v>
      </c>
      <c r="F75" s="84">
        <v>0.42</v>
      </c>
      <c r="G75" s="84">
        <v>0.44</v>
      </c>
      <c r="H75" s="84">
        <v>0.44</v>
      </c>
      <c r="I75" s="84">
        <v>0.46</v>
      </c>
      <c r="J75" s="84">
        <v>0.42</v>
      </c>
      <c r="K75" s="84">
        <v>0.42</v>
      </c>
      <c r="L75" s="84">
        <v>0.46</v>
      </c>
      <c r="M75" s="84"/>
      <c r="N75" s="84"/>
      <c r="O75" s="84">
        <v>0</v>
      </c>
      <c r="P75" s="84">
        <v>0.5</v>
      </c>
      <c r="Q75" s="82" t="s">
        <v>162</v>
      </c>
      <c r="R75" s="82" t="s">
        <v>39</v>
      </c>
    </row>
    <row r="76" spans="1:70" ht="14.45">
      <c r="A76" t="s">
        <v>163</v>
      </c>
      <c r="B76" s="55">
        <f>Slaughtering!$C$8</f>
        <v>0.25</v>
      </c>
      <c r="C76" s="55">
        <f>Slaughtering!$E$8</f>
        <v>0.27583333333333332</v>
      </c>
      <c r="D76" s="55">
        <f>Slaughtering!$G$8</f>
        <v>0.25</v>
      </c>
      <c r="E76" s="55">
        <f>Slaughtering!$I$8</f>
        <v>0.27583333333333332</v>
      </c>
      <c r="F76" s="55">
        <f>Slaughtering!$K$8</f>
        <v>0.27583333333333332</v>
      </c>
      <c r="G76" s="55">
        <f>Slaughtering!$M$8</f>
        <v>0.27583333333333332</v>
      </c>
      <c r="H76" s="55">
        <f>Slaughtering!$O$8</f>
        <v>0.27583333333333332</v>
      </c>
      <c r="I76" s="55">
        <f>Slaughtering!$Q$8</f>
        <v>0.25</v>
      </c>
      <c r="J76" s="55">
        <f>Slaughtering!$S$8</f>
        <v>0.27583333333333332</v>
      </c>
      <c r="K76" s="55">
        <f>Slaughtering!$U$8</f>
        <v>0.27583333333333332</v>
      </c>
      <c r="L76" s="55">
        <f>Slaughtering!$W$8</f>
        <v>0.25</v>
      </c>
      <c r="M76" s="55"/>
      <c r="N76" s="55"/>
      <c r="O76" s="20">
        <v>1E-3</v>
      </c>
      <c r="P76" s="55">
        <v>1</v>
      </c>
    </row>
    <row r="77" spans="1:70" ht="14.45">
      <c r="A77" s="149" t="s">
        <v>164</v>
      </c>
      <c r="B77" s="141">
        <v>0.38800000000000001</v>
      </c>
      <c r="C77" s="141">
        <v>0.38800000000000001</v>
      </c>
      <c r="D77" s="141">
        <v>0.38800000000000001</v>
      </c>
      <c r="E77" s="141">
        <v>0.38800000000000001</v>
      </c>
      <c r="F77" s="141">
        <v>0.38800000000000001</v>
      </c>
      <c r="G77" s="141">
        <v>0.38800000000000001</v>
      </c>
      <c r="H77" s="141">
        <v>0.38800000000000001</v>
      </c>
      <c r="I77" s="141">
        <v>0.38800000000000001</v>
      </c>
      <c r="J77" s="141">
        <v>0.38800000000000001</v>
      </c>
      <c r="K77" s="141">
        <v>0.38800000000000001</v>
      </c>
      <c r="L77" s="141">
        <v>0.38800000000000001</v>
      </c>
      <c r="M77" s="84"/>
      <c r="N77" s="84"/>
      <c r="O77" s="84">
        <v>0</v>
      </c>
      <c r="P77" s="84">
        <v>1</v>
      </c>
    </row>
    <row r="78" spans="1:70" s="7" customFormat="1" ht="14.45">
      <c r="A78" s="216" t="s">
        <v>165</v>
      </c>
      <c r="B78" s="217">
        <f>B79+B87</f>
        <v>3.7603024624306398</v>
      </c>
      <c r="C78" s="217">
        <f t="shared" ref="C78:P78" si="25">C79+C87</f>
        <v>3.8528813937224173</v>
      </c>
      <c r="D78" s="217">
        <f t="shared" si="25"/>
        <v>3.658512280664648</v>
      </c>
      <c r="E78" s="217">
        <f t="shared" si="25"/>
        <v>3.7782569595637128</v>
      </c>
      <c r="F78" s="217">
        <f t="shared" si="25"/>
        <v>3.6643868424530748</v>
      </c>
      <c r="G78" s="217">
        <f t="shared" si="25"/>
        <v>3.6547804586127444</v>
      </c>
      <c r="H78" s="217">
        <f t="shared" si="25"/>
        <v>2.9314832390092738</v>
      </c>
      <c r="I78" s="217">
        <f t="shared" si="25"/>
        <v>3.521250969971935</v>
      </c>
      <c r="J78" s="217">
        <f t="shared" si="25"/>
        <v>3.7782569595637128</v>
      </c>
      <c r="K78" s="217">
        <f t="shared" si="25"/>
        <v>3.9766058701166638</v>
      </c>
      <c r="L78" s="217">
        <f t="shared" si="25"/>
        <v>2.8930738532209359</v>
      </c>
      <c r="M78" s="217"/>
      <c r="N78" s="217"/>
      <c r="O78" s="217">
        <f t="shared" si="25"/>
        <v>1.6425917132724729E-3</v>
      </c>
      <c r="P78" s="217">
        <f t="shared" si="25"/>
        <v>8.5277171267644807</v>
      </c>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row>
    <row r="79" spans="1:70" ht="14.45">
      <c r="A79" s="3" t="s">
        <v>166</v>
      </c>
      <c r="B79" s="20">
        <f>B82*B81*B80*100</f>
        <v>3.6384965381974435</v>
      </c>
      <c r="C79" s="20">
        <f t="shared" ref="C79:P79" si="26">C82*C81*C80*100</f>
        <v>3.709650030807949</v>
      </c>
      <c r="D79" s="20">
        <f t="shared" si="26"/>
        <v>3.5248383938629058</v>
      </c>
      <c r="E79" s="20">
        <f t="shared" si="26"/>
        <v>3.6342087684782567</v>
      </c>
      <c r="F79" s="20">
        <f t="shared" si="26"/>
        <v>3.5271813898258411</v>
      </c>
      <c r="G79" s="20">
        <f t="shared" si="26"/>
        <v>3.5111882005194412</v>
      </c>
      <c r="H79" s="20">
        <f t="shared" si="26"/>
        <v>2.800298884578706</v>
      </c>
      <c r="I79" s="20">
        <f t="shared" si="26"/>
        <v>3.3963391439455788</v>
      </c>
      <c r="J79" s="20">
        <f t="shared" si="26"/>
        <v>3.6342087684782567</v>
      </c>
      <c r="K79" s="20">
        <f t="shared" si="26"/>
        <v>3.8159246154538597</v>
      </c>
      <c r="L79" s="20">
        <f t="shared" si="26"/>
        <v>2.7700098519643994</v>
      </c>
      <c r="M79" s="20"/>
      <c r="N79" s="20"/>
      <c r="O79" s="20">
        <f t="shared" si="26"/>
        <v>1.5572666315674453E-3</v>
      </c>
      <c r="P79" s="20">
        <f t="shared" si="26"/>
        <v>8.0062860719004245</v>
      </c>
    </row>
    <row r="80" spans="1:70" ht="14.45">
      <c r="A80" s="101" t="s">
        <v>167</v>
      </c>
      <c r="B80" s="20">
        <f>(2*(B83+B84+B86))+B85</f>
        <v>2.2759999999999998</v>
      </c>
      <c r="C80" s="20">
        <f t="shared" ref="C80:P80" si="27">(2*(C83+C84+C86))+C85</f>
        <v>2.3273333333333333</v>
      </c>
      <c r="D80" s="20">
        <f t="shared" si="27"/>
        <v>2.234</v>
      </c>
      <c r="E80" s="20">
        <f t="shared" si="27"/>
        <v>2.2993333333333332</v>
      </c>
      <c r="F80" s="20">
        <f t="shared" si="27"/>
        <v>2.2273333333333336</v>
      </c>
      <c r="G80" s="20">
        <f t="shared" si="27"/>
        <v>2.2333333333333334</v>
      </c>
      <c r="H80" s="20">
        <f t="shared" si="27"/>
        <v>2.2893333333333334</v>
      </c>
      <c r="I80" s="20">
        <f t="shared" si="27"/>
        <v>2.1579999999999999</v>
      </c>
      <c r="J80" s="20">
        <f t="shared" si="27"/>
        <v>2.2993333333333332</v>
      </c>
      <c r="K80" s="20">
        <f t="shared" si="27"/>
        <v>2.3853333333333335</v>
      </c>
      <c r="L80" s="20">
        <f t="shared" si="27"/>
        <v>1.7759999999999998</v>
      </c>
      <c r="M80" s="20"/>
      <c r="N80" s="20"/>
      <c r="O80" s="20">
        <f t="shared" si="27"/>
        <v>1E-3</v>
      </c>
      <c r="P80" s="20">
        <f t="shared" si="27"/>
        <v>5</v>
      </c>
    </row>
    <row r="81" spans="1:70" ht="14.45">
      <c r="A81" t="s">
        <v>168</v>
      </c>
      <c r="B81" s="20">
        <f>Ability!$B$10</f>
        <v>0.87981165625279378</v>
      </c>
      <c r="C81" s="20">
        <f>Ability!$B$10</f>
        <v>0.87981165625279378</v>
      </c>
      <c r="D81" s="20">
        <f>Ability!$B$10</f>
        <v>0.87981165625279378</v>
      </c>
      <c r="E81" s="20">
        <f>Ability!$B$10</f>
        <v>0.87981165625279378</v>
      </c>
      <c r="F81" s="20">
        <f>Ability!$B$10</f>
        <v>0.87981165625279378</v>
      </c>
      <c r="G81" s="20">
        <f>Ability!$B$10</f>
        <v>0.87981165625279378</v>
      </c>
      <c r="H81" s="20">
        <f>Ability!$B$10</f>
        <v>0.87981165625279378</v>
      </c>
      <c r="I81" s="20">
        <f>Ability!$B$10</f>
        <v>0.87981165625279378</v>
      </c>
      <c r="J81" s="20">
        <f>Ability!$B$10</f>
        <v>0.87981165625279378</v>
      </c>
      <c r="K81" s="20">
        <f>Ability!$B$10</f>
        <v>0.87981165625279378</v>
      </c>
      <c r="L81" s="20">
        <f>Ability!$B$10</f>
        <v>0.87981165625279378</v>
      </c>
      <c r="M81" s="20"/>
      <c r="N81" s="20"/>
      <c r="O81" s="20">
        <f>Ability!$B$10</f>
        <v>0.87981165625279378</v>
      </c>
      <c r="P81" s="20">
        <f>Ability!$B$10</f>
        <v>0.87981165625279378</v>
      </c>
    </row>
    <row r="82" spans="1:70" ht="14.45">
      <c r="A82" s="3" t="s">
        <v>169</v>
      </c>
      <c r="B82" s="59">
        <v>1.81702121013212E-2</v>
      </c>
      <c r="C82" s="59">
        <v>1.8116931359148457E-2</v>
      </c>
      <c r="D82" s="59">
        <v>1.7933552565197779E-2</v>
      </c>
      <c r="E82" s="59">
        <v>1.7964627858546044E-2</v>
      </c>
      <c r="F82" s="59">
        <v>1.7999186060066438E-2</v>
      </c>
      <c r="G82" s="59">
        <v>1.7869436145278569E-2</v>
      </c>
      <c r="H82" s="59">
        <v>1.3902907848700446E-2</v>
      </c>
      <c r="I82" s="59">
        <v>1.7888334146650121E-2</v>
      </c>
      <c r="J82" s="59">
        <v>1.7964627858546047E-2</v>
      </c>
      <c r="K82" s="59">
        <v>1.8182809885212182E-2</v>
      </c>
      <c r="L82" s="59">
        <v>1.7727546809334332E-2</v>
      </c>
      <c r="M82" s="59"/>
      <c r="N82" s="59"/>
      <c r="O82" s="59">
        <v>1.77E-2</v>
      </c>
      <c r="P82" s="59">
        <v>1.8200000000000001E-2</v>
      </c>
      <c r="R82" t="s">
        <v>170</v>
      </c>
    </row>
    <row r="83" spans="1:70" ht="14.45">
      <c r="A83" s="3" t="s">
        <v>171</v>
      </c>
      <c r="B83" s="85">
        <v>0.22800000000000001</v>
      </c>
      <c r="C83" s="85">
        <v>0.21199999999999999</v>
      </c>
      <c r="D83" s="85">
        <v>0.20699999999999999</v>
      </c>
      <c r="E83" s="83">
        <v>0.19800000000000001</v>
      </c>
      <c r="F83" s="83">
        <v>0.16200000000000001</v>
      </c>
      <c r="G83" s="85">
        <v>0.16500000000000001</v>
      </c>
      <c r="H83" s="85">
        <v>0.193</v>
      </c>
      <c r="I83" s="83">
        <v>0.16900000000000001</v>
      </c>
      <c r="J83" s="83">
        <v>0.19800000000000001</v>
      </c>
      <c r="K83" s="85">
        <v>0.24099999999999999</v>
      </c>
      <c r="L83" s="85">
        <v>0.20599999999999999</v>
      </c>
      <c r="M83" s="85"/>
      <c r="N83" s="85"/>
      <c r="O83" s="85">
        <v>0</v>
      </c>
      <c r="P83" s="85">
        <v>0.5</v>
      </c>
      <c r="Q83" s="82" t="s">
        <v>172</v>
      </c>
      <c r="R83" t="s">
        <v>173</v>
      </c>
      <c r="S83" s="1" t="s">
        <v>174</v>
      </c>
    </row>
    <row r="84" spans="1:70" ht="14.45">
      <c r="A84" s="3" t="s">
        <v>175</v>
      </c>
      <c r="B84" s="84">
        <v>0.15</v>
      </c>
      <c r="C84" s="84">
        <v>0.15</v>
      </c>
      <c r="D84" s="84">
        <v>0.15</v>
      </c>
      <c r="E84" s="84">
        <v>0.15</v>
      </c>
      <c r="F84" s="84">
        <v>0.15</v>
      </c>
      <c r="G84" s="84">
        <v>0.15</v>
      </c>
      <c r="H84" s="84">
        <v>0.15</v>
      </c>
      <c r="I84" s="84">
        <v>0.15</v>
      </c>
      <c r="J84" s="84">
        <v>0.15</v>
      </c>
      <c r="K84" s="84">
        <v>0.15</v>
      </c>
      <c r="L84" s="84">
        <v>0.15</v>
      </c>
      <c r="M84" s="84"/>
      <c r="N84" s="84"/>
      <c r="O84" s="84">
        <v>0</v>
      </c>
      <c r="P84" s="84">
        <v>0.5</v>
      </c>
      <c r="Q84" s="83" t="s">
        <v>176</v>
      </c>
      <c r="W84" s="1"/>
    </row>
    <row r="85" spans="1:70" ht="14.45">
      <c r="A85" s="3" t="s">
        <v>177</v>
      </c>
      <c r="B85" s="55">
        <f>Slaughtering!$C$9</f>
        <v>0.25</v>
      </c>
      <c r="C85" s="55">
        <f>Slaughtering!$E$9</f>
        <v>0.33333333333333331</v>
      </c>
      <c r="D85" s="55">
        <f>Slaughtering!$G$9</f>
        <v>0.25</v>
      </c>
      <c r="E85" s="55">
        <f>Slaughtering!$I$9</f>
        <v>0.33333333333333331</v>
      </c>
      <c r="F85" s="55">
        <f>Slaughtering!$K$9</f>
        <v>0.33333333333333331</v>
      </c>
      <c r="G85" s="55">
        <f>Slaughtering!$M$9</f>
        <v>0.33333333333333331</v>
      </c>
      <c r="H85" s="55">
        <f>Slaughtering!$O$9</f>
        <v>0.33333333333333331</v>
      </c>
      <c r="I85" s="55">
        <f>Slaughtering!$Q$9</f>
        <v>0.25</v>
      </c>
      <c r="J85" s="55">
        <f>Slaughtering!$S$9</f>
        <v>0.33333333333333331</v>
      </c>
      <c r="K85" s="55">
        <f>Slaughtering!$U$9</f>
        <v>0.33333333333333331</v>
      </c>
      <c r="L85" s="55">
        <f>Slaughtering!$W$9</f>
        <v>0.25</v>
      </c>
      <c r="M85" s="55"/>
      <c r="N85" s="55"/>
      <c r="O85" s="20">
        <v>1E-3</v>
      </c>
      <c r="P85" s="55">
        <v>1</v>
      </c>
      <c r="Q85" s="1"/>
      <c r="R85" s="1"/>
      <c r="S85" s="1"/>
    </row>
    <row r="86" spans="1:70" ht="14.45">
      <c r="A86" s="148" t="s">
        <v>178</v>
      </c>
      <c r="B86" s="51">
        <v>0.63500000000000001</v>
      </c>
      <c r="C86" s="51">
        <v>0.63500000000000001</v>
      </c>
      <c r="D86" s="51">
        <v>0.63500000000000001</v>
      </c>
      <c r="E86" s="51">
        <v>0.63500000000000001</v>
      </c>
      <c r="F86" s="51">
        <v>0.63500000000000001</v>
      </c>
      <c r="G86" s="51">
        <v>0.63500000000000001</v>
      </c>
      <c r="H86" s="51">
        <v>0.63500000000000001</v>
      </c>
      <c r="I86" s="51">
        <v>0.63500000000000001</v>
      </c>
      <c r="J86" s="51">
        <v>0.63500000000000001</v>
      </c>
      <c r="K86" s="51">
        <v>0.63500000000000001</v>
      </c>
      <c r="L86" s="51">
        <v>0.40699999999999997</v>
      </c>
      <c r="M86" s="38"/>
      <c r="N86" s="38"/>
      <c r="O86" s="38">
        <v>0</v>
      </c>
      <c r="P86" s="38">
        <v>1</v>
      </c>
    </row>
    <row r="87" spans="1:70" ht="14.45">
      <c r="A87" s="3" t="s">
        <v>179</v>
      </c>
      <c r="B87" s="20">
        <f>B90*B89*B88*100</f>
        <v>0.12180592423319622</v>
      </c>
      <c r="C87" s="20">
        <f t="shared" ref="C87:P87" si="28">C90*C89*C88*100</f>
        <v>0.14323136291446853</v>
      </c>
      <c r="D87" s="20">
        <f t="shared" si="28"/>
        <v>0.13367388680174225</v>
      </c>
      <c r="E87" s="20">
        <f t="shared" si="28"/>
        <v>0.14404819108545602</v>
      </c>
      <c r="F87" s="20">
        <f t="shared" si="28"/>
        <v>0.13720545262723349</v>
      </c>
      <c r="G87" s="20">
        <f t="shared" si="28"/>
        <v>0.14359225809330295</v>
      </c>
      <c r="H87" s="20">
        <f t="shared" si="28"/>
        <v>0.13118435443056772</v>
      </c>
      <c r="I87" s="20">
        <f t="shared" si="28"/>
        <v>0.12491182602635634</v>
      </c>
      <c r="J87" s="20">
        <f t="shared" si="28"/>
        <v>0.14404819108545602</v>
      </c>
      <c r="K87" s="20">
        <f t="shared" si="28"/>
        <v>0.16068125466280392</v>
      </c>
      <c r="L87" s="20">
        <f t="shared" si="28"/>
        <v>0.12306400125653631</v>
      </c>
      <c r="M87" s="20"/>
      <c r="N87" s="20"/>
      <c r="O87" s="20">
        <f t="shared" si="28"/>
        <v>8.5325081705027456E-5</v>
      </c>
      <c r="P87" s="20">
        <f t="shared" si="28"/>
        <v>0.52143105486405672</v>
      </c>
    </row>
    <row r="88" spans="1:70" ht="14.45">
      <c r="A88" s="101" t="s">
        <v>180</v>
      </c>
      <c r="B88" s="20">
        <f>(2*(B91+B92+B94))+B93</f>
        <v>1.456</v>
      </c>
      <c r="C88" s="20">
        <f t="shared" ref="C88:P88" si="29">(2*(C91+C92+C94))+C93</f>
        <v>1.5393333333333332</v>
      </c>
      <c r="D88" s="20">
        <f t="shared" si="29"/>
        <v>1.456</v>
      </c>
      <c r="E88" s="20">
        <f t="shared" si="29"/>
        <v>1.5393333333333332</v>
      </c>
      <c r="F88" s="20">
        <f t="shared" si="29"/>
        <v>1.5393333333333332</v>
      </c>
      <c r="G88" s="20">
        <f t="shared" si="29"/>
        <v>1.5393333333333332</v>
      </c>
      <c r="H88" s="20">
        <f t="shared" si="29"/>
        <v>1.5393333333333332</v>
      </c>
      <c r="I88" s="20">
        <f t="shared" si="29"/>
        <v>1.456</v>
      </c>
      <c r="J88" s="20">
        <f t="shared" si="29"/>
        <v>1.5393333333333332</v>
      </c>
      <c r="K88" s="20">
        <f t="shared" si="29"/>
        <v>1.5393333333333332</v>
      </c>
      <c r="L88" s="20">
        <f t="shared" si="29"/>
        <v>1.258</v>
      </c>
      <c r="M88" s="20"/>
      <c r="N88" s="20"/>
      <c r="O88" s="20">
        <f>(2*(O91+O92+O94))+O93</f>
        <v>1E-3</v>
      </c>
      <c r="P88" s="20">
        <f t="shared" si="29"/>
        <v>5</v>
      </c>
    </row>
    <row r="89" spans="1:70" s="21" customFormat="1" ht="14.45">
      <c r="A89" s="101" t="s">
        <v>181</v>
      </c>
      <c r="B89" s="20">
        <f>Ability!$B$11</f>
        <v>0.94805646338919392</v>
      </c>
      <c r="C89" s="20">
        <f>Ability!$B$11</f>
        <v>0.94805646338919392</v>
      </c>
      <c r="D89" s="20">
        <f>Ability!$B$11</f>
        <v>0.94805646338919392</v>
      </c>
      <c r="E89" s="20">
        <f>Ability!$B$11</f>
        <v>0.94805646338919392</v>
      </c>
      <c r="F89" s="20">
        <f>Ability!$B$11</f>
        <v>0.94805646338919392</v>
      </c>
      <c r="G89" s="20">
        <f>Ability!$B$11</f>
        <v>0.94805646338919392</v>
      </c>
      <c r="H89" s="20">
        <f>Ability!$B$11</f>
        <v>0.94805646338919392</v>
      </c>
      <c r="I89" s="20">
        <f>Ability!$B$11</f>
        <v>0.94805646338919392</v>
      </c>
      <c r="J89" s="20">
        <f>Ability!$B$11</f>
        <v>0.94805646338919392</v>
      </c>
      <c r="K89" s="20">
        <f>Ability!$B$11</f>
        <v>0.94805646338919392</v>
      </c>
      <c r="L89" s="20">
        <f>Ability!$B$11</f>
        <v>0.94805646338919392</v>
      </c>
      <c r="M89" s="20"/>
      <c r="N89" s="20"/>
      <c r="O89" s="20">
        <f>Ability!$B$11</f>
        <v>0.94805646338919392</v>
      </c>
      <c r="P89" s="20">
        <f>Ability!$B$11</f>
        <v>0.94805646338919392</v>
      </c>
    </row>
    <row r="90" spans="1:70" ht="14.45">
      <c r="A90" t="s">
        <v>182</v>
      </c>
      <c r="B90" s="189">
        <v>8.824149006511655E-4</v>
      </c>
      <c r="C90" s="189">
        <v>9.8145693300868107E-4</v>
      </c>
      <c r="D90" s="189">
        <v>9.6839156456782237E-4</v>
      </c>
      <c r="E90" s="189">
        <v>9.8705404285375897E-4</v>
      </c>
      <c r="F90" s="189">
        <v>9.4016589654324684E-4</v>
      </c>
      <c r="G90" s="189">
        <v>9.8392987656063173E-4</v>
      </c>
      <c r="H90" s="189">
        <v>8.9890783371958621E-4</v>
      </c>
      <c r="I90" s="189">
        <v>9.0491539920652803E-4</v>
      </c>
      <c r="J90" s="189">
        <v>9.8705404285375875E-4</v>
      </c>
      <c r="K90" s="189">
        <v>1.1010279326010108E-3</v>
      </c>
      <c r="L90" s="189">
        <v>1.0318490935234677E-3</v>
      </c>
      <c r="M90" s="59"/>
      <c r="N90" s="59"/>
      <c r="O90" s="59">
        <v>8.9999999999999998E-4</v>
      </c>
      <c r="P90" s="59">
        <v>1.1000000000000001E-3</v>
      </c>
      <c r="R90" t="s">
        <v>170</v>
      </c>
    </row>
    <row r="91" spans="1:70" ht="14.45">
      <c r="A91" s="3" t="s">
        <v>183</v>
      </c>
      <c r="B91" s="38">
        <v>3.4000000000000002E-2</v>
      </c>
      <c r="C91" s="38">
        <v>3.4000000000000002E-2</v>
      </c>
      <c r="D91" s="38">
        <v>3.4000000000000002E-2</v>
      </c>
      <c r="E91" s="38">
        <v>3.4000000000000002E-2</v>
      </c>
      <c r="F91" s="38">
        <v>3.4000000000000002E-2</v>
      </c>
      <c r="G91" s="38">
        <v>3.4000000000000002E-2</v>
      </c>
      <c r="H91" s="38">
        <v>3.4000000000000002E-2</v>
      </c>
      <c r="I91" s="38">
        <v>3.4000000000000002E-2</v>
      </c>
      <c r="J91" s="38">
        <v>3.4000000000000002E-2</v>
      </c>
      <c r="K91" s="38">
        <v>3.4000000000000002E-2</v>
      </c>
      <c r="L91" s="38">
        <v>3.4000000000000002E-2</v>
      </c>
      <c r="M91" s="38"/>
      <c r="N91" s="38"/>
      <c r="O91" s="38">
        <v>0</v>
      </c>
      <c r="P91" s="38">
        <v>0.5</v>
      </c>
      <c r="Q91" s="82" t="s">
        <v>184</v>
      </c>
      <c r="R91" s="82" t="s">
        <v>185</v>
      </c>
      <c r="S91" t="s">
        <v>186</v>
      </c>
    </row>
    <row r="92" spans="1:70" ht="14.45">
      <c r="A92" s="3" t="s">
        <v>187</v>
      </c>
      <c r="B92" s="84">
        <v>0.15</v>
      </c>
      <c r="C92" s="84">
        <v>0.15</v>
      </c>
      <c r="D92" s="84">
        <v>0.15</v>
      </c>
      <c r="E92" s="84">
        <v>0.15</v>
      </c>
      <c r="F92" s="84">
        <v>0.15</v>
      </c>
      <c r="G92" s="84">
        <v>0.15</v>
      </c>
      <c r="H92" s="84">
        <v>0.15</v>
      </c>
      <c r="I92" s="84">
        <v>0.15</v>
      </c>
      <c r="J92" s="84">
        <v>0.15</v>
      </c>
      <c r="K92" s="84">
        <v>0.15</v>
      </c>
      <c r="L92" s="84">
        <v>0.15</v>
      </c>
      <c r="M92" s="84"/>
      <c r="N92" s="84"/>
      <c r="O92" s="84">
        <v>0</v>
      </c>
      <c r="P92" s="84">
        <v>0.5</v>
      </c>
      <c r="Q92" s="82" t="s">
        <v>188</v>
      </c>
      <c r="R92" s="82" t="s">
        <v>189</v>
      </c>
    </row>
    <row r="93" spans="1:70" ht="14.45">
      <c r="A93" s="3" t="s">
        <v>190</v>
      </c>
      <c r="B93" s="55">
        <f>Slaughtering!$C$9</f>
        <v>0.25</v>
      </c>
      <c r="C93" s="55">
        <f>Slaughtering!$E$9</f>
        <v>0.33333333333333331</v>
      </c>
      <c r="D93" s="55">
        <f>Slaughtering!$G$9</f>
        <v>0.25</v>
      </c>
      <c r="E93" s="55">
        <f>Slaughtering!$I$9</f>
        <v>0.33333333333333331</v>
      </c>
      <c r="F93" s="55">
        <f>Slaughtering!$K$9</f>
        <v>0.33333333333333331</v>
      </c>
      <c r="G93" s="55">
        <f>Slaughtering!$M$9</f>
        <v>0.33333333333333331</v>
      </c>
      <c r="H93" s="55">
        <f>Slaughtering!$O$9</f>
        <v>0.33333333333333331</v>
      </c>
      <c r="I93" s="55">
        <f>Slaughtering!$Q$9</f>
        <v>0.25</v>
      </c>
      <c r="J93" s="55">
        <f>Slaughtering!$S$9</f>
        <v>0.33333333333333331</v>
      </c>
      <c r="K93" s="55">
        <f>Slaughtering!$U$9</f>
        <v>0.33333333333333331</v>
      </c>
      <c r="L93" s="55">
        <f>Slaughtering!$W$9</f>
        <v>0.25</v>
      </c>
      <c r="M93" s="55"/>
      <c r="N93" s="55"/>
      <c r="O93" s="20">
        <v>1E-3</v>
      </c>
      <c r="P93" s="55">
        <v>1</v>
      </c>
    </row>
    <row r="94" spans="1:70" ht="14.45">
      <c r="A94" s="148" t="s">
        <v>191</v>
      </c>
      <c r="B94" s="51">
        <v>0.41899999999999998</v>
      </c>
      <c r="C94" s="51">
        <v>0.41899999999999998</v>
      </c>
      <c r="D94" s="51">
        <v>0.41899999999999998</v>
      </c>
      <c r="E94" s="51">
        <v>0.41899999999999998</v>
      </c>
      <c r="F94" s="51">
        <v>0.41899999999999998</v>
      </c>
      <c r="G94" s="51">
        <v>0.41899999999999998</v>
      </c>
      <c r="H94" s="51">
        <v>0.41899999999999998</v>
      </c>
      <c r="I94" s="51">
        <v>0.41899999999999998</v>
      </c>
      <c r="J94" s="51">
        <v>0.41899999999999998</v>
      </c>
      <c r="K94" s="51">
        <v>0.41899999999999998</v>
      </c>
      <c r="L94" s="51">
        <v>0.32</v>
      </c>
      <c r="M94" s="38"/>
      <c r="N94" s="38"/>
      <c r="O94" s="38">
        <v>0</v>
      </c>
      <c r="P94" s="38">
        <v>1</v>
      </c>
    </row>
    <row r="95" spans="1:70" s="7" customFormat="1" ht="14.45">
      <c r="A95" s="60" t="s">
        <v>192</v>
      </c>
      <c r="B95" s="61">
        <f>B96+B104</f>
        <v>3.0059866098436268</v>
      </c>
      <c r="C95" s="61">
        <f t="shared" ref="C95:P95" si="30">C96+C104</f>
        <v>3.2933591015914891</v>
      </c>
      <c r="D95" s="61">
        <f t="shared" si="30"/>
        <v>3.4800640589215956</v>
      </c>
      <c r="E95" s="61">
        <f t="shared" si="30"/>
        <v>2.8533373134696354</v>
      </c>
      <c r="F95" s="61">
        <f t="shared" si="30"/>
        <v>199.07249104665692</v>
      </c>
      <c r="G95" s="61">
        <f t="shared" si="30"/>
        <v>2.6711695862508478</v>
      </c>
      <c r="H95" s="61">
        <f t="shared" si="30"/>
        <v>2.8706657329119549</v>
      </c>
      <c r="I95" s="61">
        <f t="shared" si="30"/>
        <v>2.5248575574030254</v>
      </c>
      <c r="J95" s="61">
        <f t="shared" si="30"/>
        <v>4.4878251046775421</v>
      </c>
      <c r="K95" s="61">
        <f t="shared" si="30"/>
        <v>3.324564411943197</v>
      </c>
      <c r="L95" s="61">
        <f t="shared" si="30"/>
        <v>2.854762488771839</v>
      </c>
      <c r="M95" s="61">
        <f t="shared" si="30"/>
        <v>2.1955186279147041</v>
      </c>
      <c r="N95" s="61">
        <f t="shared" si="30"/>
        <v>1.9253177803337711</v>
      </c>
      <c r="O95" s="61">
        <f t="shared" si="30"/>
        <v>3.9006637939634635E-3</v>
      </c>
      <c r="P95" s="61">
        <f t="shared" si="30"/>
        <v>19.503318969817318</v>
      </c>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row>
    <row r="96" spans="1:70" ht="14.45">
      <c r="A96" s="2" t="s">
        <v>193</v>
      </c>
      <c r="B96" s="20">
        <f>B99*B98*B97*100</f>
        <v>2.5269795866880744</v>
      </c>
      <c r="C96" s="20">
        <f t="shared" ref="C96:P96" si="31">C99*C98*C97*100</f>
        <v>2.8124954620671168</v>
      </c>
      <c r="D96" s="20">
        <f t="shared" si="31"/>
        <v>3.0258119206836427</v>
      </c>
      <c r="E96" s="20">
        <f t="shared" si="31"/>
        <v>2.3464810447817834</v>
      </c>
      <c r="F96" s="20">
        <f t="shared" si="31"/>
        <v>3.659197713191173</v>
      </c>
      <c r="G96" s="20">
        <f t="shared" si="31"/>
        <v>2.1692642945465157</v>
      </c>
      <c r="H96" s="20">
        <f t="shared" si="31"/>
        <v>2.3464810447817834</v>
      </c>
      <c r="I96" s="20">
        <f t="shared" si="31"/>
        <v>2.0347108360345532</v>
      </c>
      <c r="J96" s="20">
        <f t="shared" si="31"/>
        <v>3.8101601300582528</v>
      </c>
      <c r="K96" s="20">
        <f t="shared" si="31"/>
        <v>2.8387497954353047</v>
      </c>
      <c r="L96" s="20">
        <f t="shared" si="31"/>
        <v>2.3497628364528071</v>
      </c>
      <c r="M96" s="20">
        <f t="shared" si="31"/>
        <v>2.1955186279147041</v>
      </c>
      <c r="N96" s="20">
        <f t="shared" si="31"/>
        <v>1.9253177803337711</v>
      </c>
      <c r="O96" s="20">
        <f t="shared" si="31"/>
        <v>3.2817916710234734E-3</v>
      </c>
      <c r="P96" s="20">
        <f t="shared" si="31"/>
        <v>16.408958355117367</v>
      </c>
    </row>
    <row r="97" spans="1:70" ht="14.45">
      <c r="A97" s="101" t="s">
        <v>194</v>
      </c>
      <c r="B97" s="20">
        <f>(2*(B100+B101+B103))+B102</f>
        <v>0.77</v>
      </c>
      <c r="C97" s="20">
        <f t="shared" ref="C97:P97" si="32">(2*(C100+C101+C103))+C102</f>
        <v>0.85699999999999998</v>
      </c>
      <c r="D97" s="20">
        <f t="shared" si="32"/>
        <v>0.92200000000000004</v>
      </c>
      <c r="E97" s="20">
        <f t="shared" si="32"/>
        <v>0.71499999999999997</v>
      </c>
      <c r="F97" s="20">
        <f t="shared" si="32"/>
        <v>1.115</v>
      </c>
      <c r="G97" s="20">
        <f t="shared" si="32"/>
        <v>0.66100000000000003</v>
      </c>
      <c r="H97" s="20">
        <f t="shared" si="32"/>
        <v>0.71499999999999997</v>
      </c>
      <c r="I97" s="20">
        <f t="shared" si="32"/>
        <v>0.62</v>
      </c>
      <c r="J97" s="20">
        <f t="shared" si="32"/>
        <v>1.161</v>
      </c>
      <c r="K97" s="20">
        <f t="shared" si="32"/>
        <v>0.86499999999999999</v>
      </c>
      <c r="L97" s="20">
        <f t="shared" si="32"/>
        <v>0.71599999999999997</v>
      </c>
      <c r="M97" s="20">
        <f t="shared" si="32"/>
        <v>0.66900000000000004</v>
      </c>
      <c r="N97" s="20">
        <f t="shared" si="32"/>
        <v>0.58666666666666667</v>
      </c>
      <c r="O97" s="20">
        <f t="shared" si="32"/>
        <v>1E-3</v>
      </c>
      <c r="P97" s="20">
        <f t="shared" si="32"/>
        <v>5</v>
      </c>
    </row>
    <row r="98" spans="1:70" s="21" customFormat="1" ht="14.45">
      <c r="A98" s="101" t="s">
        <v>195</v>
      </c>
      <c r="B98" s="20">
        <f>Ability!$B$12</f>
        <v>0.82044791775586834</v>
      </c>
      <c r="C98" s="20">
        <f>Ability!$B$12</f>
        <v>0.82044791775586834</v>
      </c>
      <c r="D98" s="20">
        <f>Ability!$B$12</f>
        <v>0.82044791775586834</v>
      </c>
      <c r="E98" s="20">
        <f>Ability!$B$12</f>
        <v>0.82044791775586834</v>
      </c>
      <c r="F98" s="20">
        <f>Ability!$B$12</f>
        <v>0.82044791775586834</v>
      </c>
      <c r="G98" s="20">
        <f>Ability!$B$12</f>
        <v>0.82044791775586834</v>
      </c>
      <c r="H98" s="20">
        <f>Ability!$B$12</f>
        <v>0.82044791775586834</v>
      </c>
      <c r="I98" s="20">
        <f>Ability!$B$12</f>
        <v>0.82044791775586834</v>
      </c>
      <c r="J98" s="20">
        <f>Ability!$B$12</f>
        <v>0.82044791775586834</v>
      </c>
      <c r="K98" s="20">
        <f>Ability!$B$12</f>
        <v>0.82044791775586834</v>
      </c>
      <c r="L98" s="20">
        <f>Ability!$B$12</f>
        <v>0.82044791775586834</v>
      </c>
      <c r="M98" s="20">
        <f>Ability!$B$12</f>
        <v>0.82044791775586834</v>
      </c>
      <c r="N98" s="20">
        <f>Ability!$B$12</f>
        <v>0.82044791775586834</v>
      </c>
      <c r="O98" s="20">
        <f>Ability!$B$12</f>
        <v>0.82044791775586834</v>
      </c>
      <c r="P98" s="20">
        <f>Ability!$B$12</f>
        <v>0.82044791775586834</v>
      </c>
    </row>
    <row r="99" spans="1:70" ht="14.45">
      <c r="A99" s="3" t="s">
        <v>196</v>
      </c>
      <c r="B99" s="62">
        <v>0.04</v>
      </c>
      <c r="C99" s="62">
        <v>0.04</v>
      </c>
      <c r="D99" s="62">
        <v>0.04</v>
      </c>
      <c r="E99" s="62">
        <v>0.04</v>
      </c>
      <c r="F99" s="62">
        <v>0.04</v>
      </c>
      <c r="G99" s="62">
        <v>0.04</v>
      </c>
      <c r="H99" s="62">
        <v>0.04</v>
      </c>
      <c r="I99" s="62">
        <v>0.04</v>
      </c>
      <c r="J99" s="62">
        <v>0.04</v>
      </c>
      <c r="K99" s="62">
        <v>0.04</v>
      </c>
      <c r="L99" s="62">
        <v>0.04</v>
      </c>
      <c r="M99" s="62">
        <v>0.04</v>
      </c>
      <c r="N99" s="62">
        <v>0.04</v>
      </c>
      <c r="O99" s="62">
        <v>0.04</v>
      </c>
      <c r="P99" s="62">
        <v>0.04</v>
      </c>
    </row>
    <row r="100" spans="1:70" ht="14.45">
      <c r="A100" s="3" t="s">
        <v>197</v>
      </c>
      <c r="B100" s="2">
        <v>0.08</v>
      </c>
      <c r="C100" s="2">
        <v>0.08</v>
      </c>
      <c r="D100" s="2">
        <v>0.08</v>
      </c>
      <c r="E100" s="2">
        <v>0.08</v>
      </c>
      <c r="F100" s="2">
        <v>0.08</v>
      </c>
      <c r="G100" s="2">
        <v>0.08</v>
      </c>
      <c r="H100" s="2">
        <v>0.08</v>
      </c>
      <c r="I100" s="2">
        <v>0.08</v>
      </c>
      <c r="J100" s="2">
        <v>0.08</v>
      </c>
      <c r="K100" s="2">
        <v>0.08</v>
      </c>
      <c r="L100" s="2">
        <v>0.08</v>
      </c>
      <c r="M100" s="2">
        <v>0.08</v>
      </c>
      <c r="N100" s="2">
        <v>0.15</v>
      </c>
      <c r="O100" s="2">
        <v>0</v>
      </c>
      <c r="P100" s="2">
        <v>0.5</v>
      </c>
      <c r="Q100" s="82" t="s">
        <v>198</v>
      </c>
      <c r="R100" s="82" t="s">
        <v>199</v>
      </c>
    </row>
    <row r="101" spans="1:70" ht="14.45">
      <c r="A101" s="3" t="s">
        <v>200</v>
      </c>
      <c r="B101" s="2">
        <v>0.06</v>
      </c>
      <c r="C101" s="2">
        <v>0.06</v>
      </c>
      <c r="D101" s="2">
        <v>0.06</v>
      </c>
      <c r="E101" s="2">
        <v>0.06</v>
      </c>
      <c r="F101" s="2">
        <v>0.06</v>
      </c>
      <c r="G101" s="2">
        <v>0.06</v>
      </c>
      <c r="H101" s="2">
        <v>0.06</v>
      </c>
      <c r="I101" s="2">
        <v>0.06</v>
      </c>
      <c r="J101" s="2">
        <v>0.06</v>
      </c>
      <c r="K101" s="2">
        <v>0.06</v>
      </c>
      <c r="L101" s="2">
        <v>0.06</v>
      </c>
      <c r="M101" s="2">
        <v>0.06</v>
      </c>
      <c r="N101" s="2">
        <v>0.06</v>
      </c>
      <c r="O101" s="2">
        <v>0</v>
      </c>
      <c r="P101" s="2">
        <v>0.5</v>
      </c>
      <c r="Q101" s="82" t="s">
        <v>201</v>
      </c>
      <c r="R101" t="s">
        <v>202</v>
      </c>
    </row>
    <row r="102" spans="1:70" ht="14.45">
      <c r="A102" s="3" t="s">
        <v>203</v>
      </c>
      <c r="B102" s="55">
        <f>Slaughtering!$C$10</f>
        <v>0.25</v>
      </c>
      <c r="C102" s="55">
        <f>Slaughtering!$E$10</f>
        <v>0.34499999999999997</v>
      </c>
      <c r="D102" s="55">
        <f>Slaughtering!$G$10</f>
        <v>0.25</v>
      </c>
      <c r="E102" s="55">
        <f>Slaughtering!$I$10</f>
        <v>0.34499999999999997</v>
      </c>
      <c r="F102" s="55">
        <f>Slaughtering!$K$10</f>
        <v>0.34499999999999997</v>
      </c>
      <c r="G102" s="55">
        <f>Slaughtering!$M$10</f>
        <v>0.34499999999999997</v>
      </c>
      <c r="H102" s="55">
        <f>Slaughtering!$O$10</f>
        <v>0.34499999999999997</v>
      </c>
      <c r="I102" s="55">
        <f>Slaughtering!$Q$10</f>
        <v>0.25</v>
      </c>
      <c r="J102" s="55">
        <f>Slaughtering!$S$10</f>
        <v>0.34499999999999997</v>
      </c>
      <c r="K102" s="55">
        <f>Slaughtering!$U$10</f>
        <v>0.34499999999999997</v>
      </c>
      <c r="L102" s="55">
        <f>Slaughtering!$W$10</f>
        <v>0.25</v>
      </c>
      <c r="M102" s="55">
        <f>Slaughtering!$Y$10</f>
        <v>0.34499999999999997</v>
      </c>
      <c r="N102" s="55">
        <f>Slaughtering!$AA$10</f>
        <v>0.16666666666666666</v>
      </c>
      <c r="O102" s="20">
        <v>1E-3</v>
      </c>
      <c r="P102" s="55">
        <v>1</v>
      </c>
    </row>
    <row r="103" spans="1:70" ht="14.45">
      <c r="A103" s="148" t="s">
        <v>204</v>
      </c>
      <c r="B103" s="143">
        <v>0.12</v>
      </c>
      <c r="C103" s="143">
        <v>0.11600000000000001</v>
      </c>
      <c r="D103" s="143">
        <v>0.19600000000000001</v>
      </c>
      <c r="E103" s="143">
        <v>4.4999999999999998E-2</v>
      </c>
      <c r="F103" s="143">
        <v>0.245</v>
      </c>
      <c r="G103" s="143">
        <v>1.7999999999999999E-2</v>
      </c>
      <c r="H103" s="143">
        <v>4.4999999999999998E-2</v>
      </c>
      <c r="I103" s="143">
        <v>4.4999999999999998E-2</v>
      </c>
      <c r="J103" s="143">
        <v>0.26800000000000002</v>
      </c>
      <c r="K103" s="143">
        <v>0.12</v>
      </c>
      <c r="L103" s="143">
        <v>9.2999999999999999E-2</v>
      </c>
      <c r="M103" s="175">
        <v>2.1999999999999999E-2</v>
      </c>
      <c r="N103" s="175">
        <v>0</v>
      </c>
      <c r="O103" s="85">
        <v>0</v>
      </c>
      <c r="P103" s="85">
        <v>1</v>
      </c>
    </row>
    <row r="104" spans="1:70" ht="14.45">
      <c r="A104" s="2" t="s">
        <v>205</v>
      </c>
      <c r="B104" s="20">
        <f>B107*B106*B105*100</f>
        <v>0.47900702315555244</v>
      </c>
      <c r="C104" s="20">
        <f t="shared" ref="C104:P104" si="33">C107*C106*C105*100</f>
        <v>0.48086363952437239</v>
      </c>
      <c r="D104" s="20">
        <f t="shared" si="33"/>
        <v>0.4542521382379528</v>
      </c>
      <c r="E104" s="20">
        <f t="shared" si="33"/>
        <v>0.50685626868785194</v>
      </c>
      <c r="F104" s="20">
        <f t="shared" si="33"/>
        <v>195.41329333346576</v>
      </c>
      <c r="G104" s="20">
        <f t="shared" si="33"/>
        <v>0.50190529170433207</v>
      </c>
      <c r="H104" s="20">
        <f t="shared" si="33"/>
        <v>0.52418468813017172</v>
      </c>
      <c r="I104" s="20">
        <f t="shared" si="33"/>
        <v>0.49014672136847226</v>
      </c>
      <c r="J104" s="20">
        <f t="shared" si="33"/>
        <v>0.67766497461928932</v>
      </c>
      <c r="K104" s="20">
        <f t="shared" si="33"/>
        <v>0.48581461650789226</v>
      </c>
      <c r="L104" s="20">
        <f t="shared" si="33"/>
        <v>0.50499965231903199</v>
      </c>
      <c r="M104" s="20">
        <f t="shared" si="33"/>
        <v>0</v>
      </c>
      <c r="N104" s="20">
        <f t="shared" si="33"/>
        <v>0</v>
      </c>
      <c r="O104" s="20">
        <f t="shared" si="33"/>
        <v>6.1887212293999024E-4</v>
      </c>
      <c r="P104" s="20">
        <f t="shared" si="33"/>
        <v>3.0943606146999514</v>
      </c>
    </row>
    <row r="105" spans="1:70" ht="14.45">
      <c r="A105" s="101" t="s">
        <v>206</v>
      </c>
      <c r="B105" s="20">
        <f>(2*(B108+B109+B111))+B110</f>
        <v>0.77400000000000002</v>
      </c>
      <c r="C105" s="20">
        <f t="shared" ref="C105:P105" si="34">(2*(C108+C109+C111))+C110</f>
        <v>0.77699999999999991</v>
      </c>
      <c r="D105" s="20">
        <f t="shared" si="34"/>
        <v>0.73399999999999999</v>
      </c>
      <c r="E105" s="20">
        <f t="shared" si="34"/>
        <v>0.81899999999999995</v>
      </c>
      <c r="F105" s="20">
        <f t="shared" si="34"/>
        <v>0.96099999999999997</v>
      </c>
      <c r="G105" s="20">
        <f t="shared" si="34"/>
        <v>0.81099999999999994</v>
      </c>
      <c r="H105" s="20">
        <f t="shared" si="34"/>
        <v>0.84699999999999998</v>
      </c>
      <c r="I105" s="20">
        <f t="shared" si="34"/>
        <v>0.79200000000000004</v>
      </c>
      <c r="J105" s="20">
        <f t="shared" si="34"/>
        <v>1.095</v>
      </c>
      <c r="K105" s="20">
        <f t="shared" si="34"/>
        <v>0.78499999999999992</v>
      </c>
      <c r="L105" s="20">
        <f t="shared" si="34"/>
        <v>0.81599999999999995</v>
      </c>
      <c r="M105" s="20">
        <f t="shared" si="34"/>
        <v>0.71499999999999997</v>
      </c>
      <c r="N105" s="20">
        <f t="shared" si="34"/>
        <v>0.38666666666666666</v>
      </c>
      <c r="O105" s="20">
        <f t="shared" si="34"/>
        <v>1E-3</v>
      </c>
      <c r="P105" s="20">
        <f t="shared" si="34"/>
        <v>5</v>
      </c>
    </row>
    <row r="106" spans="1:70" ht="14.45">
      <c r="A106" s="3" t="s">
        <v>207</v>
      </c>
      <c r="B106" s="101">
        <f>B38</f>
        <v>0.88410303277141455</v>
      </c>
      <c r="C106" s="101">
        <f t="shared" ref="C106:P106" si="35">C38</f>
        <v>0.88410303277141455</v>
      </c>
      <c r="D106" s="101">
        <f t="shared" si="35"/>
        <v>0.88410303277141455</v>
      </c>
      <c r="E106" s="101">
        <f t="shared" si="35"/>
        <v>0.88410303277141455</v>
      </c>
      <c r="F106" s="101">
        <f t="shared" si="35"/>
        <v>0.88410303277141455</v>
      </c>
      <c r="G106" s="101">
        <f t="shared" si="35"/>
        <v>0.88410303277141455</v>
      </c>
      <c r="H106" s="101">
        <f t="shared" si="35"/>
        <v>0.88410303277141455</v>
      </c>
      <c r="I106" s="101">
        <f t="shared" si="35"/>
        <v>0.88410303277141455</v>
      </c>
      <c r="J106" s="101">
        <f t="shared" si="35"/>
        <v>0.88410303277141455</v>
      </c>
      <c r="K106" s="101">
        <f t="shared" si="35"/>
        <v>0.88410303277141455</v>
      </c>
      <c r="L106" s="101">
        <f t="shared" si="35"/>
        <v>0.88410303277141455</v>
      </c>
      <c r="M106" s="101">
        <f t="shared" si="35"/>
        <v>0</v>
      </c>
      <c r="N106" s="101">
        <f t="shared" si="35"/>
        <v>0</v>
      </c>
      <c r="O106" s="101">
        <f t="shared" si="35"/>
        <v>0.88410303277141455</v>
      </c>
      <c r="P106" s="101">
        <f t="shared" si="35"/>
        <v>0.88410303277141455</v>
      </c>
      <c r="Q106" s="2" t="s">
        <v>31</v>
      </c>
      <c r="S106" s="1"/>
    </row>
    <row r="107" spans="1:70" ht="14.45">
      <c r="A107" s="3" t="s">
        <v>208</v>
      </c>
      <c r="B107" s="62">
        <v>7.0000000000000001E-3</v>
      </c>
      <c r="C107" s="62">
        <v>7.0000000000000001E-3</v>
      </c>
      <c r="D107" s="62">
        <v>7.0000000000000001E-3</v>
      </c>
      <c r="E107" s="62">
        <v>7.0000000000000001E-3</v>
      </c>
      <c r="F107" s="62" t="s">
        <v>209</v>
      </c>
      <c r="G107" s="62">
        <v>7.0000000000000001E-3</v>
      </c>
      <c r="H107" s="62">
        <v>7.0000000000000001E-3</v>
      </c>
      <c r="I107" s="62">
        <v>7.0000000000000001E-3</v>
      </c>
      <c r="J107" s="62">
        <v>7.0000000000000001E-3</v>
      </c>
      <c r="K107" s="62">
        <v>7.0000000000000001E-3</v>
      </c>
      <c r="L107" s="62">
        <v>7.0000000000000001E-3</v>
      </c>
      <c r="M107" s="62">
        <v>7.0000000000000001E-3</v>
      </c>
      <c r="N107" s="62">
        <v>7.0000000000000001E-3</v>
      </c>
      <c r="O107" s="62">
        <v>7.0000000000000001E-3</v>
      </c>
      <c r="P107" s="62">
        <v>7.0000000000000001E-3</v>
      </c>
    </row>
    <row r="108" spans="1:70" ht="14.45">
      <c r="A108" s="3" t="s">
        <v>210</v>
      </c>
      <c r="B108" s="213">
        <v>0.06</v>
      </c>
      <c r="C108" s="213">
        <v>0.06</v>
      </c>
      <c r="D108" s="213">
        <v>0.06</v>
      </c>
      <c r="E108" s="213">
        <v>0.06</v>
      </c>
      <c r="F108" s="213">
        <v>0.06</v>
      </c>
      <c r="G108" s="213">
        <v>0.06</v>
      </c>
      <c r="H108" s="213">
        <v>0.06</v>
      </c>
      <c r="I108" s="213">
        <v>0.06</v>
      </c>
      <c r="J108" s="213">
        <v>0.06</v>
      </c>
      <c r="K108" s="213">
        <v>0.06</v>
      </c>
      <c r="L108" s="213">
        <v>0.06</v>
      </c>
      <c r="M108" s="213">
        <v>0.06</v>
      </c>
      <c r="N108" s="213">
        <v>0.06</v>
      </c>
      <c r="O108" s="213">
        <v>0</v>
      </c>
      <c r="P108" s="213">
        <v>0.5</v>
      </c>
      <c r="Q108" s="226" t="s">
        <v>211</v>
      </c>
      <c r="R108" t="s">
        <v>212</v>
      </c>
    </row>
    <row r="109" spans="1:70" ht="14.45">
      <c r="A109" s="3" t="s">
        <v>213</v>
      </c>
      <c r="B109" s="2">
        <v>0.05</v>
      </c>
      <c r="C109" s="2">
        <v>0.05</v>
      </c>
      <c r="D109" s="2">
        <v>0.05</v>
      </c>
      <c r="E109" s="2">
        <v>0.05</v>
      </c>
      <c r="F109" s="2">
        <v>0.05</v>
      </c>
      <c r="G109" s="2">
        <v>0.05</v>
      </c>
      <c r="H109" s="2">
        <v>0.05</v>
      </c>
      <c r="I109" s="2">
        <v>0.05</v>
      </c>
      <c r="J109" s="2">
        <v>0.05</v>
      </c>
      <c r="K109" s="2">
        <v>0.05</v>
      </c>
      <c r="L109" s="2">
        <v>0.05</v>
      </c>
      <c r="M109" s="2">
        <v>0.05</v>
      </c>
      <c r="N109" s="2">
        <v>0.05</v>
      </c>
      <c r="O109" s="2">
        <v>0</v>
      </c>
      <c r="P109" s="2">
        <v>0.5</v>
      </c>
      <c r="Q109" s="82" t="s">
        <v>214</v>
      </c>
      <c r="R109" t="s">
        <v>215</v>
      </c>
    </row>
    <row r="110" spans="1:70" ht="14.45">
      <c r="A110" s="3" t="s">
        <v>216</v>
      </c>
      <c r="B110" s="55">
        <f>Slaughtering!$C$10</f>
        <v>0.25</v>
      </c>
      <c r="C110" s="55">
        <f>Slaughtering!$E$10</f>
        <v>0.34499999999999997</v>
      </c>
      <c r="D110" s="55">
        <f>Slaughtering!$G$10</f>
        <v>0.25</v>
      </c>
      <c r="E110" s="55">
        <f>Slaughtering!$I$10</f>
        <v>0.34499999999999997</v>
      </c>
      <c r="F110" s="55">
        <f>Slaughtering!$K$10</f>
        <v>0.34499999999999997</v>
      </c>
      <c r="G110" s="55">
        <f>Slaughtering!$M$10</f>
        <v>0.34499999999999997</v>
      </c>
      <c r="H110" s="55">
        <f>Slaughtering!$O$10</f>
        <v>0.34499999999999997</v>
      </c>
      <c r="I110" s="55">
        <f>Slaughtering!$Q$10</f>
        <v>0.25</v>
      </c>
      <c r="J110" s="55">
        <f>Slaughtering!$S$10</f>
        <v>0.34499999999999997</v>
      </c>
      <c r="K110" s="55">
        <f>Slaughtering!$U$10</f>
        <v>0.34499999999999997</v>
      </c>
      <c r="L110" s="55">
        <f>Slaughtering!$W$10</f>
        <v>0.25</v>
      </c>
      <c r="M110" s="55">
        <f>Slaughtering!$Y$10</f>
        <v>0.34499999999999997</v>
      </c>
      <c r="N110" s="55">
        <f>Slaughtering!$AA$10</f>
        <v>0.16666666666666666</v>
      </c>
      <c r="O110" s="20">
        <v>1E-3</v>
      </c>
      <c r="P110" s="55">
        <v>1</v>
      </c>
    </row>
    <row r="111" spans="1:70" ht="14.45">
      <c r="A111" s="148" t="s">
        <v>217</v>
      </c>
      <c r="B111" s="143">
        <v>0.152</v>
      </c>
      <c r="C111" s="143">
        <v>0.106</v>
      </c>
      <c r="D111" s="143">
        <v>0.13200000000000001</v>
      </c>
      <c r="E111" s="143">
        <v>0.127</v>
      </c>
      <c r="F111" s="143">
        <v>0.19800000000000001</v>
      </c>
      <c r="G111" s="143">
        <v>0.123</v>
      </c>
      <c r="H111" s="143">
        <v>0.14099999999999999</v>
      </c>
      <c r="I111" s="143">
        <v>0.161</v>
      </c>
      <c r="J111" s="143">
        <v>0.26500000000000001</v>
      </c>
      <c r="K111" s="143">
        <v>0.11</v>
      </c>
      <c r="L111" s="143">
        <v>0.17299999999999999</v>
      </c>
      <c r="M111" s="175">
        <v>7.4999999999999997E-2</v>
      </c>
      <c r="N111" s="175">
        <v>0</v>
      </c>
      <c r="O111" s="85">
        <v>0</v>
      </c>
      <c r="P111" s="85">
        <v>1</v>
      </c>
      <c r="Q111" t="s">
        <v>218</v>
      </c>
    </row>
    <row r="112" spans="1:70" s="7" customFormat="1" ht="14.45">
      <c r="A112" s="36" t="s">
        <v>219</v>
      </c>
      <c r="B112" s="204">
        <f>B115*B114*B113*100</f>
        <v>72.094906314879751</v>
      </c>
      <c r="C112" s="205">
        <f t="shared" ref="C112:P112" si="36">C115*C114*C113*100</f>
        <v>72.655755424485335</v>
      </c>
      <c r="D112" s="204">
        <f t="shared" si="36"/>
        <v>72.094906314879751</v>
      </c>
      <c r="E112" s="204">
        <f t="shared" si="36"/>
        <v>72.655755424485335</v>
      </c>
      <c r="F112" s="205">
        <f t="shared" si="36"/>
        <v>72.655755424485335</v>
      </c>
      <c r="G112" s="204">
        <f t="shared" si="36"/>
        <v>72.655755424485335</v>
      </c>
      <c r="H112" s="205">
        <f t="shared" si="36"/>
        <v>69.058707221892462</v>
      </c>
      <c r="I112" s="204">
        <f t="shared" si="36"/>
        <v>72.094906314879751</v>
      </c>
      <c r="J112" s="204">
        <f t="shared" si="36"/>
        <v>72.655755424485335</v>
      </c>
      <c r="K112" s="205">
        <f t="shared" si="36"/>
        <v>72.864617629991272</v>
      </c>
      <c r="L112" s="204">
        <f t="shared" si="36"/>
        <v>46.132751686252696</v>
      </c>
      <c r="M112" s="204"/>
      <c r="N112" s="204"/>
      <c r="O112" s="109">
        <f t="shared" si="36"/>
        <v>4.9927220439667408E-2</v>
      </c>
      <c r="P112" s="218">
        <f t="shared" si="36"/>
        <v>249.63610219833706</v>
      </c>
      <c r="Q112" s="83" t="s">
        <v>220</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row>
    <row r="113" spans="1:70" s="21" customFormat="1" ht="14.45">
      <c r="A113" s="101" t="s">
        <v>221</v>
      </c>
      <c r="B113" s="24">
        <f>(2*(B116+B117+B119))+B118</f>
        <v>1.444</v>
      </c>
      <c r="C113" s="101">
        <f t="shared" ref="C113:P113" si="37">(2*(C116+C117+C119))+C118</f>
        <v>1.4552333333333332</v>
      </c>
      <c r="D113" s="24">
        <f t="shared" si="37"/>
        <v>1.444</v>
      </c>
      <c r="E113" s="24">
        <f t="shared" si="37"/>
        <v>1.4552333333333332</v>
      </c>
      <c r="F113" s="101">
        <f t="shared" si="37"/>
        <v>1.4552333333333332</v>
      </c>
      <c r="G113" s="24">
        <f t="shared" si="37"/>
        <v>1.4552333333333332</v>
      </c>
      <c r="H113" s="101">
        <f t="shared" si="37"/>
        <v>1.3831875</v>
      </c>
      <c r="I113" s="24">
        <f t="shared" si="37"/>
        <v>1.444</v>
      </c>
      <c r="J113" s="24">
        <f t="shared" si="37"/>
        <v>1.4552333333333332</v>
      </c>
      <c r="K113" s="101">
        <f t="shared" si="37"/>
        <v>1.4594166666666666</v>
      </c>
      <c r="L113" s="24">
        <f t="shared" si="37"/>
        <v>0.92400000000000004</v>
      </c>
      <c r="M113" s="24"/>
      <c r="N113" s="24"/>
      <c r="O113" s="101">
        <f t="shared" si="37"/>
        <v>1E-3</v>
      </c>
      <c r="P113" s="101">
        <f t="shared" si="37"/>
        <v>5</v>
      </c>
    </row>
    <row r="114" spans="1:70" ht="14.45">
      <c r="A114" s="3" t="s">
        <v>222</v>
      </c>
      <c r="B114" s="24">
        <f>Ability!$B$14</f>
        <v>0.67196797361598137</v>
      </c>
      <c r="C114" s="101">
        <f>Ability!$B$14</f>
        <v>0.67196797361598137</v>
      </c>
      <c r="D114" s="24">
        <f>Ability!$B$14</f>
        <v>0.67196797361598137</v>
      </c>
      <c r="E114" s="24">
        <f>Ability!$B$14</f>
        <v>0.67196797361598137</v>
      </c>
      <c r="F114" s="101">
        <f>Ability!$B$14</f>
        <v>0.67196797361598137</v>
      </c>
      <c r="G114" s="24">
        <f>Ability!$B$14</f>
        <v>0.67196797361598137</v>
      </c>
      <c r="H114" s="101">
        <f>Ability!$B$14</f>
        <v>0.67196797361598137</v>
      </c>
      <c r="I114" s="24">
        <f>Ability!$B$14</f>
        <v>0.67196797361598137</v>
      </c>
      <c r="J114" s="24">
        <f>Ability!$B$14</f>
        <v>0.67196797361598137</v>
      </c>
      <c r="K114" s="101">
        <f>Ability!$B$14</f>
        <v>0.67196797361598137</v>
      </c>
      <c r="L114" s="24">
        <f>Ability!$B$14</f>
        <v>0.67196797361598137</v>
      </c>
      <c r="M114" s="24"/>
      <c r="N114" s="24"/>
      <c r="O114" s="101">
        <f>Ability!$B$14</f>
        <v>0.67196797361598137</v>
      </c>
      <c r="P114" s="101">
        <f>Ability!$B$14</f>
        <v>0.67196797361598137</v>
      </c>
    </row>
    <row r="115" spans="1:70" ht="14.45">
      <c r="A115" s="3" t="s">
        <v>223</v>
      </c>
      <c r="B115" s="104">
        <v>0.74299999999999999</v>
      </c>
      <c r="C115" s="104">
        <v>0.74299999999999999</v>
      </c>
      <c r="D115" s="104">
        <v>0.74299999999999999</v>
      </c>
      <c r="E115" s="104">
        <v>0.74299999999999999</v>
      </c>
      <c r="F115" s="104">
        <v>0.74299999999999999</v>
      </c>
      <c r="G115" s="104">
        <v>0.74299999999999999</v>
      </c>
      <c r="H115" s="104">
        <v>0.74299999999999999</v>
      </c>
      <c r="I115" s="104">
        <v>0.74299999999999999</v>
      </c>
      <c r="J115" s="104">
        <v>0.74299999999999999</v>
      </c>
      <c r="K115" s="104">
        <v>0.74299999999999999</v>
      </c>
      <c r="L115" s="104">
        <v>0.74299999999999999</v>
      </c>
      <c r="M115" s="104"/>
      <c r="N115" s="104"/>
      <c r="O115" s="102">
        <v>0.74299999999999999</v>
      </c>
      <c r="P115" s="102">
        <v>0.74299999999999999</v>
      </c>
      <c r="Q115" s="82" t="s">
        <v>224</v>
      </c>
      <c r="S115" t="s">
        <v>225</v>
      </c>
    </row>
    <row r="116" spans="1:70" ht="15" customHeight="1">
      <c r="A116" s="3" t="s">
        <v>226</v>
      </c>
      <c r="B116" s="25">
        <v>0.15</v>
      </c>
      <c r="C116" s="3">
        <v>0.15</v>
      </c>
      <c r="D116" s="25">
        <v>0.15</v>
      </c>
      <c r="E116" s="25">
        <v>0.15</v>
      </c>
      <c r="F116" s="3">
        <v>0.15</v>
      </c>
      <c r="G116" s="25">
        <v>0.15</v>
      </c>
      <c r="H116" s="3">
        <v>0.15</v>
      </c>
      <c r="I116" s="25">
        <v>0.15</v>
      </c>
      <c r="J116" s="25">
        <v>0.15</v>
      </c>
      <c r="K116" s="3">
        <v>0.15</v>
      </c>
      <c r="L116" s="25">
        <v>0.15</v>
      </c>
      <c r="M116" s="25"/>
      <c r="N116" s="25"/>
      <c r="O116" s="3">
        <v>0</v>
      </c>
      <c r="P116" s="3">
        <v>0.5</v>
      </c>
      <c r="Q116" s="110" t="s">
        <v>227</v>
      </c>
      <c r="R116" s="82" t="s">
        <v>228</v>
      </c>
    </row>
    <row r="117" spans="1:70" ht="14.45">
      <c r="A117" s="3" t="s">
        <v>229</v>
      </c>
      <c r="B117" s="25">
        <v>0.11</v>
      </c>
      <c r="C117" s="3">
        <v>0.11</v>
      </c>
      <c r="D117" s="25">
        <v>0.11</v>
      </c>
      <c r="E117" s="25">
        <v>0.11</v>
      </c>
      <c r="F117" s="3">
        <v>0.11</v>
      </c>
      <c r="G117" s="25">
        <v>0.11</v>
      </c>
      <c r="H117" s="3">
        <v>0.11</v>
      </c>
      <c r="I117" s="25">
        <v>0.11</v>
      </c>
      <c r="J117" s="25">
        <v>0.11</v>
      </c>
      <c r="K117" s="3">
        <v>0.11</v>
      </c>
      <c r="L117" s="25">
        <v>0.11</v>
      </c>
      <c r="M117" s="25"/>
      <c r="N117" s="25"/>
      <c r="O117" s="3">
        <v>0</v>
      </c>
      <c r="P117" s="3">
        <v>0.5</v>
      </c>
      <c r="Q117" s="82" t="s">
        <v>230</v>
      </c>
    </row>
    <row r="118" spans="1:70" ht="14.45">
      <c r="A118" s="3" t="s">
        <v>231</v>
      </c>
      <c r="B118" s="25">
        <f>Slaughtering!C11</f>
        <v>0.25</v>
      </c>
      <c r="C118" s="202">
        <f>Slaughtering!E11</f>
        <v>0.26123333333333332</v>
      </c>
      <c r="D118" s="203">
        <f>Slaughtering!G11</f>
        <v>0.25</v>
      </c>
      <c r="E118" s="203">
        <f>Slaughtering!I11</f>
        <v>0.26123333333333332</v>
      </c>
      <c r="F118" s="202">
        <f>Slaughtering!K11</f>
        <v>0.26123333333333332</v>
      </c>
      <c r="G118" s="203">
        <f>Slaughtering!M11</f>
        <v>0.26123333333333332</v>
      </c>
      <c r="H118" s="202">
        <f>Slaughtering!O11</f>
        <v>0.25718750000000001</v>
      </c>
      <c r="I118" s="203">
        <f>Slaughtering!Q11</f>
        <v>0.25</v>
      </c>
      <c r="J118" s="203">
        <f>Slaughtering!S11</f>
        <v>0.26123333333333332</v>
      </c>
      <c r="K118" s="202">
        <f>Slaughtering!U11</f>
        <v>0.26541666666666669</v>
      </c>
      <c r="L118" s="25">
        <f>Slaughtering!W11</f>
        <v>0.25</v>
      </c>
      <c r="M118" s="25"/>
      <c r="N118" s="25"/>
      <c r="O118" s="3">
        <v>1E-3</v>
      </c>
      <c r="P118" s="3">
        <v>1</v>
      </c>
      <c r="Q118" s="83" t="s">
        <v>232</v>
      </c>
      <c r="R118" s="83" t="s">
        <v>233</v>
      </c>
      <c r="S118" s="1"/>
    </row>
    <row r="119" spans="1:70" ht="14.45">
      <c r="A119" s="148" t="s">
        <v>234</v>
      </c>
      <c r="B119" s="150">
        <v>0.33700000000000002</v>
      </c>
      <c r="C119" s="151">
        <v>0.33700000000000002</v>
      </c>
      <c r="D119" s="150">
        <v>0.33700000000000002</v>
      </c>
      <c r="E119" s="150">
        <v>0.33700000000000002</v>
      </c>
      <c r="F119" s="151">
        <v>0.33700000000000002</v>
      </c>
      <c r="G119" s="150">
        <v>0.33700000000000002</v>
      </c>
      <c r="H119" s="151">
        <v>0.30299999999999999</v>
      </c>
      <c r="I119" s="150">
        <v>0.33700000000000002</v>
      </c>
      <c r="J119" s="150">
        <v>0.33700000000000002</v>
      </c>
      <c r="K119" s="151">
        <v>0.33700000000000002</v>
      </c>
      <c r="L119" s="150">
        <v>7.6999999999999999E-2</v>
      </c>
      <c r="M119" s="174"/>
      <c r="N119" s="174"/>
      <c r="O119" s="83">
        <v>0</v>
      </c>
      <c r="P119" s="83">
        <v>1</v>
      </c>
    </row>
    <row r="120" spans="1:70" s="7" customFormat="1" ht="14.45">
      <c r="A120" s="64" t="s">
        <v>235</v>
      </c>
      <c r="B120" s="65">
        <f>B123*B122*B121*100</f>
        <v>10.939088941579248</v>
      </c>
      <c r="C120" s="65">
        <f t="shared" ref="C120:P120" si="38">C123*C122*C121*100</f>
        <v>10.939088941579248</v>
      </c>
      <c r="D120" s="65">
        <f t="shared" si="38"/>
        <v>10.939088941579248</v>
      </c>
      <c r="E120" s="65">
        <f t="shared" si="38"/>
        <v>10.939088941579248</v>
      </c>
      <c r="F120" s="65">
        <f t="shared" si="38"/>
        <v>10.939088941579248</v>
      </c>
      <c r="G120" s="65">
        <f t="shared" si="38"/>
        <v>10.939088941579248</v>
      </c>
      <c r="H120" s="65">
        <f t="shared" si="38"/>
        <v>10.939088941579248</v>
      </c>
      <c r="I120" s="65">
        <f t="shared" si="38"/>
        <v>10.939088941579248</v>
      </c>
      <c r="J120" s="65">
        <f t="shared" si="38"/>
        <v>10.939088941579248</v>
      </c>
      <c r="K120" s="65">
        <f t="shared" si="38"/>
        <v>10.939088941579248</v>
      </c>
      <c r="L120" s="65">
        <f t="shared" si="38"/>
        <v>10.939088941579248</v>
      </c>
      <c r="M120" s="65"/>
      <c r="N120" s="65"/>
      <c r="O120" s="65">
        <f t="shared" si="38"/>
        <v>1.2426076041172946E-2</v>
      </c>
      <c r="P120" s="65">
        <f t="shared" si="38"/>
        <v>62.130380205864725</v>
      </c>
      <c r="Q120" s="83" t="s">
        <v>236</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row>
    <row r="121" spans="1:70" s="21" customFormat="1" ht="14.45">
      <c r="A121" s="101" t="s">
        <v>237</v>
      </c>
      <c r="B121" s="20">
        <f>(2*(B124+B125+B127))+B126</f>
        <v>0.8803333333333333</v>
      </c>
      <c r="C121" s="20">
        <f t="shared" ref="C121:P121" si="39">(2*(C124+C125+C127))+C126</f>
        <v>0.8803333333333333</v>
      </c>
      <c r="D121" s="20">
        <f t="shared" si="39"/>
        <v>0.8803333333333333</v>
      </c>
      <c r="E121" s="20">
        <f t="shared" si="39"/>
        <v>0.8803333333333333</v>
      </c>
      <c r="F121" s="20">
        <f t="shared" si="39"/>
        <v>0.8803333333333333</v>
      </c>
      <c r="G121" s="20">
        <f t="shared" si="39"/>
        <v>0.8803333333333333</v>
      </c>
      <c r="H121" s="20">
        <f t="shared" si="39"/>
        <v>0.8803333333333333</v>
      </c>
      <c r="I121" s="20">
        <f t="shared" si="39"/>
        <v>0.8803333333333333</v>
      </c>
      <c r="J121" s="20">
        <f t="shared" si="39"/>
        <v>0.8803333333333333</v>
      </c>
      <c r="K121" s="20">
        <f t="shared" si="39"/>
        <v>0.8803333333333333</v>
      </c>
      <c r="L121" s="20">
        <f t="shared" si="39"/>
        <v>0.8803333333333333</v>
      </c>
      <c r="M121" s="20"/>
      <c r="N121" s="20"/>
      <c r="O121" s="20">
        <f t="shared" si="39"/>
        <v>1E-3</v>
      </c>
      <c r="P121" s="20">
        <f t="shared" si="39"/>
        <v>5</v>
      </c>
    </row>
    <row r="122" spans="1:70" ht="14.45">
      <c r="A122" s="3" t="s">
        <v>238</v>
      </c>
      <c r="B122" s="20">
        <f>Ability!$B$15</f>
        <v>0.30307199464420814</v>
      </c>
      <c r="C122" s="20">
        <f>Ability!$B$15</f>
        <v>0.30307199464420814</v>
      </c>
      <c r="D122" s="20">
        <f>Ability!$B$15</f>
        <v>0.30307199464420814</v>
      </c>
      <c r="E122" s="20">
        <f>Ability!$B$15</f>
        <v>0.30307199464420814</v>
      </c>
      <c r="F122" s="20">
        <f>Ability!$B$15</f>
        <v>0.30307199464420814</v>
      </c>
      <c r="G122" s="20">
        <f>Ability!$B$15</f>
        <v>0.30307199464420814</v>
      </c>
      <c r="H122" s="20">
        <f>Ability!$B$15</f>
        <v>0.30307199464420814</v>
      </c>
      <c r="I122" s="20">
        <f>Ability!$B$15</f>
        <v>0.30307199464420814</v>
      </c>
      <c r="J122" s="20">
        <f>Ability!$B$15</f>
        <v>0.30307199464420814</v>
      </c>
      <c r="K122" s="20">
        <f>Ability!$B$15</f>
        <v>0.30307199464420814</v>
      </c>
      <c r="L122" s="20">
        <f>Ability!$B$15</f>
        <v>0.30307199464420814</v>
      </c>
      <c r="M122" s="20"/>
      <c r="N122" s="20"/>
      <c r="O122" s="20">
        <f>Ability!$B$15</f>
        <v>0.30307199464420814</v>
      </c>
      <c r="P122" s="20">
        <f>Ability!$B$15</f>
        <v>0.30307199464420814</v>
      </c>
    </row>
    <row r="123" spans="1:70" ht="14.45">
      <c r="A123" s="3" t="s">
        <v>239</v>
      </c>
      <c r="B123" s="225">
        <v>0.41000410004100041</v>
      </c>
      <c r="C123" s="225">
        <v>0.41000410004100041</v>
      </c>
      <c r="D123" s="225">
        <v>0.41000410004100041</v>
      </c>
      <c r="E123" s="225">
        <v>0.41000410004100041</v>
      </c>
      <c r="F123" s="225">
        <v>0.41000410004100041</v>
      </c>
      <c r="G123" s="225">
        <v>0.41000410004100041</v>
      </c>
      <c r="H123" s="225">
        <v>0.41000410004100041</v>
      </c>
      <c r="I123" s="225">
        <v>0.41000410004100041</v>
      </c>
      <c r="J123" s="225">
        <v>0.41000410004100041</v>
      </c>
      <c r="K123" s="225">
        <v>0.41000410004100041</v>
      </c>
      <c r="L123" s="225">
        <v>0.41000410004100041</v>
      </c>
      <c r="M123" s="26"/>
      <c r="N123" s="26"/>
      <c r="O123" s="225">
        <v>0.41000410004100041</v>
      </c>
      <c r="P123" s="225">
        <v>0.41000410004100041</v>
      </c>
      <c r="Q123" t="s">
        <v>240</v>
      </c>
    </row>
    <row r="124" spans="1:70" ht="14.45">
      <c r="A124" s="3" t="s">
        <v>241</v>
      </c>
      <c r="B124" s="84">
        <v>0.161</v>
      </c>
      <c r="C124" s="84">
        <v>0.161</v>
      </c>
      <c r="D124" s="84">
        <v>0.161</v>
      </c>
      <c r="E124" s="84">
        <v>0.161</v>
      </c>
      <c r="F124" s="84">
        <v>0.161</v>
      </c>
      <c r="G124" s="84">
        <v>0.161</v>
      </c>
      <c r="H124" s="84">
        <v>0.161</v>
      </c>
      <c r="I124" s="84">
        <v>0.161</v>
      </c>
      <c r="J124" s="84">
        <v>0.161</v>
      </c>
      <c r="K124" s="84">
        <v>0.161</v>
      </c>
      <c r="L124" s="84">
        <v>0.161</v>
      </c>
      <c r="M124" s="84"/>
      <c r="N124" s="84"/>
      <c r="O124" s="84">
        <v>0</v>
      </c>
      <c r="P124" s="84">
        <v>0.5</v>
      </c>
      <c r="Q124" s="82" t="s">
        <v>242</v>
      </c>
      <c r="R124" s="82" t="s">
        <v>243</v>
      </c>
    </row>
    <row r="125" spans="1:70" ht="14.45">
      <c r="A125" s="3" t="s">
        <v>244</v>
      </c>
      <c r="B125" s="107">
        <v>0.14499999999999999</v>
      </c>
      <c r="C125" s="107">
        <v>0.14499999999999999</v>
      </c>
      <c r="D125" s="107">
        <v>0.14499999999999999</v>
      </c>
      <c r="E125" s="107">
        <v>0.14499999999999999</v>
      </c>
      <c r="F125" s="107">
        <v>0.14499999999999999</v>
      </c>
      <c r="G125" s="107">
        <v>0.14499999999999999</v>
      </c>
      <c r="H125" s="107">
        <v>0.14499999999999999</v>
      </c>
      <c r="I125" s="107">
        <v>0.14499999999999999</v>
      </c>
      <c r="J125" s="107">
        <v>0.14499999999999999</v>
      </c>
      <c r="K125" s="107">
        <v>0.14499999999999999</v>
      </c>
      <c r="L125" s="107">
        <v>0.14499999999999999</v>
      </c>
      <c r="M125" s="107"/>
      <c r="N125" s="107"/>
      <c r="O125" s="107">
        <v>0</v>
      </c>
      <c r="P125" s="107">
        <v>0.5</v>
      </c>
      <c r="Q125" s="82" t="s">
        <v>245</v>
      </c>
      <c r="R125" s="82" t="s">
        <v>243</v>
      </c>
    </row>
    <row r="126" spans="1:70" ht="14.45">
      <c r="A126" s="3" t="s">
        <v>246</v>
      </c>
      <c r="B126" s="54">
        <f>Slaughtering!C12</f>
        <v>0.20833333333333334</v>
      </c>
      <c r="C126" s="54">
        <f>Slaughtering!E12</f>
        <v>0.20833333333333334</v>
      </c>
      <c r="D126" s="54">
        <f>Slaughtering!E12</f>
        <v>0.20833333333333334</v>
      </c>
      <c r="E126" s="54">
        <f>Slaughtering!I12</f>
        <v>0.20833333333333334</v>
      </c>
      <c r="F126" s="54">
        <f>Slaughtering!K12</f>
        <v>0.20833333333333334</v>
      </c>
      <c r="G126" s="54">
        <f>Slaughtering!M12</f>
        <v>0.20833333333333334</v>
      </c>
      <c r="H126" s="54">
        <f>Slaughtering!O12</f>
        <v>0.20833333333333334</v>
      </c>
      <c r="I126" s="54">
        <f>Slaughtering!Q12</f>
        <v>0.20833333333333334</v>
      </c>
      <c r="J126" s="54">
        <f>Slaughtering!S12</f>
        <v>0.20833333333333334</v>
      </c>
      <c r="K126" s="54">
        <f>Slaughtering!U12</f>
        <v>0.20833333333333334</v>
      </c>
      <c r="L126" s="54">
        <f>Slaughtering!W12</f>
        <v>0.20833333333333334</v>
      </c>
      <c r="M126" s="54"/>
      <c r="N126" s="54"/>
      <c r="O126" s="54">
        <v>1E-3</v>
      </c>
      <c r="P126" s="54">
        <v>1</v>
      </c>
      <c r="Q126" s="212" t="s">
        <v>247</v>
      </c>
    </row>
    <row r="127" spans="1:70" ht="14.45">
      <c r="A127" s="148" t="s">
        <v>248</v>
      </c>
      <c r="B127" s="51">
        <v>0.03</v>
      </c>
      <c r="C127" s="51">
        <v>0.03</v>
      </c>
      <c r="D127" s="51">
        <v>0.03</v>
      </c>
      <c r="E127" s="51">
        <v>0.03</v>
      </c>
      <c r="F127" s="51">
        <v>0.03</v>
      </c>
      <c r="G127" s="51">
        <v>0.03</v>
      </c>
      <c r="H127" s="51">
        <v>0.03</v>
      </c>
      <c r="I127" s="51">
        <v>0.03</v>
      </c>
      <c r="J127" s="51">
        <v>0.03</v>
      </c>
      <c r="K127" s="51">
        <v>0.03</v>
      </c>
      <c r="L127" s="51">
        <v>0.03</v>
      </c>
      <c r="M127" s="38"/>
      <c r="N127" s="38"/>
      <c r="O127" s="38">
        <v>0</v>
      </c>
      <c r="P127" s="38">
        <v>1</v>
      </c>
    </row>
    <row r="128" spans="1:70" s="7" customFormat="1" ht="14.45">
      <c r="A128" s="66" t="s">
        <v>249</v>
      </c>
      <c r="B128" s="67">
        <f>B131*B130*B129*100</f>
        <v>1.8647868715666507</v>
      </c>
      <c r="C128" s="67">
        <f t="shared" ref="C128:P128" si="40">C131*C130*C129*100</f>
        <v>1.8647868715666507</v>
      </c>
      <c r="D128" s="67">
        <f t="shared" si="40"/>
        <v>1.8647868715666507</v>
      </c>
      <c r="E128" s="67">
        <f t="shared" si="40"/>
        <v>1.8647868715666507</v>
      </c>
      <c r="F128" s="67">
        <f t="shared" si="40"/>
        <v>1.8647868715666507</v>
      </c>
      <c r="G128" s="67">
        <f t="shared" si="40"/>
        <v>1.8647868715666507</v>
      </c>
      <c r="H128" s="67">
        <f t="shared" si="40"/>
        <v>1.8647868715666507</v>
      </c>
      <c r="I128" s="67">
        <f t="shared" si="40"/>
        <v>1.8647868715666507</v>
      </c>
      <c r="J128" s="67">
        <f t="shared" si="40"/>
        <v>1.8647868715666507</v>
      </c>
      <c r="K128" s="67">
        <f t="shared" si="40"/>
        <v>1.8647868715666507</v>
      </c>
      <c r="L128" s="67">
        <f t="shared" si="40"/>
        <v>1.8647868715666507</v>
      </c>
      <c r="M128" s="67"/>
      <c r="N128" s="67"/>
      <c r="O128" s="67">
        <f t="shared" si="40"/>
        <v>5.7541994894056647E-2</v>
      </c>
      <c r="P128" s="67">
        <f t="shared" si="40"/>
        <v>3.1967774941142579</v>
      </c>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row>
    <row r="129" spans="1:70" s="21" customFormat="1" ht="14.45">
      <c r="A129" s="101" t="s">
        <v>250</v>
      </c>
      <c r="B129" s="20">
        <f>(2*(B132+B133+B135))+B134</f>
        <v>0.14583333333333334</v>
      </c>
      <c r="C129" s="20">
        <f t="shared" ref="C129:P129" si="41">(2*(C132+C133+C135))+C134</f>
        <v>0.14583333333333334</v>
      </c>
      <c r="D129" s="20">
        <f t="shared" si="41"/>
        <v>0.14583333333333334</v>
      </c>
      <c r="E129" s="20">
        <f t="shared" si="41"/>
        <v>0.14583333333333334</v>
      </c>
      <c r="F129" s="20">
        <f t="shared" si="41"/>
        <v>0.14583333333333334</v>
      </c>
      <c r="G129" s="20">
        <f t="shared" si="41"/>
        <v>0.14583333333333334</v>
      </c>
      <c r="H129" s="20">
        <f t="shared" si="41"/>
        <v>0.14583333333333334</v>
      </c>
      <c r="I129" s="20">
        <f t="shared" si="41"/>
        <v>0.14583333333333334</v>
      </c>
      <c r="J129" s="20">
        <f t="shared" si="41"/>
        <v>0.14583333333333334</v>
      </c>
      <c r="K129" s="20">
        <f t="shared" si="41"/>
        <v>0.14583333333333334</v>
      </c>
      <c r="L129" s="20">
        <f t="shared" si="41"/>
        <v>0.14583333333333334</v>
      </c>
      <c r="M129" s="20"/>
      <c r="N129" s="20"/>
      <c r="O129" s="20">
        <f t="shared" si="41"/>
        <v>1E-3</v>
      </c>
      <c r="P129" s="20">
        <f t="shared" si="41"/>
        <v>0.25</v>
      </c>
    </row>
    <row r="130" spans="1:70" ht="14.45">
      <c r="A130" s="3" t="s">
        <v>251</v>
      </c>
      <c r="B130" s="20">
        <f>Ability!$B$16</f>
        <v>0.31967774941142579</v>
      </c>
      <c r="C130" s="20">
        <f>Ability!$B$16</f>
        <v>0.31967774941142579</v>
      </c>
      <c r="D130" s="20">
        <f>Ability!$B$16</f>
        <v>0.31967774941142579</v>
      </c>
      <c r="E130" s="20">
        <f>Ability!$B$16</f>
        <v>0.31967774941142579</v>
      </c>
      <c r="F130" s="20">
        <f>Ability!$B$16</f>
        <v>0.31967774941142579</v>
      </c>
      <c r="G130" s="20">
        <f>Ability!$B$16</f>
        <v>0.31967774941142579</v>
      </c>
      <c r="H130" s="20">
        <f>Ability!$B$16</f>
        <v>0.31967774941142579</v>
      </c>
      <c r="I130" s="20">
        <f>Ability!$B$16</f>
        <v>0.31967774941142579</v>
      </c>
      <c r="J130" s="20">
        <f>Ability!$B$16</f>
        <v>0.31967774941142579</v>
      </c>
      <c r="K130" s="20">
        <f>Ability!$B$16</f>
        <v>0.31967774941142579</v>
      </c>
      <c r="L130" s="20">
        <f>Ability!$B$16</f>
        <v>0.31967774941142579</v>
      </c>
      <c r="M130" s="20"/>
      <c r="N130" s="20"/>
      <c r="O130" s="20">
        <f>Ability!$B$16</f>
        <v>0.31967774941142579</v>
      </c>
      <c r="P130" s="20">
        <f>Ability!$B$16</f>
        <v>0.31967774941142579</v>
      </c>
    </row>
    <row r="131" spans="1:70" ht="14.45">
      <c r="A131" s="3" t="s">
        <v>252</v>
      </c>
      <c r="B131" s="26">
        <v>0.4</v>
      </c>
      <c r="C131" s="26">
        <v>0.4</v>
      </c>
      <c r="D131" s="26">
        <v>0.4</v>
      </c>
      <c r="E131" s="26">
        <v>0.4</v>
      </c>
      <c r="F131" s="26">
        <v>0.4</v>
      </c>
      <c r="G131" s="26">
        <v>0.4</v>
      </c>
      <c r="H131" s="26">
        <v>0.4</v>
      </c>
      <c r="I131" s="26">
        <v>0.4</v>
      </c>
      <c r="J131" s="26">
        <v>0.4</v>
      </c>
      <c r="K131" s="26">
        <v>0.4</v>
      </c>
      <c r="L131" s="26">
        <v>0.4</v>
      </c>
      <c r="M131" s="26"/>
      <c r="N131" s="26"/>
      <c r="O131" s="26">
        <v>1.8</v>
      </c>
      <c r="P131" s="26">
        <v>0.4</v>
      </c>
      <c r="Q131" s="7" t="s">
        <v>253</v>
      </c>
    </row>
    <row r="132" spans="1:70" ht="14.45">
      <c r="A132" s="3" t="s">
        <v>254</v>
      </c>
      <c r="B132" s="38">
        <v>0</v>
      </c>
      <c r="C132" s="38">
        <v>0</v>
      </c>
      <c r="D132" s="38">
        <v>0</v>
      </c>
      <c r="E132" s="38">
        <v>0</v>
      </c>
      <c r="F132" s="38">
        <v>0</v>
      </c>
      <c r="G132" s="38">
        <v>0</v>
      </c>
      <c r="H132" s="38">
        <v>0</v>
      </c>
      <c r="I132" s="38">
        <v>0</v>
      </c>
      <c r="J132" s="38">
        <v>0</v>
      </c>
      <c r="K132" s="38">
        <v>0</v>
      </c>
      <c r="L132" s="38">
        <v>0</v>
      </c>
      <c r="M132" s="38"/>
      <c r="N132" s="38"/>
      <c r="O132" s="38">
        <v>0</v>
      </c>
      <c r="P132" s="38">
        <v>0</v>
      </c>
    </row>
    <row r="133" spans="1:70" ht="14.45">
      <c r="A133" s="3" t="s">
        <v>255</v>
      </c>
      <c r="B133" s="38">
        <v>0</v>
      </c>
      <c r="C133" s="38">
        <v>0</v>
      </c>
      <c r="D133" s="38">
        <v>0</v>
      </c>
      <c r="E133" s="38">
        <v>0</v>
      </c>
      <c r="F133" s="38">
        <v>0</v>
      </c>
      <c r="G133" s="38">
        <v>0</v>
      </c>
      <c r="H133" s="38">
        <v>0</v>
      </c>
      <c r="I133" s="38">
        <v>0</v>
      </c>
      <c r="J133" s="38">
        <v>0</v>
      </c>
      <c r="K133" s="38">
        <v>0</v>
      </c>
      <c r="L133" s="38">
        <v>0</v>
      </c>
      <c r="M133" s="38"/>
      <c r="N133" s="38"/>
      <c r="O133" s="38">
        <v>0</v>
      </c>
      <c r="P133" s="38">
        <v>0</v>
      </c>
    </row>
    <row r="134" spans="1:70" s="21" customFormat="1" ht="14.45">
      <c r="A134" s="101" t="s">
        <v>256</v>
      </c>
      <c r="B134" s="55">
        <f>Slaughtering!$C$13</f>
        <v>0.14583333333333334</v>
      </c>
      <c r="C134" s="55">
        <f>Slaughtering!$E$13</f>
        <v>0.14583333333333334</v>
      </c>
      <c r="D134" s="55">
        <f>Slaughtering!$G$13</f>
        <v>0.14583333333333334</v>
      </c>
      <c r="E134" s="55">
        <f>Slaughtering!$I$13</f>
        <v>0.14583333333333334</v>
      </c>
      <c r="F134" s="55">
        <f>Slaughtering!$K$13</f>
        <v>0.14583333333333334</v>
      </c>
      <c r="G134" s="55">
        <f>Slaughtering!$M$13</f>
        <v>0.14583333333333334</v>
      </c>
      <c r="H134" s="55">
        <f>Slaughtering!$O$13</f>
        <v>0.14583333333333334</v>
      </c>
      <c r="I134" s="55">
        <f>Slaughtering!$Q$13</f>
        <v>0.14583333333333334</v>
      </c>
      <c r="J134" s="55">
        <f>Slaughtering!$S$13</f>
        <v>0.14583333333333334</v>
      </c>
      <c r="K134" s="55">
        <f>Slaughtering!$U$13</f>
        <v>0.14583333333333334</v>
      </c>
      <c r="L134" s="55">
        <f>Slaughtering!$W$13</f>
        <v>0.14583333333333334</v>
      </c>
      <c r="M134" s="55"/>
      <c r="N134" s="55"/>
      <c r="O134" s="20">
        <v>1E-3</v>
      </c>
      <c r="P134" s="55">
        <v>0.25</v>
      </c>
      <c r="Q134" s="21" t="s">
        <v>257</v>
      </c>
    </row>
    <row r="135" spans="1:70" ht="14.45">
      <c r="A135" s="148" t="s">
        <v>258</v>
      </c>
      <c r="B135" s="51">
        <v>0</v>
      </c>
      <c r="C135" s="51">
        <v>0</v>
      </c>
      <c r="D135" s="51">
        <v>0</v>
      </c>
      <c r="E135" s="51">
        <v>0</v>
      </c>
      <c r="F135" s="51">
        <v>0</v>
      </c>
      <c r="G135" s="51">
        <v>0</v>
      </c>
      <c r="H135" s="51">
        <v>0</v>
      </c>
      <c r="I135" s="51">
        <v>0</v>
      </c>
      <c r="J135" s="51">
        <v>0</v>
      </c>
      <c r="K135" s="51">
        <v>0</v>
      </c>
      <c r="L135" s="51">
        <v>0</v>
      </c>
      <c r="M135" s="38"/>
      <c r="N135" s="38"/>
      <c r="O135" s="38">
        <v>0</v>
      </c>
      <c r="P135" s="38">
        <v>0</v>
      </c>
    </row>
    <row r="136" spans="1:70" s="7" customFormat="1" ht="14.45">
      <c r="A136" s="68" t="s">
        <v>259</v>
      </c>
      <c r="B136" s="69">
        <f>B139*B138*B137*100</f>
        <v>4.4035905510246658E-3</v>
      </c>
      <c r="C136" s="69">
        <f t="shared" ref="C136:P136" si="42">C139*C138*C137*100</f>
        <v>5.9577989807980767E-3</v>
      </c>
      <c r="D136" s="69">
        <f t="shared" si="42"/>
        <v>4.416542287939443E-3</v>
      </c>
      <c r="E136" s="69">
        <f t="shared" si="42"/>
        <v>3.0954651226320442E-3</v>
      </c>
      <c r="F136" s="69">
        <f t="shared" si="42"/>
        <v>2.214747012427111E-3</v>
      </c>
      <c r="G136" s="69">
        <f t="shared" si="42"/>
        <v>3.3739274662997801E-3</v>
      </c>
      <c r="H136" s="69">
        <f t="shared" si="42"/>
        <v>3.0954651226320442E-3</v>
      </c>
      <c r="I136" s="69">
        <f t="shared" si="42"/>
        <v>4.4100664194820539E-3</v>
      </c>
      <c r="J136" s="69">
        <f t="shared" si="42"/>
        <v>2.214747012427111E-3</v>
      </c>
      <c r="K136" s="69">
        <f t="shared" si="42"/>
        <v>1.1786080592448367E-3</v>
      </c>
      <c r="L136" s="69">
        <f t="shared" si="42"/>
        <v>5.6987642425025079E-4</v>
      </c>
      <c r="M136" s="69"/>
      <c r="N136" s="69"/>
      <c r="O136" s="69">
        <f t="shared" si="42"/>
        <v>8.2062205092036115E-4</v>
      </c>
      <c r="P136" s="69">
        <f t="shared" si="42"/>
        <v>3.446612613865517E-2</v>
      </c>
      <c r="Q136" t="s">
        <v>260</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row>
    <row r="137" spans="1:70" s="21" customFormat="1" ht="14.45">
      <c r="A137" s="101" t="s">
        <v>261</v>
      </c>
      <c r="B137" s="20">
        <f>(2*(B140+B141+B143))+B142</f>
        <v>6.9444444444444447E-4</v>
      </c>
      <c r="C137" s="20">
        <f t="shared" ref="C137:P137" si="43">(2*(C140+C141+C143))+C142</f>
        <v>6.9444444444444447E-4</v>
      </c>
      <c r="D137" s="20">
        <f t="shared" si="43"/>
        <v>6.9444444444444447E-4</v>
      </c>
      <c r="E137" s="20">
        <f t="shared" si="43"/>
        <v>6.9444444444444447E-4</v>
      </c>
      <c r="F137" s="20">
        <f t="shared" si="43"/>
        <v>6.9444444444444447E-4</v>
      </c>
      <c r="G137" s="20">
        <f t="shared" si="43"/>
        <v>6.9444444444444447E-4</v>
      </c>
      <c r="H137" s="20">
        <f t="shared" si="43"/>
        <v>6.9444444444444447E-4</v>
      </c>
      <c r="I137" s="20">
        <f t="shared" si="43"/>
        <v>6.9444444444444447E-4</v>
      </c>
      <c r="J137" s="20">
        <f t="shared" si="43"/>
        <v>6.9444444444444447E-4</v>
      </c>
      <c r="K137" s="20">
        <f t="shared" si="43"/>
        <v>6.9444444444444447E-4</v>
      </c>
      <c r="L137" s="20">
        <f t="shared" si="43"/>
        <v>6.9444444444444447E-4</v>
      </c>
      <c r="M137" s="20"/>
      <c r="N137" s="20"/>
      <c r="O137" s="20">
        <f t="shared" si="43"/>
        <v>1E-3</v>
      </c>
      <c r="P137" s="20">
        <f t="shared" si="43"/>
        <v>4.2000000000000003E-2</v>
      </c>
    </row>
    <row r="138" spans="1:70" ht="14.45">
      <c r="A138" s="3" t="s">
        <v>262</v>
      </c>
      <c r="B138" s="107">
        <f>Ability!$B$17</f>
        <v>0.93252505786404671</v>
      </c>
      <c r="C138" s="107">
        <f>Ability!$B$17</f>
        <v>0.93252505786404671</v>
      </c>
      <c r="D138" s="107">
        <f>Ability!$B$17</f>
        <v>0.93252505786404671</v>
      </c>
      <c r="E138" s="107">
        <f>Ability!$B$17</f>
        <v>0.93252505786404671</v>
      </c>
      <c r="F138" s="107">
        <f>Ability!$B$17</f>
        <v>0.93252505786404671</v>
      </c>
      <c r="G138" s="107">
        <f>Ability!$B$17</f>
        <v>0.93252505786404671</v>
      </c>
      <c r="H138" s="107">
        <f>Ability!$B$17</f>
        <v>0.93252505786404671</v>
      </c>
      <c r="I138" s="107">
        <f>Ability!$B$17</f>
        <v>0.93252505786404671</v>
      </c>
      <c r="J138" s="107">
        <f>Ability!$B$17</f>
        <v>0.93252505786404671</v>
      </c>
      <c r="K138" s="107">
        <f>Ability!$B$17</f>
        <v>0.93252505786404671</v>
      </c>
      <c r="L138" s="107">
        <f>Ability!$B$17</f>
        <v>0.93252505786404671</v>
      </c>
      <c r="M138" s="107"/>
      <c r="N138" s="107"/>
      <c r="O138" s="107">
        <f>Ability!$B$17</f>
        <v>0.93252505786404671</v>
      </c>
      <c r="P138" s="107">
        <f>Ability!$B$17</f>
        <v>0.93252505786404671</v>
      </c>
    </row>
    <row r="139" spans="1:70" ht="14.45">
      <c r="A139" s="102" t="s">
        <v>263</v>
      </c>
      <c r="B139" s="106">
        <v>6.8000000000000005E-2</v>
      </c>
      <c r="C139" s="106">
        <v>9.1999999999999998E-2</v>
      </c>
      <c r="D139" s="106">
        <v>6.8199999999999997E-2</v>
      </c>
      <c r="E139" s="106">
        <v>4.7800000000000002E-2</v>
      </c>
      <c r="F139" s="106">
        <v>3.4200000000000001E-2</v>
      </c>
      <c r="G139" s="106">
        <v>5.21E-2</v>
      </c>
      <c r="H139" s="106">
        <v>4.7800000000000002E-2</v>
      </c>
      <c r="I139" s="106">
        <v>6.8099999999999994E-2</v>
      </c>
      <c r="J139" s="106">
        <v>3.4200000000000001E-2</v>
      </c>
      <c r="K139" s="106">
        <v>1.8200000000000001E-2</v>
      </c>
      <c r="L139" s="106">
        <v>8.8000000000000005E-3</v>
      </c>
      <c r="M139" s="106"/>
      <c r="N139" s="106"/>
      <c r="O139" s="106">
        <v>8.8000000000000005E-3</v>
      </c>
      <c r="P139" s="106">
        <v>8.8000000000000005E-3</v>
      </c>
    </row>
    <row r="140" spans="1:70" ht="14.45">
      <c r="A140" s="3" t="s">
        <v>264</v>
      </c>
      <c r="B140" s="38">
        <v>0</v>
      </c>
      <c r="C140" s="38">
        <v>0</v>
      </c>
      <c r="D140" s="38">
        <v>0</v>
      </c>
      <c r="E140" s="38">
        <v>0</v>
      </c>
      <c r="F140" s="38">
        <v>0</v>
      </c>
      <c r="G140" s="38">
        <v>0</v>
      </c>
      <c r="H140" s="38">
        <v>0</v>
      </c>
      <c r="I140" s="38">
        <v>0</v>
      </c>
      <c r="J140" s="38">
        <v>0</v>
      </c>
      <c r="K140" s="38">
        <v>0</v>
      </c>
      <c r="L140" s="38">
        <v>0</v>
      </c>
      <c r="M140" s="38"/>
      <c r="N140" s="38"/>
      <c r="O140" s="38">
        <v>0</v>
      </c>
      <c r="P140" s="38">
        <v>0</v>
      </c>
    </row>
    <row r="141" spans="1:70" ht="14.45">
      <c r="A141" s="3" t="s">
        <v>265</v>
      </c>
      <c r="B141" s="38">
        <v>0</v>
      </c>
      <c r="C141" s="38">
        <v>0</v>
      </c>
      <c r="D141" s="38">
        <v>0</v>
      </c>
      <c r="E141" s="38">
        <v>0</v>
      </c>
      <c r="F141" s="38">
        <v>0</v>
      </c>
      <c r="G141" s="38">
        <v>0</v>
      </c>
      <c r="H141" s="38">
        <v>0</v>
      </c>
      <c r="I141" s="38">
        <v>0</v>
      </c>
      <c r="J141" s="38">
        <v>0</v>
      </c>
      <c r="K141" s="38">
        <v>0</v>
      </c>
      <c r="L141" s="38">
        <v>0</v>
      </c>
      <c r="M141" s="38"/>
      <c r="N141" s="38"/>
      <c r="O141" s="38">
        <v>0</v>
      </c>
      <c r="P141" s="38">
        <v>0</v>
      </c>
    </row>
    <row r="142" spans="1:70" ht="14.45">
      <c r="A142" s="3" t="s">
        <v>266</v>
      </c>
      <c r="B142" s="20">
        <f>Slaughtering!$C$14</f>
        <v>6.9444444444444447E-4</v>
      </c>
      <c r="C142" s="20">
        <f>Slaughtering!$E$14</f>
        <v>6.9444444444444447E-4</v>
      </c>
      <c r="D142" s="20">
        <f>Slaughtering!$G$14</f>
        <v>6.9444444444444447E-4</v>
      </c>
      <c r="E142" s="20">
        <f>Slaughtering!$I$14</f>
        <v>6.9444444444444447E-4</v>
      </c>
      <c r="F142" s="20">
        <f>Slaughtering!$K$14</f>
        <v>6.9444444444444447E-4</v>
      </c>
      <c r="G142" s="20">
        <f>Slaughtering!$M$14</f>
        <v>6.9444444444444447E-4</v>
      </c>
      <c r="H142" s="20">
        <f>Slaughtering!$O$14</f>
        <v>6.9444444444444447E-4</v>
      </c>
      <c r="I142" s="20">
        <f>Slaughtering!$Q$14</f>
        <v>6.9444444444444447E-4</v>
      </c>
      <c r="J142" s="20">
        <f>Slaughtering!$S$14</f>
        <v>6.9444444444444447E-4</v>
      </c>
      <c r="K142" s="20">
        <f>Slaughtering!$U$14</f>
        <v>6.9444444444444447E-4</v>
      </c>
      <c r="L142" s="20">
        <f>Slaughtering!$W$14</f>
        <v>6.9444444444444447E-4</v>
      </c>
      <c r="M142" s="20"/>
      <c r="N142" s="20"/>
      <c r="O142" s="20">
        <v>1E-3</v>
      </c>
      <c r="P142" s="173">
        <v>4.2000000000000003E-2</v>
      </c>
      <c r="Q142" s="212" t="s">
        <v>267</v>
      </c>
    </row>
    <row r="143" spans="1:70" ht="14.45">
      <c r="A143" s="160" t="s">
        <v>268</v>
      </c>
      <c r="B143" s="137">
        <v>0</v>
      </c>
      <c r="C143" s="137">
        <v>0</v>
      </c>
      <c r="D143" s="137">
        <v>0</v>
      </c>
      <c r="E143" s="137">
        <v>0</v>
      </c>
      <c r="F143" s="137">
        <v>0</v>
      </c>
      <c r="G143" s="137">
        <v>0</v>
      </c>
      <c r="H143" s="137">
        <v>0</v>
      </c>
      <c r="I143" s="137">
        <v>0</v>
      </c>
      <c r="J143" s="137">
        <v>0</v>
      </c>
      <c r="K143" s="137">
        <v>0</v>
      </c>
      <c r="L143" s="137">
        <v>0</v>
      </c>
      <c r="M143" s="38"/>
      <c r="N143" s="38"/>
      <c r="O143" s="38">
        <v>0</v>
      </c>
      <c r="P143" s="38">
        <v>0</v>
      </c>
    </row>
    <row r="144" spans="1:70" s="7" customFormat="1" ht="14.45">
      <c r="A144" s="68" t="s">
        <v>269</v>
      </c>
      <c r="B144" s="69">
        <f>B147*B146*B145*100</f>
        <v>2.2222222222222222E-3</v>
      </c>
      <c r="C144" s="69">
        <f t="shared" ref="C144:P144" si="44">C147*C146*C145*100</f>
        <v>2.2222222222222222E-3</v>
      </c>
      <c r="D144" s="69">
        <f t="shared" si="44"/>
        <v>2.2222222222222222E-3</v>
      </c>
      <c r="E144" s="69">
        <f t="shared" si="44"/>
        <v>2.2222222222222222E-3</v>
      </c>
      <c r="F144" s="69">
        <f t="shared" si="44"/>
        <v>2.2222222222222222E-3</v>
      </c>
      <c r="G144" s="69">
        <f t="shared" si="44"/>
        <v>2.2222222222222222E-3</v>
      </c>
      <c r="H144" s="69">
        <f t="shared" si="44"/>
        <v>2.2222222222222222E-3</v>
      </c>
      <c r="I144" s="69">
        <f t="shared" si="44"/>
        <v>2.2222222222222222E-3</v>
      </c>
      <c r="J144" s="69">
        <f t="shared" si="44"/>
        <v>2.2222222222222222E-3</v>
      </c>
      <c r="K144" s="69">
        <f t="shared" si="44"/>
        <v>2.2222222222222222E-3</v>
      </c>
      <c r="L144" s="69">
        <f t="shared" si="44"/>
        <v>2.2222222222222222E-3</v>
      </c>
      <c r="M144" s="69">
        <v>0</v>
      </c>
      <c r="N144" s="69">
        <v>0</v>
      </c>
      <c r="O144" s="69">
        <f t="shared" si="44"/>
        <v>3.1999999999999997E-3</v>
      </c>
      <c r="P144" s="69">
        <f t="shared" si="44"/>
        <v>0.13440000000000002</v>
      </c>
      <c r="Q144" t="s">
        <v>270</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row>
    <row r="145" spans="1:70" s="21" customFormat="1" ht="14.45">
      <c r="A145" s="101" t="s">
        <v>271</v>
      </c>
      <c r="B145" s="20">
        <f>(2*(B148+B149+B151))+B150</f>
        <v>6.9444444444444447E-4</v>
      </c>
      <c r="C145" s="20">
        <f t="shared" ref="C145:P145" si="45">(2*(C148+C149+C151))+C150</f>
        <v>6.9444444444444447E-4</v>
      </c>
      <c r="D145" s="20">
        <f t="shared" si="45"/>
        <v>6.9444444444444447E-4</v>
      </c>
      <c r="E145" s="20">
        <f t="shared" si="45"/>
        <v>6.9444444444444447E-4</v>
      </c>
      <c r="F145" s="20">
        <f t="shared" si="45"/>
        <v>6.9444444444444447E-4</v>
      </c>
      <c r="G145" s="20">
        <f t="shared" si="45"/>
        <v>6.9444444444444447E-4</v>
      </c>
      <c r="H145" s="20">
        <f t="shared" si="45"/>
        <v>6.9444444444444447E-4</v>
      </c>
      <c r="I145" s="20">
        <f t="shared" si="45"/>
        <v>6.9444444444444447E-4</v>
      </c>
      <c r="J145" s="20">
        <f t="shared" si="45"/>
        <v>6.9444444444444447E-4</v>
      </c>
      <c r="K145" s="20">
        <f t="shared" si="45"/>
        <v>6.9444444444444447E-4</v>
      </c>
      <c r="L145" s="20">
        <f t="shared" si="45"/>
        <v>6.9444444444444447E-4</v>
      </c>
      <c r="M145" s="20">
        <v>0</v>
      </c>
      <c r="N145" s="20">
        <v>0</v>
      </c>
      <c r="O145" s="20">
        <f t="shared" si="45"/>
        <v>1E-3</v>
      </c>
      <c r="P145" s="20">
        <f t="shared" si="45"/>
        <v>4.2000000000000003E-2</v>
      </c>
    </row>
    <row r="146" spans="1:70" ht="14.45">
      <c r="A146" s="3" t="s">
        <v>272</v>
      </c>
      <c r="B146" s="107">
        <f>Ability!$B$18</f>
        <v>1</v>
      </c>
      <c r="C146" s="107">
        <f>Ability!$B$18</f>
        <v>1</v>
      </c>
      <c r="D146" s="107">
        <f>Ability!$B$18</f>
        <v>1</v>
      </c>
      <c r="E146" s="107">
        <f>Ability!$B$18</f>
        <v>1</v>
      </c>
      <c r="F146" s="107">
        <f>Ability!$B$18</f>
        <v>1</v>
      </c>
      <c r="G146" s="107">
        <f>Ability!$B$18</f>
        <v>1</v>
      </c>
      <c r="H146" s="107">
        <f>Ability!$B$18</f>
        <v>1</v>
      </c>
      <c r="I146" s="107">
        <f>Ability!$B$18</f>
        <v>1</v>
      </c>
      <c r="J146" s="107">
        <f>Ability!$B$18</f>
        <v>1</v>
      </c>
      <c r="K146" s="107">
        <f>Ability!$B$18</f>
        <v>1</v>
      </c>
      <c r="L146" s="107">
        <f>Ability!$B$18</f>
        <v>1</v>
      </c>
      <c r="M146" s="107">
        <v>0</v>
      </c>
      <c r="N146" s="107">
        <v>0</v>
      </c>
      <c r="O146" s="107">
        <f>Ability!$B$18</f>
        <v>1</v>
      </c>
      <c r="P146" s="107">
        <f>Ability!$B$18</f>
        <v>1</v>
      </c>
    </row>
    <row r="147" spans="1:70" ht="14.45">
      <c r="A147" s="102" t="s">
        <v>273</v>
      </c>
      <c r="B147" s="106">
        <v>3.2000000000000001E-2</v>
      </c>
      <c r="C147" s="106">
        <v>3.2000000000000001E-2</v>
      </c>
      <c r="D147" s="106">
        <v>3.2000000000000001E-2</v>
      </c>
      <c r="E147" s="106">
        <v>3.2000000000000001E-2</v>
      </c>
      <c r="F147" s="106">
        <v>3.2000000000000001E-2</v>
      </c>
      <c r="G147" s="106">
        <v>3.2000000000000001E-2</v>
      </c>
      <c r="H147" s="106">
        <v>3.2000000000000001E-2</v>
      </c>
      <c r="I147" s="106">
        <v>3.2000000000000001E-2</v>
      </c>
      <c r="J147" s="106">
        <v>3.2000000000000001E-2</v>
      </c>
      <c r="K147" s="106">
        <v>3.2000000000000001E-2</v>
      </c>
      <c r="L147" s="106">
        <v>3.2000000000000001E-2</v>
      </c>
      <c r="M147" s="106">
        <v>0</v>
      </c>
      <c r="N147" s="106">
        <v>0</v>
      </c>
      <c r="O147" s="106">
        <v>3.2000000000000001E-2</v>
      </c>
      <c r="P147" s="106">
        <v>3.2000000000000001E-2</v>
      </c>
    </row>
    <row r="148" spans="1:70" ht="14.45">
      <c r="A148" s="3" t="s">
        <v>274</v>
      </c>
      <c r="B148" s="38">
        <v>0</v>
      </c>
      <c r="C148" s="38">
        <v>0</v>
      </c>
      <c r="D148" s="38">
        <v>0</v>
      </c>
      <c r="E148" s="38">
        <v>0</v>
      </c>
      <c r="F148" s="38">
        <v>0</v>
      </c>
      <c r="G148" s="38">
        <v>0</v>
      </c>
      <c r="H148" s="38">
        <v>0</v>
      </c>
      <c r="I148" s="38">
        <v>0</v>
      </c>
      <c r="J148" s="38">
        <v>0</v>
      </c>
      <c r="K148" s="38">
        <v>0</v>
      </c>
      <c r="L148" s="38">
        <v>0</v>
      </c>
      <c r="M148" s="38"/>
      <c r="N148" s="38"/>
      <c r="O148" s="38">
        <v>0</v>
      </c>
      <c r="P148" s="38">
        <v>0</v>
      </c>
    </row>
    <row r="149" spans="1:70" ht="14.45">
      <c r="A149" s="3" t="s">
        <v>275</v>
      </c>
      <c r="B149" s="38">
        <v>0</v>
      </c>
      <c r="C149" s="38">
        <v>0</v>
      </c>
      <c r="D149" s="38">
        <v>0</v>
      </c>
      <c r="E149" s="38">
        <v>0</v>
      </c>
      <c r="F149" s="38">
        <v>0</v>
      </c>
      <c r="G149" s="38">
        <v>0</v>
      </c>
      <c r="H149" s="38">
        <v>0</v>
      </c>
      <c r="I149" s="38">
        <v>0</v>
      </c>
      <c r="J149" s="38">
        <v>0</v>
      </c>
      <c r="K149" s="38">
        <v>0</v>
      </c>
      <c r="L149" s="38">
        <v>0</v>
      </c>
      <c r="M149" s="38"/>
      <c r="N149" s="38"/>
      <c r="O149" s="38">
        <v>0</v>
      </c>
      <c r="P149" s="38">
        <v>0</v>
      </c>
    </row>
    <row r="150" spans="1:70" ht="14.45">
      <c r="A150" s="3" t="s">
        <v>276</v>
      </c>
      <c r="B150" s="20">
        <f>Slaughtering!$C$14</f>
        <v>6.9444444444444447E-4</v>
      </c>
      <c r="C150" s="20">
        <f>Slaughtering!$E$14</f>
        <v>6.9444444444444447E-4</v>
      </c>
      <c r="D150" s="20">
        <f>Slaughtering!$G$14</f>
        <v>6.9444444444444447E-4</v>
      </c>
      <c r="E150" s="20">
        <f>Slaughtering!$I$14</f>
        <v>6.9444444444444447E-4</v>
      </c>
      <c r="F150" s="20">
        <f>Slaughtering!$K$14</f>
        <v>6.9444444444444447E-4</v>
      </c>
      <c r="G150" s="20">
        <f>Slaughtering!$M$14</f>
        <v>6.9444444444444447E-4</v>
      </c>
      <c r="H150" s="20">
        <f>Slaughtering!$O$14</f>
        <v>6.9444444444444447E-4</v>
      </c>
      <c r="I150" s="20">
        <f>Slaughtering!$Q$14</f>
        <v>6.9444444444444447E-4</v>
      </c>
      <c r="J150" s="20">
        <f>Slaughtering!$S$14</f>
        <v>6.9444444444444447E-4</v>
      </c>
      <c r="K150" s="20">
        <f>Slaughtering!$U$14</f>
        <v>6.9444444444444447E-4</v>
      </c>
      <c r="L150" s="20">
        <f>Slaughtering!$W$14</f>
        <v>6.9444444444444447E-4</v>
      </c>
      <c r="M150" s="20"/>
      <c r="N150" s="20"/>
      <c r="O150" s="20">
        <v>1E-3</v>
      </c>
      <c r="P150" s="20">
        <v>4.2000000000000003E-2</v>
      </c>
    </row>
    <row r="151" spans="1:70" ht="14.45">
      <c r="A151" s="160" t="s">
        <v>277</v>
      </c>
      <c r="B151" s="137">
        <v>0</v>
      </c>
      <c r="C151" s="137">
        <v>0</v>
      </c>
      <c r="D151" s="137">
        <v>0</v>
      </c>
      <c r="E151" s="137">
        <v>0</v>
      </c>
      <c r="F151" s="137">
        <v>0</v>
      </c>
      <c r="G151" s="137">
        <v>0</v>
      </c>
      <c r="H151" s="137">
        <v>0</v>
      </c>
      <c r="I151" s="137">
        <v>0</v>
      </c>
      <c r="J151" s="137">
        <v>0</v>
      </c>
      <c r="K151" s="137">
        <v>0</v>
      </c>
      <c r="L151" s="137">
        <v>0</v>
      </c>
      <c r="M151" s="38"/>
      <c r="N151" s="38"/>
      <c r="O151" s="38">
        <v>0</v>
      </c>
      <c r="P151" s="38">
        <v>0</v>
      </c>
    </row>
    <row r="152" spans="1:70" s="7" customFormat="1" ht="14.45">
      <c r="A152" s="68" t="s">
        <v>278</v>
      </c>
      <c r="B152" s="69">
        <f>B155*B154*B153*100</f>
        <v>3.1305653789225861E-2</v>
      </c>
      <c r="C152" s="69">
        <f t="shared" ref="C152:P152" si="46">C155*C154*C153*100</f>
        <v>3.1305653789225861E-2</v>
      </c>
      <c r="D152" s="69">
        <f t="shared" si="46"/>
        <v>3.1305653789225861E-2</v>
      </c>
      <c r="E152" s="69">
        <f t="shared" si="46"/>
        <v>2.5497372111350624E-2</v>
      </c>
      <c r="F152" s="69">
        <f t="shared" si="46"/>
        <v>3.1305653789225861E-2</v>
      </c>
      <c r="G152" s="69">
        <f t="shared" si="46"/>
        <v>4.1002530827712484E-2</v>
      </c>
      <c r="H152" s="69">
        <f t="shared" si="46"/>
        <v>2.5497372111350624E-2</v>
      </c>
      <c r="I152" s="69">
        <f t="shared" si="46"/>
        <v>3.1305653789225861E-2</v>
      </c>
      <c r="J152" s="69">
        <f t="shared" si="46"/>
        <v>3.1305653789225861E-2</v>
      </c>
      <c r="K152" s="69">
        <f t="shared" si="46"/>
        <v>3.7409271823603235E-2</v>
      </c>
      <c r="L152" s="69">
        <f t="shared" si="46"/>
        <v>3.1305653789225861E-2</v>
      </c>
      <c r="M152" s="69"/>
      <c r="N152" s="69"/>
      <c r="O152" s="69">
        <f t="shared" si="46"/>
        <v>4.5080141456485243E-2</v>
      </c>
      <c r="P152" s="69">
        <f t="shared" si="46"/>
        <v>1.8933659411723802</v>
      </c>
      <c r="Q152" t="s">
        <v>279</v>
      </c>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row>
    <row r="153" spans="1:70" s="21" customFormat="1" ht="14.45">
      <c r="A153" s="101" t="s">
        <v>280</v>
      </c>
      <c r="B153" s="20">
        <f>(2*(B156+B157+B159))+B158</f>
        <v>6.9444444444444447E-4</v>
      </c>
      <c r="C153" s="20">
        <f t="shared" ref="C153:P153" si="47">(2*(C156+C157+C159))+C158</f>
        <v>6.9444444444444447E-4</v>
      </c>
      <c r="D153" s="20">
        <f t="shared" si="47"/>
        <v>6.9444444444444447E-4</v>
      </c>
      <c r="E153" s="20">
        <f t="shared" si="47"/>
        <v>6.9444444444444447E-4</v>
      </c>
      <c r="F153" s="20">
        <f t="shared" si="47"/>
        <v>6.9444444444444447E-4</v>
      </c>
      <c r="G153" s="20">
        <f t="shared" si="47"/>
        <v>6.9444444444444447E-4</v>
      </c>
      <c r="H153" s="20">
        <f t="shared" si="47"/>
        <v>6.9444444444444447E-4</v>
      </c>
      <c r="I153" s="20">
        <f t="shared" si="47"/>
        <v>6.9444444444444447E-4</v>
      </c>
      <c r="J153" s="20">
        <f t="shared" si="47"/>
        <v>6.9444444444444447E-4</v>
      </c>
      <c r="K153" s="20">
        <f t="shared" si="47"/>
        <v>6.9444444444444447E-4</v>
      </c>
      <c r="L153" s="20">
        <f t="shared" si="47"/>
        <v>6.9444444444444447E-4</v>
      </c>
      <c r="M153" s="20"/>
      <c r="N153" s="20"/>
      <c r="O153" s="20">
        <f t="shared" si="47"/>
        <v>1E-3</v>
      </c>
      <c r="P153" s="20">
        <f t="shared" si="47"/>
        <v>4.2000000000000003E-2</v>
      </c>
    </row>
    <row r="154" spans="1:70" ht="14.45">
      <c r="A154" s="3" t="s">
        <v>281</v>
      </c>
      <c r="B154" s="107">
        <f>Ability!$B$19</f>
        <v>0.70880725560511382</v>
      </c>
      <c r="C154" s="107">
        <f>Ability!$B$19</f>
        <v>0.70880725560511382</v>
      </c>
      <c r="D154" s="107">
        <f>Ability!$B$19</f>
        <v>0.70880725560511382</v>
      </c>
      <c r="E154" s="107">
        <f>Ability!$B$19</f>
        <v>0.70880725560511382</v>
      </c>
      <c r="F154" s="107">
        <f>Ability!$B$19</f>
        <v>0.70880725560511382</v>
      </c>
      <c r="G154" s="107">
        <f>Ability!$B$19</f>
        <v>0.70880725560511382</v>
      </c>
      <c r="H154" s="107">
        <f>Ability!$B$19</f>
        <v>0.70880725560511382</v>
      </c>
      <c r="I154" s="107">
        <f>Ability!$B$19</f>
        <v>0.70880725560511382</v>
      </c>
      <c r="J154" s="107">
        <f>Ability!$B$19</f>
        <v>0.70880725560511382</v>
      </c>
      <c r="K154" s="107">
        <f>Ability!$B$19</f>
        <v>0.70880725560511382</v>
      </c>
      <c r="L154" s="107">
        <f>Ability!$B$19</f>
        <v>0.70880725560511382</v>
      </c>
      <c r="M154" s="107"/>
      <c r="N154" s="107"/>
      <c r="O154" s="107">
        <f>Ability!$B$19</f>
        <v>0.70880725560511382</v>
      </c>
      <c r="P154" s="107">
        <f>Ability!$B$19</f>
        <v>0.70880725560511382</v>
      </c>
    </row>
    <row r="155" spans="1:70" ht="14.45">
      <c r="A155" s="102" t="s">
        <v>282</v>
      </c>
      <c r="B155" s="106">
        <v>0.63600000000000001</v>
      </c>
      <c r="C155" s="106">
        <v>0.63600000000000001</v>
      </c>
      <c r="D155" s="106">
        <v>0.63600000000000001</v>
      </c>
      <c r="E155" s="106">
        <v>0.51800000000000002</v>
      </c>
      <c r="F155" s="106">
        <v>0.63600000000000001</v>
      </c>
      <c r="G155" s="106">
        <v>0.83299999999999996</v>
      </c>
      <c r="H155" s="106">
        <v>0.51800000000000002</v>
      </c>
      <c r="I155" s="106">
        <v>0.63600000000000001</v>
      </c>
      <c r="J155" s="106">
        <v>0.63600000000000001</v>
      </c>
      <c r="K155" s="106">
        <v>0.76</v>
      </c>
      <c r="L155" s="106">
        <v>0.63600000000000001</v>
      </c>
      <c r="M155" s="106"/>
      <c r="N155" s="106"/>
      <c r="O155" s="106">
        <v>0.63600000000000001</v>
      </c>
      <c r="P155" s="106">
        <v>0.63600000000000001</v>
      </c>
    </row>
    <row r="156" spans="1:70" ht="14.45">
      <c r="A156" s="3" t="s">
        <v>283</v>
      </c>
      <c r="B156" s="38">
        <v>0</v>
      </c>
      <c r="C156" s="38">
        <v>0</v>
      </c>
      <c r="D156" s="38">
        <v>0</v>
      </c>
      <c r="E156" s="38">
        <v>0</v>
      </c>
      <c r="F156" s="38">
        <v>0</v>
      </c>
      <c r="G156" s="38">
        <v>0</v>
      </c>
      <c r="H156" s="38">
        <v>0</v>
      </c>
      <c r="I156" s="38">
        <v>0</v>
      </c>
      <c r="J156" s="38">
        <v>0</v>
      </c>
      <c r="K156" s="38">
        <v>0</v>
      </c>
      <c r="L156" s="38">
        <v>0</v>
      </c>
      <c r="M156" s="38"/>
      <c r="N156" s="38"/>
      <c r="O156" s="38">
        <v>0</v>
      </c>
      <c r="P156" s="38">
        <v>0</v>
      </c>
    </row>
    <row r="157" spans="1:70" ht="14.45">
      <c r="A157" s="3" t="s">
        <v>284</v>
      </c>
      <c r="B157" s="38">
        <v>0</v>
      </c>
      <c r="C157" s="38">
        <v>0</v>
      </c>
      <c r="D157" s="38">
        <v>0</v>
      </c>
      <c r="E157" s="38">
        <v>0</v>
      </c>
      <c r="F157" s="38">
        <v>0</v>
      </c>
      <c r="G157" s="38">
        <v>0</v>
      </c>
      <c r="H157" s="38">
        <v>0</v>
      </c>
      <c r="I157" s="38">
        <v>0</v>
      </c>
      <c r="J157" s="38">
        <v>0</v>
      </c>
      <c r="K157" s="38">
        <v>0</v>
      </c>
      <c r="L157" s="38">
        <v>0</v>
      </c>
      <c r="M157" s="38"/>
      <c r="N157" s="38"/>
      <c r="O157" s="38">
        <v>0</v>
      </c>
      <c r="P157" s="38">
        <v>0</v>
      </c>
    </row>
    <row r="158" spans="1:70" ht="14.45">
      <c r="A158" s="3" t="s">
        <v>285</v>
      </c>
      <c r="B158" s="20">
        <f>Slaughtering!$C$14</f>
        <v>6.9444444444444447E-4</v>
      </c>
      <c r="C158" s="20">
        <f>Slaughtering!$E$14</f>
        <v>6.9444444444444447E-4</v>
      </c>
      <c r="D158" s="20">
        <f>Slaughtering!$G$14</f>
        <v>6.9444444444444447E-4</v>
      </c>
      <c r="E158" s="20">
        <f>Slaughtering!$I$14</f>
        <v>6.9444444444444447E-4</v>
      </c>
      <c r="F158" s="20">
        <f>Slaughtering!$K$14</f>
        <v>6.9444444444444447E-4</v>
      </c>
      <c r="G158" s="20">
        <f>Slaughtering!$M$14</f>
        <v>6.9444444444444447E-4</v>
      </c>
      <c r="H158" s="20">
        <f>Slaughtering!$O$14</f>
        <v>6.9444444444444447E-4</v>
      </c>
      <c r="I158" s="20">
        <f>Slaughtering!$Q$14</f>
        <v>6.9444444444444447E-4</v>
      </c>
      <c r="J158" s="20">
        <f>Slaughtering!$S$14</f>
        <v>6.9444444444444447E-4</v>
      </c>
      <c r="K158" s="20">
        <f>Slaughtering!$U$14</f>
        <v>6.9444444444444447E-4</v>
      </c>
      <c r="L158" s="20">
        <f>Slaughtering!$W$14</f>
        <v>6.9444444444444447E-4</v>
      </c>
      <c r="M158" s="20"/>
      <c r="N158" s="20"/>
      <c r="O158" s="20">
        <v>1E-3</v>
      </c>
      <c r="P158" s="20">
        <v>4.2000000000000003E-2</v>
      </c>
    </row>
    <row r="159" spans="1:70" ht="14.45">
      <c r="A159" s="160" t="s">
        <v>286</v>
      </c>
      <c r="B159" s="137">
        <v>0</v>
      </c>
      <c r="C159" s="137">
        <v>0</v>
      </c>
      <c r="D159" s="137">
        <v>0</v>
      </c>
      <c r="E159" s="137">
        <v>0</v>
      </c>
      <c r="F159" s="137">
        <v>0</v>
      </c>
      <c r="G159" s="137">
        <v>0</v>
      </c>
      <c r="H159" s="137">
        <v>0</v>
      </c>
      <c r="I159" s="137">
        <v>0</v>
      </c>
      <c r="J159" s="137">
        <v>0</v>
      </c>
      <c r="K159" s="137">
        <v>0</v>
      </c>
      <c r="L159" s="137">
        <v>0</v>
      </c>
      <c r="M159" s="38"/>
      <c r="N159" s="38"/>
      <c r="O159" s="38">
        <v>0</v>
      </c>
      <c r="P159" s="38">
        <v>0</v>
      </c>
    </row>
    <row r="160" spans="1:70" s="7" customFormat="1" ht="14.45">
      <c r="A160" s="154" t="s">
        <v>287</v>
      </c>
      <c r="B160" s="155">
        <f>B163*B162*B161*100</f>
        <v>0.27459417235858385</v>
      </c>
      <c r="C160" s="155">
        <f t="shared" ref="C160:P160" si="48">C163*C162*C161*100</f>
        <v>0.27459417235858385</v>
      </c>
      <c r="D160" s="155">
        <f t="shared" si="48"/>
        <v>0.27459417235858385</v>
      </c>
      <c r="E160" s="155">
        <f t="shared" si="48"/>
        <v>0.27459417235858385</v>
      </c>
      <c r="F160" s="155">
        <f t="shared" si="48"/>
        <v>0.27459417235858385</v>
      </c>
      <c r="G160" s="155">
        <f t="shared" si="48"/>
        <v>0.27459417235858385</v>
      </c>
      <c r="H160" s="155">
        <f t="shared" si="48"/>
        <v>0.27459417235858385</v>
      </c>
      <c r="I160" s="155">
        <f t="shared" si="48"/>
        <v>0.27459417235858385</v>
      </c>
      <c r="J160" s="155">
        <f t="shared" si="48"/>
        <v>0.27459417235858385</v>
      </c>
      <c r="K160" s="155">
        <f t="shared" si="48"/>
        <v>0.27459417235858385</v>
      </c>
      <c r="L160" s="155">
        <f t="shared" si="48"/>
        <v>0.27459417235858385</v>
      </c>
      <c r="M160" s="155"/>
      <c r="N160" s="155"/>
      <c r="O160" s="155">
        <f t="shared" si="48"/>
        <v>0.39541560819636079</v>
      </c>
      <c r="P160" s="155">
        <f t="shared" si="48"/>
        <v>16.607455544247156</v>
      </c>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row>
    <row r="161" spans="1:70" s="21" customFormat="1" ht="14.45">
      <c r="A161" s="101" t="s">
        <v>288</v>
      </c>
      <c r="B161" s="20">
        <f>(2*(B164+B165+B167))+B166</f>
        <v>6.9444444444444447E-4</v>
      </c>
      <c r="C161" s="20">
        <f t="shared" ref="C161:P161" si="49">(2*(C164+C165+C167))+C166</f>
        <v>6.9444444444444447E-4</v>
      </c>
      <c r="D161" s="20">
        <f t="shared" si="49"/>
        <v>6.9444444444444447E-4</v>
      </c>
      <c r="E161" s="20">
        <f t="shared" si="49"/>
        <v>6.9444444444444447E-4</v>
      </c>
      <c r="F161" s="20">
        <f t="shared" si="49"/>
        <v>6.9444444444444447E-4</v>
      </c>
      <c r="G161" s="20">
        <f t="shared" si="49"/>
        <v>6.9444444444444447E-4</v>
      </c>
      <c r="H161" s="20">
        <f t="shared" si="49"/>
        <v>6.9444444444444447E-4</v>
      </c>
      <c r="I161" s="20">
        <f t="shared" si="49"/>
        <v>6.9444444444444447E-4</v>
      </c>
      <c r="J161" s="20">
        <f t="shared" si="49"/>
        <v>6.9444444444444447E-4</v>
      </c>
      <c r="K161" s="20">
        <f t="shared" si="49"/>
        <v>6.9444444444444447E-4</v>
      </c>
      <c r="L161" s="20">
        <f t="shared" si="49"/>
        <v>6.9444444444444447E-4</v>
      </c>
      <c r="M161" s="20"/>
      <c r="N161" s="20"/>
      <c r="O161" s="20">
        <f t="shared" si="49"/>
        <v>1E-3</v>
      </c>
      <c r="P161" s="20">
        <f t="shared" si="49"/>
        <v>4.2000000000000003E-2</v>
      </c>
    </row>
    <row r="162" spans="1:70" ht="14.45">
      <c r="A162" s="3" t="s">
        <v>289</v>
      </c>
      <c r="B162" s="20">
        <f>Ability!$B$20</f>
        <v>3.9541560819636078E-2</v>
      </c>
      <c r="C162" s="20">
        <f>Ability!$B$20</f>
        <v>3.9541560819636078E-2</v>
      </c>
      <c r="D162" s="20">
        <f>Ability!$B$20</f>
        <v>3.9541560819636078E-2</v>
      </c>
      <c r="E162" s="20">
        <f>Ability!$B$20</f>
        <v>3.9541560819636078E-2</v>
      </c>
      <c r="F162" s="20">
        <f>Ability!$B$20</f>
        <v>3.9541560819636078E-2</v>
      </c>
      <c r="G162" s="20">
        <f>Ability!$B$20</f>
        <v>3.9541560819636078E-2</v>
      </c>
      <c r="H162" s="20">
        <f>Ability!$B$20</f>
        <v>3.9541560819636078E-2</v>
      </c>
      <c r="I162" s="20">
        <f>Ability!$B$20</f>
        <v>3.9541560819636078E-2</v>
      </c>
      <c r="J162" s="20">
        <f>Ability!$B$20</f>
        <v>3.9541560819636078E-2</v>
      </c>
      <c r="K162" s="20">
        <f>Ability!$B$20</f>
        <v>3.9541560819636078E-2</v>
      </c>
      <c r="L162" s="20">
        <f>Ability!$B$20</f>
        <v>3.9541560819636078E-2</v>
      </c>
      <c r="M162" s="20"/>
      <c r="N162" s="20"/>
      <c r="O162" s="20">
        <f>Ability!$B$20</f>
        <v>3.9541560819636078E-2</v>
      </c>
      <c r="P162" s="20">
        <f>Ability!$B$20</f>
        <v>3.9541560819636078E-2</v>
      </c>
    </row>
    <row r="163" spans="1:70" ht="14.45">
      <c r="A163" s="3" t="s">
        <v>290</v>
      </c>
      <c r="B163" s="26">
        <f>10000/100</f>
        <v>100</v>
      </c>
      <c r="C163" s="26">
        <f t="shared" ref="C163:P163" si="50">10000/100</f>
        <v>100</v>
      </c>
      <c r="D163" s="26">
        <f t="shared" si="50"/>
        <v>100</v>
      </c>
      <c r="E163" s="26">
        <f t="shared" si="50"/>
        <v>100</v>
      </c>
      <c r="F163" s="26">
        <f t="shared" si="50"/>
        <v>100</v>
      </c>
      <c r="G163" s="26">
        <f t="shared" si="50"/>
        <v>100</v>
      </c>
      <c r="H163" s="26">
        <f t="shared" si="50"/>
        <v>100</v>
      </c>
      <c r="I163" s="26">
        <f t="shared" si="50"/>
        <v>100</v>
      </c>
      <c r="J163" s="26">
        <f t="shared" si="50"/>
        <v>100</v>
      </c>
      <c r="K163" s="26">
        <f t="shared" si="50"/>
        <v>100</v>
      </c>
      <c r="L163" s="26">
        <f t="shared" si="50"/>
        <v>100</v>
      </c>
      <c r="M163" s="26"/>
      <c r="N163" s="26"/>
      <c r="O163" s="26">
        <f t="shared" si="50"/>
        <v>100</v>
      </c>
      <c r="P163" s="26">
        <f t="shared" si="50"/>
        <v>100</v>
      </c>
      <c r="Q163" t="s">
        <v>291</v>
      </c>
    </row>
    <row r="164" spans="1:70" ht="14.45">
      <c r="A164" s="3" t="s">
        <v>292</v>
      </c>
      <c r="B164" s="38">
        <v>0</v>
      </c>
      <c r="C164" s="38">
        <v>0</v>
      </c>
      <c r="D164" s="38">
        <v>0</v>
      </c>
      <c r="E164" s="38">
        <v>0</v>
      </c>
      <c r="F164" s="38">
        <v>0</v>
      </c>
      <c r="G164" s="38">
        <v>0</v>
      </c>
      <c r="H164" s="38">
        <v>0</v>
      </c>
      <c r="I164" s="38">
        <v>0</v>
      </c>
      <c r="J164" s="38">
        <v>0</v>
      </c>
      <c r="K164" s="38">
        <v>0</v>
      </c>
      <c r="L164" s="38">
        <v>0</v>
      </c>
      <c r="M164" s="38"/>
      <c r="N164" s="38"/>
      <c r="O164" s="38">
        <v>0</v>
      </c>
      <c r="P164" s="38">
        <v>0</v>
      </c>
    </row>
    <row r="165" spans="1:70" ht="14.45">
      <c r="A165" s="3" t="s">
        <v>293</v>
      </c>
      <c r="B165" s="38">
        <v>0</v>
      </c>
      <c r="C165" s="38">
        <v>0</v>
      </c>
      <c r="D165" s="38">
        <v>0</v>
      </c>
      <c r="E165" s="38">
        <v>0</v>
      </c>
      <c r="F165" s="38">
        <v>0</v>
      </c>
      <c r="G165" s="38">
        <v>0</v>
      </c>
      <c r="H165" s="38">
        <v>0</v>
      </c>
      <c r="I165" s="38">
        <v>0</v>
      </c>
      <c r="J165" s="38">
        <v>0</v>
      </c>
      <c r="K165" s="38">
        <v>0</v>
      </c>
      <c r="L165" s="38">
        <v>0</v>
      </c>
      <c r="M165" s="38"/>
      <c r="N165" s="38"/>
      <c r="O165" s="38">
        <v>0</v>
      </c>
      <c r="P165" s="38">
        <v>0</v>
      </c>
    </row>
    <row r="166" spans="1:70" ht="14.45">
      <c r="A166" s="3" t="s">
        <v>294</v>
      </c>
      <c r="B166" s="107">
        <f>Slaughtering!$C$15</f>
        <v>6.9444444444444447E-4</v>
      </c>
      <c r="C166" s="107">
        <f>Slaughtering!$E$15</f>
        <v>6.9444444444444447E-4</v>
      </c>
      <c r="D166" s="107">
        <f>Slaughtering!$G$15</f>
        <v>6.9444444444444447E-4</v>
      </c>
      <c r="E166" s="107">
        <f>Slaughtering!$I$15</f>
        <v>6.9444444444444447E-4</v>
      </c>
      <c r="F166" s="107">
        <f>Slaughtering!$K$15</f>
        <v>6.9444444444444447E-4</v>
      </c>
      <c r="G166" s="107">
        <f>Slaughtering!$M$15</f>
        <v>6.9444444444444447E-4</v>
      </c>
      <c r="H166" s="107">
        <f>Slaughtering!$O$15</f>
        <v>6.9444444444444447E-4</v>
      </c>
      <c r="I166" s="107">
        <f>Slaughtering!$Q$15</f>
        <v>6.9444444444444447E-4</v>
      </c>
      <c r="J166" s="107">
        <f>Slaughtering!$S$15</f>
        <v>6.9444444444444447E-4</v>
      </c>
      <c r="K166" s="107">
        <f>Slaughtering!$U$15</f>
        <v>6.9444444444444447E-4</v>
      </c>
      <c r="L166" s="107">
        <f>Slaughtering!$W$15</f>
        <v>6.9444444444444447E-4</v>
      </c>
      <c r="M166" s="107"/>
      <c r="N166" s="107"/>
      <c r="O166" s="107">
        <v>1E-3</v>
      </c>
      <c r="P166" s="173">
        <v>4.2000000000000003E-2</v>
      </c>
      <c r="Q166" s="82" t="s">
        <v>295</v>
      </c>
      <c r="R166" t="s">
        <v>296</v>
      </c>
      <c r="S166" s="212" t="s">
        <v>297</v>
      </c>
    </row>
    <row r="167" spans="1:70" ht="14.45">
      <c r="A167" s="148" t="s">
        <v>298</v>
      </c>
      <c r="B167" s="51">
        <v>0</v>
      </c>
      <c r="C167" s="51">
        <v>0</v>
      </c>
      <c r="D167" s="51">
        <v>0</v>
      </c>
      <c r="E167" s="51">
        <v>0</v>
      </c>
      <c r="F167" s="51">
        <v>0</v>
      </c>
      <c r="G167" s="51">
        <v>0</v>
      </c>
      <c r="H167" s="51">
        <v>0</v>
      </c>
      <c r="I167" s="51">
        <v>0</v>
      </c>
      <c r="J167" s="51">
        <v>0</v>
      </c>
      <c r="K167" s="51">
        <v>0</v>
      </c>
      <c r="L167" s="51">
        <v>0</v>
      </c>
      <c r="M167" s="38"/>
      <c r="N167" s="38"/>
      <c r="O167" s="38">
        <v>0</v>
      </c>
      <c r="P167" s="38">
        <v>0</v>
      </c>
      <c r="Q167" s="82" t="s">
        <v>299</v>
      </c>
    </row>
    <row r="168" spans="1:70" s="7" customFormat="1" ht="14.45">
      <c r="A168" s="152" t="s">
        <v>300</v>
      </c>
      <c r="B168" s="153">
        <f>B171*B170*B169*100</f>
        <v>0.36986569781577089</v>
      </c>
      <c r="C168" s="153">
        <f t="shared" ref="C168:P168" si="51">C171*C170*C169*100</f>
        <v>0.36986569781577089</v>
      </c>
      <c r="D168" s="153">
        <f t="shared" si="51"/>
        <v>0.36986569781577089</v>
      </c>
      <c r="E168" s="153">
        <f t="shared" si="51"/>
        <v>0.36986569781577089</v>
      </c>
      <c r="F168" s="153">
        <f t="shared" si="51"/>
        <v>0.36986569781577089</v>
      </c>
      <c r="G168" s="153">
        <f t="shared" si="51"/>
        <v>0.36986569781577089</v>
      </c>
      <c r="H168" s="153">
        <f t="shared" si="51"/>
        <v>0.36986569781577089</v>
      </c>
      <c r="I168" s="153">
        <f t="shared" si="51"/>
        <v>0.36986569781577089</v>
      </c>
      <c r="J168" s="153">
        <f t="shared" si="51"/>
        <v>0.36986569781577089</v>
      </c>
      <c r="K168" s="153">
        <f t="shared" si="51"/>
        <v>0.36986569781577089</v>
      </c>
      <c r="L168" s="153">
        <f t="shared" si="51"/>
        <v>0.36986569781577089</v>
      </c>
      <c r="M168" s="153"/>
      <c r="N168" s="153"/>
      <c r="O168" s="153">
        <f t="shared" si="51"/>
        <v>0.36986569781577089</v>
      </c>
      <c r="P168" s="153">
        <f t="shared" si="51"/>
        <v>0.36986569781577089</v>
      </c>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row>
    <row r="169" spans="1:70" s="21" customFormat="1" ht="14.45">
      <c r="A169" s="101" t="s">
        <v>301</v>
      </c>
      <c r="B169" s="200">
        <f>(2*(B172+B173+B175))+B174</f>
        <v>3.4722222222222224E-4</v>
      </c>
      <c r="C169" s="200">
        <f t="shared" ref="C169:P169" si="52">(2*(C172+C173+C175))+C174</f>
        <v>3.4722222222222224E-4</v>
      </c>
      <c r="D169" s="200">
        <f t="shared" si="52"/>
        <v>3.4722222222222224E-4</v>
      </c>
      <c r="E169" s="200">
        <f t="shared" si="52"/>
        <v>3.4722222222222224E-4</v>
      </c>
      <c r="F169" s="200">
        <f t="shared" si="52"/>
        <v>3.4722222222222224E-4</v>
      </c>
      <c r="G169" s="200">
        <f t="shared" si="52"/>
        <v>3.4722222222222224E-4</v>
      </c>
      <c r="H169" s="200">
        <f t="shared" si="52"/>
        <v>3.4722222222222224E-4</v>
      </c>
      <c r="I169" s="200">
        <f t="shared" si="52"/>
        <v>3.4722222222222224E-4</v>
      </c>
      <c r="J169" s="200">
        <f t="shared" si="52"/>
        <v>3.4722222222222224E-4</v>
      </c>
      <c r="K169" s="200">
        <f t="shared" si="52"/>
        <v>3.4722222222222224E-4</v>
      </c>
      <c r="L169" s="200">
        <f t="shared" si="52"/>
        <v>3.4722222222222224E-4</v>
      </c>
      <c r="M169" s="200"/>
      <c r="N169" s="200"/>
      <c r="O169" s="200">
        <f t="shared" si="52"/>
        <v>3.4722222222222224E-4</v>
      </c>
      <c r="P169" s="200">
        <f t="shared" si="52"/>
        <v>3.4722222222222224E-4</v>
      </c>
    </row>
    <row r="170" spans="1:70" ht="14.45">
      <c r="A170" s="3" t="s">
        <v>302</v>
      </c>
      <c r="B170" s="20">
        <f>Ability!$B$21</f>
        <v>8.8767767475785006E-2</v>
      </c>
      <c r="C170" s="20">
        <f>Ability!$B$21</f>
        <v>8.8767767475785006E-2</v>
      </c>
      <c r="D170" s="20">
        <f>Ability!$B$21</f>
        <v>8.8767767475785006E-2</v>
      </c>
      <c r="E170" s="20">
        <f>Ability!$B$21</f>
        <v>8.8767767475785006E-2</v>
      </c>
      <c r="F170" s="20">
        <f>Ability!$B$21</f>
        <v>8.8767767475785006E-2</v>
      </c>
      <c r="G170" s="20">
        <f>Ability!$B$21</f>
        <v>8.8767767475785006E-2</v>
      </c>
      <c r="H170" s="20">
        <f>Ability!$B$21</f>
        <v>8.8767767475785006E-2</v>
      </c>
      <c r="I170" s="20">
        <f>Ability!$B$21</f>
        <v>8.8767767475785006E-2</v>
      </c>
      <c r="J170" s="20">
        <f>Ability!$B$21</f>
        <v>8.8767767475785006E-2</v>
      </c>
      <c r="K170" s="20">
        <f>Ability!$B$21</f>
        <v>8.8767767475785006E-2</v>
      </c>
      <c r="L170" s="20">
        <f>Ability!$B$21</f>
        <v>8.8767767475785006E-2</v>
      </c>
      <c r="M170" s="20"/>
      <c r="N170" s="20"/>
      <c r="O170" s="20">
        <f>Ability!$B$21</f>
        <v>8.8767767475785006E-2</v>
      </c>
      <c r="P170" s="20">
        <f>Ability!$B$21</f>
        <v>8.8767767475785006E-2</v>
      </c>
    </row>
    <row r="171" spans="1:70" ht="14.45">
      <c r="A171" s="3" t="s">
        <v>303</v>
      </c>
      <c r="B171" s="26">
        <f>12000/100</f>
        <v>120</v>
      </c>
      <c r="C171" s="26">
        <f t="shared" ref="C171:P171" si="53">12000/100</f>
        <v>120</v>
      </c>
      <c r="D171" s="26">
        <f t="shared" si="53"/>
        <v>120</v>
      </c>
      <c r="E171" s="26">
        <f t="shared" si="53"/>
        <v>120</v>
      </c>
      <c r="F171" s="26">
        <f t="shared" si="53"/>
        <v>120</v>
      </c>
      <c r="G171" s="26">
        <f t="shared" si="53"/>
        <v>120</v>
      </c>
      <c r="H171" s="26">
        <f t="shared" si="53"/>
        <v>120</v>
      </c>
      <c r="I171" s="26">
        <f t="shared" si="53"/>
        <v>120</v>
      </c>
      <c r="J171" s="26">
        <f t="shared" si="53"/>
        <v>120</v>
      </c>
      <c r="K171" s="26">
        <f t="shared" si="53"/>
        <v>120</v>
      </c>
      <c r="L171" s="26">
        <f t="shared" si="53"/>
        <v>120</v>
      </c>
      <c r="M171" s="26"/>
      <c r="N171" s="26"/>
      <c r="O171" s="26">
        <f t="shared" si="53"/>
        <v>120</v>
      </c>
      <c r="P171" s="26">
        <f t="shared" si="53"/>
        <v>120</v>
      </c>
      <c r="Q171" t="s">
        <v>304</v>
      </c>
    </row>
    <row r="172" spans="1:70" ht="14.45">
      <c r="A172" s="3" t="s">
        <v>305</v>
      </c>
      <c r="B172" s="38">
        <v>0</v>
      </c>
      <c r="C172" s="38">
        <v>0</v>
      </c>
      <c r="D172" s="38">
        <v>0</v>
      </c>
      <c r="E172" s="38">
        <v>0</v>
      </c>
      <c r="F172" s="38">
        <v>0</v>
      </c>
      <c r="G172" s="38">
        <v>0</v>
      </c>
      <c r="H172" s="38">
        <v>0</v>
      </c>
      <c r="I172" s="38">
        <v>0</v>
      </c>
      <c r="J172" s="38">
        <v>0</v>
      </c>
      <c r="K172" s="38">
        <v>0</v>
      </c>
      <c r="L172" s="38">
        <v>0</v>
      </c>
      <c r="M172" s="38"/>
      <c r="N172" s="38"/>
      <c r="O172" s="38">
        <v>0</v>
      </c>
      <c r="P172" s="38">
        <v>0</v>
      </c>
    </row>
    <row r="173" spans="1:70" ht="14.45">
      <c r="A173" s="3" t="s">
        <v>306</v>
      </c>
      <c r="B173" s="38">
        <v>0</v>
      </c>
      <c r="C173" s="38">
        <v>0</v>
      </c>
      <c r="D173" s="38">
        <v>0</v>
      </c>
      <c r="E173" s="38">
        <v>0</v>
      </c>
      <c r="F173" s="38">
        <v>0</v>
      </c>
      <c r="G173" s="38">
        <v>0</v>
      </c>
      <c r="H173" s="38">
        <v>0</v>
      </c>
      <c r="I173" s="38">
        <v>0</v>
      </c>
      <c r="J173" s="38">
        <v>0</v>
      </c>
      <c r="K173" s="38">
        <v>0</v>
      </c>
      <c r="L173" s="38">
        <v>0</v>
      </c>
      <c r="M173" s="38"/>
      <c r="N173" s="38"/>
      <c r="O173" s="38">
        <v>0</v>
      </c>
      <c r="P173" s="38">
        <v>0</v>
      </c>
    </row>
    <row r="174" spans="1:70" ht="14.45">
      <c r="A174" s="3" t="s">
        <v>307</v>
      </c>
      <c r="B174" s="107">
        <f>Slaughtering!$C$16</f>
        <v>3.4722222222222224E-4</v>
      </c>
      <c r="C174" s="107">
        <f>Slaughtering!$E$16</f>
        <v>3.4722222222222224E-4</v>
      </c>
      <c r="D174" s="107">
        <f>Slaughtering!$G$16</f>
        <v>3.4722222222222224E-4</v>
      </c>
      <c r="E174" s="107">
        <f>Slaughtering!$I$16</f>
        <v>3.4722222222222224E-4</v>
      </c>
      <c r="F174" s="107">
        <f>Slaughtering!$K$16</f>
        <v>3.4722222222222224E-4</v>
      </c>
      <c r="G174" s="107">
        <f>Slaughtering!$M$16</f>
        <v>3.4722222222222224E-4</v>
      </c>
      <c r="H174" s="107">
        <f>Slaughtering!$O$16</f>
        <v>3.4722222222222224E-4</v>
      </c>
      <c r="I174" s="107">
        <f>Slaughtering!$Q$16</f>
        <v>3.4722222222222224E-4</v>
      </c>
      <c r="J174" s="107">
        <f>Slaughtering!$S$16</f>
        <v>3.4722222222222224E-4</v>
      </c>
      <c r="K174" s="107">
        <f>Slaughtering!$U$16</f>
        <v>3.4722222222222224E-4</v>
      </c>
      <c r="L174" s="107">
        <f>Slaughtering!$W$16</f>
        <v>3.4722222222222224E-4</v>
      </c>
      <c r="M174" s="107"/>
      <c r="N174" s="107"/>
      <c r="O174" s="219">
        <f>Slaughtering!$W$16</f>
        <v>3.4722222222222224E-4</v>
      </c>
      <c r="P174" s="219">
        <f>Slaughtering!$W$16</f>
        <v>3.4722222222222224E-4</v>
      </c>
      <c r="Q174" s="82" t="s">
        <v>308</v>
      </c>
    </row>
    <row r="175" spans="1:70" ht="14.45">
      <c r="A175" s="148" t="s">
        <v>309</v>
      </c>
      <c r="B175" s="51">
        <v>0</v>
      </c>
      <c r="C175" s="51">
        <v>0</v>
      </c>
      <c r="D175" s="51">
        <v>0</v>
      </c>
      <c r="E175" s="51">
        <v>0</v>
      </c>
      <c r="F175" s="51">
        <v>0</v>
      </c>
      <c r="G175" s="51">
        <v>0</v>
      </c>
      <c r="H175" s="51">
        <v>0</v>
      </c>
      <c r="I175" s="51">
        <v>0</v>
      </c>
      <c r="J175" s="51">
        <v>0</v>
      </c>
      <c r="K175" s="51">
        <v>0</v>
      </c>
      <c r="L175" s="51">
        <v>0</v>
      </c>
      <c r="M175" s="38"/>
      <c r="N175" s="38"/>
      <c r="O175" s="38">
        <v>0</v>
      </c>
      <c r="P175" s="38">
        <v>0</v>
      </c>
      <c r="Q175" s="82" t="s">
        <v>310</v>
      </c>
    </row>
    <row r="176" spans="1:70" s="7" customFormat="1" ht="14.45">
      <c r="A176" s="78" t="s">
        <v>311</v>
      </c>
      <c r="B176" s="156">
        <f>B179*B178*B177*100</f>
        <v>5.5325568107189609</v>
      </c>
      <c r="C176" s="156">
        <f t="shared" ref="C176:P176" si="54">C179*C178*C177*100</f>
        <v>5.5325568107189609</v>
      </c>
      <c r="D176" s="156">
        <f t="shared" si="54"/>
        <v>5.5325568107189609</v>
      </c>
      <c r="E176" s="156">
        <f t="shared" si="54"/>
        <v>5.5325568107189609</v>
      </c>
      <c r="F176" s="156">
        <f t="shared" si="54"/>
        <v>5.5325568107189609</v>
      </c>
      <c r="G176" s="156">
        <f t="shared" si="54"/>
        <v>5.5325568107189609</v>
      </c>
      <c r="H176" s="156">
        <f t="shared" si="54"/>
        <v>5.5325568107189609</v>
      </c>
      <c r="I176" s="156">
        <f t="shared" si="54"/>
        <v>5.5325568107189609</v>
      </c>
      <c r="J176" s="156">
        <f t="shared" si="54"/>
        <v>5.5325568107189609</v>
      </c>
      <c r="K176" s="156">
        <f t="shared" si="54"/>
        <v>5.5325568107189609</v>
      </c>
      <c r="L176" s="156">
        <f t="shared" si="54"/>
        <v>5.5325568107189609</v>
      </c>
      <c r="M176" s="156"/>
      <c r="N176" s="156"/>
      <c r="O176" s="156">
        <f t="shared" si="54"/>
        <v>6.639068172862754E-2</v>
      </c>
      <c r="P176" s="156">
        <f t="shared" si="54"/>
        <v>5.5325568107189609</v>
      </c>
      <c r="Q176"/>
      <c r="R176"/>
      <c r="S176" t="s">
        <v>312</v>
      </c>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row>
    <row r="177" spans="1:70" s="21" customFormat="1" ht="14.45">
      <c r="A177" s="101" t="s">
        <v>313</v>
      </c>
      <c r="B177" s="20">
        <f>(2*(B180+B181+B183))+B182</f>
        <v>8.3333333333333329E-2</v>
      </c>
      <c r="C177" s="20">
        <f t="shared" ref="C177:P177" si="55">(2*(C180+C181+C183))+C182</f>
        <v>8.3333333333333329E-2</v>
      </c>
      <c r="D177" s="20">
        <f t="shared" si="55"/>
        <v>8.3333333333333329E-2</v>
      </c>
      <c r="E177" s="20">
        <f t="shared" si="55"/>
        <v>8.3333333333333329E-2</v>
      </c>
      <c r="F177" s="20">
        <f t="shared" si="55"/>
        <v>8.3333333333333329E-2</v>
      </c>
      <c r="G177" s="20">
        <f t="shared" si="55"/>
        <v>8.3333333333333329E-2</v>
      </c>
      <c r="H177" s="20">
        <f t="shared" si="55"/>
        <v>8.3333333333333329E-2</v>
      </c>
      <c r="I177" s="20">
        <f t="shared" si="55"/>
        <v>8.3333333333333329E-2</v>
      </c>
      <c r="J177" s="20">
        <f t="shared" si="55"/>
        <v>8.3333333333333329E-2</v>
      </c>
      <c r="K177" s="20">
        <f t="shared" si="55"/>
        <v>8.3333333333333329E-2</v>
      </c>
      <c r="L177" s="20">
        <f t="shared" si="55"/>
        <v>8.3333333333333329E-2</v>
      </c>
      <c r="M177" s="20"/>
      <c r="N177" s="20"/>
      <c r="O177" s="20">
        <f t="shared" si="55"/>
        <v>1E-3</v>
      </c>
      <c r="P177" s="20">
        <f t="shared" si="55"/>
        <v>8.3333333333333329E-2</v>
      </c>
    </row>
    <row r="178" spans="1:70" ht="14.45">
      <c r="A178" s="3" t="s">
        <v>314</v>
      </c>
      <c r="B178" s="20">
        <f>Ability!$B$22</f>
        <v>4.9917805810998139E-2</v>
      </c>
      <c r="C178" s="20">
        <f>Ability!$B$22</f>
        <v>4.9917805810998139E-2</v>
      </c>
      <c r="D178" s="20">
        <f>Ability!$B$22</f>
        <v>4.9917805810998139E-2</v>
      </c>
      <c r="E178" s="20">
        <f>Ability!$B$22</f>
        <v>4.9917805810998139E-2</v>
      </c>
      <c r="F178" s="20">
        <f>Ability!$B$22</f>
        <v>4.9917805810998139E-2</v>
      </c>
      <c r="G178" s="20">
        <f>Ability!$B$22</f>
        <v>4.9917805810998139E-2</v>
      </c>
      <c r="H178" s="20">
        <f>Ability!$B$22</f>
        <v>4.9917805810998139E-2</v>
      </c>
      <c r="I178" s="20">
        <f>Ability!$B$22</f>
        <v>4.9917805810998139E-2</v>
      </c>
      <c r="J178" s="20">
        <f>Ability!$B$22</f>
        <v>4.9917805810998139E-2</v>
      </c>
      <c r="K178" s="20">
        <f>Ability!$B$22</f>
        <v>4.9917805810998139E-2</v>
      </c>
      <c r="L178" s="20">
        <f>Ability!$B$22</f>
        <v>4.9917805810998139E-2</v>
      </c>
      <c r="M178" s="20"/>
      <c r="N178" s="20"/>
      <c r="O178" s="20">
        <f>Ability!$B$22</f>
        <v>4.9917805810998139E-2</v>
      </c>
      <c r="P178" s="20">
        <f>Ability!$B$22</f>
        <v>4.9917805810998139E-2</v>
      </c>
    </row>
    <row r="179" spans="1:70" ht="14.45">
      <c r="A179" s="102" t="s">
        <v>315</v>
      </c>
      <c r="B179" s="103">
        <f>133/10</f>
        <v>13.3</v>
      </c>
      <c r="C179" s="103">
        <f t="shared" ref="C179:P179" si="56">133/10</f>
        <v>13.3</v>
      </c>
      <c r="D179" s="103">
        <f t="shared" si="56"/>
        <v>13.3</v>
      </c>
      <c r="E179" s="103">
        <f t="shared" si="56"/>
        <v>13.3</v>
      </c>
      <c r="F179" s="103">
        <f t="shared" si="56"/>
        <v>13.3</v>
      </c>
      <c r="G179" s="103">
        <f t="shared" si="56"/>
        <v>13.3</v>
      </c>
      <c r="H179" s="103">
        <f t="shared" si="56"/>
        <v>13.3</v>
      </c>
      <c r="I179" s="103">
        <f t="shared" si="56"/>
        <v>13.3</v>
      </c>
      <c r="J179" s="103">
        <f t="shared" si="56"/>
        <v>13.3</v>
      </c>
      <c r="K179" s="103">
        <f t="shared" si="56"/>
        <v>13.3</v>
      </c>
      <c r="L179" s="103">
        <f t="shared" si="56"/>
        <v>13.3</v>
      </c>
      <c r="M179" s="103"/>
      <c r="N179" s="103"/>
      <c r="O179" s="103">
        <f t="shared" si="56"/>
        <v>13.3</v>
      </c>
      <c r="P179" s="103">
        <f t="shared" si="56"/>
        <v>13.3</v>
      </c>
      <c r="Q179" s="82" t="s">
        <v>316</v>
      </c>
      <c r="R179" s="105" t="s">
        <v>317</v>
      </c>
      <c r="S179" t="s">
        <v>318</v>
      </c>
    </row>
    <row r="180" spans="1:70" ht="14.45">
      <c r="A180" s="3" t="s">
        <v>319</v>
      </c>
      <c r="B180" s="38">
        <v>0</v>
      </c>
      <c r="C180" s="38">
        <v>0</v>
      </c>
      <c r="D180" s="38">
        <v>0</v>
      </c>
      <c r="E180" s="38">
        <v>0</v>
      </c>
      <c r="F180" s="38">
        <v>0</v>
      </c>
      <c r="G180" s="38">
        <v>0</v>
      </c>
      <c r="H180" s="38">
        <v>0</v>
      </c>
      <c r="I180" s="38">
        <v>0</v>
      </c>
      <c r="J180" s="38">
        <v>0</v>
      </c>
      <c r="K180" s="38">
        <v>0</v>
      </c>
      <c r="L180" s="38">
        <v>0</v>
      </c>
      <c r="M180" s="38"/>
      <c r="N180" s="38"/>
      <c r="O180" s="38">
        <v>0</v>
      </c>
      <c r="P180" s="38">
        <v>0</v>
      </c>
    </row>
    <row r="181" spans="1:70" ht="14.45">
      <c r="A181" s="3" t="s">
        <v>320</v>
      </c>
      <c r="B181" s="38">
        <v>0</v>
      </c>
      <c r="C181" s="38">
        <v>0</v>
      </c>
      <c r="D181" s="38">
        <v>0</v>
      </c>
      <c r="E181" s="38">
        <v>0</v>
      </c>
      <c r="F181" s="38">
        <v>0</v>
      </c>
      <c r="G181" s="38">
        <v>0</v>
      </c>
      <c r="H181" s="38">
        <v>0</v>
      </c>
      <c r="I181" s="38">
        <v>0</v>
      </c>
      <c r="J181" s="38">
        <v>0</v>
      </c>
      <c r="K181" s="38">
        <v>0</v>
      </c>
      <c r="L181" s="38">
        <v>0</v>
      </c>
      <c r="M181" s="38"/>
      <c r="N181" s="38"/>
      <c r="O181" s="38">
        <v>0</v>
      </c>
      <c r="P181" s="38">
        <v>0</v>
      </c>
    </row>
    <row r="182" spans="1:70" ht="14.45">
      <c r="A182" s="3" t="s">
        <v>321</v>
      </c>
      <c r="B182" s="107">
        <f>Slaughtering!$C$17</f>
        <v>8.3333333333333329E-2</v>
      </c>
      <c r="C182" s="107">
        <f>Slaughtering!$E$17</f>
        <v>8.3333333333333329E-2</v>
      </c>
      <c r="D182" s="107">
        <f>Slaughtering!$G$17</f>
        <v>8.3333333333333329E-2</v>
      </c>
      <c r="E182" s="107">
        <f>Slaughtering!$I$17</f>
        <v>8.3333333333333329E-2</v>
      </c>
      <c r="F182" s="107">
        <f>Slaughtering!$K$17</f>
        <v>8.3333333333333329E-2</v>
      </c>
      <c r="G182" s="107">
        <f>Slaughtering!$M$17</f>
        <v>8.3333333333333329E-2</v>
      </c>
      <c r="H182" s="107">
        <f>Slaughtering!$O$17</f>
        <v>8.3333333333333329E-2</v>
      </c>
      <c r="I182" s="107">
        <f>Slaughtering!$Q$17</f>
        <v>8.3333333333333329E-2</v>
      </c>
      <c r="J182" s="107">
        <f>Slaughtering!$S$17</f>
        <v>8.3333333333333329E-2</v>
      </c>
      <c r="K182" s="107">
        <f>Slaughtering!$U$17</f>
        <v>8.3333333333333329E-2</v>
      </c>
      <c r="L182" s="107">
        <f>Slaughtering!$W$17</f>
        <v>8.3333333333333329E-2</v>
      </c>
      <c r="M182" s="107"/>
      <c r="N182" s="107"/>
      <c r="O182" s="107">
        <v>1E-3</v>
      </c>
      <c r="P182" s="107">
        <f>Slaughtering!$W$17</f>
        <v>8.3333333333333329E-2</v>
      </c>
      <c r="Q182" s="82" t="s">
        <v>322</v>
      </c>
    </row>
    <row r="183" spans="1:70" ht="14.45">
      <c r="A183" s="148" t="s">
        <v>323</v>
      </c>
      <c r="B183" s="51">
        <v>0</v>
      </c>
      <c r="C183" s="51">
        <v>0</v>
      </c>
      <c r="D183" s="51">
        <v>0</v>
      </c>
      <c r="E183" s="51">
        <v>0</v>
      </c>
      <c r="F183" s="51">
        <v>0</v>
      </c>
      <c r="G183" s="51">
        <v>0</v>
      </c>
      <c r="H183" s="51">
        <v>0</v>
      </c>
      <c r="I183" s="51">
        <v>0</v>
      </c>
      <c r="J183" s="51">
        <v>0</v>
      </c>
      <c r="K183" s="51">
        <v>0</v>
      </c>
      <c r="L183" s="51">
        <v>0</v>
      </c>
      <c r="M183" s="38"/>
      <c r="N183" s="38"/>
      <c r="O183" s="38">
        <v>0</v>
      </c>
      <c r="P183" s="38">
        <v>0</v>
      </c>
      <c r="Q183" s="82" t="s">
        <v>324</v>
      </c>
    </row>
    <row r="184" spans="1:70" s="7" customFormat="1" ht="14.45">
      <c r="A184" s="78" t="s">
        <v>325</v>
      </c>
      <c r="B184" s="79">
        <f>B187*B186*B185*100</f>
        <v>7.6084608464571506</v>
      </c>
      <c r="C184" s="79">
        <f t="shared" ref="C184:P184" si="57">C187*C186*C185*100</f>
        <v>7.6084608464571506</v>
      </c>
      <c r="D184" s="79">
        <f t="shared" si="57"/>
        <v>7.6084608464571506</v>
      </c>
      <c r="E184" s="79">
        <f t="shared" si="57"/>
        <v>7.6084608464571506</v>
      </c>
      <c r="F184" s="79">
        <f t="shared" si="57"/>
        <v>7.6084608464571506</v>
      </c>
      <c r="G184" s="79">
        <f t="shared" si="57"/>
        <v>7.6084608464571506</v>
      </c>
      <c r="H184" s="79">
        <f t="shared" si="57"/>
        <v>7.6084608464571506</v>
      </c>
      <c r="I184" s="79">
        <f t="shared" si="57"/>
        <v>7.6084608464571506</v>
      </c>
      <c r="J184" s="79">
        <f t="shared" si="57"/>
        <v>7.6084608464571506</v>
      </c>
      <c r="K184" s="79">
        <f t="shared" si="57"/>
        <v>7.6084608464571506</v>
      </c>
      <c r="L184" s="79">
        <f t="shared" si="57"/>
        <v>7.6084608464571506</v>
      </c>
      <c r="M184" s="79"/>
      <c r="N184" s="79"/>
      <c r="O184" s="79">
        <f t="shared" si="57"/>
        <v>0.18260306031497164</v>
      </c>
      <c r="P184" s="79">
        <f t="shared" si="57"/>
        <v>7.6084608464571506</v>
      </c>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row>
    <row r="185" spans="1:70" s="21" customFormat="1" ht="14.45">
      <c r="A185" s="101" t="s">
        <v>326</v>
      </c>
      <c r="B185" s="20">
        <f>(2*(B188+B189+B191))+B190</f>
        <v>4.1666666666666664E-2</v>
      </c>
      <c r="C185" s="20">
        <f t="shared" ref="C185:P185" si="58">(2*(C188+C189+C191))+C190</f>
        <v>4.1666666666666664E-2</v>
      </c>
      <c r="D185" s="20">
        <f t="shared" si="58"/>
        <v>4.1666666666666664E-2</v>
      </c>
      <c r="E185" s="20">
        <f t="shared" si="58"/>
        <v>4.1666666666666664E-2</v>
      </c>
      <c r="F185" s="20">
        <f t="shared" si="58"/>
        <v>4.1666666666666664E-2</v>
      </c>
      <c r="G185" s="20">
        <f t="shared" si="58"/>
        <v>4.1666666666666664E-2</v>
      </c>
      <c r="H185" s="20">
        <f t="shared" si="58"/>
        <v>4.1666666666666664E-2</v>
      </c>
      <c r="I185" s="20">
        <f t="shared" si="58"/>
        <v>4.1666666666666664E-2</v>
      </c>
      <c r="J185" s="20">
        <f t="shared" si="58"/>
        <v>4.1666666666666664E-2</v>
      </c>
      <c r="K185" s="20">
        <f t="shared" si="58"/>
        <v>4.1666666666666664E-2</v>
      </c>
      <c r="L185" s="20">
        <f t="shared" si="58"/>
        <v>4.1666666666666664E-2</v>
      </c>
      <c r="M185" s="20"/>
      <c r="N185" s="20"/>
      <c r="O185" s="20">
        <f t="shared" si="58"/>
        <v>1E-3</v>
      </c>
      <c r="P185" s="20">
        <f t="shared" si="58"/>
        <v>4.1666666666666664E-2</v>
      </c>
    </row>
    <row r="186" spans="1:70" ht="14.45">
      <c r="A186" s="3" t="s">
        <v>327</v>
      </c>
      <c r="B186" s="20">
        <f>Ability!$B$23</f>
        <v>0.1460824482519773</v>
      </c>
      <c r="C186" s="20">
        <f>Ability!$B$23</f>
        <v>0.1460824482519773</v>
      </c>
      <c r="D186" s="20">
        <f>Ability!$B$23</f>
        <v>0.1460824482519773</v>
      </c>
      <c r="E186" s="20">
        <f>Ability!$B$23</f>
        <v>0.1460824482519773</v>
      </c>
      <c r="F186" s="20">
        <f>Ability!$B$23</f>
        <v>0.1460824482519773</v>
      </c>
      <c r="G186" s="20">
        <f>Ability!$B$23</f>
        <v>0.1460824482519773</v>
      </c>
      <c r="H186" s="20">
        <f>Ability!$B$23</f>
        <v>0.1460824482519773</v>
      </c>
      <c r="I186" s="20">
        <f>Ability!$B$23</f>
        <v>0.1460824482519773</v>
      </c>
      <c r="J186" s="20">
        <f>Ability!$B$23</f>
        <v>0.1460824482519773</v>
      </c>
      <c r="K186" s="20">
        <f>Ability!$B$23</f>
        <v>0.1460824482519773</v>
      </c>
      <c r="L186" s="20">
        <f>Ability!$B$23</f>
        <v>0.1460824482519773</v>
      </c>
      <c r="M186" s="20"/>
      <c r="N186" s="20"/>
      <c r="O186" s="20">
        <f>Ability!$B$23</f>
        <v>0.1460824482519773</v>
      </c>
      <c r="P186" s="20">
        <f>Ability!$B$23</f>
        <v>0.1460824482519773</v>
      </c>
    </row>
    <row r="187" spans="1:70" ht="14.45">
      <c r="A187" s="102" t="s">
        <v>328</v>
      </c>
      <c r="B187" s="103">
        <f>125/10</f>
        <v>12.5</v>
      </c>
      <c r="C187" s="103">
        <f t="shared" ref="C187:P187" si="59">125/10</f>
        <v>12.5</v>
      </c>
      <c r="D187" s="103">
        <f t="shared" si="59"/>
        <v>12.5</v>
      </c>
      <c r="E187" s="103">
        <f t="shared" si="59"/>
        <v>12.5</v>
      </c>
      <c r="F187" s="103">
        <f t="shared" si="59"/>
        <v>12.5</v>
      </c>
      <c r="G187" s="103">
        <f t="shared" si="59"/>
        <v>12.5</v>
      </c>
      <c r="H187" s="103">
        <f t="shared" si="59"/>
        <v>12.5</v>
      </c>
      <c r="I187" s="103">
        <f t="shared" si="59"/>
        <v>12.5</v>
      </c>
      <c r="J187" s="103">
        <f t="shared" si="59"/>
        <v>12.5</v>
      </c>
      <c r="K187" s="103">
        <f t="shared" si="59"/>
        <v>12.5</v>
      </c>
      <c r="L187" s="103">
        <f t="shared" si="59"/>
        <v>12.5</v>
      </c>
      <c r="M187" s="103"/>
      <c r="N187" s="103"/>
      <c r="O187" s="103">
        <f t="shared" si="59"/>
        <v>12.5</v>
      </c>
      <c r="P187" s="103">
        <f t="shared" si="59"/>
        <v>12.5</v>
      </c>
      <c r="Q187" s="82" t="s">
        <v>329</v>
      </c>
      <c r="R187" s="105" t="s">
        <v>330</v>
      </c>
      <c r="S187" t="s">
        <v>331</v>
      </c>
    </row>
    <row r="188" spans="1:70" ht="14.45">
      <c r="A188" s="3" t="s">
        <v>332</v>
      </c>
      <c r="B188" s="38">
        <v>0</v>
      </c>
      <c r="C188" s="38">
        <v>0</v>
      </c>
      <c r="D188" s="38">
        <v>0</v>
      </c>
      <c r="E188" s="38">
        <v>0</v>
      </c>
      <c r="F188" s="38">
        <v>0</v>
      </c>
      <c r="G188" s="38">
        <v>0</v>
      </c>
      <c r="H188" s="38">
        <v>0</v>
      </c>
      <c r="I188" s="38">
        <v>0</v>
      </c>
      <c r="J188" s="38">
        <v>0</v>
      </c>
      <c r="K188" s="38">
        <v>0</v>
      </c>
      <c r="L188" s="38">
        <v>0</v>
      </c>
      <c r="M188" s="38"/>
      <c r="N188" s="38"/>
      <c r="O188" s="38">
        <v>0</v>
      </c>
      <c r="P188" s="38">
        <v>0</v>
      </c>
    </row>
    <row r="189" spans="1:70" ht="14.45">
      <c r="A189" s="3" t="s">
        <v>333</v>
      </c>
      <c r="B189" s="38">
        <v>0</v>
      </c>
      <c r="C189" s="38">
        <v>0</v>
      </c>
      <c r="D189" s="38">
        <v>0</v>
      </c>
      <c r="E189" s="38">
        <v>0</v>
      </c>
      <c r="F189" s="38">
        <v>0</v>
      </c>
      <c r="G189" s="38">
        <v>0</v>
      </c>
      <c r="H189" s="38">
        <v>0</v>
      </c>
      <c r="I189" s="38">
        <v>0</v>
      </c>
      <c r="J189" s="38">
        <v>0</v>
      </c>
      <c r="K189" s="38">
        <v>0</v>
      </c>
      <c r="L189" s="38">
        <v>0</v>
      </c>
      <c r="M189" s="38"/>
      <c r="N189" s="38"/>
      <c r="O189" s="38">
        <v>0</v>
      </c>
      <c r="P189" s="38">
        <v>0</v>
      </c>
    </row>
    <row r="190" spans="1:70" ht="14.45">
      <c r="A190" s="3" t="s">
        <v>334</v>
      </c>
      <c r="B190" s="20">
        <f>Slaughtering!$C$18</f>
        <v>4.1666666666666664E-2</v>
      </c>
      <c r="C190" s="20">
        <f>Slaughtering!$E$18</f>
        <v>4.1666666666666664E-2</v>
      </c>
      <c r="D190" s="20">
        <f>Slaughtering!$G$18</f>
        <v>4.1666666666666664E-2</v>
      </c>
      <c r="E190" s="20">
        <f>Slaughtering!$I$18</f>
        <v>4.1666666666666664E-2</v>
      </c>
      <c r="F190" s="20">
        <f>Slaughtering!$K$18</f>
        <v>4.1666666666666664E-2</v>
      </c>
      <c r="G190" s="20">
        <f>Slaughtering!$M$18</f>
        <v>4.1666666666666664E-2</v>
      </c>
      <c r="H190" s="20">
        <f>Slaughtering!$O$18</f>
        <v>4.1666666666666664E-2</v>
      </c>
      <c r="I190" s="20">
        <f>Slaughtering!$Q$18</f>
        <v>4.1666666666666664E-2</v>
      </c>
      <c r="J190" s="20">
        <f>Slaughtering!$S$18</f>
        <v>4.1666666666666664E-2</v>
      </c>
      <c r="K190" s="20">
        <f>Slaughtering!$U$18</f>
        <v>4.1666666666666664E-2</v>
      </c>
      <c r="L190" s="20">
        <f>Slaughtering!$W$18</f>
        <v>4.1666666666666664E-2</v>
      </c>
      <c r="M190" s="20"/>
      <c r="N190" s="20"/>
      <c r="O190" s="20">
        <v>1E-3</v>
      </c>
      <c r="P190" s="20">
        <f>Slaughtering!$W$18</f>
        <v>4.1666666666666664E-2</v>
      </c>
      <c r="Q190" s="212" t="s">
        <v>335</v>
      </c>
    </row>
    <row r="191" spans="1:70" ht="14.45">
      <c r="A191" s="148" t="s">
        <v>336</v>
      </c>
      <c r="B191" s="51">
        <v>0</v>
      </c>
      <c r="C191" s="51">
        <v>0</v>
      </c>
      <c r="D191" s="51">
        <v>0</v>
      </c>
      <c r="E191" s="51">
        <v>0</v>
      </c>
      <c r="F191" s="51">
        <v>0</v>
      </c>
      <c r="G191" s="51">
        <v>0</v>
      </c>
      <c r="H191" s="51">
        <v>0</v>
      </c>
      <c r="I191" s="51">
        <v>0</v>
      </c>
      <c r="J191" s="51">
        <v>0</v>
      </c>
      <c r="K191" s="51">
        <v>0</v>
      </c>
      <c r="L191" s="51">
        <v>0</v>
      </c>
      <c r="M191" s="38"/>
      <c r="N191" s="38"/>
      <c r="O191" s="38">
        <v>0</v>
      </c>
      <c r="P191" s="38">
        <v>0</v>
      </c>
    </row>
    <row r="192" spans="1:70" s="7" customFormat="1" ht="14.45">
      <c r="A192" s="78" t="s">
        <v>337</v>
      </c>
      <c r="B192" s="79">
        <f>B195*B194*B193*100</f>
        <v>0.70248667398552689</v>
      </c>
      <c r="C192" s="79">
        <f t="shared" ref="C192:P192" si="60">C195*C194*C193*100</f>
        <v>0.70248667398552689</v>
      </c>
      <c r="D192" s="79">
        <f t="shared" si="60"/>
        <v>0.70248667398552689</v>
      </c>
      <c r="E192" s="79">
        <f t="shared" si="60"/>
        <v>0.70248667398552689</v>
      </c>
      <c r="F192" s="79">
        <f t="shared" si="60"/>
        <v>0.70248667398552689</v>
      </c>
      <c r="G192" s="79">
        <f t="shared" si="60"/>
        <v>0.70248667398552689</v>
      </c>
      <c r="H192" s="79">
        <f t="shared" si="60"/>
        <v>0.70248667398552689</v>
      </c>
      <c r="I192" s="79">
        <f t="shared" si="60"/>
        <v>0.70248667398552689</v>
      </c>
      <c r="J192" s="79">
        <f t="shared" si="60"/>
        <v>0.70248667398552689</v>
      </c>
      <c r="K192" s="79">
        <f t="shared" si="60"/>
        <v>0.70248667398552689</v>
      </c>
      <c r="L192" s="79">
        <f t="shared" si="60"/>
        <v>0.70248667398552689</v>
      </c>
      <c r="M192" s="79"/>
      <c r="N192" s="79"/>
      <c r="O192" s="79">
        <f t="shared" si="60"/>
        <v>4.8170514787578981E-3</v>
      </c>
      <c r="P192" s="79">
        <f t="shared" si="60"/>
        <v>0.70248667398552689</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row>
    <row r="193" spans="1:70" s="21" customFormat="1" ht="14.45">
      <c r="A193" s="101" t="s">
        <v>338</v>
      </c>
      <c r="B193" s="20">
        <f>(2*(B196+B197+B199))+B198</f>
        <v>0.14583333333333334</v>
      </c>
      <c r="C193" s="20">
        <f t="shared" ref="C193:P193" si="61">(2*(C196+C197+C199))+C198</f>
        <v>0.14583333333333334</v>
      </c>
      <c r="D193" s="20">
        <f t="shared" si="61"/>
        <v>0.14583333333333334</v>
      </c>
      <c r="E193" s="20">
        <f t="shared" si="61"/>
        <v>0.14583333333333334</v>
      </c>
      <c r="F193" s="20">
        <f t="shared" si="61"/>
        <v>0.14583333333333334</v>
      </c>
      <c r="G193" s="20">
        <f t="shared" si="61"/>
        <v>0.14583333333333334</v>
      </c>
      <c r="H193" s="20">
        <f t="shared" si="61"/>
        <v>0.14583333333333334</v>
      </c>
      <c r="I193" s="20">
        <f t="shared" si="61"/>
        <v>0.14583333333333334</v>
      </c>
      <c r="J193" s="20">
        <f t="shared" si="61"/>
        <v>0.14583333333333334</v>
      </c>
      <c r="K193" s="20">
        <f t="shared" si="61"/>
        <v>0.14583333333333334</v>
      </c>
      <c r="L193" s="20">
        <f t="shared" si="61"/>
        <v>0.14583333333333334</v>
      </c>
      <c r="M193" s="20"/>
      <c r="N193" s="20"/>
      <c r="O193" s="20">
        <f t="shared" si="61"/>
        <v>1E-3</v>
      </c>
      <c r="P193" s="20">
        <f t="shared" si="61"/>
        <v>0.14583333333333334</v>
      </c>
    </row>
    <row r="194" spans="1:70" ht="14.45">
      <c r="A194" s="3" t="s">
        <v>339</v>
      </c>
      <c r="B194" s="20">
        <f>Ability!$B$24</f>
        <v>0.37054242144291522</v>
      </c>
      <c r="C194" s="20">
        <f>Ability!$B$24</f>
        <v>0.37054242144291522</v>
      </c>
      <c r="D194" s="20">
        <f>Ability!$B$24</f>
        <v>0.37054242144291522</v>
      </c>
      <c r="E194" s="20">
        <f>Ability!$B$24</f>
        <v>0.37054242144291522</v>
      </c>
      <c r="F194" s="20">
        <f>Ability!$B$24</f>
        <v>0.37054242144291522</v>
      </c>
      <c r="G194" s="20">
        <f>Ability!$B$24</f>
        <v>0.37054242144291522</v>
      </c>
      <c r="H194" s="20">
        <f>Ability!$B$24</f>
        <v>0.37054242144291522</v>
      </c>
      <c r="I194" s="20">
        <f>Ability!$B$24</f>
        <v>0.37054242144291522</v>
      </c>
      <c r="J194" s="20">
        <f>Ability!$B$24</f>
        <v>0.37054242144291522</v>
      </c>
      <c r="K194" s="20">
        <f>Ability!$B$24</f>
        <v>0.37054242144291522</v>
      </c>
      <c r="L194" s="20">
        <f>Ability!$B$24</f>
        <v>0.37054242144291522</v>
      </c>
      <c r="M194" s="20"/>
      <c r="N194" s="20"/>
      <c r="O194" s="20">
        <f>Ability!$B$24</f>
        <v>0.37054242144291522</v>
      </c>
      <c r="P194" s="20">
        <f>Ability!$B$24</f>
        <v>0.37054242144291522</v>
      </c>
    </row>
    <row r="195" spans="1:70" ht="14.45">
      <c r="A195" s="3" t="s">
        <v>340</v>
      </c>
      <c r="B195" s="26">
        <v>0.13</v>
      </c>
      <c r="C195" s="26">
        <v>0.13</v>
      </c>
      <c r="D195" s="26">
        <v>0.13</v>
      </c>
      <c r="E195" s="26">
        <v>0.13</v>
      </c>
      <c r="F195" s="26">
        <v>0.13</v>
      </c>
      <c r="G195" s="26">
        <v>0.13</v>
      </c>
      <c r="H195" s="26">
        <v>0.13</v>
      </c>
      <c r="I195" s="26">
        <v>0.13</v>
      </c>
      <c r="J195" s="26">
        <v>0.13</v>
      </c>
      <c r="K195" s="26">
        <v>0.13</v>
      </c>
      <c r="L195" s="26">
        <v>0.13</v>
      </c>
      <c r="M195" s="26"/>
      <c r="N195" s="26"/>
      <c r="O195" s="26">
        <v>0.13</v>
      </c>
      <c r="P195" s="26">
        <v>0.13</v>
      </c>
      <c r="Q195" s="82" t="s">
        <v>341</v>
      </c>
      <c r="S195" t="s">
        <v>342</v>
      </c>
    </row>
    <row r="196" spans="1:70" ht="14.45">
      <c r="A196" s="3" t="s">
        <v>343</v>
      </c>
      <c r="B196" s="38">
        <v>0</v>
      </c>
      <c r="C196" s="38">
        <v>0</v>
      </c>
      <c r="D196" s="38">
        <v>0</v>
      </c>
      <c r="E196" s="38">
        <v>0</v>
      </c>
      <c r="F196" s="38">
        <v>0</v>
      </c>
      <c r="G196" s="38">
        <v>0</v>
      </c>
      <c r="H196" s="38">
        <v>0</v>
      </c>
      <c r="I196" s="38">
        <v>0</v>
      </c>
      <c r="J196" s="38">
        <v>0</v>
      </c>
      <c r="K196" s="38">
        <v>0</v>
      </c>
      <c r="L196" s="38">
        <v>0</v>
      </c>
      <c r="M196" s="38"/>
      <c r="N196" s="38"/>
      <c r="O196" s="38">
        <v>0</v>
      </c>
      <c r="P196" s="38">
        <v>0</v>
      </c>
    </row>
    <row r="197" spans="1:70" ht="14.45">
      <c r="A197" s="3" t="s">
        <v>344</v>
      </c>
      <c r="B197" s="38">
        <v>0</v>
      </c>
      <c r="C197" s="38">
        <v>0</v>
      </c>
      <c r="D197" s="38">
        <v>0</v>
      </c>
      <c r="E197" s="38">
        <v>0</v>
      </c>
      <c r="F197" s="38">
        <v>0</v>
      </c>
      <c r="G197" s="38">
        <v>0</v>
      </c>
      <c r="H197" s="38">
        <v>0</v>
      </c>
      <c r="I197" s="38">
        <v>0</v>
      </c>
      <c r="J197" s="38">
        <v>0</v>
      </c>
      <c r="K197" s="38">
        <v>0</v>
      </c>
      <c r="L197" s="38">
        <v>0</v>
      </c>
      <c r="M197" s="38"/>
      <c r="N197" s="38"/>
      <c r="O197" s="38">
        <v>0</v>
      </c>
      <c r="P197" s="38">
        <v>0</v>
      </c>
    </row>
    <row r="198" spans="1:70" ht="14.45">
      <c r="A198" s="3" t="s">
        <v>345</v>
      </c>
      <c r="B198" s="20">
        <f>Slaughtering!$C$19</f>
        <v>0.14583333333333334</v>
      </c>
      <c r="C198" s="20">
        <f>Slaughtering!$E$19</f>
        <v>0.14583333333333334</v>
      </c>
      <c r="D198" s="20">
        <f>Slaughtering!$G$19</f>
        <v>0.14583333333333334</v>
      </c>
      <c r="E198" s="20">
        <f>Slaughtering!$I$19</f>
        <v>0.14583333333333334</v>
      </c>
      <c r="F198" s="20">
        <f>Slaughtering!$K$19</f>
        <v>0.14583333333333334</v>
      </c>
      <c r="G198" s="20">
        <f>Slaughtering!$M$19</f>
        <v>0.14583333333333334</v>
      </c>
      <c r="H198" s="20">
        <f>Slaughtering!$O$19</f>
        <v>0.14583333333333334</v>
      </c>
      <c r="I198" s="20">
        <f>Slaughtering!$Q$19</f>
        <v>0.14583333333333334</v>
      </c>
      <c r="J198" s="20">
        <f>Slaughtering!$S$19</f>
        <v>0.14583333333333334</v>
      </c>
      <c r="K198" s="20">
        <f>Slaughtering!$U$19</f>
        <v>0.14583333333333334</v>
      </c>
      <c r="L198" s="20">
        <f>Slaughtering!$W$19</f>
        <v>0.14583333333333334</v>
      </c>
      <c r="M198" s="20"/>
      <c r="N198" s="20"/>
      <c r="O198" s="20">
        <v>1E-3</v>
      </c>
      <c r="P198" s="20">
        <f>Slaughtering!$W$19</f>
        <v>0.14583333333333334</v>
      </c>
      <c r="Q198" s="212" t="s">
        <v>346</v>
      </c>
    </row>
    <row r="199" spans="1:70" ht="14.45">
      <c r="A199" s="148" t="s">
        <v>347</v>
      </c>
      <c r="B199" s="51">
        <v>0</v>
      </c>
      <c r="C199" s="51">
        <v>0</v>
      </c>
      <c r="D199" s="51">
        <v>0</v>
      </c>
      <c r="E199" s="51">
        <v>0</v>
      </c>
      <c r="F199" s="51">
        <v>0</v>
      </c>
      <c r="G199" s="51">
        <v>0</v>
      </c>
      <c r="H199" s="51">
        <v>0</v>
      </c>
      <c r="I199" s="51">
        <v>0</v>
      </c>
      <c r="J199" s="51">
        <v>0</v>
      </c>
      <c r="K199" s="51">
        <v>0</v>
      </c>
      <c r="L199" s="51">
        <v>0</v>
      </c>
      <c r="M199" s="38"/>
      <c r="N199" s="38"/>
      <c r="O199" s="38">
        <v>0</v>
      </c>
      <c r="P199" s="38">
        <v>0</v>
      </c>
    </row>
    <row r="200" spans="1:70" s="102" customFormat="1" ht="14.45">
      <c r="A200" s="36" t="s">
        <v>348</v>
      </c>
      <c r="B200" s="109">
        <f>B203*B202*B201*100</f>
        <v>0.34637964774951074</v>
      </c>
      <c r="C200" s="109">
        <f t="shared" ref="C200:P200" si="62">C203*C202*C201*100</f>
        <v>0.41846881301717542</v>
      </c>
      <c r="D200" s="109">
        <f t="shared" si="62"/>
        <v>0.3595666901765226</v>
      </c>
      <c r="E200" s="109">
        <f t="shared" si="62"/>
        <v>0.41934794917897616</v>
      </c>
      <c r="F200" s="109">
        <f t="shared" si="62"/>
        <v>0.44308462554759748</v>
      </c>
      <c r="G200" s="109">
        <f t="shared" si="62"/>
        <v>0.43868894473859354</v>
      </c>
      <c r="H200" s="109">
        <f t="shared" si="62"/>
        <v>0.44484289787119907</v>
      </c>
      <c r="I200" s="109">
        <f t="shared" si="62"/>
        <v>0.36923718795633126</v>
      </c>
      <c r="J200" s="109">
        <f t="shared" si="62"/>
        <v>0.49231625060844164</v>
      </c>
      <c r="K200" s="109">
        <f t="shared" si="62"/>
        <v>0.41758967685537457</v>
      </c>
      <c r="L200" s="109">
        <f t="shared" si="62"/>
        <v>0.35165446472031553</v>
      </c>
      <c r="M200" s="109"/>
      <c r="N200" s="109"/>
      <c r="O200" s="220">
        <f t="shared" si="62"/>
        <v>8.8499999999999996E-5</v>
      </c>
      <c r="P200" s="109">
        <f t="shared" si="62"/>
        <v>0.4425</v>
      </c>
      <c r="Q200" s="83" t="s">
        <v>349</v>
      </c>
      <c r="R200" s="8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row>
    <row r="201" spans="1:70" s="101" customFormat="1" ht="14.45">
      <c r="A201" s="101" t="s">
        <v>350</v>
      </c>
      <c r="B201" s="157">
        <f>(2*(B204+B205+B207))+B206</f>
        <v>0.78800000000000003</v>
      </c>
      <c r="C201" s="157">
        <f t="shared" ref="C201:P201" si="63">(2*(C204+C205+C207))+C206</f>
        <v>0.95199999999999996</v>
      </c>
      <c r="D201" s="157">
        <f t="shared" si="63"/>
        <v>0.81799999999999995</v>
      </c>
      <c r="E201" s="157">
        <f t="shared" si="63"/>
        <v>0.95399999999999996</v>
      </c>
      <c r="F201" s="157">
        <f t="shared" si="63"/>
        <v>1.008</v>
      </c>
      <c r="G201" s="157">
        <f t="shared" si="63"/>
        <v>0.998</v>
      </c>
      <c r="H201" s="157">
        <f t="shared" si="63"/>
        <v>1.012</v>
      </c>
      <c r="I201" s="157">
        <f t="shared" si="63"/>
        <v>0.84</v>
      </c>
      <c r="J201" s="157">
        <f t="shared" si="63"/>
        <v>1.1199999999999999</v>
      </c>
      <c r="K201" s="157">
        <f t="shared" si="63"/>
        <v>0.95</v>
      </c>
      <c r="L201" s="157">
        <f t="shared" si="63"/>
        <v>0.8</v>
      </c>
      <c r="M201" s="157"/>
      <c r="N201" s="157"/>
      <c r="O201" s="157">
        <f t="shared" si="63"/>
        <v>1E-3</v>
      </c>
      <c r="P201" s="157">
        <f t="shared" si="63"/>
        <v>5</v>
      </c>
      <c r="Q201" s="157"/>
      <c r="R201" s="157"/>
    </row>
    <row r="202" spans="1:70" ht="14.45">
      <c r="A202" s="3" t="s">
        <v>351</v>
      </c>
      <c r="B202" s="157">
        <f>Ability!$B$25</f>
        <v>0.87913616180078868</v>
      </c>
      <c r="C202" s="157">
        <f>Ability!$B$25</f>
        <v>0.87913616180078868</v>
      </c>
      <c r="D202" s="157">
        <f>Ability!$B$25</f>
        <v>0.87913616180078868</v>
      </c>
      <c r="E202" s="157">
        <f>Ability!$B$25</f>
        <v>0.87913616180078868</v>
      </c>
      <c r="F202" s="157">
        <f>Ability!$B$25</f>
        <v>0.87913616180078868</v>
      </c>
      <c r="G202" s="157">
        <f>Ability!$B$25</f>
        <v>0.87913616180078868</v>
      </c>
      <c r="H202" s="157">
        <f>Ability!$B$25</f>
        <v>0.87913616180078868</v>
      </c>
      <c r="I202" s="157">
        <f>Ability!$B$25</f>
        <v>0.87913616180078868</v>
      </c>
      <c r="J202" s="157">
        <f>Ability!$B$25</f>
        <v>0.87913616180078868</v>
      </c>
      <c r="K202" s="157">
        <f>Ability!$B$25</f>
        <v>0.87913616180078868</v>
      </c>
      <c r="L202" s="157">
        <f>Ability!$B$25</f>
        <v>0.87913616180078868</v>
      </c>
      <c r="M202" s="157"/>
      <c r="N202" s="157"/>
      <c r="O202" s="157">
        <v>0.17699999999999999</v>
      </c>
      <c r="P202" s="157">
        <v>0.17699999999999999</v>
      </c>
      <c r="Q202" s="158"/>
      <c r="R202" s="158"/>
    </row>
    <row r="203" spans="1:70" s="3" customFormat="1" ht="14.45">
      <c r="A203" s="102" t="s">
        <v>352</v>
      </c>
      <c r="B203" s="102">
        <v>5.0000000000000001E-3</v>
      </c>
      <c r="C203" s="102">
        <v>5.0000000000000001E-3</v>
      </c>
      <c r="D203" s="102">
        <v>5.0000000000000001E-3</v>
      </c>
      <c r="E203" s="102">
        <v>5.0000000000000001E-3</v>
      </c>
      <c r="F203" s="102">
        <v>5.0000000000000001E-3</v>
      </c>
      <c r="G203" s="102">
        <v>5.0000000000000001E-3</v>
      </c>
      <c r="H203" s="102">
        <v>5.0000000000000001E-3</v>
      </c>
      <c r="I203" s="102">
        <v>5.0000000000000001E-3</v>
      </c>
      <c r="J203" s="102">
        <v>5.0000000000000001E-3</v>
      </c>
      <c r="K203" s="102">
        <v>5.0000000000000001E-3</v>
      </c>
      <c r="L203" s="102">
        <v>5.0000000000000001E-3</v>
      </c>
      <c r="M203" s="102"/>
      <c r="N203" s="102"/>
      <c r="O203" s="102">
        <v>5.0000000000000001E-3</v>
      </c>
      <c r="P203" s="102">
        <v>5.0000000000000001E-3</v>
      </c>
      <c r="Q203" s="86" t="s">
        <v>353</v>
      </c>
      <c r="R203" s="86"/>
    </row>
    <row r="204" spans="1:70" ht="15" customHeight="1">
      <c r="A204" s="3" t="s">
        <v>354</v>
      </c>
      <c r="B204" s="83">
        <v>0.03</v>
      </c>
      <c r="C204" s="83">
        <v>0.03</v>
      </c>
      <c r="D204" s="83">
        <v>0.03</v>
      </c>
      <c r="E204" s="83">
        <v>0.03</v>
      </c>
      <c r="F204" s="83">
        <v>0.03</v>
      </c>
      <c r="G204" s="83">
        <v>0.03</v>
      </c>
      <c r="H204" s="83">
        <v>0.03</v>
      </c>
      <c r="I204" s="83">
        <v>0.03</v>
      </c>
      <c r="J204" s="83">
        <v>0.03</v>
      </c>
      <c r="K204" s="83">
        <v>0.03</v>
      </c>
      <c r="L204" s="83">
        <v>0.03</v>
      </c>
      <c r="M204" s="83"/>
      <c r="N204" s="83"/>
      <c r="O204" s="83">
        <v>0</v>
      </c>
      <c r="P204" s="83">
        <v>0.5</v>
      </c>
      <c r="Q204" s="110" t="s">
        <v>355</v>
      </c>
      <c r="R204" s="82"/>
    </row>
    <row r="205" spans="1:70" ht="14.45">
      <c r="A205" s="3" t="s">
        <v>356</v>
      </c>
      <c r="B205" s="83">
        <v>0.15</v>
      </c>
      <c r="C205" s="83">
        <v>0.15</v>
      </c>
      <c r="D205" s="83">
        <v>0.15</v>
      </c>
      <c r="E205" s="83">
        <v>0.15</v>
      </c>
      <c r="F205" s="83">
        <v>0.15</v>
      </c>
      <c r="G205" s="83">
        <v>0.15</v>
      </c>
      <c r="H205" s="83">
        <v>0.15</v>
      </c>
      <c r="I205" s="83">
        <v>0.15</v>
      </c>
      <c r="J205" s="83">
        <v>0.15</v>
      </c>
      <c r="K205" s="83">
        <v>0.15</v>
      </c>
      <c r="L205" s="83">
        <v>0.15</v>
      </c>
      <c r="M205" s="83"/>
      <c r="N205" s="83"/>
      <c r="O205" s="83">
        <v>0</v>
      </c>
      <c r="P205" s="83">
        <v>0.5</v>
      </c>
      <c r="Q205" s="82" t="s">
        <v>357</v>
      </c>
      <c r="R205" s="159" t="s">
        <v>358</v>
      </c>
    </row>
    <row r="206" spans="1:70" ht="14.45">
      <c r="A206" s="3" t="s">
        <v>359</v>
      </c>
      <c r="B206" s="83">
        <v>0.25</v>
      </c>
      <c r="C206" s="83">
        <v>0.46</v>
      </c>
      <c r="D206" s="83">
        <v>0.25</v>
      </c>
      <c r="E206" s="83">
        <v>0.46</v>
      </c>
      <c r="F206" s="83">
        <v>0.46</v>
      </c>
      <c r="G206" s="83">
        <v>0.46</v>
      </c>
      <c r="H206" s="83">
        <v>0.46</v>
      </c>
      <c r="I206" s="83">
        <v>0.25</v>
      </c>
      <c r="J206" s="83">
        <v>0.46</v>
      </c>
      <c r="K206" s="83">
        <v>0.46</v>
      </c>
      <c r="L206" s="83">
        <v>0.25</v>
      </c>
      <c r="M206" s="83"/>
      <c r="N206" s="83"/>
      <c r="O206" s="83">
        <v>1E-3</v>
      </c>
      <c r="P206" s="83">
        <v>1</v>
      </c>
      <c r="Q206" s="83"/>
      <c r="R206" s="83"/>
      <c r="S206" s="1"/>
    </row>
    <row r="207" spans="1:70" s="3" customFormat="1" ht="14.45">
      <c r="A207" s="148" t="s">
        <v>360</v>
      </c>
      <c r="B207" s="151">
        <v>8.8999999999999996E-2</v>
      </c>
      <c r="C207" s="151">
        <v>6.6000000000000003E-2</v>
      </c>
      <c r="D207" s="151">
        <v>0.104</v>
      </c>
      <c r="E207" s="151">
        <v>6.7000000000000004E-2</v>
      </c>
      <c r="F207" s="151">
        <v>9.4E-2</v>
      </c>
      <c r="G207" s="151">
        <v>8.8999999999999996E-2</v>
      </c>
      <c r="H207" s="151">
        <v>9.6000000000000002E-2</v>
      </c>
      <c r="I207" s="151">
        <v>0.115</v>
      </c>
      <c r="J207" s="151">
        <v>0.15</v>
      </c>
      <c r="K207" s="151">
        <v>6.5000000000000002E-2</v>
      </c>
      <c r="L207" s="151">
        <v>9.5000000000000001E-2</v>
      </c>
      <c r="M207" s="83"/>
      <c r="N207" s="83"/>
      <c r="O207" s="83">
        <v>0</v>
      </c>
      <c r="P207" s="83">
        <v>1</v>
      </c>
      <c r="Q207" s="83"/>
      <c r="R207" s="83"/>
    </row>
    <row r="209" ht="14.45"/>
    <row r="210" ht="14.45"/>
    <row r="212" ht="14.45"/>
    <row r="213" ht="14.45"/>
    <row r="214" ht="14.45"/>
    <row r="215" ht="14.45"/>
    <row r="216" ht="14.45"/>
    <row r="217" ht="14.45"/>
    <row r="218" ht="14.45"/>
    <row r="219" ht="14.45"/>
    <row r="220" ht="14.45"/>
    <row r="221" ht="14.45"/>
    <row r="222" ht="14.45"/>
    <row r="223" ht="14.45"/>
    <row r="224" ht="14.45"/>
    <row r="225" ht="14.45"/>
    <row r="226" ht="14.45"/>
    <row r="227" ht="14.45"/>
  </sheetData>
  <hyperlinks>
    <hyperlink ref="R187" r:id="rId1" xr:uid="{29349C94-059A-4783-9CAC-AAA3DA402C8D}"/>
    <hyperlink ref="R179" r:id="rId2" xr:uid="{34037550-7B79-4E25-8049-5E133CD98705}"/>
    <hyperlink ref="R205" r:id="rId3" xr:uid="{378D70D9-47C5-4DA3-8251-AE7D3D0DF850}"/>
  </hyperlinks>
  <pageMargins left="0.7" right="0.7" top="0.75" bottom="0.75" header="0.3" footer="0.3"/>
  <pageSetup paperSize="9" orientation="landscape"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7BA6-5EFC-43A8-90D8-3C6689920323}">
  <dimension ref="A2:G9"/>
  <sheetViews>
    <sheetView workbookViewId="0">
      <selection activeCell="U2" sqref="U2:BP6"/>
    </sheetView>
  </sheetViews>
  <sheetFormatPr defaultRowHeight="14.45"/>
  <cols>
    <col min="2" max="2" width="18" customWidth="1"/>
    <col min="3" max="3" width="14" customWidth="1"/>
    <col min="4" max="4" width="16.28515625" customWidth="1"/>
    <col min="5" max="5" width="15.28515625" customWidth="1"/>
  </cols>
  <sheetData>
    <row r="2" spans="1:7" ht="21">
      <c r="A2" s="32" t="s">
        <v>421</v>
      </c>
    </row>
    <row r="5" spans="1:7">
      <c r="B5" t="s">
        <v>422</v>
      </c>
      <c r="C5" t="s">
        <v>423</v>
      </c>
      <c r="D5" t="s">
        <v>424</v>
      </c>
      <c r="E5" t="s">
        <v>425</v>
      </c>
    </row>
    <row r="6" spans="1:7">
      <c r="A6" s="2" t="s">
        <v>426</v>
      </c>
      <c r="B6" s="45">
        <v>0.23248149663559756</v>
      </c>
      <c r="C6" s="45">
        <v>0.31773732915722552</v>
      </c>
      <c r="D6" s="45">
        <v>0.30209765186239967</v>
      </c>
      <c r="E6" s="45">
        <v>0.14768352234477725</v>
      </c>
      <c r="G6" t="s">
        <v>427</v>
      </c>
    </row>
    <row r="7" spans="1:7">
      <c r="A7" t="s">
        <v>428</v>
      </c>
      <c r="B7">
        <v>0</v>
      </c>
      <c r="C7">
        <f>'Animal welfare index'!O3</f>
        <v>3.3131844661466825E-4</v>
      </c>
      <c r="D7">
        <f>'Animal welfare index'!O28</f>
        <v>2.7257405905510579E-4</v>
      </c>
      <c r="E7">
        <f>'Animal welfare index'!O20</f>
        <v>4.9226875065352103E-4</v>
      </c>
      <c r="G7" t="s">
        <v>16</v>
      </c>
    </row>
    <row r="9" spans="1:7">
      <c r="A9" t="s">
        <v>363</v>
      </c>
      <c r="B9">
        <f>SUMPRODUCT(B6:E6,B7:E7)</f>
        <v>2.6031620456379084E-4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4386F-E2EE-4754-B336-A88325963C45}">
  <dimension ref="A1:P467"/>
  <sheetViews>
    <sheetView topLeftCell="A26" workbookViewId="0">
      <selection activeCell="H71" sqref="H71"/>
    </sheetView>
  </sheetViews>
  <sheetFormatPr defaultRowHeight="14.45"/>
  <cols>
    <col min="1" max="1" width="29.42578125" customWidth="1"/>
    <col min="2" max="3" width="12.7109375" customWidth="1"/>
    <col min="4" max="4" width="14.7109375" customWidth="1"/>
    <col min="5" max="5" width="17.28515625" customWidth="1"/>
    <col min="6" max="6" width="21" customWidth="1"/>
    <col min="7" max="7" width="16.7109375" customWidth="1"/>
    <col min="8" max="8" width="24.28515625" customWidth="1"/>
    <col min="9" max="9" width="14.85546875" customWidth="1"/>
    <col min="11" max="11" width="12.5703125" bestFit="1" customWidth="1"/>
    <col min="12" max="12" width="13.7109375" bestFit="1" customWidth="1"/>
    <col min="13" max="13" width="12" bestFit="1" customWidth="1"/>
    <col min="14" max="14" width="16.85546875" customWidth="1"/>
    <col min="15" max="15" width="17.28515625" customWidth="1"/>
    <col min="17" max="17" width="12" bestFit="1" customWidth="1"/>
  </cols>
  <sheetData>
    <row r="1" spans="1:16">
      <c r="G1" s="115" t="s">
        <v>429</v>
      </c>
    </row>
    <row r="2" spans="1:16" ht="21">
      <c r="A2" s="32" t="s">
        <v>430</v>
      </c>
      <c r="B2" s="2"/>
      <c r="C2" s="2"/>
      <c r="D2" s="2"/>
      <c r="G2" t="s">
        <v>386</v>
      </c>
      <c r="H2">
        <v>1</v>
      </c>
    </row>
    <row r="3" spans="1:16">
      <c r="A3" s="162"/>
      <c r="B3" s="162"/>
      <c r="C3" s="162"/>
      <c r="D3" s="162"/>
      <c r="G3" t="s">
        <v>387</v>
      </c>
      <c r="H3">
        <v>1</v>
      </c>
    </row>
    <row r="4" spans="1:16">
      <c r="G4" t="s">
        <v>23</v>
      </c>
      <c r="H4">
        <v>1E-4</v>
      </c>
    </row>
    <row r="5" spans="1:16">
      <c r="A5" s="115" t="s">
        <v>431</v>
      </c>
      <c r="B5" t="s">
        <v>432</v>
      </c>
    </row>
    <row r="6" spans="1:16">
      <c r="B6" t="s">
        <v>386</v>
      </c>
      <c r="C6" t="s">
        <v>433</v>
      </c>
      <c r="D6" t="s">
        <v>434</v>
      </c>
      <c r="F6" t="s">
        <v>435</v>
      </c>
      <c r="G6" t="s">
        <v>436</v>
      </c>
    </row>
    <row r="7" spans="1:16">
      <c r="A7" t="s">
        <v>437</v>
      </c>
      <c r="B7">
        <v>1E-3</v>
      </c>
      <c r="C7" s="21">
        <v>1</v>
      </c>
      <c r="D7" s="21">
        <v>6.8000000000000005E-2</v>
      </c>
      <c r="F7" s="21">
        <f>(B7*C7*D7)*10</f>
        <v>6.8000000000000016E-4</v>
      </c>
      <c r="G7" s="21">
        <f t="shared" ref="G7:G12" si="0">B7+C7+D7</f>
        <v>1.069</v>
      </c>
      <c r="H7" s="21" t="s">
        <v>438</v>
      </c>
      <c r="L7" s="21"/>
    </row>
    <row r="8" spans="1:16">
      <c r="A8" t="s">
        <v>368</v>
      </c>
      <c r="B8">
        <v>0.96599999999999997</v>
      </c>
      <c r="C8" s="21">
        <v>0.94680851063829785</v>
      </c>
      <c r="D8" s="178">
        <v>1E-3</v>
      </c>
      <c r="F8" s="21">
        <f t="shared" ref="F8:F12" si="1">(B8*C8*D8)*10</f>
        <v>9.146170212765958E-3</v>
      </c>
      <c r="G8" s="21">
        <f t="shared" si="0"/>
        <v>1.9138085106382978</v>
      </c>
      <c r="H8" s="45" t="s">
        <v>439</v>
      </c>
      <c r="L8" s="21"/>
    </row>
    <row r="9" spans="1:16">
      <c r="A9" t="s">
        <v>365</v>
      </c>
      <c r="B9">
        <v>0.91</v>
      </c>
      <c r="C9" s="21">
        <v>0.87765957446808518</v>
      </c>
      <c r="D9" s="117">
        <v>3.32E-3</v>
      </c>
      <c r="F9" s="45">
        <f t="shared" si="1"/>
        <v>2.6515851063829789E-2</v>
      </c>
      <c r="G9" s="21">
        <f t="shared" si="0"/>
        <v>1.7909795744680852</v>
      </c>
      <c r="H9" s="45"/>
      <c r="I9" s="45"/>
      <c r="L9" s="21"/>
    </row>
    <row r="10" spans="1:16">
      <c r="A10" t="s">
        <v>371</v>
      </c>
      <c r="B10">
        <v>2.2759999999999998</v>
      </c>
      <c r="C10" s="21">
        <v>0.9414893617021276</v>
      </c>
      <c r="D10" s="21">
        <v>1.7999999999999999E-2</v>
      </c>
      <c r="F10" s="99">
        <f t="shared" si="1"/>
        <v>0.38570936170212761</v>
      </c>
      <c r="G10" s="21">
        <f t="shared" si="0"/>
        <v>3.2354893617021272</v>
      </c>
      <c r="H10" s="45"/>
      <c r="I10" s="45"/>
      <c r="L10" s="21"/>
    </row>
    <row r="11" spans="1:16">
      <c r="A11" t="s">
        <v>370</v>
      </c>
      <c r="B11">
        <v>1.7</v>
      </c>
      <c r="C11" s="21">
        <v>0.57978723404255317</v>
      </c>
      <c r="D11" s="21">
        <v>0.75</v>
      </c>
      <c r="F11" s="99">
        <f>(B11*C11*D11)*10</f>
        <v>7.3922872340425529</v>
      </c>
      <c r="G11" s="21">
        <f t="shared" si="0"/>
        <v>3.0297872340425531</v>
      </c>
      <c r="H11" s="45"/>
      <c r="I11" s="45"/>
      <c r="L11" s="21"/>
    </row>
    <row r="12" spans="1:16">
      <c r="A12" t="s">
        <v>376</v>
      </c>
      <c r="B12">
        <v>4.2000000000000003E-2</v>
      </c>
      <c r="C12" s="21">
        <v>0.15425531914893617</v>
      </c>
      <c r="D12" s="50">
        <f>125/10</f>
        <v>12.5</v>
      </c>
      <c r="F12" s="99">
        <f t="shared" si="1"/>
        <v>0.80984042553191493</v>
      </c>
      <c r="G12" s="21">
        <f t="shared" si="0"/>
        <v>12.696255319148936</v>
      </c>
      <c r="H12" s="45"/>
      <c r="I12" s="45"/>
      <c r="L12" s="21"/>
    </row>
    <row r="13" spans="1:16">
      <c r="B13" s="21"/>
      <c r="C13" s="21"/>
      <c r="D13" s="21"/>
    </row>
    <row r="14" spans="1:16">
      <c r="A14" s="115" t="s">
        <v>440</v>
      </c>
      <c r="B14" s="21"/>
      <c r="C14" s="21"/>
      <c r="D14" s="21"/>
    </row>
    <row r="15" spans="1:16">
      <c r="B15" t="s">
        <v>386</v>
      </c>
      <c r="C15" t="s">
        <v>433</v>
      </c>
      <c r="D15" t="s">
        <v>434</v>
      </c>
      <c r="F15" t="s">
        <v>435</v>
      </c>
      <c r="G15" t="s">
        <v>436</v>
      </c>
      <c r="H15" t="s">
        <v>441</v>
      </c>
      <c r="I15" t="s">
        <v>442</v>
      </c>
      <c r="N15" t="s">
        <v>435</v>
      </c>
      <c r="O15" t="s">
        <v>436</v>
      </c>
    </row>
    <row r="16" spans="1:16">
      <c r="A16" t="s">
        <v>437</v>
      </c>
      <c r="B16">
        <f>B7/5</f>
        <v>2.0000000000000001E-4</v>
      </c>
      <c r="C16" s="21">
        <v>1</v>
      </c>
      <c r="D16" s="196">
        <f>0.068/0.0001</f>
        <v>680</v>
      </c>
      <c r="E16" s="197"/>
      <c r="F16" s="21">
        <f t="shared" ref="F16:F21" si="2">B16*C16*D16*1000</f>
        <v>136</v>
      </c>
      <c r="G16" s="21">
        <f t="shared" ref="G16:G21" si="3">B16+C16+D16</f>
        <v>681.00019999999995</v>
      </c>
      <c r="H16" s="45">
        <f>B16*$H$2+C16*$H$3+D16*$H$4</f>
        <v>1.0682</v>
      </c>
      <c r="I16" s="99">
        <f>(B16+C16)*D16</f>
        <v>680.13599999999997</v>
      </c>
      <c r="N16">
        <f>B16*C16*L16</f>
        <v>0</v>
      </c>
      <c r="O16">
        <f t="shared" ref="O16:O21" si="4">B16+C16+L16</f>
        <v>1.0002</v>
      </c>
      <c r="P16" t="s">
        <v>437</v>
      </c>
    </row>
    <row r="17" spans="1:16" ht="16.899999999999999" customHeight="1">
      <c r="A17" t="s">
        <v>368</v>
      </c>
      <c r="B17">
        <f t="shared" ref="B17:B21" si="5">B8/5</f>
        <v>0.19319999999999998</v>
      </c>
      <c r="C17" s="21">
        <v>0.94680851063829785</v>
      </c>
      <c r="D17" s="196">
        <v>1</v>
      </c>
      <c r="E17" s="184"/>
      <c r="F17" s="21">
        <f t="shared" si="2"/>
        <v>182.92340425531913</v>
      </c>
      <c r="G17" s="21">
        <f t="shared" si="3"/>
        <v>2.1400085106382978</v>
      </c>
      <c r="H17" s="45">
        <f t="shared" ref="H17:H21" si="6">B17*$H$2+C17*$H$3+D17*$H$4</f>
        <v>1.1401085106382978</v>
      </c>
      <c r="I17" s="99">
        <f t="shared" ref="I17:I21" si="7">(B17+C17)*D17</f>
        <v>1.1400085106382978</v>
      </c>
      <c r="N17">
        <f t="shared" ref="N17:N21" si="8">B17*C17*L17</f>
        <v>0</v>
      </c>
      <c r="O17">
        <f t="shared" si="4"/>
        <v>1.1400085106382978</v>
      </c>
      <c r="P17" t="s">
        <v>368</v>
      </c>
    </row>
    <row r="18" spans="1:16">
      <c r="A18" t="s">
        <v>365</v>
      </c>
      <c r="B18">
        <f t="shared" si="5"/>
        <v>0.182</v>
      </c>
      <c r="C18" s="21">
        <v>0.87765957446808518</v>
      </c>
      <c r="D18" s="196">
        <f>0.00332/0.0001</f>
        <v>33.199999999999996</v>
      </c>
      <c r="E18" s="184"/>
      <c r="F18" s="196">
        <f t="shared" si="2"/>
        <v>5303.1702127659564</v>
      </c>
      <c r="G18" s="21">
        <f t="shared" si="3"/>
        <v>34.259659574468081</v>
      </c>
      <c r="H18" s="45">
        <f t="shared" si="6"/>
        <v>1.0629795744680852</v>
      </c>
      <c r="I18" s="99">
        <f t="shared" si="7"/>
        <v>35.180697872340424</v>
      </c>
      <c r="N18">
        <f t="shared" si="8"/>
        <v>0</v>
      </c>
      <c r="O18">
        <f t="shared" si="4"/>
        <v>1.0596595744680852</v>
      </c>
      <c r="P18" t="s">
        <v>365</v>
      </c>
    </row>
    <row r="19" spans="1:16">
      <c r="A19" t="s">
        <v>371</v>
      </c>
      <c r="B19">
        <f t="shared" si="5"/>
        <v>0.45519999999999994</v>
      </c>
      <c r="C19" s="21">
        <v>0.9414893617021276</v>
      </c>
      <c r="D19" s="196">
        <f>0.018/0.0001</f>
        <v>179.99999999999997</v>
      </c>
      <c r="E19" s="21"/>
      <c r="F19" s="196">
        <f t="shared" si="2"/>
        <v>77141.872340425514</v>
      </c>
      <c r="G19" s="21">
        <f t="shared" si="3"/>
        <v>181.3966893617021</v>
      </c>
      <c r="H19" s="45">
        <f t="shared" si="6"/>
        <v>1.4146893617021277</v>
      </c>
      <c r="I19" s="99">
        <f t="shared" si="7"/>
        <v>251.40408510638295</v>
      </c>
      <c r="N19">
        <f t="shared" si="8"/>
        <v>0</v>
      </c>
      <c r="O19">
        <f t="shared" si="4"/>
        <v>1.3966893617021277</v>
      </c>
      <c r="P19" t="s">
        <v>371</v>
      </c>
    </row>
    <row r="20" spans="1:16">
      <c r="A20" t="s">
        <v>370</v>
      </c>
      <c r="B20">
        <f t="shared" si="5"/>
        <v>0.33999999999999997</v>
      </c>
      <c r="C20" s="21">
        <v>0.57978723404255317</v>
      </c>
      <c r="D20" s="196">
        <f>0.75/0.0001</f>
        <v>7500</v>
      </c>
      <c r="E20" s="21"/>
      <c r="F20" s="196">
        <f t="shared" si="2"/>
        <v>1478457.4468085105</v>
      </c>
      <c r="G20" s="21">
        <f t="shared" si="3"/>
        <v>7500.9197872340428</v>
      </c>
      <c r="H20" s="45">
        <f t="shared" si="6"/>
        <v>1.6697872340425532</v>
      </c>
      <c r="I20" s="99">
        <f t="shared" si="7"/>
        <v>6898.4042553191484</v>
      </c>
      <c r="N20">
        <f t="shared" si="8"/>
        <v>0</v>
      </c>
      <c r="O20">
        <f t="shared" si="4"/>
        <v>0.91978723404255314</v>
      </c>
      <c r="P20" t="s">
        <v>370</v>
      </c>
    </row>
    <row r="21" spans="1:16">
      <c r="A21" t="s">
        <v>376</v>
      </c>
      <c r="B21">
        <f t="shared" si="5"/>
        <v>8.4000000000000012E-3</v>
      </c>
      <c r="C21" s="21">
        <v>0.15425531914893617</v>
      </c>
      <c r="D21" s="196">
        <f>125/0.001</f>
        <v>125000</v>
      </c>
      <c r="E21" s="21"/>
      <c r="F21" s="196">
        <f t="shared" si="2"/>
        <v>161968.08510638299</v>
      </c>
      <c r="G21" s="21">
        <f t="shared" si="3"/>
        <v>125000.16265531915</v>
      </c>
      <c r="H21" s="45">
        <f t="shared" si="6"/>
        <v>12.662655319148936</v>
      </c>
      <c r="I21" s="99">
        <f t="shared" si="7"/>
        <v>20331.91489361702</v>
      </c>
      <c r="N21">
        <f t="shared" si="8"/>
        <v>0</v>
      </c>
      <c r="O21">
        <f t="shared" si="4"/>
        <v>0.16265531914893616</v>
      </c>
      <c r="P21" t="s">
        <v>376</v>
      </c>
    </row>
    <row r="23" spans="1:16">
      <c r="F23" t="s">
        <v>443</v>
      </c>
    </row>
    <row r="24" spans="1:16" ht="21">
      <c r="A24" s="32" t="s">
        <v>0</v>
      </c>
      <c r="B24" s="2"/>
      <c r="C24" s="2"/>
      <c r="D24" s="2"/>
    </row>
    <row r="25" spans="1:16">
      <c r="B25" s="2"/>
      <c r="C25" s="2"/>
      <c r="D25" s="2"/>
      <c r="H25" t="s">
        <v>444</v>
      </c>
    </row>
    <row r="26" spans="1:16">
      <c r="A26" s="80"/>
      <c r="B26" s="100" t="s">
        <v>445</v>
      </c>
      <c r="C26" s="100" t="s">
        <v>446</v>
      </c>
      <c r="D26" s="100" t="s">
        <v>447</v>
      </c>
      <c r="F26" t="s">
        <v>448</v>
      </c>
      <c r="G26" s="50">
        <f>D27</f>
        <v>0.29242436598527122</v>
      </c>
      <c r="H26">
        <v>5.6000000000000001E-2</v>
      </c>
      <c r="K26" s="21"/>
    </row>
    <row r="27" spans="1:16">
      <c r="A27" s="34" t="s">
        <v>21</v>
      </c>
      <c r="B27" s="35">
        <f>B36+B28</f>
        <v>6.938301907376164E-2</v>
      </c>
      <c r="C27" s="35">
        <f>C36+C28</f>
        <v>0.27753207629504656</v>
      </c>
      <c r="D27" s="35">
        <f>D36+D28</f>
        <v>0.29242436598527122</v>
      </c>
      <c r="F27" t="s">
        <v>449</v>
      </c>
      <c r="G27" s="21">
        <f>D44</f>
        <v>0.38593870051236046</v>
      </c>
      <c r="K27" s="21"/>
    </row>
    <row r="28" spans="1:16">
      <c r="A28" s="28" t="s">
        <v>26</v>
      </c>
      <c r="B28" s="27">
        <f>((B31/4)*B30*B29)*100</f>
        <v>7.3724206387250852E-3</v>
      </c>
      <c r="C28" s="27">
        <f>((C31/1)*C30*C29)*100</f>
        <v>2.9489682554900341E-2</v>
      </c>
      <c r="D28" s="27">
        <f>((D31/1)*D30*D29)*100</f>
        <v>4.4381972245125009E-2</v>
      </c>
      <c r="F28" t="s">
        <v>450</v>
      </c>
      <c r="G28" s="21">
        <f>D52</f>
        <v>0.20061450746455783</v>
      </c>
      <c r="K28" s="21"/>
    </row>
    <row r="29" spans="1:16">
      <c r="A29" s="22" t="s">
        <v>28</v>
      </c>
      <c r="B29" s="20">
        <f>(2*(B32+B33+B35))+B34</f>
        <v>0.502</v>
      </c>
      <c r="C29" s="20">
        <f>(2*(C32+C33+C35))+C34</f>
        <v>0.502</v>
      </c>
      <c r="D29" s="20">
        <f>(2*(D32+D33+D35))+D34</f>
        <v>0.502</v>
      </c>
      <c r="F29" t="s">
        <v>451</v>
      </c>
      <c r="G29" s="170">
        <f>D60</f>
        <v>8.5404352965718647E-2</v>
      </c>
      <c r="H29">
        <v>1.74E-3</v>
      </c>
      <c r="K29" s="21"/>
    </row>
    <row r="30" spans="1:16">
      <c r="A30" s="22" t="s">
        <v>30</v>
      </c>
      <c r="B30" s="21">
        <f>Ability!$B$5</f>
        <v>0.88410303277141455</v>
      </c>
      <c r="C30" s="21">
        <f>Ability!$B$5</f>
        <v>0.88410303277141455</v>
      </c>
      <c r="D30" s="21">
        <f>Ability!$B$5</f>
        <v>0.88410303277141455</v>
      </c>
      <c r="F30" t="s">
        <v>452</v>
      </c>
      <c r="G30" s="21">
        <f>D77</f>
        <v>6.5808692878500388</v>
      </c>
      <c r="K30" s="21"/>
    </row>
    <row r="31" spans="1:16">
      <c r="A31" s="22" t="s">
        <v>34</v>
      </c>
      <c r="B31" s="42">
        <v>6.6445182724252495E-4</v>
      </c>
      <c r="C31" s="42">
        <v>6.6445182724252495E-4</v>
      </c>
      <c r="D31" s="163">
        <v>1E-3</v>
      </c>
      <c r="E31" s="166" t="s">
        <v>453</v>
      </c>
      <c r="F31" t="s">
        <v>454</v>
      </c>
      <c r="G31" s="50">
        <f>D85</f>
        <v>35.512247629795063</v>
      </c>
      <c r="H31" s="1" t="s">
        <v>455</v>
      </c>
      <c r="K31" s="21"/>
    </row>
    <row r="32" spans="1:16">
      <c r="A32" s="22" t="s">
        <v>37</v>
      </c>
      <c r="B32" s="84">
        <v>0.04</v>
      </c>
      <c r="C32" s="84">
        <v>0.04</v>
      </c>
      <c r="D32" s="84">
        <v>0.04</v>
      </c>
      <c r="F32" t="s">
        <v>456</v>
      </c>
      <c r="G32" s="50">
        <f>D102</f>
        <v>3.7765335592669103</v>
      </c>
      <c r="H32">
        <v>0.75700000000000001</v>
      </c>
      <c r="K32" s="21"/>
    </row>
    <row r="33" spans="1:13">
      <c r="A33" s="22" t="s">
        <v>40</v>
      </c>
      <c r="B33" s="84">
        <v>0.04</v>
      </c>
      <c r="C33" s="84">
        <v>0.04</v>
      </c>
      <c r="D33" s="84">
        <v>0.04</v>
      </c>
      <c r="F33" t="s">
        <v>457</v>
      </c>
      <c r="G33" s="21">
        <f>D119</f>
        <v>3.0307414947612266</v>
      </c>
      <c r="K33" s="21"/>
    </row>
    <row r="34" spans="1:13">
      <c r="A34" s="22" t="s">
        <v>43</v>
      </c>
      <c r="B34" s="2">
        <f>Slaughtering!$C$6</f>
        <v>0.25</v>
      </c>
      <c r="C34" s="2">
        <f>Slaughtering!$C$6</f>
        <v>0.25</v>
      </c>
      <c r="D34" s="2">
        <f>Slaughtering!$C$6</f>
        <v>0.25</v>
      </c>
      <c r="F34" t="s">
        <v>458</v>
      </c>
      <c r="G34" s="50">
        <f>D136</f>
        <v>35.007302731613464</v>
      </c>
      <c r="K34" s="21"/>
    </row>
    <row r="35" spans="1:13">
      <c r="A35" s="23" t="s">
        <v>46</v>
      </c>
      <c r="B35" s="84">
        <v>4.5999999999999999E-2</v>
      </c>
      <c r="C35" s="84">
        <v>4.5999999999999999E-2</v>
      </c>
      <c r="D35" s="84">
        <v>4.5999999999999999E-2</v>
      </c>
      <c r="F35" t="s">
        <v>459</v>
      </c>
      <c r="G35" s="21">
        <f>D144</f>
        <v>6.8676113986377558</v>
      </c>
      <c r="K35" s="21"/>
    </row>
    <row r="36" spans="1:13">
      <c r="A36" s="28" t="s">
        <v>48</v>
      </c>
      <c r="B36" s="27">
        <f>((B39/4)*B38*B37)*100</f>
        <v>6.2010598435036555E-2</v>
      </c>
      <c r="C36" s="27">
        <f>((C39/1)*C38*C37)*100</f>
        <v>0.24804239374014622</v>
      </c>
      <c r="D36" s="27">
        <f>((D39/1)*D38*D37)*100</f>
        <v>0.24804239374014622</v>
      </c>
      <c r="F36" t="s">
        <v>460</v>
      </c>
      <c r="G36" s="21">
        <f>D152</f>
        <v>1.8647868715666507</v>
      </c>
      <c r="K36" s="21"/>
    </row>
    <row r="37" spans="1:13">
      <c r="A37" s="22" t="s">
        <v>49</v>
      </c>
      <c r="B37" s="20">
        <f>(2*(B40+B41+B43))+B42</f>
        <v>0.90999999999999992</v>
      </c>
      <c r="C37" s="20">
        <f>(2*(C40+C41+C43))+C42</f>
        <v>0.90999999999999992</v>
      </c>
      <c r="D37" s="20">
        <f>(2*(D40+D41+D43))+D42</f>
        <v>0.90999999999999992</v>
      </c>
      <c r="F37" t="s">
        <v>461</v>
      </c>
      <c r="G37" s="117">
        <f>D160</f>
        <v>4.4035905510246658E-3</v>
      </c>
      <c r="K37" s="21"/>
    </row>
    <row r="38" spans="1:13">
      <c r="A38" s="22" t="s">
        <v>50</v>
      </c>
      <c r="B38" s="20">
        <f>Ability!$B$6</f>
        <v>0.82044791775586834</v>
      </c>
      <c r="C38" s="20">
        <f>Ability!$B$6</f>
        <v>0.82044791775586834</v>
      </c>
      <c r="D38" s="20">
        <f>Ability!$B$6</f>
        <v>0.82044791775586834</v>
      </c>
      <c r="F38" t="s">
        <v>462</v>
      </c>
      <c r="G38" s="117">
        <f>D168</f>
        <v>4.4740888888888898E-4</v>
      </c>
      <c r="K38" s="21"/>
    </row>
    <row r="39" spans="1:13">
      <c r="A39" s="22" t="s">
        <v>51</v>
      </c>
      <c r="B39" s="43">
        <v>3.3222591362126247E-3</v>
      </c>
      <c r="C39" s="43">
        <v>3.3222591362126247E-3</v>
      </c>
      <c r="D39" s="43">
        <v>3.3222591362126247E-3</v>
      </c>
      <c r="F39" t="s">
        <v>463</v>
      </c>
      <c r="G39" s="178">
        <f>D176</f>
        <v>3.1514462499999999E-3</v>
      </c>
      <c r="K39" s="21"/>
    </row>
    <row r="40" spans="1:13">
      <c r="A40" s="22" t="s">
        <v>52</v>
      </c>
      <c r="B40" s="84">
        <v>4.2000000000000003E-2</v>
      </c>
      <c r="C40" s="84">
        <v>4.2000000000000003E-2</v>
      </c>
      <c r="D40" s="84">
        <v>4.2000000000000003E-2</v>
      </c>
      <c r="F40" t="s">
        <v>464</v>
      </c>
      <c r="G40" s="50">
        <f>D184</f>
        <v>2.745941723585839</v>
      </c>
      <c r="H40" s="21">
        <f>C184</f>
        <v>27.459417235858393</v>
      </c>
      <c r="K40" s="21"/>
    </row>
    <row r="41" spans="1:13">
      <c r="A41" s="22" t="s">
        <v>56</v>
      </c>
      <c r="B41" s="38">
        <v>0.05</v>
      </c>
      <c r="C41" s="38">
        <v>0.05</v>
      </c>
      <c r="D41" s="38">
        <v>0.05</v>
      </c>
      <c r="F41" t="s">
        <v>465</v>
      </c>
      <c r="G41" s="50">
        <f>D192</f>
        <v>3.6986569781577092</v>
      </c>
      <c r="H41" s="21">
        <f>C192</f>
        <v>36.986569781577082</v>
      </c>
      <c r="K41" s="21"/>
    </row>
    <row r="42" spans="1:13">
      <c r="A42" s="22" t="s">
        <v>59</v>
      </c>
      <c r="B42" s="2">
        <f>Slaughtering!$C$6</f>
        <v>0.25</v>
      </c>
      <c r="C42" s="2">
        <f>Slaughtering!$C$6</f>
        <v>0.25</v>
      </c>
      <c r="D42" s="2">
        <f>Slaughtering!$C$6</f>
        <v>0.25</v>
      </c>
      <c r="F42" t="s">
        <v>466</v>
      </c>
      <c r="G42" s="50">
        <f>D200</f>
        <v>5.5325568107189609</v>
      </c>
      <c r="H42" s="21">
        <f>C200</f>
        <v>55.325568107189603</v>
      </c>
      <c r="K42" s="21"/>
    </row>
    <row r="43" spans="1:13">
      <c r="A43" s="23" t="s">
        <v>60</v>
      </c>
      <c r="B43" s="142">
        <v>0.23799999999999999</v>
      </c>
      <c r="C43" s="142">
        <v>0.23799999999999999</v>
      </c>
      <c r="D43" s="142">
        <v>0.23799999999999999</v>
      </c>
      <c r="F43" t="s">
        <v>467</v>
      </c>
      <c r="G43" s="50">
        <f>D208</f>
        <v>7.6084608464571506</v>
      </c>
      <c r="H43" s="21">
        <f>C208</f>
        <v>76.084608464571502</v>
      </c>
      <c r="K43" s="21"/>
    </row>
    <row r="44" spans="1:13">
      <c r="A44" s="36" t="s">
        <v>61</v>
      </c>
      <c r="B44" s="37">
        <f>((B47/4)*B46*B45)*100</f>
        <v>9.6484675128090114E-2</v>
      </c>
      <c r="C44" s="37">
        <f>((C47/1)*C46*C45)*100</f>
        <v>0.38593870051236046</v>
      </c>
      <c r="D44" s="37">
        <f>((D47/1)*D46*D45)*100</f>
        <v>0.38593870051236046</v>
      </c>
      <c r="F44" t="s">
        <v>468</v>
      </c>
      <c r="G44" s="21">
        <f>D216</f>
        <v>0.70248667398552689</v>
      </c>
      <c r="K44" s="21"/>
    </row>
    <row r="45" spans="1:13">
      <c r="A45" s="22" t="s">
        <v>63</v>
      </c>
      <c r="B45" s="20">
        <f>(2*(B48+B49+B51))+B50</f>
        <v>0.78400000000000003</v>
      </c>
      <c r="C45" s="20">
        <f>(2*(C48+C49+C51))+C50</f>
        <v>0.78400000000000003</v>
      </c>
      <c r="D45" s="20">
        <f>(2*(D48+D49+D51))+D50</f>
        <v>0.78400000000000003</v>
      </c>
      <c r="F45" t="s">
        <v>469</v>
      </c>
      <c r="G45" s="21">
        <f>D224</f>
        <v>6.9737999999999994E-2</v>
      </c>
      <c r="K45" s="21"/>
    </row>
    <row r="46" spans="1:13">
      <c r="A46" s="22" t="s">
        <v>64</v>
      </c>
      <c r="B46" s="20">
        <f>Ability!$B$6</f>
        <v>0.82044791775586834</v>
      </c>
      <c r="C46" s="20">
        <f>Ability!$B$6</f>
        <v>0.82044791775586834</v>
      </c>
      <c r="D46" s="20">
        <f>Ability!$B$6</f>
        <v>0.82044791775586834</v>
      </c>
    </row>
    <row r="47" spans="1:13">
      <c r="A47" s="22" t="s">
        <v>66</v>
      </c>
      <c r="B47" s="41">
        <v>6.0000000000000001E-3</v>
      </c>
      <c r="C47" s="41">
        <v>6.0000000000000001E-3</v>
      </c>
      <c r="D47" s="41">
        <v>6.0000000000000001E-3</v>
      </c>
    </row>
    <row r="48" spans="1:13">
      <c r="A48" s="22" t="s">
        <v>68</v>
      </c>
      <c r="B48" s="84">
        <v>6.5000000000000002E-2</v>
      </c>
      <c r="C48" s="84">
        <v>6.5000000000000002E-2</v>
      </c>
      <c r="D48" s="84">
        <v>6.5000000000000002E-2</v>
      </c>
      <c r="F48" s="1" t="s">
        <v>470</v>
      </c>
      <c r="G48" s="1"/>
      <c r="H48" s="1"/>
      <c r="I48" s="1"/>
      <c r="J48" s="1"/>
      <c r="K48" s="1"/>
      <c r="L48" s="1"/>
      <c r="M48" s="1"/>
    </row>
    <row r="49" spans="1:13">
      <c r="A49" s="22" t="s">
        <v>72</v>
      </c>
      <c r="B49" s="38">
        <v>0.1</v>
      </c>
      <c r="C49" s="38">
        <v>0.1</v>
      </c>
      <c r="D49" s="38">
        <v>0.1</v>
      </c>
      <c r="F49" s="1" t="s">
        <v>471</v>
      </c>
      <c r="G49" s="1"/>
      <c r="H49" s="1"/>
      <c r="I49" s="1"/>
      <c r="J49" s="1"/>
      <c r="K49" s="1"/>
      <c r="L49" s="1"/>
      <c r="M49" s="1"/>
    </row>
    <row r="50" spans="1:13">
      <c r="A50" s="22" t="s">
        <v>75</v>
      </c>
      <c r="B50" s="2">
        <f>Slaughtering!$C$6</f>
        <v>0.25</v>
      </c>
      <c r="C50" s="2">
        <f>Slaughtering!$C$6</f>
        <v>0.25</v>
      </c>
      <c r="D50" s="2">
        <f>Slaughtering!$C$6</f>
        <v>0.25</v>
      </c>
      <c r="F50" s="1" t="s">
        <v>472</v>
      </c>
      <c r="G50" s="1"/>
      <c r="H50" s="1"/>
      <c r="I50" s="1"/>
      <c r="J50" s="1"/>
      <c r="K50" s="1"/>
      <c r="L50" s="1"/>
      <c r="M50" s="1"/>
    </row>
    <row r="51" spans="1:13">
      <c r="A51" s="23" t="s">
        <v>76</v>
      </c>
      <c r="B51" s="141">
        <v>0.10199999999999999</v>
      </c>
      <c r="C51" s="141">
        <v>0.10199999999999999</v>
      </c>
      <c r="D51" s="141">
        <v>0.10199999999999999</v>
      </c>
      <c r="F51" s="1" t="s">
        <v>473</v>
      </c>
      <c r="G51" s="1"/>
      <c r="H51" s="1"/>
      <c r="I51" s="1"/>
      <c r="J51" s="1"/>
      <c r="K51" s="1"/>
      <c r="L51" s="1"/>
      <c r="M51" s="1"/>
    </row>
    <row r="52" spans="1:13">
      <c r="A52" s="36" t="s">
        <v>78</v>
      </c>
      <c r="B52" s="37">
        <f>((B55/4)*B54*B53)*100</f>
        <v>5.0153626866139459E-2</v>
      </c>
      <c r="C52" s="37">
        <f>((C55/1)*C54*C53)*100</f>
        <v>0.20061450746455783</v>
      </c>
      <c r="D52" s="37">
        <f>((D55/1)*D54*D53)*100</f>
        <v>0.20061450746455783</v>
      </c>
    </row>
    <row r="53" spans="1:13">
      <c r="A53" s="22" t="s">
        <v>79</v>
      </c>
      <c r="B53" s="20">
        <f>(2*(B56+B57+B59))+B58</f>
        <v>0.73599999999999999</v>
      </c>
      <c r="C53" s="20">
        <f>(2*(C56+C57+C59))+C58</f>
        <v>0.73599999999999999</v>
      </c>
      <c r="D53" s="20">
        <f>(2*(D56+D57+D59))+D58</f>
        <v>0.73599999999999999</v>
      </c>
      <c r="F53" s="1" t="s">
        <v>474</v>
      </c>
    </row>
    <row r="54" spans="1:13">
      <c r="A54" s="22" t="s">
        <v>80</v>
      </c>
      <c r="B54" s="20">
        <f>Ability!$B$6</f>
        <v>0.82044791775586834</v>
      </c>
      <c r="C54" s="20">
        <f>Ability!$B$6</f>
        <v>0.82044791775586834</v>
      </c>
      <c r="D54" s="20">
        <f>Ability!$B$6</f>
        <v>0.82044791775586834</v>
      </c>
      <c r="F54" s="1" t="s">
        <v>475</v>
      </c>
    </row>
    <row r="55" spans="1:13">
      <c r="A55" s="22" t="s">
        <v>82</v>
      </c>
      <c r="B55" s="43">
        <v>3.3222591362126247E-3</v>
      </c>
      <c r="C55" s="43">
        <v>3.3222591362126247E-3</v>
      </c>
      <c r="D55" s="43">
        <v>3.3222591362126247E-3</v>
      </c>
      <c r="F55" s="1" t="s">
        <v>476</v>
      </c>
    </row>
    <row r="56" spans="1:13">
      <c r="A56" s="22" t="s">
        <v>84</v>
      </c>
      <c r="B56" s="84">
        <v>7.4999999999999997E-2</v>
      </c>
      <c r="C56" s="84">
        <v>7.4999999999999997E-2</v>
      </c>
      <c r="D56" s="84">
        <v>7.4999999999999997E-2</v>
      </c>
      <c r="F56" s="1" t="s">
        <v>477</v>
      </c>
    </row>
    <row r="57" spans="1:13">
      <c r="A57" s="22" t="s">
        <v>86</v>
      </c>
      <c r="B57" s="38">
        <v>0.05</v>
      </c>
      <c r="C57" s="38">
        <v>0.05</v>
      </c>
      <c r="D57" s="38">
        <v>0.05</v>
      </c>
      <c r="F57" s="1" t="s">
        <v>478</v>
      </c>
    </row>
    <row r="58" spans="1:13">
      <c r="A58" s="22" t="s">
        <v>88</v>
      </c>
      <c r="B58" s="2">
        <f>Slaughtering!$C$6</f>
        <v>0.25</v>
      </c>
      <c r="C58" s="2">
        <f>Slaughtering!$C$6</f>
        <v>0.25</v>
      </c>
      <c r="D58" s="2">
        <f>Slaughtering!$C$6</f>
        <v>0.25</v>
      </c>
    </row>
    <row r="59" spans="1:13">
      <c r="A59" s="22" t="s">
        <v>89</v>
      </c>
      <c r="B59" s="142">
        <v>0.11799999999999999</v>
      </c>
      <c r="C59" s="142">
        <v>0.11799999999999999</v>
      </c>
      <c r="D59" s="142">
        <v>0.11799999999999999</v>
      </c>
    </row>
    <row r="60" spans="1:13">
      <c r="A60" s="36" t="s">
        <v>90</v>
      </c>
      <c r="B60" s="114">
        <f>((B63/4)*B62*B61)*100</f>
        <v>2.1562448970034215E-3</v>
      </c>
      <c r="C60" s="114">
        <f>((C63/1)*C62*C61)*100</f>
        <v>8.624979588013686E-3</v>
      </c>
      <c r="D60" s="114">
        <f>((D63/1)*D62*D61)*100</f>
        <v>8.5404352965718647E-2</v>
      </c>
    </row>
    <row r="61" spans="1:13">
      <c r="A61" s="22" t="s">
        <v>94</v>
      </c>
      <c r="B61" s="20">
        <f>(2*(B64+B65+B67))+B66</f>
        <v>0.96599999999999997</v>
      </c>
      <c r="C61" s="20">
        <f>(2*(C64+C65+C67))+C66</f>
        <v>0.96599999999999997</v>
      </c>
      <c r="D61" s="20">
        <f>(2*(D64+D65+D67))+D66</f>
        <v>0.96599999999999997</v>
      </c>
    </row>
    <row r="62" spans="1:13">
      <c r="A62" s="22" t="s">
        <v>95</v>
      </c>
      <c r="B62" s="21">
        <f>Ability!$B$5</f>
        <v>0.88410303277141455</v>
      </c>
      <c r="C62" s="21">
        <f>Ability!$B$5</f>
        <v>0.88410303277141455</v>
      </c>
      <c r="D62" s="21">
        <f>Ability!$B$5</f>
        <v>0.88410303277141455</v>
      </c>
    </row>
    <row r="63" spans="1:13">
      <c r="A63" s="22" t="s">
        <v>479</v>
      </c>
      <c r="B63" s="144">
        <f>1/9901.97740112995</f>
        <v>1.0098992953527508E-4</v>
      </c>
      <c r="C63" s="144">
        <f>1/9901.97740112995</f>
        <v>1.0098992953527508E-4</v>
      </c>
      <c r="D63" s="164">
        <v>1E-3</v>
      </c>
      <c r="E63" s="1" t="s">
        <v>480</v>
      </c>
    </row>
    <row r="64" spans="1:13">
      <c r="A64" s="22" t="s">
        <v>101</v>
      </c>
      <c r="B64" s="84">
        <v>0.06</v>
      </c>
      <c r="C64" s="84">
        <v>0.06</v>
      </c>
      <c r="D64" s="84">
        <v>0.06</v>
      </c>
    </row>
    <row r="65" spans="1:4">
      <c r="A65" s="22" t="s">
        <v>105</v>
      </c>
      <c r="B65" s="84">
        <v>0.16</v>
      </c>
      <c r="C65" s="84">
        <v>0.16</v>
      </c>
      <c r="D65" s="84">
        <v>0.16</v>
      </c>
    </row>
    <row r="66" spans="1:4">
      <c r="A66" s="22" t="s">
        <v>109</v>
      </c>
      <c r="B66" s="2">
        <f>Slaughtering!$C$6</f>
        <v>0.25</v>
      </c>
      <c r="C66" s="2">
        <f>Slaughtering!$C$6</f>
        <v>0.25</v>
      </c>
      <c r="D66" s="2">
        <f>Slaughtering!$C$6</f>
        <v>0.25</v>
      </c>
    </row>
    <row r="67" spans="1:4">
      <c r="A67" s="23" t="s">
        <v>110</v>
      </c>
      <c r="B67" s="141">
        <v>0.13800000000000001</v>
      </c>
      <c r="C67" s="141">
        <v>0.13800000000000001</v>
      </c>
      <c r="D67" s="141">
        <v>0.13800000000000001</v>
      </c>
    </row>
    <row r="68" spans="1:4">
      <c r="A68" s="145" t="s">
        <v>112</v>
      </c>
      <c r="B68" s="146">
        <f>B69+B77</f>
        <v>1.6475694493140798</v>
      </c>
      <c r="C68" s="146">
        <f>C69+C77</f>
        <v>6.5902777972563191</v>
      </c>
      <c r="D68" s="146">
        <f>D69+D77</f>
        <v>6.5902777972563191</v>
      </c>
    </row>
    <row r="69" spans="1:4">
      <c r="A69" s="3" t="s">
        <v>114</v>
      </c>
      <c r="B69" s="20">
        <f>((B72/4)*B71*B70)*100</f>
        <v>2.3521273515701188E-3</v>
      </c>
      <c r="C69" s="20">
        <f>((C72/1)*C71*C70)*100</f>
        <v>9.4085094062804752E-3</v>
      </c>
      <c r="D69" s="20">
        <f>((D72/1)*D71*D70)*100</f>
        <v>9.4085094062804752E-3</v>
      </c>
    </row>
    <row r="70" spans="1:4">
      <c r="A70" s="3" t="s">
        <v>115</v>
      </c>
      <c r="B70" s="20">
        <f>(2*(B73+B74+B76))+B75</f>
        <v>6.9444444444444441E-3</v>
      </c>
      <c r="C70" s="20">
        <f>(2*(C73+C74+C76))+C75</f>
        <v>6.9444444444444441E-3</v>
      </c>
      <c r="D70" s="20">
        <f>(2*(D73+D74+D76))+D75</f>
        <v>6.9444444444444441E-3</v>
      </c>
    </row>
    <row r="71" spans="1:4">
      <c r="A71" s="3" t="s">
        <v>116</v>
      </c>
      <c r="B71" s="21">
        <f>Ability!$B$7</f>
        <v>0.2556274253781865</v>
      </c>
      <c r="C71" s="21">
        <f>Ability!$B$7</f>
        <v>0.2556274253781865</v>
      </c>
      <c r="D71" s="21">
        <f>Ability!$B$7</f>
        <v>0.2556274253781865</v>
      </c>
    </row>
    <row r="72" spans="1:4">
      <c r="A72" s="3" t="s">
        <v>117</v>
      </c>
      <c r="B72" s="26">
        <v>5.2999999999999999E-2</v>
      </c>
      <c r="C72" s="26">
        <v>5.2999999999999999E-2</v>
      </c>
      <c r="D72" s="26">
        <v>5.2999999999999999E-2</v>
      </c>
    </row>
    <row r="73" spans="1:4">
      <c r="A73" s="3" t="s">
        <v>119</v>
      </c>
      <c r="B73" s="38">
        <v>0</v>
      </c>
      <c r="C73" s="38">
        <v>0</v>
      </c>
      <c r="D73" s="38">
        <v>0</v>
      </c>
    </row>
    <row r="74" spans="1:4">
      <c r="A74" s="3" t="s">
        <v>120</v>
      </c>
      <c r="B74" s="38">
        <v>0</v>
      </c>
      <c r="C74" s="38">
        <v>0</v>
      </c>
      <c r="D74" s="38">
        <v>0</v>
      </c>
    </row>
    <row r="75" spans="1:4">
      <c r="A75" s="3" t="s">
        <v>121</v>
      </c>
      <c r="B75" s="55">
        <f>Slaughtering!$C$7</f>
        <v>6.9444444444444441E-3</v>
      </c>
      <c r="C75" s="55">
        <f>Slaughtering!$C$7</f>
        <v>6.9444444444444441E-3</v>
      </c>
      <c r="D75" s="55">
        <f>Slaughtering!$C$7</f>
        <v>6.9444444444444441E-3</v>
      </c>
    </row>
    <row r="76" spans="1:4">
      <c r="A76" s="148" t="s">
        <v>122</v>
      </c>
      <c r="B76" s="51">
        <v>0</v>
      </c>
      <c r="C76" s="51">
        <v>0</v>
      </c>
      <c r="D76" s="51">
        <v>0</v>
      </c>
    </row>
    <row r="77" spans="1:4">
      <c r="A77" s="3" t="s">
        <v>123</v>
      </c>
      <c r="B77" s="20">
        <f>((B80/4)*B79*B78)*100</f>
        <v>1.6452173219625097</v>
      </c>
      <c r="C77" s="20">
        <f>((C80/1)*C79*C78)*100</f>
        <v>6.5808692878500388</v>
      </c>
      <c r="D77" s="20">
        <f>((D80/1)*D79*D78)*100</f>
        <v>6.5808692878500388</v>
      </c>
    </row>
    <row r="78" spans="1:4">
      <c r="A78" s="3" t="s">
        <v>125</v>
      </c>
      <c r="B78" s="20">
        <f>(2*(B81+B82+B84))+B83</f>
        <v>2.0819999999999999</v>
      </c>
      <c r="C78" s="20">
        <f>(2*(C81+C82+C84))+C83</f>
        <v>2.0819999999999999</v>
      </c>
      <c r="D78" s="20">
        <f>(2*(D81+D82+D84))+D83</f>
        <v>2.0819999999999999</v>
      </c>
    </row>
    <row r="79" spans="1:4">
      <c r="A79" s="3" t="s">
        <v>126</v>
      </c>
      <c r="B79" s="20">
        <f>Ability!$B$8</f>
        <v>0.58534077701729459</v>
      </c>
      <c r="C79" s="20">
        <f>Ability!$B$8</f>
        <v>0.58534077701729459</v>
      </c>
      <c r="D79" s="20">
        <f>Ability!$B$8</f>
        <v>0.58534077701729459</v>
      </c>
    </row>
    <row r="80" spans="1:4">
      <c r="A80" s="102" t="s">
        <v>127</v>
      </c>
      <c r="B80" s="103">
        <v>5.3999999999999999E-2</v>
      </c>
      <c r="C80" s="103">
        <v>5.3999999999999999E-2</v>
      </c>
      <c r="D80" s="103">
        <v>5.3999999999999999E-2</v>
      </c>
    </row>
    <row r="81" spans="1:5">
      <c r="A81" t="s">
        <v>130</v>
      </c>
      <c r="B81" s="84">
        <v>0.04</v>
      </c>
      <c r="C81" s="84">
        <v>0.04</v>
      </c>
      <c r="D81" s="84">
        <v>0.04</v>
      </c>
    </row>
    <row r="82" spans="1:5">
      <c r="A82" t="s">
        <v>133</v>
      </c>
      <c r="B82" s="84">
        <v>0.46</v>
      </c>
      <c r="C82" s="84">
        <v>0.46</v>
      </c>
      <c r="D82" s="84">
        <v>0.46</v>
      </c>
    </row>
    <row r="83" spans="1:5">
      <c r="A83" t="s">
        <v>136</v>
      </c>
      <c r="B83" s="55">
        <f>Slaughtering!$C$8</f>
        <v>0.25</v>
      </c>
      <c r="C83" s="55">
        <f>Slaughtering!$C$8</f>
        <v>0.25</v>
      </c>
      <c r="D83" s="55">
        <f>Slaughtering!$C$8</f>
        <v>0.25</v>
      </c>
    </row>
    <row r="84" spans="1:5">
      <c r="A84" s="149" t="s">
        <v>137</v>
      </c>
      <c r="B84" s="141">
        <v>0.41599999999999998</v>
      </c>
      <c r="C84" s="141">
        <v>0.41599999999999998</v>
      </c>
      <c r="D84" s="141">
        <v>0.41599999999999998</v>
      </c>
    </row>
    <row r="85" spans="1:5">
      <c r="A85" s="147" t="s">
        <v>138</v>
      </c>
      <c r="B85" s="146">
        <f>B86+B94</f>
        <v>17.594530053224414</v>
      </c>
      <c r="C85" s="146">
        <f>C86+C94</f>
        <v>70.378120212897656</v>
      </c>
      <c r="D85" s="146">
        <f>D86+D94</f>
        <v>35.512247629795063</v>
      </c>
    </row>
    <row r="86" spans="1:5">
      <c r="A86" t="s">
        <v>139</v>
      </c>
      <c r="B86" s="20">
        <f>((B89/4)*B88*B87)*100</f>
        <v>17.432936291551304</v>
      </c>
      <c r="C86" s="20">
        <f>((C89/1)*C88*C87)*100</f>
        <v>69.731745166205215</v>
      </c>
      <c r="D86" s="20">
        <f>((D89/1)*D88*D87)*100</f>
        <v>34.865872583102615</v>
      </c>
    </row>
    <row r="87" spans="1:5">
      <c r="A87" t="s">
        <v>140</v>
      </c>
      <c r="B87" s="20">
        <f>(2*(B90+B91+B93))+B92</f>
        <v>1.7066666666666668</v>
      </c>
      <c r="C87" s="20">
        <f>(2*(C90+C91+C93))+C92</f>
        <v>1.7066666666666668</v>
      </c>
      <c r="D87" s="20">
        <f>(2*(D90+D91+D93))+D92</f>
        <v>1.7066666666666668</v>
      </c>
    </row>
    <row r="88" spans="1:5">
      <c r="A88" t="s">
        <v>141</v>
      </c>
      <c r="B88" s="20">
        <f>Ability!$B$9</f>
        <v>0.54320827892864587</v>
      </c>
      <c r="C88" s="20">
        <f>Ability!$B$9</f>
        <v>0.54320827892864587</v>
      </c>
      <c r="D88" s="20">
        <f>Ability!$B$9</f>
        <v>0.54320827892864587</v>
      </c>
    </row>
    <row r="89" spans="1:5">
      <c r="A89" s="3" t="s">
        <v>142</v>
      </c>
      <c r="B89" s="52">
        <v>0.75216903015372494</v>
      </c>
      <c r="C89" s="52">
        <v>0.75216903015372494</v>
      </c>
      <c r="D89" s="176">
        <f>0.752169030153725/2</f>
        <v>0.37608451507686252</v>
      </c>
      <c r="E89" s="1" t="s">
        <v>481</v>
      </c>
    </row>
    <row r="90" spans="1:5">
      <c r="A90" t="s">
        <v>144</v>
      </c>
      <c r="B90" s="87">
        <v>3.7999999999999999E-2</v>
      </c>
      <c r="C90" s="87">
        <v>3.7999999999999999E-2</v>
      </c>
      <c r="D90" s="87">
        <v>3.7999999999999999E-2</v>
      </c>
    </row>
    <row r="91" spans="1:5">
      <c r="A91" t="s">
        <v>148</v>
      </c>
      <c r="B91" s="84">
        <v>0.115</v>
      </c>
      <c r="C91" s="84">
        <v>0.115</v>
      </c>
      <c r="D91" s="84">
        <v>0.115</v>
      </c>
    </row>
    <row r="92" spans="1:5">
      <c r="A92" t="s">
        <v>151</v>
      </c>
      <c r="B92" s="55">
        <f>Slaughtering!$C$20</f>
        <v>0.16666666666666666</v>
      </c>
      <c r="C92" s="55">
        <f>Slaughtering!$C$20</f>
        <v>0.16666666666666666</v>
      </c>
      <c r="D92" s="55">
        <f>Slaughtering!$C$20</f>
        <v>0.16666666666666666</v>
      </c>
    </row>
    <row r="93" spans="1:5">
      <c r="A93" s="149" t="s">
        <v>153</v>
      </c>
      <c r="B93" s="141">
        <v>0.61699999999999999</v>
      </c>
      <c r="C93" s="141">
        <v>0.61699999999999999</v>
      </c>
      <c r="D93" s="141">
        <v>0.61699999999999999</v>
      </c>
    </row>
    <row r="94" spans="1:5">
      <c r="A94" t="s">
        <v>154</v>
      </c>
      <c r="B94" s="20">
        <f>((B97/4)*B96*B95)*100</f>
        <v>0.16159376167311126</v>
      </c>
      <c r="C94" s="20">
        <f>((C97/1)*C96*C95)*100</f>
        <v>0.64637504669244505</v>
      </c>
      <c r="D94" s="20">
        <f>((D97/1)*D96*D95)*100</f>
        <v>0.64637504669244505</v>
      </c>
    </row>
    <row r="95" spans="1:5">
      <c r="A95" t="s">
        <v>155</v>
      </c>
      <c r="B95" s="20">
        <f>(2*(B98+B99+B101))+B100</f>
        <v>2.0259999999999998</v>
      </c>
      <c r="C95" s="20">
        <f>(2*(C98+C99+C101))+C100</f>
        <v>2.0259999999999998</v>
      </c>
      <c r="D95" s="20">
        <f>(2*(D98+D99+D101))+D100</f>
        <v>2.0259999999999998</v>
      </c>
    </row>
    <row r="96" spans="1:5">
      <c r="A96" t="s">
        <v>156</v>
      </c>
      <c r="B96" s="20">
        <f>Ability!$B$8</f>
        <v>0.58534077701729459</v>
      </c>
      <c r="C96" s="20">
        <f>Ability!$B$8</f>
        <v>0.58534077701729459</v>
      </c>
      <c r="D96" s="20">
        <f>Ability!$B$8</f>
        <v>0.58534077701729459</v>
      </c>
    </row>
    <row r="97" spans="1:4">
      <c r="A97" s="3" t="s">
        <v>157</v>
      </c>
      <c r="B97" s="52">
        <v>5.4505002185052534E-3</v>
      </c>
      <c r="C97" s="52">
        <v>5.4505002185052534E-3</v>
      </c>
      <c r="D97" s="52">
        <v>5.4505002185052534E-3</v>
      </c>
    </row>
    <row r="98" spans="1:4">
      <c r="A98" t="s">
        <v>158</v>
      </c>
      <c r="B98" s="84">
        <v>0.06</v>
      </c>
      <c r="C98" s="84">
        <v>0.06</v>
      </c>
      <c r="D98" s="84">
        <v>0.06</v>
      </c>
    </row>
    <row r="99" spans="1:4">
      <c r="A99" t="s">
        <v>161</v>
      </c>
      <c r="B99" s="84">
        <v>0.44</v>
      </c>
      <c r="C99" s="84">
        <v>0.44</v>
      </c>
      <c r="D99" s="84">
        <v>0.44</v>
      </c>
    </row>
    <row r="100" spans="1:4">
      <c r="A100" t="s">
        <v>163</v>
      </c>
      <c r="B100" s="55">
        <f>Slaughtering!$C$8</f>
        <v>0.25</v>
      </c>
      <c r="C100" s="55">
        <f>Slaughtering!$C$8</f>
        <v>0.25</v>
      </c>
      <c r="D100" s="55">
        <f>Slaughtering!$C$8</f>
        <v>0.25</v>
      </c>
    </row>
    <row r="101" spans="1:4">
      <c r="A101" s="149" t="s">
        <v>164</v>
      </c>
      <c r="B101" s="141">
        <v>0.38800000000000001</v>
      </c>
      <c r="C101" s="141">
        <v>0.38800000000000001</v>
      </c>
      <c r="D101" s="141">
        <v>0.38800000000000001</v>
      </c>
    </row>
    <row r="102" spans="1:4">
      <c r="A102" s="57" t="s">
        <v>165</v>
      </c>
      <c r="B102" s="58">
        <f>B103+B111</f>
        <v>0.94007561560765995</v>
      </c>
      <c r="C102" s="58">
        <f>C103+C111</f>
        <v>3.7603024624306398</v>
      </c>
      <c r="D102" s="58">
        <f>D103+D111</f>
        <v>3.7765335592669103</v>
      </c>
    </row>
    <row r="103" spans="1:4">
      <c r="A103" s="3" t="s">
        <v>166</v>
      </c>
      <c r="B103" s="20">
        <f>((B106/4)*B105*B104)*100</f>
        <v>0.90962413454936086</v>
      </c>
      <c r="C103" s="20">
        <f>((C106/1)*C105*C104)*100</f>
        <v>3.6384965381974435</v>
      </c>
      <c r="D103" s="20">
        <f>((D106/1)*D105*D104)*100</f>
        <v>3.6384965381974435</v>
      </c>
    </row>
    <row r="104" spans="1:4">
      <c r="A104" s="101" t="s">
        <v>167</v>
      </c>
      <c r="B104" s="20">
        <f>(2*(B107+B108+B110))+B109</f>
        <v>2.2759999999999998</v>
      </c>
      <c r="C104" s="20">
        <f>(2*(C107+C108+C110))+C109</f>
        <v>2.2759999999999998</v>
      </c>
      <c r="D104" s="20">
        <f>(2*(D107+D108+D110))+D109</f>
        <v>2.2759999999999998</v>
      </c>
    </row>
    <row r="105" spans="1:4">
      <c r="A105" t="s">
        <v>168</v>
      </c>
      <c r="B105" s="20">
        <f>Ability!$B$10</f>
        <v>0.87981165625279378</v>
      </c>
      <c r="C105" s="20">
        <f>Ability!$B$10</f>
        <v>0.87981165625279378</v>
      </c>
      <c r="D105" s="20">
        <f>Ability!$B$10</f>
        <v>0.87981165625279378</v>
      </c>
    </row>
    <row r="106" spans="1:4">
      <c r="A106" s="3" t="s">
        <v>169</v>
      </c>
      <c r="B106" s="59">
        <v>1.81702121013212E-2</v>
      </c>
      <c r="C106" s="59">
        <v>1.81702121013212E-2</v>
      </c>
      <c r="D106" s="59">
        <v>1.81702121013212E-2</v>
      </c>
    </row>
    <row r="107" spans="1:4">
      <c r="A107" s="3" t="s">
        <v>171</v>
      </c>
      <c r="B107" s="85">
        <v>0.22800000000000001</v>
      </c>
      <c r="C107" s="85">
        <v>0.22800000000000001</v>
      </c>
      <c r="D107" s="85">
        <v>0.22800000000000001</v>
      </c>
    </row>
    <row r="108" spans="1:4">
      <c r="A108" s="3" t="s">
        <v>175</v>
      </c>
      <c r="B108" s="84">
        <v>0.15</v>
      </c>
      <c r="C108" s="84">
        <v>0.15</v>
      </c>
      <c r="D108" s="84">
        <v>0.15</v>
      </c>
    </row>
    <row r="109" spans="1:4">
      <c r="A109" s="3" t="s">
        <v>177</v>
      </c>
      <c r="B109" s="55">
        <f>Slaughtering!$C$9</f>
        <v>0.25</v>
      </c>
      <c r="C109" s="55">
        <f>Slaughtering!$C$9</f>
        <v>0.25</v>
      </c>
      <c r="D109" s="55">
        <f>Slaughtering!$C$9</f>
        <v>0.25</v>
      </c>
    </row>
    <row r="110" spans="1:4">
      <c r="A110" s="148" t="s">
        <v>178</v>
      </c>
      <c r="B110" s="51">
        <v>0.63500000000000001</v>
      </c>
      <c r="C110" s="51">
        <v>0.63500000000000001</v>
      </c>
      <c r="D110" s="51">
        <v>0.63500000000000001</v>
      </c>
    </row>
    <row r="111" spans="1:4">
      <c r="A111" s="3" t="s">
        <v>179</v>
      </c>
      <c r="B111" s="20">
        <f>((B114/4)*B113*B112)*100</f>
        <v>3.0451481058299056E-2</v>
      </c>
      <c r="C111" s="20">
        <f>((C114/1)*C113*C112)*100</f>
        <v>0.12180592423319622</v>
      </c>
      <c r="D111" s="20">
        <f>((D114/1)*D113*D112)*100</f>
        <v>0.13803702106946664</v>
      </c>
    </row>
    <row r="112" spans="1:4">
      <c r="A112" s="101" t="s">
        <v>180</v>
      </c>
      <c r="B112" s="20">
        <f>(2*(B115+B116+B118))+B117</f>
        <v>1.456</v>
      </c>
      <c r="C112" s="20">
        <f>(2*(C115+C116+C118))+C117</f>
        <v>1.456</v>
      </c>
      <c r="D112" s="20">
        <f>(2*(D115+D116+D118))+D117</f>
        <v>1.456</v>
      </c>
    </row>
    <row r="113" spans="1:5">
      <c r="A113" s="101" t="s">
        <v>181</v>
      </c>
      <c r="B113" s="20">
        <f>Ability!$B$11</f>
        <v>0.94805646338919392</v>
      </c>
      <c r="C113" s="20">
        <f>Ability!$B$11</f>
        <v>0.94805646338919392</v>
      </c>
      <c r="D113" s="20">
        <f>Ability!$B$11</f>
        <v>0.94805646338919392</v>
      </c>
    </row>
    <row r="114" spans="1:5">
      <c r="A114" t="s">
        <v>182</v>
      </c>
      <c r="B114" s="59">
        <v>8.824149006511655E-4</v>
      </c>
      <c r="C114" s="59">
        <v>8.824149006511655E-4</v>
      </c>
      <c r="D114" s="165">
        <v>1E-3</v>
      </c>
      <c r="E114" s="1" t="s">
        <v>480</v>
      </c>
    </row>
    <row r="115" spans="1:5">
      <c r="A115" s="3" t="s">
        <v>183</v>
      </c>
      <c r="B115" s="38">
        <v>3.4000000000000002E-2</v>
      </c>
      <c r="C115" s="38">
        <v>3.4000000000000002E-2</v>
      </c>
      <c r="D115" s="38">
        <v>3.4000000000000002E-2</v>
      </c>
    </row>
    <row r="116" spans="1:5">
      <c r="A116" s="3" t="s">
        <v>187</v>
      </c>
      <c r="B116" s="84">
        <v>0.15</v>
      </c>
      <c r="C116" s="84">
        <v>0.15</v>
      </c>
      <c r="D116" s="84">
        <v>0.15</v>
      </c>
    </row>
    <row r="117" spans="1:5">
      <c r="A117" s="3" t="s">
        <v>190</v>
      </c>
      <c r="B117" s="55">
        <f>Slaughtering!$C$9</f>
        <v>0.25</v>
      </c>
      <c r="C117" s="55">
        <f>Slaughtering!$C$9</f>
        <v>0.25</v>
      </c>
      <c r="D117" s="55">
        <f>Slaughtering!$C$9</f>
        <v>0.25</v>
      </c>
    </row>
    <row r="118" spans="1:5">
      <c r="A118" s="148" t="s">
        <v>191</v>
      </c>
      <c r="B118" s="51">
        <v>0.41899999999999998</v>
      </c>
      <c r="C118" s="51">
        <v>0.41899999999999998</v>
      </c>
      <c r="D118" s="51">
        <v>0.41899999999999998</v>
      </c>
    </row>
    <row r="119" spans="1:5">
      <c r="A119" s="60" t="s">
        <v>192</v>
      </c>
      <c r="B119" s="61">
        <f>B120+B128</f>
        <v>0.75768537369030664</v>
      </c>
      <c r="C119" s="61">
        <f>C120+C128</f>
        <v>3.0307414947612266</v>
      </c>
      <c r="D119" s="61">
        <f>D120+D128</f>
        <v>3.0307414947612266</v>
      </c>
    </row>
    <row r="120" spans="1:5">
      <c r="A120" s="2" t="s">
        <v>193</v>
      </c>
      <c r="B120" s="20">
        <f>((B123/4)*B122*B121)*100</f>
        <v>0.63174489667201861</v>
      </c>
      <c r="C120" s="20">
        <f>((C123/1)*C122*C121)*100</f>
        <v>2.5269795866880744</v>
      </c>
      <c r="D120" s="20">
        <f>((D123/1)*D122*D121)*100</f>
        <v>2.5269795866880744</v>
      </c>
    </row>
    <row r="121" spans="1:5">
      <c r="A121" s="101" t="s">
        <v>194</v>
      </c>
      <c r="B121" s="20">
        <f>(2*(B124+B125+B127))+B126</f>
        <v>0.77</v>
      </c>
      <c r="C121" s="20">
        <f>(2*(C124+C125+C127))+C126</f>
        <v>0.77</v>
      </c>
      <c r="D121" s="20">
        <f>(2*(D124+D125+D127))+D126</f>
        <v>0.77</v>
      </c>
    </row>
    <row r="122" spans="1:5">
      <c r="A122" s="101" t="s">
        <v>195</v>
      </c>
      <c r="B122" s="20">
        <f>Ability!$B$12</f>
        <v>0.82044791775586834</v>
      </c>
      <c r="C122" s="20">
        <f>Ability!$B$12</f>
        <v>0.82044791775586834</v>
      </c>
      <c r="D122" s="20">
        <f>Ability!$B$12</f>
        <v>0.82044791775586834</v>
      </c>
    </row>
    <row r="123" spans="1:5">
      <c r="A123" s="3" t="s">
        <v>196</v>
      </c>
      <c r="B123" s="62">
        <v>0.04</v>
      </c>
      <c r="C123" s="62">
        <v>0.04</v>
      </c>
      <c r="D123" s="62">
        <v>0.04</v>
      </c>
    </row>
    <row r="124" spans="1:5">
      <c r="A124" s="3" t="s">
        <v>197</v>
      </c>
      <c r="B124" s="2">
        <v>0.08</v>
      </c>
      <c r="C124" s="2">
        <v>0.08</v>
      </c>
      <c r="D124" s="2">
        <v>0.08</v>
      </c>
    </row>
    <row r="125" spans="1:5">
      <c r="A125" s="3" t="s">
        <v>200</v>
      </c>
      <c r="B125" s="2">
        <v>0.06</v>
      </c>
      <c r="C125" s="2">
        <v>0.06</v>
      </c>
      <c r="D125" s="2">
        <v>0.06</v>
      </c>
    </row>
    <row r="126" spans="1:5">
      <c r="A126" s="3" t="s">
        <v>203</v>
      </c>
      <c r="B126" s="55">
        <f>Slaughtering!$C$10</f>
        <v>0.25</v>
      </c>
      <c r="C126" s="55">
        <f>Slaughtering!$C$10</f>
        <v>0.25</v>
      </c>
      <c r="D126" s="55">
        <f>Slaughtering!$C$10</f>
        <v>0.25</v>
      </c>
    </row>
    <row r="127" spans="1:5">
      <c r="A127" s="148" t="s">
        <v>204</v>
      </c>
      <c r="B127" s="143">
        <v>0.12</v>
      </c>
      <c r="C127" s="143">
        <v>0.12</v>
      </c>
      <c r="D127" s="143">
        <v>0.12</v>
      </c>
    </row>
    <row r="128" spans="1:5">
      <c r="A128" s="2" t="s">
        <v>205</v>
      </c>
      <c r="B128" s="20">
        <f>((B131/4)*B130*B129)*100</f>
        <v>0.12594047701828801</v>
      </c>
      <c r="C128" s="20">
        <f>((C131/1)*C130*C129)*100</f>
        <v>0.50376190807315202</v>
      </c>
      <c r="D128" s="20">
        <f>((D131/1)*D130*D129)*100</f>
        <v>0.50376190807315202</v>
      </c>
    </row>
    <row r="129" spans="1:6">
      <c r="A129" s="101" t="s">
        <v>206</v>
      </c>
      <c r="B129" s="20">
        <f>(2*(B132+B133+B135))+B134</f>
        <v>0.81400000000000006</v>
      </c>
      <c r="C129" s="20">
        <f>(2*(C132+C133+C135))+C134</f>
        <v>0.81400000000000006</v>
      </c>
      <c r="D129" s="20">
        <f>(2*(D132+D133+D135))+D134</f>
        <v>0.81400000000000006</v>
      </c>
    </row>
    <row r="130" spans="1:6">
      <c r="A130" s="3" t="s">
        <v>207</v>
      </c>
      <c r="B130" s="101">
        <f>B62</f>
        <v>0.88410303277141455</v>
      </c>
      <c r="C130" s="101">
        <f>C62</f>
        <v>0.88410303277141455</v>
      </c>
      <c r="D130" s="101">
        <f>D62</f>
        <v>0.88410303277141455</v>
      </c>
    </row>
    <row r="131" spans="1:6">
      <c r="A131" s="3" t="s">
        <v>208</v>
      </c>
      <c r="B131" s="62">
        <v>7.0000000000000001E-3</v>
      </c>
      <c r="C131" s="62">
        <v>7.0000000000000001E-3</v>
      </c>
      <c r="D131" s="62">
        <v>7.0000000000000001E-3</v>
      </c>
    </row>
    <row r="132" spans="1:6">
      <c r="A132" s="3" t="s">
        <v>210</v>
      </c>
      <c r="B132" s="85">
        <v>0.08</v>
      </c>
      <c r="C132" s="85">
        <v>0.08</v>
      </c>
      <c r="D132" s="85">
        <v>0.08</v>
      </c>
    </row>
    <row r="133" spans="1:6">
      <c r="A133" s="3" t="s">
        <v>213</v>
      </c>
      <c r="B133" s="2">
        <v>0.05</v>
      </c>
      <c r="C133" s="2">
        <v>0.05</v>
      </c>
      <c r="D133" s="2">
        <v>0.05</v>
      </c>
    </row>
    <row r="134" spans="1:6">
      <c r="A134" s="3" t="s">
        <v>216</v>
      </c>
      <c r="B134" s="55">
        <f>Slaughtering!$C$10</f>
        <v>0.25</v>
      </c>
      <c r="C134" s="55">
        <f>Slaughtering!$C$10</f>
        <v>0.25</v>
      </c>
      <c r="D134" s="55">
        <f>Slaughtering!$C$10</f>
        <v>0.25</v>
      </c>
    </row>
    <row r="135" spans="1:6">
      <c r="A135" s="148" t="s">
        <v>217</v>
      </c>
      <c r="B135" s="143">
        <v>0.152</v>
      </c>
      <c r="C135" s="143">
        <v>0.152</v>
      </c>
      <c r="D135" s="143">
        <v>0.152</v>
      </c>
    </row>
    <row r="136" spans="1:6">
      <c r="A136" s="36" t="s">
        <v>219</v>
      </c>
      <c r="B136" s="63">
        <f>((B139/4)*B138*B137)*100</f>
        <v>17.503651365806732</v>
      </c>
      <c r="C136" s="63">
        <f>((C139/1)*C138*C137)*100</f>
        <v>309.24920340329993</v>
      </c>
      <c r="D136" s="63">
        <f>((D139/1)*D138*D137)*100</f>
        <v>35.007302731613464</v>
      </c>
    </row>
    <row r="137" spans="1:6">
      <c r="A137" s="101" t="s">
        <v>221</v>
      </c>
      <c r="B137" s="24">
        <f>(2*(B140+B141+B143))+B142</f>
        <v>1.4023333333333332</v>
      </c>
      <c r="C137" s="24">
        <f>(2*(C140+C141+C143))+C142</f>
        <v>6.194</v>
      </c>
      <c r="D137" s="24">
        <f>(2*(D140+D141+D143))+D142</f>
        <v>1.4023333333333332</v>
      </c>
    </row>
    <row r="138" spans="1:6">
      <c r="A138" s="3" t="s">
        <v>222</v>
      </c>
      <c r="B138" s="24">
        <f>Ability!$B$14</f>
        <v>0.67196797361598137</v>
      </c>
      <c r="C138" s="24">
        <f>Ability!$B$14</f>
        <v>0.67196797361598137</v>
      </c>
      <c r="D138" s="24">
        <f>Ability!$B$14</f>
        <v>0.67196797361598137</v>
      </c>
    </row>
    <row r="139" spans="1:6">
      <c r="A139" s="3" t="s">
        <v>223</v>
      </c>
      <c r="B139" s="104">
        <v>0.74299999999999999</v>
      </c>
      <c r="C139" s="104">
        <v>0.74299999999999999</v>
      </c>
      <c r="D139" s="166">
        <f>0.743/2</f>
        <v>0.3715</v>
      </c>
      <c r="E139" s="198" t="s">
        <v>481</v>
      </c>
      <c r="F139" t="s">
        <v>482</v>
      </c>
    </row>
    <row r="140" spans="1:6">
      <c r="A140" s="3" t="s">
        <v>226</v>
      </c>
      <c r="B140" s="25">
        <v>0.15</v>
      </c>
      <c r="C140" s="25">
        <v>0.15</v>
      </c>
      <c r="D140" s="25">
        <v>0.15</v>
      </c>
    </row>
    <row r="141" spans="1:6">
      <c r="A141" s="3" t="s">
        <v>229</v>
      </c>
      <c r="B141" s="25">
        <v>0.11</v>
      </c>
      <c r="C141" s="25">
        <v>0.11</v>
      </c>
      <c r="D141" s="25">
        <v>0.11</v>
      </c>
    </row>
    <row r="142" spans="1:6">
      <c r="A142" s="3" t="s">
        <v>231</v>
      </c>
      <c r="B142" s="25">
        <f>Slaughtering!C12</f>
        <v>0.20833333333333334</v>
      </c>
      <c r="C142" s="25">
        <f>Slaughtering!D12</f>
        <v>5</v>
      </c>
      <c r="D142" s="25">
        <f>Slaughtering!E12</f>
        <v>0.20833333333333334</v>
      </c>
    </row>
    <row r="143" spans="1:6">
      <c r="A143" s="148" t="s">
        <v>234</v>
      </c>
      <c r="B143" s="150">
        <v>0.33700000000000002</v>
      </c>
      <c r="C143" s="150">
        <v>0.33700000000000002</v>
      </c>
      <c r="D143" s="150">
        <v>0.33700000000000002</v>
      </c>
    </row>
    <row r="144" spans="1:6">
      <c r="A144" s="64" t="s">
        <v>235</v>
      </c>
      <c r="B144" s="65">
        <f>((B147/4)*B146*B145)*100</f>
        <v>1.716902849659439</v>
      </c>
      <c r="C144" s="65">
        <f>((C147/1)*C146*C145)*100</f>
        <v>6.8676113986377558</v>
      </c>
      <c r="D144" s="65">
        <f>((D147/1)*D146*D145)*100</f>
        <v>6.8676113986377558</v>
      </c>
    </row>
    <row r="145" spans="1:4">
      <c r="A145" s="101" t="s">
        <v>237</v>
      </c>
      <c r="B145" s="20">
        <f>(2*(B148+B149+B151))+B150</f>
        <v>0.7553333333333333</v>
      </c>
      <c r="C145" s="20">
        <f>(2*(C148+C149+C151))+C150</f>
        <v>0.7553333333333333</v>
      </c>
      <c r="D145" s="20">
        <f>(2*(D148+D149+D151))+D150</f>
        <v>0.7553333333333333</v>
      </c>
    </row>
    <row r="146" spans="1:4">
      <c r="A146" s="3" t="s">
        <v>238</v>
      </c>
      <c r="B146" s="20">
        <f>Ability!$B$15</f>
        <v>0.30307199464420814</v>
      </c>
      <c r="C146" s="20">
        <f>Ability!$B$15</f>
        <v>0.30307199464420814</v>
      </c>
      <c r="D146" s="20">
        <f>Ability!$B$15</f>
        <v>0.30307199464420814</v>
      </c>
    </row>
    <row r="147" spans="1:4">
      <c r="A147" s="3" t="s">
        <v>239</v>
      </c>
      <c r="B147" s="26">
        <v>0.3</v>
      </c>
      <c r="C147" s="26">
        <v>0.3</v>
      </c>
      <c r="D147" s="26">
        <v>0.3</v>
      </c>
    </row>
    <row r="148" spans="1:4">
      <c r="A148" s="3" t="s">
        <v>241</v>
      </c>
      <c r="B148" s="84">
        <v>0.161</v>
      </c>
      <c r="C148" s="84">
        <v>0.161</v>
      </c>
      <c r="D148" s="84">
        <v>0.161</v>
      </c>
    </row>
    <row r="149" spans="1:4">
      <c r="A149" s="3" t="s">
        <v>244</v>
      </c>
      <c r="B149" s="107">
        <v>0.14499999999999999</v>
      </c>
      <c r="C149" s="107">
        <v>0.14499999999999999</v>
      </c>
      <c r="D149" s="107">
        <v>0.14499999999999999</v>
      </c>
    </row>
    <row r="150" spans="1:4">
      <c r="A150" s="3" t="s">
        <v>246</v>
      </c>
      <c r="B150" s="54">
        <v>8.3333333333333329E-2</v>
      </c>
      <c r="C150" s="54">
        <v>8.3333333333333329E-2</v>
      </c>
      <c r="D150" s="54">
        <v>8.3333333333333329E-2</v>
      </c>
    </row>
    <row r="151" spans="1:4">
      <c r="A151" s="148" t="s">
        <v>248</v>
      </c>
      <c r="B151" s="51">
        <v>0.03</v>
      </c>
      <c r="C151" s="51">
        <v>0.03</v>
      </c>
      <c r="D151" s="51">
        <v>0.03</v>
      </c>
    </row>
    <row r="152" spans="1:4">
      <c r="A152" s="66" t="s">
        <v>249</v>
      </c>
      <c r="B152" s="67">
        <f>((B155/4)*B154*B153)*100</f>
        <v>0.46619671789166267</v>
      </c>
      <c r="C152" s="67">
        <f>((C155/1)*C154*C153)*100</f>
        <v>1.8647868715666507</v>
      </c>
      <c r="D152" s="67">
        <f>((D155/1)*D154*D153)*100</f>
        <v>1.8647868715666507</v>
      </c>
    </row>
    <row r="153" spans="1:4">
      <c r="A153" s="101" t="s">
        <v>250</v>
      </c>
      <c r="B153" s="20">
        <f>(2*(B156+B157+B159))+B158</f>
        <v>0.14583333333333334</v>
      </c>
      <c r="C153" s="20">
        <f>(2*(C156+C157+C159))+C158</f>
        <v>0.14583333333333334</v>
      </c>
      <c r="D153" s="20">
        <f>(2*(D156+D157+D159))+D158</f>
        <v>0.14583333333333334</v>
      </c>
    </row>
    <row r="154" spans="1:4">
      <c r="A154" s="3" t="s">
        <v>251</v>
      </c>
      <c r="B154" s="20">
        <f>Ability!$B$16</f>
        <v>0.31967774941142579</v>
      </c>
      <c r="C154" s="20">
        <f>Ability!$B$16</f>
        <v>0.31967774941142579</v>
      </c>
      <c r="D154" s="20">
        <f>Ability!$B$16</f>
        <v>0.31967774941142579</v>
      </c>
    </row>
    <row r="155" spans="1:4">
      <c r="A155" s="3" t="s">
        <v>252</v>
      </c>
      <c r="B155" s="26">
        <v>0.4</v>
      </c>
      <c r="C155" s="26">
        <v>0.4</v>
      </c>
      <c r="D155" s="26">
        <v>0.4</v>
      </c>
    </row>
    <row r="156" spans="1:4">
      <c r="A156" s="3" t="s">
        <v>254</v>
      </c>
      <c r="B156" s="38">
        <v>0</v>
      </c>
      <c r="C156" s="38">
        <v>0</v>
      </c>
      <c r="D156" s="38">
        <v>0</v>
      </c>
    </row>
    <row r="157" spans="1:4">
      <c r="A157" s="3" t="s">
        <v>255</v>
      </c>
      <c r="B157" s="38">
        <v>0</v>
      </c>
      <c r="C157" s="38">
        <v>0</v>
      </c>
      <c r="D157" s="38">
        <v>0</v>
      </c>
    </row>
    <row r="158" spans="1:4">
      <c r="A158" s="101" t="s">
        <v>256</v>
      </c>
      <c r="B158" s="55">
        <f>Slaughtering!$C$13</f>
        <v>0.14583333333333334</v>
      </c>
      <c r="C158" s="55">
        <f>Slaughtering!$C$13</f>
        <v>0.14583333333333334</v>
      </c>
      <c r="D158" s="55">
        <f>Slaughtering!$C$13</f>
        <v>0.14583333333333334</v>
      </c>
    </row>
    <row r="159" spans="1:4">
      <c r="A159" s="148" t="s">
        <v>258</v>
      </c>
      <c r="B159" s="51">
        <v>0</v>
      </c>
      <c r="C159" s="51">
        <v>0</v>
      </c>
      <c r="D159" s="51">
        <v>0</v>
      </c>
    </row>
    <row r="160" spans="1:4">
      <c r="A160" s="68" t="s">
        <v>259</v>
      </c>
      <c r="B160" s="69">
        <f>((B163/4)*B162*B161)*100</f>
        <v>1.1008976377561664E-3</v>
      </c>
      <c r="C160" s="69">
        <f>((C163/1)*C162*C161)*100</f>
        <v>4.4035905510246658E-3</v>
      </c>
      <c r="D160" s="69">
        <f>((D163/1)*D162*D161)*100</f>
        <v>4.4035905510246658E-3</v>
      </c>
    </row>
    <row r="161" spans="1:4">
      <c r="A161" s="101" t="s">
        <v>261</v>
      </c>
      <c r="B161" s="20">
        <f>(2*(B164+B165+B167))+B166</f>
        <v>6.9444444444444447E-4</v>
      </c>
      <c r="C161" s="20">
        <f>(2*(C164+C165+C167))+C166</f>
        <v>6.9444444444444447E-4</v>
      </c>
      <c r="D161" s="20">
        <f>(2*(D164+D165+D167))+D166</f>
        <v>6.9444444444444447E-4</v>
      </c>
    </row>
    <row r="162" spans="1:4">
      <c r="A162" s="3" t="s">
        <v>262</v>
      </c>
      <c r="B162" s="107">
        <f>Ability!$B$17</f>
        <v>0.93252505786404671</v>
      </c>
      <c r="C162" s="107">
        <f>Ability!$B$17</f>
        <v>0.93252505786404671</v>
      </c>
      <c r="D162" s="107">
        <f>Ability!$B$17</f>
        <v>0.93252505786404671</v>
      </c>
    </row>
    <row r="163" spans="1:4">
      <c r="A163" s="102" t="s">
        <v>263</v>
      </c>
      <c r="B163" s="106">
        <v>6.8000000000000005E-2</v>
      </c>
      <c r="C163" s="106">
        <v>6.8000000000000005E-2</v>
      </c>
      <c r="D163" s="106">
        <v>6.8000000000000005E-2</v>
      </c>
    </row>
    <row r="164" spans="1:4">
      <c r="A164" s="3" t="s">
        <v>264</v>
      </c>
      <c r="B164" s="38">
        <v>0</v>
      </c>
      <c r="C164" s="38">
        <v>0</v>
      </c>
      <c r="D164" s="38">
        <v>0</v>
      </c>
    </row>
    <row r="165" spans="1:4">
      <c r="A165" s="3" t="s">
        <v>265</v>
      </c>
      <c r="B165" s="38">
        <v>0</v>
      </c>
      <c r="C165" s="38">
        <v>0</v>
      </c>
      <c r="D165" s="38">
        <v>0</v>
      </c>
    </row>
    <row r="166" spans="1:4">
      <c r="A166" s="3" t="s">
        <v>266</v>
      </c>
      <c r="B166" s="20">
        <f>Slaughtering!$C$14</f>
        <v>6.9444444444444447E-4</v>
      </c>
      <c r="C166" s="20">
        <f>Slaughtering!$C$14</f>
        <v>6.9444444444444447E-4</v>
      </c>
      <c r="D166" s="20">
        <f>Slaughtering!$C$14</f>
        <v>6.9444444444444447E-4</v>
      </c>
    </row>
    <row r="167" spans="1:4">
      <c r="A167" s="160" t="s">
        <v>268</v>
      </c>
      <c r="B167" s="137">
        <v>0</v>
      </c>
      <c r="C167" s="137">
        <v>0</v>
      </c>
      <c r="D167" s="137">
        <v>0</v>
      </c>
    </row>
    <row r="168" spans="1:4">
      <c r="A168" s="68" t="s">
        <v>269</v>
      </c>
      <c r="B168" s="69">
        <f>((B171/4)*B170*B169)*100</f>
        <v>1.1185222222222224E-4</v>
      </c>
      <c r="C168" s="69">
        <f>((C171/1)*C170*C169)*100</f>
        <v>4.4740888888888898E-4</v>
      </c>
      <c r="D168" s="69">
        <f>((D171/1)*D170*D169)*100</f>
        <v>4.4740888888888898E-4</v>
      </c>
    </row>
    <row r="169" spans="1:4">
      <c r="A169" s="101" t="s">
        <v>271</v>
      </c>
      <c r="B169" s="20">
        <f>(2*(B172+B173+B175))+B174</f>
        <v>6.9444444444444447E-4</v>
      </c>
      <c r="C169" s="20">
        <f>(2*(C172+C173+C175))+C174</f>
        <v>6.9444444444444447E-4</v>
      </c>
      <c r="D169" s="20">
        <f>(2*(D172+D173+D175))+D174</f>
        <v>6.9444444444444447E-4</v>
      </c>
    </row>
    <row r="170" spans="1:4">
      <c r="A170" s="3" t="s">
        <v>272</v>
      </c>
      <c r="B170" s="107">
        <v>0.20133400000000001</v>
      </c>
      <c r="C170" s="107">
        <v>0.20133400000000001</v>
      </c>
      <c r="D170" s="107">
        <v>0.20133400000000001</v>
      </c>
    </row>
    <row r="171" spans="1:4">
      <c r="A171" s="102" t="s">
        <v>273</v>
      </c>
      <c r="B171" s="106">
        <v>3.2000000000000001E-2</v>
      </c>
      <c r="C171" s="106">
        <v>3.2000000000000001E-2</v>
      </c>
      <c r="D171" s="106">
        <v>3.2000000000000001E-2</v>
      </c>
    </row>
    <row r="172" spans="1:4">
      <c r="A172" s="3" t="s">
        <v>274</v>
      </c>
      <c r="B172" s="38">
        <v>0</v>
      </c>
      <c r="C172" s="38">
        <v>0</v>
      </c>
      <c r="D172" s="38">
        <v>0</v>
      </c>
    </row>
    <row r="173" spans="1:4">
      <c r="A173" s="3" t="s">
        <v>275</v>
      </c>
      <c r="B173" s="38">
        <v>0</v>
      </c>
      <c r="C173" s="38">
        <v>0</v>
      </c>
      <c r="D173" s="38">
        <v>0</v>
      </c>
    </row>
    <row r="174" spans="1:4">
      <c r="A174" s="3" t="s">
        <v>276</v>
      </c>
      <c r="B174" s="20">
        <f>Slaughtering!$C$14</f>
        <v>6.9444444444444447E-4</v>
      </c>
      <c r="C174" s="20">
        <f>Slaughtering!$C$14</f>
        <v>6.9444444444444447E-4</v>
      </c>
      <c r="D174" s="20">
        <f>Slaughtering!$C$14</f>
        <v>6.9444444444444447E-4</v>
      </c>
    </row>
    <row r="175" spans="1:4">
      <c r="A175" s="160" t="s">
        <v>277</v>
      </c>
      <c r="B175" s="137">
        <v>0</v>
      </c>
      <c r="C175" s="137">
        <v>0</v>
      </c>
      <c r="D175" s="137">
        <v>0</v>
      </c>
    </row>
    <row r="176" spans="1:4">
      <c r="A176" s="68" t="s">
        <v>278</v>
      </c>
      <c r="B176" s="69">
        <f>((B179/4)*B178*B177)*100</f>
        <v>1.5757231249999999E-3</v>
      </c>
      <c r="C176" s="69">
        <f>((C179/1)*C178*C177)*100</f>
        <v>6.3028924999999998E-3</v>
      </c>
      <c r="D176" s="69">
        <f>((D179/1)*D178*D177)*100</f>
        <v>3.1514462499999999E-3</v>
      </c>
    </row>
    <row r="177" spans="1:6">
      <c r="A177" s="101" t="s">
        <v>280</v>
      </c>
      <c r="B177" s="20">
        <f>(2*(B180+B181+B183))+B182</f>
        <v>6.9444444444444447E-4</v>
      </c>
      <c r="C177" s="20">
        <f>(2*(C180+C181+C183))+C182</f>
        <v>6.9444444444444447E-4</v>
      </c>
      <c r="D177" s="20">
        <f>(2*(D180+D181+D183))+D182</f>
        <v>6.9444444444444447E-4</v>
      </c>
    </row>
    <row r="178" spans="1:6">
      <c r="A178" s="3" t="s">
        <v>281</v>
      </c>
      <c r="B178" s="107">
        <v>0.142707</v>
      </c>
      <c r="C178" s="107">
        <v>0.142707</v>
      </c>
      <c r="D178" s="107">
        <v>0.142707</v>
      </c>
    </row>
    <row r="179" spans="1:6">
      <c r="A179" s="102" t="s">
        <v>282</v>
      </c>
      <c r="B179" s="106">
        <v>0.63600000000000001</v>
      </c>
      <c r="C179" s="106">
        <v>0.63600000000000001</v>
      </c>
      <c r="D179" s="177">
        <f>0.636/2</f>
        <v>0.318</v>
      </c>
      <c r="E179" s="198" t="s">
        <v>481</v>
      </c>
      <c r="F179" s="1" t="s">
        <v>482</v>
      </c>
    </row>
    <row r="180" spans="1:6">
      <c r="A180" s="3" t="s">
        <v>283</v>
      </c>
      <c r="B180" s="38">
        <v>0</v>
      </c>
      <c r="C180" s="38">
        <v>0</v>
      </c>
      <c r="D180" s="38">
        <v>0</v>
      </c>
    </row>
    <row r="181" spans="1:6">
      <c r="A181" s="3" t="s">
        <v>284</v>
      </c>
      <c r="B181" s="38">
        <v>0</v>
      </c>
      <c r="C181" s="38">
        <v>0</v>
      </c>
      <c r="D181" s="38">
        <v>0</v>
      </c>
    </row>
    <row r="182" spans="1:6">
      <c r="A182" s="3" t="s">
        <v>285</v>
      </c>
      <c r="B182" s="20">
        <f>Slaughtering!$C$14</f>
        <v>6.9444444444444447E-4</v>
      </c>
      <c r="C182" s="20">
        <f>Slaughtering!$C$14</f>
        <v>6.9444444444444447E-4</v>
      </c>
      <c r="D182" s="20">
        <f>Slaughtering!$C$14</f>
        <v>6.9444444444444447E-4</v>
      </c>
    </row>
    <row r="183" spans="1:6">
      <c r="A183" s="160" t="s">
        <v>286</v>
      </c>
      <c r="B183" s="137">
        <v>0</v>
      </c>
      <c r="C183" s="137">
        <v>0</v>
      </c>
      <c r="D183" s="137">
        <v>0</v>
      </c>
    </row>
    <row r="184" spans="1:6">
      <c r="A184" s="154" t="s">
        <v>287</v>
      </c>
      <c r="B184" s="155">
        <f>((B187/4)*B186*B185)*100</f>
        <v>6.8648543089645981</v>
      </c>
      <c r="C184" s="155">
        <f>((C187/1)*C186*C185)*100</f>
        <v>27.459417235858393</v>
      </c>
      <c r="D184" s="155">
        <f>((D187/1)*D186*D185)*100</f>
        <v>2.745941723585839</v>
      </c>
    </row>
    <row r="185" spans="1:6">
      <c r="A185" s="101" t="s">
        <v>288</v>
      </c>
      <c r="B185" s="20">
        <f>(2*(B188+B189+B191))+B190</f>
        <v>6.9444444444444447E-4</v>
      </c>
      <c r="C185" s="20">
        <f>(2*(C188+C189+C191))+C190</f>
        <v>6.9444444444444447E-4</v>
      </c>
      <c r="D185" s="20">
        <f>(2*(D188+D189+D191))+D190</f>
        <v>6.9444444444444447E-4</v>
      </c>
    </row>
    <row r="186" spans="1:6">
      <c r="A186" s="3" t="s">
        <v>289</v>
      </c>
      <c r="B186" s="20">
        <f>Ability!$B$20</f>
        <v>3.9541560819636078E-2</v>
      </c>
      <c r="C186" s="20">
        <f>Ability!$B$20</f>
        <v>3.9541560819636078E-2</v>
      </c>
      <c r="D186" s="20">
        <f>Ability!$B$20</f>
        <v>3.9541560819636078E-2</v>
      </c>
    </row>
    <row r="187" spans="1:6">
      <c r="A187" s="3" t="s">
        <v>290</v>
      </c>
      <c r="B187" s="26">
        <v>10000</v>
      </c>
      <c r="C187" s="26">
        <v>10000</v>
      </c>
      <c r="D187" s="167">
        <v>1000</v>
      </c>
      <c r="E187" s="1" t="s">
        <v>483</v>
      </c>
    </row>
    <row r="188" spans="1:6">
      <c r="A188" s="3" t="s">
        <v>292</v>
      </c>
      <c r="B188" s="38">
        <v>0</v>
      </c>
      <c r="C188" s="38">
        <v>0</v>
      </c>
      <c r="D188" s="38">
        <v>0</v>
      </c>
    </row>
    <row r="189" spans="1:6">
      <c r="A189" s="3" t="s">
        <v>293</v>
      </c>
      <c r="B189" s="38">
        <v>0</v>
      </c>
      <c r="C189" s="38">
        <v>0</v>
      </c>
      <c r="D189" s="38">
        <v>0</v>
      </c>
    </row>
    <row r="190" spans="1:6">
      <c r="A190" s="3" t="s">
        <v>294</v>
      </c>
      <c r="B190" s="107">
        <f>Slaughtering!$C$15</f>
        <v>6.9444444444444447E-4</v>
      </c>
      <c r="C190" s="107">
        <f>Slaughtering!$C$15</f>
        <v>6.9444444444444447E-4</v>
      </c>
      <c r="D190" s="107">
        <f>Slaughtering!$C$15</f>
        <v>6.9444444444444447E-4</v>
      </c>
    </row>
    <row r="191" spans="1:6">
      <c r="A191" s="148" t="s">
        <v>298</v>
      </c>
      <c r="B191" s="51">
        <v>0</v>
      </c>
      <c r="C191" s="51">
        <v>0</v>
      </c>
      <c r="D191" s="51">
        <v>0</v>
      </c>
    </row>
    <row r="192" spans="1:6">
      <c r="A192" s="152" t="s">
        <v>300</v>
      </c>
      <c r="B192" s="153">
        <f>((B195/4)*B194*B193)*100</f>
        <v>9.2466424453942704</v>
      </c>
      <c r="C192" s="153">
        <f>((C195/1)*C194*C193)*100</f>
        <v>36.986569781577082</v>
      </c>
      <c r="D192" s="153">
        <f>((D195/1)*D194*D193)*100</f>
        <v>3.6986569781577092</v>
      </c>
    </row>
    <row r="193" spans="1:5">
      <c r="A193" s="101" t="s">
        <v>301</v>
      </c>
      <c r="B193" s="20">
        <f>(2*(B196+B197+B199))+B198</f>
        <v>3.4722222222222224E-4</v>
      </c>
      <c r="C193" s="20">
        <f>(2*(C196+C197+C199))+C198</f>
        <v>3.4722222222222224E-4</v>
      </c>
      <c r="D193" s="20">
        <f>(2*(D196+D197+D199))+D198</f>
        <v>3.4722222222222224E-4</v>
      </c>
    </row>
    <row r="194" spans="1:5">
      <c r="A194" s="3" t="s">
        <v>302</v>
      </c>
      <c r="B194" s="20">
        <f>Ability!$B$21</f>
        <v>8.8767767475785006E-2</v>
      </c>
      <c r="C194" s="20">
        <f>Ability!$B$21</f>
        <v>8.8767767475785006E-2</v>
      </c>
      <c r="D194" s="20">
        <f>Ability!$B$21</f>
        <v>8.8767767475785006E-2</v>
      </c>
    </row>
    <row r="195" spans="1:5">
      <c r="A195" s="3" t="s">
        <v>484</v>
      </c>
      <c r="B195" s="26">
        <v>12000</v>
      </c>
      <c r="C195" s="26">
        <v>12000</v>
      </c>
      <c r="D195" s="167">
        <v>1200</v>
      </c>
      <c r="E195" s="1" t="s">
        <v>483</v>
      </c>
    </row>
    <row r="196" spans="1:5">
      <c r="A196" s="3" t="s">
        <v>305</v>
      </c>
      <c r="B196" s="38">
        <v>0</v>
      </c>
      <c r="C196" s="38">
        <v>0</v>
      </c>
      <c r="D196" s="38">
        <v>0</v>
      </c>
    </row>
    <row r="197" spans="1:5">
      <c r="A197" s="3" t="s">
        <v>306</v>
      </c>
      <c r="B197" s="38">
        <v>0</v>
      </c>
      <c r="C197" s="38">
        <v>0</v>
      </c>
      <c r="D197" s="38">
        <v>0</v>
      </c>
    </row>
    <row r="198" spans="1:5">
      <c r="A198" s="3" t="s">
        <v>307</v>
      </c>
      <c r="B198" s="107">
        <f>Slaughtering!$C$16</f>
        <v>3.4722222222222224E-4</v>
      </c>
      <c r="C198" s="107">
        <f>Slaughtering!$C$16</f>
        <v>3.4722222222222224E-4</v>
      </c>
      <c r="D198" s="107">
        <f>Slaughtering!$C$16</f>
        <v>3.4722222222222224E-4</v>
      </c>
    </row>
    <row r="199" spans="1:5">
      <c r="A199" s="148" t="s">
        <v>309</v>
      </c>
      <c r="B199" s="51">
        <v>0</v>
      </c>
      <c r="C199" s="51">
        <v>0</v>
      </c>
      <c r="D199" s="51">
        <v>0</v>
      </c>
    </row>
    <row r="200" spans="1:5">
      <c r="A200" s="78" t="s">
        <v>311</v>
      </c>
      <c r="B200" s="156">
        <f>((B203/4)*B202*B201)*100</f>
        <v>13.831392026797401</v>
      </c>
      <c r="C200" s="156">
        <f>((C203/1)*C202*C201)*100</f>
        <v>55.325568107189603</v>
      </c>
      <c r="D200" s="156">
        <f>((D203/1)*D202*D201)*100</f>
        <v>5.5325568107189609</v>
      </c>
    </row>
    <row r="201" spans="1:5">
      <c r="A201" s="101" t="s">
        <v>313</v>
      </c>
      <c r="B201" s="20">
        <f>(2*(B204+B205+B207))+B206</f>
        <v>8.3333333333333329E-2</v>
      </c>
      <c r="C201" s="20">
        <f>(2*(C204+C205+C207))+C206</f>
        <v>8.3333333333333329E-2</v>
      </c>
      <c r="D201" s="20">
        <f>(2*(D204+D205+D207))+D206</f>
        <v>8.3333333333333329E-2</v>
      </c>
    </row>
    <row r="202" spans="1:5">
      <c r="A202" s="3" t="s">
        <v>314</v>
      </c>
      <c r="B202" s="20">
        <f>Ability!$B$22</f>
        <v>4.9917805810998139E-2</v>
      </c>
      <c r="C202" s="20">
        <f>Ability!$B$22</f>
        <v>4.9917805810998139E-2</v>
      </c>
      <c r="D202" s="20">
        <f>Ability!$B$22</f>
        <v>4.9917805810998139E-2</v>
      </c>
    </row>
    <row r="203" spans="1:5">
      <c r="A203" s="102" t="s">
        <v>315</v>
      </c>
      <c r="B203" s="103">
        <v>133</v>
      </c>
      <c r="C203" s="103">
        <v>133</v>
      </c>
      <c r="D203" s="166">
        <v>13.3</v>
      </c>
      <c r="E203" s="1" t="s">
        <v>485</v>
      </c>
    </row>
    <row r="204" spans="1:5">
      <c r="A204" s="3" t="s">
        <v>319</v>
      </c>
      <c r="B204" s="38">
        <v>0</v>
      </c>
      <c r="C204" s="38">
        <v>0</v>
      </c>
      <c r="D204" s="38">
        <v>0</v>
      </c>
    </row>
    <row r="205" spans="1:5">
      <c r="A205" s="3" t="s">
        <v>320</v>
      </c>
      <c r="B205" s="38">
        <v>0</v>
      </c>
      <c r="C205" s="38">
        <v>0</v>
      </c>
      <c r="D205" s="38">
        <v>0</v>
      </c>
    </row>
    <row r="206" spans="1:5">
      <c r="A206" s="3" t="s">
        <v>321</v>
      </c>
      <c r="B206" s="107">
        <f>Slaughtering!$C$17</f>
        <v>8.3333333333333329E-2</v>
      </c>
      <c r="C206" s="107">
        <f>Slaughtering!$C$17</f>
        <v>8.3333333333333329E-2</v>
      </c>
      <c r="D206" s="107">
        <f>Slaughtering!$C$17</f>
        <v>8.3333333333333329E-2</v>
      </c>
    </row>
    <row r="207" spans="1:5">
      <c r="A207" s="148" t="s">
        <v>323</v>
      </c>
      <c r="B207" s="51">
        <v>0</v>
      </c>
      <c r="C207" s="51">
        <v>0</v>
      </c>
      <c r="D207" s="51">
        <v>0</v>
      </c>
    </row>
    <row r="208" spans="1:5">
      <c r="A208" s="78" t="s">
        <v>325</v>
      </c>
      <c r="B208" s="79">
        <f>((B211/4)*B210*B209)*100</f>
        <v>19.021152116142876</v>
      </c>
      <c r="C208" s="79">
        <f>((C211/1)*C210*C209)*100</f>
        <v>76.084608464571502</v>
      </c>
      <c r="D208" s="79">
        <f>((D211/1)*D210*D209)*100</f>
        <v>7.6084608464571506</v>
      </c>
    </row>
    <row r="209" spans="1:5">
      <c r="A209" s="101" t="s">
        <v>326</v>
      </c>
      <c r="B209" s="20">
        <f>(2*(B212+B213+B215))+B214</f>
        <v>4.1666666666666664E-2</v>
      </c>
      <c r="C209" s="20">
        <f>(2*(C212+C213+C215))+C214</f>
        <v>4.1666666666666664E-2</v>
      </c>
      <c r="D209" s="20">
        <f>(2*(D212+D213+D215))+D214</f>
        <v>4.1666666666666664E-2</v>
      </c>
    </row>
    <row r="210" spans="1:5">
      <c r="A210" s="3" t="s">
        <v>327</v>
      </c>
      <c r="B210" s="20">
        <f>Ability!$B$23</f>
        <v>0.1460824482519773</v>
      </c>
      <c r="C210" s="20">
        <f>Ability!$B$23</f>
        <v>0.1460824482519773</v>
      </c>
      <c r="D210" s="20">
        <f>Ability!$B$23</f>
        <v>0.1460824482519773</v>
      </c>
    </row>
    <row r="211" spans="1:5">
      <c r="A211" s="102" t="s">
        <v>328</v>
      </c>
      <c r="B211" s="103">
        <v>125</v>
      </c>
      <c r="C211" s="103">
        <v>125</v>
      </c>
      <c r="D211" s="166">
        <v>12.5</v>
      </c>
      <c r="E211" s="1" t="s">
        <v>485</v>
      </c>
    </row>
    <row r="212" spans="1:5">
      <c r="A212" s="3" t="s">
        <v>332</v>
      </c>
      <c r="B212" s="38">
        <v>0</v>
      </c>
      <c r="C212" s="38">
        <v>0</v>
      </c>
      <c r="D212" s="38">
        <v>0</v>
      </c>
    </row>
    <row r="213" spans="1:5">
      <c r="A213" s="3" t="s">
        <v>333</v>
      </c>
      <c r="B213" s="38">
        <v>0</v>
      </c>
      <c r="C213" s="38">
        <v>0</v>
      </c>
      <c r="D213" s="38">
        <v>0</v>
      </c>
    </row>
    <row r="214" spans="1:5">
      <c r="A214" s="3" t="s">
        <v>334</v>
      </c>
      <c r="B214" s="20">
        <f>Slaughtering!$C$18</f>
        <v>4.1666666666666664E-2</v>
      </c>
      <c r="C214" s="20">
        <f>Slaughtering!$C$18</f>
        <v>4.1666666666666664E-2</v>
      </c>
      <c r="D214" s="20">
        <f>Slaughtering!$C$18</f>
        <v>4.1666666666666664E-2</v>
      </c>
    </row>
    <row r="215" spans="1:5">
      <c r="A215" s="148" t="s">
        <v>336</v>
      </c>
      <c r="B215" s="51">
        <v>0</v>
      </c>
      <c r="C215" s="51">
        <v>0</v>
      </c>
      <c r="D215" s="51">
        <v>0</v>
      </c>
    </row>
    <row r="216" spans="1:5">
      <c r="A216" s="78" t="s">
        <v>337</v>
      </c>
      <c r="B216" s="79">
        <f>((B219/4)*B218*B217)*100</f>
        <v>0.17562166849638172</v>
      </c>
      <c r="C216" s="79">
        <f>((C219/1)*C218*C217)*100</f>
        <v>0.70248667398552689</v>
      </c>
      <c r="D216" s="79">
        <f>((D219/1)*D218*D217)*100</f>
        <v>0.70248667398552689</v>
      </c>
    </row>
    <row r="217" spans="1:5">
      <c r="A217" s="101" t="s">
        <v>338</v>
      </c>
      <c r="B217" s="20">
        <f>(2*(B220+B221+B223))+B222</f>
        <v>0.14583333333333334</v>
      </c>
      <c r="C217" s="20">
        <f>(2*(C220+C221+C223))+C222</f>
        <v>0.14583333333333334</v>
      </c>
      <c r="D217" s="20">
        <f>(2*(D220+D221+D223))+D222</f>
        <v>0.14583333333333334</v>
      </c>
    </row>
    <row r="218" spans="1:5">
      <c r="A218" s="3" t="s">
        <v>339</v>
      </c>
      <c r="B218" s="20">
        <f>Ability!$B$24</f>
        <v>0.37054242144291522</v>
      </c>
      <c r="C218" s="20">
        <f>Ability!$B$24</f>
        <v>0.37054242144291522</v>
      </c>
      <c r="D218" s="20">
        <f>Ability!$B$24</f>
        <v>0.37054242144291522</v>
      </c>
    </row>
    <row r="219" spans="1:5">
      <c r="A219" s="3" t="s">
        <v>340</v>
      </c>
      <c r="B219" s="26">
        <v>0.13</v>
      </c>
      <c r="C219" s="26">
        <v>0.13</v>
      </c>
      <c r="D219" s="26">
        <v>0.13</v>
      </c>
    </row>
    <row r="220" spans="1:5">
      <c r="A220" s="3" t="s">
        <v>343</v>
      </c>
      <c r="B220" s="38">
        <v>0</v>
      </c>
      <c r="C220" s="38">
        <v>0</v>
      </c>
      <c r="D220" s="38">
        <v>0</v>
      </c>
    </row>
    <row r="221" spans="1:5">
      <c r="A221" s="3" t="s">
        <v>344</v>
      </c>
      <c r="B221" s="38">
        <v>0</v>
      </c>
      <c r="C221" s="38">
        <v>0</v>
      </c>
      <c r="D221" s="38">
        <v>0</v>
      </c>
    </row>
    <row r="222" spans="1:5">
      <c r="A222" s="3" t="s">
        <v>345</v>
      </c>
      <c r="B222" s="20">
        <f>Slaughtering!$C$19</f>
        <v>0.14583333333333334</v>
      </c>
      <c r="C222" s="20">
        <f>Slaughtering!$C$19</f>
        <v>0.14583333333333334</v>
      </c>
      <c r="D222" s="20">
        <f>Slaughtering!$C$19</f>
        <v>0.14583333333333334</v>
      </c>
    </row>
    <row r="223" spans="1:5">
      <c r="A223" s="148" t="s">
        <v>347</v>
      </c>
      <c r="B223" s="51">
        <v>0</v>
      </c>
      <c r="C223" s="51">
        <v>0</v>
      </c>
      <c r="D223" s="51">
        <v>0</v>
      </c>
    </row>
    <row r="224" spans="1:5">
      <c r="A224" s="36" t="s">
        <v>348</v>
      </c>
      <c r="B224" s="109">
        <f>((B227/4)*B226*B225)*100</f>
        <v>1.7434499999999999E-2</v>
      </c>
      <c r="C224" s="109">
        <f>((C227/1)*C226*C225)*100</f>
        <v>6.9737999999999994E-2</v>
      </c>
      <c r="D224" s="109">
        <f>((D227/1)*D226*D225)*100</f>
        <v>6.9737999999999994E-2</v>
      </c>
    </row>
    <row r="225" spans="1:7">
      <c r="A225" s="101" t="s">
        <v>350</v>
      </c>
      <c r="B225" s="157">
        <f>(2*(B228+B229+B231))+B230</f>
        <v>0.78800000000000003</v>
      </c>
      <c r="C225" s="157">
        <f>(2*(C228+C229+C231))+C230</f>
        <v>0.78800000000000003</v>
      </c>
      <c r="D225" s="157">
        <f>(2*(D228+D229+D231))+D230</f>
        <v>0.78800000000000003</v>
      </c>
    </row>
    <row r="226" spans="1:7">
      <c r="A226" s="3" t="s">
        <v>351</v>
      </c>
      <c r="B226" s="157">
        <v>0.17699999999999999</v>
      </c>
      <c r="C226" s="157">
        <v>0.17699999999999999</v>
      </c>
      <c r="D226" s="157">
        <v>0.17699999999999999</v>
      </c>
    </row>
    <row r="227" spans="1:7">
      <c r="A227" s="102" t="s">
        <v>352</v>
      </c>
      <c r="B227" s="102">
        <v>5.0000000000000001E-3</v>
      </c>
      <c r="C227" s="102">
        <v>5.0000000000000001E-3</v>
      </c>
      <c r="D227" s="102">
        <v>5.0000000000000001E-3</v>
      </c>
    </row>
    <row r="228" spans="1:7">
      <c r="A228" s="3" t="s">
        <v>354</v>
      </c>
      <c r="B228" s="83">
        <v>0.03</v>
      </c>
      <c r="C228" s="83">
        <v>0.03</v>
      </c>
      <c r="D228" s="83">
        <v>0.03</v>
      </c>
    </row>
    <row r="229" spans="1:7">
      <c r="A229" s="3" t="s">
        <v>356</v>
      </c>
      <c r="B229" s="83">
        <v>0.15</v>
      </c>
      <c r="C229" s="83">
        <v>0.15</v>
      </c>
      <c r="D229" s="83">
        <v>0.15</v>
      </c>
    </row>
    <row r="230" spans="1:7">
      <c r="A230" s="3" t="s">
        <v>359</v>
      </c>
      <c r="B230" s="83">
        <v>0.25</v>
      </c>
      <c r="C230" s="83">
        <v>0.25</v>
      </c>
      <c r="D230" s="83">
        <v>0.25</v>
      </c>
    </row>
    <row r="231" spans="1:7">
      <c r="A231" s="148" t="s">
        <v>360</v>
      </c>
      <c r="B231" s="151">
        <v>8.8999999999999996E-2</v>
      </c>
      <c r="C231" s="151">
        <v>8.8999999999999996E-2</v>
      </c>
      <c r="D231" s="151">
        <v>8.8999999999999996E-2</v>
      </c>
    </row>
    <row r="234" spans="1:7" ht="21">
      <c r="A234" s="32"/>
      <c r="B234" s="2"/>
      <c r="C234" s="2"/>
      <c r="D234" s="2"/>
    </row>
    <row r="235" spans="1:7">
      <c r="B235" s="2"/>
      <c r="C235" s="2"/>
      <c r="D235" s="2"/>
    </row>
    <row r="236" spans="1:7">
      <c r="A236" s="179"/>
      <c r="B236" s="180"/>
      <c r="C236" s="180"/>
      <c r="D236" s="180"/>
      <c r="G236" s="50"/>
    </row>
    <row r="237" spans="1:7">
      <c r="A237" s="3"/>
      <c r="B237" s="20"/>
      <c r="C237" s="20"/>
      <c r="D237" s="20"/>
      <c r="G237" s="21"/>
    </row>
    <row r="238" spans="1:7">
      <c r="A238" s="181"/>
      <c r="B238" s="27"/>
      <c r="C238" s="27"/>
      <c r="D238" s="27"/>
      <c r="G238" s="21"/>
    </row>
    <row r="239" spans="1:7">
      <c r="A239" s="3"/>
      <c r="B239" s="20"/>
      <c r="C239" s="20"/>
      <c r="D239" s="20"/>
      <c r="G239" s="170"/>
    </row>
    <row r="240" spans="1:7">
      <c r="A240" s="3"/>
      <c r="B240" s="21"/>
      <c r="C240" s="21"/>
      <c r="D240" s="21"/>
      <c r="G240" s="21"/>
    </row>
    <row r="241" spans="1:8">
      <c r="A241" s="3"/>
      <c r="B241" s="182"/>
      <c r="C241" s="182"/>
      <c r="D241" s="183"/>
      <c r="E241" s="1"/>
      <c r="G241" s="21"/>
      <c r="H241" s="1"/>
    </row>
    <row r="242" spans="1:8">
      <c r="A242" s="3"/>
      <c r="B242" s="38"/>
      <c r="C242" s="38"/>
      <c r="D242" s="38"/>
      <c r="G242" s="50"/>
    </row>
    <row r="243" spans="1:8">
      <c r="A243" s="3"/>
      <c r="B243" s="38"/>
      <c r="C243" s="38"/>
      <c r="D243" s="38"/>
      <c r="G243" s="21"/>
    </row>
    <row r="244" spans="1:8">
      <c r="A244" s="3"/>
      <c r="B244" s="2"/>
      <c r="C244" s="2"/>
      <c r="D244" s="2"/>
      <c r="G244" s="21"/>
    </row>
    <row r="245" spans="1:8">
      <c r="A245" s="148"/>
      <c r="B245" s="38"/>
      <c r="C245" s="38"/>
      <c r="D245" s="38"/>
      <c r="G245" s="21"/>
    </row>
    <row r="246" spans="1:8">
      <c r="A246" s="181"/>
      <c r="B246" s="27"/>
      <c r="C246" s="27"/>
      <c r="D246" s="27"/>
      <c r="G246" s="21"/>
    </row>
    <row r="247" spans="1:8">
      <c r="A247" s="3"/>
      <c r="B247" s="20"/>
      <c r="C247" s="20"/>
      <c r="D247" s="20"/>
      <c r="G247" s="117"/>
    </row>
    <row r="248" spans="1:8">
      <c r="A248" s="3"/>
      <c r="B248" s="20"/>
      <c r="C248" s="20"/>
      <c r="D248" s="20"/>
      <c r="G248" s="117"/>
    </row>
    <row r="249" spans="1:8">
      <c r="A249" s="3"/>
      <c r="B249" s="184"/>
      <c r="C249" s="184"/>
      <c r="D249" s="184"/>
      <c r="G249" s="117"/>
    </row>
    <row r="250" spans="1:8">
      <c r="A250" s="3"/>
      <c r="B250" s="38"/>
      <c r="C250" s="38"/>
      <c r="D250" s="38"/>
      <c r="G250" s="50"/>
      <c r="H250" s="21"/>
    </row>
    <row r="251" spans="1:8">
      <c r="A251" s="3"/>
      <c r="B251" s="38"/>
      <c r="C251" s="38"/>
      <c r="D251" s="38"/>
      <c r="G251" s="50"/>
      <c r="H251" s="21"/>
    </row>
    <row r="252" spans="1:8">
      <c r="A252" s="3"/>
      <c r="B252" s="2"/>
      <c r="C252" s="2"/>
      <c r="D252" s="2"/>
      <c r="G252" s="50"/>
      <c r="H252" s="21"/>
    </row>
    <row r="253" spans="1:8">
      <c r="A253" s="148"/>
      <c r="B253" s="137"/>
      <c r="C253" s="137"/>
      <c r="D253" s="137"/>
      <c r="G253" s="50"/>
      <c r="H253" s="21"/>
    </row>
    <row r="254" spans="1:8">
      <c r="A254" s="179"/>
      <c r="B254" s="185"/>
      <c r="C254" s="185"/>
      <c r="D254" s="185"/>
      <c r="G254" s="21"/>
    </row>
    <row r="255" spans="1:8">
      <c r="A255" s="3"/>
      <c r="B255" s="20"/>
      <c r="C255" s="20"/>
      <c r="D255" s="20"/>
      <c r="G255" s="21"/>
    </row>
    <row r="256" spans="1:8">
      <c r="A256" s="3"/>
      <c r="B256" s="20"/>
      <c r="C256" s="20"/>
      <c r="D256" s="20"/>
    </row>
    <row r="257" spans="1:4">
      <c r="A257" s="3"/>
      <c r="B257" s="2"/>
      <c r="C257" s="2"/>
      <c r="D257" s="2"/>
    </row>
    <row r="258" spans="1:4">
      <c r="A258" s="3"/>
      <c r="B258" s="38"/>
      <c r="C258" s="38"/>
      <c r="D258" s="38"/>
    </row>
    <row r="259" spans="1:4">
      <c r="A259" s="3"/>
      <c r="B259" s="38"/>
      <c r="C259" s="38"/>
      <c r="D259" s="38"/>
    </row>
    <row r="260" spans="1:4">
      <c r="A260" s="3"/>
      <c r="B260" s="2"/>
      <c r="C260" s="2"/>
      <c r="D260" s="2"/>
    </row>
    <row r="261" spans="1:4">
      <c r="A261" s="148"/>
      <c r="B261" s="51"/>
      <c r="C261" s="51"/>
      <c r="D261" s="51"/>
    </row>
    <row r="262" spans="1:4">
      <c r="A262" s="179"/>
      <c r="B262" s="185"/>
      <c r="C262" s="185"/>
      <c r="D262" s="185"/>
    </row>
    <row r="263" spans="1:4">
      <c r="A263" s="3"/>
      <c r="B263" s="20"/>
      <c r="C263" s="20"/>
      <c r="D263" s="20"/>
    </row>
    <row r="264" spans="1:4">
      <c r="A264" s="3"/>
      <c r="B264" s="20"/>
      <c r="C264" s="20"/>
      <c r="D264" s="20"/>
    </row>
    <row r="265" spans="1:4">
      <c r="A265" s="3"/>
      <c r="B265" s="184"/>
      <c r="C265" s="184"/>
      <c r="D265" s="184"/>
    </row>
    <row r="266" spans="1:4">
      <c r="A266" s="3"/>
      <c r="B266" s="38"/>
      <c r="C266" s="38"/>
      <c r="D266" s="38"/>
    </row>
    <row r="267" spans="1:4">
      <c r="A267" s="3"/>
      <c r="B267" s="38"/>
      <c r="C267" s="38"/>
      <c r="D267" s="38"/>
    </row>
    <row r="268" spans="1:4">
      <c r="A268" s="3"/>
      <c r="B268" s="2"/>
      <c r="C268" s="2"/>
      <c r="D268" s="2"/>
    </row>
    <row r="269" spans="1:4">
      <c r="A269" s="3"/>
      <c r="B269" s="137"/>
      <c r="C269" s="137"/>
      <c r="D269" s="137"/>
    </row>
    <row r="270" spans="1:4">
      <c r="A270" s="179"/>
      <c r="B270" s="186"/>
      <c r="C270" s="186"/>
      <c r="D270" s="186"/>
    </row>
    <row r="271" spans="1:4">
      <c r="A271" s="3"/>
      <c r="B271" s="20"/>
      <c r="C271" s="20"/>
      <c r="D271" s="20"/>
    </row>
    <row r="272" spans="1:4">
      <c r="A272" s="3"/>
      <c r="B272" s="21"/>
      <c r="C272" s="21"/>
      <c r="D272" s="21"/>
    </row>
    <row r="273" spans="1:5">
      <c r="A273" s="3"/>
      <c r="B273" s="187"/>
      <c r="C273" s="187"/>
      <c r="D273" s="170"/>
      <c r="E273" s="1"/>
    </row>
    <row r="274" spans="1:5">
      <c r="A274" s="3"/>
      <c r="B274" s="38"/>
      <c r="C274" s="38"/>
      <c r="D274" s="38"/>
    </row>
    <row r="275" spans="1:5">
      <c r="A275" s="3"/>
      <c r="B275" s="38"/>
      <c r="C275" s="38"/>
      <c r="D275" s="38"/>
    </row>
    <row r="276" spans="1:5">
      <c r="A276" s="3"/>
      <c r="B276" s="2"/>
      <c r="C276" s="2"/>
      <c r="D276" s="2"/>
    </row>
    <row r="277" spans="1:5">
      <c r="A277" s="148"/>
      <c r="B277" s="51"/>
      <c r="C277" s="51"/>
      <c r="D277" s="51"/>
    </row>
    <row r="278" spans="1:5">
      <c r="A278" s="179"/>
      <c r="B278" s="185"/>
      <c r="C278" s="185"/>
      <c r="D278" s="185"/>
    </row>
    <row r="279" spans="1:5">
      <c r="A279" s="3"/>
      <c r="B279" s="20"/>
      <c r="C279" s="20"/>
      <c r="D279" s="20"/>
    </row>
    <row r="280" spans="1:5">
      <c r="A280" s="3"/>
      <c r="B280" s="20"/>
      <c r="C280" s="20"/>
      <c r="D280" s="20"/>
    </row>
    <row r="281" spans="1:5">
      <c r="A281" s="3"/>
      <c r="B281" s="21"/>
      <c r="C281" s="21"/>
      <c r="D281" s="21"/>
    </row>
    <row r="282" spans="1:5">
      <c r="A282" s="3"/>
      <c r="B282" s="2"/>
      <c r="C282" s="2"/>
      <c r="D282" s="2"/>
    </row>
    <row r="283" spans="1:5">
      <c r="A283" s="3"/>
      <c r="B283" s="38"/>
      <c r="C283" s="38"/>
      <c r="D283" s="38"/>
    </row>
    <row r="284" spans="1:5">
      <c r="A284" s="3"/>
      <c r="B284" s="38"/>
      <c r="C284" s="38"/>
      <c r="D284" s="38"/>
    </row>
    <row r="285" spans="1:5">
      <c r="A285" s="3"/>
      <c r="B285" s="55"/>
      <c r="C285" s="55"/>
      <c r="D285" s="55"/>
    </row>
    <row r="286" spans="1:5">
      <c r="A286" s="148"/>
      <c r="B286" s="51"/>
      <c r="C286" s="51"/>
      <c r="D286" s="51"/>
    </row>
    <row r="287" spans="1:5">
      <c r="A287" s="3"/>
      <c r="B287" s="20"/>
      <c r="C287" s="20"/>
      <c r="D287" s="20"/>
    </row>
    <row r="288" spans="1:5">
      <c r="A288" s="3"/>
      <c r="B288" s="20"/>
      <c r="C288" s="20"/>
      <c r="D288" s="20"/>
    </row>
    <row r="289" spans="1:4">
      <c r="A289" s="3"/>
      <c r="B289" s="20"/>
      <c r="C289" s="20"/>
      <c r="D289" s="20"/>
    </row>
    <row r="290" spans="1:4">
      <c r="A290" s="3"/>
      <c r="B290" s="2"/>
      <c r="C290" s="2"/>
      <c r="D290" s="2"/>
    </row>
    <row r="291" spans="1:4">
      <c r="B291" s="38"/>
      <c r="C291" s="38"/>
      <c r="D291" s="38"/>
    </row>
    <row r="292" spans="1:4">
      <c r="B292" s="38"/>
      <c r="C292" s="38"/>
      <c r="D292" s="38"/>
    </row>
    <row r="293" spans="1:4">
      <c r="B293" s="55"/>
      <c r="C293" s="55"/>
      <c r="D293" s="55"/>
    </row>
    <row r="294" spans="1:4">
      <c r="A294" s="149"/>
      <c r="B294" s="51"/>
      <c r="C294" s="51"/>
      <c r="D294" s="51"/>
    </row>
    <row r="295" spans="1:4">
      <c r="A295" s="188"/>
      <c r="B295" s="185"/>
      <c r="C295" s="185"/>
      <c r="D295" s="185"/>
    </row>
    <row r="296" spans="1:4">
      <c r="B296" s="20"/>
      <c r="C296" s="20"/>
      <c r="D296" s="20"/>
    </row>
    <row r="297" spans="1:4">
      <c r="B297" s="20"/>
      <c r="C297" s="20"/>
      <c r="D297" s="20"/>
    </row>
    <row r="298" spans="1:4">
      <c r="B298" s="20"/>
      <c r="C298" s="20"/>
      <c r="D298" s="20"/>
    </row>
    <row r="299" spans="1:4">
      <c r="A299" s="3"/>
      <c r="B299" s="20"/>
      <c r="C299" s="20"/>
      <c r="D299" s="20"/>
    </row>
    <row r="300" spans="1:4">
      <c r="B300" s="54"/>
      <c r="C300" s="54"/>
      <c r="D300" s="54"/>
    </row>
    <row r="301" spans="1:4">
      <c r="B301" s="38"/>
      <c r="C301" s="38"/>
      <c r="D301" s="38"/>
    </row>
    <row r="302" spans="1:4">
      <c r="B302" s="55"/>
      <c r="C302" s="55"/>
      <c r="D302" s="55"/>
    </row>
    <row r="303" spans="1:4">
      <c r="A303" s="149"/>
      <c r="B303" s="51"/>
      <c r="C303" s="51"/>
      <c r="D303" s="51"/>
    </row>
    <row r="304" spans="1:4">
      <c r="B304" s="20"/>
      <c r="C304" s="20"/>
      <c r="D304" s="20"/>
    </row>
    <row r="305" spans="1:4">
      <c r="B305" s="20"/>
      <c r="C305" s="20"/>
      <c r="D305" s="20"/>
    </row>
    <row r="306" spans="1:4">
      <c r="B306" s="20"/>
      <c r="C306" s="20"/>
      <c r="D306" s="20"/>
    </row>
    <row r="307" spans="1:4">
      <c r="A307" s="3"/>
      <c r="B307" s="20"/>
      <c r="C307" s="20"/>
      <c r="D307" s="20"/>
    </row>
    <row r="308" spans="1:4">
      <c r="B308" s="38"/>
      <c r="C308" s="38"/>
      <c r="D308" s="38"/>
    </row>
    <row r="309" spans="1:4">
      <c r="B309" s="38"/>
      <c r="C309" s="38"/>
      <c r="D309" s="38"/>
    </row>
    <row r="310" spans="1:4">
      <c r="B310" s="55"/>
      <c r="C310" s="55"/>
      <c r="D310" s="55"/>
    </row>
    <row r="311" spans="1:4">
      <c r="A311" s="149"/>
      <c r="B311" s="51"/>
      <c r="C311" s="51"/>
      <c r="D311" s="51"/>
    </row>
    <row r="312" spans="1:4">
      <c r="A312" s="188"/>
      <c r="B312" s="185"/>
      <c r="C312" s="185"/>
      <c r="D312" s="185"/>
    </row>
    <row r="313" spans="1:4">
      <c r="A313" s="3"/>
      <c r="B313" s="20"/>
      <c r="C313" s="20"/>
      <c r="D313" s="20"/>
    </row>
    <row r="314" spans="1:4">
      <c r="A314" s="101"/>
      <c r="B314" s="20"/>
      <c r="C314" s="20"/>
      <c r="D314" s="20"/>
    </row>
    <row r="315" spans="1:4">
      <c r="B315" s="20"/>
      <c r="C315" s="20"/>
      <c r="D315" s="20"/>
    </row>
    <row r="316" spans="1:4">
      <c r="A316" s="3"/>
      <c r="B316" s="189"/>
      <c r="C316" s="189"/>
      <c r="D316" s="189"/>
    </row>
    <row r="317" spans="1:4">
      <c r="A317" s="3"/>
      <c r="B317" s="2"/>
      <c r="C317" s="2"/>
      <c r="D317" s="2"/>
    </row>
    <row r="318" spans="1:4">
      <c r="A318" s="3"/>
      <c r="B318" s="38"/>
      <c r="C318" s="38"/>
      <c r="D318" s="38"/>
    </row>
    <row r="319" spans="1:4">
      <c r="A319" s="3"/>
      <c r="B319" s="55"/>
      <c r="C319" s="55"/>
      <c r="D319" s="55"/>
    </row>
    <row r="320" spans="1:4">
      <c r="A320" s="148"/>
      <c r="B320" s="51"/>
      <c r="C320" s="51"/>
      <c r="D320" s="51"/>
    </row>
    <row r="321" spans="1:4">
      <c r="A321" s="3"/>
      <c r="B321" s="20"/>
      <c r="C321" s="20"/>
      <c r="D321" s="20"/>
    </row>
    <row r="322" spans="1:4">
      <c r="A322" s="101"/>
      <c r="B322" s="20"/>
      <c r="C322" s="20"/>
      <c r="D322" s="20"/>
    </row>
    <row r="323" spans="1:4">
      <c r="A323" s="101"/>
      <c r="B323" s="20"/>
      <c r="C323" s="20"/>
      <c r="D323" s="20"/>
    </row>
    <row r="324" spans="1:4">
      <c r="B324" s="189"/>
      <c r="C324" s="189"/>
      <c r="D324" s="178"/>
    </row>
    <row r="325" spans="1:4">
      <c r="A325" s="3"/>
      <c r="B325" s="38"/>
      <c r="C325" s="38"/>
      <c r="D325" s="38"/>
    </row>
    <row r="326" spans="1:4">
      <c r="A326" s="3"/>
      <c r="B326" s="38"/>
      <c r="C326" s="38"/>
      <c r="D326" s="38"/>
    </row>
    <row r="327" spans="1:4">
      <c r="A327" s="3"/>
      <c r="B327" s="55"/>
      <c r="C327" s="55"/>
      <c r="D327" s="55"/>
    </row>
    <row r="328" spans="1:4">
      <c r="A328" s="148"/>
      <c r="B328" s="51"/>
      <c r="C328" s="51"/>
      <c r="D328" s="51"/>
    </row>
    <row r="329" spans="1:4">
      <c r="A329" s="179"/>
      <c r="B329" s="185"/>
      <c r="C329" s="185"/>
      <c r="D329" s="185"/>
    </row>
    <row r="330" spans="1:4">
      <c r="A330" s="2"/>
      <c r="B330" s="20"/>
      <c r="C330" s="20"/>
      <c r="D330" s="20"/>
    </row>
    <row r="331" spans="1:4">
      <c r="A331" s="101"/>
      <c r="B331" s="20"/>
      <c r="C331" s="20"/>
      <c r="D331" s="20"/>
    </row>
    <row r="332" spans="1:4">
      <c r="A332" s="101"/>
      <c r="B332" s="20"/>
      <c r="C332" s="20"/>
      <c r="D332" s="20"/>
    </row>
    <row r="333" spans="1:4">
      <c r="A333" s="3"/>
      <c r="B333" s="2"/>
      <c r="C333" s="2"/>
      <c r="D333" s="2"/>
    </row>
    <row r="334" spans="1:4">
      <c r="A334" s="3"/>
      <c r="B334" s="2"/>
      <c r="C334" s="2"/>
      <c r="D334" s="2"/>
    </row>
    <row r="335" spans="1:4">
      <c r="A335" s="3"/>
      <c r="B335" s="2"/>
      <c r="C335" s="2"/>
      <c r="D335" s="2"/>
    </row>
    <row r="336" spans="1:4">
      <c r="A336" s="3"/>
      <c r="B336" s="55"/>
      <c r="C336" s="55"/>
      <c r="D336" s="55"/>
    </row>
    <row r="337" spans="1:4">
      <c r="A337" s="148"/>
      <c r="B337" s="5"/>
      <c r="C337" s="5"/>
      <c r="D337" s="5"/>
    </row>
    <row r="338" spans="1:4">
      <c r="A338" s="2"/>
      <c r="B338" s="20"/>
      <c r="C338" s="20"/>
      <c r="D338" s="20"/>
    </row>
    <row r="339" spans="1:4">
      <c r="A339" s="101"/>
      <c r="B339" s="20"/>
      <c r="C339" s="20"/>
      <c r="D339" s="20"/>
    </row>
    <row r="340" spans="1:4">
      <c r="A340" s="3"/>
      <c r="B340" s="101"/>
      <c r="C340" s="101"/>
      <c r="D340" s="101"/>
    </row>
    <row r="341" spans="1:4">
      <c r="A341" s="3"/>
      <c r="B341" s="2"/>
      <c r="C341" s="2"/>
      <c r="D341" s="2"/>
    </row>
    <row r="342" spans="1:4">
      <c r="A342" s="3"/>
      <c r="B342" s="2"/>
      <c r="C342" s="2"/>
      <c r="D342" s="2"/>
    </row>
    <row r="343" spans="1:4">
      <c r="A343" s="3"/>
      <c r="B343" s="2"/>
      <c r="C343" s="2"/>
      <c r="D343" s="2"/>
    </row>
    <row r="344" spans="1:4">
      <c r="A344" s="3"/>
      <c r="B344" s="55"/>
      <c r="C344" s="55"/>
      <c r="D344" s="55"/>
    </row>
    <row r="345" spans="1:4">
      <c r="A345" s="148"/>
      <c r="B345" s="5"/>
      <c r="C345" s="5"/>
      <c r="D345" s="5"/>
    </row>
    <row r="346" spans="1:4">
      <c r="A346" s="179"/>
      <c r="B346" s="190"/>
      <c r="C346" s="190"/>
      <c r="D346" s="190"/>
    </row>
    <row r="347" spans="1:4">
      <c r="A347" s="101"/>
      <c r="B347" s="24"/>
      <c r="C347" s="24"/>
      <c r="D347" s="24"/>
    </row>
    <row r="348" spans="1:4">
      <c r="A348" s="3"/>
      <c r="B348" s="24"/>
      <c r="C348" s="24"/>
      <c r="D348" s="24"/>
    </row>
    <row r="349" spans="1:4">
      <c r="A349" s="3"/>
      <c r="B349" s="25"/>
      <c r="C349" s="25"/>
      <c r="D349" s="25"/>
    </row>
    <row r="350" spans="1:4">
      <c r="A350" s="3"/>
      <c r="B350" s="25"/>
      <c r="C350" s="25"/>
      <c r="D350" s="25"/>
    </row>
    <row r="351" spans="1:4">
      <c r="A351" s="3"/>
      <c r="B351" s="25"/>
      <c r="C351" s="25"/>
      <c r="D351" s="25"/>
    </row>
    <row r="352" spans="1:4">
      <c r="A352" s="3"/>
      <c r="B352" s="25"/>
      <c r="C352" s="25"/>
      <c r="D352" s="25"/>
    </row>
    <row r="353" spans="1:4">
      <c r="A353" s="148"/>
      <c r="B353" s="191"/>
      <c r="C353" s="191"/>
      <c r="D353" s="191"/>
    </row>
    <row r="354" spans="1:4">
      <c r="A354" s="179"/>
      <c r="B354" s="185"/>
      <c r="C354" s="185"/>
      <c r="D354" s="185"/>
    </row>
    <row r="355" spans="1:4">
      <c r="A355" s="101"/>
      <c r="B355" s="20"/>
      <c r="C355" s="20"/>
      <c r="D355" s="20"/>
    </row>
    <row r="356" spans="1:4">
      <c r="A356" s="3"/>
      <c r="B356" s="20"/>
      <c r="C356" s="20"/>
      <c r="D356" s="20"/>
    </row>
    <row r="357" spans="1:4">
      <c r="A357" s="3"/>
      <c r="B357" s="2"/>
      <c r="C357" s="2"/>
      <c r="D357" s="2"/>
    </row>
    <row r="358" spans="1:4">
      <c r="A358" s="3"/>
      <c r="B358" s="38"/>
      <c r="C358" s="38"/>
      <c r="D358" s="38"/>
    </row>
    <row r="359" spans="1:4">
      <c r="A359" s="3"/>
      <c r="B359" s="20"/>
      <c r="C359" s="20"/>
      <c r="D359" s="20"/>
    </row>
    <row r="360" spans="1:4">
      <c r="A360" s="3"/>
      <c r="B360" s="54"/>
      <c r="C360" s="54"/>
      <c r="D360" s="54"/>
    </row>
    <row r="361" spans="1:4">
      <c r="A361" s="148"/>
      <c r="B361" s="51"/>
      <c r="C361" s="51"/>
      <c r="D361" s="51"/>
    </row>
    <row r="362" spans="1:4">
      <c r="A362" s="179"/>
      <c r="B362" s="185"/>
      <c r="C362" s="185"/>
      <c r="D362" s="185"/>
    </row>
    <row r="363" spans="1:4">
      <c r="A363" s="101"/>
      <c r="B363" s="20"/>
      <c r="C363" s="20"/>
      <c r="D363" s="20"/>
    </row>
    <row r="364" spans="1:4">
      <c r="A364" s="3"/>
      <c r="B364" s="20"/>
      <c r="C364" s="20"/>
      <c r="D364" s="20"/>
    </row>
    <row r="365" spans="1:4">
      <c r="A365" s="3"/>
      <c r="B365" s="2"/>
      <c r="C365" s="2"/>
      <c r="D365" s="2"/>
    </row>
    <row r="366" spans="1:4">
      <c r="A366" s="3"/>
      <c r="B366" s="38"/>
      <c r="C366" s="38"/>
      <c r="D366" s="38"/>
    </row>
    <row r="367" spans="1:4">
      <c r="A367" s="3"/>
      <c r="B367" s="38"/>
      <c r="C367" s="38"/>
      <c r="D367" s="38"/>
    </row>
    <row r="368" spans="1:4">
      <c r="A368" s="101"/>
      <c r="B368" s="55"/>
      <c r="C368" s="55"/>
      <c r="D368" s="55"/>
    </row>
    <row r="369" spans="1:4">
      <c r="A369" s="148"/>
      <c r="B369" s="51"/>
      <c r="C369" s="51"/>
      <c r="D369" s="51"/>
    </row>
    <row r="370" spans="1:4">
      <c r="A370" s="179"/>
      <c r="B370" s="192"/>
      <c r="C370" s="192"/>
      <c r="D370" s="192"/>
    </row>
    <row r="371" spans="1:4">
      <c r="A371" s="101"/>
      <c r="B371" s="20"/>
      <c r="C371" s="20"/>
      <c r="D371" s="20"/>
    </row>
    <row r="372" spans="1:4">
      <c r="A372" s="3"/>
      <c r="B372" s="20"/>
      <c r="C372" s="20"/>
      <c r="D372" s="20"/>
    </row>
    <row r="373" spans="1:4">
      <c r="A373" s="3"/>
      <c r="B373" s="21"/>
      <c r="C373" s="21"/>
      <c r="D373" s="21"/>
    </row>
    <row r="374" spans="1:4">
      <c r="A374" s="3"/>
      <c r="B374" s="38"/>
      <c r="C374" s="38"/>
      <c r="D374" s="38"/>
    </row>
    <row r="375" spans="1:4">
      <c r="A375" s="3"/>
      <c r="B375" s="38"/>
      <c r="C375" s="38"/>
      <c r="D375" s="38"/>
    </row>
    <row r="376" spans="1:4">
      <c r="A376" s="3"/>
      <c r="B376" s="20"/>
      <c r="C376" s="20"/>
      <c r="D376" s="20"/>
    </row>
    <row r="377" spans="1:4">
      <c r="A377" s="160"/>
      <c r="B377" s="137"/>
      <c r="C377" s="137"/>
      <c r="D377" s="137"/>
    </row>
    <row r="378" spans="1:4">
      <c r="A378" s="179"/>
      <c r="B378" s="192"/>
      <c r="C378" s="192"/>
      <c r="D378" s="192"/>
    </row>
    <row r="379" spans="1:4">
      <c r="A379" s="101"/>
      <c r="B379" s="20"/>
      <c r="C379" s="20"/>
      <c r="D379" s="20"/>
    </row>
    <row r="380" spans="1:4">
      <c r="A380" s="3"/>
      <c r="B380" s="20"/>
      <c r="C380" s="20"/>
      <c r="D380" s="20"/>
    </row>
    <row r="381" spans="1:4">
      <c r="A381" s="3"/>
      <c r="B381" s="21"/>
      <c r="C381" s="21"/>
      <c r="D381" s="21"/>
    </row>
    <row r="382" spans="1:4">
      <c r="A382" s="3"/>
      <c r="B382" s="38"/>
      <c r="C382" s="38"/>
      <c r="D382" s="38"/>
    </row>
    <row r="383" spans="1:4">
      <c r="A383" s="3"/>
      <c r="B383" s="38"/>
      <c r="C383" s="38"/>
      <c r="D383" s="38"/>
    </row>
    <row r="384" spans="1:4">
      <c r="A384" s="3"/>
      <c r="B384" s="20"/>
      <c r="C384" s="20"/>
      <c r="D384" s="20"/>
    </row>
    <row r="385" spans="1:5">
      <c r="A385" s="160"/>
      <c r="B385" s="137"/>
      <c r="C385" s="137"/>
      <c r="D385" s="137"/>
    </row>
    <row r="386" spans="1:5">
      <c r="A386" s="179"/>
      <c r="B386" s="192"/>
      <c r="C386" s="192"/>
      <c r="D386" s="192"/>
    </row>
    <row r="387" spans="1:5">
      <c r="A387" s="101"/>
      <c r="B387" s="20"/>
      <c r="C387" s="20"/>
      <c r="D387" s="20"/>
    </row>
    <row r="388" spans="1:5">
      <c r="A388" s="3"/>
      <c r="B388" s="20"/>
      <c r="C388" s="20"/>
      <c r="D388" s="20"/>
    </row>
    <row r="389" spans="1:5">
      <c r="A389" s="3"/>
      <c r="B389" s="21"/>
      <c r="C389" s="21"/>
      <c r="D389" s="21"/>
    </row>
    <row r="390" spans="1:5">
      <c r="A390" s="3"/>
      <c r="B390" s="38"/>
      <c r="C390" s="38"/>
      <c r="D390" s="38"/>
    </row>
    <row r="391" spans="1:5">
      <c r="A391" s="3"/>
      <c r="B391" s="38"/>
      <c r="C391" s="38"/>
      <c r="D391" s="38"/>
    </row>
    <row r="392" spans="1:5">
      <c r="A392" s="3"/>
      <c r="B392" s="20"/>
      <c r="C392" s="20"/>
      <c r="D392" s="20"/>
    </row>
    <row r="393" spans="1:5">
      <c r="A393" s="160"/>
      <c r="B393" s="137"/>
      <c r="C393" s="137"/>
      <c r="D393" s="137"/>
    </row>
    <row r="394" spans="1:5">
      <c r="A394" s="193"/>
      <c r="B394" s="194"/>
      <c r="C394" s="194"/>
      <c r="D394" s="194"/>
    </row>
    <row r="395" spans="1:5">
      <c r="A395" s="101"/>
      <c r="B395" s="20"/>
      <c r="C395" s="20"/>
      <c r="D395" s="20"/>
    </row>
    <row r="396" spans="1:5">
      <c r="A396" s="3"/>
      <c r="B396" s="20"/>
      <c r="C396" s="20"/>
      <c r="D396" s="20"/>
    </row>
    <row r="397" spans="1:5">
      <c r="A397" s="3"/>
      <c r="B397" s="2"/>
      <c r="C397" s="2"/>
      <c r="D397" s="1"/>
      <c r="E397" s="1"/>
    </row>
    <row r="398" spans="1:5">
      <c r="A398" s="3"/>
      <c r="B398" s="38"/>
      <c r="C398" s="38"/>
      <c r="D398" s="38"/>
    </row>
    <row r="399" spans="1:5">
      <c r="A399" s="3"/>
      <c r="B399" s="38"/>
      <c r="C399" s="38"/>
      <c r="D399" s="38"/>
    </row>
    <row r="400" spans="1:5">
      <c r="A400" s="3"/>
      <c r="B400" s="20"/>
      <c r="C400" s="20"/>
      <c r="D400" s="20"/>
    </row>
    <row r="401" spans="1:5">
      <c r="A401" s="148"/>
      <c r="B401" s="51"/>
      <c r="C401" s="51"/>
      <c r="D401" s="51"/>
    </row>
    <row r="402" spans="1:5">
      <c r="A402" s="179"/>
      <c r="B402" s="185"/>
      <c r="C402" s="185"/>
      <c r="D402" s="185"/>
    </row>
    <row r="403" spans="1:5">
      <c r="A403" s="101"/>
      <c r="B403" s="20"/>
      <c r="C403" s="20"/>
      <c r="D403" s="20"/>
    </row>
    <row r="404" spans="1:5">
      <c r="A404" s="3"/>
      <c r="B404" s="20"/>
      <c r="C404" s="20"/>
      <c r="D404" s="20"/>
    </row>
    <row r="405" spans="1:5">
      <c r="A405" s="3"/>
      <c r="B405" s="2"/>
      <c r="C405" s="2"/>
      <c r="D405" s="1"/>
      <c r="E405" s="1"/>
    </row>
    <row r="406" spans="1:5">
      <c r="A406" s="3"/>
      <c r="B406" s="38"/>
      <c r="C406" s="38"/>
      <c r="D406" s="38"/>
    </row>
    <row r="407" spans="1:5">
      <c r="A407" s="3"/>
      <c r="B407" s="38"/>
      <c r="C407" s="38"/>
      <c r="D407" s="38"/>
    </row>
    <row r="408" spans="1:5">
      <c r="A408" s="3"/>
      <c r="B408" s="20"/>
      <c r="C408" s="20"/>
      <c r="D408" s="20"/>
    </row>
    <row r="409" spans="1:5">
      <c r="A409" s="148"/>
      <c r="B409" s="51"/>
      <c r="C409" s="51"/>
      <c r="D409" s="51"/>
    </row>
    <row r="410" spans="1:5">
      <c r="A410" s="179"/>
      <c r="B410" s="195"/>
      <c r="C410" s="195"/>
      <c r="D410" s="195"/>
    </row>
    <row r="411" spans="1:5">
      <c r="A411" s="101"/>
      <c r="B411" s="20"/>
      <c r="C411" s="20"/>
      <c r="D411" s="20"/>
    </row>
    <row r="412" spans="1:5">
      <c r="A412" s="3"/>
      <c r="B412" s="20"/>
      <c r="C412" s="20"/>
      <c r="D412" s="20"/>
    </row>
    <row r="413" spans="1:5">
      <c r="A413" s="3"/>
      <c r="B413" s="2"/>
      <c r="C413" s="2"/>
      <c r="D413" s="1"/>
      <c r="E413" s="1"/>
    </row>
    <row r="414" spans="1:5">
      <c r="A414" s="3"/>
      <c r="B414" s="38"/>
      <c r="C414" s="38"/>
      <c r="D414" s="38"/>
    </row>
    <row r="415" spans="1:5">
      <c r="A415" s="3"/>
      <c r="B415" s="38"/>
      <c r="C415" s="38"/>
      <c r="D415" s="38"/>
    </row>
    <row r="416" spans="1:5">
      <c r="A416" s="3"/>
      <c r="B416" s="20"/>
      <c r="C416" s="20"/>
      <c r="D416" s="20"/>
    </row>
    <row r="417" spans="1:5">
      <c r="A417" s="148"/>
      <c r="B417" s="51"/>
      <c r="C417" s="51"/>
      <c r="D417" s="51"/>
    </row>
    <row r="418" spans="1:5">
      <c r="A418" s="179"/>
      <c r="B418" s="185"/>
      <c r="C418" s="185"/>
      <c r="D418" s="185"/>
    </row>
    <row r="419" spans="1:5">
      <c r="A419" s="101"/>
      <c r="B419" s="20"/>
      <c r="C419" s="20"/>
      <c r="D419" s="20"/>
    </row>
    <row r="420" spans="1:5">
      <c r="A420" s="3"/>
      <c r="B420" s="20"/>
      <c r="C420" s="20"/>
      <c r="D420" s="20"/>
    </row>
    <row r="421" spans="1:5">
      <c r="A421" s="3"/>
      <c r="B421" s="2"/>
      <c r="C421" s="2"/>
      <c r="D421" s="1"/>
      <c r="E421" s="1"/>
    </row>
    <row r="422" spans="1:5">
      <c r="A422" s="3"/>
      <c r="B422" s="38"/>
      <c r="C422" s="38"/>
      <c r="D422" s="38"/>
    </row>
    <row r="423" spans="1:5">
      <c r="A423" s="3"/>
      <c r="B423" s="38"/>
      <c r="C423" s="38"/>
      <c r="D423" s="38"/>
    </row>
    <row r="424" spans="1:5">
      <c r="A424" s="3"/>
      <c r="B424" s="20"/>
      <c r="C424" s="20"/>
      <c r="D424" s="20"/>
    </row>
    <row r="425" spans="1:5">
      <c r="A425" s="148"/>
      <c r="B425" s="51"/>
      <c r="C425" s="51"/>
      <c r="D425" s="51"/>
    </row>
    <row r="426" spans="1:5">
      <c r="A426" s="179"/>
      <c r="B426" s="185"/>
      <c r="C426" s="185"/>
      <c r="D426" s="185"/>
    </row>
    <row r="427" spans="1:5">
      <c r="A427" s="101"/>
      <c r="B427" s="20"/>
      <c r="C427" s="20"/>
      <c r="D427" s="20"/>
    </row>
    <row r="428" spans="1:5">
      <c r="A428" s="3"/>
      <c r="B428" s="20"/>
      <c r="C428" s="20"/>
      <c r="D428" s="20"/>
    </row>
    <row r="429" spans="1:5">
      <c r="A429" s="3"/>
      <c r="B429" s="2"/>
      <c r="C429" s="2"/>
      <c r="D429" s="2"/>
    </row>
    <row r="430" spans="1:5">
      <c r="A430" s="3"/>
      <c r="B430" s="38"/>
      <c r="C430" s="38"/>
      <c r="D430" s="38"/>
    </row>
    <row r="431" spans="1:5">
      <c r="A431" s="3"/>
      <c r="B431" s="38"/>
      <c r="C431" s="38"/>
      <c r="D431" s="38"/>
    </row>
    <row r="432" spans="1:5">
      <c r="A432" s="3"/>
      <c r="B432" s="20"/>
      <c r="C432" s="20"/>
      <c r="D432" s="20"/>
    </row>
    <row r="433" spans="1:4">
      <c r="A433" s="148"/>
      <c r="B433" s="51"/>
      <c r="C433" s="51"/>
      <c r="D433" s="51"/>
    </row>
    <row r="434" spans="1:4">
      <c r="A434" s="179"/>
      <c r="B434" s="195"/>
      <c r="C434" s="195"/>
      <c r="D434" s="195"/>
    </row>
    <row r="435" spans="1:4">
      <c r="A435" s="101"/>
      <c r="B435" s="101"/>
      <c r="C435" s="101"/>
      <c r="D435" s="101"/>
    </row>
    <row r="436" spans="1:4">
      <c r="A436" s="3"/>
      <c r="B436" s="101"/>
      <c r="C436" s="101"/>
      <c r="D436" s="101"/>
    </row>
    <row r="437" spans="1:4">
      <c r="A437" s="3"/>
      <c r="B437" s="3"/>
      <c r="C437" s="3"/>
      <c r="D437" s="3"/>
    </row>
    <row r="438" spans="1:4">
      <c r="A438" s="3"/>
      <c r="B438" s="3"/>
      <c r="C438" s="3"/>
      <c r="D438" s="3"/>
    </row>
    <row r="439" spans="1:4">
      <c r="A439" s="3"/>
      <c r="B439" s="3"/>
      <c r="C439" s="3"/>
      <c r="D439" s="3"/>
    </row>
    <row r="440" spans="1:4">
      <c r="A440" s="3"/>
      <c r="B440" s="3"/>
      <c r="C440" s="3"/>
      <c r="D440" s="3"/>
    </row>
    <row r="441" spans="1:4">
      <c r="A441" s="148"/>
      <c r="B441" s="148"/>
      <c r="C441" s="148"/>
      <c r="D441" s="148"/>
    </row>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sheetData>
  <conditionalFormatting sqref="F7:F12">
    <cfRule type="dataBar" priority="12">
      <dataBar>
        <cfvo type="min"/>
        <cfvo type="max"/>
        <color rgb="FFFFB628"/>
      </dataBar>
      <extLst>
        <ext xmlns:x14="http://schemas.microsoft.com/office/spreadsheetml/2009/9/main" uri="{B025F937-C7B1-47D3-B67F-A62EFF666E3E}">
          <x14:id>{0EA86F03-4AC6-4C07-8DF6-C17D3F7A2A98}</x14:id>
        </ext>
      </extLst>
    </cfRule>
  </conditionalFormatting>
  <conditionalFormatting sqref="F16:F21">
    <cfRule type="dataBar" priority="2">
      <dataBar>
        <cfvo type="min"/>
        <cfvo type="max"/>
        <color rgb="FFFFB628"/>
      </dataBar>
      <extLst>
        <ext xmlns:x14="http://schemas.microsoft.com/office/spreadsheetml/2009/9/main" uri="{B025F937-C7B1-47D3-B67F-A62EFF666E3E}">
          <x14:id>{DBE7F6CA-0136-40BC-A826-A95D5B0877D3}</x14:id>
        </ext>
      </extLst>
    </cfRule>
  </conditionalFormatting>
  <conditionalFormatting sqref="G7:G12">
    <cfRule type="dataBar" priority="14">
      <dataBar>
        <cfvo type="min"/>
        <cfvo type="max"/>
        <color rgb="FF63C384"/>
      </dataBar>
      <extLst>
        <ext xmlns:x14="http://schemas.microsoft.com/office/spreadsheetml/2009/9/main" uri="{B025F937-C7B1-47D3-B67F-A62EFF666E3E}">
          <x14:id>{C56A22F1-09B9-4CA5-BAF5-B6718C5DD2DC}</x14:id>
        </ext>
      </extLst>
    </cfRule>
  </conditionalFormatting>
  <conditionalFormatting sqref="G16:G21">
    <cfRule type="dataBar" priority="1">
      <dataBar>
        <cfvo type="min"/>
        <cfvo type="max"/>
        <color rgb="FF63C384"/>
      </dataBar>
      <extLst>
        <ext xmlns:x14="http://schemas.microsoft.com/office/spreadsheetml/2009/9/main" uri="{B025F937-C7B1-47D3-B67F-A62EFF666E3E}">
          <x14:id>{6D27CB80-C5DD-478A-9366-B62D2125B7E1}</x14:id>
        </ext>
      </extLst>
    </cfRule>
  </conditionalFormatting>
  <conditionalFormatting sqref="H9:H12">
    <cfRule type="dataBar" priority="15">
      <dataBar>
        <cfvo type="min"/>
        <cfvo type="max"/>
        <color rgb="FF638EC6"/>
      </dataBar>
      <extLst>
        <ext xmlns:x14="http://schemas.microsoft.com/office/spreadsheetml/2009/9/main" uri="{B025F937-C7B1-47D3-B67F-A62EFF666E3E}">
          <x14:id>{1D1D9097-4774-4E6B-9356-F20E684F3F43}</x14:id>
        </ext>
      </extLst>
    </cfRule>
  </conditionalFormatting>
  <conditionalFormatting sqref="H16:H21">
    <cfRule type="dataBar" priority="10">
      <dataBar>
        <cfvo type="min"/>
        <cfvo type="max"/>
        <color rgb="FFFF555A"/>
      </dataBar>
      <extLst>
        <ext xmlns:x14="http://schemas.microsoft.com/office/spreadsheetml/2009/9/main" uri="{B025F937-C7B1-47D3-B67F-A62EFF666E3E}">
          <x14:id>{862A1C91-33FC-471B-BF53-1084F7BC82AA}</x14:id>
        </ext>
      </extLst>
    </cfRule>
  </conditionalFormatting>
  <conditionalFormatting sqref="I9:I12 H7:H8">
    <cfRule type="dataBar" priority="13">
      <dataBar>
        <cfvo type="min"/>
        <cfvo type="max"/>
        <color rgb="FFFF555A"/>
      </dataBar>
      <extLst>
        <ext xmlns:x14="http://schemas.microsoft.com/office/spreadsheetml/2009/9/main" uri="{B025F937-C7B1-47D3-B67F-A62EFF666E3E}">
          <x14:id>{22E43C4B-1DB0-4F8C-B786-01F62C38A3DE}</x14:id>
        </ext>
      </extLst>
    </cfRule>
  </conditionalFormatting>
  <conditionalFormatting sqref="K7:K12">
    <cfRule type="dataBar" priority="7">
      <dataBar>
        <cfvo type="min"/>
        <cfvo type="max"/>
        <color rgb="FF638EC6"/>
      </dataBar>
      <extLst>
        <ext xmlns:x14="http://schemas.microsoft.com/office/spreadsheetml/2009/9/main" uri="{B025F937-C7B1-47D3-B67F-A62EFF666E3E}">
          <x14:id>{F63EF601-6A80-4244-BA68-9640DBDA6DEA}</x14:id>
        </ext>
      </extLst>
    </cfRule>
  </conditionalFormatting>
  <conditionalFormatting sqref="L7:L12">
    <cfRule type="dataBar" priority="4">
      <dataBar>
        <cfvo type="min"/>
        <cfvo type="max"/>
        <color rgb="FFFFB628"/>
      </dataBar>
      <extLst>
        <ext xmlns:x14="http://schemas.microsoft.com/office/spreadsheetml/2009/9/main" uri="{B025F937-C7B1-47D3-B67F-A62EFF666E3E}">
          <x14:id>{B9A8E5C2-9064-44B0-8278-56E1198B5030}</x14:id>
        </ext>
      </extLst>
    </cfRule>
  </conditionalFormatting>
  <conditionalFormatting sqref="N16:N21">
    <cfRule type="dataBar" priority="5">
      <dataBar>
        <cfvo type="min"/>
        <cfvo type="max"/>
        <color rgb="FFFF555A"/>
      </dataBar>
      <extLst>
        <ext xmlns:x14="http://schemas.microsoft.com/office/spreadsheetml/2009/9/main" uri="{B025F937-C7B1-47D3-B67F-A62EFF666E3E}">
          <x14:id>{DC2E050D-26B8-40C3-BE26-6C392D4D5C09}</x14:id>
        </ext>
      </extLst>
    </cfRule>
  </conditionalFormatting>
  <conditionalFormatting sqref="O16:O21">
    <cfRule type="dataBar" priority="6">
      <dataBar>
        <cfvo type="min"/>
        <cfvo type="max"/>
        <color rgb="FF63C384"/>
      </dataBar>
      <extLst>
        <ext xmlns:x14="http://schemas.microsoft.com/office/spreadsheetml/2009/9/main" uri="{B025F937-C7B1-47D3-B67F-A62EFF666E3E}">
          <x14:id>{E02C32DF-80EF-432B-A478-870C8A8098B6}</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0EA86F03-4AC6-4C07-8DF6-C17D3F7A2A98}">
            <x14:dataBar minLength="0" maxLength="100" border="1" negativeBarBorderColorSameAsPositive="0">
              <x14:cfvo type="autoMin"/>
              <x14:cfvo type="autoMax"/>
              <x14:borderColor rgb="FFFFB628"/>
              <x14:negativeFillColor rgb="FFFF0000"/>
              <x14:negativeBorderColor rgb="FFFF0000"/>
              <x14:axisColor rgb="FF000000"/>
            </x14:dataBar>
          </x14:cfRule>
          <xm:sqref>F7:F12</xm:sqref>
        </x14:conditionalFormatting>
        <x14:conditionalFormatting xmlns:xm="http://schemas.microsoft.com/office/excel/2006/main">
          <x14:cfRule type="dataBar" id="{DBE7F6CA-0136-40BC-A826-A95D5B0877D3}">
            <x14:dataBar minLength="0" maxLength="100" border="1" negativeBarBorderColorSameAsPositive="0">
              <x14:cfvo type="autoMin"/>
              <x14:cfvo type="autoMax"/>
              <x14:borderColor rgb="FFFFB628"/>
              <x14:negativeFillColor rgb="FFFF0000"/>
              <x14:negativeBorderColor rgb="FFFF0000"/>
              <x14:axisColor rgb="FF000000"/>
            </x14:dataBar>
          </x14:cfRule>
          <xm:sqref>F16:F21</xm:sqref>
        </x14:conditionalFormatting>
        <x14:conditionalFormatting xmlns:xm="http://schemas.microsoft.com/office/excel/2006/main">
          <x14:cfRule type="dataBar" id="{C56A22F1-09B9-4CA5-BAF5-B6718C5DD2DC}">
            <x14:dataBar minLength="0" maxLength="100" border="1" negativeBarBorderColorSameAsPositive="0">
              <x14:cfvo type="autoMin"/>
              <x14:cfvo type="autoMax"/>
              <x14:borderColor rgb="FF63C384"/>
              <x14:negativeFillColor rgb="FFFF0000"/>
              <x14:negativeBorderColor rgb="FFFF0000"/>
              <x14:axisColor rgb="FF000000"/>
            </x14:dataBar>
          </x14:cfRule>
          <xm:sqref>G7:G12</xm:sqref>
        </x14:conditionalFormatting>
        <x14:conditionalFormatting xmlns:xm="http://schemas.microsoft.com/office/excel/2006/main">
          <x14:cfRule type="dataBar" id="{6D27CB80-C5DD-478A-9366-B62D2125B7E1}">
            <x14:dataBar minLength="0" maxLength="100" border="1" negativeBarBorderColorSameAsPositive="0">
              <x14:cfvo type="autoMin"/>
              <x14:cfvo type="autoMax"/>
              <x14:borderColor rgb="FF63C384"/>
              <x14:negativeFillColor rgb="FFFF0000"/>
              <x14:negativeBorderColor rgb="FFFF0000"/>
              <x14:axisColor rgb="FF000000"/>
            </x14:dataBar>
          </x14:cfRule>
          <xm:sqref>G16:G21</xm:sqref>
        </x14:conditionalFormatting>
        <x14:conditionalFormatting xmlns:xm="http://schemas.microsoft.com/office/excel/2006/main">
          <x14:cfRule type="dataBar" id="{1D1D9097-4774-4E6B-9356-F20E684F3F43}">
            <x14:dataBar minLength="0" maxLength="100" border="1" negativeBarBorderColorSameAsPositive="0">
              <x14:cfvo type="autoMin"/>
              <x14:cfvo type="autoMax"/>
              <x14:borderColor rgb="FF638EC6"/>
              <x14:negativeFillColor rgb="FFFF0000"/>
              <x14:negativeBorderColor rgb="FFFF0000"/>
              <x14:axisColor rgb="FF000000"/>
            </x14:dataBar>
          </x14:cfRule>
          <xm:sqref>H9:H12</xm:sqref>
        </x14:conditionalFormatting>
        <x14:conditionalFormatting xmlns:xm="http://schemas.microsoft.com/office/excel/2006/main">
          <x14:cfRule type="dataBar" id="{862A1C91-33FC-471B-BF53-1084F7BC82AA}">
            <x14:dataBar minLength="0" maxLength="100" gradient="0">
              <x14:cfvo type="autoMin"/>
              <x14:cfvo type="autoMax"/>
              <x14:negativeFillColor rgb="FFFF0000"/>
              <x14:axisColor rgb="FF000000"/>
            </x14:dataBar>
          </x14:cfRule>
          <xm:sqref>H16:H21</xm:sqref>
        </x14:conditionalFormatting>
        <x14:conditionalFormatting xmlns:xm="http://schemas.microsoft.com/office/excel/2006/main">
          <x14:cfRule type="dataBar" id="{22E43C4B-1DB0-4F8C-B786-01F62C38A3DE}">
            <x14:dataBar minLength="0" maxLength="100" border="1" negativeBarBorderColorSameAsPositive="0">
              <x14:cfvo type="autoMin"/>
              <x14:cfvo type="autoMax"/>
              <x14:borderColor rgb="FFFF555A"/>
              <x14:negativeFillColor rgb="FFFF0000"/>
              <x14:negativeBorderColor rgb="FFFF0000"/>
              <x14:axisColor rgb="FF000000"/>
            </x14:dataBar>
          </x14:cfRule>
          <xm:sqref>I9:I12 H7:H8</xm:sqref>
        </x14:conditionalFormatting>
        <x14:conditionalFormatting xmlns:xm="http://schemas.microsoft.com/office/excel/2006/main">
          <x14:cfRule type="dataBar" id="{F63EF601-6A80-4244-BA68-9640DBDA6DEA}">
            <x14:dataBar minLength="0" maxLength="100" border="1" negativeBarBorderColorSameAsPositive="0">
              <x14:cfvo type="autoMin"/>
              <x14:cfvo type="autoMax"/>
              <x14:borderColor rgb="FF638EC6"/>
              <x14:negativeFillColor rgb="FFFF0000"/>
              <x14:negativeBorderColor rgb="FFFF0000"/>
              <x14:axisColor rgb="FF000000"/>
            </x14:dataBar>
          </x14:cfRule>
          <xm:sqref>K7:K12</xm:sqref>
        </x14:conditionalFormatting>
        <x14:conditionalFormatting xmlns:xm="http://schemas.microsoft.com/office/excel/2006/main">
          <x14:cfRule type="dataBar" id="{B9A8E5C2-9064-44B0-8278-56E1198B5030}">
            <x14:dataBar minLength="0" maxLength="100" border="1" negativeBarBorderColorSameAsPositive="0">
              <x14:cfvo type="autoMin"/>
              <x14:cfvo type="autoMax"/>
              <x14:borderColor rgb="FFFFB628"/>
              <x14:negativeFillColor rgb="FFFF0000"/>
              <x14:negativeBorderColor rgb="FFFF0000"/>
              <x14:axisColor rgb="FF000000"/>
            </x14:dataBar>
          </x14:cfRule>
          <xm:sqref>L7:L12</xm:sqref>
        </x14:conditionalFormatting>
        <x14:conditionalFormatting xmlns:xm="http://schemas.microsoft.com/office/excel/2006/main">
          <x14:cfRule type="dataBar" id="{DC2E050D-26B8-40C3-BE26-6C392D4D5C09}">
            <x14:dataBar minLength="0" maxLength="100" border="1" negativeBarBorderColorSameAsPositive="0">
              <x14:cfvo type="autoMin"/>
              <x14:cfvo type="autoMax"/>
              <x14:borderColor rgb="FFFF555A"/>
              <x14:negativeFillColor rgb="FFFF0000"/>
              <x14:negativeBorderColor rgb="FFFF0000"/>
              <x14:axisColor rgb="FF000000"/>
            </x14:dataBar>
          </x14:cfRule>
          <xm:sqref>N16:N21</xm:sqref>
        </x14:conditionalFormatting>
        <x14:conditionalFormatting xmlns:xm="http://schemas.microsoft.com/office/excel/2006/main">
          <x14:cfRule type="dataBar" id="{E02C32DF-80EF-432B-A478-870C8A8098B6}">
            <x14:dataBar minLength="0" maxLength="100" border="1" negativeBarBorderColorSameAsPositive="0">
              <x14:cfvo type="autoMin"/>
              <x14:cfvo type="autoMax"/>
              <x14:borderColor rgb="FF63C384"/>
              <x14:negativeFillColor rgb="FFFF0000"/>
              <x14:negativeBorderColor rgb="FFFF0000"/>
              <x14:axisColor rgb="FF000000"/>
            </x14:dataBar>
          </x14:cfRule>
          <xm:sqref>O16:O21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7919-A436-41D8-A57C-4445B66B8577}">
  <dimension ref="A2:D25"/>
  <sheetViews>
    <sheetView workbookViewId="0">
      <selection activeCell="B18" sqref="B18"/>
    </sheetView>
  </sheetViews>
  <sheetFormatPr defaultRowHeight="14.45"/>
  <cols>
    <col min="1" max="1" width="23.7109375" customWidth="1"/>
    <col min="2" max="2" width="13.28515625" customWidth="1"/>
  </cols>
  <sheetData>
    <row r="2" spans="1:3" ht="21">
      <c r="A2" s="32" t="s">
        <v>387</v>
      </c>
    </row>
    <row r="4" spans="1:3">
      <c r="A4" s="81" t="s">
        <v>486</v>
      </c>
      <c r="B4" s="74" t="s">
        <v>487</v>
      </c>
      <c r="C4" t="s">
        <v>488</v>
      </c>
    </row>
    <row r="5" spans="1:3">
      <c r="A5" s="48" t="s">
        <v>489</v>
      </c>
      <c r="B5" s="21">
        <f t="shared" ref="B5:B25" si="0">C5/$C$18</f>
        <v>0.88410303277141455</v>
      </c>
      <c r="C5" s="21">
        <v>0.17799999999999999</v>
      </c>
    </row>
    <row r="6" spans="1:3">
      <c r="A6" s="71" t="s">
        <v>490</v>
      </c>
      <c r="B6" s="21">
        <f t="shared" si="0"/>
        <v>0.82044791775586834</v>
      </c>
      <c r="C6" s="21">
        <v>0.16518406107346001</v>
      </c>
    </row>
    <row r="7" spans="1:3">
      <c r="A7" s="48" t="s">
        <v>491</v>
      </c>
      <c r="B7" s="21">
        <f t="shared" si="0"/>
        <v>0.2556274253781865</v>
      </c>
      <c r="C7" s="21">
        <v>5.1466492061091801E-2</v>
      </c>
    </row>
    <row r="8" spans="1:3">
      <c r="A8" s="48" t="s">
        <v>492</v>
      </c>
      <c r="B8" s="21">
        <f t="shared" si="0"/>
        <v>0.58534077701729459</v>
      </c>
      <c r="C8" s="21">
        <v>0.117849</v>
      </c>
    </row>
    <row r="9" spans="1:3">
      <c r="A9" s="48" t="s">
        <v>370</v>
      </c>
      <c r="B9" s="21">
        <f t="shared" si="0"/>
        <v>0.54320827892864587</v>
      </c>
      <c r="C9" s="21">
        <v>0.10936629562982</v>
      </c>
    </row>
    <row r="10" spans="1:3">
      <c r="A10" s="48" t="s">
        <v>493</v>
      </c>
      <c r="B10" s="21">
        <f t="shared" si="0"/>
        <v>0.87981165625279378</v>
      </c>
      <c r="C10" s="21">
        <v>0.17713599999999999</v>
      </c>
    </row>
    <row r="11" spans="1:3">
      <c r="A11" s="48" t="s">
        <v>494</v>
      </c>
      <c r="B11" s="21">
        <f t="shared" si="0"/>
        <v>0.94805646338919392</v>
      </c>
      <c r="C11" s="21">
        <v>0.19087599999999999</v>
      </c>
    </row>
    <row r="12" spans="1:3">
      <c r="A12" s="48" t="s">
        <v>495</v>
      </c>
      <c r="B12" s="21">
        <f t="shared" si="0"/>
        <v>0.82044791775586834</v>
      </c>
      <c r="C12" s="21">
        <v>0.16518406107346001</v>
      </c>
    </row>
    <row r="13" spans="1:3">
      <c r="A13" s="48" t="s">
        <v>496</v>
      </c>
      <c r="B13" s="21">
        <f t="shared" si="0"/>
        <v>0.88410303277141455</v>
      </c>
      <c r="C13" s="21">
        <v>0.17799999999999999</v>
      </c>
    </row>
    <row r="14" spans="1:3">
      <c r="A14" s="70" t="s">
        <v>373</v>
      </c>
      <c r="B14" s="21">
        <f t="shared" si="0"/>
        <v>0.67196797361598137</v>
      </c>
      <c r="C14" s="21">
        <v>0.13528999999999999</v>
      </c>
    </row>
    <row r="15" spans="1:3">
      <c r="A15" s="48" t="s">
        <v>497</v>
      </c>
      <c r="B15" s="21">
        <f t="shared" si="0"/>
        <v>0.30307199464420814</v>
      </c>
      <c r="C15" s="21">
        <v>6.1018696969697001E-2</v>
      </c>
    </row>
    <row r="16" spans="1:3">
      <c r="A16" s="48" t="s">
        <v>401</v>
      </c>
      <c r="B16" s="21">
        <f t="shared" si="0"/>
        <v>0.31967774941142579</v>
      </c>
      <c r="C16" s="21">
        <v>6.4362000000000003E-2</v>
      </c>
    </row>
    <row r="17" spans="1:4">
      <c r="A17" s="135" t="s">
        <v>498</v>
      </c>
      <c r="B17" s="21">
        <f t="shared" si="0"/>
        <v>0.93252505786404671</v>
      </c>
      <c r="C17" s="82">
        <v>0.187749</v>
      </c>
    </row>
    <row r="18" spans="1:4">
      <c r="A18" s="135" t="s">
        <v>499</v>
      </c>
      <c r="B18" s="21">
        <f t="shared" si="0"/>
        <v>1</v>
      </c>
      <c r="C18" s="89">
        <v>0.20133400000000001</v>
      </c>
    </row>
    <row r="19" spans="1:4">
      <c r="A19" s="135" t="s">
        <v>500</v>
      </c>
      <c r="B19" s="21">
        <f t="shared" si="0"/>
        <v>0.70880725560511382</v>
      </c>
      <c r="C19" s="89">
        <v>0.142707</v>
      </c>
    </row>
    <row r="20" spans="1:4">
      <c r="A20" s="47" t="s">
        <v>405</v>
      </c>
      <c r="B20" s="21">
        <f t="shared" si="0"/>
        <v>3.9541560819636078E-2</v>
      </c>
      <c r="C20" s="21">
        <v>7.9610606060606104E-3</v>
      </c>
    </row>
    <row r="21" spans="1:4">
      <c r="A21" s="47" t="s">
        <v>501</v>
      </c>
      <c r="B21" s="21">
        <f t="shared" si="0"/>
        <v>8.8767767475785006E-2</v>
      </c>
      <c r="C21" s="21">
        <v>1.7871969696969699E-2</v>
      </c>
    </row>
    <row r="22" spans="1:4">
      <c r="A22" s="48" t="s">
        <v>407</v>
      </c>
      <c r="B22" s="21">
        <f t="shared" si="0"/>
        <v>4.9917805810998139E-2</v>
      </c>
      <c r="C22" s="21">
        <v>1.00501515151515E-2</v>
      </c>
      <c r="D22" s="1" t="s">
        <v>502</v>
      </c>
    </row>
    <row r="23" spans="1:4">
      <c r="A23" s="48" t="s">
        <v>408</v>
      </c>
      <c r="B23" s="21">
        <f t="shared" si="0"/>
        <v>0.1460824482519773</v>
      </c>
      <c r="C23" s="21">
        <v>2.94113636363636E-2</v>
      </c>
      <c r="D23" t="s">
        <v>503</v>
      </c>
    </row>
    <row r="24" spans="1:4">
      <c r="A24" s="48" t="s">
        <v>504</v>
      </c>
      <c r="B24" s="21">
        <f t="shared" si="0"/>
        <v>0.37054242144291522</v>
      </c>
      <c r="C24" s="21">
        <v>7.4602787878787893E-2</v>
      </c>
    </row>
    <row r="25" spans="1:4">
      <c r="A25" s="82" t="s">
        <v>505</v>
      </c>
      <c r="B25" s="21">
        <f t="shared" si="0"/>
        <v>0.87913616180078868</v>
      </c>
      <c r="C25" s="82">
        <v>0.17699999999999999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C2F0-F7FC-472A-9359-78692A9DB485}">
  <dimension ref="A2:AF37"/>
  <sheetViews>
    <sheetView topLeftCell="A3" workbookViewId="0">
      <selection activeCell="L35" sqref="L35"/>
    </sheetView>
  </sheetViews>
  <sheetFormatPr defaultRowHeight="15" customHeight="1"/>
  <cols>
    <col min="1" max="1" width="22.5703125" customWidth="1"/>
    <col min="3" max="3" width="11.140625" style="21" customWidth="1"/>
    <col min="5" max="5" width="11" customWidth="1"/>
    <col min="7" max="7" width="13.5703125" customWidth="1"/>
  </cols>
  <sheetData>
    <row r="2" spans="1:32" ht="21">
      <c r="A2" s="32" t="s">
        <v>506</v>
      </c>
      <c r="C2" s="50"/>
    </row>
    <row r="4" spans="1:32" ht="57.6">
      <c r="A4" s="112" t="s">
        <v>507</v>
      </c>
      <c r="B4" s="5" t="s">
        <v>508</v>
      </c>
      <c r="C4" s="44" t="s">
        <v>509</v>
      </c>
      <c r="D4" s="5" t="s">
        <v>4</v>
      </c>
      <c r="E4" s="5" t="s">
        <v>510</v>
      </c>
      <c r="F4" s="5" t="s">
        <v>511</v>
      </c>
      <c r="G4" s="5" t="s">
        <v>512</v>
      </c>
      <c r="H4" s="5" t="s">
        <v>6</v>
      </c>
      <c r="I4" s="5" t="s">
        <v>513</v>
      </c>
      <c r="J4" s="5" t="s">
        <v>7</v>
      </c>
      <c r="K4" s="5" t="s">
        <v>514</v>
      </c>
      <c r="L4" s="5" t="s">
        <v>8</v>
      </c>
      <c r="M4" s="5" t="s">
        <v>515</v>
      </c>
      <c r="N4" s="5" t="s">
        <v>9</v>
      </c>
      <c r="O4" s="5" t="s">
        <v>516</v>
      </c>
      <c r="P4" s="5" t="s">
        <v>517</v>
      </c>
      <c r="Q4" s="5" t="s">
        <v>518</v>
      </c>
      <c r="R4" s="5" t="s">
        <v>11</v>
      </c>
      <c r="S4" s="5" t="s">
        <v>519</v>
      </c>
      <c r="T4" s="5" t="s">
        <v>12</v>
      </c>
      <c r="U4" s="5" t="s">
        <v>520</v>
      </c>
      <c r="V4" s="5" t="s">
        <v>521</v>
      </c>
      <c r="W4" s="3" t="s">
        <v>522</v>
      </c>
      <c r="X4" s="3" t="s">
        <v>14</v>
      </c>
      <c r="Y4" s="3" t="s">
        <v>523</v>
      </c>
      <c r="Z4" s="3" t="s">
        <v>15</v>
      </c>
      <c r="AA4" s="3" t="s">
        <v>524</v>
      </c>
      <c r="AB4" s="3"/>
      <c r="AC4" s="3"/>
      <c r="AD4" s="3"/>
      <c r="AE4" s="3"/>
    </row>
    <row r="5" spans="1:32" s="45" customFormat="1" ht="14.45">
      <c r="A5" s="48" t="s">
        <v>505</v>
      </c>
      <c r="B5" s="21">
        <v>6</v>
      </c>
      <c r="C5" s="46">
        <f>B5/24</f>
        <v>0.25</v>
      </c>
      <c r="D5" s="21">
        <v>11.04</v>
      </c>
      <c r="E5" s="46">
        <f>D5/24</f>
        <v>0.45999999999999996</v>
      </c>
      <c r="F5" s="21">
        <v>6</v>
      </c>
      <c r="G5" s="46">
        <f>F5/24</f>
        <v>0.25</v>
      </c>
      <c r="H5" s="21">
        <v>11.04</v>
      </c>
      <c r="I5" s="46">
        <f>H5/24</f>
        <v>0.45999999999999996</v>
      </c>
      <c r="J5" s="21">
        <v>11.04</v>
      </c>
      <c r="K5" s="46">
        <f>J5/24</f>
        <v>0.45999999999999996</v>
      </c>
      <c r="L5" s="21">
        <v>11.04</v>
      </c>
      <c r="M5" s="46">
        <f>L5/24</f>
        <v>0.45999999999999996</v>
      </c>
      <c r="N5" s="21">
        <v>11.04</v>
      </c>
      <c r="O5" s="46">
        <f>N5/24</f>
        <v>0.45999999999999996</v>
      </c>
      <c r="P5" s="21">
        <v>6</v>
      </c>
      <c r="Q5" s="46">
        <f>P5/24</f>
        <v>0.25</v>
      </c>
      <c r="R5" s="21">
        <v>11.04</v>
      </c>
      <c r="S5" s="46">
        <f>R5/24</f>
        <v>0.45999999999999996</v>
      </c>
      <c r="T5" s="21">
        <v>11.04</v>
      </c>
      <c r="U5" s="46">
        <f>T5/24</f>
        <v>0.45999999999999996</v>
      </c>
      <c r="V5" s="21">
        <v>6</v>
      </c>
      <c r="W5" s="46">
        <f>V5/24</f>
        <v>0.25</v>
      </c>
      <c r="X5" s="21"/>
      <c r="Y5" s="46"/>
      <c r="Z5" s="21"/>
      <c r="AA5" s="46"/>
      <c r="AB5" s="56"/>
    </row>
    <row r="6" spans="1:32" s="45" customFormat="1" ht="14.45">
      <c r="A6" s="48" t="s">
        <v>525</v>
      </c>
      <c r="B6" s="21">
        <v>6</v>
      </c>
      <c r="C6" s="46">
        <f t="shared" ref="C6" si="0">B6/24</f>
        <v>0.25</v>
      </c>
      <c r="D6" s="21">
        <v>8.1999999999999993</v>
      </c>
      <c r="E6" s="46">
        <f t="shared" ref="E6" si="1">D6/24</f>
        <v>0.34166666666666662</v>
      </c>
      <c r="F6" s="21">
        <v>6</v>
      </c>
      <c r="G6" s="46">
        <f t="shared" ref="G6" si="2">F6/24</f>
        <v>0.25</v>
      </c>
      <c r="H6" s="21">
        <v>8.1999999999999993</v>
      </c>
      <c r="I6" s="46">
        <f t="shared" ref="I6" si="3">H6/24</f>
        <v>0.34166666666666662</v>
      </c>
      <c r="J6" s="21">
        <v>8.1999999999999993</v>
      </c>
      <c r="K6" s="46">
        <f t="shared" ref="K6" si="4">J6/24</f>
        <v>0.34166666666666662</v>
      </c>
      <c r="L6" s="21">
        <v>8.1999999999999993</v>
      </c>
      <c r="M6" s="46">
        <f t="shared" ref="M6" si="5">L6/24</f>
        <v>0.34166666666666662</v>
      </c>
      <c r="N6" s="21">
        <v>8.1999999999999993</v>
      </c>
      <c r="O6" s="46">
        <f t="shared" ref="O6" si="6">N6/24</f>
        <v>0.34166666666666662</v>
      </c>
      <c r="P6" s="21">
        <v>6</v>
      </c>
      <c r="Q6" s="46">
        <f t="shared" ref="Q6" si="7">P6/24</f>
        <v>0.25</v>
      </c>
      <c r="R6" s="21">
        <v>8.1999999999999993</v>
      </c>
      <c r="S6" s="46">
        <f t="shared" ref="S6" si="8">R6/24</f>
        <v>0.34166666666666662</v>
      </c>
      <c r="T6" s="21">
        <v>8.1999999999999993</v>
      </c>
      <c r="U6" s="46">
        <f t="shared" ref="U6" si="9">T6/24</f>
        <v>0.34166666666666662</v>
      </c>
      <c r="V6" s="21">
        <v>6</v>
      </c>
      <c r="W6" s="46">
        <f t="shared" ref="W6" si="10">V6/24</f>
        <v>0.25</v>
      </c>
      <c r="X6" s="21">
        <v>8.1999999999999993</v>
      </c>
      <c r="Y6" s="46">
        <f>X6/24</f>
        <v>0.34166666666666662</v>
      </c>
      <c r="Z6" s="21"/>
      <c r="AA6" s="46"/>
    </row>
    <row r="7" spans="1:32" s="45" customFormat="1" ht="14.45">
      <c r="A7" s="48" t="s">
        <v>491</v>
      </c>
      <c r="B7" s="21">
        <f>10/60</f>
        <v>0.16666666666666666</v>
      </c>
      <c r="C7" s="46">
        <f>B7/24</f>
        <v>6.9444444444444441E-3</v>
      </c>
      <c r="D7" s="21">
        <f t="shared" ref="D7:V7" si="11">10/60</f>
        <v>0.16666666666666666</v>
      </c>
      <c r="E7" s="46">
        <f>D7/24</f>
        <v>6.9444444444444441E-3</v>
      </c>
      <c r="F7" s="21">
        <f t="shared" si="11"/>
        <v>0.16666666666666666</v>
      </c>
      <c r="G7" s="46">
        <f>F7/24</f>
        <v>6.9444444444444441E-3</v>
      </c>
      <c r="H7" s="21">
        <f t="shared" si="11"/>
        <v>0.16666666666666666</v>
      </c>
      <c r="I7" s="46">
        <f>H7/24</f>
        <v>6.9444444444444441E-3</v>
      </c>
      <c r="J7" s="21">
        <f t="shared" si="11"/>
        <v>0.16666666666666666</v>
      </c>
      <c r="K7" s="46">
        <f>J7/24</f>
        <v>6.9444444444444441E-3</v>
      </c>
      <c r="L7" s="21">
        <f t="shared" si="11"/>
        <v>0.16666666666666666</v>
      </c>
      <c r="M7" s="46">
        <f>L7/24</f>
        <v>6.9444444444444441E-3</v>
      </c>
      <c r="N7" s="21">
        <f t="shared" si="11"/>
        <v>0.16666666666666666</v>
      </c>
      <c r="O7" s="46">
        <f>N7/24</f>
        <v>6.9444444444444441E-3</v>
      </c>
      <c r="P7" s="21">
        <f t="shared" si="11"/>
        <v>0.16666666666666666</v>
      </c>
      <c r="Q7" s="46">
        <f>P7/24</f>
        <v>6.9444444444444441E-3</v>
      </c>
      <c r="R7" s="21">
        <f t="shared" si="11"/>
        <v>0.16666666666666666</v>
      </c>
      <c r="S7" s="46">
        <f>R7/24</f>
        <v>6.9444444444444441E-3</v>
      </c>
      <c r="T7" s="21">
        <f t="shared" si="11"/>
        <v>0.16666666666666666</v>
      </c>
      <c r="U7" s="46">
        <f>T7/24</f>
        <v>6.9444444444444441E-3</v>
      </c>
      <c r="V7" s="21">
        <f t="shared" si="11"/>
        <v>0.16666666666666666</v>
      </c>
      <c r="W7" s="46">
        <f>V7/24</f>
        <v>6.9444444444444441E-3</v>
      </c>
      <c r="X7" s="21"/>
      <c r="Y7" s="46"/>
      <c r="Z7" s="21"/>
      <c r="AA7" s="46"/>
    </row>
    <row r="8" spans="1:32" s="45" customFormat="1" ht="14.45">
      <c r="A8" s="48" t="s">
        <v>526</v>
      </c>
      <c r="B8" s="21">
        <v>6</v>
      </c>
      <c r="C8" s="46">
        <f>B8/24</f>
        <v>0.25</v>
      </c>
      <c r="D8" s="21">
        <v>6.62</v>
      </c>
      <c r="E8" s="46">
        <f t="shared" ref="E8:E10" si="12">D8/24</f>
        <v>0.27583333333333332</v>
      </c>
      <c r="F8" s="21">
        <v>6</v>
      </c>
      <c r="G8" s="46">
        <f>F8/24</f>
        <v>0.25</v>
      </c>
      <c r="H8" s="21">
        <v>6.62</v>
      </c>
      <c r="I8" s="46">
        <f>H8/24</f>
        <v>0.27583333333333332</v>
      </c>
      <c r="J8" s="21">
        <v>6.62</v>
      </c>
      <c r="K8" s="46">
        <f>J8/24</f>
        <v>0.27583333333333332</v>
      </c>
      <c r="L8" s="21">
        <v>6.62</v>
      </c>
      <c r="M8" s="46">
        <f>L8/24</f>
        <v>0.27583333333333332</v>
      </c>
      <c r="N8" s="21">
        <v>6.62</v>
      </c>
      <c r="O8" s="46">
        <f>N8/24</f>
        <v>0.27583333333333332</v>
      </c>
      <c r="P8" s="21">
        <v>6</v>
      </c>
      <c r="Q8" s="46">
        <f>P8/24</f>
        <v>0.25</v>
      </c>
      <c r="R8" s="21">
        <v>6.62</v>
      </c>
      <c r="S8" s="46">
        <f>R8/24</f>
        <v>0.27583333333333332</v>
      </c>
      <c r="T8" s="21">
        <v>6.62</v>
      </c>
      <c r="U8" s="46">
        <f>T8/24</f>
        <v>0.27583333333333332</v>
      </c>
      <c r="V8" s="21">
        <v>6</v>
      </c>
      <c r="W8" s="46">
        <f>V8/24</f>
        <v>0.25</v>
      </c>
      <c r="X8" s="21"/>
      <c r="Y8" s="46"/>
      <c r="Z8" s="21"/>
      <c r="AA8" s="46"/>
      <c r="AB8" s="56" t="s">
        <v>527</v>
      </c>
      <c r="AE8" s="168" t="s">
        <v>528</v>
      </c>
      <c r="AF8" s="168"/>
    </row>
    <row r="9" spans="1:32" s="45" customFormat="1" ht="14.45">
      <c r="A9" s="48" t="s">
        <v>371</v>
      </c>
      <c r="B9" s="21">
        <v>6</v>
      </c>
      <c r="C9" s="46">
        <f>B9/24</f>
        <v>0.25</v>
      </c>
      <c r="D9" s="21">
        <v>8</v>
      </c>
      <c r="E9" s="46">
        <f t="shared" si="12"/>
        <v>0.33333333333333331</v>
      </c>
      <c r="F9" s="21">
        <v>6</v>
      </c>
      <c r="G9" s="46">
        <f t="shared" ref="G9:G10" si="13">F9/24</f>
        <v>0.25</v>
      </c>
      <c r="H9" s="21">
        <v>8</v>
      </c>
      <c r="I9" s="46">
        <f t="shared" ref="I9:I10" si="14">H9/24</f>
        <v>0.33333333333333331</v>
      </c>
      <c r="J9" s="21">
        <v>8</v>
      </c>
      <c r="K9" s="46">
        <f t="shared" ref="K9:K10" si="15">J9/24</f>
        <v>0.33333333333333331</v>
      </c>
      <c r="L9" s="21">
        <v>8</v>
      </c>
      <c r="M9" s="46">
        <f t="shared" ref="M9:M10" si="16">L9/24</f>
        <v>0.33333333333333331</v>
      </c>
      <c r="N9" s="21">
        <v>8</v>
      </c>
      <c r="O9" s="46">
        <f t="shared" ref="O9:O10" si="17">N9/24</f>
        <v>0.33333333333333331</v>
      </c>
      <c r="P9" s="21">
        <v>6</v>
      </c>
      <c r="Q9" s="46">
        <f t="shared" ref="Q9:Q10" si="18">P9/24</f>
        <v>0.25</v>
      </c>
      <c r="R9" s="21">
        <v>8</v>
      </c>
      <c r="S9" s="46">
        <f t="shared" ref="S9:S10" si="19">R9/24</f>
        <v>0.33333333333333331</v>
      </c>
      <c r="T9" s="21">
        <v>8</v>
      </c>
      <c r="U9" s="46">
        <f t="shared" ref="U9:U10" si="20">T9/24</f>
        <v>0.33333333333333331</v>
      </c>
      <c r="V9" s="21">
        <v>6</v>
      </c>
      <c r="W9" s="46">
        <f t="shared" ref="W9:W10" si="21">V9/24</f>
        <v>0.25</v>
      </c>
      <c r="X9" s="21"/>
      <c r="Y9" s="46"/>
      <c r="Z9" s="21"/>
      <c r="AA9" s="46"/>
    </row>
    <row r="10" spans="1:32" s="45" customFormat="1" ht="14.45">
      <c r="A10" s="48" t="s">
        <v>529</v>
      </c>
      <c r="B10" s="21">
        <v>6</v>
      </c>
      <c r="C10" s="46">
        <f t="shared" ref="C10" si="22">B10/24</f>
        <v>0.25</v>
      </c>
      <c r="D10" s="21">
        <v>8.2799999999999994</v>
      </c>
      <c r="E10" s="46">
        <f t="shared" si="12"/>
        <v>0.34499999999999997</v>
      </c>
      <c r="F10" s="21">
        <v>6</v>
      </c>
      <c r="G10" s="46">
        <f t="shared" si="13"/>
        <v>0.25</v>
      </c>
      <c r="H10" s="21">
        <v>8.2799999999999994</v>
      </c>
      <c r="I10" s="46">
        <f t="shared" si="14"/>
        <v>0.34499999999999997</v>
      </c>
      <c r="J10" s="21">
        <v>8.2799999999999994</v>
      </c>
      <c r="K10" s="46">
        <f t="shared" si="15"/>
        <v>0.34499999999999997</v>
      </c>
      <c r="L10" s="21">
        <v>8.2799999999999994</v>
      </c>
      <c r="M10" s="46">
        <f t="shared" si="16"/>
        <v>0.34499999999999997</v>
      </c>
      <c r="N10" s="21">
        <v>8.2799999999999994</v>
      </c>
      <c r="O10" s="46">
        <f t="shared" si="17"/>
        <v>0.34499999999999997</v>
      </c>
      <c r="P10" s="21">
        <v>6</v>
      </c>
      <c r="Q10" s="46">
        <f t="shared" si="18"/>
        <v>0.25</v>
      </c>
      <c r="R10" s="21">
        <v>8.2799999999999994</v>
      </c>
      <c r="S10" s="46">
        <f t="shared" si="19"/>
        <v>0.34499999999999997</v>
      </c>
      <c r="T10" s="21">
        <v>8.2799999999999994</v>
      </c>
      <c r="U10" s="46">
        <f t="shared" si="20"/>
        <v>0.34499999999999997</v>
      </c>
      <c r="V10" s="21">
        <v>6</v>
      </c>
      <c r="W10" s="46">
        <f t="shared" si="21"/>
        <v>0.25</v>
      </c>
      <c r="X10" s="21">
        <v>8.2799999999999994</v>
      </c>
      <c r="Y10" s="46">
        <f>X10/24</f>
        <v>0.34499999999999997</v>
      </c>
      <c r="Z10" s="21">
        <v>4</v>
      </c>
      <c r="AA10" s="46">
        <f>Z10/24</f>
        <v>0.16666666666666666</v>
      </c>
    </row>
    <row r="11" spans="1:32" s="45" customFormat="1" ht="14.45">
      <c r="A11" s="48" t="s">
        <v>373</v>
      </c>
      <c r="B11" s="21">
        <v>6</v>
      </c>
      <c r="C11" s="46">
        <f t="shared" ref="C11:C21" si="23">B11/24</f>
        <v>0.25</v>
      </c>
      <c r="D11" s="21">
        <v>6.2695999999999996</v>
      </c>
      <c r="E11" s="46">
        <f t="shared" ref="E11:E20" si="24">D11/24</f>
        <v>0.26123333333333332</v>
      </c>
      <c r="F11" s="21">
        <v>6</v>
      </c>
      <c r="G11" s="46">
        <f t="shared" ref="G11:G20" si="25">F11/24</f>
        <v>0.25</v>
      </c>
      <c r="H11" s="21">
        <v>6.2695999999999996</v>
      </c>
      <c r="I11" s="46">
        <f t="shared" ref="I11:I20" si="26">H11/24</f>
        <v>0.26123333333333332</v>
      </c>
      <c r="J11" s="21">
        <v>6.2695999999999996</v>
      </c>
      <c r="K11" s="46">
        <f t="shared" ref="K11:K20" si="27">J11/24</f>
        <v>0.26123333333333332</v>
      </c>
      <c r="L11" s="21">
        <v>6.2695999999999996</v>
      </c>
      <c r="M11" s="46">
        <f t="shared" ref="M11:M20" si="28">L11/24</f>
        <v>0.26123333333333332</v>
      </c>
      <c r="N11" s="21">
        <v>6.1725000000000003</v>
      </c>
      <c r="O11" s="46">
        <f t="shared" ref="O11:O20" si="29">N11/24</f>
        <v>0.25718750000000001</v>
      </c>
      <c r="P11" s="21">
        <v>6</v>
      </c>
      <c r="Q11" s="46">
        <f t="shared" ref="Q11:Q20" si="30">P11/24</f>
        <v>0.25</v>
      </c>
      <c r="R11" s="21">
        <v>6.2695999999999996</v>
      </c>
      <c r="S11" s="46">
        <f t="shared" ref="S11:S20" si="31">R11/24</f>
        <v>0.26123333333333332</v>
      </c>
      <c r="T11" s="101">
        <v>6.37</v>
      </c>
      <c r="U11" s="46">
        <f t="shared" ref="U11:U20" si="32">T11/24</f>
        <v>0.26541666666666669</v>
      </c>
      <c r="V11" s="21">
        <v>6</v>
      </c>
      <c r="W11" s="46">
        <f t="shared" ref="W11:W20" si="33">V11/24</f>
        <v>0.25</v>
      </c>
      <c r="X11" s="21"/>
      <c r="Y11" s="46"/>
      <c r="Z11" s="21"/>
      <c r="AA11" s="46"/>
      <c r="AB11" s="83" t="s">
        <v>530</v>
      </c>
    </row>
    <row r="12" spans="1:32" s="45" customFormat="1" ht="14.45">
      <c r="A12" s="48" t="s">
        <v>497</v>
      </c>
      <c r="B12" s="21">
        <v>5</v>
      </c>
      <c r="C12" s="46">
        <f t="shared" si="23"/>
        <v>0.20833333333333334</v>
      </c>
      <c r="D12" s="21">
        <v>5</v>
      </c>
      <c r="E12" s="46">
        <f>D12/24</f>
        <v>0.20833333333333334</v>
      </c>
      <c r="F12" s="21">
        <v>5</v>
      </c>
      <c r="G12" s="46">
        <f>F12/24</f>
        <v>0.20833333333333334</v>
      </c>
      <c r="H12" s="21">
        <v>5</v>
      </c>
      <c r="I12" s="46">
        <f>H12/24</f>
        <v>0.20833333333333334</v>
      </c>
      <c r="J12" s="21">
        <v>5</v>
      </c>
      <c r="K12" s="46">
        <f>J12/24</f>
        <v>0.20833333333333334</v>
      </c>
      <c r="L12" s="21">
        <v>5</v>
      </c>
      <c r="M12" s="46">
        <f>L12/24</f>
        <v>0.20833333333333334</v>
      </c>
      <c r="N12" s="21">
        <v>5</v>
      </c>
      <c r="O12" s="46">
        <f>N12/24</f>
        <v>0.20833333333333334</v>
      </c>
      <c r="P12" s="21">
        <v>5</v>
      </c>
      <c r="Q12" s="46">
        <f>P12/24</f>
        <v>0.20833333333333334</v>
      </c>
      <c r="R12" s="21">
        <v>5</v>
      </c>
      <c r="S12" s="46">
        <f>R12/24</f>
        <v>0.20833333333333334</v>
      </c>
      <c r="T12" s="21">
        <v>5</v>
      </c>
      <c r="U12" s="46">
        <f>T12/24</f>
        <v>0.20833333333333334</v>
      </c>
      <c r="V12" s="21">
        <v>5</v>
      </c>
      <c r="W12" s="46">
        <f>V12/24</f>
        <v>0.20833333333333334</v>
      </c>
      <c r="X12" s="21"/>
      <c r="Y12" s="46"/>
      <c r="Z12" s="21"/>
      <c r="AA12" s="46"/>
    </row>
    <row r="13" spans="1:32" s="45" customFormat="1" ht="14.45">
      <c r="A13" s="48" t="s">
        <v>401</v>
      </c>
      <c r="B13" s="21">
        <f>210/60</f>
        <v>3.5</v>
      </c>
      <c r="C13" s="46">
        <f t="shared" si="23"/>
        <v>0.14583333333333334</v>
      </c>
      <c r="D13" s="21">
        <f t="shared" ref="D13:V13" si="34">210/60</f>
        <v>3.5</v>
      </c>
      <c r="E13" s="46">
        <f t="shared" si="24"/>
        <v>0.14583333333333334</v>
      </c>
      <c r="F13" s="21">
        <f t="shared" si="34"/>
        <v>3.5</v>
      </c>
      <c r="G13" s="46">
        <f t="shared" si="25"/>
        <v>0.14583333333333334</v>
      </c>
      <c r="H13" s="21">
        <f t="shared" si="34"/>
        <v>3.5</v>
      </c>
      <c r="I13" s="46">
        <f t="shared" si="26"/>
        <v>0.14583333333333334</v>
      </c>
      <c r="J13" s="21">
        <f t="shared" si="34"/>
        <v>3.5</v>
      </c>
      <c r="K13" s="46">
        <f t="shared" si="27"/>
        <v>0.14583333333333334</v>
      </c>
      <c r="L13" s="21">
        <f t="shared" si="34"/>
        <v>3.5</v>
      </c>
      <c r="M13" s="46">
        <f t="shared" si="28"/>
        <v>0.14583333333333334</v>
      </c>
      <c r="N13" s="21">
        <f t="shared" si="34"/>
        <v>3.5</v>
      </c>
      <c r="O13" s="46">
        <f t="shared" si="29"/>
        <v>0.14583333333333334</v>
      </c>
      <c r="P13" s="21">
        <f t="shared" si="34"/>
        <v>3.5</v>
      </c>
      <c r="Q13" s="46">
        <f t="shared" si="30"/>
        <v>0.14583333333333334</v>
      </c>
      <c r="R13" s="21">
        <f t="shared" si="34"/>
        <v>3.5</v>
      </c>
      <c r="S13" s="46">
        <f t="shared" si="31"/>
        <v>0.14583333333333334</v>
      </c>
      <c r="T13" s="21">
        <f t="shared" si="34"/>
        <v>3.5</v>
      </c>
      <c r="U13" s="46">
        <f t="shared" si="32"/>
        <v>0.14583333333333334</v>
      </c>
      <c r="V13" s="21">
        <f t="shared" si="34"/>
        <v>3.5</v>
      </c>
      <c r="W13" s="46">
        <f t="shared" si="33"/>
        <v>0.14583333333333334</v>
      </c>
      <c r="X13" s="21"/>
      <c r="Y13" s="46"/>
      <c r="Z13" s="21"/>
      <c r="AA13" s="46"/>
    </row>
    <row r="14" spans="1:32" s="21" customFormat="1" ht="14.45">
      <c r="A14" s="47" t="s">
        <v>531</v>
      </c>
      <c r="B14" s="21">
        <f>1/60</f>
        <v>1.6666666666666666E-2</v>
      </c>
      <c r="C14" s="46">
        <f t="shared" si="23"/>
        <v>6.9444444444444447E-4</v>
      </c>
      <c r="D14" s="21">
        <f t="shared" ref="D14:V14" si="35">1/60</f>
        <v>1.6666666666666666E-2</v>
      </c>
      <c r="E14" s="46">
        <f t="shared" si="24"/>
        <v>6.9444444444444447E-4</v>
      </c>
      <c r="F14" s="21">
        <f t="shared" si="35"/>
        <v>1.6666666666666666E-2</v>
      </c>
      <c r="G14" s="46">
        <f t="shared" si="25"/>
        <v>6.9444444444444447E-4</v>
      </c>
      <c r="H14" s="21">
        <f t="shared" si="35"/>
        <v>1.6666666666666666E-2</v>
      </c>
      <c r="I14" s="46">
        <f t="shared" si="26"/>
        <v>6.9444444444444447E-4</v>
      </c>
      <c r="J14" s="21">
        <f t="shared" si="35"/>
        <v>1.6666666666666666E-2</v>
      </c>
      <c r="K14" s="46">
        <f t="shared" si="27"/>
        <v>6.9444444444444447E-4</v>
      </c>
      <c r="L14" s="21">
        <f t="shared" si="35"/>
        <v>1.6666666666666666E-2</v>
      </c>
      <c r="M14" s="46">
        <f t="shared" si="28"/>
        <v>6.9444444444444447E-4</v>
      </c>
      <c r="N14" s="21">
        <f t="shared" si="35"/>
        <v>1.6666666666666666E-2</v>
      </c>
      <c r="O14" s="46">
        <f t="shared" si="29"/>
        <v>6.9444444444444447E-4</v>
      </c>
      <c r="P14" s="21">
        <f t="shared" si="35"/>
        <v>1.6666666666666666E-2</v>
      </c>
      <c r="Q14" s="46">
        <f t="shared" si="30"/>
        <v>6.9444444444444447E-4</v>
      </c>
      <c r="R14" s="21">
        <f t="shared" si="35"/>
        <v>1.6666666666666666E-2</v>
      </c>
      <c r="S14" s="46">
        <f t="shared" si="31"/>
        <v>6.9444444444444447E-4</v>
      </c>
      <c r="T14" s="21">
        <f t="shared" si="35"/>
        <v>1.6666666666666666E-2</v>
      </c>
      <c r="U14" s="46">
        <f t="shared" si="32"/>
        <v>6.9444444444444447E-4</v>
      </c>
      <c r="V14" s="21">
        <f t="shared" si="35"/>
        <v>1.6666666666666666E-2</v>
      </c>
      <c r="W14" s="46">
        <f t="shared" si="33"/>
        <v>6.9444444444444447E-4</v>
      </c>
      <c r="Y14" s="46"/>
      <c r="AA14" s="46"/>
    </row>
    <row r="15" spans="1:32" s="21" customFormat="1" ht="14.45">
      <c r="A15" s="47" t="s">
        <v>405</v>
      </c>
      <c r="B15" s="21">
        <f>1/60</f>
        <v>1.6666666666666666E-2</v>
      </c>
      <c r="C15" s="46">
        <f t="shared" si="23"/>
        <v>6.9444444444444447E-4</v>
      </c>
      <c r="D15" s="21">
        <f>1/60</f>
        <v>1.6666666666666666E-2</v>
      </c>
      <c r="E15" s="46">
        <f t="shared" si="24"/>
        <v>6.9444444444444447E-4</v>
      </c>
      <c r="F15" s="21">
        <f>1/60</f>
        <v>1.6666666666666666E-2</v>
      </c>
      <c r="G15" s="46">
        <f t="shared" si="25"/>
        <v>6.9444444444444447E-4</v>
      </c>
      <c r="H15" s="21">
        <f>1/60</f>
        <v>1.6666666666666666E-2</v>
      </c>
      <c r="I15" s="46">
        <f t="shared" si="26"/>
        <v>6.9444444444444447E-4</v>
      </c>
      <c r="J15" s="21">
        <f>1/60</f>
        <v>1.6666666666666666E-2</v>
      </c>
      <c r="K15" s="46">
        <f t="shared" si="27"/>
        <v>6.9444444444444447E-4</v>
      </c>
      <c r="L15" s="21">
        <f>1/60</f>
        <v>1.6666666666666666E-2</v>
      </c>
      <c r="M15" s="46">
        <f t="shared" si="28"/>
        <v>6.9444444444444447E-4</v>
      </c>
      <c r="N15" s="21">
        <f>1/60</f>
        <v>1.6666666666666666E-2</v>
      </c>
      <c r="O15" s="46">
        <f t="shared" si="29"/>
        <v>6.9444444444444447E-4</v>
      </c>
      <c r="P15" s="21">
        <f>1/60</f>
        <v>1.6666666666666666E-2</v>
      </c>
      <c r="Q15" s="46">
        <f t="shared" si="30"/>
        <v>6.9444444444444447E-4</v>
      </c>
      <c r="R15" s="21">
        <f>1/60</f>
        <v>1.6666666666666666E-2</v>
      </c>
      <c r="S15" s="46">
        <f t="shared" si="31"/>
        <v>6.9444444444444447E-4</v>
      </c>
      <c r="T15" s="21">
        <f>1/60</f>
        <v>1.6666666666666666E-2</v>
      </c>
      <c r="U15" s="46">
        <f t="shared" si="32"/>
        <v>6.9444444444444447E-4</v>
      </c>
      <c r="V15" s="21">
        <f>1/60</f>
        <v>1.6666666666666666E-2</v>
      </c>
      <c r="W15" s="46">
        <f t="shared" si="33"/>
        <v>6.9444444444444447E-4</v>
      </c>
      <c r="Y15" s="46"/>
      <c r="AA15" s="46"/>
      <c r="AB15" s="21" t="s">
        <v>532</v>
      </c>
    </row>
    <row r="16" spans="1:32" s="21" customFormat="1" ht="14.45">
      <c r="A16" s="47" t="s">
        <v>501</v>
      </c>
      <c r="B16" s="21">
        <f>0.5/60</f>
        <v>8.3333333333333332E-3</v>
      </c>
      <c r="C16" s="46">
        <f t="shared" si="23"/>
        <v>3.4722222222222224E-4</v>
      </c>
      <c r="D16" s="21">
        <v>8.3333333333333332E-3</v>
      </c>
      <c r="E16" s="46">
        <f t="shared" si="24"/>
        <v>3.4722222222222224E-4</v>
      </c>
      <c r="F16" s="21">
        <v>8.3333333333333332E-3</v>
      </c>
      <c r="G16" s="46">
        <f t="shared" si="25"/>
        <v>3.4722222222222224E-4</v>
      </c>
      <c r="H16" s="21">
        <v>8.3333333333333332E-3</v>
      </c>
      <c r="I16" s="46">
        <f t="shared" si="26"/>
        <v>3.4722222222222224E-4</v>
      </c>
      <c r="J16" s="21">
        <v>8.3333333333333332E-3</v>
      </c>
      <c r="K16" s="46">
        <f t="shared" si="27"/>
        <v>3.4722222222222224E-4</v>
      </c>
      <c r="L16" s="21">
        <v>8.3333333333333332E-3</v>
      </c>
      <c r="M16" s="46">
        <f t="shared" si="28"/>
        <v>3.4722222222222224E-4</v>
      </c>
      <c r="N16" s="21">
        <v>8.3333333333333332E-3</v>
      </c>
      <c r="O16" s="46">
        <f t="shared" si="29"/>
        <v>3.4722222222222224E-4</v>
      </c>
      <c r="P16" s="21">
        <v>8.3333333333333332E-3</v>
      </c>
      <c r="Q16" s="46">
        <f t="shared" si="30"/>
        <v>3.4722222222222224E-4</v>
      </c>
      <c r="R16" s="21">
        <v>8.3333333333333332E-3</v>
      </c>
      <c r="S16" s="46">
        <f t="shared" si="31"/>
        <v>3.4722222222222224E-4</v>
      </c>
      <c r="T16" s="21">
        <v>8.3333333333333332E-3</v>
      </c>
      <c r="U16" s="46">
        <f t="shared" si="32"/>
        <v>3.4722222222222224E-4</v>
      </c>
      <c r="V16" s="21">
        <v>8.3333333333333332E-3</v>
      </c>
      <c r="W16" s="46">
        <f t="shared" si="33"/>
        <v>3.4722222222222224E-4</v>
      </c>
      <c r="Y16" s="46"/>
      <c r="AA16" s="46"/>
      <c r="AB16" s="21" t="s">
        <v>532</v>
      </c>
    </row>
    <row r="17" spans="1:31" s="45" customFormat="1" ht="14.45">
      <c r="A17" s="48" t="s">
        <v>407</v>
      </c>
      <c r="B17" s="21">
        <v>2</v>
      </c>
      <c r="C17" s="46">
        <f t="shared" si="23"/>
        <v>8.3333333333333329E-2</v>
      </c>
      <c r="D17" s="21">
        <v>2</v>
      </c>
      <c r="E17" s="46">
        <f t="shared" si="24"/>
        <v>8.3333333333333329E-2</v>
      </c>
      <c r="F17" s="21">
        <v>2</v>
      </c>
      <c r="G17" s="46">
        <f t="shared" si="25"/>
        <v>8.3333333333333329E-2</v>
      </c>
      <c r="H17" s="21">
        <v>2</v>
      </c>
      <c r="I17" s="46">
        <f t="shared" si="26"/>
        <v>8.3333333333333329E-2</v>
      </c>
      <c r="J17" s="21">
        <v>2</v>
      </c>
      <c r="K17" s="46">
        <f t="shared" si="27"/>
        <v>8.3333333333333329E-2</v>
      </c>
      <c r="L17" s="21">
        <v>2</v>
      </c>
      <c r="M17" s="46">
        <f t="shared" si="28"/>
        <v>8.3333333333333329E-2</v>
      </c>
      <c r="N17" s="21">
        <v>2</v>
      </c>
      <c r="O17" s="46">
        <f t="shared" si="29"/>
        <v>8.3333333333333329E-2</v>
      </c>
      <c r="P17" s="21">
        <v>2</v>
      </c>
      <c r="Q17" s="46">
        <f t="shared" si="30"/>
        <v>8.3333333333333329E-2</v>
      </c>
      <c r="R17" s="21">
        <v>2</v>
      </c>
      <c r="S17" s="46">
        <f t="shared" si="31"/>
        <v>8.3333333333333329E-2</v>
      </c>
      <c r="T17" s="21">
        <v>2</v>
      </c>
      <c r="U17" s="46">
        <f t="shared" si="32"/>
        <v>8.3333333333333329E-2</v>
      </c>
      <c r="V17" s="21">
        <v>2</v>
      </c>
      <c r="W17" s="46">
        <f t="shared" si="33"/>
        <v>8.3333333333333329E-2</v>
      </c>
      <c r="X17" s="21"/>
      <c r="Y17" s="46"/>
      <c r="Z17" s="21"/>
      <c r="AA17" s="46"/>
      <c r="AB17" s="21" t="s">
        <v>532</v>
      </c>
    </row>
    <row r="18" spans="1:31" s="45" customFormat="1" ht="14.45">
      <c r="A18" s="48" t="s">
        <v>408</v>
      </c>
      <c r="B18" s="21">
        <v>1</v>
      </c>
      <c r="C18" s="46">
        <f t="shared" si="23"/>
        <v>4.1666666666666664E-2</v>
      </c>
      <c r="D18" s="21">
        <v>1</v>
      </c>
      <c r="E18" s="46">
        <f t="shared" si="24"/>
        <v>4.1666666666666664E-2</v>
      </c>
      <c r="F18" s="21">
        <v>1</v>
      </c>
      <c r="G18" s="46">
        <f t="shared" si="25"/>
        <v>4.1666666666666664E-2</v>
      </c>
      <c r="H18" s="21">
        <v>1</v>
      </c>
      <c r="I18" s="46">
        <f t="shared" si="26"/>
        <v>4.1666666666666664E-2</v>
      </c>
      <c r="J18" s="21">
        <v>1</v>
      </c>
      <c r="K18" s="46">
        <f t="shared" si="27"/>
        <v>4.1666666666666664E-2</v>
      </c>
      <c r="L18" s="21">
        <v>1</v>
      </c>
      <c r="M18" s="46">
        <f t="shared" si="28"/>
        <v>4.1666666666666664E-2</v>
      </c>
      <c r="N18" s="21">
        <v>1</v>
      </c>
      <c r="O18" s="46">
        <f t="shared" si="29"/>
        <v>4.1666666666666664E-2</v>
      </c>
      <c r="P18" s="21">
        <v>1</v>
      </c>
      <c r="Q18" s="46">
        <f t="shared" si="30"/>
        <v>4.1666666666666664E-2</v>
      </c>
      <c r="R18" s="21">
        <v>1</v>
      </c>
      <c r="S18" s="46">
        <f t="shared" si="31"/>
        <v>4.1666666666666664E-2</v>
      </c>
      <c r="T18" s="21">
        <v>1</v>
      </c>
      <c r="U18" s="46">
        <f t="shared" si="32"/>
        <v>4.1666666666666664E-2</v>
      </c>
      <c r="V18" s="21">
        <v>1</v>
      </c>
      <c r="W18" s="46">
        <f t="shared" si="33"/>
        <v>4.1666666666666664E-2</v>
      </c>
      <c r="X18" s="21"/>
      <c r="Y18" s="46"/>
      <c r="Z18" s="21"/>
      <c r="AA18" s="46"/>
    </row>
    <row r="19" spans="1:31" s="45" customFormat="1" ht="14.45">
      <c r="A19" s="48" t="s">
        <v>504</v>
      </c>
      <c r="B19" s="21">
        <v>3.5</v>
      </c>
      <c r="C19" s="46">
        <f t="shared" si="23"/>
        <v>0.14583333333333334</v>
      </c>
      <c r="D19" s="21">
        <v>3.5</v>
      </c>
      <c r="E19" s="46">
        <f t="shared" si="24"/>
        <v>0.14583333333333334</v>
      </c>
      <c r="F19" s="21">
        <v>3.5</v>
      </c>
      <c r="G19" s="46">
        <f t="shared" si="25"/>
        <v>0.14583333333333334</v>
      </c>
      <c r="H19" s="21">
        <v>3.5</v>
      </c>
      <c r="I19" s="46">
        <f t="shared" si="26"/>
        <v>0.14583333333333334</v>
      </c>
      <c r="J19" s="21">
        <v>3.5</v>
      </c>
      <c r="K19" s="46">
        <f t="shared" si="27"/>
        <v>0.14583333333333334</v>
      </c>
      <c r="L19" s="21">
        <v>3.5</v>
      </c>
      <c r="M19" s="46">
        <f t="shared" si="28"/>
        <v>0.14583333333333334</v>
      </c>
      <c r="N19" s="21">
        <v>3.5</v>
      </c>
      <c r="O19" s="46">
        <f t="shared" si="29"/>
        <v>0.14583333333333334</v>
      </c>
      <c r="P19" s="21">
        <v>3.5</v>
      </c>
      <c r="Q19" s="46">
        <f t="shared" si="30"/>
        <v>0.14583333333333334</v>
      </c>
      <c r="R19" s="21">
        <v>3.5</v>
      </c>
      <c r="S19" s="46">
        <f t="shared" si="31"/>
        <v>0.14583333333333334</v>
      </c>
      <c r="T19" s="21">
        <v>3.5</v>
      </c>
      <c r="U19" s="46">
        <f t="shared" si="32"/>
        <v>0.14583333333333334</v>
      </c>
      <c r="V19" s="21">
        <v>3.5</v>
      </c>
      <c r="W19" s="46">
        <f t="shared" si="33"/>
        <v>0.14583333333333334</v>
      </c>
      <c r="X19" s="21"/>
      <c r="Y19" s="46"/>
      <c r="Z19" s="21"/>
      <c r="AA19" s="46"/>
    </row>
    <row r="20" spans="1:31" s="45" customFormat="1" ht="14.45">
      <c r="A20" s="108" t="s">
        <v>533</v>
      </c>
      <c r="B20" s="106">
        <f>B8-2</f>
        <v>4</v>
      </c>
      <c r="C20" s="106">
        <f t="shared" si="23"/>
        <v>0.16666666666666666</v>
      </c>
      <c r="D20" s="106">
        <f t="shared" ref="D20:V20" si="36">D8-2</f>
        <v>4.62</v>
      </c>
      <c r="E20" s="106">
        <f t="shared" si="24"/>
        <v>0.1925</v>
      </c>
      <c r="F20" s="106">
        <f t="shared" si="36"/>
        <v>4</v>
      </c>
      <c r="G20" s="106">
        <f t="shared" si="25"/>
        <v>0.16666666666666666</v>
      </c>
      <c r="H20" s="106">
        <f t="shared" si="36"/>
        <v>4.62</v>
      </c>
      <c r="I20" s="106">
        <f t="shared" si="26"/>
        <v>0.1925</v>
      </c>
      <c r="J20" s="106">
        <f t="shared" si="36"/>
        <v>4.62</v>
      </c>
      <c r="K20" s="106">
        <f t="shared" si="27"/>
        <v>0.1925</v>
      </c>
      <c r="L20" s="106">
        <f t="shared" si="36"/>
        <v>4.62</v>
      </c>
      <c r="M20" s="106">
        <f t="shared" si="28"/>
        <v>0.1925</v>
      </c>
      <c r="N20" s="106">
        <f t="shared" si="36"/>
        <v>4.62</v>
      </c>
      <c r="O20" s="106">
        <f t="shared" si="29"/>
        <v>0.1925</v>
      </c>
      <c r="P20" s="106">
        <f t="shared" si="36"/>
        <v>4</v>
      </c>
      <c r="Q20" s="106">
        <f t="shared" si="30"/>
        <v>0.16666666666666666</v>
      </c>
      <c r="R20" s="106">
        <f t="shared" si="36"/>
        <v>4.62</v>
      </c>
      <c r="S20" s="106">
        <f t="shared" si="31"/>
        <v>0.1925</v>
      </c>
      <c r="T20" s="106">
        <f t="shared" si="36"/>
        <v>4.62</v>
      </c>
      <c r="U20" s="106">
        <f t="shared" si="32"/>
        <v>0.1925</v>
      </c>
      <c r="V20" s="106">
        <f t="shared" si="36"/>
        <v>4</v>
      </c>
      <c r="W20" s="106">
        <f t="shared" si="33"/>
        <v>0.16666666666666666</v>
      </c>
      <c r="X20" s="21"/>
      <c r="Y20" s="106"/>
      <c r="Z20" s="21"/>
      <c r="AA20" s="106"/>
    </row>
    <row r="21" spans="1:31" ht="15" customHeight="1">
      <c r="A21" t="s">
        <v>17</v>
      </c>
      <c r="B21">
        <v>24</v>
      </c>
      <c r="C21" s="21">
        <f t="shared" si="23"/>
        <v>1</v>
      </c>
    </row>
    <row r="22" spans="1:31" ht="14.45">
      <c r="A22" s="111" t="s">
        <v>534</v>
      </c>
      <c r="B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row>
    <row r="23" spans="1:31" ht="14.25" customHeight="1">
      <c r="A23" s="111" t="s">
        <v>535</v>
      </c>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row>
    <row r="24" spans="1:31" ht="16.5" customHeight="1">
      <c r="A24" s="111" t="s">
        <v>536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row>
    <row r="25" spans="1:31" ht="16.5" customHeight="1">
      <c r="A25" s="111" t="s">
        <v>537</v>
      </c>
      <c r="B25" s="111"/>
      <c r="C25" s="111"/>
      <c r="D25" s="111"/>
      <c r="E25" s="111"/>
      <c r="F25" s="111"/>
      <c r="G25" s="111"/>
      <c r="H25" s="111"/>
      <c r="I25" s="111"/>
      <c r="J25" s="111"/>
      <c r="K25" s="111"/>
      <c r="L25" s="111"/>
      <c r="M25" s="111" t="s">
        <v>538</v>
      </c>
      <c r="N25" s="111"/>
      <c r="O25" s="111"/>
      <c r="P25" s="111"/>
      <c r="Q25" s="111"/>
      <c r="R25" s="111"/>
      <c r="S25" s="111"/>
      <c r="T25" s="111"/>
      <c r="U25" s="111"/>
      <c r="V25" s="111"/>
      <c r="W25" s="111"/>
      <c r="X25" s="111"/>
      <c r="Y25" s="111"/>
      <c r="Z25" s="111"/>
      <c r="AA25" s="111"/>
      <c r="AB25" s="111"/>
      <c r="AC25" s="111"/>
      <c r="AD25" s="111"/>
      <c r="AE25" s="111"/>
    </row>
    <row r="26" spans="1:31" ht="16.5" customHeight="1">
      <c r="A26" s="111" t="s">
        <v>539</v>
      </c>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row>
    <row r="27" spans="1:31" ht="14.45">
      <c r="A27" s="111" t="s">
        <v>540</v>
      </c>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row>
    <row r="28" spans="1:31" ht="14.45">
      <c r="A28" t="s">
        <v>541</v>
      </c>
    </row>
    <row r="29" spans="1:31" ht="14.45">
      <c r="A29" t="s">
        <v>542</v>
      </c>
    </row>
    <row r="30" spans="1:31" ht="14.45"/>
    <row r="31" spans="1:31" ht="15.6">
      <c r="A31" s="49"/>
      <c r="B31" s="111" t="s">
        <v>543</v>
      </c>
      <c r="C31" s="111" t="s">
        <v>544</v>
      </c>
      <c r="D31" s="111"/>
      <c r="E31" s="111"/>
      <c r="F31" s="111"/>
      <c r="G31" s="111"/>
      <c r="H31" s="111"/>
    </row>
    <row r="32" spans="1:31" ht="15.6">
      <c r="A32" s="49"/>
      <c r="B32" s="113" t="s">
        <v>486</v>
      </c>
      <c r="C32" s="113" t="s">
        <v>545</v>
      </c>
      <c r="D32" s="113" t="s">
        <v>546</v>
      </c>
      <c r="E32" s="113" t="s">
        <v>547</v>
      </c>
      <c r="F32" s="111"/>
      <c r="G32" t="s">
        <v>548</v>
      </c>
    </row>
    <row r="33" spans="1:7" ht="15.6">
      <c r="A33" s="49"/>
      <c r="B33" s="111" t="s">
        <v>549</v>
      </c>
      <c r="C33" s="111">
        <v>0.86499999999999999</v>
      </c>
      <c r="D33" s="111">
        <v>0.13</v>
      </c>
      <c r="E33" s="111">
        <v>5.0000000000000001E-3</v>
      </c>
      <c r="F33">
        <f>((C33*6)+(D33*10)+(E33*26))</f>
        <v>6.6199999999999992</v>
      </c>
      <c r="G33">
        <f>F33-2</f>
        <v>4.6199999999999992</v>
      </c>
    </row>
    <row r="34" spans="1:7" ht="15.6">
      <c r="A34" s="49"/>
      <c r="B34" s="111" t="s">
        <v>456</v>
      </c>
      <c r="C34" s="111">
        <v>0.62</v>
      </c>
      <c r="D34" s="111">
        <v>0.35</v>
      </c>
      <c r="E34" s="111">
        <v>0.03</v>
      </c>
      <c r="F34">
        <f t="shared" ref="F34:F37" si="37">((C34*6)+(D34*10)+(E34*26))</f>
        <v>8</v>
      </c>
    </row>
    <row r="35" spans="1:7" ht="15.6">
      <c r="A35" s="49"/>
      <c r="B35" s="111" t="s">
        <v>457</v>
      </c>
      <c r="C35" s="111">
        <v>0.55000000000000004</v>
      </c>
      <c r="D35" s="111">
        <v>0.42</v>
      </c>
      <c r="E35" s="111">
        <v>0.03</v>
      </c>
      <c r="F35">
        <f t="shared" si="37"/>
        <v>8.2799999999999994</v>
      </c>
    </row>
    <row r="36" spans="1:7" ht="14.45">
      <c r="B36" s="111" t="s">
        <v>550</v>
      </c>
      <c r="C36" s="111">
        <v>0.56999999999999995</v>
      </c>
      <c r="D36" s="111">
        <v>0.4</v>
      </c>
      <c r="E36" s="111">
        <v>0.03</v>
      </c>
      <c r="F36">
        <f t="shared" si="37"/>
        <v>8.1999999999999993</v>
      </c>
    </row>
    <row r="37" spans="1:7" ht="14.45">
      <c r="B37" s="111" t="s">
        <v>469</v>
      </c>
      <c r="C37" s="111">
        <v>0.38</v>
      </c>
      <c r="D37" s="111">
        <v>0.46</v>
      </c>
      <c r="E37" s="111">
        <v>0.16</v>
      </c>
      <c r="F37">
        <f t="shared" si="37"/>
        <v>11.040000000000001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F033-D4E9-4CE6-9EEA-D153D3E0AEAA}">
  <dimension ref="A2:N36"/>
  <sheetViews>
    <sheetView topLeftCell="A13" workbookViewId="0">
      <selection activeCell="D16" sqref="D16"/>
    </sheetView>
  </sheetViews>
  <sheetFormatPr defaultRowHeight="14.45"/>
  <cols>
    <col min="3" max="3" width="17.140625" customWidth="1"/>
    <col min="4" max="4" width="17.85546875" customWidth="1"/>
    <col min="5" max="5" width="13.28515625" customWidth="1"/>
  </cols>
  <sheetData>
    <row r="2" spans="1:14" ht="21">
      <c r="A2" s="32" t="s">
        <v>551</v>
      </c>
    </row>
    <row r="4" spans="1:14">
      <c r="A4" t="s">
        <v>552</v>
      </c>
    </row>
    <row r="5" spans="1:14">
      <c r="B5" t="s">
        <v>553</v>
      </c>
      <c r="C5" t="s">
        <v>554</v>
      </c>
      <c r="D5" t="s">
        <v>555</v>
      </c>
      <c r="E5" t="s">
        <v>556</v>
      </c>
      <c r="F5" t="s">
        <v>372</v>
      </c>
      <c r="H5" t="s">
        <v>557</v>
      </c>
      <c r="N5" t="s">
        <v>19</v>
      </c>
    </row>
    <row r="6" spans="1:14">
      <c r="A6" t="s">
        <v>3</v>
      </c>
      <c r="B6" s="45">
        <f>4.93/100</f>
        <v>4.9299999999999997E-2</v>
      </c>
      <c r="C6" s="45">
        <f>28.81/100</f>
        <v>0.28809999999999997</v>
      </c>
      <c r="D6" s="45"/>
      <c r="E6" s="45"/>
      <c r="F6" s="45">
        <f>72.6/100</f>
        <v>0.72599999999999998</v>
      </c>
      <c r="N6" t="s">
        <v>558</v>
      </c>
    </row>
    <row r="7" spans="1:14">
      <c r="A7" t="s">
        <v>4</v>
      </c>
      <c r="B7" s="45">
        <f>39.89/100</f>
        <v>0.39890000000000003</v>
      </c>
      <c r="C7" s="45">
        <f>53.59/100</f>
        <v>0.53590000000000004</v>
      </c>
      <c r="D7" s="45"/>
      <c r="E7" s="45"/>
      <c r="F7" s="45">
        <f>73.89/100</f>
        <v>0.7389</v>
      </c>
      <c r="N7" s="105" t="s">
        <v>559</v>
      </c>
    </row>
    <row r="8" spans="1:14">
      <c r="A8" t="s">
        <v>8</v>
      </c>
      <c r="B8" s="45">
        <f>68.87/100</f>
        <v>0.68870000000000009</v>
      </c>
      <c r="C8" s="45">
        <f>51.87/100</f>
        <v>0.51869999999999994</v>
      </c>
      <c r="D8" s="45"/>
      <c r="E8" s="45"/>
      <c r="F8" s="45">
        <f>(92.33+98.74)/2/100</f>
        <v>0.95534999999999992</v>
      </c>
      <c r="H8" t="s">
        <v>560</v>
      </c>
      <c r="N8" t="s">
        <v>561</v>
      </c>
    </row>
    <row r="9" spans="1:14">
      <c r="A9" t="s">
        <v>9</v>
      </c>
      <c r="B9" s="45">
        <f>(3.88+1.12)/100</f>
        <v>0.05</v>
      </c>
      <c r="C9" s="45">
        <f>2.75/100</f>
        <v>2.75E-2</v>
      </c>
      <c r="D9" s="45"/>
      <c r="E9" s="45"/>
      <c r="F9" s="45">
        <f>(17.73+72.27)/100</f>
        <v>0.9</v>
      </c>
    </row>
    <row r="10" spans="1:14">
      <c r="A10" t="s">
        <v>10</v>
      </c>
      <c r="B10" s="45">
        <f>11.2/100</f>
        <v>0.11199999999999999</v>
      </c>
      <c r="C10" s="45"/>
      <c r="D10" s="45">
        <f>54.8/100</f>
        <v>0.54799999999999993</v>
      </c>
      <c r="E10" s="45">
        <f>11.61/100</f>
        <v>0.11609999999999999</v>
      </c>
      <c r="F10" s="45">
        <f>90.4/100</f>
        <v>0.90400000000000003</v>
      </c>
      <c r="H10" t="s">
        <v>562</v>
      </c>
    </row>
    <row r="11" spans="1:14">
      <c r="A11" t="s">
        <v>12</v>
      </c>
      <c r="B11" s="45">
        <v>0</v>
      </c>
      <c r="C11" s="45">
        <f>65.16/100</f>
        <v>0.65159999999999996</v>
      </c>
      <c r="D11" s="45"/>
      <c r="E11" s="45"/>
      <c r="F11" s="45">
        <f>72.5/100</f>
        <v>0.72499999999999998</v>
      </c>
    </row>
    <row r="12" spans="1:14">
      <c r="A12" t="s">
        <v>14</v>
      </c>
      <c r="B12" s="45">
        <f>20.28/100</f>
        <v>0.20280000000000001</v>
      </c>
      <c r="C12" s="45">
        <f>48.69/100</f>
        <v>0.4869</v>
      </c>
      <c r="D12" s="45"/>
      <c r="E12" s="45"/>
      <c r="F12" s="45">
        <f>94.84/100</f>
        <v>0.94840000000000002</v>
      </c>
    </row>
    <row r="13" spans="1:14">
      <c r="A13" t="s">
        <v>5</v>
      </c>
      <c r="B13" s="45">
        <f>7.34/100</f>
        <v>7.3399999999999993E-2</v>
      </c>
      <c r="C13" s="45">
        <f>20.92/100</f>
        <v>0.20920000000000002</v>
      </c>
      <c r="D13" s="45"/>
      <c r="E13" s="45"/>
      <c r="F13" s="45">
        <f>55.54/100</f>
        <v>0.5554</v>
      </c>
    </row>
    <row r="14" spans="1:14">
      <c r="A14" t="s">
        <v>13</v>
      </c>
      <c r="B14" s="45">
        <f>25.32/100</f>
        <v>0.25319999999999998</v>
      </c>
      <c r="C14" s="45">
        <f>47.57/100</f>
        <v>0.47570000000000001</v>
      </c>
      <c r="D14" s="45"/>
      <c r="E14" s="45"/>
      <c r="F14" s="45">
        <f>F6</f>
        <v>0.72599999999999998</v>
      </c>
      <c r="H14" t="s">
        <v>563</v>
      </c>
    </row>
    <row r="15" spans="1:14">
      <c r="A15" t="s">
        <v>11</v>
      </c>
      <c r="B15" s="45">
        <f>10.3/100</f>
        <v>0.10300000000000001</v>
      </c>
      <c r="C15" s="45">
        <f>12/100</f>
        <v>0.12</v>
      </c>
      <c r="D15" s="45"/>
      <c r="E15" s="45"/>
      <c r="F15" s="45">
        <f>40.49/100</f>
        <v>0.40490000000000004</v>
      </c>
    </row>
    <row r="16" spans="1:14">
      <c r="A16" t="s">
        <v>6</v>
      </c>
      <c r="B16" s="45">
        <f>8/100</f>
        <v>0.08</v>
      </c>
      <c r="C16" s="45">
        <f>33/100</f>
        <v>0.33</v>
      </c>
      <c r="D16" s="45"/>
      <c r="E16" s="45"/>
      <c r="F16" s="45">
        <f>90/100</f>
        <v>0.9</v>
      </c>
    </row>
    <row r="17" spans="1:6">
      <c r="A17" t="s">
        <v>7</v>
      </c>
      <c r="B17" s="45">
        <f>4.73/100</f>
        <v>4.7300000000000002E-2</v>
      </c>
      <c r="C17" s="45">
        <f>24.72/100</f>
        <v>0.24719999999999998</v>
      </c>
      <c r="D17" s="45"/>
      <c r="E17" s="45"/>
      <c r="F17" s="45">
        <f>44.71/100</f>
        <v>0.4471</v>
      </c>
    </row>
    <row r="18" spans="1:6">
      <c r="A18" t="s">
        <v>15</v>
      </c>
      <c r="B18" s="45"/>
      <c r="C18" s="45"/>
      <c r="D18" s="45"/>
      <c r="E18" s="45"/>
      <c r="F18" s="45">
        <v>1</v>
      </c>
    </row>
    <row r="19" spans="1:6">
      <c r="B19" t="s">
        <v>564</v>
      </c>
    </row>
    <row r="22" spans="1:6">
      <c r="A22" t="s">
        <v>565</v>
      </c>
    </row>
    <row r="23" spans="1:6">
      <c r="B23" t="s">
        <v>566</v>
      </c>
      <c r="C23" t="s">
        <v>567</v>
      </c>
      <c r="D23" t="s">
        <v>568</v>
      </c>
    </row>
    <row r="24" spans="1:6">
      <c r="A24" t="s">
        <v>3</v>
      </c>
      <c r="B24">
        <v>8.3000000000000007</v>
      </c>
      <c r="C24">
        <v>6.06</v>
      </c>
      <c r="D24">
        <v>8.6300000000000008</v>
      </c>
    </row>
    <row r="25" spans="1:6">
      <c r="A25" t="s">
        <v>4</v>
      </c>
      <c r="B25">
        <v>9.25</v>
      </c>
      <c r="C25">
        <v>8.7200000000000006</v>
      </c>
      <c r="D25">
        <v>9.64</v>
      </c>
    </row>
    <row r="26" spans="1:6">
      <c r="A26" t="s">
        <v>8</v>
      </c>
      <c r="B26">
        <v>8.31</v>
      </c>
      <c r="C26">
        <v>8.5299999999999994</v>
      </c>
      <c r="D26">
        <v>9.27</v>
      </c>
    </row>
    <row r="27" spans="1:6">
      <c r="A27" t="s">
        <v>9</v>
      </c>
      <c r="B27">
        <v>8</v>
      </c>
      <c r="C27">
        <v>6.7</v>
      </c>
      <c r="D27">
        <v>8.8800000000000008</v>
      </c>
    </row>
    <row r="28" spans="1:6">
      <c r="A28" t="s">
        <v>10</v>
      </c>
      <c r="B28">
        <v>7.21</v>
      </c>
      <c r="C28">
        <v>6.35</v>
      </c>
      <c r="D28">
        <v>8.42</v>
      </c>
    </row>
    <row r="29" spans="1:6">
      <c r="A29" t="s">
        <v>12</v>
      </c>
      <c r="B29">
        <v>9.3000000000000007</v>
      </c>
      <c r="C29">
        <v>8</v>
      </c>
      <c r="D29">
        <v>9.57</v>
      </c>
    </row>
    <row r="30" spans="1:6">
      <c r="A30" t="s">
        <v>14</v>
      </c>
      <c r="B30">
        <v>8.9</v>
      </c>
      <c r="C30">
        <v>8.0399999999999991</v>
      </c>
      <c r="D30">
        <v>10.34</v>
      </c>
    </row>
    <row r="31" spans="1:6">
      <c r="A31" t="s">
        <v>5</v>
      </c>
      <c r="B31">
        <v>7.67</v>
      </c>
      <c r="C31">
        <v>6.46</v>
      </c>
      <c r="D31">
        <v>9.07</v>
      </c>
    </row>
    <row r="32" spans="1:6">
      <c r="A32" t="s">
        <v>13</v>
      </c>
      <c r="B32">
        <v>6.5</v>
      </c>
      <c r="C32">
        <v>5.4</v>
      </c>
      <c r="D32">
        <v>7</v>
      </c>
    </row>
    <row r="33" spans="1:4">
      <c r="A33" t="s">
        <v>11</v>
      </c>
      <c r="B33">
        <v>5.76</v>
      </c>
      <c r="C33">
        <v>5.56</v>
      </c>
      <c r="D33">
        <v>6.13</v>
      </c>
    </row>
    <row r="34" spans="1:4">
      <c r="A34" t="s">
        <v>6</v>
      </c>
      <c r="B34">
        <v>9.1999999999999993</v>
      </c>
      <c r="C34">
        <v>7.9</v>
      </c>
      <c r="D34">
        <v>9.18</v>
      </c>
    </row>
    <row r="35" spans="1:4">
      <c r="A35" t="s">
        <v>7</v>
      </c>
      <c r="B35">
        <v>8.1</v>
      </c>
      <c r="C35">
        <v>6.19</v>
      </c>
      <c r="D35">
        <v>7.6</v>
      </c>
    </row>
    <row r="36" spans="1:4">
      <c r="A36" t="s">
        <v>15</v>
      </c>
      <c r="D36">
        <v>12</v>
      </c>
    </row>
  </sheetData>
  <hyperlinks>
    <hyperlink ref="N7" r:id="rId1" xr:uid="{ED4FDD09-02D5-4DC1-A55F-65010EF2003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4132-E81D-4402-A331-6D8BD4B84806}">
  <dimension ref="A3:L13"/>
  <sheetViews>
    <sheetView workbookViewId="0">
      <selection activeCell="J25" sqref="J25"/>
    </sheetView>
  </sheetViews>
  <sheetFormatPr defaultRowHeight="14.45"/>
  <cols>
    <col min="1" max="1" width="35.7109375" customWidth="1"/>
  </cols>
  <sheetData>
    <row r="3" spans="1:12" ht="21">
      <c r="A3" s="32" t="s">
        <v>569</v>
      </c>
      <c r="B3" s="72" t="s">
        <v>570</v>
      </c>
    </row>
    <row r="5" spans="1:12">
      <c r="B5" t="s">
        <v>3</v>
      </c>
      <c r="C5" t="s">
        <v>4</v>
      </c>
      <c r="D5" t="s">
        <v>5</v>
      </c>
      <c r="E5" t="s">
        <v>6</v>
      </c>
      <c r="F5" t="s">
        <v>7</v>
      </c>
      <c r="G5" t="s">
        <v>8</v>
      </c>
      <c r="H5" t="s">
        <v>9</v>
      </c>
      <c r="I5" t="s">
        <v>10</v>
      </c>
      <c r="J5" t="s">
        <v>11</v>
      </c>
      <c r="K5" t="s">
        <v>12</v>
      </c>
      <c r="L5" s="73" t="s">
        <v>13</v>
      </c>
    </row>
    <row r="6" spans="1:12">
      <c r="B6" s="74" t="s">
        <v>571</v>
      </c>
      <c r="C6" s="74" t="s">
        <v>572</v>
      </c>
      <c r="D6" s="74" t="s">
        <v>573</v>
      </c>
      <c r="E6" s="74" t="s">
        <v>574</v>
      </c>
      <c r="F6" s="74" t="s">
        <v>575</v>
      </c>
      <c r="G6" s="74" t="s">
        <v>576</v>
      </c>
      <c r="H6" s="74" t="s">
        <v>577</v>
      </c>
      <c r="I6" s="74" t="s">
        <v>578</v>
      </c>
      <c r="J6" s="74" t="s">
        <v>579</v>
      </c>
      <c r="K6" s="74" t="s">
        <v>580</v>
      </c>
      <c r="L6" s="74" t="s">
        <v>581</v>
      </c>
    </row>
    <row r="7" spans="1:12">
      <c r="A7" s="75" t="s">
        <v>582</v>
      </c>
      <c r="B7" s="99">
        <v>40.1</v>
      </c>
      <c r="C7" s="99">
        <v>35.299999999999997</v>
      </c>
      <c r="D7" s="99">
        <v>35.700000000000003</v>
      </c>
      <c r="E7" s="76">
        <f>(B7+C7+D7+F7+G7+H7+I7+K7+L7)/9</f>
        <v>34.577777777777776</v>
      </c>
      <c r="F7" s="99">
        <v>34.799999999999997</v>
      </c>
      <c r="G7" s="99">
        <v>33.299999999999997</v>
      </c>
      <c r="H7" s="99">
        <v>29.4</v>
      </c>
      <c r="I7" s="99">
        <v>36.5</v>
      </c>
      <c r="J7" s="76">
        <f>E7</f>
        <v>34.577777777777776</v>
      </c>
      <c r="K7" s="99">
        <v>32.6</v>
      </c>
      <c r="L7" s="99">
        <v>33.5</v>
      </c>
    </row>
    <row r="8" spans="1:12" ht="15" customHeight="1">
      <c r="A8" s="75" t="s">
        <v>583</v>
      </c>
      <c r="B8" s="99">
        <v>15.3</v>
      </c>
      <c r="C8" s="99">
        <v>14.8</v>
      </c>
      <c r="D8" s="99">
        <v>15.2</v>
      </c>
      <c r="E8" s="99">
        <f>(B8+C8+D8+F8+G8+H8+I8+K8+L8)/9</f>
        <v>13.600000000000001</v>
      </c>
      <c r="F8" s="99">
        <v>11.2</v>
      </c>
      <c r="G8" s="99">
        <v>11.1</v>
      </c>
      <c r="H8" s="99">
        <v>11.4</v>
      </c>
      <c r="I8" s="99">
        <v>12</v>
      </c>
      <c r="J8" s="99">
        <f>E8</f>
        <v>13.600000000000001</v>
      </c>
      <c r="K8" s="99">
        <v>14.5</v>
      </c>
      <c r="L8" s="99">
        <v>16.899999999999999</v>
      </c>
    </row>
    <row r="9" spans="1:12" ht="17.25" customHeight="1">
      <c r="A9" s="75" t="s">
        <v>584</v>
      </c>
      <c r="B9" s="99">
        <v>3.9</v>
      </c>
      <c r="C9" s="99">
        <v>2.7</v>
      </c>
      <c r="D9" s="99">
        <v>2.8</v>
      </c>
      <c r="E9" s="99">
        <f>(B9+C9+D9+F9+G9+H9+I9+K9+L9)/9</f>
        <v>3.244444444444444</v>
      </c>
      <c r="F9" s="99">
        <v>1.9</v>
      </c>
      <c r="G9" s="99">
        <v>2.8</v>
      </c>
      <c r="H9" s="99">
        <v>5.2</v>
      </c>
      <c r="I9" s="99">
        <v>2.5</v>
      </c>
      <c r="J9" s="99">
        <f>E9</f>
        <v>3.244444444444444</v>
      </c>
      <c r="K9" s="99">
        <v>5.4</v>
      </c>
      <c r="L9" s="99">
        <v>2</v>
      </c>
    </row>
    <row r="10" spans="1:12" ht="20.25" customHeight="1">
      <c r="A10" s="75" t="s">
        <v>585</v>
      </c>
      <c r="B10" s="99">
        <v>3.6</v>
      </c>
      <c r="C10" s="99">
        <v>3.7</v>
      </c>
      <c r="D10" s="99">
        <v>2.7</v>
      </c>
      <c r="E10" s="99">
        <f>(B10+C10+D10+F10+G10+H10+I10+K10+L10)/9</f>
        <v>2.9666666666666663</v>
      </c>
      <c r="F10" s="99">
        <v>3.1</v>
      </c>
      <c r="G10" s="99">
        <v>2.6</v>
      </c>
      <c r="H10" s="99">
        <v>2.7</v>
      </c>
      <c r="I10" s="99">
        <v>2.4</v>
      </c>
      <c r="J10" s="99">
        <f>E10</f>
        <v>2.9666666666666663</v>
      </c>
      <c r="K10" s="99">
        <v>4.2</v>
      </c>
      <c r="L10" s="99">
        <v>1.7</v>
      </c>
    </row>
    <row r="11" spans="1:12">
      <c r="A11" t="s">
        <v>586</v>
      </c>
      <c r="B11" s="99">
        <f>SUM(B8:B10)</f>
        <v>22.8</v>
      </c>
      <c r="C11" s="99">
        <f t="shared" ref="C11:L11" si="0">SUM(C8:C10)</f>
        <v>21.2</v>
      </c>
      <c r="D11" s="99">
        <f t="shared" si="0"/>
        <v>20.7</v>
      </c>
      <c r="E11" s="99">
        <f t="shared" si="0"/>
        <v>19.81111111111111</v>
      </c>
      <c r="F11" s="99">
        <f t="shared" si="0"/>
        <v>16.2</v>
      </c>
      <c r="G11" s="99">
        <f t="shared" si="0"/>
        <v>16.5</v>
      </c>
      <c r="H11" s="99">
        <f t="shared" si="0"/>
        <v>19.3</v>
      </c>
      <c r="I11" s="99">
        <f t="shared" si="0"/>
        <v>16.899999999999999</v>
      </c>
      <c r="J11" s="99">
        <f t="shared" si="0"/>
        <v>19.81111111111111</v>
      </c>
      <c r="K11" s="99">
        <f t="shared" si="0"/>
        <v>24.099999999999998</v>
      </c>
      <c r="L11" s="99">
        <f t="shared" si="0"/>
        <v>20.599999999999998</v>
      </c>
    </row>
    <row r="12" spans="1:12">
      <c r="A12" s="77" t="s">
        <v>587</v>
      </c>
    </row>
    <row r="13" spans="1:12">
      <c r="B13" s="21"/>
      <c r="C13" s="21"/>
      <c r="D13" s="21"/>
      <c r="E13" s="21"/>
      <c r="F13" s="21"/>
      <c r="G13" s="21"/>
      <c r="H13" s="21"/>
      <c r="I13" s="21"/>
      <c r="J13" s="21"/>
      <c r="K13" s="21"/>
      <c r="L13"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5833-470D-4F76-A1E0-09669ACA56D3}">
  <dimension ref="A1"/>
  <sheetViews>
    <sheetView workbookViewId="0">
      <selection activeCell="G31" sqref="G31"/>
    </sheetView>
  </sheetViews>
  <sheetFormatPr defaultRowHeight="14.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A51F-C169-445F-A02E-CEE4EED45593}">
  <dimension ref="A1"/>
  <sheetViews>
    <sheetView topLeftCell="A2" workbookViewId="0">
      <selection activeCell="I20" sqref="I20"/>
    </sheetView>
  </sheetViews>
  <sheetFormatPr defaultRowHeight="14.4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2:I21"/>
  <sheetViews>
    <sheetView workbookViewId="0">
      <selection activeCell="H10" sqref="H10"/>
    </sheetView>
  </sheetViews>
  <sheetFormatPr defaultColWidth="11.7109375" defaultRowHeight="12"/>
  <cols>
    <col min="1" max="16384" width="11.7109375" style="8"/>
  </cols>
  <sheetData>
    <row r="2" spans="1:9" ht="21">
      <c r="A2" s="32" t="s">
        <v>588</v>
      </c>
    </row>
    <row r="4" spans="1:9" ht="12.6" thickBot="1">
      <c r="B4" s="8" t="s">
        <v>589</v>
      </c>
      <c r="C4" s="8" t="s">
        <v>590</v>
      </c>
      <c r="D4" s="8" t="s">
        <v>591</v>
      </c>
      <c r="E4" s="8" t="s">
        <v>592</v>
      </c>
      <c r="F4" s="8" t="s">
        <v>593</v>
      </c>
      <c r="G4" s="8" t="s">
        <v>594</v>
      </c>
      <c r="I4" s="8" t="s">
        <v>595</v>
      </c>
    </row>
    <row r="5" spans="1:9" ht="12.6" thickBot="1">
      <c r="A5" s="9" t="s">
        <v>596</v>
      </c>
      <c r="B5" s="9">
        <v>300</v>
      </c>
      <c r="C5" s="9">
        <v>1.5</v>
      </c>
      <c r="D5" s="9">
        <v>3.0000000000000001E-3</v>
      </c>
      <c r="E5" s="9">
        <v>0.17799999999999999</v>
      </c>
      <c r="F5" s="8">
        <f>(C5*(0.25*D5)*E5)*100</f>
        <v>2.0025000000000001E-2</v>
      </c>
      <c r="G5" s="8">
        <f>(F5/1000)*B5</f>
        <v>6.0075000000000007E-3</v>
      </c>
      <c r="I5" s="8">
        <f>(B5*52)/1000</f>
        <v>15.6</v>
      </c>
    </row>
    <row r="6" spans="1:9" ht="13.15" thickTop="1" thickBot="1">
      <c r="A6" s="10" t="s">
        <v>368</v>
      </c>
      <c r="B6" s="10">
        <v>350</v>
      </c>
      <c r="C6" s="10">
        <v>1.52</v>
      </c>
      <c r="D6" s="10">
        <v>1E-3</v>
      </c>
      <c r="E6" s="10">
        <v>0.17799999999999999</v>
      </c>
      <c r="F6" s="8">
        <f t="shared" ref="F6:F10" si="0">(C6*(0.25*D6)*E6)*100</f>
        <v>6.7639999999999992E-3</v>
      </c>
      <c r="G6" s="8">
        <f>(F6/1000)*B6</f>
        <v>2.3673999999999995E-3</v>
      </c>
      <c r="I6" s="8">
        <f t="shared" ref="I6:I10" si="1">(B6*52)/1000</f>
        <v>18.2</v>
      </c>
    </row>
    <row r="7" spans="1:9" ht="12.6" thickBot="1">
      <c r="A7" s="11" t="s">
        <v>370</v>
      </c>
      <c r="B7" s="11">
        <v>200</v>
      </c>
      <c r="C7" s="11">
        <v>1.88</v>
      </c>
      <c r="D7" s="11">
        <v>0.75</v>
      </c>
      <c r="E7" s="11">
        <v>0.11899999999999999</v>
      </c>
      <c r="F7" s="8">
        <f t="shared" si="0"/>
        <v>4.19475</v>
      </c>
      <c r="G7" s="8">
        <f>(F7/1000)*B7</f>
        <v>0.83894999999999997</v>
      </c>
      <c r="I7" s="8">
        <f t="shared" si="1"/>
        <v>10.4</v>
      </c>
    </row>
    <row r="8" spans="1:9" ht="12.6" thickBot="1">
      <c r="A8" s="12" t="s">
        <v>369</v>
      </c>
      <c r="B8" s="12">
        <v>150</v>
      </c>
      <c r="C8" s="12">
        <v>2.16</v>
      </c>
      <c r="D8" s="12">
        <v>5.2999999999999999E-2</v>
      </c>
      <c r="E8" s="12">
        <v>0.11899999999999999</v>
      </c>
      <c r="F8" s="8">
        <f t="shared" si="0"/>
        <v>0.34057799999999999</v>
      </c>
      <c r="G8" s="8">
        <f>(F8/1000)*B8</f>
        <v>5.1086700000000006E-2</v>
      </c>
      <c r="I8" s="8">
        <f t="shared" si="1"/>
        <v>7.8</v>
      </c>
    </row>
    <row r="9" spans="1:9" ht="12.6" thickBot="1">
      <c r="A9" s="11" t="s">
        <v>597</v>
      </c>
      <c r="B9" s="11">
        <v>400</v>
      </c>
      <c r="C9" s="11">
        <v>2.36</v>
      </c>
      <c r="D9" s="11">
        <v>1.7999999999999999E-2</v>
      </c>
      <c r="E9" s="11">
        <v>0.192</v>
      </c>
      <c r="F9" s="8">
        <f t="shared" si="0"/>
        <v>0.20390399999999997</v>
      </c>
      <c r="G9" s="8">
        <f t="shared" ref="G9:G10" si="2">(F9/1000)*B9</f>
        <v>8.1561599999999984E-2</v>
      </c>
      <c r="I9" s="8">
        <f t="shared" si="1"/>
        <v>20.8</v>
      </c>
    </row>
    <row r="10" spans="1:9" ht="12.6" thickBot="1">
      <c r="A10" s="11" t="s">
        <v>374</v>
      </c>
      <c r="B10" s="11">
        <v>100</v>
      </c>
      <c r="C10" s="11">
        <v>1.2</v>
      </c>
      <c r="D10" s="11">
        <v>0.4</v>
      </c>
      <c r="E10" s="11">
        <v>0.06</v>
      </c>
      <c r="F10" s="8">
        <f t="shared" si="0"/>
        <v>0.72</v>
      </c>
      <c r="G10" s="8">
        <f t="shared" si="2"/>
        <v>7.1999999999999995E-2</v>
      </c>
      <c r="I10" s="8">
        <f t="shared" si="1"/>
        <v>5.2</v>
      </c>
    </row>
    <row r="11" spans="1:9" ht="12.6" thickBot="1"/>
    <row r="12" spans="1:9" ht="36.6" thickBot="1">
      <c r="A12" s="13" t="s">
        <v>486</v>
      </c>
      <c r="B12" s="13" t="s">
        <v>598</v>
      </c>
      <c r="C12" s="13" t="s">
        <v>599</v>
      </c>
      <c r="D12" s="13" t="s">
        <v>600</v>
      </c>
      <c r="E12" s="13" t="s">
        <v>601</v>
      </c>
      <c r="F12" s="13" t="s">
        <v>602</v>
      </c>
    </row>
    <row r="13" spans="1:9" ht="13.15" thickTop="1" thickBot="1">
      <c r="A13" s="14" t="s">
        <v>603</v>
      </c>
      <c r="B13" s="14">
        <v>0.2</v>
      </c>
      <c r="C13" s="14">
        <v>0.1</v>
      </c>
      <c r="D13" s="14">
        <v>0.05</v>
      </c>
      <c r="E13" s="14">
        <v>0.8</v>
      </c>
      <c r="F13" s="14">
        <f>2*(B13+C13+D13)+(E13)</f>
        <v>1.5</v>
      </c>
    </row>
    <row r="14" spans="1:9" ht="13.15" thickTop="1" thickBot="1">
      <c r="A14" s="15" t="s">
        <v>604</v>
      </c>
      <c r="B14" s="16">
        <v>0.19</v>
      </c>
      <c r="C14" s="16">
        <v>0.12</v>
      </c>
      <c r="D14" s="16">
        <v>0.05</v>
      </c>
      <c r="E14" s="16">
        <v>0.8</v>
      </c>
      <c r="F14" s="14">
        <f t="shared" ref="F14:F19" si="3">2*(B14+C14+D14)+(E14)</f>
        <v>1.52</v>
      </c>
    </row>
    <row r="15" spans="1:9" ht="13.15" thickTop="1" thickBot="1">
      <c r="A15" s="17" t="s">
        <v>370</v>
      </c>
      <c r="B15" s="18">
        <v>0.63</v>
      </c>
      <c r="C15" s="18">
        <v>0.03</v>
      </c>
      <c r="D15" s="18">
        <v>0.03</v>
      </c>
      <c r="E15" s="18">
        <v>0.5</v>
      </c>
      <c r="F15" s="14">
        <f t="shared" si="3"/>
        <v>1.8800000000000001</v>
      </c>
    </row>
    <row r="16" spans="1:9" ht="13.15" thickTop="1" thickBot="1">
      <c r="A16" s="15" t="s">
        <v>605</v>
      </c>
      <c r="B16" s="16">
        <v>0.64</v>
      </c>
      <c r="C16" s="16">
        <v>0.15</v>
      </c>
      <c r="D16" s="16">
        <v>0.08</v>
      </c>
      <c r="E16" s="16">
        <v>0.5</v>
      </c>
      <c r="F16" s="19">
        <f t="shared" si="3"/>
        <v>2.2400000000000002</v>
      </c>
    </row>
    <row r="17" spans="1:6" ht="13.15" thickTop="1" thickBot="1">
      <c r="A17" s="17" t="s">
        <v>606</v>
      </c>
      <c r="B17" s="18">
        <v>0.55000000000000004</v>
      </c>
      <c r="C17" s="18">
        <v>0.25</v>
      </c>
      <c r="D17" s="18">
        <v>0.03</v>
      </c>
      <c r="E17" s="18">
        <v>0.5</v>
      </c>
      <c r="F17" s="14">
        <f t="shared" si="3"/>
        <v>2.16</v>
      </c>
    </row>
    <row r="18" spans="1:6" ht="13.15" thickTop="1" thickBot="1">
      <c r="A18" s="15" t="s">
        <v>371</v>
      </c>
      <c r="B18" s="16">
        <v>0.63</v>
      </c>
      <c r="C18" s="16">
        <v>0.1</v>
      </c>
      <c r="D18" s="16">
        <v>0.2</v>
      </c>
      <c r="E18" s="16">
        <v>0.5</v>
      </c>
      <c r="F18" s="14">
        <f t="shared" si="3"/>
        <v>2.36</v>
      </c>
    </row>
    <row r="19" spans="1:6" ht="13.15" thickTop="1" thickBot="1">
      <c r="A19" s="15" t="s">
        <v>374</v>
      </c>
      <c r="B19" s="16">
        <v>0.1</v>
      </c>
      <c r="C19" s="16">
        <v>0.1</v>
      </c>
      <c r="D19" s="16">
        <v>0.15</v>
      </c>
      <c r="E19" s="16">
        <v>0.5</v>
      </c>
      <c r="F19" s="14">
        <f t="shared" si="3"/>
        <v>1.2</v>
      </c>
    </row>
    <row r="21" spans="1:6">
      <c r="A21" s="8" t="s">
        <v>607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D72E-944D-47B6-83F5-36552DC32909}">
  <dimension ref="B1:AA35"/>
  <sheetViews>
    <sheetView workbookViewId="0">
      <selection activeCell="F19" sqref="F19"/>
    </sheetView>
  </sheetViews>
  <sheetFormatPr defaultRowHeight="14.45"/>
  <sheetData>
    <row r="1" spans="2:27">
      <c r="C1" s="115" t="s">
        <v>608</v>
      </c>
      <c r="E1" s="115"/>
      <c r="J1" t="s">
        <v>609</v>
      </c>
      <c r="K1" t="s">
        <v>609</v>
      </c>
    </row>
    <row r="2" spans="2:27" ht="15" thickBot="1">
      <c r="B2" s="122" t="s">
        <v>610</v>
      </c>
      <c r="C2" s="123" t="s">
        <v>611</v>
      </c>
      <c r="D2" s="123"/>
      <c r="E2" s="123" t="s">
        <v>612</v>
      </c>
      <c r="F2" s="123" t="s">
        <v>613</v>
      </c>
      <c r="G2" s="123" t="s">
        <v>614</v>
      </c>
      <c r="H2" s="123" t="s">
        <v>615</v>
      </c>
      <c r="I2" s="123" t="s">
        <v>391</v>
      </c>
      <c r="J2" s="123" t="s">
        <v>616</v>
      </c>
      <c r="K2" s="124" t="s">
        <v>373</v>
      </c>
      <c r="L2" t="s">
        <v>617</v>
      </c>
      <c r="Q2" t="s">
        <v>618</v>
      </c>
    </row>
    <row r="3" spans="2:27">
      <c r="B3" s="116" t="s">
        <v>619</v>
      </c>
      <c r="C3" s="21">
        <f>SUM(E3:K3)</f>
        <v>5.987669540574668E-2</v>
      </c>
      <c r="D3" s="136"/>
      <c r="E3" s="117">
        <f>E19*E$35</f>
        <v>0</v>
      </c>
      <c r="F3" s="117">
        <f t="shared" ref="F3:K3" si="0">F19*F$35</f>
        <v>3.0175564029234186E-2</v>
      </c>
      <c r="G3" s="117">
        <f t="shared" si="0"/>
        <v>2.0947564606165502E-3</v>
      </c>
      <c r="H3" s="117">
        <f t="shared" si="0"/>
        <v>1.7611241446505021E-3</v>
      </c>
      <c r="I3" s="117">
        <f t="shared" si="0"/>
        <v>1.531819167662828E-2</v>
      </c>
      <c r="J3" s="117">
        <f t="shared" si="0"/>
        <v>5.3192774330700172E-3</v>
      </c>
      <c r="K3" s="134">
        <f t="shared" si="0"/>
        <v>5.207781661547152E-3</v>
      </c>
      <c r="L3" s="136"/>
      <c r="Q3" s="1" t="s">
        <v>620</v>
      </c>
      <c r="R3" s="1"/>
      <c r="S3" s="1"/>
      <c r="T3" s="1"/>
      <c r="U3" s="1"/>
    </row>
    <row r="4" spans="2:27">
      <c r="B4" s="116" t="s">
        <v>572</v>
      </c>
      <c r="C4" s="21">
        <f>SUM(E4:K4)</f>
        <v>6.5022407020207201E-2</v>
      </c>
      <c r="D4" s="136"/>
      <c r="E4" s="117">
        <f t="shared" ref="E4:K9" si="1">E18*E$35</f>
        <v>0</v>
      </c>
      <c r="F4" s="117">
        <f t="shared" si="1"/>
        <v>4.5918992316211125E-2</v>
      </c>
      <c r="G4" s="117">
        <f t="shared" si="1"/>
        <v>6.7424580939191294E-4</v>
      </c>
      <c r="H4" s="117">
        <f t="shared" si="1"/>
        <v>3.1263238304494948E-5</v>
      </c>
      <c r="I4" s="117">
        <f>I18*I$35</f>
        <v>1.5490957937954294E-2</v>
      </c>
      <c r="J4" s="117">
        <f t="shared" si="1"/>
        <v>8.7093671110877993E-4</v>
      </c>
      <c r="K4" s="118">
        <f t="shared" si="1"/>
        <v>2.0360110072365888E-3</v>
      </c>
      <c r="L4" s="136"/>
      <c r="Q4" t="s">
        <v>621</v>
      </c>
    </row>
    <row r="5" spans="2:27">
      <c r="B5" s="116" t="s">
        <v>573</v>
      </c>
      <c r="C5" s="21">
        <f t="shared" ref="C5:C13" si="2">SUM(E5:K5)</f>
        <v>5.987669540574668E-2</v>
      </c>
      <c r="D5" s="136"/>
      <c r="E5" s="117">
        <f t="shared" si="1"/>
        <v>0</v>
      </c>
      <c r="F5" s="117">
        <f t="shared" si="1"/>
        <v>3.0175564029234186E-2</v>
      </c>
      <c r="G5" s="117">
        <f t="shared" si="1"/>
        <v>2.0947564606165502E-3</v>
      </c>
      <c r="H5" s="117">
        <f t="shared" si="1"/>
        <v>1.7611241446505021E-3</v>
      </c>
      <c r="I5" s="117">
        <f t="shared" si="1"/>
        <v>1.531819167662828E-2</v>
      </c>
      <c r="J5" s="117">
        <f t="shared" si="1"/>
        <v>5.3192774330700172E-3</v>
      </c>
      <c r="K5" s="118">
        <f t="shared" si="1"/>
        <v>5.207781661547152E-3</v>
      </c>
      <c r="L5" s="136"/>
      <c r="Q5" t="s">
        <v>622</v>
      </c>
    </row>
    <row r="6" spans="2:27">
      <c r="B6" s="116" t="s">
        <v>623</v>
      </c>
      <c r="C6" s="21">
        <f t="shared" si="2"/>
        <v>6.3129969495057447E-2</v>
      </c>
      <c r="D6" s="136"/>
      <c r="E6" s="117">
        <f t="shared" si="1"/>
        <v>0</v>
      </c>
      <c r="F6" s="117">
        <f t="shared" si="1"/>
        <v>8.9482166631630576E-3</v>
      </c>
      <c r="G6" s="117">
        <f t="shared" si="1"/>
        <v>1.8894638782910936E-3</v>
      </c>
      <c r="H6" s="117">
        <f t="shared" si="1"/>
        <v>5.3175337973999741E-4</v>
      </c>
      <c r="I6" s="117">
        <f t="shared" si="1"/>
        <v>2.2505402787092926E-2</v>
      </c>
      <c r="J6" s="117">
        <f t="shared" si="1"/>
        <v>1.6934108798729357E-2</v>
      </c>
      <c r="K6" s="118">
        <f t="shared" si="1"/>
        <v>1.2321023988041014E-2</v>
      </c>
      <c r="L6" s="136"/>
      <c r="Q6" t="s">
        <v>624</v>
      </c>
    </row>
    <row r="7" spans="2:27">
      <c r="B7" s="116" t="s">
        <v>625</v>
      </c>
      <c r="C7" s="21">
        <f t="shared" si="2"/>
        <v>3.3373386514077411E-2</v>
      </c>
      <c r="D7" s="136"/>
      <c r="E7" s="117">
        <f t="shared" si="1"/>
        <v>0</v>
      </c>
      <c r="F7" s="117">
        <f t="shared" si="1"/>
        <v>9.676114323790487E-3</v>
      </c>
      <c r="G7" s="117">
        <f t="shared" si="1"/>
        <v>4.515135205109367E-3</v>
      </c>
      <c r="H7" s="117">
        <f t="shared" si="1"/>
        <v>4.9283024816534665E-4</v>
      </c>
      <c r="I7" s="117">
        <f t="shared" si="1"/>
        <v>1.8083928557263318E-2</v>
      </c>
      <c r="J7" s="117">
        <f t="shared" si="1"/>
        <v>6.0537817974889042E-4</v>
      </c>
      <c r="K7" s="118">
        <f t="shared" si="1"/>
        <v>0</v>
      </c>
      <c r="L7" s="136"/>
      <c r="Q7" t="s">
        <v>626</v>
      </c>
    </row>
    <row r="8" spans="2:27">
      <c r="B8" s="116" t="s">
        <v>576</v>
      </c>
      <c r="C8" s="21">
        <f t="shared" si="2"/>
        <v>6.0421749408983455E-2</v>
      </c>
      <c r="D8" s="136"/>
      <c r="E8" s="117">
        <f t="shared" si="1"/>
        <v>0</v>
      </c>
      <c r="F8" s="117">
        <f t="shared" si="1"/>
        <v>3.9466666666666671E-2</v>
      </c>
      <c r="G8" s="117">
        <f t="shared" si="1"/>
        <v>6.0141843971631206E-3</v>
      </c>
      <c r="H8" s="117">
        <f t="shared" si="1"/>
        <v>6.0520094562647748E-3</v>
      </c>
      <c r="I8" s="117">
        <f t="shared" si="1"/>
        <v>0</v>
      </c>
      <c r="J8" s="117">
        <f t="shared" si="1"/>
        <v>0</v>
      </c>
      <c r="K8" s="118">
        <f t="shared" si="1"/>
        <v>8.8888888888888871E-3</v>
      </c>
      <c r="L8" s="136"/>
    </row>
    <row r="9" spans="2:27">
      <c r="B9" s="116" t="s">
        <v>577</v>
      </c>
      <c r="C9" s="21">
        <f t="shared" si="2"/>
        <v>6.3129969495057447E-2</v>
      </c>
      <c r="D9" s="136"/>
      <c r="E9" s="117">
        <f t="shared" si="1"/>
        <v>0</v>
      </c>
      <c r="F9" s="117">
        <f t="shared" si="1"/>
        <v>8.9482166631630576E-3</v>
      </c>
      <c r="G9" s="117">
        <f t="shared" si="1"/>
        <v>1.8894638782910936E-3</v>
      </c>
      <c r="H9" s="117">
        <f t="shared" si="1"/>
        <v>5.3175337973999741E-4</v>
      </c>
      <c r="I9" s="117">
        <f t="shared" si="1"/>
        <v>2.2505402787092926E-2</v>
      </c>
      <c r="J9" s="117">
        <f t="shared" si="1"/>
        <v>1.6934108798729357E-2</v>
      </c>
      <c r="K9" s="118">
        <f t="shared" si="1"/>
        <v>1.2321023988041014E-2</v>
      </c>
      <c r="L9" s="136"/>
      <c r="Q9" t="s">
        <v>627</v>
      </c>
      <c r="R9" t="s">
        <v>628</v>
      </c>
      <c r="S9" t="s">
        <v>629</v>
      </c>
    </row>
    <row r="10" spans="2:27">
      <c r="B10" s="116" t="s">
        <v>630</v>
      </c>
      <c r="C10" s="21">
        <f>SUM(E10:K10)</f>
        <v>5.987669540574668E-2</v>
      </c>
      <c r="D10" s="136"/>
      <c r="E10" s="117">
        <f t="shared" ref="E10:K10" si="3">E19*E$35</f>
        <v>0</v>
      </c>
      <c r="F10" s="117">
        <f t="shared" si="3"/>
        <v>3.0175564029234186E-2</v>
      </c>
      <c r="G10" s="117">
        <f t="shared" si="3"/>
        <v>2.0947564606165502E-3</v>
      </c>
      <c r="H10" s="117">
        <f t="shared" si="3"/>
        <v>1.7611241446505021E-3</v>
      </c>
      <c r="I10" s="117">
        <f t="shared" si="3"/>
        <v>1.531819167662828E-2</v>
      </c>
      <c r="J10" s="117">
        <f t="shared" si="3"/>
        <v>5.3192774330700172E-3</v>
      </c>
      <c r="K10" s="118">
        <f t="shared" si="3"/>
        <v>5.207781661547152E-3</v>
      </c>
      <c r="L10" s="136"/>
      <c r="N10" s="47"/>
      <c r="R10" t="s">
        <v>631</v>
      </c>
      <c r="S10" t="s">
        <v>632</v>
      </c>
    </row>
    <row r="11" spans="2:27">
      <c r="B11" s="116" t="s">
        <v>633</v>
      </c>
      <c r="C11" s="21">
        <f t="shared" si="2"/>
        <v>3.3373386514077404E-2</v>
      </c>
      <c r="D11" s="136"/>
      <c r="E11" s="117">
        <f t="shared" ref="E11:K13" si="4">E25*E$35</f>
        <v>0</v>
      </c>
      <c r="F11" s="117">
        <f t="shared" si="4"/>
        <v>9.676114323790487E-3</v>
      </c>
      <c r="G11" s="117">
        <f t="shared" si="4"/>
        <v>4.515135205109367E-3</v>
      </c>
      <c r="H11" s="117">
        <f t="shared" si="4"/>
        <v>4.9283024816534665E-4</v>
      </c>
      <c r="I11" s="117">
        <f t="shared" si="4"/>
        <v>1.8083928557263318E-2</v>
      </c>
      <c r="J11" s="117">
        <f t="shared" si="4"/>
        <v>6.0537817974888933E-4</v>
      </c>
      <c r="K11" s="118">
        <f t="shared" si="4"/>
        <v>0</v>
      </c>
      <c r="L11" s="136"/>
      <c r="N11" s="47"/>
      <c r="O11" s="111"/>
      <c r="R11" t="s">
        <v>634</v>
      </c>
      <c r="S11" t="s">
        <v>635</v>
      </c>
      <c r="AA11" s="1" t="s">
        <v>636</v>
      </c>
    </row>
    <row r="12" spans="2:27">
      <c r="B12" s="116" t="s">
        <v>580</v>
      </c>
      <c r="C12" s="21">
        <f t="shared" si="2"/>
        <v>0.22309901182679487</v>
      </c>
      <c r="D12" s="136"/>
      <c r="E12" s="117">
        <f t="shared" si="4"/>
        <v>0</v>
      </c>
      <c r="F12" s="117">
        <f t="shared" si="4"/>
        <v>1.4677258140880639E-3</v>
      </c>
      <c r="G12" s="117">
        <f t="shared" si="4"/>
        <v>5.193757293266708E-3</v>
      </c>
      <c r="H12" s="117">
        <f t="shared" si="4"/>
        <v>6.0566060098196618E-4</v>
      </c>
      <c r="I12" s="117">
        <f t="shared" si="4"/>
        <v>1.0469003682744542E-2</v>
      </c>
      <c r="J12" s="117">
        <f t="shared" si="4"/>
        <v>2.3957565191495934E-2</v>
      </c>
      <c r="K12" s="118">
        <f t="shared" si="4"/>
        <v>0.18140529924421767</v>
      </c>
      <c r="L12" s="136"/>
      <c r="N12" s="47"/>
      <c r="O12" s="111"/>
    </row>
    <row r="13" spans="2:27">
      <c r="B13" s="119" t="s">
        <v>581</v>
      </c>
      <c r="C13" s="128">
        <f t="shared" si="2"/>
        <v>1.2948822988932159E-2</v>
      </c>
      <c r="D13" s="136"/>
      <c r="E13" s="120">
        <f>E27*E$35</f>
        <v>3.0324503334986101E-3</v>
      </c>
      <c r="F13" s="120">
        <f t="shared" si="4"/>
        <v>3.2001593440337283E-3</v>
      </c>
      <c r="G13" s="120">
        <f t="shared" si="4"/>
        <v>2.596874544943646E-4</v>
      </c>
      <c r="H13" s="120">
        <f t="shared" si="4"/>
        <v>1.2878425893782183E-3</v>
      </c>
      <c r="I13" s="120">
        <f t="shared" si="4"/>
        <v>3.5889292781752158E-3</v>
      </c>
      <c r="J13" s="120">
        <f t="shared" si="4"/>
        <v>1.5797539893520217E-3</v>
      </c>
      <c r="K13" s="121">
        <f t="shared" si="4"/>
        <v>0</v>
      </c>
      <c r="L13" s="136"/>
    </row>
    <row r="15" spans="2:27">
      <c r="E15" s="115" t="s">
        <v>637</v>
      </c>
      <c r="Q15" s="136"/>
      <c r="R15" s="21"/>
      <c r="S15" s="21"/>
      <c r="T15" s="21"/>
      <c r="U15" s="21"/>
      <c r="V15" s="136"/>
      <c r="W15" s="21"/>
      <c r="X15" s="21"/>
      <c r="Y15" s="136"/>
    </row>
    <row r="16" spans="2:27" ht="15" thickBot="1">
      <c r="B16" t="s">
        <v>638</v>
      </c>
      <c r="C16" t="s">
        <v>639</v>
      </c>
      <c r="D16" s="122"/>
      <c r="E16" s="123" t="s">
        <v>612</v>
      </c>
      <c r="F16" s="123" t="s">
        <v>613</v>
      </c>
      <c r="G16" s="123" t="s">
        <v>614</v>
      </c>
      <c r="H16" s="123" t="s">
        <v>615</v>
      </c>
      <c r="I16" s="123" t="s">
        <v>391</v>
      </c>
      <c r="J16" s="123" t="s">
        <v>640</v>
      </c>
      <c r="K16" s="124" t="s">
        <v>641</v>
      </c>
      <c r="L16" t="s">
        <v>617</v>
      </c>
      <c r="Q16" s="136"/>
      <c r="R16" s="21"/>
      <c r="S16" s="21"/>
      <c r="T16" s="21"/>
      <c r="U16" s="21"/>
      <c r="V16" s="136"/>
      <c r="W16" s="21"/>
      <c r="X16" s="21"/>
      <c r="Y16" s="136"/>
    </row>
    <row r="17" spans="2:25">
      <c r="B17" s="45">
        <f>SUM(E17:H17)</f>
        <v>0.49909967164495284</v>
      </c>
      <c r="C17">
        <f>((E17/B17)*E$35)+((F17/B17)*F$35)+((G17/B17)*G$35)+((H17/B17)*H$35)</f>
        <v>6.8185668250069248E-2</v>
      </c>
      <c r="D17" s="116" t="s">
        <v>619</v>
      </c>
      <c r="E17" s="45">
        <v>0</v>
      </c>
      <c r="F17" s="45">
        <v>0.30175564029234186</v>
      </c>
      <c r="G17" s="45">
        <v>0.14768033047346679</v>
      </c>
      <c r="H17" s="45">
        <v>4.9663700879144151E-2</v>
      </c>
      <c r="I17" s="45">
        <v>0.48252303781379086</v>
      </c>
      <c r="J17" s="139">
        <v>1.2127952547399639E-2</v>
      </c>
      <c r="K17" s="140">
        <v>6.2493379938565819E-3</v>
      </c>
      <c r="L17" t="s">
        <v>642</v>
      </c>
      <c r="Q17" s="136"/>
      <c r="R17" s="21"/>
      <c r="S17" s="21"/>
      <c r="T17" s="21"/>
      <c r="U17" s="21"/>
      <c r="V17" s="136"/>
      <c r="W17" s="21"/>
      <c r="X17" s="21"/>
      <c r="Y17" s="136"/>
    </row>
    <row r="18" spans="2:25">
      <c r="B18" s="45">
        <f t="shared" ref="B18:B27" si="5">SUM(E18:H18)</f>
        <v>0.50760587604442775</v>
      </c>
      <c r="C18">
        <f t="shared" ref="C18:C27" si="6">((E18/B18)*E$35)+((F18/B18)*F$35)+((G18/B18)*G$35)+((H18/B18)*H$35)</f>
        <v>9.1851776278150818E-2</v>
      </c>
      <c r="D18" s="116" t="s">
        <v>572</v>
      </c>
      <c r="E18" s="45">
        <v>0</v>
      </c>
      <c r="F18" s="45">
        <v>0.45918992316211121</v>
      </c>
      <c r="G18" s="45">
        <v>4.7534329562129864E-2</v>
      </c>
      <c r="H18" s="45">
        <v>8.8162332018675753E-4</v>
      </c>
      <c r="I18" s="45">
        <v>0.48796517504556031</v>
      </c>
      <c r="J18" s="139">
        <v>1.985735701328018E-3</v>
      </c>
      <c r="K18" s="140">
        <v>2.4432132086839066E-3</v>
      </c>
      <c r="Q18" s="136"/>
      <c r="R18" s="21"/>
      <c r="S18" s="21"/>
      <c r="T18" s="21"/>
      <c r="U18" s="21"/>
      <c r="V18" s="136"/>
      <c r="W18" s="21"/>
      <c r="X18" s="21"/>
      <c r="Y18" s="136"/>
    </row>
    <row r="19" spans="2:25">
      <c r="B19" s="45">
        <f t="shared" si="5"/>
        <v>0.49909967164495284</v>
      </c>
      <c r="C19">
        <f t="shared" si="6"/>
        <v>6.8185668250069248E-2</v>
      </c>
      <c r="D19" s="116" t="s">
        <v>573</v>
      </c>
      <c r="E19" s="45">
        <v>0</v>
      </c>
      <c r="F19" s="45">
        <v>0.30175564029234186</v>
      </c>
      <c r="G19" s="45">
        <v>0.14768033047346679</v>
      </c>
      <c r="H19" s="45">
        <v>4.9663700879144151E-2</v>
      </c>
      <c r="I19" s="45">
        <v>0.48252303781379086</v>
      </c>
      <c r="J19" s="139">
        <v>1.2127952547399639E-2</v>
      </c>
      <c r="K19" s="140">
        <v>6.2493379938565819E-3</v>
      </c>
      <c r="Q19" s="136"/>
      <c r="R19" s="21"/>
      <c r="S19" s="21"/>
      <c r="T19" s="21"/>
      <c r="U19" s="21"/>
      <c r="V19" s="136"/>
      <c r="W19" s="21"/>
      <c r="X19" s="21"/>
      <c r="Y19" s="136"/>
    </row>
    <row r="20" spans="2:25">
      <c r="B20" s="45">
        <f t="shared" si="5"/>
        <v>0.23768481535982061</v>
      </c>
      <c r="C20">
        <f t="shared" si="6"/>
        <v>4.7834077679646723E-2</v>
      </c>
      <c r="D20" s="116" t="s">
        <v>623</v>
      </c>
      <c r="E20" s="45">
        <v>0</v>
      </c>
      <c r="F20" s="45">
        <v>8.9482166631630569E-2</v>
      </c>
      <c r="G20" s="45">
        <v>0.13320720341952211</v>
      </c>
      <c r="H20" s="45">
        <v>1.4995445308667926E-2</v>
      </c>
      <c r="I20" s="45">
        <v>0.70892018779342725</v>
      </c>
      <c r="J20" s="45">
        <v>3.8609768061102931E-2</v>
      </c>
      <c r="K20" s="125">
        <v>1.4785228785649217E-2</v>
      </c>
      <c r="L20" t="s">
        <v>643</v>
      </c>
      <c r="Q20" s="136"/>
      <c r="R20" s="21"/>
      <c r="S20" s="21"/>
      <c r="T20" s="21"/>
      <c r="U20" s="21"/>
      <c r="V20" s="136"/>
      <c r="W20" s="21"/>
      <c r="X20" s="21"/>
      <c r="Y20" s="136"/>
    </row>
    <row r="21" spans="2:25">
      <c r="B21" s="45">
        <f t="shared" si="5"/>
        <v>0.428975988196378</v>
      </c>
      <c r="C21">
        <f t="shared" si="6"/>
        <v>3.4230540126043311E-2</v>
      </c>
      <c r="D21" s="116" t="s">
        <v>625</v>
      </c>
      <c r="E21" s="45">
        <v>0</v>
      </c>
      <c r="F21" s="45">
        <v>9.6761143237904856E-2</v>
      </c>
      <c r="G21" s="45">
        <v>0.31831703196021038</v>
      </c>
      <c r="H21" s="45">
        <v>1.3897812998262775E-2</v>
      </c>
      <c r="I21" s="45">
        <v>0.5696437495537946</v>
      </c>
      <c r="J21" s="139">
        <v>1.3802622498274701E-3</v>
      </c>
      <c r="K21" s="140">
        <v>0</v>
      </c>
      <c r="L21" t="s">
        <v>644</v>
      </c>
      <c r="Q21" s="136"/>
      <c r="R21" s="21"/>
      <c r="S21" s="21"/>
      <c r="T21" s="21"/>
      <c r="U21" s="21"/>
      <c r="V21" s="136"/>
      <c r="W21" s="21"/>
      <c r="X21" s="21"/>
      <c r="Y21" s="136"/>
    </row>
    <row r="22" spans="2:25">
      <c r="B22" s="45">
        <f t="shared" si="5"/>
        <v>0.98933333333333329</v>
      </c>
      <c r="C22">
        <f t="shared" si="6"/>
        <v>5.2088470876106373E-2</v>
      </c>
      <c r="D22" s="116" t="s">
        <v>576</v>
      </c>
      <c r="E22" s="45">
        <v>0</v>
      </c>
      <c r="F22" s="45">
        <v>0.39466666666666667</v>
      </c>
      <c r="G22" s="45">
        <v>0.42399999999999999</v>
      </c>
      <c r="H22" s="45">
        <v>0.17066666666666663</v>
      </c>
      <c r="I22" s="45">
        <v>0</v>
      </c>
      <c r="J22" s="45">
        <v>0</v>
      </c>
      <c r="K22" s="125">
        <v>1.0666666666666665E-2</v>
      </c>
      <c r="Q22" s="136"/>
      <c r="R22" s="21"/>
      <c r="S22" s="21"/>
      <c r="T22" s="21"/>
      <c r="U22" s="21"/>
      <c r="V22" s="136"/>
      <c r="W22" s="21"/>
      <c r="X22" s="21"/>
      <c r="Y22" s="136"/>
    </row>
    <row r="23" spans="2:25">
      <c r="B23" s="45">
        <f t="shared" si="5"/>
        <v>0.23768481535982061</v>
      </c>
      <c r="C23">
        <f t="shared" si="6"/>
        <v>4.7834077679646723E-2</v>
      </c>
      <c r="D23" s="116" t="s">
        <v>577</v>
      </c>
      <c r="E23" s="45">
        <v>0</v>
      </c>
      <c r="F23" s="45">
        <v>8.9482166631630569E-2</v>
      </c>
      <c r="G23" s="45">
        <v>0.13320720341952211</v>
      </c>
      <c r="H23" s="45">
        <v>1.4995445308667926E-2</v>
      </c>
      <c r="I23" s="45">
        <v>0.70892018779342725</v>
      </c>
      <c r="J23" s="45">
        <v>3.8609768061102931E-2</v>
      </c>
      <c r="K23" s="125">
        <v>1.4785228785649217E-2</v>
      </c>
      <c r="Q23" s="136"/>
      <c r="R23" s="21"/>
      <c r="S23" s="21"/>
      <c r="T23" s="21"/>
      <c r="U23" s="21"/>
      <c r="V23" s="136"/>
      <c r="W23" s="21"/>
      <c r="X23" s="21"/>
      <c r="Y23" s="136"/>
    </row>
    <row r="24" spans="2:25">
      <c r="B24" s="45">
        <f t="shared" si="5"/>
        <v>0.49909967164495284</v>
      </c>
      <c r="C24">
        <f t="shared" si="6"/>
        <v>6.8185668250069248E-2</v>
      </c>
      <c r="D24" s="116" t="s">
        <v>578</v>
      </c>
      <c r="E24" s="45">
        <v>0</v>
      </c>
      <c r="F24" s="45">
        <v>0.30175564029234186</v>
      </c>
      <c r="G24" s="45">
        <v>0.14768033047346679</v>
      </c>
      <c r="H24" s="45">
        <v>4.9663700879144151E-2</v>
      </c>
      <c r="I24" s="45">
        <v>0.48252303781379086</v>
      </c>
      <c r="J24" s="139">
        <v>1.2127952547399639E-2</v>
      </c>
      <c r="K24" s="140">
        <v>6.2493379938565819E-3</v>
      </c>
      <c r="L24" t="s">
        <v>642</v>
      </c>
      <c r="Q24" s="136"/>
      <c r="R24" s="21"/>
      <c r="S24" s="21"/>
      <c r="T24" s="21"/>
      <c r="U24" s="21"/>
      <c r="V24" s="136"/>
      <c r="W24" s="21"/>
      <c r="X24" s="21"/>
      <c r="Y24" s="136"/>
    </row>
    <row r="25" spans="2:25">
      <c r="B25" s="45">
        <f t="shared" si="5"/>
        <v>0.428975988196378</v>
      </c>
      <c r="C25">
        <f t="shared" si="6"/>
        <v>3.4230540126043311E-2</v>
      </c>
      <c r="D25" s="116" t="s">
        <v>633</v>
      </c>
      <c r="E25" s="45">
        <v>0</v>
      </c>
      <c r="F25" s="45">
        <v>9.6761143237904856E-2</v>
      </c>
      <c r="G25" s="45">
        <v>0.31831703196021038</v>
      </c>
      <c r="H25" s="45">
        <v>1.3897812998262775E-2</v>
      </c>
      <c r="I25" s="45">
        <v>0.5696437495537946</v>
      </c>
      <c r="J25" s="139">
        <v>1.3802622498274675E-3</v>
      </c>
      <c r="K25" s="140">
        <v>0</v>
      </c>
      <c r="Q25" s="136"/>
      <c r="R25" s="21"/>
      <c r="S25" s="21"/>
      <c r="T25" s="21"/>
      <c r="U25" s="21"/>
      <c r="V25" s="136"/>
      <c r="W25" s="21"/>
      <c r="X25" s="21"/>
      <c r="Y25" s="136"/>
    </row>
    <row r="26" spans="2:25">
      <c r="B26" s="45">
        <f t="shared" si="5"/>
        <v>0.397916776263875</v>
      </c>
      <c r="C26">
        <f t="shared" si="6"/>
        <v>1.8262973922762174E-2</v>
      </c>
      <c r="D26" s="116" t="s">
        <v>580</v>
      </c>
      <c r="E26" s="45">
        <v>0</v>
      </c>
      <c r="F26" s="45">
        <v>1.4677258140880637E-2</v>
      </c>
      <c r="G26" s="45">
        <v>0.36615988917530295</v>
      </c>
      <c r="H26" s="45">
        <v>1.7079628947691446E-2</v>
      </c>
      <c r="I26" s="45">
        <v>0.32977361600645311</v>
      </c>
      <c r="J26" s="45">
        <v>5.4623248636610729E-2</v>
      </c>
      <c r="K26" s="125">
        <v>0.21768635909306119</v>
      </c>
    </row>
    <row r="27" spans="2:25">
      <c r="B27" s="45">
        <f t="shared" si="5"/>
        <v>0.88334688864175803</v>
      </c>
      <c r="C27">
        <f t="shared" si="6"/>
        <v>8.8075701872542198E-3</v>
      </c>
      <c r="D27" s="116" t="s">
        <v>581</v>
      </c>
      <c r="E27" s="45">
        <v>0.79672016863910233</v>
      </c>
      <c r="F27" s="45">
        <v>3.2001593440337282E-2</v>
      </c>
      <c r="G27" s="45">
        <v>1.8307965541852704E-2</v>
      </c>
      <c r="H27" s="45">
        <v>3.6317161020465755E-2</v>
      </c>
      <c r="I27" s="45">
        <v>0.11305127226251931</v>
      </c>
      <c r="J27" s="139">
        <v>3.601839095722609E-3</v>
      </c>
      <c r="K27" s="140">
        <v>0</v>
      </c>
    </row>
    <row r="28" spans="2:25">
      <c r="D28" s="116"/>
      <c r="K28" s="126"/>
    </row>
    <row r="29" spans="2:25" ht="15" thickBot="1">
      <c r="D29" s="130"/>
      <c r="E29" s="131" t="s">
        <v>645</v>
      </c>
      <c r="F29" s="132"/>
      <c r="G29" s="132"/>
      <c r="H29" s="132"/>
      <c r="I29" s="132"/>
      <c r="J29" s="132"/>
      <c r="K29" s="133"/>
    </row>
    <row r="30" spans="2:25">
      <c r="D30" s="116" t="s">
        <v>646</v>
      </c>
      <c r="E30">
        <v>500</v>
      </c>
      <c r="F30">
        <v>20</v>
      </c>
      <c r="G30">
        <v>150</v>
      </c>
      <c r="H30">
        <v>60</v>
      </c>
      <c r="I30">
        <v>70</v>
      </c>
      <c r="J30">
        <v>3.8</v>
      </c>
      <c r="K30" s="126">
        <v>2</v>
      </c>
      <c r="N30" t="s">
        <v>647</v>
      </c>
      <c r="O30" t="s">
        <v>648</v>
      </c>
      <c r="P30" t="s">
        <v>649</v>
      </c>
    </row>
    <row r="31" spans="2:25">
      <c r="D31" s="116" t="s">
        <v>650</v>
      </c>
      <c r="E31" s="45">
        <f>227/432</f>
        <v>0.52546296296296291</v>
      </c>
      <c r="F31" s="45">
        <v>0.5</v>
      </c>
      <c r="G31" s="45">
        <v>0.47</v>
      </c>
      <c r="H31" s="45">
        <v>0.47</v>
      </c>
      <c r="I31" s="45">
        <v>0.45</v>
      </c>
      <c r="J31" s="45">
        <v>0.6</v>
      </c>
      <c r="K31" s="125">
        <v>0.6</v>
      </c>
      <c r="N31" t="s">
        <v>612</v>
      </c>
      <c r="O31" s="45">
        <f>227/432</f>
        <v>0.52546296296296291</v>
      </c>
      <c r="P31" t="s">
        <v>635</v>
      </c>
    </row>
    <row r="32" spans="2:25">
      <c r="D32" s="116"/>
      <c r="K32" s="126"/>
      <c r="N32" t="s">
        <v>651</v>
      </c>
      <c r="O32" s="45">
        <v>0.5</v>
      </c>
      <c r="P32" t="s">
        <v>632</v>
      </c>
    </row>
    <row r="33" spans="4:17">
      <c r="D33" s="116" t="s">
        <v>652</v>
      </c>
      <c r="E33" s="99">
        <f t="shared" ref="E33:K33" si="7">E30*E31</f>
        <v>262.73148148148147</v>
      </c>
      <c r="F33" s="99">
        <f t="shared" si="7"/>
        <v>10</v>
      </c>
      <c r="G33" s="99">
        <f t="shared" si="7"/>
        <v>70.5</v>
      </c>
      <c r="H33" s="99">
        <f t="shared" si="7"/>
        <v>28.2</v>
      </c>
      <c r="I33" s="99">
        <f t="shared" si="7"/>
        <v>31.5</v>
      </c>
      <c r="J33" s="99">
        <f t="shared" si="7"/>
        <v>2.2799999999999998</v>
      </c>
      <c r="K33" s="127">
        <f t="shared" si="7"/>
        <v>1.2</v>
      </c>
      <c r="N33" t="s">
        <v>653</v>
      </c>
      <c r="O33" s="45">
        <v>0.47</v>
      </c>
      <c r="P33" t="s">
        <v>654</v>
      </c>
    </row>
    <row r="34" spans="4:17">
      <c r="D34" s="116"/>
      <c r="K34" s="126"/>
      <c r="N34" t="s">
        <v>391</v>
      </c>
      <c r="O34" s="45">
        <v>0.45</v>
      </c>
      <c r="P34" t="s">
        <v>655</v>
      </c>
    </row>
    <row r="35" spans="4:17">
      <c r="D35" s="119" t="s">
        <v>656</v>
      </c>
      <c r="E35" s="128">
        <f t="shared" ref="E35:K35" si="8">1/E33</f>
        <v>3.8061674008810576E-3</v>
      </c>
      <c r="F35" s="128">
        <f t="shared" si="8"/>
        <v>0.1</v>
      </c>
      <c r="G35" s="128">
        <f t="shared" si="8"/>
        <v>1.4184397163120567E-2</v>
      </c>
      <c r="H35" s="128">
        <f t="shared" si="8"/>
        <v>3.5460992907801421E-2</v>
      </c>
      <c r="I35" s="138">
        <f t="shared" si="8"/>
        <v>3.1746031746031744E-2</v>
      </c>
      <c r="J35" s="128">
        <f t="shared" si="8"/>
        <v>0.43859649122807021</v>
      </c>
      <c r="K35" s="129">
        <f t="shared" si="8"/>
        <v>0.83333333333333337</v>
      </c>
      <c r="N35" t="s">
        <v>616</v>
      </c>
      <c r="O35" s="45">
        <v>0.6</v>
      </c>
      <c r="P35" t="s">
        <v>657</v>
      </c>
      <c r="Q35" t="s">
        <v>629</v>
      </c>
    </row>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Gästanvändare</cp:lastModifiedBy>
  <cp:revision/>
  <dcterms:created xsi:type="dcterms:W3CDTF">2022-04-26T11:38:16Z</dcterms:created>
  <dcterms:modified xsi:type="dcterms:W3CDTF">2024-09-04T08:03:48Z</dcterms:modified>
  <cp:category/>
  <cp:contentStatus/>
</cp:coreProperties>
</file>