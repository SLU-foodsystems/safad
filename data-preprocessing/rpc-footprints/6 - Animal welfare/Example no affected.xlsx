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6 - Animal welfare/"/>
    </mc:Choice>
  </mc:AlternateContent>
  <xr:revisionPtr revIDLastSave="108" documentId="8_{294B057C-EA5D-45D3-8914-9D012C6D951B}" xr6:coauthVersionLast="47" xr6:coauthVersionMax="47" xr10:uidLastSave="{2552695F-4638-46DF-817E-9828CAFD977F}"/>
  <bookViews>
    <workbookView xWindow="-108" yWindow="-108" windowWidth="23256" windowHeight="12576" xr2:uid="{7C008E97-FC12-4922-B440-C04E8AFAD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7" i="1"/>
  <c r="B8" i="1"/>
  <c r="B13" i="1"/>
  <c r="B24" i="1"/>
  <c r="B22" i="1"/>
  <c r="B21" i="1"/>
  <c r="B11" i="1"/>
  <c r="B23" i="1"/>
  <c r="B20" i="1"/>
  <c r="J12" i="1"/>
  <c r="J11" i="1"/>
  <c r="B25" i="1" l="1"/>
  <c r="B12" i="1"/>
  <c r="B14" i="1" s="1"/>
  <c r="B16" i="1" s="1"/>
  <c r="B15" i="1" l="1"/>
  <c r="B26" i="1"/>
  <c r="B27" i="1"/>
</calcChain>
</file>

<file path=xl/sharedStrings.xml><?xml version="1.0" encoding="utf-8"?>
<sst xmlns="http://schemas.openxmlformats.org/spreadsheetml/2006/main" count="62" uniqueCount="49">
  <si>
    <t>SHEEP</t>
  </si>
  <si>
    <t>Variant 1 of calculating - HERD</t>
  </si>
  <si>
    <t>Production</t>
  </si>
  <si>
    <t>Parameters</t>
  </si>
  <si>
    <t>Number of ewes in the herd one year</t>
  </si>
  <si>
    <t>Justerat för att få 1 lamm ämnat för slakt för jämförelse</t>
  </si>
  <si>
    <t>Recruitment rate</t>
  </si>
  <si>
    <t>%</t>
  </si>
  <si>
    <t>Ewes aimed for slaugther per year</t>
  </si>
  <si>
    <t>no of ewes*recruitment rate</t>
  </si>
  <si>
    <t>Fertility rate</t>
  </si>
  <si>
    <t>Ewes slaughtered for meat per year</t>
  </si>
  <si>
    <t>ewes aimed for slaughter*mortality</t>
  </si>
  <si>
    <t>Lambs per ewe</t>
  </si>
  <si>
    <t>Born lambs each year</t>
  </si>
  <si>
    <t>no of ewes*lambs per ewe*fertility</t>
  </si>
  <si>
    <t>years</t>
  </si>
  <si>
    <t>Lambs aimed for slaughter each year</t>
  </si>
  <si>
    <t>born lambs-lambs needed for reruitment</t>
  </si>
  <si>
    <t>Mortality sheep</t>
  </si>
  <si>
    <t>Lambs slaughtered each year</t>
  </si>
  <si>
    <t>aimed for slaughter*mortality</t>
  </si>
  <si>
    <t>Mortality lamb</t>
  </si>
  <si>
    <t>Meat from lamb per year</t>
  </si>
  <si>
    <t>kg bonefree</t>
  </si>
  <si>
    <t>Meat yield lamb incl offal</t>
  </si>
  <si>
    <t>kg bonefree meat</t>
  </si>
  <si>
    <t>Meat from ewes per year</t>
  </si>
  <si>
    <t>Meat yield sheep incl offal</t>
  </si>
  <si>
    <t>Total meat per year</t>
  </si>
  <si>
    <t>Lamb per kg meat</t>
  </si>
  <si>
    <t>lamb per kg meat</t>
  </si>
  <si>
    <t>Ewe per kg meat</t>
  </si>
  <si>
    <t>ewe per kg meat</t>
  </si>
  <si>
    <t>Variant 2 of calculating - PER LAMB AND ASSOCIATED EWE</t>
  </si>
  <si>
    <t>No affected calculation</t>
  </si>
  <si>
    <t>No of born lambs during lifetime</t>
  </si>
  <si>
    <t>lambs</t>
  </si>
  <si>
    <t>ewes</t>
  </si>
  <si>
    <t>1/no of lambs during lifetime/mortality sheep</t>
  </si>
  <si>
    <t>meat yield lamb*mortality lamb</t>
  </si>
  <si>
    <t>Meat from corresponding no of ewes</t>
  </si>
  <si>
    <t>ewes per lamb (mortality included)*meat yield sheep</t>
  </si>
  <si>
    <t>Total meat</t>
  </si>
  <si>
    <t>Meat from one lamb  including mortality</t>
  </si>
  <si>
    <t xml:space="preserve">Ewes per lamb including mortality </t>
  </si>
  <si>
    <t>Productive lfetime ewe</t>
  </si>
  <si>
    <t>1/recruitment rate</t>
  </si>
  <si>
    <t>productive years*lambs per ewe*fertility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</si>
</sst>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  <xf numFmtId="2" fontId="0" fillId="0" borderId="0" xfId="0" applyNumberForma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BDCA-4680-425D-9476-CA3E67EEE73B}">
  <dimension ref="A2:K27"/>
  <sheetViews>
    <sheetView tabSelected="1" topLeftCell="A4" workbookViewId="0">
      <selection activeCell="J20" sqref="J20"/>
    </sheetView>
  </sheetViews>
  <sheetFormatPr defaultRowHeight="15" x14ac:dyDescent="0.25"/>
  <cols>
    <col min="1" max="1" width="33.28515625" customWidth="1"/>
    <col min="2" max="2" width="12.42578125" bestFit="1" customWidth="1"/>
    <col min="5" max="5" width="18.42578125" customWidth="1"/>
    <col min="9" max="9" width="15.85546875" customWidth="1"/>
  </cols>
  <sheetData>
    <row r="2" spans="1:11" ht="21" x14ac:dyDescent="0.35">
      <c r="A2" s="1" t="s">
        <v>0</v>
      </c>
    </row>
    <row r="4" spans="1:11" x14ac:dyDescent="0.25">
      <c r="A4" s="2" t="s">
        <v>1</v>
      </c>
      <c r="B4" s="2"/>
      <c r="C4" s="2"/>
      <c r="D4" s="2"/>
      <c r="E4" s="2"/>
    </row>
    <row r="5" spans="1:11" x14ac:dyDescent="0.25">
      <c r="A5" s="3" t="s">
        <v>2</v>
      </c>
      <c r="H5" s="3" t="s">
        <v>3</v>
      </c>
    </row>
    <row r="6" spans="1:11" x14ac:dyDescent="0.25">
      <c r="A6" t="s">
        <v>4</v>
      </c>
      <c r="B6" s="4">
        <v>0.67249999999999999</v>
      </c>
      <c r="C6" t="s">
        <v>5</v>
      </c>
      <c r="H6" t="s">
        <v>6</v>
      </c>
      <c r="J6">
        <v>25</v>
      </c>
      <c r="K6" t="s">
        <v>7</v>
      </c>
    </row>
    <row r="7" spans="1:11" x14ac:dyDescent="0.25">
      <c r="A7" t="s">
        <v>8</v>
      </c>
      <c r="B7" s="7">
        <f>B6*J6/100</f>
        <v>0.168125</v>
      </c>
      <c r="C7" s="5" t="s">
        <v>9</v>
      </c>
      <c r="H7" t="s">
        <v>10</v>
      </c>
      <c r="J7">
        <v>90</v>
      </c>
      <c r="K7" t="s">
        <v>7</v>
      </c>
    </row>
    <row r="8" spans="1:11" x14ac:dyDescent="0.25">
      <c r="A8" t="s">
        <v>11</v>
      </c>
      <c r="B8" s="7">
        <f>B7*(100-J9)/100</f>
        <v>0.168125</v>
      </c>
      <c r="C8" s="5" t="s">
        <v>12</v>
      </c>
      <c r="H8" t="s">
        <v>13</v>
      </c>
      <c r="J8">
        <v>1.93</v>
      </c>
    </row>
    <row r="9" spans="1:11" x14ac:dyDescent="0.25">
      <c r="A9" t="s">
        <v>14</v>
      </c>
      <c r="B9" s="6">
        <f>B6*J7/100*J8</f>
        <v>1.1681324999999998</v>
      </c>
      <c r="C9" s="5" t="s">
        <v>15</v>
      </c>
      <c r="H9" t="s">
        <v>19</v>
      </c>
      <c r="J9">
        <v>0</v>
      </c>
      <c r="K9" t="s">
        <v>7</v>
      </c>
    </row>
    <row r="10" spans="1:11" x14ac:dyDescent="0.25">
      <c r="A10" t="s">
        <v>17</v>
      </c>
      <c r="B10" s="7">
        <f>B9-B7</f>
        <v>1.0000074999999997</v>
      </c>
      <c r="C10" s="5" t="s">
        <v>18</v>
      </c>
      <c r="H10" t="s">
        <v>22</v>
      </c>
      <c r="J10">
        <v>2</v>
      </c>
      <c r="K10" t="s">
        <v>7</v>
      </c>
    </row>
    <row r="11" spans="1:11" x14ac:dyDescent="0.25">
      <c r="A11" t="s">
        <v>20</v>
      </c>
      <c r="B11" s="4">
        <f>B10*(100-J10)/100</f>
        <v>0.98000734999999972</v>
      </c>
      <c r="C11" s="5" t="s">
        <v>21</v>
      </c>
      <c r="H11" t="s">
        <v>25</v>
      </c>
      <c r="J11">
        <f>20*0.66+0.5</f>
        <v>13.700000000000001</v>
      </c>
      <c r="K11" t="s">
        <v>26</v>
      </c>
    </row>
    <row r="12" spans="1:11" x14ac:dyDescent="0.25">
      <c r="A12" t="s">
        <v>23</v>
      </c>
      <c r="B12" s="6">
        <f>B11*J11</f>
        <v>13.426100694999997</v>
      </c>
      <c r="C12" t="s">
        <v>24</v>
      </c>
      <c r="H12" t="s">
        <v>28</v>
      </c>
      <c r="J12">
        <f>30*0.66+0.5</f>
        <v>20.3</v>
      </c>
      <c r="K12" t="s">
        <v>26</v>
      </c>
    </row>
    <row r="13" spans="1:11" x14ac:dyDescent="0.25">
      <c r="A13" t="s">
        <v>27</v>
      </c>
      <c r="B13" s="8">
        <f>B8*J12</f>
        <v>3.4129375</v>
      </c>
      <c r="C13" t="s">
        <v>24</v>
      </c>
    </row>
    <row r="14" spans="1:11" x14ac:dyDescent="0.25">
      <c r="A14" t="s">
        <v>29</v>
      </c>
      <c r="B14" s="6">
        <f>B12+B13</f>
        <v>16.839038194999997</v>
      </c>
      <c r="C14" t="s">
        <v>24</v>
      </c>
    </row>
    <row r="15" spans="1:11" x14ac:dyDescent="0.25">
      <c r="A15" t="s">
        <v>30</v>
      </c>
      <c r="B15" s="9">
        <f>B11/((100-J10)/100)/B14</f>
        <v>5.9386259976352523E-2</v>
      </c>
      <c r="C15" t="s">
        <v>31</v>
      </c>
    </row>
    <row r="16" spans="1:11" x14ac:dyDescent="0.25">
      <c r="A16" t="s">
        <v>32</v>
      </c>
      <c r="B16" s="9">
        <f>B7/B14</f>
        <v>9.9842400767236952E-3</v>
      </c>
      <c r="C16" t="s">
        <v>33</v>
      </c>
    </row>
    <row r="18" spans="1:5" x14ac:dyDescent="0.25">
      <c r="A18" s="2" t="s">
        <v>34</v>
      </c>
      <c r="B18" s="2"/>
      <c r="C18" s="2"/>
      <c r="D18" s="2"/>
      <c r="E18" s="2"/>
    </row>
    <row r="19" spans="1:5" x14ac:dyDescent="0.25">
      <c r="A19" s="3" t="s">
        <v>35</v>
      </c>
    </row>
    <row r="20" spans="1:5" x14ac:dyDescent="0.25">
      <c r="A20" t="s">
        <v>46</v>
      </c>
      <c r="B20">
        <f>1/(J6/100)</f>
        <v>4</v>
      </c>
      <c r="C20" t="s">
        <v>16</v>
      </c>
      <c r="E20" s="5" t="s">
        <v>47</v>
      </c>
    </row>
    <row r="21" spans="1:5" x14ac:dyDescent="0.25">
      <c r="A21" t="s">
        <v>36</v>
      </c>
      <c r="B21" s="6">
        <f>B20*J8*J7/100</f>
        <v>6.9479999999999995</v>
      </c>
      <c r="C21" t="s">
        <v>37</v>
      </c>
      <c r="E21" s="5" t="s">
        <v>48</v>
      </c>
    </row>
    <row r="22" spans="1:5" x14ac:dyDescent="0.25">
      <c r="A22" t="s">
        <v>45</v>
      </c>
      <c r="B22" s="7">
        <f>1/B21/((100-J9)/100)</f>
        <v>0.14392630972941856</v>
      </c>
      <c r="C22" t="s">
        <v>38</v>
      </c>
      <c r="E22" s="5" t="s">
        <v>39</v>
      </c>
    </row>
    <row r="23" spans="1:5" x14ac:dyDescent="0.25">
      <c r="A23" t="s">
        <v>44</v>
      </c>
      <c r="B23" s="6">
        <f>J11*(100-J10)/100</f>
        <v>13.426000000000002</v>
      </c>
      <c r="C23" t="s">
        <v>24</v>
      </c>
      <c r="E23" s="5" t="s">
        <v>40</v>
      </c>
    </row>
    <row r="24" spans="1:5" x14ac:dyDescent="0.25">
      <c r="A24" t="s">
        <v>41</v>
      </c>
      <c r="B24" s="8">
        <f>B22*J12</f>
        <v>2.9217040875071967</v>
      </c>
      <c r="C24" t="s">
        <v>24</v>
      </c>
      <c r="E24" s="5" t="s">
        <v>42</v>
      </c>
    </row>
    <row r="25" spans="1:5" x14ac:dyDescent="0.25">
      <c r="A25" t="s">
        <v>43</v>
      </c>
      <c r="B25" s="6">
        <f>B23+B24</f>
        <v>16.3477040875072</v>
      </c>
      <c r="C25" t="s">
        <v>24</v>
      </c>
    </row>
    <row r="26" spans="1:5" x14ac:dyDescent="0.25">
      <c r="A26" t="s">
        <v>30</v>
      </c>
      <c r="B26" s="9">
        <f>1/B25</f>
        <v>6.1170669266285102E-2</v>
      </c>
      <c r="C26" t="s">
        <v>31</v>
      </c>
    </row>
    <row r="27" spans="1:5" x14ac:dyDescent="0.25">
      <c r="A27" t="s">
        <v>32</v>
      </c>
      <c r="B27" s="9">
        <f>B22/B25</f>
        <v>8.8040686911751743E-3</v>
      </c>
      <c r="C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Röös</dc:creator>
  <cp:lastModifiedBy>Elin Röös</cp:lastModifiedBy>
  <dcterms:created xsi:type="dcterms:W3CDTF">2024-09-17T13:43:15Z</dcterms:created>
  <dcterms:modified xsi:type="dcterms:W3CDTF">2024-09-17T14:03:16Z</dcterms:modified>
</cp:coreProperties>
</file>