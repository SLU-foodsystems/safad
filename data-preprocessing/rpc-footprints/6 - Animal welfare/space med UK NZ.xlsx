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https://svelantbruksuniversitet-my.sharepoint.com/personal/elin_roos_slu_se/Documents/Dokument/SLU/Projekt 42 - Plan'eat/WP3/6 - Animal welfare/"/>
    </mc:Choice>
  </mc:AlternateContent>
  <xr:revisionPtr revIDLastSave="3" documentId="11_48641419EAC6C924A5F63CF0A93E5989C962F7AE" xr6:coauthVersionLast="47" xr6:coauthVersionMax="47" xr10:uidLastSave="{6027757C-940E-4CCD-95B3-E8CE866C47AF}"/>
  <bookViews>
    <workbookView xWindow="-108" yWindow="-108" windowWidth="23256" windowHeight="12576" xr2:uid="{00000000-000D-0000-FFFF-FFFF00000000}"/>
  </bookViews>
  <sheets>
    <sheet name="poultry" sheetId="1" r:id="rId1"/>
    <sheet name="pig" sheetId="5" r:id="rId2"/>
    <sheet name="cattle" sheetId="6" r:id="rId3"/>
    <sheet name="sheep" sheetId="7" r:id="rId4"/>
    <sheet name="horse" sheetId="2" r:id="rId5"/>
    <sheet name="rabbit" sheetId="4" r:id="rId6"/>
    <sheet name="salmon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3" i="6" l="1"/>
  <c r="N6" i="5"/>
  <c r="N5" i="5"/>
  <c r="C190" i="6"/>
  <c r="C175" i="6"/>
  <c r="G159" i="6"/>
  <c r="F159" i="6"/>
  <c r="E159" i="6"/>
  <c r="D159" i="6"/>
  <c r="C159" i="6"/>
  <c r="C160" i="6" s="1"/>
  <c r="B159" i="6"/>
  <c r="B160" i="6" s="1"/>
  <c r="G157" i="6"/>
  <c r="F157" i="6"/>
  <c r="E157" i="6"/>
  <c r="D157" i="6"/>
  <c r="C157" i="6"/>
  <c r="B157" i="6"/>
  <c r="H154" i="6"/>
  <c r="F103" i="6"/>
  <c r="E103" i="6"/>
  <c r="D103" i="6"/>
  <c r="C103" i="6"/>
  <c r="B103" i="6"/>
  <c r="F101" i="6"/>
  <c r="E101" i="6"/>
  <c r="D101" i="6"/>
  <c r="D104" i="6" s="1"/>
  <c r="C101" i="6"/>
  <c r="C104" i="6" s="1"/>
  <c r="B101" i="6"/>
  <c r="B104" i="6" s="1"/>
  <c r="G98" i="6"/>
  <c r="C67" i="7"/>
  <c r="C66" i="7"/>
  <c r="C34" i="7"/>
  <c r="C33" i="7"/>
  <c r="D160" i="6" l="1"/>
  <c r="G160" i="6"/>
  <c r="F160" i="6"/>
  <c r="E160" i="6"/>
  <c r="F104" i="6"/>
  <c r="E104" i="6"/>
  <c r="G140" i="6"/>
  <c r="F140" i="6"/>
  <c r="E140" i="6"/>
  <c r="D140" i="6"/>
  <c r="C140" i="6"/>
  <c r="B140" i="6"/>
  <c r="G138" i="6"/>
  <c r="G141" i="6" s="1"/>
  <c r="F138" i="6"/>
  <c r="E138" i="6"/>
  <c r="D138" i="6"/>
  <c r="C138" i="6"/>
  <c r="B138" i="6"/>
  <c r="B141" i="6" s="1"/>
  <c r="H135" i="6"/>
  <c r="C164" i="6"/>
  <c r="F141" i="6" l="1"/>
  <c r="H160" i="6"/>
  <c r="I160" i="6" s="1"/>
  <c r="D175" i="6" s="1"/>
  <c r="G104" i="6"/>
  <c r="D141" i="6"/>
  <c r="C141" i="6"/>
  <c r="H141" i="6" s="1"/>
  <c r="I141" i="6" s="1"/>
  <c r="D164" i="6" s="1"/>
  <c r="E141" i="6"/>
  <c r="B168" i="6"/>
  <c r="C168" i="6" s="1"/>
  <c r="C189" i="6"/>
  <c r="C188" i="6"/>
  <c r="C187" i="6"/>
  <c r="C186" i="6"/>
  <c r="C185" i="6"/>
  <c r="C184" i="6"/>
  <c r="C183" i="6"/>
  <c r="C182" i="6"/>
  <c r="C181" i="6"/>
  <c r="C180" i="6"/>
  <c r="C179" i="6"/>
  <c r="C174" i="6"/>
  <c r="C173" i="6"/>
  <c r="C172" i="6"/>
  <c r="C171" i="6"/>
  <c r="C170" i="6"/>
  <c r="C169" i="6"/>
  <c r="C167" i="6"/>
  <c r="C166" i="6"/>
  <c r="C165" i="6"/>
  <c r="G149" i="6"/>
  <c r="F149" i="6"/>
  <c r="E149" i="6"/>
  <c r="D149" i="6"/>
  <c r="C149" i="6"/>
  <c r="B149" i="6"/>
  <c r="G147" i="6"/>
  <c r="F147" i="6"/>
  <c r="E147" i="6"/>
  <c r="D147" i="6"/>
  <c r="C147" i="6"/>
  <c r="B147" i="6"/>
  <c r="H144" i="6"/>
  <c r="C131" i="6"/>
  <c r="D131" i="6"/>
  <c r="E131" i="6"/>
  <c r="F131" i="6"/>
  <c r="G131" i="6"/>
  <c r="B131" i="6"/>
  <c r="I5" i="6"/>
  <c r="I8" i="6"/>
  <c r="I11" i="6"/>
  <c r="I15" i="6"/>
  <c r="I18" i="6"/>
  <c r="I21" i="6"/>
  <c r="I25" i="6"/>
  <c r="I28" i="6"/>
  <c r="I31" i="6"/>
  <c r="I35" i="6"/>
  <c r="I38" i="6"/>
  <c r="I41" i="6"/>
  <c r="I45" i="6"/>
  <c r="I48" i="6"/>
  <c r="I51" i="6"/>
  <c r="G129" i="6"/>
  <c r="G132" i="6" s="1"/>
  <c r="F129" i="6"/>
  <c r="E129" i="6"/>
  <c r="D129" i="6"/>
  <c r="C129" i="6"/>
  <c r="C132" i="6" s="1"/>
  <c r="B129" i="6"/>
  <c r="B132" i="6" s="1"/>
  <c r="H126" i="6"/>
  <c r="G121" i="6"/>
  <c r="F121" i="6"/>
  <c r="E121" i="6"/>
  <c r="D121" i="6"/>
  <c r="C121" i="6"/>
  <c r="B121" i="6"/>
  <c r="G119" i="6"/>
  <c r="F119" i="6"/>
  <c r="E119" i="6"/>
  <c r="D119" i="6"/>
  <c r="C119" i="6"/>
  <c r="B119" i="6"/>
  <c r="H116" i="6"/>
  <c r="G112" i="6"/>
  <c r="F112" i="6"/>
  <c r="E112" i="6"/>
  <c r="D112" i="6"/>
  <c r="C112" i="6"/>
  <c r="B112" i="6"/>
  <c r="G110" i="6"/>
  <c r="F110" i="6"/>
  <c r="E110" i="6"/>
  <c r="D110" i="6"/>
  <c r="C110" i="6"/>
  <c r="B110" i="6"/>
  <c r="H107" i="6"/>
  <c r="F93" i="6"/>
  <c r="E93" i="6"/>
  <c r="D93" i="6"/>
  <c r="C93" i="6"/>
  <c r="B93" i="6"/>
  <c r="F91" i="6"/>
  <c r="E91" i="6"/>
  <c r="D91" i="6"/>
  <c r="C91" i="6"/>
  <c r="B91" i="6"/>
  <c r="G88" i="6"/>
  <c r="F84" i="6"/>
  <c r="E84" i="6"/>
  <c r="D84" i="6"/>
  <c r="C84" i="6"/>
  <c r="B84" i="6"/>
  <c r="F82" i="6"/>
  <c r="E82" i="6"/>
  <c r="D82" i="6"/>
  <c r="C82" i="6"/>
  <c r="B82" i="6"/>
  <c r="G79" i="6"/>
  <c r="C74" i="6"/>
  <c r="D74" i="6"/>
  <c r="E74" i="6"/>
  <c r="F74" i="6"/>
  <c r="B74" i="6"/>
  <c r="F72" i="6"/>
  <c r="E72" i="6"/>
  <c r="D72" i="6"/>
  <c r="C72" i="6"/>
  <c r="B72" i="6"/>
  <c r="G69" i="6"/>
  <c r="G57" i="6"/>
  <c r="G58" i="6"/>
  <c r="G59" i="6"/>
  <c r="G60" i="6"/>
  <c r="G61" i="6"/>
  <c r="G62" i="6"/>
  <c r="G63" i="6"/>
  <c r="G64" i="6"/>
  <c r="G65" i="6"/>
  <c r="G66" i="6"/>
  <c r="G56" i="6"/>
  <c r="D57" i="6"/>
  <c r="D58" i="6"/>
  <c r="D59" i="6"/>
  <c r="D60" i="6"/>
  <c r="D61" i="6"/>
  <c r="D62" i="6"/>
  <c r="D63" i="6"/>
  <c r="D64" i="6"/>
  <c r="D65" i="6"/>
  <c r="D66" i="6"/>
  <c r="D56" i="6"/>
  <c r="C57" i="6"/>
  <c r="C58" i="6"/>
  <c r="C59" i="6"/>
  <c r="C60" i="6"/>
  <c r="C61" i="6"/>
  <c r="C62" i="6"/>
  <c r="C63" i="6"/>
  <c r="C64" i="6"/>
  <c r="C65" i="6"/>
  <c r="C66" i="6"/>
  <c r="C56" i="6"/>
  <c r="H51" i="6"/>
  <c r="G51" i="6"/>
  <c r="F51" i="6"/>
  <c r="E51" i="6"/>
  <c r="D51" i="6"/>
  <c r="C51" i="6"/>
  <c r="B51" i="6"/>
  <c r="H48" i="6"/>
  <c r="G48" i="6"/>
  <c r="F48" i="6"/>
  <c r="E48" i="6"/>
  <c r="D48" i="6"/>
  <c r="C48" i="6"/>
  <c r="B48" i="6"/>
  <c r="H45" i="6"/>
  <c r="H31" i="6"/>
  <c r="G31" i="6"/>
  <c r="F31" i="6"/>
  <c r="E31" i="6"/>
  <c r="D31" i="6"/>
  <c r="C31" i="6"/>
  <c r="B31" i="6"/>
  <c r="H28" i="6"/>
  <c r="G28" i="6"/>
  <c r="F28" i="6"/>
  <c r="E28" i="6"/>
  <c r="D28" i="6"/>
  <c r="C28" i="6"/>
  <c r="B28" i="6"/>
  <c r="H25" i="6"/>
  <c r="H21" i="6"/>
  <c r="G21" i="6"/>
  <c r="F21" i="6"/>
  <c r="E21" i="6"/>
  <c r="D21" i="6"/>
  <c r="C21" i="6"/>
  <c r="B21" i="6"/>
  <c r="H18" i="6"/>
  <c r="G18" i="6"/>
  <c r="F18" i="6"/>
  <c r="E18" i="6"/>
  <c r="D18" i="6"/>
  <c r="C18" i="6"/>
  <c r="B18" i="6"/>
  <c r="H15" i="6"/>
  <c r="H41" i="6"/>
  <c r="G41" i="6"/>
  <c r="F41" i="6"/>
  <c r="E41" i="6"/>
  <c r="D41" i="6"/>
  <c r="C41" i="6"/>
  <c r="B41" i="6"/>
  <c r="V40" i="6"/>
  <c r="H38" i="6"/>
  <c r="G38" i="6"/>
  <c r="F38" i="6"/>
  <c r="E38" i="6"/>
  <c r="D38" i="6"/>
  <c r="C38" i="6"/>
  <c r="B38" i="6"/>
  <c r="H35" i="6"/>
  <c r="H11" i="6"/>
  <c r="G11" i="6"/>
  <c r="F11" i="6"/>
  <c r="E11" i="6"/>
  <c r="D11" i="6"/>
  <c r="C11" i="6"/>
  <c r="B11" i="6"/>
  <c r="H8" i="6"/>
  <c r="G8" i="6"/>
  <c r="F8" i="6"/>
  <c r="E8" i="6"/>
  <c r="D8" i="6"/>
  <c r="C8" i="6"/>
  <c r="B8" i="6"/>
  <c r="H5" i="6"/>
  <c r="C23" i="7"/>
  <c r="C24" i="7"/>
  <c r="C25" i="7"/>
  <c r="C26" i="7"/>
  <c r="C27" i="7"/>
  <c r="C28" i="7"/>
  <c r="C29" i="7"/>
  <c r="C30" i="7"/>
  <c r="C31" i="7"/>
  <c r="C32" i="7"/>
  <c r="C22" i="7"/>
  <c r="B150" i="6" l="1"/>
  <c r="J15" i="6"/>
  <c r="D132" i="6"/>
  <c r="E132" i="6"/>
  <c r="F132" i="6"/>
  <c r="C150" i="6"/>
  <c r="E150" i="6"/>
  <c r="G150" i="6"/>
  <c r="F150" i="6"/>
  <c r="D150" i="6"/>
  <c r="J35" i="6"/>
  <c r="J5" i="6"/>
  <c r="J45" i="6"/>
  <c r="J25" i="6"/>
  <c r="I22" i="6"/>
  <c r="I32" i="6"/>
  <c r="I52" i="6"/>
  <c r="I42" i="6"/>
  <c r="I12" i="6"/>
  <c r="B85" i="6"/>
  <c r="C122" i="6"/>
  <c r="G113" i="6"/>
  <c r="D113" i="6"/>
  <c r="B122" i="6"/>
  <c r="D122" i="6"/>
  <c r="B113" i="6"/>
  <c r="C75" i="6"/>
  <c r="H12" i="6"/>
  <c r="B32" i="6"/>
  <c r="C32" i="6"/>
  <c r="D52" i="6"/>
  <c r="E94" i="6"/>
  <c r="E122" i="6"/>
  <c r="C113" i="6"/>
  <c r="F122" i="6"/>
  <c r="E32" i="6"/>
  <c r="F52" i="6"/>
  <c r="E52" i="6"/>
  <c r="D85" i="6"/>
  <c r="F22" i="6"/>
  <c r="E113" i="6"/>
  <c r="G122" i="6"/>
  <c r="E12" i="6"/>
  <c r="F85" i="6"/>
  <c r="B94" i="6"/>
  <c r="F113" i="6"/>
  <c r="B52" i="6"/>
  <c r="C94" i="6"/>
  <c r="F94" i="6"/>
  <c r="C85" i="6"/>
  <c r="D94" i="6"/>
  <c r="E85" i="6"/>
  <c r="F32" i="6"/>
  <c r="H32" i="6"/>
  <c r="C12" i="6"/>
  <c r="G42" i="6"/>
  <c r="B75" i="6"/>
  <c r="G52" i="6"/>
  <c r="D75" i="6"/>
  <c r="E75" i="6"/>
  <c r="F75" i="6"/>
  <c r="C52" i="6"/>
  <c r="G32" i="6"/>
  <c r="H52" i="6"/>
  <c r="C42" i="6"/>
  <c r="G12" i="6"/>
  <c r="G22" i="6"/>
  <c r="D12" i="6"/>
  <c r="D32" i="6"/>
  <c r="F42" i="6"/>
  <c r="F12" i="6"/>
  <c r="H22" i="6"/>
  <c r="E22" i="6"/>
  <c r="D22" i="6"/>
  <c r="C22" i="6"/>
  <c r="B22" i="6"/>
  <c r="E42" i="6"/>
  <c r="H42" i="6"/>
  <c r="B42" i="6"/>
  <c r="B12" i="6"/>
  <c r="D42" i="6"/>
  <c r="H150" i="6" l="1"/>
  <c r="I150" i="6" s="1"/>
  <c r="D170" i="6" s="1"/>
  <c r="H132" i="6"/>
  <c r="I132" i="6" s="1"/>
  <c r="D163" i="6" s="1"/>
  <c r="D169" i="6"/>
  <c r="J32" i="6"/>
  <c r="K32" i="6" s="1"/>
  <c r="J22" i="6"/>
  <c r="K22" i="6" s="1"/>
  <c r="D179" i="6" s="1"/>
  <c r="J42" i="6"/>
  <c r="K42" i="6" s="1"/>
  <c r="J52" i="6"/>
  <c r="K52" i="6" s="1"/>
  <c r="J12" i="6"/>
  <c r="K12" i="6" s="1"/>
  <c r="D186" i="6" s="1"/>
  <c r="H122" i="6"/>
  <c r="I122" i="6" s="1"/>
  <c r="G94" i="6"/>
  <c r="H113" i="6"/>
  <c r="G85" i="6"/>
  <c r="G75" i="6"/>
  <c r="D165" i="6" l="1"/>
  <c r="D166" i="6"/>
  <c r="D173" i="6"/>
  <c r="D168" i="6"/>
  <c r="D174" i="6"/>
  <c r="D172" i="6"/>
  <c r="D190" i="6"/>
  <c r="D182" i="6"/>
  <c r="D183" i="6"/>
  <c r="D187" i="6"/>
  <c r="D188" i="6"/>
  <c r="D189" i="6"/>
  <c r="D185" i="6"/>
  <c r="D181" i="6"/>
  <c r="D180" i="6"/>
  <c r="D184" i="6"/>
  <c r="D167" i="6"/>
  <c r="I113" i="6"/>
  <c r="I123" i="6" s="1"/>
  <c r="D171" i="6" s="1"/>
  <c r="H56" i="6"/>
  <c r="H63" i="6"/>
  <c r="H62" i="6"/>
  <c r="H59" i="6"/>
  <c r="H61" i="6"/>
  <c r="H57" i="6"/>
  <c r="H66" i="6"/>
  <c r="H64" i="6"/>
  <c r="H58" i="6"/>
  <c r="H65" i="6"/>
  <c r="H60" i="6"/>
  <c r="C65" i="7" l="1"/>
  <c r="C64" i="7"/>
  <c r="C63" i="7"/>
  <c r="C62" i="7"/>
  <c r="C61" i="7"/>
  <c r="C60" i="7"/>
  <c r="C59" i="7"/>
  <c r="C58" i="7"/>
  <c r="C57" i="7"/>
  <c r="C56" i="7"/>
  <c r="C55" i="7"/>
  <c r="C49" i="7"/>
  <c r="C50" i="7" s="1"/>
  <c r="D49" i="7"/>
  <c r="D50" i="7" s="1"/>
  <c r="E49" i="7"/>
  <c r="E50" i="7" s="1"/>
  <c r="F49" i="7"/>
  <c r="F50" i="7" s="1"/>
  <c r="G49" i="7"/>
  <c r="G50" i="7" s="1"/>
  <c r="H49" i="7"/>
  <c r="H50" i="7" s="1"/>
  <c r="B49" i="7"/>
  <c r="B50" i="7" s="1"/>
  <c r="H48" i="7"/>
  <c r="G48" i="7"/>
  <c r="F48" i="7"/>
  <c r="E48" i="7"/>
  <c r="D48" i="7"/>
  <c r="C48" i="7"/>
  <c r="B48" i="7"/>
  <c r="H45" i="7"/>
  <c r="G45" i="7"/>
  <c r="H39" i="7"/>
  <c r="H42" i="7"/>
  <c r="G42" i="7"/>
  <c r="G39" i="7"/>
  <c r="F42" i="7"/>
  <c r="F39" i="7"/>
  <c r="H36" i="7"/>
  <c r="G36" i="7"/>
  <c r="E42" i="7"/>
  <c r="D42" i="7"/>
  <c r="C42" i="7"/>
  <c r="B42" i="7"/>
  <c r="E39" i="7"/>
  <c r="D39" i="7"/>
  <c r="C39" i="7"/>
  <c r="B39" i="7"/>
  <c r="C17" i="7"/>
  <c r="C18" i="7" s="1"/>
  <c r="D17" i="7"/>
  <c r="D18" i="7" s="1"/>
  <c r="E17" i="7"/>
  <c r="E18" i="7" s="1"/>
  <c r="B17" i="7"/>
  <c r="B18" i="7" s="1"/>
  <c r="E16" i="7"/>
  <c r="D16" i="7"/>
  <c r="C16" i="7"/>
  <c r="B16" i="7"/>
  <c r="F13" i="7"/>
  <c r="C7" i="7"/>
  <c r="D7" i="7"/>
  <c r="E7" i="7"/>
  <c r="B7" i="7"/>
  <c r="E10" i="7"/>
  <c r="D10" i="7"/>
  <c r="C10" i="7"/>
  <c r="B10" i="7"/>
  <c r="F4" i="7"/>
  <c r="R40" i="5"/>
  <c r="I43" i="5"/>
  <c r="I44" i="5" s="1"/>
  <c r="H43" i="5"/>
  <c r="H44" i="5" s="1"/>
  <c r="G43" i="5"/>
  <c r="G44" i="5" s="1"/>
  <c r="B43" i="5"/>
  <c r="B44" i="5" s="1"/>
  <c r="F42" i="5"/>
  <c r="F43" i="5" s="1"/>
  <c r="F44" i="5" s="1"/>
  <c r="E42" i="5"/>
  <c r="E43" i="5" s="1"/>
  <c r="E44" i="5" s="1"/>
  <c r="D42" i="5"/>
  <c r="D43" i="5" s="1"/>
  <c r="D44" i="5" s="1"/>
  <c r="C42" i="5"/>
  <c r="C43" i="5" s="1"/>
  <c r="C44" i="5" s="1"/>
  <c r="I40" i="5"/>
  <c r="H40" i="5"/>
  <c r="G40" i="5"/>
  <c r="F40" i="5"/>
  <c r="E40" i="5"/>
  <c r="D40" i="5"/>
  <c r="C40" i="5"/>
  <c r="B40" i="5"/>
  <c r="J37" i="5"/>
  <c r="K33" i="5"/>
  <c r="J33" i="5"/>
  <c r="I33" i="5"/>
  <c r="H33" i="5"/>
  <c r="G33" i="5"/>
  <c r="F33" i="5"/>
  <c r="E33" i="5"/>
  <c r="D33" i="5"/>
  <c r="C33" i="5"/>
  <c r="C34" i="5" s="1"/>
  <c r="B33" i="5"/>
  <c r="K32" i="5"/>
  <c r="J32" i="5"/>
  <c r="I32" i="5"/>
  <c r="H32" i="5"/>
  <c r="G32" i="5"/>
  <c r="F32" i="5"/>
  <c r="E32" i="5"/>
  <c r="D32" i="5"/>
  <c r="C32" i="5"/>
  <c r="B32" i="5"/>
  <c r="K29" i="5"/>
  <c r="J29" i="5"/>
  <c r="I29" i="5"/>
  <c r="I34" i="5" s="1"/>
  <c r="H29" i="5"/>
  <c r="G29" i="5"/>
  <c r="G34" i="5" s="1"/>
  <c r="F29" i="5"/>
  <c r="F34" i="5" s="1"/>
  <c r="E29" i="5"/>
  <c r="D29" i="5"/>
  <c r="D34" i="5" s="1"/>
  <c r="C29" i="5"/>
  <c r="B29" i="5"/>
  <c r="J26" i="5"/>
  <c r="L26" i="5" s="1"/>
  <c r="K34" i="5" l="1"/>
  <c r="B45" i="5"/>
  <c r="I36" i="7"/>
  <c r="I45" i="7"/>
  <c r="C11" i="7"/>
  <c r="G51" i="7"/>
  <c r="C51" i="7"/>
  <c r="D51" i="7"/>
  <c r="B51" i="7"/>
  <c r="E51" i="7"/>
  <c r="F51" i="7"/>
  <c r="H51" i="7"/>
  <c r="F43" i="7"/>
  <c r="G43" i="7"/>
  <c r="C43" i="7"/>
  <c r="H43" i="7"/>
  <c r="B43" i="7"/>
  <c r="E43" i="7"/>
  <c r="E11" i="7"/>
  <c r="D11" i="7"/>
  <c r="B11" i="7"/>
  <c r="D43" i="7"/>
  <c r="C19" i="7"/>
  <c r="D19" i="7"/>
  <c r="E19" i="7"/>
  <c r="B19" i="7"/>
  <c r="I45" i="5"/>
  <c r="D45" i="5"/>
  <c r="H34" i="5"/>
  <c r="B34" i="5"/>
  <c r="J34" i="5"/>
  <c r="C45" i="5"/>
  <c r="E34" i="5"/>
  <c r="H45" i="5"/>
  <c r="E45" i="5"/>
  <c r="F45" i="5"/>
  <c r="G45" i="5"/>
  <c r="B21" i="5"/>
  <c r="B22" i="5" s="1"/>
  <c r="F20" i="5"/>
  <c r="F21" i="5" s="1"/>
  <c r="F22" i="5" s="1"/>
  <c r="E20" i="5"/>
  <c r="E21" i="5" s="1"/>
  <c r="E22" i="5" s="1"/>
  <c r="D20" i="5"/>
  <c r="D21" i="5" s="1"/>
  <c r="D22" i="5" s="1"/>
  <c r="C20" i="5"/>
  <c r="C21" i="5" s="1"/>
  <c r="C22" i="5" s="1"/>
  <c r="C23" i="5" s="1"/>
  <c r="F17" i="5"/>
  <c r="E17" i="5"/>
  <c r="D17" i="5"/>
  <c r="C17" i="5"/>
  <c r="B17" i="5"/>
  <c r="B23" i="5" s="1"/>
  <c r="G14" i="5"/>
  <c r="D12" i="5"/>
  <c r="H11" i="5"/>
  <c r="G11" i="5"/>
  <c r="F11" i="5"/>
  <c r="E11" i="5"/>
  <c r="D11" i="5"/>
  <c r="C11" i="5"/>
  <c r="B11" i="5"/>
  <c r="H10" i="5"/>
  <c r="G10" i="5"/>
  <c r="F10" i="5"/>
  <c r="E10" i="5"/>
  <c r="D10" i="5"/>
  <c r="C10" i="5"/>
  <c r="B10" i="5"/>
  <c r="H7" i="5"/>
  <c r="G7" i="5"/>
  <c r="F7" i="5"/>
  <c r="E7" i="5"/>
  <c r="D7" i="5"/>
  <c r="C7" i="5"/>
  <c r="B7" i="5"/>
  <c r="I4" i="5"/>
  <c r="I51" i="7" l="1"/>
  <c r="F11" i="7"/>
  <c r="D29" i="7" s="1"/>
  <c r="I43" i="7"/>
  <c r="D62" i="7" s="1"/>
  <c r="F19" i="7"/>
  <c r="J45" i="5"/>
  <c r="H12" i="5"/>
  <c r="L34" i="5"/>
  <c r="B12" i="5"/>
  <c r="C12" i="5"/>
  <c r="F23" i="5"/>
  <c r="E12" i="5"/>
  <c r="F12" i="5"/>
  <c r="G12" i="5"/>
  <c r="D23" i="5"/>
  <c r="E23" i="5"/>
  <c r="C10" i="3"/>
  <c r="B10" i="3"/>
  <c r="D9" i="3"/>
  <c r="C9" i="3"/>
  <c r="B9" i="3"/>
  <c r="D8" i="3"/>
  <c r="C8" i="3"/>
  <c r="B8" i="3"/>
  <c r="B9" i="4"/>
  <c r="B18" i="4"/>
  <c r="D18" i="4"/>
  <c r="C18" i="4" s="1"/>
  <c r="C19" i="4" s="1"/>
  <c r="D17" i="4"/>
  <c r="D19" i="4" s="1"/>
  <c r="D20" i="4" s="1"/>
  <c r="C17" i="4"/>
  <c r="B17" i="4"/>
  <c r="B19" i="4" s="1"/>
  <c r="D27" i="4"/>
  <c r="B28" i="4" s="1"/>
  <c r="B29" i="4" s="1"/>
  <c r="D26" i="4"/>
  <c r="C26" i="4"/>
  <c r="B26" i="4"/>
  <c r="D9" i="4"/>
  <c r="D8" i="4"/>
  <c r="C8" i="4"/>
  <c r="B8" i="4"/>
  <c r="D10" i="3" l="1"/>
  <c r="D11" i="3" s="1"/>
  <c r="B11" i="3"/>
  <c r="D34" i="7"/>
  <c r="D33" i="7"/>
  <c r="D67" i="7"/>
  <c r="D66" i="7"/>
  <c r="C11" i="3"/>
  <c r="D24" i="7"/>
  <c r="D25" i="7"/>
  <c r="D31" i="7"/>
  <c r="D32" i="7"/>
  <c r="D26" i="7"/>
  <c r="D30" i="7"/>
  <c r="D28" i="7"/>
  <c r="D27" i="7"/>
  <c r="D23" i="7"/>
  <c r="D22" i="7"/>
  <c r="D56" i="7"/>
  <c r="D64" i="7"/>
  <c r="D57" i="7"/>
  <c r="D65" i="7"/>
  <c r="D55" i="7"/>
  <c r="D60" i="7"/>
  <c r="D58" i="7"/>
  <c r="D61" i="7"/>
  <c r="D63" i="7"/>
  <c r="D59" i="7"/>
  <c r="G23" i="5"/>
  <c r="I12" i="5"/>
  <c r="C20" i="4"/>
  <c r="B20" i="4"/>
  <c r="C27" i="4"/>
  <c r="C28" i="4" s="1"/>
  <c r="C29" i="4" s="1"/>
  <c r="D28" i="4"/>
  <c r="D29" i="4" s="1"/>
  <c r="C9" i="4"/>
  <c r="C10" i="4" s="1"/>
  <c r="C11" i="4" s="1"/>
  <c r="D10" i="4"/>
  <c r="D11" i="4" s="1"/>
  <c r="B10" i="4"/>
  <c r="B11" i="4" s="1"/>
  <c r="E11" i="3" l="1"/>
  <c r="E20" i="4"/>
  <c r="E29" i="4"/>
  <c r="E11" i="4"/>
  <c r="B23" i="2" l="1"/>
  <c r="B21" i="2"/>
  <c r="B15" i="2"/>
  <c r="B13" i="2"/>
  <c r="C39" i="2"/>
  <c r="C38" i="2"/>
  <c r="C37" i="2"/>
  <c r="C36" i="2"/>
  <c r="C35" i="2"/>
  <c r="C34" i="2"/>
  <c r="C33" i="2"/>
  <c r="C32" i="2"/>
  <c r="C31" i="2"/>
  <c r="C30" i="2"/>
  <c r="C29" i="2"/>
  <c r="B8" i="2"/>
  <c r="B6" i="2"/>
  <c r="K102" i="1"/>
  <c r="D102" i="1"/>
  <c r="L99" i="1"/>
  <c r="L102" i="1" s="1"/>
  <c r="K99" i="1"/>
  <c r="J99" i="1"/>
  <c r="J102" i="1" s="1"/>
  <c r="I99" i="1"/>
  <c r="I102" i="1" s="1"/>
  <c r="H99" i="1"/>
  <c r="H102" i="1" s="1"/>
  <c r="G99" i="1"/>
  <c r="G102" i="1" s="1"/>
  <c r="F99" i="1"/>
  <c r="F102" i="1" s="1"/>
  <c r="E99" i="1"/>
  <c r="E102" i="1" s="1"/>
  <c r="D99" i="1"/>
  <c r="C99" i="1"/>
  <c r="C102" i="1" s="1"/>
  <c r="B99" i="1"/>
  <c r="B102" i="1" s="1"/>
  <c r="D94" i="1"/>
  <c r="G93" i="1"/>
  <c r="F93" i="1"/>
  <c r="E93" i="1"/>
  <c r="D93" i="1"/>
  <c r="C93" i="1"/>
  <c r="B93" i="1"/>
  <c r="B94" i="1" s="1"/>
  <c r="G91" i="1"/>
  <c r="F91" i="1"/>
  <c r="F94" i="1" s="1"/>
  <c r="E91" i="1"/>
  <c r="D91" i="1"/>
  <c r="C91" i="1"/>
  <c r="C94" i="1" s="1"/>
  <c r="B91" i="1"/>
  <c r="G88" i="1"/>
  <c r="G83" i="1"/>
  <c r="C84" i="1"/>
  <c r="F83" i="1"/>
  <c r="E83" i="1"/>
  <c r="D83" i="1"/>
  <c r="C83" i="1"/>
  <c r="B83" i="1"/>
  <c r="B84" i="1" s="1"/>
  <c r="G81" i="1"/>
  <c r="F81" i="1"/>
  <c r="E81" i="1"/>
  <c r="E84" i="1" s="1"/>
  <c r="D81" i="1"/>
  <c r="D84" i="1" s="1"/>
  <c r="C81" i="1"/>
  <c r="B81" i="1"/>
  <c r="G78" i="1"/>
  <c r="F72" i="1"/>
  <c r="G72" i="1"/>
  <c r="F74" i="1"/>
  <c r="E73" i="1"/>
  <c r="D73" i="1"/>
  <c r="C73" i="1"/>
  <c r="B73" i="1"/>
  <c r="G71" i="1"/>
  <c r="G74" i="1" s="1"/>
  <c r="F71" i="1"/>
  <c r="E71" i="1"/>
  <c r="E74" i="1" s="1"/>
  <c r="D71" i="1"/>
  <c r="D74" i="1" s="1"/>
  <c r="C71" i="1"/>
  <c r="B71" i="1"/>
  <c r="G68" i="1"/>
  <c r="B64" i="1"/>
  <c r="E63" i="1"/>
  <c r="D63" i="1"/>
  <c r="C63" i="1"/>
  <c r="B63" i="1"/>
  <c r="G62" i="1"/>
  <c r="F62" i="1"/>
  <c r="F63" i="1" s="1"/>
  <c r="G61" i="1"/>
  <c r="G64" i="1" s="1"/>
  <c r="F61" i="1"/>
  <c r="E61" i="1"/>
  <c r="E64" i="1" s="1"/>
  <c r="D61" i="1"/>
  <c r="D64" i="1" s="1"/>
  <c r="C61" i="1"/>
  <c r="C64" i="1" s="1"/>
  <c r="B61" i="1"/>
  <c r="G58" i="1"/>
  <c r="G52" i="1"/>
  <c r="G53" i="1" s="1"/>
  <c r="F52" i="1"/>
  <c r="E52" i="1"/>
  <c r="D52" i="1"/>
  <c r="C52" i="1"/>
  <c r="B52" i="1"/>
  <c r="G50" i="1"/>
  <c r="F50" i="1"/>
  <c r="E50" i="1"/>
  <c r="E53" i="1" s="1"/>
  <c r="D50" i="1"/>
  <c r="C50" i="1"/>
  <c r="B50" i="1"/>
  <c r="G47" i="1"/>
  <c r="F40" i="1"/>
  <c r="F41" i="1" s="1"/>
  <c r="F42" i="1" s="1"/>
  <c r="F38" i="1"/>
  <c r="E38" i="1"/>
  <c r="D38" i="1"/>
  <c r="C38" i="1"/>
  <c r="B38" i="1"/>
  <c r="B30" i="1"/>
  <c r="B31" i="1" s="1"/>
  <c r="F30" i="1"/>
  <c r="F31" i="1" s="1"/>
  <c r="F28" i="1"/>
  <c r="E28" i="1"/>
  <c r="D28" i="1"/>
  <c r="C28" i="1"/>
  <c r="B28" i="1"/>
  <c r="F20" i="1"/>
  <c r="F21" i="1" s="1"/>
  <c r="F18" i="1"/>
  <c r="E18" i="1"/>
  <c r="D18" i="1"/>
  <c r="C18" i="1"/>
  <c r="B18" i="1"/>
  <c r="F10" i="1"/>
  <c r="F11" i="1" s="1"/>
  <c r="F8" i="1"/>
  <c r="E8" i="1"/>
  <c r="D8" i="1"/>
  <c r="C8" i="1"/>
  <c r="B8" i="1"/>
  <c r="F64" i="1" l="1"/>
  <c r="H64" i="1" s="1"/>
  <c r="C20" i="1"/>
  <c r="C21" i="1" s="1"/>
  <c r="E30" i="1"/>
  <c r="E31" i="1" s="1"/>
  <c r="E32" i="1" s="1"/>
  <c r="B74" i="1"/>
  <c r="H74" i="1" s="1"/>
  <c r="F22" i="1"/>
  <c r="F53" i="1"/>
  <c r="B20" i="1"/>
  <c r="B21" i="1" s="1"/>
  <c r="B22" i="1" s="1"/>
  <c r="D30" i="1"/>
  <c r="D31" i="1" s="1"/>
  <c r="D32" i="1" s="1"/>
  <c r="C74" i="1"/>
  <c r="C30" i="1"/>
  <c r="C31" i="1" s="1"/>
  <c r="G94" i="1"/>
  <c r="B24" i="2"/>
  <c r="B16" i="2"/>
  <c r="B9" i="2"/>
  <c r="E94" i="1"/>
  <c r="H94" i="1" s="1"/>
  <c r="G84" i="1"/>
  <c r="F84" i="1"/>
  <c r="B32" i="1"/>
  <c r="B53" i="1"/>
  <c r="E10" i="1"/>
  <c r="E11" i="1" s="1"/>
  <c r="E12" i="1" s="1"/>
  <c r="E40" i="1"/>
  <c r="E41" i="1" s="1"/>
  <c r="E42" i="1" s="1"/>
  <c r="C53" i="1"/>
  <c r="D10" i="1"/>
  <c r="D11" i="1" s="1"/>
  <c r="D12" i="1" s="1"/>
  <c r="D40" i="1"/>
  <c r="D41" i="1" s="1"/>
  <c r="D42" i="1" s="1"/>
  <c r="D53" i="1"/>
  <c r="C10" i="1"/>
  <c r="C11" i="1" s="1"/>
  <c r="C12" i="1" s="1"/>
  <c r="E20" i="1"/>
  <c r="E21" i="1" s="1"/>
  <c r="E22" i="1" s="1"/>
  <c r="C40" i="1"/>
  <c r="C41" i="1" s="1"/>
  <c r="C42" i="1" s="1"/>
  <c r="B10" i="1"/>
  <c r="B11" i="1" s="1"/>
  <c r="B12" i="1" s="1"/>
  <c r="D20" i="1"/>
  <c r="D21" i="1" s="1"/>
  <c r="B40" i="1"/>
  <c r="B41" i="1" s="1"/>
  <c r="B42" i="1" s="1"/>
  <c r="F32" i="1"/>
  <c r="C32" i="1"/>
  <c r="D22" i="1"/>
  <c r="C22" i="1"/>
  <c r="F12" i="1"/>
  <c r="H84" i="1" l="1"/>
  <c r="H53" i="1"/>
  <c r="D38" i="2"/>
  <c r="E38" i="2" s="1"/>
  <c r="D35" i="2"/>
  <c r="E35" i="2" s="1"/>
  <c r="D31" i="2"/>
  <c r="E31" i="2" s="1"/>
  <c r="D39" i="2"/>
  <c r="E39" i="2" s="1"/>
  <c r="D29" i="2"/>
  <c r="E29" i="2" s="1"/>
  <c r="D37" i="2"/>
  <c r="E37" i="2" s="1"/>
  <c r="D30" i="2"/>
  <c r="E30" i="2" s="1"/>
  <c r="D32" i="2"/>
  <c r="E32" i="2" s="1"/>
  <c r="D33" i="2"/>
  <c r="E33" i="2" s="1"/>
  <c r="D34" i="2"/>
  <c r="E34" i="2" s="1"/>
  <c r="B17" i="2"/>
  <c r="D36" i="2" s="1"/>
  <c r="E36" i="2" s="1"/>
  <c r="G42" i="1"/>
  <c r="G22" i="1"/>
  <c r="G32" i="1"/>
  <c r="G12" i="1"/>
</calcChain>
</file>

<file path=xl/sharedStrings.xml><?xml version="1.0" encoding="utf-8"?>
<sst xmlns="http://schemas.openxmlformats.org/spreadsheetml/2006/main" count="796" uniqueCount="261">
  <si>
    <t>Chicken EU</t>
  </si>
  <si>
    <t>week</t>
  </si>
  <si>
    <t>body length</t>
  </si>
  <si>
    <t>body width</t>
  </si>
  <si>
    <t>body area cm2</t>
  </si>
  <si>
    <t>law</t>
  </si>
  <si>
    <t>N/m2</t>
  </si>
  <si>
    <t>cm2/animal</t>
  </si>
  <si>
    <t>area covered %</t>
  </si>
  <si>
    <t>42 kg / m2</t>
  </si>
  <si>
    <t>Chicken DK</t>
  </si>
  <si>
    <t>Chicken GE</t>
  </si>
  <si>
    <t>body weight</t>
  </si>
  <si>
    <t>40 kg / m2</t>
  </si>
  <si>
    <t>39 kg / m2</t>
  </si>
  <si>
    <t>36 kg / m2</t>
  </si>
  <si>
    <t>Assuming same numbers of birds on same total area all life</t>
  </si>
  <si>
    <t>Chickens</t>
  </si>
  <si>
    <t>REF</t>
  </si>
  <si>
    <t>The better chicken, nd</t>
  </si>
  <si>
    <t>Law is indicated in yellow</t>
  </si>
  <si>
    <t>Chicken parent</t>
  </si>
  <si>
    <t>&lt;2,4</t>
  </si>
  <si>
    <t>0-3wk</t>
  </si>
  <si>
    <t>4-6wk</t>
  </si>
  <si>
    <t>7-15wk</t>
  </si>
  <si>
    <t>16-18wk</t>
  </si>
  <si>
    <t>19-21wk</t>
  </si>
  <si>
    <t>22-65wk</t>
  </si>
  <si>
    <t>Higher number means larger area covered by animal, i.e. higher stocking density, i.e. worse</t>
  </si>
  <si>
    <t>Chicken parents</t>
  </si>
  <si>
    <t>Assuming 1st egg at 24wk and slaughter at 65 wk</t>
  </si>
  <si>
    <t xml:space="preserve">Chicken SE </t>
  </si>
  <si>
    <t>SE law</t>
  </si>
  <si>
    <t>GE law</t>
  </si>
  <si>
    <t>DK law</t>
  </si>
  <si>
    <t>EU law</t>
  </si>
  <si>
    <t>Asuming same space in all countries (no EU law)</t>
  </si>
  <si>
    <t>weeks to sum</t>
  </si>
  <si>
    <t>law N/m2</t>
  </si>
  <si>
    <t>law, kg/m2</t>
  </si>
  <si>
    <t>Laying hens</t>
  </si>
  <si>
    <t>Assuming 1st egg at 18wk  and slaughter at 75 wk</t>
  </si>
  <si>
    <t>Laying hen EU</t>
  </si>
  <si>
    <t>cage</t>
  </si>
  <si>
    <t>22-75wk</t>
  </si>
  <si>
    <t xml:space="preserve"> N/m2</t>
  </si>
  <si>
    <t>Assuming same space as in SE until wk 18 (no EU law)</t>
  </si>
  <si>
    <t>EU, 2007</t>
  </si>
  <si>
    <t>EU, 1999</t>
  </si>
  <si>
    <t>Laying hen DK SE</t>
  </si>
  <si>
    <t>including nest and dust bath</t>
  </si>
  <si>
    <t>(no law in DK for young hens)</t>
  </si>
  <si>
    <t xml:space="preserve">Assuming same space in DK as in SE until wk 18 </t>
  </si>
  <si>
    <t>free range</t>
  </si>
  <si>
    <t>Assuming same space as in SE until wk 6 (no EU law)</t>
  </si>
  <si>
    <t>and same space as för EU chicken 7-21 wk (no EU law)</t>
  </si>
  <si>
    <t>Laying hen SE DK</t>
  </si>
  <si>
    <t>(no DK law for young hens)</t>
  </si>
  <si>
    <t xml:space="preserve">Assuming same space in DK as in SE for young hens </t>
  </si>
  <si>
    <t>DK</t>
  </si>
  <si>
    <t>FR</t>
  </si>
  <si>
    <t>DE</t>
  </si>
  <si>
    <t>GR</t>
  </si>
  <si>
    <t>HU</t>
  </si>
  <si>
    <t>IE</t>
  </si>
  <si>
    <t>IT</t>
  </si>
  <si>
    <t>NL</t>
  </si>
  <si>
    <t>PL</t>
  </si>
  <si>
    <t>ES</t>
  </si>
  <si>
    <t>SE</t>
  </si>
  <si>
    <t>and free range</t>
  </si>
  <si>
    <t>cage, ratio</t>
  </si>
  <si>
    <t>free range, ratio</t>
  </si>
  <si>
    <t>cage space</t>
  </si>
  <si>
    <t>SchukPaim et al, 2021</t>
  </si>
  <si>
    <t xml:space="preserve">combining cage </t>
  </si>
  <si>
    <t>mean life space</t>
  </si>
  <si>
    <t>free range space</t>
  </si>
  <si>
    <t>https://eur-lex.europa.eu/legal-content/EN/TXT/PDF/?uri=CELEX:32020R0464&amp;rid=4</t>
  </si>
  <si>
    <t>Horse</t>
  </si>
  <si>
    <t>Horse SE stall</t>
  </si>
  <si>
    <t>Ignoring rearing period since most horses live many years. Assumed height 160 cm</t>
  </si>
  <si>
    <t>Horse SE pen</t>
  </si>
  <si>
    <t>SJV, 2019a</t>
  </si>
  <si>
    <t>SJV 2019b</t>
  </si>
  <si>
    <t xml:space="preserve">Horse EU </t>
  </si>
  <si>
    <t>Horse SE combined space</t>
  </si>
  <si>
    <t>Assuming 20% are in stalls, which is only allowed for old buildnings</t>
  </si>
  <si>
    <t>No EU law. Assuming same space as in EU organic production although organic production usually means larger space than conventional</t>
  </si>
  <si>
    <t>time inside</t>
  </si>
  <si>
    <t>space</t>
  </si>
  <si>
    <t>mean space</t>
  </si>
  <si>
    <t>Assuming same lenght of pasture season as for beef cattle (Phelan et al, 2016)</t>
  </si>
  <si>
    <t xml:space="preserve">Assuming all horses are indoors (with the space calculated above) day and night during winter season and outdoors on pasture or in large paddock day and night during summer season. </t>
  </si>
  <si>
    <t>pasture mo</t>
  </si>
  <si>
    <t>https://www.conaf.it/sites/default/files/Linee%20guida%20conigli.pdf</t>
  </si>
  <si>
    <t>Rabbit</t>
  </si>
  <si>
    <t>Minestero della salute, 2021</t>
  </si>
  <si>
    <t>40 kg/m2</t>
  </si>
  <si>
    <t>Rabbit IT</t>
  </si>
  <si>
    <t>IT 'Guide'</t>
  </si>
  <si>
    <t>days</t>
  </si>
  <si>
    <t>m2/animal</t>
  </si>
  <si>
    <t>DG SANTE, 2017</t>
  </si>
  <si>
    <t>other countries</t>
  </si>
  <si>
    <t xml:space="preserve">Rabbit </t>
  </si>
  <si>
    <t>45 kg/m2</t>
  </si>
  <si>
    <t>85% in Europe in conventinal cages, 45-50 kg/m2</t>
  </si>
  <si>
    <t>Rabbit SE</t>
  </si>
  <si>
    <t>Law and 'guide' is indicated in yellow</t>
  </si>
  <si>
    <t>0.3 m2/animal</t>
  </si>
  <si>
    <t>0.8m2/litter</t>
  </si>
  <si>
    <t>0.44m2/litter</t>
  </si>
  <si>
    <t>Assumed litter size of 6, weaning at 5 wk, same cage size during rearing and weight at end of rearing period 2.5 kg</t>
  </si>
  <si>
    <t>Jordbruksverket, 2017</t>
  </si>
  <si>
    <t>Salmon</t>
  </si>
  <si>
    <t>year</t>
  </si>
  <si>
    <t>body lengh</t>
  </si>
  <si>
    <t>body area</t>
  </si>
  <si>
    <t>body volume</t>
  </si>
  <si>
    <t>N/m3</t>
  </si>
  <si>
    <t>fish volume/m3</t>
  </si>
  <si>
    <t>volume covered %</t>
  </si>
  <si>
    <t>mean  life space</t>
  </si>
  <si>
    <t>NO law</t>
  </si>
  <si>
    <t>Fiskeri- og kystdepartementet, 2008</t>
  </si>
  <si>
    <t>Salmon all countries</t>
  </si>
  <si>
    <t>Assumed slaughter age 3 years and weight at slaughter 5 kg</t>
  </si>
  <si>
    <t xml:space="preserve">No EU law. Assumed stocking density same as in Norway. </t>
  </si>
  <si>
    <t>25 kg/m3</t>
  </si>
  <si>
    <t>Pigs</t>
  </si>
  <si>
    <t>weight, kg</t>
  </si>
  <si>
    <t>Slaughter pig EU</t>
  </si>
  <si>
    <t>EU, 2008</t>
  </si>
  <si>
    <t>Slaughter pig SE</t>
  </si>
  <si>
    <t>Assuming 13 piglets per litter</t>
  </si>
  <si>
    <t>6 m2/ litter</t>
  </si>
  <si>
    <t>SJV, 2019</t>
  </si>
  <si>
    <t>From 10 kg: 0,17 + (weight in kg/130)</t>
  </si>
  <si>
    <t>Gilt sow EU</t>
  </si>
  <si>
    <t>gilt group</t>
  </si>
  <si>
    <t>sow group</t>
  </si>
  <si>
    <t>No EU law. Baxter et al, 2022</t>
  </si>
  <si>
    <t>crate</t>
  </si>
  <si>
    <t>Gilt sow SE</t>
  </si>
  <si>
    <t>farrowing pen</t>
  </si>
  <si>
    <t>Assuming 1st farrowing 1 year, 4,5 parities, 40 d in farrowing pen/litter. N=6-39 in gilt and sow groups</t>
  </si>
  <si>
    <t>Assuming 1st farrowing 1 year, 4,5 parities, 35 d in crate/litter. N=6-39 in gilt and sow groups</t>
  </si>
  <si>
    <t>Lamb SE</t>
  </si>
  <si>
    <t>Sheep</t>
  </si>
  <si>
    <t>SJV, 2019d</t>
  </si>
  <si>
    <r>
      <rPr>
        <sz val="10"/>
        <color theme="1"/>
        <rFont val="Calibri"/>
        <family val="2"/>
        <scheme val="minor"/>
      </rPr>
      <t xml:space="preserve">lambing pen </t>
    </r>
    <r>
      <rPr>
        <sz val="11"/>
        <color theme="1"/>
        <rFont val="Calibri"/>
        <family val="2"/>
        <scheme val="minor"/>
      </rPr>
      <t>1,2x1,2m</t>
    </r>
  </si>
  <si>
    <t>body weight &gt;30 kg</t>
  </si>
  <si>
    <t>body weight &gt;15 kg</t>
  </si>
  <si>
    <t>body weight 65 kg</t>
  </si>
  <si>
    <t>Assuming 2 lambs/litter and ewe body weight 65 kg</t>
  </si>
  <si>
    <t>No EU law</t>
  </si>
  <si>
    <t>Ewe SE</t>
  </si>
  <si>
    <t>body weight &lt;65 kg</t>
  </si>
  <si>
    <t>pregnant ewe</t>
  </si>
  <si>
    <t xml:space="preserve">Assuming 2 lambs/litter, ewe body weight 65 kg and 4 litters </t>
  </si>
  <si>
    <t>ewe with lambs &lt;15 kg</t>
  </si>
  <si>
    <t>Assuming 30% higher stocking density than in SE, based on Teagasc (2022) recommendations for ewes (1.2 m2 vs 1.7 m2)</t>
  </si>
  <si>
    <t xml:space="preserve">Assuming all ewes are indoors (with the space calculated above) day and night during winter season and outdoors on pasture day and night during summer season. </t>
  </si>
  <si>
    <t>Lenght of pasture season from Phelan et al, 2016</t>
  </si>
  <si>
    <t>indoor</t>
  </si>
  <si>
    <t>mean life space whole year</t>
  </si>
  <si>
    <t>Ewe, country specific</t>
  </si>
  <si>
    <t>Lamb, country specific</t>
  </si>
  <si>
    <t>Average of 'upland' and 'other' for EI. No Swedish data; assumed same as DK.</t>
  </si>
  <si>
    <t>pasture ratio</t>
  </si>
  <si>
    <t>pasture months</t>
  </si>
  <si>
    <t>Cattle</t>
  </si>
  <si>
    <t>Dairy cow loose housed SE</t>
  </si>
  <si>
    <t>heifer and dry cow</t>
  </si>
  <si>
    <t>milking cow</t>
  </si>
  <si>
    <t>Assuming calf hut until 60 kg, reared in group, age 1st calving 24 m, 305 d lactation, 2,5 lactations</t>
  </si>
  <si>
    <t>before mating</t>
  </si>
  <si>
    <t>law, weight, kg</t>
  </si>
  <si>
    <t>cm2/ animal</t>
  </si>
  <si>
    <t>Dairy cow loose housed DK</t>
  </si>
  <si>
    <t xml:space="preserve">Danish Veterinary and Food Administration, 2020. </t>
  </si>
  <si>
    <t>Dairy cow louse housed EU</t>
  </si>
  <si>
    <t>law for dairy calves, weight, kg</t>
  </si>
  <si>
    <t>law for calves, weight, kg</t>
  </si>
  <si>
    <t xml:space="preserve">EU law </t>
  </si>
  <si>
    <t>EU, 20xx</t>
  </si>
  <si>
    <t xml:space="preserve">Assumed space for heifers and cows (no EU law). Minimum for organic milking cows 6 m2 (EU, 2020) </t>
  </si>
  <si>
    <t>Dairy cow tied SE</t>
  </si>
  <si>
    <t>Dairy cow tied EU</t>
  </si>
  <si>
    <t>Stall assumed same size as SE</t>
  </si>
  <si>
    <t>Dairy cow, country specific</t>
  </si>
  <si>
    <t>Proportion tied and loose housed and proportion on pasture from EFSA (2023a), pasture season length from Phelan et al (2016)</t>
  </si>
  <si>
    <t>Country and assumptions when missing data</t>
  </si>
  <si>
    <t>IE,  same prop tied as FR</t>
  </si>
  <si>
    <t>IT, prop tied as mean of FR and Austria</t>
  </si>
  <si>
    <t>GR, same prop tied as Pl</t>
  </si>
  <si>
    <t>HU, same prop tied as PL</t>
  </si>
  <si>
    <t>louse-housed</t>
  </si>
  <si>
    <t>PL, 0.87 2011, decrease assumed</t>
  </si>
  <si>
    <t>tied</t>
  </si>
  <si>
    <t>always indoors</t>
  </si>
  <si>
    <t>cows on pasture</t>
  </si>
  <si>
    <t>pasture length, m</t>
  </si>
  <si>
    <t>time indoors</t>
  </si>
  <si>
    <t>Assuming louse housed and tied cows spend equally much time on pasture within country</t>
  </si>
  <si>
    <t>&lt;150</t>
  </si>
  <si>
    <t>&lt;220</t>
  </si>
  <si>
    <t>Calf on slatted floor, slaugthered at 9 m, SE</t>
  </si>
  <si>
    <t xml:space="preserve">SE law </t>
  </si>
  <si>
    <t>Assumed always indoors in groups  on slatted floor</t>
  </si>
  <si>
    <t xml:space="preserve">DK law </t>
  </si>
  <si>
    <t>m2/animal, SE law</t>
  </si>
  <si>
    <t>m2/animal, DK law for dairy calf</t>
  </si>
  <si>
    <t>Assumed same space as EU until 90 kg</t>
  </si>
  <si>
    <t xml:space="preserve">m2/animal, EU law </t>
  </si>
  <si>
    <t>kg</t>
  </si>
  <si>
    <t>Calf on slatted floor, slaughtered at 24 m, SE</t>
  </si>
  <si>
    <t>Calf on straw, slaughtered at 24 m, SE</t>
  </si>
  <si>
    <t>Dairy calf, slaughtered at 24 m, DK</t>
  </si>
  <si>
    <t>Calf slaugthered at 24 m, SE</t>
  </si>
  <si>
    <t>Assuming 50% on slatted floor and 50% on straw</t>
  </si>
  <si>
    <t xml:space="preserve">m2/animal,SE law </t>
  </si>
  <si>
    <t xml:space="preserve">m2/animal, SE law </t>
  </si>
  <si>
    <t>Calf slaughtered at 24 m, country specific</t>
  </si>
  <si>
    <t>Beef suckler cow, country specific</t>
  </si>
  <si>
    <t>NL assumed mean of FR and GE</t>
  </si>
  <si>
    <t>and on pasture during the whole pasture season, with pasture season length from Phelan et al (2016)</t>
  </si>
  <si>
    <t>Assuming all suckler cows are loose housed indoors (same space as loose housed dairy cows)</t>
  </si>
  <si>
    <t>Time on pasture estimated from ratio of manure on pasture for 'no-dairy cattle' (CFR,2023)</t>
  </si>
  <si>
    <t>Time on pasture estimated from ratio of manure on pasture for sheep (CFR,2023)</t>
  </si>
  <si>
    <t>GR no data</t>
  </si>
  <si>
    <t>assume same as IT</t>
  </si>
  <si>
    <t>Calf, slaughtered at 24 m, EU</t>
  </si>
  <si>
    <t>Dairy calf on slatted floor, slaugthered at 9 m, DK</t>
  </si>
  <si>
    <t>m2/animal, DK law (not dairy)</t>
  </si>
  <si>
    <t>150-200</t>
  </si>
  <si>
    <t>&gt;200</t>
  </si>
  <si>
    <t xml:space="preserve">Assume same as SE on slatted floor </t>
  </si>
  <si>
    <t>Assume same as SE on slatted floor</t>
  </si>
  <si>
    <t>&lt;200kg</t>
  </si>
  <si>
    <t>200-300kg</t>
  </si>
  <si>
    <t>Assuming calf hut until 60 kg, reared in group on slatted floor, age 1st calving 24 m, 305 d lactation, 2,5 lactations</t>
  </si>
  <si>
    <t>SJV 2019e</t>
  </si>
  <si>
    <t>SJV, 2019e</t>
  </si>
  <si>
    <t>SJV, 20193</t>
  </si>
  <si>
    <t>EU, 2008b</t>
  </si>
  <si>
    <t>&gt;220</t>
  </si>
  <si>
    <t>DK beef</t>
  </si>
  <si>
    <t>DK dairy</t>
  </si>
  <si>
    <t>Beef calf, slaughtered at 24 m, DK</t>
  </si>
  <si>
    <t>m2/animal, DK law (dairy)</t>
  </si>
  <si>
    <t>UK</t>
  </si>
  <si>
    <t>NZ</t>
  </si>
  <si>
    <t>Lamb EU and UK</t>
  </si>
  <si>
    <t>Ewe EU and UK</t>
  </si>
  <si>
    <t>UKGov, 2007</t>
  </si>
  <si>
    <t xml:space="preserve">Calf on slatted floor, slaugthered at 9 m, EU </t>
  </si>
  <si>
    <t>Calf on slatted floor, slaugthered at 9 m, UK</t>
  </si>
  <si>
    <t>Calf, slaughtered at 24 m, 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</si>
</sst>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3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0CECE"/>
        <bgColor rgb="FF000000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1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3" borderId="0" xfId="0" applyFill="1" applyAlignment="1">
      <alignment horizontal="center" vertical="top" wrapText="1"/>
    </xf>
    <xf numFmtId="1" fontId="0" fillId="0" borderId="0" xfId="0" applyNumberFormat="1" applyAlignment="1">
      <alignment horizontal="center" vertical="top"/>
    </xf>
    <xf numFmtId="164" fontId="2" fillId="0" borderId="0" xfId="0" applyNumberFormat="1" applyFont="1" applyAlignment="1">
      <alignment horizontal="center" vertical="top"/>
    </xf>
    <xf numFmtId="164" fontId="0" fillId="0" borderId="0" xfId="0" applyNumberFormat="1" applyAlignment="1">
      <alignment vertical="top" wrapText="1"/>
    </xf>
    <xf numFmtId="2" fontId="0" fillId="0" borderId="0" xfId="0" applyNumberFormat="1" applyAlignment="1">
      <alignment horizontal="center" vertical="top" wrapText="1"/>
    </xf>
    <xf numFmtId="0" fontId="0" fillId="3" borderId="0" xfId="0" applyFill="1"/>
    <xf numFmtId="0" fontId="0" fillId="0" borderId="0" xfId="0" applyAlignment="1">
      <alignment horizontal="right"/>
    </xf>
    <xf numFmtId="16" fontId="0" fillId="0" borderId="0" xfId="0" applyNumberFormat="1" applyAlignment="1">
      <alignment horizontal="center" vertical="top"/>
    </xf>
    <xf numFmtId="164" fontId="0" fillId="0" borderId="0" xfId="0" applyNumberFormat="1" applyAlignment="1">
      <alignment horizontal="center" vertical="top"/>
    </xf>
    <xf numFmtId="164" fontId="0" fillId="0" borderId="0" xfId="0" applyNumberFormat="1" applyAlignment="1">
      <alignment vertical="top"/>
    </xf>
    <xf numFmtId="0" fontId="0" fillId="0" borderId="1" xfId="0" applyBorder="1"/>
    <xf numFmtId="1" fontId="0" fillId="0" borderId="1" xfId="0" applyNumberFormat="1" applyBorder="1" applyAlignment="1">
      <alignment horizontal="center" vertical="top"/>
    </xf>
    <xf numFmtId="164" fontId="2" fillId="0" borderId="1" xfId="0" applyNumberFormat="1" applyFont="1" applyBorder="1" applyAlignment="1">
      <alignment horizontal="center" vertical="top"/>
    </xf>
    <xf numFmtId="164" fontId="0" fillId="0" borderId="1" xfId="0" applyNumberFormat="1" applyBorder="1" applyAlignment="1">
      <alignment vertical="top" wrapText="1"/>
    </xf>
    <xf numFmtId="0" fontId="0" fillId="0" borderId="2" xfId="0" applyBorder="1"/>
    <xf numFmtId="0" fontId="0" fillId="0" borderId="2" xfId="0" applyBorder="1" applyAlignment="1">
      <alignment horizontal="right"/>
    </xf>
    <xf numFmtId="0" fontId="1" fillId="0" borderId="2" xfId="0" applyFont="1" applyBorder="1"/>
    <xf numFmtId="0" fontId="1" fillId="0" borderId="3" xfId="0" applyFont="1" applyBorder="1"/>
    <xf numFmtId="164" fontId="0" fillId="0" borderId="1" xfId="0" applyNumberFormat="1" applyBorder="1" applyAlignment="1">
      <alignment horizontal="center" vertical="top"/>
    </xf>
    <xf numFmtId="1" fontId="0" fillId="0" borderId="0" xfId="0" applyNumberFormat="1" applyAlignment="1">
      <alignment horizontal="left" vertical="top"/>
    </xf>
    <xf numFmtId="1" fontId="0" fillId="3" borderId="0" xfId="0" applyNumberFormat="1" applyFill="1" applyAlignment="1">
      <alignment horizontal="center" vertical="top" wrapText="1"/>
    </xf>
    <xf numFmtId="0" fontId="0" fillId="0" borderId="1" xfId="0" applyBorder="1" applyAlignment="1">
      <alignment vertical="top"/>
    </xf>
    <xf numFmtId="0" fontId="1" fillId="0" borderId="0" xfId="0" applyFont="1" applyAlignment="1">
      <alignment vertical="top"/>
    </xf>
    <xf numFmtId="1" fontId="1" fillId="0" borderId="0" xfId="0" applyNumberFormat="1" applyFont="1" applyAlignment="1">
      <alignment horizontal="left" vertical="top"/>
    </xf>
    <xf numFmtId="1" fontId="1" fillId="0" borderId="0" xfId="0" applyNumberFormat="1" applyFont="1" applyAlignment="1">
      <alignment horizontal="center" vertical="top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horizontal="center" vertical="top" wrapText="1"/>
    </xf>
    <xf numFmtId="164" fontId="4" fillId="0" borderId="0" xfId="0" applyNumberFormat="1" applyFont="1" applyAlignment="1">
      <alignment horizontal="left" vertical="top"/>
    </xf>
    <xf numFmtId="1" fontId="0" fillId="3" borderId="0" xfId="0" applyNumberFormat="1" applyFill="1" applyAlignment="1">
      <alignment horizontal="center" vertical="top"/>
    </xf>
    <xf numFmtId="0" fontId="4" fillId="0" borderId="0" xfId="0" applyFont="1" applyAlignment="1">
      <alignment vertical="top"/>
    </xf>
    <xf numFmtId="164" fontId="1" fillId="0" borderId="0" xfId="0" applyNumberFormat="1" applyFont="1" applyAlignment="1">
      <alignment horizontal="center" vertical="top"/>
    </xf>
    <xf numFmtId="164" fontId="5" fillId="0" borderId="0" xfId="0" applyNumberFormat="1" applyFont="1" applyAlignment="1">
      <alignment horizontal="center" vertical="top"/>
    </xf>
    <xf numFmtId="0" fontId="0" fillId="0" borderId="1" xfId="0" applyBorder="1" applyAlignment="1">
      <alignment vertical="top" wrapText="1"/>
    </xf>
    <xf numFmtId="0" fontId="0" fillId="2" borderId="0" xfId="0" applyFill="1" applyAlignment="1">
      <alignment vertical="top"/>
    </xf>
    <xf numFmtId="164" fontId="4" fillId="0" borderId="0" xfId="0" applyNumberFormat="1" applyFont="1" applyAlignment="1">
      <alignment horizontal="right" vertical="top"/>
    </xf>
    <xf numFmtId="0" fontId="1" fillId="0" borderId="3" xfId="0" applyFont="1" applyBorder="1" applyAlignment="1">
      <alignment vertical="top"/>
    </xf>
    <xf numFmtId="1" fontId="1" fillId="0" borderId="3" xfId="0" applyNumberFormat="1" applyFont="1" applyBorder="1" applyAlignment="1">
      <alignment horizontal="left"/>
    </xf>
    <xf numFmtId="1" fontId="1" fillId="0" borderId="3" xfId="0" applyNumberFormat="1" applyFont="1" applyBorder="1" applyAlignment="1">
      <alignment horizontal="center" vertical="top"/>
    </xf>
    <xf numFmtId="164" fontId="1" fillId="0" borderId="3" xfId="0" applyNumberFormat="1" applyFont="1" applyBorder="1" applyAlignment="1">
      <alignment horizontal="center" vertical="top"/>
    </xf>
    <xf numFmtId="164" fontId="5" fillId="0" borderId="3" xfId="0" applyNumberFormat="1" applyFont="1" applyBorder="1" applyAlignment="1">
      <alignment horizontal="center" vertical="top"/>
    </xf>
    <xf numFmtId="164" fontId="1" fillId="0" borderId="3" xfId="0" applyNumberFormat="1" applyFont="1" applyBorder="1" applyAlignment="1">
      <alignment vertical="top" wrapText="1"/>
    </xf>
    <xf numFmtId="1" fontId="1" fillId="0" borderId="0" xfId="0" applyNumberFormat="1" applyFont="1" applyAlignment="1">
      <alignment vertical="top"/>
    </xf>
    <xf numFmtId="1" fontId="0" fillId="0" borderId="0" xfId="0" applyNumberFormat="1" applyAlignment="1">
      <alignment horizontal="center" vertical="top" wrapText="1"/>
    </xf>
    <xf numFmtId="0" fontId="2" fillId="0" borderId="0" xfId="0" applyFont="1" applyAlignment="1">
      <alignment vertical="top"/>
    </xf>
    <xf numFmtId="0" fontId="4" fillId="4" borderId="3" xfId="0" applyFont="1" applyFill="1" applyBorder="1" applyAlignment="1">
      <alignment horizontal="center" vertical="center"/>
    </xf>
    <xf numFmtId="164" fontId="1" fillId="0" borderId="0" xfId="0" applyNumberFormat="1" applyFont="1" applyAlignment="1">
      <alignment vertical="top"/>
    </xf>
    <xf numFmtId="0" fontId="1" fillId="0" borderId="1" xfId="0" applyFont="1" applyBorder="1" applyAlignment="1">
      <alignment vertical="top"/>
    </xf>
    <xf numFmtId="0" fontId="6" fillId="4" borderId="3" xfId="0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vertical="top"/>
    </xf>
    <xf numFmtId="164" fontId="0" fillId="0" borderId="1" xfId="0" applyNumberFormat="1" applyBorder="1" applyAlignment="1">
      <alignment vertical="top"/>
    </xf>
    <xf numFmtId="0" fontId="0" fillId="0" borderId="3" xfId="0" applyBorder="1"/>
    <xf numFmtId="2" fontId="0" fillId="0" borderId="0" xfId="0" applyNumberFormat="1" applyAlignment="1">
      <alignment horizontal="center"/>
    </xf>
    <xf numFmtId="2" fontId="6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0" fontId="3" fillId="0" borderId="0" xfId="0" applyFont="1" applyAlignment="1">
      <alignment vertical="top"/>
    </xf>
    <xf numFmtId="164" fontId="3" fillId="0" borderId="0" xfId="0" applyNumberFormat="1" applyFont="1" applyAlignment="1">
      <alignment vertical="top"/>
    </xf>
    <xf numFmtId="164" fontId="7" fillId="0" borderId="0" xfId="0" applyNumberFormat="1" applyFont="1" applyAlignment="1">
      <alignment horizontal="center" vertical="top"/>
    </xf>
    <xf numFmtId="17" fontId="0" fillId="0" borderId="0" xfId="0" applyNumberFormat="1" applyAlignment="1">
      <alignment vertical="top"/>
    </xf>
    <xf numFmtId="165" fontId="0" fillId="0" borderId="0" xfId="0" applyNumberFormat="1" applyAlignment="1">
      <alignment horizontal="center" vertical="top"/>
    </xf>
    <xf numFmtId="2" fontId="2" fillId="0" borderId="0" xfId="0" applyNumberFormat="1" applyFont="1" applyAlignment="1">
      <alignment vertical="top"/>
    </xf>
    <xf numFmtId="0" fontId="1" fillId="0" borderId="1" xfId="0" applyFont="1" applyBorder="1"/>
    <xf numFmtId="164" fontId="0" fillId="3" borderId="0" xfId="0" applyNumberFormat="1" applyFill="1" applyAlignment="1">
      <alignment horizontal="center" vertical="top"/>
    </xf>
    <xf numFmtId="2" fontId="2" fillId="0" borderId="1" xfId="0" applyNumberFormat="1" applyFont="1" applyBorder="1" applyAlignment="1">
      <alignment vertical="top"/>
    </xf>
    <xf numFmtId="165" fontId="0" fillId="0" borderId="1" xfId="0" applyNumberFormat="1" applyBorder="1" applyAlignment="1">
      <alignment horizontal="center" vertical="top"/>
    </xf>
    <xf numFmtId="0" fontId="0" fillId="0" borderId="0" xfId="0" applyAlignment="1">
      <alignment horizontal="right" vertical="top"/>
    </xf>
    <xf numFmtId="0" fontId="8" fillId="0" borderId="0" xfId="0" applyFont="1" applyAlignment="1">
      <alignment vertical="top"/>
    </xf>
    <xf numFmtId="164" fontId="9" fillId="0" borderId="0" xfId="0" applyNumberFormat="1" applyFont="1" applyAlignment="1">
      <alignment horizontal="center" vertical="top"/>
    </xf>
    <xf numFmtId="2" fontId="5" fillId="0" borderId="0" xfId="0" applyNumberFormat="1" applyFont="1" applyAlignment="1">
      <alignment vertical="top"/>
    </xf>
    <xf numFmtId="165" fontId="1" fillId="0" borderId="0" xfId="0" applyNumberFormat="1" applyFont="1" applyAlignment="1">
      <alignment horizontal="left" vertical="top"/>
    </xf>
    <xf numFmtId="165" fontId="1" fillId="0" borderId="0" xfId="0" applyNumberFormat="1" applyFont="1" applyAlignment="1">
      <alignment horizontal="center" vertical="top"/>
    </xf>
    <xf numFmtId="165" fontId="2" fillId="0" borderId="0" xfId="0" applyNumberFormat="1" applyFont="1"/>
    <xf numFmtId="164" fontId="0" fillId="0" borderId="0" xfId="0" applyNumberFormat="1"/>
    <xf numFmtId="1" fontId="0" fillId="0" borderId="0" xfId="0" applyNumberFormat="1"/>
    <xf numFmtId="0" fontId="1" fillId="0" borderId="1" xfId="0" quotePrefix="1" applyFont="1" applyBorder="1"/>
    <xf numFmtId="0" fontId="0" fillId="2" borderId="0" xfId="0" applyFill="1"/>
    <xf numFmtId="0" fontId="0" fillId="0" borderId="2" xfId="0" applyBorder="1" applyAlignment="1">
      <alignment vertical="top"/>
    </xf>
    <xf numFmtId="0" fontId="0" fillId="0" borderId="3" xfId="0" applyBorder="1" applyAlignment="1">
      <alignment vertical="top"/>
    </xf>
    <xf numFmtId="0" fontId="0" fillId="2" borderId="2" xfId="0" applyFill="1" applyBorder="1" applyAlignment="1">
      <alignment vertical="top"/>
    </xf>
    <xf numFmtId="0" fontId="1" fillId="0" borderId="2" xfId="0" applyFont="1" applyBorder="1" applyAlignment="1">
      <alignment vertical="top"/>
    </xf>
    <xf numFmtId="0" fontId="0" fillId="0" borderId="2" xfId="0" applyBorder="1" applyAlignment="1">
      <alignment horizontal="right" vertical="top"/>
    </xf>
    <xf numFmtId="2" fontId="0" fillId="0" borderId="0" xfId="0" applyNumberFormat="1"/>
    <xf numFmtId="0" fontId="0" fillId="3" borderId="0" xfId="0" applyFill="1" applyAlignment="1">
      <alignment vertical="top"/>
    </xf>
    <xf numFmtId="164" fontId="2" fillId="0" borderId="1" xfId="0" applyNumberFormat="1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0" fillId="0" borderId="0" xfId="0" applyAlignment="1">
      <alignment wrapText="1"/>
    </xf>
    <xf numFmtId="0" fontId="0" fillId="2" borderId="0" xfId="0" applyFill="1" applyAlignment="1">
      <alignment vertical="top" wrapText="1"/>
    </xf>
    <xf numFmtId="0" fontId="4" fillId="3" borderId="0" xfId="0" applyFont="1" applyFill="1" applyAlignment="1">
      <alignment horizontal="center" vertical="top" wrapText="1"/>
    </xf>
    <xf numFmtId="2" fontId="0" fillId="3" borderId="0" xfId="0" applyNumberFormat="1" applyFill="1" applyAlignment="1">
      <alignment horizontal="center" vertical="top" wrapText="1"/>
    </xf>
    <xf numFmtId="164" fontId="0" fillId="0" borderId="0" xfId="0" applyNumberFormat="1" applyAlignment="1">
      <alignment horizontal="left" vertical="top"/>
    </xf>
    <xf numFmtId="0" fontId="0" fillId="3" borderId="0" xfId="0" applyFill="1" applyAlignment="1">
      <alignment horizontal="center" vertical="top"/>
    </xf>
    <xf numFmtId="0" fontId="0" fillId="3" borderId="0" xfId="0" applyFill="1" applyAlignment="1">
      <alignment horizontal="left" vertical="top" wrapText="1"/>
    </xf>
    <xf numFmtId="0" fontId="4" fillId="0" borderId="0" xfId="0" applyFont="1" applyAlignment="1">
      <alignment horizontal="center" vertical="top"/>
    </xf>
    <xf numFmtId="2" fontId="0" fillId="0" borderId="0" xfId="0" applyNumberFormat="1" applyAlignment="1">
      <alignment vertical="top"/>
    </xf>
    <xf numFmtId="2" fontId="0" fillId="3" borderId="0" xfId="0" applyNumberFormat="1" applyFill="1" applyAlignment="1">
      <alignment horizontal="center" vertical="top"/>
    </xf>
    <xf numFmtId="2" fontId="0" fillId="5" borderId="0" xfId="0" applyNumberFormat="1" applyFill="1" applyAlignment="1">
      <alignment horizontal="center" vertical="top"/>
    </xf>
    <xf numFmtId="2" fontId="0" fillId="5" borderId="0" xfId="0" applyNumberFormat="1" applyFill="1" applyAlignment="1">
      <alignment horizontal="left" vertical="top"/>
    </xf>
    <xf numFmtId="1" fontId="0" fillId="0" borderId="0" xfId="0" applyNumberFormat="1" applyAlignment="1">
      <alignment vertical="top"/>
    </xf>
    <xf numFmtId="164" fontId="0" fillId="0" borderId="0" xfId="0" applyNumberFormat="1" applyAlignment="1">
      <alignment horizontal="right" vertical="top"/>
    </xf>
    <xf numFmtId="0" fontId="0" fillId="0" borderId="1" xfId="0" applyBorder="1" applyAlignment="1">
      <alignment horizontal="center" vertical="top"/>
    </xf>
    <xf numFmtId="0" fontId="0" fillId="3" borderId="0" xfId="0" applyFill="1" applyAlignment="1">
      <alignment wrapText="1"/>
    </xf>
    <xf numFmtId="1" fontId="10" fillId="3" borderId="0" xfId="0" applyNumberFormat="1" applyFont="1" applyFill="1" applyAlignment="1">
      <alignment horizontal="center" vertical="top" wrapText="1"/>
    </xf>
    <xf numFmtId="0" fontId="0" fillId="3" borderId="0" xfId="0" applyFill="1" applyAlignment="1">
      <alignment vertical="top" wrapText="1"/>
    </xf>
    <xf numFmtId="0" fontId="11" fillId="0" borderId="0" xfId="0" applyFont="1"/>
    <xf numFmtId="164" fontId="0" fillId="0" borderId="0" xfId="0" applyNumberFormat="1" applyAlignment="1">
      <alignment horizontal="left"/>
    </xf>
    <xf numFmtId="0" fontId="11" fillId="0" borderId="1" xfId="0" applyFont="1" applyBorder="1"/>
    <xf numFmtId="0" fontId="0" fillId="0" borderId="6" xfId="0" applyBorder="1"/>
    <xf numFmtId="2" fontId="0" fillId="0" borderId="4" xfId="0" applyNumberForma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2" fontId="0" fillId="0" borderId="1" xfId="0" applyNumberForma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2" fontId="11" fillId="0" borderId="0" xfId="0" applyNumberFormat="1" applyFont="1" applyAlignment="1">
      <alignment horizontal="center"/>
    </xf>
    <xf numFmtId="2" fontId="11" fillId="0" borderId="1" xfId="0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64" fontId="0" fillId="3" borderId="0" xfId="0" applyNumberFormat="1" applyFill="1" applyAlignment="1">
      <alignment horizontal="center" vertical="top" wrapText="1"/>
    </xf>
    <xf numFmtId="164" fontId="0" fillId="3" borderId="0" xfId="0" applyNumberFormat="1" applyFill="1" applyAlignment="1">
      <alignment vertical="top" wrapText="1"/>
    </xf>
    <xf numFmtId="164" fontId="0" fillId="5" borderId="0" xfId="0" applyNumberFormat="1" applyFill="1" applyAlignment="1">
      <alignment horizontal="center" vertical="top" wrapText="1"/>
    </xf>
    <xf numFmtId="164" fontId="4" fillId="0" borderId="0" xfId="0" applyNumberFormat="1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1" fontId="10" fillId="0" borderId="0" xfId="0" applyNumberFormat="1" applyFont="1" applyAlignment="1">
      <alignment horizontal="left" vertical="top" wrapText="1"/>
    </xf>
    <xf numFmtId="2" fontId="4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2" fillId="0" borderId="1" xfId="0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5" borderId="0" xfId="0" applyFill="1" applyAlignment="1">
      <alignment vertical="top"/>
    </xf>
    <xf numFmtId="164" fontId="1" fillId="0" borderId="0" xfId="0" applyNumberFormat="1" applyFont="1" applyAlignment="1">
      <alignment horizontal="left" vertical="top"/>
    </xf>
    <xf numFmtId="164" fontId="2" fillId="0" borderId="0" xfId="0" applyNumberFormat="1" applyFont="1" applyAlignment="1">
      <alignment vertical="top"/>
    </xf>
    <xf numFmtId="164" fontId="4" fillId="0" borderId="0" xfId="0" applyNumberFormat="1" applyFont="1" applyAlignment="1">
      <alignment vertical="top"/>
    </xf>
    <xf numFmtId="164" fontId="4" fillId="0" borderId="1" xfId="0" applyNumberFormat="1" applyFont="1" applyBorder="1" applyAlignment="1">
      <alignment vertical="top"/>
    </xf>
    <xf numFmtId="0" fontId="0" fillId="2" borderId="1" xfId="0" applyFill="1" applyBorder="1" applyAlignment="1">
      <alignment vertical="top"/>
    </xf>
    <xf numFmtId="1" fontId="1" fillId="0" borderId="1" xfId="0" applyNumberFormat="1" applyFont="1" applyBorder="1" applyAlignment="1">
      <alignment horizontal="left" vertical="top"/>
    </xf>
    <xf numFmtId="0" fontId="3" fillId="3" borderId="0" xfId="0" applyFont="1" applyFill="1" applyAlignment="1">
      <alignment horizontal="center" vertical="top"/>
    </xf>
    <xf numFmtId="0" fontId="1" fillId="0" borderId="0" xfId="0" applyFont="1" applyAlignment="1">
      <alignment horizontal="right" vertical="top"/>
    </xf>
    <xf numFmtId="0" fontId="0" fillId="0" borderId="1" xfId="0" applyBorder="1" applyAlignment="1">
      <alignment horizontal="right" vertical="top"/>
    </xf>
    <xf numFmtId="164" fontId="1" fillId="5" borderId="0" xfId="0" applyNumberFormat="1" applyFont="1" applyFill="1" applyAlignment="1">
      <alignment vertical="top"/>
    </xf>
    <xf numFmtId="164" fontId="0" fillId="5" borderId="0" xfId="0" applyNumberFormat="1" applyFill="1" applyAlignment="1">
      <alignment vertical="top"/>
    </xf>
    <xf numFmtId="0" fontId="0" fillId="0" borderId="4" xfId="0" applyBorder="1"/>
    <xf numFmtId="2" fontId="4" fillId="0" borderId="4" xfId="0" applyNumberFormat="1" applyFont="1" applyBorder="1"/>
    <xf numFmtId="164" fontId="4" fillId="3" borderId="0" xfId="0" applyNumberFormat="1" applyFont="1" applyFill="1" applyAlignment="1">
      <alignment horizontal="center" vertical="top"/>
    </xf>
    <xf numFmtId="164" fontId="4" fillId="3" borderId="0" xfId="0" applyNumberFormat="1" applyFont="1" applyFill="1" applyAlignment="1">
      <alignment horizontal="center" vertical="top" wrapText="1"/>
    </xf>
    <xf numFmtId="2" fontId="11" fillId="0" borderId="0" xfId="0" applyNumberFormat="1" applyFont="1"/>
    <xf numFmtId="2" fontId="0" fillId="0" borderId="0" xfId="0" applyNumberFormat="1" applyAlignment="1">
      <alignment vertical="top" wrapText="1"/>
    </xf>
    <xf numFmtId="164" fontId="2" fillId="0" borderId="0" xfId="0" applyNumberFormat="1" applyFont="1"/>
    <xf numFmtId="0" fontId="0" fillId="0" borderId="5" xfId="0" applyBorder="1"/>
    <xf numFmtId="0" fontId="1" fillId="3" borderId="0" xfId="0" applyFont="1" applyFill="1" applyAlignment="1">
      <alignment vertical="top"/>
    </xf>
    <xf numFmtId="0" fontId="11" fillId="0" borderId="5" xfId="0" applyFont="1" applyBorder="1"/>
    <xf numFmtId="0" fontId="11" fillId="0" borderId="6" xfId="0" applyFont="1" applyBorder="1"/>
    <xf numFmtId="0" fontId="0" fillId="3" borderId="4" xfId="0" applyFill="1" applyBorder="1" applyAlignment="1">
      <alignment horizontal="center" vertical="top"/>
    </xf>
    <xf numFmtId="0" fontId="0" fillId="3" borderId="0" xfId="0" applyFill="1" applyAlignment="1">
      <alignment horizontal="center" vertical="top"/>
    </xf>
    <xf numFmtId="0" fontId="0" fillId="3" borderId="5" xfId="0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4</xdr:row>
      <xdr:rowOff>0</xdr:rowOff>
    </xdr:from>
    <xdr:to>
      <xdr:col>11</xdr:col>
      <xdr:colOff>304800</xdr:colOff>
      <xdr:row>7</xdr:row>
      <xdr:rowOff>114300</xdr:rowOff>
    </xdr:to>
    <xdr:sp macro="" textlink="">
      <xdr:nvSpPr>
        <xdr:cNvPr id="3" name="AutoShape 2" descr="data:image/png;base64,iVBORw0KGgoAAAANSUhEUgAAAeAAAABTCAYAAABH/dT6AAAAAXNSR0IArs4c6QAAIABJREFUeF7tnQd0FdUWQHcK6QECIfTQq2JDmqAURQkdRARRCDUFQui9VxGIoIYaekd6lS6ELx2kiDHUEEJLgHTSXt5fEwgGDCaZwvDkzlqs7/rrnnPP23Nn9tw7kxkzo9FoxMS2iIgIkpOTKVy4sIlV/rjcoKAgKlasaJK137p1C2tra/Lnz29y9aekpHD16lXKly9vcrVLBV+/fh1nZ2ccHBxMrv5Hjx4hjZ0yZcqYXO1SwZcuXcLV1TVt7JvaFhUVhfRPqt8Ut7/++oty5cphbm5ucuWHh4djMBgoVKhQprWbCQG//H0qBPzymUs9CgHrw13qVQhYP/ZCwPqxFwLWj/0LexYC1menCAHrw10IWD/uUs9CwPrxFwLWj70Q8CvGXghYvx0iZsD6sRcC1o99lgK+f/++Sd0DNjMzIyYmJm1d3cnJidTUVP3oyuz57t27FCxYUGa0fmHSPZiHDx9iaWmZdh/S1B4fkMaK9PyAxN7UapfYSwezxN3Gxsak6peO2aSkpLSZmIuLi8kds1L99+7dSzvfSGPflDap9vj4eBISEtKe2zC186VU/507d9LGjfTfprSlu0pinjdv3kzZm4WFhZmcgKWraelH2dvbm9SJKH3wREZGpu0QU9ukARUXF4eFhYXJSUBiLUk3Ojo6jb2pCVhiL9UuydfKysrk6pcumKWxkydPHpOrXWIvXTxI5xtp7JvSJtWemJiYdgHk6Ohokuyli35p3JiigCVXSecaOzu7TNmLh7B0OJrEPWAdoIuHsPSB/qRXsQStH36xBK0f+yyXoMVT0C9/5wgBv3zmUo/iHrA+3KVehYD1Yy8ErB97IWD92L+wZyFgfXaKELA+3IWA9eMu9SwErB9/mQI2cnnHVEaP8efIAxtyGR6R1HQahyd+TtHcFiTFB+LX9CRu+/vyxs3jLFvwLVGfrqJPrRf9kXoEKzq7MctuMJv821CAJEKPLmRo28n8Lxck5qvHsO/G0at+iaekbq/vSeMx+4hLNIIxFZuiFWg/ZiVD6+VOe5BGvRdxxLDRuxHfJnqwfkFHij2zr2L5feVURg5azB/WRhKLtGV2wDCaV8inaI+qJeC4v7bz3dCuzD1iSfl2o/hheA/ecX62tKTYQEa9687qFGtKvfcVk5aPoJat/PLVfBHHsW/fp9PCSMzzFKXNd9sYV9/xucIesH1AHyauPcBNs8r0XbOcXjULkEtm+WoK+OGx2QwbOZ7NFyyo4jWLgL7NKJ7h/Rip8RFsGlYN3w2Qv0o9+kwJwP1NZfcP1XkRh5HAcW/TZWk8VgXK0GHqRobVsXuG6N3dw+k1fhknQy2weG8AW5b0oLKjXOqPU6s+A046zpjP+3Hxo8kE+H5IbqvnB8UDjiwYw9hNFvT8fjrNyip7iYM6L+JIJTpsC8M+6s8Os1SS7d+g3cBJfPv1W2QcGbEHRtB44AZuRUOBHos5MqC6zBH/OExNAV9b3YmuUw9xIyoXtrVHs2vRVxQxz/BwVMQZ5k3ozdjVVzD70IP5kwbiVu7Z8ZXTH/MavogjheP+I/n5Wm4adu9ClTy3WOvbgRnOwzk9vT32KdvpXeYgXe6OwDhvBL1OVWXL3M5k/l6qk4x/ezKWXuXYut6VtXu8KUYM535dw/IFBjpMc8Mh3pJ8BQvgZPf3QZ4Sc4fQ8DiMZhB7+yTLRizlzWXb6VQUFQV8jqm1JpHaoRjr1xdn1X5fyjzzoN1dds5fzelrhWnlUxPrJBtcCufH0UrZiVQVASff5LcDezj54H06VgtmTPfdFPTshW/bKqQPd6PhGgEd6nO+ya/0r5MKuXLjUtQZWwUPE6om4LCVDFrtjEeL4oQfXchIv4L8cHoAlZ4enUZOzfmaBZffoUWHDlTIk0LuwkVxsrVAbvmqCTjxIpu3nSLGphqNyx7Bp80x6i0cgXu1Yk8uDlKIuriUyXsr0LeFJXvnLWVH6IdMW9ruBcdI9k5JagjYeGMZg34uSs9WBbm+byFTFpXgh996Uy69hKRTTOi/Efuan9DyMyfWdWrBrW5HmNKyMFZywWsg4KCAIey6eJzVLhPY2rsWznbPFhcdfJJdMz1Z4fQVbs298Kiu4KpTtTdhJXM3ZAPje4TSaXFb8j0ywzG/Cy55MkxcYnfjVW0F5eb2oXHhM4ytvZ3W59bzReYvUsrWwFFNwHG/0rv7bt7v0po6FRJZ2rEtyaNDmFgv/cnwcA7NmMm8Q/nxWVWH/3WYwd2q7vQb2hAlf/PxGgo4meP+E9gdV4a2AzpSPu3i8SD9S07C9ee19Kj0P4aU3sr7K8qyZUQSg44NpRpRHJjSkyXnq9DTfzDV8qSPjRQeRSVguLWUNv0tCNjhkSbgs4c2sXlDbnrPaEHeVCNkvIp6ZlglceeYP71m5GfOqo5IEzz1ZsAGHkUnYRmxnGZeCcz6xYfSzwt44SauRL9B5z51sJfe2qnCo/CqCBgDKSkGUrHCyjKURe2GcvGdTvQf0pD0Y9VweS6NPaP4fscAKppLjC1Q+jY31QScmkhCijU2VgYeXFvFgA930OLPlbRInwQnnWLywA1Y12mL5xdvY2MwYm6hwACq3gM2kJSUTKqZDTZxO/H0OkPT4d1o8qbL04sDY2oiiQZrbHLFcWbtDPxnJ9J97zhqKLh2U0PApCYSn2iOba5HXD4wl2HLXZm/5EuePpP/6DDD+/1KuTYdcP84D8vbduRev0X4KFh5UH0GHLSEhouTGFclmJmRrfnRvSYF7DOMjbgQtqycz+pbRWhd1sDtMl3xqalsFqbODFgS8BamDoxj4NqOuBhSMbN4dmb+cFN3Op5twZx+TSjqmMKpKY2ZUGgRGzs9uzaXLfM+aaSagKO3063HOT4f3Z3PKsUzv0k3DH478a7weFAbbx1n4YJZXH9/JuPd8hCzZxx9jxagc2cPaheTvwLxegp41nh+iS7DlwM6UeHJBU7g0GKsqXGa7z45RnfHL9hTrik/Bq7jyyeXN8ZUA0ajWdqgev5UmRTkT7N+lizc4UFRErn66w94NxzNYTsD+Wt6MXP6FFq++c8lbEN8BGt7v8cljxuMqvZ4RKkn4Ccj9Pp8PuuRwOxdzws4mmPzRtKn53wu2CZTuOlUVk31oWpRBWdRLd4FHXWI0SMOUbJFBzp9Uor0oZ6yqzd2ny8jr51028COMjV6sXjfIKrk5Oh9rq1qAk7Pa0wkZJ8f/ZaXJWDxFzil//939uDTow8/7b6JSx4LYsJr4vfnYrpVcEHuX2KqNgMGwg/54TtgAGtO1Gf4hun0bfXO37VnZJYcxu7FAWy9VZepo+tho4C9KgLGyK4BxWi/AAqV6s7coyP40OpZoo8OjuczLz8C/4ykyYyzrPR+i9zKVqBVXIJ+wLbhAUS7teLLPBtp9+tHzOpSI4OAU7h9Zi9rFofw+eRqHFx9kMjKXvSqqYS8Wu+CTiUyZBVelTzZbp2KQ7mGDJ66DN+6f996ebCuC+5Xv2Su92cUdjBw7gc3RtgHsKWr/Pc4qyZg4OEmT6r3XE3onSg+X3KXpV+7PF0+Tw07xsJFswn9YBZjG9jx6OBEfALz4d7RgzquQsCZHfov+DOkZI5nIuA93iXY1ugEk+qfpn+hVTDgd1KKLWVu97efuYeRWUfPCjhjiyh+GTSQXwx18P6uI+WfcZuR2FvL6FP/Jj5/DePtJ2EvT8AZ67zDkhYeXHQbzECPD3BWMBlTZwb81FTsnDSFM3nr09G7+TP3sJN/6UOhfS24P7U+SbfOMG/iN1xyO8rMpvJf5q+ugI1EX9vCtD4bqb54MU2f2hcI2cg3AcHUadIdj5r5uDDtbXwTprBuQCOcZJ5L1RTw05FhOMGQOv1I6DmLcR2qkPuZcZHA5X0LWbzqFk1nTaDmP+5T5szG6gj46Vozofu/x9PnFN0C19Iqw2MNZwK+xufPmnjl2caM38ozas4EmpbMLXvpX80ZcOTuUXhtTaBha0/cHsyk06nqjO7ShNplH8/hDQ8vsWaiO2tL+bOg2p/M3XmamCqejG1RGisFKyjqzIAz7u8Eziz5joUbU/hq9ThqPRnT99e60/lGB+Z6NkwT8AV/N4ZYzWdb97+fj8nZqFHxHnBqMoF+bvQO78Y4m+8ZfLIRAcuH84HT44GdevMoCxbP4WadOYytZ0Ni4ER6HnSi0zcefFhC/qTl9ZwB+09gb0IZ2vbvSFmJbuQS2r+7lUZbFtG2VCCDy/1KywttOO/pRXj7/zGh9b+fFZOuzaeFjwXLtnVJW0bOuJ1b2J0FoRXo6DuAqhnfT5Eaxf5+zQmov5GVLf4+Q6gu4NuLceuSmLY8XvRfxHpobF3WFBjK0C6NKCZTAtLvVkvAqQmxnFk3npWh+WjuPpi6z92ET94/kOJzqxO25gu4+werZwzidP0NTP9U/hdd1BNwKg/+OsXPc30JaXaASfWfq+n2NrpMPMH7LXrg3bAoN2c3xTN+GMt7fUBemeWrJuCESB4kpmDu4ExeCzgypAYry33PqG8+oEC6ZFOTuXF0Mys2Lcfhq034vJPT0+Y/26si4IfXuWFbAlcbM+Ju/M7CoR0xjjhH7yc33x8dGIP7Pic6dfGlcWl4uKg+zW9PYNfA2mR4RCPHP0adh7BSubh+AhOmLeN0tDWWj+4RGmtFQfe5nJvUGBtLMx5FnOCnbu4svmyGWXIcDx88IPKdbizxG0WbKk/vi+W4fvUFDCF7ZzB78xnqDF1C0yKPS4rd5Uu7HbX5ccznlMqbyL5+TVhYaw0r2rrkuOb0ALVmwFEbutHqnBs/9PqcN50h9KdqtE9axuF+T77sdu80i+f4E1R2It9+VYjba0Yw6qIr3bx6UEPBPezXUMDSQ1iDmBP4kErNWiI9xHZ627ccqTyW9T4NsUnajHeZ/XS5O4Niu+cyeGIQrbZMotHt3zkfnoeKNd4k/9Or/fuc3XyIC8HrGRNgzgC/r6j3fj1sQ/dy6FICDikX2bnmInncBjK85ztEB54grsyblC3igNnNOdSvcpDB11fRJMOxo56AI/lj52H+/GsdQ/2T8Zncho8btKKc+Q2Cz0ZR4N2iRJw9xJkwA46PjrB8YTg1h47Fu3FJlDzSoY6Aozk6uz8dJp+jvu9gWpdMIKVIdepXL0TEofMkV6lK6eR99GsQgP2EtpS+eZJDv92h08xlfKLgYFBNwPf38PW7rQhs4MfslnmJxYHytRpQwRDK5VBzytWwZUevb9luXpA6jQrz209zKdt7HX0+K461zNUH1QT88DCrVx3gfFwVala6wC9+d3h35HC+qe9IyK6z5PqgBvmvLaFFg4HEdfJnwkdmRNsU493qtSnjJLN4lT5HaDw5gk5r3qBZdQORt45yat8beG/2osyNIK4/dKSo/Un6+22mQMma1KpYiOOrRxHRbBk/tquClfxVRBWXoDN46MwYmv3WnAWd38PFNoKLuy5hX7cWJdIPzvBAAnacJrZiT/rUkHvj4nF/qgg4NZl7f+xn7x/R2KSGcWpXILdcujJxamNynTlNuGMpKpe8ydCq/Yjq3pYPnINZNy6Zvr/NoK6CF+epJeCUs3NoPv0MDWrWopSLA0dXjyGl8y9M/9iCi4dvUejjyoQsmMaUpZf5aHQNgv2OUriFD949qiH/0gdeQwFD2NEVzJu7hjMPzDE3JGKoP5QFXh/iYmdGSsJZVg8OoubMLykbd4N9uzdywcWNJvc2sv7PErT0bUcF+/QDJZglnceyJSoFW9tUUq1c+KLvBJx/G8yELXfIZUymUsse9OzaipKWJ/B9ZzLFJk/Fx60MVr8vxeNgafx865DxD1TUE/A11vQcz7qwGKwdzElKteGL8QG8FzaTgX0fMGRnD0ICRhFwOBJLYwo1Pcbg3bw6+RWciFSbASfc5n/r5jJ1UxA2JBIXH4/LpwP41tuWkW9Mo8qyeXjWdCHywDh6+J0gKU9x3u86kdH1M67z5vyiWjUB/7GCLt8fICnmIbEJyVg6laDlwMGUPTWHH9bkYdT2gVS8s5fpfovYf/Y+lm7DmN/j8fiTu6kmYBL4c0MAs+ZtI9hoRt0+U/Bu9BZ5zXbSxnkOrU+spknYArrOOo51Siwx8QnYlf+ILr0G8mlp+UtxqsyAucTir4ayMTYJ+4KlcZ8yg0/zhbPdbwprj5dm7GpvbHbO5Ntlu7kcA5aVPZg9ugmF7eTXreYS9DP7/uoWfrpSmU51y2KbsIZWJdfR/erPNE+XVfQlDp+5QmKxBnxcRtn6vyoCTnnE+TXDGLzqKhbGFIrVaITnQB/etg1m6hfjifigK0P71iNxzxCGL7xIRIIdtQbNZ3Ct5/88L2dHgFoClnoNXj6SKVt+JzzRHLuqfVk4qg6xfy2ga8MTDLgeQN2IkyzzH83ywwZcm3rSr2tLKuXOWb3Pt34tBawMmbzoB7snM+aoK929vqDK07W8f+ZST8D/zJ0ac4c9c0dxsNgwJrUrKe+HZBGlzgw4807ubRnOqHPVGOTbjNKOyk6amfWgmoAzSZ5y+xxrFi3kzntD6N9IwTT9BfzVE3DmHYSs7MXY0DZMG1CXfAruN75o+Kgj4H9mT75xjKVL15HwwSB6NiigyZhXZwn6xaVdnN8Fv/he/Oj7nqLVqRf1oIqAX5A87uRSpm6/T612Pfjs75mLavtBTQE/X5QxKY6jc3xYZT+YGV0rPH0AVLXieU1nwGoCzG6uO8f2Eu5amXKFi/zr06JaCjglLppLJw5iW68Z2uhXvXvAmXENO7yDB5VqUDF/ftkvrPi3/aWlgBPCb3Hl8kWcan3Ck1ti2R062WqnuYD3byS2hhuV7W0UPbD0sgUcfzuEqzev41yt7tM/YcsW0Bw00lrAV/b8THK9NlTMJX+F5N9+jpYCfvDHCcJy2VOifGUUThYz/QlaCjg1OYnLB7dh/nFrymqD/vVcgs7BsfXSm2op4JfxY7ScAWtdv5YC1rp2rQWsdf1azYC1rlvKr7WAtf4NWgpY69q1FLDWtUv5xRL0y6Ccgz6EgHMAS+WmQsAqA81BOiHgHMBSuakQsMpAc5BOCDgHsF5GUyHgl0E58z6EgPVjLwSsH3shYP3YCwHrxz7TnoWA9dshQsD6sRcC1o+9ELB+7IWA9WMvBPyKsRcC1m+HCAHrx14IWD/2QsD6sRcCfsXYCwHrt0OEgPVjLwSsH3shYP3YCwG/YuyFgPXbIULA+rEXAtaPvRCwfuyFgF8x9kLA+u0QIWD92AsB68deCFg/9kLArxh7IWD9dogQsH7shYD1Yy8ErB97IeBXjL0QsH47RAhYP/ZCwPqxFwLWj70Q8CvGXghYvx0iBKwfeyFg/dgLAevHXgj4FWMvBKzfDhEC1o+9ELB+7IWA9WMvBPyKsRcC1m+HCAHrx14IWD/2QsD6sRcCfsXYCwHrt0OEgPVjLwSsH3shYP3YCwG/YuyFgPXbIULA+rEXAtaP/X9awEFBQUb90MrrOTU1NS3Q3NxcXgKdo6TP4llaWupchbzuBXt53NSIMhgMaWPezEyjD6+qUeQLchiNRqSxY2FhoWEv2qUW7LVjm1Xm//L50sxgMJiUgKUTUHh4OMnJyRQpUiTtoDa1LTg4mPLly5ta2Wkn/7CwMKytrXF2djY59tKBfO3aNSpUqGBytUvspRlwvnz5cHR0RBKaqWzSBYP0PeDbt29TpkwZk2QvzYCLFy+eNvZNib00biIjI4mOjsbV1dXk2EtjR5oBly1b1uQmXBL7e/fuIV28FS5cOFP2ZkZTGk1Pzjjia0j6nXrFErR+7MUStH7sxRK0fuz/00vQQsAvf2AFBQVRsWLFl9+xCj0KAasAUWYKIWCZ4FQIEwJWAaLMFELAMsFpFSZmwFqRzTqvEHDWjLRqIQSsFdms8woBZ81IqxZCwFqRlZlXCFgmOBXChIBVgCgzhRCwTHAqhAkBqwBRZgohYJngtAoTAtaKbNZ5hYCzZqRVCyFgrchmnVcIOGtGWrUQAtaKrMy8QsAywakQJgSsAkSZKYSAZYJTIUwIWAWIMlMIAcsEp1WYELBWZLPOKwScNSOtWggBa0U267xCwFkz0qqFELBWZGXmFQKWCU6FMCFgFSDKTCEELBOcCmFCwCpAlJlCCFgmOK3ChIC1Ipt1XiHgrBlp1UIIWCuyWecVAs6akVYthIC1IiszrxCwTHAqhAkBqwBRZgohYJngVAgTAlYBoswUQsAywWkVJgSsFdms8woBZ81IqxZCwFqRzTqvEHDWjLRqIQSsFVmZeYWAZYJTIUwIWAWIMlMIAcsEp0KYELAKEGWm+E8LOCkpyXTe6v7kC0iSgKUX6xcqVMjkXi4ujcErV66kvZTe1Dbp5eLSC/WlF9JLHwUwtQ9hSC9FDwkJSXuxu6nVLn1FSKrdyckJBwcHk/ogQPrHGO7evUupUqVMjr007q9evZr28RdT+xiDxF76EENMTEzaxySkY8CUNqn+y5cvp40bU/v6XfqHg6RzTcGCBTP/GENwcLBJCVgaPOmDyFQ/bZaUlISVlZUpHQdPa5UufKSDwhTZS98dkerPlSuXybKXDmpTOxFJsE2dvfT1NekToqb4KUhJANI/U/0EqsTeVI/ZrFwlvoakw6lYfIxBB+iQJl9pJmOKn4KUiIklaH3GjdSrWILWj/1/eglafA3p5Q8sIeCXz1zqUQhYH+5Sr9L3gKXnB0zx1osQsH7jRupZCFhf/v/oXTyEpd8OEQ9h6cdezID1Yy9mwPqxf+0F/PCYPz+uP8etWBvecR9Jj2rOmJtBfPgFVo+awW8pDpSr1Zr2nzlz5OeF7P0zHmtLCyytLSn+sSfen1XAxiyM9QMmszfBnHxFa9JxyFdUvH+Kdctmsf2iJSU/aU/nlvVwtct6R6si4C3+cLUQdG4GeazAEAzD50LMI7DMC/W+hlaV/y7m+n5YvhVuJoKFBdjbgpsv1CsKZlnXnLGFmAHnjJdarcUMWC2SOc8jZsA5Z6ZWRFRUFNI/V1dXtVK+1Dyvt4ATzjN/1gbuxFnjEP8byw80YHGgL5WTr7JlcjfW32rOOxWgYKV6fForL+f3buX49STscidz8oefSPTdxIIelTg3oyWzzn7Ge1XMsS/wFi3a1+J+4HKW77pFcadbbP3FilYjh9C9oSsWWexeZQKOgB+WQ9BuOFkZ1oyAUnkhcSuUmw99PgLs4b1GUK/U35XcPgm/HIZ7KWAXD9P9YdoJaJPzQS0E/FKP36edCQHrw10sQevHXepZCFg//uHh4WkPDUt/sZPZlvVDWIk3CbqXl2IuDjhYH8LTeTxvn9hCu/g19B4SzIitk6iQaeo/GPrlcmqM6U/zQkfp1Honvfb/RA2zJ9NFQyzh9yOJNS9GKecbzGs3lKBq7gzq35DMS/27E2UCjoPDQWB3ASaHw5SuUNoJknZB24ewqV029tYJaLQOlo8BZ9tstH+2iRBwjpGpEiAErApGWUnEDFgWNlWChIBVwSgriXIBZ+w2dj0tG5xkyK5RlN7fm+Jf76JcRQeSYovQ4OvhTB5dH6cn7W+sasn40K4M82pGqQvDKdB4Bc6u9pglOVCmaj9mL/+SYk9zn2WixyrsGnyF15dvYaPpDPhJ8qgt0OUPmOr5WMDSDNixG5TLB4XfgClroOoL5uJza0HiLPB8F2T8NZEQsKyxrDhICFgxQtkJhIBlo1McKASsGKHsBCoKOIZNXd05124GwxoU5O4GX97fW5tjQ2oTenwjK3bu4+1+W/F4yxwIZc7H4zAM7oP7p29gv68/TovLcnhIPRIjrrJx1kCSPE8ypf7jG77nF0xkw72itPZxp4pD1r9V2Qz4BQI2xsGlUJD+99RmmAXsH5eJYIOh8jjY6AcVXLIuNpMWQsCysCkOEgJWjFB2AiFg2egUBwoBK0YoO4FqAj7jV4uR0YNZNKQlBawTubmhP7XPdCBkQi0M1/by09JVJDTwZ/CHNsQfHIPXXld8PDryfjFL2D+AfJs/5v5MN4i6wXZ/TzZXWMn8z/Ny75Af434+T51us2n3dlZz38cc1BPwRZjq8XgGnHG7HAhTB0DfY1DxOfZbveBUE+jXGHJLFxs534SAc85MjQghYDUoysshBCyPmxpRQsBqUJSXQwUBx7DR+0Omm3kya0g7Suc1x9zahkcnf+TrThGMuDSa/DtmMGflWT6atIrWrleZ9/kwgut4MbBvXQpKdYcsokn1E3hemkzVsAP4DxxP8e9P0ezqGHr7HaH20KX0qm5HItbY2VphkcVTxcoEbIREA9xdC95BMKErvFUCkuMgwQBmsbBx6uMZ8K/fQ65ESDEHG+ntSeeh2lAY9j20KidvjwBCwLLRKQoUAlaET1GwELAifIqChYAV4VMUrFzA19fRrttY9py9h3Wux/dEPxgfyLpvnDk0vSXNp/yOsUQNOo+bz4wWxeHmVrpOPEX1jt3xqFX0afFXFn7Bh8MPkWRXkKoDf2ZXDzs2jfemw/dHyGtnRfKjaIp1+IEVY7tQKf+//2ZlAr4NfXxg0QFwsIGkBJj/F4R7w+jDkJIEpavCsl1QLgImTITLlWFxd7i8GMbdgTHSfeO8sneMELBsdIoChYAV4VMULASsCJ+iYCFgRfgUBSsXsKLutQlWJuAc1BR5Bvw3Qen20P75tegc5HmuqRCwfHZKIoWAldBTFisErIyfkmghYCX0lMUKASvhdzYQ/roCbdxB3u3eTHsXAlayU+THCgHLZ6c0UghYKUH58ULA8tkpjRQCVkpQg3ghYA2gZiOlEHA2IGnURAhYI7DZSCsEnA1IGjURAtYIrJK0QsBK6MmPFQKWz05ppBCwUoLy44WA5bNTGikErJSgBvFCwBpAzUZKIeBsQNKoiRCwRmCzkVYIOBuQNGoiBKwRWCVphYCV0JMfKwQsn53SSCFgpQTlxwsBy2enNFIIWClBDeKFgDWAmo2UQsDZgKRREyFgjcBmI60QcDZ4jGnpAAACxUlEQVQgadRECFgjsErSCgEroSc/VghYPjulkULASgnKjxcCls9OaaQQsFKCGsQLAWsANRsphYCzAUmjJkLAGoHNRloh4GxA0qiJELBGYJWkFQJWQk9+rBCwfHZKI4WAlRKUHy8ELJ+d0kghYKUENYgXAtYAajZSCgFnA5JGTYSANQKbjbRCwNmApFETIWCNwCpJKwSshJ78WCFg+eyURgoBKyUoP14IWD47pZFCwEoJahAvBKwB1GykFALOBiSNmggBawQ2G2mFgLMBSaMmQsAagVWSVghYCT35sULA8tkpjRQCVkpQfrwQsHx2SiOFgJUS1CBeCFgDqNlIKQScDUgaNREC1ghsNtIKAWcDkkZNhIA1AqskrRCwEnryY4WA5bNTGikErJSg/HghYPnslEYKASslqEG8ELAGULORUgg4G5A0aiIErBHYbKQVAs4GJI2aZCngkJAQo0Z9a5LWzMyMxMREUlNTsbW1xWg0qfLTmMTGxuLg4KAJHy2TSuylE6m5uTnW1tYmx14aK3FxcTg6Oppc7RJ7qXYrKyssLS213M2a5DYYDCQkJKSNe1M7ZiX20jErnW+ksW9Km1R7cnJy2j87OzuTY59+vrS3t0f6Laa0pbtKGu82NjaZsjeLiooyKYNJB4B0RSfNZvLnz58mYlPbwsLCKFq0qKmVnXbyiYiIIFeuXOTOndvkDmZJAnfv3k1jb2oSkNjfuXMnjbupXXimn4gePHhAkSJFTO6YldhLx2yBAgVM7uIn/cItPj4eFxcXk2Mv1X/z5s20cWNqApbGTWRkZBrzfPnyZcrezGhqZyJIk4B0RVe4cGGTk5hUsFiC1me3iSVofbhLvYolaP3YiyVo/dhnuQQtBPzyd44Q8MtnLvUoBKwPdyFg/bhLPQsB68dfCFg/9i/sWQhYn50iBKwPdyFg/bgLAevLPisB/x8wY09vHuCsKwAAAABJRU5ErkJggg==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77343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6</xdr:row>
      <xdr:rowOff>0</xdr:rowOff>
    </xdr:from>
    <xdr:to>
      <xdr:col>16</xdr:col>
      <xdr:colOff>304800</xdr:colOff>
      <xdr:row>7</xdr:row>
      <xdr:rowOff>114300</xdr:rowOff>
    </xdr:to>
    <xdr:sp macro="" textlink="">
      <xdr:nvSpPr>
        <xdr:cNvPr id="4" name="AutoShape 3" descr="data:image/png;base64,iVBORw0KGgoAAAANSUhEUgAAAeAAAABTCAYAAABH/dT6AAAAAXNSR0IArs4c6QAAIABJREFUeF7tnQd0FdUWQHcK6QECIfTQq2JDmqAURQkdRARRCDUFQui9VxGIoIYaekd6lS6ELx2kiDHUEEJLgHTSXt5fEwgGDCaZwvDkzlqs7/rrnnPP23Nn9tw7kxkzo9FoxMS2iIgIkpOTKVy4sIlV/rjcoKAgKlasaJK137p1C2tra/Lnz29y9aekpHD16lXKly9vcrVLBV+/fh1nZ2ccHBxMrv5Hjx4hjZ0yZcqYXO1SwZcuXcLV1TVt7JvaFhUVhfRPqt8Ut7/++oty5cphbm5ucuWHh4djMBgoVKhQprWbCQG//H0qBPzymUs9CgHrw13qVQhYP/ZCwPqxFwLWj/0LexYC1menCAHrw10IWD/uUs9CwPrxFwLWj70Q8CvGXghYvx0iZsD6sRcC1o99lgK+f/++Sd0DNjMzIyYmJm1d3cnJidTUVP3oyuz57t27FCxYUGa0fmHSPZiHDx9iaWmZdh/S1B4fkMaK9PyAxN7UapfYSwezxN3Gxsak6peO2aSkpLSZmIuLi8kds1L99+7dSzvfSGPflDap9vj4eBISEtKe2zC186VU/507d9LGjfTfprSlu0pinjdv3kzZm4WFhZmcgKWraelH2dvbm9SJKH3wREZGpu0QU9ukARUXF4eFhYXJSUBiLUk3Ojo6jb2pCVhiL9UuydfKysrk6pcumKWxkydPHpOrXWIvXTxI5xtp7JvSJtWemJiYdgHk6Ohokuyli35p3JiigCVXSecaOzu7TNmLh7B0OJrEPWAdoIuHsPSB/qRXsQStH36xBK0f+yyXoMVT0C9/5wgBv3zmUo/iHrA+3KVehYD1Yy8ErB97IWD92L+wZyFgfXaKELA+3IWA9eMu9SwErB9/mQI2cnnHVEaP8efIAxtyGR6R1HQahyd+TtHcFiTFB+LX9CRu+/vyxs3jLFvwLVGfrqJPrRf9kXoEKzq7MctuMJv821CAJEKPLmRo28n8Lxck5qvHsO/G0at+iaekbq/vSeMx+4hLNIIxFZuiFWg/ZiVD6+VOe5BGvRdxxLDRuxHfJnqwfkFHij2zr2L5feVURg5azB/WRhKLtGV2wDCaV8inaI+qJeC4v7bz3dCuzD1iSfl2o/hheA/ecX62tKTYQEa9687qFGtKvfcVk5aPoJat/PLVfBHHsW/fp9PCSMzzFKXNd9sYV9/xucIesH1AHyauPcBNs8r0XbOcXjULkEtm+WoK+OGx2QwbOZ7NFyyo4jWLgL7NKJ7h/Rip8RFsGlYN3w2Qv0o9+kwJwP1NZfcP1XkRh5HAcW/TZWk8VgXK0GHqRobVsXuG6N3dw+k1fhknQy2weG8AW5b0oLKjXOqPU6s+A046zpjP+3Hxo8kE+H5IbqvnB8UDjiwYw9hNFvT8fjrNyip7iYM6L+JIJTpsC8M+6s8Os1SS7d+g3cBJfPv1W2QcGbEHRtB44AZuRUOBHos5MqC6zBH/OExNAV9b3YmuUw9xIyoXtrVHs2vRVxQxz/BwVMQZ5k3ozdjVVzD70IP5kwbiVu7Z8ZXTH/MavogjheP+I/n5Wm4adu9ClTy3WOvbgRnOwzk9vT32KdvpXeYgXe6OwDhvBL1OVWXL3M5k/l6qk4x/ezKWXuXYut6VtXu8KUYM535dw/IFBjpMc8Mh3pJ8BQvgZPf3QZ4Sc4fQ8DiMZhB7+yTLRizlzWXb6VQUFQV8jqm1JpHaoRjr1xdn1X5fyjzzoN1dds5fzelrhWnlUxPrJBtcCufH0UrZiVQVASff5LcDezj54H06VgtmTPfdFPTshW/bKqQPd6PhGgEd6nO+ya/0r5MKuXLjUtQZWwUPE6om4LCVDFrtjEeL4oQfXchIv4L8cHoAlZ4enUZOzfmaBZffoUWHDlTIk0LuwkVxsrVAbvmqCTjxIpu3nSLGphqNyx7Bp80x6i0cgXu1Yk8uDlKIuriUyXsr0LeFJXvnLWVH6IdMW9ruBcdI9k5JagjYeGMZg34uSs9WBbm+byFTFpXgh996Uy69hKRTTOi/Efuan9DyMyfWdWrBrW5HmNKyMFZywWsg4KCAIey6eJzVLhPY2rsWznbPFhcdfJJdMz1Z4fQVbs298Kiu4KpTtTdhJXM3ZAPje4TSaXFb8j0ywzG/Cy55MkxcYnfjVW0F5eb2oXHhM4ytvZ3W59bzReYvUsrWwFFNwHG/0rv7bt7v0po6FRJZ2rEtyaNDmFgv/cnwcA7NmMm8Q/nxWVWH/3WYwd2q7vQb2hAlf/PxGgo4meP+E9gdV4a2AzpSPu3i8SD9S07C9ee19Kj0P4aU3sr7K8qyZUQSg44NpRpRHJjSkyXnq9DTfzDV8qSPjRQeRSVguLWUNv0tCNjhkSbgs4c2sXlDbnrPaEHeVCNkvIp6ZlglceeYP71m5GfOqo5IEzz1ZsAGHkUnYRmxnGZeCcz6xYfSzwt44SauRL9B5z51sJfe2qnCo/CqCBgDKSkGUrHCyjKURe2GcvGdTvQf0pD0Y9VweS6NPaP4fscAKppLjC1Q+jY31QScmkhCijU2VgYeXFvFgA930OLPlbRInwQnnWLywA1Y12mL5xdvY2MwYm6hwACq3gM2kJSUTKqZDTZxO/H0OkPT4d1o8qbL04sDY2oiiQZrbHLFcWbtDPxnJ9J97zhqKLh2U0PApCYSn2iOba5HXD4wl2HLXZm/5EuePpP/6DDD+/1KuTYdcP84D8vbduRev0X4KFh5UH0GHLSEhouTGFclmJmRrfnRvSYF7DOMjbgQtqycz+pbRWhd1sDtMl3xqalsFqbODFgS8BamDoxj4NqOuBhSMbN4dmb+cFN3Op5twZx+TSjqmMKpKY2ZUGgRGzs9uzaXLfM+aaSagKO3063HOT4f3Z3PKsUzv0k3DH478a7weFAbbx1n4YJZXH9/JuPd8hCzZxx9jxagc2cPaheTvwLxegp41nh+iS7DlwM6UeHJBU7g0GKsqXGa7z45RnfHL9hTrik/Bq7jyyeXN8ZUA0ajWdqgev5UmRTkT7N+lizc4UFRErn66w94NxzNYTsD+Wt6MXP6FFq++c8lbEN8BGt7v8cljxuMqvZ4RKkn4Ccj9Pp8PuuRwOxdzws4mmPzRtKn53wu2CZTuOlUVk31oWpRBWdRLd4FHXWI0SMOUbJFBzp9Uor0oZ6yqzd2ny8jr51028COMjV6sXjfIKrk5Oh9rq1qAk7Pa0wkZJ8f/ZaXJWDxFzil//939uDTow8/7b6JSx4LYsJr4vfnYrpVcEHuX2KqNgMGwg/54TtgAGtO1Gf4hun0bfXO37VnZJYcxu7FAWy9VZepo+tho4C9KgLGyK4BxWi/AAqV6s7coyP40OpZoo8OjuczLz8C/4ykyYyzrPR+i9zKVqBVXIJ+wLbhAUS7teLLPBtp9+tHzOpSI4OAU7h9Zi9rFofw+eRqHFx9kMjKXvSqqYS8Wu+CTiUyZBVelTzZbp2KQ7mGDJ66DN+6f996ebCuC+5Xv2Su92cUdjBw7gc3RtgHsKWr/Pc4qyZg4OEmT6r3XE3onSg+X3KXpV+7PF0+Tw07xsJFswn9YBZjG9jx6OBEfALz4d7RgzquQsCZHfov+DOkZI5nIuA93iXY1ugEk+qfpn+hVTDgd1KKLWVu97efuYeRWUfPCjhjiyh+GTSQXwx18P6uI+WfcZuR2FvL6FP/Jj5/DePtJ2EvT8AZ67zDkhYeXHQbzECPD3BWMBlTZwb81FTsnDSFM3nr09G7+TP3sJN/6UOhfS24P7U+SbfOMG/iN1xyO8rMpvJf5q+ugI1EX9vCtD4bqb54MU2f2hcI2cg3AcHUadIdj5r5uDDtbXwTprBuQCOcZJ5L1RTw05FhOMGQOv1I6DmLcR2qkPuZcZHA5X0LWbzqFk1nTaDmP+5T5szG6gj46Vozofu/x9PnFN0C19Iqw2MNZwK+xufPmnjl2caM38ozas4EmpbMLXvpX80ZcOTuUXhtTaBha0/cHsyk06nqjO7ShNplH8/hDQ8vsWaiO2tL+bOg2p/M3XmamCqejG1RGisFKyjqzIAz7u8Eziz5joUbU/hq9ThqPRnT99e60/lGB+Z6NkwT8AV/N4ZYzWdb97+fj8nZqFHxHnBqMoF+bvQO78Y4m+8ZfLIRAcuH84HT44GdevMoCxbP4WadOYytZ0Ni4ER6HnSi0zcefFhC/qTl9ZwB+09gb0IZ2vbvSFmJbuQS2r+7lUZbFtG2VCCDy/1KywttOO/pRXj7/zGh9b+fFZOuzaeFjwXLtnVJW0bOuJ1b2J0FoRXo6DuAqhnfT5Eaxf5+zQmov5GVLf4+Q6gu4NuLceuSmLY8XvRfxHpobF3WFBjK0C6NKCZTAtLvVkvAqQmxnFk3npWh+WjuPpi6z92ET94/kOJzqxO25gu4+werZwzidP0NTP9U/hdd1BNwKg/+OsXPc30JaXaASfWfq+n2NrpMPMH7LXrg3bAoN2c3xTN+GMt7fUBemeWrJuCESB4kpmDu4ExeCzgypAYry33PqG8+oEC6ZFOTuXF0Mys2Lcfhq034vJPT0+Y/26si4IfXuWFbAlcbM+Ju/M7CoR0xjjhH7yc33x8dGIP7Pic6dfGlcWl4uKg+zW9PYNfA2mR4RCPHP0adh7BSubh+AhOmLeN0tDWWj+4RGmtFQfe5nJvUGBtLMx5FnOCnbu4svmyGWXIcDx88IPKdbizxG0WbKk/vi+W4fvUFDCF7ZzB78xnqDF1C0yKPS4rd5Uu7HbX5ccznlMqbyL5+TVhYaw0r2rrkuOb0ALVmwFEbutHqnBs/9PqcN50h9KdqtE9axuF+T77sdu80i+f4E1R2It9+VYjba0Yw6qIr3bx6UEPBPezXUMDSQ1iDmBP4kErNWiI9xHZ627ccqTyW9T4NsUnajHeZ/XS5O4Niu+cyeGIQrbZMotHt3zkfnoeKNd4k/9Or/fuc3XyIC8HrGRNgzgC/r6j3fj1sQ/dy6FICDikX2bnmInncBjK85ztEB54grsyblC3igNnNOdSvcpDB11fRJMOxo56AI/lj52H+/GsdQ/2T8Zncho8btKKc+Q2Cz0ZR4N2iRJw9xJkwA46PjrB8YTg1h47Fu3FJlDzSoY6Aozk6uz8dJp+jvu9gWpdMIKVIdepXL0TEofMkV6lK6eR99GsQgP2EtpS+eZJDv92h08xlfKLgYFBNwPf38PW7rQhs4MfslnmJxYHytRpQwRDK5VBzytWwZUevb9luXpA6jQrz209zKdt7HX0+K461zNUH1QT88DCrVx3gfFwVala6wC9+d3h35HC+qe9IyK6z5PqgBvmvLaFFg4HEdfJnwkdmRNsU493qtSnjJLN4lT5HaDw5gk5r3qBZdQORt45yat8beG/2osyNIK4/dKSo/Un6+22mQMma1KpYiOOrRxHRbBk/tquClfxVRBWXoDN46MwYmv3WnAWd38PFNoKLuy5hX7cWJdIPzvBAAnacJrZiT/rUkHvj4nF/qgg4NZl7f+xn7x/R2KSGcWpXILdcujJxamNynTlNuGMpKpe8ydCq/Yjq3pYPnINZNy6Zvr/NoK6CF+epJeCUs3NoPv0MDWrWopSLA0dXjyGl8y9M/9iCi4dvUejjyoQsmMaUpZf5aHQNgv2OUriFD949qiH/0gdeQwFD2NEVzJu7hjMPzDE3JGKoP5QFXh/iYmdGSsJZVg8OoubMLykbd4N9uzdywcWNJvc2sv7PErT0bUcF+/QDJZglnceyJSoFW9tUUq1c+KLvBJx/G8yELXfIZUymUsse9OzaipKWJ/B9ZzLFJk/Fx60MVr8vxeNgafx865DxD1TUE/A11vQcz7qwGKwdzElKteGL8QG8FzaTgX0fMGRnD0ICRhFwOBJLYwo1Pcbg3bw6+RWciFSbASfc5n/r5jJ1UxA2JBIXH4/LpwP41tuWkW9Mo8qyeXjWdCHywDh6+J0gKU9x3u86kdH1M67z5vyiWjUB/7GCLt8fICnmIbEJyVg6laDlwMGUPTWHH9bkYdT2gVS8s5fpfovYf/Y+lm7DmN/j8fiTu6kmYBL4c0MAs+ZtI9hoRt0+U/Bu9BZ5zXbSxnkOrU+spknYArrOOo51Siwx8QnYlf+ILr0G8mlp+UtxqsyAucTir4ayMTYJ+4KlcZ8yg0/zhbPdbwprj5dm7GpvbHbO5Ntlu7kcA5aVPZg9ugmF7eTXreYS9DP7/uoWfrpSmU51y2KbsIZWJdfR/erPNE+XVfQlDp+5QmKxBnxcRtn6vyoCTnnE+TXDGLzqKhbGFIrVaITnQB/etg1m6hfjifigK0P71iNxzxCGL7xIRIIdtQbNZ3Ct5/88L2dHgFoClnoNXj6SKVt+JzzRHLuqfVk4qg6xfy2ga8MTDLgeQN2IkyzzH83ywwZcm3rSr2tLKuXOWb3Pt34tBawMmbzoB7snM+aoK929vqDK07W8f+ZST8D/zJ0ac4c9c0dxsNgwJrUrKe+HZBGlzgw4807ubRnOqHPVGOTbjNKOyk6amfWgmoAzSZ5y+xxrFi3kzntD6N9IwTT9BfzVE3DmHYSs7MXY0DZMG1CXfAruN75o+Kgj4H9mT75xjKVL15HwwSB6NiigyZhXZwn6xaVdnN8Fv/he/Oj7nqLVqRf1oIqAX5A87uRSpm6/T612Pfjs75mLavtBTQE/X5QxKY6jc3xYZT+YGV0rPH0AVLXieU1nwGoCzG6uO8f2Eu5amXKFi/zr06JaCjglLppLJw5iW68Z2uhXvXvAmXENO7yDB5VqUDF/ftkvrPi3/aWlgBPCb3Hl8kWcan3Ck1ti2R062WqnuYD3byS2hhuV7W0UPbD0sgUcfzuEqzev41yt7tM/YcsW0Bw00lrAV/b8THK9NlTMJX+F5N9+jpYCfvDHCcJy2VOifGUUThYz/QlaCjg1OYnLB7dh/nFrymqD/vVcgs7BsfXSm2op4JfxY7ScAWtdv5YC1rp2rQWsdf1azYC1rlvKr7WAtf4NWgpY69q1FLDWtUv5xRL0y6Ccgz6EgHMAS+WmQsAqA81BOiHgHMBSuakQsMpAc5BOCDgHsF5GUyHgl0E58z6EgPVjLwSsH3shYP3YCwHrxz7TnoWA9dshQsD6sRcC1o+9ELB+7IWA9WMvBPyKsRcC1m+HCAHrx14IWD/2QsD6sRcCfsXYCwHrt0OEgPVjLwSsH3shYP3YCwG/YuyFgPXbIULA+rEXAtaPvRCwfuyFgF8x9kLA+u0QIWD92AsB68deCFg/9kLArxh7IWD9dogQsH7shYD1Yy8ErB97IeBXjL0QsH47RAhYP/ZCwPqxFwLWj70Q8CvGXghYvx0iBKwfeyFg/dgLAevHXgj4FWMvBKzfDhEC1o+9ELB+7IWA9WMvBPyKsRcC1m+HCAHrx14IWD/2QsD6sRcCfsXYCwHrt0OEgPVjLwSsH3shYP3YCwG/YuyFgPXbIULA+rEXAtaP/X9awEFBQUb90MrrOTU1NS3Q3NxcXgKdo6TP4llaWupchbzuBXt53NSIMhgMaWPezEyjD6+qUeQLchiNRqSxY2FhoWEv2qUW7LVjm1Xm//L50sxgMJiUgKUTUHh4OMnJyRQpUiTtoDa1LTg4mPLly5ta2Wkn/7CwMKytrXF2djY59tKBfO3aNSpUqGBytUvspRlwvnz5cHR0RBKaqWzSBYP0PeDbt29TpkwZk2QvzYCLFy+eNvZNib00biIjI4mOjsbV1dXk2EtjR5oBly1b1uQmXBL7e/fuIV28FS5cOFP2ZkZTGk1Pzjjia0j6nXrFErR+7MUStH7sxRK0fuz/00vQQsAvf2AFBQVRsWLFl9+xCj0KAasAUWYKIWCZ4FQIEwJWAaLMFELAMsFpFSZmwFqRzTqvEHDWjLRqIQSsFdms8woBZ81IqxZCwFqRlZlXCFgmOBXChIBVgCgzhRCwTHAqhAkBqwBRZgohYJngtAoTAtaKbNZ5hYCzZqRVCyFgrchmnVcIOGtGWrUQAtaKrMy8QsAywakQJgSsAkSZKYSAZYJTIUwIWAWIMlMIAcsEp1WYELBWZLPOKwScNSOtWggBa0U267xCwFkz0qqFELBWZGXmFQKWCU6FMCFgFSDKTCEELBOcCmFCwCpAlJlCCFgmOK3ChIC1Ipt1XiHgrBlp1UIIWCuyWecVAs6akVYthIC1IiszrxCwTHAqhAkBqwBRZgohYJngVAgTAlYBoswUQsAywWkVJgSsFdms8woBZ81IqxZCwFqRzTqvEHDWjLRqIQSsFVmZeYWAZYJTIUwIWAWIMlMIAcsEp0KYELAKEGWm+E8LOCkpyXTe6v7kC0iSgKUX6xcqVMjkXi4ujcErV66kvZTe1Dbp5eLSC/WlF9JLHwUwtQ9hSC9FDwkJSXuxu6nVLn1FSKrdyckJBwcHk/ogQPrHGO7evUupUqVMjr007q9evZr28RdT+xiDxF76EENMTEzaxySkY8CUNqn+y5cvp40bU/v6XfqHg6RzTcGCBTP/GENwcLBJCVgaPOmDyFQ/bZaUlISVlZUpHQdPa5UufKSDwhTZS98dkerPlSuXybKXDmpTOxFJsE2dvfT1NekToqb4KUhJANI/U/0EqsTeVI/ZrFwlvoakw6lYfIxBB+iQJl9pJmOKn4KUiIklaH3GjdSrWILWj/1/eglafA3p5Q8sIeCXz1zqUQhYH+5Sr9L3gKXnB0zx1osQsH7jRupZCFhf/v/oXTyEpd8OEQ9h6cdezID1Yy9mwPqxf+0F/PCYPz+uP8etWBvecR9Jj2rOmJtBfPgFVo+awW8pDpSr1Zr2nzlz5OeF7P0zHmtLCyytLSn+sSfen1XAxiyM9QMmszfBnHxFa9JxyFdUvH+Kdctmsf2iJSU/aU/nlvVwtct6R6si4C3+cLUQdG4GeazAEAzD50LMI7DMC/W+hlaV/y7m+n5YvhVuJoKFBdjbgpsv1CsKZlnXnLGFmAHnjJdarcUMWC2SOc8jZsA5Z6ZWRFRUFNI/V1dXtVK+1Dyvt4ATzjN/1gbuxFnjEP8byw80YHGgL5WTr7JlcjfW32rOOxWgYKV6fForL+f3buX49STscidz8oefSPTdxIIelTg3oyWzzn7Ge1XMsS/wFi3a1+J+4HKW77pFcadbbP3FilYjh9C9oSsWWexeZQKOgB+WQ9BuOFkZ1oyAUnkhcSuUmw99PgLs4b1GUK/U35XcPgm/HIZ7KWAXD9P9YdoJaJPzQS0E/FKP36edCQHrw10sQevHXepZCFg//uHh4WkPDUt/sZPZlvVDWIk3CbqXl2IuDjhYH8LTeTxvn9hCu/g19B4SzIitk6iQaeo/GPrlcmqM6U/zQkfp1Honvfb/RA2zJ9NFQyzh9yOJNS9GKecbzGs3lKBq7gzq35DMS/27E2UCjoPDQWB3ASaHw5SuUNoJknZB24ewqV029tYJaLQOlo8BZ9tstH+2iRBwjpGpEiAErApGWUnEDFgWNlWChIBVwSgriXIBZ+w2dj0tG5xkyK5RlN7fm+Jf76JcRQeSYovQ4OvhTB5dH6cn7W+sasn40K4M82pGqQvDKdB4Bc6u9pglOVCmaj9mL/+SYk9zn2WixyrsGnyF15dvYaPpDPhJ8qgt0OUPmOr5WMDSDNixG5TLB4XfgClroOoL5uJza0HiLPB8F2T8NZEQsKyxrDhICFgxQtkJhIBlo1McKASsGKHsBCoKOIZNXd05124GwxoU5O4GX97fW5tjQ2oTenwjK3bu4+1+W/F4yxwIZc7H4zAM7oP7p29gv68/TovLcnhIPRIjrrJx1kCSPE8ypf7jG77nF0xkw72itPZxp4pD1r9V2Qz4BQI2xsGlUJD+99RmmAXsH5eJYIOh8jjY6AcVXLIuNpMWQsCysCkOEgJWjFB2AiFg2egUBwoBK0YoO4FqAj7jV4uR0YNZNKQlBawTubmhP7XPdCBkQi0M1/by09JVJDTwZ/CHNsQfHIPXXld8PDryfjFL2D+AfJs/5v5MN4i6wXZ/TzZXWMn8z/Ny75Af434+T51us2n3dlZz38cc1BPwRZjq8XgGnHG7HAhTB0DfY1DxOfZbveBUE+jXGHJLFxs534SAc85MjQghYDUoysshBCyPmxpRQsBqUJSXQwUBx7DR+0Omm3kya0g7Suc1x9zahkcnf+TrThGMuDSa/DtmMGflWT6atIrWrleZ9/kwgut4MbBvXQpKdYcsokn1E3hemkzVsAP4DxxP8e9P0ezqGHr7HaH20KX0qm5HItbY2VphkcVTxcoEbIREA9xdC95BMKErvFUCkuMgwQBmsbBx6uMZ8K/fQ65ESDEHG+ntSeeh2lAY9j20KidvjwBCwLLRKQoUAlaET1GwELAifIqChYAV4VMUrFzA19fRrttY9py9h3Wux/dEPxgfyLpvnDk0vSXNp/yOsUQNOo+bz4wWxeHmVrpOPEX1jt3xqFX0afFXFn7Bh8MPkWRXkKoDf2ZXDzs2jfemw/dHyGtnRfKjaIp1+IEVY7tQKf+//2ZlAr4NfXxg0QFwsIGkBJj/F4R7w+jDkJIEpavCsl1QLgImTITLlWFxd7i8GMbdgTHSfeO8sneMELBsdIoChYAV4VMULASsCJ+iYCFgRfgUBSsXsKLutQlWJuAc1BR5Bvw3Qen20P75tegc5HmuqRCwfHZKIoWAldBTFisErIyfkmghYCX0lMUKASvhdzYQ/roCbdxB3u3eTHsXAlayU+THCgHLZ6c0UghYKUH58ULA8tkpjRQCVkpQg3ghYA2gZiOlEHA2IGnURAhYI7DZSCsEnA1IGjURAtYIrJK0QsBK6MmPFQKWz05ppBCwUoLy44WA5bNTGikErJSgBvFCwBpAzUZKIeBsQNKoiRCwRmCzkVYIOBuQNGoiBKwRWCVphYCV0JMfKwQsn53SSCFgpQTlxwsBy2enNFIIWClBDeKFgDWAmo2UQsDZgKRREyFgjcBmI60QcDZ4jGnpAAACxUlEQVQgadRECFgjsErSCgEroSc/VghYPjulkULASgnKjxcCls9OaaQQsFKCGsQLAWsANRsphYCzAUmjJkLAGoHNRloh4GxA0qiJELBGYJWkFQJWQk9+rBCwfHZKI4WAlRKUHy8ELJ+d0kghYKUENYgXAtYAajZSCgFnA5JGTYSANQKbjbRCwNmApFETIWCNwCpJKwSshJ78WCFg+eyURgoBKyUoP14IWD47pZFCwEoJahAvBKwB1GykFALOBiSNmggBawQ2G2mFgLMBSaMmQsAagVWSVghYCT35sULA8tkpjRQCVkpQfrwQsHx2SiOFgJUS1CBeCFgDqNlIKQScDUgaNREC1ghsNtIKAWcDkkZNhIA1AqskrRCwEnryY4WA5bNTGikErJSg/HghYPnslEYKASslqEG8ELAGULORUgg4G5A0aiIErBHYbKQVAs4GJI2aZCngkJAQo0Z9a5LWzMyMxMREUlNTsbW1xWg0qfLTmMTGxuLg4KAJHy2TSuylE6m5uTnW1tYmx14aK3FxcTg6Oppc7RJ7qXYrKyssLS213M2a5DYYDCQkJKSNe1M7ZiX20jErnW+ksW9Km1R7cnJy2j87OzuTY59+vrS3t0f6Laa0pbtKGu82NjaZsjeLiooyKYNJB4B0RSfNZvLnz58mYlPbwsLCKFq0qKmVnXbyiYiIIFeuXOTOndvkDmZJAnfv3k1jb2oSkNjfuXMnjbupXXimn4gePHhAkSJFTO6YldhLx2yBAgVM7uIn/cItPj4eFxcXk2Mv1X/z5s20cWNqApbGTWRkZBrzfPnyZcrezGhqZyJIk4B0RVe4cGGTk5hUsFiC1me3iSVofbhLvYolaP3YiyVo/dhnuQQtBPzyd44Q8MtnLvUoBKwPdyFg/bhLPQsB68dfCFg/9i/sWQhYn50iBKwPdyFg/bgLAevLPisB/x8wY09vHuCsKwAAAABJRU5ErkJggg==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10782300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"/>
  <sheetViews>
    <sheetView tabSelected="1" topLeftCell="A36" workbookViewId="0">
      <selection activeCell="M97" sqref="M97"/>
    </sheetView>
  </sheetViews>
  <sheetFormatPr defaultRowHeight="14.4" x14ac:dyDescent="0.3"/>
  <cols>
    <col min="1" max="1" width="15.109375" style="3" customWidth="1"/>
    <col min="5" max="6" width="11.5546875" bestFit="1" customWidth="1"/>
    <col min="9" max="9" width="10.33203125" customWidth="1"/>
  </cols>
  <sheetData>
    <row r="1" spans="1:12" s="1" customFormat="1" x14ac:dyDescent="0.3">
      <c r="A1" s="84" t="s">
        <v>29</v>
      </c>
      <c r="B1" s="21"/>
      <c r="C1" s="21"/>
      <c r="D1" s="21"/>
      <c r="E1" s="21"/>
      <c r="G1" s="21"/>
      <c r="I1" s="21" t="s">
        <v>20</v>
      </c>
      <c r="J1" s="23"/>
    </row>
    <row r="2" spans="1:12" s="1" customFormat="1" x14ac:dyDescent="0.3">
      <c r="A2" s="85" t="s">
        <v>17</v>
      </c>
      <c r="B2" s="24" t="s">
        <v>16</v>
      </c>
      <c r="C2" s="24"/>
      <c r="D2" s="24"/>
      <c r="E2" s="24"/>
      <c r="F2" s="24"/>
      <c r="G2" s="24"/>
      <c r="H2" s="24"/>
      <c r="I2" s="24"/>
      <c r="J2" s="24"/>
    </row>
    <row r="3" spans="1:12" x14ac:dyDescent="0.3">
      <c r="A3" s="86" t="s">
        <v>0</v>
      </c>
      <c r="B3" s="21" t="s">
        <v>36</v>
      </c>
      <c r="C3" s="21"/>
      <c r="D3" s="21"/>
      <c r="E3" s="21"/>
      <c r="F3" s="21" t="s">
        <v>12</v>
      </c>
      <c r="G3" s="22" t="s">
        <v>18</v>
      </c>
      <c r="H3" s="21" t="s">
        <v>48</v>
      </c>
      <c r="I3" s="21"/>
      <c r="J3" s="21"/>
    </row>
    <row r="4" spans="1:12" x14ac:dyDescent="0.3">
      <c r="B4" s="12" t="s">
        <v>9</v>
      </c>
      <c r="F4">
        <v>2.2999999999999998</v>
      </c>
    </row>
    <row r="5" spans="1:12" x14ac:dyDescent="0.3">
      <c r="A5" s="3" t="s">
        <v>1</v>
      </c>
      <c r="B5" s="2">
        <v>1</v>
      </c>
      <c r="C5" s="2">
        <v>2</v>
      </c>
      <c r="D5" s="2">
        <v>3</v>
      </c>
      <c r="E5" s="2">
        <v>4</v>
      </c>
      <c r="F5" s="2">
        <v>5</v>
      </c>
      <c r="G5" s="3"/>
      <c r="H5" s="3"/>
    </row>
    <row r="6" spans="1:12" x14ac:dyDescent="0.3">
      <c r="A6" s="3" t="s">
        <v>2</v>
      </c>
      <c r="B6" s="2">
        <v>7</v>
      </c>
      <c r="C6" s="2">
        <v>15</v>
      </c>
      <c r="D6" s="2">
        <v>20</v>
      </c>
      <c r="E6" s="2">
        <v>30</v>
      </c>
      <c r="F6" s="2">
        <v>40</v>
      </c>
      <c r="G6" s="3"/>
      <c r="H6" s="3"/>
    </row>
    <row r="7" spans="1:12" x14ac:dyDescent="0.3">
      <c r="A7" s="3" t="s">
        <v>3</v>
      </c>
      <c r="B7" s="2">
        <v>5</v>
      </c>
      <c r="C7" s="2">
        <v>10</v>
      </c>
      <c r="D7" s="2">
        <v>14</v>
      </c>
      <c r="E7" s="2">
        <v>17</v>
      </c>
      <c r="F7" s="2">
        <v>20</v>
      </c>
      <c r="G7" s="3"/>
      <c r="H7" s="3"/>
    </row>
    <row r="8" spans="1:12" x14ac:dyDescent="0.3">
      <c r="A8" s="3" t="s">
        <v>4</v>
      </c>
      <c r="B8" s="2">
        <f>B6*B7</f>
        <v>35</v>
      </c>
      <c r="C8" s="2">
        <f>C6*C7</f>
        <v>150</v>
      </c>
      <c r="D8" s="2">
        <f>D6*D7</f>
        <v>280</v>
      </c>
      <c r="E8" s="2">
        <f>E6*E7</f>
        <v>510</v>
      </c>
      <c r="F8" s="2">
        <f>F6*F7</f>
        <v>800</v>
      </c>
      <c r="G8" s="3"/>
      <c r="H8" s="3"/>
    </row>
    <row r="9" spans="1:12" x14ac:dyDescent="0.3">
      <c r="A9" s="3" t="s">
        <v>40</v>
      </c>
      <c r="B9" s="4"/>
      <c r="C9" s="4"/>
      <c r="D9" s="4"/>
      <c r="E9" s="4"/>
      <c r="F9" s="5">
        <v>42</v>
      </c>
      <c r="K9" s="5"/>
      <c r="L9" s="5"/>
    </row>
    <row r="10" spans="1:12" x14ac:dyDescent="0.3">
      <c r="A10" s="3" t="s">
        <v>6</v>
      </c>
      <c r="B10" s="11">
        <f t="shared" ref="B10:D10" si="0">$F$10</f>
        <v>18.260869565217394</v>
      </c>
      <c r="C10" s="11">
        <f t="shared" si="0"/>
        <v>18.260869565217394</v>
      </c>
      <c r="D10" s="11">
        <f t="shared" si="0"/>
        <v>18.260869565217394</v>
      </c>
      <c r="E10" s="11">
        <f>$F$10</f>
        <v>18.260869565217394</v>
      </c>
      <c r="F10" s="11">
        <f>F9/F4</f>
        <v>18.260869565217394</v>
      </c>
      <c r="K10" s="3"/>
      <c r="L10" s="3"/>
    </row>
    <row r="11" spans="1:12" x14ac:dyDescent="0.3">
      <c r="A11" s="3" t="s">
        <v>7</v>
      </c>
      <c r="B11" s="8">
        <f>10000/B10</f>
        <v>547.61904761904748</v>
      </c>
      <c r="C11" s="8">
        <f>10000/C10</f>
        <v>547.61904761904748</v>
      </c>
      <c r="D11" s="8">
        <f>10000/D10</f>
        <v>547.61904761904748</v>
      </c>
      <c r="E11" s="8">
        <f>10000/E10</f>
        <v>547.61904761904748</v>
      </c>
      <c r="F11" s="8">
        <f>10000/F10</f>
        <v>547.61904761904748</v>
      </c>
      <c r="K11" s="3"/>
      <c r="L11" s="3"/>
    </row>
    <row r="12" spans="1:12" ht="31.5" customHeight="1" x14ac:dyDescent="0.3">
      <c r="A12" s="28" t="s">
        <v>8</v>
      </c>
      <c r="B12" s="18">
        <f>(B8/B11)*100</f>
        <v>6.3913043478260896</v>
      </c>
      <c r="C12" s="18">
        <f>(C8/C11)*100</f>
        <v>27.391304347826097</v>
      </c>
      <c r="D12" s="18">
        <f>(D8/D11)*100</f>
        <v>51.130434782608717</v>
      </c>
      <c r="E12" s="18">
        <f>(E8/E11)*100</f>
        <v>93.130434782608717</v>
      </c>
      <c r="F12" s="18">
        <f>(F8/F11)*100</f>
        <v>146.08695652173918</v>
      </c>
      <c r="G12" s="19">
        <f>(SUM(B12:F12))/5</f>
        <v>64.826086956521763</v>
      </c>
      <c r="H12" s="20" t="s">
        <v>77</v>
      </c>
      <c r="I12" s="17"/>
      <c r="J12" s="17"/>
    </row>
    <row r="13" spans="1:12" x14ac:dyDescent="0.3">
      <c r="A13" s="40" t="s">
        <v>10</v>
      </c>
      <c r="B13" t="s">
        <v>35</v>
      </c>
      <c r="F13" t="s">
        <v>12</v>
      </c>
      <c r="G13" s="13" t="s">
        <v>18</v>
      </c>
      <c r="H13" t="s">
        <v>19</v>
      </c>
    </row>
    <row r="14" spans="1:12" x14ac:dyDescent="0.3">
      <c r="B14" s="12" t="s">
        <v>13</v>
      </c>
      <c r="F14">
        <v>2.2999999999999998</v>
      </c>
    </row>
    <row r="15" spans="1:12" x14ac:dyDescent="0.3">
      <c r="A15" s="3" t="s">
        <v>1</v>
      </c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3"/>
      <c r="H15" s="3"/>
    </row>
    <row r="16" spans="1:12" x14ac:dyDescent="0.3">
      <c r="A16" s="3" t="s">
        <v>2</v>
      </c>
      <c r="B16" s="2">
        <v>7</v>
      </c>
      <c r="C16" s="2">
        <v>15</v>
      </c>
      <c r="D16" s="2">
        <v>20</v>
      </c>
      <c r="E16" s="2">
        <v>30</v>
      </c>
      <c r="F16" s="2">
        <v>40</v>
      </c>
      <c r="G16" s="3"/>
      <c r="H16" s="3"/>
    </row>
    <row r="17" spans="1:10" x14ac:dyDescent="0.3">
      <c r="A17" s="3" t="s">
        <v>3</v>
      </c>
      <c r="B17" s="2">
        <v>5</v>
      </c>
      <c r="C17" s="2">
        <v>10</v>
      </c>
      <c r="D17" s="2">
        <v>14</v>
      </c>
      <c r="E17" s="2">
        <v>17</v>
      </c>
      <c r="F17" s="2">
        <v>20</v>
      </c>
      <c r="G17" s="3"/>
      <c r="H17" s="3"/>
    </row>
    <row r="18" spans="1:10" x14ac:dyDescent="0.3">
      <c r="A18" s="3" t="s">
        <v>4</v>
      </c>
      <c r="B18" s="2">
        <f>B16*B17</f>
        <v>35</v>
      </c>
      <c r="C18" s="2">
        <f>C16*C17</f>
        <v>150</v>
      </c>
      <c r="D18" s="2">
        <f>D16*D17</f>
        <v>280</v>
      </c>
      <c r="E18" s="2">
        <f>E16*E17</f>
        <v>510</v>
      </c>
      <c r="F18" s="2">
        <f>F16*F17</f>
        <v>800</v>
      </c>
      <c r="G18" s="3"/>
      <c r="H18" s="3"/>
    </row>
    <row r="19" spans="1:10" x14ac:dyDescent="0.3">
      <c r="A19" s="3" t="s">
        <v>40</v>
      </c>
      <c r="B19" s="4"/>
      <c r="C19" s="4"/>
      <c r="D19" s="4"/>
      <c r="E19" s="4"/>
      <c r="F19" s="5">
        <v>40</v>
      </c>
    </row>
    <row r="20" spans="1:10" x14ac:dyDescent="0.3">
      <c r="A20" s="3" t="s">
        <v>6</v>
      </c>
      <c r="B20" s="11">
        <f t="shared" ref="B20:D20" si="1">$F$20</f>
        <v>17.39130434782609</v>
      </c>
      <c r="C20" s="11">
        <f t="shared" si="1"/>
        <v>17.39130434782609</v>
      </c>
      <c r="D20" s="11">
        <f t="shared" si="1"/>
        <v>17.39130434782609</v>
      </c>
      <c r="E20" s="11">
        <f>$F$20</f>
        <v>17.39130434782609</v>
      </c>
      <c r="F20" s="11">
        <f>F19/F14</f>
        <v>17.39130434782609</v>
      </c>
    </row>
    <row r="21" spans="1:10" x14ac:dyDescent="0.3">
      <c r="A21" s="3" t="s">
        <v>7</v>
      </c>
      <c r="B21" s="8">
        <f>10000/B20</f>
        <v>574.99999999999989</v>
      </c>
      <c r="C21" s="8">
        <f>10000/C20</f>
        <v>574.99999999999989</v>
      </c>
      <c r="D21" s="8">
        <f>10000/D20</f>
        <v>574.99999999999989</v>
      </c>
      <c r="E21" s="8">
        <f>10000/E20</f>
        <v>574.99999999999989</v>
      </c>
      <c r="F21" s="8">
        <f>10000/F20</f>
        <v>574.99999999999989</v>
      </c>
    </row>
    <row r="22" spans="1:10" ht="31.5" customHeight="1" x14ac:dyDescent="0.3">
      <c r="A22" s="28" t="s">
        <v>8</v>
      </c>
      <c r="B22" s="18">
        <f>(B18/B21)*100</f>
        <v>6.0869565217391317</v>
      </c>
      <c r="C22" s="18">
        <f>(C18/C21)*100</f>
        <v>26.086956521739136</v>
      </c>
      <c r="D22" s="18">
        <f>(D18/D21)*100</f>
        <v>48.695652173913054</v>
      </c>
      <c r="E22" s="18">
        <f>(E18/E21)*100</f>
        <v>88.695652173913061</v>
      </c>
      <c r="F22" s="18">
        <f>(F18/F21)*100</f>
        <v>139.13043478260872</v>
      </c>
      <c r="G22" s="19">
        <f>(SUM(B22:F22))/5</f>
        <v>61.739130434782624</v>
      </c>
      <c r="H22" s="20" t="s">
        <v>77</v>
      </c>
      <c r="I22" s="17"/>
      <c r="J22" s="17"/>
    </row>
    <row r="23" spans="1:10" x14ac:dyDescent="0.3">
      <c r="A23" s="40" t="s">
        <v>11</v>
      </c>
      <c r="B23" t="s">
        <v>34</v>
      </c>
      <c r="F23" t="s">
        <v>12</v>
      </c>
      <c r="G23" s="13" t="s">
        <v>18</v>
      </c>
      <c r="H23" t="s">
        <v>19</v>
      </c>
    </row>
    <row r="24" spans="1:10" x14ac:dyDescent="0.3">
      <c r="B24" s="12" t="s">
        <v>14</v>
      </c>
      <c r="F24">
        <v>2.2999999999999998</v>
      </c>
    </row>
    <row r="25" spans="1:10" x14ac:dyDescent="0.3">
      <c r="A25" s="3" t="s">
        <v>1</v>
      </c>
      <c r="B25" s="2">
        <v>1</v>
      </c>
      <c r="C25" s="2">
        <v>2</v>
      </c>
      <c r="D25" s="2">
        <v>3</v>
      </c>
      <c r="E25" s="2">
        <v>4</v>
      </c>
      <c r="F25" s="2">
        <v>5</v>
      </c>
      <c r="G25" s="3"/>
      <c r="H25" s="3"/>
    </row>
    <row r="26" spans="1:10" x14ac:dyDescent="0.3">
      <c r="A26" s="3" t="s">
        <v>2</v>
      </c>
      <c r="B26" s="2">
        <v>7</v>
      </c>
      <c r="C26" s="2">
        <v>15</v>
      </c>
      <c r="D26" s="2">
        <v>20</v>
      </c>
      <c r="E26" s="2">
        <v>30</v>
      </c>
      <c r="F26" s="2">
        <v>40</v>
      </c>
      <c r="G26" s="3"/>
      <c r="H26" s="3"/>
    </row>
    <row r="27" spans="1:10" x14ac:dyDescent="0.3">
      <c r="A27" s="3" t="s">
        <v>3</v>
      </c>
      <c r="B27" s="2">
        <v>5</v>
      </c>
      <c r="C27" s="2">
        <v>10</v>
      </c>
      <c r="D27" s="2">
        <v>14</v>
      </c>
      <c r="E27" s="2">
        <v>17</v>
      </c>
      <c r="F27" s="2">
        <v>20</v>
      </c>
      <c r="G27" s="3"/>
      <c r="H27" s="3"/>
    </row>
    <row r="28" spans="1:10" x14ac:dyDescent="0.3">
      <c r="A28" s="3" t="s">
        <v>4</v>
      </c>
      <c r="B28" s="2">
        <f>B26*B27</f>
        <v>35</v>
      </c>
      <c r="C28" s="2">
        <f>C26*C27</f>
        <v>150</v>
      </c>
      <c r="D28" s="2">
        <f>D26*D27</f>
        <v>280</v>
      </c>
      <c r="E28" s="2">
        <f>E26*E27</f>
        <v>510</v>
      </c>
      <c r="F28" s="2">
        <f>F26*F27</f>
        <v>800</v>
      </c>
      <c r="G28" s="3"/>
      <c r="H28" s="3"/>
    </row>
    <row r="29" spans="1:10" x14ac:dyDescent="0.3">
      <c r="A29" s="3" t="s">
        <v>40</v>
      </c>
      <c r="B29" s="4"/>
      <c r="C29" s="4"/>
      <c r="D29" s="4"/>
      <c r="E29" s="4"/>
      <c r="F29" s="5">
        <v>39</v>
      </c>
    </row>
    <row r="30" spans="1:10" x14ac:dyDescent="0.3">
      <c r="A30" s="3" t="s">
        <v>6</v>
      </c>
      <c r="B30" s="11">
        <f t="shared" ref="B30:D30" si="2">$F$30</f>
        <v>16.956521739130437</v>
      </c>
      <c r="C30" s="11">
        <f t="shared" si="2"/>
        <v>16.956521739130437</v>
      </c>
      <c r="D30" s="11">
        <f t="shared" si="2"/>
        <v>16.956521739130437</v>
      </c>
      <c r="E30" s="11">
        <f>$F$30</f>
        <v>16.956521739130437</v>
      </c>
      <c r="F30" s="11">
        <f>F29/F24</f>
        <v>16.956521739130437</v>
      </c>
    </row>
    <row r="31" spans="1:10" x14ac:dyDescent="0.3">
      <c r="A31" s="3" t="s">
        <v>7</v>
      </c>
      <c r="B31" s="8">
        <f>10000/B30</f>
        <v>589.74358974358961</v>
      </c>
      <c r="C31" s="8">
        <f>10000/C30</f>
        <v>589.74358974358961</v>
      </c>
      <c r="D31" s="8">
        <f>10000/D30</f>
        <v>589.74358974358961</v>
      </c>
      <c r="E31" s="8">
        <f>10000/E30</f>
        <v>589.74358974358961</v>
      </c>
      <c r="F31" s="8">
        <f>10000/F30</f>
        <v>589.74358974358961</v>
      </c>
    </row>
    <row r="32" spans="1:10" ht="30" customHeight="1" x14ac:dyDescent="0.3">
      <c r="A32" s="28" t="s">
        <v>8</v>
      </c>
      <c r="B32" s="18">
        <f>(B28/B31)*100</f>
        <v>5.9347826086956541</v>
      </c>
      <c r="C32" s="18">
        <f>(C28/C31)*100</f>
        <v>25.434782608695656</v>
      </c>
      <c r="D32" s="18">
        <f>(D28/D31)*100</f>
        <v>47.478260869565233</v>
      </c>
      <c r="E32" s="18">
        <f>(E28/E31)*100</f>
        <v>86.478260869565233</v>
      </c>
      <c r="F32" s="18">
        <f>(F28/F31)*100</f>
        <v>135.65217391304353</v>
      </c>
      <c r="G32" s="19">
        <f>(SUM(B32:F32))/5</f>
        <v>60.195652173913061</v>
      </c>
      <c r="H32" s="20" t="s">
        <v>77</v>
      </c>
      <c r="I32" s="17"/>
      <c r="J32" s="17"/>
    </row>
    <row r="33" spans="1:10" x14ac:dyDescent="0.3">
      <c r="A33" s="40" t="s">
        <v>32</v>
      </c>
      <c r="B33" t="s">
        <v>33</v>
      </c>
      <c r="F33" t="s">
        <v>12</v>
      </c>
      <c r="G33" s="13" t="s">
        <v>18</v>
      </c>
      <c r="H33" t="s">
        <v>84</v>
      </c>
    </row>
    <row r="34" spans="1:10" x14ac:dyDescent="0.3">
      <c r="B34" s="12" t="s">
        <v>15</v>
      </c>
      <c r="F34">
        <v>2.2999999999999998</v>
      </c>
    </row>
    <row r="35" spans="1:10" x14ac:dyDescent="0.3">
      <c r="A35" s="3" t="s">
        <v>1</v>
      </c>
      <c r="B35" s="2">
        <v>1</v>
      </c>
      <c r="C35" s="2">
        <v>2</v>
      </c>
      <c r="D35" s="2">
        <v>3</v>
      </c>
      <c r="E35" s="2">
        <v>4</v>
      </c>
      <c r="F35" s="2">
        <v>5</v>
      </c>
      <c r="G35" s="3"/>
      <c r="H35" s="3"/>
    </row>
    <row r="36" spans="1:10" x14ac:dyDescent="0.3">
      <c r="A36" s="3" t="s">
        <v>2</v>
      </c>
      <c r="B36" s="2">
        <v>7</v>
      </c>
      <c r="C36" s="2">
        <v>15</v>
      </c>
      <c r="D36" s="2">
        <v>20</v>
      </c>
      <c r="E36" s="2">
        <v>30</v>
      </c>
      <c r="F36" s="2">
        <v>40</v>
      </c>
      <c r="G36" s="3"/>
      <c r="H36" s="3"/>
    </row>
    <row r="37" spans="1:10" x14ac:dyDescent="0.3">
      <c r="A37" s="3" t="s">
        <v>3</v>
      </c>
      <c r="B37" s="2">
        <v>5</v>
      </c>
      <c r="C37" s="2">
        <v>10</v>
      </c>
      <c r="D37" s="2">
        <v>14</v>
      </c>
      <c r="E37" s="2">
        <v>17</v>
      </c>
      <c r="F37" s="2">
        <v>20</v>
      </c>
      <c r="G37" s="3"/>
      <c r="H37" s="3"/>
    </row>
    <row r="38" spans="1:10" x14ac:dyDescent="0.3">
      <c r="A38" s="3" t="s">
        <v>4</v>
      </c>
      <c r="B38" s="2">
        <f>B36*B37</f>
        <v>35</v>
      </c>
      <c r="C38" s="2">
        <f>C36*C37</f>
        <v>150</v>
      </c>
      <c r="D38" s="2">
        <f>D36*D37</f>
        <v>280</v>
      </c>
      <c r="E38" s="2">
        <f>E36*E37</f>
        <v>510</v>
      </c>
      <c r="F38" s="2">
        <f>F36*F37</f>
        <v>800</v>
      </c>
      <c r="G38" s="3"/>
      <c r="H38" s="3"/>
    </row>
    <row r="39" spans="1:10" x14ac:dyDescent="0.3">
      <c r="A39" s="3" t="s">
        <v>5</v>
      </c>
      <c r="B39" s="4"/>
      <c r="C39" s="4"/>
      <c r="D39" s="4"/>
      <c r="E39" s="4"/>
      <c r="F39" s="5">
        <v>36</v>
      </c>
    </row>
    <row r="40" spans="1:10" x14ac:dyDescent="0.3">
      <c r="A40" s="3" t="s">
        <v>6</v>
      </c>
      <c r="B40" s="11">
        <f t="shared" ref="B40:D40" si="3">$F$40</f>
        <v>15.65217391304348</v>
      </c>
      <c r="C40" s="11">
        <f t="shared" si="3"/>
        <v>15.65217391304348</v>
      </c>
      <c r="D40" s="11">
        <f t="shared" si="3"/>
        <v>15.65217391304348</v>
      </c>
      <c r="E40" s="11">
        <f>$F$40</f>
        <v>15.65217391304348</v>
      </c>
      <c r="F40" s="11">
        <f>F39/F34</f>
        <v>15.65217391304348</v>
      </c>
    </row>
    <row r="41" spans="1:10" x14ac:dyDescent="0.3">
      <c r="A41" s="3" t="s">
        <v>7</v>
      </c>
      <c r="B41" s="8">
        <f>10000/B40</f>
        <v>638.8888888888888</v>
      </c>
      <c r="C41" s="8">
        <f>10000/C40</f>
        <v>638.8888888888888</v>
      </c>
      <c r="D41" s="8">
        <f>10000/D40</f>
        <v>638.8888888888888</v>
      </c>
      <c r="E41" s="8">
        <f>10000/E40</f>
        <v>638.8888888888888</v>
      </c>
      <c r="F41" s="8">
        <f>10000/F40</f>
        <v>638.8888888888888</v>
      </c>
    </row>
    <row r="42" spans="1:10" ht="29.25" customHeight="1" x14ac:dyDescent="0.3">
      <c r="A42" s="28" t="s">
        <v>8</v>
      </c>
      <c r="B42" s="18">
        <f>(B38/B41)*100</f>
        <v>5.4782608695652177</v>
      </c>
      <c r="C42" s="18">
        <f>(C38/C41)*100</f>
        <v>23.478260869565222</v>
      </c>
      <c r="D42" s="18">
        <f>(D38/D41)*100</f>
        <v>43.826086956521742</v>
      </c>
      <c r="E42" s="18">
        <f>(E38/E41)*100</f>
        <v>79.826086956521749</v>
      </c>
      <c r="F42" s="18">
        <f>(F38/F41)*100</f>
        <v>125.21739130434784</v>
      </c>
      <c r="G42" s="19">
        <f>(SUM(B42:F42))/5</f>
        <v>55.565217391304351</v>
      </c>
      <c r="H42" s="20" t="s">
        <v>77</v>
      </c>
      <c r="I42" s="17"/>
      <c r="J42" s="17"/>
    </row>
    <row r="43" spans="1:10" ht="16.5" customHeight="1" x14ac:dyDescent="0.3">
      <c r="A43" s="29" t="s">
        <v>30</v>
      </c>
      <c r="B43" s="30" t="s">
        <v>31</v>
      </c>
      <c r="C43" s="31"/>
      <c r="D43" s="31"/>
      <c r="E43" s="31"/>
      <c r="F43" s="31"/>
      <c r="G43" s="9"/>
      <c r="H43" s="10"/>
    </row>
    <row r="44" spans="1:10" x14ac:dyDescent="0.3">
      <c r="A44" s="86" t="s">
        <v>21</v>
      </c>
      <c r="B44" s="21" t="s">
        <v>33</v>
      </c>
      <c r="C44" s="23" t="s">
        <v>37</v>
      </c>
      <c r="D44" s="23"/>
      <c r="E44" s="23"/>
      <c r="F44" s="23"/>
      <c r="G44" s="21" t="s">
        <v>12</v>
      </c>
      <c r="H44" s="22" t="s">
        <v>18</v>
      </c>
      <c r="I44" s="21" t="s">
        <v>84</v>
      </c>
      <c r="J44" s="21"/>
    </row>
    <row r="45" spans="1:10" x14ac:dyDescent="0.3">
      <c r="G45" t="s">
        <v>22</v>
      </c>
    </row>
    <row r="46" spans="1:10" x14ac:dyDescent="0.3">
      <c r="A46" s="3" t="s">
        <v>1</v>
      </c>
      <c r="B46" s="2" t="s">
        <v>23</v>
      </c>
      <c r="C46" s="14" t="s">
        <v>24</v>
      </c>
      <c r="D46" s="14" t="s">
        <v>25</v>
      </c>
      <c r="E46" s="2" t="s">
        <v>26</v>
      </c>
      <c r="F46" s="2" t="s">
        <v>27</v>
      </c>
      <c r="G46" s="15" t="s">
        <v>28</v>
      </c>
      <c r="H46" s="10"/>
    </row>
    <row r="47" spans="1:10" x14ac:dyDescent="0.3">
      <c r="A47" s="3" t="s">
        <v>38</v>
      </c>
      <c r="B47" s="2">
        <v>3</v>
      </c>
      <c r="C47" s="2">
        <v>3</v>
      </c>
      <c r="D47" s="2">
        <v>9</v>
      </c>
      <c r="E47" s="2">
        <v>3</v>
      </c>
      <c r="F47" s="2">
        <v>3</v>
      </c>
      <c r="G47" s="8">
        <f>65-21</f>
        <v>44</v>
      </c>
      <c r="H47" s="16"/>
    </row>
    <row r="48" spans="1:10" x14ac:dyDescent="0.3">
      <c r="A48" s="3" t="s">
        <v>2</v>
      </c>
      <c r="B48" s="2">
        <v>10</v>
      </c>
      <c r="C48" s="2">
        <v>15</v>
      </c>
      <c r="D48" s="2">
        <v>20</v>
      </c>
      <c r="E48" s="2">
        <v>25</v>
      </c>
      <c r="F48" s="2">
        <v>30</v>
      </c>
      <c r="G48" s="8">
        <v>30</v>
      </c>
      <c r="H48" s="16"/>
    </row>
    <row r="49" spans="1:10" x14ac:dyDescent="0.3">
      <c r="A49" s="3" t="s">
        <v>3</v>
      </c>
      <c r="B49" s="2">
        <v>5</v>
      </c>
      <c r="C49" s="2">
        <v>10</v>
      </c>
      <c r="D49" s="2">
        <v>12</v>
      </c>
      <c r="E49" s="2">
        <v>13</v>
      </c>
      <c r="F49" s="2">
        <v>15</v>
      </c>
      <c r="G49" s="8">
        <v>15</v>
      </c>
      <c r="H49" s="16"/>
    </row>
    <row r="50" spans="1:10" x14ac:dyDescent="0.3">
      <c r="A50" s="3" t="s">
        <v>4</v>
      </c>
      <c r="B50" s="2">
        <f t="shared" ref="B50:G50" si="4">B48*B49</f>
        <v>50</v>
      </c>
      <c r="C50" s="2">
        <f t="shared" si="4"/>
        <v>150</v>
      </c>
      <c r="D50" s="2">
        <f t="shared" si="4"/>
        <v>240</v>
      </c>
      <c r="E50" s="2">
        <f t="shared" si="4"/>
        <v>325</v>
      </c>
      <c r="F50" s="2">
        <f t="shared" si="4"/>
        <v>450</v>
      </c>
      <c r="G50" s="8">
        <f t="shared" si="4"/>
        <v>450</v>
      </c>
      <c r="H50" s="16"/>
    </row>
    <row r="51" spans="1:10" x14ac:dyDescent="0.3">
      <c r="A51" s="3" t="s">
        <v>39</v>
      </c>
      <c r="B51" s="7">
        <v>55</v>
      </c>
      <c r="C51" s="7">
        <v>25</v>
      </c>
      <c r="D51" s="7">
        <v>15</v>
      </c>
      <c r="E51" s="7">
        <v>10</v>
      </c>
      <c r="F51" s="7">
        <v>9</v>
      </c>
      <c r="G51" s="27">
        <v>9</v>
      </c>
      <c r="H51" s="16"/>
    </row>
    <row r="52" spans="1:10" x14ac:dyDescent="0.3">
      <c r="A52" s="3" t="s">
        <v>7</v>
      </c>
      <c r="B52" s="8">
        <f t="shared" ref="B52:G52" si="5">10000/B51</f>
        <v>181.81818181818181</v>
      </c>
      <c r="C52" s="8">
        <f t="shared" si="5"/>
        <v>400</v>
      </c>
      <c r="D52" s="8">
        <f t="shared" si="5"/>
        <v>666.66666666666663</v>
      </c>
      <c r="E52" s="8">
        <f t="shared" si="5"/>
        <v>1000</v>
      </c>
      <c r="F52" s="8">
        <f t="shared" si="5"/>
        <v>1111.1111111111111</v>
      </c>
      <c r="G52" s="8">
        <f t="shared" si="5"/>
        <v>1111.1111111111111</v>
      </c>
      <c r="H52" s="16"/>
    </row>
    <row r="53" spans="1:10" ht="32.25" customHeight="1" x14ac:dyDescent="0.3">
      <c r="A53" s="28" t="s">
        <v>8</v>
      </c>
      <c r="B53" s="18">
        <f t="shared" ref="B53:G53" si="6">(B50/B52)*100</f>
        <v>27.500000000000004</v>
      </c>
      <c r="C53" s="18">
        <f t="shared" si="6"/>
        <v>37.5</v>
      </c>
      <c r="D53" s="18">
        <f t="shared" si="6"/>
        <v>36.000000000000007</v>
      </c>
      <c r="E53" s="18">
        <f t="shared" si="6"/>
        <v>32.5</v>
      </c>
      <c r="F53" s="18">
        <f t="shared" si="6"/>
        <v>40.5</v>
      </c>
      <c r="G53" s="25">
        <f t="shared" si="6"/>
        <v>40.5</v>
      </c>
      <c r="H53" s="19">
        <f>((B47*B53)+(C47*C53)+(D47*D53)+(E47*E53)+(F47*F53)+(G47*G53))/SUM(B47:G47)</f>
        <v>38.769230769230766</v>
      </c>
      <c r="I53" s="20" t="s">
        <v>77</v>
      </c>
      <c r="J53" s="17"/>
    </row>
    <row r="54" spans="1:10" s="1" customFormat="1" ht="16.5" customHeight="1" x14ac:dyDescent="0.3">
      <c r="A54" s="42" t="s">
        <v>41</v>
      </c>
      <c r="B54" s="43" t="s">
        <v>42</v>
      </c>
      <c r="C54" s="44"/>
      <c r="D54" s="44"/>
      <c r="E54" s="44"/>
      <c r="F54" s="44"/>
      <c r="G54" s="45"/>
      <c r="H54" s="46"/>
      <c r="I54" s="47"/>
      <c r="J54" s="24"/>
    </row>
    <row r="55" spans="1:10" ht="15" customHeight="1" x14ac:dyDescent="0.3">
      <c r="A55" s="40" t="s">
        <v>43</v>
      </c>
      <c r="B55" s="8" t="s">
        <v>36</v>
      </c>
      <c r="C55" s="30" t="s">
        <v>47</v>
      </c>
      <c r="D55" s="31"/>
      <c r="E55" s="31"/>
      <c r="F55" s="31"/>
      <c r="G55" s="37"/>
      <c r="H55" s="41" t="s">
        <v>18</v>
      </c>
      <c r="I55" s="10" t="s">
        <v>49</v>
      </c>
    </row>
    <row r="56" spans="1:10" ht="15" customHeight="1" x14ac:dyDescent="0.3">
      <c r="A56" s="40" t="s">
        <v>44</v>
      </c>
      <c r="B56" s="8"/>
      <c r="C56" s="8"/>
      <c r="D56" s="8"/>
      <c r="E56" s="8"/>
      <c r="F56" s="8"/>
      <c r="G56" s="15"/>
      <c r="H56" s="9"/>
      <c r="I56" s="10"/>
    </row>
    <row r="57" spans="1:10" x14ac:dyDescent="0.3">
      <c r="A57" s="32" t="s">
        <v>1</v>
      </c>
      <c r="B57" s="2" t="s">
        <v>23</v>
      </c>
      <c r="C57" s="14" t="s">
        <v>24</v>
      </c>
      <c r="D57" s="14" t="s">
        <v>25</v>
      </c>
      <c r="E57" s="2" t="s">
        <v>26</v>
      </c>
      <c r="F57" s="2" t="s">
        <v>27</v>
      </c>
      <c r="G57" s="15" t="s">
        <v>45</v>
      </c>
      <c r="H57" s="10"/>
      <c r="I57" s="32"/>
      <c r="J57" s="3"/>
    </row>
    <row r="58" spans="1:10" x14ac:dyDescent="0.3">
      <c r="A58" s="3" t="s">
        <v>38</v>
      </c>
      <c r="B58" s="2">
        <v>3</v>
      </c>
      <c r="C58" s="2">
        <v>3</v>
      </c>
      <c r="D58" s="2">
        <v>9</v>
      </c>
      <c r="E58" s="2">
        <v>3</v>
      </c>
      <c r="F58" s="2">
        <v>3</v>
      </c>
      <c r="G58" s="8">
        <f>75-21</f>
        <v>54</v>
      </c>
      <c r="H58" s="9"/>
      <c r="I58" s="3"/>
      <c r="J58" s="3"/>
    </row>
    <row r="59" spans="1:10" x14ac:dyDescent="0.3">
      <c r="A59" s="3" t="s">
        <v>2</v>
      </c>
      <c r="B59" s="2">
        <v>10</v>
      </c>
      <c r="C59" s="2">
        <v>15</v>
      </c>
      <c r="D59" s="2">
        <v>20</v>
      </c>
      <c r="E59" s="2">
        <v>25</v>
      </c>
      <c r="F59" s="2">
        <v>30</v>
      </c>
      <c r="G59" s="8">
        <v>30</v>
      </c>
      <c r="H59" s="9"/>
      <c r="I59" s="3"/>
      <c r="J59" s="3"/>
    </row>
    <row r="60" spans="1:10" x14ac:dyDescent="0.3">
      <c r="A60" s="3" t="s">
        <v>3</v>
      </c>
      <c r="B60" s="2">
        <v>5</v>
      </c>
      <c r="C60" s="2">
        <v>10</v>
      </c>
      <c r="D60" s="2">
        <v>12</v>
      </c>
      <c r="E60" s="2">
        <v>13</v>
      </c>
      <c r="F60" s="2">
        <v>15</v>
      </c>
      <c r="G60" s="8">
        <v>15</v>
      </c>
      <c r="H60" s="9"/>
      <c r="I60" s="3"/>
      <c r="J60" s="3"/>
    </row>
    <row r="61" spans="1:10" x14ac:dyDescent="0.3">
      <c r="A61" s="3" t="s">
        <v>4</v>
      </c>
      <c r="B61" s="2">
        <f t="shared" ref="B61:G61" si="7">B59*B60</f>
        <v>50</v>
      </c>
      <c r="C61" s="2">
        <f t="shared" si="7"/>
        <v>150</v>
      </c>
      <c r="D61" s="2">
        <f t="shared" si="7"/>
        <v>240</v>
      </c>
      <c r="E61" s="2">
        <f t="shared" si="7"/>
        <v>325</v>
      </c>
      <c r="F61" s="2">
        <f t="shared" si="7"/>
        <v>450</v>
      </c>
      <c r="G61" s="8">
        <f t="shared" si="7"/>
        <v>450</v>
      </c>
      <c r="H61" s="9"/>
      <c r="I61" s="3"/>
      <c r="J61" s="3"/>
    </row>
    <row r="62" spans="1:10" x14ac:dyDescent="0.3">
      <c r="A62" s="3" t="s">
        <v>46</v>
      </c>
      <c r="B62" s="6">
        <v>90</v>
      </c>
      <c r="C62" s="6">
        <v>60</v>
      </c>
      <c r="D62" s="33">
        <v>30</v>
      </c>
      <c r="E62" s="33">
        <v>25</v>
      </c>
      <c r="F62" s="33">
        <f t="shared" ref="F62" si="8">1/0.06</f>
        <v>16.666666666666668</v>
      </c>
      <c r="G62" s="49">
        <f>1/0.06</f>
        <v>16.666666666666668</v>
      </c>
      <c r="H62" s="34"/>
      <c r="I62" s="3"/>
      <c r="J62" s="3"/>
    </row>
    <row r="63" spans="1:10" x14ac:dyDescent="0.3">
      <c r="A63" s="3" t="s">
        <v>7</v>
      </c>
      <c r="B63" s="8">
        <f t="shared" ref="B63:F63" si="9">10000/B62</f>
        <v>111.11111111111111</v>
      </c>
      <c r="C63" s="8">
        <f t="shared" si="9"/>
        <v>166.66666666666666</v>
      </c>
      <c r="D63" s="8">
        <f t="shared" si="9"/>
        <v>333.33333333333331</v>
      </c>
      <c r="E63" s="8">
        <f t="shared" si="9"/>
        <v>400</v>
      </c>
      <c r="F63" s="8">
        <f t="shared" si="9"/>
        <v>600</v>
      </c>
      <c r="G63" s="35">
        <v>600</v>
      </c>
      <c r="H63" s="34"/>
      <c r="I63" s="36"/>
      <c r="J63" s="3"/>
    </row>
    <row r="64" spans="1:10" ht="31.5" customHeight="1" x14ac:dyDescent="0.3">
      <c r="A64" s="28" t="s">
        <v>8</v>
      </c>
      <c r="B64" s="18">
        <f t="shared" ref="B64:G64" si="10">(B61/B63)*100</f>
        <v>45</v>
      </c>
      <c r="C64" s="18">
        <f t="shared" si="10"/>
        <v>90</v>
      </c>
      <c r="D64" s="18">
        <f t="shared" si="10"/>
        <v>72.000000000000014</v>
      </c>
      <c r="E64" s="18">
        <f t="shared" si="10"/>
        <v>81.25</v>
      </c>
      <c r="F64" s="18">
        <f t="shared" si="10"/>
        <v>75</v>
      </c>
      <c r="G64" s="25">
        <f t="shared" si="10"/>
        <v>75</v>
      </c>
      <c r="H64" s="19">
        <f>((B58*B64)+(C58*C64)+(D58*D64)+(E58*E64)+(F58*F64)+(G58*G64))/SUM(B58:G58)</f>
        <v>74.290000000000006</v>
      </c>
      <c r="I64" s="39" t="s">
        <v>77</v>
      </c>
      <c r="J64" s="28"/>
    </row>
    <row r="65" spans="1:10" x14ac:dyDescent="0.3">
      <c r="A65" s="40" t="s">
        <v>50</v>
      </c>
      <c r="B65" s="8" t="s">
        <v>33</v>
      </c>
      <c r="C65" s="30" t="s">
        <v>53</v>
      </c>
      <c r="D65" s="31"/>
      <c r="E65" s="31"/>
      <c r="F65" s="31"/>
      <c r="G65" s="37"/>
      <c r="H65" s="41" t="s">
        <v>18</v>
      </c>
      <c r="I65" s="10" t="s">
        <v>84</v>
      </c>
    </row>
    <row r="66" spans="1:10" x14ac:dyDescent="0.3">
      <c r="A66" s="40" t="s">
        <v>44</v>
      </c>
      <c r="C66" s="48" t="s">
        <v>52</v>
      </c>
      <c r="D66" s="8"/>
      <c r="E66" s="8"/>
      <c r="F66" s="8"/>
      <c r="G66" s="15"/>
      <c r="H66" s="9"/>
      <c r="I66" s="10"/>
    </row>
    <row r="67" spans="1:10" x14ac:dyDescent="0.3">
      <c r="A67" s="32" t="s">
        <v>1</v>
      </c>
      <c r="B67" s="2" t="s">
        <v>23</v>
      </c>
      <c r="C67" s="14" t="s">
        <v>24</v>
      </c>
      <c r="D67" s="14" t="s">
        <v>25</v>
      </c>
      <c r="E67" s="2" t="s">
        <v>26</v>
      </c>
      <c r="F67" s="2" t="s">
        <v>27</v>
      </c>
      <c r="G67" s="15" t="s">
        <v>45</v>
      </c>
      <c r="H67" s="10"/>
      <c r="I67" s="32"/>
    </row>
    <row r="68" spans="1:10" x14ac:dyDescent="0.3">
      <c r="A68" s="3" t="s">
        <v>38</v>
      </c>
      <c r="B68" s="2">
        <v>3</v>
      </c>
      <c r="C68" s="2">
        <v>3</v>
      </c>
      <c r="D68" s="2">
        <v>9</v>
      </c>
      <c r="E68" s="2">
        <v>3</v>
      </c>
      <c r="F68" s="2">
        <v>3</v>
      </c>
      <c r="G68" s="8">
        <f>75-21</f>
        <v>54</v>
      </c>
      <c r="H68" s="9"/>
      <c r="I68" s="3"/>
    </row>
    <row r="69" spans="1:10" x14ac:dyDescent="0.3">
      <c r="A69" s="3" t="s">
        <v>2</v>
      </c>
      <c r="B69" s="2">
        <v>10</v>
      </c>
      <c r="C69" s="2">
        <v>15</v>
      </c>
      <c r="D69" s="2">
        <v>20</v>
      </c>
      <c r="E69" s="2">
        <v>25</v>
      </c>
      <c r="F69" s="2">
        <v>30</v>
      </c>
      <c r="G69" s="8">
        <v>30</v>
      </c>
      <c r="H69" s="9"/>
      <c r="I69" s="3"/>
    </row>
    <row r="70" spans="1:10" x14ac:dyDescent="0.3">
      <c r="A70" s="3" t="s">
        <v>3</v>
      </c>
      <c r="B70" s="2">
        <v>5</v>
      </c>
      <c r="C70" s="2">
        <v>10</v>
      </c>
      <c r="D70" s="2">
        <v>12</v>
      </c>
      <c r="E70" s="2">
        <v>13</v>
      </c>
      <c r="F70" s="2">
        <v>15</v>
      </c>
      <c r="G70" s="8">
        <v>15</v>
      </c>
      <c r="H70" s="9"/>
      <c r="I70" s="3"/>
    </row>
    <row r="71" spans="1:10" x14ac:dyDescent="0.3">
      <c r="A71" s="3" t="s">
        <v>4</v>
      </c>
      <c r="B71" s="2">
        <f t="shared" ref="B71:G71" si="11">B69*B70</f>
        <v>50</v>
      </c>
      <c r="C71" s="2">
        <f t="shared" si="11"/>
        <v>150</v>
      </c>
      <c r="D71" s="2">
        <f t="shared" si="11"/>
        <v>240</v>
      </c>
      <c r="E71" s="2">
        <f t="shared" si="11"/>
        <v>325</v>
      </c>
      <c r="F71" s="2">
        <f t="shared" si="11"/>
        <v>450</v>
      </c>
      <c r="G71" s="8">
        <f t="shared" si="11"/>
        <v>450</v>
      </c>
      <c r="H71" s="9"/>
      <c r="I71" s="3"/>
    </row>
    <row r="72" spans="1:10" x14ac:dyDescent="0.3">
      <c r="A72" s="3" t="s">
        <v>46</v>
      </c>
      <c r="B72" s="7">
        <v>90</v>
      </c>
      <c r="C72" s="7">
        <v>60</v>
      </c>
      <c r="D72" s="27">
        <v>30</v>
      </c>
      <c r="E72" s="27">
        <v>25</v>
      </c>
      <c r="F72" s="33">
        <f>1/0.09</f>
        <v>11.111111111111111</v>
      </c>
      <c r="G72" s="33">
        <f>1/0.09</f>
        <v>11.111111111111111</v>
      </c>
      <c r="H72" s="34"/>
      <c r="I72" s="3"/>
    </row>
    <row r="73" spans="1:10" x14ac:dyDescent="0.3">
      <c r="A73" s="3" t="s">
        <v>7</v>
      </c>
      <c r="B73" s="8">
        <f t="shared" ref="B73:E73" si="12">10000/B72</f>
        <v>111.11111111111111</v>
      </c>
      <c r="C73" s="8">
        <f t="shared" si="12"/>
        <v>166.66666666666666</v>
      </c>
      <c r="D73" s="8">
        <f t="shared" si="12"/>
        <v>333.33333333333331</v>
      </c>
      <c r="E73" s="8">
        <f t="shared" si="12"/>
        <v>400</v>
      </c>
      <c r="F73" s="35">
        <v>900</v>
      </c>
      <c r="G73" s="35">
        <v>900</v>
      </c>
      <c r="H73" s="34" t="s">
        <v>51</v>
      </c>
      <c r="I73" s="36"/>
    </row>
    <row r="74" spans="1:10" ht="31.5" customHeight="1" x14ac:dyDescent="0.3">
      <c r="A74" s="28" t="s">
        <v>8</v>
      </c>
      <c r="B74" s="18">
        <f t="shared" ref="B74:G74" si="13">(B71/B73)*100</f>
        <v>45</v>
      </c>
      <c r="C74" s="18">
        <f t="shared" si="13"/>
        <v>90</v>
      </c>
      <c r="D74" s="18">
        <f t="shared" si="13"/>
        <v>72.000000000000014</v>
      </c>
      <c r="E74" s="18">
        <f t="shared" si="13"/>
        <v>81.25</v>
      </c>
      <c r="F74" s="18">
        <f t="shared" si="13"/>
        <v>50</v>
      </c>
      <c r="G74" s="25">
        <f t="shared" si="13"/>
        <v>50</v>
      </c>
      <c r="H74" s="19">
        <f>((B68*B74)+(C68*C74)+(D68*D74)+(E68*E74)+(F68*F74)+(G68*G74))/SUM(B68:G68)</f>
        <v>55.29</v>
      </c>
      <c r="I74" s="39" t="s">
        <v>77</v>
      </c>
      <c r="J74" s="17"/>
    </row>
    <row r="75" spans="1:10" x14ac:dyDescent="0.3">
      <c r="A75" s="40" t="s">
        <v>43</v>
      </c>
      <c r="B75" s="8" t="s">
        <v>36</v>
      </c>
      <c r="C75" s="30" t="s">
        <v>55</v>
      </c>
      <c r="D75" s="31"/>
      <c r="E75" s="31"/>
      <c r="F75" s="31"/>
      <c r="G75" s="37"/>
      <c r="H75" s="41" t="s">
        <v>18</v>
      </c>
      <c r="I75" s="10" t="s">
        <v>49</v>
      </c>
    </row>
    <row r="76" spans="1:10" x14ac:dyDescent="0.3">
      <c r="A76" s="40" t="s">
        <v>54</v>
      </c>
      <c r="C76" s="30" t="s">
        <v>56</v>
      </c>
      <c r="D76" s="31"/>
      <c r="E76" s="31"/>
      <c r="F76" s="31"/>
      <c r="G76" s="15"/>
      <c r="H76" s="9"/>
      <c r="I76" s="26"/>
    </row>
    <row r="77" spans="1:10" x14ac:dyDescent="0.3">
      <c r="A77" s="32" t="s">
        <v>1</v>
      </c>
      <c r="B77" s="2" t="s">
        <v>23</v>
      </c>
      <c r="C77" s="14" t="s">
        <v>24</v>
      </c>
      <c r="D77" s="14" t="s">
        <v>25</v>
      </c>
      <c r="E77" s="2" t="s">
        <v>26</v>
      </c>
      <c r="F77" s="2" t="s">
        <v>27</v>
      </c>
      <c r="G77" s="15" t="s">
        <v>45</v>
      </c>
      <c r="H77" s="10"/>
      <c r="I77" s="32"/>
    </row>
    <row r="78" spans="1:10" x14ac:dyDescent="0.3">
      <c r="A78" s="3" t="s">
        <v>38</v>
      </c>
      <c r="B78" s="2">
        <v>3</v>
      </c>
      <c r="C78" s="2">
        <v>3</v>
      </c>
      <c r="D78" s="2">
        <v>9</v>
      </c>
      <c r="E78" s="2">
        <v>3</v>
      </c>
      <c r="F78" s="2">
        <v>3</v>
      </c>
      <c r="G78" s="8">
        <f>75-21</f>
        <v>54</v>
      </c>
      <c r="H78" s="9"/>
      <c r="I78" s="3"/>
    </row>
    <row r="79" spans="1:10" x14ac:dyDescent="0.3">
      <c r="A79" s="3" t="s">
        <v>2</v>
      </c>
      <c r="B79" s="2">
        <v>10</v>
      </c>
      <c r="C79" s="2">
        <v>15</v>
      </c>
      <c r="D79" s="2">
        <v>20</v>
      </c>
      <c r="E79" s="2">
        <v>25</v>
      </c>
      <c r="F79" s="2">
        <v>30</v>
      </c>
      <c r="G79" s="8">
        <v>30</v>
      </c>
      <c r="H79" s="9"/>
      <c r="I79" s="3"/>
    </row>
    <row r="80" spans="1:10" x14ac:dyDescent="0.3">
      <c r="A80" s="3" t="s">
        <v>3</v>
      </c>
      <c r="B80" s="2">
        <v>5</v>
      </c>
      <c r="C80" s="2">
        <v>10</v>
      </c>
      <c r="D80" s="2">
        <v>12</v>
      </c>
      <c r="E80" s="2">
        <v>13</v>
      </c>
      <c r="F80" s="2">
        <v>15</v>
      </c>
      <c r="G80" s="8">
        <v>15</v>
      </c>
      <c r="H80" s="9"/>
      <c r="I80" s="3"/>
    </row>
    <row r="81" spans="1:13" x14ac:dyDescent="0.3">
      <c r="A81" s="3" t="s">
        <v>4</v>
      </c>
      <c r="B81" s="2">
        <f t="shared" ref="B81:G81" si="14">B79*B80</f>
        <v>50</v>
      </c>
      <c r="C81" s="2">
        <f t="shared" si="14"/>
        <v>150</v>
      </c>
      <c r="D81" s="2">
        <f t="shared" si="14"/>
        <v>240</v>
      </c>
      <c r="E81" s="2">
        <f t="shared" si="14"/>
        <v>325</v>
      </c>
      <c r="F81" s="2">
        <f t="shared" si="14"/>
        <v>450</v>
      </c>
      <c r="G81" s="8">
        <f t="shared" si="14"/>
        <v>450</v>
      </c>
      <c r="H81" s="9"/>
      <c r="I81" s="3"/>
    </row>
    <row r="82" spans="1:13" x14ac:dyDescent="0.3">
      <c r="A82" s="3" t="s">
        <v>46</v>
      </c>
      <c r="B82" s="6">
        <v>55</v>
      </c>
      <c r="C82" s="6">
        <v>25</v>
      </c>
      <c r="D82" s="49">
        <v>18</v>
      </c>
      <c r="E82" s="49">
        <v>18</v>
      </c>
      <c r="F82" s="49">
        <v>18</v>
      </c>
      <c r="G82" s="27">
        <v>9</v>
      </c>
      <c r="H82" s="34"/>
      <c r="I82" s="3"/>
    </row>
    <row r="83" spans="1:13" x14ac:dyDescent="0.3">
      <c r="A83" s="3" t="s">
        <v>7</v>
      </c>
      <c r="B83" s="8">
        <f t="shared" ref="B83:G83" si="15">10000/B82</f>
        <v>181.81818181818181</v>
      </c>
      <c r="C83" s="8">
        <f t="shared" si="15"/>
        <v>400</v>
      </c>
      <c r="D83" s="8">
        <f t="shared" si="15"/>
        <v>555.55555555555554</v>
      </c>
      <c r="E83" s="8">
        <f t="shared" si="15"/>
        <v>555.55555555555554</v>
      </c>
      <c r="F83" s="8">
        <f t="shared" si="15"/>
        <v>555.55555555555554</v>
      </c>
      <c r="G83" s="8">
        <f t="shared" si="15"/>
        <v>1111.1111111111111</v>
      </c>
      <c r="H83" s="34"/>
      <c r="I83" s="36"/>
    </row>
    <row r="84" spans="1:13" ht="31.5" customHeight="1" x14ac:dyDescent="0.3">
      <c r="A84" s="28" t="s">
        <v>8</v>
      </c>
      <c r="B84" s="18">
        <f t="shared" ref="B84:G84" si="16">(B81/B83)*100</f>
        <v>27.500000000000004</v>
      </c>
      <c r="C84" s="18">
        <f t="shared" si="16"/>
        <v>37.5</v>
      </c>
      <c r="D84" s="18">
        <f t="shared" si="16"/>
        <v>43.2</v>
      </c>
      <c r="E84" s="18">
        <f t="shared" si="16"/>
        <v>58.5</v>
      </c>
      <c r="F84" s="18">
        <f t="shared" si="16"/>
        <v>81</v>
      </c>
      <c r="G84" s="25">
        <f t="shared" si="16"/>
        <v>40.5</v>
      </c>
      <c r="H84" s="19">
        <f>((B78*B84)+(C78*C84)+(D78*D84)+(E78*E84)+(F78*F84)+(G78*G84))/SUM(B78:G78)</f>
        <v>42.524000000000001</v>
      </c>
      <c r="I84" s="39" t="s">
        <v>77</v>
      </c>
      <c r="J84" s="17"/>
    </row>
    <row r="85" spans="1:13" x14ac:dyDescent="0.3">
      <c r="A85" s="40" t="s">
        <v>57</v>
      </c>
      <c r="B85" s="8" t="s">
        <v>33</v>
      </c>
      <c r="C85" s="30" t="s">
        <v>59</v>
      </c>
      <c r="D85" s="31"/>
      <c r="E85" s="31"/>
      <c r="F85" s="31"/>
      <c r="G85" s="37"/>
      <c r="H85" s="41" t="s">
        <v>18</v>
      </c>
      <c r="I85" s="10" t="s">
        <v>84</v>
      </c>
    </row>
    <row r="86" spans="1:13" x14ac:dyDescent="0.3">
      <c r="A86" s="40" t="s">
        <v>54</v>
      </c>
      <c r="C86" s="30" t="s">
        <v>58</v>
      </c>
      <c r="D86" s="31"/>
      <c r="E86" s="31"/>
      <c r="F86" s="31"/>
      <c r="G86" s="15"/>
      <c r="H86" s="9"/>
      <c r="I86" s="26"/>
    </row>
    <row r="87" spans="1:13" x14ac:dyDescent="0.3">
      <c r="A87" s="32" t="s">
        <v>1</v>
      </c>
      <c r="B87" s="2" t="s">
        <v>23</v>
      </c>
      <c r="C87" s="14" t="s">
        <v>24</v>
      </c>
      <c r="D87" s="14" t="s">
        <v>25</v>
      </c>
      <c r="E87" s="2" t="s">
        <v>26</v>
      </c>
      <c r="F87" s="2" t="s">
        <v>27</v>
      </c>
      <c r="G87" s="15" t="s">
        <v>45</v>
      </c>
      <c r="H87" s="10"/>
      <c r="I87" s="32"/>
    </row>
    <row r="88" spans="1:13" x14ac:dyDescent="0.3">
      <c r="A88" s="3" t="s">
        <v>38</v>
      </c>
      <c r="B88" s="2">
        <v>3</v>
      </c>
      <c r="C88" s="2">
        <v>3</v>
      </c>
      <c r="D88" s="2">
        <v>9</v>
      </c>
      <c r="E88" s="2">
        <v>3</v>
      </c>
      <c r="F88" s="2">
        <v>3</v>
      </c>
      <c r="G88" s="8">
        <f>75-21</f>
        <v>54</v>
      </c>
      <c r="H88" s="9"/>
      <c r="I88" s="3"/>
    </row>
    <row r="89" spans="1:13" x14ac:dyDescent="0.3">
      <c r="A89" s="3" t="s">
        <v>2</v>
      </c>
      <c r="B89" s="2">
        <v>10</v>
      </c>
      <c r="C89" s="2">
        <v>15</v>
      </c>
      <c r="D89" s="2">
        <v>20</v>
      </c>
      <c r="E89" s="2">
        <v>25</v>
      </c>
      <c r="F89" s="2">
        <v>30</v>
      </c>
      <c r="G89" s="8">
        <v>30</v>
      </c>
      <c r="H89" s="9"/>
      <c r="I89" s="3"/>
    </row>
    <row r="90" spans="1:13" x14ac:dyDescent="0.3">
      <c r="A90" s="3" t="s">
        <v>3</v>
      </c>
      <c r="B90" s="2">
        <v>5</v>
      </c>
      <c r="C90" s="2">
        <v>10</v>
      </c>
      <c r="D90" s="2">
        <v>12</v>
      </c>
      <c r="E90" s="2">
        <v>13</v>
      </c>
      <c r="F90" s="2">
        <v>15</v>
      </c>
      <c r="G90" s="8">
        <v>15</v>
      </c>
      <c r="H90" s="9"/>
      <c r="I90" s="3"/>
    </row>
    <row r="91" spans="1:13" x14ac:dyDescent="0.3">
      <c r="A91" s="3" t="s">
        <v>4</v>
      </c>
      <c r="B91" s="2">
        <f t="shared" ref="B91:G91" si="17">B89*B90</f>
        <v>50</v>
      </c>
      <c r="C91" s="2">
        <f t="shared" si="17"/>
        <v>150</v>
      </c>
      <c r="D91" s="2">
        <f t="shared" si="17"/>
        <v>240</v>
      </c>
      <c r="E91" s="2">
        <f t="shared" si="17"/>
        <v>325</v>
      </c>
      <c r="F91" s="2">
        <f t="shared" si="17"/>
        <v>450</v>
      </c>
      <c r="G91" s="8">
        <f t="shared" si="17"/>
        <v>450</v>
      </c>
      <c r="H91" s="9"/>
      <c r="I91" s="3"/>
    </row>
    <row r="92" spans="1:13" x14ac:dyDescent="0.3">
      <c r="A92" s="3" t="s">
        <v>46</v>
      </c>
      <c r="B92" s="7">
        <v>55</v>
      </c>
      <c r="C92" s="7">
        <v>25</v>
      </c>
      <c r="D92" s="27">
        <v>15</v>
      </c>
      <c r="E92" s="27">
        <v>10</v>
      </c>
      <c r="F92" s="27">
        <v>9</v>
      </c>
      <c r="G92" s="27">
        <v>9</v>
      </c>
      <c r="H92" s="34"/>
      <c r="I92" s="3"/>
    </row>
    <row r="93" spans="1:13" x14ac:dyDescent="0.3">
      <c r="A93" s="3" t="s">
        <v>7</v>
      </c>
      <c r="B93" s="8">
        <f t="shared" ref="B93:G93" si="18">10000/B92</f>
        <v>181.81818181818181</v>
      </c>
      <c r="C93" s="8">
        <f t="shared" si="18"/>
        <v>400</v>
      </c>
      <c r="D93" s="8">
        <f t="shared" si="18"/>
        <v>666.66666666666663</v>
      </c>
      <c r="E93" s="8">
        <f t="shared" si="18"/>
        <v>1000</v>
      </c>
      <c r="F93" s="8">
        <f t="shared" si="18"/>
        <v>1111.1111111111111</v>
      </c>
      <c r="G93" s="8">
        <f t="shared" si="18"/>
        <v>1111.1111111111111</v>
      </c>
      <c r="H93" s="34"/>
      <c r="I93" s="36"/>
    </row>
    <row r="94" spans="1:13" ht="32.25" customHeight="1" x14ac:dyDescent="0.3">
      <c r="A94" s="28" t="s">
        <v>8</v>
      </c>
      <c r="B94" s="18">
        <f t="shared" ref="B94:G94" si="19">(B91/B93)*100</f>
        <v>27.500000000000004</v>
      </c>
      <c r="C94" s="18">
        <f t="shared" si="19"/>
        <v>37.5</v>
      </c>
      <c r="D94" s="18">
        <f t="shared" si="19"/>
        <v>36.000000000000007</v>
      </c>
      <c r="E94" s="18">
        <f t="shared" si="19"/>
        <v>32.5</v>
      </c>
      <c r="F94" s="18">
        <f t="shared" si="19"/>
        <v>40.5</v>
      </c>
      <c r="G94" s="25">
        <f t="shared" si="19"/>
        <v>40.5</v>
      </c>
      <c r="H94" s="19">
        <f>((B88*B94)+(C88*C94)+(D88*D94)+(E88*E94)+(F88*F94)+(G88*G94))/SUM(B88:G88)</f>
        <v>39</v>
      </c>
      <c r="I94" s="39" t="s">
        <v>77</v>
      </c>
      <c r="J94" s="17"/>
    </row>
    <row r="95" spans="1:13" x14ac:dyDescent="0.3">
      <c r="A95" s="29" t="s">
        <v>41</v>
      </c>
      <c r="E95" s="55" t="s">
        <v>232</v>
      </c>
      <c r="F95" s="55"/>
    </row>
    <row r="96" spans="1:13" x14ac:dyDescent="0.3">
      <c r="A96" s="52" t="s">
        <v>76</v>
      </c>
      <c r="B96" s="3"/>
      <c r="C96" s="3"/>
      <c r="D96" s="50"/>
      <c r="E96" s="56" t="s">
        <v>233</v>
      </c>
      <c r="F96" s="56"/>
      <c r="G96" s="3"/>
      <c r="H96" s="3"/>
      <c r="I96" s="3"/>
      <c r="J96" s="3"/>
      <c r="K96" s="3"/>
      <c r="L96" s="3"/>
      <c r="M96" s="3"/>
    </row>
    <row r="97" spans="1:13" x14ac:dyDescent="0.3">
      <c r="A97" s="53" t="s">
        <v>71</v>
      </c>
      <c r="B97" s="51" t="s">
        <v>60</v>
      </c>
      <c r="C97" s="51" t="s">
        <v>61</v>
      </c>
      <c r="D97" s="51" t="s">
        <v>62</v>
      </c>
      <c r="E97" s="54" t="s">
        <v>63</v>
      </c>
      <c r="F97" s="51" t="s">
        <v>64</v>
      </c>
      <c r="G97" s="51" t="s">
        <v>65</v>
      </c>
      <c r="H97" s="51" t="s">
        <v>66</v>
      </c>
      <c r="I97" s="51" t="s">
        <v>67</v>
      </c>
      <c r="J97" s="51" t="s">
        <v>68</v>
      </c>
      <c r="K97" s="51" t="s">
        <v>69</v>
      </c>
      <c r="L97" s="51" t="s">
        <v>70</v>
      </c>
      <c r="M97" s="3" t="s">
        <v>75</v>
      </c>
    </row>
    <row r="98" spans="1:13" x14ac:dyDescent="0.3">
      <c r="A98" s="3" t="s">
        <v>72</v>
      </c>
      <c r="B98" s="59">
        <v>0.16</v>
      </c>
      <c r="C98" s="59">
        <v>0.06</v>
      </c>
      <c r="D98" s="59">
        <v>7.0000000000000007E-2</v>
      </c>
      <c r="E98" s="60">
        <v>0.54</v>
      </c>
      <c r="F98" s="59">
        <v>0.81</v>
      </c>
      <c r="G98" s="59">
        <v>0.53</v>
      </c>
      <c r="H98" s="59">
        <v>0.54</v>
      </c>
      <c r="I98" s="59">
        <v>0.11</v>
      </c>
      <c r="J98" s="59">
        <v>0.88</v>
      </c>
      <c r="K98" s="59">
        <v>0.77</v>
      </c>
      <c r="L98" s="59">
        <v>0.08</v>
      </c>
      <c r="M98" s="101"/>
    </row>
    <row r="99" spans="1:13" x14ac:dyDescent="0.3">
      <c r="A99" s="16" t="s">
        <v>73</v>
      </c>
      <c r="B99" s="59">
        <f>1-B98</f>
        <v>0.84</v>
      </c>
      <c r="C99" s="59">
        <f t="shared" ref="C99:L99" si="20">1-C98</f>
        <v>0.94</v>
      </c>
      <c r="D99" s="59">
        <f t="shared" si="20"/>
        <v>0.92999999999999994</v>
      </c>
      <c r="E99" s="60">
        <f t="shared" si="20"/>
        <v>0.45999999999999996</v>
      </c>
      <c r="F99" s="59">
        <f t="shared" si="20"/>
        <v>0.18999999999999995</v>
      </c>
      <c r="G99" s="59">
        <f t="shared" si="20"/>
        <v>0.47</v>
      </c>
      <c r="H99" s="59">
        <f t="shared" si="20"/>
        <v>0.45999999999999996</v>
      </c>
      <c r="I99" s="59">
        <f t="shared" si="20"/>
        <v>0.89</v>
      </c>
      <c r="J99" s="59">
        <f t="shared" si="20"/>
        <v>0.12</v>
      </c>
      <c r="K99" s="59">
        <f t="shared" si="20"/>
        <v>0.22999999999999998</v>
      </c>
      <c r="L99" s="59">
        <f t="shared" si="20"/>
        <v>0.92</v>
      </c>
      <c r="M99" s="101"/>
    </row>
    <row r="100" spans="1:13" x14ac:dyDescent="0.3">
      <c r="A100" s="16" t="s">
        <v>74</v>
      </c>
      <c r="B100" s="61">
        <v>0.55300000000000005</v>
      </c>
      <c r="C100" s="61">
        <v>0.74299999999999999</v>
      </c>
      <c r="D100" s="61">
        <v>0.74299999999999999</v>
      </c>
      <c r="E100" s="61">
        <v>0.74299999999999999</v>
      </c>
      <c r="F100" s="61">
        <v>0.74299999999999999</v>
      </c>
      <c r="G100" s="61">
        <v>0.74299999999999999</v>
      </c>
      <c r="H100" s="61">
        <v>0.74299999999999999</v>
      </c>
      <c r="I100" s="61">
        <v>0.74299999999999999</v>
      </c>
      <c r="J100" s="61">
        <v>0.74299999999999999</v>
      </c>
      <c r="K100" s="61">
        <v>0.74299999999999999</v>
      </c>
      <c r="L100" s="61">
        <v>0.55300000000000005</v>
      </c>
      <c r="M100" s="3"/>
    </row>
    <row r="101" spans="1:13" x14ac:dyDescent="0.3">
      <c r="A101" s="16" t="s">
        <v>78</v>
      </c>
      <c r="B101" s="61">
        <v>0.39</v>
      </c>
      <c r="C101" s="61">
        <v>0.42499999999999999</v>
      </c>
      <c r="D101" s="61">
        <v>0.42499999999999999</v>
      </c>
      <c r="E101" s="61">
        <v>0.42499999999999999</v>
      </c>
      <c r="F101" s="61">
        <v>0.42499999999999999</v>
      </c>
      <c r="G101" s="61">
        <v>0.42499999999999999</v>
      </c>
      <c r="H101" s="61">
        <v>0.42499999999999999</v>
      </c>
      <c r="I101" s="61">
        <v>0.42499999999999999</v>
      </c>
      <c r="J101" s="61">
        <v>0.42499999999999999</v>
      </c>
      <c r="K101" s="61">
        <v>0.42499999999999999</v>
      </c>
      <c r="L101" s="61">
        <v>0.39</v>
      </c>
      <c r="M101" s="3"/>
    </row>
    <row r="102" spans="1:13" x14ac:dyDescent="0.3">
      <c r="A102" s="57" t="s">
        <v>77</v>
      </c>
      <c r="B102" s="62">
        <f>(B98*B100)+(B99*B101)</f>
        <v>0.41608000000000001</v>
      </c>
      <c r="C102" s="62">
        <f t="shared" ref="C102:L102" si="21">(C98*C100)+(C99*C101)</f>
        <v>0.44407999999999997</v>
      </c>
      <c r="D102" s="62">
        <f t="shared" si="21"/>
        <v>0.44725999999999999</v>
      </c>
      <c r="E102" s="62">
        <f t="shared" si="21"/>
        <v>0.59672000000000003</v>
      </c>
      <c r="F102" s="62">
        <f t="shared" si="21"/>
        <v>0.68258000000000008</v>
      </c>
      <c r="G102" s="62">
        <f t="shared" si="21"/>
        <v>0.59353999999999996</v>
      </c>
      <c r="H102" s="62">
        <f t="shared" si="21"/>
        <v>0.59672000000000003</v>
      </c>
      <c r="I102" s="62">
        <f t="shared" si="21"/>
        <v>0.45997999999999994</v>
      </c>
      <c r="J102" s="62">
        <f t="shared" si="21"/>
        <v>0.70484000000000002</v>
      </c>
      <c r="K102" s="62">
        <f t="shared" si="21"/>
        <v>0.66986000000000001</v>
      </c>
      <c r="L102" s="62">
        <f t="shared" si="21"/>
        <v>0.40304000000000001</v>
      </c>
      <c r="M102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5"/>
  <sheetViews>
    <sheetView zoomScaleNormal="100" workbookViewId="0">
      <selection activeCell="N7" sqref="N7"/>
    </sheetView>
  </sheetViews>
  <sheetFormatPr defaultRowHeight="14.4" x14ac:dyDescent="0.3"/>
  <cols>
    <col min="1" max="1" width="17.33203125" customWidth="1"/>
    <col min="2" max="2" width="11.109375" style="1" customWidth="1"/>
    <col min="3" max="4" width="9.109375" style="1"/>
    <col min="8" max="8" width="14" style="1" customWidth="1"/>
    <col min="9" max="9" width="9.88671875" customWidth="1"/>
    <col min="10" max="10" width="10.33203125" customWidth="1"/>
    <col min="11" max="11" width="11.109375" customWidth="1"/>
    <col min="13" max="13" width="10.5546875" customWidth="1"/>
  </cols>
  <sheetData>
    <row r="1" spans="1:14" x14ac:dyDescent="0.3">
      <c r="A1" s="84" t="s">
        <v>29</v>
      </c>
      <c r="B1" s="23"/>
      <c r="C1" s="23"/>
      <c r="D1" s="23"/>
      <c r="E1" s="21"/>
      <c r="F1" s="1"/>
      <c r="G1" s="21"/>
      <c r="I1" s="21" t="s">
        <v>20</v>
      </c>
      <c r="J1" s="23"/>
      <c r="K1" s="1"/>
    </row>
    <row r="2" spans="1:14" x14ac:dyDescent="0.3">
      <c r="A2" s="85" t="s">
        <v>131</v>
      </c>
      <c r="B2" s="24"/>
      <c r="C2" s="24"/>
      <c r="D2" s="24"/>
      <c r="E2" s="24"/>
      <c r="F2" s="24"/>
      <c r="G2" s="24"/>
      <c r="H2" s="24"/>
      <c r="I2" s="24"/>
      <c r="J2" s="24"/>
      <c r="K2" s="1"/>
    </row>
    <row r="3" spans="1:14" x14ac:dyDescent="0.3">
      <c r="A3" s="86" t="s">
        <v>133</v>
      </c>
      <c r="B3" s="23" t="s">
        <v>36</v>
      </c>
      <c r="C3" s="23"/>
      <c r="D3" s="23"/>
      <c r="E3" s="21"/>
      <c r="F3" s="21"/>
      <c r="I3" s="22" t="s">
        <v>18</v>
      </c>
      <c r="J3" s="21" t="s">
        <v>134</v>
      </c>
    </row>
    <row r="4" spans="1:14" x14ac:dyDescent="0.3">
      <c r="A4" s="3" t="s">
        <v>102</v>
      </c>
      <c r="B4" s="2">
        <v>30</v>
      </c>
      <c r="C4" s="2">
        <v>30</v>
      </c>
      <c r="D4" s="2">
        <v>30</v>
      </c>
      <c r="E4" s="2">
        <v>20</v>
      </c>
      <c r="F4" s="2">
        <v>25</v>
      </c>
      <c r="G4" s="2">
        <v>20</v>
      </c>
      <c r="H4" s="2">
        <v>5</v>
      </c>
      <c r="I4" s="15">
        <f>SUM(B4:H4)</f>
        <v>160</v>
      </c>
      <c r="J4" s="16"/>
    </row>
    <row r="5" spans="1:14" x14ac:dyDescent="0.3">
      <c r="A5" s="3" t="s">
        <v>2</v>
      </c>
      <c r="B5" s="2">
        <v>57</v>
      </c>
      <c r="C5" s="2">
        <v>75</v>
      </c>
      <c r="D5" s="2">
        <v>80</v>
      </c>
      <c r="E5" s="2">
        <v>90</v>
      </c>
      <c r="F5" s="2">
        <v>100</v>
      </c>
      <c r="G5" s="2">
        <v>115</v>
      </c>
      <c r="H5" s="2">
        <v>120</v>
      </c>
      <c r="I5" s="15"/>
      <c r="J5" s="16"/>
      <c r="N5">
        <f>4+4*0.2</f>
        <v>4.8</v>
      </c>
    </row>
    <row r="6" spans="1:14" x14ac:dyDescent="0.3">
      <c r="A6" s="3" t="s">
        <v>3</v>
      </c>
      <c r="B6" s="2">
        <v>17</v>
      </c>
      <c r="C6" s="2">
        <v>22</v>
      </c>
      <c r="D6" s="2">
        <v>25</v>
      </c>
      <c r="E6" s="2">
        <v>27</v>
      </c>
      <c r="F6" s="2">
        <v>30</v>
      </c>
      <c r="G6" s="2">
        <v>33</v>
      </c>
      <c r="H6" s="2">
        <v>35</v>
      </c>
      <c r="I6" s="15"/>
      <c r="J6" s="16"/>
      <c r="N6">
        <f>8*0.2+4*0.8</f>
        <v>4.8000000000000007</v>
      </c>
    </row>
    <row r="7" spans="1:14" x14ac:dyDescent="0.3">
      <c r="A7" s="3" t="s">
        <v>4</v>
      </c>
      <c r="B7" s="2">
        <f>B5*B6</f>
        <v>969</v>
      </c>
      <c r="C7" s="2">
        <f t="shared" ref="C7:H7" si="0">C5*C6</f>
        <v>1650</v>
      </c>
      <c r="D7" s="2">
        <f t="shared" si="0"/>
        <v>2000</v>
      </c>
      <c r="E7" s="2">
        <f t="shared" si="0"/>
        <v>2430</v>
      </c>
      <c r="F7" s="2">
        <f t="shared" si="0"/>
        <v>3000</v>
      </c>
      <c r="G7" s="2">
        <f t="shared" si="0"/>
        <v>3795</v>
      </c>
      <c r="H7" s="2">
        <f t="shared" si="0"/>
        <v>4200</v>
      </c>
      <c r="I7" s="15"/>
      <c r="J7" s="16"/>
    </row>
    <row r="8" spans="1:14" x14ac:dyDescent="0.3">
      <c r="A8" s="3" t="s">
        <v>132</v>
      </c>
      <c r="B8" s="95">
        <v>10</v>
      </c>
      <c r="C8" s="98">
        <v>20</v>
      </c>
      <c r="D8" s="98">
        <v>30</v>
      </c>
      <c r="E8" s="98">
        <v>50</v>
      </c>
      <c r="F8" s="98">
        <v>85</v>
      </c>
      <c r="G8" s="7">
        <v>110</v>
      </c>
      <c r="H8" s="7">
        <v>120</v>
      </c>
      <c r="I8" s="97"/>
      <c r="J8" s="97"/>
    </row>
    <row r="9" spans="1:14" x14ac:dyDescent="0.3">
      <c r="A9" s="3" t="s">
        <v>103</v>
      </c>
      <c r="B9" s="96">
        <v>0.15</v>
      </c>
      <c r="C9" s="96">
        <v>0.2</v>
      </c>
      <c r="D9" s="96">
        <v>0.3</v>
      </c>
      <c r="E9" s="96">
        <v>0.4</v>
      </c>
      <c r="F9" s="96">
        <v>0.55000000000000004</v>
      </c>
      <c r="G9" s="96">
        <v>0.65</v>
      </c>
      <c r="H9" s="96">
        <v>1</v>
      </c>
      <c r="I9" s="97"/>
      <c r="J9" s="97"/>
      <c r="K9" s="5"/>
    </row>
    <row r="10" spans="1:14" x14ac:dyDescent="0.3">
      <c r="A10" s="3" t="s">
        <v>6</v>
      </c>
      <c r="B10" s="11">
        <f>1/B9</f>
        <v>6.666666666666667</v>
      </c>
      <c r="C10" s="11">
        <f t="shared" ref="C10:H10" si="1">1/C9</f>
        <v>5</v>
      </c>
      <c r="D10" s="11">
        <f t="shared" si="1"/>
        <v>3.3333333333333335</v>
      </c>
      <c r="E10" s="11">
        <f t="shared" si="1"/>
        <v>2.5</v>
      </c>
      <c r="F10" s="11">
        <f t="shared" si="1"/>
        <v>1.8181818181818181</v>
      </c>
      <c r="G10" s="11">
        <f t="shared" si="1"/>
        <v>1.5384615384615383</v>
      </c>
      <c r="H10" s="11">
        <f t="shared" si="1"/>
        <v>1</v>
      </c>
      <c r="I10" s="15"/>
      <c r="J10" s="16"/>
      <c r="K10" s="3"/>
    </row>
    <row r="11" spans="1:14" x14ac:dyDescent="0.3">
      <c r="A11" s="3" t="s">
        <v>7</v>
      </c>
      <c r="B11" s="8">
        <f>B9*10000</f>
        <v>1500</v>
      </c>
      <c r="C11" s="8">
        <f t="shared" ref="C11:H11" si="2">C9*10000</f>
        <v>2000</v>
      </c>
      <c r="D11" s="8">
        <f t="shared" si="2"/>
        <v>3000</v>
      </c>
      <c r="E11" s="8">
        <f t="shared" si="2"/>
        <v>4000</v>
      </c>
      <c r="F11" s="8">
        <f t="shared" si="2"/>
        <v>5500</v>
      </c>
      <c r="G11" s="8">
        <f t="shared" si="2"/>
        <v>6500</v>
      </c>
      <c r="H11" s="8">
        <f t="shared" si="2"/>
        <v>10000</v>
      </c>
      <c r="I11" s="15"/>
      <c r="J11" s="16"/>
      <c r="K11" s="3"/>
    </row>
    <row r="12" spans="1:14" ht="28.8" x14ac:dyDescent="0.3">
      <c r="A12" s="28" t="s">
        <v>8</v>
      </c>
      <c r="B12" s="18">
        <f t="shared" ref="B12:H12" si="3">(B7/B11)*100</f>
        <v>64.600000000000009</v>
      </c>
      <c r="C12" s="18">
        <f t="shared" si="3"/>
        <v>82.5</v>
      </c>
      <c r="D12" s="18">
        <f t="shared" si="3"/>
        <v>66.666666666666657</v>
      </c>
      <c r="E12" s="18">
        <f t="shared" si="3"/>
        <v>60.750000000000007</v>
      </c>
      <c r="F12" s="18">
        <f t="shared" si="3"/>
        <v>54.54545454545454</v>
      </c>
      <c r="G12" s="18">
        <f t="shared" si="3"/>
        <v>58.38461538461538</v>
      </c>
      <c r="H12" s="18">
        <f t="shared" si="3"/>
        <v>42</v>
      </c>
      <c r="I12" s="19">
        <f>(B4*B12+C4*C12+D4*D12+E4*E12+F4*F12+G4*G12)/I4</f>
        <v>63.495804195804205</v>
      </c>
      <c r="J12" s="20" t="s">
        <v>77</v>
      </c>
    </row>
    <row r="13" spans="1:14" x14ac:dyDescent="0.3">
      <c r="A13" s="86" t="s">
        <v>135</v>
      </c>
      <c r="B13" s="23" t="s">
        <v>33</v>
      </c>
      <c r="C13" s="23" t="s">
        <v>136</v>
      </c>
      <c r="D13" s="23"/>
      <c r="E13" s="21"/>
      <c r="F13" s="23"/>
      <c r="I13" s="22" t="s">
        <v>18</v>
      </c>
      <c r="J13" s="21" t="s">
        <v>138</v>
      </c>
    </row>
    <row r="14" spans="1:14" x14ac:dyDescent="0.3">
      <c r="A14" s="3" t="s">
        <v>102</v>
      </c>
      <c r="B14" s="2">
        <v>30</v>
      </c>
      <c r="C14" s="2">
        <v>30</v>
      </c>
      <c r="D14" s="2">
        <v>30</v>
      </c>
      <c r="E14" s="2">
        <v>30</v>
      </c>
      <c r="F14" s="2">
        <v>40</v>
      </c>
      <c r="G14" s="15">
        <f>SUM(B14:F14)</f>
        <v>160</v>
      </c>
      <c r="H14" s="16"/>
      <c r="I14" s="15"/>
      <c r="J14" s="16"/>
    </row>
    <row r="15" spans="1:14" x14ac:dyDescent="0.3">
      <c r="A15" s="3" t="s">
        <v>2</v>
      </c>
      <c r="B15" s="2">
        <v>57</v>
      </c>
      <c r="C15" s="2">
        <v>75</v>
      </c>
      <c r="D15" s="2">
        <v>80</v>
      </c>
      <c r="E15" s="2">
        <v>95</v>
      </c>
      <c r="F15" s="2">
        <v>120</v>
      </c>
      <c r="G15" s="15"/>
      <c r="H15" s="16"/>
      <c r="I15" s="15"/>
      <c r="J15" s="16"/>
    </row>
    <row r="16" spans="1:14" x14ac:dyDescent="0.3">
      <c r="A16" s="3" t="s">
        <v>3</v>
      </c>
      <c r="B16" s="2">
        <v>17</v>
      </c>
      <c r="C16" s="2">
        <v>22</v>
      </c>
      <c r="D16" s="2">
        <v>25</v>
      </c>
      <c r="E16" s="2">
        <v>29</v>
      </c>
      <c r="F16" s="2">
        <v>35</v>
      </c>
      <c r="G16" s="15"/>
      <c r="H16" s="16"/>
      <c r="I16" s="15"/>
      <c r="J16" s="16"/>
    </row>
    <row r="17" spans="1:15" x14ac:dyDescent="0.3">
      <c r="A17" s="3" t="s">
        <v>4</v>
      </c>
      <c r="B17" s="2">
        <f>B15*B16</f>
        <v>969</v>
      </c>
      <c r="C17" s="2">
        <f>C15*C16</f>
        <v>1650</v>
      </c>
      <c r="D17" s="2">
        <f>D15*D16</f>
        <v>2000</v>
      </c>
      <c r="E17" s="2">
        <f>E15*E16</f>
        <v>2755</v>
      </c>
      <c r="F17" s="2">
        <f>F15*F16</f>
        <v>4200</v>
      </c>
      <c r="G17" s="15"/>
      <c r="H17" s="16"/>
      <c r="I17" s="15"/>
      <c r="J17" s="16"/>
    </row>
    <row r="18" spans="1:15" ht="16.5" customHeight="1" x14ac:dyDescent="0.3">
      <c r="A18" s="3" t="s">
        <v>5</v>
      </c>
      <c r="B18" s="99" t="s">
        <v>137</v>
      </c>
      <c r="C18" s="158" t="s">
        <v>139</v>
      </c>
      <c r="D18" s="159"/>
      <c r="E18" s="159"/>
      <c r="F18" s="160"/>
      <c r="G18" s="97"/>
      <c r="H18" s="97"/>
      <c r="I18" s="15"/>
      <c r="J18" s="16"/>
    </row>
    <row r="19" spans="1:15" x14ac:dyDescent="0.3">
      <c r="A19" s="3" t="s">
        <v>132</v>
      </c>
      <c r="B19" s="6">
        <v>10</v>
      </c>
      <c r="C19" s="100">
        <v>20</v>
      </c>
      <c r="D19" s="2">
        <v>30</v>
      </c>
      <c r="E19" s="2">
        <v>59</v>
      </c>
      <c r="F19" s="6">
        <v>120</v>
      </c>
      <c r="G19" s="97"/>
      <c r="H19" s="97"/>
      <c r="I19" s="97"/>
      <c r="J19" s="97"/>
    </row>
    <row r="20" spans="1:15" x14ac:dyDescent="0.3">
      <c r="A20" s="3" t="s">
        <v>103</v>
      </c>
      <c r="B20" s="96">
        <v>0.46</v>
      </c>
      <c r="C20" s="96">
        <f>0.17+(C19/130)</f>
        <v>0.32384615384615389</v>
      </c>
      <c r="D20" s="96">
        <f>0.17+(D19/130)</f>
        <v>0.40076923076923077</v>
      </c>
      <c r="E20" s="96">
        <f>0.17+(E19/130)</f>
        <v>0.62384615384615383</v>
      </c>
      <c r="F20" s="96">
        <f>0.17+(F19/130)</f>
        <v>1.0930769230769231</v>
      </c>
      <c r="G20" s="97"/>
      <c r="H20" s="97"/>
      <c r="I20" s="97"/>
      <c r="J20" s="97"/>
    </row>
    <row r="21" spans="1:15" x14ac:dyDescent="0.3">
      <c r="A21" s="3" t="s">
        <v>6</v>
      </c>
      <c r="B21" s="11">
        <f>1/B20</f>
        <v>2.1739130434782608</v>
      </c>
      <c r="C21" s="11">
        <f>1/C20</f>
        <v>3.0878859857482182</v>
      </c>
      <c r="D21" s="11">
        <f>1/D20</f>
        <v>2.4952015355086372</v>
      </c>
      <c r="E21" s="11">
        <f>1/E20</f>
        <v>1.6029593094944514</v>
      </c>
      <c r="F21" s="11">
        <f>1/F20</f>
        <v>0.91484869809992964</v>
      </c>
      <c r="G21" s="15"/>
      <c r="H21" s="16"/>
      <c r="I21" s="15"/>
      <c r="J21" s="16"/>
    </row>
    <row r="22" spans="1:15" x14ac:dyDescent="0.3">
      <c r="A22" s="3" t="s">
        <v>7</v>
      </c>
      <c r="B22" s="8">
        <f>10000/B21</f>
        <v>4600</v>
      </c>
      <c r="C22" s="8">
        <f>10000/C21</f>
        <v>3238.461538461539</v>
      </c>
      <c r="D22" s="8">
        <f>10000/D21</f>
        <v>4007.6923076923076</v>
      </c>
      <c r="E22" s="8">
        <f>10000/E21</f>
        <v>6238.4615384615381</v>
      </c>
      <c r="F22" s="8">
        <f>10000/F21</f>
        <v>10930.76923076923</v>
      </c>
      <c r="G22" s="15"/>
      <c r="H22" s="16"/>
      <c r="I22" s="15"/>
      <c r="J22" s="16"/>
    </row>
    <row r="23" spans="1:15" ht="29.25" customHeight="1" x14ac:dyDescent="0.3">
      <c r="A23" s="28" t="s">
        <v>8</v>
      </c>
      <c r="B23" s="18">
        <f>(B17/B22)*100</f>
        <v>21.065217391304348</v>
      </c>
      <c r="C23" s="18">
        <f>(C17/C22)*100</f>
        <v>50.950118764845598</v>
      </c>
      <c r="D23" s="18">
        <f>(D17/D22)*100</f>
        <v>49.904030710172748</v>
      </c>
      <c r="E23" s="18">
        <f>(E17/E22)*100</f>
        <v>44.161528976572136</v>
      </c>
      <c r="F23" s="18">
        <f>(F17/F22)*100</f>
        <v>38.423645320197046</v>
      </c>
      <c r="G23" s="19">
        <f>(B14*B23+C14*C23+D14*D23+E14*E23+F14*F23)/G14</f>
        <v>40.746079300592044</v>
      </c>
      <c r="H23" s="20" t="s">
        <v>77</v>
      </c>
      <c r="I23" s="19"/>
    </row>
    <row r="24" spans="1:15" x14ac:dyDescent="0.3">
      <c r="A24" s="40" t="s">
        <v>140</v>
      </c>
      <c r="B24" s="29" t="s">
        <v>36</v>
      </c>
      <c r="C24" s="29" t="s">
        <v>148</v>
      </c>
      <c r="D24" s="3"/>
      <c r="E24" s="3"/>
      <c r="F24" s="3"/>
      <c r="G24" s="15"/>
      <c r="H24" s="16"/>
      <c r="L24" s="106" t="s">
        <v>18</v>
      </c>
      <c r="M24" s="3" t="s">
        <v>134</v>
      </c>
      <c r="N24" s="3"/>
      <c r="O24" s="3"/>
    </row>
    <row r="25" spans="1:15" x14ac:dyDescent="0.3">
      <c r="A25" s="3"/>
      <c r="B25" s="29"/>
      <c r="C25" s="29"/>
      <c r="D25" s="3"/>
      <c r="E25" s="3"/>
      <c r="F25" s="3"/>
      <c r="G25" s="15"/>
      <c r="H25" s="16"/>
      <c r="I25" s="97" t="s">
        <v>141</v>
      </c>
      <c r="J25" s="15" t="s">
        <v>144</v>
      </c>
      <c r="K25" s="97" t="s">
        <v>142</v>
      </c>
      <c r="L25" s="16"/>
      <c r="M25" s="3"/>
      <c r="N25" s="3"/>
      <c r="O25" s="3"/>
    </row>
    <row r="26" spans="1:15" x14ac:dyDescent="0.3">
      <c r="A26" s="3" t="s">
        <v>102</v>
      </c>
      <c r="B26" s="2">
        <v>30</v>
      </c>
      <c r="C26" s="2">
        <v>30</v>
      </c>
      <c r="D26" s="2">
        <v>30</v>
      </c>
      <c r="E26" s="2">
        <v>20</v>
      </c>
      <c r="F26" s="2">
        <v>25</v>
      </c>
      <c r="G26" s="2">
        <v>20</v>
      </c>
      <c r="H26" s="8">
        <v>5</v>
      </c>
      <c r="I26" s="8">
        <v>200</v>
      </c>
      <c r="J26" s="8">
        <f>4.5*35</f>
        <v>157.5</v>
      </c>
      <c r="K26" s="8">
        <v>582.5</v>
      </c>
      <c r="L26" s="105">
        <f>SUM(B26:K26)</f>
        <v>1100</v>
      </c>
      <c r="M26" s="3"/>
      <c r="N26" s="3"/>
      <c r="O26" s="16"/>
    </row>
    <row r="27" spans="1:15" x14ac:dyDescent="0.3">
      <c r="A27" s="3" t="s">
        <v>2</v>
      </c>
      <c r="B27" s="2">
        <v>57</v>
      </c>
      <c r="C27" s="2">
        <v>75</v>
      </c>
      <c r="D27" s="2">
        <v>80</v>
      </c>
      <c r="E27" s="2">
        <v>90</v>
      </c>
      <c r="F27" s="2">
        <v>100</v>
      </c>
      <c r="G27" s="2">
        <v>115</v>
      </c>
      <c r="H27" s="15">
        <v>120</v>
      </c>
      <c r="I27" s="15">
        <v>150</v>
      </c>
      <c r="J27" s="15">
        <v>170</v>
      </c>
      <c r="K27" s="15">
        <v>170</v>
      </c>
      <c r="L27" s="16"/>
      <c r="M27" s="73"/>
      <c r="N27" s="73"/>
      <c r="O27" s="16"/>
    </row>
    <row r="28" spans="1:15" x14ac:dyDescent="0.3">
      <c r="A28" s="3" t="s">
        <v>3</v>
      </c>
      <c r="B28" s="2">
        <v>17</v>
      </c>
      <c r="C28" s="2">
        <v>22</v>
      </c>
      <c r="D28" s="2">
        <v>25</v>
      </c>
      <c r="E28" s="2">
        <v>27</v>
      </c>
      <c r="F28" s="2">
        <v>30</v>
      </c>
      <c r="G28" s="2">
        <v>33</v>
      </c>
      <c r="H28" s="15">
        <v>35</v>
      </c>
      <c r="I28" s="15">
        <v>40</v>
      </c>
      <c r="J28" s="15">
        <v>45</v>
      </c>
      <c r="K28" s="15">
        <v>45</v>
      </c>
      <c r="L28" s="16"/>
      <c r="M28" s="3"/>
      <c r="N28" s="3"/>
      <c r="O28" s="16"/>
    </row>
    <row r="29" spans="1:15" x14ac:dyDescent="0.3">
      <c r="A29" s="3" t="s">
        <v>4</v>
      </c>
      <c r="B29" s="2">
        <f>B27*B28</f>
        <v>969</v>
      </c>
      <c r="C29" s="2">
        <f t="shared" ref="C29:H29" si="4">C27*C28</f>
        <v>1650</v>
      </c>
      <c r="D29" s="2">
        <f t="shared" si="4"/>
        <v>2000</v>
      </c>
      <c r="E29" s="2">
        <f t="shared" si="4"/>
        <v>2430</v>
      </c>
      <c r="F29" s="2">
        <f t="shared" si="4"/>
        <v>3000</v>
      </c>
      <c r="G29" s="2">
        <f t="shared" si="4"/>
        <v>3795</v>
      </c>
      <c r="H29" s="2">
        <f t="shared" si="4"/>
        <v>4200</v>
      </c>
      <c r="I29" s="2">
        <f>I27*I28</f>
        <v>6000</v>
      </c>
      <c r="J29" s="2">
        <f>J27*J28</f>
        <v>7650</v>
      </c>
      <c r="K29" s="2">
        <f>K27*K28</f>
        <v>7650</v>
      </c>
      <c r="L29" s="16"/>
      <c r="M29" s="3"/>
      <c r="N29" s="3"/>
      <c r="O29" s="16"/>
    </row>
    <row r="30" spans="1:15" x14ac:dyDescent="0.3">
      <c r="A30" s="3" t="s">
        <v>132</v>
      </c>
      <c r="B30" s="95">
        <v>10</v>
      </c>
      <c r="C30" s="98">
        <v>20</v>
      </c>
      <c r="D30" s="98">
        <v>30</v>
      </c>
      <c r="E30" s="98">
        <v>50</v>
      </c>
      <c r="F30" s="98">
        <v>85</v>
      </c>
      <c r="G30" s="7">
        <v>110</v>
      </c>
      <c r="H30" s="35">
        <v>120</v>
      </c>
      <c r="I30" s="15"/>
      <c r="J30" s="15"/>
      <c r="K30" s="15"/>
      <c r="L30" s="97"/>
      <c r="M30" s="4"/>
      <c r="N30" s="4"/>
      <c r="O30" s="16"/>
    </row>
    <row r="31" spans="1:15" x14ac:dyDescent="0.3">
      <c r="A31" s="3" t="s">
        <v>103</v>
      </c>
      <c r="B31" s="96">
        <v>0.15</v>
      </c>
      <c r="C31" s="96">
        <v>0.2</v>
      </c>
      <c r="D31" s="96">
        <v>0.3</v>
      </c>
      <c r="E31" s="96">
        <v>0.4</v>
      </c>
      <c r="F31" s="96">
        <v>0.55000000000000004</v>
      </c>
      <c r="G31" s="96">
        <v>0.65</v>
      </c>
      <c r="H31" s="102">
        <v>1</v>
      </c>
      <c r="I31" s="102">
        <v>1.64</v>
      </c>
      <c r="J31" s="103">
        <v>1.4</v>
      </c>
      <c r="K31" s="102">
        <v>2.25</v>
      </c>
      <c r="L31" s="104" t="s">
        <v>143</v>
      </c>
      <c r="M31" s="104"/>
      <c r="N31" s="104"/>
      <c r="O31" s="101"/>
    </row>
    <row r="32" spans="1:15" x14ac:dyDescent="0.3">
      <c r="A32" s="3" t="s">
        <v>6</v>
      </c>
      <c r="B32" s="11">
        <f>1/B31</f>
        <v>6.666666666666667</v>
      </c>
      <c r="C32" s="11">
        <f t="shared" ref="C32:I32" si="5">1/C31</f>
        <v>5</v>
      </c>
      <c r="D32" s="11">
        <f t="shared" si="5"/>
        <v>3.3333333333333335</v>
      </c>
      <c r="E32" s="11">
        <f t="shared" si="5"/>
        <v>2.5</v>
      </c>
      <c r="F32" s="11">
        <f t="shared" si="5"/>
        <v>1.8181818181818181</v>
      </c>
      <c r="G32" s="11">
        <f t="shared" si="5"/>
        <v>1.5384615384615383</v>
      </c>
      <c r="H32" s="11">
        <f t="shared" si="5"/>
        <v>1</v>
      </c>
      <c r="I32" s="11">
        <f t="shared" si="5"/>
        <v>0.6097560975609756</v>
      </c>
      <c r="J32" s="11">
        <f>1/J31</f>
        <v>0.7142857142857143</v>
      </c>
      <c r="K32" s="11">
        <f>1/K31</f>
        <v>0.44444444444444442</v>
      </c>
      <c r="L32" s="16"/>
      <c r="M32" s="3"/>
      <c r="N32" s="3"/>
      <c r="O32" s="16"/>
    </row>
    <row r="33" spans="1:18" x14ac:dyDescent="0.3">
      <c r="A33" s="3" t="s">
        <v>7</v>
      </c>
      <c r="B33" s="8">
        <f>B31*10000</f>
        <v>1500</v>
      </c>
      <c r="C33" s="8">
        <f t="shared" ref="C33:K33" si="6">C31*10000</f>
        <v>2000</v>
      </c>
      <c r="D33" s="8">
        <f t="shared" si="6"/>
        <v>3000</v>
      </c>
      <c r="E33" s="8">
        <f t="shared" si="6"/>
        <v>4000</v>
      </c>
      <c r="F33" s="8">
        <f t="shared" si="6"/>
        <v>5500</v>
      </c>
      <c r="G33" s="8">
        <f t="shared" si="6"/>
        <v>6500</v>
      </c>
      <c r="H33" s="8">
        <f t="shared" si="6"/>
        <v>10000</v>
      </c>
      <c r="I33" s="8">
        <f t="shared" si="6"/>
        <v>16400</v>
      </c>
      <c r="J33" s="8">
        <f t="shared" si="6"/>
        <v>14000</v>
      </c>
      <c r="K33" s="8">
        <f t="shared" si="6"/>
        <v>22500</v>
      </c>
      <c r="L33" s="16"/>
      <c r="M33" s="3"/>
      <c r="N33" s="3"/>
      <c r="O33" s="16"/>
    </row>
    <row r="34" spans="1:18" ht="30.75" customHeight="1" x14ac:dyDescent="0.3">
      <c r="A34" s="28" t="s">
        <v>8</v>
      </c>
      <c r="B34" s="18">
        <f>B29/B33*100</f>
        <v>64.600000000000009</v>
      </c>
      <c r="C34" s="18">
        <f t="shared" ref="C34:H34" si="7">C29/C33*100</f>
        <v>82.5</v>
      </c>
      <c r="D34" s="18">
        <f t="shared" si="7"/>
        <v>66.666666666666657</v>
      </c>
      <c r="E34" s="18">
        <f t="shared" si="7"/>
        <v>60.750000000000007</v>
      </c>
      <c r="F34" s="18">
        <f t="shared" si="7"/>
        <v>54.54545454545454</v>
      </c>
      <c r="G34" s="18">
        <f t="shared" si="7"/>
        <v>58.38461538461538</v>
      </c>
      <c r="H34" s="18">
        <f t="shared" si="7"/>
        <v>42</v>
      </c>
      <c r="I34" s="18">
        <f>I29/I33*100</f>
        <v>36.585365853658537</v>
      </c>
      <c r="J34" s="18">
        <f>J29/J33*100</f>
        <v>54.642857142857139</v>
      </c>
      <c r="K34" s="18">
        <f>K29/K33*100</f>
        <v>34</v>
      </c>
      <c r="L34" s="19">
        <f>(B26*B34+C26*C34+D26*D34+E26*E34+F26*F34+G26*G34+H26*H34+I26*I34+J26*J34+K26*K34)/L26</f>
        <v>41.906956220054894</v>
      </c>
      <c r="M34" s="20" t="s">
        <v>77</v>
      </c>
      <c r="N34" s="3"/>
      <c r="O34" s="3"/>
    </row>
    <row r="35" spans="1:18" x14ac:dyDescent="0.3">
      <c r="A35" s="40" t="s">
        <v>145</v>
      </c>
      <c r="B35" s="29" t="s">
        <v>33</v>
      </c>
      <c r="C35" s="29" t="s">
        <v>147</v>
      </c>
      <c r="D35" s="3"/>
      <c r="E35" s="3"/>
      <c r="F35" s="3"/>
      <c r="G35" s="15"/>
      <c r="H35" s="16"/>
      <c r="I35" s="73"/>
      <c r="J35" s="73"/>
      <c r="L35" s="73" t="s">
        <v>18</v>
      </c>
      <c r="M35" t="s">
        <v>138</v>
      </c>
    </row>
    <row r="36" spans="1:18" x14ac:dyDescent="0.3">
      <c r="A36" s="3"/>
      <c r="B36" s="29"/>
      <c r="C36" s="3"/>
      <c r="D36" s="3"/>
      <c r="E36" s="3"/>
      <c r="F36" s="3"/>
      <c r="G36" s="15" t="s">
        <v>141</v>
      </c>
      <c r="H36" s="16" t="s">
        <v>146</v>
      </c>
      <c r="I36" s="73" t="s">
        <v>142</v>
      </c>
      <c r="J36" s="73"/>
    </row>
    <row r="37" spans="1:18" x14ac:dyDescent="0.3">
      <c r="A37" s="3" t="s">
        <v>102</v>
      </c>
      <c r="B37" s="2">
        <v>30</v>
      </c>
      <c r="C37" s="2">
        <v>30</v>
      </c>
      <c r="D37" s="2">
        <v>30</v>
      </c>
      <c r="E37" s="2">
        <v>30</v>
      </c>
      <c r="F37" s="2">
        <v>40</v>
      </c>
      <c r="G37" s="8">
        <v>200</v>
      </c>
      <c r="H37" s="8">
        <v>180</v>
      </c>
      <c r="I37" s="8">
        <v>560</v>
      </c>
      <c r="J37" s="2">
        <f>SUM(B37:I37)</f>
        <v>1100</v>
      </c>
    </row>
    <row r="38" spans="1:18" x14ac:dyDescent="0.3">
      <c r="A38" s="3" t="s">
        <v>2</v>
      </c>
      <c r="B38" s="2">
        <v>57</v>
      </c>
      <c r="C38" s="2">
        <v>75</v>
      </c>
      <c r="D38" s="2">
        <v>80</v>
      </c>
      <c r="E38" s="2">
        <v>95</v>
      </c>
      <c r="F38" s="2">
        <v>120</v>
      </c>
      <c r="G38" s="8">
        <v>150</v>
      </c>
      <c r="H38" s="8">
        <v>170</v>
      </c>
      <c r="I38" s="8">
        <v>170</v>
      </c>
      <c r="J38" s="2"/>
    </row>
    <row r="39" spans="1:18" x14ac:dyDescent="0.3">
      <c r="A39" s="3" t="s">
        <v>3</v>
      </c>
      <c r="B39" s="2">
        <v>17</v>
      </c>
      <c r="C39" s="2">
        <v>22</v>
      </c>
      <c r="D39" s="2">
        <v>25</v>
      </c>
      <c r="E39" s="2">
        <v>29</v>
      </c>
      <c r="F39" s="2">
        <v>35</v>
      </c>
      <c r="G39" s="8">
        <v>40</v>
      </c>
      <c r="H39" s="8">
        <v>45</v>
      </c>
      <c r="I39" s="8">
        <v>45</v>
      </c>
      <c r="J39" s="2"/>
    </row>
    <row r="40" spans="1:18" x14ac:dyDescent="0.3">
      <c r="A40" s="3" t="s">
        <v>4</v>
      </c>
      <c r="B40" s="2">
        <f>B38*B39</f>
        <v>969</v>
      </c>
      <c r="C40" s="2">
        <f t="shared" ref="C40:I40" si="8">C38*C39</f>
        <v>1650</v>
      </c>
      <c r="D40" s="2">
        <f t="shared" si="8"/>
        <v>2000</v>
      </c>
      <c r="E40" s="2">
        <f t="shared" si="8"/>
        <v>2755</v>
      </c>
      <c r="F40" s="2">
        <f t="shared" si="8"/>
        <v>4200</v>
      </c>
      <c r="G40" s="2">
        <f t="shared" si="8"/>
        <v>6000</v>
      </c>
      <c r="H40" s="2">
        <f t="shared" si="8"/>
        <v>7650</v>
      </c>
      <c r="I40" s="2">
        <f t="shared" si="8"/>
        <v>7650</v>
      </c>
      <c r="J40" s="2"/>
      <c r="R40">
        <f>180/4.5</f>
        <v>40</v>
      </c>
    </row>
    <row r="41" spans="1:18" x14ac:dyDescent="0.3">
      <c r="A41" s="3" t="s">
        <v>132</v>
      </c>
      <c r="B41" s="6">
        <v>10</v>
      </c>
      <c r="C41" s="2">
        <v>20</v>
      </c>
      <c r="D41" s="2">
        <v>30</v>
      </c>
      <c r="E41" s="2">
        <v>59</v>
      </c>
      <c r="F41" s="6">
        <v>120</v>
      </c>
      <c r="G41" s="97"/>
      <c r="H41" s="97"/>
      <c r="I41" s="4"/>
      <c r="J41" s="4"/>
    </row>
    <row r="42" spans="1:18" x14ac:dyDescent="0.3">
      <c r="A42" s="3" t="s">
        <v>103</v>
      </c>
      <c r="B42" s="96">
        <v>0.46</v>
      </c>
      <c r="C42" s="96">
        <f>0.17+(C41/130)</f>
        <v>0.32384615384615389</v>
      </c>
      <c r="D42" s="96">
        <f>0.17+(D41/130)</f>
        <v>0.40076923076923077</v>
      </c>
      <c r="E42" s="96">
        <f>0.17+(E41/130)</f>
        <v>0.62384615384615383</v>
      </c>
      <c r="F42" s="96">
        <f>0.17+(F41/130)</f>
        <v>1.0930769230769231</v>
      </c>
      <c r="G42" s="102">
        <v>1.64</v>
      </c>
      <c r="H42" s="102">
        <v>6</v>
      </c>
      <c r="I42" s="98">
        <v>2.25</v>
      </c>
      <c r="J42" s="4"/>
    </row>
    <row r="43" spans="1:18" x14ac:dyDescent="0.3">
      <c r="A43" s="3" t="s">
        <v>6</v>
      </c>
      <c r="B43" s="11">
        <f>1/B42</f>
        <v>2.1739130434782608</v>
      </c>
      <c r="C43" s="11">
        <f t="shared" ref="C43:I43" si="9">1/C42</f>
        <v>3.0878859857482182</v>
      </c>
      <c r="D43" s="11">
        <f t="shared" si="9"/>
        <v>2.4952015355086372</v>
      </c>
      <c r="E43" s="11">
        <f t="shared" si="9"/>
        <v>1.6029593094944514</v>
      </c>
      <c r="F43" s="11">
        <f t="shared" si="9"/>
        <v>0.91484869809992964</v>
      </c>
      <c r="G43" s="11">
        <f t="shared" si="9"/>
        <v>0.6097560975609756</v>
      </c>
      <c r="H43" s="11">
        <f t="shared" si="9"/>
        <v>0.16666666666666666</v>
      </c>
      <c r="I43" s="11">
        <f t="shared" si="9"/>
        <v>0.44444444444444442</v>
      </c>
      <c r="J43" s="3"/>
    </row>
    <row r="44" spans="1:18" x14ac:dyDescent="0.3">
      <c r="A44" s="3" t="s">
        <v>7</v>
      </c>
      <c r="B44" s="8">
        <f t="shared" ref="B44:I44" si="10">10000/B43</f>
        <v>4600</v>
      </c>
      <c r="C44" s="8">
        <f t="shared" si="10"/>
        <v>3238.461538461539</v>
      </c>
      <c r="D44" s="8">
        <f t="shared" si="10"/>
        <v>4007.6923076923076</v>
      </c>
      <c r="E44" s="8">
        <f t="shared" si="10"/>
        <v>6238.4615384615381</v>
      </c>
      <c r="F44" s="8">
        <f t="shared" si="10"/>
        <v>10930.76923076923</v>
      </c>
      <c r="G44" s="8">
        <f t="shared" si="10"/>
        <v>16400</v>
      </c>
      <c r="H44" s="8">
        <f t="shared" si="10"/>
        <v>60000</v>
      </c>
      <c r="I44" s="8">
        <f t="shared" si="10"/>
        <v>22500</v>
      </c>
      <c r="J44" s="3"/>
    </row>
    <row r="45" spans="1:18" ht="32.25" customHeight="1" x14ac:dyDescent="0.3">
      <c r="A45" s="28" t="s">
        <v>8</v>
      </c>
      <c r="B45" s="18">
        <f t="shared" ref="B45:I45" si="11">(B40/B44)*100</f>
        <v>21.065217391304348</v>
      </c>
      <c r="C45" s="18">
        <f t="shared" si="11"/>
        <v>50.950118764845598</v>
      </c>
      <c r="D45" s="18">
        <f t="shared" si="11"/>
        <v>49.904030710172748</v>
      </c>
      <c r="E45" s="18">
        <f t="shared" si="11"/>
        <v>44.161528976572136</v>
      </c>
      <c r="F45" s="18">
        <f t="shared" si="11"/>
        <v>38.423645320197046</v>
      </c>
      <c r="G45" s="18">
        <f t="shared" si="11"/>
        <v>36.585365853658537</v>
      </c>
      <c r="H45" s="18">
        <f t="shared" si="11"/>
        <v>12.75</v>
      </c>
      <c r="I45" s="18">
        <f t="shared" si="11"/>
        <v>34</v>
      </c>
      <c r="J45" s="91">
        <f>(B37*B45+C37*C45+D37*D45+E37*E45+F37*F45+G37*G45+H37*H45+I37*I45)/J37</f>
        <v>31.974041689842217</v>
      </c>
      <c r="K45" s="39" t="s">
        <v>77</v>
      </c>
    </row>
  </sheetData>
  <mergeCells count="1">
    <mergeCell ref="C18:F18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90"/>
  <sheetViews>
    <sheetView topLeftCell="A160" zoomScale="90" zoomScaleNormal="90" workbookViewId="0">
      <selection activeCell="J176" sqref="J176"/>
    </sheetView>
  </sheetViews>
  <sheetFormatPr defaultRowHeight="14.4" x14ac:dyDescent="0.3"/>
  <cols>
    <col min="1" max="1" width="48.44140625" customWidth="1"/>
    <col min="2" max="2" width="12.109375" bestFit="1" customWidth="1"/>
    <col min="8" max="8" width="12.33203125" customWidth="1"/>
    <col min="12" max="12" width="14.33203125" customWidth="1"/>
  </cols>
  <sheetData>
    <row r="1" spans="1:18" x14ac:dyDescent="0.3">
      <c r="A1" s="84" t="s">
        <v>29</v>
      </c>
      <c r="B1" s="23"/>
      <c r="C1" s="23"/>
      <c r="D1" s="23"/>
      <c r="E1" s="21"/>
      <c r="H1" s="58" t="s">
        <v>20</v>
      </c>
      <c r="I1" s="17"/>
      <c r="J1" s="17"/>
      <c r="K1" s="17"/>
      <c r="L1" s="17"/>
    </row>
    <row r="2" spans="1:18" x14ac:dyDescent="0.3">
      <c r="A2" s="85" t="s">
        <v>173</v>
      </c>
      <c r="B2" s="24"/>
      <c r="C2" s="24"/>
      <c r="D2" s="24"/>
      <c r="E2" s="24"/>
      <c r="F2" s="24"/>
      <c r="G2" s="24"/>
      <c r="H2" s="69"/>
      <c r="I2" s="17"/>
      <c r="J2" s="17"/>
      <c r="K2" s="17"/>
      <c r="L2" s="17"/>
    </row>
    <row r="3" spans="1:18" s="63" customFormat="1" x14ac:dyDescent="0.3">
      <c r="A3" s="40" t="s">
        <v>174</v>
      </c>
      <c r="B3" s="3" t="s">
        <v>33</v>
      </c>
      <c r="C3" s="29" t="s">
        <v>177</v>
      </c>
      <c r="D3" s="29"/>
      <c r="E3" s="29"/>
      <c r="F3" s="29"/>
      <c r="G3" s="37"/>
      <c r="H3" s="52"/>
      <c r="I3" s="29"/>
      <c r="J3" s="29"/>
      <c r="K3" s="38"/>
      <c r="L3" s="29"/>
      <c r="M3" s="29"/>
      <c r="N3" s="29"/>
      <c r="R3" s="122"/>
    </row>
    <row r="4" spans="1:18" s="3" customFormat="1" ht="30.75" customHeight="1" x14ac:dyDescent="0.3">
      <c r="A4" s="32"/>
      <c r="G4" s="33" t="s">
        <v>178</v>
      </c>
      <c r="H4" s="124" t="s">
        <v>175</v>
      </c>
      <c r="I4" s="110" t="s">
        <v>176</v>
      </c>
      <c r="K4" s="73" t="s">
        <v>18</v>
      </c>
      <c r="L4" s="3" t="s">
        <v>245</v>
      </c>
      <c r="R4" s="2"/>
    </row>
    <row r="5" spans="1:18" s="3" customFormat="1" x14ac:dyDescent="0.3">
      <c r="A5" s="3" t="s">
        <v>102</v>
      </c>
      <c r="B5" s="2">
        <v>60</v>
      </c>
      <c r="C5" s="2">
        <v>30</v>
      </c>
      <c r="D5" s="2">
        <v>60</v>
      </c>
      <c r="E5" s="2">
        <v>70</v>
      </c>
      <c r="F5" s="2">
        <v>200</v>
      </c>
      <c r="G5" s="8">
        <v>370</v>
      </c>
      <c r="H5" s="8">
        <f>(365-305)*2.5</f>
        <v>150</v>
      </c>
      <c r="I5" s="8">
        <f>305*2.5</f>
        <v>762.5</v>
      </c>
      <c r="J5" s="105">
        <f>SUM(B5:I5)</f>
        <v>1702.5</v>
      </c>
      <c r="K5" s="16"/>
      <c r="R5" s="2"/>
    </row>
    <row r="6" spans="1:18" s="3" customFormat="1" x14ac:dyDescent="0.3">
      <c r="A6" s="3" t="s">
        <v>2</v>
      </c>
      <c r="B6" s="2">
        <v>60</v>
      </c>
      <c r="C6" s="2">
        <v>65</v>
      </c>
      <c r="D6" s="2">
        <v>70</v>
      </c>
      <c r="E6" s="2">
        <v>80</v>
      </c>
      <c r="F6" s="2">
        <v>100</v>
      </c>
      <c r="G6" s="8">
        <v>160</v>
      </c>
      <c r="H6" s="8">
        <v>170</v>
      </c>
      <c r="I6" s="2">
        <v>170</v>
      </c>
      <c r="K6" s="16"/>
      <c r="R6" s="2"/>
    </row>
    <row r="7" spans="1:18" s="3" customFormat="1" x14ac:dyDescent="0.3">
      <c r="A7" s="3" t="s">
        <v>3</v>
      </c>
      <c r="B7" s="2">
        <v>30</v>
      </c>
      <c r="C7" s="2">
        <v>30</v>
      </c>
      <c r="D7" s="2">
        <v>35</v>
      </c>
      <c r="E7" s="2">
        <v>40</v>
      </c>
      <c r="F7" s="2">
        <v>50</v>
      </c>
      <c r="G7" s="8">
        <v>60</v>
      </c>
      <c r="H7" s="8">
        <v>65</v>
      </c>
      <c r="I7" s="2">
        <v>65</v>
      </c>
      <c r="K7" s="16"/>
      <c r="Q7"/>
      <c r="R7" s="2"/>
    </row>
    <row r="8" spans="1:18" s="3" customFormat="1" x14ac:dyDescent="0.3">
      <c r="A8" s="3" t="s">
        <v>4</v>
      </c>
      <c r="B8" s="8">
        <f t="shared" ref="B8:I8" si="0">B6*B7</f>
        <v>1800</v>
      </c>
      <c r="C8" s="8">
        <f t="shared" si="0"/>
        <v>1950</v>
      </c>
      <c r="D8" s="8">
        <f t="shared" si="0"/>
        <v>2450</v>
      </c>
      <c r="E8" s="8">
        <f t="shared" si="0"/>
        <v>3200</v>
      </c>
      <c r="F8" s="8">
        <f t="shared" si="0"/>
        <v>5000</v>
      </c>
      <c r="G8" s="8">
        <f t="shared" si="0"/>
        <v>9600</v>
      </c>
      <c r="H8" s="8">
        <f t="shared" si="0"/>
        <v>11050</v>
      </c>
      <c r="I8" s="8">
        <f t="shared" si="0"/>
        <v>11050</v>
      </c>
      <c r="K8" s="16"/>
      <c r="R8" s="2"/>
    </row>
    <row r="9" spans="1:18" s="3" customFormat="1" ht="14.25" customHeight="1" x14ac:dyDescent="0.3">
      <c r="A9" s="3" t="s">
        <v>179</v>
      </c>
      <c r="B9" s="2">
        <v>60</v>
      </c>
      <c r="C9" s="2">
        <v>90</v>
      </c>
      <c r="D9" s="2">
        <v>150</v>
      </c>
      <c r="E9" s="2">
        <v>250</v>
      </c>
      <c r="F9" s="2">
        <v>400</v>
      </c>
      <c r="G9" s="49">
        <v>600</v>
      </c>
      <c r="H9" s="10"/>
      <c r="I9" s="32"/>
      <c r="K9" s="16"/>
      <c r="L9" s="4"/>
      <c r="R9" s="2"/>
    </row>
    <row r="10" spans="1:18" s="3" customFormat="1" ht="17.25" customHeight="1" x14ac:dyDescent="0.3">
      <c r="A10" s="32" t="s">
        <v>103</v>
      </c>
      <c r="B10" s="70">
        <v>1.2</v>
      </c>
      <c r="C10" s="70">
        <v>1.7</v>
      </c>
      <c r="D10" s="70">
        <v>2.2000000000000002</v>
      </c>
      <c r="E10" s="70">
        <v>2.9</v>
      </c>
      <c r="F10" s="123">
        <v>3.7</v>
      </c>
      <c r="G10" s="70">
        <v>4.4000000000000004</v>
      </c>
      <c r="H10" s="70">
        <v>4.8</v>
      </c>
      <c r="I10" s="70">
        <v>8.5</v>
      </c>
      <c r="J10" s="16"/>
      <c r="K10" s="16"/>
      <c r="R10" s="2"/>
    </row>
    <row r="11" spans="1:18" s="3" customFormat="1" x14ac:dyDescent="0.3">
      <c r="A11" s="3" t="s">
        <v>180</v>
      </c>
      <c r="B11" s="2">
        <f>B10*10000</f>
        <v>12000</v>
      </c>
      <c r="C11" s="2">
        <f t="shared" ref="C11:I11" si="1">C10*10000</f>
        <v>17000</v>
      </c>
      <c r="D11" s="2">
        <f t="shared" si="1"/>
        <v>22000</v>
      </c>
      <c r="E11" s="2">
        <f t="shared" si="1"/>
        <v>29000</v>
      </c>
      <c r="F11" s="2">
        <f t="shared" si="1"/>
        <v>37000</v>
      </c>
      <c r="G11" s="8">
        <f t="shared" si="1"/>
        <v>44000</v>
      </c>
      <c r="H11" s="8">
        <f t="shared" si="1"/>
        <v>48000</v>
      </c>
      <c r="I11" s="2">
        <f t="shared" si="1"/>
        <v>85000</v>
      </c>
      <c r="K11" s="15"/>
      <c r="R11" s="2"/>
    </row>
    <row r="12" spans="1:18" s="3" customFormat="1" ht="32.25" customHeight="1" x14ac:dyDescent="0.3">
      <c r="A12" s="28" t="s">
        <v>8</v>
      </c>
      <c r="B12" s="18">
        <f t="shared" ref="B12:H12" si="2">(B8/B11)*100</f>
        <v>15</v>
      </c>
      <c r="C12" s="18">
        <f t="shared" si="2"/>
        <v>11.470588235294118</v>
      </c>
      <c r="D12" s="18">
        <f t="shared" si="2"/>
        <v>11.136363636363637</v>
      </c>
      <c r="E12" s="18">
        <f t="shared" si="2"/>
        <v>11.03448275862069</v>
      </c>
      <c r="F12" s="18">
        <f t="shared" si="2"/>
        <v>13.513513513513514</v>
      </c>
      <c r="G12" s="18">
        <f t="shared" si="2"/>
        <v>21.818181818181817</v>
      </c>
      <c r="H12" s="18">
        <f t="shared" si="2"/>
        <v>23.020833333333332</v>
      </c>
      <c r="I12" s="18">
        <f>(I8/I11)*100</f>
        <v>13</v>
      </c>
      <c r="J12" s="18">
        <f>(B5*B12)+(C5*C12)+(D5*D12)+(E5*E12)+(F5*F12)+(G5*G12)+(H5*H12)+(I5*I12)</f>
        <v>26825.768233774063</v>
      </c>
      <c r="K12" s="19">
        <f>J12/J5</f>
        <v>15.756692060953927</v>
      </c>
      <c r="L12" s="39" t="s">
        <v>77</v>
      </c>
      <c r="R12" s="2"/>
    </row>
    <row r="13" spans="1:18" s="3" customFormat="1" ht="18.75" customHeight="1" x14ac:dyDescent="0.3">
      <c r="A13" s="40" t="s">
        <v>181</v>
      </c>
      <c r="B13" s="3" t="s">
        <v>35</v>
      </c>
      <c r="C13" s="29" t="s">
        <v>243</v>
      </c>
      <c r="D13" s="29"/>
      <c r="E13" s="29"/>
      <c r="F13" s="29"/>
      <c r="G13" s="37"/>
      <c r="H13" s="52"/>
      <c r="I13" s="29"/>
      <c r="J13" s="29"/>
      <c r="K13" s="38"/>
      <c r="R13" s="2"/>
    </row>
    <row r="14" spans="1:18" s="3" customFormat="1" ht="30.75" customHeight="1" x14ac:dyDescent="0.3">
      <c r="A14" s="32"/>
      <c r="G14" s="33" t="s">
        <v>178</v>
      </c>
      <c r="H14" s="124" t="s">
        <v>175</v>
      </c>
      <c r="I14" s="110" t="s">
        <v>176</v>
      </c>
      <c r="K14" s="73" t="s">
        <v>18</v>
      </c>
      <c r="L14" s="3" t="s">
        <v>182</v>
      </c>
      <c r="R14" s="2"/>
    </row>
    <row r="15" spans="1:18" s="3" customFormat="1" ht="18.75" customHeight="1" x14ac:dyDescent="0.3">
      <c r="A15" s="3" t="s">
        <v>102</v>
      </c>
      <c r="B15" s="2">
        <v>60</v>
      </c>
      <c r="C15" s="2">
        <v>30</v>
      </c>
      <c r="D15" s="2">
        <v>60</v>
      </c>
      <c r="E15" s="2">
        <v>70</v>
      </c>
      <c r="F15" s="2">
        <v>200</v>
      </c>
      <c r="G15" s="8">
        <v>370</v>
      </c>
      <c r="H15" s="8">
        <f>(365-305)*2.5</f>
        <v>150</v>
      </c>
      <c r="I15" s="8">
        <f>305*2.5</f>
        <v>762.5</v>
      </c>
      <c r="J15" s="105">
        <f>SUM(B15:I15)</f>
        <v>1702.5</v>
      </c>
      <c r="K15" s="16"/>
      <c r="R15" s="2"/>
    </row>
    <row r="16" spans="1:18" s="3" customFormat="1" ht="14.25" customHeight="1" x14ac:dyDescent="0.3">
      <c r="A16" s="3" t="s">
        <v>2</v>
      </c>
      <c r="B16" s="2">
        <v>60</v>
      </c>
      <c r="C16" s="2">
        <v>65</v>
      </c>
      <c r="D16" s="2">
        <v>70</v>
      </c>
      <c r="E16" s="2">
        <v>80</v>
      </c>
      <c r="F16" s="2">
        <v>100</v>
      </c>
      <c r="G16" s="8">
        <v>160</v>
      </c>
      <c r="H16" s="8">
        <v>170</v>
      </c>
      <c r="I16" s="2">
        <v>170</v>
      </c>
      <c r="K16" s="16"/>
      <c r="R16" s="2"/>
    </row>
    <row r="17" spans="1:19" s="3" customFormat="1" ht="12.75" customHeight="1" x14ac:dyDescent="0.3">
      <c r="A17" s="3" t="s">
        <v>3</v>
      </c>
      <c r="B17" s="2">
        <v>30</v>
      </c>
      <c r="C17" s="2">
        <v>30</v>
      </c>
      <c r="D17" s="2">
        <v>35</v>
      </c>
      <c r="E17" s="2">
        <v>40</v>
      </c>
      <c r="F17" s="2">
        <v>50</v>
      </c>
      <c r="G17" s="8">
        <v>60</v>
      </c>
      <c r="H17" s="8">
        <v>65</v>
      </c>
      <c r="I17" s="2">
        <v>65</v>
      </c>
      <c r="K17" s="16"/>
      <c r="R17" s="2"/>
    </row>
    <row r="18" spans="1:19" s="3" customFormat="1" ht="16.5" customHeight="1" x14ac:dyDescent="0.3">
      <c r="A18" s="3" t="s">
        <v>4</v>
      </c>
      <c r="B18" s="8">
        <f t="shared" ref="B18:I18" si="3">B16*B17</f>
        <v>1800</v>
      </c>
      <c r="C18" s="8">
        <f t="shared" si="3"/>
        <v>1950</v>
      </c>
      <c r="D18" s="8">
        <f t="shared" si="3"/>
        <v>2450</v>
      </c>
      <c r="E18" s="8">
        <f t="shared" si="3"/>
        <v>3200</v>
      </c>
      <c r="F18" s="8">
        <f t="shared" si="3"/>
        <v>5000</v>
      </c>
      <c r="G18" s="8">
        <f t="shared" si="3"/>
        <v>9600</v>
      </c>
      <c r="H18" s="8">
        <f t="shared" si="3"/>
        <v>11050</v>
      </c>
      <c r="I18" s="8">
        <f t="shared" si="3"/>
        <v>11050</v>
      </c>
      <c r="K18" s="16"/>
      <c r="R18" s="2"/>
    </row>
    <row r="19" spans="1:19" s="3" customFormat="1" ht="16.5" customHeight="1" x14ac:dyDescent="0.3">
      <c r="A19" s="3" t="s">
        <v>184</v>
      </c>
      <c r="B19" s="2">
        <v>60</v>
      </c>
      <c r="C19" s="2">
        <v>90</v>
      </c>
      <c r="D19" s="2">
        <v>150</v>
      </c>
      <c r="E19" s="2">
        <v>250</v>
      </c>
      <c r="F19" s="2">
        <v>400</v>
      </c>
      <c r="G19" s="49">
        <v>500</v>
      </c>
      <c r="H19" s="10"/>
      <c r="I19" s="32"/>
      <c r="K19" s="16"/>
      <c r="R19" s="2"/>
    </row>
    <row r="20" spans="1:19" s="3" customFormat="1" ht="15" customHeight="1" x14ac:dyDescent="0.3">
      <c r="A20" s="32" t="s">
        <v>103</v>
      </c>
      <c r="B20" s="15">
        <v>1.5</v>
      </c>
      <c r="C20" s="70">
        <v>2.7</v>
      </c>
      <c r="D20" s="70">
        <v>2.7</v>
      </c>
      <c r="E20" s="70">
        <v>3.4</v>
      </c>
      <c r="F20" s="123">
        <v>4.2</v>
      </c>
      <c r="G20" s="70">
        <v>4.8</v>
      </c>
      <c r="H20" s="70">
        <v>5.4</v>
      </c>
      <c r="I20" s="70">
        <v>8</v>
      </c>
      <c r="J20" s="16"/>
      <c r="K20" s="16"/>
      <c r="R20" s="2"/>
    </row>
    <row r="21" spans="1:19" s="3" customFormat="1" ht="15" customHeight="1" x14ac:dyDescent="0.3">
      <c r="A21" s="3" t="s">
        <v>180</v>
      </c>
      <c r="B21" s="2">
        <f>B20*10000</f>
        <v>15000</v>
      </c>
      <c r="C21" s="2">
        <f t="shared" ref="C21:I21" si="4">C20*10000</f>
        <v>27000</v>
      </c>
      <c r="D21" s="2">
        <f t="shared" si="4"/>
        <v>27000</v>
      </c>
      <c r="E21" s="2">
        <f t="shared" si="4"/>
        <v>34000</v>
      </c>
      <c r="F21" s="2">
        <f t="shared" si="4"/>
        <v>42000</v>
      </c>
      <c r="G21" s="8">
        <f t="shared" si="4"/>
        <v>48000</v>
      </c>
      <c r="H21" s="8">
        <f t="shared" si="4"/>
        <v>54000</v>
      </c>
      <c r="I21" s="2">
        <f t="shared" si="4"/>
        <v>80000</v>
      </c>
      <c r="K21" s="15"/>
      <c r="R21" s="2"/>
    </row>
    <row r="22" spans="1:19" s="3" customFormat="1" ht="32.25" customHeight="1" x14ac:dyDescent="0.3">
      <c r="A22" s="28" t="s">
        <v>8</v>
      </c>
      <c r="B22" s="18">
        <f t="shared" ref="B22:H22" si="5">(B18/B21)*100</f>
        <v>12</v>
      </c>
      <c r="C22" s="18">
        <f t="shared" si="5"/>
        <v>7.2222222222222214</v>
      </c>
      <c r="D22" s="18">
        <f t="shared" si="5"/>
        <v>9.0740740740740744</v>
      </c>
      <c r="E22" s="18">
        <f t="shared" si="5"/>
        <v>9.4117647058823533</v>
      </c>
      <c r="F22" s="18">
        <f t="shared" si="5"/>
        <v>11.904761904761903</v>
      </c>
      <c r="G22" s="18">
        <f t="shared" si="5"/>
        <v>20</v>
      </c>
      <c r="H22" s="18">
        <f t="shared" si="5"/>
        <v>20.462962962962962</v>
      </c>
      <c r="I22" s="18">
        <f>(I18/I21)*100</f>
        <v>13.8125</v>
      </c>
      <c r="J22" s="18">
        <f>(B15*B22)+(C15*C22)+(D15*D22)+(E15*E22)+(F15*F22)+(G15*G22)+(H15*H22)+(I15*I22)</f>
        <v>25522.362715919702</v>
      </c>
      <c r="K22" s="19">
        <f>J22/J15</f>
        <v>14.991108790554891</v>
      </c>
      <c r="L22" s="39" t="s">
        <v>77</v>
      </c>
      <c r="R22" s="2"/>
    </row>
    <row r="23" spans="1:19" s="3" customFormat="1" ht="18.75" customHeight="1" x14ac:dyDescent="0.3">
      <c r="A23" s="40" t="s">
        <v>183</v>
      </c>
      <c r="B23" s="3" t="s">
        <v>186</v>
      </c>
      <c r="C23" s="29" t="s">
        <v>177</v>
      </c>
      <c r="D23" s="29"/>
      <c r="E23" s="29"/>
      <c r="F23" s="29"/>
      <c r="G23" s="37"/>
      <c r="H23" s="52"/>
      <c r="I23" s="29"/>
      <c r="J23" s="29"/>
      <c r="K23" s="38"/>
      <c r="R23" s="2"/>
    </row>
    <row r="24" spans="1:19" s="3" customFormat="1" ht="31.5" customHeight="1" x14ac:dyDescent="0.3">
      <c r="B24" s="2"/>
      <c r="C24" s="2"/>
      <c r="D24" s="2"/>
      <c r="E24" s="2"/>
      <c r="F24" s="2"/>
      <c r="G24" s="33" t="s">
        <v>178</v>
      </c>
      <c r="H24" s="10" t="s">
        <v>175</v>
      </c>
      <c r="I24" s="32" t="s">
        <v>176</v>
      </c>
      <c r="K24" s="41" t="s">
        <v>18</v>
      </c>
      <c r="L24" s="3" t="s">
        <v>247</v>
      </c>
      <c r="R24" s="2"/>
    </row>
    <row r="25" spans="1:19" s="3" customFormat="1" ht="18.75" customHeight="1" x14ac:dyDescent="0.3">
      <c r="A25" s="3" t="s">
        <v>102</v>
      </c>
      <c r="B25" s="2">
        <v>60</v>
      </c>
      <c r="C25" s="2">
        <v>30</v>
      </c>
      <c r="D25" s="2">
        <v>60</v>
      </c>
      <c r="E25" s="2">
        <v>50</v>
      </c>
      <c r="F25" s="2">
        <v>220</v>
      </c>
      <c r="G25" s="15">
        <v>370</v>
      </c>
      <c r="H25" s="8">
        <f>(365-305)*2.5</f>
        <v>150</v>
      </c>
      <c r="I25" s="8">
        <f>305*2.5</f>
        <v>762.5</v>
      </c>
      <c r="J25" s="105">
        <f>SUM(B25:I25)</f>
        <v>1702.5</v>
      </c>
      <c r="K25" s="16"/>
      <c r="R25" s="2"/>
    </row>
    <row r="26" spans="1:19" s="3" customFormat="1" ht="18.75" customHeight="1" x14ac:dyDescent="0.3">
      <c r="A26" s="3" t="s">
        <v>2</v>
      </c>
      <c r="B26" s="2">
        <v>60</v>
      </c>
      <c r="C26" s="2">
        <v>65</v>
      </c>
      <c r="D26" s="2">
        <v>70</v>
      </c>
      <c r="E26" s="2">
        <v>75</v>
      </c>
      <c r="F26" s="2">
        <v>100</v>
      </c>
      <c r="G26" s="15">
        <v>160</v>
      </c>
      <c r="H26" s="8">
        <v>170</v>
      </c>
      <c r="I26" s="2">
        <v>170</v>
      </c>
      <c r="K26" s="16"/>
      <c r="R26" s="2"/>
    </row>
    <row r="27" spans="1:19" s="3" customFormat="1" ht="18.75" customHeight="1" x14ac:dyDescent="0.3">
      <c r="A27" s="3" t="s">
        <v>3</v>
      </c>
      <c r="B27" s="2">
        <v>30</v>
      </c>
      <c r="C27" s="2">
        <v>30</v>
      </c>
      <c r="D27" s="2">
        <v>35</v>
      </c>
      <c r="E27" s="2">
        <v>38</v>
      </c>
      <c r="F27" s="2">
        <v>50</v>
      </c>
      <c r="G27" s="15">
        <v>60</v>
      </c>
      <c r="H27" s="8">
        <v>65</v>
      </c>
      <c r="I27" s="2">
        <v>65</v>
      </c>
      <c r="K27" s="16"/>
      <c r="R27" s="2"/>
    </row>
    <row r="28" spans="1:19" s="3" customFormat="1" ht="18.75" customHeight="1" x14ac:dyDescent="0.3">
      <c r="A28" s="3" t="s">
        <v>4</v>
      </c>
      <c r="B28" s="8">
        <f t="shared" ref="B28:I28" si="6">B26*B27</f>
        <v>1800</v>
      </c>
      <c r="C28" s="8">
        <f t="shared" si="6"/>
        <v>1950</v>
      </c>
      <c r="D28" s="8">
        <f t="shared" si="6"/>
        <v>2450</v>
      </c>
      <c r="E28" s="8">
        <f t="shared" si="6"/>
        <v>2850</v>
      </c>
      <c r="F28" s="8">
        <f t="shared" si="6"/>
        <v>5000</v>
      </c>
      <c r="G28" s="15">
        <f t="shared" si="6"/>
        <v>9600</v>
      </c>
      <c r="H28" s="8">
        <f t="shared" si="6"/>
        <v>11050</v>
      </c>
      <c r="I28" s="8">
        <f t="shared" si="6"/>
        <v>11050</v>
      </c>
      <c r="K28" s="16"/>
      <c r="R28" s="2"/>
    </row>
    <row r="29" spans="1:19" s="3" customFormat="1" ht="18.75" customHeight="1" x14ac:dyDescent="0.3">
      <c r="A29" s="3" t="s">
        <v>185</v>
      </c>
      <c r="B29" s="2">
        <v>60</v>
      </c>
      <c r="C29" s="2">
        <v>90</v>
      </c>
      <c r="D29" s="2" t="s">
        <v>207</v>
      </c>
      <c r="E29" s="2" t="s">
        <v>208</v>
      </c>
      <c r="F29" s="2" t="s">
        <v>248</v>
      </c>
      <c r="G29" s="33"/>
      <c r="H29" s="10"/>
      <c r="I29" s="32"/>
      <c r="K29" s="16"/>
      <c r="R29" s="2"/>
    </row>
    <row r="30" spans="1:19" s="3" customFormat="1" ht="18.75" customHeight="1" x14ac:dyDescent="0.3">
      <c r="A30" s="32" t="s">
        <v>103</v>
      </c>
      <c r="B30" s="15">
        <v>1.5</v>
      </c>
      <c r="C30" s="70">
        <v>1.5</v>
      </c>
      <c r="D30" s="70">
        <v>1.5</v>
      </c>
      <c r="E30" s="70">
        <v>1.7</v>
      </c>
      <c r="F30" s="123">
        <v>1.8</v>
      </c>
      <c r="G30" s="126">
        <v>3.3</v>
      </c>
      <c r="H30" s="126">
        <v>3.4</v>
      </c>
      <c r="I30" s="126">
        <v>5.5</v>
      </c>
      <c r="J30" s="29" t="s">
        <v>188</v>
      </c>
      <c r="K30" s="29"/>
      <c r="L30" s="29"/>
      <c r="M30" s="29"/>
      <c r="N30" s="29"/>
      <c r="O30" s="29"/>
      <c r="P30" s="29"/>
      <c r="Q30" s="29"/>
      <c r="R30" s="127"/>
      <c r="S30" s="29"/>
    </row>
    <row r="31" spans="1:19" s="3" customFormat="1" ht="18.75" customHeight="1" x14ac:dyDescent="0.3">
      <c r="A31" s="3" t="s">
        <v>180</v>
      </c>
      <c r="B31" s="2">
        <f>B30*10000</f>
        <v>15000</v>
      </c>
      <c r="C31" s="2">
        <f t="shared" ref="C31:I31" si="7">C30*10000</f>
        <v>15000</v>
      </c>
      <c r="D31" s="2">
        <f t="shared" si="7"/>
        <v>15000</v>
      </c>
      <c r="E31" s="2">
        <f t="shared" si="7"/>
        <v>17000</v>
      </c>
      <c r="F31" s="2">
        <f t="shared" si="7"/>
        <v>18000</v>
      </c>
      <c r="G31" s="8">
        <f t="shared" si="7"/>
        <v>33000</v>
      </c>
      <c r="H31" s="8">
        <f t="shared" si="7"/>
        <v>34000</v>
      </c>
      <c r="I31" s="2">
        <f t="shared" si="7"/>
        <v>55000</v>
      </c>
      <c r="K31" s="16"/>
      <c r="R31" s="2"/>
    </row>
    <row r="32" spans="1:19" s="3" customFormat="1" ht="30.75" customHeight="1" x14ac:dyDescent="0.3">
      <c r="A32" s="28" t="s">
        <v>8</v>
      </c>
      <c r="B32" s="18">
        <f t="shared" ref="B32:H32" si="8">(B28/B31)*100</f>
        <v>12</v>
      </c>
      <c r="C32" s="18">
        <f t="shared" si="8"/>
        <v>13</v>
      </c>
      <c r="D32" s="18">
        <f t="shared" si="8"/>
        <v>16.333333333333332</v>
      </c>
      <c r="E32" s="18">
        <f t="shared" si="8"/>
        <v>16.764705882352938</v>
      </c>
      <c r="F32" s="18">
        <f t="shared" si="8"/>
        <v>27.777777777777779</v>
      </c>
      <c r="G32" s="18">
        <f t="shared" si="8"/>
        <v>29.09090909090909</v>
      </c>
      <c r="H32" s="18">
        <f t="shared" si="8"/>
        <v>32.5</v>
      </c>
      <c r="I32" s="18">
        <f>(I28/I31)*100</f>
        <v>20.09090909090909</v>
      </c>
      <c r="J32" s="18">
        <f>(B25*B32)+(C25*C32)+(D25*D32)+(E25*E32)+(F25*F32)+(G25*G32)+(H25*H32)+(I25*I32)</f>
        <v>39997.300950683304</v>
      </c>
      <c r="K32" s="19">
        <f>J32/J25</f>
        <v>23.493275154586374</v>
      </c>
      <c r="L32" s="39" t="s">
        <v>77</v>
      </c>
      <c r="R32" s="2"/>
    </row>
    <row r="33" spans="1:22" s="63" customFormat="1" x14ac:dyDescent="0.3">
      <c r="A33" s="40" t="s">
        <v>189</v>
      </c>
      <c r="B33" s="3" t="s">
        <v>33</v>
      </c>
      <c r="C33" s="29" t="s">
        <v>177</v>
      </c>
      <c r="D33" s="29"/>
      <c r="E33" s="29"/>
      <c r="F33" s="29"/>
      <c r="G33" s="37"/>
      <c r="H33" s="52"/>
      <c r="I33" s="29"/>
      <c r="J33" s="29"/>
      <c r="K33" s="38"/>
      <c r="L33" s="29"/>
      <c r="M33" s="29"/>
      <c r="N33" s="29"/>
      <c r="R33" s="122"/>
    </row>
    <row r="34" spans="1:22" s="3" customFormat="1" ht="28.8" x14ac:dyDescent="0.3">
      <c r="B34" s="2"/>
      <c r="C34" s="2"/>
      <c r="D34" s="2"/>
      <c r="E34" s="2"/>
      <c r="F34" s="2"/>
      <c r="G34" s="33" t="s">
        <v>178</v>
      </c>
      <c r="H34" s="124" t="s">
        <v>175</v>
      </c>
      <c r="I34" s="110" t="s">
        <v>176</v>
      </c>
      <c r="K34" s="106" t="s">
        <v>18</v>
      </c>
      <c r="L34" s="3" t="s">
        <v>246</v>
      </c>
      <c r="R34" s="2"/>
    </row>
    <row r="35" spans="1:22" s="3" customFormat="1" x14ac:dyDescent="0.3">
      <c r="A35" s="3" t="s">
        <v>102</v>
      </c>
      <c r="B35" s="2">
        <v>60</v>
      </c>
      <c r="C35" s="2">
        <v>30</v>
      </c>
      <c r="D35" s="2">
        <v>60</v>
      </c>
      <c r="E35" s="2">
        <v>70</v>
      </c>
      <c r="F35" s="2">
        <v>200</v>
      </c>
      <c r="G35" s="15">
        <v>370</v>
      </c>
      <c r="H35" s="8">
        <f>(365-305)*2.5</f>
        <v>150</v>
      </c>
      <c r="I35" s="8">
        <f>305*2.5</f>
        <v>762.5</v>
      </c>
      <c r="J35" s="105">
        <f>SUM(B35:I35)</f>
        <v>1702.5</v>
      </c>
      <c r="K35" s="16"/>
      <c r="R35" s="2"/>
    </row>
    <row r="36" spans="1:22" s="3" customFormat="1" x14ac:dyDescent="0.3">
      <c r="A36" s="3" t="s">
        <v>2</v>
      </c>
      <c r="B36" s="2">
        <v>60</v>
      </c>
      <c r="C36" s="2">
        <v>65</v>
      </c>
      <c r="D36" s="2">
        <v>70</v>
      </c>
      <c r="E36" s="2">
        <v>80</v>
      </c>
      <c r="F36" s="2">
        <v>100</v>
      </c>
      <c r="G36" s="15">
        <v>160</v>
      </c>
      <c r="H36" s="8">
        <v>170</v>
      </c>
      <c r="I36" s="2">
        <v>170</v>
      </c>
      <c r="K36" s="16"/>
      <c r="R36" s="2"/>
    </row>
    <row r="37" spans="1:22" s="3" customFormat="1" x14ac:dyDescent="0.3">
      <c r="A37" s="3" t="s">
        <v>3</v>
      </c>
      <c r="B37" s="2">
        <v>30</v>
      </c>
      <c r="C37" s="2">
        <v>30</v>
      </c>
      <c r="D37" s="2">
        <v>35</v>
      </c>
      <c r="E37" s="2">
        <v>40</v>
      </c>
      <c r="F37" s="2">
        <v>50</v>
      </c>
      <c r="G37" s="15">
        <v>60</v>
      </c>
      <c r="H37" s="8">
        <v>65</v>
      </c>
      <c r="I37" s="2">
        <v>65</v>
      </c>
      <c r="K37" s="16"/>
      <c r="R37" s="2"/>
    </row>
    <row r="38" spans="1:22" s="3" customFormat="1" x14ac:dyDescent="0.3">
      <c r="A38" s="3" t="s">
        <v>4</v>
      </c>
      <c r="B38" s="8">
        <f t="shared" ref="B38:I38" si="9">B36*B37</f>
        <v>1800</v>
      </c>
      <c r="C38" s="8">
        <f t="shared" si="9"/>
        <v>1950</v>
      </c>
      <c r="D38" s="8">
        <f t="shared" si="9"/>
        <v>2450</v>
      </c>
      <c r="E38" s="8">
        <f t="shared" si="9"/>
        <v>3200</v>
      </c>
      <c r="F38" s="8">
        <f t="shared" si="9"/>
        <v>5000</v>
      </c>
      <c r="G38" s="15">
        <f t="shared" si="9"/>
        <v>9600</v>
      </c>
      <c r="H38" s="8">
        <f t="shared" si="9"/>
        <v>11050</v>
      </c>
      <c r="I38" s="8">
        <f t="shared" si="9"/>
        <v>11050</v>
      </c>
      <c r="K38" s="16"/>
      <c r="R38" s="2"/>
    </row>
    <row r="39" spans="1:22" s="3" customFormat="1" x14ac:dyDescent="0.3">
      <c r="A39" s="3" t="s">
        <v>179</v>
      </c>
      <c r="B39" s="98">
        <v>60</v>
      </c>
      <c r="C39" s="98">
        <v>90</v>
      </c>
      <c r="D39" s="98">
        <v>150</v>
      </c>
      <c r="E39" s="98">
        <v>250</v>
      </c>
      <c r="F39" s="98">
        <v>400</v>
      </c>
      <c r="G39" s="27">
        <v>600</v>
      </c>
      <c r="H39" s="15"/>
      <c r="I39" s="8"/>
      <c r="K39" s="16"/>
      <c r="R39" s="2"/>
    </row>
    <row r="40" spans="1:22" s="3" customFormat="1" ht="18.75" customHeight="1" x14ac:dyDescent="0.3">
      <c r="A40" s="32" t="s">
        <v>103</v>
      </c>
      <c r="B40" s="70">
        <v>1.2</v>
      </c>
      <c r="C40" s="70">
        <v>1.7</v>
      </c>
      <c r="D40" s="70">
        <v>2.2000000000000002</v>
      </c>
      <c r="E40" s="70">
        <v>2.9</v>
      </c>
      <c r="F40" s="123">
        <v>3.7</v>
      </c>
      <c r="G40" s="70">
        <v>4.4000000000000004</v>
      </c>
      <c r="H40" s="70">
        <v>2</v>
      </c>
      <c r="I40" s="70">
        <v>2</v>
      </c>
      <c r="J40" s="16"/>
      <c r="K40" s="16"/>
      <c r="R40" s="2"/>
      <c r="V40" s="3">
        <f>SQRT(900)</f>
        <v>30</v>
      </c>
    </row>
    <row r="41" spans="1:22" s="3" customFormat="1" x14ac:dyDescent="0.3">
      <c r="A41" s="3" t="s">
        <v>180</v>
      </c>
      <c r="B41" s="2">
        <f>B40*10000</f>
        <v>12000</v>
      </c>
      <c r="C41" s="2">
        <f t="shared" ref="C41:I41" si="10">C40*10000</f>
        <v>17000</v>
      </c>
      <c r="D41" s="2">
        <f t="shared" si="10"/>
        <v>22000</v>
      </c>
      <c r="E41" s="2">
        <f t="shared" si="10"/>
        <v>29000</v>
      </c>
      <c r="F41" s="2">
        <f t="shared" si="10"/>
        <v>37000</v>
      </c>
      <c r="G41" s="8">
        <f t="shared" si="10"/>
        <v>44000</v>
      </c>
      <c r="H41" s="8">
        <f t="shared" si="10"/>
        <v>20000</v>
      </c>
      <c r="I41" s="2">
        <f t="shared" si="10"/>
        <v>20000</v>
      </c>
      <c r="K41" s="15"/>
      <c r="R41" s="2"/>
    </row>
    <row r="42" spans="1:22" s="3" customFormat="1" ht="29.25" customHeight="1" x14ac:dyDescent="0.3">
      <c r="A42" s="28" t="s">
        <v>8</v>
      </c>
      <c r="B42" s="18">
        <f t="shared" ref="B42:H42" si="11">(B38/B41)*100</f>
        <v>15</v>
      </c>
      <c r="C42" s="18">
        <f t="shared" si="11"/>
        <v>11.470588235294118</v>
      </c>
      <c r="D42" s="18">
        <f t="shared" si="11"/>
        <v>11.136363636363637</v>
      </c>
      <c r="E42" s="18">
        <f t="shared" si="11"/>
        <v>11.03448275862069</v>
      </c>
      <c r="F42" s="18">
        <f t="shared" si="11"/>
        <v>13.513513513513514</v>
      </c>
      <c r="G42" s="18">
        <f t="shared" si="11"/>
        <v>21.818181818181817</v>
      </c>
      <c r="H42" s="18">
        <f t="shared" si="11"/>
        <v>55.25</v>
      </c>
      <c r="I42" s="18">
        <f>(I38/I41)*100</f>
        <v>55.25</v>
      </c>
      <c r="J42" s="18">
        <f>(B35*B42)+(C35*C42)+(D35*D42)+(E35*E42)+(F35*F42)+(G35*G42)+(H35*H42)+(I35*I42)</f>
        <v>63875.768233774063</v>
      </c>
      <c r="K42" s="19">
        <f>J42/J35</f>
        <v>37.518806598398861</v>
      </c>
      <c r="L42" s="39" t="s">
        <v>77</v>
      </c>
      <c r="R42" s="2"/>
    </row>
    <row r="43" spans="1:22" x14ac:dyDescent="0.3">
      <c r="A43" s="40" t="s">
        <v>190</v>
      </c>
      <c r="B43" s="3" t="s">
        <v>186</v>
      </c>
      <c r="C43" s="29" t="s">
        <v>177</v>
      </c>
      <c r="D43" s="29"/>
      <c r="E43" s="29"/>
      <c r="F43" s="29"/>
      <c r="G43" s="37"/>
      <c r="H43" s="52"/>
      <c r="I43" s="29"/>
      <c r="J43" s="29"/>
      <c r="K43" s="38"/>
      <c r="L43" s="3"/>
    </row>
    <row r="44" spans="1:22" ht="28.8" x14ac:dyDescent="0.3">
      <c r="A44" s="3"/>
      <c r="B44" s="2"/>
      <c r="C44" s="2"/>
      <c r="D44" s="2"/>
      <c r="E44" s="2"/>
      <c r="F44" s="2"/>
      <c r="G44" s="33" t="s">
        <v>178</v>
      </c>
      <c r="H44" s="10" t="s">
        <v>175</v>
      </c>
      <c r="I44" s="32" t="s">
        <v>176</v>
      </c>
      <c r="J44" s="3"/>
      <c r="K44" s="41" t="s">
        <v>18</v>
      </c>
      <c r="L44" s="3" t="s">
        <v>187</v>
      </c>
    </row>
    <row r="45" spans="1:22" x14ac:dyDescent="0.3">
      <c r="A45" s="3" t="s">
        <v>102</v>
      </c>
      <c r="B45" s="2">
        <v>60</v>
      </c>
      <c r="C45" s="2">
        <v>30</v>
      </c>
      <c r="D45" s="2">
        <v>60</v>
      </c>
      <c r="E45" s="2">
        <v>50</v>
      </c>
      <c r="F45" s="2">
        <v>220</v>
      </c>
      <c r="G45" s="15">
        <v>370</v>
      </c>
      <c r="H45" s="8">
        <f>(365-305)*2.5</f>
        <v>150</v>
      </c>
      <c r="I45" s="8">
        <f>305*2.5</f>
        <v>762.5</v>
      </c>
      <c r="J45" s="105">
        <f>SUM(B45:I45)</f>
        <v>1702.5</v>
      </c>
      <c r="K45" s="16"/>
      <c r="L45" s="3"/>
    </row>
    <row r="46" spans="1:22" x14ac:dyDescent="0.3">
      <c r="A46" s="3" t="s">
        <v>2</v>
      </c>
      <c r="B46" s="2">
        <v>60</v>
      </c>
      <c r="C46" s="2">
        <v>65</v>
      </c>
      <c r="D46" s="2">
        <v>70</v>
      </c>
      <c r="E46" s="2">
        <v>75</v>
      </c>
      <c r="F46" s="2">
        <v>100</v>
      </c>
      <c r="G46" s="15">
        <v>160</v>
      </c>
      <c r="H46" s="8">
        <v>170</v>
      </c>
      <c r="I46" s="2">
        <v>170</v>
      </c>
      <c r="J46" s="3"/>
      <c r="K46" s="16"/>
      <c r="L46" s="3"/>
    </row>
    <row r="47" spans="1:22" x14ac:dyDescent="0.3">
      <c r="A47" s="3" t="s">
        <v>3</v>
      </c>
      <c r="B47" s="2">
        <v>30</v>
      </c>
      <c r="C47" s="2">
        <v>30</v>
      </c>
      <c r="D47" s="2">
        <v>35</v>
      </c>
      <c r="E47" s="2">
        <v>38</v>
      </c>
      <c r="F47" s="2">
        <v>50</v>
      </c>
      <c r="G47" s="15">
        <v>60</v>
      </c>
      <c r="H47" s="8">
        <v>65</v>
      </c>
      <c r="I47" s="2">
        <v>65</v>
      </c>
      <c r="J47" s="3"/>
      <c r="K47" s="16"/>
      <c r="L47" s="3"/>
    </row>
    <row r="48" spans="1:22" x14ac:dyDescent="0.3">
      <c r="A48" s="3" t="s">
        <v>4</v>
      </c>
      <c r="B48" s="8">
        <f t="shared" ref="B48:I48" si="12">B46*B47</f>
        <v>1800</v>
      </c>
      <c r="C48" s="8">
        <f t="shared" si="12"/>
        <v>1950</v>
      </c>
      <c r="D48" s="8">
        <f t="shared" si="12"/>
        <v>2450</v>
      </c>
      <c r="E48" s="8">
        <f t="shared" si="12"/>
        <v>2850</v>
      </c>
      <c r="F48" s="8">
        <f t="shared" si="12"/>
        <v>5000</v>
      </c>
      <c r="G48" s="15">
        <f t="shared" si="12"/>
        <v>9600</v>
      </c>
      <c r="H48" s="8">
        <f t="shared" si="12"/>
        <v>11050</v>
      </c>
      <c r="I48" s="8">
        <f t="shared" si="12"/>
        <v>11050</v>
      </c>
      <c r="J48" s="3"/>
      <c r="K48" s="16"/>
      <c r="L48" s="3"/>
    </row>
    <row r="49" spans="1:14" x14ac:dyDescent="0.3">
      <c r="A49" s="3" t="s">
        <v>185</v>
      </c>
      <c r="B49" s="98">
        <v>60</v>
      </c>
      <c r="C49" s="98">
        <v>90</v>
      </c>
      <c r="D49" s="98">
        <v>150</v>
      </c>
      <c r="E49" s="98">
        <v>220</v>
      </c>
      <c r="F49" s="98">
        <v>400</v>
      </c>
      <c r="G49" s="33"/>
      <c r="H49" s="10"/>
      <c r="I49" s="32"/>
      <c r="J49" s="3"/>
      <c r="K49" s="16"/>
      <c r="L49" s="3"/>
    </row>
    <row r="50" spans="1:14" x14ac:dyDescent="0.3">
      <c r="A50" s="32" t="s">
        <v>103</v>
      </c>
      <c r="B50" s="70">
        <v>1.5</v>
      </c>
      <c r="C50" s="70">
        <v>1.5</v>
      </c>
      <c r="D50" s="70">
        <v>1.5</v>
      </c>
      <c r="E50" s="70">
        <v>1.7</v>
      </c>
      <c r="F50" s="123">
        <v>1.8</v>
      </c>
      <c r="G50" s="126">
        <v>3.3</v>
      </c>
      <c r="H50" s="126">
        <v>2</v>
      </c>
      <c r="I50" s="126">
        <v>2</v>
      </c>
      <c r="J50" s="29" t="s">
        <v>188</v>
      </c>
      <c r="K50" s="29"/>
      <c r="L50" s="29"/>
      <c r="N50" s="1" t="s">
        <v>191</v>
      </c>
    </row>
    <row r="51" spans="1:14" x14ac:dyDescent="0.3">
      <c r="A51" s="3" t="s">
        <v>180</v>
      </c>
      <c r="B51" s="2">
        <f>B50*10000</f>
        <v>15000</v>
      </c>
      <c r="C51" s="2">
        <f t="shared" ref="C51:I51" si="13">C50*10000</f>
        <v>15000</v>
      </c>
      <c r="D51" s="2">
        <f t="shared" si="13"/>
        <v>15000</v>
      </c>
      <c r="E51" s="2">
        <f t="shared" si="13"/>
        <v>17000</v>
      </c>
      <c r="F51" s="2">
        <f t="shared" si="13"/>
        <v>18000</v>
      </c>
      <c r="G51" s="8">
        <f t="shared" si="13"/>
        <v>33000</v>
      </c>
      <c r="H51" s="8">
        <f t="shared" si="13"/>
        <v>20000</v>
      </c>
      <c r="I51" s="2">
        <f t="shared" si="13"/>
        <v>20000</v>
      </c>
      <c r="J51" s="3"/>
      <c r="K51" s="16"/>
      <c r="L51" s="3"/>
    </row>
    <row r="52" spans="1:14" x14ac:dyDescent="0.3">
      <c r="A52" s="28" t="s">
        <v>8</v>
      </c>
      <c r="B52" s="18">
        <f t="shared" ref="B52:H52" si="14">(B48/B51)*100</f>
        <v>12</v>
      </c>
      <c r="C52" s="18">
        <f t="shared" si="14"/>
        <v>13</v>
      </c>
      <c r="D52" s="18">
        <f t="shared" si="14"/>
        <v>16.333333333333332</v>
      </c>
      <c r="E52" s="18">
        <f t="shared" si="14"/>
        <v>16.764705882352938</v>
      </c>
      <c r="F52" s="18">
        <f t="shared" si="14"/>
        <v>27.777777777777779</v>
      </c>
      <c r="G52" s="18">
        <f t="shared" si="14"/>
        <v>29.09090909090909</v>
      </c>
      <c r="H52" s="18">
        <f t="shared" si="14"/>
        <v>55.25</v>
      </c>
      <c r="I52" s="18">
        <f>(I48/I51)*100</f>
        <v>55.25</v>
      </c>
      <c r="J52" s="18">
        <f>(B45*B52)+(C45*C52)+(D45*D52)+(E45*E52)+(F45*F52)+(G45*G52)+(H45*H52)+(I45*I52)</f>
        <v>70218.607768865128</v>
      </c>
      <c r="K52" s="19">
        <f>J52/J45</f>
        <v>41.244409849553669</v>
      </c>
      <c r="L52" s="39" t="s">
        <v>77</v>
      </c>
    </row>
    <row r="53" spans="1:14" ht="17.25" customHeight="1" x14ac:dyDescent="0.3">
      <c r="A53" s="40" t="s">
        <v>192</v>
      </c>
      <c r="B53" s="30" t="s">
        <v>193</v>
      </c>
      <c r="C53" s="31"/>
      <c r="D53" s="31"/>
      <c r="E53" s="31"/>
      <c r="F53" s="38"/>
      <c r="G53" s="10"/>
      <c r="H53" s="1"/>
    </row>
    <row r="54" spans="1:14" ht="17.25" customHeight="1" x14ac:dyDescent="0.3">
      <c r="A54" s="3"/>
      <c r="B54" s="30" t="s">
        <v>206</v>
      </c>
      <c r="C54" s="31"/>
      <c r="D54" s="31"/>
      <c r="E54" s="31"/>
      <c r="F54" s="38"/>
      <c r="G54" s="10"/>
      <c r="H54" s="1"/>
    </row>
    <row r="55" spans="1:14" ht="28.5" customHeight="1" x14ac:dyDescent="0.3">
      <c r="A55" s="3" t="s">
        <v>194</v>
      </c>
      <c r="B55" s="128" t="s">
        <v>199</v>
      </c>
      <c r="C55" s="10" t="s">
        <v>201</v>
      </c>
      <c r="D55" s="93" t="s">
        <v>202</v>
      </c>
      <c r="E55" s="93" t="s">
        <v>203</v>
      </c>
      <c r="F55" s="93" t="s">
        <v>204</v>
      </c>
      <c r="G55" s="93" t="s">
        <v>205</v>
      </c>
      <c r="H55" s="93" t="s">
        <v>77</v>
      </c>
    </row>
    <row r="56" spans="1:14" ht="15" customHeight="1" x14ac:dyDescent="0.3">
      <c r="A56" s="111" t="s">
        <v>60</v>
      </c>
      <c r="B56" s="130">
        <v>0.97</v>
      </c>
      <c r="C56" s="11">
        <f>1-B56</f>
        <v>3.0000000000000027E-2</v>
      </c>
      <c r="D56" s="129">
        <f>1-E56</f>
        <v>0.75</v>
      </c>
      <c r="E56" s="59">
        <v>0.25</v>
      </c>
      <c r="F56" s="59">
        <v>6.06</v>
      </c>
      <c r="G56" s="59">
        <f>1-(F56/12)</f>
        <v>0.495</v>
      </c>
      <c r="H56" s="116">
        <f>(B56*D56*$K$22)+(B56*E56*G56*$K$22)+(C56*D56*$K$52)+(C56*E56*G56*$K$52)</f>
        <v>13.786645959756342</v>
      </c>
      <c r="I56" s="131"/>
      <c r="J56" s="131"/>
      <c r="K56" s="131"/>
    </row>
    <row r="57" spans="1:14" ht="16.5" customHeight="1" x14ac:dyDescent="0.3">
      <c r="A57" s="111" t="s">
        <v>61</v>
      </c>
      <c r="B57" s="130">
        <v>0.95</v>
      </c>
      <c r="C57" s="11">
        <f t="shared" ref="C57:C66" si="15">1-B57</f>
        <v>5.0000000000000044E-2</v>
      </c>
      <c r="D57" s="129">
        <f t="shared" ref="D57:D66" si="16">1-E57</f>
        <v>9.9999999999999978E-2</v>
      </c>
      <c r="E57" s="59">
        <v>0.9</v>
      </c>
      <c r="F57" s="59">
        <v>8.7200000000000006</v>
      </c>
      <c r="G57" s="59">
        <f t="shared" ref="G57:G66" si="17">1-(F57/12)</f>
        <v>0.27333333333333332</v>
      </c>
      <c r="H57" s="116">
        <f t="shared" ref="H57:H62" si="18">(B57*D57*$K$32)+(B57*E57*G57*$K$32)+(C57*D57*$K$52)+(C57*E57*G57*$K$52)</f>
        <v>8.4357678337098196</v>
      </c>
      <c r="I57" s="131"/>
      <c r="J57" s="131"/>
      <c r="K57" s="131"/>
    </row>
    <row r="58" spans="1:14" ht="16.5" customHeight="1" x14ac:dyDescent="0.3">
      <c r="A58" s="111" t="s">
        <v>195</v>
      </c>
      <c r="B58" s="130">
        <v>0.95</v>
      </c>
      <c r="C58" s="11">
        <f t="shared" si="15"/>
        <v>5.0000000000000044E-2</v>
      </c>
      <c r="D58" s="129">
        <f t="shared" si="16"/>
        <v>2.0000000000000018E-2</v>
      </c>
      <c r="E58" s="59">
        <v>0.98</v>
      </c>
      <c r="F58" s="59">
        <v>8.5299999999999994</v>
      </c>
      <c r="G58" s="59">
        <f t="shared" si="17"/>
        <v>0.28916666666666668</v>
      </c>
      <c r="H58" s="116">
        <f t="shared" si="18"/>
        <v>7.3967380480260045</v>
      </c>
      <c r="I58" s="131"/>
      <c r="J58" s="131"/>
      <c r="K58" s="131"/>
    </row>
    <row r="59" spans="1:14" ht="16.5" customHeight="1" x14ac:dyDescent="0.3">
      <c r="A59" s="111" t="s">
        <v>196</v>
      </c>
      <c r="B59" s="130">
        <v>0.79</v>
      </c>
      <c r="C59" s="11">
        <f t="shared" si="15"/>
        <v>0.20999999999999996</v>
      </c>
      <c r="D59" s="129">
        <f t="shared" si="16"/>
        <v>0.8</v>
      </c>
      <c r="E59" s="59">
        <v>0.2</v>
      </c>
      <c r="F59" s="59">
        <v>6.7</v>
      </c>
      <c r="G59" s="59">
        <f t="shared" si="17"/>
        <v>0.44166666666666665</v>
      </c>
      <c r="H59" s="116">
        <f t="shared" si="18"/>
        <v>24.181333606337049</v>
      </c>
      <c r="I59" s="131"/>
      <c r="J59" s="131"/>
      <c r="K59" s="131"/>
    </row>
    <row r="60" spans="1:14" ht="16.5" customHeight="1" x14ac:dyDescent="0.3">
      <c r="A60" s="111" t="s">
        <v>67</v>
      </c>
      <c r="B60" s="130">
        <v>0.96</v>
      </c>
      <c r="C60" s="11">
        <f t="shared" si="15"/>
        <v>4.0000000000000036E-2</v>
      </c>
      <c r="D60" s="129">
        <f t="shared" si="16"/>
        <v>0.25</v>
      </c>
      <c r="E60" s="59">
        <v>0.75</v>
      </c>
      <c r="F60" s="59">
        <v>6.35</v>
      </c>
      <c r="G60" s="59">
        <f t="shared" si="17"/>
        <v>0.47083333333333333</v>
      </c>
      <c r="H60" s="116">
        <f t="shared" si="18"/>
        <v>14.597627702125994</v>
      </c>
      <c r="I60" s="131"/>
      <c r="J60" s="131"/>
      <c r="K60" s="131"/>
    </row>
    <row r="61" spans="1:14" ht="16.5" customHeight="1" x14ac:dyDescent="0.3">
      <c r="A61" s="111" t="s">
        <v>69</v>
      </c>
      <c r="B61" s="130">
        <v>0.95</v>
      </c>
      <c r="C61" s="11">
        <f t="shared" si="15"/>
        <v>5.0000000000000044E-2</v>
      </c>
      <c r="D61" s="129">
        <f t="shared" si="16"/>
        <v>0.75</v>
      </c>
      <c r="E61" s="59">
        <v>0.25</v>
      </c>
      <c r="F61" s="59">
        <v>8</v>
      </c>
      <c r="G61" s="59">
        <f t="shared" si="17"/>
        <v>0.33333333333333337</v>
      </c>
      <c r="H61" s="116">
        <f t="shared" si="18"/>
        <v>20.31735990777895</v>
      </c>
      <c r="I61" s="131"/>
      <c r="J61" s="131"/>
      <c r="K61" s="131"/>
    </row>
    <row r="62" spans="1:14" ht="16.5" customHeight="1" x14ac:dyDescent="0.3">
      <c r="A62" s="111" t="s">
        <v>62</v>
      </c>
      <c r="B62" s="130">
        <v>0.89</v>
      </c>
      <c r="C62" s="11">
        <f t="shared" si="15"/>
        <v>0.10999999999999999</v>
      </c>
      <c r="D62" s="129">
        <f t="shared" si="16"/>
        <v>0.69</v>
      </c>
      <c r="E62" s="59">
        <v>0.31</v>
      </c>
      <c r="F62" s="59">
        <v>6.46</v>
      </c>
      <c r="G62" s="59">
        <f t="shared" si="17"/>
        <v>0.46166666666666667</v>
      </c>
      <c r="H62" s="116">
        <f t="shared" si="18"/>
        <v>21.199403364200254</v>
      </c>
      <c r="I62" s="131"/>
      <c r="J62" s="131"/>
      <c r="K62" s="131"/>
    </row>
    <row r="63" spans="1:14" ht="16.5" customHeight="1" x14ac:dyDescent="0.3">
      <c r="A63" s="111" t="s">
        <v>70</v>
      </c>
      <c r="B63" s="130">
        <v>0.78</v>
      </c>
      <c r="C63" s="11">
        <f t="shared" si="15"/>
        <v>0.21999999999999997</v>
      </c>
      <c r="D63" s="129">
        <f t="shared" si="16"/>
        <v>0</v>
      </c>
      <c r="E63" s="59">
        <v>1</v>
      </c>
      <c r="F63" s="59">
        <v>5.4</v>
      </c>
      <c r="G63" s="59">
        <f t="shared" si="17"/>
        <v>0.55000000000000004</v>
      </c>
      <c r="H63" s="116">
        <f>(B63*D63*$K$12)+(B63*E63*G63*$K$12)+(C63*D63*$K$42)+(C63*E63*G63*$K$42)</f>
        <v>11.299396492555498</v>
      </c>
      <c r="I63" s="131"/>
      <c r="J63" s="131"/>
      <c r="K63" s="131"/>
    </row>
    <row r="64" spans="1:14" ht="16.5" customHeight="1" x14ac:dyDescent="0.3">
      <c r="A64" s="111" t="s">
        <v>200</v>
      </c>
      <c r="B64" s="130">
        <v>0.30000000000000004</v>
      </c>
      <c r="C64" s="11">
        <f t="shared" si="15"/>
        <v>0.7</v>
      </c>
      <c r="D64" s="129">
        <f t="shared" si="16"/>
        <v>0.7</v>
      </c>
      <c r="E64" s="59">
        <v>0.3</v>
      </c>
      <c r="F64" s="59">
        <v>5.56</v>
      </c>
      <c r="G64" s="59">
        <f t="shared" si="17"/>
        <v>0.53666666666666663</v>
      </c>
      <c r="H64" s="116">
        <f>(B64*D64*$K$32)+(B64*E64*G64*$K$32)+(C64*D64*$K$52)+(C64*E64*G64*$K$52)</f>
        <v>30.926318788755655</v>
      </c>
      <c r="I64" s="131"/>
      <c r="J64" s="131"/>
      <c r="K64" s="131"/>
    </row>
    <row r="65" spans="1:12" ht="16.5" customHeight="1" x14ac:dyDescent="0.3">
      <c r="A65" s="111" t="s">
        <v>197</v>
      </c>
      <c r="B65" s="130">
        <v>0.30000000000000004</v>
      </c>
      <c r="C65" s="11">
        <f t="shared" si="15"/>
        <v>0.7</v>
      </c>
      <c r="D65" s="129">
        <f t="shared" si="16"/>
        <v>0.9</v>
      </c>
      <c r="E65" s="59">
        <v>0.1</v>
      </c>
      <c r="F65" s="59">
        <v>7.9</v>
      </c>
      <c r="G65" s="59">
        <f t="shared" si="17"/>
        <v>0.34166666666666667</v>
      </c>
      <c r="H65" s="116">
        <f>(B65*D65*$K$32)+(B65*E65*G65*$K$32)+(C65*D65*$K$52)+(C65*E65*G65*$K$52)</f>
        <v>33.554397369526804</v>
      </c>
      <c r="I65" s="131"/>
      <c r="J65" s="131"/>
      <c r="K65" s="131"/>
    </row>
    <row r="66" spans="1:12" ht="15" customHeight="1" x14ac:dyDescent="0.3">
      <c r="A66" s="113" t="s">
        <v>198</v>
      </c>
      <c r="B66" s="132">
        <v>0.30000000000000004</v>
      </c>
      <c r="C66" s="121">
        <f t="shared" si="15"/>
        <v>0.7</v>
      </c>
      <c r="D66" s="133">
        <f t="shared" si="16"/>
        <v>0.96</v>
      </c>
      <c r="E66" s="117">
        <v>0.04</v>
      </c>
      <c r="F66" s="120">
        <v>6.19</v>
      </c>
      <c r="G66" s="117">
        <f t="shared" si="17"/>
        <v>0.48416666666666663</v>
      </c>
      <c r="H66" s="118">
        <f>(B66*D66*$K$32)+(B66*E66*G66*$K$32)+(C66*D66*$K$52)+(C66*E66*G66*$K$52)</f>
        <v>35.177939308262872</v>
      </c>
      <c r="I66" s="134"/>
      <c r="J66" s="134"/>
      <c r="K66" s="134"/>
      <c r="L66" s="17"/>
    </row>
    <row r="67" spans="1:12" x14ac:dyDescent="0.3">
      <c r="A67" s="40" t="s">
        <v>209</v>
      </c>
      <c r="B67" t="s">
        <v>210</v>
      </c>
      <c r="C67" s="29" t="s">
        <v>211</v>
      </c>
      <c r="D67" s="29"/>
      <c r="E67" s="29"/>
      <c r="F67" s="29"/>
      <c r="G67" s="29"/>
      <c r="H67" s="52"/>
      <c r="I67" s="73" t="s">
        <v>18</v>
      </c>
      <c r="J67" s="3" t="s">
        <v>244</v>
      </c>
      <c r="K67" s="16"/>
    </row>
    <row r="68" spans="1:12" x14ac:dyDescent="0.3">
      <c r="A68" s="3" t="s">
        <v>132</v>
      </c>
      <c r="B68" s="2">
        <v>60</v>
      </c>
      <c r="C68" s="2">
        <v>90</v>
      </c>
      <c r="D68" s="2">
        <v>150</v>
      </c>
      <c r="E68" s="2">
        <v>220</v>
      </c>
      <c r="F68" s="2">
        <v>300</v>
      </c>
      <c r="G68" s="37"/>
      <c r="H68" s="52"/>
      <c r="I68" s="143"/>
      <c r="J68" s="29"/>
      <c r="K68" s="52"/>
    </row>
    <row r="69" spans="1:12" x14ac:dyDescent="0.3">
      <c r="A69" s="3" t="s">
        <v>102</v>
      </c>
      <c r="B69" s="2">
        <v>60</v>
      </c>
      <c r="C69" s="2">
        <v>30</v>
      </c>
      <c r="D69" s="2">
        <v>60</v>
      </c>
      <c r="E69" s="2">
        <v>50</v>
      </c>
      <c r="F69" s="2">
        <v>75</v>
      </c>
      <c r="G69" s="8">
        <f>SUM(B69:F69)</f>
        <v>275</v>
      </c>
      <c r="H69" s="16"/>
      <c r="I69" s="73"/>
      <c r="J69" s="3"/>
      <c r="K69" s="16"/>
    </row>
    <row r="70" spans="1:12" x14ac:dyDescent="0.3">
      <c r="A70" s="3" t="s">
        <v>2</v>
      </c>
      <c r="B70" s="2">
        <v>60</v>
      </c>
      <c r="C70" s="2">
        <v>65</v>
      </c>
      <c r="D70" s="2">
        <v>70</v>
      </c>
      <c r="E70" s="2">
        <v>75</v>
      </c>
      <c r="F70" s="2">
        <v>90</v>
      </c>
      <c r="G70" s="16"/>
      <c r="H70" s="16"/>
      <c r="I70" s="73"/>
      <c r="J70" s="3"/>
      <c r="K70" s="16"/>
    </row>
    <row r="71" spans="1:12" x14ac:dyDescent="0.3">
      <c r="A71" s="3" t="s">
        <v>3</v>
      </c>
      <c r="B71" s="2">
        <v>30</v>
      </c>
      <c r="C71" s="2">
        <v>30</v>
      </c>
      <c r="D71" s="2">
        <v>35</v>
      </c>
      <c r="E71" s="2">
        <v>38</v>
      </c>
      <c r="F71" s="2">
        <v>45</v>
      </c>
      <c r="G71" s="16"/>
      <c r="H71" s="16"/>
      <c r="I71" s="73"/>
      <c r="J71" s="3"/>
      <c r="K71" s="16"/>
    </row>
    <row r="72" spans="1:12" x14ac:dyDescent="0.3">
      <c r="A72" s="3" t="s">
        <v>4</v>
      </c>
      <c r="B72" s="8">
        <f t="shared" ref="B72:F72" si="19">B70*B71</f>
        <v>1800</v>
      </c>
      <c r="C72" s="8">
        <f t="shared" si="19"/>
        <v>1950</v>
      </c>
      <c r="D72" s="8">
        <f t="shared" si="19"/>
        <v>2450</v>
      </c>
      <c r="E72" s="8">
        <f t="shared" si="19"/>
        <v>2850</v>
      </c>
      <c r="F72" s="8">
        <f t="shared" si="19"/>
        <v>4050</v>
      </c>
      <c r="G72" s="8"/>
      <c r="H72" s="16"/>
      <c r="I72" s="73"/>
      <c r="J72" s="3"/>
      <c r="K72" s="16"/>
    </row>
    <row r="73" spans="1:12" x14ac:dyDescent="0.3">
      <c r="A73" s="32" t="s">
        <v>213</v>
      </c>
      <c r="B73" s="70">
        <v>1.5</v>
      </c>
      <c r="C73" s="70">
        <v>1.5</v>
      </c>
      <c r="D73" s="70">
        <v>1.5</v>
      </c>
      <c r="E73" s="70">
        <v>1.8</v>
      </c>
      <c r="F73" s="123">
        <v>1.9</v>
      </c>
      <c r="G73" s="33"/>
      <c r="H73" s="16"/>
      <c r="I73" s="73"/>
      <c r="J73" s="3"/>
      <c r="K73" s="16"/>
    </row>
    <row r="74" spans="1:12" x14ac:dyDescent="0.3">
      <c r="A74" s="3" t="s">
        <v>180</v>
      </c>
      <c r="B74" s="2">
        <f>B73*10000</f>
        <v>15000</v>
      </c>
      <c r="C74" s="2">
        <f t="shared" ref="C74:F74" si="20">C73*10000</f>
        <v>15000</v>
      </c>
      <c r="D74" s="2">
        <f t="shared" si="20"/>
        <v>15000</v>
      </c>
      <c r="E74" s="2">
        <f t="shared" si="20"/>
        <v>18000</v>
      </c>
      <c r="F74" s="2">
        <f t="shared" si="20"/>
        <v>19000</v>
      </c>
      <c r="G74" s="2"/>
      <c r="H74" s="16"/>
      <c r="I74" s="73"/>
      <c r="J74" s="3"/>
      <c r="K74" s="16"/>
    </row>
    <row r="75" spans="1:12" ht="28.8" x14ac:dyDescent="0.3">
      <c r="A75" s="28" t="s">
        <v>8</v>
      </c>
      <c r="B75" s="18">
        <f>(B72/B74)*100</f>
        <v>12</v>
      </c>
      <c r="C75" s="18">
        <f>(C72/C74)*100</f>
        <v>13</v>
      </c>
      <c r="D75" s="18">
        <f>(D72/D74)*100</f>
        <v>16.333333333333332</v>
      </c>
      <c r="E75" s="18">
        <f>(E72/E74)*100</f>
        <v>15.833333333333332</v>
      </c>
      <c r="F75" s="18">
        <f>(F72/F74)*100</f>
        <v>21.315789473684209</v>
      </c>
      <c r="G75" s="91">
        <f>((B69*B75)+(C69*C75)+(D69*D75)+(E69*E75)+(F69*F75))/G69</f>
        <v>16.292185007974478</v>
      </c>
      <c r="H75" s="39" t="s">
        <v>77</v>
      </c>
      <c r="I75" s="144"/>
      <c r="J75" s="28"/>
      <c r="K75" s="91"/>
    </row>
    <row r="76" spans="1:12" x14ac:dyDescent="0.3">
      <c r="A76" s="40" t="s">
        <v>235</v>
      </c>
      <c r="B76" t="s">
        <v>212</v>
      </c>
      <c r="C76" s="29" t="s">
        <v>211</v>
      </c>
      <c r="D76" s="29"/>
      <c r="E76" s="29"/>
      <c r="F76" s="29"/>
      <c r="G76" s="29"/>
      <c r="H76" s="52"/>
      <c r="I76" s="13" t="s">
        <v>18</v>
      </c>
      <c r="J76" s="3" t="s">
        <v>182</v>
      </c>
    </row>
    <row r="77" spans="1:12" x14ac:dyDescent="0.3">
      <c r="A77" s="40"/>
      <c r="C77" s="3"/>
      <c r="D77" s="90" t="s">
        <v>241</v>
      </c>
      <c r="E77" s="159" t="s">
        <v>242</v>
      </c>
      <c r="F77" s="159"/>
      <c r="G77" s="3"/>
      <c r="H77" s="52"/>
      <c r="I77" s="13"/>
    </row>
    <row r="78" spans="1:12" x14ac:dyDescent="0.3">
      <c r="A78" s="3" t="s">
        <v>132</v>
      </c>
      <c r="B78" s="2">
        <v>60</v>
      </c>
      <c r="C78" s="2">
        <v>90</v>
      </c>
      <c r="D78" s="2">
        <v>150</v>
      </c>
      <c r="E78" s="2">
        <v>220</v>
      </c>
      <c r="F78" s="2">
        <v>300</v>
      </c>
      <c r="G78" s="37"/>
      <c r="H78" s="52"/>
      <c r="I78" s="13"/>
    </row>
    <row r="79" spans="1:12" x14ac:dyDescent="0.3">
      <c r="A79" s="3" t="s">
        <v>102</v>
      </c>
      <c r="B79" s="2">
        <v>60</v>
      </c>
      <c r="C79" s="2">
        <v>30</v>
      </c>
      <c r="D79" s="2">
        <v>60</v>
      </c>
      <c r="E79" s="2">
        <v>50</v>
      </c>
      <c r="F79" s="2">
        <v>75</v>
      </c>
      <c r="G79" s="8">
        <f>SUM(B79:F79)</f>
        <v>275</v>
      </c>
      <c r="H79" s="16"/>
      <c r="I79" s="13"/>
    </row>
    <row r="80" spans="1:12" x14ac:dyDescent="0.3">
      <c r="A80" s="3" t="s">
        <v>2</v>
      </c>
      <c r="B80" s="2">
        <v>60</v>
      </c>
      <c r="C80" s="2">
        <v>65</v>
      </c>
      <c r="D80" s="2">
        <v>70</v>
      </c>
      <c r="E80" s="2">
        <v>75</v>
      </c>
      <c r="F80" s="2">
        <v>90</v>
      </c>
      <c r="G80" s="16"/>
      <c r="H80" s="16"/>
      <c r="I80" s="13"/>
    </row>
    <row r="81" spans="1:10" x14ac:dyDescent="0.3">
      <c r="A81" s="3" t="s">
        <v>3</v>
      </c>
      <c r="B81" s="2">
        <v>30</v>
      </c>
      <c r="C81" s="2">
        <v>30</v>
      </c>
      <c r="D81" s="2">
        <v>35</v>
      </c>
      <c r="E81" s="2">
        <v>38</v>
      </c>
      <c r="F81" s="2">
        <v>45</v>
      </c>
      <c r="G81" s="16"/>
      <c r="H81" s="16"/>
      <c r="I81" s="13"/>
    </row>
    <row r="82" spans="1:10" x14ac:dyDescent="0.3">
      <c r="A82" s="3" t="s">
        <v>4</v>
      </c>
      <c r="B82" s="8">
        <f t="shared" ref="B82:F82" si="21">B80*B81</f>
        <v>1800</v>
      </c>
      <c r="C82" s="8">
        <f t="shared" si="21"/>
        <v>1950</v>
      </c>
      <c r="D82" s="8">
        <f t="shared" si="21"/>
        <v>2450</v>
      </c>
      <c r="E82" s="8">
        <f t="shared" si="21"/>
        <v>2850</v>
      </c>
      <c r="F82" s="8">
        <f t="shared" si="21"/>
        <v>4050</v>
      </c>
      <c r="G82" s="8"/>
      <c r="H82" s="16"/>
      <c r="I82" s="13"/>
    </row>
    <row r="83" spans="1:10" x14ac:dyDescent="0.3">
      <c r="A83" s="32" t="s">
        <v>214</v>
      </c>
      <c r="B83" s="15">
        <v>1.5</v>
      </c>
      <c r="C83" s="70">
        <v>2.7</v>
      </c>
      <c r="D83" s="70">
        <v>2.7</v>
      </c>
      <c r="E83" s="70">
        <v>3.4</v>
      </c>
      <c r="F83" s="123">
        <v>3.4</v>
      </c>
      <c r="G83" s="136" t="s">
        <v>215</v>
      </c>
      <c r="H83" s="16"/>
      <c r="I83" s="13"/>
    </row>
    <row r="84" spans="1:10" x14ac:dyDescent="0.3">
      <c r="A84" s="3" t="s">
        <v>180</v>
      </c>
      <c r="B84" s="2">
        <f>B83*10000</f>
        <v>15000</v>
      </c>
      <c r="C84" s="2">
        <f t="shared" ref="C84" si="22">C83*10000</f>
        <v>27000</v>
      </c>
      <c r="D84" s="2">
        <f t="shared" ref="D84" si="23">D83*10000</f>
        <v>27000</v>
      </c>
      <c r="E84" s="2">
        <f t="shared" ref="E84" si="24">E83*10000</f>
        <v>34000</v>
      </c>
      <c r="F84" s="2">
        <f t="shared" ref="F84" si="25">F83*10000</f>
        <v>34000</v>
      </c>
      <c r="G84" s="2"/>
      <c r="H84" s="16"/>
      <c r="I84" s="13"/>
    </row>
    <row r="85" spans="1:10" ht="28.8" x14ac:dyDescent="0.3">
      <c r="A85" s="28" t="s">
        <v>8</v>
      </c>
      <c r="B85" s="18">
        <f>(B82/B84)*100</f>
        <v>12</v>
      </c>
      <c r="C85" s="18">
        <f>(C82/C84)*100</f>
        <v>7.2222222222222214</v>
      </c>
      <c r="D85" s="18">
        <f>(D82/D84)*100</f>
        <v>9.0740740740740744</v>
      </c>
      <c r="E85" s="18">
        <f>(E82/E84)*100</f>
        <v>8.3823529411764692</v>
      </c>
      <c r="F85" s="18">
        <f>(F82/F84)*100</f>
        <v>11.911764705882351</v>
      </c>
      <c r="G85" s="91">
        <f>((B79*B85)+(C79*C85)+(D79*D85)+(E79*E85)+(F79*F85))/G79</f>
        <v>10.158585858585857</v>
      </c>
      <c r="H85" s="39" t="s">
        <v>77</v>
      </c>
      <c r="I85" s="13"/>
    </row>
    <row r="86" spans="1:10" x14ac:dyDescent="0.3">
      <c r="A86" s="40" t="s">
        <v>258</v>
      </c>
      <c r="B86" t="s">
        <v>186</v>
      </c>
      <c r="C86" s="29" t="s">
        <v>211</v>
      </c>
      <c r="D86" s="29"/>
      <c r="E86" s="29"/>
      <c r="F86" s="29"/>
      <c r="G86" s="29"/>
      <c r="H86" s="52"/>
      <c r="I86" s="13" t="s">
        <v>18</v>
      </c>
      <c r="J86" t="s">
        <v>247</v>
      </c>
    </row>
    <row r="87" spans="1:10" x14ac:dyDescent="0.3">
      <c r="A87" s="3" t="s">
        <v>132</v>
      </c>
      <c r="B87" s="2">
        <v>60</v>
      </c>
      <c r="C87" s="2">
        <v>90</v>
      </c>
      <c r="D87" s="2">
        <v>150</v>
      </c>
      <c r="E87" s="2">
        <v>220</v>
      </c>
      <c r="F87" s="2">
        <v>300</v>
      </c>
      <c r="G87" s="37"/>
      <c r="H87" s="52"/>
      <c r="I87" s="13"/>
    </row>
    <row r="88" spans="1:10" x14ac:dyDescent="0.3">
      <c r="A88" s="3" t="s">
        <v>102</v>
      </c>
      <c r="B88" s="2">
        <v>60</v>
      </c>
      <c r="C88" s="2">
        <v>30</v>
      </c>
      <c r="D88" s="2">
        <v>60</v>
      </c>
      <c r="E88" s="2">
        <v>50</v>
      </c>
      <c r="F88" s="2">
        <v>75</v>
      </c>
      <c r="G88" s="8">
        <f>SUM(B88:F88)</f>
        <v>275</v>
      </c>
      <c r="H88" s="16"/>
      <c r="I88" s="13"/>
    </row>
    <row r="89" spans="1:10" x14ac:dyDescent="0.3">
      <c r="A89" s="3" t="s">
        <v>2</v>
      </c>
      <c r="B89" s="2">
        <v>60</v>
      </c>
      <c r="C89" s="2">
        <v>65</v>
      </c>
      <c r="D89" s="2">
        <v>70</v>
      </c>
      <c r="E89" s="2">
        <v>75</v>
      </c>
      <c r="F89" s="2">
        <v>90</v>
      </c>
      <c r="G89" s="16"/>
      <c r="H89" s="16"/>
      <c r="I89" s="13"/>
    </row>
    <row r="90" spans="1:10" x14ac:dyDescent="0.3">
      <c r="A90" s="3" t="s">
        <v>3</v>
      </c>
      <c r="B90" s="2">
        <v>30</v>
      </c>
      <c r="C90" s="2">
        <v>30</v>
      </c>
      <c r="D90" s="2">
        <v>35</v>
      </c>
      <c r="E90" s="2">
        <v>38</v>
      </c>
      <c r="F90" s="2">
        <v>45</v>
      </c>
      <c r="G90" s="16"/>
      <c r="H90" s="16"/>
      <c r="I90" s="13"/>
    </row>
    <row r="91" spans="1:10" x14ac:dyDescent="0.3">
      <c r="A91" s="3" t="s">
        <v>4</v>
      </c>
      <c r="B91" s="8">
        <f t="shared" ref="B91:F91" si="26">B89*B90</f>
        <v>1800</v>
      </c>
      <c r="C91" s="8">
        <f t="shared" si="26"/>
        <v>1950</v>
      </c>
      <c r="D91" s="8">
        <f t="shared" si="26"/>
        <v>2450</v>
      </c>
      <c r="E91" s="8">
        <f t="shared" si="26"/>
        <v>2850</v>
      </c>
      <c r="F91" s="8">
        <f t="shared" si="26"/>
        <v>4050</v>
      </c>
      <c r="G91" s="8"/>
      <c r="H91" s="16"/>
      <c r="I91" s="13"/>
    </row>
    <row r="92" spans="1:10" x14ac:dyDescent="0.3">
      <c r="A92" s="32" t="s">
        <v>216</v>
      </c>
      <c r="B92" s="15">
        <v>1.5</v>
      </c>
      <c r="C92" s="70">
        <v>1.5</v>
      </c>
      <c r="D92" s="70">
        <v>1.5</v>
      </c>
      <c r="E92" s="70">
        <v>1.7</v>
      </c>
      <c r="F92" s="123">
        <v>1.8</v>
      </c>
      <c r="G92" s="136"/>
      <c r="H92" s="16"/>
      <c r="I92" s="13"/>
    </row>
    <row r="93" spans="1:10" x14ac:dyDescent="0.3">
      <c r="A93" s="3" t="s">
        <v>180</v>
      </c>
      <c r="B93" s="2">
        <f>B92*10000</f>
        <v>15000</v>
      </c>
      <c r="C93" s="2">
        <f t="shared" ref="C93" si="27">C92*10000</f>
        <v>15000</v>
      </c>
      <c r="D93" s="2">
        <f t="shared" ref="D93" si="28">D92*10000</f>
        <v>15000</v>
      </c>
      <c r="E93" s="2">
        <f t="shared" ref="E93" si="29">E92*10000</f>
        <v>17000</v>
      </c>
      <c r="F93" s="2">
        <f t="shared" ref="F93" si="30">F92*10000</f>
        <v>18000</v>
      </c>
      <c r="G93" s="2"/>
      <c r="H93" s="16"/>
      <c r="I93" s="13"/>
    </row>
    <row r="94" spans="1:10" ht="28.8" x14ac:dyDescent="0.3">
      <c r="A94" s="28" t="s">
        <v>8</v>
      </c>
      <c r="B94" s="18">
        <f>(B91/B93)*100</f>
        <v>12</v>
      </c>
      <c r="C94" s="18">
        <f>(C91/C93)*100</f>
        <v>13</v>
      </c>
      <c r="D94" s="18">
        <f>(D91/D93)*100</f>
        <v>16.333333333333332</v>
      </c>
      <c r="E94" s="18">
        <f>(E91/E93)*100</f>
        <v>16.764705882352938</v>
      </c>
      <c r="F94" s="18">
        <f>(F91/F93)*100</f>
        <v>22.5</v>
      </c>
      <c r="G94" s="91">
        <f>((B88*B94)+(C88*C94)+(D88*D94)+(E88*E94)+(F88*F94))/G88</f>
        <v>16.784491978609626</v>
      </c>
      <c r="H94" s="39" t="s">
        <v>77</v>
      </c>
      <c r="I94" s="13"/>
    </row>
    <row r="95" spans="1:10" x14ac:dyDescent="0.3">
      <c r="A95" s="40" t="s">
        <v>259</v>
      </c>
      <c r="B95" t="s">
        <v>186</v>
      </c>
      <c r="C95" s="29" t="s">
        <v>211</v>
      </c>
      <c r="D95" s="29"/>
      <c r="E95" s="29"/>
      <c r="F95" s="29"/>
      <c r="G95" s="29"/>
      <c r="H95" s="52"/>
      <c r="I95" s="13" t="s">
        <v>18</v>
      </c>
      <c r="J95" t="s">
        <v>257</v>
      </c>
    </row>
    <row r="96" spans="1:10" x14ac:dyDescent="0.3">
      <c r="A96" s="40"/>
      <c r="C96" s="29"/>
      <c r="D96" s="155" t="s">
        <v>207</v>
      </c>
      <c r="E96" s="155" t="s">
        <v>237</v>
      </c>
      <c r="F96" s="155" t="s">
        <v>238</v>
      </c>
      <c r="G96" s="29"/>
      <c r="H96" s="52"/>
      <c r="I96" s="13"/>
    </row>
    <row r="97" spans="1:12" x14ac:dyDescent="0.3">
      <c r="A97" s="3" t="s">
        <v>132</v>
      </c>
      <c r="B97" s="2">
        <v>60</v>
      </c>
      <c r="C97" s="2">
        <v>90</v>
      </c>
      <c r="D97" s="2">
        <v>150</v>
      </c>
      <c r="E97" s="2">
        <v>220</v>
      </c>
      <c r="F97" s="2">
        <v>300</v>
      </c>
      <c r="G97" s="37"/>
      <c r="H97" s="52"/>
      <c r="I97" s="13"/>
    </row>
    <row r="98" spans="1:12" x14ac:dyDescent="0.3">
      <c r="A98" s="3" t="s">
        <v>102</v>
      </c>
      <c r="B98" s="2">
        <v>60</v>
      </c>
      <c r="C98" s="2">
        <v>30</v>
      </c>
      <c r="D98" s="2">
        <v>60</v>
      </c>
      <c r="E98" s="2">
        <v>50</v>
      </c>
      <c r="F98" s="2">
        <v>75</v>
      </c>
      <c r="G98" s="8">
        <f>SUM(B98:F98)</f>
        <v>275</v>
      </c>
      <c r="H98" s="16"/>
      <c r="I98" s="13"/>
    </row>
    <row r="99" spans="1:12" x14ac:dyDescent="0.3">
      <c r="A99" s="3" t="s">
        <v>2</v>
      </c>
      <c r="B99" s="2">
        <v>60</v>
      </c>
      <c r="C99" s="2">
        <v>65</v>
      </c>
      <c r="D99" s="2">
        <v>70</v>
      </c>
      <c r="E99" s="2">
        <v>75</v>
      </c>
      <c r="F99" s="2">
        <v>90</v>
      </c>
      <c r="G99" s="16"/>
      <c r="H99" s="16"/>
      <c r="I99" s="13"/>
    </row>
    <row r="100" spans="1:12" x14ac:dyDescent="0.3">
      <c r="A100" s="3" t="s">
        <v>3</v>
      </c>
      <c r="B100" s="2">
        <v>30</v>
      </c>
      <c r="C100" s="2">
        <v>30</v>
      </c>
      <c r="D100" s="2">
        <v>35</v>
      </c>
      <c r="E100" s="2">
        <v>38</v>
      </c>
      <c r="F100" s="2">
        <v>45</v>
      </c>
      <c r="G100" s="16"/>
      <c r="H100" s="16"/>
      <c r="I100" s="13"/>
    </row>
    <row r="101" spans="1:12" x14ac:dyDescent="0.3">
      <c r="A101" s="3" t="s">
        <v>4</v>
      </c>
      <c r="B101" s="8">
        <f t="shared" ref="B101:F101" si="31">B99*B100</f>
        <v>1800</v>
      </c>
      <c r="C101" s="8">
        <f t="shared" si="31"/>
        <v>1950</v>
      </c>
      <c r="D101" s="8">
        <f t="shared" si="31"/>
        <v>2450</v>
      </c>
      <c r="E101" s="8">
        <f t="shared" si="31"/>
        <v>2850</v>
      </c>
      <c r="F101" s="8">
        <f t="shared" si="31"/>
        <v>4050</v>
      </c>
      <c r="G101" s="8"/>
      <c r="H101" s="16"/>
      <c r="I101" s="13"/>
    </row>
    <row r="102" spans="1:12" x14ac:dyDescent="0.3">
      <c r="A102" s="32" t="s">
        <v>216</v>
      </c>
      <c r="B102" s="15">
        <v>1.5</v>
      </c>
      <c r="C102" s="70">
        <v>1.5</v>
      </c>
      <c r="D102" s="70">
        <v>1.5</v>
      </c>
      <c r="E102" s="70">
        <v>2</v>
      </c>
      <c r="F102" s="123">
        <v>3</v>
      </c>
      <c r="G102" s="136"/>
      <c r="H102" s="16"/>
      <c r="I102" s="13"/>
    </row>
    <row r="103" spans="1:12" x14ac:dyDescent="0.3">
      <c r="A103" s="3" t="s">
        <v>180</v>
      </c>
      <c r="B103" s="2">
        <f>B102*10000</f>
        <v>15000</v>
      </c>
      <c r="C103" s="2">
        <f t="shared" ref="C103:F103" si="32">C102*10000</f>
        <v>15000</v>
      </c>
      <c r="D103" s="2">
        <f t="shared" si="32"/>
        <v>15000</v>
      </c>
      <c r="E103" s="2">
        <f t="shared" si="32"/>
        <v>20000</v>
      </c>
      <c r="F103" s="2">
        <f t="shared" si="32"/>
        <v>30000</v>
      </c>
      <c r="G103" s="2"/>
      <c r="H103" s="16"/>
      <c r="I103" s="13"/>
    </row>
    <row r="104" spans="1:12" ht="28.8" x14ac:dyDescent="0.3">
      <c r="A104" s="28" t="s">
        <v>8</v>
      </c>
      <c r="B104" s="18">
        <f>(B101/B103)*100</f>
        <v>12</v>
      </c>
      <c r="C104" s="18">
        <f>(C101/C103)*100</f>
        <v>13</v>
      </c>
      <c r="D104" s="18">
        <f>(D101/D103)*100</f>
        <v>16.333333333333332</v>
      </c>
      <c r="E104" s="18">
        <f>(E101/E103)*100</f>
        <v>14.249999999999998</v>
      </c>
      <c r="F104" s="18">
        <f>(F101/F103)*100</f>
        <v>13.5</v>
      </c>
      <c r="G104" s="91">
        <f>((B98*B104)+(C98*C104)+(D98*D104)+(E98*E104)+(F98*F104))/G98</f>
        <v>13.872727272727273</v>
      </c>
      <c r="H104" s="39" t="s">
        <v>77</v>
      </c>
      <c r="I104" s="13"/>
    </row>
    <row r="105" spans="1:12" x14ac:dyDescent="0.3">
      <c r="A105" s="32" t="s">
        <v>218</v>
      </c>
      <c r="B105" s="8"/>
      <c r="C105" s="8"/>
      <c r="D105" s="8"/>
      <c r="E105" s="8"/>
      <c r="F105" s="8"/>
      <c r="G105" s="8"/>
      <c r="H105" s="16"/>
      <c r="I105" s="106" t="s">
        <v>18</v>
      </c>
      <c r="J105" s="3" t="s">
        <v>245</v>
      </c>
      <c r="K105" s="3"/>
      <c r="L105" s="137"/>
    </row>
    <row r="106" spans="1:12" x14ac:dyDescent="0.3">
      <c r="A106" s="63"/>
      <c r="B106" s="2">
        <v>60</v>
      </c>
      <c r="C106" s="2">
        <v>90</v>
      </c>
      <c r="D106" s="2">
        <v>150</v>
      </c>
      <c r="E106" s="2">
        <v>220</v>
      </c>
      <c r="F106" s="2">
        <v>400</v>
      </c>
      <c r="G106" s="2">
        <v>670</v>
      </c>
      <c r="H106" s="8"/>
      <c r="I106" s="106"/>
      <c r="J106" s="3"/>
      <c r="K106" s="3"/>
      <c r="L106" s="16"/>
    </row>
    <row r="107" spans="1:12" x14ac:dyDescent="0.3">
      <c r="A107" s="3" t="s">
        <v>102</v>
      </c>
      <c r="B107" s="2">
        <v>60</v>
      </c>
      <c r="C107" s="2">
        <v>30</v>
      </c>
      <c r="D107" s="2">
        <v>60</v>
      </c>
      <c r="E107" s="2">
        <v>50</v>
      </c>
      <c r="F107" s="2">
        <v>180</v>
      </c>
      <c r="G107" s="2">
        <v>350</v>
      </c>
      <c r="H107" s="8">
        <f>SUM(B107:G107)</f>
        <v>730</v>
      </c>
      <c r="I107" s="106"/>
      <c r="J107" s="3"/>
      <c r="K107" s="3"/>
      <c r="L107" s="16"/>
    </row>
    <row r="108" spans="1:12" x14ac:dyDescent="0.3">
      <c r="A108" s="3" t="s">
        <v>2</v>
      </c>
      <c r="B108" s="2">
        <v>60</v>
      </c>
      <c r="C108" s="2">
        <v>65</v>
      </c>
      <c r="D108" s="2">
        <v>70</v>
      </c>
      <c r="E108" s="2">
        <v>75</v>
      </c>
      <c r="F108" s="2">
        <v>100</v>
      </c>
      <c r="G108" s="2">
        <v>170</v>
      </c>
      <c r="H108" s="8"/>
      <c r="I108" s="106"/>
      <c r="J108" s="3"/>
      <c r="K108" s="3"/>
      <c r="L108" s="16"/>
    </row>
    <row r="109" spans="1:12" x14ac:dyDescent="0.3">
      <c r="A109" s="3" t="s">
        <v>3</v>
      </c>
      <c r="B109" s="2">
        <v>30</v>
      </c>
      <c r="C109" s="2">
        <v>30</v>
      </c>
      <c r="D109" s="2">
        <v>35</v>
      </c>
      <c r="E109" s="2">
        <v>38</v>
      </c>
      <c r="F109" s="2">
        <v>50</v>
      </c>
      <c r="G109" s="2">
        <v>65</v>
      </c>
      <c r="H109" s="8"/>
      <c r="I109" s="106"/>
      <c r="J109" s="3"/>
      <c r="K109" s="3"/>
      <c r="L109" s="16"/>
    </row>
    <row r="110" spans="1:12" x14ac:dyDescent="0.3">
      <c r="A110" s="3" t="s">
        <v>4</v>
      </c>
      <c r="B110" s="8">
        <f t="shared" ref="B110:G110" si="33">B108*B109</f>
        <v>1800</v>
      </c>
      <c r="C110" s="8">
        <f t="shared" si="33"/>
        <v>1950</v>
      </c>
      <c r="D110" s="8">
        <f t="shared" si="33"/>
        <v>2450</v>
      </c>
      <c r="E110" s="8">
        <f t="shared" si="33"/>
        <v>2850</v>
      </c>
      <c r="F110" s="8">
        <f t="shared" si="33"/>
        <v>5000</v>
      </c>
      <c r="G110" s="8">
        <f t="shared" si="33"/>
        <v>11050</v>
      </c>
      <c r="H110" s="8"/>
      <c r="I110" s="16"/>
      <c r="J110" s="3"/>
      <c r="K110" s="3"/>
      <c r="L110" s="16"/>
    </row>
    <row r="111" spans="1:12" x14ac:dyDescent="0.3">
      <c r="A111" s="32" t="s">
        <v>224</v>
      </c>
      <c r="B111" s="149">
        <v>1.5</v>
      </c>
      <c r="C111" s="149">
        <v>1.5</v>
      </c>
      <c r="D111" s="149">
        <v>1.5</v>
      </c>
      <c r="E111" s="149">
        <v>1.8</v>
      </c>
      <c r="F111" s="150">
        <v>1.9</v>
      </c>
      <c r="G111" s="150">
        <v>2.2999999999999998</v>
      </c>
      <c r="H111" s="8"/>
      <c r="I111" s="16"/>
      <c r="J111" s="3"/>
      <c r="K111" s="3"/>
      <c r="L111" s="16"/>
    </row>
    <row r="112" spans="1:12" x14ac:dyDescent="0.3">
      <c r="A112" s="3" t="s">
        <v>180</v>
      </c>
      <c r="B112" s="2">
        <f t="shared" ref="B112:G112" si="34">B111*10000</f>
        <v>15000</v>
      </c>
      <c r="C112" s="2">
        <f t="shared" si="34"/>
        <v>15000</v>
      </c>
      <c r="D112" s="2">
        <f t="shared" si="34"/>
        <v>15000</v>
      </c>
      <c r="E112" s="2">
        <f t="shared" si="34"/>
        <v>18000</v>
      </c>
      <c r="F112" s="2">
        <f t="shared" si="34"/>
        <v>19000</v>
      </c>
      <c r="G112" s="2">
        <f t="shared" si="34"/>
        <v>23000</v>
      </c>
      <c r="H112" s="8"/>
      <c r="I112" s="16"/>
      <c r="J112" s="3"/>
      <c r="K112" s="3"/>
      <c r="L112" s="16"/>
    </row>
    <row r="113" spans="1:12" x14ac:dyDescent="0.3">
      <c r="A113" s="28" t="s">
        <v>8</v>
      </c>
      <c r="B113" s="18">
        <f t="shared" ref="B113:G113" si="35">(B110/B112)*100</f>
        <v>12</v>
      </c>
      <c r="C113" s="18">
        <f t="shared" si="35"/>
        <v>13</v>
      </c>
      <c r="D113" s="18">
        <f t="shared" si="35"/>
        <v>16.333333333333332</v>
      </c>
      <c r="E113" s="18">
        <f t="shared" si="35"/>
        <v>15.833333333333332</v>
      </c>
      <c r="F113" s="18">
        <f t="shared" si="35"/>
        <v>26.315789473684209</v>
      </c>
      <c r="G113" s="18">
        <f t="shared" si="35"/>
        <v>48.043478260869563</v>
      </c>
      <c r="H113" s="18">
        <f>(B107*B113)+(C107*C113)+(D107*D113)+(E107*E113)+(F107*F113)+(G107*G113)</f>
        <v>24433.726163234172</v>
      </c>
      <c r="I113" s="139">
        <f>H113/H107</f>
        <v>33.470857757855029</v>
      </c>
      <c r="J113" s="3"/>
    </row>
    <row r="114" spans="1:12" x14ac:dyDescent="0.3">
      <c r="A114" s="32" t="s">
        <v>219</v>
      </c>
      <c r="B114" s="8"/>
      <c r="C114" s="8"/>
      <c r="D114" s="8"/>
      <c r="E114" s="8"/>
      <c r="F114" s="8"/>
      <c r="G114" s="8"/>
      <c r="H114" s="8"/>
      <c r="I114" s="41" t="s">
        <v>18</v>
      </c>
      <c r="J114" s="3" t="s">
        <v>245</v>
      </c>
      <c r="K114" s="3"/>
      <c r="L114" s="137"/>
    </row>
    <row r="115" spans="1:12" x14ac:dyDescent="0.3">
      <c r="A115" s="63"/>
      <c r="B115" s="2">
        <v>60</v>
      </c>
      <c r="C115" s="2">
        <v>90</v>
      </c>
      <c r="D115" s="98">
        <v>150</v>
      </c>
      <c r="E115" s="98">
        <v>220</v>
      </c>
      <c r="F115" s="2">
        <v>400</v>
      </c>
      <c r="G115" s="2">
        <v>670</v>
      </c>
      <c r="H115" s="8"/>
      <c r="I115" s="41"/>
      <c r="J115" s="3"/>
      <c r="K115" s="3"/>
      <c r="L115" s="16"/>
    </row>
    <row r="116" spans="1:12" x14ac:dyDescent="0.3">
      <c r="A116" s="3" t="s">
        <v>102</v>
      </c>
      <c r="B116" s="2">
        <v>60</v>
      </c>
      <c r="C116" s="2">
        <v>30</v>
      </c>
      <c r="D116" s="2">
        <v>60</v>
      </c>
      <c r="E116" s="2">
        <v>50</v>
      </c>
      <c r="F116" s="2">
        <v>180</v>
      </c>
      <c r="G116" s="2">
        <v>350</v>
      </c>
      <c r="H116" s="8">
        <f>SUM(B116:G116)</f>
        <v>730</v>
      </c>
      <c r="I116" s="138"/>
      <c r="J116" s="3"/>
      <c r="K116" s="3"/>
      <c r="L116" s="16"/>
    </row>
    <row r="117" spans="1:12" x14ac:dyDescent="0.3">
      <c r="A117" s="3" t="s">
        <v>2</v>
      </c>
      <c r="B117" s="2">
        <v>60</v>
      </c>
      <c r="C117" s="2">
        <v>65</v>
      </c>
      <c r="D117" s="2">
        <v>70</v>
      </c>
      <c r="E117" s="2">
        <v>75</v>
      </c>
      <c r="F117" s="2">
        <v>100</v>
      </c>
      <c r="G117" s="2">
        <v>170</v>
      </c>
      <c r="H117" s="8"/>
      <c r="I117" s="138"/>
      <c r="J117" s="3"/>
      <c r="K117" s="3"/>
      <c r="L117" s="16"/>
    </row>
    <row r="118" spans="1:12" x14ac:dyDescent="0.3">
      <c r="A118" s="3" t="s">
        <v>3</v>
      </c>
      <c r="B118" s="2">
        <v>30</v>
      </c>
      <c r="C118" s="2">
        <v>30</v>
      </c>
      <c r="D118" s="2">
        <v>35</v>
      </c>
      <c r="E118" s="2">
        <v>38</v>
      </c>
      <c r="F118" s="2">
        <v>50</v>
      </c>
      <c r="G118" s="2">
        <v>65</v>
      </c>
      <c r="H118" s="8"/>
      <c r="I118" s="138"/>
      <c r="J118" s="3"/>
      <c r="K118" s="3"/>
      <c r="L118" s="16"/>
    </row>
    <row r="119" spans="1:12" x14ac:dyDescent="0.3">
      <c r="A119" s="3" t="s">
        <v>4</v>
      </c>
      <c r="B119" s="8">
        <f t="shared" ref="B119:G119" si="36">B117*B118</f>
        <v>1800</v>
      </c>
      <c r="C119" s="8">
        <f t="shared" si="36"/>
        <v>1950</v>
      </c>
      <c r="D119" s="8">
        <f t="shared" si="36"/>
        <v>2450</v>
      </c>
      <c r="E119" s="8">
        <f t="shared" si="36"/>
        <v>2850</v>
      </c>
      <c r="F119" s="8">
        <f t="shared" si="36"/>
        <v>5000</v>
      </c>
      <c r="G119" s="8">
        <f t="shared" si="36"/>
        <v>11050</v>
      </c>
      <c r="H119" s="8"/>
      <c r="I119" s="138"/>
      <c r="J119" s="3"/>
      <c r="K119" s="3"/>
      <c r="L119" s="16"/>
    </row>
    <row r="120" spans="1:12" x14ac:dyDescent="0.3">
      <c r="A120" s="32" t="s">
        <v>223</v>
      </c>
      <c r="B120" s="149">
        <v>1.5</v>
      </c>
      <c r="C120" s="149">
        <v>1.7</v>
      </c>
      <c r="D120" s="149">
        <v>2.2000000000000002</v>
      </c>
      <c r="E120" s="149">
        <v>2.9</v>
      </c>
      <c r="F120" s="150">
        <v>3.7</v>
      </c>
      <c r="G120" s="150">
        <v>4.4000000000000004</v>
      </c>
      <c r="H120" s="8"/>
      <c r="I120" s="138"/>
      <c r="J120" s="3"/>
      <c r="K120" s="3"/>
      <c r="L120" s="16"/>
    </row>
    <row r="121" spans="1:12" x14ac:dyDescent="0.3">
      <c r="A121" s="3" t="s">
        <v>180</v>
      </c>
      <c r="B121" s="2">
        <f t="shared" ref="B121:G121" si="37">B120*10000</f>
        <v>15000</v>
      </c>
      <c r="C121" s="2">
        <f t="shared" si="37"/>
        <v>17000</v>
      </c>
      <c r="D121" s="2">
        <f t="shared" si="37"/>
        <v>22000</v>
      </c>
      <c r="E121" s="2">
        <f t="shared" si="37"/>
        <v>29000</v>
      </c>
      <c r="F121" s="2">
        <f t="shared" si="37"/>
        <v>37000</v>
      </c>
      <c r="G121" s="2">
        <f t="shared" si="37"/>
        <v>44000</v>
      </c>
      <c r="H121" s="8"/>
      <c r="I121" s="138"/>
      <c r="J121" s="3"/>
      <c r="K121" s="3"/>
      <c r="L121" s="16"/>
    </row>
    <row r="122" spans="1:12" x14ac:dyDescent="0.3">
      <c r="A122" s="28" t="s">
        <v>8</v>
      </c>
      <c r="B122" s="18">
        <f t="shared" ref="B122:G122" si="38">(B119/B121)*100</f>
        <v>12</v>
      </c>
      <c r="C122" s="18">
        <f t="shared" si="38"/>
        <v>11.470588235294118</v>
      </c>
      <c r="D122" s="18">
        <f t="shared" si="38"/>
        <v>11.136363636363637</v>
      </c>
      <c r="E122" s="18">
        <f t="shared" si="38"/>
        <v>9.8275862068965516</v>
      </c>
      <c r="F122" s="18">
        <f t="shared" si="38"/>
        <v>13.513513513513514</v>
      </c>
      <c r="G122" s="18">
        <f t="shared" si="38"/>
        <v>25.113636363636367</v>
      </c>
      <c r="H122" s="18">
        <f>(B116*B122)+(C116*C122)+(D116*D122)+(E116*E122)+(F116*F122)+(G116*G122)</f>
        <v>13445.883935290629</v>
      </c>
      <c r="I122" s="139">
        <f>H122/H116</f>
        <v>18.419019089439217</v>
      </c>
      <c r="J122" s="3"/>
    </row>
    <row r="123" spans="1:12" ht="29.25" customHeight="1" x14ac:dyDescent="0.3">
      <c r="A123" s="140" t="s">
        <v>221</v>
      </c>
      <c r="B123" s="141" t="s">
        <v>222</v>
      </c>
      <c r="C123" s="18"/>
      <c r="D123" s="18"/>
      <c r="E123" s="18"/>
      <c r="F123" s="18"/>
      <c r="G123" s="18"/>
      <c r="H123" s="57"/>
      <c r="I123" s="91">
        <f>(I113+I122)/2</f>
        <v>25.944938423647123</v>
      </c>
      <c r="J123" s="39" t="s">
        <v>77</v>
      </c>
      <c r="K123" s="3"/>
      <c r="L123" s="137"/>
    </row>
    <row r="124" spans="1:12" ht="15.75" customHeight="1" x14ac:dyDescent="0.3">
      <c r="A124" s="94" t="s">
        <v>251</v>
      </c>
      <c r="B124" s="8"/>
      <c r="C124" s="8"/>
      <c r="D124" s="142" t="s">
        <v>207</v>
      </c>
      <c r="E124" s="142" t="s">
        <v>237</v>
      </c>
      <c r="F124" s="35" t="s">
        <v>238</v>
      </c>
      <c r="G124" s="8"/>
      <c r="H124" s="16"/>
      <c r="I124" s="106" t="s">
        <v>18</v>
      </c>
      <c r="J124" s="3" t="s">
        <v>182</v>
      </c>
      <c r="K124" s="3"/>
      <c r="L124" s="137"/>
    </row>
    <row r="125" spans="1:12" x14ac:dyDescent="0.3">
      <c r="A125" s="63"/>
      <c r="B125" s="2">
        <v>60</v>
      </c>
      <c r="C125" s="2">
        <v>90</v>
      </c>
      <c r="D125" s="122" t="s">
        <v>207</v>
      </c>
      <c r="E125" s="122" t="s">
        <v>208</v>
      </c>
      <c r="F125" s="2">
        <v>400</v>
      </c>
      <c r="G125" s="2">
        <v>670</v>
      </c>
      <c r="H125" s="16" t="s">
        <v>217</v>
      </c>
      <c r="I125" s="16"/>
      <c r="J125" s="3"/>
      <c r="K125" s="3"/>
      <c r="L125" s="16"/>
    </row>
    <row r="126" spans="1:12" x14ac:dyDescent="0.3">
      <c r="A126" s="3" t="s">
        <v>102</v>
      </c>
      <c r="B126" s="2">
        <v>60</v>
      </c>
      <c r="C126" s="2">
        <v>30</v>
      </c>
      <c r="D126" s="2">
        <v>60</v>
      </c>
      <c r="E126" s="2">
        <v>50</v>
      </c>
      <c r="F126" s="2">
        <v>180</v>
      </c>
      <c r="G126" s="2">
        <v>350</v>
      </c>
      <c r="H126" s="8">
        <f>SUM(B126:G126)</f>
        <v>730</v>
      </c>
      <c r="I126" s="16"/>
      <c r="J126" s="3"/>
      <c r="K126" s="3"/>
      <c r="L126" s="16"/>
    </row>
    <row r="127" spans="1:12" x14ac:dyDescent="0.3">
      <c r="A127" s="3" t="s">
        <v>2</v>
      </c>
      <c r="B127" s="2">
        <v>60</v>
      </c>
      <c r="C127" s="2">
        <v>65</v>
      </c>
      <c r="D127" s="2">
        <v>70</v>
      </c>
      <c r="E127" s="2">
        <v>75</v>
      </c>
      <c r="F127" s="2">
        <v>100</v>
      </c>
      <c r="G127" s="2">
        <v>170</v>
      </c>
      <c r="H127" s="16"/>
      <c r="I127" s="16"/>
      <c r="J127" s="3"/>
      <c r="K127" s="3"/>
      <c r="L127" s="16"/>
    </row>
    <row r="128" spans="1:12" x14ac:dyDescent="0.3">
      <c r="A128" s="3" t="s">
        <v>3</v>
      </c>
      <c r="B128" s="2">
        <v>30</v>
      </c>
      <c r="C128" s="2">
        <v>30</v>
      </c>
      <c r="D128" s="2">
        <v>35</v>
      </c>
      <c r="E128" s="2">
        <v>38</v>
      </c>
      <c r="F128" s="2">
        <v>50</v>
      </c>
      <c r="G128" s="2">
        <v>65</v>
      </c>
      <c r="H128" s="16"/>
      <c r="I128" s="16"/>
      <c r="J128" s="3"/>
      <c r="K128" s="3"/>
      <c r="L128" s="16"/>
    </row>
    <row r="129" spans="1:12" x14ac:dyDescent="0.3">
      <c r="A129" s="3" t="s">
        <v>4</v>
      </c>
      <c r="B129" s="8">
        <f t="shared" ref="B129:G129" si="39">B127*B128</f>
        <v>1800</v>
      </c>
      <c r="C129" s="8">
        <f t="shared" si="39"/>
        <v>1950</v>
      </c>
      <c r="D129" s="8">
        <f t="shared" si="39"/>
        <v>2450</v>
      </c>
      <c r="E129" s="8">
        <f t="shared" si="39"/>
        <v>2850</v>
      </c>
      <c r="F129" s="8">
        <f t="shared" si="39"/>
        <v>5000</v>
      </c>
      <c r="G129" s="8">
        <f t="shared" si="39"/>
        <v>11050</v>
      </c>
      <c r="H129" s="16"/>
      <c r="I129" s="16"/>
      <c r="J129" s="3"/>
      <c r="K129" s="3"/>
      <c r="L129" s="16"/>
    </row>
    <row r="130" spans="1:12" x14ac:dyDescent="0.3">
      <c r="A130" s="32" t="s">
        <v>236</v>
      </c>
      <c r="B130" s="15">
        <v>1.5</v>
      </c>
      <c r="C130" s="70">
        <v>1.5</v>
      </c>
      <c r="D130" s="70">
        <v>1.5</v>
      </c>
      <c r="E130" s="70">
        <v>1.7</v>
      </c>
      <c r="F130" s="123">
        <v>1.9</v>
      </c>
      <c r="G130" s="125">
        <v>2.2999999999999998</v>
      </c>
      <c r="H130" s="145" t="s">
        <v>240</v>
      </c>
      <c r="I130" s="146"/>
      <c r="J130" s="135"/>
      <c r="K130" s="3"/>
      <c r="L130" s="16"/>
    </row>
    <row r="131" spans="1:12" x14ac:dyDescent="0.3">
      <c r="A131" s="3" t="s">
        <v>180</v>
      </c>
      <c r="B131" s="2">
        <f>B130*10000</f>
        <v>15000</v>
      </c>
      <c r="C131" s="2">
        <f t="shared" ref="C131:G131" si="40">C130*10000</f>
        <v>15000</v>
      </c>
      <c r="D131" s="2">
        <f t="shared" si="40"/>
        <v>15000</v>
      </c>
      <c r="E131" s="2">
        <f t="shared" si="40"/>
        <v>17000</v>
      </c>
      <c r="F131" s="2">
        <f t="shared" si="40"/>
        <v>19000</v>
      </c>
      <c r="G131" s="2">
        <f t="shared" si="40"/>
        <v>23000</v>
      </c>
      <c r="H131" s="16"/>
      <c r="I131" s="16"/>
      <c r="J131" s="3"/>
      <c r="K131" s="3"/>
      <c r="L131" s="137"/>
    </row>
    <row r="132" spans="1:12" s="3" customFormat="1" ht="30" customHeight="1" x14ac:dyDescent="0.3">
      <c r="A132" s="28" t="s">
        <v>8</v>
      </c>
      <c r="B132" s="107">
        <f>(B129/B131)*100</f>
        <v>12</v>
      </c>
      <c r="C132" s="107">
        <f t="shared" ref="C132:G132" si="41">(C129/C131)*100</f>
        <v>13</v>
      </c>
      <c r="D132" s="18">
        <f t="shared" si="41"/>
        <v>16.333333333333332</v>
      </c>
      <c r="E132" s="18">
        <f t="shared" si="41"/>
        <v>16.764705882352938</v>
      </c>
      <c r="F132" s="18">
        <f t="shared" si="41"/>
        <v>26.315789473684209</v>
      </c>
      <c r="G132" s="18">
        <f t="shared" si="41"/>
        <v>48.043478260869563</v>
      </c>
      <c r="H132" s="18">
        <f>(B126*B132)+(C126*C132)+(D126*D132)+(E126*E132)+(F126*F132)+(G126*G132)</f>
        <v>24480.294790685151</v>
      </c>
      <c r="I132" s="91">
        <f>H132/H126</f>
        <v>33.534650398198835</v>
      </c>
      <c r="J132" s="39" t="s">
        <v>77</v>
      </c>
      <c r="L132" s="16"/>
    </row>
    <row r="133" spans="1:12" s="3" customFormat="1" ht="17.25" customHeight="1" x14ac:dyDescent="0.3">
      <c r="A133" s="94" t="s">
        <v>220</v>
      </c>
      <c r="B133" s="8"/>
      <c r="C133" s="8"/>
      <c r="D133" s="122"/>
      <c r="E133" s="122"/>
      <c r="F133" s="8"/>
      <c r="G133" s="8"/>
      <c r="H133" s="16"/>
      <c r="I133" s="106" t="s">
        <v>18</v>
      </c>
      <c r="J133" s="3" t="s">
        <v>182</v>
      </c>
      <c r="L133" s="16"/>
    </row>
    <row r="134" spans="1:12" s="3" customFormat="1" ht="15.75" customHeight="1" x14ac:dyDescent="0.3">
      <c r="A134" s="63"/>
      <c r="B134" s="2">
        <v>60</v>
      </c>
      <c r="C134" s="2">
        <v>90</v>
      </c>
      <c r="D134" s="2">
        <v>150</v>
      </c>
      <c r="E134" s="2">
        <v>220</v>
      </c>
      <c r="F134" s="2">
        <v>400</v>
      </c>
      <c r="G134" s="2">
        <v>670</v>
      </c>
      <c r="H134" s="16" t="s">
        <v>217</v>
      </c>
      <c r="I134" s="16"/>
      <c r="L134" s="16"/>
    </row>
    <row r="135" spans="1:12" s="3" customFormat="1" ht="16.5" customHeight="1" x14ac:dyDescent="0.3">
      <c r="A135" s="3" t="s">
        <v>102</v>
      </c>
      <c r="B135" s="2">
        <v>60</v>
      </c>
      <c r="C135" s="2">
        <v>30</v>
      </c>
      <c r="D135" s="2">
        <v>60</v>
      </c>
      <c r="E135" s="2">
        <v>50</v>
      </c>
      <c r="F135" s="2">
        <v>180</v>
      </c>
      <c r="G135" s="2">
        <v>350</v>
      </c>
      <c r="H135" s="8">
        <f>SUM(B135:G135)</f>
        <v>730</v>
      </c>
      <c r="I135" s="16"/>
      <c r="L135" s="16"/>
    </row>
    <row r="136" spans="1:12" s="3" customFormat="1" ht="17.25" customHeight="1" x14ac:dyDescent="0.3">
      <c r="A136" s="3" t="s">
        <v>2</v>
      </c>
      <c r="B136" s="2">
        <v>60</v>
      </c>
      <c r="C136" s="2">
        <v>65</v>
      </c>
      <c r="D136" s="2">
        <v>70</v>
      </c>
      <c r="E136" s="2">
        <v>75</v>
      </c>
      <c r="F136" s="2">
        <v>100</v>
      </c>
      <c r="G136" s="2">
        <v>170</v>
      </c>
      <c r="H136" s="16"/>
      <c r="I136" s="16"/>
      <c r="L136" s="16"/>
    </row>
    <row r="137" spans="1:12" s="3" customFormat="1" ht="17.25" customHeight="1" x14ac:dyDescent="0.3">
      <c r="A137" s="3" t="s">
        <v>3</v>
      </c>
      <c r="B137" s="2">
        <v>30</v>
      </c>
      <c r="C137" s="2">
        <v>30</v>
      </c>
      <c r="D137" s="2">
        <v>35</v>
      </c>
      <c r="E137" s="2">
        <v>38</v>
      </c>
      <c r="F137" s="2">
        <v>50</v>
      </c>
      <c r="G137" s="2">
        <v>65</v>
      </c>
      <c r="H137" s="16"/>
      <c r="I137" s="16"/>
      <c r="L137" s="16"/>
    </row>
    <row r="138" spans="1:12" s="3" customFormat="1" ht="18" customHeight="1" x14ac:dyDescent="0.3">
      <c r="A138" s="3" t="s">
        <v>4</v>
      </c>
      <c r="B138" s="8">
        <f t="shared" ref="B138:G138" si="42">B136*B137</f>
        <v>1800</v>
      </c>
      <c r="C138" s="8">
        <f t="shared" si="42"/>
        <v>1950</v>
      </c>
      <c r="D138" s="8">
        <f t="shared" si="42"/>
        <v>2450</v>
      </c>
      <c r="E138" s="8">
        <f t="shared" si="42"/>
        <v>2850</v>
      </c>
      <c r="F138" s="8">
        <f t="shared" si="42"/>
        <v>5000</v>
      </c>
      <c r="G138" s="8">
        <f t="shared" si="42"/>
        <v>11050</v>
      </c>
      <c r="H138" s="16"/>
      <c r="I138" s="16"/>
      <c r="L138" s="16"/>
    </row>
    <row r="139" spans="1:12" s="3" customFormat="1" ht="17.25" customHeight="1" x14ac:dyDescent="0.3">
      <c r="A139" s="32" t="s">
        <v>252</v>
      </c>
      <c r="B139" s="15">
        <v>1.5</v>
      </c>
      <c r="C139" s="70">
        <v>2.7</v>
      </c>
      <c r="D139" s="70">
        <v>2.7</v>
      </c>
      <c r="E139" s="70">
        <v>3.4</v>
      </c>
      <c r="F139" s="123">
        <v>4.2</v>
      </c>
      <c r="G139" s="70">
        <v>4.8</v>
      </c>
      <c r="H139" s="15"/>
      <c r="I139" s="16"/>
      <c r="L139" s="16"/>
    </row>
    <row r="140" spans="1:12" s="3" customFormat="1" ht="15.75" customHeight="1" x14ac:dyDescent="0.3">
      <c r="A140" s="3" t="s">
        <v>180</v>
      </c>
      <c r="B140" s="2">
        <f>B139*10000</f>
        <v>15000</v>
      </c>
      <c r="C140" s="2">
        <f t="shared" ref="C140:G140" si="43">C139*10000</f>
        <v>27000</v>
      </c>
      <c r="D140" s="2">
        <f t="shared" si="43"/>
        <v>27000</v>
      </c>
      <c r="E140" s="2">
        <f t="shared" si="43"/>
        <v>34000</v>
      </c>
      <c r="F140" s="2">
        <f t="shared" si="43"/>
        <v>42000</v>
      </c>
      <c r="G140" s="2">
        <f t="shared" si="43"/>
        <v>48000</v>
      </c>
      <c r="H140" s="16"/>
      <c r="I140" s="16"/>
      <c r="L140" s="16"/>
    </row>
    <row r="141" spans="1:12" s="3" customFormat="1" ht="17.25" customHeight="1" x14ac:dyDescent="0.3">
      <c r="A141" s="28" t="s">
        <v>8</v>
      </c>
      <c r="B141" s="107">
        <f>(B138/B140)*100</f>
        <v>12</v>
      </c>
      <c r="C141" s="18">
        <f t="shared" ref="C141:G141" si="44">(C138/C140)*100</f>
        <v>7.2222222222222214</v>
      </c>
      <c r="D141" s="18">
        <f t="shared" si="44"/>
        <v>9.0740740740740744</v>
      </c>
      <c r="E141" s="18">
        <f t="shared" si="44"/>
        <v>8.3823529411764692</v>
      </c>
      <c r="F141" s="18">
        <f t="shared" si="44"/>
        <v>11.904761904761903</v>
      </c>
      <c r="G141" s="18">
        <f t="shared" si="44"/>
        <v>23.020833333333332</v>
      </c>
      <c r="H141" s="18">
        <f>(B135*B141)+(C135*C141)+(D135*D141)+(E135*E141)+(F135*F141)+(G135*G141)</f>
        <v>12100.377567693744</v>
      </c>
      <c r="I141" s="91">
        <f>H141/H135</f>
        <v>16.575859681772251</v>
      </c>
      <c r="J141" s="39" t="s">
        <v>77</v>
      </c>
      <c r="L141" s="16"/>
    </row>
    <row r="142" spans="1:12" x14ac:dyDescent="0.3">
      <c r="A142" s="94" t="s">
        <v>234</v>
      </c>
      <c r="B142" s="8"/>
      <c r="C142" s="8"/>
      <c r="D142" s="8"/>
      <c r="E142" s="8"/>
      <c r="F142" s="8"/>
      <c r="G142" s="8"/>
      <c r="H142" s="16"/>
      <c r="I142" s="106" t="s">
        <v>18</v>
      </c>
      <c r="J142" s="3" t="s">
        <v>247</v>
      </c>
    </row>
    <row r="143" spans="1:12" x14ac:dyDescent="0.3">
      <c r="A143" s="63"/>
      <c r="B143" s="2">
        <v>60</v>
      </c>
      <c r="C143" s="2">
        <v>90</v>
      </c>
      <c r="D143" s="142" t="s">
        <v>207</v>
      </c>
      <c r="E143" s="142" t="s">
        <v>208</v>
      </c>
      <c r="F143" s="2">
        <v>400</v>
      </c>
      <c r="G143" s="2">
        <v>670</v>
      </c>
      <c r="H143" s="16" t="s">
        <v>217</v>
      </c>
      <c r="I143" s="16"/>
      <c r="J143" s="3"/>
    </row>
    <row r="144" spans="1:12" x14ac:dyDescent="0.3">
      <c r="A144" s="3" t="s">
        <v>102</v>
      </c>
      <c r="B144" s="2">
        <v>60</v>
      </c>
      <c r="C144" s="2">
        <v>30</v>
      </c>
      <c r="D144" s="2">
        <v>60</v>
      </c>
      <c r="E144" s="2">
        <v>50</v>
      </c>
      <c r="F144" s="2">
        <v>180</v>
      </c>
      <c r="G144" s="2">
        <v>350</v>
      </c>
      <c r="H144" s="8">
        <f>SUM(B144:G144)</f>
        <v>730</v>
      </c>
      <c r="I144" s="16"/>
      <c r="J144" s="3"/>
    </row>
    <row r="145" spans="1:10" x14ac:dyDescent="0.3">
      <c r="A145" s="3" t="s">
        <v>2</v>
      </c>
      <c r="B145" s="2">
        <v>60</v>
      </c>
      <c r="C145" s="2">
        <v>65</v>
      </c>
      <c r="D145" s="2">
        <v>70</v>
      </c>
      <c r="E145" s="2">
        <v>75</v>
      </c>
      <c r="F145" s="2">
        <v>100</v>
      </c>
      <c r="G145" s="2">
        <v>170</v>
      </c>
      <c r="H145" s="16"/>
      <c r="I145" s="16"/>
      <c r="J145" s="3"/>
    </row>
    <row r="146" spans="1:10" x14ac:dyDescent="0.3">
      <c r="A146" s="3" t="s">
        <v>3</v>
      </c>
      <c r="B146" s="2">
        <v>30</v>
      </c>
      <c r="C146" s="2">
        <v>30</v>
      </c>
      <c r="D146" s="2">
        <v>35</v>
      </c>
      <c r="E146" s="2">
        <v>38</v>
      </c>
      <c r="F146" s="2">
        <v>50</v>
      </c>
      <c r="G146" s="2">
        <v>65</v>
      </c>
      <c r="H146" s="16"/>
      <c r="I146" s="16"/>
      <c r="J146" s="3"/>
    </row>
    <row r="147" spans="1:10" x14ac:dyDescent="0.3">
      <c r="A147" s="3" t="s">
        <v>4</v>
      </c>
      <c r="B147" s="8">
        <f t="shared" ref="B147:G147" si="45">B145*B146</f>
        <v>1800</v>
      </c>
      <c r="C147" s="8">
        <f t="shared" si="45"/>
        <v>1950</v>
      </c>
      <c r="D147" s="8">
        <f t="shared" si="45"/>
        <v>2450</v>
      </c>
      <c r="E147" s="8">
        <f t="shared" si="45"/>
        <v>2850</v>
      </c>
      <c r="F147" s="8">
        <f t="shared" si="45"/>
        <v>5000</v>
      </c>
      <c r="G147" s="8">
        <f t="shared" si="45"/>
        <v>11050</v>
      </c>
      <c r="H147" s="16"/>
      <c r="I147" s="16"/>
      <c r="J147" s="3"/>
    </row>
    <row r="148" spans="1:10" x14ac:dyDescent="0.3">
      <c r="A148" s="32" t="s">
        <v>216</v>
      </c>
      <c r="B148" s="15">
        <v>1.5</v>
      </c>
      <c r="C148" s="70">
        <v>1.5</v>
      </c>
      <c r="D148" s="70">
        <v>1.5</v>
      </c>
      <c r="E148" s="70">
        <v>1.7</v>
      </c>
      <c r="F148" s="123">
        <v>1.8</v>
      </c>
      <c r="G148" s="125">
        <v>2.2999999999999998</v>
      </c>
      <c r="H148" s="145" t="s">
        <v>239</v>
      </c>
      <c r="I148" s="146"/>
      <c r="J148" s="135"/>
    </row>
    <row r="149" spans="1:10" x14ac:dyDescent="0.3">
      <c r="A149" s="3" t="s">
        <v>180</v>
      </c>
      <c r="B149" s="2">
        <f>B148*10000</f>
        <v>15000</v>
      </c>
      <c r="C149" s="2">
        <f t="shared" ref="C149" si="46">C148*10000</f>
        <v>15000</v>
      </c>
      <c r="D149" s="2">
        <f t="shared" ref="D149" si="47">D148*10000</f>
        <v>15000</v>
      </c>
      <c r="E149" s="2">
        <f t="shared" ref="E149" si="48">E148*10000</f>
        <v>17000</v>
      </c>
      <c r="F149" s="2">
        <f t="shared" ref="F149" si="49">F148*10000</f>
        <v>18000</v>
      </c>
      <c r="G149" s="2">
        <f t="shared" ref="G149" si="50">G148*10000</f>
        <v>23000</v>
      </c>
      <c r="H149" s="16"/>
      <c r="I149" s="16"/>
      <c r="J149" s="3"/>
    </row>
    <row r="150" spans="1:10" ht="30" customHeight="1" x14ac:dyDescent="0.3">
      <c r="A150" s="28" t="s">
        <v>8</v>
      </c>
      <c r="B150" s="107">
        <f>(B147/B149)*100</f>
        <v>12</v>
      </c>
      <c r="C150" s="107">
        <f t="shared" ref="C150" si="51">(C147/C149)*100</f>
        <v>13</v>
      </c>
      <c r="D150" s="18">
        <f t="shared" ref="D150" si="52">(D147/D149)*100</f>
        <v>16.333333333333332</v>
      </c>
      <c r="E150" s="18">
        <f t="shared" ref="E150" si="53">(E147/E149)*100</f>
        <v>16.764705882352938</v>
      </c>
      <c r="F150" s="18">
        <f t="shared" ref="F150" si="54">(F147/F149)*100</f>
        <v>27.777777777777779</v>
      </c>
      <c r="G150" s="18">
        <f t="shared" ref="G150" si="55">(G147/G149)*100</f>
        <v>48.043478260869563</v>
      </c>
      <c r="H150" s="18">
        <f>(B144*B150)+(C144*C150)+(D144*D150)+(E144*E150)+(F144*F150)+(G144*G150)</f>
        <v>24743.452685421995</v>
      </c>
      <c r="I150" s="91">
        <f>H150/H144</f>
        <v>33.895140664961637</v>
      </c>
      <c r="J150" s="39" t="s">
        <v>77</v>
      </c>
    </row>
    <row r="151" spans="1:10" ht="30" customHeight="1" x14ac:dyDescent="0.3">
      <c r="A151" s="3"/>
      <c r="B151" s="2"/>
      <c r="C151" s="2"/>
      <c r="D151" s="8"/>
      <c r="E151" s="8"/>
      <c r="F151" s="8"/>
      <c r="G151" s="8"/>
      <c r="H151" s="8"/>
      <c r="I151" s="137"/>
      <c r="J151" s="32"/>
    </row>
    <row r="152" spans="1:10" ht="18" customHeight="1" x14ac:dyDescent="0.3">
      <c r="A152" s="94" t="s">
        <v>260</v>
      </c>
      <c r="B152" s="8"/>
      <c r="C152" s="8"/>
      <c r="D152" s="35" t="s">
        <v>207</v>
      </c>
      <c r="E152" s="35" t="s">
        <v>237</v>
      </c>
      <c r="F152" s="35" t="s">
        <v>238</v>
      </c>
      <c r="G152" s="35"/>
      <c r="H152" s="16"/>
      <c r="I152" s="106" t="s">
        <v>18</v>
      </c>
      <c r="J152" s="3" t="s">
        <v>257</v>
      </c>
    </row>
    <row r="153" spans="1:10" ht="15.75" customHeight="1" x14ac:dyDescent="0.3">
      <c r="A153" s="63"/>
      <c r="B153" s="2">
        <v>60</v>
      </c>
      <c r="C153" s="2">
        <v>90</v>
      </c>
      <c r="D153" s="122" t="s">
        <v>207</v>
      </c>
      <c r="E153" s="122" t="s">
        <v>208</v>
      </c>
      <c r="F153" s="2">
        <v>400</v>
      </c>
      <c r="G153" s="2">
        <v>670</v>
      </c>
      <c r="H153" s="16" t="s">
        <v>217</v>
      </c>
      <c r="I153" s="16"/>
      <c r="J153" s="3"/>
    </row>
    <row r="154" spans="1:10" ht="16.5" customHeight="1" x14ac:dyDescent="0.3">
      <c r="A154" s="3" t="s">
        <v>102</v>
      </c>
      <c r="B154" s="2">
        <v>60</v>
      </c>
      <c r="C154" s="2">
        <v>30</v>
      </c>
      <c r="D154" s="2">
        <v>60</v>
      </c>
      <c r="E154" s="2">
        <v>50</v>
      </c>
      <c r="F154" s="2">
        <v>180</v>
      </c>
      <c r="G154" s="2">
        <v>350</v>
      </c>
      <c r="H154" s="8">
        <f>SUM(B154:G154)</f>
        <v>730</v>
      </c>
      <c r="I154" s="16"/>
      <c r="J154" s="3"/>
    </row>
    <row r="155" spans="1:10" ht="15.75" customHeight="1" x14ac:dyDescent="0.3">
      <c r="A155" s="3" t="s">
        <v>2</v>
      </c>
      <c r="B155" s="2">
        <v>60</v>
      </c>
      <c r="C155" s="2">
        <v>65</v>
      </c>
      <c r="D155" s="2">
        <v>70</v>
      </c>
      <c r="E155" s="2">
        <v>75</v>
      </c>
      <c r="F155" s="2">
        <v>100</v>
      </c>
      <c r="G155" s="2">
        <v>170</v>
      </c>
      <c r="H155" s="16"/>
      <c r="I155" s="16"/>
      <c r="J155" s="3"/>
    </row>
    <row r="156" spans="1:10" ht="14.25" customHeight="1" x14ac:dyDescent="0.3">
      <c r="A156" s="3" t="s">
        <v>3</v>
      </c>
      <c r="B156" s="2">
        <v>30</v>
      </c>
      <c r="C156" s="2">
        <v>30</v>
      </c>
      <c r="D156" s="2">
        <v>35</v>
      </c>
      <c r="E156" s="2">
        <v>38</v>
      </c>
      <c r="F156" s="2">
        <v>50</v>
      </c>
      <c r="G156" s="2">
        <v>65</v>
      </c>
      <c r="H156" s="16"/>
      <c r="I156" s="16"/>
      <c r="J156" s="3"/>
    </row>
    <row r="157" spans="1:10" ht="15" customHeight="1" x14ac:dyDescent="0.3">
      <c r="A157" s="3" t="s">
        <v>4</v>
      </c>
      <c r="B157" s="8">
        <f t="shared" ref="B157:G157" si="56">B155*B156</f>
        <v>1800</v>
      </c>
      <c r="C157" s="8">
        <f t="shared" si="56"/>
        <v>1950</v>
      </c>
      <c r="D157" s="8">
        <f t="shared" si="56"/>
        <v>2450</v>
      </c>
      <c r="E157" s="8">
        <f t="shared" si="56"/>
        <v>2850</v>
      </c>
      <c r="F157" s="8">
        <f t="shared" si="56"/>
        <v>5000</v>
      </c>
      <c r="G157" s="8">
        <f t="shared" si="56"/>
        <v>11050</v>
      </c>
      <c r="H157" s="16"/>
      <c r="I157" s="16"/>
      <c r="J157" s="3"/>
    </row>
    <row r="158" spans="1:10" ht="15" customHeight="1" x14ac:dyDescent="0.3">
      <c r="A158" s="32" t="s">
        <v>216</v>
      </c>
      <c r="B158" s="15">
        <v>1.5</v>
      </c>
      <c r="C158" s="70">
        <v>1.5</v>
      </c>
      <c r="D158" s="70">
        <v>1.5</v>
      </c>
      <c r="E158" s="70">
        <v>2</v>
      </c>
      <c r="F158" s="123">
        <v>3</v>
      </c>
      <c r="G158" s="123">
        <v>3</v>
      </c>
      <c r="H158" s="52"/>
      <c r="I158" s="16"/>
      <c r="J158" s="3"/>
    </row>
    <row r="159" spans="1:10" ht="15" customHeight="1" x14ac:dyDescent="0.3">
      <c r="A159" s="3" t="s">
        <v>180</v>
      </c>
      <c r="B159" s="2">
        <f>B158*10000</f>
        <v>15000</v>
      </c>
      <c r="C159" s="2">
        <f t="shared" ref="C159:G159" si="57">C158*10000</f>
        <v>15000</v>
      </c>
      <c r="D159" s="2">
        <f t="shared" si="57"/>
        <v>15000</v>
      </c>
      <c r="E159" s="2">
        <f t="shared" si="57"/>
        <v>20000</v>
      </c>
      <c r="F159" s="2">
        <f t="shared" si="57"/>
        <v>30000</v>
      </c>
      <c r="G159" s="2">
        <f t="shared" si="57"/>
        <v>30000</v>
      </c>
      <c r="H159" s="16"/>
      <c r="I159" s="16"/>
      <c r="J159" s="3"/>
    </row>
    <row r="160" spans="1:10" ht="17.25" customHeight="1" x14ac:dyDescent="0.3">
      <c r="A160" s="28" t="s">
        <v>8</v>
      </c>
      <c r="B160" s="107">
        <f>(B157/B159)*100</f>
        <v>12</v>
      </c>
      <c r="C160" s="107">
        <f t="shared" ref="C160:G160" si="58">(C157/C159)*100</f>
        <v>13</v>
      </c>
      <c r="D160" s="18">
        <f t="shared" si="58"/>
        <v>16.333333333333332</v>
      </c>
      <c r="E160" s="18">
        <f t="shared" si="58"/>
        <v>14.249999999999998</v>
      </c>
      <c r="F160" s="18">
        <f t="shared" si="58"/>
        <v>16.666666666666664</v>
      </c>
      <c r="G160" s="18">
        <f t="shared" si="58"/>
        <v>36.833333333333336</v>
      </c>
      <c r="H160" s="18">
        <f>(B154*B160)+(C154*C160)+(D154*D160)+(E154*E160)+(F154*F160)+(G154*G160)</f>
        <v>18694.166666666668</v>
      </c>
      <c r="I160" s="91">
        <f>H160/H154</f>
        <v>25.608447488584478</v>
      </c>
      <c r="J160" s="39" t="s">
        <v>77</v>
      </c>
    </row>
    <row r="161" spans="1:10" x14ac:dyDescent="0.3">
      <c r="A161" s="40" t="s">
        <v>225</v>
      </c>
      <c r="B161" s="30" t="s">
        <v>230</v>
      </c>
      <c r="C161" s="31"/>
      <c r="D161" s="31"/>
      <c r="E161" s="31"/>
      <c r="F161" s="38"/>
      <c r="G161" s="10"/>
      <c r="H161" s="1"/>
    </row>
    <row r="162" spans="1:10" ht="28.8" x14ac:dyDescent="0.3">
      <c r="A162" s="3"/>
      <c r="B162" s="26" t="s">
        <v>171</v>
      </c>
      <c r="C162" s="10" t="s">
        <v>90</v>
      </c>
      <c r="D162" t="s">
        <v>167</v>
      </c>
      <c r="E162" s="31"/>
      <c r="F162" s="38"/>
      <c r="G162" s="10"/>
      <c r="H162" s="1"/>
    </row>
    <row r="163" spans="1:10" x14ac:dyDescent="0.3">
      <c r="A163" s="111" t="s">
        <v>249</v>
      </c>
      <c r="B163" s="147">
        <v>0.28999999999999998</v>
      </c>
      <c r="C163" s="11">
        <f>1-B163</f>
        <v>0.71</v>
      </c>
      <c r="D163" s="116">
        <f>C163*$I$132</f>
        <v>23.80960178272117</v>
      </c>
      <c r="E163" s="93"/>
      <c r="F163" s="93"/>
      <c r="G163" s="93"/>
      <c r="H163" s="93"/>
    </row>
    <row r="164" spans="1:10" x14ac:dyDescent="0.3">
      <c r="A164" s="111" t="s">
        <v>250</v>
      </c>
      <c r="B164" s="147">
        <v>0.28999999999999998</v>
      </c>
      <c r="C164" s="11">
        <f>1-B164</f>
        <v>0.71</v>
      </c>
      <c r="D164" s="116">
        <f>C164*$I$141</f>
        <v>11.768860374058297</v>
      </c>
      <c r="E164" s="93"/>
      <c r="F164" s="93"/>
      <c r="G164" s="93"/>
      <c r="H164" s="93"/>
    </row>
    <row r="165" spans="1:10" x14ac:dyDescent="0.3">
      <c r="A165" s="111" t="s">
        <v>61</v>
      </c>
      <c r="B165" s="147">
        <v>0.54</v>
      </c>
      <c r="C165" s="11">
        <f t="shared" ref="C165:C175" si="59">1-B165</f>
        <v>0.45999999999999996</v>
      </c>
      <c r="D165" s="116">
        <f>C165*$I$150</f>
        <v>15.591764705882351</v>
      </c>
      <c r="E165" s="59"/>
      <c r="F165" s="59"/>
      <c r="G165" s="59"/>
      <c r="H165" s="116"/>
    </row>
    <row r="166" spans="1:10" x14ac:dyDescent="0.3">
      <c r="A166" s="111" t="s">
        <v>65</v>
      </c>
      <c r="B166" s="147">
        <v>0.52</v>
      </c>
      <c r="C166" s="11">
        <f t="shared" si="59"/>
        <v>0.48</v>
      </c>
      <c r="D166" s="116">
        <f t="shared" ref="D166:D174" si="60">C166*$I$150</f>
        <v>16.269667519181585</v>
      </c>
      <c r="E166" s="59"/>
      <c r="F166" s="59"/>
      <c r="G166" s="59"/>
      <c r="H166" s="116"/>
    </row>
    <row r="167" spans="1:10" x14ac:dyDescent="0.3">
      <c r="A167" s="111" t="s">
        <v>66</v>
      </c>
      <c r="B167" s="147">
        <v>0.03</v>
      </c>
      <c r="C167" s="11">
        <f t="shared" si="59"/>
        <v>0.97</v>
      </c>
      <c r="D167" s="116">
        <f t="shared" si="60"/>
        <v>32.87828644501279</v>
      </c>
      <c r="E167" s="59"/>
      <c r="F167" s="59"/>
      <c r="G167" s="59"/>
      <c r="H167" s="116"/>
    </row>
    <row r="168" spans="1:10" x14ac:dyDescent="0.3">
      <c r="A168" s="111" t="s">
        <v>227</v>
      </c>
      <c r="B168" s="148">
        <f>(B165+B170)/2</f>
        <v>0.375</v>
      </c>
      <c r="C168" s="11">
        <f t="shared" si="59"/>
        <v>0.625</v>
      </c>
      <c r="D168" s="116">
        <f t="shared" si="60"/>
        <v>21.184462915601024</v>
      </c>
      <c r="E168" s="59"/>
      <c r="F168" s="59"/>
      <c r="G168" s="59"/>
      <c r="H168" s="116"/>
    </row>
    <row r="169" spans="1:10" x14ac:dyDescent="0.3">
      <c r="A169" s="111" t="s">
        <v>69</v>
      </c>
      <c r="B169" s="147">
        <v>0.65</v>
      </c>
      <c r="C169" s="11">
        <f t="shared" si="59"/>
        <v>0.35</v>
      </c>
      <c r="D169" s="116">
        <f t="shared" si="60"/>
        <v>11.863299232736573</v>
      </c>
      <c r="E169" s="59"/>
      <c r="F169" s="59"/>
      <c r="G169" s="59"/>
      <c r="H169" s="116"/>
    </row>
    <row r="170" spans="1:10" x14ac:dyDescent="0.3">
      <c r="A170" s="111" t="s">
        <v>62</v>
      </c>
      <c r="B170" s="147">
        <v>0.21</v>
      </c>
      <c r="C170" s="11">
        <f t="shared" si="59"/>
        <v>0.79</v>
      </c>
      <c r="D170" s="116">
        <f t="shared" si="60"/>
        <v>26.777161125319694</v>
      </c>
      <c r="E170" s="59"/>
      <c r="F170" s="59"/>
      <c r="G170" s="59"/>
      <c r="H170" s="116"/>
    </row>
    <row r="171" spans="1:10" x14ac:dyDescent="0.3">
      <c r="A171" s="111" t="s">
        <v>70</v>
      </c>
      <c r="B171" s="147">
        <v>0.48</v>
      </c>
      <c r="C171" s="11">
        <f t="shared" si="59"/>
        <v>0.52</v>
      </c>
      <c r="D171" s="116">
        <f>C171*$I$123</f>
        <v>13.491367980296504</v>
      </c>
      <c r="E171" s="59"/>
      <c r="F171" s="59"/>
      <c r="G171" s="59"/>
      <c r="H171" s="116"/>
    </row>
    <row r="172" spans="1:10" x14ac:dyDescent="0.3">
      <c r="A172" s="111" t="s">
        <v>68</v>
      </c>
      <c r="B172" s="147">
        <v>0.12</v>
      </c>
      <c r="C172" s="11">
        <f t="shared" si="59"/>
        <v>0.88</v>
      </c>
      <c r="D172" s="116">
        <f t="shared" si="60"/>
        <v>29.827723785166242</v>
      </c>
      <c r="E172" s="59"/>
      <c r="F172" s="59"/>
      <c r="G172" s="59"/>
      <c r="H172" s="116"/>
    </row>
    <row r="173" spans="1:10" x14ac:dyDescent="0.3">
      <c r="A173" s="111" t="s">
        <v>63</v>
      </c>
      <c r="B173" s="147">
        <v>0.33</v>
      </c>
      <c r="C173" s="11">
        <f t="shared" si="59"/>
        <v>0.66999999999999993</v>
      </c>
      <c r="D173" s="116">
        <f t="shared" si="60"/>
        <v>22.709744245524295</v>
      </c>
      <c r="E173" s="59"/>
      <c r="F173" s="59"/>
      <c r="G173" s="59"/>
      <c r="H173" s="116"/>
    </row>
    <row r="174" spans="1:10" x14ac:dyDescent="0.3">
      <c r="A174" s="156" t="s">
        <v>64</v>
      </c>
      <c r="B174">
        <v>0.25</v>
      </c>
      <c r="C174" s="11">
        <f t="shared" si="59"/>
        <v>0.75</v>
      </c>
      <c r="D174" s="116">
        <f t="shared" si="60"/>
        <v>25.421355498721226</v>
      </c>
      <c r="E174" s="59"/>
      <c r="F174" s="59"/>
      <c r="G174" s="59"/>
      <c r="H174" s="116"/>
    </row>
    <row r="175" spans="1:10" x14ac:dyDescent="0.3">
      <c r="A175" s="157" t="s">
        <v>253</v>
      </c>
      <c r="B175" s="17">
        <v>0.49</v>
      </c>
      <c r="C175" s="121">
        <f t="shared" si="59"/>
        <v>0.51</v>
      </c>
      <c r="D175" s="118">
        <f>C175*$I$160</f>
        <v>13.060308219178085</v>
      </c>
      <c r="E175" s="117"/>
      <c r="F175" s="117"/>
      <c r="G175" s="117"/>
      <c r="H175" s="118"/>
      <c r="I175" s="17"/>
      <c r="J175" s="17"/>
    </row>
    <row r="176" spans="1:10" x14ac:dyDescent="0.3">
      <c r="A176" s="40" t="s">
        <v>226</v>
      </c>
      <c r="B176" s="30" t="s">
        <v>229</v>
      </c>
      <c r="C176" s="31"/>
      <c r="D176" s="31"/>
      <c r="E176" s="31"/>
      <c r="F176" s="38"/>
      <c r="G176" s="10"/>
      <c r="H176" s="1"/>
    </row>
    <row r="177" spans="1:11" x14ac:dyDescent="0.3">
      <c r="A177" s="3"/>
      <c r="B177" s="30" t="s">
        <v>228</v>
      </c>
      <c r="C177" s="31"/>
      <c r="D177" s="31"/>
      <c r="E177" s="31"/>
      <c r="F177" s="38"/>
      <c r="G177" s="10"/>
      <c r="H177" s="1"/>
    </row>
    <row r="178" spans="1:11" ht="30" customHeight="1" x14ac:dyDescent="0.3">
      <c r="A178" s="3"/>
      <c r="B178" s="93" t="s">
        <v>204</v>
      </c>
      <c r="C178" s="93" t="s">
        <v>205</v>
      </c>
      <c r="D178" s="93" t="s">
        <v>77</v>
      </c>
    </row>
    <row r="179" spans="1:11" x14ac:dyDescent="0.3">
      <c r="A179" s="111" t="s">
        <v>60</v>
      </c>
      <c r="B179">
        <v>8.3000000000000007</v>
      </c>
      <c r="C179" s="59">
        <f>1-(B179/12)</f>
        <v>0.30833333333333324</v>
      </c>
      <c r="D179" s="116">
        <f>C179*$K$22</f>
        <v>4.6222585437544232</v>
      </c>
    </row>
    <row r="180" spans="1:11" x14ac:dyDescent="0.3">
      <c r="A180" s="111" t="s">
        <v>61</v>
      </c>
      <c r="B180">
        <v>9.25</v>
      </c>
      <c r="C180" s="59">
        <f t="shared" ref="C180:C190" si="61">1-(B180/12)</f>
        <v>0.22916666666666663</v>
      </c>
      <c r="D180" s="116">
        <f>C180*$K$32</f>
        <v>5.383875556259377</v>
      </c>
    </row>
    <row r="181" spans="1:11" x14ac:dyDescent="0.3">
      <c r="A181" s="111" t="s">
        <v>65</v>
      </c>
      <c r="B181">
        <v>8.31</v>
      </c>
      <c r="C181" s="59">
        <f t="shared" si="61"/>
        <v>0.3075</v>
      </c>
      <c r="D181" s="116">
        <f t="shared" ref="D181:D190" si="62">C181*$K$32</f>
        <v>7.2241821100353096</v>
      </c>
    </row>
    <row r="182" spans="1:11" x14ac:dyDescent="0.3">
      <c r="A182" s="111" t="s">
        <v>66</v>
      </c>
      <c r="B182">
        <v>8</v>
      </c>
      <c r="C182" s="59">
        <f t="shared" si="61"/>
        <v>0.33333333333333337</v>
      </c>
      <c r="D182" s="116">
        <f t="shared" si="62"/>
        <v>7.8310917181954594</v>
      </c>
    </row>
    <row r="183" spans="1:11" x14ac:dyDescent="0.3">
      <c r="A183" s="111" t="s">
        <v>67</v>
      </c>
      <c r="B183">
        <v>7.21</v>
      </c>
      <c r="C183" s="59">
        <f t="shared" si="61"/>
        <v>0.39916666666666667</v>
      </c>
      <c r="D183" s="116">
        <f t="shared" si="62"/>
        <v>9.3777323325390611</v>
      </c>
    </row>
    <row r="184" spans="1:11" x14ac:dyDescent="0.3">
      <c r="A184" s="111" t="s">
        <v>69</v>
      </c>
      <c r="B184">
        <v>9.3000000000000007</v>
      </c>
      <c r="C184" s="59">
        <f t="shared" si="61"/>
        <v>0.22499999999999998</v>
      </c>
      <c r="D184" s="116">
        <f t="shared" si="62"/>
        <v>5.2859869097819336</v>
      </c>
    </row>
    <row r="185" spans="1:11" x14ac:dyDescent="0.3">
      <c r="A185" s="111" t="s">
        <v>62</v>
      </c>
      <c r="B185">
        <v>7.67</v>
      </c>
      <c r="C185" s="59">
        <f t="shared" si="61"/>
        <v>0.36083333333333334</v>
      </c>
      <c r="D185" s="116">
        <f t="shared" si="62"/>
        <v>8.4771567849465832</v>
      </c>
    </row>
    <row r="186" spans="1:11" x14ac:dyDescent="0.3">
      <c r="A186" s="111" t="s">
        <v>70</v>
      </c>
      <c r="B186">
        <v>6.5</v>
      </c>
      <c r="C186" s="59">
        <f t="shared" si="61"/>
        <v>0.45833333333333337</v>
      </c>
      <c r="D186" s="116">
        <f>C186*$K$12</f>
        <v>7.2218171946038838</v>
      </c>
    </row>
    <row r="187" spans="1:11" x14ac:dyDescent="0.3">
      <c r="A187" s="111" t="s">
        <v>68</v>
      </c>
      <c r="B187">
        <v>5.76</v>
      </c>
      <c r="C187" s="59">
        <f t="shared" si="61"/>
        <v>0.52</v>
      </c>
      <c r="D187" s="116">
        <f t="shared" si="62"/>
        <v>12.216503080384916</v>
      </c>
    </row>
    <row r="188" spans="1:11" x14ac:dyDescent="0.3">
      <c r="A188" s="111" t="s">
        <v>63</v>
      </c>
      <c r="B188">
        <v>9.1999999999999993</v>
      </c>
      <c r="C188" s="59">
        <f t="shared" si="61"/>
        <v>0.23333333333333339</v>
      </c>
      <c r="D188" s="116">
        <f t="shared" si="62"/>
        <v>5.4817642027368221</v>
      </c>
    </row>
    <row r="189" spans="1:11" x14ac:dyDescent="0.3">
      <c r="A189" s="111" t="s">
        <v>64</v>
      </c>
      <c r="B189">
        <v>8.1</v>
      </c>
      <c r="C189" s="59">
        <f t="shared" si="61"/>
        <v>0.32500000000000007</v>
      </c>
      <c r="D189" s="116">
        <f t="shared" si="62"/>
        <v>7.6353144252405736</v>
      </c>
    </row>
    <row r="190" spans="1:11" x14ac:dyDescent="0.3">
      <c r="A190" s="113" t="s">
        <v>253</v>
      </c>
      <c r="B190" s="17">
        <v>8.9</v>
      </c>
      <c r="C190" s="17">
        <f t="shared" si="61"/>
        <v>0.2583333333333333</v>
      </c>
      <c r="D190" s="118">
        <f t="shared" si="62"/>
        <v>6.0690960816014794</v>
      </c>
      <c r="E190" s="17"/>
      <c r="F190" s="17"/>
      <c r="G190" s="17"/>
      <c r="H190" s="17"/>
      <c r="I190" s="17"/>
      <c r="J190" s="17"/>
      <c r="K190" s="17"/>
    </row>
  </sheetData>
  <mergeCells count="1">
    <mergeCell ref="E77:F77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67"/>
  <sheetViews>
    <sheetView topLeftCell="A35" workbookViewId="0">
      <selection activeCell="A44" sqref="A44"/>
    </sheetView>
  </sheetViews>
  <sheetFormatPr defaultRowHeight="14.4" x14ac:dyDescent="0.3"/>
  <cols>
    <col min="1" max="1" width="20.5546875" customWidth="1"/>
    <col min="2" max="2" width="15.33203125" customWidth="1"/>
    <col min="3" max="3" width="11.109375" customWidth="1"/>
    <col min="4" max="4" width="11" customWidth="1"/>
    <col min="5" max="5" width="11.44140625" customWidth="1"/>
    <col min="6" max="6" width="10.33203125" customWidth="1"/>
    <col min="7" max="7" width="11.5546875" customWidth="1"/>
    <col min="8" max="8" width="12.109375" customWidth="1"/>
    <col min="9" max="9" width="10" customWidth="1"/>
  </cols>
  <sheetData>
    <row r="1" spans="1:9" x14ac:dyDescent="0.3">
      <c r="A1" s="84" t="s">
        <v>29</v>
      </c>
      <c r="B1" s="23"/>
      <c r="C1" s="23"/>
      <c r="D1" s="23"/>
      <c r="E1" s="21"/>
      <c r="H1" s="21" t="s">
        <v>20</v>
      </c>
    </row>
    <row r="2" spans="1:9" x14ac:dyDescent="0.3">
      <c r="A2" s="85" t="s">
        <v>150</v>
      </c>
      <c r="B2" s="24"/>
      <c r="C2" s="24"/>
      <c r="D2" s="24"/>
      <c r="E2" s="24"/>
      <c r="F2" s="24"/>
      <c r="G2" s="24"/>
      <c r="H2" s="1"/>
    </row>
    <row r="3" spans="1:9" x14ac:dyDescent="0.3">
      <c r="A3" s="86" t="s">
        <v>149</v>
      </c>
      <c r="B3" s="23" t="s">
        <v>33</v>
      </c>
      <c r="C3" s="23" t="s">
        <v>156</v>
      </c>
      <c r="D3" s="23"/>
      <c r="E3" s="21"/>
      <c r="H3" s="22" t="s">
        <v>18</v>
      </c>
      <c r="I3" s="21" t="s">
        <v>151</v>
      </c>
    </row>
    <row r="4" spans="1:9" x14ac:dyDescent="0.3">
      <c r="A4" s="3" t="s">
        <v>102</v>
      </c>
      <c r="B4" s="2">
        <v>30</v>
      </c>
      <c r="C4" s="2">
        <v>30</v>
      </c>
      <c r="D4" s="2">
        <v>60</v>
      </c>
      <c r="E4" s="2">
        <v>80</v>
      </c>
      <c r="F4" s="8">
        <f>SUM(B4:E4)</f>
        <v>200</v>
      </c>
      <c r="G4" s="16"/>
    </row>
    <row r="5" spans="1:9" x14ac:dyDescent="0.3">
      <c r="A5" s="3" t="s">
        <v>2</v>
      </c>
      <c r="B5" s="2">
        <v>40</v>
      </c>
      <c r="C5" s="2">
        <v>60</v>
      </c>
      <c r="D5" s="2">
        <v>100</v>
      </c>
      <c r="E5" s="2">
        <v>120</v>
      </c>
      <c r="F5" s="15"/>
      <c r="G5" s="16"/>
    </row>
    <row r="6" spans="1:9" x14ac:dyDescent="0.3">
      <c r="A6" s="3" t="s">
        <v>3</v>
      </c>
      <c r="B6" s="2">
        <v>15</v>
      </c>
      <c r="C6" s="2">
        <v>25</v>
      </c>
      <c r="D6" s="2">
        <v>35</v>
      </c>
      <c r="E6" s="2">
        <v>45</v>
      </c>
      <c r="F6" s="15"/>
      <c r="G6" s="16"/>
    </row>
    <row r="7" spans="1:9" x14ac:dyDescent="0.3">
      <c r="A7" s="3" t="s">
        <v>4</v>
      </c>
      <c r="B7" s="8">
        <f>B6*B5</f>
        <v>600</v>
      </c>
      <c r="C7" s="8">
        <f t="shared" ref="C7:E7" si="0">C6*C5</f>
        <v>1500</v>
      </c>
      <c r="D7" s="8">
        <f t="shared" si="0"/>
        <v>3500</v>
      </c>
      <c r="E7" s="8">
        <f t="shared" si="0"/>
        <v>5400</v>
      </c>
      <c r="F7" s="15"/>
      <c r="G7" s="16"/>
    </row>
    <row r="8" spans="1:9" ht="28.2" x14ac:dyDescent="0.3">
      <c r="A8" s="3" t="s">
        <v>5</v>
      </c>
      <c r="B8" s="108" t="s">
        <v>152</v>
      </c>
      <c r="C8" s="109" t="s">
        <v>154</v>
      </c>
      <c r="D8" s="109" t="s">
        <v>153</v>
      </c>
      <c r="E8" s="109" t="s">
        <v>159</v>
      </c>
      <c r="F8" s="15"/>
      <c r="G8" s="16"/>
    </row>
    <row r="9" spans="1:9" x14ac:dyDescent="0.3">
      <c r="A9" s="3" t="s">
        <v>103</v>
      </c>
      <c r="B9" s="96">
        <v>0.7</v>
      </c>
      <c r="C9" s="96">
        <v>0.5</v>
      </c>
      <c r="D9" s="96">
        <v>1</v>
      </c>
      <c r="E9" s="96">
        <v>1.2</v>
      </c>
      <c r="F9" s="97"/>
      <c r="G9" s="97"/>
    </row>
    <row r="10" spans="1:9" x14ac:dyDescent="0.3">
      <c r="A10" s="3" t="s">
        <v>7</v>
      </c>
      <c r="B10" s="8">
        <f>B9*10000</f>
        <v>7000</v>
      </c>
      <c r="C10" s="8">
        <f>C9*10000</f>
        <v>5000</v>
      </c>
      <c r="D10" s="8">
        <f>D9*10000</f>
        <v>10000</v>
      </c>
      <c r="E10" s="8">
        <f>E9*10000</f>
        <v>12000</v>
      </c>
      <c r="F10" s="97"/>
      <c r="G10" s="112" t="s">
        <v>166</v>
      </c>
      <c r="H10" s="5"/>
    </row>
    <row r="11" spans="1:9" ht="30" customHeight="1" x14ac:dyDescent="0.3">
      <c r="A11" s="28" t="s">
        <v>8</v>
      </c>
      <c r="B11" s="18">
        <f>(B7/B10)*100</f>
        <v>8.5714285714285712</v>
      </c>
      <c r="C11" s="107">
        <f t="shared" ref="C11:E11" si="1">(C7/C10)*100</f>
        <v>30</v>
      </c>
      <c r="D11" s="107">
        <f t="shared" si="1"/>
        <v>35</v>
      </c>
      <c r="E11" s="107">
        <f t="shared" si="1"/>
        <v>45</v>
      </c>
      <c r="F11" s="19">
        <f>((B4*B11)+(C4*C11)+(D4*D11)+(E4*E11))/F4</f>
        <v>34.285714285714285</v>
      </c>
      <c r="G11" s="20" t="s">
        <v>77</v>
      </c>
      <c r="H11" s="3"/>
    </row>
    <row r="12" spans="1:9" x14ac:dyDescent="0.3">
      <c r="A12" s="86" t="s">
        <v>255</v>
      </c>
      <c r="B12" s="23" t="s">
        <v>157</v>
      </c>
      <c r="C12" s="23" t="s">
        <v>163</v>
      </c>
      <c r="D12" s="23"/>
      <c r="E12" s="21"/>
    </row>
    <row r="13" spans="1:9" x14ac:dyDescent="0.3">
      <c r="A13" s="3" t="s">
        <v>102</v>
      </c>
      <c r="B13" s="2">
        <v>30</v>
      </c>
      <c r="C13" s="2">
        <v>30</v>
      </c>
      <c r="D13" s="2">
        <v>60</v>
      </c>
      <c r="E13" s="2">
        <v>80</v>
      </c>
      <c r="F13" s="8">
        <f>SUM(B13:E13)</f>
        <v>200</v>
      </c>
      <c r="G13" s="16"/>
    </row>
    <row r="14" spans="1:9" x14ac:dyDescent="0.3">
      <c r="A14" s="3" t="s">
        <v>2</v>
      </c>
      <c r="B14" s="2">
        <v>40</v>
      </c>
      <c r="C14" s="2">
        <v>60</v>
      </c>
      <c r="D14" s="2">
        <v>100</v>
      </c>
      <c r="E14" s="2">
        <v>120</v>
      </c>
      <c r="F14" s="15"/>
      <c r="G14" s="16"/>
    </row>
    <row r="15" spans="1:9" x14ac:dyDescent="0.3">
      <c r="A15" s="3" t="s">
        <v>3</v>
      </c>
      <c r="B15" s="2">
        <v>15</v>
      </c>
      <c r="C15" s="2">
        <v>25</v>
      </c>
      <c r="D15" s="2">
        <v>35</v>
      </c>
      <c r="E15" s="2">
        <v>45</v>
      </c>
      <c r="F15" s="15"/>
      <c r="G15" s="16"/>
    </row>
    <row r="16" spans="1:9" x14ac:dyDescent="0.3">
      <c r="A16" s="3" t="s">
        <v>4</v>
      </c>
      <c r="B16" s="8">
        <f>B15*B14</f>
        <v>600</v>
      </c>
      <c r="C16" s="8">
        <f t="shared" ref="C16" si="2">C15*C14</f>
        <v>1500</v>
      </c>
      <c r="D16" s="8">
        <f t="shared" ref="D16" si="3">D15*D14</f>
        <v>3500</v>
      </c>
      <c r="E16" s="8">
        <f t="shared" ref="E16" si="4">E15*E14</f>
        <v>5400</v>
      </c>
      <c r="F16" s="15"/>
      <c r="G16" s="16"/>
    </row>
    <row r="17" spans="1:9" x14ac:dyDescent="0.3">
      <c r="A17" s="3" t="s">
        <v>103</v>
      </c>
      <c r="B17" s="11">
        <f>B9*0.769</f>
        <v>0.5383</v>
      </c>
      <c r="C17" s="11">
        <f>C9*0.769</f>
        <v>0.38450000000000001</v>
      </c>
      <c r="D17" s="11">
        <f>D9*0.769</f>
        <v>0.76900000000000002</v>
      </c>
      <c r="E17" s="11">
        <f>E9*0.769</f>
        <v>0.92279999999999995</v>
      </c>
      <c r="F17" s="97"/>
      <c r="G17" s="97"/>
    </row>
    <row r="18" spans="1:9" x14ac:dyDescent="0.3">
      <c r="A18" s="3" t="s">
        <v>7</v>
      </c>
      <c r="B18" s="8">
        <f>B17*10000</f>
        <v>5383</v>
      </c>
      <c r="C18" s="8">
        <f>C17*10000</f>
        <v>3845</v>
      </c>
      <c r="D18" s="8">
        <f>D17*10000</f>
        <v>7690</v>
      </c>
      <c r="E18" s="8">
        <f>E17*10000</f>
        <v>9228</v>
      </c>
      <c r="F18" s="97"/>
      <c r="G18" s="112" t="s">
        <v>166</v>
      </c>
    </row>
    <row r="19" spans="1:9" ht="31.5" customHeight="1" x14ac:dyDescent="0.3">
      <c r="A19" s="28" t="s">
        <v>8</v>
      </c>
      <c r="B19" s="18">
        <f>(B16/B18)*100</f>
        <v>11.14620100315809</v>
      </c>
      <c r="C19" s="18">
        <f>(C16/C18)*100</f>
        <v>39.011703511053312</v>
      </c>
      <c r="D19" s="18">
        <f>(D16/D18)*100</f>
        <v>45.513654096228869</v>
      </c>
      <c r="E19" s="18">
        <f>(E16/E18)*100</f>
        <v>58.517555266579976</v>
      </c>
      <c r="F19" s="19">
        <f>((B13*B19)+(C13*C19)+(D13*D19)+(E13*E19))/F13</f>
        <v>44.584804012632361</v>
      </c>
      <c r="G19" s="20" t="s">
        <v>77</v>
      </c>
      <c r="H19" s="17"/>
      <c r="I19" s="17"/>
    </row>
    <row r="20" spans="1:9" ht="17.25" customHeight="1" x14ac:dyDescent="0.3">
      <c r="A20" s="40" t="s">
        <v>169</v>
      </c>
      <c r="B20" s="30" t="s">
        <v>231</v>
      </c>
      <c r="C20" s="31"/>
      <c r="D20" s="31"/>
      <c r="E20" s="31"/>
      <c r="F20" s="38"/>
      <c r="G20" s="10"/>
      <c r="H20" s="1" t="s">
        <v>170</v>
      </c>
    </row>
    <row r="21" spans="1:9" ht="15" customHeight="1" x14ac:dyDescent="0.3">
      <c r="A21" s="3"/>
      <c r="B21" s="26" t="s">
        <v>171</v>
      </c>
      <c r="C21" s="10" t="s">
        <v>90</v>
      </c>
      <c r="D21" t="s">
        <v>167</v>
      </c>
    </row>
    <row r="22" spans="1:9" ht="15" customHeight="1" x14ac:dyDescent="0.3">
      <c r="A22" s="111" t="s">
        <v>60</v>
      </c>
      <c r="B22" s="119">
        <v>0.73</v>
      </c>
      <c r="C22" s="11">
        <f>1-B22</f>
        <v>0.27</v>
      </c>
      <c r="D22" s="116">
        <f>C22*$F$19</f>
        <v>12.037897083410739</v>
      </c>
    </row>
    <row r="23" spans="1:9" ht="16.5" customHeight="1" x14ac:dyDescent="0.3">
      <c r="A23" s="111" t="s">
        <v>61</v>
      </c>
      <c r="B23" s="119">
        <v>0.74</v>
      </c>
      <c r="C23" s="11">
        <f t="shared" ref="C23:C34" si="5">1-B23</f>
        <v>0.26</v>
      </c>
      <c r="D23" s="116">
        <f t="shared" ref="D23:D34" si="6">C23*$F$19</f>
        <v>11.592049043284414</v>
      </c>
    </row>
    <row r="24" spans="1:9" ht="16.5" customHeight="1" x14ac:dyDescent="0.3">
      <c r="A24" s="111" t="s">
        <v>65</v>
      </c>
      <c r="B24" s="119">
        <v>0.96</v>
      </c>
      <c r="C24" s="11">
        <f t="shared" si="5"/>
        <v>4.0000000000000036E-2</v>
      </c>
      <c r="D24" s="116">
        <f t="shared" si="6"/>
        <v>1.783392160505296</v>
      </c>
    </row>
    <row r="25" spans="1:9" ht="16.5" customHeight="1" x14ac:dyDescent="0.3">
      <c r="A25" s="111" t="s">
        <v>66</v>
      </c>
      <c r="B25" s="119">
        <v>0.9</v>
      </c>
      <c r="C25" s="11">
        <f t="shared" si="5"/>
        <v>9.9999999999999978E-2</v>
      </c>
      <c r="D25" s="116">
        <f t="shared" si="6"/>
        <v>4.4584804012632349</v>
      </c>
    </row>
    <row r="26" spans="1:9" ht="16.5" customHeight="1" x14ac:dyDescent="0.3">
      <c r="A26" s="111" t="s">
        <v>67</v>
      </c>
      <c r="B26" s="119">
        <v>0.9</v>
      </c>
      <c r="C26" s="11">
        <f t="shared" si="5"/>
        <v>9.9999999999999978E-2</v>
      </c>
      <c r="D26" s="116">
        <f t="shared" si="6"/>
        <v>4.4584804012632349</v>
      </c>
    </row>
    <row r="27" spans="1:9" ht="16.5" customHeight="1" x14ac:dyDescent="0.3">
      <c r="A27" s="111" t="s">
        <v>69</v>
      </c>
      <c r="B27" s="119">
        <v>0.73</v>
      </c>
      <c r="C27" s="11">
        <f t="shared" si="5"/>
        <v>0.27</v>
      </c>
      <c r="D27" s="116">
        <f t="shared" si="6"/>
        <v>12.037897083410739</v>
      </c>
    </row>
    <row r="28" spans="1:9" ht="16.5" customHeight="1" x14ac:dyDescent="0.3">
      <c r="A28" s="111" t="s">
        <v>62</v>
      </c>
      <c r="B28" s="119">
        <v>0.56000000000000005</v>
      </c>
      <c r="C28" s="11">
        <f t="shared" si="5"/>
        <v>0.43999999999999995</v>
      </c>
      <c r="D28" s="116">
        <f t="shared" si="6"/>
        <v>19.617313765558237</v>
      </c>
    </row>
    <row r="29" spans="1:9" ht="16.5" customHeight="1" x14ac:dyDescent="0.3">
      <c r="A29" s="111" t="s">
        <v>70</v>
      </c>
      <c r="B29" s="119">
        <v>0.73</v>
      </c>
      <c r="C29" s="11">
        <f t="shared" si="5"/>
        <v>0.27</v>
      </c>
      <c r="D29" s="116">
        <f>C29*$F$11</f>
        <v>9.257142857142858</v>
      </c>
    </row>
    <row r="30" spans="1:9" ht="16.5" customHeight="1" x14ac:dyDescent="0.3">
      <c r="A30" s="111" t="s">
        <v>68</v>
      </c>
      <c r="B30" s="119">
        <v>0.4</v>
      </c>
      <c r="C30" s="11">
        <f t="shared" si="5"/>
        <v>0.6</v>
      </c>
      <c r="D30" s="116">
        <f t="shared" si="6"/>
        <v>26.750882407579414</v>
      </c>
    </row>
    <row r="31" spans="1:9" ht="16.5" customHeight="1" x14ac:dyDescent="0.3">
      <c r="A31" s="111" t="s">
        <v>63</v>
      </c>
      <c r="B31" s="119">
        <v>0.9</v>
      </c>
      <c r="C31" s="11">
        <f t="shared" si="5"/>
        <v>9.9999999999999978E-2</v>
      </c>
      <c r="D31" s="116">
        <f t="shared" si="6"/>
        <v>4.4584804012632349</v>
      </c>
    </row>
    <row r="32" spans="1:9" ht="15" customHeight="1" x14ac:dyDescent="0.3">
      <c r="A32" s="111" t="s">
        <v>64</v>
      </c>
      <c r="B32" s="119">
        <v>0.45</v>
      </c>
      <c r="C32" s="11">
        <f t="shared" si="5"/>
        <v>0.55000000000000004</v>
      </c>
      <c r="D32" s="116">
        <f t="shared" si="6"/>
        <v>24.521642206947799</v>
      </c>
      <c r="E32" s="111"/>
      <c r="F32" s="151"/>
      <c r="G32" s="152"/>
      <c r="H32" s="153"/>
      <c r="I32" s="111"/>
    </row>
    <row r="33" spans="1:12" ht="15" customHeight="1" x14ac:dyDescent="0.3">
      <c r="A33" s="111" t="s">
        <v>253</v>
      </c>
      <c r="B33" s="119">
        <v>0.95</v>
      </c>
      <c r="C33" s="11">
        <f t="shared" si="5"/>
        <v>5.0000000000000044E-2</v>
      </c>
      <c r="D33" s="116">
        <f t="shared" si="6"/>
        <v>2.2292402006316201</v>
      </c>
      <c r="E33" s="111"/>
      <c r="F33" s="151"/>
      <c r="G33" s="152"/>
      <c r="H33" s="153"/>
      <c r="I33" s="111"/>
    </row>
    <row r="34" spans="1:12" ht="15" customHeight="1" x14ac:dyDescent="0.3">
      <c r="A34" s="111" t="s">
        <v>254</v>
      </c>
      <c r="B34" s="119">
        <v>1</v>
      </c>
      <c r="C34" s="11">
        <f t="shared" si="5"/>
        <v>0</v>
      </c>
      <c r="D34" s="116">
        <f t="shared" si="6"/>
        <v>0</v>
      </c>
      <c r="E34" s="111"/>
      <c r="F34" s="151"/>
      <c r="G34" s="152"/>
      <c r="H34" s="153"/>
      <c r="I34" s="111"/>
    </row>
    <row r="35" spans="1:12" x14ac:dyDescent="0.3">
      <c r="A35" s="86" t="s">
        <v>158</v>
      </c>
      <c r="B35" s="23" t="s">
        <v>33</v>
      </c>
      <c r="C35" s="23" t="s">
        <v>161</v>
      </c>
      <c r="D35" s="23"/>
      <c r="E35" s="21"/>
      <c r="F35" s="21"/>
      <c r="G35" s="21"/>
      <c r="H35" s="22"/>
      <c r="I35" s="21"/>
      <c r="J35" s="22" t="s">
        <v>18</v>
      </c>
      <c r="K35" s="21" t="s">
        <v>151</v>
      </c>
    </row>
    <row r="36" spans="1:12" x14ac:dyDescent="0.3">
      <c r="A36" s="3" t="s">
        <v>102</v>
      </c>
      <c r="B36" s="2">
        <v>30</v>
      </c>
      <c r="C36" s="2">
        <v>30</v>
      </c>
      <c r="D36" s="2">
        <v>60</v>
      </c>
      <c r="E36" s="2">
        <v>80</v>
      </c>
      <c r="F36" s="2">
        <v>165</v>
      </c>
      <c r="G36" s="2">
        <f>4*335</f>
        <v>1340</v>
      </c>
      <c r="H36" s="2">
        <f>30*4</f>
        <v>120</v>
      </c>
      <c r="I36" s="8">
        <f>SUM(B36:H36)</f>
        <v>1825</v>
      </c>
      <c r="J36" s="16"/>
    </row>
    <row r="37" spans="1:12" x14ac:dyDescent="0.3">
      <c r="A37" s="3" t="s">
        <v>2</v>
      </c>
      <c r="B37" s="2">
        <v>40</v>
      </c>
      <c r="C37" s="2">
        <v>60</v>
      </c>
      <c r="D37" s="2">
        <v>100</v>
      </c>
      <c r="E37" s="2">
        <v>120</v>
      </c>
      <c r="F37" s="2">
        <v>130</v>
      </c>
      <c r="G37" s="2">
        <v>140</v>
      </c>
      <c r="H37" s="2">
        <v>140</v>
      </c>
      <c r="I37" s="15"/>
      <c r="J37" s="16"/>
    </row>
    <row r="38" spans="1:12" x14ac:dyDescent="0.3">
      <c r="A38" s="3" t="s">
        <v>3</v>
      </c>
      <c r="B38" s="2">
        <v>15</v>
      </c>
      <c r="C38" s="2">
        <v>25</v>
      </c>
      <c r="D38" s="2">
        <v>35</v>
      </c>
      <c r="E38" s="2">
        <v>45</v>
      </c>
      <c r="F38" s="2">
        <v>50</v>
      </c>
      <c r="G38" s="2">
        <v>50</v>
      </c>
      <c r="H38" s="2">
        <v>50</v>
      </c>
      <c r="I38" s="15"/>
      <c r="J38" s="16"/>
    </row>
    <row r="39" spans="1:12" ht="27.75" customHeight="1" x14ac:dyDescent="0.3">
      <c r="A39" s="3" t="s">
        <v>4</v>
      </c>
      <c r="B39" s="8">
        <f>B38*B37</f>
        <v>600</v>
      </c>
      <c r="C39" s="8">
        <f t="shared" ref="C39" si="7">C38*C37</f>
        <v>1500</v>
      </c>
      <c r="D39" s="8">
        <f t="shared" ref="D39" si="8">D38*D37</f>
        <v>3500</v>
      </c>
      <c r="E39" s="8">
        <f t="shared" ref="E39:H39" si="9">E38*E37</f>
        <v>5400</v>
      </c>
      <c r="F39" s="8">
        <f t="shared" si="9"/>
        <v>6500</v>
      </c>
      <c r="G39" s="8">
        <f t="shared" si="9"/>
        <v>7000</v>
      </c>
      <c r="H39" s="8">
        <f t="shared" si="9"/>
        <v>7000</v>
      </c>
      <c r="I39" s="15"/>
      <c r="J39" s="16"/>
    </row>
    <row r="40" spans="1:12" ht="29.25" customHeight="1" x14ac:dyDescent="0.3">
      <c r="A40" s="3" t="s">
        <v>5</v>
      </c>
      <c r="B40" s="110" t="s">
        <v>152</v>
      </c>
      <c r="C40" s="109" t="s">
        <v>154</v>
      </c>
      <c r="D40" s="109" t="s">
        <v>153</v>
      </c>
      <c r="E40" s="109" t="s">
        <v>159</v>
      </c>
      <c r="F40" s="109" t="s">
        <v>155</v>
      </c>
      <c r="G40" s="109" t="s">
        <v>160</v>
      </c>
      <c r="H40" s="109" t="s">
        <v>162</v>
      </c>
      <c r="I40" s="15"/>
      <c r="J40" s="16"/>
    </row>
    <row r="41" spans="1:12" x14ac:dyDescent="0.3">
      <c r="A41" s="3" t="s">
        <v>103</v>
      </c>
      <c r="B41" s="96">
        <v>0.7</v>
      </c>
      <c r="C41" s="96">
        <v>0.5</v>
      </c>
      <c r="D41" s="96">
        <v>1</v>
      </c>
      <c r="E41" s="96">
        <v>1.2</v>
      </c>
      <c r="F41" s="96">
        <v>1.2</v>
      </c>
      <c r="G41" s="96">
        <v>1.7</v>
      </c>
      <c r="H41" s="96">
        <v>1.7</v>
      </c>
      <c r="I41" s="97"/>
      <c r="J41" s="97"/>
    </row>
    <row r="42" spans="1:12" ht="15.75" customHeight="1" x14ac:dyDescent="0.3">
      <c r="A42" s="3" t="s">
        <v>7</v>
      </c>
      <c r="B42" s="8">
        <f t="shared" ref="B42:H42" si="10">B41*10000</f>
        <v>7000</v>
      </c>
      <c r="C42" s="8">
        <f t="shared" si="10"/>
        <v>5000</v>
      </c>
      <c r="D42" s="8">
        <f t="shared" si="10"/>
        <v>10000</v>
      </c>
      <c r="E42" s="8">
        <f t="shared" si="10"/>
        <v>12000</v>
      </c>
      <c r="F42" s="8">
        <f t="shared" si="10"/>
        <v>12000</v>
      </c>
      <c r="G42" s="8">
        <f t="shared" si="10"/>
        <v>17000</v>
      </c>
      <c r="H42" s="8">
        <f t="shared" si="10"/>
        <v>17000</v>
      </c>
      <c r="I42" s="97"/>
      <c r="J42" s="112" t="s">
        <v>166</v>
      </c>
      <c r="K42" s="5"/>
    </row>
    <row r="43" spans="1:12" ht="31.5" customHeight="1" x14ac:dyDescent="0.3">
      <c r="A43" s="28" t="s">
        <v>8</v>
      </c>
      <c r="B43" s="18">
        <f>(B39/B42)*100</f>
        <v>8.5714285714285712</v>
      </c>
      <c r="C43" s="107">
        <f t="shared" ref="C43" si="11">(C39/C42)*100</f>
        <v>30</v>
      </c>
      <c r="D43" s="107">
        <f t="shared" ref="D43" si="12">(D39/D42)*100</f>
        <v>35</v>
      </c>
      <c r="E43" s="107">
        <f t="shared" ref="E43:G43" si="13">(E39/E42)*100</f>
        <v>45</v>
      </c>
      <c r="F43" s="18">
        <f t="shared" si="13"/>
        <v>54.166666666666664</v>
      </c>
      <c r="G43" s="18">
        <f t="shared" si="13"/>
        <v>41.17647058823529</v>
      </c>
      <c r="H43" s="18">
        <f>(G39/G42)*100</f>
        <v>41.17647058823529</v>
      </c>
      <c r="I43" s="19">
        <f>((B36*B43)+(C36*C43)+(D36*D43)+(E36*E43)+(F36*F43)+(G36*G43)+(H36*H43))/I36</f>
        <v>41.595775296419937</v>
      </c>
      <c r="J43" s="20" t="s">
        <v>77</v>
      </c>
      <c r="K43" s="3"/>
    </row>
    <row r="44" spans="1:12" x14ac:dyDescent="0.3">
      <c r="A44" s="86" t="s">
        <v>256</v>
      </c>
      <c r="B44" s="23" t="s">
        <v>157</v>
      </c>
      <c r="C44" s="23" t="s">
        <v>163</v>
      </c>
      <c r="D44" s="23"/>
      <c r="E44" s="21"/>
      <c r="K44" s="21"/>
      <c r="L44" s="21"/>
    </row>
    <row r="45" spans="1:12" x14ac:dyDescent="0.3">
      <c r="A45" s="3" t="s">
        <v>102</v>
      </c>
      <c r="B45" s="2">
        <v>30</v>
      </c>
      <c r="C45" s="2">
        <v>30</v>
      </c>
      <c r="D45" s="2">
        <v>60</v>
      </c>
      <c r="E45" s="2">
        <v>80</v>
      </c>
      <c r="F45" s="2">
        <v>165</v>
      </c>
      <c r="G45" s="2">
        <f>4*335</f>
        <v>1340</v>
      </c>
      <c r="H45" s="2">
        <f>30*4</f>
        <v>120</v>
      </c>
      <c r="I45" s="8">
        <f>SUM(B45:H45)</f>
        <v>1825</v>
      </c>
      <c r="J45" s="16"/>
    </row>
    <row r="46" spans="1:12" x14ac:dyDescent="0.3">
      <c r="A46" s="3" t="s">
        <v>2</v>
      </c>
      <c r="B46" s="2">
        <v>40</v>
      </c>
      <c r="C46" s="2">
        <v>60</v>
      </c>
      <c r="D46" s="2">
        <v>100</v>
      </c>
      <c r="E46" s="2">
        <v>120</v>
      </c>
      <c r="F46" s="2">
        <v>130</v>
      </c>
      <c r="G46" s="2">
        <v>140</v>
      </c>
      <c r="H46" s="2">
        <v>140</v>
      </c>
      <c r="I46" s="15"/>
      <c r="J46" s="16"/>
    </row>
    <row r="47" spans="1:12" x14ac:dyDescent="0.3">
      <c r="A47" s="3" t="s">
        <v>3</v>
      </c>
      <c r="B47" s="2">
        <v>15</v>
      </c>
      <c r="C47" s="2">
        <v>25</v>
      </c>
      <c r="D47" s="2">
        <v>35</v>
      </c>
      <c r="E47" s="2">
        <v>45</v>
      </c>
      <c r="F47" s="2">
        <v>50</v>
      </c>
      <c r="G47" s="2">
        <v>50</v>
      </c>
      <c r="H47" s="2">
        <v>50</v>
      </c>
      <c r="I47" s="15"/>
      <c r="J47" s="16"/>
    </row>
    <row r="48" spans="1:12" x14ac:dyDescent="0.3">
      <c r="A48" s="3" t="s">
        <v>4</v>
      </c>
      <c r="B48" s="8">
        <f>B47*B46</f>
        <v>600</v>
      </c>
      <c r="C48" s="8">
        <f t="shared" ref="C48" si="14">C47*C46</f>
        <v>1500</v>
      </c>
      <c r="D48" s="8">
        <f t="shared" ref="D48" si="15">D47*D46</f>
        <v>3500</v>
      </c>
      <c r="E48" s="8">
        <f t="shared" ref="E48" si="16">E47*E46</f>
        <v>5400</v>
      </c>
      <c r="F48" s="8">
        <f t="shared" ref="F48" si="17">F47*F46</f>
        <v>6500</v>
      </c>
      <c r="G48" s="8">
        <f t="shared" ref="G48" si="18">G47*G46</f>
        <v>7000</v>
      </c>
      <c r="H48" s="8">
        <f t="shared" ref="H48" si="19">H47*H46</f>
        <v>7000</v>
      </c>
      <c r="I48" s="15"/>
      <c r="J48" s="16"/>
    </row>
    <row r="49" spans="1:11" x14ac:dyDescent="0.3">
      <c r="A49" s="3" t="s">
        <v>103</v>
      </c>
      <c r="B49" s="11">
        <f>B41*0.769</f>
        <v>0.5383</v>
      </c>
      <c r="C49" s="11">
        <f t="shared" ref="C49:H49" si="20">C41*0.769</f>
        <v>0.38450000000000001</v>
      </c>
      <c r="D49" s="11">
        <f t="shared" si="20"/>
        <v>0.76900000000000002</v>
      </c>
      <c r="E49" s="11">
        <f t="shared" si="20"/>
        <v>0.92279999999999995</v>
      </c>
      <c r="F49" s="11">
        <f t="shared" si="20"/>
        <v>0.92279999999999995</v>
      </c>
      <c r="G49" s="11">
        <f t="shared" si="20"/>
        <v>1.3072999999999999</v>
      </c>
      <c r="H49" s="11">
        <f t="shared" si="20"/>
        <v>1.3072999999999999</v>
      </c>
      <c r="I49" s="97"/>
      <c r="J49" s="97"/>
    </row>
    <row r="50" spans="1:11" ht="15.75" customHeight="1" x14ac:dyDescent="0.3">
      <c r="A50" s="3" t="s">
        <v>7</v>
      </c>
      <c r="B50" s="8">
        <f t="shared" ref="B50:H50" si="21">B49*10000</f>
        <v>5383</v>
      </c>
      <c r="C50" s="8">
        <f t="shared" si="21"/>
        <v>3845</v>
      </c>
      <c r="D50" s="8">
        <f t="shared" si="21"/>
        <v>7690</v>
      </c>
      <c r="E50" s="8">
        <f t="shared" si="21"/>
        <v>9228</v>
      </c>
      <c r="F50" s="8">
        <f t="shared" si="21"/>
        <v>9228</v>
      </c>
      <c r="G50" s="8">
        <f t="shared" si="21"/>
        <v>13072.999999999998</v>
      </c>
      <c r="H50" s="8">
        <f t="shared" si="21"/>
        <v>13072.999999999998</v>
      </c>
      <c r="I50" s="97"/>
      <c r="J50" s="112" t="s">
        <v>166</v>
      </c>
      <c r="K50" s="5"/>
    </row>
    <row r="51" spans="1:11" ht="30" customHeight="1" x14ac:dyDescent="0.3">
      <c r="A51" s="28" t="s">
        <v>8</v>
      </c>
      <c r="B51" s="18">
        <f t="shared" ref="B51:G51" si="22">(B48/B50)*100</f>
        <v>11.14620100315809</v>
      </c>
      <c r="C51" s="107">
        <f t="shared" si="22"/>
        <v>39.011703511053312</v>
      </c>
      <c r="D51" s="107">
        <f t="shared" si="22"/>
        <v>45.513654096228869</v>
      </c>
      <c r="E51" s="107">
        <f t="shared" si="22"/>
        <v>58.517555266579976</v>
      </c>
      <c r="F51" s="18">
        <f t="shared" si="22"/>
        <v>70.437798006068491</v>
      </c>
      <c r="G51" s="18">
        <f t="shared" si="22"/>
        <v>53.545475407328091</v>
      </c>
      <c r="H51" s="18">
        <f>(G48/G50)*100</f>
        <v>53.545475407328091</v>
      </c>
      <c r="I51" s="19">
        <f>((B45*B51)+(C45*C51)+(D45*D51)+(E45*E51)+(F45*F51)+(G45*G51)+(H45*H51))/I45</f>
        <v>54.090735105877691</v>
      </c>
      <c r="J51" s="20" t="s">
        <v>77</v>
      </c>
      <c r="K51" s="3"/>
    </row>
    <row r="52" spans="1:11" x14ac:dyDescent="0.3">
      <c r="A52" s="83" t="s">
        <v>168</v>
      </c>
      <c r="B52" s="29" t="s">
        <v>164</v>
      </c>
      <c r="C52" s="78"/>
      <c r="D52" s="78"/>
      <c r="E52" s="37"/>
      <c r="F52" s="31"/>
    </row>
    <row r="53" spans="1:11" x14ac:dyDescent="0.3">
      <c r="B53" s="29" t="s">
        <v>165</v>
      </c>
      <c r="C53" s="78"/>
      <c r="D53" s="78"/>
      <c r="E53" s="37"/>
      <c r="F53" s="31"/>
    </row>
    <row r="54" spans="1:11" x14ac:dyDescent="0.3">
      <c r="B54" t="s">
        <v>172</v>
      </c>
      <c r="C54" t="s">
        <v>90</v>
      </c>
      <c r="D54" t="s">
        <v>167</v>
      </c>
      <c r="F54" s="79"/>
    </row>
    <row r="55" spans="1:11" x14ac:dyDescent="0.3">
      <c r="A55" t="s">
        <v>60</v>
      </c>
      <c r="B55" s="115">
        <v>8.6300000000000008</v>
      </c>
      <c r="C55" s="59">
        <f t="shared" ref="C55:C67" si="23">1-(B55/12)</f>
        <v>0.28083333333333327</v>
      </c>
      <c r="D55" s="116">
        <f t="shared" ref="D55:D61" si="24">($I$51*C55)</f>
        <v>15.190481442233981</v>
      </c>
      <c r="E55" s="79"/>
      <c r="F55" s="79"/>
    </row>
    <row r="56" spans="1:11" x14ac:dyDescent="0.3">
      <c r="A56" t="s">
        <v>61</v>
      </c>
      <c r="B56" s="115">
        <v>9.64</v>
      </c>
      <c r="C56" s="59">
        <f t="shared" si="23"/>
        <v>0.19666666666666666</v>
      </c>
      <c r="D56" s="116">
        <f t="shared" si="24"/>
        <v>10.637844570822612</v>
      </c>
      <c r="E56" s="79"/>
      <c r="F56" s="79"/>
    </row>
    <row r="57" spans="1:11" x14ac:dyDescent="0.3">
      <c r="A57" t="s">
        <v>65</v>
      </c>
      <c r="B57" s="115">
        <v>9.27</v>
      </c>
      <c r="C57" s="59">
        <f t="shared" si="23"/>
        <v>0.22750000000000004</v>
      </c>
      <c r="D57" s="116">
        <f t="shared" si="24"/>
        <v>12.305642236587177</v>
      </c>
      <c r="E57" s="79"/>
      <c r="F57" s="79"/>
    </row>
    <row r="58" spans="1:11" x14ac:dyDescent="0.3">
      <c r="A58" t="s">
        <v>66</v>
      </c>
      <c r="B58" s="115">
        <v>8.8800000000000008</v>
      </c>
      <c r="C58" s="59">
        <f t="shared" si="23"/>
        <v>0.2599999999999999</v>
      </c>
      <c r="D58" s="116">
        <f t="shared" si="24"/>
        <v>14.063591127528195</v>
      </c>
      <c r="E58" s="79"/>
      <c r="F58" s="79"/>
    </row>
    <row r="59" spans="1:11" x14ac:dyDescent="0.3">
      <c r="A59" t="s">
        <v>67</v>
      </c>
      <c r="B59" s="115">
        <v>8.42</v>
      </c>
      <c r="C59" s="59">
        <f t="shared" si="23"/>
        <v>0.29833333333333334</v>
      </c>
      <c r="D59" s="116">
        <f t="shared" si="24"/>
        <v>16.137069306586845</v>
      </c>
      <c r="E59" s="79"/>
      <c r="F59" s="79"/>
    </row>
    <row r="60" spans="1:11" x14ac:dyDescent="0.3">
      <c r="A60" t="s">
        <v>69</v>
      </c>
      <c r="B60" s="115">
        <v>9.57</v>
      </c>
      <c r="C60" s="59">
        <f t="shared" si="23"/>
        <v>0.20250000000000001</v>
      </c>
      <c r="D60" s="116">
        <f t="shared" si="24"/>
        <v>10.953373858940234</v>
      </c>
      <c r="E60" s="79"/>
      <c r="F60" s="79"/>
    </row>
    <row r="61" spans="1:11" x14ac:dyDescent="0.3">
      <c r="A61" t="s">
        <v>62</v>
      </c>
      <c r="B61" s="115">
        <v>9.07</v>
      </c>
      <c r="C61" s="59">
        <f t="shared" si="23"/>
        <v>0.24416666666666664</v>
      </c>
      <c r="D61" s="116">
        <f t="shared" si="24"/>
        <v>13.207154488351801</v>
      </c>
      <c r="E61" s="79"/>
      <c r="F61" s="79"/>
    </row>
    <row r="62" spans="1:11" x14ac:dyDescent="0.3">
      <c r="A62" t="s">
        <v>70</v>
      </c>
      <c r="B62" s="115">
        <v>7</v>
      </c>
      <c r="C62" s="59">
        <f t="shared" si="23"/>
        <v>0.41666666666666663</v>
      </c>
      <c r="D62" s="116">
        <f>($I$43*C62)</f>
        <v>17.331573040174973</v>
      </c>
      <c r="E62" s="79"/>
      <c r="F62" s="79"/>
    </row>
    <row r="63" spans="1:11" x14ac:dyDescent="0.3">
      <c r="A63" t="s">
        <v>68</v>
      </c>
      <c r="B63" s="115">
        <v>6.13</v>
      </c>
      <c r="C63" s="59">
        <f t="shared" si="23"/>
        <v>0.48916666666666664</v>
      </c>
      <c r="D63" s="116">
        <f>($I$51*C63)</f>
        <v>26.459384589291837</v>
      </c>
      <c r="E63" s="79"/>
      <c r="F63" s="79"/>
    </row>
    <row r="64" spans="1:11" x14ac:dyDescent="0.3">
      <c r="A64" t="s">
        <v>63</v>
      </c>
      <c r="B64" s="115">
        <v>9.18</v>
      </c>
      <c r="C64" s="59">
        <f t="shared" si="23"/>
        <v>0.23499999999999999</v>
      </c>
      <c r="D64" s="116">
        <f>($I$51*C64)</f>
        <v>12.711322749881257</v>
      </c>
      <c r="E64" s="79"/>
      <c r="F64" s="79"/>
    </row>
    <row r="65" spans="1:12" x14ac:dyDescent="0.3">
      <c r="A65" s="154" t="s">
        <v>64</v>
      </c>
      <c r="B65" s="59">
        <v>7.6</v>
      </c>
      <c r="C65" s="59">
        <f t="shared" si="23"/>
        <v>0.3666666666666667</v>
      </c>
      <c r="D65" s="116">
        <f>($I$51*C65)</f>
        <v>19.833269538821821</v>
      </c>
    </row>
    <row r="66" spans="1:12" x14ac:dyDescent="0.3">
      <c r="A66" s="154" t="s">
        <v>253</v>
      </c>
      <c r="B66" s="59">
        <v>10.34</v>
      </c>
      <c r="C66" s="59">
        <f t="shared" si="23"/>
        <v>0.13833333333333331</v>
      </c>
      <c r="D66" s="116">
        <f>($I$51*C66)</f>
        <v>7.4825516896464128</v>
      </c>
    </row>
    <row r="67" spans="1:12" x14ac:dyDescent="0.3">
      <c r="A67" s="114" t="s">
        <v>254</v>
      </c>
      <c r="B67" s="117">
        <v>12</v>
      </c>
      <c r="C67" s="117">
        <f t="shared" si="23"/>
        <v>0</v>
      </c>
      <c r="D67" s="118">
        <f>($I$51*C67)</f>
        <v>0</v>
      </c>
      <c r="E67" s="17"/>
      <c r="F67" s="17"/>
      <c r="G67" s="17"/>
      <c r="H67" s="17"/>
      <c r="I67" s="17"/>
      <c r="J67" s="17"/>
      <c r="K67" s="17"/>
      <c r="L67" s="17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39"/>
  <sheetViews>
    <sheetView topLeftCell="A7" workbookViewId="0">
      <selection activeCell="H24" sqref="H24"/>
    </sheetView>
  </sheetViews>
  <sheetFormatPr defaultRowHeight="14.4" x14ac:dyDescent="0.3"/>
  <cols>
    <col min="1" max="1" width="18.5546875" customWidth="1"/>
    <col min="2" max="2" width="11" customWidth="1"/>
    <col min="3" max="3" width="10.5546875" customWidth="1"/>
  </cols>
  <sheetData>
    <row r="1" spans="1:11" s="1" customFormat="1" x14ac:dyDescent="0.3">
      <c r="A1" s="58" t="s">
        <v>29</v>
      </c>
      <c r="B1" s="58"/>
      <c r="C1" s="58"/>
      <c r="D1" s="58"/>
      <c r="E1" s="58"/>
      <c r="F1" s="69"/>
      <c r="G1" s="58"/>
      <c r="H1" s="69"/>
      <c r="I1" s="58" t="s">
        <v>20</v>
      </c>
      <c r="J1" s="69"/>
      <c r="K1" s="69"/>
    </row>
    <row r="2" spans="1:11" s="1" customFormat="1" x14ac:dyDescent="0.3">
      <c r="A2" s="17" t="s">
        <v>80</v>
      </c>
      <c r="B2" s="69" t="s">
        <v>82</v>
      </c>
      <c r="C2" s="69"/>
      <c r="D2" s="69"/>
      <c r="E2" s="69"/>
      <c r="F2" s="69"/>
      <c r="G2" s="69"/>
      <c r="H2" s="69"/>
      <c r="I2" s="69"/>
      <c r="J2" s="17"/>
      <c r="K2" s="69"/>
    </row>
    <row r="3" spans="1:11" s="63" customFormat="1" x14ac:dyDescent="0.3">
      <c r="A3" s="40" t="s">
        <v>81</v>
      </c>
      <c r="B3" s="3" t="s">
        <v>33</v>
      </c>
      <c r="C3" s="73" t="s">
        <v>18</v>
      </c>
      <c r="D3" s="3" t="s">
        <v>85</v>
      </c>
      <c r="E3" s="64"/>
      <c r="H3" s="65"/>
    </row>
    <row r="4" spans="1:11" s="3" customFormat="1" x14ac:dyDescent="0.3">
      <c r="A4" s="3" t="s">
        <v>2</v>
      </c>
      <c r="B4" s="2">
        <v>240</v>
      </c>
      <c r="C4" s="2"/>
      <c r="D4" s="2"/>
      <c r="E4" s="15"/>
      <c r="F4" s="2"/>
      <c r="H4" s="16"/>
    </row>
    <row r="5" spans="1:11" s="3" customFormat="1" x14ac:dyDescent="0.3">
      <c r="A5" s="3" t="s">
        <v>3</v>
      </c>
      <c r="B5" s="2">
        <v>60</v>
      </c>
      <c r="C5" s="2"/>
      <c r="D5" s="2"/>
      <c r="E5" s="15"/>
      <c r="F5" s="2"/>
      <c r="H5" s="16"/>
      <c r="J5" s="66"/>
    </row>
    <row r="6" spans="1:11" s="3" customFormat="1" x14ac:dyDescent="0.3">
      <c r="A6" s="3" t="s">
        <v>4</v>
      </c>
      <c r="B6" s="8">
        <f>B4*B5</f>
        <v>14400</v>
      </c>
      <c r="C6" s="8"/>
      <c r="D6" s="8"/>
      <c r="E6" s="15"/>
      <c r="F6" s="8"/>
      <c r="H6" s="16"/>
    </row>
    <row r="7" spans="1:11" s="3" customFormat="1" x14ac:dyDescent="0.3">
      <c r="A7" s="32" t="s">
        <v>103</v>
      </c>
      <c r="B7" s="70">
        <v>4.5999999999999996</v>
      </c>
      <c r="C7" s="33"/>
      <c r="D7" s="15"/>
      <c r="E7" s="33"/>
      <c r="F7" s="33"/>
      <c r="G7" s="16"/>
      <c r="H7" s="16"/>
    </row>
    <row r="8" spans="1:11" s="3" customFormat="1" x14ac:dyDescent="0.3">
      <c r="A8" s="3" t="s">
        <v>7</v>
      </c>
      <c r="B8" s="2">
        <f>B7*10000</f>
        <v>46000</v>
      </c>
      <c r="C8" s="2"/>
      <c r="D8" s="2"/>
      <c r="E8" s="15"/>
      <c r="F8" s="2"/>
      <c r="H8" s="15"/>
    </row>
    <row r="9" spans="1:11" s="3" customFormat="1" ht="15.75" customHeight="1" x14ac:dyDescent="0.3">
      <c r="A9" s="39" t="s">
        <v>8</v>
      </c>
      <c r="B9" s="19">
        <f>(B6/B8)*100</f>
        <v>31.304347826086961</v>
      </c>
      <c r="C9" s="72"/>
      <c r="D9" s="72"/>
      <c r="E9" s="25"/>
      <c r="F9" s="18"/>
      <c r="G9" s="18"/>
      <c r="H9" s="19"/>
      <c r="I9" s="28"/>
      <c r="J9" s="71"/>
      <c r="K9" s="28"/>
    </row>
    <row r="10" spans="1:11" s="3" customFormat="1" x14ac:dyDescent="0.3">
      <c r="A10" s="40" t="s">
        <v>83</v>
      </c>
      <c r="B10" s="3" t="s">
        <v>33</v>
      </c>
      <c r="C10" s="63"/>
      <c r="D10" s="63"/>
      <c r="E10" s="64"/>
      <c r="F10" s="63"/>
      <c r="G10" s="63"/>
      <c r="H10" s="65"/>
      <c r="I10" s="63"/>
      <c r="J10" s="68"/>
    </row>
    <row r="11" spans="1:11" s="3" customFormat="1" x14ac:dyDescent="0.3">
      <c r="A11" s="3" t="s">
        <v>2</v>
      </c>
      <c r="B11" s="2">
        <v>240</v>
      </c>
      <c r="C11" s="2"/>
      <c r="D11" s="2"/>
      <c r="E11" s="15"/>
      <c r="F11" s="2"/>
      <c r="H11" s="16"/>
      <c r="J11" s="68"/>
    </row>
    <row r="12" spans="1:11" s="3" customFormat="1" x14ac:dyDescent="0.3">
      <c r="A12" s="3" t="s">
        <v>3</v>
      </c>
      <c r="B12" s="2">
        <v>60</v>
      </c>
      <c r="C12" s="2"/>
      <c r="D12" s="2"/>
      <c r="E12" s="15"/>
      <c r="F12" s="2"/>
      <c r="H12" s="16"/>
      <c r="J12" s="68"/>
    </row>
    <row r="13" spans="1:11" s="3" customFormat="1" x14ac:dyDescent="0.3">
      <c r="A13" s="3" t="s">
        <v>4</v>
      </c>
      <c r="B13" s="8">
        <f>B11*B12</f>
        <v>14400</v>
      </c>
      <c r="C13" s="8"/>
      <c r="D13" s="8"/>
      <c r="E13" s="15"/>
      <c r="F13" s="8"/>
      <c r="H13" s="16"/>
      <c r="J13" s="68"/>
    </row>
    <row r="14" spans="1:11" s="3" customFormat="1" x14ac:dyDescent="0.3">
      <c r="A14" s="32" t="s">
        <v>103</v>
      </c>
      <c r="B14" s="70">
        <v>8</v>
      </c>
      <c r="C14" s="33"/>
      <c r="D14" s="15"/>
      <c r="E14" s="33"/>
      <c r="F14" s="33"/>
      <c r="G14" s="16"/>
      <c r="H14" s="16"/>
      <c r="J14" s="68"/>
    </row>
    <row r="15" spans="1:11" s="3" customFormat="1" x14ac:dyDescent="0.3">
      <c r="A15" s="3" t="s">
        <v>7</v>
      </c>
      <c r="B15" s="2">
        <f>B14*10000</f>
        <v>80000</v>
      </c>
      <c r="C15" s="2"/>
      <c r="D15" s="2"/>
      <c r="E15" s="15"/>
      <c r="F15" s="2"/>
      <c r="H15" s="15"/>
      <c r="J15" s="68"/>
    </row>
    <row r="16" spans="1:11" s="3" customFormat="1" ht="17.25" customHeight="1" x14ac:dyDescent="0.3">
      <c r="A16" s="39" t="s">
        <v>8</v>
      </c>
      <c r="B16" s="19">
        <f>(B13/B15)*100</f>
        <v>18</v>
      </c>
      <c r="C16" s="72"/>
      <c r="D16" s="72"/>
      <c r="E16" s="25"/>
      <c r="F16" s="18"/>
      <c r="G16" s="18"/>
      <c r="H16" s="19"/>
      <c r="I16" s="28"/>
      <c r="J16" s="71"/>
      <c r="K16" s="28"/>
    </row>
    <row r="17" spans="1:15" s="3" customFormat="1" ht="29.25" customHeight="1" x14ac:dyDescent="0.3">
      <c r="A17" s="32" t="s">
        <v>87</v>
      </c>
      <c r="B17" s="9">
        <f>(0.2*B9)+(0.8*B16)</f>
        <v>20.660869565217393</v>
      </c>
      <c r="C17" s="77" t="s">
        <v>88</v>
      </c>
      <c r="D17" s="78"/>
      <c r="E17" s="37"/>
      <c r="F17" s="31"/>
      <c r="G17" s="31"/>
      <c r="H17" s="38"/>
      <c r="I17" s="29"/>
      <c r="J17" s="68"/>
    </row>
    <row r="18" spans="1:15" s="3" customFormat="1" x14ac:dyDescent="0.3">
      <c r="A18" s="40" t="s">
        <v>86</v>
      </c>
      <c r="C18" s="52" t="s">
        <v>89</v>
      </c>
      <c r="D18" s="63"/>
      <c r="F18" s="74"/>
      <c r="G18" s="74"/>
      <c r="H18" s="75"/>
      <c r="I18" s="74"/>
      <c r="J18" s="76"/>
      <c r="K18" s="29"/>
      <c r="L18" s="29"/>
      <c r="M18" s="29"/>
      <c r="N18" s="29"/>
      <c r="O18" s="29"/>
    </row>
    <row r="19" spans="1:15" s="3" customFormat="1" x14ac:dyDescent="0.3">
      <c r="A19" s="3" t="s">
        <v>2</v>
      </c>
      <c r="B19" s="2">
        <v>240</v>
      </c>
      <c r="C19" s="73" t="s">
        <v>18</v>
      </c>
      <c r="D19" t="s">
        <v>79</v>
      </c>
      <c r="E19" s="15"/>
      <c r="F19" s="2"/>
      <c r="H19" s="16"/>
      <c r="J19" s="68"/>
    </row>
    <row r="20" spans="1:15" s="3" customFormat="1" x14ac:dyDescent="0.3">
      <c r="A20" s="3" t="s">
        <v>3</v>
      </c>
      <c r="B20" s="2">
        <v>60</v>
      </c>
      <c r="C20" s="2"/>
      <c r="D20" s="2"/>
      <c r="E20" s="15"/>
      <c r="F20" s="2"/>
      <c r="H20" s="16"/>
      <c r="J20" s="68"/>
    </row>
    <row r="21" spans="1:15" s="3" customFormat="1" x14ac:dyDescent="0.3">
      <c r="A21" s="3" t="s">
        <v>4</v>
      </c>
      <c r="B21" s="8">
        <f>B19*B20</f>
        <v>14400</v>
      </c>
      <c r="C21" s="8"/>
      <c r="D21" s="8"/>
      <c r="E21" s="15"/>
      <c r="F21" s="8"/>
      <c r="H21" s="16"/>
      <c r="J21" s="68"/>
    </row>
    <row r="22" spans="1:15" s="3" customFormat="1" x14ac:dyDescent="0.3">
      <c r="A22" s="32" t="s">
        <v>103</v>
      </c>
      <c r="B22" s="15">
        <v>5</v>
      </c>
      <c r="C22" s="33"/>
      <c r="D22" s="15"/>
      <c r="E22" s="33"/>
      <c r="F22" s="33"/>
      <c r="G22" s="16"/>
      <c r="H22" s="16"/>
      <c r="J22" s="68"/>
    </row>
    <row r="23" spans="1:15" s="3" customFormat="1" x14ac:dyDescent="0.3">
      <c r="A23" s="3" t="s">
        <v>7</v>
      </c>
      <c r="B23" s="2">
        <f>B22*10000</f>
        <v>50000</v>
      </c>
      <c r="C23" s="2"/>
      <c r="D23" s="2"/>
      <c r="E23" s="15"/>
      <c r="F23" s="2"/>
      <c r="H23" s="15"/>
      <c r="J23" s="68"/>
    </row>
    <row r="24" spans="1:15" s="3" customFormat="1" x14ac:dyDescent="0.3">
      <c r="A24" s="39" t="s">
        <v>8</v>
      </c>
      <c r="B24" s="19">
        <f>(B21/B23)*100</f>
        <v>28.799999999999997</v>
      </c>
      <c r="C24" s="72"/>
      <c r="D24" s="72"/>
      <c r="E24" s="25"/>
      <c r="F24" s="18"/>
      <c r="G24" s="18"/>
      <c r="H24" s="19"/>
      <c r="I24" s="28"/>
      <c r="J24" s="71"/>
      <c r="K24" s="28"/>
    </row>
    <row r="25" spans="1:15" s="3" customFormat="1" x14ac:dyDescent="0.3">
      <c r="A25" s="32"/>
      <c r="B25" s="67"/>
      <c r="C25" s="67"/>
      <c r="D25" s="67"/>
      <c r="E25" s="15"/>
      <c r="F25" s="8"/>
      <c r="G25" s="8"/>
      <c r="H25" s="9"/>
      <c r="J25" s="68"/>
    </row>
    <row r="26" spans="1:15" s="29" customFormat="1" x14ac:dyDescent="0.3">
      <c r="A26" s="29" t="s">
        <v>94</v>
      </c>
      <c r="B26" s="78"/>
      <c r="C26" s="78"/>
      <c r="D26" s="78"/>
      <c r="E26" s="37"/>
      <c r="F26" s="31"/>
      <c r="G26" s="31"/>
      <c r="H26" s="38"/>
      <c r="J26" s="76"/>
    </row>
    <row r="27" spans="1:15" s="29" customFormat="1" x14ac:dyDescent="0.3">
      <c r="A27" s="29" t="s">
        <v>93</v>
      </c>
      <c r="B27" s="78"/>
      <c r="C27" s="78"/>
      <c r="D27" s="78"/>
      <c r="E27" s="37"/>
      <c r="F27" s="31"/>
      <c r="G27" s="31"/>
      <c r="H27" s="38"/>
      <c r="J27" s="76"/>
    </row>
    <row r="28" spans="1:15" x14ac:dyDescent="0.3">
      <c r="B28" t="s">
        <v>95</v>
      </c>
      <c r="C28" t="s">
        <v>90</v>
      </c>
      <c r="D28" t="s">
        <v>91</v>
      </c>
      <c r="E28" t="s">
        <v>92</v>
      </c>
    </row>
    <row r="29" spans="1:15" x14ac:dyDescent="0.3">
      <c r="A29" t="s">
        <v>60</v>
      </c>
      <c r="B29">
        <v>8.3000000000000007</v>
      </c>
      <c r="C29">
        <f>1-(B29/12)</f>
        <v>0.30833333333333324</v>
      </c>
      <c r="D29" s="80">
        <f>$B$24</f>
        <v>28.799999999999997</v>
      </c>
      <c r="E29" s="79">
        <f t="shared" ref="E29:E32" si="0">(C29*D29)/100</f>
        <v>8.8799999999999976E-2</v>
      </c>
      <c r="F29" s="79"/>
    </row>
    <row r="30" spans="1:15" x14ac:dyDescent="0.3">
      <c r="A30" t="s">
        <v>61</v>
      </c>
      <c r="B30">
        <v>9.25</v>
      </c>
      <c r="C30">
        <f t="shared" ref="C30:C39" si="1">1-(B30/12)</f>
        <v>0.22916666666666663</v>
      </c>
      <c r="D30" s="80">
        <f t="shared" ref="D30:D35" si="2">$B$24</f>
        <v>28.799999999999997</v>
      </c>
      <c r="E30" s="79">
        <f t="shared" si="0"/>
        <v>6.5999999999999975E-2</v>
      </c>
      <c r="F30" s="79"/>
    </row>
    <row r="31" spans="1:15" x14ac:dyDescent="0.3">
      <c r="A31" t="s">
        <v>65</v>
      </c>
      <c r="B31">
        <v>8.31</v>
      </c>
      <c r="C31">
        <f t="shared" si="1"/>
        <v>0.3075</v>
      </c>
      <c r="D31" s="80">
        <f t="shared" si="2"/>
        <v>28.799999999999997</v>
      </c>
      <c r="E31" s="79">
        <f t="shared" si="0"/>
        <v>8.856E-2</v>
      </c>
      <c r="F31" s="79"/>
    </row>
    <row r="32" spans="1:15" x14ac:dyDescent="0.3">
      <c r="A32" t="s">
        <v>66</v>
      </c>
      <c r="B32">
        <v>8</v>
      </c>
      <c r="C32">
        <f t="shared" si="1"/>
        <v>0.33333333333333337</v>
      </c>
      <c r="D32" s="80">
        <f t="shared" si="2"/>
        <v>28.799999999999997</v>
      </c>
      <c r="E32" s="79">
        <f t="shared" si="0"/>
        <v>9.6000000000000002E-2</v>
      </c>
      <c r="F32" s="79"/>
    </row>
    <row r="33" spans="1:6" x14ac:dyDescent="0.3">
      <c r="A33" t="s">
        <v>67</v>
      </c>
      <c r="B33">
        <v>7.21</v>
      </c>
      <c r="C33">
        <f t="shared" si="1"/>
        <v>0.39916666666666667</v>
      </c>
      <c r="D33" s="80">
        <f t="shared" si="2"/>
        <v>28.799999999999997</v>
      </c>
      <c r="E33" s="79">
        <f>(C33*D33)/100</f>
        <v>0.11495999999999999</v>
      </c>
      <c r="F33" s="79"/>
    </row>
    <row r="34" spans="1:6" x14ac:dyDescent="0.3">
      <c r="A34" t="s">
        <v>69</v>
      </c>
      <c r="B34">
        <v>9.3000000000000007</v>
      </c>
      <c r="C34">
        <f t="shared" si="1"/>
        <v>0.22499999999999998</v>
      </c>
      <c r="D34" s="80">
        <f t="shared" si="2"/>
        <v>28.799999999999997</v>
      </c>
      <c r="E34" s="79">
        <f t="shared" ref="E34:E39" si="3">(C34*D34)/100</f>
        <v>6.4799999999999983E-2</v>
      </c>
      <c r="F34" s="79"/>
    </row>
    <row r="35" spans="1:6" x14ac:dyDescent="0.3">
      <c r="A35" t="s">
        <v>62</v>
      </c>
      <c r="B35">
        <v>7.67</v>
      </c>
      <c r="C35">
        <f t="shared" si="1"/>
        <v>0.36083333333333334</v>
      </c>
      <c r="D35" s="80">
        <f t="shared" si="2"/>
        <v>28.799999999999997</v>
      </c>
      <c r="E35" s="79">
        <f t="shared" si="3"/>
        <v>0.10392</v>
      </c>
      <c r="F35" s="79"/>
    </row>
    <row r="36" spans="1:6" x14ac:dyDescent="0.3">
      <c r="A36" t="s">
        <v>70</v>
      </c>
      <c r="B36">
        <v>6.5</v>
      </c>
      <c r="C36">
        <f t="shared" si="1"/>
        <v>0.45833333333333337</v>
      </c>
      <c r="D36" s="80">
        <f>$B$17</f>
        <v>20.660869565217393</v>
      </c>
      <c r="E36" s="79">
        <f t="shared" si="3"/>
        <v>9.4695652173913056E-2</v>
      </c>
      <c r="F36" s="79"/>
    </row>
    <row r="37" spans="1:6" x14ac:dyDescent="0.3">
      <c r="A37" t="s">
        <v>68</v>
      </c>
      <c r="B37">
        <v>5.76</v>
      </c>
      <c r="C37">
        <f t="shared" si="1"/>
        <v>0.52</v>
      </c>
      <c r="D37" s="80">
        <f>$B$24</f>
        <v>28.799999999999997</v>
      </c>
      <c r="E37" s="79">
        <f t="shared" si="3"/>
        <v>0.14976</v>
      </c>
      <c r="F37" s="79"/>
    </row>
    <row r="38" spans="1:6" x14ac:dyDescent="0.3">
      <c r="A38" t="s">
        <v>63</v>
      </c>
      <c r="B38">
        <v>9.1999999999999993</v>
      </c>
      <c r="C38">
        <f t="shared" si="1"/>
        <v>0.23333333333333339</v>
      </c>
      <c r="D38" s="80">
        <f t="shared" ref="D38:D39" si="4">$B$24</f>
        <v>28.799999999999997</v>
      </c>
      <c r="E38" s="79">
        <f t="shared" si="3"/>
        <v>6.720000000000001E-2</v>
      </c>
      <c r="F38" s="79"/>
    </row>
    <row r="39" spans="1:6" x14ac:dyDescent="0.3">
      <c r="A39" t="s">
        <v>64</v>
      </c>
      <c r="B39">
        <v>8.1</v>
      </c>
      <c r="C39">
        <f t="shared" si="1"/>
        <v>0.32500000000000007</v>
      </c>
      <c r="D39" s="80">
        <f t="shared" si="4"/>
        <v>28.799999999999997</v>
      </c>
      <c r="E39" s="79">
        <f t="shared" si="3"/>
        <v>9.3600000000000017E-2</v>
      </c>
      <c r="F39" s="79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9"/>
  <sheetViews>
    <sheetView topLeftCell="A2" workbookViewId="0">
      <selection activeCell="G33" sqref="G33"/>
    </sheetView>
  </sheetViews>
  <sheetFormatPr defaultRowHeight="14.4" x14ac:dyDescent="0.3"/>
  <cols>
    <col min="1" max="1" width="14.88671875" customWidth="1"/>
    <col min="2" max="2" width="13.109375" customWidth="1"/>
    <col min="3" max="3" width="13.44140625" customWidth="1"/>
    <col min="4" max="4" width="12" customWidth="1"/>
    <col min="5" max="5" width="8.109375" customWidth="1"/>
  </cols>
  <sheetData>
    <row r="1" spans="1:11" s="1" customFormat="1" x14ac:dyDescent="0.3">
      <c r="A1" s="58" t="s">
        <v>29</v>
      </c>
      <c r="B1" s="58"/>
      <c r="C1" s="58"/>
      <c r="D1" s="58"/>
      <c r="E1" s="58"/>
      <c r="F1" s="69"/>
      <c r="G1" s="58"/>
      <c r="H1" s="69"/>
      <c r="I1" s="82" t="s">
        <v>110</v>
      </c>
      <c r="J1" s="69"/>
    </row>
    <row r="2" spans="1:11" s="1" customFormat="1" x14ac:dyDescent="0.3">
      <c r="A2" s="17" t="s">
        <v>97</v>
      </c>
      <c r="B2" s="69" t="s">
        <v>114</v>
      </c>
      <c r="C2" s="69"/>
      <c r="D2" s="69"/>
      <c r="E2" s="69"/>
      <c r="F2" s="69"/>
      <c r="G2" s="69"/>
      <c r="H2" s="69"/>
      <c r="I2" s="69"/>
      <c r="J2" s="17"/>
      <c r="K2" s="69"/>
    </row>
    <row r="3" spans="1:11" s="1" customFormat="1" x14ac:dyDescent="0.3">
      <c r="A3" s="83" t="s">
        <v>100</v>
      </c>
      <c r="B3" s="1" t="s">
        <v>101</v>
      </c>
      <c r="D3" s="1" t="s">
        <v>12</v>
      </c>
      <c r="E3" s="73" t="s">
        <v>18</v>
      </c>
      <c r="F3" t="s">
        <v>98</v>
      </c>
      <c r="H3"/>
      <c r="I3" t="s">
        <v>96</v>
      </c>
    </row>
    <row r="4" spans="1:11" s="1" customFormat="1" x14ac:dyDescent="0.3">
      <c r="A4"/>
      <c r="B4" s="12" t="s">
        <v>113</v>
      </c>
      <c r="C4" s="12" t="s">
        <v>99</v>
      </c>
      <c r="D4" s="1">
        <v>2.5</v>
      </c>
      <c r="E4" s="73"/>
      <c r="F4"/>
      <c r="H4"/>
    </row>
    <row r="5" spans="1:11" x14ac:dyDescent="0.3">
      <c r="A5" t="s">
        <v>102</v>
      </c>
      <c r="B5">
        <v>30</v>
      </c>
      <c r="C5">
        <v>30</v>
      </c>
      <c r="D5">
        <v>15</v>
      </c>
    </row>
    <row r="6" spans="1:11" x14ac:dyDescent="0.3">
      <c r="A6" t="s">
        <v>2</v>
      </c>
      <c r="B6">
        <v>15</v>
      </c>
      <c r="C6">
        <v>25</v>
      </c>
      <c r="D6">
        <v>35</v>
      </c>
    </row>
    <row r="7" spans="1:11" x14ac:dyDescent="0.3">
      <c r="A7" t="s">
        <v>3</v>
      </c>
      <c r="B7">
        <v>5</v>
      </c>
      <c r="C7">
        <v>8</v>
      </c>
      <c r="D7">
        <v>12</v>
      </c>
    </row>
    <row r="8" spans="1:11" x14ac:dyDescent="0.3">
      <c r="A8" t="s">
        <v>4</v>
      </c>
      <c r="B8">
        <f>B6*B7</f>
        <v>75</v>
      </c>
      <c r="C8">
        <f t="shared" ref="C8:D8" si="0">C6*C7</f>
        <v>200</v>
      </c>
      <c r="D8">
        <f t="shared" si="0"/>
        <v>420</v>
      </c>
    </row>
    <row r="9" spans="1:11" x14ac:dyDescent="0.3">
      <c r="A9" t="s">
        <v>6</v>
      </c>
      <c r="B9" s="81">
        <f>1/(0.44/6)</f>
        <v>13.636363636363637</v>
      </c>
      <c r="C9" s="81">
        <f>D9</f>
        <v>16</v>
      </c>
      <c r="D9" s="81">
        <f>40/D4</f>
        <v>16</v>
      </c>
    </row>
    <row r="10" spans="1:11" x14ac:dyDescent="0.3">
      <c r="A10" t="s">
        <v>7</v>
      </c>
      <c r="B10" s="81">
        <f>B9*B8</f>
        <v>1022.7272727272727</v>
      </c>
      <c r="C10" s="81">
        <f>C9*C8</f>
        <v>3200</v>
      </c>
      <c r="D10" s="81">
        <f>D9*D8</f>
        <v>6720</v>
      </c>
    </row>
    <row r="11" spans="1:11" s="3" customFormat="1" ht="30.75" customHeight="1" x14ac:dyDescent="0.3">
      <c r="A11" s="28" t="s">
        <v>8</v>
      </c>
      <c r="B11" s="57">
        <f t="shared" ref="B11:D11" si="1">(B10/(100*100))*100</f>
        <v>10.227272727272728</v>
      </c>
      <c r="C11" s="57">
        <f t="shared" si="1"/>
        <v>32</v>
      </c>
      <c r="D11" s="57">
        <f t="shared" si="1"/>
        <v>67.2</v>
      </c>
      <c r="E11" s="91">
        <f>((B11*B5)+(C11*C5)+(D11*D5))/(B5+C5+D5)</f>
        <v>30.330909090909092</v>
      </c>
      <c r="F11" s="20" t="s">
        <v>77</v>
      </c>
      <c r="G11" s="28"/>
      <c r="H11" s="28"/>
      <c r="I11" s="28"/>
      <c r="J11" s="28"/>
      <c r="K11" s="28"/>
    </row>
    <row r="12" spans="1:11" s="3" customFormat="1" ht="16.5" customHeight="1" x14ac:dyDescent="0.3">
      <c r="A12" s="83" t="s">
        <v>109</v>
      </c>
      <c r="B12" t="s">
        <v>33</v>
      </c>
      <c r="C12"/>
      <c r="D12" s="1" t="s">
        <v>12</v>
      </c>
      <c r="E12" s="73" t="s">
        <v>18</v>
      </c>
      <c r="F12" s="3" t="s">
        <v>115</v>
      </c>
    </row>
    <row r="13" spans="1:11" s="3" customFormat="1" ht="16.5" customHeight="1" x14ac:dyDescent="0.3">
      <c r="B13" s="90" t="s">
        <v>112</v>
      </c>
      <c r="C13" s="90" t="s">
        <v>111</v>
      </c>
      <c r="D13" s="29">
        <v>2.5</v>
      </c>
      <c r="E13" s="73"/>
    </row>
    <row r="14" spans="1:11" s="3" customFormat="1" ht="16.5" customHeight="1" x14ac:dyDescent="0.3">
      <c r="A14" t="s">
        <v>102</v>
      </c>
      <c r="B14">
        <v>30</v>
      </c>
      <c r="C14">
        <v>30</v>
      </c>
      <c r="D14">
        <v>15</v>
      </c>
      <c r="E14"/>
      <c r="F14"/>
    </row>
    <row r="15" spans="1:11" s="3" customFormat="1" ht="16.5" customHeight="1" x14ac:dyDescent="0.3">
      <c r="A15" t="s">
        <v>2</v>
      </c>
      <c r="B15">
        <v>15</v>
      </c>
      <c r="C15">
        <v>25</v>
      </c>
      <c r="D15">
        <v>35</v>
      </c>
      <c r="E15"/>
      <c r="F15"/>
    </row>
    <row r="16" spans="1:11" s="3" customFormat="1" ht="16.5" customHeight="1" x14ac:dyDescent="0.3">
      <c r="A16" t="s">
        <v>3</v>
      </c>
      <c r="B16">
        <v>5</v>
      </c>
      <c r="C16">
        <v>8</v>
      </c>
      <c r="D16">
        <v>12</v>
      </c>
      <c r="E16"/>
      <c r="F16"/>
    </row>
    <row r="17" spans="1:11" s="3" customFormat="1" ht="16.5" customHeight="1" x14ac:dyDescent="0.3">
      <c r="A17" t="s">
        <v>4</v>
      </c>
      <c r="B17">
        <f>B15*B16</f>
        <v>75</v>
      </c>
      <c r="C17">
        <f t="shared" ref="C17:D17" si="2">C15*C16</f>
        <v>200</v>
      </c>
      <c r="D17">
        <f t="shared" si="2"/>
        <v>420</v>
      </c>
      <c r="E17"/>
      <c r="F17"/>
    </row>
    <row r="18" spans="1:11" s="3" customFormat="1" ht="16.5" customHeight="1" x14ac:dyDescent="0.3">
      <c r="A18" t="s">
        <v>6</v>
      </c>
      <c r="B18" s="89">
        <f>1/(0.8/6)</f>
        <v>7.5</v>
      </c>
      <c r="C18" s="89">
        <f>D18</f>
        <v>3.3333333333333335</v>
      </c>
      <c r="D18" s="89">
        <f>1/0.3</f>
        <v>3.3333333333333335</v>
      </c>
      <c r="E18"/>
      <c r="F18"/>
    </row>
    <row r="19" spans="1:11" s="3" customFormat="1" ht="16.5" customHeight="1" x14ac:dyDescent="0.3">
      <c r="A19" t="s">
        <v>7</v>
      </c>
      <c r="B19" s="81">
        <f t="shared" ref="B19:C19" si="3">B18*B17</f>
        <v>562.5</v>
      </c>
      <c r="C19" s="81">
        <f t="shared" si="3"/>
        <v>666.66666666666674</v>
      </c>
      <c r="D19" s="81">
        <f>D18*D17</f>
        <v>1400</v>
      </c>
      <c r="E19"/>
      <c r="F19"/>
    </row>
    <row r="20" spans="1:11" s="3" customFormat="1" ht="29.25" customHeight="1" x14ac:dyDescent="0.3">
      <c r="A20" s="28" t="s">
        <v>8</v>
      </c>
      <c r="B20" s="57">
        <f>(B19/(100*100))*100</f>
        <v>5.625</v>
      </c>
      <c r="C20" s="57">
        <f t="shared" ref="C20:D20" si="4">(C19/(100*100))*100</f>
        <v>6.6666666666666679</v>
      </c>
      <c r="D20" s="57">
        <f t="shared" si="4"/>
        <v>14.000000000000002</v>
      </c>
      <c r="E20" s="91">
        <f>((B20*B14)+(C20*C14)+(D20*D14))/(B14+C14+D14)</f>
        <v>7.7166666666666668</v>
      </c>
      <c r="F20" s="20" t="s">
        <v>77</v>
      </c>
    </row>
    <row r="21" spans="1:11" x14ac:dyDescent="0.3">
      <c r="A21" s="86" t="s">
        <v>106</v>
      </c>
      <c r="B21" s="87"/>
      <c r="C21" s="87"/>
      <c r="D21" s="87" t="s">
        <v>12</v>
      </c>
      <c r="E21" s="88" t="s">
        <v>18</v>
      </c>
      <c r="F21" s="84" t="s">
        <v>104</v>
      </c>
      <c r="G21" s="84"/>
      <c r="H21" s="84"/>
      <c r="I21" s="84"/>
      <c r="J21" s="84"/>
      <c r="K21" s="84"/>
    </row>
    <row r="22" spans="1:11" x14ac:dyDescent="0.3">
      <c r="A22" s="40" t="s">
        <v>105</v>
      </c>
      <c r="B22" t="s">
        <v>113</v>
      </c>
      <c r="C22" s="3" t="s">
        <v>107</v>
      </c>
      <c r="D22" s="29">
        <v>2.5</v>
      </c>
      <c r="E22" s="73"/>
      <c r="F22" s="3" t="s">
        <v>108</v>
      </c>
      <c r="G22" s="3"/>
      <c r="H22" s="3"/>
      <c r="I22" s="3"/>
      <c r="J22" s="3"/>
      <c r="K22" s="3"/>
    </row>
    <row r="23" spans="1:11" x14ac:dyDescent="0.3">
      <c r="A23" t="s">
        <v>102</v>
      </c>
      <c r="B23">
        <v>30</v>
      </c>
      <c r="C23">
        <v>30</v>
      </c>
      <c r="D23">
        <v>15</v>
      </c>
    </row>
    <row r="24" spans="1:11" x14ac:dyDescent="0.3">
      <c r="A24" t="s">
        <v>2</v>
      </c>
      <c r="B24">
        <v>15</v>
      </c>
      <c r="C24">
        <v>25</v>
      </c>
      <c r="D24">
        <v>35</v>
      </c>
    </row>
    <row r="25" spans="1:11" x14ac:dyDescent="0.3">
      <c r="A25" t="s">
        <v>3</v>
      </c>
      <c r="B25">
        <v>5</v>
      </c>
      <c r="C25">
        <v>8</v>
      </c>
      <c r="D25">
        <v>12</v>
      </c>
    </row>
    <row r="26" spans="1:11" x14ac:dyDescent="0.3">
      <c r="A26" t="s">
        <v>4</v>
      </c>
      <c r="B26">
        <f>B24*B25</f>
        <v>75</v>
      </c>
      <c r="C26">
        <f t="shared" ref="C26:D26" si="5">C24*C25</f>
        <v>200</v>
      </c>
      <c r="D26">
        <f t="shared" si="5"/>
        <v>420</v>
      </c>
    </row>
    <row r="27" spans="1:11" x14ac:dyDescent="0.3">
      <c r="A27" t="s">
        <v>6</v>
      </c>
      <c r="B27" s="81">
        <v>14</v>
      </c>
      <c r="C27" s="81">
        <f>D27</f>
        <v>18</v>
      </c>
      <c r="D27" s="81">
        <f>45/D22</f>
        <v>18</v>
      </c>
    </row>
    <row r="28" spans="1:11" x14ac:dyDescent="0.3">
      <c r="A28" t="s">
        <v>7</v>
      </c>
      <c r="B28">
        <f>B27*B26</f>
        <v>1050</v>
      </c>
      <c r="C28">
        <f>C27*C26</f>
        <v>3600</v>
      </c>
      <c r="D28">
        <f>D27*D26</f>
        <v>7560</v>
      </c>
    </row>
    <row r="29" spans="1:11" ht="32.25" customHeight="1" x14ac:dyDescent="0.3">
      <c r="A29" s="28" t="s">
        <v>8</v>
      </c>
      <c r="B29" s="57">
        <f>(B28/(100*100))*100</f>
        <v>10.5</v>
      </c>
      <c r="C29" s="57">
        <f t="shared" ref="C29:D29" si="6">(C28/(100*100))*100</f>
        <v>36</v>
      </c>
      <c r="D29" s="57">
        <f t="shared" si="6"/>
        <v>75.599999999999994</v>
      </c>
      <c r="E29" s="91">
        <f>((B29*B23)+(C29*C23)+(D29*D23))/(B23+C23+D23)</f>
        <v>33.72</v>
      </c>
      <c r="F29" s="20" t="s">
        <v>77</v>
      </c>
      <c r="G29" s="17"/>
      <c r="H29" s="17"/>
      <c r="I29" s="17"/>
      <c r="J29" s="17"/>
      <c r="K29" s="17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1"/>
  <sheetViews>
    <sheetView workbookViewId="0">
      <selection activeCell="H24" sqref="H24"/>
    </sheetView>
  </sheetViews>
  <sheetFormatPr defaultRowHeight="14.4" x14ac:dyDescent="0.3"/>
  <cols>
    <col min="1" max="1" width="17.5546875" customWidth="1"/>
  </cols>
  <sheetData>
    <row r="1" spans="1:10" x14ac:dyDescent="0.3">
      <c r="A1" s="17" t="s">
        <v>116</v>
      </c>
      <c r="B1" s="17" t="s">
        <v>128</v>
      </c>
      <c r="C1" s="17"/>
      <c r="D1" s="17"/>
      <c r="E1" s="17"/>
      <c r="F1" s="17"/>
      <c r="G1" s="17"/>
      <c r="H1" s="17" t="s">
        <v>129</v>
      </c>
      <c r="I1" s="17"/>
      <c r="J1" s="17"/>
    </row>
    <row r="2" spans="1:10" s="3" customFormat="1" x14ac:dyDescent="0.3">
      <c r="A2" s="94" t="s">
        <v>127</v>
      </c>
      <c r="B2" s="3" t="s">
        <v>125</v>
      </c>
      <c r="F2" s="73" t="s">
        <v>18</v>
      </c>
      <c r="G2" s="3" t="s">
        <v>126</v>
      </c>
    </row>
    <row r="3" spans="1:10" x14ac:dyDescent="0.3">
      <c r="B3" s="12" t="s">
        <v>130</v>
      </c>
    </row>
    <row r="4" spans="1:10" x14ac:dyDescent="0.3">
      <c r="A4" t="s">
        <v>117</v>
      </c>
      <c r="B4">
        <v>1</v>
      </c>
      <c r="C4">
        <v>1</v>
      </c>
      <c r="D4">
        <v>1</v>
      </c>
    </row>
    <row r="5" spans="1:10" x14ac:dyDescent="0.3">
      <c r="A5" t="s">
        <v>12</v>
      </c>
      <c r="B5">
        <v>1</v>
      </c>
      <c r="C5">
        <v>3</v>
      </c>
      <c r="D5">
        <v>5</v>
      </c>
    </row>
    <row r="6" spans="1:10" x14ac:dyDescent="0.3">
      <c r="A6" t="s">
        <v>118</v>
      </c>
      <c r="B6">
        <v>40</v>
      </c>
      <c r="C6">
        <v>60</v>
      </c>
      <c r="D6">
        <v>80</v>
      </c>
    </row>
    <row r="7" spans="1:10" x14ac:dyDescent="0.3">
      <c r="A7" t="s">
        <v>119</v>
      </c>
      <c r="B7">
        <v>25</v>
      </c>
      <c r="C7">
        <v>50</v>
      </c>
      <c r="D7">
        <v>100</v>
      </c>
    </row>
    <row r="8" spans="1:10" x14ac:dyDescent="0.3">
      <c r="A8" t="s">
        <v>120</v>
      </c>
      <c r="B8">
        <f>B6*B7</f>
        <v>1000</v>
      </c>
      <c r="C8">
        <f>C6*C7</f>
        <v>3000</v>
      </c>
      <c r="D8">
        <f>D6*D7</f>
        <v>8000</v>
      </c>
    </row>
    <row r="9" spans="1:10" x14ac:dyDescent="0.3">
      <c r="A9" t="s">
        <v>121</v>
      </c>
      <c r="B9" s="89">
        <f t="shared" ref="B9:C9" si="0">25/B5</f>
        <v>25</v>
      </c>
      <c r="C9" s="89">
        <f t="shared" si="0"/>
        <v>8.3333333333333339</v>
      </c>
      <c r="D9" s="89">
        <f>25/D5</f>
        <v>5</v>
      </c>
    </row>
    <row r="10" spans="1:10" x14ac:dyDescent="0.3">
      <c r="A10" t="s">
        <v>122</v>
      </c>
      <c r="B10">
        <f>B8*B9</f>
        <v>25000</v>
      </c>
      <c r="C10">
        <f>C8*C9</f>
        <v>25000</v>
      </c>
      <c r="D10">
        <f t="shared" ref="D10" si="1">D8*D9</f>
        <v>40000</v>
      </c>
    </row>
    <row r="11" spans="1:10" s="3" customFormat="1" ht="33" customHeight="1" x14ac:dyDescent="0.3">
      <c r="A11" s="28" t="s">
        <v>123</v>
      </c>
      <c r="B11" s="28">
        <f>(B10/(100*100*100))*100</f>
        <v>2.5</v>
      </c>
      <c r="C11" s="28">
        <f t="shared" ref="C11:D11" si="2">(C10/(100*100*100))*100</f>
        <v>2.5</v>
      </c>
      <c r="D11" s="28">
        <f t="shared" si="2"/>
        <v>4</v>
      </c>
      <c r="E11" s="92">
        <f>((B4*B11)+(C4*C11)+(D4*D11))/3</f>
        <v>3</v>
      </c>
      <c r="F11" s="39" t="s">
        <v>124</v>
      </c>
      <c r="G11" s="28"/>
      <c r="H11" s="28"/>
      <c r="I11" s="28"/>
      <c r="J11" s="28"/>
    </row>
    <row r="12" spans="1:10" x14ac:dyDescent="0.3">
      <c r="A12" s="93"/>
      <c r="F12" s="73"/>
    </row>
    <row r="19" spans="1:10" x14ac:dyDescent="0.3">
      <c r="B19" s="89"/>
      <c r="C19" s="89"/>
      <c r="D19" s="89"/>
    </row>
    <row r="21" spans="1:10" x14ac:dyDescent="0.3">
      <c r="A21" s="3"/>
      <c r="B21" s="3"/>
      <c r="C21" s="3"/>
      <c r="D21" s="3"/>
      <c r="E21" s="50"/>
      <c r="F21" s="32"/>
      <c r="G21" s="3"/>
      <c r="H21" s="3"/>
      <c r="I21" s="3"/>
      <c r="J2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poultry</vt:lpstr>
      <vt:lpstr>pig</vt:lpstr>
      <vt:lpstr>cattle</vt:lpstr>
      <vt:lpstr>sheep</vt:lpstr>
      <vt:lpstr>horse</vt:lpstr>
      <vt:lpstr>rabbit</vt:lpstr>
      <vt:lpstr>salmon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Lotta Rydhmer</dc:creator>
  <cp:lastModifiedBy>Elin Röös</cp:lastModifiedBy>
  <dcterms:created xsi:type="dcterms:W3CDTF">2024-01-19T08:03:44Z</dcterms:created>
  <dcterms:modified xsi:type="dcterms:W3CDTF">2024-07-19T10:08:28Z</dcterms:modified>
</cp:coreProperties>
</file>