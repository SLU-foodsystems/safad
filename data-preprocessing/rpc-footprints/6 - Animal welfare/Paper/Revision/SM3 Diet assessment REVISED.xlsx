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\\storage.slu.se\Home$\elinro\My Documents\SLU\Projekt 42 - Plan'eat\WP3\6 - Animal welfare\Paper\Revision\"/>
    </mc:Choice>
  </mc:AlternateContent>
  <xr:revisionPtr revIDLastSave="0" documentId="13_ncr:1_{A1A4B4C3-A8DC-4003-95CC-152ED6765B3E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README" sheetId="14" r:id="rId1"/>
    <sheet name="Diet assessment" sheetId="12" r:id="rId2"/>
    <sheet name="Cons data" sheetId="3" r:id="rId3"/>
    <sheet name="Yields" sheetId="13" r:id="rId4"/>
    <sheet name="Footprints Ireland" sheetId="5" r:id="rId5"/>
    <sheet name="Footprints Italy" sheetId="7" r:id="rId6"/>
    <sheet name="Footprints Poland" sheetId="8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4" i="3" l="1"/>
  <c r="B7" i="12"/>
  <c r="C7" i="12"/>
  <c r="D7" i="12"/>
  <c r="B8" i="12"/>
  <c r="C8" i="12"/>
  <c r="D8" i="12"/>
  <c r="B9" i="12"/>
  <c r="C9" i="12"/>
  <c r="D9" i="12"/>
  <c r="B10" i="12"/>
  <c r="C10" i="12"/>
  <c r="D10" i="12"/>
  <c r="B11" i="12"/>
  <c r="C11" i="12"/>
  <c r="D11" i="12"/>
  <c r="B12" i="12"/>
  <c r="C12" i="12"/>
  <c r="D12" i="12"/>
  <c r="B13" i="12"/>
  <c r="C13" i="12"/>
  <c r="D13" i="12"/>
  <c r="B14" i="12"/>
  <c r="C14" i="12"/>
  <c r="D14" i="12"/>
  <c r="B15" i="12"/>
  <c r="C15" i="12"/>
  <c r="D15" i="12"/>
  <c r="B16" i="12"/>
  <c r="C16" i="12"/>
  <c r="D16" i="12"/>
  <c r="B17" i="12"/>
  <c r="C17" i="12"/>
  <c r="D17" i="12"/>
  <c r="B18" i="12"/>
  <c r="C18" i="12"/>
  <c r="D18" i="12"/>
  <c r="B19" i="12"/>
  <c r="C19" i="12"/>
  <c r="D19" i="12"/>
  <c r="B20" i="12"/>
  <c r="C20" i="12"/>
  <c r="D20" i="12"/>
  <c r="B21" i="12"/>
  <c r="C21" i="12"/>
  <c r="D21" i="12"/>
  <c r="B22" i="12"/>
  <c r="C22" i="12"/>
  <c r="D22" i="12"/>
  <c r="B23" i="12"/>
  <c r="C23" i="12"/>
  <c r="D23" i="12"/>
  <c r="B24" i="12"/>
  <c r="C24" i="12"/>
  <c r="D24" i="12"/>
  <c r="B32" i="12"/>
  <c r="B33" i="12" l="1"/>
  <c r="P24" i="12"/>
  <c r="P30" i="12" s="1"/>
  <c r="O8" i="12"/>
  <c r="O24" i="12" s="1"/>
  <c r="O30" i="12" s="1"/>
  <c r="P8" i="12"/>
  <c r="Q8" i="12"/>
  <c r="Q26" i="12" s="1"/>
  <c r="Q35" i="12" s="1"/>
  <c r="O9" i="12"/>
  <c r="P9" i="12"/>
  <c r="Q9" i="12"/>
  <c r="O10" i="12"/>
  <c r="P10" i="12"/>
  <c r="Q10" i="12"/>
  <c r="O11" i="12"/>
  <c r="P11" i="12"/>
  <c r="Q11" i="12"/>
  <c r="O12" i="12"/>
  <c r="P12" i="12"/>
  <c r="Q12" i="12"/>
  <c r="O13" i="12"/>
  <c r="P13" i="12"/>
  <c r="Q13" i="12"/>
  <c r="O14" i="12"/>
  <c r="O31" i="12" s="1"/>
  <c r="P14" i="12"/>
  <c r="P31" i="12" s="1"/>
  <c r="Q14" i="12"/>
  <c r="Q31" i="12" s="1"/>
  <c r="O15" i="12"/>
  <c r="P15" i="12"/>
  <c r="Q15" i="12"/>
  <c r="O16" i="12"/>
  <c r="P16" i="12"/>
  <c r="Q16" i="12"/>
  <c r="O18" i="12"/>
  <c r="P18" i="12"/>
  <c r="Q18" i="12"/>
  <c r="W18" i="12" s="1"/>
  <c r="O19" i="12"/>
  <c r="P19" i="12"/>
  <c r="Q19" i="12"/>
  <c r="O20" i="12"/>
  <c r="P20" i="12"/>
  <c r="Q20" i="12"/>
  <c r="O21" i="12"/>
  <c r="P21" i="12"/>
  <c r="Q21" i="12"/>
  <c r="O22" i="12"/>
  <c r="P22" i="12"/>
  <c r="Q22" i="12"/>
  <c r="O23" i="12"/>
  <c r="O29" i="12" s="1"/>
  <c r="P23" i="12"/>
  <c r="Q23" i="12"/>
  <c r="Q24" i="12"/>
  <c r="Q30" i="12" s="1"/>
  <c r="P32" i="12" l="1"/>
  <c r="Q29" i="12"/>
  <c r="P29" i="12"/>
  <c r="Q32" i="12"/>
  <c r="O32" i="12"/>
  <c r="Q33" i="12"/>
  <c r="P33" i="12"/>
  <c r="P28" i="12"/>
  <c r="O33" i="12"/>
  <c r="O28" i="12"/>
  <c r="P25" i="12"/>
  <c r="Q28" i="12"/>
  <c r="T26" i="12"/>
  <c r="T35" i="12" s="1"/>
  <c r="V18" i="12"/>
  <c r="U18" i="12"/>
  <c r="Z26" i="12"/>
  <c r="Z35" i="12" s="1"/>
  <c r="W26" i="12"/>
  <c r="W35" i="12" s="1"/>
  <c r="P34" i="12" l="1"/>
  <c r="S25" i="12"/>
  <c r="V25" i="12"/>
  <c r="V34" i="12" s="1"/>
  <c r="Y25" i="12"/>
  <c r="Y34" i="12" s="1"/>
  <c r="S34" i="12"/>
  <c r="T21" i="12" l="1"/>
  <c r="W21" i="12"/>
  <c r="U21" i="12" l="1"/>
  <c r="V21" i="12"/>
  <c r="R21" i="12"/>
  <c r="S21" i="12"/>
  <c r="Y21" i="12"/>
  <c r="X21" i="12"/>
  <c r="Z21" i="12"/>
  <c r="C18" i="13"/>
  <c r="C9" i="13"/>
  <c r="L17" i="12" s="1"/>
  <c r="D30" i="12"/>
  <c r="C30" i="12"/>
  <c r="B30" i="12"/>
  <c r="L21" i="12"/>
  <c r="K21" i="12"/>
  <c r="G17" i="12"/>
  <c r="E17" i="12"/>
  <c r="D31" i="12"/>
  <c r="C31" i="12"/>
  <c r="B31" i="12"/>
  <c r="C28" i="12" l="1"/>
  <c r="B28" i="12"/>
  <c r="C33" i="12"/>
  <c r="D28" i="12"/>
  <c r="D33" i="12"/>
  <c r="G21" i="12"/>
  <c r="M21" i="12"/>
  <c r="B29" i="12"/>
  <c r="C29" i="12"/>
  <c r="C32" i="12"/>
  <c r="D29" i="12"/>
  <c r="D32" i="12"/>
  <c r="L7" i="12"/>
  <c r="Q17" i="12"/>
  <c r="P17" i="12"/>
  <c r="O17" i="12"/>
  <c r="P7" i="12"/>
  <c r="O7" i="12"/>
  <c r="Q7" i="12"/>
  <c r="H21" i="12"/>
  <c r="F21" i="12"/>
  <c r="I21" i="12"/>
  <c r="J21" i="12"/>
  <c r="K17" i="12"/>
  <c r="H18" i="12"/>
  <c r="H17" i="12"/>
  <c r="J17" i="12"/>
  <c r="I17" i="12"/>
  <c r="M17" i="12"/>
  <c r="E7" i="12"/>
  <c r="F17" i="12"/>
  <c r="I18" i="12"/>
  <c r="M7" i="12"/>
  <c r="J7" i="12"/>
  <c r="G7" i="12"/>
  <c r="J18" i="12"/>
  <c r="K7" i="12"/>
  <c r="F7" i="12"/>
  <c r="E21" i="12"/>
  <c r="H7" i="12"/>
  <c r="I7" i="12" l="1"/>
  <c r="S7" i="12"/>
  <c r="Y7" i="12"/>
  <c r="V7" i="12"/>
  <c r="U17" i="12"/>
  <c r="X17" i="12"/>
  <c r="R17" i="12"/>
  <c r="Z7" i="12"/>
  <c r="W7" i="12"/>
  <c r="T7" i="12"/>
  <c r="V17" i="12"/>
  <c r="S17" i="12"/>
  <c r="Y17" i="12"/>
  <c r="T17" i="12"/>
  <c r="Z17" i="12"/>
  <c r="W17" i="12"/>
  <c r="R7" i="12"/>
  <c r="X7" i="12"/>
  <c r="U7" i="12"/>
  <c r="M23" i="12" l="1"/>
  <c r="M29" i="12" s="1"/>
  <c r="M18" i="12"/>
  <c r="G18" i="12"/>
  <c r="M14" i="12"/>
  <c r="M31" i="12" s="1"/>
  <c r="J14" i="12"/>
  <c r="J31" i="12" s="1"/>
  <c r="G14" i="12"/>
  <c r="G31" i="12" s="1"/>
  <c r="M11" i="12"/>
  <c r="J11" i="12"/>
  <c r="G11" i="12"/>
  <c r="M9" i="12"/>
  <c r="J9" i="12"/>
  <c r="G9" i="12"/>
  <c r="Z24" i="12"/>
  <c r="Z30" i="12" s="1"/>
  <c r="W24" i="12"/>
  <c r="W30" i="12" s="1"/>
  <c r="T24" i="12"/>
  <c r="T30" i="12" s="1"/>
  <c r="W23" i="12"/>
  <c r="W29" i="12" s="1"/>
  <c r="T23" i="12"/>
  <c r="T29" i="12" s="1"/>
  <c r="Z22" i="12"/>
  <c r="W22" i="12"/>
  <c r="T22" i="12"/>
  <c r="Z20" i="12"/>
  <c r="W20" i="12"/>
  <c r="T20" i="12"/>
  <c r="Z19" i="12"/>
  <c r="W19" i="12"/>
  <c r="T19" i="12"/>
  <c r="Z18" i="12"/>
  <c r="T18" i="12"/>
  <c r="Z16" i="12"/>
  <c r="W16" i="12"/>
  <c r="T16" i="12"/>
  <c r="Z15" i="12"/>
  <c r="W15" i="12"/>
  <c r="T15" i="12"/>
  <c r="Z14" i="12"/>
  <c r="Z31" i="12" s="1"/>
  <c r="W14" i="12"/>
  <c r="W31" i="12" s="1"/>
  <c r="T14" i="12"/>
  <c r="T31" i="12" s="1"/>
  <c r="Z13" i="12"/>
  <c r="W13" i="12"/>
  <c r="T13" i="12"/>
  <c r="Z12" i="12"/>
  <c r="W12" i="12"/>
  <c r="T12" i="12"/>
  <c r="Z11" i="12"/>
  <c r="W11" i="12"/>
  <c r="T11" i="12"/>
  <c r="Z10" i="12"/>
  <c r="W10" i="12"/>
  <c r="T10" i="12"/>
  <c r="Z9" i="12"/>
  <c r="W9" i="12"/>
  <c r="T9" i="12"/>
  <c r="Z8" i="12"/>
  <c r="Z28" i="12" s="1"/>
  <c r="W8" i="12"/>
  <c r="W28" i="12" s="1"/>
  <c r="T8" i="12"/>
  <c r="C24" i="3"/>
  <c r="D24" i="3"/>
  <c r="B25" i="3"/>
  <c r="C25" i="3"/>
  <c r="D25" i="3"/>
  <c r="B26" i="3"/>
  <c r="C26" i="3"/>
  <c r="D26" i="3"/>
  <c r="C27" i="3"/>
  <c r="D27" i="3"/>
  <c r="C28" i="3"/>
  <c r="D28" i="3"/>
  <c r="C29" i="3"/>
  <c r="D29" i="3"/>
  <c r="C30" i="3"/>
  <c r="D30" i="3"/>
  <c r="B27" i="3"/>
  <c r="B28" i="3"/>
  <c r="B29" i="3"/>
  <c r="B30" i="3"/>
  <c r="S24" i="12" l="1"/>
  <c r="S30" i="12" s="1"/>
  <c r="R24" i="12"/>
  <c r="R30" i="12" s="1"/>
  <c r="V20" i="12"/>
  <c r="U20" i="12"/>
  <c r="V16" i="12"/>
  <c r="U16" i="12"/>
  <c r="X13" i="12"/>
  <c r="Y13" i="12"/>
  <c r="R11" i="12"/>
  <c r="S11" i="12"/>
  <c r="V8" i="12"/>
  <c r="U8" i="12"/>
  <c r="U28" i="12" s="1"/>
  <c r="Y16" i="12"/>
  <c r="X16" i="12"/>
  <c r="Y23" i="12"/>
  <c r="Y29" i="12" s="1"/>
  <c r="X23" i="12"/>
  <c r="X29" i="12" s="1"/>
  <c r="S20" i="12"/>
  <c r="R20" i="12"/>
  <c r="S16" i="12"/>
  <c r="R16" i="12"/>
  <c r="U13" i="12"/>
  <c r="V13" i="12"/>
  <c r="X10" i="12"/>
  <c r="Y10" i="12"/>
  <c r="R8" i="12"/>
  <c r="S8" i="12"/>
  <c r="V24" i="12"/>
  <c r="V30" i="12" s="1"/>
  <c r="U24" i="12"/>
  <c r="U30" i="12" s="1"/>
  <c r="H24" i="12"/>
  <c r="H30" i="12" s="1"/>
  <c r="Y8" i="12"/>
  <c r="X8" i="12"/>
  <c r="V23" i="12"/>
  <c r="V29" i="12" s="1"/>
  <c r="U23" i="12"/>
  <c r="U29" i="12" s="1"/>
  <c r="X19" i="12"/>
  <c r="Y19" i="12"/>
  <c r="Y15" i="12"/>
  <c r="X15" i="12"/>
  <c r="S13" i="12"/>
  <c r="R13" i="12"/>
  <c r="V10" i="12"/>
  <c r="U10" i="12"/>
  <c r="S23" i="12"/>
  <c r="S29" i="12" s="1"/>
  <c r="R23" i="12"/>
  <c r="R29" i="12" s="1"/>
  <c r="U19" i="12"/>
  <c r="V19" i="12"/>
  <c r="V15" i="12"/>
  <c r="U15" i="12"/>
  <c r="Y12" i="12"/>
  <c r="X12" i="12"/>
  <c r="R10" i="12"/>
  <c r="S10" i="12"/>
  <c r="Y22" i="12"/>
  <c r="X22" i="12"/>
  <c r="R19" i="12"/>
  <c r="S19" i="12"/>
  <c r="S15" i="12"/>
  <c r="R15" i="12"/>
  <c r="V12" i="12"/>
  <c r="U12" i="12"/>
  <c r="X9" i="12"/>
  <c r="Y9" i="12"/>
  <c r="Y20" i="12"/>
  <c r="X20" i="12"/>
  <c r="V11" i="12"/>
  <c r="U11" i="12"/>
  <c r="U22" i="12"/>
  <c r="V22" i="12"/>
  <c r="X18" i="12"/>
  <c r="Y18" i="12"/>
  <c r="X14" i="12"/>
  <c r="X31" i="12" s="1"/>
  <c r="Y14" i="12"/>
  <c r="Y31" i="12" s="1"/>
  <c r="S12" i="12"/>
  <c r="R12" i="12"/>
  <c r="U9" i="12"/>
  <c r="V9" i="12"/>
  <c r="R14" i="12"/>
  <c r="R31" i="12" s="1"/>
  <c r="S14" i="12"/>
  <c r="S31" i="12" s="1"/>
  <c r="Y24" i="12"/>
  <c r="Y30" i="12" s="1"/>
  <c r="X24" i="12"/>
  <c r="X30" i="12" s="1"/>
  <c r="S22" i="12"/>
  <c r="R22" i="12"/>
  <c r="S18" i="12"/>
  <c r="R18" i="12"/>
  <c r="V14" i="12"/>
  <c r="V31" i="12" s="1"/>
  <c r="U14" i="12"/>
  <c r="U31" i="12" s="1"/>
  <c r="Y11" i="12"/>
  <c r="X11" i="12"/>
  <c r="R9" i="12"/>
  <c r="S9" i="12"/>
  <c r="W33" i="12"/>
  <c r="T33" i="12"/>
  <c r="W32" i="12"/>
  <c r="Z32" i="12"/>
  <c r="L23" i="12"/>
  <c r="L29" i="12" s="1"/>
  <c r="Z23" i="12"/>
  <c r="Z29" i="12" s="1"/>
  <c r="Z33" i="12"/>
  <c r="T32" i="12"/>
  <c r="T28" i="12"/>
  <c r="I11" i="12"/>
  <c r="I13" i="12"/>
  <c r="I15" i="12"/>
  <c r="L18" i="12"/>
  <c r="L20" i="12"/>
  <c r="L9" i="12"/>
  <c r="L11" i="12"/>
  <c r="L13" i="12"/>
  <c r="L15" i="12"/>
  <c r="F8" i="12"/>
  <c r="F10" i="12"/>
  <c r="F12" i="12"/>
  <c r="F14" i="12"/>
  <c r="F31" i="12" s="1"/>
  <c r="F16" i="12"/>
  <c r="I19" i="12"/>
  <c r="I22" i="12"/>
  <c r="I24" i="12"/>
  <c r="I30" i="12" s="1"/>
  <c r="I8" i="12"/>
  <c r="I10" i="12"/>
  <c r="I12" i="12"/>
  <c r="I14" i="12"/>
  <c r="I31" i="12" s="1"/>
  <c r="I16" i="12"/>
  <c r="L19" i="12"/>
  <c r="L22" i="12"/>
  <c r="L24" i="12"/>
  <c r="L30" i="12" s="1"/>
  <c r="F24" i="12"/>
  <c r="F30" i="12" s="1"/>
  <c r="L8" i="12"/>
  <c r="L10" i="12"/>
  <c r="L12" i="12"/>
  <c r="L14" i="12"/>
  <c r="L31" i="12" s="1"/>
  <c r="L16" i="12"/>
  <c r="F19" i="12"/>
  <c r="F20" i="12"/>
  <c r="F23" i="12"/>
  <c r="F29" i="12" s="1"/>
  <c r="I9" i="12"/>
  <c r="F22" i="12"/>
  <c r="F9" i="12"/>
  <c r="F11" i="12"/>
  <c r="F13" i="12"/>
  <c r="F15" i="12"/>
  <c r="F18" i="12"/>
  <c r="I20" i="12"/>
  <c r="I23" i="12"/>
  <c r="I29" i="12" s="1"/>
  <c r="G20" i="12"/>
  <c r="G23" i="12"/>
  <c r="G29" i="12" s="1"/>
  <c r="G13" i="12"/>
  <c r="G15" i="12"/>
  <c r="G32" i="12"/>
  <c r="J20" i="12"/>
  <c r="J23" i="12"/>
  <c r="J29" i="12" s="1"/>
  <c r="J32" i="12"/>
  <c r="J13" i="12"/>
  <c r="J15" i="12"/>
  <c r="M20" i="12"/>
  <c r="M10" i="12"/>
  <c r="M32" i="12"/>
  <c r="M13" i="12"/>
  <c r="M15" i="12"/>
  <c r="M12" i="12"/>
  <c r="G19" i="12"/>
  <c r="G22" i="12"/>
  <c r="G24" i="12"/>
  <c r="G30" i="12" s="1"/>
  <c r="M8" i="12"/>
  <c r="G8" i="12"/>
  <c r="G10" i="12"/>
  <c r="G12" i="12"/>
  <c r="G16" i="12"/>
  <c r="J19" i="12"/>
  <c r="J22" i="12"/>
  <c r="J24" i="12"/>
  <c r="J30" i="12" s="1"/>
  <c r="M16" i="12"/>
  <c r="J8" i="12"/>
  <c r="J10" i="12"/>
  <c r="J12" i="12"/>
  <c r="J16" i="12"/>
  <c r="M19" i="12"/>
  <c r="M22" i="12"/>
  <c r="M24" i="12"/>
  <c r="M30" i="12" s="1"/>
  <c r="E24" i="12"/>
  <c r="E30" i="12" s="1"/>
  <c r="H20" i="12"/>
  <c r="H16" i="12"/>
  <c r="K13" i="12"/>
  <c r="E11" i="12"/>
  <c r="H8" i="12"/>
  <c r="K23" i="12"/>
  <c r="K29" i="12" s="1"/>
  <c r="E20" i="12"/>
  <c r="E16" i="12"/>
  <c r="H13" i="12"/>
  <c r="K10" i="12"/>
  <c r="E8" i="12"/>
  <c r="H23" i="12"/>
  <c r="H29" i="12" s="1"/>
  <c r="H19" i="12"/>
  <c r="H15" i="12"/>
  <c r="K12" i="12"/>
  <c r="E10" i="12"/>
  <c r="K22" i="12"/>
  <c r="E19" i="12"/>
  <c r="E15" i="12"/>
  <c r="H12" i="12"/>
  <c r="K9" i="12"/>
  <c r="K19" i="12"/>
  <c r="K15" i="12"/>
  <c r="H10" i="12"/>
  <c r="E23" i="12"/>
  <c r="E29" i="12" s="1"/>
  <c r="H22" i="12"/>
  <c r="K18" i="12"/>
  <c r="K14" i="12"/>
  <c r="K31" i="12" s="1"/>
  <c r="E12" i="12"/>
  <c r="H9" i="12"/>
  <c r="E13" i="12"/>
  <c r="K24" i="12"/>
  <c r="K30" i="12" s="1"/>
  <c r="E22" i="12"/>
  <c r="E18" i="12"/>
  <c r="H14" i="12"/>
  <c r="H31" i="12" s="1"/>
  <c r="K11" i="12"/>
  <c r="E9" i="12"/>
  <c r="K20" i="12"/>
  <c r="K16" i="12"/>
  <c r="E14" i="12"/>
  <c r="E31" i="12" s="1"/>
  <c r="H11" i="12"/>
  <c r="K8" i="12"/>
  <c r="B32" i="3"/>
  <c r="C32" i="3"/>
  <c r="D32" i="3"/>
  <c r="V28" i="12" l="1"/>
  <c r="R28" i="12"/>
  <c r="Y28" i="12"/>
  <c r="E28" i="12"/>
  <c r="S28" i="12"/>
  <c r="I28" i="12"/>
  <c r="V32" i="12"/>
  <c r="W36" i="12"/>
  <c r="S33" i="12"/>
  <c r="V33" i="12"/>
  <c r="H32" i="12"/>
  <c r="Y33" i="12"/>
  <c r="R33" i="12"/>
  <c r="X28" i="12"/>
  <c r="Y32" i="12"/>
  <c r="H28" i="12"/>
  <c r="X32" i="12"/>
  <c r="R32" i="12"/>
  <c r="U33" i="12"/>
  <c r="S32" i="12"/>
  <c r="U32" i="12"/>
  <c r="X33" i="12"/>
  <c r="Z36" i="12"/>
  <c r="T36" i="12"/>
  <c r="J28" i="12"/>
  <c r="H33" i="12"/>
  <c r="F32" i="12"/>
  <c r="L28" i="12"/>
  <c r="F28" i="12"/>
  <c r="I33" i="12"/>
  <c r="L33" i="12"/>
  <c r="L32" i="12"/>
  <c r="F33" i="12"/>
  <c r="I32" i="12"/>
  <c r="M28" i="12"/>
  <c r="J33" i="12"/>
  <c r="G33" i="12"/>
  <c r="M33" i="12"/>
  <c r="G28" i="12"/>
  <c r="K32" i="12"/>
  <c r="E32" i="12"/>
  <c r="K33" i="12"/>
  <c r="K28" i="12"/>
  <c r="E33" i="12"/>
  <c r="R36" i="12" l="1"/>
  <c r="S36" i="12"/>
  <c r="V36" i="12"/>
  <c r="J36" i="12"/>
  <c r="H36" i="12"/>
  <c r="U36" i="12"/>
  <c r="Y36" i="12"/>
  <c r="X36" i="12"/>
  <c r="F36" i="12"/>
  <c r="G36" i="12"/>
  <c r="K36" i="12"/>
  <c r="M36" i="12"/>
  <c r="L36" i="12"/>
  <c r="I36" i="12"/>
  <c r="E36" i="12"/>
</calcChain>
</file>

<file path=xl/sharedStrings.xml><?xml version="1.0" encoding="utf-8"?>
<sst xmlns="http://schemas.openxmlformats.org/spreadsheetml/2006/main" count="636" uniqueCount="193">
  <si>
    <t xml:space="preserve">Diet assessment </t>
  </si>
  <si>
    <t>Baseline</t>
  </si>
  <si>
    <t>Scenarios</t>
  </si>
  <si>
    <t>Consumption, kg per year</t>
  </si>
  <si>
    <t>Carbon footprint, kg CO2e per year</t>
  </si>
  <si>
    <t>Animal welfare index</t>
  </si>
  <si>
    <t>Use of antibiotics index</t>
  </si>
  <si>
    <t>Ireland</t>
  </si>
  <si>
    <t>Italy</t>
  </si>
  <si>
    <t>Poland</t>
  </si>
  <si>
    <t>Ireland, beef to chicken</t>
  </si>
  <si>
    <t>Ireland, beef to mussels</t>
  </si>
  <si>
    <t>Italy, beef to rabbit</t>
  </si>
  <si>
    <t>Aquatic Animals, Others</t>
  </si>
  <si>
    <t>Bovine Meat</t>
  </si>
  <si>
    <t>Butter, Ghee</t>
  </si>
  <si>
    <t>Cephalopods</t>
  </si>
  <si>
    <t>Cream</t>
  </si>
  <si>
    <t>Crustaceans</t>
  </si>
  <si>
    <t>Demersal Fish</t>
  </si>
  <si>
    <t>Eggs</t>
  </si>
  <si>
    <t>Freshwater Fish</t>
  </si>
  <si>
    <t>Marine Fish, Other</t>
  </si>
  <si>
    <t>Meat, Other</t>
  </si>
  <si>
    <t>Milk - Excluding Butter</t>
  </si>
  <si>
    <t>Molluscs, Other</t>
  </si>
  <si>
    <t>Mutton &amp; Goat Meat</t>
  </si>
  <si>
    <t>Offals, Edible</t>
  </si>
  <si>
    <t>Pelagic Fish</t>
  </si>
  <si>
    <t>Pigmeat</t>
  </si>
  <si>
    <t>Poultry Meat</t>
  </si>
  <si>
    <t>Mussels</t>
  </si>
  <si>
    <t>Rabbit</t>
  </si>
  <si>
    <t>Ruminant meat</t>
  </si>
  <si>
    <t>Pig meat</t>
  </si>
  <si>
    <t>Poultry meat</t>
  </si>
  <si>
    <t>Egg</t>
  </si>
  <si>
    <t>Dairy</t>
  </si>
  <si>
    <t>Blue food</t>
  </si>
  <si>
    <t>Sum:</t>
  </si>
  <si>
    <t>Scenarios Ireland</t>
  </si>
  <si>
    <t>Scenario Italy</t>
  </si>
  <si>
    <t>Yields</t>
  </si>
  <si>
    <t>Conversion to bonefree meat-fish</t>
  </si>
  <si>
    <t>Carcass weight-&gt;bonefree</t>
  </si>
  <si>
    <t>Ruminant</t>
  </si>
  <si>
    <t>Pig</t>
  </si>
  <si>
    <t>Poultry</t>
  </si>
  <si>
    <t>Meat, other</t>
  </si>
  <si>
    <t>Live weight-&gt;edible weight</t>
  </si>
  <si>
    <t>Octopus</t>
  </si>
  <si>
    <t>Crab</t>
  </si>
  <si>
    <t>Salmon</t>
  </si>
  <si>
    <t>Perch</t>
  </si>
  <si>
    <t>Cod</t>
  </si>
  <si>
    <t>Snail</t>
  </si>
  <si>
    <t>Herring</t>
  </si>
  <si>
    <t>Aquatic animals, other</t>
  </si>
  <si>
    <t>FAOSTAT Food Balance Sheets gives supply in carcass weight for meat and liveweight for fish</t>
  </si>
  <si>
    <t>https://www.fao.org/economic/the-statistics-division-ess/publications-studies/publications/food-balance-sheets/en/</t>
  </si>
  <si>
    <t>Polen</t>
  </si>
  <si>
    <t>Total ruminant meat</t>
  </si>
  <si>
    <t>Total poultry meat</t>
  </si>
  <si>
    <t>Total blue food</t>
  </si>
  <si>
    <t>Total milk</t>
  </si>
  <si>
    <t>Butter</t>
  </si>
  <si>
    <t>Total meat and seafood</t>
  </si>
  <si>
    <t>Footprints Ireland</t>
  </si>
  <si>
    <t>FAOSTAT name</t>
  </si>
  <si>
    <t>Code</t>
  </si>
  <si>
    <t>Name</t>
  </si>
  <si>
    <t>L1 Category</t>
  </si>
  <si>
    <t>L2 Category</t>
  </si>
  <si>
    <t>Amount (g)</t>
  </si>
  <si>
    <t>Carbon footprint, total (kg CO2e)</t>
  </si>
  <si>
    <t>Carbon dioxide, total (kg CO2)</t>
  </si>
  <si>
    <t>Methane, fossil, total (kg CH4)</t>
  </si>
  <si>
    <t>Methane, biogenic, total (kg CH4)</t>
  </si>
  <si>
    <t>Nitrous oxide, total (kg N2O)</t>
  </si>
  <si>
    <t>Carbon footprint, primary production (kg CO2e)</t>
  </si>
  <si>
    <t>Carbon dioxide, primary production (kg CO2)</t>
  </si>
  <si>
    <t>Methane, fossil, primary production (kg CH4)</t>
  </si>
  <si>
    <t>Methane, biogenic, primary production (kg CH4)</t>
  </si>
  <si>
    <t>Nitrous oxide, primary production (kg N2O)</t>
  </si>
  <si>
    <t>Cropland (m2*year/kg)</t>
  </si>
  <si>
    <t>New N input (kg N/kg)</t>
  </si>
  <si>
    <t>New P input (kg P/kg)</t>
  </si>
  <si>
    <t>Water (m3/kg)</t>
  </si>
  <si>
    <t>Pesticides (g a.i/kg)</t>
  </si>
  <si>
    <t>Biodiversity (E/MSY/kg)</t>
  </si>
  <si>
    <t>Ammonia (kg NH3/kg)</t>
  </si>
  <si>
    <t>Animal welfare (index)</t>
  </si>
  <si>
    <t>Antibiotics (index)</t>
  </si>
  <si>
    <t>Mineral fertiliser production (kg CO2e)</t>
  </si>
  <si>
    <t>Capital goods (kg CO2e)</t>
  </si>
  <si>
    <t>Soil emissions (kg CO2e)</t>
  </si>
  <si>
    <t>Energy primary production (kg CO2e)</t>
  </si>
  <si>
    <t>Land use change (kg CO2e)</t>
  </si>
  <si>
    <t>Enteric fermentation (kg CO2e)</t>
  </si>
  <si>
    <t>Manure management (kg CO2e)</t>
  </si>
  <si>
    <t>Mineral fertiliser production (kg CO2)</t>
  </si>
  <si>
    <t>Capital goods (kg CO2)</t>
  </si>
  <si>
    <t>Energy primary production (kg CO2)</t>
  </si>
  <si>
    <t>Land use change (kg CO2)</t>
  </si>
  <si>
    <t>Mineral fertiliser production (kg CH4, fossil)</t>
  </si>
  <si>
    <t>Capital goods (kg CH4, fossil)</t>
  </si>
  <si>
    <t>Energy primary production (kg CH4, fossil)</t>
  </si>
  <si>
    <t>Soil emissions (kg CH4, biogenic)</t>
  </si>
  <si>
    <t>Enteric fermentation (kg CH4, biogenic)</t>
  </si>
  <si>
    <t>Manure management (kg CH4, biogenic)</t>
  </si>
  <si>
    <t>Mineral fertiliser production (kg N2O)</t>
  </si>
  <si>
    <t>Capital goods (kg N2O)</t>
  </si>
  <si>
    <t>Soil emissions (kg N2O)</t>
  </si>
  <si>
    <t>Energy primary production (kg N2O)</t>
  </si>
  <si>
    <t>Manure management (kg N2O)</t>
  </si>
  <si>
    <t>Processing (kg CO2e)</t>
  </si>
  <si>
    <t>Processing (kg CO2)</t>
  </si>
  <si>
    <t>Processing (kg CH4, fossil)</t>
  </si>
  <si>
    <t>Processing (kg N2O)</t>
  </si>
  <si>
    <t>Packaging (kg CO2e)</t>
  </si>
  <si>
    <t>Packaging (kg CO2)</t>
  </si>
  <si>
    <t>Packaging (kg CH4, fossil)</t>
  </si>
  <si>
    <t>Packaging (kg CH4, biogenic)</t>
  </si>
  <si>
    <t>Packaging (kg N2O)</t>
  </si>
  <si>
    <t>Transports (kg CO2e)</t>
  </si>
  <si>
    <t>Transports (kg CO2)</t>
  </si>
  <si>
    <t>Transports (kg CH4, fossil)</t>
  </si>
  <si>
    <t>Transports (kg N2O)</t>
  </si>
  <si>
    <t>A.06.01.001</t>
  </si>
  <si>
    <t>Beef meat (Bos spp.)</t>
  </si>
  <si>
    <t>Meat and meat products (including edible offal)</t>
  </si>
  <si>
    <t>Livestock meat</t>
  </si>
  <si>
    <t>A.06.01.003</t>
  </si>
  <si>
    <t>Pork / piglet meat (Sus scrofa)</t>
  </si>
  <si>
    <t>A.06.01.004</t>
  </si>
  <si>
    <t>Mutton / lamb meat (Ovis aries)</t>
  </si>
  <si>
    <t>A.06.01.007</t>
  </si>
  <si>
    <t>Rabbit meat (Lepus cuniculus)</t>
  </si>
  <si>
    <t>A.06.02.001</t>
  </si>
  <si>
    <t>Chicken meat (Gallus domesticus)</t>
  </si>
  <si>
    <t>A.07.01.001</t>
  </si>
  <si>
    <t>Herring (Clupea)</t>
  </si>
  <si>
    <t>Fish and other seafood (including amphibians, reptiles, snails and insects)</t>
  </si>
  <si>
    <t>Fish meat</t>
  </si>
  <si>
    <t>A.07.01.010</t>
  </si>
  <si>
    <t>Perch (Perca)</t>
  </si>
  <si>
    <t>A.07.04.001</t>
  </si>
  <si>
    <t>Crab (Cancer spp.)</t>
  </si>
  <si>
    <t>A.07.05.002</t>
  </si>
  <si>
    <t>Octopus (Octopus vulgaris)</t>
  </si>
  <si>
    <t>Water molluscs</t>
  </si>
  <si>
    <t>A.07.05.007</t>
  </si>
  <si>
    <t>Mussel (Mytilus edulis)</t>
  </si>
  <si>
    <t>A.07.06.004</t>
  </si>
  <si>
    <t>Snail (Helix sp.)</t>
  </si>
  <si>
    <t>Amphibians, reptiles, snails, insects</t>
  </si>
  <si>
    <t>A.08.01.001.003</t>
  </si>
  <si>
    <t>Cow milk, 1 - 2.9% fat (semi-skimmed milk)</t>
  </si>
  <si>
    <t>Milk and dairy products</t>
  </si>
  <si>
    <t>Liquid milk</t>
  </si>
  <si>
    <t>A.08.05.001.004</t>
  </si>
  <si>
    <t>Cream 40 % fat</t>
  </si>
  <si>
    <t>Cream and cream products</t>
  </si>
  <si>
    <t>A.09.01.001</t>
  </si>
  <si>
    <t>Whole egg, chicken</t>
  </si>
  <si>
    <t>Eggs and egg products</t>
  </si>
  <si>
    <t>Eggs, fresh</t>
  </si>
  <si>
    <t>A.11.01.001</t>
  </si>
  <si>
    <t>Animal and vegetable fats and oils</t>
  </si>
  <si>
    <t>Animal fat</t>
  </si>
  <si>
    <t>I.07.01.006.001</t>
  </si>
  <si>
    <t>Salmon (Salmo salar)</t>
  </si>
  <si>
    <t>I.07.01.017.001</t>
  </si>
  <si>
    <t>Cod (Gadus morhua)</t>
  </si>
  <si>
    <t>Footprints Italy</t>
  </si>
  <si>
    <t>Footprints Poland</t>
  </si>
  <si>
    <t>by</t>
  </si>
  <si>
    <t xml:space="preserve">Lotta Rydhmer, Professor in Animal Breeding, Swedish University of Agricultural Sciences </t>
  </si>
  <si>
    <t>Elin Röös, Associate Professor in Sustainable Food Systems, Swedish University of Agricultural Sciences</t>
  </si>
  <si>
    <t>Explanation of the sheets:</t>
  </si>
  <si>
    <t>Supplementary Material 3 to</t>
  </si>
  <si>
    <t>Diet assessment</t>
  </si>
  <si>
    <t>Consumption data</t>
  </si>
  <si>
    <t>Source: FAOSTAT Food Balance Sheets average 2017-2021</t>
  </si>
  <si>
    <t>Cons data</t>
  </si>
  <si>
    <t>Diet data from FAOSTAT Food Balance Sheets</t>
  </si>
  <si>
    <t xml:space="preserve">Yields of bonefree meat and fish </t>
  </si>
  <si>
    <t>Source: https://safad.se/ Version 1.245</t>
  </si>
  <si>
    <t>Calculations of the carbon footprint, PAALA and use of antibiotics for the different diet scenarios, including figures</t>
  </si>
  <si>
    <t>Carbon footprint, PAALA and use of antibiotics for average products on the Irish market, from SAFAD, https://safad.se/</t>
  </si>
  <si>
    <t>Carbon footprint, PAALA and use of antibiotics for average products on the Italian market, from SAFAD, https://safad.se/</t>
  </si>
  <si>
    <t>Carbon footprint, PAALA and use of antibiotics for average products on the Polish market, from SAFAD, https://safad.se/</t>
  </si>
  <si>
    <t>Advancing Metrics for Animal Welfare and Antibiotic Use in Sustainability Assessments of Diets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</si>
</sst>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2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1"/>
      <color rgb="FF000000"/>
      <name val="Calibri"/>
      <family val="2"/>
    </font>
    <font>
      <b/>
      <sz val="11"/>
      <color rgb="FFFF000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4"/>
      <name val="Aptos Narrow"/>
      <family val="2"/>
      <scheme val="minor"/>
    </font>
    <font>
      <i/>
      <sz val="14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 applyBorder="0"/>
  </cellStyleXfs>
  <cellXfs count="31">
    <xf numFmtId="0" fontId="0" fillId="0" borderId="0" xfId="0"/>
    <xf numFmtId="0" fontId="0" fillId="0" borderId="0" xfId="0" applyAlignment="1">
      <alignment horizontal="left"/>
    </xf>
    <xf numFmtId="2" fontId="0" fillId="0" borderId="0" xfId="0" applyNumberFormat="1"/>
    <xf numFmtId="1" fontId="0" fillId="0" borderId="0" xfId="0" applyNumberFormat="1"/>
    <xf numFmtId="0" fontId="14" fillId="0" borderId="0" xfId="0" applyFont="1"/>
    <xf numFmtId="0" fontId="18" fillId="0" borderId="0" xfId="0" applyFont="1"/>
    <xf numFmtId="0" fontId="16" fillId="0" borderId="0" xfId="0" applyFont="1"/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16" fillId="0" borderId="0" xfId="0" applyFont="1" applyAlignment="1">
      <alignment horizontal="left"/>
    </xf>
    <xf numFmtId="0" fontId="0" fillId="33" borderId="0" xfId="0" applyFill="1"/>
    <xf numFmtId="164" fontId="0" fillId="0" borderId="0" xfId="0" applyNumberFormat="1"/>
    <xf numFmtId="1" fontId="16" fillId="0" borderId="0" xfId="0" applyNumberFormat="1" applyFont="1"/>
    <xf numFmtId="165" fontId="0" fillId="0" borderId="0" xfId="0" applyNumberFormat="1"/>
    <xf numFmtId="0" fontId="16" fillId="35" borderId="0" xfId="0" applyFont="1" applyFill="1"/>
    <xf numFmtId="0" fontId="0" fillId="36" borderId="0" xfId="0" applyFill="1" applyAlignment="1">
      <alignment vertical="top" wrapText="1"/>
    </xf>
    <xf numFmtId="0" fontId="16" fillId="37" borderId="0" xfId="0" applyFont="1" applyFill="1"/>
    <xf numFmtId="0" fontId="0" fillId="38" borderId="0" xfId="0" applyFill="1" applyAlignment="1">
      <alignment vertical="top" wrapText="1"/>
    </xf>
    <xf numFmtId="0" fontId="0" fillId="33" borderId="0" xfId="0" applyFill="1" applyAlignment="1">
      <alignment vertical="top" wrapText="1"/>
    </xf>
    <xf numFmtId="0" fontId="0" fillId="34" borderId="0" xfId="0" applyFill="1" applyAlignment="1">
      <alignment vertical="top" wrapText="1"/>
    </xf>
    <xf numFmtId="0" fontId="16" fillId="39" borderId="0" xfId="0" applyFont="1" applyFill="1"/>
    <xf numFmtId="0" fontId="16" fillId="40" borderId="0" xfId="0" applyFont="1" applyFill="1"/>
    <xf numFmtId="2" fontId="20" fillId="0" borderId="0" xfId="0" applyNumberFormat="1" applyFont="1"/>
    <xf numFmtId="0" fontId="0" fillId="37" borderId="0" xfId="0" applyFill="1" applyAlignment="1">
      <alignment vertical="top"/>
    </xf>
    <xf numFmtId="0" fontId="0" fillId="39" borderId="0" xfId="0" applyFill="1" applyAlignment="1">
      <alignment vertical="top"/>
    </xf>
    <xf numFmtId="0" fontId="0" fillId="40" borderId="0" xfId="0" applyFill="1" applyAlignment="1">
      <alignment vertical="top"/>
    </xf>
    <xf numFmtId="0" fontId="21" fillId="0" borderId="0" xfId="0" applyFont="1"/>
    <xf numFmtId="0" fontId="22" fillId="0" borderId="0" xfId="0" applyFont="1"/>
    <xf numFmtId="0" fontId="0" fillId="38" borderId="0" xfId="0" applyFill="1" applyAlignment="1">
      <alignment vertical="top"/>
    </xf>
    <xf numFmtId="0" fontId="23" fillId="0" borderId="0" xfId="0" applyFont="1"/>
    <xf numFmtId="0" fontId="24" fillId="0" borderId="0" xfId="0" applyFont="1"/>
  </cellXfs>
  <cellStyles count="43">
    <cellStyle name="20 % - Dekorfärg1" xfId="19" builtinId="30" customBuiltin="1"/>
    <cellStyle name="20 % - Dekorfärg2" xfId="23" builtinId="34" customBuiltin="1"/>
    <cellStyle name="20 % - Dekorfärg3" xfId="27" builtinId="38" customBuiltin="1"/>
    <cellStyle name="20 % - Dekorfärg4" xfId="31" builtinId="42" customBuiltin="1"/>
    <cellStyle name="20 % - Dekorfärg5" xfId="35" builtinId="46" customBuiltin="1"/>
    <cellStyle name="20 % - Dekorfärg6" xfId="39" builtinId="50" customBuiltin="1"/>
    <cellStyle name="40 % - Dekorfärg1" xfId="20" builtinId="31" customBuiltin="1"/>
    <cellStyle name="40 % - Dekorfärg2" xfId="24" builtinId="35" customBuiltin="1"/>
    <cellStyle name="40 % - Dekorfärg3" xfId="28" builtinId="39" customBuiltin="1"/>
    <cellStyle name="40 % - Dekorfärg4" xfId="32" builtinId="43" customBuiltin="1"/>
    <cellStyle name="40 % - Dekorfärg5" xfId="36" builtinId="47" customBuiltin="1"/>
    <cellStyle name="40 % - Dekorfärg6" xfId="40" builtinId="51" customBuiltin="1"/>
    <cellStyle name="60 % - Dekorfärg1" xfId="21" builtinId="32" customBuiltin="1"/>
    <cellStyle name="60 % - Dekorfärg2" xfId="25" builtinId="36" customBuiltin="1"/>
    <cellStyle name="60 % - Dekorfärg3" xfId="29" builtinId="40" customBuiltin="1"/>
    <cellStyle name="60 % - Dekorfärg4" xfId="33" builtinId="44" customBuiltin="1"/>
    <cellStyle name="60 % - Dekorfärg5" xfId="37" builtinId="48" customBuiltin="1"/>
    <cellStyle name="60 % - Dekorfärg6" xfId="41" builtinId="52" customBuiltin="1"/>
    <cellStyle name="Anteckning" xfId="15" builtinId="10" customBuiltin="1"/>
    <cellStyle name="Beräkning" xfId="11" builtinId="22" customBuiltin="1"/>
    <cellStyle name="Bra" xfId="6" builtinId="26" customBuiltin="1"/>
    <cellStyle name="Dekorfärg1" xfId="18" builtinId="29" customBuiltin="1"/>
    <cellStyle name="Dekorfärg2" xfId="22" builtinId="33" customBuiltin="1"/>
    <cellStyle name="Dekorfärg3" xfId="26" builtinId="37" customBuiltin="1"/>
    <cellStyle name="Dekorfärg4" xfId="30" builtinId="41" customBuiltin="1"/>
    <cellStyle name="Dekorfärg5" xfId="34" builtinId="45" customBuiltin="1"/>
    <cellStyle name="Dekorfärg6" xfId="38" builtinId="49" customBuiltin="1"/>
    <cellStyle name="Dålig" xfId="7" builtinId="27" customBuiltin="1"/>
    <cellStyle name="Förklarande text" xfId="16" builtinId="53" customBuiltin="1"/>
    <cellStyle name="Indata" xfId="9" builtinId="20" customBuiltin="1"/>
    <cellStyle name="Kontrollcell" xfId="13" builtinId="23" customBuiltin="1"/>
    <cellStyle name="Länkad cell" xfId="12" builtinId="24" customBuiltin="1"/>
    <cellStyle name="Neutral" xfId="8" builtinId="28" customBuiltin="1"/>
    <cellStyle name="Normal" xfId="0" builtinId="0"/>
    <cellStyle name="Normal 3" xfId="42" xr:uid="{00000000-0005-0000-0000-000025000000}"/>
    <cellStyle name="Rubrik" xfId="1" builtinId="15" customBuiltin="1"/>
    <cellStyle name="Rubrik 1" xfId="2" builtinId="16" customBuiltin="1"/>
    <cellStyle name="Rubrik 2" xfId="3" builtinId="17" customBuiltin="1"/>
    <cellStyle name="Rubrik 3" xfId="4" builtinId="18" customBuiltin="1"/>
    <cellStyle name="Rubrik 4" xfId="5" builtinId="19" customBuiltin="1"/>
    <cellStyle name="Summa" xfId="17" builtinId="25" customBuiltin="1"/>
    <cellStyle name="Utdata" xfId="10" builtinId="21" customBuiltin="1"/>
    <cellStyle name="Varnings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v-S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enorite" panose="00000500000000000000" pitchFamily="2" charset="0"/>
                <a:ea typeface="+mn-ea"/>
                <a:cs typeface="+mn-cs"/>
              </a:defRPr>
            </a:pPr>
            <a:r>
              <a:rPr lang="en-US"/>
              <a:t>Carbon footprint</a:t>
            </a:r>
          </a:p>
          <a:p>
            <a:pPr>
              <a:defRPr/>
            </a:pPr>
            <a:r>
              <a:rPr lang="en-US"/>
              <a:t> (kg CO2e per year)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enorite" panose="00000500000000000000" pitchFamily="2" charset="0"/>
              <a:ea typeface="+mn-ea"/>
              <a:cs typeface="+mn-cs"/>
            </a:defRPr>
          </a:pPr>
          <a:endParaRPr lang="sv-SE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'Diet assessment'!$A$28</c:f>
              <c:strCache>
                <c:ptCount val="1"/>
                <c:pt idx="0">
                  <c:v>Ruminant meat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'Diet assessment'!$B$27:$G$27</c15:sqref>
                  </c15:fullRef>
                </c:ext>
              </c:extLst>
              <c:f>'Diet assessment'!$E$27:$G$27</c:f>
              <c:strCache>
                <c:ptCount val="3"/>
                <c:pt idx="0">
                  <c:v>Ireland</c:v>
                </c:pt>
                <c:pt idx="1">
                  <c:v>Italy</c:v>
                </c:pt>
                <c:pt idx="2">
                  <c:v>Poland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'Diet assessment'!$B$28:$G$28</c15:sqref>
                  </c15:fullRef>
                </c:ext>
              </c:extLst>
              <c:f>'Diet assessment'!$E$28:$G$28</c:f>
              <c:numCache>
                <c:formatCode>0</c:formatCode>
                <c:ptCount val="3"/>
                <c:pt idx="0">
                  <c:v>777.29594611408822</c:v>
                </c:pt>
                <c:pt idx="1">
                  <c:v>402.94259895580257</c:v>
                </c:pt>
                <c:pt idx="2">
                  <c:v>24.637706770934191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6F-482F-B43F-B35CF858C7AA}"/>
            </c:ext>
          </c:extLst>
        </c:ser>
        <c:ser>
          <c:idx val="1"/>
          <c:order val="1"/>
          <c:tx>
            <c:strRef>
              <c:f>'Diet assessment'!$A$29</c:f>
              <c:strCache>
                <c:ptCount val="1"/>
                <c:pt idx="0">
                  <c:v>Pig meat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'Diet assessment'!$B$27:$G$27</c15:sqref>
                  </c15:fullRef>
                </c:ext>
              </c:extLst>
              <c:f>'Diet assessment'!$E$27:$G$27</c:f>
              <c:strCache>
                <c:ptCount val="3"/>
                <c:pt idx="0">
                  <c:v>Ireland</c:v>
                </c:pt>
                <c:pt idx="1">
                  <c:v>Italy</c:v>
                </c:pt>
                <c:pt idx="2">
                  <c:v>Poland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'Diet assessment'!$B$29:$G$29</c15:sqref>
                  </c15:fullRef>
                </c:ext>
              </c:extLst>
              <c:f>'Diet assessment'!$E$29:$G$29</c:f>
              <c:numCache>
                <c:formatCode>0</c:formatCode>
                <c:ptCount val="3"/>
                <c:pt idx="0">
                  <c:v>126.71846607329188</c:v>
                </c:pt>
                <c:pt idx="1">
                  <c:v>197.90654599548384</c:v>
                </c:pt>
                <c:pt idx="2">
                  <c:v>257.87207661464174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96F-482F-B43F-B35CF858C7AA}"/>
            </c:ext>
          </c:extLst>
        </c:ser>
        <c:ser>
          <c:idx val="2"/>
          <c:order val="2"/>
          <c:tx>
            <c:strRef>
              <c:f>'Diet assessment'!$A$30</c:f>
              <c:strCache>
                <c:ptCount val="1"/>
                <c:pt idx="0">
                  <c:v>Poultry meat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'Diet assessment'!$B$27:$G$27</c15:sqref>
                  </c15:fullRef>
                </c:ext>
              </c:extLst>
              <c:f>'Diet assessment'!$E$27:$G$27</c:f>
              <c:strCache>
                <c:ptCount val="3"/>
                <c:pt idx="0">
                  <c:v>Ireland</c:v>
                </c:pt>
                <c:pt idx="1">
                  <c:v>Italy</c:v>
                </c:pt>
                <c:pt idx="2">
                  <c:v>Poland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'Diet assessment'!$B$30:$G$30</c15:sqref>
                  </c15:fullRef>
                </c:ext>
              </c:extLst>
              <c:f>'Diet assessment'!$E$30:$G$30</c:f>
              <c:numCache>
                <c:formatCode>0</c:formatCode>
                <c:ptCount val="3"/>
                <c:pt idx="0">
                  <c:v>49.343550951303065</c:v>
                </c:pt>
                <c:pt idx="1">
                  <c:v>33.606183049610728</c:v>
                </c:pt>
                <c:pt idx="2">
                  <c:v>72.106842495728387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96F-482F-B43F-B35CF858C7AA}"/>
            </c:ext>
          </c:extLst>
        </c:ser>
        <c:ser>
          <c:idx val="3"/>
          <c:order val="3"/>
          <c:tx>
            <c:strRef>
              <c:f>'Diet assessment'!$A$31</c:f>
              <c:strCache>
                <c:ptCount val="1"/>
                <c:pt idx="0">
                  <c:v>Egg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'Diet assessment'!$B$27:$G$27</c15:sqref>
                  </c15:fullRef>
                </c:ext>
              </c:extLst>
              <c:f>'Diet assessment'!$E$27:$G$27</c:f>
              <c:strCache>
                <c:ptCount val="3"/>
                <c:pt idx="0">
                  <c:v>Ireland</c:v>
                </c:pt>
                <c:pt idx="1">
                  <c:v>Italy</c:v>
                </c:pt>
                <c:pt idx="2">
                  <c:v>Poland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'Diet assessment'!$B$31:$G$31</c15:sqref>
                  </c15:fullRef>
                </c:ext>
              </c:extLst>
              <c:f>'Diet assessment'!$E$31:$G$31</c:f>
              <c:numCache>
                <c:formatCode>0</c:formatCode>
                <c:ptCount val="3"/>
                <c:pt idx="0">
                  <c:v>12.29078263277469</c:v>
                </c:pt>
                <c:pt idx="1">
                  <c:v>13.970663389974769</c:v>
                </c:pt>
                <c:pt idx="2">
                  <c:v>11.713965856451178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96F-482F-B43F-B35CF858C7AA}"/>
            </c:ext>
          </c:extLst>
        </c:ser>
        <c:ser>
          <c:idx val="4"/>
          <c:order val="4"/>
          <c:tx>
            <c:strRef>
              <c:f>'Diet assessment'!$A$32</c:f>
              <c:strCache>
                <c:ptCount val="1"/>
                <c:pt idx="0">
                  <c:v>Dairy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'Diet assessment'!$B$27:$G$27</c15:sqref>
                  </c15:fullRef>
                </c:ext>
              </c:extLst>
              <c:f>'Diet assessment'!$E$27:$G$27</c:f>
              <c:strCache>
                <c:ptCount val="3"/>
                <c:pt idx="0">
                  <c:v>Ireland</c:v>
                </c:pt>
                <c:pt idx="1">
                  <c:v>Italy</c:v>
                </c:pt>
                <c:pt idx="2">
                  <c:v>Poland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'Diet assessment'!$B$32:$G$32</c15:sqref>
                  </c15:fullRef>
                </c:ext>
              </c:extLst>
              <c:f>'Diet assessment'!$E$32:$G$32</c:f>
              <c:numCache>
                <c:formatCode>0</c:formatCode>
                <c:ptCount val="3"/>
                <c:pt idx="0">
                  <c:v>308.30458741588711</c:v>
                </c:pt>
                <c:pt idx="1">
                  <c:v>317.69877468504308</c:v>
                </c:pt>
                <c:pt idx="2">
                  <c:v>271.81055041959758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96F-482F-B43F-B35CF858C7AA}"/>
            </c:ext>
          </c:extLst>
        </c:ser>
        <c:ser>
          <c:idx val="5"/>
          <c:order val="5"/>
          <c:tx>
            <c:strRef>
              <c:f>'Diet assessment'!$A$33</c:f>
              <c:strCache>
                <c:ptCount val="1"/>
                <c:pt idx="0">
                  <c:v>Blue food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'Diet assessment'!$B$27:$G$27</c15:sqref>
                  </c15:fullRef>
                </c:ext>
              </c:extLst>
              <c:f>'Diet assessment'!$E$27:$G$27</c:f>
              <c:strCache>
                <c:ptCount val="3"/>
                <c:pt idx="0">
                  <c:v>Ireland</c:v>
                </c:pt>
                <c:pt idx="1">
                  <c:v>Italy</c:v>
                </c:pt>
                <c:pt idx="2">
                  <c:v>Poland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'Diet assessment'!$B$33:$G$33</c15:sqref>
                  </c15:fullRef>
                </c:ext>
              </c:extLst>
              <c:f>'Diet assessment'!$E$33:$G$33</c:f>
              <c:numCache>
                <c:formatCode>0</c:formatCode>
                <c:ptCount val="3"/>
                <c:pt idx="0">
                  <c:v>78.474576062718995</c:v>
                </c:pt>
                <c:pt idx="1">
                  <c:v>138.31249589660163</c:v>
                </c:pt>
                <c:pt idx="2">
                  <c:v>39.813630308073044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96F-482F-B43F-B35CF858C7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81352383"/>
        <c:axId val="981341343"/>
      </c:barChart>
      <c:catAx>
        <c:axId val="9813523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enorite" panose="00000500000000000000" pitchFamily="2" charset="0"/>
                <a:ea typeface="+mn-ea"/>
                <a:cs typeface="+mn-cs"/>
              </a:defRPr>
            </a:pPr>
            <a:endParaRPr lang="sv-SE"/>
          </a:p>
        </c:txPr>
        <c:crossAx val="981341343"/>
        <c:crosses val="autoZero"/>
        <c:auto val="1"/>
        <c:lblAlgn val="ctr"/>
        <c:lblOffset val="100"/>
        <c:noMultiLvlLbl val="0"/>
      </c:catAx>
      <c:valAx>
        <c:axId val="981341343"/>
        <c:scaling>
          <c:orientation val="minMax"/>
          <c:max val="1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enorite" panose="00000500000000000000" pitchFamily="2" charset="0"/>
                <a:ea typeface="+mn-ea"/>
                <a:cs typeface="+mn-cs"/>
              </a:defRPr>
            </a:pPr>
            <a:endParaRPr lang="sv-SE"/>
          </a:p>
        </c:txPr>
        <c:crossAx val="9813523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enorite" panose="00000500000000000000" pitchFamily="2" charset="0"/>
              <a:ea typeface="+mn-ea"/>
              <a:cs typeface="+mn-cs"/>
            </a:defRPr>
          </a:pPr>
          <a:endParaRPr lang="sv-S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latin typeface="Tenorite" panose="00000500000000000000" pitchFamily="2" charset="0"/>
        </a:defRPr>
      </a:pPr>
      <a:endParaRPr lang="sv-S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v-S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enorite" panose="00000500000000000000" pitchFamily="2" charset="0"/>
                <a:ea typeface="+mn-ea"/>
                <a:cs typeface="+mn-cs"/>
              </a:defRPr>
            </a:pPr>
            <a:r>
              <a:rPr lang="en-US"/>
              <a:t>Animal welfare</a:t>
            </a:r>
          </a:p>
          <a:p>
            <a:pPr>
              <a:defRPr/>
            </a:pPr>
            <a:r>
              <a:rPr lang="en-US"/>
              <a:t> (PAALA index)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enorite" panose="00000500000000000000" pitchFamily="2" charset="0"/>
              <a:ea typeface="+mn-ea"/>
              <a:cs typeface="+mn-cs"/>
            </a:defRPr>
          </a:pPr>
          <a:endParaRPr lang="sv-SE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'Diet assessment'!$A$28</c:f>
              <c:strCache>
                <c:ptCount val="1"/>
                <c:pt idx="0">
                  <c:v>Ruminant meat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'Diet assessment'!$B$27:$J$27</c15:sqref>
                  </c15:fullRef>
                </c:ext>
              </c:extLst>
              <c:f>'Diet assessment'!$H$27:$J$27</c:f>
              <c:strCache>
                <c:ptCount val="3"/>
                <c:pt idx="0">
                  <c:v>Ireland</c:v>
                </c:pt>
                <c:pt idx="1">
                  <c:v>Italy</c:v>
                </c:pt>
                <c:pt idx="2">
                  <c:v>Poland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'Diet assessment'!$B$28:$J$28</c15:sqref>
                  </c15:fullRef>
                </c:ext>
              </c:extLst>
              <c:f>'Diet assessment'!$H$28:$J$28</c:f>
              <c:numCache>
                <c:formatCode>0</c:formatCode>
                <c:ptCount val="3"/>
                <c:pt idx="0">
                  <c:v>18.082041381475666</c:v>
                </c:pt>
                <c:pt idx="1">
                  <c:v>8.7307952001133486</c:v>
                </c:pt>
                <c:pt idx="2">
                  <c:v>0.4768973641595764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9B-4196-865A-702CCA177965}"/>
            </c:ext>
          </c:extLst>
        </c:ser>
        <c:ser>
          <c:idx val="1"/>
          <c:order val="1"/>
          <c:tx>
            <c:strRef>
              <c:f>'Diet assessment'!$A$29</c:f>
              <c:strCache>
                <c:ptCount val="1"/>
                <c:pt idx="0">
                  <c:v>Pig meat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'Diet assessment'!$B$27:$J$27</c15:sqref>
                  </c15:fullRef>
                </c:ext>
              </c:extLst>
              <c:f>'Diet assessment'!$H$27:$J$27</c:f>
              <c:strCache>
                <c:ptCount val="3"/>
                <c:pt idx="0">
                  <c:v>Ireland</c:v>
                </c:pt>
                <c:pt idx="1">
                  <c:v>Italy</c:v>
                </c:pt>
                <c:pt idx="2">
                  <c:v>Poland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'Diet assessment'!$B$29:$J$29</c15:sqref>
                  </c15:fullRef>
                </c:ext>
              </c:extLst>
              <c:f>'Diet assessment'!$H$29:$J$29</c:f>
              <c:numCache>
                <c:formatCode>0</c:formatCode>
                <c:ptCount val="3"/>
                <c:pt idx="0">
                  <c:v>87.527142570177915</c:v>
                </c:pt>
                <c:pt idx="1">
                  <c:v>95.054436974944139</c:v>
                </c:pt>
                <c:pt idx="2">
                  <c:v>152.41643227435461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19B-4196-865A-702CCA177965}"/>
            </c:ext>
          </c:extLst>
        </c:ser>
        <c:ser>
          <c:idx val="2"/>
          <c:order val="2"/>
          <c:tx>
            <c:strRef>
              <c:f>'Diet assessment'!$A$30</c:f>
              <c:strCache>
                <c:ptCount val="1"/>
                <c:pt idx="0">
                  <c:v>Poultry meat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'Diet assessment'!$B$27:$J$27</c15:sqref>
                  </c15:fullRef>
                </c:ext>
              </c:extLst>
              <c:f>'Diet assessment'!$H$27:$J$27</c:f>
              <c:strCache>
                <c:ptCount val="3"/>
                <c:pt idx="0">
                  <c:v>Ireland</c:v>
                </c:pt>
                <c:pt idx="1">
                  <c:v>Italy</c:v>
                </c:pt>
                <c:pt idx="2">
                  <c:v>Poland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'Diet assessment'!$B$30:$J$30</c15:sqref>
                  </c15:fullRef>
                </c:ext>
              </c:extLst>
              <c:f>'Diet assessment'!$H$30:$J$30</c:f>
              <c:numCache>
                <c:formatCode>0</c:formatCode>
                <c:ptCount val="3"/>
                <c:pt idx="0">
                  <c:v>1909.057645129747</c:v>
                </c:pt>
                <c:pt idx="1">
                  <c:v>1447.169076787445</c:v>
                </c:pt>
                <c:pt idx="2">
                  <c:v>2286.2167446523922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19B-4196-865A-702CCA177965}"/>
            </c:ext>
          </c:extLst>
        </c:ser>
        <c:ser>
          <c:idx val="3"/>
          <c:order val="3"/>
          <c:tx>
            <c:strRef>
              <c:f>'Diet assessment'!$A$31</c:f>
              <c:strCache>
                <c:ptCount val="1"/>
                <c:pt idx="0">
                  <c:v>Egg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'Diet assessment'!$B$27:$J$27</c15:sqref>
                  </c15:fullRef>
                </c:ext>
              </c:extLst>
              <c:f>'Diet assessment'!$H$27:$J$27</c:f>
              <c:strCache>
                <c:ptCount val="3"/>
                <c:pt idx="0">
                  <c:v>Ireland</c:v>
                </c:pt>
                <c:pt idx="1">
                  <c:v>Italy</c:v>
                </c:pt>
                <c:pt idx="2">
                  <c:v>Poland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'Diet assessment'!$B$31:$J$31</c15:sqref>
                  </c15:fullRef>
                </c:ext>
              </c:extLst>
              <c:f>'Diet assessment'!$H$31:$J$31</c:f>
              <c:numCache>
                <c:formatCode>0</c:formatCode>
                <c:ptCount val="3"/>
                <c:pt idx="0">
                  <c:v>94.217208627554356</c:v>
                </c:pt>
                <c:pt idx="1">
                  <c:v>108.70737631671624</c:v>
                </c:pt>
                <c:pt idx="2">
                  <c:v>91.338499040067475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19B-4196-865A-702CCA177965}"/>
            </c:ext>
          </c:extLst>
        </c:ser>
        <c:ser>
          <c:idx val="4"/>
          <c:order val="4"/>
          <c:tx>
            <c:strRef>
              <c:f>'Diet assessment'!$A$32</c:f>
              <c:strCache>
                <c:ptCount val="1"/>
                <c:pt idx="0">
                  <c:v>Dairy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'Diet assessment'!$B$27:$J$27</c15:sqref>
                  </c15:fullRef>
                </c:ext>
              </c:extLst>
              <c:f>'Diet assessment'!$H$27:$J$27</c:f>
              <c:strCache>
                <c:ptCount val="3"/>
                <c:pt idx="0">
                  <c:v>Ireland</c:v>
                </c:pt>
                <c:pt idx="1">
                  <c:v>Italy</c:v>
                </c:pt>
                <c:pt idx="2">
                  <c:v>Poland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'Diet assessment'!$B$32:$J$32</c15:sqref>
                  </c15:fullRef>
                </c:ext>
              </c:extLst>
              <c:f>'Diet assessment'!$H$32:$J$32</c:f>
              <c:numCache>
                <c:formatCode>0</c:formatCode>
                <c:ptCount val="3"/>
                <c:pt idx="0">
                  <c:v>2.5450898500347146</c:v>
                </c:pt>
                <c:pt idx="1">
                  <c:v>1.978872685918291</c:v>
                </c:pt>
                <c:pt idx="2">
                  <c:v>2.3114478714856972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19B-4196-865A-702CCA177965}"/>
            </c:ext>
          </c:extLst>
        </c:ser>
        <c:ser>
          <c:idx val="5"/>
          <c:order val="5"/>
          <c:tx>
            <c:strRef>
              <c:f>'Diet assessment'!$A$33</c:f>
              <c:strCache>
                <c:ptCount val="1"/>
                <c:pt idx="0">
                  <c:v>Blue food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'Diet assessment'!$B$27:$J$27</c15:sqref>
                  </c15:fullRef>
                </c:ext>
              </c:extLst>
              <c:f>'Diet assessment'!$H$27:$J$27</c:f>
              <c:strCache>
                <c:ptCount val="3"/>
                <c:pt idx="0">
                  <c:v>Ireland</c:v>
                </c:pt>
                <c:pt idx="1">
                  <c:v>Italy</c:v>
                </c:pt>
                <c:pt idx="2">
                  <c:v>Poland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'Diet assessment'!$B$33:$J$33</c15:sqref>
                  </c15:fullRef>
                </c:ext>
              </c:extLst>
              <c:f>'Diet assessment'!$H$33:$J$33</c:f>
              <c:numCache>
                <c:formatCode>0</c:formatCode>
                <c:ptCount val="3"/>
                <c:pt idx="0">
                  <c:v>112.54813637541923</c:v>
                </c:pt>
                <c:pt idx="1">
                  <c:v>134.00392831248712</c:v>
                </c:pt>
                <c:pt idx="2">
                  <c:v>64.549856267779518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619B-4196-865A-702CCA1779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81352383"/>
        <c:axId val="981341343"/>
      </c:barChart>
      <c:catAx>
        <c:axId val="9813523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enorite" panose="00000500000000000000" pitchFamily="2" charset="0"/>
                <a:ea typeface="+mn-ea"/>
                <a:cs typeface="+mn-cs"/>
              </a:defRPr>
            </a:pPr>
            <a:endParaRPr lang="sv-SE"/>
          </a:p>
        </c:txPr>
        <c:crossAx val="981341343"/>
        <c:crosses val="autoZero"/>
        <c:auto val="1"/>
        <c:lblAlgn val="ctr"/>
        <c:lblOffset val="100"/>
        <c:noMultiLvlLbl val="0"/>
      </c:catAx>
      <c:valAx>
        <c:axId val="981341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enorite" panose="00000500000000000000" pitchFamily="2" charset="0"/>
                <a:ea typeface="+mn-ea"/>
                <a:cs typeface="+mn-cs"/>
              </a:defRPr>
            </a:pPr>
            <a:endParaRPr lang="sv-SE"/>
          </a:p>
        </c:txPr>
        <c:crossAx val="9813523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enorite" panose="00000500000000000000" pitchFamily="2" charset="0"/>
              <a:ea typeface="+mn-ea"/>
              <a:cs typeface="+mn-cs"/>
            </a:defRPr>
          </a:pPr>
          <a:endParaRPr lang="sv-S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latin typeface="Tenorite" panose="00000500000000000000" pitchFamily="2" charset="0"/>
        </a:defRPr>
      </a:pPr>
      <a:endParaRPr lang="sv-SE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v-S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enorite" panose="00000500000000000000" pitchFamily="2" charset="0"/>
                <a:ea typeface="+mn-ea"/>
                <a:cs typeface="+mn-cs"/>
              </a:defRPr>
            </a:pPr>
            <a:r>
              <a:rPr lang="en-US"/>
              <a:t>Use of antibiotics</a:t>
            </a:r>
          </a:p>
          <a:p>
            <a:pPr>
              <a:defRPr/>
            </a:pPr>
            <a:r>
              <a:rPr lang="en-US"/>
              <a:t> (mg per year)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enorite" panose="00000500000000000000" pitchFamily="2" charset="0"/>
              <a:ea typeface="+mn-ea"/>
              <a:cs typeface="+mn-cs"/>
            </a:defRPr>
          </a:pPr>
          <a:endParaRPr lang="sv-SE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'Diet assessment'!$A$28</c:f>
              <c:strCache>
                <c:ptCount val="1"/>
                <c:pt idx="0">
                  <c:v>Ruminant meat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'Diet assessment'!$B$27:$M$27</c15:sqref>
                  </c15:fullRef>
                </c:ext>
              </c:extLst>
              <c:f>'Diet assessment'!$K$27:$M$27</c:f>
              <c:strCache>
                <c:ptCount val="3"/>
                <c:pt idx="0">
                  <c:v>Ireland</c:v>
                </c:pt>
                <c:pt idx="1">
                  <c:v>Italy</c:v>
                </c:pt>
                <c:pt idx="2">
                  <c:v>Poland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'Diet assessment'!$B$28:$M$28</c15:sqref>
                  </c15:fullRef>
                </c:ext>
              </c:extLst>
              <c:f>'Diet assessment'!$K$28:$M$28</c:f>
              <c:numCache>
                <c:formatCode>0</c:formatCode>
                <c:ptCount val="3"/>
                <c:pt idx="0">
                  <c:v>273.07489331569985</c:v>
                </c:pt>
                <c:pt idx="1">
                  <c:v>385.46203537743787</c:v>
                </c:pt>
                <c:pt idx="2">
                  <c:v>31.978300506102919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A9-4361-92CD-49779F7694BB}"/>
            </c:ext>
          </c:extLst>
        </c:ser>
        <c:ser>
          <c:idx val="1"/>
          <c:order val="1"/>
          <c:tx>
            <c:strRef>
              <c:f>'Diet assessment'!$A$29</c:f>
              <c:strCache>
                <c:ptCount val="1"/>
                <c:pt idx="0">
                  <c:v>Pig meat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'Diet assessment'!$B$27:$M$27</c15:sqref>
                  </c15:fullRef>
                </c:ext>
              </c:extLst>
              <c:f>'Diet assessment'!$K$27:$M$27</c:f>
              <c:strCache>
                <c:ptCount val="3"/>
                <c:pt idx="0">
                  <c:v>Ireland</c:v>
                </c:pt>
                <c:pt idx="1">
                  <c:v>Italy</c:v>
                </c:pt>
                <c:pt idx="2">
                  <c:v>Poland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'Diet assessment'!$B$29:$M$29</c15:sqref>
                  </c15:fullRef>
                </c:ext>
              </c:extLst>
              <c:f>'Diet assessment'!$K$29:$M$29</c:f>
              <c:numCache>
                <c:formatCode>0</c:formatCode>
                <c:ptCount val="3"/>
                <c:pt idx="0">
                  <c:v>1792.0454682375323</c:v>
                </c:pt>
                <c:pt idx="1">
                  <c:v>5603.367703538067</c:v>
                </c:pt>
                <c:pt idx="2">
                  <c:v>10662.452626610884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A9-4361-92CD-49779F7694BB}"/>
            </c:ext>
          </c:extLst>
        </c:ser>
        <c:ser>
          <c:idx val="2"/>
          <c:order val="2"/>
          <c:tx>
            <c:strRef>
              <c:f>'Diet assessment'!$A$30</c:f>
              <c:strCache>
                <c:ptCount val="1"/>
                <c:pt idx="0">
                  <c:v>Poultry meat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'Diet assessment'!$B$27:$M$27</c15:sqref>
                  </c15:fullRef>
                </c:ext>
              </c:extLst>
              <c:f>'Diet assessment'!$K$27:$M$27</c:f>
              <c:strCache>
                <c:ptCount val="3"/>
                <c:pt idx="0">
                  <c:v>Ireland</c:v>
                </c:pt>
                <c:pt idx="1">
                  <c:v>Italy</c:v>
                </c:pt>
                <c:pt idx="2">
                  <c:v>Poland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'Diet assessment'!$B$30:$M$30</c15:sqref>
                  </c15:fullRef>
                </c:ext>
              </c:extLst>
              <c:f>'Diet assessment'!$K$30:$M$30</c:f>
              <c:numCache>
                <c:formatCode>0</c:formatCode>
                <c:ptCount val="3"/>
                <c:pt idx="0">
                  <c:v>783.87054745262571</c:v>
                </c:pt>
                <c:pt idx="1">
                  <c:v>1900.4355479211945</c:v>
                </c:pt>
                <c:pt idx="2">
                  <c:v>4018.7270687346659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3A9-4361-92CD-49779F7694BB}"/>
            </c:ext>
          </c:extLst>
        </c:ser>
        <c:ser>
          <c:idx val="3"/>
          <c:order val="3"/>
          <c:tx>
            <c:strRef>
              <c:f>'Diet assessment'!$A$31</c:f>
              <c:strCache>
                <c:ptCount val="1"/>
                <c:pt idx="0">
                  <c:v>Egg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'Diet assessment'!$B$27:$M$27</c15:sqref>
                  </c15:fullRef>
                </c:ext>
              </c:extLst>
              <c:f>'Diet assessment'!$K$27:$M$27</c:f>
              <c:strCache>
                <c:ptCount val="3"/>
                <c:pt idx="0">
                  <c:v>Ireland</c:v>
                </c:pt>
                <c:pt idx="1">
                  <c:v>Italy</c:v>
                </c:pt>
                <c:pt idx="2">
                  <c:v>Poland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'Diet assessment'!$B$31:$M$31</c15:sqref>
                  </c15:fullRef>
                </c:ext>
              </c:extLst>
              <c:f>'Diet assessment'!$K$31:$M$31</c:f>
              <c:numCache>
                <c:formatCode>0</c:formatCode>
                <c:ptCount val="3"/>
                <c:pt idx="0">
                  <c:v>5.1076173014228248</c:v>
                </c:pt>
                <c:pt idx="1">
                  <c:v>17.701897043717953</c:v>
                </c:pt>
                <c:pt idx="2">
                  <c:v>16.924575874333733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3A9-4361-92CD-49779F7694BB}"/>
            </c:ext>
          </c:extLst>
        </c:ser>
        <c:ser>
          <c:idx val="4"/>
          <c:order val="4"/>
          <c:tx>
            <c:strRef>
              <c:f>'Diet assessment'!$A$32</c:f>
              <c:strCache>
                <c:ptCount val="1"/>
                <c:pt idx="0">
                  <c:v>Dairy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'Diet assessment'!$B$27:$M$27</c15:sqref>
                  </c15:fullRef>
                </c:ext>
              </c:extLst>
              <c:f>'Diet assessment'!$K$27:$M$27</c:f>
              <c:strCache>
                <c:ptCount val="3"/>
                <c:pt idx="0">
                  <c:v>Ireland</c:v>
                </c:pt>
                <c:pt idx="1">
                  <c:v>Italy</c:v>
                </c:pt>
                <c:pt idx="2">
                  <c:v>Poland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'Diet assessment'!$B$32:$M$32</c15:sqref>
                  </c15:fullRef>
                </c:ext>
              </c:extLst>
              <c:f>'Diet assessment'!$K$32:$M$32</c:f>
              <c:numCache>
                <c:formatCode>0</c:formatCode>
                <c:ptCount val="3"/>
                <c:pt idx="0">
                  <c:v>431.03086477446578</c:v>
                </c:pt>
                <c:pt idx="1">
                  <c:v>876.20656180600099</c:v>
                </c:pt>
                <c:pt idx="2">
                  <c:v>1315.3700075221302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3A9-4361-92CD-49779F7694BB}"/>
            </c:ext>
          </c:extLst>
        </c:ser>
        <c:ser>
          <c:idx val="5"/>
          <c:order val="5"/>
          <c:tx>
            <c:strRef>
              <c:f>'Diet assessment'!$A$33</c:f>
              <c:strCache>
                <c:ptCount val="1"/>
                <c:pt idx="0">
                  <c:v>Blue food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'Diet assessment'!$B$27:$M$27</c15:sqref>
                  </c15:fullRef>
                </c:ext>
              </c:extLst>
              <c:f>'Diet assessment'!$K$27:$M$27</c:f>
              <c:strCache>
                <c:ptCount val="3"/>
                <c:pt idx="0">
                  <c:v>Ireland</c:v>
                </c:pt>
                <c:pt idx="1">
                  <c:v>Italy</c:v>
                </c:pt>
                <c:pt idx="2">
                  <c:v>Poland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'Diet assessment'!$B$33:$M$33</c15:sqref>
                  </c15:fullRef>
                </c:ext>
              </c:extLst>
              <c:f>'Diet assessment'!$K$33:$M$33</c:f>
              <c:numCache>
                <c:formatCode>0</c:formatCode>
                <c:ptCount val="3"/>
                <c:pt idx="0">
                  <c:v>502.12796641560641</c:v>
                </c:pt>
                <c:pt idx="1">
                  <c:v>421.4288289559554</c:v>
                </c:pt>
                <c:pt idx="2">
                  <c:v>244.25803185578445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3A9-4361-92CD-49779F7694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81352383"/>
        <c:axId val="981341343"/>
      </c:barChart>
      <c:catAx>
        <c:axId val="9813523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enorite" panose="00000500000000000000" pitchFamily="2" charset="0"/>
                <a:ea typeface="+mn-ea"/>
                <a:cs typeface="+mn-cs"/>
              </a:defRPr>
            </a:pPr>
            <a:endParaRPr lang="sv-SE"/>
          </a:p>
        </c:txPr>
        <c:crossAx val="981341343"/>
        <c:crosses val="autoZero"/>
        <c:auto val="1"/>
        <c:lblAlgn val="ctr"/>
        <c:lblOffset val="100"/>
        <c:noMultiLvlLbl val="0"/>
      </c:catAx>
      <c:valAx>
        <c:axId val="981341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enorite" panose="00000500000000000000" pitchFamily="2" charset="0"/>
                <a:ea typeface="+mn-ea"/>
                <a:cs typeface="+mn-cs"/>
              </a:defRPr>
            </a:pPr>
            <a:endParaRPr lang="sv-SE"/>
          </a:p>
        </c:txPr>
        <c:crossAx val="9813523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enorite" panose="00000500000000000000" pitchFamily="2" charset="0"/>
              <a:ea typeface="+mn-ea"/>
              <a:cs typeface="+mn-cs"/>
            </a:defRPr>
          </a:pPr>
          <a:endParaRPr lang="sv-S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latin typeface="Tenorite" panose="00000500000000000000" pitchFamily="2" charset="0"/>
        </a:defRPr>
      </a:pPr>
      <a:endParaRPr lang="sv-SE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v-S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enorite" panose="00000500000000000000" pitchFamily="2" charset="0"/>
                <a:ea typeface="+mn-ea"/>
                <a:cs typeface="+mn-cs"/>
              </a:defRPr>
            </a:pPr>
            <a:r>
              <a:rPr lang="en-US"/>
              <a:t>Carbon footprint</a:t>
            </a:r>
          </a:p>
          <a:p>
            <a:pPr>
              <a:defRPr/>
            </a:pPr>
            <a:r>
              <a:rPr lang="en-US"/>
              <a:t> (kg CO2e per year)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enorite" panose="00000500000000000000" pitchFamily="2" charset="0"/>
              <a:ea typeface="+mn-ea"/>
              <a:cs typeface="+mn-cs"/>
            </a:defRPr>
          </a:pPr>
          <a:endParaRPr lang="sv-SE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'Diet assessment'!$A$28</c:f>
              <c:strCache>
                <c:ptCount val="1"/>
                <c:pt idx="0">
                  <c:v>Ruminant meat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'Diet assessment'!$B$27:$T$27</c15:sqref>
                  </c15:fullRef>
                </c:ext>
              </c:extLst>
              <c:f>('Diet assessment'!$E$27,'Diet assessment'!$R$27:$S$27)</c:f>
              <c:strCache>
                <c:ptCount val="3"/>
                <c:pt idx="0">
                  <c:v>Ireland</c:v>
                </c:pt>
                <c:pt idx="1">
                  <c:v>Ireland, beef to chicken</c:v>
                </c:pt>
                <c:pt idx="2">
                  <c:v>Ireland, beef to mussels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'Diet assessment'!$B$28:$T$28</c15:sqref>
                  </c15:fullRef>
                </c:ext>
              </c:extLst>
              <c:f>('Diet assessment'!$E$28,'Diet assessment'!$R$28:$S$28)</c:f>
              <c:numCache>
                <c:formatCode>0</c:formatCode>
                <c:ptCount val="3"/>
                <c:pt idx="0">
                  <c:v>777.29594611408822</c:v>
                </c:pt>
                <c:pt idx="1">
                  <c:v>445.51321373632004</c:v>
                </c:pt>
                <c:pt idx="2">
                  <c:v>445.51321373632004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30-4E7A-A306-B820170AE471}"/>
            </c:ext>
          </c:extLst>
        </c:ser>
        <c:ser>
          <c:idx val="1"/>
          <c:order val="1"/>
          <c:tx>
            <c:strRef>
              <c:f>'Diet assessment'!$A$29</c:f>
              <c:strCache>
                <c:ptCount val="1"/>
                <c:pt idx="0">
                  <c:v>Pig meat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'Diet assessment'!$B$27:$T$27</c15:sqref>
                  </c15:fullRef>
                </c:ext>
              </c:extLst>
              <c:f>('Diet assessment'!$E$27,'Diet assessment'!$R$27:$S$27)</c:f>
              <c:strCache>
                <c:ptCount val="3"/>
                <c:pt idx="0">
                  <c:v>Ireland</c:v>
                </c:pt>
                <c:pt idx="1">
                  <c:v>Ireland, beef to chicken</c:v>
                </c:pt>
                <c:pt idx="2">
                  <c:v>Ireland, beef to mussels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'Diet assessment'!$B$29:$T$29</c15:sqref>
                  </c15:fullRef>
                </c:ext>
              </c:extLst>
              <c:f>('Diet assessment'!$E$29,'Diet assessment'!$R$29:$S$29)</c:f>
              <c:numCache>
                <c:formatCode>0</c:formatCode>
                <c:ptCount val="3"/>
                <c:pt idx="0">
                  <c:v>126.71846607329188</c:v>
                </c:pt>
                <c:pt idx="1">
                  <c:v>126.71846607329188</c:v>
                </c:pt>
                <c:pt idx="2">
                  <c:v>126.71846607329188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B30-4E7A-A306-B820170AE471}"/>
            </c:ext>
          </c:extLst>
        </c:ser>
        <c:ser>
          <c:idx val="2"/>
          <c:order val="2"/>
          <c:tx>
            <c:strRef>
              <c:f>'Diet assessment'!$A$30</c:f>
              <c:strCache>
                <c:ptCount val="1"/>
                <c:pt idx="0">
                  <c:v>Poultry meat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'Diet assessment'!$B$27:$T$27</c15:sqref>
                  </c15:fullRef>
                </c:ext>
              </c:extLst>
              <c:f>('Diet assessment'!$E$27,'Diet assessment'!$R$27:$S$27)</c:f>
              <c:strCache>
                <c:ptCount val="3"/>
                <c:pt idx="0">
                  <c:v>Ireland</c:v>
                </c:pt>
                <c:pt idx="1">
                  <c:v>Ireland, beef to chicken</c:v>
                </c:pt>
                <c:pt idx="2">
                  <c:v>Ireland, beef to mussels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'Diet assessment'!$B$30:$T$30</c15:sqref>
                  </c15:fullRef>
                </c:ext>
              </c:extLst>
              <c:f>('Diet assessment'!$E$30,'Diet assessment'!$R$30:$S$30)</c:f>
              <c:numCache>
                <c:formatCode>0</c:formatCode>
                <c:ptCount val="3"/>
                <c:pt idx="0">
                  <c:v>49.343550951303065</c:v>
                </c:pt>
                <c:pt idx="1">
                  <c:v>74.346753508394968</c:v>
                </c:pt>
                <c:pt idx="2">
                  <c:v>49.343550951303065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B30-4E7A-A306-B820170AE471}"/>
            </c:ext>
          </c:extLst>
        </c:ser>
        <c:ser>
          <c:idx val="3"/>
          <c:order val="3"/>
          <c:tx>
            <c:strRef>
              <c:f>'Diet assessment'!$A$31</c:f>
              <c:strCache>
                <c:ptCount val="1"/>
                <c:pt idx="0">
                  <c:v>Egg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'Diet assessment'!$B$27:$T$27</c15:sqref>
                  </c15:fullRef>
                </c:ext>
              </c:extLst>
              <c:f>('Diet assessment'!$E$27,'Diet assessment'!$R$27:$S$27)</c:f>
              <c:strCache>
                <c:ptCount val="3"/>
                <c:pt idx="0">
                  <c:v>Ireland</c:v>
                </c:pt>
                <c:pt idx="1">
                  <c:v>Ireland, beef to chicken</c:v>
                </c:pt>
                <c:pt idx="2">
                  <c:v>Ireland, beef to mussels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'Diet assessment'!$B$31:$T$31</c15:sqref>
                  </c15:fullRef>
                </c:ext>
              </c:extLst>
              <c:f>('Diet assessment'!$E$31,'Diet assessment'!$R$31:$S$31)</c:f>
              <c:numCache>
                <c:formatCode>0</c:formatCode>
                <c:ptCount val="3"/>
                <c:pt idx="0">
                  <c:v>12.29078263277469</c:v>
                </c:pt>
                <c:pt idx="1">
                  <c:v>12.29078263277469</c:v>
                </c:pt>
                <c:pt idx="2">
                  <c:v>12.29078263277469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B30-4E7A-A306-B820170AE471}"/>
            </c:ext>
          </c:extLst>
        </c:ser>
        <c:ser>
          <c:idx val="4"/>
          <c:order val="4"/>
          <c:tx>
            <c:strRef>
              <c:f>'Diet assessment'!$A$32</c:f>
              <c:strCache>
                <c:ptCount val="1"/>
                <c:pt idx="0">
                  <c:v>Dairy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'Diet assessment'!$B$27:$T$27</c15:sqref>
                  </c15:fullRef>
                </c:ext>
              </c:extLst>
              <c:f>('Diet assessment'!$E$27,'Diet assessment'!$R$27:$S$27)</c:f>
              <c:strCache>
                <c:ptCount val="3"/>
                <c:pt idx="0">
                  <c:v>Ireland</c:v>
                </c:pt>
                <c:pt idx="1">
                  <c:v>Ireland, beef to chicken</c:v>
                </c:pt>
                <c:pt idx="2">
                  <c:v>Ireland, beef to mussels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'Diet assessment'!$B$32:$T$32</c15:sqref>
                  </c15:fullRef>
                </c:ext>
              </c:extLst>
              <c:f>('Diet assessment'!$E$32,'Diet assessment'!$R$32:$S$32)</c:f>
              <c:numCache>
                <c:formatCode>0</c:formatCode>
                <c:ptCount val="3"/>
                <c:pt idx="0">
                  <c:v>308.30458741588711</c:v>
                </c:pt>
                <c:pt idx="1">
                  <c:v>308.30458741588711</c:v>
                </c:pt>
                <c:pt idx="2">
                  <c:v>308.30458741588711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B30-4E7A-A306-B820170AE471}"/>
            </c:ext>
          </c:extLst>
        </c:ser>
        <c:ser>
          <c:idx val="5"/>
          <c:order val="5"/>
          <c:tx>
            <c:strRef>
              <c:f>'Diet assessment'!$A$33</c:f>
              <c:strCache>
                <c:ptCount val="1"/>
                <c:pt idx="0">
                  <c:v>Blue food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'Diet assessment'!$B$27:$T$27</c15:sqref>
                  </c15:fullRef>
                </c:ext>
              </c:extLst>
              <c:f>('Diet assessment'!$E$27,'Diet assessment'!$R$27:$S$27)</c:f>
              <c:strCache>
                <c:ptCount val="3"/>
                <c:pt idx="0">
                  <c:v>Ireland</c:v>
                </c:pt>
                <c:pt idx="1">
                  <c:v>Ireland, beef to chicken</c:v>
                </c:pt>
                <c:pt idx="2">
                  <c:v>Ireland, beef to mussels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'Diet assessment'!$B$33:$T$33</c15:sqref>
                  </c15:fullRef>
                </c:ext>
              </c:extLst>
              <c:f>('Diet assessment'!$E$33,'Diet assessment'!$R$33:$S$33)</c:f>
              <c:numCache>
                <c:formatCode>0</c:formatCode>
                <c:ptCount val="3"/>
                <c:pt idx="0">
                  <c:v>78.474576062718995</c:v>
                </c:pt>
                <c:pt idx="1">
                  <c:v>78.474576062718995</c:v>
                </c:pt>
                <c:pt idx="2">
                  <c:v>78.474576062718995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B30-4E7A-A306-B820170AE471}"/>
            </c:ext>
          </c:extLst>
        </c:ser>
        <c:ser>
          <c:idx val="6"/>
          <c:order val="6"/>
          <c:tx>
            <c:strRef>
              <c:f>'Diet assessment'!$A$34</c:f>
              <c:strCache>
                <c:ptCount val="1"/>
                <c:pt idx="0">
                  <c:v>Mussels</c:v>
                </c:pt>
              </c:strCache>
            </c:strRef>
          </c:tx>
          <c:spPr>
            <a:solidFill>
              <a:schemeClr val="tx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'Diet assessment'!$B$27:$T$27</c15:sqref>
                  </c15:fullRef>
                </c:ext>
              </c:extLst>
              <c:f>('Diet assessment'!$E$27,'Diet assessment'!$R$27:$S$27)</c:f>
              <c:strCache>
                <c:ptCount val="3"/>
                <c:pt idx="0">
                  <c:v>Ireland</c:v>
                </c:pt>
                <c:pt idx="1">
                  <c:v>Ireland, beef to chicken</c:v>
                </c:pt>
                <c:pt idx="2">
                  <c:v>Ireland, beef to mussels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'Diet assessment'!$B$34:$T$34</c15:sqref>
                  </c15:fullRef>
                </c:ext>
              </c:extLst>
              <c:f>('Diet assessment'!$E$34,'Diet assessment'!$R$34:$S$34)</c:f>
              <c:numCache>
                <c:formatCode>General</c:formatCode>
                <c:ptCount val="3"/>
                <c:pt idx="2" formatCode="0.00">
                  <c:v>22.490059616458058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B30-4E7A-A306-B820170AE4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81352383"/>
        <c:axId val="981341343"/>
        <c:extLst>
          <c:ext xmlns:c15="http://schemas.microsoft.com/office/drawing/2012/chart" uri="{02D57815-91ED-43cb-92C2-25804820EDAC}">
            <c15:filteredBarSeries>
              <c15:ser>
                <c:idx val="7"/>
                <c:order val="7"/>
                <c:tx>
                  <c:strRef>
                    <c:extLst>
                      <c:ext uri="{02D57815-91ED-43cb-92C2-25804820EDAC}">
                        <c15:formulaRef>
                          <c15:sqref>'Diet assessment'!$A$35</c15:sqref>
                        </c15:formulaRef>
                      </c:ext>
                    </c:extLst>
                    <c:strCache>
                      <c:ptCount val="1"/>
                      <c:pt idx="0">
                        <c:v>Rabbit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ullRef>
                          <c15:sqref>'Diet assessment'!$B$27:$T$27</c15:sqref>
                        </c15:fullRef>
                        <c15:formulaRef>
                          <c15:sqref>('Diet assessment'!$E$27,'Diet assessment'!$R$27:$S$27)</c15:sqref>
                        </c15:formulaRef>
                      </c:ext>
                    </c:extLst>
                    <c:strCache>
                      <c:ptCount val="3"/>
                      <c:pt idx="0">
                        <c:v>Ireland</c:v>
                      </c:pt>
                      <c:pt idx="1">
                        <c:v>Ireland, beef to chicken</c:v>
                      </c:pt>
                      <c:pt idx="2">
                        <c:v>Ireland, beef to mussels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'Diet assessment'!$B$35:$T$35</c15:sqref>
                        </c15:fullRef>
                        <c15:formulaRef>
                          <c15:sqref>('Diet assessment'!$E$35,'Diet assessment'!$R$35:$S$35)</c15:sqref>
                        </c15:formulaRef>
                      </c:ext>
                    </c:extLst>
                    <c:numCache>
                      <c:formatCode>General</c:formatCode>
                      <c:ptCount val="3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7-3B30-4E7A-A306-B820170AE471}"/>
                  </c:ext>
                </c:extLst>
              </c15:ser>
            </c15:filteredBarSeries>
          </c:ext>
        </c:extLst>
      </c:barChart>
      <c:catAx>
        <c:axId val="9813523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enorite" panose="00000500000000000000" pitchFamily="2" charset="0"/>
                <a:ea typeface="+mn-ea"/>
                <a:cs typeface="+mn-cs"/>
              </a:defRPr>
            </a:pPr>
            <a:endParaRPr lang="sv-SE"/>
          </a:p>
        </c:txPr>
        <c:crossAx val="981341343"/>
        <c:crosses val="autoZero"/>
        <c:auto val="1"/>
        <c:lblAlgn val="ctr"/>
        <c:lblOffset val="100"/>
        <c:noMultiLvlLbl val="0"/>
      </c:catAx>
      <c:valAx>
        <c:axId val="981341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enorite" panose="00000500000000000000" pitchFamily="2" charset="0"/>
                <a:ea typeface="+mn-ea"/>
                <a:cs typeface="+mn-cs"/>
              </a:defRPr>
            </a:pPr>
            <a:endParaRPr lang="sv-SE"/>
          </a:p>
        </c:txPr>
        <c:crossAx val="9813523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enorite" panose="00000500000000000000" pitchFamily="2" charset="0"/>
              <a:ea typeface="+mn-ea"/>
              <a:cs typeface="+mn-cs"/>
            </a:defRPr>
          </a:pPr>
          <a:endParaRPr lang="sv-S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latin typeface="Tenorite" panose="00000500000000000000" pitchFamily="2" charset="0"/>
        </a:defRPr>
      </a:pPr>
      <a:endParaRPr lang="sv-SE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v-S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enorite" panose="00000500000000000000" pitchFamily="2" charset="0"/>
                <a:ea typeface="+mn-ea"/>
                <a:cs typeface="+mn-cs"/>
              </a:defRPr>
            </a:pPr>
            <a:r>
              <a:rPr lang="en-US"/>
              <a:t>Animal welfare</a:t>
            </a:r>
          </a:p>
          <a:p>
            <a:pPr>
              <a:defRPr/>
            </a:pPr>
            <a:r>
              <a:rPr lang="en-US"/>
              <a:t> (PAALA index)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enorite" panose="00000500000000000000" pitchFamily="2" charset="0"/>
              <a:ea typeface="+mn-ea"/>
              <a:cs typeface="+mn-cs"/>
            </a:defRPr>
          </a:pPr>
          <a:endParaRPr lang="sv-SE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'Diet assessment'!$A$28</c:f>
              <c:strCache>
                <c:ptCount val="1"/>
                <c:pt idx="0">
                  <c:v>Ruminant meat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'Diet assessment'!$B$27:$W$27</c15:sqref>
                  </c15:fullRef>
                </c:ext>
              </c:extLst>
              <c:f>('Diet assessment'!$H$27,'Diet assessment'!$U$27:$V$27)</c:f>
              <c:strCache>
                <c:ptCount val="3"/>
                <c:pt idx="0">
                  <c:v>Ireland</c:v>
                </c:pt>
                <c:pt idx="1">
                  <c:v>Ireland, beef to chicken</c:v>
                </c:pt>
                <c:pt idx="2">
                  <c:v>Ireland, beef to mussels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'Diet assessment'!$B$28:$W$28</c15:sqref>
                  </c15:fullRef>
                </c:ext>
              </c:extLst>
              <c:f>('Diet assessment'!$H$28,'Diet assessment'!$U$28:$V$28)</c:f>
              <c:numCache>
                <c:formatCode>0</c:formatCode>
                <c:ptCount val="3"/>
                <c:pt idx="0">
                  <c:v>18.082041381475666</c:v>
                </c:pt>
                <c:pt idx="1">
                  <c:v>14.219476406357879</c:v>
                </c:pt>
                <c:pt idx="2">
                  <c:v>14.219476406357879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66-4B51-B1CE-C3B56F12FE07}"/>
            </c:ext>
          </c:extLst>
        </c:ser>
        <c:ser>
          <c:idx val="1"/>
          <c:order val="1"/>
          <c:tx>
            <c:strRef>
              <c:f>'Diet assessment'!$A$29</c:f>
              <c:strCache>
                <c:ptCount val="1"/>
                <c:pt idx="0">
                  <c:v>Pig meat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'Diet assessment'!$B$27:$W$27</c15:sqref>
                  </c15:fullRef>
                </c:ext>
              </c:extLst>
              <c:f>('Diet assessment'!$H$27,'Diet assessment'!$U$27:$V$27)</c:f>
              <c:strCache>
                <c:ptCount val="3"/>
                <c:pt idx="0">
                  <c:v>Ireland</c:v>
                </c:pt>
                <c:pt idx="1">
                  <c:v>Ireland, beef to chicken</c:v>
                </c:pt>
                <c:pt idx="2">
                  <c:v>Ireland, beef to mussels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'Diet assessment'!$B$29:$W$29</c15:sqref>
                  </c15:fullRef>
                </c:ext>
              </c:extLst>
              <c:f>('Diet assessment'!$H$29,'Diet assessment'!$U$29:$V$29)</c:f>
              <c:numCache>
                <c:formatCode>0</c:formatCode>
                <c:ptCount val="3"/>
                <c:pt idx="0">
                  <c:v>87.527142570177915</c:v>
                </c:pt>
                <c:pt idx="1">
                  <c:v>87.527142570177915</c:v>
                </c:pt>
                <c:pt idx="2">
                  <c:v>87.527142570177915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666-4B51-B1CE-C3B56F12FE07}"/>
            </c:ext>
          </c:extLst>
        </c:ser>
        <c:ser>
          <c:idx val="2"/>
          <c:order val="2"/>
          <c:tx>
            <c:strRef>
              <c:f>'Diet assessment'!$A$30</c:f>
              <c:strCache>
                <c:ptCount val="1"/>
                <c:pt idx="0">
                  <c:v>Poultry meat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'Diet assessment'!$B$27:$W$27</c15:sqref>
                  </c15:fullRef>
                </c:ext>
              </c:extLst>
              <c:f>('Diet assessment'!$H$27,'Diet assessment'!$U$27:$V$27)</c:f>
              <c:strCache>
                <c:ptCount val="3"/>
                <c:pt idx="0">
                  <c:v>Ireland</c:v>
                </c:pt>
                <c:pt idx="1">
                  <c:v>Ireland, beef to chicken</c:v>
                </c:pt>
                <c:pt idx="2">
                  <c:v>Ireland, beef to mussels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'Diet assessment'!$B$30:$W$30</c15:sqref>
                  </c15:fullRef>
                </c:ext>
              </c:extLst>
              <c:f>('Diet assessment'!$H$30,'Diet assessment'!$U$30:$V$30)</c:f>
              <c:numCache>
                <c:formatCode>0</c:formatCode>
                <c:ptCount val="3"/>
                <c:pt idx="0">
                  <c:v>1909.057645129747</c:v>
                </c:pt>
                <c:pt idx="1">
                  <c:v>2876.4090836480441</c:v>
                </c:pt>
                <c:pt idx="2">
                  <c:v>1909.057645129747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666-4B51-B1CE-C3B56F12FE07}"/>
            </c:ext>
          </c:extLst>
        </c:ser>
        <c:ser>
          <c:idx val="3"/>
          <c:order val="3"/>
          <c:tx>
            <c:strRef>
              <c:f>'Diet assessment'!$A$31</c:f>
              <c:strCache>
                <c:ptCount val="1"/>
                <c:pt idx="0">
                  <c:v>Egg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'Diet assessment'!$B$27:$W$27</c15:sqref>
                  </c15:fullRef>
                </c:ext>
              </c:extLst>
              <c:f>('Diet assessment'!$H$27,'Diet assessment'!$U$27:$V$27)</c:f>
              <c:strCache>
                <c:ptCount val="3"/>
                <c:pt idx="0">
                  <c:v>Ireland</c:v>
                </c:pt>
                <c:pt idx="1">
                  <c:v>Ireland, beef to chicken</c:v>
                </c:pt>
                <c:pt idx="2">
                  <c:v>Ireland, beef to mussels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'Diet assessment'!$B$31:$W$31</c15:sqref>
                  </c15:fullRef>
                </c:ext>
              </c:extLst>
              <c:f>('Diet assessment'!$H$31,'Diet assessment'!$U$31:$V$31)</c:f>
              <c:numCache>
                <c:formatCode>0</c:formatCode>
                <c:ptCount val="3"/>
                <c:pt idx="0">
                  <c:v>94.217208627554356</c:v>
                </c:pt>
                <c:pt idx="1">
                  <c:v>94.217208627554356</c:v>
                </c:pt>
                <c:pt idx="2">
                  <c:v>94.217208627554356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666-4B51-B1CE-C3B56F12FE07}"/>
            </c:ext>
          </c:extLst>
        </c:ser>
        <c:ser>
          <c:idx val="4"/>
          <c:order val="4"/>
          <c:tx>
            <c:strRef>
              <c:f>'Diet assessment'!$A$32</c:f>
              <c:strCache>
                <c:ptCount val="1"/>
                <c:pt idx="0">
                  <c:v>Dairy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'Diet assessment'!$B$27:$W$27</c15:sqref>
                  </c15:fullRef>
                </c:ext>
              </c:extLst>
              <c:f>('Diet assessment'!$H$27,'Diet assessment'!$U$27:$V$27)</c:f>
              <c:strCache>
                <c:ptCount val="3"/>
                <c:pt idx="0">
                  <c:v>Ireland</c:v>
                </c:pt>
                <c:pt idx="1">
                  <c:v>Ireland, beef to chicken</c:v>
                </c:pt>
                <c:pt idx="2">
                  <c:v>Ireland, beef to mussels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'Diet assessment'!$B$32:$W$32</c15:sqref>
                  </c15:fullRef>
                </c:ext>
              </c:extLst>
              <c:f>('Diet assessment'!$H$32,'Diet assessment'!$U$32:$V$32)</c:f>
              <c:numCache>
                <c:formatCode>0</c:formatCode>
                <c:ptCount val="3"/>
                <c:pt idx="0">
                  <c:v>2.5450898500347146</c:v>
                </c:pt>
                <c:pt idx="1">
                  <c:v>2.5450898500347146</c:v>
                </c:pt>
                <c:pt idx="2">
                  <c:v>2.5450898500347146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666-4B51-B1CE-C3B56F12FE07}"/>
            </c:ext>
          </c:extLst>
        </c:ser>
        <c:ser>
          <c:idx val="5"/>
          <c:order val="5"/>
          <c:tx>
            <c:strRef>
              <c:f>'Diet assessment'!$A$33</c:f>
              <c:strCache>
                <c:ptCount val="1"/>
                <c:pt idx="0">
                  <c:v>Blue food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'Diet assessment'!$B$27:$W$27</c15:sqref>
                  </c15:fullRef>
                </c:ext>
              </c:extLst>
              <c:f>('Diet assessment'!$H$27,'Diet assessment'!$U$27:$V$27)</c:f>
              <c:strCache>
                <c:ptCount val="3"/>
                <c:pt idx="0">
                  <c:v>Ireland</c:v>
                </c:pt>
                <c:pt idx="1">
                  <c:v>Ireland, beef to chicken</c:v>
                </c:pt>
                <c:pt idx="2">
                  <c:v>Ireland, beef to mussels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'Diet assessment'!$B$33:$W$33</c15:sqref>
                  </c15:fullRef>
                </c:ext>
              </c:extLst>
              <c:f>('Diet assessment'!$H$33,'Diet assessment'!$U$33:$V$33)</c:f>
              <c:numCache>
                <c:formatCode>0</c:formatCode>
                <c:ptCount val="3"/>
                <c:pt idx="0">
                  <c:v>112.54813637541923</c:v>
                </c:pt>
                <c:pt idx="1">
                  <c:v>112.54813637541923</c:v>
                </c:pt>
                <c:pt idx="2">
                  <c:v>112.54813637541923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666-4B51-B1CE-C3B56F12FE07}"/>
            </c:ext>
          </c:extLst>
        </c:ser>
        <c:ser>
          <c:idx val="6"/>
          <c:order val="6"/>
          <c:tx>
            <c:strRef>
              <c:f>'Diet assessment'!$A$34</c:f>
              <c:strCache>
                <c:ptCount val="1"/>
                <c:pt idx="0">
                  <c:v>Mussels</c:v>
                </c:pt>
              </c:strCache>
            </c:strRef>
          </c:tx>
          <c:spPr>
            <a:solidFill>
              <a:schemeClr val="tx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'Diet assessment'!$B$27:$W$27</c15:sqref>
                  </c15:fullRef>
                </c:ext>
              </c:extLst>
              <c:f>('Diet assessment'!$H$27,'Diet assessment'!$U$27:$V$27)</c:f>
              <c:strCache>
                <c:ptCount val="3"/>
                <c:pt idx="0">
                  <c:v>Ireland</c:v>
                </c:pt>
                <c:pt idx="1">
                  <c:v>Ireland, beef to chicken</c:v>
                </c:pt>
                <c:pt idx="2">
                  <c:v>Ireland, beef to mussels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'Diet assessment'!$B$34:$W$34</c15:sqref>
                  </c15:fullRef>
                </c:ext>
              </c:extLst>
              <c:f>('Diet assessment'!$H$34,'Diet assessment'!$U$34:$V$34)</c:f>
              <c:numCache>
                <c:formatCode>General</c:formatCode>
                <c:ptCount val="3"/>
                <c:pt idx="2" formatCode="0">
                  <c:v>46.067437283108873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666-4B51-B1CE-C3B56F12FE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81352383"/>
        <c:axId val="981341343"/>
        <c:extLst>
          <c:ext xmlns:c15="http://schemas.microsoft.com/office/drawing/2012/chart" uri="{02D57815-91ED-43cb-92C2-25804820EDAC}">
            <c15:filteredBarSeries>
              <c15:ser>
                <c:idx val="7"/>
                <c:order val="7"/>
                <c:tx>
                  <c:strRef>
                    <c:extLst>
                      <c:ext uri="{02D57815-91ED-43cb-92C2-25804820EDAC}">
                        <c15:formulaRef>
                          <c15:sqref>'Diet assessment'!$A$35</c15:sqref>
                        </c15:formulaRef>
                      </c:ext>
                    </c:extLst>
                    <c:strCache>
                      <c:ptCount val="1"/>
                      <c:pt idx="0">
                        <c:v>Rabbit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ullRef>
                          <c15:sqref>'Diet assessment'!$B$27:$W$27</c15:sqref>
                        </c15:fullRef>
                        <c15:formulaRef>
                          <c15:sqref>('Diet assessment'!$H$27,'Diet assessment'!$U$27:$V$27)</c15:sqref>
                        </c15:formulaRef>
                      </c:ext>
                    </c:extLst>
                    <c:strCache>
                      <c:ptCount val="3"/>
                      <c:pt idx="0">
                        <c:v>Ireland</c:v>
                      </c:pt>
                      <c:pt idx="1">
                        <c:v>Ireland, beef to chicken</c:v>
                      </c:pt>
                      <c:pt idx="2">
                        <c:v>Ireland, beef to mussels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'Diet assessment'!$B$35:$W$35</c15:sqref>
                        </c15:fullRef>
                        <c15:formulaRef>
                          <c15:sqref>('Diet assessment'!$H$35,'Diet assessment'!$U$35:$V$35)</c15:sqref>
                        </c15:formulaRef>
                      </c:ext>
                    </c:extLst>
                    <c:numCache>
                      <c:formatCode>General</c:formatCode>
                      <c:ptCount val="3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7-8666-4B51-B1CE-C3B56F12FE07}"/>
                  </c:ext>
                </c:extLst>
              </c15:ser>
            </c15:filteredBarSeries>
          </c:ext>
        </c:extLst>
      </c:barChart>
      <c:catAx>
        <c:axId val="9813523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enorite" panose="00000500000000000000" pitchFamily="2" charset="0"/>
                <a:ea typeface="+mn-ea"/>
                <a:cs typeface="+mn-cs"/>
              </a:defRPr>
            </a:pPr>
            <a:endParaRPr lang="sv-SE"/>
          </a:p>
        </c:txPr>
        <c:crossAx val="981341343"/>
        <c:crosses val="autoZero"/>
        <c:auto val="1"/>
        <c:lblAlgn val="ctr"/>
        <c:lblOffset val="100"/>
        <c:noMultiLvlLbl val="0"/>
      </c:catAx>
      <c:valAx>
        <c:axId val="981341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enorite" panose="00000500000000000000" pitchFamily="2" charset="0"/>
                <a:ea typeface="+mn-ea"/>
                <a:cs typeface="+mn-cs"/>
              </a:defRPr>
            </a:pPr>
            <a:endParaRPr lang="sv-SE"/>
          </a:p>
        </c:txPr>
        <c:crossAx val="9813523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enorite" panose="00000500000000000000" pitchFamily="2" charset="0"/>
              <a:ea typeface="+mn-ea"/>
              <a:cs typeface="+mn-cs"/>
            </a:defRPr>
          </a:pPr>
          <a:endParaRPr lang="sv-S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latin typeface="Tenorite" panose="00000500000000000000" pitchFamily="2" charset="0"/>
        </a:defRPr>
      </a:pPr>
      <a:endParaRPr lang="sv-SE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v-S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enorite" panose="00000500000000000000" pitchFamily="2" charset="0"/>
                <a:ea typeface="+mn-ea"/>
                <a:cs typeface="+mn-cs"/>
              </a:defRPr>
            </a:pPr>
            <a:r>
              <a:rPr lang="en-US"/>
              <a:t>Use of antibiotics</a:t>
            </a:r>
          </a:p>
          <a:p>
            <a:pPr>
              <a:defRPr/>
            </a:pPr>
            <a:r>
              <a:rPr lang="en-US"/>
              <a:t> (mg per</a:t>
            </a:r>
            <a:r>
              <a:rPr lang="en-US" baseline="0"/>
              <a:t> year</a:t>
            </a:r>
            <a:r>
              <a:rPr lang="en-US"/>
              <a:t>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enorite" panose="00000500000000000000" pitchFamily="2" charset="0"/>
              <a:ea typeface="+mn-ea"/>
              <a:cs typeface="+mn-cs"/>
            </a:defRPr>
          </a:pPr>
          <a:endParaRPr lang="sv-SE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'Diet assessment'!$A$28</c:f>
              <c:strCache>
                <c:ptCount val="1"/>
                <c:pt idx="0">
                  <c:v>Ruminant meat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'Diet assessment'!$B$27:$Z$27</c15:sqref>
                  </c15:fullRef>
                </c:ext>
              </c:extLst>
              <c:f>('Diet assessment'!$K$27,'Diet assessment'!$X$27:$Y$27)</c:f>
              <c:strCache>
                <c:ptCount val="3"/>
                <c:pt idx="0">
                  <c:v>Ireland</c:v>
                </c:pt>
                <c:pt idx="1">
                  <c:v>Ireland, beef to chicken</c:v>
                </c:pt>
                <c:pt idx="2">
                  <c:v>Ireland, beef to mussels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'Diet assessment'!$B$28:$Z$28</c15:sqref>
                  </c15:fullRef>
                </c:ext>
              </c:extLst>
              <c:f>('Diet assessment'!$K$28,'Diet assessment'!$X$28:$Y$28)</c:f>
              <c:numCache>
                <c:formatCode>0</c:formatCode>
                <c:ptCount val="3"/>
                <c:pt idx="0">
                  <c:v>273.07489331569985</c:v>
                </c:pt>
                <c:pt idx="1">
                  <c:v>167.82205140956199</c:v>
                </c:pt>
                <c:pt idx="2">
                  <c:v>167.82205140956199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E8-4545-9D34-DF067F76A5BD}"/>
            </c:ext>
          </c:extLst>
        </c:ser>
        <c:ser>
          <c:idx val="1"/>
          <c:order val="1"/>
          <c:tx>
            <c:strRef>
              <c:f>'Diet assessment'!$A$29</c:f>
              <c:strCache>
                <c:ptCount val="1"/>
                <c:pt idx="0">
                  <c:v>Pig meat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'Diet assessment'!$B$27:$Z$27</c15:sqref>
                  </c15:fullRef>
                </c:ext>
              </c:extLst>
              <c:f>('Diet assessment'!$K$27,'Diet assessment'!$X$27:$Y$27)</c:f>
              <c:strCache>
                <c:ptCount val="3"/>
                <c:pt idx="0">
                  <c:v>Ireland</c:v>
                </c:pt>
                <c:pt idx="1">
                  <c:v>Ireland, beef to chicken</c:v>
                </c:pt>
                <c:pt idx="2">
                  <c:v>Ireland, beef to mussels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'Diet assessment'!$B$29:$Z$29</c15:sqref>
                  </c15:fullRef>
                </c:ext>
              </c:extLst>
              <c:f>('Diet assessment'!$K$29,'Diet assessment'!$X$29:$Y$29)</c:f>
              <c:numCache>
                <c:formatCode>0</c:formatCode>
                <c:ptCount val="3"/>
                <c:pt idx="0">
                  <c:v>1792.0454682375323</c:v>
                </c:pt>
                <c:pt idx="1">
                  <c:v>1792.0454682375323</c:v>
                </c:pt>
                <c:pt idx="2">
                  <c:v>1792.0454682375323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DE8-4545-9D34-DF067F76A5BD}"/>
            </c:ext>
          </c:extLst>
        </c:ser>
        <c:ser>
          <c:idx val="2"/>
          <c:order val="2"/>
          <c:tx>
            <c:strRef>
              <c:f>'Diet assessment'!$A$30</c:f>
              <c:strCache>
                <c:ptCount val="1"/>
                <c:pt idx="0">
                  <c:v>Poultry meat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'Diet assessment'!$B$27:$Z$27</c15:sqref>
                  </c15:fullRef>
                </c:ext>
              </c:extLst>
              <c:f>('Diet assessment'!$K$27,'Diet assessment'!$X$27:$Y$27)</c:f>
              <c:strCache>
                <c:ptCount val="3"/>
                <c:pt idx="0">
                  <c:v>Ireland</c:v>
                </c:pt>
                <c:pt idx="1">
                  <c:v>Ireland, beef to chicken</c:v>
                </c:pt>
                <c:pt idx="2">
                  <c:v>Ireland, beef to mussels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'Diet assessment'!$B$30:$Z$30</c15:sqref>
                  </c15:fullRef>
                </c:ext>
              </c:extLst>
              <c:f>('Diet assessment'!$K$30,'Diet assessment'!$X$30:$Y$30)</c:f>
              <c:numCache>
                <c:formatCode>0</c:formatCode>
                <c:ptCount val="3"/>
                <c:pt idx="0">
                  <c:v>783.87054745262571</c:v>
                </c:pt>
                <c:pt idx="1">
                  <c:v>1181.0708643864223</c:v>
                </c:pt>
                <c:pt idx="2">
                  <c:v>783.87054745262571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DE8-4545-9D34-DF067F76A5BD}"/>
            </c:ext>
          </c:extLst>
        </c:ser>
        <c:ser>
          <c:idx val="3"/>
          <c:order val="3"/>
          <c:tx>
            <c:strRef>
              <c:f>'Diet assessment'!$A$31</c:f>
              <c:strCache>
                <c:ptCount val="1"/>
                <c:pt idx="0">
                  <c:v>Egg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'Diet assessment'!$B$27:$Z$27</c15:sqref>
                  </c15:fullRef>
                </c:ext>
              </c:extLst>
              <c:f>('Diet assessment'!$K$27,'Diet assessment'!$X$27:$Y$27)</c:f>
              <c:strCache>
                <c:ptCount val="3"/>
                <c:pt idx="0">
                  <c:v>Ireland</c:v>
                </c:pt>
                <c:pt idx="1">
                  <c:v>Ireland, beef to chicken</c:v>
                </c:pt>
                <c:pt idx="2">
                  <c:v>Ireland, beef to mussels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'Diet assessment'!$B$31:$Z$31</c15:sqref>
                  </c15:fullRef>
                </c:ext>
              </c:extLst>
              <c:f>('Diet assessment'!$K$31,'Diet assessment'!$X$31:$Y$31)</c:f>
              <c:numCache>
                <c:formatCode>0</c:formatCode>
                <c:ptCount val="3"/>
                <c:pt idx="0">
                  <c:v>5.1076173014228248</c:v>
                </c:pt>
                <c:pt idx="1">
                  <c:v>5.1076173014228248</c:v>
                </c:pt>
                <c:pt idx="2">
                  <c:v>5.1076173014228248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DE8-4545-9D34-DF067F76A5BD}"/>
            </c:ext>
          </c:extLst>
        </c:ser>
        <c:ser>
          <c:idx val="4"/>
          <c:order val="4"/>
          <c:tx>
            <c:strRef>
              <c:f>'Diet assessment'!$A$32</c:f>
              <c:strCache>
                <c:ptCount val="1"/>
                <c:pt idx="0">
                  <c:v>Dairy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'Diet assessment'!$B$27:$Z$27</c15:sqref>
                  </c15:fullRef>
                </c:ext>
              </c:extLst>
              <c:f>('Diet assessment'!$K$27,'Diet assessment'!$X$27:$Y$27)</c:f>
              <c:strCache>
                <c:ptCount val="3"/>
                <c:pt idx="0">
                  <c:v>Ireland</c:v>
                </c:pt>
                <c:pt idx="1">
                  <c:v>Ireland, beef to chicken</c:v>
                </c:pt>
                <c:pt idx="2">
                  <c:v>Ireland, beef to mussels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'Diet assessment'!$B$32:$Z$32</c15:sqref>
                  </c15:fullRef>
                </c:ext>
              </c:extLst>
              <c:f>('Diet assessment'!$K$32,'Diet assessment'!$X$32:$Y$32)</c:f>
              <c:numCache>
                <c:formatCode>0</c:formatCode>
                <c:ptCount val="3"/>
                <c:pt idx="0">
                  <c:v>431.03086477446578</c:v>
                </c:pt>
                <c:pt idx="1">
                  <c:v>431.03086477446578</c:v>
                </c:pt>
                <c:pt idx="2">
                  <c:v>431.03086477446578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DE8-4545-9D34-DF067F76A5BD}"/>
            </c:ext>
          </c:extLst>
        </c:ser>
        <c:ser>
          <c:idx val="5"/>
          <c:order val="5"/>
          <c:tx>
            <c:strRef>
              <c:f>'Diet assessment'!$A$33</c:f>
              <c:strCache>
                <c:ptCount val="1"/>
                <c:pt idx="0">
                  <c:v>Blue food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'Diet assessment'!$B$27:$Z$27</c15:sqref>
                  </c15:fullRef>
                </c:ext>
              </c:extLst>
              <c:f>('Diet assessment'!$K$27,'Diet assessment'!$X$27:$Y$27)</c:f>
              <c:strCache>
                <c:ptCount val="3"/>
                <c:pt idx="0">
                  <c:v>Ireland</c:v>
                </c:pt>
                <c:pt idx="1">
                  <c:v>Ireland, beef to chicken</c:v>
                </c:pt>
                <c:pt idx="2">
                  <c:v>Ireland, beef to mussels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'Diet assessment'!$B$33:$Z$33</c15:sqref>
                  </c15:fullRef>
                </c:ext>
              </c:extLst>
              <c:f>('Diet assessment'!$K$33,'Diet assessment'!$X$33:$Y$33)</c:f>
              <c:numCache>
                <c:formatCode>0</c:formatCode>
                <c:ptCount val="3"/>
                <c:pt idx="0">
                  <c:v>502.12796641560641</c:v>
                </c:pt>
                <c:pt idx="1">
                  <c:v>502.12796641560641</c:v>
                </c:pt>
                <c:pt idx="2">
                  <c:v>502.12796641560641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DE8-4545-9D34-DF067F76A5BD}"/>
            </c:ext>
          </c:extLst>
        </c:ser>
        <c:ser>
          <c:idx val="6"/>
          <c:order val="6"/>
          <c:tx>
            <c:strRef>
              <c:f>'Diet assessment'!$A$34</c:f>
              <c:strCache>
                <c:ptCount val="1"/>
                <c:pt idx="0">
                  <c:v>Mussels</c:v>
                </c:pt>
              </c:strCache>
            </c:strRef>
          </c:tx>
          <c:spPr>
            <a:solidFill>
              <a:schemeClr val="tx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'Diet assessment'!$B$27:$Z$27</c15:sqref>
                  </c15:fullRef>
                </c:ext>
              </c:extLst>
              <c:f>('Diet assessment'!$K$27,'Diet assessment'!$X$27:$Y$27)</c:f>
              <c:strCache>
                <c:ptCount val="3"/>
                <c:pt idx="0">
                  <c:v>Ireland</c:v>
                </c:pt>
                <c:pt idx="1">
                  <c:v>Ireland, beef to chicken</c:v>
                </c:pt>
                <c:pt idx="2">
                  <c:v>Ireland, beef to mussels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'Diet assessment'!$B$34:$Z$34</c15:sqref>
                  </c15:fullRef>
                </c:ext>
              </c:extLst>
              <c:f>('Diet assessment'!$K$34,'Diet assessment'!$X$34:$Y$34)</c:f>
              <c:numCache>
                <c:formatCode>General</c:formatCode>
                <c:ptCount val="3"/>
                <c:pt idx="2" formatCode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DE8-4545-9D34-DF067F76A5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81352383"/>
        <c:axId val="981341343"/>
        <c:extLst>
          <c:ext xmlns:c15="http://schemas.microsoft.com/office/drawing/2012/chart" uri="{02D57815-91ED-43cb-92C2-25804820EDAC}">
            <c15:filteredBarSeries>
              <c15:ser>
                <c:idx val="7"/>
                <c:order val="7"/>
                <c:tx>
                  <c:strRef>
                    <c:extLst>
                      <c:ext uri="{02D57815-91ED-43cb-92C2-25804820EDAC}">
                        <c15:formulaRef>
                          <c15:sqref>'Diet assessment'!$A$35</c15:sqref>
                        </c15:formulaRef>
                      </c:ext>
                    </c:extLst>
                    <c:strCache>
                      <c:ptCount val="1"/>
                      <c:pt idx="0">
                        <c:v>Rabbit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ullRef>
                          <c15:sqref>'Diet assessment'!$B$27:$Z$27</c15:sqref>
                        </c15:fullRef>
                        <c15:formulaRef>
                          <c15:sqref>('Diet assessment'!$K$27,'Diet assessment'!$X$27:$Y$27)</c15:sqref>
                        </c15:formulaRef>
                      </c:ext>
                    </c:extLst>
                    <c:strCache>
                      <c:ptCount val="3"/>
                      <c:pt idx="0">
                        <c:v>Ireland</c:v>
                      </c:pt>
                      <c:pt idx="1">
                        <c:v>Ireland, beef to chicken</c:v>
                      </c:pt>
                      <c:pt idx="2">
                        <c:v>Ireland, beef to mussels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'Diet assessment'!$B$35:$Z$35</c15:sqref>
                        </c15:fullRef>
                        <c15:formulaRef>
                          <c15:sqref>('Diet assessment'!$K$35,'Diet assessment'!$X$35:$Y$35)</c15:sqref>
                        </c15:formulaRef>
                      </c:ext>
                    </c:extLst>
                    <c:numCache>
                      <c:formatCode>General</c:formatCode>
                      <c:ptCount val="3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7-DDE8-4545-9D34-DF067F76A5BD}"/>
                  </c:ext>
                </c:extLst>
              </c15:ser>
            </c15:filteredBarSeries>
          </c:ext>
        </c:extLst>
      </c:barChart>
      <c:catAx>
        <c:axId val="9813523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enorite" panose="00000500000000000000" pitchFamily="2" charset="0"/>
                <a:ea typeface="+mn-ea"/>
                <a:cs typeface="+mn-cs"/>
              </a:defRPr>
            </a:pPr>
            <a:endParaRPr lang="sv-SE"/>
          </a:p>
        </c:txPr>
        <c:crossAx val="981341343"/>
        <c:crosses val="autoZero"/>
        <c:auto val="1"/>
        <c:lblAlgn val="ctr"/>
        <c:lblOffset val="100"/>
        <c:noMultiLvlLbl val="0"/>
      </c:catAx>
      <c:valAx>
        <c:axId val="981341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enorite" panose="00000500000000000000" pitchFamily="2" charset="0"/>
                <a:ea typeface="+mn-ea"/>
                <a:cs typeface="+mn-cs"/>
              </a:defRPr>
            </a:pPr>
            <a:endParaRPr lang="sv-SE"/>
          </a:p>
        </c:txPr>
        <c:crossAx val="9813523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enorite" panose="00000500000000000000" pitchFamily="2" charset="0"/>
              <a:ea typeface="+mn-ea"/>
              <a:cs typeface="+mn-cs"/>
            </a:defRPr>
          </a:pPr>
          <a:endParaRPr lang="sv-S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latin typeface="Tenorite" panose="00000500000000000000" pitchFamily="2" charset="0"/>
        </a:defRPr>
      </a:pPr>
      <a:endParaRPr lang="sv-SE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v-S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enorite" panose="00000500000000000000" pitchFamily="2" charset="0"/>
                <a:ea typeface="+mn-ea"/>
                <a:cs typeface="+mn-cs"/>
              </a:defRPr>
            </a:pPr>
            <a:r>
              <a:rPr lang="en-US"/>
              <a:t>Carbon footprint</a:t>
            </a:r>
          </a:p>
          <a:p>
            <a:pPr>
              <a:defRPr/>
            </a:pPr>
            <a:r>
              <a:rPr lang="en-US"/>
              <a:t> (kg CO2e per year)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enorite" panose="00000500000000000000" pitchFamily="2" charset="0"/>
              <a:ea typeface="+mn-ea"/>
              <a:cs typeface="+mn-cs"/>
            </a:defRPr>
          </a:pPr>
          <a:endParaRPr lang="sv-SE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'Diet assessment'!$A$28</c:f>
              <c:strCache>
                <c:ptCount val="1"/>
                <c:pt idx="0">
                  <c:v>Ruminant meat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'Diet assessment'!$B$27:$T$27</c15:sqref>
                  </c15:fullRef>
                </c:ext>
              </c:extLst>
              <c:f>('Diet assessment'!$F$27,'Diet assessment'!$T$27)</c:f>
              <c:strCache>
                <c:ptCount val="2"/>
                <c:pt idx="0">
                  <c:v>Italy</c:v>
                </c:pt>
                <c:pt idx="1">
                  <c:v>Italy, beef to rabbit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'Diet assessment'!$B$28:$T$28</c15:sqref>
                  </c15:fullRef>
                </c:ext>
              </c:extLst>
              <c:f>('Diet assessment'!$F$28,'Diet assessment'!$T$28)</c:f>
              <c:numCache>
                <c:formatCode>0</c:formatCode>
                <c:ptCount val="2"/>
                <c:pt idx="0">
                  <c:v>402.94259895580257</c:v>
                </c:pt>
                <c:pt idx="1">
                  <c:v>214.16443045748619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65-4A85-8653-C26628F4388E}"/>
            </c:ext>
          </c:extLst>
        </c:ser>
        <c:ser>
          <c:idx val="1"/>
          <c:order val="1"/>
          <c:tx>
            <c:strRef>
              <c:f>'Diet assessment'!$A$29</c:f>
              <c:strCache>
                <c:ptCount val="1"/>
                <c:pt idx="0">
                  <c:v>Pig meat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'Diet assessment'!$B$27:$T$27</c15:sqref>
                  </c15:fullRef>
                </c:ext>
              </c:extLst>
              <c:f>('Diet assessment'!$F$27,'Diet assessment'!$T$27)</c:f>
              <c:strCache>
                <c:ptCount val="2"/>
                <c:pt idx="0">
                  <c:v>Italy</c:v>
                </c:pt>
                <c:pt idx="1">
                  <c:v>Italy, beef to rabbit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'Diet assessment'!$B$29:$T$29</c15:sqref>
                  </c15:fullRef>
                </c:ext>
              </c:extLst>
              <c:f>('Diet assessment'!$F$29,'Diet assessment'!$T$29)</c:f>
              <c:numCache>
                <c:formatCode>0</c:formatCode>
                <c:ptCount val="2"/>
                <c:pt idx="0">
                  <c:v>197.90654599548384</c:v>
                </c:pt>
                <c:pt idx="1">
                  <c:v>197.90654599548384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565-4A85-8653-C26628F4388E}"/>
            </c:ext>
          </c:extLst>
        </c:ser>
        <c:ser>
          <c:idx val="2"/>
          <c:order val="2"/>
          <c:tx>
            <c:strRef>
              <c:f>'Diet assessment'!$A$30</c:f>
              <c:strCache>
                <c:ptCount val="1"/>
                <c:pt idx="0">
                  <c:v>Poultry meat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'Diet assessment'!$B$27:$T$27</c15:sqref>
                  </c15:fullRef>
                </c:ext>
              </c:extLst>
              <c:f>('Diet assessment'!$F$27,'Diet assessment'!$T$27)</c:f>
              <c:strCache>
                <c:ptCount val="2"/>
                <c:pt idx="0">
                  <c:v>Italy</c:v>
                </c:pt>
                <c:pt idx="1">
                  <c:v>Italy, beef to rabbit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'Diet assessment'!$B$30:$T$30</c15:sqref>
                  </c15:fullRef>
                </c:ext>
              </c:extLst>
              <c:f>('Diet assessment'!$F$30,'Diet assessment'!$T$30)</c:f>
              <c:numCache>
                <c:formatCode>0</c:formatCode>
                <c:ptCount val="2"/>
                <c:pt idx="0">
                  <c:v>33.606183049610728</c:v>
                </c:pt>
                <c:pt idx="1">
                  <c:v>33.606183049610728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565-4A85-8653-C26628F4388E}"/>
            </c:ext>
          </c:extLst>
        </c:ser>
        <c:ser>
          <c:idx val="3"/>
          <c:order val="3"/>
          <c:tx>
            <c:strRef>
              <c:f>'Diet assessment'!$A$31</c:f>
              <c:strCache>
                <c:ptCount val="1"/>
                <c:pt idx="0">
                  <c:v>Egg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'Diet assessment'!$B$27:$T$27</c15:sqref>
                  </c15:fullRef>
                </c:ext>
              </c:extLst>
              <c:f>('Diet assessment'!$F$27,'Diet assessment'!$T$27)</c:f>
              <c:strCache>
                <c:ptCount val="2"/>
                <c:pt idx="0">
                  <c:v>Italy</c:v>
                </c:pt>
                <c:pt idx="1">
                  <c:v>Italy, beef to rabbit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'Diet assessment'!$B$31:$T$31</c15:sqref>
                  </c15:fullRef>
                </c:ext>
              </c:extLst>
              <c:f>('Diet assessment'!$F$31,'Diet assessment'!$T$31)</c:f>
              <c:numCache>
                <c:formatCode>0</c:formatCode>
                <c:ptCount val="2"/>
                <c:pt idx="0">
                  <c:v>13.970663389974769</c:v>
                </c:pt>
                <c:pt idx="1">
                  <c:v>13.970663389974769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565-4A85-8653-C26628F4388E}"/>
            </c:ext>
          </c:extLst>
        </c:ser>
        <c:ser>
          <c:idx val="4"/>
          <c:order val="4"/>
          <c:tx>
            <c:strRef>
              <c:f>'Diet assessment'!$A$32</c:f>
              <c:strCache>
                <c:ptCount val="1"/>
                <c:pt idx="0">
                  <c:v>Dairy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'Diet assessment'!$B$27:$T$27</c15:sqref>
                  </c15:fullRef>
                </c:ext>
              </c:extLst>
              <c:f>('Diet assessment'!$F$27,'Diet assessment'!$T$27)</c:f>
              <c:strCache>
                <c:ptCount val="2"/>
                <c:pt idx="0">
                  <c:v>Italy</c:v>
                </c:pt>
                <c:pt idx="1">
                  <c:v>Italy, beef to rabbit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'Diet assessment'!$B$32:$T$32</c15:sqref>
                  </c15:fullRef>
                </c:ext>
              </c:extLst>
              <c:f>('Diet assessment'!$F$32,'Diet assessment'!$T$32)</c:f>
              <c:numCache>
                <c:formatCode>0</c:formatCode>
                <c:ptCount val="2"/>
                <c:pt idx="0">
                  <c:v>317.69877468504308</c:v>
                </c:pt>
                <c:pt idx="1">
                  <c:v>317.69877468504308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565-4A85-8653-C26628F4388E}"/>
            </c:ext>
          </c:extLst>
        </c:ser>
        <c:ser>
          <c:idx val="5"/>
          <c:order val="5"/>
          <c:tx>
            <c:strRef>
              <c:f>'Diet assessment'!$A$33</c:f>
              <c:strCache>
                <c:ptCount val="1"/>
                <c:pt idx="0">
                  <c:v>Blue food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'Diet assessment'!$B$27:$T$27</c15:sqref>
                  </c15:fullRef>
                </c:ext>
              </c:extLst>
              <c:f>('Diet assessment'!$F$27,'Diet assessment'!$T$27)</c:f>
              <c:strCache>
                <c:ptCount val="2"/>
                <c:pt idx="0">
                  <c:v>Italy</c:v>
                </c:pt>
                <c:pt idx="1">
                  <c:v>Italy, beef to rabbit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'Diet assessment'!$B$33:$T$33</c15:sqref>
                  </c15:fullRef>
                </c:ext>
              </c:extLst>
              <c:f>('Diet assessment'!$F$33,'Diet assessment'!$T$33)</c:f>
              <c:numCache>
                <c:formatCode>0</c:formatCode>
                <c:ptCount val="2"/>
                <c:pt idx="0">
                  <c:v>138.31249589660163</c:v>
                </c:pt>
                <c:pt idx="1">
                  <c:v>138.31249589660163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565-4A85-8653-C26628F4388E}"/>
            </c:ext>
          </c:extLst>
        </c:ser>
        <c:ser>
          <c:idx val="7"/>
          <c:order val="7"/>
          <c:tx>
            <c:strRef>
              <c:f>'Diet assessment'!$A$35</c:f>
              <c:strCache>
                <c:ptCount val="1"/>
                <c:pt idx="0">
                  <c:v>Rabbit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'Diet assessment'!$B$27:$T$27</c15:sqref>
                  </c15:fullRef>
                </c:ext>
              </c:extLst>
              <c:f>('Diet assessment'!$F$27,'Diet assessment'!$T$27)</c:f>
              <c:strCache>
                <c:ptCount val="2"/>
                <c:pt idx="0">
                  <c:v>Italy</c:v>
                </c:pt>
                <c:pt idx="1">
                  <c:v>Italy, beef to rabbit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'Diet assessment'!$B$35:$T$35</c15:sqref>
                  </c15:fullRef>
                </c:ext>
              </c:extLst>
              <c:f>('Diet assessment'!$F$35,'Diet assessment'!$T$35)</c:f>
              <c:numCache>
                <c:formatCode>General</c:formatCode>
                <c:ptCount val="2"/>
                <c:pt idx="1" formatCode="0.00">
                  <c:v>64.313675806297439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B565-4A85-8653-C26628F438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81352383"/>
        <c:axId val="981341343"/>
        <c:extLst>
          <c:ext xmlns:c15="http://schemas.microsoft.com/office/drawing/2012/chart" uri="{02D57815-91ED-43cb-92C2-25804820EDAC}">
            <c15:filteredBarSeries>
              <c15:ser>
                <c:idx val="6"/>
                <c:order val="6"/>
                <c:tx>
                  <c:strRef>
                    <c:extLst>
                      <c:ext uri="{02D57815-91ED-43cb-92C2-25804820EDAC}">
                        <c15:formulaRef>
                          <c15:sqref>'Diet assessment'!$A$34</c15:sqref>
                        </c15:formulaRef>
                      </c:ext>
                    </c:extLst>
                    <c:strCache>
                      <c:ptCount val="1"/>
                      <c:pt idx="0">
                        <c:v>Mussels</c:v>
                      </c:pt>
                    </c:strCache>
                  </c:strRef>
                </c:tx>
                <c:spPr>
                  <a:solidFill>
                    <a:schemeClr val="tx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ullRef>
                          <c15:sqref>'Diet assessment'!$B$27:$T$27</c15:sqref>
                        </c15:fullRef>
                        <c15:formulaRef>
                          <c15:sqref>('Diet assessment'!$F$27,'Diet assessment'!$T$27)</c15:sqref>
                        </c15:formulaRef>
                      </c:ext>
                    </c:extLst>
                    <c:strCache>
                      <c:ptCount val="2"/>
                      <c:pt idx="0">
                        <c:v>Italy</c:v>
                      </c:pt>
                      <c:pt idx="1">
                        <c:v>Italy, beef to rabbit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'Diet assessment'!$B$34:$T$34</c15:sqref>
                        </c15:fullRef>
                        <c15:formulaRef>
                          <c15:sqref>('Diet assessment'!$F$34,'Diet assessment'!$T$34)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6-B565-4A85-8653-C26628F4388E}"/>
                  </c:ext>
                </c:extLst>
              </c15:ser>
            </c15:filteredBarSeries>
          </c:ext>
        </c:extLst>
      </c:barChart>
      <c:catAx>
        <c:axId val="9813523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enorite" panose="00000500000000000000" pitchFamily="2" charset="0"/>
                <a:ea typeface="+mn-ea"/>
                <a:cs typeface="+mn-cs"/>
              </a:defRPr>
            </a:pPr>
            <a:endParaRPr lang="sv-SE"/>
          </a:p>
        </c:txPr>
        <c:crossAx val="981341343"/>
        <c:crosses val="autoZero"/>
        <c:auto val="1"/>
        <c:lblAlgn val="ctr"/>
        <c:lblOffset val="100"/>
        <c:noMultiLvlLbl val="0"/>
      </c:catAx>
      <c:valAx>
        <c:axId val="981341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enorite" panose="00000500000000000000" pitchFamily="2" charset="0"/>
                <a:ea typeface="+mn-ea"/>
                <a:cs typeface="+mn-cs"/>
              </a:defRPr>
            </a:pPr>
            <a:endParaRPr lang="sv-SE"/>
          </a:p>
        </c:txPr>
        <c:crossAx val="9813523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enorite" panose="00000500000000000000" pitchFamily="2" charset="0"/>
              <a:ea typeface="+mn-ea"/>
              <a:cs typeface="+mn-cs"/>
            </a:defRPr>
          </a:pPr>
          <a:endParaRPr lang="sv-S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latin typeface="Tenorite" panose="00000500000000000000" pitchFamily="2" charset="0"/>
        </a:defRPr>
      </a:pPr>
      <a:endParaRPr lang="sv-SE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v-S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enorite" panose="00000500000000000000" pitchFamily="2" charset="0"/>
                <a:ea typeface="+mn-ea"/>
                <a:cs typeface="+mn-cs"/>
              </a:defRPr>
            </a:pPr>
            <a:r>
              <a:rPr lang="en-US"/>
              <a:t>Animal welfare</a:t>
            </a:r>
          </a:p>
          <a:p>
            <a:pPr>
              <a:defRPr/>
            </a:pPr>
            <a:r>
              <a:rPr lang="en-US"/>
              <a:t> (PAALA index)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enorite" panose="00000500000000000000" pitchFamily="2" charset="0"/>
              <a:ea typeface="+mn-ea"/>
              <a:cs typeface="+mn-cs"/>
            </a:defRPr>
          </a:pPr>
          <a:endParaRPr lang="sv-SE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'Diet assessment'!$A$28</c:f>
              <c:strCache>
                <c:ptCount val="1"/>
                <c:pt idx="0">
                  <c:v>Ruminant meat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'Diet assessment'!$B$27:$W$27</c15:sqref>
                  </c15:fullRef>
                </c:ext>
              </c:extLst>
              <c:f>('Diet assessment'!$I$27,'Diet assessment'!$W$27)</c:f>
              <c:strCache>
                <c:ptCount val="2"/>
                <c:pt idx="0">
                  <c:v>Italy</c:v>
                </c:pt>
                <c:pt idx="1">
                  <c:v>Italy, beef to rabbit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'Diet assessment'!$B$28:$W$28</c15:sqref>
                  </c15:fullRef>
                </c:ext>
              </c:extLst>
              <c:f>('Diet assessment'!$I$28,'Diet assessment'!$W$28)</c:f>
              <c:numCache>
                <c:formatCode>0</c:formatCode>
                <c:ptCount val="2"/>
                <c:pt idx="0">
                  <c:v>8.7307952001133486</c:v>
                </c:pt>
                <c:pt idx="1">
                  <c:v>5.7905649220341857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6B-4B71-B593-C1D9C2D81CEF}"/>
            </c:ext>
          </c:extLst>
        </c:ser>
        <c:ser>
          <c:idx val="1"/>
          <c:order val="1"/>
          <c:tx>
            <c:strRef>
              <c:f>'Diet assessment'!$A$29</c:f>
              <c:strCache>
                <c:ptCount val="1"/>
                <c:pt idx="0">
                  <c:v>Pig meat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'Diet assessment'!$B$27:$W$27</c15:sqref>
                  </c15:fullRef>
                </c:ext>
              </c:extLst>
              <c:f>('Diet assessment'!$I$27,'Diet assessment'!$W$27)</c:f>
              <c:strCache>
                <c:ptCount val="2"/>
                <c:pt idx="0">
                  <c:v>Italy</c:v>
                </c:pt>
                <c:pt idx="1">
                  <c:v>Italy, beef to rabbit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'Diet assessment'!$B$29:$W$29</c15:sqref>
                  </c15:fullRef>
                </c:ext>
              </c:extLst>
              <c:f>('Diet assessment'!$I$29,'Diet assessment'!$W$29)</c:f>
              <c:numCache>
                <c:formatCode>0</c:formatCode>
                <c:ptCount val="2"/>
                <c:pt idx="0">
                  <c:v>95.054436974944139</c:v>
                </c:pt>
                <c:pt idx="1">
                  <c:v>95.054436974944139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D6B-4B71-B593-C1D9C2D81CEF}"/>
            </c:ext>
          </c:extLst>
        </c:ser>
        <c:ser>
          <c:idx val="2"/>
          <c:order val="2"/>
          <c:tx>
            <c:strRef>
              <c:f>'Diet assessment'!$A$30</c:f>
              <c:strCache>
                <c:ptCount val="1"/>
                <c:pt idx="0">
                  <c:v>Poultry meat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'Diet assessment'!$B$27:$W$27</c15:sqref>
                  </c15:fullRef>
                </c:ext>
              </c:extLst>
              <c:f>('Diet assessment'!$I$27,'Diet assessment'!$W$27)</c:f>
              <c:strCache>
                <c:ptCount val="2"/>
                <c:pt idx="0">
                  <c:v>Italy</c:v>
                </c:pt>
                <c:pt idx="1">
                  <c:v>Italy, beef to rabbit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'Diet assessment'!$B$30:$W$30</c15:sqref>
                  </c15:fullRef>
                </c:ext>
              </c:extLst>
              <c:f>('Diet assessment'!$I$30,'Diet assessment'!$W$30)</c:f>
              <c:numCache>
                <c:formatCode>0</c:formatCode>
                <c:ptCount val="2"/>
                <c:pt idx="0">
                  <c:v>1447.169076787445</c:v>
                </c:pt>
                <c:pt idx="1">
                  <c:v>1447.169076787445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D6B-4B71-B593-C1D9C2D81CEF}"/>
            </c:ext>
          </c:extLst>
        </c:ser>
        <c:ser>
          <c:idx val="3"/>
          <c:order val="3"/>
          <c:tx>
            <c:strRef>
              <c:f>'Diet assessment'!$A$31</c:f>
              <c:strCache>
                <c:ptCount val="1"/>
                <c:pt idx="0">
                  <c:v>Egg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'Diet assessment'!$B$27:$W$27</c15:sqref>
                  </c15:fullRef>
                </c:ext>
              </c:extLst>
              <c:f>('Diet assessment'!$I$27,'Diet assessment'!$W$27)</c:f>
              <c:strCache>
                <c:ptCount val="2"/>
                <c:pt idx="0">
                  <c:v>Italy</c:v>
                </c:pt>
                <c:pt idx="1">
                  <c:v>Italy, beef to rabbit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'Diet assessment'!$B$31:$W$31</c15:sqref>
                  </c15:fullRef>
                </c:ext>
              </c:extLst>
              <c:f>('Diet assessment'!$I$31,'Diet assessment'!$W$31)</c:f>
              <c:numCache>
                <c:formatCode>0</c:formatCode>
                <c:ptCount val="2"/>
                <c:pt idx="0">
                  <c:v>108.70737631671624</c:v>
                </c:pt>
                <c:pt idx="1">
                  <c:v>108.70737631671624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D6B-4B71-B593-C1D9C2D81CEF}"/>
            </c:ext>
          </c:extLst>
        </c:ser>
        <c:ser>
          <c:idx val="4"/>
          <c:order val="4"/>
          <c:tx>
            <c:strRef>
              <c:f>'Diet assessment'!$A$32</c:f>
              <c:strCache>
                <c:ptCount val="1"/>
                <c:pt idx="0">
                  <c:v>Dairy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'Diet assessment'!$B$27:$W$27</c15:sqref>
                  </c15:fullRef>
                </c:ext>
              </c:extLst>
              <c:f>('Diet assessment'!$I$27,'Diet assessment'!$W$27)</c:f>
              <c:strCache>
                <c:ptCount val="2"/>
                <c:pt idx="0">
                  <c:v>Italy</c:v>
                </c:pt>
                <c:pt idx="1">
                  <c:v>Italy, beef to rabbit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'Diet assessment'!$B$32:$W$32</c15:sqref>
                  </c15:fullRef>
                </c:ext>
              </c:extLst>
              <c:f>('Diet assessment'!$I$32,'Diet assessment'!$W$32)</c:f>
              <c:numCache>
                <c:formatCode>0</c:formatCode>
                <c:ptCount val="2"/>
                <c:pt idx="0">
                  <c:v>1.978872685918291</c:v>
                </c:pt>
                <c:pt idx="1">
                  <c:v>1.978872685918291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D6B-4B71-B593-C1D9C2D81CEF}"/>
            </c:ext>
          </c:extLst>
        </c:ser>
        <c:ser>
          <c:idx val="5"/>
          <c:order val="5"/>
          <c:tx>
            <c:strRef>
              <c:f>'Diet assessment'!$A$33</c:f>
              <c:strCache>
                <c:ptCount val="1"/>
                <c:pt idx="0">
                  <c:v>Blue food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'Diet assessment'!$B$27:$W$27</c15:sqref>
                  </c15:fullRef>
                </c:ext>
              </c:extLst>
              <c:f>('Diet assessment'!$I$27,'Diet assessment'!$W$27)</c:f>
              <c:strCache>
                <c:ptCount val="2"/>
                <c:pt idx="0">
                  <c:v>Italy</c:v>
                </c:pt>
                <c:pt idx="1">
                  <c:v>Italy, beef to rabbit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'Diet assessment'!$B$33:$W$33</c15:sqref>
                  </c15:fullRef>
                </c:ext>
              </c:extLst>
              <c:f>('Diet assessment'!$I$33,'Diet assessment'!$W$33)</c:f>
              <c:numCache>
                <c:formatCode>0</c:formatCode>
                <c:ptCount val="2"/>
                <c:pt idx="0">
                  <c:v>134.00392831248712</c:v>
                </c:pt>
                <c:pt idx="1">
                  <c:v>134.00392831248712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D6B-4B71-B593-C1D9C2D81CEF}"/>
            </c:ext>
          </c:extLst>
        </c:ser>
        <c:ser>
          <c:idx val="7"/>
          <c:order val="7"/>
          <c:tx>
            <c:strRef>
              <c:f>'Diet assessment'!$A$35</c:f>
              <c:strCache>
                <c:ptCount val="1"/>
                <c:pt idx="0">
                  <c:v>Rabbit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6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2D6B-4B71-B593-C1D9C2D81CEF}"/>
              </c:ext>
            </c:extLst>
          </c:dPt>
          <c:cat>
            <c:strRef>
              <c:extLst>
                <c:ext xmlns:c15="http://schemas.microsoft.com/office/drawing/2012/chart" uri="{02D57815-91ED-43cb-92C2-25804820EDAC}">
                  <c15:fullRef>
                    <c15:sqref>'Diet assessment'!$B$27:$W$27</c15:sqref>
                  </c15:fullRef>
                </c:ext>
              </c:extLst>
              <c:f>('Diet assessment'!$I$27,'Diet assessment'!$W$27)</c:f>
              <c:strCache>
                <c:ptCount val="2"/>
                <c:pt idx="0">
                  <c:v>Italy</c:v>
                </c:pt>
                <c:pt idx="1">
                  <c:v>Italy, beef to rabbit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'Diet assessment'!$B$35:$W$35</c15:sqref>
                  </c15:fullRef>
                </c:ext>
              </c:extLst>
              <c:f>('Diet assessment'!$I$35,'Diet assessment'!$W$35)</c:f>
              <c:numCache>
                <c:formatCode>General</c:formatCode>
                <c:ptCount val="2"/>
                <c:pt idx="1" formatCode="0">
                  <c:v>706.05302766054683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2D6B-4B71-B593-C1D9C2D81C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81352383"/>
        <c:axId val="981341343"/>
        <c:extLst>
          <c:ext xmlns:c15="http://schemas.microsoft.com/office/drawing/2012/chart" uri="{02D57815-91ED-43cb-92C2-25804820EDAC}">
            <c15:filteredBarSeries>
              <c15:ser>
                <c:idx val="6"/>
                <c:order val="6"/>
                <c:tx>
                  <c:strRef>
                    <c:extLst>
                      <c:ext uri="{02D57815-91ED-43cb-92C2-25804820EDAC}">
                        <c15:formulaRef>
                          <c15:sqref>'Diet assessment'!$A$34</c15:sqref>
                        </c15:formulaRef>
                      </c:ext>
                    </c:extLst>
                    <c:strCache>
                      <c:ptCount val="1"/>
                      <c:pt idx="0">
                        <c:v>Mussels</c:v>
                      </c:pt>
                    </c:strCache>
                  </c:strRef>
                </c:tx>
                <c:spPr>
                  <a:solidFill>
                    <a:schemeClr val="tx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ullRef>
                          <c15:sqref>'Diet assessment'!$B$27:$W$27</c15:sqref>
                        </c15:fullRef>
                        <c15:formulaRef>
                          <c15:sqref>('Diet assessment'!$I$27,'Diet assessment'!$W$27)</c15:sqref>
                        </c15:formulaRef>
                      </c:ext>
                    </c:extLst>
                    <c:strCache>
                      <c:ptCount val="2"/>
                      <c:pt idx="0">
                        <c:v>Italy</c:v>
                      </c:pt>
                      <c:pt idx="1">
                        <c:v>Italy, beef to rabbit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'Diet assessment'!$B$34:$W$34</c15:sqref>
                        </c15:fullRef>
                        <c15:formulaRef>
                          <c15:sqref>('Diet assessment'!$I$34,'Diet assessment'!$W$34)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6-2D6B-4B71-B593-C1D9C2D81CEF}"/>
                  </c:ext>
                </c:extLst>
              </c15:ser>
            </c15:filteredBarSeries>
          </c:ext>
        </c:extLst>
      </c:barChart>
      <c:catAx>
        <c:axId val="9813523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enorite" panose="00000500000000000000" pitchFamily="2" charset="0"/>
                <a:ea typeface="+mn-ea"/>
                <a:cs typeface="+mn-cs"/>
              </a:defRPr>
            </a:pPr>
            <a:endParaRPr lang="sv-SE"/>
          </a:p>
        </c:txPr>
        <c:crossAx val="981341343"/>
        <c:crosses val="autoZero"/>
        <c:auto val="1"/>
        <c:lblAlgn val="ctr"/>
        <c:lblOffset val="100"/>
        <c:noMultiLvlLbl val="0"/>
      </c:catAx>
      <c:valAx>
        <c:axId val="981341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enorite" panose="00000500000000000000" pitchFamily="2" charset="0"/>
                <a:ea typeface="+mn-ea"/>
                <a:cs typeface="+mn-cs"/>
              </a:defRPr>
            </a:pPr>
            <a:endParaRPr lang="sv-SE"/>
          </a:p>
        </c:txPr>
        <c:crossAx val="9813523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enorite" panose="00000500000000000000" pitchFamily="2" charset="0"/>
              <a:ea typeface="+mn-ea"/>
              <a:cs typeface="+mn-cs"/>
            </a:defRPr>
          </a:pPr>
          <a:endParaRPr lang="sv-S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latin typeface="Tenorite" panose="00000500000000000000" pitchFamily="2" charset="0"/>
        </a:defRPr>
      </a:pPr>
      <a:endParaRPr lang="sv-SE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v-S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enorite" panose="00000500000000000000" pitchFamily="2" charset="0"/>
                <a:ea typeface="+mn-ea"/>
                <a:cs typeface="+mn-cs"/>
              </a:defRPr>
            </a:pPr>
            <a:r>
              <a:rPr lang="en-US"/>
              <a:t>Use of antibiotics</a:t>
            </a:r>
          </a:p>
          <a:p>
            <a:pPr>
              <a:defRPr/>
            </a:pPr>
            <a:r>
              <a:rPr lang="en-US"/>
              <a:t>(mg per year)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enorite" panose="00000500000000000000" pitchFamily="2" charset="0"/>
              <a:ea typeface="+mn-ea"/>
              <a:cs typeface="+mn-cs"/>
            </a:defRPr>
          </a:pPr>
          <a:endParaRPr lang="sv-SE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'Diet assessment'!$A$28</c:f>
              <c:strCache>
                <c:ptCount val="1"/>
                <c:pt idx="0">
                  <c:v>Ruminant meat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'Diet assessment'!$B$27:$Z$27</c15:sqref>
                  </c15:fullRef>
                </c:ext>
              </c:extLst>
              <c:f>('Diet assessment'!$L$27,'Diet assessment'!$Z$27)</c:f>
              <c:strCache>
                <c:ptCount val="2"/>
                <c:pt idx="0">
                  <c:v>Italy</c:v>
                </c:pt>
                <c:pt idx="1">
                  <c:v>Italy, beef to rabbit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'Diet assessment'!$B$28:$Z$28</c15:sqref>
                  </c15:fullRef>
                </c:ext>
              </c:extLst>
              <c:f>('Diet assessment'!$L$28,'Diet assessment'!$Z$28)</c:f>
              <c:numCache>
                <c:formatCode>0</c:formatCode>
                <c:ptCount val="2"/>
                <c:pt idx="0">
                  <c:v>385.46203537743787</c:v>
                </c:pt>
                <c:pt idx="1">
                  <c:v>215.05575320649004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84-4381-ABD2-841DC32D5A66}"/>
            </c:ext>
          </c:extLst>
        </c:ser>
        <c:ser>
          <c:idx val="1"/>
          <c:order val="1"/>
          <c:tx>
            <c:strRef>
              <c:f>'Diet assessment'!$A$29</c:f>
              <c:strCache>
                <c:ptCount val="1"/>
                <c:pt idx="0">
                  <c:v>Pig meat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'Diet assessment'!$B$27:$Z$27</c15:sqref>
                  </c15:fullRef>
                </c:ext>
              </c:extLst>
              <c:f>('Diet assessment'!$L$27,'Diet assessment'!$Z$27)</c:f>
              <c:strCache>
                <c:ptCount val="2"/>
                <c:pt idx="0">
                  <c:v>Italy</c:v>
                </c:pt>
                <c:pt idx="1">
                  <c:v>Italy, beef to rabbit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'Diet assessment'!$B$29:$Z$29</c15:sqref>
                  </c15:fullRef>
                </c:ext>
              </c:extLst>
              <c:f>('Diet assessment'!$L$29,'Diet assessment'!$Z$29)</c:f>
              <c:numCache>
                <c:formatCode>0</c:formatCode>
                <c:ptCount val="2"/>
                <c:pt idx="0">
                  <c:v>5603.367703538067</c:v>
                </c:pt>
                <c:pt idx="1">
                  <c:v>5603.367703538067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984-4381-ABD2-841DC32D5A66}"/>
            </c:ext>
          </c:extLst>
        </c:ser>
        <c:ser>
          <c:idx val="2"/>
          <c:order val="2"/>
          <c:tx>
            <c:strRef>
              <c:f>'Diet assessment'!$A$30</c:f>
              <c:strCache>
                <c:ptCount val="1"/>
                <c:pt idx="0">
                  <c:v>Poultry meat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'Diet assessment'!$B$27:$Z$27</c15:sqref>
                  </c15:fullRef>
                </c:ext>
              </c:extLst>
              <c:f>('Diet assessment'!$L$27,'Diet assessment'!$Z$27)</c:f>
              <c:strCache>
                <c:ptCount val="2"/>
                <c:pt idx="0">
                  <c:v>Italy</c:v>
                </c:pt>
                <c:pt idx="1">
                  <c:v>Italy, beef to rabbit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'Diet assessment'!$B$30:$Z$30</c15:sqref>
                  </c15:fullRef>
                </c:ext>
              </c:extLst>
              <c:f>('Diet assessment'!$L$30,'Diet assessment'!$Z$30)</c:f>
              <c:numCache>
                <c:formatCode>0</c:formatCode>
                <c:ptCount val="2"/>
                <c:pt idx="0">
                  <c:v>1900.4355479211945</c:v>
                </c:pt>
                <c:pt idx="1">
                  <c:v>1900.4355479211945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984-4381-ABD2-841DC32D5A66}"/>
            </c:ext>
          </c:extLst>
        </c:ser>
        <c:ser>
          <c:idx val="3"/>
          <c:order val="3"/>
          <c:tx>
            <c:strRef>
              <c:f>'Diet assessment'!$A$31</c:f>
              <c:strCache>
                <c:ptCount val="1"/>
                <c:pt idx="0">
                  <c:v>Egg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'Diet assessment'!$B$27:$Z$27</c15:sqref>
                  </c15:fullRef>
                </c:ext>
              </c:extLst>
              <c:f>('Diet assessment'!$L$27,'Diet assessment'!$Z$27)</c:f>
              <c:strCache>
                <c:ptCount val="2"/>
                <c:pt idx="0">
                  <c:v>Italy</c:v>
                </c:pt>
                <c:pt idx="1">
                  <c:v>Italy, beef to rabbit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'Diet assessment'!$B$31:$Z$31</c15:sqref>
                  </c15:fullRef>
                </c:ext>
              </c:extLst>
              <c:f>('Diet assessment'!$L$31,'Diet assessment'!$Z$31)</c:f>
              <c:numCache>
                <c:formatCode>0</c:formatCode>
                <c:ptCount val="2"/>
                <c:pt idx="0">
                  <c:v>17.701897043717953</c:v>
                </c:pt>
                <c:pt idx="1">
                  <c:v>17.701897043717953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984-4381-ABD2-841DC32D5A66}"/>
            </c:ext>
          </c:extLst>
        </c:ser>
        <c:ser>
          <c:idx val="4"/>
          <c:order val="4"/>
          <c:tx>
            <c:strRef>
              <c:f>'Diet assessment'!$A$32</c:f>
              <c:strCache>
                <c:ptCount val="1"/>
                <c:pt idx="0">
                  <c:v>Dairy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'Diet assessment'!$B$27:$Z$27</c15:sqref>
                  </c15:fullRef>
                </c:ext>
              </c:extLst>
              <c:f>('Diet assessment'!$L$27,'Diet assessment'!$Z$27)</c:f>
              <c:strCache>
                <c:ptCount val="2"/>
                <c:pt idx="0">
                  <c:v>Italy</c:v>
                </c:pt>
                <c:pt idx="1">
                  <c:v>Italy, beef to rabbit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'Diet assessment'!$B$32:$Z$32</c15:sqref>
                  </c15:fullRef>
                </c:ext>
              </c:extLst>
              <c:f>('Diet assessment'!$L$32,'Diet assessment'!$Z$32)</c:f>
              <c:numCache>
                <c:formatCode>0</c:formatCode>
                <c:ptCount val="2"/>
                <c:pt idx="0">
                  <c:v>876.20656180600099</c:v>
                </c:pt>
                <c:pt idx="1">
                  <c:v>876.20656180600099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984-4381-ABD2-841DC32D5A66}"/>
            </c:ext>
          </c:extLst>
        </c:ser>
        <c:ser>
          <c:idx val="5"/>
          <c:order val="5"/>
          <c:tx>
            <c:strRef>
              <c:f>'Diet assessment'!$A$33</c:f>
              <c:strCache>
                <c:ptCount val="1"/>
                <c:pt idx="0">
                  <c:v>Blue food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'Diet assessment'!$B$27:$Z$27</c15:sqref>
                  </c15:fullRef>
                </c:ext>
              </c:extLst>
              <c:f>('Diet assessment'!$L$27,'Diet assessment'!$Z$27)</c:f>
              <c:strCache>
                <c:ptCount val="2"/>
                <c:pt idx="0">
                  <c:v>Italy</c:v>
                </c:pt>
                <c:pt idx="1">
                  <c:v>Italy, beef to rabbit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'Diet assessment'!$B$33:$Z$33</c15:sqref>
                  </c15:fullRef>
                </c:ext>
              </c:extLst>
              <c:f>('Diet assessment'!$L$33,'Diet assessment'!$Z$33)</c:f>
              <c:numCache>
                <c:formatCode>0</c:formatCode>
                <c:ptCount val="2"/>
                <c:pt idx="0">
                  <c:v>421.4288289559554</c:v>
                </c:pt>
                <c:pt idx="1">
                  <c:v>421.4288289559554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984-4381-ABD2-841DC32D5A66}"/>
            </c:ext>
          </c:extLst>
        </c:ser>
        <c:ser>
          <c:idx val="7"/>
          <c:order val="7"/>
          <c:tx>
            <c:strRef>
              <c:f>'Diet assessment'!$A$35</c:f>
              <c:strCache>
                <c:ptCount val="1"/>
                <c:pt idx="0">
                  <c:v>Rabbit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'Diet assessment'!$B$27:$Z$27</c15:sqref>
                  </c15:fullRef>
                </c:ext>
              </c:extLst>
              <c:f>('Diet assessment'!$L$27,'Diet assessment'!$Z$27)</c:f>
              <c:strCache>
                <c:ptCount val="2"/>
                <c:pt idx="0">
                  <c:v>Italy</c:v>
                </c:pt>
                <c:pt idx="1">
                  <c:v>Italy, beef to rabbit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'Diet assessment'!$B$35:$Z$35</c15:sqref>
                  </c15:fullRef>
                </c:ext>
              </c:extLst>
              <c:f>('Diet assessment'!$L$35,'Diet assessment'!$Z$35)</c:f>
              <c:numCache>
                <c:formatCode>General</c:formatCode>
                <c:ptCount val="2"/>
                <c:pt idx="1" formatCode="0">
                  <c:v>21743.839170010404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3984-4381-ABD2-841DC32D5A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81352383"/>
        <c:axId val="981341343"/>
        <c:extLst>
          <c:ext xmlns:c15="http://schemas.microsoft.com/office/drawing/2012/chart" uri="{02D57815-91ED-43cb-92C2-25804820EDAC}">
            <c15:filteredBarSeries>
              <c15:ser>
                <c:idx val="6"/>
                <c:order val="6"/>
                <c:tx>
                  <c:strRef>
                    <c:extLst>
                      <c:ext uri="{02D57815-91ED-43cb-92C2-25804820EDAC}">
                        <c15:formulaRef>
                          <c15:sqref>'Diet assessment'!$A$34</c15:sqref>
                        </c15:formulaRef>
                      </c:ext>
                    </c:extLst>
                    <c:strCache>
                      <c:ptCount val="1"/>
                      <c:pt idx="0">
                        <c:v>Mussels</c:v>
                      </c:pt>
                    </c:strCache>
                  </c:strRef>
                </c:tx>
                <c:spPr>
                  <a:solidFill>
                    <a:schemeClr val="tx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ullRef>
                          <c15:sqref>'Diet assessment'!$B$27:$Z$27</c15:sqref>
                        </c15:fullRef>
                        <c15:formulaRef>
                          <c15:sqref>('Diet assessment'!$L$27,'Diet assessment'!$Z$27)</c15:sqref>
                        </c15:formulaRef>
                      </c:ext>
                    </c:extLst>
                    <c:strCache>
                      <c:ptCount val="2"/>
                      <c:pt idx="0">
                        <c:v>Italy</c:v>
                      </c:pt>
                      <c:pt idx="1">
                        <c:v>Italy, beef to rabbit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'Diet assessment'!$B$34:$Z$34</c15:sqref>
                        </c15:fullRef>
                        <c15:formulaRef>
                          <c15:sqref>('Diet assessment'!$L$34,'Diet assessment'!$Z$34)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6-3984-4381-ABD2-841DC32D5A66}"/>
                  </c:ext>
                </c:extLst>
              </c15:ser>
            </c15:filteredBarSeries>
          </c:ext>
        </c:extLst>
      </c:barChart>
      <c:catAx>
        <c:axId val="9813523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enorite" panose="00000500000000000000" pitchFamily="2" charset="0"/>
                <a:ea typeface="+mn-ea"/>
                <a:cs typeface="+mn-cs"/>
              </a:defRPr>
            </a:pPr>
            <a:endParaRPr lang="sv-SE"/>
          </a:p>
        </c:txPr>
        <c:crossAx val="981341343"/>
        <c:crosses val="autoZero"/>
        <c:auto val="1"/>
        <c:lblAlgn val="ctr"/>
        <c:lblOffset val="100"/>
        <c:noMultiLvlLbl val="0"/>
      </c:catAx>
      <c:valAx>
        <c:axId val="981341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enorite" panose="00000500000000000000" pitchFamily="2" charset="0"/>
                <a:ea typeface="+mn-ea"/>
                <a:cs typeface="+mn-cs"/>
              </a:defRPr>
            </a:pPr>
            <a:endParaRPr lang="sv-SE"/>
          </a:p>
        </c:txPr>
        <c:crossAx val="9813523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enorite" panose="00000500000000000000" pitchFamily="2" charset="0"/>
              <a:ea typeface="+mn-ea"/>
              <a:cs typeface="+mn-cs"/>
            </a:defRPr>
          </a:pPr>
          <a:endParaRPr lang="sv-S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latin typeface="Tenorite" panose="00000500000000000000" pitchFamily="2" charset="0"/>
        </a:defRPr>
      </a:pPr>
      <a:endParaRPr lang="sv-S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39</xdr:row>
      <xdr:rowOff>57045</xdr:rowOff>
    </xdr:from>
    <xdr:to>
      <xdr:col>3</xdr:col>
      <xdr:colOff>513182</xdr:colOff>
      <xdr:row>69</xdr:row>
      <xdr:rowOff>44318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E825566B-ACFB-1097-7AF8-C6983FF823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508038</xdr:colOff>
      <xdr:row>39</xdr:row>
      <xdr:rowOff>57045</xdr:rowOff>
    </xdr:from>
    <xdr:to>
      <xdr:col>8</xdr:col>
      <xdr:colOff>453568</xdr:colOff>
      <xdr:row>69</xdr:row>
      <xdr:rowOff>44318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54700B76-A5BD-407D-B60F-C79AB0C162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468717</xdr:colOff>
      <xdr:row>39</xdr:row>
      <xdr:rowOff>57045</xdr:rowOff>
    </xdr:from>
    <xdr:to>
      <xdr:col>13</xdr:col>
      <xdr:colOff>414247</xdr:colOff>
      <xdr:row>69</xdr:row>
      <xdr:rowOff>47493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9101ED3C-0741-410E-A758-CEA1398AB1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453666</xdr:colOff>
      <xdr:row>38</xdr:row>
      <xdr:rowOff>224162</xdr:rowOff>
    </xdr:from>
    <xdr:to>
      <xdr:col>19</xdr:col>
      <xdr:colOff>302984</xdr:colOff>
      <xdr:row>72</xdr:row>
      <xdr:rowOff>115454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2DC3AAF-5958-4CED-9E18-A6666D4E84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302715</xdr:colOff>
      <xdr:row>38</xdr:row>
      <xdr:rowOff>224162</xdr:rowOff>
    </xdr:from>
    <xdr:to>
      <xdr:col>24</xdr:col>
      <xdr:colOff>152033</xdr:colOff>
      <xdr:row>72</xdr:row>
      <xdr:rowOff>113631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5ECA09D-83AE-49F8-AE83-CF550BA53C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24</xdr:col>
      <xdr:colOff>168040</xdr:colOff>
      <xdr:row>38</xdr:row>
      <xdr:rowOff>224162</xdr:rowOff>
    </xdr:from>
    <xdr:to>
      <xdr:col>29</xdr:col>
      <xdr:colOff>17359</xdr:colOff>
      <xdr:row>72</xdr:row>
      <xdr:rowOff>113631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D3B62F7-E2DB-4C14-9BFC-CCF7F33707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31</xdr:col>
      <xdr:colOff>587017</xdr:colOff>
      <xdr:row>39</xdr:row>
      <xdr:rowOff>59214</xdr:rowOff>
    </xdr:from>
    <xdr:to>
      <xdr:col>36</xdr:col>
      <xdr:colOff>436335</xdr:colOff>
      <xdr:row>69</xdr:row>
      <xdr:rowOff>52837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D84C17A-917D-49DC-92B2-32AF239526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36</xdr:col>
      <xdr:colOff>428713</xdr:colOff>
      <xdr:row>39</xdr:row>
      <xdr:rowOff>59214</xdr:rowOff>
    </xdr:from>
    <xdr:to>
      <xdr:col>41</xdr:col>
      <xdr:colOff>278031</xdr:colOff>
      <xdr:row>69</xdr:row>
      <xdr:rowOff>52837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4B74387-0563-486C-84DF-1E22C377E6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41</xdr:col>
      <xdr:colOff>281720</xdr:colOff>
      <xdr:row>39</xdr:row>
      <xdr:rowOff>59214</xdr:rowOff>
    </xdr:from>
    <xdr:to>
      <xdr:col>46</xdr:col>
      <xdr:colOff>131038</xdr:colOff>
      <xdr:row>69</xdr:row>
      <xdr:rowOff>52837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A49C8A64-7AD0-4F7F-AC9C-F48F89A693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28575</xdr:colOff>
      <xdr:row>22</xdr:row>
      <xdr:rowOff>103781</xdr:rowOff>
    </xdr:from>
    <xdr:ext cx="5134847" cy="662217"/>
    <xdr:pic>
      <xdr:nvPicPr>
        <xdr:cNvPr id="2" name="Picture 1">
          <a:extLst>
            <a:ext uri="{FF2B5EF4-FFF2-40B4-BE49-F238E27FC236}">
              <a16:creationId xmlns:a16="http://schemas.microsoft.com/office/drawing/2014/main" id="{929E1C87-B5BA-4C12-8795-AA95266D6B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11709041"/>
          <a:ext cx="5134847" cy="662217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lipstream">
      <a:dk1>
        <a:sysClr val="windowText" lastClr="000000"/>
      </a:dk1>
      <a:lt1>
        <a:sysClr val="window" lastClr="FFFFFF"/>
      </a:lt1>
      <a:dk2>
        <a:srgbClr val="212745"/>
      </a:dk2>
      <a:lt2>
        <a:srgbClr val="B4DCFA"/>
      </a:lt2>
      <a:accent1>
        <a:srgbClr val="4E67C8"/>
      </a:accent1>
      <a:accent2>
        <a:srgbClr val="5ECCF3"/>
      </a:accent2>
      <a:accent3>
        <a:srgbClr val="A7EA52"/>
      </a:accent3>
      <a:accent4>
        <a:srgbClr val="5DCEAF"/>
      </a:accent4>
      <a:accent5>
        <a:srgbClr val="FF8021"/>
      </a:accent5>
      <a:accent6>
        <a:srgbClr val="F14124"/>
      </a:accent6>
      <a:hlink>
        <a:srgbClr val="56C7AA"/>
      </a:hlink>
      <a:folHlink>
        <a:srgbClr val="59A8D1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FE4D2-58C0-4E34-A1C2-BABBEA2F4190}">
  <sheetPr>
    <tabColor theme="1"/>
  </sheetPr>
  <dimension ref="A2:B16"/>
  <sheetViews>
    <sheetView tabSelected="1" workbookViewId="0">
      <selection activeCell="A4" sqref="A4"/>
    </sheetView>
  </sheetViews>
  <sheetFormatPr defaultRowHeight="15" x14ac:dyDescent="0.25"/>
  <cols>
    <col min="1" max="1" width="19.7109375" customWidth="1"/>
  </cols>
  <sheetData>
    <row r="2" spans="1:2" ht="21" x14ac:dyDescent="0.35">
      <c r="A2" s="5" t="s">
        <v>180</v>
      </c>
    </row>
    <row r="4" spans="1:2" ht="18.75" x14ac:dyDescent="0.3">
      <c r="A4" s="29" t="s">
        <v>192</v>
      </c>
    </row>
    <row r="5" spans="1:2" x14ac:dyDescent="0.25">
      <c r="A5" t="s">
        <v>176</v>
      </c>
    </row>
    <row r="6" spans="1:2" x14ac:dyDescent="0.25">
      <c r="A6" s="30" t="s">
        <v>177</v>
      </c>
    </row>
    <row r="7" spans="1:2" x14ac:dyDescent="0.25">
      <c r="A7" s="30" t="s">
        <v>178</v>
      </c>
    </row>
    <row r="10" spans="1:2" x14ac:dyDescent="0.25">
      <c r="A10" s="6" t="s">
        <v>179</v>
      </c>
    </row>
    <row r="11" spans="1:2" x14ac:dyDescent="0.25">
      <c r="A11" t="s">
        <v>181</v>
      </c>
      <c r="B11" t="s">
        <v>188</v>
      </c>
    </row>
    <row r="12" spans="1:2" x14ac:dyDescent="0.25">
      <c r="A12" t="s">
        <v>184</v>
      </c>
      <c r="B12" t="s">
        <v>185</v>
      </c>
    </row>
    <row r="13" spans="1:2" x14ac:dyDescent="0.25">
      <c r="A13" t="s">
        <v>42</v>
      </c>
      <c r="B13" t="s">
        <v>186</v>
      </c>
    </row>
    <row r="14" spans="1:2" x14ac:dyDescent="0.25">
      <c r="A14" t="s">
        <v>67</v>
      </c>
      <c r="B14" t="s">
        <v>189</v>
      </c>
    </row>
    <row r="15" spans="1:2" x14ac:dyDescent="0.25">
      <c r="A15" t="s">
        <v>174</v>
      </c>
      <c r="B15" t="s">
        <v>190</v>
      </c>
    </row>
    <row r="16" spans="1:2" x14ac:dyDescent="0.25">
      <c r="A16" t="s">
        <v>175</v>
      </c>
      <c r="B16" t="s">
        <v>191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0BF69-42E0-444B-9235-BE43280C8BA3}">
  <sheetPr>
    <tabColor theme="7" tint="-0.499984740745262"/>
  </sheetPr>
  <dimension ref="A2:AG39"/>
  <sheetViews>
    <sheetView topLeftCell="A18" zoomScale="66" workbookViewId="0">
      <selection activeCell="AE59" sqref="AE59"/>
    </sheetView>
  </sheetViews>
  <sheetFormatPr defaultRowHeight="15" x14ac:dyDescent="0.25"/>
  <cols>
    <col min="1" max="1" width="17.85546875" customWidth="1"/>
    <col min="2" max="13" width="8.7109375" customWidth="1"/>
  </cols>
  <sheetData>
    <row r="2" spans="1:26" ht="21" x14ac:dyDescent="0.35">
      <c r="A2" s="5" t="s">
        <v>0</v>
      </c>
      <c r="B2" s="5"/>
    </row>
    <row r="4" spans="1:26" x14ac:dyDescent="0.25">
      <c r="A4" s="6" t="s">
        <v>1</v>
      </c>
      <c r="B4" s="6"/>
      <c r="O4" s="6" t="s">
        <v>2</v>
      </c>
    </row>
    <row r="5" spans="1:26" x14ac:dyDescent="0.25">
      <c r="B5" s="14" t="s">
        <v>3</v>
      </c>
      <c r="C5" s="14"/>
      <c r="D5" s="14"/>
      <c r="E5" s="16" t="s">
        <v>4</v>
      </c>
      <c r="F5" s="16"/>
      <c r="G5" s="16"/>
      <c r="H5" s="20" t="s">
        <v>5</v>
      </c>
      <c r="I5" s="20"/>
      <c r="J5" s="20"/>
      <c r="K5" s="21" t="s">
        <v>6</v>
      </c>
      <c r="L5" s="21"/>
      <c r="M5" s="21"/>
      <c r="O5" s="14" t="s">
        <v>3</v>
      </c>
      <c r="P5" s="14"/>
      <c r="Q5" s="14"/>
      <c r="R5" s="16" t="s">
        <v>4</v>
      </c>
      <c r="S5" s="16"/>
      <c r="T5" s="16"/>
      <c r="U5" s="20" t="s">
        <v>5</v>
      </c>
      <c r="V5" s="20"/>
      <c r="W5" s="20"/>
      <c r="X5" s="21" t="s">
        <v>6</v>
      </c>
      <c r="Y5" s="21"/>
      <c r="Z5" s="21"/>
    </row>
    <row r="6" spans="1:26" s="8" customFormat="1" ht="45" x14ac:dyDescent="0.25">
      <c r="A6" s="7"/>
      <c r="B6" s="15" t="s">
        <v>7</v>
      </c>
      <c r="C6" s="15" t="s">
        <v>8</v>
      </c>
      <c r="D6" s="15" t="s">
        <v>9</v>
      </c>
      <c r="E6" s="17" t="s">
        <v>7</v>
      </c>
      <c r="F6" s="17" t="s">
        <v>8</v>
      </c>
      <c r="G6" s="17" t="s">
        <v>9</v>
      </c>
      <c r="H6" s="18" t="s">
        <v>7</v>
      </c>
      <c r="I6" s="18" t="s">
        <v>8</v>
      </c>
      <c r="J6" s="18" t="s">
        <v>9</v>
      </c>
      <c r="K6" s="19" t="s">
        <v>7</v>
      </c>
      <c r="L6" s="19" t="s">
        <v>8</v>
      </c>
      <c r="M6" s="19" t="s">
        <v>9</v>
      </c>
      <c r="O6" s="15" t="s">
        <v>10</v>
      </c>
      <c r="P6" s="15" t="s">
        <v>11</v>
      </c>
      <c r="Q6" s="15" t="s">
        <v>12</v>
      </c>
      <c r="R6" s="17" t="s">
        <v>10</v>
      </c>
      <c r="S6" s="17" t="s">
        <v>11</v>
      </c>
      <c r="T6" s="17" t="s">
        <v>12</v>
      </c>
      <c r="U6" s="18" t="s">
        <v>10</v>
      </c>
      <c r="V6" s="18" t="s">
        <v>11</v>
      </c>
      <c r="W6" s="18" t="s">
        <v>12</v>
      </c>
      <c r="X6" s="19" t="s">
        <v>10</v>
      </c>
      <c r="Y6" s="19" t="s">
        <v>11</v>
      </c>
      <c r="Z6" s="19" t="s">
        <v>12</v>
      </c>
    </row>
    <row r="7" spans="1:26" x14ac:dyDescent="0.25">
      <c r="A7" s="1" t="s">
        <v>13</v>
      </c>
      <c r="B7" s="2">
        <f>'Cons data'!B5*Yields!C18</f>
        <v>3.8605714285714285E-3</v>
      </c>
      <c r="C7" s="2">
        <f>'Cons data'!C5*Yields!C18</f>
        <v>5.7908571428571427E-3</v>
      </c>
      <c r="D7">
        <f>'Cons data'!D5*Yields!C18</f>
        <v>2.8954285714285714E-3</v>
      </c>
      <c r="E7" s="2">
        <f>B7*'Footprints Ireland'!G5</f>
        <v>5.9705750492762562E-2</v>
      </c>
      <c r="F7" s="2">
        <f>C7*'Footprints Italy'!G5</f>
        <v>8.9558625739143846E-2</v>
      </c>
      <c r="G7">
        <f>D7*'Footprints Poland'!G5</f>
        <v>4.4779312869571923E-2</v>
      </c>
      <c r="H7" s="2">
        <f>B7*'Footprints Ireland'!X5</f>
        <v>6.0468899047293689E-2</v>
      </c>
      <c r="I7" s="2">
        <f>C7*'Footprints Italy'!X5</f>
        <v>9.0703348570940534E-2</v>
      </c>
      <c r="J7" s="13">
        <f>D7*'Footprints Poland'!X5</f>
        <v>4.5351674285470267E-2</v>
      </c>
      <c r="K7" s="11">
        <f>B7*'Footprints Ireland'!Y5</f>
        <v>0</v>
      </c>
      <c r="L7" s="3">
        <f>C7*'Footprints Italy'!Y5</f>
        <v>0</v>
      </c>
      <c r="M7" s="3">
        <f>D7*'Footprints Poland'!Y5</f>
        <v>0</v>
      </c>
      <c r="O7" s="2">
        <f>'Cons data'!$B$5*Yields!$C$18</f>
        <v>3.8605714285714285E-3</v>
      </c>
      <c r="P7" s="2">
        <f>'Cons data'!$B$5*Yields!$C$18</f>
        <v>3.8605714285714285E-3</v>
      </c>
      <c r="Q7" s="2">
        <f>'Cons data'!C5*Yields!C18</f>
        <v>5.7908571428571427E-3</v>
      </c>
      <c r="R7" s="2">
        <f>O7*'Footprints Ireland'!G5</f>
        <v>5.9705750492762562E-2</v>
      </c>
      <c r="S7" s="2">
        <f>P7*'Footprints Ireland'!G5</f>
        <v>5.9705750492762562E-2</v>
      </c>
      <c r="T7" s="2">
        <f>Q7*'Footprints Italy'!G5</f>
        <v>8.9558625739143846E-2</v>
      </c>
      <c r="U7" s="2">
        <f>O7*'Footprints Ireland'!X5</f>
        <v>6.0468899047293689E-2</v>
      </c>
      <c r="V7" s="2">
        <f>P7*'Footprints Ireland'!X5</f>
        <v>6.0468899047293689E-2</v>
      </c>
      <c r="W7" s="2">
        <f>Q7*'Footprints Italy'!X5</f>
        <v>9.0703348570940534E-2</v>
      </c>
      <c r="X7" s="11">
        <f>O7*'Footprints Ireland'!Y5</f>
        <v>0</v>
      </c>
      <c r="Y7" s="3">
        <f>P7*'Footprints Ireland'!Y5</f>
        <v>0</v>
      </c>
      <c r="Z7" s="3">
        <f>Q7*'Footprints Italy'!Y5</f>
        <v>0</v>
      </c>
    </row>
    <row r="8" spans="1:26" x14ac:dyDescent="0.25">
      <c r="A8" s="1" t="s">
        <v>14</v>
      </c>
      <c r="B8" s="2">
        <f>'Cons data'!B6</f>
        <v>20.612000000000002</v>
      </c>
      <c r="C8" s="2">
        <f>'Cons data'!C6*Yields!C6</f>
        <v>11.56063</v>
      </c>
      <c r="D8">
        <f>'Cons data'!D6*Yields!C6</f>
        <v>0.72558</v>
      </c>
      <c r="E8" s="2">
        <f>B8*'Footprints Ireland'!G6</f>
        <v>663.56546475553637</v>
      </c>
      <c r="F8" s="2">
        <f>C8*'Footprints Italy'!G6</f>
        <v>377.55633699663275</v>
      </c>
      <c r="G8">
        <f>D8*'Footprints Poland'!G6</f>
        <v>23.612498395040017</v>
      </c>
      <c r="H8" s="2">
        <f>B8*'Footprints Ireland'!X6</f>
        <v>7.7251299502355737</v>
      </c>
      <c r="I8" s="2">
        <f>C8*'Footprints Italy'!X6</f>
        <v>5.8804605561583267</v>
      </c>
      <c r="J8" s="13">
        <f>D8*'Footprints Poland'!X6</f>
        <v>0.33427150936944372</v>
      </c>
      <c r="K8" s="11">
        <f>B8*'Footprints Ireland'!Y6</f>
        <v>210.50568381227578</v>
      </c>
      <c r="L8" s="3">
        <f>C8*'Footprints Italy'!Y6</f>
        <v>340.81256434189567</v>
      </c>
      <c r="M8" s="3">
        <f>D8*'Footprints Poland'!Y6</f>
        <v>30.197671972319394</v>
      </c>
      <c r="O8" s="22">
        <f>'Cons data'!$B$6/2</f>
        <v>10.306000000000001</v>
      </c>
      <c r="P8" s="22">
        <f>'Cons data'!$B$6/2</f>
        <v>10.306000000000001</v>
      </c>
      <c r="Q8" s="22">
        <f>'Cons data'!C6*Yields!C6/2</f>
        <v>5.7803149999999999</v>
      </c>
      <c r="R8" s="2">
        <f>O8*'Footprints Ireland'!G6</f>
        <v>331.78273237776818</v>
      </c>
      <c r="S8" s="2">
        <f>P8*'Footprints Ireland'!G6</f>
        <v>331.78273237776818</v>
      </c>
      <c r="T8" s="2">
        <f>Q8*'Footprints Italy'!G6</f>
        <v>188.77816849831638</v>
      </c>
      <c r="U8" s="2">
        <f>O8*'Footprints Ireland'!X6</f>
        <v>3.8625649751177868</v>
      </c>
      <c r="V8" s="2">
        <f>P8*'Footprints Ireland'!X6</f>
        <v>3.8625649751177868</v>
      </c>
      <c r="W8" s="2">
        <f>Q8*'Footprints Italy'!X6</f>
        <v>2.9402302780791634</v>
      </c>
      <c r="X8" s="11">
        <f>O8*'Footprints Ireland'!Y6</f>
        <v>105.25284190613789</v>
      </c>
      <c r="Y8" s="3">
        <f>P8*'Footprints Ireland'!Y6</f>
        <v>105.25284190613789</v>
      </c>
      <c r="Z8" s="3">
        <f>Q8*'Footprints Italy'!Y6</f>
        <v>170.40628217094783</v>
      </c>
    </row>
    <row r="9" spans="1:26" x14ac:dyDescent="0.25">
      <c r="A9" s="1" t="s">
        <v>15</v>
      </c>
      <c r="B9" s="2">
        <f>'Cons data'!B7</f>
        <v>1.9120000000000001</v>
      </c>
      <c r="C9" s="2">
        <f>'Cons data'!C7</f>
        <v>2.464</v>
      </c>
      <c r="D9">
        <f>'Cons data'!D7</f>
        <v>4.5140000000000002</v>
      </c>
      <c r="E9" s="2">
        <f>B9*'Footprints Ireland'!G7</f>
        <v>13.590685256580622</v>
      </c>
      <c r="F9" s="2">
        <f>C9*'Footprints Italy'!G7</f>
        <v>22.608343580047652</v>
      </c>
      <c r="G9">
        <f>D9*'Footprints Poland'!G7</f>
        <v>38.375927809653327</v>
      </c>
      <c r="H9" s="2">
        <f>B9*'Footprints Ireland'!X7</f>
        <v>0.11712437233576141</v>
      </c>
      <c r="I9" s="2">
        <f>C9*'Footprints Italy'!X7</f>
        <v>0.14564385844746386</v>
      </c>
      <c r="J9" s="13">
        <f>D9*'Footprints Poland'!X7</f>
        <v>0.33464003177561996</v>
      </c>
      <c r="K9" s="11">
        <f>B9*'Footprints Ireland'!Y7</f>
        <v>19.835928186724328</v>
      </c>
      <c r="L9" s="3">
        <f>C9*'Footprints Italy'!Y7</f>
        <v>64.488284348213753</v>
      </c>
      <c r="M9" s="3">
        <f>D9*'Footprints Poland'!Y7</f>
        <v>190.43278740739154</v>
      </c>
      <c r="O9" s="2">
        <f>'Cons data'!$B$7</f>
        <v>1.9120000000000001</v>
      </c>
      <c r="P9" s="2">
        <f>'Cons data'!$B$7</f>
        <v>1.9120000000000001</v>
      </c>
      <c r="Q9" s="2">
        <f>'Cons data'!C7</f>
        <v>2.464</v>
      </c>
      <c r="R9" s="2">
        <f>O9*'Footprints Ireland'!G7</f>
        <v>13.590685256580622</v>
      </c>
      <c r="S9" s="2">
        <f>P9*'Footprints Ireland'!G7</f>
        <v>13.590685256580622</v>
      </c>
      <c r="T9" s="2">
        <f>Q9*'Footprints Italy'!G7</f>
        <v>22.608343580047652</v>
      </c>
      <c r="U9" s="2">
        <f>O9*'Footprints Ireland'!X7</f>
        <v>0.11712437233576141</v>
      </c>
      <c r="V9" s="2">
        <f>P9*'Footprints Ireland'!X7</f>
        <v>0.11712437233576141</v>
      </c>
      <c r="W9" s="2">
        <f>Q9*'Footprints Italy'!X7</f>
        <v>0.14564385844746386</v>
      </c>
      <c r="X9" s="11">
        <f>O9*'Footprints Ireland'!Y7</f>
        <v>19.835928186724328</v>
      </c>
      <c r="Y9" s="3">
        <f>P9*'Footprints Ireland'!Y7</f>
        <v>19.835928186724328</v>
      </c>
      <c r="Z9" s="3">
        <f>Q9*'Footprints Italy'!Y7</f>
        <v>64.488284348213753</v>
      </c>
    </row>
    <row r="10" spans="1:26" x14ac:dyDescent="0.25">
      <c r="A10" s="1" t="s">
        <v>16</v>
      </c>
      <c r="B10" s="2">
        <f>'Cons data'!B8*Yields!C11</f>
        <v>0.16170000000000001</v>
      </c>
      <c r="C10" s="2">
        <f>'Cons data'!C8*Yields!C11</f>
        <v>2.8371000000000004</v>
      </c>
      <c r="D10">
        <f>'Cons data'!D8*Yields!C11</f>
        <v>2.4990000000000002E-2</v>
      </c>
      <c r="E10" s="2">
        <f>B10*'Footprints Ireland'!G8</f>
        <v>1.7323525566206823</v>
      </c>
      <c r="F10" s="2">
        <f>C10*'Footprints Italy'!G8</f>
        <v>30.394913038890156</v>
      </c>
      <c r="G10">
        <f>D10*'Footprints Poland'!G8</f>
        <v>0.26772721329592364</v>
      </c>
      <c r="H10" s="2">
        <f>B10*'Footprints Ireland'!X8</f>
        <v>9.9854739951043894E-2</v>
      </c>
      <c r="I10" s="2">
        <f>C10*'Footprints Italy'!X8</f>
        <v>1.7519968009592248</v>
      </c>
      <c r="J10" s="13">
        <f>D10*'Footprints Poland'!X8</f>
        <v>1.5432096174252239E-2</v>
      </c>
      <c r="K10" s="11">
        <f>B10*'Footprints Ireland'!Y8</f>
        <v>0</v>
      </c>
      <c r="L10" s="3">
        <f>C10*'Footprints Italy'!Y8</f>
        <v>0</v>
      </c>
      <c r="M10" s="3">
        <f>D10*'Footprints Poland'!Y8</f>
        <v>0</v>
      </c>
      <c r="O10" s="2">
        <f>'Cons data'!$B$8*Yields!$C$11</f>
        <v>0.16170000000000001</v>
      </c>
      <c r="P10" s="2">
        <f>'Cons data'!$B$8*Yields!$C$11</f>
        <v>0.16170000000000001</v>
      </c>
      <c r="Q10" s="2">
        <f>'Cons data'!C8*Yields!C11</f>
        <v>2.8371000000000004</v>
      </c>
      <c r="R10" s="2">
        <f>O10*'Footprints Ireland'!G8</f>
        <v>1.7323525566206823</v>
      </c>
      <c r="S10" s="2">
        <f>P10*'Footprints Ireland'!G8</f>
        <v>1.7323525566206823</v>
      </c>
      <c r="T10" s="2">
        <f>Q10*'Footprints Italy'!G8</f>
        <v>30.394913038890156</v>
      </c>
      <c r="U10" s="2">
        <f>O10*'Footprints Ireland'!X8</f>
        <v>9.9854739951043894E-2</v>
      </c>
      <c r="V10" s="2">
        <f>P10*'Footprints Ireland'!X8</f>
        <v>9.9854739951043894E-2</v>
      </c>
      <c r="W10" s="2">
        <f>Q10*'Footprints Italy'!X8</f>
        <v>1.7519968009592248</v>
      </c>
      <c r="X10" s="11">
        <f>O10*'Footprints Ireland'!Y8</f>
        <v>0</v>
      </c>
      <c r="Y10" s="3">
        <f>P10*'Footprints Ireland'!Y8</f>
        <v>0</v>
      </c>
      <c r="Z10" s="3">
        <f>Q10*'Footprints Italy'!Y8</f>
        <v>0</v>
      </c>
    </row>
    <row r="11" spans="1:26" x14ac:dyDescent="0.25">
      <c r="A11" s="1" t="s">
        <v>17</v>
      </c>
      <c r="B11" s="2">
        <f>'Cons data'!B9</f>
        <v>2.3180000000000001</v>
      </c>
      <c r="C11" s="2">
        <f>'Cons data'!C9</f>
        <v>4.145999999999999</v>
      </c>
      <c r="D11">
        <f>'Cons data'!D9</f>
        <v>6.6260000000000003</v>
      </c>
      <c r="E11" s="2">
        <f>B11*'Footprints Ireland'!G9</f>
        <v>8.1100199621945492</v>
      </c>
      <c r="F11" s="2">
        <f>C11*'Footprints Italy'!G9</f>
        <v>18.916299154615555</v>
      </c>
      <c r="G11">
        <f>D11*'Footprints Poland'!G9</f>
        <v>27.519155196290043</v>
      </c>
      <c r="H11" s="2">
        <f>B11*'Footprints Ireland'!X9</f>
        <v>7.2037169920392663E-2</v>
      </c>
      <c r="I11" s="2">
        <f>C11*'Footprints Italy'!X9</f>
        <v>0.12432675331051873</v>
      </c>
      <c r="J11" s="13">
        <f>D11*'Footprints Poland'!X9</f>
        <v>0.24920203932435986</v>
      </c>
      <c r="K11" s="11">
        <f>B11*'Footprints Ireland'!Y9</f>
        <v>12.20005794540748</v>
      </c>
      <c r="L11" s="3">
        <f>C11*'Footprints Italy'!Y9</f>
        <v>55.049482381511176</v>
      </c>
      <c r="M11" s="3">
        <f>D11*'Footprints Poland'!Y9</f>
        <v>141.81279724466469</v>
      </c>
      <c r="O11" s="2">
        <f>'Cons data'!$B$9</f>
        <v>2.3180000000000001</v>
      </c>
      <c r="P11" s="2">
        <f>'Cons data'!$B$9</f>
        <v>2.3180000000000001</v>
      </c>
      <c r="Q11" s="2">
        <f>'Cons data'!C9</f>
        <v>4.145999999999999</v>
      </c>
      <c r="R11" s="2">
        <f>O11*'Footprints Ireland'!G9</f>
        <v>8.1100199621945492</v>
      </c>
      <c r="S11" s="2">
        <f>P11*'Footprints Ireland'!G9</f>
        <v>8.1100199621945492</v>
      </c>
      <c r="T11" s="2">
        <f>Q11*'Footprints Italy'!G9</f>
        <v>18.916299154615555</v>
      </c>
      <c r="U11" s="2">
        <f>O11*'Footprints Ireland'!X9</f>
        <v>7.2037169920392663E-2</v>
      </c>
      <c r="V11" s="2">
        <f>P11*'Footprints Ireland'!X9</f>
        <v>7.2037169920392663E-2</v>
      </c>
      <c r="W11" s="2">
        <f>Q11*'Footprints Italy'!X9</f>
        <v>0.12432675331051873</v>
      </c>
      <c r="X11" s="11">
        <f>O11*'Footprints Ireland'!Y9</f>
        <v>12.20005794540748</v>
      </c>
      <c r="Y11" s="3">
        <f>P11*'Footprints Ireland'!Y9</f>
        <v>12.20005794540748</v>
      </c>
      <c r="Z11" s="3">
        <f>Q11*'Footprints Italy'!Y9</f>
        <v>55.049482381511176</v>
      </c>
    </row>
    <row r="12" spans="1:26" x14ac:dyDescent="0.25">
      <c r="A12" s="1" t="s">
        <v>18</v>
      </c>
      <c r="B12" s="2">
        <f>'Cons data'!B10*Yields!C12</f>
        <v>0.33700000000000002</v>
      </c>
      <c r="C12" s="2">
        <f>'Cons data'!C10*Yields!C12</f>
        <v>1.1359999999999999</v>
      </c>
      <c r="D12">
        <f>'Cons data'!D10*Yields!C12</f>
        <v>0.11899999999999999</v>
      </c>
      <c r="E12" s="2">
        <f>B12*'Footprints Ireland'!G10</f>
        <v>5.2118807509038962</v>
      </c>
      <c r="F12" s="2">
        <f>C12*'Footprints Italy'!G10</f>
        <v>17.568832442216099</v>
      </c>
      <c r="G12">
        <f>D12*'Footprints Poland'!G10</f>
        <v>1.8403970604082007</v>
      </c>
      <c r="H12" s="2">
        <f>B12*'Footprints Ireland'!X10</f>
        <v>5.2784981073329567</v>
      </c>
      <c r="I12" s="2">
        <f>C12*'Footprints Italy'!X10</f>
        <v>17.793394213442841</v>
      </c>
      <c r="J12" s="13">
        <f>D12*'Footprints Poland'!X10</f>
        <v>1.863920696654664</v>
      </c>
      <c r="K12" s="11">
        <f>B12*'Footprints Ireland'!Y10</f>
        <v>0</v>
      </c>
      <c r="L12" s="3">
        <f>C12*'Footprints Italy'!Y10</f>
        <v>0</v>
      </c>
      <c r="M12" s="3">
        <f>D12*'Footprints Poland'!Y10</f>
        <v>0</v>
      </c>
      <c r="O12" s="2">
        <f>'Cons data'!$B$10*Yields!$C$12</f>
        <v>0.33700000000000002</v>
      </c>
      <c r="P12" s="2">
        <f>'Cons data'!$B$10*Yields!$C$12</f>
        <v>0.33700000000000002</v>
      </c>
      <c r="Q12" s="2">
        <f>'Cons data'!C10*Yields!C12</f>
        <v>1.1359999999999999</v>
      </c>
      <c r="R12" s="2">
        <f>O12*'Footprints Ireland'!G10</f>
        <v>5.2118807509038962</v>
      </c>
      <c r="S12" s="2">
        <f>P12*'Footprints Ireland'!G10</f>
        <v>5.2118807509038962</v>
      </c>
      <c r="T12" s="2">
        <f>Q12*'Footprints Italy'!G10</f>
        <v>17.568832442216099</v>
      </c>
      <c r="U12" s="2">
        <f>O12*'Footprints Ireland'!X10</f>
        <v>5.2784981073329567</v>
      </c>
      <c r="V12" s="2">
        <f>P12*'Footprints Ireland'!X10</f>
        <v>5.2784981073329567</v>
      </c>
      <c r="W12" s="2">
        <f>Q12*'Footprints Italy'!X10</f>
        <v>17.793394213442841</v>
      </c>
      <c r="X12" s="11">
        <f>O12*'Footprints Ireland'!Y10</f>
        <v>0</v>
      </c>
      <c r="Y12" s="3">
        <f>P12*'Footprints Ireland'!Y10</f>
        <v>0</v>
      </c>
      <c r="Z12" s="3">
        <f>Q12*'Footprints Italy'!Y10</f>
        <v>0</v>
      </c>
    </row>
    <row r="13" spans="1:26" x14ac:dyDescent="0.25">
      <c r="A13" s="1" t="s">
        <v>19</v>
      </c>
      <c r="B13" s="2">
        <f>'Cons data'!B11*Yields!C13</f>
        <v>5.0384320000000002</v>
      </c>
      <c r="C13" s="2">
        <f>'Cons data'!C11*Yields!C13</f>
        <v>4.2286840000000003</v>
      </c>
      <c r="D13">
        <f>'Cons data'!D11*Yields!C13</f>
        <v>2.4509240000000001</v>
      </c>
      <c r="E13" s="2">
        <f>B13*'Footprints Ireland'!G11</f>
        <v>34.267930770757609</v>
      </c>
      <c r="F13" s="2">
        <f>C13*'Footprints Italy'!G11</f>
        <v>28.760584754028709</v>
      </c>
      <c r="G13">
        <f>D13*'Footprints Poland'!G11</f>
        <v>16.669490420112513</v>
      </c>
      <c r="H13" s="2">
        <f>B13*'Footprints Ireland'!X11</f>
        <v>59.581383666746255</v>
      </c>
      <c r="I13" s="2">
        <f>C13*'Footprints Italy'!X11</f>
        <v>50.005804148876322</v>
      </c>
      <c r="J13" s="13">
        <f>D13*'Footprints Poland'!X11</f>
        <v>28.983112837890122</v>
      </c>
      <c r="K13" s="11">
        <f>B13*'Footprints Ireland'!Y11</f>
        <v>502.12796641560641</v>
      </c>
      <c r="L13" s="3">
        <f>C13*'Footprints Italy'!Y11</f>
        <v>421.4288289559554</v>
      </c>
      <c r="M13" s="3">
        <f>D13*'Footprints Poland'!Y11</f>
        <v>244.25803185578445</v>
      </c>
      <c r="O13" s="2">
        <f>'Cons data'!$B$11*Yields!$C$13</f>
        <v>5.0384320000000002</v>
      </c>
      <c r="P13" s="2">
        <f>'Cons data'!$B$11*Yields!$C$13</f>
        <v>5.0384320000000002</v>
      </c>
      <c r="Q13" s="2">
        <f>'Cons data'!C11*Yields!C13</f>
        <v>4.2286840000000003</v>
      </c>
      <c r="R13" s="2">
        <f>O13*'Footprints Ireland'!G11</f>
        <v>34.267930770757609</v>
      </c>
      <c r="S13" s="2">
        <f>P13*'Footprints Ireland'!G11</f>
        <v>34.267930770757609</v>
      </c>
      <c r="T13" s="2">
        <f>Q13*'Footprints Italy'!G11</f>
        <v>28.760584754028709</v>
      </c>
      <c r="U13" s="2">
        <f>O13*'Footprints Ireland'!X11</f>
        <v>59.581383666746255</v>
      </c>
      <c r="V13" s="2">
        <f>P13*'Footprints Ireland'!X11</f>
        <v>59.581383666746255</v>
      </c>
      <c r="W13" s="2">
        <f>Q13*'Footprints Italy'!X11</f>
        <v>50.005804148876322</v>
      </c>
      <c r="X13" s="11">
        <f>O13*'Footprints Ireland'!Y11</f>
        <v>502.12796641560641</v>
      </c>
      <c r="Y13" s="3">
        <f>P13*'Footprints Ireland'!Y11</f>
        <v>502.12796641560641</v>
      </c>
      <c r="Z13" s="3">
        <f>Q13*'Footprints Italy'!Y11</f>
        <v>421.4288289559554</v>
      </c>
    </row>
    <row r="14" spans="1:26" x14ac:dyDescent="0.25">
      <c r="A14" s="1" t="s">
        <v>20</v>
      </c>
      <c r="B14" s="2">
        <f>'Cons data'!B12</f>
        <v>11.691999999999998</v>
      </c>
      <c r="C14" s="2">
        <f>'Cons data'!C12</f>
        <v>11.608000000000001</v>
      </c>
      <c r="D14">
        <f>'Cons data'!D12</f>
        <v>8.363999999999999</v>
      </c>
      <c r="E14" s="2">
        <f>B14*'Footprints Ireland'!G12</f>
        <v>12.29078263277469</v>
      </c>
      <c r="F14" s="2">
        <f>C14*'Footprints Italy'!G12</f>
        <v>13.970663389974769</v>
      </c>
      <c r="G14">
        <f>D14*'Footprints Poland'!G12</f>
        <v>11.713965856451178</v>
      </c>
      <c r="H14" s="2">
        <f>B14*'Footprints Ireland'!X12</f>
        <v>94.217208627554356</v>
      </c>
      <c r="I14" s="2">
        <f>C14*'Footprints Italy'!X12</f>
        <v>108.70737631671624</v>
      </c>
      <c r="J14" s="13">
        <f>D14*'Footprints Poland'!X12</f>
        <v>91.338499040067475</v>
      </c>
      <c r="K14" s="11">
        <f>B14*'Footprints Ireland'!Y12</f>
        <v>5.1076173014228248</v>
      </c>
      <c r="L14" s="3">
        <f>C14*'Footprints Italy'!Y12</f>
        <v>17.701897043717953</v>
      </c>
      <c r="M14" s="3">
        <f>D14*'Footprints Poland'!Y12</f>
        <v>16.924575874333733</v>
      </c>
      <c r="O14" s="2">
        <f>'Cons data'!$B$12</f>
        <v>11.691999999999998</v>
      </c>
      <c r="P14" s="2">
        <f>'Cons data'!$B$12</f>
        <v>11.691999999999998</v>
      </c>
      <c r="Q14" s="2">
        <f>'Cons data'!C12</f>
        <v>11.608000000000001</v>
      </c>
      <c r="R14" s="2">
        <f>O14*'Footprints Ireland'!G12</f>
        <v>12.29078263277469</v>
      </c>
      <c r="S14" s="2">
        <f>P14*'Footprints Ireland'!G12</f>
        <v>12.29078263277469</v>
      </c>
      <c r="T14" s="2">
        <f>Q14*'Footprints Italy'!G12</f>
        <v>13.970663389974769</v>
      </c>
      <c r="U14" s="2">
        <f>O14*'Footprints Ireland'!X12</f>
        <v>94.217208627554356</v>
      </c>
      <c r="V14" s="2">
        <f>P14*'Footprints Ireland'!X12</f>
        <v>94.217208627554356</v>
      </c>
      <c r="W14" s="2">
        <f>Q14*'Footprints Italy'!X12</f>
        <v>108.70737631671624</v>
      </c>
      <c r="X14" s="11">
        <f>O14*'Footprints Ireland'!Y12</f>
        <v>5.1076173014228248</v>
      </c>
      <c r="Y14" s="3">
        <f>P14*'Footprints Ireland'!Y12</f>
        <v>5.1076173014228248</v>
      </c>
      <c r="Z14" s="3">
        <f>Q14*'Footprints Italy'!Y12</f>
        <v>17.701897043717953</v>
      </c>
    </row>
    <row r="15" spans="1:26" x14ac:dyDescent="0.25">
      <c r="A15" s="1" t="s">
        <v>21</v>
      </c>
      <c r="B15" s="2">
        <f>'Cons data'!B13*Yields!C14</f>
        <v>1.10704</v>
      </c>
      <c r="C15" s="2">
        <f>'Cons data'!C13*Yields!C14</f>
        <v>1.40896</v>
      </c>
      <c r="D15">
        <f>'Cons data'!D13*Yields!C14</f>
        <v>0.37813999999999998</v>
      </c>
      <c r="E15" s="2">
        <f>B15*'Footprints Ireland'!G13</f>
        <v>14.243324315387895</v>
      </c>
      <c r="F15" s="2">
        <f>C15*'Footprints Italy'!G13</f>
        <v>18.127867310493684</v>
      </c>
      <c r="G15">
        <f>D15*'Footprints Poland'!G13</f>
        <v>4.8651996825957315</v>
      </c>
      <c r="H15" s="2">
        <f>B15*'Footprints Ireland'!X13</f>
        <v>6.5443040332854805</v>
      </c>
      <c r="I15" s="2">
        <f>C15*'Footprints Italy'!X13</f>
        <v>8.3291142241815201</v>
      </c>
      <c r="J15" s="13">
        <f>D15*'Footprints Poland'!X13</f>
        <v>2.235387273401658</v>
      </c>
      <c r="K15" s="11">
        <f>B15*'Footprints Ireland'!Y13</f>
        <v>0</v>
      </c>
      <c r="L15" s="3">
        <f>C15*'Footprints Italy'!Y13</f>
        <v>0</v>
      </c>
      <c r="M15" s="3">
        <f>D15*'Footprints Poland'!Y13</f>
        <v>0</v>
      </c>
      <c r="O15" s="2">
        <f>'Cons data'!$B$13*Yields!$C$14</f>
        <v>1.10704</v>
      </c>
      <c r="P15" s="2">
        <f>'Cons data'!$B$13*Yields!$C$14</f>
        <v>1.10704</v>
      </c>
      <c r="Q15" s="2">
        <f>'Cons data'!C13*Yields!C14</f>
        <v>1.40896</v>
      </c>
      <c r="R15" s="2">
        <f>O15*'Footprints Ireland'!G13</f>
        <v>14.243324315387895</v>
      </c>
      <c r="S15" s="2">
        <f>P15*'Footprints Ireland'!G13</f>
        <v>14.243324315387895</v>
      </c>
      <c r="T15" s="2">
        <f>Q15*'Footprints Italy'!G13</f>
        <v>18.127867310493684</v>
      </c>
      <c r="U15" s="2">
        <f>O15*'Footprints Ireland'!X13</f>
        <v>6.5443040332854805</v>
      </c>
      <c r="V15" s="2">
        <f>P15*'Footprints Ireland'!X13</f>
        <v>6.5443040332854805</v>
      </c>
      <c r="W15" s="2">
        <f>Q15*'Footprints Italy'!X13</f>
        <v>8.3291142241815201</v>
      </c>
      <c r="X15" s="11">
        <f>O15*'Footprints Ireland'!Y13</f>
        <v>0</v>
      </c>
      <c r="Y15" s="3">
        <f>P15*'Footprints Ireland'!Y13</f>
        <v>0</v>
      </c>
      <c r="Z15" s="3">
        <f>Q15*'Footprints Italy'!Y13</f>
        <v>0</v>
      </c>
    </row>
    <row r="16" spans="1:26" x14ac:dyDescent="0.25">
      <c r="A16" s="1" t="s">
        <v>22</v>
      </c>
      <c r="B16" s="2">
        <f>'Cons data'!B14*Yields!C15</f>
        <v>3.9120000000000005E-3</v>
      </c>
      <c r="C16" s="2">
        <f>'Cons data'!C14*Yields!C15</f>
        <v>0.47987200000000002</v>
      </c>
      <c r="D16">
        <f>'Cons data'!D14*Yields!C15</f>
        <v>0</v>
      </c>
      <c r="E16" s="2">
        <f>B16*'Footprints Ireland'!G14</f>
        <v>2.6725270602731069E-2</v>
      </c>
      <c r="F16" s="2">
        <f>C16*'Footprints Italy'!G14</f>
        <v>3.2782998606016776</v>
      </c>
      <c r="G16">
        <f>D16*'Footprints Poland'!G14</f>
        <v>0</v>
      </c>
      <c r="H16" s="2">
        <f>B16*'Footprints Ireland'!X14</f>
        <v>1.4096879218396691E-2</v>
      </c>
      <c r="I16" s="2">
        <f>C16*'Footprints Italy'!X14</f>
        <v>1.7292171841233273</v>
      </c>
      <c r="J16" s="13">
        <f>D16*'Footprints Poland'!X14</f>
        <v>0</v>
      </c>
      <c r="K16" s="11">
        <f>B16*'Footprints Ireland'!Y14</f>
        <v>0</v>
      </c>
      <c r="L16" s="3">
        <f>C16*'Footprints Italy'!Y14</f>
        <v>0</v>
      </c>
      <c r="M16" s="3">
        <f>D16*'Footprints Poland'!Y14</f>
        <v>0</v>
      </c>
      <c r="O16" s="2">
        <f>'Cons data'!$B$14*Yields!$C$15</f>
        <v>3.9120000000000005E-3</v>
      </c>
      <c r="P16" s="2">
        <f>'Cons data'!$B$14*Yields!$C$15</f>
        <v>3.9120000000000005E-3</v>
      </c>
      <c r="Q16" s="2">
        <f>'Cons data'!C14*Yields!C15</f>
        <v>0.47987200000000002</v>
      </c>
      <c r="R16" s="2">
        <f>O16*'Footprints Ireland'!G14</f>
        <v>2.6725270602731069E-2</v>
      </c>
      <c r="S16" s="2">
        <f>P16*'Footprints Ireland'!G14</f>
        <v>2.6725270602731069E-2</v>
      </c>
      <c r="T16" s="2">
        <f>Q16*'Footprints Italy'!G14</f>
        <v>3.2782998606016776</v>
      </c>
      <c r="U16" s="2">
        <f>O16*'Footprints Ireland'!X14</f>
        <v>1.4096879218396691E-2</v>
      </c>
      <c r="V16" s="2">
        <f>P16*'Footprints Ireland'!X14</f>
        <v>1.4096879218396691E-2</v>
      </c>
      <c r="W16" s="2">
        <f>Q16*'Footprints Italy'!X14</f>
        <v>1.7292171841233273</v>
      </c>
      <c r="X16" s="11">
        <f>O16*'Footprints Ireland'!Y14</f>
        <v>0</v>
      </c>
      <c r="Y16" s="3">
        <f>P16*'Footprints Ireland'!Y14</f>
        <v>0</v>
      </c>
      <c r="Z16" s="3">
        <f>Q16*'Footprints Italy'!Y14</f>
        <v>0</v>
      </c>
    </row>
    <row r="17" spans="1:26" x14ac:dyDescent="0.25">
      <c r="A17" s="1" t="s">
        <v>23</v>
      </c>
      <c r="B17" s="2">
        <f>'Cons data'!B15*Yields!C9</f>
        <v>0.69458999999999993</v>
      </c>
      <c r="C17" s="2">
        <f>'Cons data'!C15*Yields!C9</f>
        <v>0.93023</v>
      </c>
      <c r="D17">
        <f>'Cons data'!D15*Yields!C9</f>
        <v>6.9870000000000002E-2</v>
      </c>
      <c r="E17" s="2">
        <f>B17*'Footprints Ireland'!G15</f>
        <v>4.4486834168567668</v>
      </c>
      <c r="F17" s="2">
        <f>C17*'Footprints Italy'!G15</f>
        <v>7.5555220688324747</v>
      </c>
      <c r="G17">
        <f>D17*'Footprints Poland'!G15</f>
        <v>0.53733539210196279</v>
      </c>
      <c r="H17" s="2">
        <f>B17*'Footprints Ireland'!X15</f>
        <v>3.0728003561185564</v>
      </c>
      <c r="I17" s="2">
        <f>C17*'Footprints Italy'!X15</f>
        <v>3.6289143074682571</v>
      </c>
      <c r="J17" s="13">
        <f>D17*'Footprints Poland'!X15</f>
        <v>0.31759446185137075</v>
      </c>
      <c r="K17" s="11">
        <f>B17*'Footprints Ireland'!Y15</f>
        <v>62.913032360971094</v>
      </c>
      <c r="L17" s="3">
        <f>C17*'Footprints Italy'!Y15</f>
        <v>213.92101070184464</v>
      </c>
      <c r="M17" s="3">
        <f>D17*'Footprints Poland'!Y15</f>
        <v>22.217656281762988</v>
      </c>
      <c r="O17" s="2">
        <f>'Cons data'!$B$15*Yields!$C$9</f>
        <v>0.69458999999999993</v>
      </c>
      <c r="P17" s="2">
        <f>'Cons data'!$B$15*Yields!$C$9</f>
        <v>0.69458999999999993</v>
      </c>
      <c r="Q17" s="2">
        <f>'Cons data'!C15*Yields!C9</f>
        <v>0.93023</v>
      </c>
      <c r="R17" s="2">
        <f>O17*'Footprints Ireland'!G15</f>
        <v>4.4486834168567668</v>
      </c>
      <c r="S17" s="2">
        <f>P17*'Footprints Ireland'!G15</f>
        <v>4.4486834168567668</v>
      </c>
      <c r="T17" s="2">
        <f>Q17*'Footprints Italy'!G15</f>
        <v>7.5555220688324747</v>
      </c>
      <c r="U17" s="2">
        <f>O17*'Footprints Ireland'!X15</f>
        <v>3.0728003561185564</v>
      </c>
      <c r="V17" s="2">
        <f>P17*'Footprints Ireland'!X15</f>
        <v>3.0728003561185564</v>
      </c>
      <c r="W17" s="2">
        <f>Q17*'Footprints Italy'!X15</f>
        <v>3.6289143074682571</v>
      </c>
      <c r="X17" s="11">
        <f>O17*'Footprints Ireland'!Y15</f>
        <v>62.913032360971094</v>
      </c>
      <c r="Y17" s="3">
        <f>P17*'Footprints Ireland'!Y15</f>
        <v>62.913032360971094</v>
      </c>
      <c r="Z17" s="3">
        <f>Q17*'Footprints Italy'!Y15</f>
        <v>213.92101070184464</v>
      </c>
    </row>
    <row r="18" spans="1:26" x14ac:dyDescent="0.25">
      <c r="A18" s="1" t="s">
        <v>24</v>
      </c>
      <c r="B18" s="2">
        <f>'Cons data'!B16</f>
        <v>288.68799999999999</v>
      </c>
      <c r="C18" s="2">
        <f>'Cons data'!C16</f>
        <v>217.01600000000002</v>
      </c>
      <c r="D18">
        <f>'Cons data'!D16</f>
        <v>174.92600000000002</v>
      </c>
      <c r="E18" s="2">
        <f>B18*'Footprints Ireland'!G16</f>
        <v>286.60388219711194</v>
      </c>
      <c r="F18" s="2">
        <f>C18*'Footprints Italy'!G16</f>
        <v>276.17413195037989</v>
      </c>
      <c r="G18">
        <f>D18*'Footprints Poland'!G16</f>
        <v>205.9154674136542</v>
      </c>
      <c r="H18" s="2">
        <f>B18*'Footprints Ireland'!X16</f>
        <v>2.3559283077785604</v>
      </c>
      <c r="I18" s="2">
        <f>C18*'Footprints Italy'!X16</f>
        <v>1.7089020741603085</v>
      </c>
      <c r="J18" s="13">
        <f>D18*'Footprints Poland'!X16</f>
        <v>1.7276058003857173</v>
      </c>
      <c r="K18" s="11">
        <f>B18*'Footprints Ireland'!Y16</f>
        <v>398.99487864233396</v>
      </c>
      <c r="L18" s="3">
        <f>C18*'Footprints Italy'!Y16</f>
        <v>756.66879507627607</v>
      </c>
      <c r="M18" s="3">
        <f>D18*'Footprints Poland'!Y16</f>
        <v>983.124422870074</v>
      </c>
      <c r="O18" s="2">
        <f>'Cons data'!$B$16</f>
        <v>288.68799999999999</v>
      </c>
      <c r="P18" s="2">
        <f>'Cons data'!$B$16</f>
        <v>288.68799999999999</v>
      </c>
      <c r="Q18" s="2">
        <f>'Cons data'!C16</f>
        <v>217.01600000000002</v>
      </c>
      <c r="R18" s="2">
        <f>O18*'Footprints Ireland'!G16</f>
        <v>286.60388219711194</v>
      </c>
      <c r="S18" s="2">
        <f>P18*'Footprints Ireland'!G16</f>
        <v>286.60388219711194</v>
      </c>
      <c r="T18" s="2">
        <f>Q18*'Footprints Italy'!G16</f>
        <v>276.17413195037989</v>
      </c>
      <c r="U18" s="2">
        <f>O18*'Footprints Ireland'!X16</f>
        <v>2.3559283077785604</v>
      </c>
      <c r="V18" s="2">
        <f>P18*'Footprints Ireland'!X16</f>
        <v>2.3559283077785604</v>
      </c>
      <c r="W18" s="2">
        <f>Q18*'Footprints Italy'!X16</f>
        <v>1.7089020741603085</v>
      </c>
      <c r="X18" s="11">
        <f>O18*'Footprints Ireland'!Y16</f>
        <v>398.99487864233396</v>
      </c>
      <c r="Y18" s="3">
        <f>P18*'Footprints Ireland'!Y16</f>
        <v>398.99487864233396</v>
      </c>
      <c r="Z18" s="3">
        <f>Q18*'Footprints Italy'!Y16</f>
        <v>756.66879507627607</v>
      </c>
    </row>
    <row r="19" spans="1:26" x14ac:dyDescent="0.25">
      <c r="A19" s="1" t="s">
        <v>25</v>
      </c>
      <c r="B19" s="2">
        <f>'Cons data'!B17*Yields!C16</f>
        <v>0.35342999999999997</v>
      </c>
      <c r="C19" s="2">
        <f>'Cons data'!C17*Yields!C16</f>
        <v>1.9581099999999998</v>
      </c>
      <c r="D19">
        <f>'Cons data'!D17*Yields!C16</f>
        <v>9.0090000000000017E-2</v>
      </c>
      <c r="E19" s="2">
        <f>B19*'Footprints Ireland'!G17</f>
        <v>5.2335641328511775</v>
      </c>
      <c r="F19" s="2">
        <f>C19*'Footprints Italy'!G17</f>
        <v>28.995541590066548</v>
      </c>
      <c r="G19">
        <f>D19*'Footprints Poland'!G17</f>
        <v>1.3340457593542221</v>
      </c>
      <c r="H19" s="2">
        <f>B19*'Footprints Ireland'!X17</f>
        <v>4.8112668791830497</v>
      </c>
      <c r="I19" s="2">
        <f>C19*'Footprints Italy'!X17</f>
        <v>26.65588599948256</v>
      </c>
      <c r="J19" s="13">
        <f>D19*'Footprints Poland'!X17</f>
        <v>1.2264013613603855</v>
      </c>
      <c r="K19" s="11">
        <f>B19*'Footprints Ireland'!Y17</f>
        <v>0</v>
      </c>
      <c r="L19" s="3">
        <f>C19*'Footprints Italy'!Y17</f>
        <v>0</v>
      </c>
      <c r="M19" s="3">
        <f>D19*'Footprints Poland'!Y17</f>
        <v>0</v>
      </c>
      <c r="O19" s="2">
        <f>'Cons data'!$B$17*Yields!$C$16</f>
        <v>0.35342999999999997</v>
      </c>
      <c r="P19" s="2">
        <f>'Cons data'!$B$17*Yields!$C$16</f>
        <v>0.35342999999999997</v>
      </c>
      <c r="Q19" s="2">
        <f>'Cons data'!C17*Yields!C16</f>
        <v>1.9581099999999998</v>
      </c>
      <c r="R19" s="2">
        <f>O19*'Footprints Ireland'!G17</f>
        <v>5.2335641328511775</v>
      </c>
      <c r="S19" s="2">
        <f>P19*'Footprints Ireland'!G17</f>
        <v>5.2335641328511775</v>
      </c>
      <c r="T19" s="2">
        <f>Q19*'Footprints Italy'!G17</f>
        <v>28.995541590066548</v>
      </c>
      <c r="U19" s="2">
        <f>O19*'Footprints Ireland'!X17</f>
        <v>4.8112668791830497</v>
      </c>
      <c r="V19" s="2">
        <f>P19*'Footprints Ireland'!X17</f>
        <v>4.8112668791830497</v>
      </c>
      <c r="W19" s="2">
        <f>Q19*'Footprints Italy'!X17</f>
        <v>26.65588599948256</v>
      </c>
      <c r="X19" s="11">
        <f>O19*'Footprints Ireland'!Y17</f>
        <v>0</v>
      </c>
      <c r="Y19" s="3">
        <f>P19*'Footprints Ireland'!Y17</f>
        <v>0</v>
      </c>
      <c r="Z19" s="3">
        <f>Q19*'Footprints Italy'!Y17</f>
        <v>0</v>
      </c>
    </row>
    <row r="20" spans="1:26" x14ac:dyDescent="0.25">
      <c r="A20" s="1" t="s">
        <v>26</v>
      </c>
      <c r="B20" s="2">
        <f>'Cons data'!B18*Yields!C6</f>
        <v>2.3477099999999997</v>
      </c>
      <c r="C20" s="2">
        <f>'Cons data'!C18*Yields!C6</f>
        <v>0.58796999999999999</v>
      </c>
      <c r="D20">
        <f>'Cons data'!D18*Yields!C6</f>
        <v>2.2239999999999999E-2</v>
      </c>
      <c r="E20" s="2">
        <f>B20*'Footprints Ireland'!G18</f>
        <v>113.73048135855187</v>
      </c>
      <c r="F20" s="2">
        <f>C20*'Footprints Italy'!G18</f>
        <v>25.386261959169808</v>
      </c>
      <c r="G20">
        <f>D20*'Footprints Poland'!G18</f>
        <v>1.0252083758941752</v>
      </c>
      <c r="H20" s="2">
        <f>B20*'Footprints Ireland'!X18</f>
        <v>10.356911431240093</v>
      </c>
      <c r="I20" s="2">
        <f>C20*'Footprints Italy'!X18</f>
        <v>2.8503346439550219</v>
      </c>
      <c r="J20" s="13">
        <f>D20*'Footprints Poland'!X18</f>
        <v>0.14262585479013265</v>
      </c>
      <c r="K20" s="11">
        <f>B20*'Footprints Ireland'!Y18</f>
        <v>62.569209503424091</v>
      </c>
      <c r="L20" s="3">
        <f>C20*'Footprints Italy'!Y18</f>
        <v>44.649471035542199</v>
      </c>
      <c r="M20" s="3">
        <f>D20*'Footprints Poland'!Y18</f>
        <v>1.7806285337835226</v>
      </c>
      <c r="O20" s="2">
        <f>'Cons data'!$B$18*Yields!$C$6</f>
        <v>2.3477099999999997</v>
      </c>
      <c r="P20" s="2">
        <f>'Cons data'!$B$18*Yields!$C$6</f>
        <v>2.3477099999999997</v>
      </c>
      <c r="Q20" s="2">
        <f>'Cons data'!C18*Yields!C6</f>
        <v>0.58796999999999999</v>
      </c>
      <c r="R20" s="2">
        <f>O20*'Footprints Ireland'!G18</f>
        <v>113.73048135855187</v>
      </c>
      <c r="S20" s="2">
        <f>P20*'Footprints Ireland'!G18</f>
        <v>113.73048135855187</v>
      </c>
      <c r="T20" s="2">
        <f>Q20*'Footprints Italy'!G18</f>
        <v>25.386261959169808</v>
      </c>
      <c r="U20" s="2">
        <f>O20*'Footprints Ireland'!X18</f>
        <v>10.356911431240093</v>
      </c>
      <c r="V20" s="2">
        <f>P20*'Footprints Ireland'!X18</f>
        <v>10.356911431240093</v>
      </c>
      <c r="W20" s="2">
        <f>Q20*'Footprints Italy'!X18</f>
        <v>2.8503346439550219</v>
      </c>
      <c r="X20" s="11">
        <f>O20*'Footprints Ireland'!Y18</f>
        <v>62.569209503424091</v>
      </c>
      <c r="Y20" s="3">
        <f>P20*'Footprints Ireland'!Y18</f>
        <v>62.569209503424091</v>
      </c>
      <c r="Z20" s="3">
        <f>Q20*'Footprints Italy'!Y18</f>
        <v>44.649471035542199</v>
      </c>
    </row>
    <row r="21" spans="1:26" x14ac:dyDescent="0.25">
      <c r="A21" s="1" t="s">
        <v>27</v>
      </c>
      <c r="B21" s="2">
        <f>'Cons data'!B19</f>
        <v>2.6420000000000003</v>
      </c>
      <c r="C21" s="2">
        <f>'Cons data'!C19</f>
        <v>2.5420000000000003</v>
      </c>
      <c r="D21">
        <f>'Cons data'!D19</f>
        <v>1.06</v>
      </c>
      <c r="E21" s="2">
        <f>B21*'Footprints Ireland'!G19</f>
        <v>16.92138036443885</v>
      </c>
      <c r="F21" s="2">
        <f>C21*'Footprints Italy'!G19</f>
        <v>20.646654159694005</v>
      </c>
      <c r="G21">
        <f>D21*'Footprints Poland'!G19</f>
        <v>8.1519323833988917</v>
      </c>
      <c r="H21" s="2">
        <f>B21*'Footprints Ireland'!X19</f>
        <v>11.687957702911397</v>
      </c>
      <c r="I21" s="2">
        <f>C21*'Footprints Italy'!X19</f>
        <v>9.9165799528980045</v>
      </c>
      <c r="J21" s="13">
        <f>D21*'Footprints Poland'!X19</f>
        <v>4.818235717224173</v>
      </c>
      <c r="K21" s="11">
        <f>B21*'Footprints Ireland'!Y19</f>
        <v>239.30121582183111</v>
      </c>
      <c r="L21" s="3">
        <f>C21*'Footprints Italy'!Y19</f>
        <v>584.5728574697539</v>
      </c>
      <c r="M21" s="3">
        <f>D21*'Footprints Poland'!Y19</f>
        <v>337.06477255859124</v>
      </c>
      <c r="O21" s="2">
        <f>'Cons data'!$B$19</f>
        <v>2.6420000000000003</v>
      </c>
      <c r="P21" s="2">
        <f>'Cons data'!$B$19</f>
        <v>2.6420000000000003</v>
      </c>
      <c r="Q21" s="2">
        <f>'Cons data'!C19</f>
        <v>2.5420000000000003</v>
      </c>
      <c r="R21" s="2">
        <f>O21*'Footprints Ireland'!G19</f>
        <v>16.92138036443885</v>
      </c>
      <c r="S21" s="2">
        <f>P21*'Footprints Ireland'!G19</f>
        <v>16.92138036443885</v>
      </c>
      <c r="T21" s="2">
        <f>Q21*'Footprints Italy'!G19</f>
        <v>20.646654159694005</v>
      </c>
      <c r="U21" s="2">
        <f>O21*'Footprints Ireland'!X19</f>
        <v>11.687957702911397</v>
      </c>
      <c r="V21" s="2">
        <f>P21*'Footprints Ireland'!X19</f>
        <v>11.687957702911397</v>
      </c>
      <c r="W21" s="2">
        <f>Q21*'Footprints Italy'!X19</f>
        <v>9.9165799528980045</v>
      </c>
      <c r="X21" s="11">
        <f>O21*'Footprints Ireland'!Y19</f>
        <v>239.30121582183111</v>
      </c>
      <c r="Y21" s="3">
        <f>P21*'Footprints Ireland'!Y19</f>
        <v>239.30121582183111</v>
      </c>
      <c r="Z21" s="3">
        <f>Q21*'Footprints Italy'!Y19</f>
        <v>584.5728574697539</v>
      </c>
    </row>
    <row r="22" spans="1:26" x14ac:dyDescent="0.25">
      <c r="A22" s="1" t="s">
        <v>28</v>
      </c>
      <c r="B22" s="2">
        <f>'Cons data'!B20*Yields!C17</f>
        <v>3.3810400000000005</v>
      </c>
      <c r="C22" s="2">
        <f>'Cons data'!C20*Yields!C17</f>
        <v>2.7497600000000002</v>
      </c>
      <c r="D22">
        <f>'Cons data'!D20*Yields!C17</f>
        <v>2.8204799999999999</v>
      </c>
      <c r="E22" s="2">
        <f>B22*'Footprints Ireland'!G20</f>
        <v>17.785523536197747</v>
      </c>
      <c r="F22" s="2">
        <f>C22*'Footprints Italy'!G20</f>
        <v>14.46475676090644</v>
      </c>
      <c r="G22">
        <f>D22*'Footprints Poland'!G20</f>
        <v>14.836770172306453</v>
      </c>
      <c r="H22" s="2">
        <f>B22*'Footprints Ireland'!X20</f>
        <v>36.232828948920442</v>
      </c>
      <c r="I22" s="2">
        <f>C22*'Footprints Italy'!X20</f>
        <v>29.467732925544642</v>
      </c>
      <c r="J22" s="13">
        <f>D22*'Footprints Poland'!X20</f>
        <v>30.225602002298434</v>
      </c>
      <c r="K22" s="11">
        <f>B22*'Footprints Ireland'!Y20</f>
        <v>0</v>
      </c>
      <c r="L22" s="3">
        <f>C22*'Footprints Italy'!Y20</f>
        <v>0</v>
      </c>
      <c r="M22" s="3">
        <f>D22*'Footprints Poland'!Y20</f>
        <v>0</v>
      </c>
      <c r="O22" s="2">
        <f>'Cons data'!$B$20*Yields!$C$17</f>
        <v>3.3810400000000005</v>
      </c>
      <c r="P22" s="2">
        <f>'Cons data'!$B$20*Yields!$C$17</f>
        <v>3.3810400000000005</v>
      </c>
      <c r="Q22" s="2">
        <f>'Cons data'!C20*Yields!C17</f>
        <v>2.7497600000000002</v>
      </c>
      <c r="R22" s="2">
        <f>O22*'Footprints Ireland'!G20</f>
        <v>17.785523536197747</v>
      </c>
      <c r="S22" s="2">
        <f>P22*'Footprints Ireland'!G20</f>
        <v>17.785523536197747</v>
      </c>
      <c r="T22" s="2">
        <f>Q22*'Footprints Italy'!G20</f>
        <v>14.46475676090644</v>
      </c>
      <c r="U22" s="2">
        <f>O22*'Footprints Ireland'!X20</f>
        <v>36.232828948920442</v>
      </c>
      <c r="V22" s="2">
        <f>P22*'Footprints Ireland'!X20</f>
        <v>36.232828948920442</v>
      </c>
      <c r="W22" s="2">
        <f>Q22*'Footprints Italy'!X20</f>
        <v>29.467732925544642</v>
      </c>
      <c r="X22" s="11">
        <f>O22*'Footprints Ireland'!Y20</f>
        <v>0</v>
      </c>
      <c r="Y22" s="3">
        <f>P22*'Footprints Ireland'!Y20</f>
        <v>0</v>
      </c>
      <c r="Z22" s="3">
        <f>Q22*'Footprints Italy'!Y20</f>
        <v>0</v>
      </c>
    </row>
    <row r="23" spans="1:26" x14ac:dyDescent="0.25">
      <c r="A23" s="1" t="s">
        <v>29</v>
      </c>
      <c r="B23" s="2">
        <f>'Cons data'!B21*Yields!C7</f>
        <v>17.143039999999999</v>
      </c>
      <c r="C23" s="2">
        <f>'Cons data'!C21*Yields!C7</f>
        <v>21.824099999999994</v>
      </c>
      <c r="D23">
        <f>'Cons data'!D21*Yields!C7</f>
        <v>32.471240000000002</v>
      </c>
      <c r="E23" s="2">
        <f>B23*'Footprints Ireland'!G21</f>
        <v>109.79708570885303</v>
      </c>
      <c r="F23" s="2">
        <f>C23*'Footprints Italy'!G21</f>
        <v>177.25989183578983</v>
      </c>
      <c r="G23">
        <f>D23*'Footprints Poland'!G21</f>
        <v>249.72014423124284</v>
      </c>
      <c r="H23" s="2">
        <f>B23*'Footprints Ireland'!X21</f>
        <v>75.839184867266525</v>
      </c>
      <c r="I23" s="2">
        <f>C23*'Footprints Italy'!X21</f>
        <v>85.137857022046134</v>
      </c>
      <c r="J23" s="11">
        <f>D23*'Footprints Poland'!X21</f>
        <v>147.59819655713042</v>
      </c>
      <c r="K23" s="11">
        <f>B23*'Footprints Ireland'!Y21</f>
        <v>1552.7442524157011</v>
      </c>
      <c r="L23" s="3">
        <f>C23*'Footprints Italy'!Y21</f>
        <v>5018.7948460683128</v>
      </c>
      <c r="M23" s="3">
        <f>D23*'Footprints Poland'!Y21</f>
        <v>10325.387854052293</v>
      </c>
      <c r="O23" s="2">
        <f>'Cons data'!$B$21*Yields!$C$7</f>
        <v>17.143039999999999</v>
      </c>
      <c r="P23" s="2">
        <f>'Cons data'!$B$21*Yields!$C$7</f>
        <v>17.143039999999999</v>
      </c>
      <c r="Q23" s="2">
        <f>'Cons data'!C21*Yields!C7</f>
        <v>21.824099999999994</v>
      </c>
      <c r="R23" s="2">
        <f>O23*'Footprints Ireland'!G21</f>
        <v>109.79708570885303</v>
      </c>
      <c r="S23" s="2">
        <f>P23*'Footprints Ireland'!G21</f>
        <v>109.79708570885303</v>
      </c>
      <c r="T23" s="2">
        <f>Q23*'Footprints Italy'!G21</f>
        <v>177.25989183578983</v>
      </c>
      <c r="U23" s="2">
        <f>O23*'Footprints Ireland'!X21</f>
        <v>75.839184867266525</v>
      </c>
      <c r="V23" s="2">
        <f>P23*'Footprints Ireland'!X21</f>
        <v>75.839184867266525</v>
      </c>
      <c r="W23" s="2">
        <f>Q23*'Footprints Italy'!X21</f>
        <v>85.137857022046134</v>
      </c>
      <c r="X23" s="11">
        <f>O23*'Footprints Ireland'!Y21</f>
        <v>1552.7442524157011</v>
      </c>
      <c r="Y23" s="3">
        <f>P23*'Footprints Ireland'!Y21</f>
        <v>1552.7442524157011</v>
      </c>
      <c r="Z23" s="3">
        <f>Q23*'Footprints Italy'!Y21</f>
        <v>5018.7948460683128</v>
      </c>
    </row>
    <row r="24" spans="1:26" x14ac:dyDescent="0.25">
      <c r="A24" s="1" t="s">
        <v>30</v>
      </c>
      <c r="B24" s="2">
        <f>'Cons data'!B22*Yields!C8</f>
        <v>20.33878</v>
      </c>
      <c r="C24" s="2">
        <f>'Cons data'!C22*Yields!C8</f>
        <v>15.304519999999998</v>
      </c>
      <c r="D24">
        <f>'Cons data'!D22*Yields!C8</f>
        <v>24.105620000000002</v>
      </c>
      <c r="E24" s="2">
        <f>B24*'Footprints Ireland'!G22</f>
        <v>49.343550951303065</v>
      </c>
      <c r="F24" s="2">
        <f>C24*'Footprints Italy'!G22</f>
        <v>33.606183049610728</v>
      </c>
      <c r="G24">
        <f>D24*'Footprints Poland'!G22</f>
        <v>72.106842495728387</v>
      </c>
      <c r="H24" s="2">
        <f>B24*'Footprints Ireland'!X22</f>
        <v>1909.057645129747</v>
      </c>
      <c r="I24" s="2">
        <f>C24*'Footprints Italy'!X22</f>
        <v>1447.169076787445</v>
      </c>
      <c r="J24" s="11">
        <f>D24*'Footprints Poland'!X22</f>
        <v>2286.2167446523922</v>
      </c>
      <c r="K24" s="11">
        <f>B24*'Footprints Ireland'!Y22</f>
        <v>783.87054745262571</v>
      </c>
      <c r="L24" s="3">
        <f>C24*'Footprints Italy'!Y22</f>
        <v>1900.4355479211945</v>
      </c>
      <c r="M24" s="3">
        <f>D24*'Footprints Poland'!Y22</f>
        <v>4018.7270687346659</v>
      </c>
      <c r="O24" s="22">
        <f>'Cons data'!$B$22*Yields!$C$8+O8</f>
        <v>30.644780000000001</v>
      </c>
      <c r="P24" s="2">
        <f>'Cons data'!B22*Yields!C8</f>
        <v>20.33878</v>
      </c>
      <c r="Q24" s="2">
        <f>'Cons data'!C22*Yields!C8</f>
        <v>15.304519999999998</v>
      </c>
      <c r="R24" s="2">
        <f>O24*'Footprints Ireland'!G22</f>
        <v>74.346753508394968</v>
      </c>
      <c r="S24" s="2">
        <f>P24*'Footprints Ireland'!G22</f>
        <v>49.343550951303065</v>
      </c>
      <c r="T24" s="2">
        <f>Q24*'Footprints Italy'!G22</f>
        <v>33.606183049610728</v>
      </c>
      <c r="U24" s="3">
        <f>O24*'Footprints Ireland'!X22</f>
        <v>2876.4090836480441</v>
      </c>
      <c r="V24" s="2">
        <f>P24*'Footprints Ireland'!X22</f>
        <v>1909.057645129747</v>
      </c>
      <c r="W24" s="3">
        <f>Q24*'Footprints Italy'!X22</f>
        <v>1447.169076787445</v>
      </c>
      <c r="X24" s="11">
        <f>O24*'Footprints Ireland'!Y22</f>
        <v>1181.0708643864223</v>
      </c>
      <c r="Y24" s="3">
        <f>P24*'Footprints Ireland'!Y22</f>
        <v>783.87054745262571</v>
      </c>
      <c r="Z24" s="3">
        <f>Q24*'Footprints Italy'!Y22</f>
        <v>1900.4355479211945</v>
      </c>
    </row>
    <row r="25" spans="1:26" x14ac:dyDescent="0.25">
      <c r="A25" s="1" t="s">
        <v>31</v>
      </c>
      <c r="P25" s="22">
        <f>P8</f>
        <v>10.306000000000001</v>
      </c>
      <c r="S25" s="2">
        <f>P25*'Footprints Ireland'!G23</f>
        <v>22.490059616458058</v>
      </c>
      <c r="V25" s="2">
        <f>P25*'Footprints Ireland'!X23</f>
        <v>46.067437283108873</v>
      </c>
      <c r="W25" s="3"/>
      <c r="Y25" s="3">
        <f>P25*'Footprints Ireland'!Y23</f>
        <v>0</v>
      </c>
      <c r="Z25" s="3"/>
    </row>
    <row r="26" spans="1:26" x14ac:dyDescent="0.25">
      <c r="A26" s="1" t="s">
        <v>32</v>
      </c>
      <c r="Q26" s="22">
        <f>Q8</f>
        <v>5.7803149999999999</v>
      </c>
      <c r="S26" s="2"/>
      <c r="T26" s="2">
        <f>Q26*'Footprints Italy'!G24</f>
        <v>64.313675806297439</v>
      </c>
      <c r="V26" s="3"/>
      <c r="W26" s="3">
        <f>Q26*'Footprints Italy'!X24</f>
        <v>706.05302766054683</v>
      </c>
      <c r="Y26" s="3"/>
      <c r="Z26" s="3">
        <f>Q26*'Footprints Italy'!Y24</f>
        <v>21743.839170010404</v>
      </c>
    </row>
    <row r="27" spans="1:26" ht="45" x14ac:dyDescent="0.25">
      <c r="B27" s="23" t="s">
        <v>7</v>
      </c>
      <c r="C27" s="23" t="s">
        <v>8</v>
      </c>
      <c r="D27" s="23" t="s">
        <v>9</v>
      </c>
      <c r="E27" s="28" t="s">
        <v>7</v>
      </c>
      <c r="F27" s="28" t="s">
        <v>8</v>
      </c>
      <c r="G27" s="28" t="s">
        <v>9</v>
      </c>
      <c r="H27" s="24" t="s">
        <v>7</v>
      </c>
      <c r="I27" s="24" t="s">
        <v>8</v>
      </c>
      <c r="J27" s="24" t="s">
        <v>9</v>
      </c>
      <c r="K27" s="25" t="s">
        <v>7</v>
      </c>
      <c r="L27" s="25" t="s">
        <v>8</v>
      </c>
      <c r="M27" s="25" t="s">
        <v>9</v>
      </c>
      <c r="O27" s="23" t="s">
        <v>7</v>
      </c>
      <c r="P27" s="23" t="s">
        <v>8</v>
      </c>
      <c r="Q27" s="23" t="s">
        <v>9</v>
      </c>
      <c r="R27" s="17" t="s">
        <v>10</v>
      </c>
      <c r="S27" s="17" t="s">
        <v>11</v>
      </c>
      <c r="T27" s="17" t="s">
        <v>12</v>
      </c>
      <c r="U27" s="18" t="s">
        <v>10</v>
      </c>
      <c r="V27" s="18" t="s">
        <v>11</v>
      </c>
      <c r="W27" s="18" t="s">
        <v>12</v>
      </c>
      <c r="X27" s="19" t="s">
        <v>10</v>
      </c>
      <c r="Y27" s="19" t="s">
        <v>11</v>
      </c>
      <c r="Z27" s="19" t="s">
        <v>12</v>
      </c>
    </row>
    <row r="28" spans="1:26" x14ac:dyDescent="0.25">
      <c r="A28" s="1" t="s">
        <v>33</v>
      </c>
      <c r="B28" s="3">
        <f t="shared" ref="B28:M28" si="0">B8+B20</f>
        <v>22.959710000000001</v>
      </c>
      <c r="C28" s="3">
        <f t="shared" si="0"/>
        <v>12.1486</v>
      </c>
      <c r="D28" s="3">
        <f t="shared" si="0"/>
        <v>0.74782000000000004</v>
      </c>
      <c r="E28" s="3">
        <f t="shared" si="0"/>
        <v>777.29594611408822</v>
      </c>
      <c r="F28" s="3">
        <f t="shared" si="0"/>
        <v>402.94259895580257</v>
      </c>
      <c r="G28" s="3">
        <f t="shared" si="0"/>
        <v>24.637706770934191</v>
      </c>
      <c r="H28" s="3">
        <f t="shared" si="0"/>
        <v>18.082041381475666</v>
      </c>
      <c r="I28" s="3">
        <f t="shared" si="0"/>
        <v>8.7307952001133486</v>
      </c>
      <c r="J28" s="3">
        <f t="shared" si="0"/>
        <v>0.4768973641595764</v>
      </c>
      <c r="K28" s="3">
        <f t="shared" si="0"/>
        <v>273.07489331569985</v>
      </c>
      <c r="L28" s="3">
        <f t="shared" si="0"/>
        <v>385.46203537743787</v>
      </c>
      <c r="M28" s="3">
        <f t="shared" si="0"/>
        <v>31.978300506102919</v>
      </c>
      <c r="O28" s="3">
        <f>O8+O20</f>
        <v>12.65371</v>
      </c>
      <c r="P28" s="3">
        <f>P8+P20</f>
        <v>12.65371</v>
      </c>
      <c r="Q28" s="3">
        <f>Q8+Q20</f>
        <v>6.3682850000000002</v>
      </c>
      <c r="R28" s="3">
        <f>'Diet assessment'!R8+'Diet assessment'!R20</f>
        <v>445.51321373632004</v>
      </c>
      <c r="S28" s="3">
        <f>'Diet assessment'!S8+'Diet assessment'!S20</f>
        <v>445.51321373632004</v>
      </c>
      <c r="T28" s="3">
        <f>'Diet assessment'!T8+'Diet assessment'!T20</f>
        <v>214.16443045748619</v>
      </c>
      <c r="U28" s="3">
        <f>'Diet assessment'!U8+'Diet assessment'!U20</f>
        <v>14.219476406357879</v>
      </c>
      <c r="V28" s="3">
        <f>'Diet assessment'!V8+'Diet assessment'!V20</f>
        <v>14.219476406357879</v>
      </c>
      <c r="W28" s="3">
        <f>'Diet assessment'!W8+'Diet assessment'!W20</f>
        <v>5.7905649220341857</v>
      </c>
      <c r="X28" s="3">
        <f>'Diet assessment'!X8+'Diet assessment'!X20</f>
        <v>167.82205140956199</v>
      </c>
      <c r="Y28" s="3">
        <f>'Diet assessment'!Y8+'Diet assessment'!Y20</f>
        <v>167.82205140956199</v>
      </c>
      <c r="Z28" s="3">
        <f>'Diet assessment'!Z8+'Diet assessment'!Z20</f>
        <v>215.05575320649004</v>
      </c>
    </row>
    <row r="29" spans="1:26" x14ac:dyDescent="0.25">
      <c r="A29" s="1" t="s">
        <v>34</v>
      </c>
      <c r="B29" s="3">
        <f t="shared" ref="B29:M29" si="1">B23+B21</f>
        <v>19.785039999999999</v>
      </c>
      <c r="C29" s="3">
        <f t="shared" si="1"/>
        <v>24.366099999999996</v>
      </c>
      <c r="D29" s="3">
        <f t="shared" si="1"/>
        <v>33.531240000000004</v>
      </c>
      <c r="E29" s="3">
        <f t="shared" si="1"/>
        <v>126.71846607329188</v>
      </c>
      <c r="F29" s="3">
        <f t="shared" si="1"/>
        <v>197.90654599548384</v>
      </c>
      <c r="G29" s="3">
        <f t="shared" si="1"/>
        <v>257.87207661464174</v>
      </c>
      <c r="H29" s="3">
        <f t="shared" si="1"/>
        <v>87.527142570177915</v>
      </c>
      <c r="I29" s="3">
        <f t="shared" si="1"/>
        <v>95.054436974944139</v>
      </c>
      <c r="J29" s="3">
        <f t="shared" si="1"/>
        <v>152.41643227435461</v>
      </c>
      <c r="K29" s="3">
        <f t="shared" si="1"/>
        <v>1792.0454682375323</v>
      </c>
      <c r="L29" s="3">
        <f t="shared" si="1"/>
        <v>5603.367703538067</v>
      </c>
      <c r="M29" s="3">
        <f t="shared" si="1"/>
        <v>10662.452626610884</v>
      </c>
      <c r="O29" s="3">
        <f>O23+O21</f>
        <v>19.785039999999999</v>
      </c>
      <c r="P29" s="3">
        <f>P23+P21</f>
        <v>19.785039999999999</v>
      </c>
      <c r="Q29" s="3">
        <f>Q23+Q21</f>
        <v>24.366099999999996</v>
      </c>
      <c r="R29" s="3">
        <f>'Diet assessment'!R23+'Diet assessment'!R21</f>
        <v>126.71846607329188</v>
      </c>
      <c r="S29" s="3">
        <f>'Diet assessment'!S23+'Diet assessment'!S21</f>
        <v>126.71846607329188</v>
      </c>
      <c r="T29" s="3">
        <f>'Diet assessment'!T23+'Diet assessment'!T21</f>
        <v>197.90654599548384</v>
      </c>
      <c r="U29" s="3">
        <f>'Diet assessment'!U23+'Diet assessment'!U21</f>
        <v>87.527142570177915</v>
      </c>
      <c r="V29" s="3">
        <f>'Diet assessment'!V23+'Diet assessment'!V21</f>
        <v>87.527142570177915</v>
      </c>
      <c r="W29" s="3">
        <f>'Diet assessment'!W23+'Diet assessment'!W21</f>
        <v>95.054436974944139</v>
      </c>
      <c r="X29" s="3">
        <f>'Diet assessment'!X23+'Diet assessment'!X21</f>
        <v>1792.0454682375323</v>
      </c>
      <c r="Y29" s="3">
        <f>'Diet assessment'!Y23+'Diet assessment'!Y21</f>
        <v>1792.0454682375323</v>
      </c>
      <c r="Z29" s="3">
        <f>'Diet assessment'!Z23+'Diet assessment'!Z21</f>
        <v>5603.367703538067</v>
      </c>
    </row>
    <row r="30" spans="1:26" x14ac:dyDescent="0.25">
      <c r="A30" s="1" t="s">
        <v>35</v>
      </c>
      <c r="B30" s="3">
        <f t="shared" ref="B30:M30" si="2">B24</f>
        <v>20.33878</v>
      </c>
      <c r="C30" s="3">
        <f t="shared" si="2"/>
        <v>15.304519999999998</v>
      </c>
      <c r="D30" s="3">
        <f t="shared" si="2"/>
        <v>24.105620000000002</v>
      </c>
      <c r="E30" s="3">
        <f t="shared" si="2"/>
        <v>49.343550951303065</v>
      </c>
      <c r="F30" s="3">
        <f t="shared" si="2"/>
        <v>33.606183049610728</v>
      </c>
      <c r="G30" s="3">
        <f t="shared" si="2"/>
        <v>72.106842495728387</v>
      </c>
      <c r="H30" s="3">
        <f t="shared" si="2"/>
        <v>1909.057645129747</v>
      </c>
      <c r="I30" s="3">
        <f t="shared" si="2"/>
        <v>1447.169076787445</v>
      </c>
      <c r="J30" s="3">
        <f t="shared" si="2"/>
        <v>2286.2167446523922</v>
      </c>
      <c r="K30" s="3">
        <f t="shared" si="2"/>
        <v>783.87054745262571</v>
      </c>
      <c r="L30" s="3">
        <f t="shared" si="2"/>
        <v>1900.4355479211945</v>
      </c>
      <c r="M30" s="3">
        <f t="shared" si="2"/>
        <v>4018.7270687346659</v>
      </c>
      <c r="O30" s="3">
        <f>O24</f>
        <v>30.644780000000001</v>
      </c>
      <c r="P30" s="3">
        <f>P24</f>
        <v>20.33878</v>
      </c>
      <c r="Q30" s="3">
        <f>Q24</f>
        <v>15.304519999999998</v>
      </c>
      <c r="R30" s="3">
        <f>'Diet assessment'!R24</f>
        <v>74.346753508394968</v>
      </c>
      <c r="S30" s="3">
        <f>'Diet assessment'!S24</f>
        <v>49.343550951303065</v>
      </c>
      <c r="T30" s="3">
        <f>'Diet assessment'!T24</f>
        <v>33.606183049610728</v>
      </c>
      <c r="U30" s="3">
        <f>'Diet assessment'!U24</f>
        <v>2876.4090836480441</v>
      </c>
      <c r="V30" s="3">
        <f>'Diet assessment'!V24</f>
        <v>1909.057645129747</v>
      </c>
      <c r="W30" s="3">
        <f>'Diet assessment'!W24</f>
        <v>1447.169076787445</v>
      </c>
      <c r="X30" s="3">
        <f>'Diet assessment'!X24</f>
        <v>1181.0708643864223</v>
      </c>
      <c r="Y30" s="3">
        <f>'Diet assessment'!Y24</f>
        <v>783.87054745262571</v>
      </c>
      <c r="Z30" s="3">
        <f>'Diet assessment'!Z24</f>
        <v>1900.4355479211945</v>
      </c>
    </row>
    <row r="31" spans="1:26" x14ac:dyDescent="0.25">
      <c r="A31" s="1" t="s">
        <v>36</v>
      </c>
      <c r="B31" s="3">
        <f t="shared" ref="B31:M31" si="3">B14</f>
        <v>11.691999999999998</v>
      </c>
      <c r="C31" s="3">
        <f t="shared" si="3"/>
        <v>11.608000000000001</v>
      </c>
      <c r="D31" s="3">
        <f t="shared" si="3"/>
        <v>8.363999999999999</v>
      </c>
      <c r="E31" s="3">
        <f t="shared" si="3"/>
        <v>12.29078263277469</v>
      </c>
      <c r="F31" s="3">
        <f t="shared" si="3"/>
        <v>13.970663389974769</v>
      </c>
      <c r="G31" s="3">
        <f t="shared" si="3"/>
        <v>11.713965856451178</v>
      </c>
      <c r="H31" s="3">
        <f t="shared" si="3"/>
        <v>94.217208627554356</v>
      </c>
      <c r="I31" s="3">
        <f t="shared" si="3"/>
        <v>108.70737631671624</v>
      </c>
      <c r="J31" s="3">
        <f t="shared" si="3"/>
        <v>91.338499040067475</v>
      </c>
      <c r="K31" s="3">
        <f t="shared" si="3"/>
        <v>5.1076173014228248</v>
      </c>
      <c r="L31" s="3">
        <f t="shared" si="3"/>
        <v>17.701897043717953</v>
      </c>
      <c r="M31" s="3">
        <f t="shared" si="3"/>
        <v>16.924575874333733</v>
      </c>
      <c r="O31" s="3">
        <f>O14</f>
        <v>11.691999999999998</v>
      </c>
      <c r="P31" s="3">
        <f>P14</f>
        <v>11.691999999999998</v>
      </c>
      <c r="Q31" s="3">
        <f>Q14</f>
        <v>11.608000000000001</v>
      </c>
      <c r="R31" s="3">
        <f>'Diet assessment'!R14</f>
        <v>12.29078263277469</v>
      </c>
      <c r="S31" s="3">
        <f>'Diet assessment'!S14</f>
        <v>12.29078263277469</v>
      </c>
      <c r="T31" s="3">
        <f>'Diet assessment'!T14</f>
        <v>13.970663389974769</v>
      </c>
      <c r="U31" s="3">
        <f>'Diet assessment'!U14</f>
        <v>94.217208627554356</v>
      </c>
      <c r="V31" s="3">
        <f>'Diet assessment'!V14</f>
        <v>94.217208627554356</v>
      </c>
      <c r="W31" s="3">
        <f>'Diet assessment'!W14</f>
        <v>108.70737631671624</v>
      </c>
      <c r="X31" s="3">
        <f>'Diet assessment'!X14</f>
        <v>5.1076173014228248</v>
      </c>
      <c r="Y31" s="3">
        <f>'Diet assessment'!Y14</f>
        <v>5.1076173014228248</v>
      </c>
      <c r="Z31" s="3">
        <f>'Diet assessment'!Z14</f>
        <v>17.701897043717953</v>
      </c>
    </row>
    <row r="32" spans="1:26" x14ac:dyDescent="0.25">
      <c r="A32" s="1" t="s">
        <v>37</v>
      </c>
      <c r="B32" s="3">
        <f>B11+B18+B9</f>
        <v>292.91799999999995</v>
      </c>
      <c r="C32" s="3">
        <f t="shared" ref="C32:M32" si="4">C11+C18+C9</f>
        <v>223.626</v>
      </c>
      <c r="D32" s="3">
        <f t="shared" si="4"/>
        <v>186.06600000000003</v>
      </c>
      <c r="E32" s="3">
        <f t="shared" si="4"/>
        <v>308.30458741588711</v>
      </c>
      <c r="F32" s="3">
        <f t="shared" si="4"/>
        <v>317.69877468504308</v>
      </c>
      <c r="G32" s="3">
        <f t="shared" si="4"/>
        <v>271.81055041959758</v>
      </c>
      <c r="H32" s="3">
        <f t="shared" si="4"/>
        <v>2.5450898500347146</v>
      </c>
      <c r="I32" s="3">
        <f t="shared" si="4"/>
        <v>1.978872685918291</v>
      </c>
      <c r="J32" s="3">
        <f t="shared" si="4"/>
        <v>2.3114478714856972</v>
      </c>
      <c r="K32" s="3">
        <f t="shared" si="4"/>
        <v>431.03086477446578</v>
      </c>
      <c r="L32" s="3">
        <f t="shared" si="4"/>
        <v>876.20656180600099</v>
      </c>
      <c r="M32" s="3">
        <f t="shared" si="4"/>
        <v>1315.3700075221302</v>
      </c>
      <c r="O32" s="3">
        <f>O11+O18+O9</f>
        <v>292.91799999999995</v>
      </c>
      <c r="P32" s="3">
        <f>P11+P18+P9</f>
        <v>292.91799999999995</v>
      </c>
      <c r="Q32" s="3">
        <f>Q11+Q18+Q9</f>
        <v>223.626</v>
      </c>
      <c r="R32" s="3">
        <f>'Diet assessment'!R11+'Diet assessment'!R18+'Diet assessment'!R9</f>
        <v>308.30458741588711</v>
      </c>
      <c r="S32" s="3">
        <f>'Diet assessment'!S11+'Diet assessment'!S18+'Diet assessment'!S9</f>
        <v>308.30458741588711</v>
      </c>
      <c r="T32" s="3">
        <f>'Diet assessment'!T11+'Diet assessment'!T18+'Diet assessment'!T9</f>
        <v>317.69877468504308</v>
      </c>
      <c r="U32" s="3">
        <f>'Diet assessment'!U11+'Diet assessment'!U18+'Diet assessment'!U9</f>
        <v>2.5450898500347146</v>
      </c>
      <c r="V32" s="3">
        <f>'Diet assessment'!V11+'Diet assessment'!V18+'Diet assessment'!V9</f>
        <v>2.5450898500347146</v>
      </c>
      <c r="W32" s="3">
        <f>'Diet assessment'!W11+'Diet assessment'!W18+'Diet assessment'!W9</f>
        <v>1.978872685918291</v>
      </c>
      <c r="X32" s="3">
        <f>'Diet assessment'!X11+'Diet assessment'!X18+'Diet assessment'!X9</f>
        <v>431.03086477446578</v>
      </c>
      <c r="Y32" s="3">
        <f>'Diet assessment'!Y11+'Diet assessment'!Y18+'Diet assessment'!Y9</f>
        <v>431.03086477446578</v>
      </c>
      <c r="Z32" s="3">
        <f>'Diet assessment'!Z11+'Diet assessment'!Z18+'Diet assessment'!Z9</f>
        <v>876.20656180600099</v>
      </c>
    </row>
    <row r="33" spans="1:33" x14ac:dyDescent="0.25">
      <c r="A33" s="1" t="s">
        <v>38</v>
      </c>
      <c r="B33" s="3">
        <f t="shared" ref="B33:M33" si="5">B10+B12+B13+B15+B22+B19</f>
        <v>10.378642000000001</v>
      </c>
      <c r="C33" s="3">
        <f t="shared" si="5"/>
        <v>14.318614</v>
      </c>
      <c r="D33" s="3">
        <f t="shared" si="5"/>
        <v>5.8836240000000002</v>
      </c>
      <c r="E33" s="3">
        <f t="shared" si="5"/>
        <v>78.474576062718995</v>
      </c>
      <c r="F33" s="3">
        <f t="shared" si="5"/>
        <v>138.31249589660163</v>
      </c>
      <c r="G33" s="3">
        <f t="shared" si="5"/>
        <v>39.813630308073044</v>
      </c>
      <c r="H33" s="3">
        <f t="shared" si="5"/>
        <v>112.54813637541923</v>
      </c>
      <c r="I33" s="3">
        <f t="shared" si="5"/>
        <v>134.00392831248712</v>
      </c>
      <c r="J33" s="3">
        <f t="shared" si="5"/>
        <v>64.549856267779518</v>
      </c>
      <c r="K33" s="3">
        <f t="shared" si="5"/>
        <v>502.12796641560641</v>
      </c>
      <c r="L33" s="3">
        <f t="shared" si="5"/>
        <v>421.4288289559554</v>
      </c>
      <c r="M33" s="3">
        <f t="shared" si="5"/>
        <v>244.25803185578445</v>
      </c>
      <c r="O33" s="3">
        <f>O10+O12+O13+O15+O22+O19</f>
        <v>10.378642000000001</v>
      </c>
      <c r="P33" s="3">
        <f>P10+P12+P13+P15+P22+P19</f>
        <v>10.378642000000001</v>
      </c>
      <c r="Q33" s="3">
        <f>Q10+Q12+Q13+Q15+Q22+Q19</f>
        <v>14.318614</v>
      </c>
      <c r="R33" s="3">
        <f>'Diet assessment'!R10+'Diet assessment'!R12+'Diet assessment'!R13+'Diet assessment'!R15+'Diet assessment'!R22+'Diet assessment'!R19</f>
        <v>78.474576062718995</v>
      </c>
      <c r="S33" s="3">
        <f>'Diet assessment'!S10+'Diet assessment'!S12+'Diet assessment'!S13+'Diet assessment'!S15+'Diet assessment'!S22+'Diet assessment'!S19</f>
        <v>78.474576062718995</v>
      </c>
      <c r="T33" s="3">
        <f>'Diet assessment'!T10+'Diet assessment'!T12+'Diet assessment'!T13+'Diet assessment'!T15+'Diet assessment'!T22+'Diet assessment'!T19</f>
        <v>138.31249589660163</v>
      </c>
      <c r="U33" s="3">
        <f>'Diet assessment'!U10+'Diet assessment'!U12+'Diet assessment'!U13+'Diet assessment'!U15+'Diet assessment'!U22+'Diet assessment'!U19</f>
        <v>112.54813637541923</v>
      </c>
      <c r="V33" s="3">
        <f>'Diet assessment'!V10+'Diet assessment'!V12+'Diet assessment'!V13+'Diet assessment'!V15+'Diet assessment'!V22+'Diet assessment'!V19</f>
        <v>112.54813637541923</v>
      </c>
      <c r="W33" s="3">
        <f>'Diet assessment'!W10+'Diet assessment'!W12+'Diet assessment'!W13+'Diet assessment'!W15+'Diet assessment'!W22+'Diet assessment'!W19</f>
        <v>134.00392831248712</v>
      </c>
      <c r="X33" s="3">
        <f>'Diet assessment'!X10+'Diet assessment'!X12+'Diet assessment'!X13+'Diet assessment'!X15+'Diet assessment'!X22+'Diet assessment'!X19</f>
        <v>502.12796641560641</v>
      </c>
      <c r="Y33" s="3">
        <f>'Diet assessment'!Y10+'Diet assessment'!Y12+'Diet assessment'!Y13+'Diet assessment'!Y15+'Diet assessment'!Y22+'Diet assessment'!Y19</f>
        <v>502.12796641560641</v>
      </c>
      <c r="Z33" s="3">
        <f>'Diet assessment'!Z10+'Diet assessment'!Z12+'Diet assessment'!Z13+'Diet assessment'!Z15+'Diet assessment'!Z22+'Diet assessment'!Z19</f>
        <v>421.4288289559554</v>
      </c>
    </row>
    <row r="34" spans="1:33" x14ac:dyDescent="0.25">
      <c r="A34" s="1" t="s">
        <v>31</v>
      </c>
      <c r="P34" s="3">
        <f>P25</f>
        <v>10.306000000000001</v>
      </c>
      <c r="Q34" s="3"/>
      <c r="S34" s="2">
        <f>'Diet assessment'!S25</f>
        <v>22.490059616458058</v>
      </c>
      <c r="V34" s="3">
        <f>'Diet assessment'!V25</f>
        <v>46.067437283108873</v>
      </c>
      <c r="Y34" s="3">
        <f>'Diet assessment'!Y25</f>
        <v>0</v>
      </c>
    </row>
    <row r="35" spans="1:33" x14ac:dyDescent="0.25">
      <c r="A35" s="1" t="s">
        <v>32</v>
      </c>
      <c r="P35" s="3"/>
      <c r="Q35" s="3">
        <f>Q26</f>
        <v>5.7803149999999999</v>
      </c>
      <c r="T35" s="2">
        <f>'Diet assessment'!T26</f>
        <v>64.313675806297439</v>
      </c>
      <c r="W35" s="3">
        <f>'Diet assessment'!W26</f>
        <v>706.05302766054683</v>
      </c>
      <c r="Z35" s="3">
        <f>'Diet assessment'!Z26</f>
        <v>21743.839170010404</v>
      </c>
    </row>
    <row r="36" spans="1:33" x14ac:dyDescent="0.25">
      <c r="A36" s="9" t="s">
        <v>39</v>
      </c>
      <c r="B36" s="12"/>
      <c r="C36" s="12"/>
      <c r="D36" s="12"/>
      <c r="E36" s="12">
        <f>SUM(E28:E35)</f>
        <v>1352.427909250064</v>
      </c>
      <c r="F36" s="12">
        <f t="shared" ref="F36:M36" si="6">SUM(F28:F35)</f>
        <v>1104.4372619725168</v>
      </c>
      <c r="G36" s="12">
        <f t="shared" si="6"/>
        <v>677.95477246542612</v>
      </c>
      <c r="H36" s="12">
        <f t="shared" si="6"/>
        <v>2223.9772639344092</v>
      </c>
      <c r="I36" s="12">
        <f t="shared" si="6"/>
        <v>1795.6444862776239</v>
      </c>
      <c r="J36" s="12">
        <f t="shared" si="6"/>
        <v>2597.3098774702389</v>
      </c>
      <c r="K36" s="12">
        <f t="shared" si="6"/>
        <v>3787.2573574973535</v>
      </c>
      <c r="L36" s="12">
        <f t="shared" si="6"/>
        <v>9204.6025746423729</v>
      </c>
      <c r="M36" s="12">
        <f t="shared" si="6"/>
        <v>16289.710611103903</v>
      </c>
      <c r="R36" s="12">
        <f>SUM(R28:R35)</f>
        <v>1045.6483794293877</v>
      </c>
      <c r="S36" s="12">
        <f>SUM(S28:S34)</f>
        <v>1043.1352364887539</v>
      </c>
      <c r="T36" s="12">
        <f t="shared" ref="T36:Z36" si="7">SUM(T28:T35)</f>
        <v>979.97276928049769</v>
      </c>
      <c r="U36" s="12">
        <f t="shared" si="7"/>
        <v>3187.4661374775887</v>
      </c>
      <c r="V36" s="12">
        <f t="shared" si="7"/>
        <v>2266.1821362424002</v>
      </c>
      <c r="W36" s="12">
        <f t="shared" si="7"/>
        <v>2498.7572836600916</v>
      </c>
      <c r="X36" s="12">
        <f t="shared" si="7"/>
        <v>4079.2048325250121</v>
      </c>
      <c r="Y36" s="12">
        <f t="shared" si="7"/>
        <v>3682.0045155912153</v>
      </c>
      <c r="Z36" s="12">
        <f t="shared" si="7"/>
        <v>30778.035462481828</v>
      </c>
    </row>
    <row r="38" spans="1:33" x14ac:dyDescent="0.25">
      <c r="W38" s="2"/>
    </row>
    <row r="39" spans="1:33" ht="18.75" x14ac:dyDescent="0.3">
      <c r="A39" s="26" t="s">
        <v>1</v>
      </c>
      <c r="M39" s="27"/>
      <c r="P39" s="27" t="s">
        <v>40</v>
      </c>
      <c r="AG39" s="27" t="s">
        <v>41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7" tint="-0.249977111117893"/>
  </sheetPr>
  <dimension ref="A2:I32"/>
  <sheetViews>
    <sheetView workbookViewId="0">
      <selection activeCell="F26" sqref="F26"/>
    </sheetView>
  </sheetViews>
  <sheetFormatPr defaultRowHeight="15" x14ac:dyDescent="0.25"/>
  <cols>
    <col min="1" max="1" width="20.42578125" customWidth="1"/>
    <col min="5" max="5" width="7.85546875" customWidth="1"/>
  </cols>
  <sheetData>
    <row r="2" spans="1:9" ht="21" x14ac:dyDescent="0.35">
      <c r="A2" s="5" t="s">
        <v>182</v>
      </c>
    </row>
    <row r="4" spans="1:9" x14ac:dyDescent="0.25">
      <c r="A4" s="10"/>
      <c r="B4" s="10" t="s">
        <v>7</v>
      </c>
      <c r="C4" s="10" t="s">
        <v>8</v>
      </c>
      <c r="D4" s="10" t="s">
        <v>60</v>
      </c>
      <c r="F4" t="s">
        <v>183</v>
      </c>
    </row>
    <row r="5" spans="1:9" x14ac:dyDescent="0.25">
      <c r="A5" s="1" t="s">
        <v>13</v>
      </c>
      <c r="B5">
        <v>8.0000000000000002E-3</v>
      </c>
      <c r="C5">
        <v>1.2E-2</v>
      </c>
      <c r="D5">
        <v>6.0000000000000001E-3</v>
      </c>
    </row>
    <row r="6" spans="1:9" x14ac:dyDescent="0.25">
      <c r="A6" s="1" t="s">
        <v>14</v>
      </c>
      <c r="B6">
        <v>20.612000000000002</v>
      </c>
      <c r="C6">
        <v>16.634</v>
      </c>
      <c r="D6">
        <v>1.044</v>
      </c>
    </row>
    <row r="7" spans="1:9" x14ac:dyDescent="0.25">
      <c r="A7" s="1" t="s">
        <v>15</v>
      </c>
      <c r="B7">
        <v>1.9120000000000001</v>
      </c>
      <c r="C7">
        <v>2.464</v>
      </c>
      <c r="D7">
        <v>4.5140000000000002</v>
      </c>
      <c r="F7" s="3"/>
      <c r="G7" s="3"/>
      <c r="H7" s="3"/>
      <c r="I7" s="3"/>
    </row>
    <row r="8" spans="1:9" x14ac:dyDescent="0.25">
      <c r="A8" s="1" t="s">
        <v>16</v>
      </c>
      <c r="B8">
        <v>0.22000000000000003</v>
      </c>
      <c r="C8">
        <v>3.8600000000000003</v>
      </c>
      <c r="D8">
        <v>3.4000000000000002E-2</v>
      </c>
      <c r="F8" s="3"/>
      <c r="G8" s="3"/>
      <c r="H8" s="3"/>
      <c r="I8" s="3"/>
    </row>
    <row r="9" spans="1:9" x14ac:dyDescent="0.25">
      <c r="A9" s="1" t="s">
        <v>17</v>
      </c>
      <c r="B9">
        <v>2.3180000000000001</v>
      </c>
      <c r="C9">
        <v>4.145999999999999</v>
      </c>
      <c r="D9">
        <v>6.6260000000000003</v>
      </c>
      <c r="F9" s="3"/>
      <c r="G9" s="3"/>
      <c r="H9" s="3"/>
      <c r="I9" s="3"/>
    </row>
    <row r="10" spans="1:9" x14ac:dyDescent="0.25">
      <c r="A10" s="1" t="s">
        <v>18</v>
      </c>
      <c r="B10">
        <v>0.67400000000000004</v>
      </c>
      <c r="C10">
        <v>2.2719999999999998</v>
      </c>
      <c r="D10">
        <v>0.23799999999999999</v>
      </c>
      <c r="F10" s="3"/>
      <c r="G10" s="3"/>
      <c r="H10" s="3"/>
      <c r="I10" s="3"/>
    </row>
    <row r="11" spans="1:9" x14ac:dyDescent="0.25">
      <c r="A11" s="1" t="s">
        <v>19</v>
      </c>
      <c r="B11">
        <v>9.2959999999999994</v>
      </c>
      <c r="C11">
        <v>7.8019999999999996</v>
      </c>
      <c r="D11">
        <v>4.5220000000000002</v>
      </c>
    </row>
    <row r="12" spans="1:9" x14ac:dyDescent="0.25">
      <c r="A12" s="1" t="s">
        <v>20</v>
      </c>
      <c r="B12">
        <v>11.691999999999998</v>
      </c>
      <c r="C12">
        <v>11.608000000000001</v>
      </c>
      <c r="D12">
        <v>8.363999999999999</v>
      </c>
    </row>
    <row r="13" spans="1:9" x14ac:dyDescent="0.25">
      <c r="A13" s="1" t="s">
        <v>21</v>
      </c>
      <c r="B13">
        <v>2.992</v>
      </c>
      <c r="C13">
        <v>3.8079999999999998</v>
      </c>
      <c r="D13">
        <v>1.022</v>
      </c>
    </row>
    <row r="14" spans="1:9" x14ac:dyDescent="0.25">
      <c r="A14" s="1" t="s">
        <v>22</v>
      </c>
      <c r="B14">
        <v>1.2E-2</v>
      </c>
      <c r="C14">
        <v>1.472</v>
      </c>
      <c r="D14">
        <v>0</v>
      </c>
    </row>
    <row r="15" spans="1:9" x14ac:dyDescent="0.25">
      <c r="A15" s="1" t="s">
        <v>23</v>
      </c>
      <c r="B15">
        <v>1.014</v>
      </c>
      <c r="C15">
        <v>1.3580000000000001</v>
      </c>
      <c r="D15">
        <v>0.10200000000000001</v>
      </c>
    </row>
    <row r="16" spans="1:9" x14ac:dyDescent="0.25">
      <c r="A16" s="1" t="s">
        <v>24</v>
      </c>
      <c r="B16">
        <v>288.68799999999999</v>
      </c>
      <c r="C16">
        <v>217.01600000000002</v>
      </c>
      <c r="D16">
        <v>174.92600000000002</v>
      </c>
    </row>
    <row r="17" spans="1:5" x14ac:dyDescent="0.25">
      <c r="A17" s="1" t="s">
        <v>25</v>
      </c>
      <c r="B17">
        <v>0.91799999999999993</v>
      </c>
      <c r="C17">
        <v>5.0859999999999994</v>
      </c>
      <c r="D17">
        <v>0.23400000000000004</v>
      </c>
    </row>
    <row r="18" spans="1:5" x14ac:dyDescent="0.25">
      <c r="A18" s="1" t="s">
        <v>26</v>
      </c>
      <c r="B18">
        <v>3.3780000000000001</v>
      </c>
      <c r="C18">
        <v>0.84600000000000009</v>
      </c>
      <c r="D18">
        <v>3.2000000000000001E-2</v>
      </c>
    </row>
    <row r="19" spans="1:5" x14ac:dyDescent="0.25">
      <c r="A19" s="1" t="s">
        <v>27</v>
      </c>
      <c r="B19">
        <v>2.6420000000000003</v>
      </c>
      <c r="C19">
        <v>2.5420000000000003</v>
      </c>
      <c r="D19">
        <v>1.06</v>
      </c>
    </row>
    <row r="20" spans="1:5" x14ac:dyDescent="0.25">
      <c r="A20" s="1" t="s">
        <v>28</v>
      </c>
      <c r="B20">
        <v>6.5020000000000007</v>
      </c>
      <c r="C20">
        <v>5.2880000000000003</v>
      </c>
      <c r="D20">
        <v>5.4239999999999995</v>
      </c>
    </row>
    <row r="21" spans="1:5" x14ac:dyDescent="0.25">
      <c r="A21" s="1" t="s">
        <v>29</v>
      </c>
      <c r="B21">
        <v>29.056000000000001</v>
      </c>
      <c r="C21">
        <v>36.989999999999995</v>
      </c>
      <c r="D21">
        <v>55.036000000000001</v>
      </c>
    </row>
    <row r="22" spans="1:5" x14ac:dyDescent="0.25">
      <c r="A22" s="1" t="s">
        <v>30</v>
      </c>
      <c r="B22">
        <v>26.413999999999998</v>
      </c>
      <c r="C22">
        <v>19.875999999999998</v>
      </c>
      <c r="D22">
        <v>31.306000000000001</v>
      </c>
      <c r="E22" s="4"/>
    </row>
    <row r="24" spans="1:5" x14ac:dyDescent="0.25">
      <c r="A24" s="1" t="s">
        <v>61</v>
      </c>
      <c r="B24" s="3">
        <f>B6+B18</f>
        <v>23.990000000000002</v>
      </c>
      <c r="C24" s="3">
        <f t="shared" ref="C24:D24" si="0">C6+C18</f>
        <v>17.48</v>
      </c>
      <c r="D24" s="3">
        <f t="shared" si="0"/>
        <v>1.0760000000000001</v>
      </c>
    </row>
    <row r="25" spans="1:5" x14ac:dyDescent="0.25">
      <c r="A25" s="1" t="s">
        <v>29</v>
      </c>
      <c r="B25" s="3">
        <f t="shared" ref="B25:D25" si="1">B21</f>
        <v>29.056000000000001</v>
      </c>
      <c r="C25" s="3">
        <f t="shared" si="1"/>
        <v>36.989999999999995</v>
      </c>
      <c r="D25" s="3">
        <f t="shared" si="1"/>
        <v>55.036000000000001</v>
      </c>
    </row>
    <row r="26" spans="1:5" x14ac:dyDescent="0.25">
      <c r="A26" s="1" t="s">
        <v>62</v>
      </c>
      <c r="B26" s="3">
        <f t="shared" ref="B26:D26" si="2">B22</f>
        <v>26.413999999999998</v>
      </c>
      <c r="C26" s="3">
        <f t="shared" si="2"/>
        <v>19.875999999999998</v>
      </c>
      <c r="D26" s="3">
        <f t="shared" si="2"/>
        <v>31.306000000000001</v>
      </c>
    </row>
    <row r="27" spans="1:5" x14ac:dyDescent="0.25">
      <c r="A27" s="1" t="s">
        <v>63</v>
      </c>
      <c r="B27" s="3">
        <f t="shared" ref="B27:D27" si="3">B5+B8+B10+B11+B13+B14+B17+B20</f>
        <v>20.622</v>
      </c>
      <c r="C27" s="3">
        <f t="shared" si="3"/>
        <v>29.599999999999998</v>
      </c>
      <c r="D27" s="3">
        <f t="shared" si="3"/>
        <v>11.48</v>
      </c>
    </row>
    <row r="28" spans="1:5" x14ac:dyDescent="0.25">
      <c r="A28" s="1" t="s">
        <v>64</v>
      </c>
      <c r="B28" s="3">
        <f>B16</f>
        <v>288.68799999999999</v>
      </c>
      <c r="C28" s="3">
        <f t="shared" ref="C28:D28" si="4">C16</f>
        <v>217.01600000000002</v>
      </c>
      <c r="D28" s="3">
        <f t="shared" si="4"/>
        <v>174.92600000000002</v>
      </c>
    </row>
    <row r="29" spans="1:5" x14ac:dyDescent="0.25">
      <c r="A29" s="1" t="s">
        <v>65</v>
      </c>
      <c r="B29" s="3">
        <f t="shared" ref="B29:D29" si="5">B7</f>
        <v>1.9120000000000001</v>
      </c>
      <c r="C29" s="3">
        <f t="shared" si="5"/>
        <v>2.464</v>
      </c>
      <c r="D29" s="3">
        <f t="shared" si="5"/>
        <v>4.5140000000000002</v>
      </c>
    </row>
    <row r="30" spans="1:5" x14ac:dyDescent="0.25">
      <c r="A30" s="1" t="s">
        <v>17</v>
      </c>
      <c r="B30" s="3">
        <f t="shared" ref="B30:D30" si="6">B9</f>
        <v>2.3180000000000001</v>
      </c>
      <c r="C30" s="3">
        <f t="shared" si="6"/>
        <v>4.145999999999999</v>
      </c>
      <c r="D30" s="3">
        <f t="shared" si="6"/>
        <v>6.6260000000000003</v>
      </c>
    </row>
    <row r="32" spans="1:5" x14ac:dyDescent="0.25">
      <c r="A32" s="1" t="s">
        <v>66</v>
      </c>
      <c r="B32" s="3">
        <f t="shared" ref="B32:D32" si="7">SUM(B24:B27)</f>
        <v>100.08200000000001</v>
      </c>
      <c r="C32" s="3">
        <f t="shared" si="7"/>
        <v>103.946</v>
      </c>
      <c r="D32" s="3">
        <f t="shared" si="7"/>
        <v>98.89800000000001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8FF6E-BD37-485E-993E-80FC1A0CEF68}">
  <sheetPr>
    <tabColor theme="7" tint="0.39997558519241921"/>
  </sheetPr>
  <dimension ref="A2:F22"/>
  <sheetViews>
    <sheetView topLeftCell="A12" workbookViewId="0">
      <selection activeCell="I26" sqref="I26"/>
    </sheetView>
  </sheetViews>
  <sheetFormatPr defaultRowHeight="15" x14ac:dyDescent="0.25"/>
  <cols>
    <col min="1" max="1" width="20.7109375" customWidth="1"/>
  </cols>
  <sheetData>
    <row r="2" spans="1:6" ht="21" x14ac:dyDescent="0.35">
      <c r="A2" s="5" t="s">
        <v>42</v>
      </c>
    </row>
    <row r="4" spans="1:6" x14ac:dyDescent="0.25">
      <c r="A4" s="9" t="s">
        <v>43</v>
      </c>
    </row>
    <row r="5" spans="1:6" x14ac:dyDescent="0.25">
      <c r="A5" s="10"/>
      <c r="B5" s="10"/>
      <c r="C5" s="10" t="s">
        <v>44</v>
      </c>
      <c r="D5" s="10"/>
      <c r="E5" s="10"/>
      <c r="F5" s="10"/>
    </row>
    <row r="6" spans="1:6" x14ac:dyDescent="0.25">
      <c r="A6" t="s">
        <v>45</v>
      </c>
      <c r="C6">
        <v>0.69499999999999995</v>
      </c>
    </row>
    <row r="7" spans="1:6" x14ac:dyDescent="0.25">
      <c r="A7" t="s">
        <v>46</v>
      </c>
      <c r="C7">
        <v>0.59</v>
      </c>
    </row>
    <row r="8" spans="1:6" x14ac:dyDescent="0.25">
      <c r="A8" t="s">
        <v>47</v>
      </c>
      <c r="C8">
        <v>0.77</v>
      </c>
    </row>
    <row r="9" spans="1:6" x14ac:dyDescent="0.25">
      <c r="A9" t="s">
        <v>48</v>
      </c>
      <c r="C9">
        <f>AVERAGE(C6:C8)</f>
        <v>0.68499999999999994</v>
      </c>
    </row>
    <row r="10" spans="1:6" x14ac:dyDescent="0.25">
      <c r="A10" s="10"/>
      <c r="B10" s="10"/>
      <c r="C10" s="10" t="s">
        <v>49</v>
      </c>
      <c r="D10" s="10"/>
      <c r="E10" s="10"/>
      <c r="F10" s="10"/>
    </row>
    <row r="11" spans="1:6" x14ac:dyDescent="0.25">
      <c r="A11" s="1" t="s">
        <v>16</v>
      </c>
      <c r="B11" t="s">
        <v>50</v>
      </c>
      <c r="C11">
        <v>0.73499999999999999</v>
      </c>
    </row>
    <row r="12" spans="1:6" x14ac:dyDescent="0.25">
      <c r="A12" s="1" t="s">
        <v>18</v>
      </c>
      <c r="B12" t="s">
        <v>51</v>
      </c>
      <c r="C12">
        <v>0.5</v>
      </c>
      <c r="D12" s="4"/>
    </row>
    <row r="13" spans="1:6" x14ac:dyDescent="0.25">
      <c r="A13" s="1" t="s">
        <v>19</v>
      </c>
      <c r="B13" t="s">
        <v>52</v>
      </c>
      <c r="C13">
        <v>0.54200000000000004</v>
      </c>
    </row>
    <row r="14" spans="1:6" x14ac:dyDescent="0.25">
      <c r="A14" s="1" t="s">
        <v>21</v>
      </c>
      <c r="B14" t="s">
        <v>53</v>
      </c>
      <c r="C14">
        <v>0.37</v>
      </c>
    </row>
    <row r="15" spans="1:6" x14ac:dyDescent="0.25">
      <c r="A15" s="1" t="s">
        <v>22</v>
      </c>
      <c r="B15" t="s">
        <v>54</v>
      </c>
      <c r="C15">
        <v>0.32600000000000001</v>
      </c>
    </row>
    <row r="16" spans="1:6" x14ac:dyDescent="0.25">
      <c r="A16" s="1" t="s">
        <v>25</v>
      </c>
      <c r="B16" t="s">
        <v>55</v>
      </c>
      <c r="C16">
        <v>0.38500000000000001</v>
      </c>
    </row>
    <row r="17" spans="1:3" x14ac:dyDescent="0.25">
      <c r="A17" s="1" t="s">
        <v>28</v>
      </c>
      <c r="B17" t="s">
        <v>56</v>
      </c>
      <c r="C17">
        <v>0.52</v>
      </c>
    </row>
    <row r="18" spans="1:3" x14ac:dyDescent="0.25">
      <c r="A18" s="1" t="s">
        <v>57</v>
      </c>
      <c r="C18" s="2">
        <f>AVERAGE(C11:C17)</f>
        <v>0.48257142857142854</v>
      </c>
    </row>
    <row r="21" spans="1:3" x14ac:dyDescent="0.25">
      <c r="A21" s="1" t="s">
        <v>58</v>
      </c>
    </row>
    <row r="22" spans="1:3" x14ac:dyDescent="0.25">
      <c r="A22" t="s">
        <v>59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7" tint="0.79998168889431442"/>
  </sheetPr>
  <dimension ref="A2:BH23"/>
  <sheetViews>
    <sheetView workbookViewId="0">
      <selection activeCell="C2" sqref="C2"/>
    </sheetView>
  </sheetViews>
  <sheetFormatPr defaultRowHeight="15" x14ac:dyDescent="0.25"/>
  <cols>
    <col min="1" max="1" width="20.140625" customWidth="1"/>
    <col min="2" max="2" width="22.85546875" customWidth="1"/>
    <col min="3" max="3" width="13.85546875" customWidth="1"/>
    <col min="4" max="4" width="15.28515625" customWidth="1"/>
  </cols>
  <sheetData>
    <row r="2" spans="1:60" ht="21" x14ac:dyDescent="0.35">
      <c r="A2" s="5" t="s">
        <v>67</v>
      </c>
      <c r="C2" t="s">
        <v>187</v>
      </c>
    </row>
    <row r="4" spans="1:60" x14ac:dyDescent="0.25">
      <c r="A4" s="10" t="s">
        <v>68</v>
      </c>
      <c r="B4" s="10" t="s">
        <v>69</v>
      </c>
      <c r="C4" s="10" t="s">
        <v>70</v>
      </c>
      <c r="D4" s="10" t="s">
        <v>71</v>
      </c>
      <c r="E4" s="10" t="s">
        <v>72</v>
      </c>
      <c r="F4" s="10" t="s">
        <v>73</v>
      </c>
      <c r="G4" s="10" t="s">
        <v>74</v>
      </c>
      <c r="H4" s="10" t="s">
        <v>75</v>
      </c>
      <c r="I4" s="10" t="s">
        <v>76</v>
      </c>
      <c r="J4" s="10" t="s">
        <v>77</v>
      </c>
      <c r="K4" s="10" t="s">
        <v>78</v>
      </c>
      <c r="L4" s="10" t="s">
        <v>79</v>
      </c>
      <c r="M4" s="10" t="s">
        <v>80</v>
      </c>
      <c r="N4" s="10" t="s">
        <v>81</v>
      </c>
      <c r="O4" s="10" t="s">
        <v>82</v>
      </c>
      <c r="P4" s="10" t="s">
        <v>83</v>
      </c>
      <c r="Q4" s="10" t="s">
        <v>84</v>
      </c>
      <c r="R4" s="10" t="s">
        <v>85</v>
      </c>
      <c r="S4" s="10" t="s">
        <v>86</v>
      </c>
      <c r="T4" s="10" t="s">
        <v>87</v>
      </c>
      <c r="U4" s="10" t="s">
        <v>88</v>
      </c>
      <c r="V4" s="10" t="s">
        <v>89</v>
      </c>
      <c r="W4" s="10" t="s">
        <v>90</v>
      </c>
      <c r="X4" s="10" t="s">
        <v>91</v>
      </c>
      <c r="Y4" s="10" t="s">
        <v>92</v>
      </c>
      <c r="Z4" s="10" t="s">
        <v>93</v>
      </c>
      <c r="AA4" s="10" t="s">
        <v>94</v>
      </c>
      <c r="AB4" s="10" t="s">
        <v>95</v>
      </c>
      <c r="AC4" s="10" t="s">
        <v>96</v>
      </c>
      <c r="AD4" s="10" t="s">
        <v>97</v>
      </c>
      <c r="AE4" s="10" t="s">
        <v>98</v>
      </c>
      <c r="AF4" s="10" t="s">
        <v>99</v>
      </c>
      <c r="AG4" s="10" t="s">
        <v>100</v>
      </c>
      <c r="AH4" s="10" t="s">
        <v>101</v>
      </c>
      <c r="AI4" s="10" t="s">
        <v>102</v>
      </c>
      <c r="AJ4" s="10" t="s">
        <v>103</v>
      </c>
      <c r="AK4" s="10" t="s">
        <v>104</v>
      </c>
      <c r="AL4" s="10" t="s">
        <v>105</v>
      </c>
      <c r="AM4" s="10" t="s">
        <v>106</v>
      </c>
      <c r="AN4" s="10" t="s">
        <v>107</v>
      </c>
      <c r="AO4" s="10" t="s">
        <v>108</v>
      </c>
      <c r="AP4" s="10" t="s">
        <v>109</v>
      </c>
      <c r="AQ4" s="10" t="s">
        <v>110</v>
      </c>
      <c r="AR4" s="10" t="s">
        <v>111</v>
      </c>
      <c r="AS4" s="10" t="s">
        <v>112</v>
      </c>
      <c r="AT4" s="10" t="s">
        <v>113</v>
      </c>
      <c r="AU4" s="10" t="s">
        <v>114</v>
      </c>
      <c r="AV4" s="10" t="s">
        <v>115</v>
      </c>
      <c r="AW4" s="10" t="s">
        <v>116</v>
      </c>
      <c r="AX4" s="10" t="s">
        <v>117</v>
      </c>
      <c r="AY4" s="10" t="s">
        <v>118</v>
      </c>
      <c r="AZ4" s="10" t="s">
        <v>119</v>
      </c>
      <c r="BA4" s="10" t="s">
        <v>120</v>
      </c>
      <c r="BB4" s="10" t="s">
        <v>121</v>
      </c>
      <c r="BC4" s="10" t="s">
        <v>122</v>
      </c>
      <c r="BD4" s="10" t="s">
        <v>123</v>
      </c>
      <c r="BE4" s="10" t="s">
        <v>124</v>
      </c>
      <c r="BF4" s="10" t="s">
        <v>125</v>
      </c>
      <c r="BG4" s="10" t="s">
        <v>126</v>
      </c>
      <c r="BH4" s="10" t="s">
        <v>127</v>
      </c>
    </row>
    <row r="5" spans="1:60" x14ac:dyDescent="0.25">
      <c r="A5" s="1" t="s">
        <v>13</v>
      </c>
      <c r="B5" t="s">
        <v>146</v>
      </c>
      <c r="C5" t="s">
        <v>147</v>
      </c>
      <c r="D5" t="s">
        <v>142</v>
      </c>
      <c r="E5" t="s">
        <v>18</v>
      </c>
      <c r="F5">
        <v>1000</v>
      </c>
      <c r="G5">
        <v>15.465521516035301</v>
      </c>
      <c r="H5">
        <v>15.4370587423034</v>
      </c>
      <c r="I5">
        <v>7.5647880972959001E-4</v>
      </c>
      <c r="J5">
        <v>1.4206897765150001E-5</v>
      </c>
      <c r="K5">
        <v>2.0278824037509999E-5</v>
      </c>
      <c r="L5">
        <v>15.0645196628269</v>
      </c>
      <c r="M5">
        <v>15.0645196628269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15.663199131551799</v>
      </c>
      <c r="Y5">
        <v>0</v>
      </c>
      <c r="Z5">
        <v>0</v>
      </c>
      <c r="AA5">
        <v>0</v>
      </c>
      <c r="AB5">
        <v>0</v>
      </c>
      <c r="AC5">
        <v>15.0645196628269</v>
      </c>
      <c r="AD5">
        <v>0</v>
      </c>
      <c r="AE5">
        <v>0</v>
      </c>
      <c r="AF5">
        <v>0</v>
      </c>
      <c r="AG5">
        <v>0</v>
      </c>
      <c r="AH5">
        <v>0</v>
      </c>
      <c r="AI5">
        <v>15.0645196628269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0.132549287428427</v>
      </c>
      <c r="BA5">
        <v>0.114767269191258</v>
      </c>
      <c r="BB5">
        <v>5.2683544264723995E-4</v>
      </c>
      <c r="BC5">
        <v>1.4206897765150001E-5</v>
      </c>
      <c r="BD5">
        <v>6.22247548213E-6</v>
      </c>
      <c r="BE5">
        <v>0.26845256577989202</v>
      </c>
      <c r="BF5">
        <v>0.25777181028522</v>
      </c>
      <c r="BG5">
        <v>2.2964336708235E-4</v>
      </c>
      <c r="BH5">
        <v>1.4056348555370001E-5</v>
      </c>
    </row>
    <row r="6" spans="1:60" x14ac:dyDescent="0.25">
      <c r="A6" s="1" t="s">
        <v>14</v>
      </c>
      <c r="B6" t="s">
        <v>128</v>
      </c>
      <c r="C6" t="s">
        <v>129</v>
      </c>
      <c r="D6" t="s">
        <v>130</v>
      </c>
      <c r="E6" t="s">
        <v>131</v>
      </c>
      <c r="F6">
        <v>1000</v>
      </c>
      <c r="G6">
        <v>32.193162466307797</v>
      </c>
      <c r="H6">
        <v>4.7187250648145396</v>
      </c>
      <c r="I6">
        <v>8.9788387066983399E-3</v>
      </c>
      <c r="J6">
        <v>0.78989549632502698</v>
      </c>
      <c r="K6">
        <v>2.1537324568710201E-2</v>
      </c>
      <c r="L6">
        <v>32.017663660950902</v>
      </c>
      <c r="M6">
        <v>4.5831291292343899</v>
      </c>
      <c r="N6">
        <v>7.6740908245110798E-3</v>
      </c>
      <c r="O6">
        <v>0.78986961421672197</v>
      </c>
      <c r="P6">
        <v>2.1536143008405E-2</v>
      </c>
      <c r="Q6">
        <v>11.7884271091248</v>
      </c>
      <c r="R6">
        <v>0.59432731679966799</v>
      </c>
      <c r="S6">
        <v>3.1865778528569803E-2</v>
      </c>
      <c r="T6">
        <v>7.2335627244800693E-2</v>
      </c>
      <c r="U6">
        <v>3.0843475242998601</v>
      </c>
      <c r="V6">
        <v>2.6086766983088198E-12</v>
      </c>
      <c r="W6">
        <v>0.198631216846055</v>
      </c>
      <c r="X6">
        <v>0.37478798516570799</v>
      </c>
      <c r="Y6">
        <v>10.2127733268133</v>
      </c>
      <c r="Z6">
        <v>2.0481926325952502</v>
      </c>
      <c r="AA6">
        <v>0.98042072743348396</v>
      </c>
      <c r="AB6">
        <v>2.9345972815048098</v>
      </c>
      <c r="AC6">
        <v>2.4877444491707998</v>
      </c>
      <c r="AD6">
        <v>0.108629247226462</v>
      </c>
      <c r="AE6">
        <v>18.766205824888701</v>
      </c>
      <c r="AF6">
        <v>4.6918734981313603</v>
      </c>
      <c r="AG6">
        <v>1.22169316935221</v>
      </c>
      <c r="AH6">
        <v>0.87290459582806001</v>
      </c>
      <c r="AI6">
        <v>2.4301624386968399</v>
      </c>
      <c r="AJ6">
        <v>0.10851483008975001</v>
      </c>
      <c r="AK6">
        <v>2.2355685053632398E-3</v>
      </c>
      <c r="AL6">
        <v>3.1051228199512702E-3</v>
      </c>
      <c r="AM6">
        <v>0.50596365905547003</v>
      </c>
      <c r="AN6">
        <v>0</v>
      </c>
      <c r="AO6">
        <v>0.69504466018106403</v>
      </c>
      <c r="AP6">
        <v>9.4824954035658798E-2</v>
      </c>
      <c r="AQ6">
        <v>2.7834414717333601E-3</v>
      </c>
      <c r="AR6">
        <v>5.4884511248620002E-5</v>
      </c>
      <c r="AS6">
        <v>1.0749440591592699E-2</v>
      </c>
      <c r="AT6">
        <v>0.50471517741444305</v>
      </c>
      <c r="AU6">
        <v>7.80805765263213E-3</v>
      </c>
      <c r="AV6">
        <v>0</v>
      </c>
      <c r="AW6">
        <v>0</v>
      </c>
      <c r="AX6">
        <v>0</v>
      </c>
      <c r="AY6">
        <v>0</v>
      </c>
      <c r="AZ6">
        <v>0.16715054694313</v>
      </c>
      <c r="BA6">
        <v>0.127591292497577</v>
      </c>
      <c r="BB6">
        <v>1.2976377481273399E-3</v>
      </c>
      <c r="BC6">
        <v>2.5882108305240001E-5</v>
      </c>
      <c r="BD6">
        <v>6.9902061214887601E-7</v>
      </c>
      <c r="BE6">
        <v>8.3482584137843305E-3</v>
      </c>
      <c r="BF6">
        <v>8.0046430825725604E-3</v>
      </c>
      <c r="BG6">
        <v>7.1101340599199996E-6</v>
      </c>
      <c r="BH6">
        <v>4.8253969313553303E-7</v>
      </c>
    </row>
    <row r="7" spans="1:60" x14ac:dyDescent="0.25">
      <c r="A7" s="1" t="s">
        <v>15</v>
      </c>
      <c r="B7" t="s">
        <v>167</v>
      </c>
      <c r="C7" t="s">
        <v>65</v>
      </c>
      <c r="D7" t="s">
        <v>168</v>
      </c>
      <c r="E7" t="s">
        <v>169</v>
      </c>
      <c r="F7">
        <v>1000</v>
      </c>
      <c r="G7">
        <v>7.1080989835672703</v>
      </c>
      <c r="H7">
        <v>1.79320199219914</v>
      </c>
      <c r="I7">
        <v>3.6138537008873202E-3</v>
      </c>
      <c r="J7">
        <v>0.147010363456405</v>
      </c>
      <c r="K7">
        <v>4.5345213837316E-3</v>
      </c>
      <c r="L7">
        <v>6.5731792817146903</v>
      </c>
      <c r="M7">
        <v>1.2851841512200299</v>
      </c>
      <c r="N7">
        <v>2.9673870583430098E-3</v>
      </c>
      <c r="O7">
        <v>0.14696074814395199</v>
      </c>
      <c r="P7">
        <v>4.5114534661879696E-3</v>
      </c>
      <c r="Q7">
        <v>2.6603215142972001</v>
      </c>
      <c r="R7">
        <v>0.11104239740218801</v>
      </c>
      <c r="S7">
        <v>5.62180156548808E-3</v>
      </c>
      <c r="T7">
        <v>1.9989336201392E-2</v>
      </c>
      <c r="U7">
        <v>0.43161231816978401</v>
      </c>
      <c r="V7">
        <v>7.0507383254516303E-13</v>
      </c>
      <c r="W7">
        <v>3.5198732774742699E-3</v>
      </c>
      <c r="X7">
        <v>6.1257516912009098E-2</v>
      </c>
      <c r="Y7">
        <v>10.3744394282031</v>
      </c>
      <c r="Z7">
        <v>0.35055734698489699</v>
      </c>
      <c r="AA7">
        <v>0.20250654418264899</v>
      </c>
      <c r="AB7">
        <v>0.73111118204657399</v>
      </c>
      <c r="AC7">
        <v>0.93884282058560697</v>
      </c>
      <c r="AD7">
        <v>4.5427279396355699E-2</v>
      </c>
      <c r="AE7">
        <v>3.5061059128705598</v>
      </c>
      <c r="AF7">
        <v>0.79862819564805199</v>
      </c>
      <c r="AG7">
        <v>0.21123707043123</v>
      </c>
      <c r="AH7">
        <v>0.18138055654320301</v>
      </c>
      <c r="AI7">
        <v>0.91253448064340204</v>
      </c>
      <c r="AJ7">
        <v>4.5427279396355699E-2</v>
      </c>
      <c r="AK7">
        <v>3.9154346803028001E-4</v>
      </c>
      <c r="AL7">
        <v>6.4192383944142997E-4</v>
      </c>
      <c r="AM7">
        <v>0.281075563019902</v>
      </c>
      <c r="AN7">
        <v>0</v>
      </c>
      <c r="AO7">
        <v>0.129855774550761</v>
      </c>
      <c r="AP7">
        <v>1.7104973593190999E-2</v>
      </c>
      <c r="AQ7">
        <v>4.6759077364968001E-4</v>
      </c>
      <c r="AR7">
        <v>7.3137627256000004E-6</v>
      </c>
      <c r="AS7">
        <v>2.6780629378995299E-3</v>
      </c>
      <c r="AT7">
        <v>0.28041911135278402</v>
      </c>
      <c r="AU7">
        <v>1.23367732099594E-3</v>
      </c>
      <c r="AV7">
        <v>0.331075027102608</v>
      </c>
      <c r="AW7">
        <v>0.32262272992010099</v>
      </c>
      <c r="AX7">
        <v>1.7801225442973001E-4</v>
      </c>
      <c r="AY7">
        <v>1.1529421247250001E-5</v>
      </c>
      <c r="AZ7">
        <v>9.6777195229454799E-2</v>
      </c>
      <c r="BA7">
        <v>8.2687090430199603E-2</v>
      </c>
      <c r="BB7">
        <v>3.7723013849875E-4</v>
      </c>
      <c r="BC7">
        <v>4.961531245318E-5</v>
      </c>
      <c r="BD7">
        <v>5.5275942701700004E-6</v>
      </c>
      <c r="BE7">
        <v>0.107067479520508</v>
      </c>
      <c r="BF7">
        <v>0.10270802062880301</v>
      </c>
      <c r="BG7">
        <v>9.1224249615820004E-5</v>
      </c>
      <c r="BH7">
        <v>6.0109020262000004E-6</v>
      </c>
    </row>
    <row r="8" spans="1:60" x14ac:dyDescent="0.25">
      <c r="A8" s="1" t="s">
        <v>16</v>
      </c>
      <c r="B8" t="s">
        <v>148</v>
      </c>
      <c r="C8" t="s">
        <v>149</v>
      </c>
      <c r="D8" t="s">
        <v>142</v>
      </c>
      <c r="E8" t="s">
        <v>150</v>
      </c>
      <c r="F8">
        <v>1000</v>
      </c>
      <c r="G8">
        <v>10.713373881389501</v>
      </c>
      <c r="H8">
        <v>10.6849111076576</v>
      </c>
      <c r="I8">
        <v>7.5647880972959001E-4</v>
      </c>
      <c r="J8">
        <v>1.4206897765150001E-5</v>
      </c>
      <c r="K8">
        <v>2.0278824037509999E-5</v>
      </c>
      <c r="L8">
        <v>10.3123720281811</v>
      </c>
      <c r="M8">
        <v>10.3123720281811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0.61753085931381502</v>
      </c>
      <c r="Y8">
        <v>0</v>
      </c>
      <c r="Z8">
        <v>0</v>
      </c>
      <c r="AA8">
        <v>0</v>
      </c>
      <c r="AB8">
        <v>0</v>
      </c>
      <c r="AC8">
        <v>10.3123720281811</v>
      </c>
      <c r="AD8">
        <v>0</v>
      </c>
      <c r="AE8">
        <v>0</v>
      </c>
      <c r="AF8">
        <v>0</v>
      </c>
      <c r="AG8">
        <v>0</v>
      </c>
      <c r="AH8">
        <v>0</v>
      </c>
      <c r="AI8">
        <v>10.3123720281811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0.132549287428427</v>
      </c>
      <c r="BA8">
        <v>0.114767269191258</v>
      </c>
      <c r="BB8">
        <v>5.2683544264723995E-4</v>
      </c>
      <c r="BC8">
        <v>1.4206897765150001E-5</v>
      </c>
      <c r="BD8">
        <v>6.22247548213E-6</v>
      </c>
      <c r="BE8">
        <v>0.26845256577989202</v>
      </c>
      <c r="BF8">
        <v>0.25777181028522</v>
      </c>
      <c r="BG8">
        <v>2.2964336708235E-4</v>
      </c>
      <c r="BH8">
        <v>1.4056348555370001E-5</v>
      </c>
    </row>
    <row r="9" spans="1:60" x14ac:dyDescent="0.25">
      <c r="A9" s="1" t="s">
        <v>17</v>
      </c>
      <c r="B9" t="s">
        <v>160</v>
      </c>
      <c r="C9" t="s">
        <v>161</v>
      </c>
      <c r="D9" t="s">
        <v>158</v>
      </c>
      <c r="E9" t="s">
        <v>162</v>
      </c>
      <c r="F9">
        <v>1000</v>
      </c>
      <c r="G9">
        <v>3.4987143926637398</v>
      </c>
      <c r="H9">
        <v>0.79995160787452702</v>
      </c>
      <c r="I9">
        <v>1.9193301201181499E-3</v>
      </c>
      <c r="J9">
        <v>7.46022535114306E-2</v>
      </c>
      <c r="K9">
        <v>2.2978238183189201E-3</v>
      </c>
      <c r="L9">
        <v>3.3347194309590198</v>
      </c>
      <c r="M9">
        <v>0.65200238389299503</v>
      </c>
      <c r="N9">
        <v>1.5054211757406101E-3</v>
      </c>
      <c r="O9">
        <v>7.4556442388115096E-2</v>
      </c>
      <c r="P9">
        <v>2.28876026208735E-3</v>
      </c>
      <c r="Q9">
        <v>1.34964002442528</v>
      </c>
      <c r="R9">
        <v>5.6334267544997603E-2</v>
      </c>
      <c r="S9">
        <v>2.8520644446105099E-3</v>
      </c>
      <c r="T9">
        <v>1.01410329744369E-2</v>
      </c>
      <c r="U9">
        <v>0.21896648826328399</v>
      </c>
      <c r="V9">
        <v>3.5769957107206101E-13</v>
      </c>
      <c r="W9">
        <v>1.78570967105052E-3</v>
      </c>
      <c r="X9">
        <v>3.10772950476241E-2</v>
      </c>
      <c r="Y9">
        <v>5.2631828927555997</v>
      </c>
      <c r="Z9">
        <v>0.17784550619331799</v>
      </c>
      <c r="AA9">
        <v>0.102736054934756</v>
      </c>
      <c r="AB9">
        <v>0.37090889514367997</v>
      </c>
      <c r="AC9">
        <v>0.476295756169683</v>
      </c>
      <c r="AD9">
        <v>2.30462649512755E-2</v>
      </c>
      <c r="AE9">
        <v>1.7787251820704599</v>
      </c>
      <c r="AF9">
        <v>0.40516177149584298</v>
      </c>
      <c r="AG9">
        <v>0.10716524426245801</v>
      </c>
      <c r="AH9">
        <v>9.2018373511485896E-2</v>
      </c>
      <c r="AI9">
        <v>0.46294895264561198</v>
      </c>
      <c r="AJ9">
        <v>2.30462649512755E-2</v>
      </c>
      <c r="AK9">
        <v>1.9863867315134001E-4</v>
      </c>
      <c r="AL9">
        <v>3.2566218093821997E-4</v>
      </c>
      <c r="AM9">
        <v>0.142595858320436</v>
      </c>
      <c r="AN9">
        <v>0</v>
      </c>
      <c r="AO9">
        <v>6.5878710447054206E-2</v>
      </c>
      <c r="AP9">
        <v>8.6777319410608691E-3</v>
      </c>
      <c r="AQ9">
        <v>2.3721915557123999E-4</v>
      </c>
      <c r="AR9">
        <v>3.7104338143199999E-6</v>
      </c>
      <c r="AS9">
        <v>1.35864064155194E-3</v>
      </c>
      <c r="AT9">
        <v>0.142262825850758</v>
      </c>
      <c r="AU9">
        <v>6.2587182815823997E-4</v>
      </c>
      <c r="AV9">
        <v>1.1033314020377801E-2</v>
      </c>
      <c r="AW9">
        <v>1.0587129467897E-2</v>
      </c>
      <c r="AX9">
        <v>1.1409576027890001E-5</v>
      </c>
      <c r="AY9">
        <v>3.8893475036472598E-7</v>
      </c>
      <c r="AZ9">
        <v>8.9356930463117906E-2</v>
      </c>
      <c r="BA9">
        <v>7.6347166005903203E-2</v>
      </c>
      <c r="BB9">
        <v>3.4830651141009E-4</v>
      </c>
      <c r="BC9">
        <v>4.5811123315500002E-5</v>
      </c>
      <c r="BD9">
        <v>5.1037732149200004E-6</v>
      </c>
      <c r="BE9">
        <v>6.3604717221224696E-2</v>
      </c>
      <c r="BF9">
        <v>6.1014928507730999E-2</v>
      </c>
      <c r="BG9">
        <v>5.4192856939539998E-5</v>
      </c>
      <c r="BH9">
        <v>3.57084826628E-6</v>
      </c>
    </row>
    <row r="10" spans="1:60" x14ac:dyDescent="0.25">
      <c r="A10" s="1" t="s">
        <v>18</v>
      </c>
      <c r="B10" t="s">
        <v>146</v>
      </c>
      <c r="C10" t="s">
        <v>147</v>
      </c>
      <c r="D10" t="s">
        <v>142</v>
      </c>
      <c r="E10" t="s">
        <v>18</v>
      </c>
      <c r="F10">
        <v>1000</v>
      </c>
      <c r="G10">
        <v>15.465521516035301</v>
      </c>
      <c r="H10">
        <v>15.4370587423034</v>
      </c>
      <c r="I10">
        <v>7.5647880972959001E-4</v>
      </c>
      <c r="J10">
        <v>1.4206897765150001E-5</v>
      </c>
      <c r="K10">
        <v>2.0278824037509999E-5</v>
      </c>
      <c r="L10">
        <v>15.0645196628269</v>
      </c>
      <c r="M10">
        <v>15.0645196628269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15.663199131551799</v>
      </c>
      <c r="Y10">
        <v>0</v>
      </c>
      <c r="Z10">
        <v>0</v>
      </c>
      <c r="AA10">
        <v>0</v>
      </c>
      <c r="AB10">
        <v>0</v>
      </c>
      <c r="AC10">
        <v>15.0645196628269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15.0645196628269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0.132549287428427</v>
      </c>
      <c r="BA10">
        <v>0.114767269191258</v>
      </c>
      <c r="BB10">
        <v>5.2683544264723995E-4</v>
      </c>
      <c r="BC10">
        <v>1.4206897765150001E-5</v>
      </c>
      <c r="BD10">
        <v>6.22247548213E-6</v>
      </c>
      <c r="BE10">
        <v>0.26845256577989202</v>
      </c>
      <c r="BF10">
        <v>0.25777181028522</v>
      </c>
      <c r="BG10">
        <v>2.2964336708235E-4</v>
      </c>
      <c r="BH10">
        <v>1.4056348555370001E-5</v>
      </c>
    </row>
    <row r="11" spans="1:60" x14ac:dyDescent="0.25">
      <c r="A11" s="1" t="s">
        <v>19</v>
      </c>
      <c r="B11" t="s">
        <v>170</v>
      </c>
      <c r="C11" t="s">
        <v>171</v>
      </c>
      <c r="D11" t="s">
        <v>142</v>
      </c>
      <c r="E11" t="s">
        <v>143</v>
      </c>
      <c r="F11">
        <v>1000</v>
      </c>
      <c r="G11">
        <v>6.8013085759136196</v>
      </c>
      <c r="H11">
        <v>4.1060372070075299</v>
      </c>
      <c r="I11">
        <v>1.5624228480953101E-3</v>
      </c>
      <c r="J11">
        <v>1.8453188378809999E-5</v>
      </c>
      <c r="K11">
        <v>9.7004136701341597E-3</v>
      </c>
      <c r="L11">
        <v>6.4268276670352797</v>
      </c>
      <c r="M11">
        <v>3.7636598846245599</v>
      </c>
      <c r="N11">
        <v>6.5091670659635995E-4</v>
      </c>
      <c r="O11">
        <v>0</v>
      </c>
      <c r="P11">
        <v>9.6841408958027401E-3</v>
      </c>
      <c r="Q11">
        <v>5.3688853608748301</v>
      </c>
      <c r="R11">
        <v>6.9999122740278405E-2</v>
      </c>
      <c r="S11">
        <v>1.0547821309108999E-2</v>
      </c>
      <c r="T11">
        <v>4.5471930797232801E-2</v>
      </c>
      <c r="U11">
        <v>5.9360692116173001E-4</v>
      </c>
      <c r="V11">
        <v>1.3168238176067801E-12</v>
      </c>
      <c r="W11">
        <v>2.1385836678236101E-3</v>
      </c>
      <c r="X11">
        <v>11.8253821162509</v>
      </c>
      <c r="Y11">
        <v>99.659569964545796</v>
      </c>
      <c r="Z11">
        <v>3.6129574596249001</v>
      </c>
      <c r="AA11">
        <v>8.6281674421219007E-2</v>
      </c>
      <c r="AB11">
        <v>1.89431679589359</v>
      </c>
      <c r="AC11">
        <v>0.61367361589456304</v>
      </c>
      <c r="AD11">
        <v>0.219598121200998</v>
      </c>
      <c r="AE11">
        <v>0</v>
      </c>
      <c r="AF11">
        <v>0</v>
      </c>
      <c r="AG11">
        <v>2.8441064731077699</v>
      </c>
      <c r="AH11">
        <v>8.6281674421219007E-2</v>
      </c>
      <c r="AI11">
        <v>0.61367361589456304</v>
      </c>
      <c r="AJ11">
        <v>0.219598121200998</v>
      </c>
      <c r="AK11">
        <v>6.5091670659635995E-4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2.74525153355513E-3</v>
      </c>
      <c r="AR11">
        <v>0</v>
      </c>
      <c r="AS11">
        <v>6.9388893622476001E-3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0.106028343098449</v>
      </c>
      <c r="BA11">
        <v>8.4605512097746596E-2</v>
      </c>
      <c r="BB11">
        <v>6.8186277441658998E-4</v>
      </c>
      <c r="BC11">
        <v>1.8453188378809999E-5</v>
      </c>
      <c r="BD11">
        <v>2.2164257760399998E-6</v>
      </c>
      <c r="BE11">
        <v>0.26845256577989202</v>
      </c>
      <c r="BF11">
        <v>0.25777181028522</v>
      </c>
      <c r="BG11">
        <v>2.2964336708235E-4</v>
      </c>
      <c r="BH11">
        <v>1.4056348555370001E-5</v>
      </c>
    </row>
    <row r="12" spans="1:60" x14ac:dyDescent="0.25">
      <c r="A12" s="1" t="s">
        <v>20</v>
      </c>
      <c r="B12" t="s">
        <v>163</v>
      </c>
      <c r="C12" t="s">
        <v>164</v>
      </c>
      <c r="D12" t="s">
        <v>165</v>
      </c>
      <c r="E12" t="s">
        <v>166</v>
      </c>
      <c r="F12">
        <v>1000</v>
      </c>
      <c r="G12">
        <v>1.0512130202509999</v>
      </c>
      <c r="H12">
        <v>0.56992626187005901</v>
      </c>
      <c r="I12">
        <v>8.6722125106033002E-4</v>
      </c>
      <c r="J12">
        <v>1.2155517205202E-3</v>
      </c>
      <c r="K12">
        <v>1.54807204631977E-3</v>
      </c>
      <c r="L12">
        <v>0.99356233943846906</v>
      </c>
      <c r="M12">
        <v>0.51783369850095495</v>
      </c>
      <c r="N12">
        <v>7.1735212456872999E-4</v>
      </c>
      <c r="O12">
        <v>1.2092095480449199E-3</v>
      </c>
      <c r="P12">
        <v>1.54469923013975E-3</v>
      </c>
      <c r="Q12">
        <v>4.9341530003978402</v>
      </c>
      <c r="R12">
        <v>5.6741191942628999E-2</v>
      </c>
      <c r="S12">
        <v>6.8444881227612301E-3</v>
      </c>
      <c r="T12">
        <v>2.1383091017755099E-2</v>
      </c>
      <c r="U12">
        <v>0.88535805598683903</v>
      </c>
      <c r="V12">
        <v>6.7384752977602604E-13</v>
      </c>
      <c r="W12">
        <v>2.3657573243074099E-3</v>
      </c>
      <c r="X12">
        <v>8.0582627974302401</v>
      </c>
      <c r="Y12">
        <v>0.43684718623185298</v>
      </c>
      <c r="Z12">
        <v>0.24362691703904399</v>
      </c>
      <c r="AA12">
        <v>7.2541899996925299E-2</v>
      </c>
      <c r="AB12">
        <v>0.33154341965988698</v>
      </c>
      <c r="AC12">
        <v>0.29289072495761598</v>
      </c>
      <c r="AD12">
        <v>1.9730659907313399E-2</v>
      </c>
      <c r="AE12">
        <v>0</v>
      </c>
      <c r="AF12">
        <v>3.32287178776818E-2</v>
      </c>
      <c r="AG12">
        <v>0.14952795653008299</v>
      </c>
      <c r="AH12">
        <v>6.4790145890374004E-2</v>
      </c>
      <c r="AI12">
        <v>0.286116675719713</v>
      </c>
      <c r="AJ12">
        <v>1.9730659907313399E-2</v>
      </c>
      <c r="AK12">
        <v>2.6996363249006999E-4</v>
      </c>
      <c r="AL12">
        <v>2.3773624703020001E-4</v>
      </c>
      <c r="AM12">
        <v>4.7532184261040403E-2</v>
      </c>
      <c r="AN12">
        <v>0</v>
      </c>
      <c r="AO12">
        <v>0</v>
      </c>
      <c r="AP12">
        <v>1.2092095480449199E-3</v>
      </c>
      <c r="AQ12">
        <v>3.1521627934343001E-4</v>
      </c>
      <c r="AR12">
        <v>2.4440071247199998E-6</v>
      </c>
      <c r="AS12">
        <v>1.21444476065892E-3</v>
      </c>
      <c r="AT12">
        <v>4.7384976417552099E-2</v>
      </c>
      <c r="AU12">
        <v>2.12476219951E-6</v>
      </c>
      <c r="AV12">
        <v>0</v>
      </c>
      <c r="AW12">
        <v>0</v>
      </c>
      <c r="AX12">
        <v>0</v>
      </c>
      <c r="AY12">
        <v>0</v>
      </c>
      <c r="AZ12">
        <v>4.4823493583701302E-2</v>
      </c>
      <c r="BA12">
        <v>3.9790356012319603E-2</v>
      </c>
      <c r="BB12">
        <v>1.3894839250013001E-4</v>
      </c>
      <c r="BC12">
        <v>6.3421724752699996E-6</v>
      </c>
      <c r="BD12">
        <v>2.6418931063900001E-6</v>
      </c>
      <c r="BE12">
        <v>1.28271872288294E-2</v>
      </c>
      <c r="BF12">
        <v>1.23022073567839E-2</v>
      </c>
      <c r="BG12">
        <v>1.092073399146E-5</v>
      </c>
      <c r="BH12">
        <v>7.3092307362619495E-7</v>
      </c>
    </row>
    <row r="13" spans="1:60" x14ac:dyDescent="0.25">
      <c r="A13" s="1" t="s">
        <v>21</v>
      </c>
      <c r="B13" t="s">
        <v>144</v>
      </c>
      <c r="C13" t="s">
        <v>145</v>
      </c>
      <c r="D13" t="s">
        <v>142</v>
      </c>
      <c r="E13" t="s">
        <v>143</v>
      </c>
      <c r="F13">
        <v>1000</v>
      </c>
      <c r="G13">
        <v>12.8661333966143</v>
      </c>
      <c r="H13">
        <v>12.834029810119</v>
      </c>
      <c r="I13">
        <v>9.1150614149895001E-4</v>
      </c>
      <c r="J13">
        <v>1.8453188378809999E-5</v>
      </c>
      <c r="K13">
        <v>1.6272774331420001E-5</v>
      </c>
      <c r="L13">
        <v>12.491652487735999</v>
      </c>
      <c r="M13">
        <v>12.491652487735999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5.91153348865938</v>
      </c>
      <c r="Y13">
        <v>0</v>
      </c>
      <c r="Z13">
        <v>0</v>
      </c>
      <c r="AA13">
        <v>0</v>
      </c>
      <c r="AB13">
        <v>0</v>
      </c>
      <c r="AC13">
        <v>12.491652487735999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12.491652487735999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0.106028343098449</v>
      </c>
      <c r="BA13">
        <v>8.4605512097746596E-2</v>
      </c>
      <c r="BB13">
        <v>6.8186277441658998E-4</v>
      </c>
      <c r="BC13">
        <v>1.8453188378809999E-5</v>
      </c>
      <c r="BD13">
        <v>2.2164257760399998E-6</v>
      </c>
      <c r="BE13">
        <v>0.26845256577989202</v>
      </c>
      <c r="BF13">
        <v>0.25777181028522</v>
      </c>
      <c r="BG13">
        <v>2.2964336708235E-4</v>
      </c>
      <c r="BH13">
        <v>1.4056348555370001E-5</v>
      </c>
    </row>
    <row r="14" spans="1:60" x14ac:dyDescent="0.25">
      <c r="A14" s="1" t="s">
        <v>22</v>
      </c>
      <c r="B14" t="s">
        <v>172</v>
      </c>
      <c r="C14" t="s">
        <v>173</v>
      </c>
      <c r="D14" t="s">
        <v>142</v>
      </c>
      <c r="E14" t="s">
        <v>143</v>
      </c>
      <c r="F14">
        <v>1000</v>
      </c>
      <c r="G14">
        <v>6.8316131397574296</v>
      </c>
      <c r="H14">
        <v>6.7995095532620597</v>
      </c>
      <c r="I14">
        <v>9.1150614149895001E-4</v>
      </c>
      <c r="J14">
        <v>1.8453188378809999E-5</v>
      </c>
      <c r="K14">
        <v>1.6272774331420001E-5</v>
      </c>
      <c r="L14">
        <v>6.4571322308790897</v>
      </c>
      <c r="M14">
        <v>6.4571322308790897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3.6034967327189902</v>
      </c>
      <c r="Y14">
        <v>0</v>
      </c>
      <c r="Z14">
        <v>0</v>
      </c>
      <c r="AA14">
        <v>0</v>
      </c>
      <c r="AB14">
        <v>0</v>
      </c>
      <c r="AC14">
        <v>6.4571322308790897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6.4571322308790897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0.106028343098449</v>
      </c>
      <c r="BA14">
        <v>8.4605512097746596E-2</v>
      </c>
      <c r="BB14">
        <v>6.8186277441658998E-4</v>
      </c>
      <c r="BC14">
        <v>1.8453188378809999E-5</v>
      </c>
      <c r="BD14">
        <v>2.2164257760399998E-6</v>
      </c>
      <c r="BE14">
        <v>0.26845256577989202</v>
      </c>
      <c r="BF14">
        <v>0.25777181028522</v>
      </c>
      <c r="BG14">
        <v>2.2964336708235E-4</v>
      </c>
      <c r="BH14">
        <v>1.4056348555370001E-5</v>
      </c>
    </row>
    <row r="15" spans="1:60" x14ac:dyDescent="0.25">
      <c r="A15" s="1" t="s">
        <v>23</v>
      </c>
      <c r="B15" t="s">
        <v>132</v>
      </c>
      <c r="C15" t="s">
        <v>133</v>
      </c>
      <c r="D15" t="s">
        <v>130</v>
      </c>
      <c r="E15" t="s">
        <v>131</v>
      </c>
      <c r="F15">
        <v>1000</v>
      </c>
      <c r="G15">
        <v>6.4047616822251499</v>
      </c>
      <c r="H15">
        <v>3.4224284640654399</v>
      </c>
      <c r="I15">
        <v>5.4712265791896E-3</v>
      </c>
      <c r="J15">
        <v>4.2156211742110199E-2</v>
      </c>
      <c r="K15">
        <v>6.1577763701937101E-3</v>
      </c>
      <c r="L15">
        <v>6.2062631038907501</v>
      </c>
      <c r="M15">
        <v>3.2647679870465001</v>
      </c>
      <c r="N15">
        <v>4.1468906376135196E-3</v>
      </c>
      <c r="O15">
        <v>4.2130329633804899E-2</v>
      </c>
      <c r="P15">
        <v>6.1553072371085399E-3</v>
      </c>
      <c r="Q15">
        <v>12.4721891092021</v>
      </c>
      <c r="R15">
        <v>0.16280307374191899</v>
      </c>
      <c r="S15">
        <v>2.4126722159701099E-2</v>
      </c>
      <c r="T15">
        <v>0.32207142316765502</v>
      </c>
      <c r="U15">
        <v>2.6710070364349399</v>
      </c>
      <c r="V15">
        <v>2.64386030594955E-12</v>
      </c>
      <c r="W15">
        <v>5.6903818243698598E-2</v>
      </c>
      <c r="X15">
        <v>4.4239052622677502</v>
      </c>
      <c r="Y15">
        <v>90.575781915908806</v>
      </c>
      <c r="Z15">
        <v>0.71817999073556404</v>
      </c>
      <c r="AA15">
        <v>0.21462085676628001</v>
      </c>
      <c r="AB15">
        <v>0.98570761699359799</v>
      </c>
      <c r="AC15">
        <v>2.4088773668049801</v>
      </c>
      <c r="AD15">
        <v>0.339226338379435</v>
      </c>
      <c r="AE15">
        <v>0.31705491161528099</v>
      </c>
      <c r="AF15">
        <v>1.2225960225956101</v>
      </c>
      <c r="AG15">
        <v>0.43712319310877801</v>
      </c>
      <c r="AH15">
        <v>0.19169826785927199</v>
      </c>
      <c r="AI15">
        <v>2.3374675818006199</v>
      </c>
      <c r="AJ15">
        <v>0.339226338379435</v>
      </c>
      <c r="AK15">
        <v>7.9580700801784999E-4</v>
      </c>
      <c r="AL15">
        <v>7.0246351069488001E-4</v>
      </c>
      <c r="AM15">
        <v>0.54791402173125903</v>
      </c>
      <c r="AN15">
        <v>0</v>
      </c>
      <c r="AO15">
        <v>1.1742774504269599E-2</v>
      </c>
      <c r="AP15">
        <v>3.0387555129535199E-2</v>
      </c>
      <c r="AQ15">
        <v>9.4264376845367001E-4</v>
      </c>
      <c r="AR15">
        <v>7.2863600303999998E-6</v>
      </c>
      <c r="AS15">
        <v>3.61065061169816E-3</v>
      </c>
      <c r="AT15">
        <v>0.54630041406089203</v>
      </c>
      <c r="AU15">
        <v>1.4730111139126801E-3</v>
      </c>
      <c r="AV15">
        <v>0</v>
      </c>
      <c r="AW15">
        <v>0</v>
      </c>
      <c r="AX15">
        <v>0</v>
      </c>
      <c r="AY15">
        <v>0</v>
      </c>
      <c r="AZ15">
        <v>0.16715054694313</v>
      </c>
      <c r="BA15">
        <v>0.127591292497577</v>
      </c>
      <c r="BB15">
        <v>1.2976377481273399E-3</v>
      </c>
      <c r="BC15">
        <v>2.5882108305240001E-5</v>
      </c>
      <c r="BD15">
        <v>6.9902061214887601E-7</v>
      </c>
      <c r="BE15">
        <v>3.1348031391268898E-2</v>
      </c>
      <c r="BF15">
        <v>3.0069184521359999E-2</v>
      </c>
      <c r="BG15">
        <v>2.6698193448730001E-5</v>
      </c>
      <c r="BH15">
        <v>1.77011247302E-6</v>
      </c>
    </row>
    <row r="16" spans="1:60" x14ac:dyDescent="0.25">
      <c r="A16" s="1" t="s">
        <v>24</v>
      </c>
      <c r="B16" t="s">
        <v>156</v>
      </c>
      <c r="C16" t="s">
        <v>157</v>
      </c>
      <c r="D16" t="s">
        <v>158</v>
      </c>
      <c r="E16" t="s">
        <v>159</v>
      </c>
      <c r="F16">
        <v>1000</v>
      </c>
      <c r="G16">
        <v>0.99278072589477895</v>
      </c>
      <c r="H16">
        <v>0.274170661083181</v>
      </c>
      <c r="I16">
        <v>7.6926640010740001E-4</v>
      </c>
      <c r="J16">
        <v>1.9624125790758399E-2</v>
      </c>
      <c r="K16">
        <v>6.0745248988249001E-4</v>
      </c>
      <c r="L16">
        <v>0.87568805935084804</v>
      </c>
      <c r="M16">
        <v>0.171214014871165</v>
      </c>
      <c r="N16">
        <v>3.9531941897458001E-4</v>
      </c>
      <c r="O16">
        <v>1.9578314667442899E-2</v>
      </c>
      <c r="P16">
        <v>6.0102208708161004E-4</v>
      </c>
      <c r="Q16">
        <v>0.35441172136971</v>
      </c>
      <c r="R16">
        <v>1.47932221713907E-2</v>
      </c>
      <c r="S16">
        <v>7.4894420065986002E-4</v>
      </c>
      <c r="T16">
        <v>2.6630070892182298E-3</v>
      </c>
      <c r="U16">
        <v>5.74999915705059E-2</v>
      </c>
      <c r="V16">
        <v>9.3930913741862204E-14</v>
      </c>
      <c r="W16">
        <v>4.6892239925460998E-4</v>
      </c>
      <c r="X16">
        <v>8.1608113526664104E-3</v>
      </c>
      <c r="Y16">
        <v>1.3820972075123801</v>
      </c>
      <c r="Z16">
        <v>4.6701735905232598E-2</v>
      </c>
      <c r="AA16">
        <v>2.6978202644564301E-2</v>
      </c>
      <c r="AB16">
        <v>9.7399645550069094E-2</v>
      </c>
      <c r="AC16">
        <v>0.12507394251075701</v>
      </c>
      <c r="AD16">
        <v>6.0518851580458298E-3</v>
      </c>
      <c r="AE16">
        <v>0.46708829185003398</v>
      </c>
      <c r="AF16">
        <v>0.10639435573214399</v>
      </c>
      <c r="AG16">
        <v>2.81412954585697E-2</v>
      </c>
      <c r="AH16">
        <v>2.4163769274502599E-2</v>
      </c>
      <c r="AI16">
        <v>0.12156910898022801</v>
      </c>
      <c r="AJ16">
        <v>6.0518851580458298E-3</v>
      </c>
      <c r="AK16">
        <v>5.2161963788920001E-5</v>
      </c>
      <c r="AL16">
        <v>8.5517984086509995E-5</v>
      </c>
      <c r="AM16">
        <v>3.7445276290659399E-2</v>
      </c>
      <c r="AN16">
        <v>0</v>
      </c>
      <c r="AO16">
        <v>1.7299566364815999E-2</v>
      </c>
      <c r="AP16">
        <v>2.2787483026267901E-3</v>
      </c>
      <c r="AQ16">
        <v>6.2293091303119993E-5</v>
      </c>
      <c r="AR16">
        <v>9.74349612759755E-7</v>
      </c>
      <c r="AS16">
        <v>3.5677525842516E-4</v>
      </c>
      <c r="AT16">
        <v>3.7357822889223201E-2</v>
      </c>
      <c r="AU16">
        <v>1.6435220352095E-4</v>
      </c>
      <c r="AV16">
        <v>1.1033314020377801E-2</v>
      </c>
      <c r="AW16">
        <v>1.0587129467897E-2</v>
      </c>
      <c r="AX16">
        <v>1.1409576027890001E-5</v>
      </c>
      <c r="AY16">
        <v>3.8893475036472598E-7</v>
      </c>
      <c r="AZ16">
        <v>8.9356930463117906E-2</v>
      </c>
      <c r="BA16">
        <v>7.6347166005903203E-2</v>
      </c>
      <c r="BB16">
        <v>3.4830651141009E-4</v>
      </c>
      <c r="BC16">
        <v>4.5811123315500002E-5</v>
      </c>
      <c r="BD16">
        <v>5.1037732149200004E-6</v>
      </c>
      <c r="BE16">
        <v>1.67024220604357E-2</v>
      </c>
      <c r="BF16">
        <v>1.6022350738214799E-2</v>
      </c>
      <c r="BG16">
        <v>1.4230893694830001E-5</v>
      </c>
      <c r="BH16">
        <v>9.3769483558559701E-7</v>
      </c>
    </row>
    <row r="17" spans="1:60" x14ac:dyDescent="0.25">
      <c r="A17" s="1" t="s">
        <v>25</v>
      </c>
      <c r="B17" t="s">
        <v>153</v>
      </c>
      <c r="C17" t="s">
        <v>154</v>
      </c>
      <c r="D17" t="s">
        <v>142</v>
      </c>
      <c r="E17" t="s">
        <v>155</v>
      </c>
      <c r="F17">
        <v>1000</v>
      </c>
      <c r="G17">
        <v>14.8079227367546</v>
      </c>
      <c r="H17">
        <v>14.7555091414053</v>
      </c>
      <c r="I17">
        <v>1.59857989257933E-3</v>
      </c>
      <c r="J17">
        <v>2.7304202168160002E-5</v>
      </c>
      <c r="K17">
        <v>1.479377689346E-5</v>
      </c>
      <c r="L17">
        <v>14.363135528045699</v>
      </c>
      <c r="M17">
        <v>14.363135528045699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13.613068724169</v>
      </c>
      <c r="Y17">
        <v>0</v>
      </c>
      <c r="Z17">
        <v>0</v>
      </c>
      <c r="AA17">
        <v>0</v>
      </c>
      <c r="AB17">
        <v>0</v>
      </c>
      <c r="AC17">
        <v>14.363135528045699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14.363135528045699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0.17633464292901599</v>
      </c>
      <c r="BA17">
        <v>0.134601803074367</v>
      </c>
      <c r="BB17">
        <v>1.36893652549697E-3</v>
      </c>
      <c r="BC17">
        <v>2.7304202168160002E-5</v>
      </c>
      <c r="BD17">
        <v>7.3742833809112202E-7</v>
      </c>
      <c r="BE17">
        <v>0.26845256577989202</v>
      </c>
      <c r="BF17">
        <v>0.25777181028522</v>
      </c>
      <c r="BG17">
        <v>2.2964336708235E-4</v>
      </c>
      <c r="BH17">
        <v>1.4056348555370001E-5</v>
      </c>
    </row>
    <row r="18" spans="1:60" x14ac:dyDescent="0.25">
      <c r="A18" s="1" t="s">
        <v>26</v>
      </c>
      <c r="B18" t="s">
        <v>134</v>
      </c>
      <c r="C18" t="s">
        <v>135</v>
      </c>
      <c r="D18" t="s">
        <v>130</v>
      </c>
      <c r="E18" t="s">
        <v>131</v>
      </c>
      <c r="F18">
        <v>1000</v>
      </c>
      <c r="G18">
        <v>48.443155823569299</v>
      </c>
      <c r="H18">
        <v>16.182981833767101</v>
      </c>
      <c r="I18">
        <v>2.1802966735574102E-2</v>
      </c>
      <c r="J18">
        <v>0.83371972859139498</v>
      </c>
      <c r="K18">
        <v>3.3333380619466398E-2</v>
      </c>
      <c r="L18">
        <v>48.255806977723303</v>
      </c>
      <c r="M18">
        <v>16.0359912836138</v>
      </c>
      <c r="N18">
        <v>2.0488032010163099E-2</v>
      </c>
      <c r="O18">
        <v>0.83369384648308997</v>
      </c>
      <c r="P18">
        <v>3.3331642802795602E-2</v>
      </c>
      <c r="Q18">
        <v>45.629681068221402</v>
      </c>
      <c r="R18">
        <v>1.3691751400505401</v>
      </c>
      <c r="S18">
        <v>9.0575697179135994E-2</v>
      </c>
      <c r="T18">
        <v>4.1746931993284199E-2</v>
      </c>
      <c r="U18">
        <v>7.7585769699537197</v>
      </c>
      <c r="V18">
        <v>1.4516535669443E-11</v>
      </c>
      <c r="W18">
        <v>0.115795521777885</v>
      </c>
      <c r="X18">
        <v>4.4114952150138196</v>
      </c>
      <c r="Y18">
        <v>26.651166244307898</v>
      </c>
      <c r="Z18">
        <v>3.9179394190446701</v>
      </c>
      <c r="AA18">
        <v>1.79778141552674</v>
      </c>
      <c r="AB18">
        <v>7.2245024043884198</v>
      </c>
      <c r="AC18">
        <v>10.037072845355199</v>
      </c>
      <c r="AD18">
        <v>2.51982655815213</v>
      </c>
      <c r="AE18">
        <v>21.773280782328801</v>
      </c>
      <c r="AF18">
        <v>0.98540355292723003</v>
      </c>
      <c r="AG18">
        <v>2.3394588795261</v>
      </c>
      <c r="AH18">
        <v>1.6010907985659</v>
      </c>
      <c r="AI18">
        <v>9.9428257122138994</v>
      </c>
      <c r="AJ18">
        <v>2.51982655815213</v>
      </c>
      <c r="AK18">
        <v>4.4534147155721503E-3</v>
      </c>
      <c r="AL18">
        <v>5.7028930343718696E-3</v>
      </c>
      <c r="AM18">
        <v>6.6890701912323998</v>
      </c>
      <c r="AN18">
        <v>0</v>
      </c>
      <c r="AO18">
        <v>0.80641780675291996</v>
      </c>
      <c r="AP18">
        <v>2.7276039730169399E-2</v>
      </c>
      <c r="AQ18">
        <v>5.2958563406392701E-3</v>
      </c>
      <c r="AR18">
        <v>9.7964851782259999E-5</v>
      </c>
      <c r="AS18">
        <v>2.6463378770653499E-2</v>
      </c>
      <c r="AT18">
        <v>6.6870800186204296</v>
      </c>
      <c r="AU18">
        <v>9.1190652092546995E-4</v>
      </c>
      <c r="AV18">
        <v>0</v>
      </c>
      <c r="AW18">
        <v>0</v>
      </c>
      <c r="AX18">
        <v>0</v>
      </c>
      <c r="AY18">
        <v>0</v>
      </c>
      <c r="AZ18">
        <v>0.16715054694313</v>
      </c>
      <c r="BA18">
        <v>0.127591292497577</v>
      </c>
      <c r="BB18">
        <v>1.2976377481273399E-3</v>
      </c>
      <c r="BC18">
        <v>2.5882108305240001E-5</v>
      </c>
      <c r="BD18">
        <v>6.9902061214887601E-7</v>
      </c>
      <c r="BE18">
        <v>2.0198298902850801E-2</v>
      </c>
      <c r="BF18">
        <v>1.93992576557818E-2</v>
      </c>
      <c r="BG18">
        <v>1.7296977283699999E-5</v>
      </c>
      <c r="BH18">
        <v>1.03879605866E-6</v>
      </c>
    </row>
    <row r="19" spans="1:60" x14ac:dyDescent="0.25">
      <c r="A19" s="1" t="s">
        <v>27</v>
      </c>
      <c r="B19" t="s">
        <v>132</v>
      </c>
      <c r="C19" t="s">
        <v>133</v>
      </c>
      <c r="D19" t="s">
        <v>130</v>
      </c>
      <c r="E19" t="s">
        <v>131</v>
      </c>
      <c r="F19">
        <v>1000</v>
      </c>
      <c r="G19">
        <v>6.4047616822251499</v>
      </c>
      <c r="H19">
        <v>3.4224284640654399</v>
      </c>
      <c r="I19">
        <v>5.4712265791896E-3</v>
      </c>
      <c r="J19">
        <v>4.2156211742110199E-2</v>
      </c>
      <c r="K19">
        <v>6.1577763701937101E-3</v>
      </c>
      <c r="L19">
        <v>6.2062631038907501</v>
      </c>
      <c r="M19">
        <v>3.2647679870465001</v>
      </c>
      <c r="N19">
        <v>4.1468906376135196E-3</v>
      </c>
      <c r="O19">
        <v>4.2130329633804899E-2</v>
      </c>
      <c r="P19">
        <v>6.1553072371085399E-3</v>
      </c>
      <c r="Q19">
        <v>12.4721891092021</v>
      </c>
      <c r="R19">
        <v>0.16280307374191899</v>
      </c>
      <c r="S19">
        <v>2.4126722159701099E-2</v>
      </c>
      <c r="T19">
        <v>0.32207142316765502</v>
      </c>
      <c r="U19">
        <v>2.6710070364349399</v>
      </c>
      <c r="V19">
        <v>2.64386030594955E-12</v>
      </c>
      <c r="W19">
        <v>5.6903818243698598E-2</v>
      </c>
      <c r="X19">
        <v>4.4239052622677502</v>
      </c>
      <c r="Y19">
        <v>90.575781915908806</v>
      </c>
      <c r="Z19">
        <v>0.71817999073556404</v>
      </c>
      <c r="AA19">
        <v>0.21462085676628001</v>
      </c>
      <c r="AB19">
        <v>0.98570761699359799</v>
      </c>
      <c r="AC19">
        <v>2.4088773668049801</v>
      </c>
      <c r="AD19">
        <v>0.339226338379435</v>
      </c>
      <c r="AE19">
        <v>0.31705491161528099</v>
      </c>
      <c r="AF19">
        <v>1.2225960225956101</v>
      </c>
      <c r="AG19">
        <v>0.43712319310877801</v>
      </c>
      <c r="AH19">
        <v>0.19169826785927199</v>
      </c>
      <c r="AI19">
        <v>2.3374675818006199</v>
      </c>
      <c r="AJ19">
        <v>0.339226338379435</v>
      </c>
      <c r="AK19">
        <v>7.9580700801784999E-4</v>
      </c>
      <c r="AL19">
        <v>7.0246351069488001E-4</v>
      </c>
      <c r="AM19">
        <v>0.54791402173125903</v>
      </c>
      <c r="AN19">
        <v>0</v>
      </c>
      <c r="AO19">
        <v>1.1742774504269599E-2</v>
      </c>
      <c r="AP19">
        <v>3.0387555129535199E-2</v>
      </c>
      <c r="AQ19">
        <v>9.4264376845367001E-4</v>
      </c>
      <c r="AR19">
        <v>7.2863600303999998E-6</v>
      </c>
      <c r="AS19">
        <v>3.61065061169816E-3</v>
      </c>
      <c r="AT19">
        <v>0.54630041406089203</v>
      </c>
      <c r="AU19">
        <v>1.4730111139126801E-3</v>
      </c>
      <c r="AV19">
        <v>0</v>
      </c>
      <c r="AW19">
        <v>0</v>
      </c>
      <c r="AX19">
        <v>0</v>
      </c>
      <c r="AY19">
        <v>0</v>
      </c>
      <c r="AZ19">
        <v>0.16715054694313</v>
      </c>
      <c r="BA19">
        <v>0.127591292497577</v>
      </c>
      <c r="BB19">
        <v>1.2976377481273399E-3</v>
      </c>
      <c r="BC19">
        <v>2.5882108305240001E-5</v>
      </c>
      <c r="BD19">
        <v>6.9902061214887601E-7</v>
      </c>
      <c r="BE19">
        <v>3.1348031391268898E-2</v>
      </c>
      <c r="BF19">
        <v>3.0069184521359999E-2</v>
      </c>
      <c r="BG19">
        <v>2.6698193448730001E-5</v>
      </c>
      <c r="BH19">
        <v>1.77011247302E-6</v>
      </c>
    </row>
    <row r="20" spans="1:60" x14ac:dyDescent="0.25">
      <c r="A20" s="1" t="s">
        <v>28</v>
      </c>
      <c r="B20" t="s">
        <v>140</v>
      </c>
      <c r="C20" t="s">
        <v>141</v>
      </c>
      <c r="D20" t="s">
        <v>142</v>
      </c>
      <c r="E20" t="s">
        <v>143</v>
      </c>
      <c r="F20">
        <v>1000</v>
      </c>
      <c r="G20">
        <v>5.2603706363124196</v>
      </c>
      <c r="H20">
        <v>5.2282670498170498</v>
      </c>
      <c r="I20">
        <v>9.1150614149895001E-4</v>
      </c>
      <c r="J20">
        <v>1.8453188378809999E-5</v>
      </c>
      <c r="K20">
        <v>1.6272774331420001E-5</v>
      </c>
      <c r="L20">
        <v>4.8858897274340798</v>
      </c>
      <c r="M20">
        <v>4.8858897274340798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10.716474501609101</v>
      </c>
      <c r="Y20">
        <v>0</v>
      </c>
      <c r="Z20">
        <v>0</v>
      </c>
      <c r="AA20">
        <v>0</v>
      </c>
      <c r="AB20">
        <v>0</v>
      </c>
      <c r="AC20">
        <v>4.8858897274340798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4.8858897274340798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0.106028343098449</v>
      </c>
      <c r="BA20">
        <v>8.4605512097746596E-2</v>
      </c>
      <c r="BB20">
        <v>6.8186277441658998E-4</v>
      </c>
      <c r="BC20">
        <v>1.8453188378809999E-5</v>
      </c>
      <c r="BD20">
        <v>2.2164257760399998E-6</v>
      </c>
      <c r="BE20">
        <v>0.26845256577989202</v>
      </c>
      <c r="BF20">
        <v>0.25777181028522</v>
      </c>
      <c r="BG20">
        <v>2.2964336708235E-4</v>
      </c>
      <c r="BH20">
        <v>1.4056348555370001E-5</v>
      </c>
    </row>
    <row r="21" spans="1:60" x14ac:dyDescent="0.25">
      <c r="A21" s="1" t="s">
        <v>29</v>
      </c>
      <c r="B21" t="s">
        <v>132</v>
      </c>
      <c r="C21" t="s">
        <v>133</v>
      </c>
      <c r="D21" t="s">
        <v>130</v>
      </c>
      <c r="E21" t="s">
        <v>131</v>
      </c>
      <c r="F21">
        <v>1000</v>
      </c>
      <c r="G21">
        <v>6.4047616822251499</v>
      </c>
      <c r="H21">
        <v>3.4224284640654399</v>
      </c>
      <c r="I21">
        <v>5.4712265791896E-3</v>
      </c>
      <c r="J21">
        <v>4.2156211742110199E-2</v>
      </c>
      <c r="K21">
        <v>6.1577763701937101E-3</v>
      </c>
      <c r="L21">
        <v>6.2062631038907501</v>
      </c>
      <c r="M21">
        <v>3.2647679870465001</v>
      </c>
      <c r="N21">
        <v>4.1468906376135196E-3</v>
      </c>
      <c r="O21">
        <v>4.2130329633804899E-2</v>
      </c>
      <c r="P21">
        <v>6.1553072371085399E-3</v>
      </c>
      <c r="Q21">
        <v>12.4721891092021</v>
      </c>
      <c r="R21">
        <v>0.16280307374191899</v>
      </c>
      <c r="S21">
        <v>2.4126722159701099E-2</v>
      </c>
      <c r="T21">
        <v>0.32207142316765502</v>
      </c>
      <c r="U21">
        <v>2.6710070364349399</v>
      </c>
      <c r="V21">
        <v>2.64386030594955E-12</v>
      </c>
      <c r="W21">
        <v>5.6903818243698598E-2</v>
      </c>
      <c r="X21">
        <v>4.4239052622677502</v>
      </c>
      <c r="Y21">
        <v>90.575781915908806</v>
      </c>
      <c r="Z21">
        <v>0.71817999073556404</v>
      </c>
      <c r="AA21">
        <v>0.21462085676628001</v>
      </c>
      <c r="AB21">
        <v>0.98570761699359799</v>
      </c>
      <c r="AC21">
        <v>2.4088773668049801</v>
      </c>
      <c r="AD21">
        <v>0.339226338379435</v>
      </c>
      <c r="AE21">
        <v>0.31705491161528099</v>
      </c>
      <c r="AF21">
        <v>1.2225960225956101</v>
      </c>
      <c r="AG21">
        <v>0.43712319310877801</v>
      </c>
      <c r="AH21">
        <v>0.19169826785927199</v>
      </c>
      <c r="AI21">
        <v>2.3374675818006199</v>
      </c>
      <c r="AJ21">
        <v>0.339226338379435</v>
      </c>
      <c r="AK21">
        <v>7.9580700801784999E-4</v>
      </c>
      <c r="AL21">
        <v>7.0246351069488001E-4</v>
      </c>
      <c r="AM21">
        <v>0.54791402173125903</v>
      </c>
      <c r="AN21">
        <v>0</v>
      </c>
      <c r="AO21">
        <v>1.1742774504269599E-2</v>
      </c>
      <c r="AP21">
        <v>3.0387555129535199E-2</v>
      </c>
      <c r="AQ21">
        <v>9.4264376845367001E-4</v>
      </c>
      <c r="AR21">
        <v>7.2863600303999998E-6</v>
      </c>
      <c r="AS21">
        <v>3.61065061169816E-3</v>
      </c>
      <c r="AT21">
        <v>0.54630041406089203</v>
      </c>
      <c r="AU21">
        <v>1.4730111139126801E-3</v>
      </c>
      <c r="AV21">
        <v>0</v>
      </c>
      <c r="AW21">
        <v>0</v>
      </c>
      <c r="AX21">
        <v>0</v>
      </c>
      <c r="AY21">
        <v>0</v>
      </c>
      <c r="AZ21">
        <v>0.16715054694313</v>
      </c>
      <c r="BA21">
        <v>0.127591292497577</v>
      </c>
      <c r="BB21">
        <v>1.2976377481273399E-3</v>
      </c>
      <c r="BC21">
        <v>2.5882108305240001E-5</v>
      </c>
      <c r="BD21">
        <v>6.9902061214887601E-7</v>
      </c>
      <c r="BE21">
        <v>3.1348031391268898E-2</v>
      </c>
      <c r="BF21">
        <v>3.0069184521359999E-2</v>
      </c>
      <c r="BG21">
        <v>2.6698193448730001E-5</v>
      </c>
      <c r="BH21">
        <v>1.77011247302E-6</v>
      </c>
    </row>
    <row r="22" spans="1:60" x14ac:dyDescent="0.25">
      <c r="A22" s="1" t="s">
        <v>30</v>
      </c>
      <c r="B22" t="s">
        <v>138</v>
      </c>
      <c r="C22" t="s">
        <v>139</v>
      </c>
      <c r="D22" t="s">
        <v>130</v>
      </c>
      <c r="E22" t="s">
        <v>47</v>
      </c>
      <c r="F22">
        <v>1000</v>
      </c>
      <c r="G22">
        <v>2.4260821421591201</v>
      </c>
      <c r="H22">
        <v>1.62821278410417</v>
      </c>
      <c r="I22">
        <v>3.08403942916421E-3</v>
      </c>
      <c r="J22">
        <v>3.0931210814689899E-3</v>
      </c>
      <c r="K22">
        <v>2.2800392449311199E-3</v>
      </c>
      <c r="L22">
        <v>2.1959998529765499</v>
      </c>
      <c r="M22">
        <v>1.44018717824523</v>
      </c>
      <c r="N22">
        <v>1.7324509981597601E-3</v>
      </c>
      <c r="O22">
        <v>3.06723897316375E-3</v>
      </c>
      <c r="P22">
        <v>2.2760812553506899E-3</v>
      </c>
      <c r="Q22">
        <v>6.4036882623525804</v>
      </c>
      <c r="R22">
        <v>6.7997539357977504E-2</v>
      </c>
      <c r="S22">
        <v>1.2005130869757999E-2</v>
      </c>
      <c r="T22">
        <v>3.7570709532683898E-2</v>
      </c>
      <c r="U22">
        <v>1.36929294196833</v>
      </c>
      <c r="V22">
        <v>1.3592012409764701E-12</v>
      </c>
      <c r="W22">
        <v>6.23659972440316E-2</v>
      </c>
      <c r="X22">
        <v>93.862937950543099</v>
      </c>
      <c r="Y22">
        <v>38.540686680942798</v>
      </c>
      <c r="Z22">
        <v>0.245576829614612</v>
      </c>
      <c r="AA22">
        <v>0.103093070431722</v>
      </c>
      <c r="AB22">
        <v>0.45186816844373001</v>
      </c>
      <c r="AC22">
        <v>1.0529011500235701</v>
      </c>
      <c r="AD22">
        <v>0.19087503808612899</v>
      </c>
      <c r="AE22">
        <v>0</v>
      </c>
      <c r="AF22">
        <v>0.151685596376784</v>
      </c>
      <c r="AG22">
        <v>0.15045480706380901</v>
      </c>
      <c r="AH22">
        <v>9.1426546854515206E-2</v>
      </c>
      <c r="AI22">
        <v>1.0267419038322101</v>
      </c>
      <c r="AJ22">
        <v>0.19077750289885401</v>
      </c>
      <c r="AK22">
        <v>2.8448922018999999E-4</v>
      </c>
      <c r="AL22">
        <v>3.5917297609250001E-4</v>
      </c>
      <c r="AM22">
        <v>0.38437590024922702</v>
      </c>
      <c r="AN22">
        <v>0</v>
      </c>
      <c r="AO22">
        <v>0</v>
      </c>
      <c r="AP22">
        <v>3.06723897316375E-3</v>
      </c>
      <c r="AQ22">
        <v>3.1737818237779998E-4</v>
      </c>
      <c r="AR22">
        <v>3.52809117088E-6</v>
      </c>
      <c r="AS22">
        <v>1.6551947562041399E-3</v>
      </c>
      <c r="AT22">
        <v>0.38376197477372498</v>
      </c>
      <c r="AU22">
        <v>2.5227159011488001E-4</v>
      </c>
      <c r="AV22">
        <v>0</v>
      </c>
      <c r="AW22">
        <v>0</v>
      </c>
      <c r="AX22">
        <v>0</v>
      </c>
      <c r="AY22">
        <v>0</v>
      </c>
      <c r="AZ22">
        <v>0.16715054694313</v>
      </c>
      <c r="BA22">
        <v>0.127591292497577</v>
      </c>
      <c r="BB22">
        <v>1.2976377481273399E-3</v>
      </c>
      <c r="BC22">
        <v>2.5882108305240001E-5</v>
      </c>
      <c r="BD22">
        <v>6.9902061214887601E-7</v>
      </c>
      <c r="BE22">
        <v>6.2931742239445004E-2</v>
      </c>
      <c r="BF22">
        <v>6.0434313361364699E-2</v>
      </c>
      <c r="BG22">
        <v>5.3950682877099997E-5</v>
      </c>
      <c r="BH22">
        <v>3.25896896828E-6</v>
      </c>
    </row>
    <row r="23" spans="1:60" x14ac:dyDescent="0.25">
      <c r="A23" s="1" t="s">
        <v>31</v>
      </c>
      <c r="B23" t="s">
        <v>151</v>
      </c>
      <c r="C23" t="s">
        <v>152</v>
      </c>
      <c r="D23" t="s">
        <v>142</v>
      </c>
      <c r="E23" t="s">
        <v>150</v>
      </c>
      <c r="F23">
        <v>1000</v>
      </c>
      <c r="G23">
        <v>2.1822297318511601</v>
      </c>
      <c r="H23">
        <v>2.1537669581193102</v>
      </c>
      <c r="I23">
        <v>7.5647880972959001E-4</v>
      </c>
      <c r="J23">
        <v>1.4206897765150001E-5</v>
      </c>
      <c r="K23">
        <v>2.0278824037509999E-5</v>
      </c>
      <c r="L23">
        <v>1.7812278786428399</v>
      </c>
      <c r="M23">
        <v>1.7812278786428399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4.46996286465252</v>
      </c>
      <c r="Y23">
        <v>0</v>
      </c>
      <c r="Z23">
        <v>0</v>
      </c>
      <c r="AA23">
        <v>0</v>
      </c>
      <c r="AB23">
        <v>0</v>
      </c>
      <c r="AC23">
        <v>1.7812278786428399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1.7812278786428399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0.132549287428427</v>
      </c>
      <c r="BA23">
        <v>0.114767269191258</v>
      </c>
      <c r="BB23">
        <v>5.2683544264723995E-4</v>
      </c>
      <c r="BC23">
        <v>1.4206897765150001E-5</v>
      </c>
      <c r="BD23">
        <v>6.22247548213E-6</v>
      </c>
      <c r="BE23">
        <v>0.26845256577989202</v>
      </c>
      <c r="BF23">
        <v>0.25777181028522</v>
      </c>
      <c r="BG23">
        <v>2.2964336708235E-4</v>
      </c>
      <c r="BH23">
        <v>1.4056348555370001E-5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7" tint="0.79998168889431442"/>
  </sheetPr>
  <dimension ref="A2:BH24"/>
  <sheetViews>
    <sheetView workbookViewId="0">
      <selection activeCell="C2" sqref="C2"/>
    </sheetView>
  </sheetViews>
  <sheetFormatPr defaultRowHeight="15" x14ac:dyDescent="0.25"/>
  <cols>
    <col min="1" max="1" width="20.140625" customWidth="1"/>
    <col min="2" max="2" width="13.7109375" customWidth="1"/>
    <col min="3" max="3" width="13.85546875" customWidth="1"/>
    <col min="4" max="4" width="15.28515625" customWidth="1"/>
  </cols>
  <sheetData>
    <row r="2" spans="1:60" ht="21" x14ac:dyDescent="0.35">
      <c r="A2" s="5" t="s">
        <v>174</v>
      </c>
      <c r="C2" t="s">
        <v>187</v>
      </c>
    </row>
    <row r="4" spans="1:60" x14ac:dyDescent="0.25">
      <c r="A4" s="10" t="s">
        <v>68</v>
      </c>
      <c r="B4" s="10" t="s">
        <v>69</v>
      </c>
      <c r="C4" s="10" t="s">
        <v>70</v>
      </c>
      <c r="D4" s="10" t="s">
        <v>71</v>
      </c>
      <c r="E4" s="10" t="s">
        <v>72</v>
      </c>
      <c r="F4" s="10" t="s">
        <v>73</v>
      </c>
      <c r="G4" s="10" t="s">
        <v>74</v>
      </c>
      <c r="H4" s="10" t="s">
        <v>75</v>
      </c>
      <c r="I4" s="10" t="s">
        <v>76</v>
      </c>
      <c r="J4" s="10" t="s">
        <v>77</v>
      </c>
      <c r="K4" s="10" t="s">
        <v>78</v>
      </c>
      <c r="L4" s="10" t="s">
        <v>79</v>
      </c>
      <c r="M4" s="10" t="s">
        <v>80</v>
      </c>
      <c r="N4" s="10" t="s">
        <v>81</v>
      </c>
      <c r="O4" s="10" t="s">
        <v>82</v>
      </c>
      <c r="P4" s="10" t="s">
        <v>83</v>
      </c>
      <c r="Q4" s="10" t="s">
        <v>84</v>
      </c>
      <c r="R4" s="10" t="s">
        <v>85</v>
      </c>
      <c r="S4" s="10" t="s">
        <v>86</v>
      </c>
      <c r="T4" s="10" t="s">
        <v>87</v>
      </c>
      <c r="U4" s="10" t="s">
        <v>88</v>
      </c>
      <c r="V4" s="10" t="s">
        <v>89</v>
      </c>
      <c r="W4" s="10" t="s">
        <v>90</v>
      </c>
      <c r="X4" s="10" t="s">
        <v>91</v>
      </c>
      <c r="Y4" s="10" t="s">
        <v>92</v>
      </c>
      <c r="Z4" s="10" t="s">
        <v>93</v>
      </c>
      <c r="AA4" s="10" t="s">
        <v>94</v>
      </c>
      <c r="AB4" s="10" t="s">
        <v>95</v>
      </c>
      <c r="AC4" s="10" t="s">
        <v>96</v>
      </c>
      <c r="AD4" s="10" t="s">
        <v>97</v>
      </c>
      <c r="AE4" s="10" t="s">
        <v>98</v>
      </c>
      <c r="AF4" s="10" t="s">
        <v>99</v>
      </c>
      <c r="AG4" s="10" t="s">
        <v>100</v>
      </c>
      <c r="AH4" s="10" t="s">
        <v>101</v>
      </c>
      <c r="AI4" s="10" t="s">
        <v>102</v>
      </c>
      <c r="AJ4" s="10" t="s">
        <v>103</v>
      </c>
      <c r="AK4" s="10" t="s">
        <v>104</v>
      </c>
      <c r="AL4" s="10" t="s">
        <v>105</v>
      </c>
      <c r="AM4" s="10" t="s">
        <v>106</v>
      </c>
      <c r="AN4" s="10" t="s">
        <v>107</v>
      </c>
      <c r="AO4" s="10" t="s">
        <v>108</v>
      </c>
      <c r="AP4" s="10" t="s">
        <v>109</v>
      </c>
      <c r="AQ4" s="10" t="s">
        <v>110</v>
      </c>
      <c r="AR4" s="10" t="s">
        <v>111</v>
      </c>
      <c r="AS4" s="10" t="s">
        <v>112</v>
      </c>
      <c r="AT4" s="10" t="s">
        <v>113</v>
      </c>
      <c r="AU4" s="10" t="s">
        <v>114</v>
      </c>
      <c r="AV4" s="10" t="s">
        <v>115</v>
      </c>
      <c r="AW4" s="10" t="s">
        <v>116</v>
      </c>
      <c r="AX4" s="10" t="s">
        <v>117</v>
      </c>
      <c r="AY4" s="10" t="s">
        <v>118</v>
      </c>
      <c r="AZ4" s="10" t="s">
        <v>119</v>
      </c>
      <c r="BA4" s="10" t="s">
        <v>120</v>
      </c>
      <c r="BB4" s="10" t="s">
        <v>121</v>
      </c>
      <c r="BC4" s="10" t="s">
        <v>122</v>
      </c>
      <c r="BD4" s="10" t="s">
        <v>123</v>
      </c>
      <c r="BE4" s="10" t="s">
        <v>124</v>
      </c>
      <c r="BF4" s="10" t="s">
        <v>125</v>
      </c>
      <c r="BG4" s="10" t="s">
        <v>126</v>
      </c>
      <c r="BH4" s="10" t="s">
        <v>127</v>
      </c>
    </row>
    <row r="5" spans="1:60" x14ac:dyDescent="0.25">
      <c r="A5" s="1" t="s">
        <v>13</v>
      </c>
      <c r="B5" t="s">
        <v>146</v>
      </c>
      <c r="C5" t="s">
        <v>147</v>
      </c>
      <c r="D5" t="s">
        <v>142</v>
      </c>
      <c r="E5" t="s">
        <v>18</v>
      </c>
      <c r="F5">
        <v>1000</v>
      </c>
      <c r="G5">
        <v>15.465521516035301</v>
      </c>
      <c r="H5">
        <v>15.4370587423034</v>
      </c>
      <c r="I5">
        <v>7.5647880972959001E-4</v>
      </c>
      <c r="J5">
        <v>1.4206897765150001E-5</v>
      </c>
      <c r="K5">
        <v>2.0278824037509999E-5</v>
      </c>
      <c r="L5">
        <v>15.0645196628269</v>
      </c>
      <c r="M5">
        <v>15.0645196628269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15.663199131551799</v>
      </c>
      <c r="Y5">
        <v>0</v>
      </c>
      <c r="Z5">
        <v>0</v>
      </c>
      <c r="AA5">
        <v>0</v>
      </c>
      <c r="AB5">
        <v>0</v>
      </c>
      <c r="AC5">
        <v>15.0645196628269</v>
      </c>
      <c r="AD5">
        <v>0</v>
      </c>
      <c r="AE5">
        <v>0</v>
      </c>
      <c r="AF5">
        <v>0</v>
      </c>
      <c r="AG5">
        <v>0</v>
      </c>
      <c r="AH5">
        <v>0</v>
      </c>
      <c r="AI5">
        <v>15.0645196628269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0.132549287428427</v>
      </c>
      <c r="BA5">
        <v>0.114767269191258</v>
      </c>
      <c r="BB5">
        <v>5.2683544264723995E-4</v>
      </c>
      <c r="BC5">
        <v>1.4206897765150001E-5</v>
      </c>
      <c r="BD5">
        <v>6.22247548213E-6</v>
      </c>
      <c r="BE5">
        <v>0.26845256577989202</v>
      </c>
      <c r="BF5">
        <v>0.25777181028522</v>
      </c>
      <c r="BG5">
        <v>2.2964336708235E-4</v>
      </c>
      <c r="BH5">
        <v>1.4056348555370001E-5</v>
      </c>
    </row>
    <row r="6" spans="1:60" x14ac:dyDescent="0.25">
      <c r="A6" s="1" t="s">
        <v>14</v>
      </c>
      <c r="B6" t="s">
        <v>128</v>
      </c>
      <c r="C6" t="s">
        <v>129</v>
      </c>
      <c r="D6" t="s">
        <v>130</v>
      </c>
      <c r="E6" t="s">
        <v>131</v>
      </c>
      <c r="F6">
        <v>1000</v>
      </c>
      <c r="G6">
        <v>32.658802936918903</v>
      </c>
      <c r="H6">
        <v>6.0847729716398797</v>
      </c>
      <c r="I6">
        <v>2.2165822207348598E-2</v>
      </c>
      <c r="J6">
        <v>0.73141423419831497</v>
      </c>
      <c r="K6">
        <v>2.25835316488847E-2</v>
      </c>
      <c r="L6">
        <v>32.426618796063401</v>
      </c>
      <c r="M6">
        <v>5.8948138345839798</v>
      </c>
      <c r="N6">
        <v>2.0812656156039899E-2</v>
      </c>
      <c r="O6">
        <v>0.73138835209000896</v>
      </c>
      <c r="P6">
        <v>2.2579129309887199E-2</v>
      </c>
      <c r="Q6">
        <v>26.0418369079615</v>
      </c>
      <c r="R6">
        <v>0.52241435247455204</v>
      </c>
      <c r="S6">
        <v>3.10612513670664E-2</v>
      </c>
      <c r="T6">
        <v>0.80751833181097799</v>
      </c>
      <c r="U6">
        <v>1.91857102958418</v>
      </c>
      <c r="V6">
        <v>4.7380869332019602E-11</v>
      </c>
      <c r="W6">
        <v>0.24970908555093299</v>
      </c>
      <c r="X6">
        <v>0.50866263829551905</v>
      </c>
      <c r="Y6">
        <v>29.480449105446301</v>
      </c>
      <c r="Z6">
        <v>1.5596789305457599</v>
      </c>
      <c r="AA6">
        <v>0.77906915233945695</v>
      </c>
      <c r="AB6">
        <v>2.8896938264579699</v>
      </c>
      <c r="AC6">
        <v>4.5691368078570296</v>
      </c>
      <c r="AD6">
        <v>0.47254438683017402</v>
      </c>
      <c r="AE6">
        <v>16.525253231068199</v>
      </c>
      <c r="AF6">
        <v>5.6312424609648497</v>
      </c>
      <c r="AG6">
        <v>0.93474329687314295</v>
      </c>
      <c r="AH6">
        <v>0.69488893056144696</v>
      </c>
      <c r="AI6">
        <v>4.4491054549917397</v>
      </c>
      <c r="AJ6">
        <v>0.47247611066412498</v>
      </c>
      <c r="AK6">
        <v>1.7000880674165799E-3</v>
      </c>
      <c r="AL6">
        <v>2.4587223456211901E-3</v>
      </c>
      <c r="AM6">
        <v>2.5610570359167499</v>
      </c>
      <c r="AN6">
        <v>0</v>
      </c>
      <c r="AO6">
        <v>0.61204641596548803</v>
      </c>
      <c r="AP6">
        <v>0.11934193612452</v>
      </c>
      <c r="AQ6">
        <v>2.1035641364967302E-3</v>
      </c>
      <c r="AR6">
        <v>3.996445376738E-5</v>
      </c>
      <c r="AS6">
        <v>1.05849590712746E-2</v>
      </c>
      <c r="AT6">
        <v>2.5577299049133502</v>
      </c>
      <c r="AU6">
        <v>8.8242131340761504E-3</v>
      </c>
      <c r="AV6">
        <v>0</v>
      </c>
      <c r="AW6">
        <v>0</v>
      </c>
      <c r="AX6">
        <v>0</v>
      </c>
      <c r="AY6">
        <v>0</v>
      </c>
      <c r="AZ6">
        <v>0.16715054694313</v>
      </c>
      <c r="BA6">
        <v>0.127591292497577</v>
      </c>
      <c r="BB6">
        <v>1.2976377481273399E-3</v>
      </c>
      <c r="BC6">
        <v>2.5882108305240001E-5</v>
      </c>
      <c r="BD6">
        <v>6.9902061214887601E-7</v>
      </c>
      <c r="BE6">
        <v>6.5033593912311394E-2</v>
      </c>
      <c r="BF6">
        <v>6.2367844558321603E-2</v>
      </c>
      <c r="BG6">
        <v>5.5528303181320003E-5</v>
      </c>
      <c r="BH6">
        <v>3.7033183852899998E-6</v>
      </c>
    </row>
    <row r="7" spans="1:60" x14ac:dyDescent="0.25">
      <c r="A7" s="1" t="s">
        <v>15</v>
      </c>
      <c r="B7" t="s">
        <v>167</v>
      </c>
      <c r="C7" t="s">
        <v>65</v>
      </c>
      <c r="D7" t="s">
        <v>168</v>
      </c>
      <c r="E7" t="s">
        <v>169</v>
      </c>
      <c r="F7">
        <v>1000</v>
      </c>
      <c r="G7">
        <v>9.1754641152790803</v>
      </c>
      <c r="H7">
        <v>2.8169196105199101</v>
      </c>
      <c r="I7">
        <v>1.0229060936962599E-2</v>
      </c>
      <c r="J7">
        <v>0.16992752200588099</v>
      </c>
      <c r="K7">
        <v>5.3687743394830699E-3</v>
      </c>
      <c r="L7">
        <v>8.4426916683975595</v>
      </c>
      <c r="M7">
        <v>2.1266440586398798</v>
      </c>
      <c r="N7">
        <v>9.1710725926974299E-3</v>
      </c>
      <c r="O7">
        <v>0.169877906693428</v>
      </c>
      <c r="P7">
        <v>5.3335024387279701E-3</v>
      </c>
      <c r="Q7">
        <v>7.3094063082579703</v>
      </c>
      <c r="R7">
        <v>0.117651656861388</v>
      </c>
      <c r="S7">
        <v>8.2685942599875408E-3</v>
      </c>
      <c r="T7">
        <v>6.5078972440447094E-2</v>
      </c>
      <c r="U7">
        <v>0.57168424073968804</v>
      </c>
      <c r="V7">
        <v>3.9034731783977897E-12</v>
      </c>
      <c r="W7">
        <v>3.7146759729150998E-3</v>
      </c>
      <c r="X7">
        <v>5.9108708785496698E-2</v>
      </c>
      <c r="Y7">
        <v>26.1721933231387</v>
      </c>
      <c r="Z7">
        <v>0.33928081757232398</v>
      </c>
      <c r="AA7">
        <v>0.18623861141477399</v>
      </c>
      <c r="AB7">
        <v>0.63223723750481897</v>
      </c>
      <c r="AC7">
        <v>1.9232485575682601</v>
      </c>
      <c r="AD7">
        <v>0.202903686732234</v>
      </c>
      <c r="AE7">
        <v>3.7263422153321102</v>
      </c>
      <c r="AF7">
        <v>1.43244054227302</v>
      </c>
      <c r="AG7">
        <v>0.20462305881558601</v>
      </c>
      <c r="AH7">
        <v>0.16683693343771999</v>
      </c>
      <c r="AI7">
        <v>1.8643309131601</v>
      </c>
      <c r="AJ7">
        <v>0.202903686732234</v>
      </c>
      <c r="AK7">
        <v>3.8194324471009001E-4</v>
      </c>
      <c r="AL7">
        <v>5.8920618530044003E-4</v>
      </c>
      <c r="AM7">
        <v>1.19489608292545</v>
      </c>
      <c r="AN7">
        <v>0</v>
      </c>
      <c r="AO7">
        <v>0.13801267464193001</v>
      </c>
      <c r="AP7">
        <v>3.1865232051497799E-2</v>
      </c>
      <c r="AQ7">
        <v>4.5155989034569998E-4</v>
      </c>
      <c r="AR7">
        <v>6.7521379307699998E-6</v>
      </c>
      <c r="AS7">
        <v>2.3158873168674702E-3</v>
      </c>
      <c r="AT7">
        <v>1.1931835951872301</v>
      </c>
      <c r="AU7">
        <v>2.0955284867493901E-3</v>
      </c>
      <c r="AV7">
        <v>0.33574934130970502</v>
      </c>
      <c r="AW7">
        <v>0.31980427088413699</v>
      </c>
      <c r="AX7">
        <v>4.2563401707075999E-4</v>
      </c>
      <c r="AY7">
        <v>1.1945702259549999E-5</v>
      </c>
      <c r="AZ7">
        <v>9.6777195229454799E-2</v>
      </c>
      <c r="BA7">
        <v>8.2687090430199603E-2</v>
      </c>
      <c r="BB7">
        <v>3.7723013849875E-4</v>
      </c>
      <c r="BC7">
        <v>4.961531245318E-5</v>
      </c>
      <c r="BD7">
        <v>5.5275942701700004E-6</v>
      </c>
      <c r="BE7">
        <v>0.30024591034235598</v>
      </c>
      <c r="BF7">
        <v>0.28778419056569798</v>
      </c>
      <c r="BG7">
        <v>2.5512418869573999E-4</v>
      </c>
      <c r="BH7">
        <v>1.7798604225360001E-5</v>
      </c>
    </row>
    <row r="8" spans="1:60" x14ac:dyDescent="0.25">
      <c r="A8" s="1" t="s">
        <v>16</v>
      </c>
      <c r="B8" t="s">
        <v>148</v>
      </c>
      <c r="C8" t="s">
        <v>149</v>
      </c>
      <c r="D8" t="s">
        <v>142</v>
      </c>
      <c r="E8" t="s">
        <v>150</v>
      </c>
      <c r="F8">
        <v>1000</v>
      </c>
      <c r="G8">
        <v>10.713373881389501</v>
      </c>
      <c r="H8">
        <v>10.6849111076576</v>
      </c>
      <c r="I8">
        <v>7.5647880972959001E-4</v>
      </c>
      <c r="J8">
        <v>1.4206897765150001E-5</v>
      </c>
      <c r="K8">
        <v>2.0278824037509999E-5</v>
      </c>
      <c r="L8">
        <v>10.3123720281811</v>
      </c>
      <c r="M8">
        <v>10.3123720281811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0.61753085931381502</v>
      </c>
      <c r="Y8">
        <v>0</v>
      </c>
      <c r="Z8">
        <v>0</v>
      </c>
      <c r="AA8">
        <v>0</v>
      </c>
      <c r="AB8">
        <v>0</v>
      </c>
      <c r="AC8">
        <v>10.3123720281811</v>
      </c>
      <c r="AD8">
        <v>0</v>
      </c>
      <c r="AE8">
        <v>0</v>
      </c>
      <c r="AF8">
        <v>0</v>
      </c>
      <c r="AG8">
        <v>0</v>
      </c>
      <c r="AH8">
        <v>0</v>
      </c>
      <c r="AI8">
        <v>10.3123720281811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0.132549287428427</v>
      </c>
      <c r="BA8">
        <v>0.114767269191258</v>
      </c>
      <c r="BB8">
        <v>5.2683544264723995E-4</v>
      </c>
      <c r="BC8">
        <v>1.4206897765150001E-5</v>
      </c>
      <c r="BD8">
        <v>6.22247548213E-6</v>
      </c>
      <c r="BE8">
        <v>0.26845256577989202</v>
      </c>
      <c r="BF8">
        <v>0.25777181028522</v>
      </c>
      <c r="BG8">
        <v>2.2964336708235E-4</v>
      </c>
      <c r="BH8">
        <v>1.4056348555370001E-5</v>
      </c>
    </row>
    <row r="9" spans="1:60" x14ac:dyDescent="0.25">
      <c r="A9" s="1" t="s">
        <v>17</v>
      </c>
      <c r="B9" t="s">
        <v>160</v>
      </c>
      <c r="C9" t="s">
        <v>161</v>
      </c>
      <c r="D9" t="s">
        <v>158</v>
      </c>
      <c r="E9" t="s">
        <v>162</v>
      </c>
      <c r="F9">
        <v>1000</v>
      </c>
      <c r="G9">
        <v>4.5625420054547901</v>
      </c>
      <c r="H9">
        <v>1.33641415172511</v>
      </c>
      <c r="I9">
        <v>5.1969469534350202E-3</v>
      </c>
      <c r="J9">
        <v>8.6228635607822998E-2</v>
      </c>
      <c r="K9">
        <v>2.7219255425131698E-3</v>
      </c>
      <c r="L9">
        <v>4.2831644702769802</v>
      </c>
      <c r="M9">
        <v>1.0788936313980999</v>
      </c>
      <c r="N9">
        <v>4.6526882451966003E-3</v>
      </c>
      <c r="O9">
        <v>8.6182824484507495E-2</v>
      </c>
      <c r="P9">
        <v>2.70580391241875E-3</v>
      </c>
      <c r="Q9">
        <v>3.70822370732049</v>
      </c>
      <c r="R9">
        <v>5.9687291249090897E-2</v>
      </c>
      <c r="S9">
        <v>4.1948409991190401E-3</v>
      </c>
      <c r="T9">
        <v>3.3016004073966702E-2</v>
      </c>
      <c r="U9">
        <v>0.29002807686547399</v>
      </c>
      <c r="V9">
        <v>1.9803183966762002E-12</v>
      </c>
      <c r="W9">
        <v>1.88453739289539E-3</v>
      </c>
      <c r="X9">
        <v>2.9987157093709301E-2</v>
      </c>
      <c r="Y9">
        <v>13.2777333288739</v>
      </c>
      <c r="Z9">
        <v>0.172124673072199</v>
      </c>
      <c r="AA9">
        <v>9.4482972342976604E-2</v>
      </c>
      <c r="AB9">
        <v>0.32074795323902799</v>
      </c>
      <c r="AC9">
        <v>0.97570658894515305</v>
      </c>
      <c r="AD9">
        <v>0.102937534145987</v>
      </c>
      <c r="AE9">
        <v>1.89045593605494</v>
      </c>
      <c r="AF9">
        <v>0.72670881247670205</v>
      </c>
      <c r="AG9">
        <v>0.103809809684151</v>
      </c>
      <c r="AH9">
        <v>8.4640071401072506E-2</v>
      </c>
      <c r="AI9">
        <v>0.94581636304172001</v>
      </c>
      <c r="AJ9">
        <v>0.102937534145987</v>
      </c>
      <c r="AK9">
        <v>1.9376826723734001E-4</v>
      </c>
      <c r="AL9">
        <v>2.9891734741336001E-4</v>
      </c>
      <c r="AM9">
        <v>0.60619724716665702</v>
      </c>
      <c r="AN9">
        <v>0</v>
      </c>
      <c r="AO9">
        <v>7.0016886520553295E-2</v>
      </c>
      <c r="AP9">
        <v>1.6165937963954099E-2</v>
      </c>
      <c r="AQ9">
        <v>2.2908633342261001E-4</v>
      </c>
      <c r="AR9">
        <v>3.4255091171599999E-6</v>
      </c>
      <c r="AS9">
        <v>1.1749009276154801E-3</v>
      </c>
      <c r="AT9">
        <v>0.60532846420924902</v>
      </c>
      <c r="AU9">
        <v>1.0631080126371399E-3</v>
      </c>
      <c r="AV9">
        <v>1.16559293746207E-2</v>
      </c>
      <c r="AW9">
        <v>1.0211712712978801E-2</v>
      </c>
      <c r="AX9">
        <v>4.43926200926E-5</v>
      </c>
      <c r="AY9">
        <v>4.4438308748041299E-7</v>
      </c>
      <c r="AZ9">
        <v>8.9356930463117906E-2</v>
      </c>
      <c r="BA9">
        <v>7.6347166005903203E-2</v>
      </c>
      <c r="BB9">
        <v>3.4830651141009E-4</v>
      </c>
      <c r="BC9">
        <v>4.5811123315500002E-5</v>
      </c>
      <c r="BD9">
        <v>5.1037732149200004E-6</v>
      </c>
      <c r="BE9">
        <v>0.178364675340067</v>
      </c>
      <c r="BF9">
        <v>0.17096164160812399</v>
      </c>
      <c r="BG9">
        <v>1.515595767357E-4</v>
      </c>
      <c r="BH9">
        <v>1.057347379201E-5</v>
      </c>
    </row>
    <row r="10" spans="1:60" x14ac:dyDescent="0.25">
      <c r="A10" s="1" t="s">
        <v>18</v>
      </c>
      <c r="B10" t="s">
        <v>146</v>
      </c>
      <c r="C10" t="s">
        <v>147</v>
      </c>
      <c r="D10" t="s">
        <v>142</v>
      </c>
      <c r="E10" t="s">
        <v>18</v>
      </c>
      <c r="F10">
        <v>1000</v>
      </c>
      <c r="G10">
        <v>15.465521516035301</v>
      </c>
      <c r="H10">
        <v>15.4370587423034</v>
      </c>
      <c r="I10">
        <v>7.5647880972959001E-4</v>
      </c>
      <c r="J10">
        <v>1.4206897765150001E-5</v>
      </c>
      <c r="K10">
        <v>2.0278824037509999E-5</v>
      </c>
      <c r="L10">
        <v>15.0645196628269</v>
      </c>
      <c r="M10">
        <v>15.0645196628269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15.663199131551799</v>
      </c>
      <c r="Y10">
        <v>0</v>
      </c>
      <c r="Z10">
        <v>0</v>
      </c>
      <c r="AA10">
        <v>0</v>
      </c>
      <c r="AB10">
        <v>0</v>
      </c>
      <c r="AC10">
        <v>15.0645196628269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15.0645196628269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0.132549287428427</v>
      </c>
      <c r="BA10">
        <v>0.114767269191258</v>
      </c>
      <c r="BB10">
        <v>5.2683544264723995E-4</v>
      </c>
      <c r="BC10">
        <v>1.4206897765150001E-5</v>
      </c>
      <c r="BD10">
        <v>6.22247548213E-6</v>
      </c>
      <c r="BE10">
        <v>0.26845256577989202</v>
      </c>
      <c r="BF10">
        <v>0.25777181028522</v>
      </c>
      <c r="BG10">
        <v>2.2964336708235E-4</v>
      </c>
      <c r="BH10">
        <v>1.4056348555370001E-5</v>
      </c>
    </row>
    <row r="11" spans="1:60" x14ac:dyDescent="0.25">
      <c r="A11" s="1" t="s">
        <v>19</v>
      </c>
      <c r="B11" t="s">
        <v>170</v>
      </c>
      <c r="C11" t="s">
        <v>171</v>
      </c>
      <c r="D11" t="s">
        <v>142</v>
      </c>
      <c r="E11" t="s">
        <v>143</v>
      </c>
      <c r="F11">
        <v>1000</v>
      </c>
      <c r="G11">
        <v>6.8013085759136196</v>
      </c>
      <c r="H11">
        <v>4.1060372070075299</v>
      </c>
      <c r="I11">
        <v>1.5624228480953101E-3</v>
      </c>
      <c r="J11">
        <v>1.8453188378809999E-5</v>
      </c>
      <c r="K11">
        <v>9.7004136701341597E-3</v>
      </c>
      <c r="L11">
        <v>6.4268276670352797</v>
      </c>
      <c r="M11">
        <v>3.7636598846245599</v>
      </c>
      <c r="N11">
        <v>6.5091670659635995E-4</v>
      </c>
      <c r="O11">
        <v>0</v>
      </c>
      <c r="P11">
        <v>9.6841408958027401E-3</v>
      </c>
      <c r="Q11">
        <v>5.3688853608748301</v>
      </c>
      <c r="R11">
        <v>6.9999122740278405E-2</v>
      </c>
      <c r="S11">
        <v>1.0547821309108999E-2</v>
      </c>
      <c r="T11">
        <v>4.5471930797232801E-2</v>
      </c>
      <c r="U11">
        <v>5.9360692116173001E-4</v>
      </c>
      <c r="V11">
        <v>1.3168238176067801E-12</v>
      </c>
      <c r="W11">
        <v>2.1385836678236101E-3</v>
      </c>
      <c r="X11">
        <v>11.8253821162509</v>
      </c>
      <c r="Y11">
        <v>99.659569964545796</v>
      </c>
      <c r="Z11">
        <v>3.6129574596249001</v>
      </c>
      <c r="AA11">
        <v>8.6281674421219007E-2</v>
      </c>
      <c r="AB11">
        <v>1.89431679589359</v>
      </c>
      <c r="AC11">
        <v>0.61367361589456304</v>
      </c>
      <c r="AD11">
        <v>0.219598121200998</v>
      </c>
      <c r="AE11">
        <v>0</v>
      </c>
      <c r="AF11">
        <v>0</v>
      </c>
      <c r="AG11">
        <v>2.8441064731077699</v>
      </c>
      <c r="AH11">
        <v>8.6281674421219007E-2</v>
      </c>
      <c r="AI11">
        <v>0.61367361589456304</v>
      </c>
      <c r="AJ11">
        <v>0.219598121200998</v>
      </c>
      <c r="AK11">
        <v>6.5091670659635995E-4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2.74525153355513E-3</v>
      </c>
      <c r="AR11">
        <v>0</v>
      </c>
      <c r="AS11">
        <v>6.9388893622476001E-3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0.106028343098449</v>
      </c>
      <c r="BA11">
        <v>8.4605512097746596E-2</v>
      </c>
      <c r="BB11">
        <v>6.8186277441658998E-4</v>
      </c>
      <c r="BC11">
        <v>1.8453188378809999E-5</v>
      </c>
      <c r="BD11">
        <v>2.2164257760399998E-6</v>
      </c>
      <c r="BE11">
        <v>0.26845256577989202</v>
      </c>
      <c r="BF11">
        <v>0.25777181028522</v>
      </c>
      <c r="BG11">
        <v>2.2964336708235E-4</v>
      </c>
      <c r="BH11">
        <v>1.4056348555370001E-5</v>
      </c>
    </row>
    <row r="12" spans="1:60" x14ac:dyDescent="0.25">
      <c r="A12" s="1" t="s">
        <v>20</v>
      </c>
      <c r="B12" t="s">
        <v>163</v>
      </c>
      <c r="C12" t="s">
        <v>164</v>
      </c>
      <c r="D12" t="s">
        <v>165</v>
      </c>
      <c r="E12" t="s">
        <v>166</v>
      </c>
      <c r="F12">
        <v>1000</v>
      </c>
      <c r="G12">
        <v>1.2035375077510999</v>
      </c>
      <c r="H12">
        <v>0.79032268104547598</v>
      </c>
      <c r="I12">
        <v>1.6360766374350899E-3</v>
      </c>
      <c r="J12">
        <v>1.9470450106698399E-3</v>
      </c>
      <c r="K12">
        <v>1.14245248213179E-3</v>
      </c>
      <c r="L12">
        <v>1.12778012307384</v>
      </c>
      <c r="M12">
        <v>0.72086128781707504</v>
      </c>
      <c r="N12">
        <v>1.47071598550814E-3</v>
      </c>
      <c r="O12">
        <v>1.9407028381945601E-3</v>
      </c>
      <c r="P12">
        <v>1.1380678470965899E-3</v>
      </c>
      <c r="Q12">
        <v>4.3051644284320298</v>
      </c>
      <c r="R12">
        <v>5.8030951248782298E-2</v>
      </c>
      <c r="S12">
        <v>1.11770539869263E-2</v>
      </c>
      <c r="T12">
        <v>0.191431955998937</v>
      </c>
      <c r="U12">
        <v>0.50015505009107297</v>
      </c>
      <c r="V12">
        <v>2.07055109806457E-12</v>
      </c>
      <c r="W12">
        <v>3.0278062264538302E-3</v>
      </c>
      <c r="X12">
        <v>9.3648670155682492</v>
      </c>
      <c r="Y12">
        <v>1.52497390107839</v>
      </c>
      <c r="Z12">
        <v>0.30602573657149401</v>
      </c>
      <c r="AA12">
        <v>7.5762116188789697E-2</v>
      </c>
      <c r="AB12">
        <v>0.19359302585045501</v>
      </c>
      <c r="AC12">
        <v>0.433577467489698</v>
      </c>
      <c r="AD12">
        <v>6.5822202703204102E-2</v>
      </c>
      <c r="AE12">
        <v>0</v>
      </c>
      <c r="AF12">
        <v>5.2999574270200099E-2</v>
      </c>
      <c r="AG12">
        <v>0.18448826732684601</v>
      </c>
      <c r="AH12">
        <v>6.7650313880156604E-2</v>
      </c>
      <c r="AI12">
        <v>0.41946692322624102</v>
      </c>
      <c r="AJ12">
        <v>6.5822202703204102E-2</v>
      </c>
      <c r="AK12">
        <v>3.5336216474504998E-4</v>
      </c>
      <c r="AL12">
        <v>2.4897590200511998E-4</v>
      </c>
      <c r="AM12">
        <v>0.172530343227145</v>
      </c>
      <c r="AN12">
        <v>0</v>
      </c>
      <c r="AO12">
        <v>0</v>
      </c>
      <c r="AP12">
        <v>1.9407028381945601E-3</v>
      </c>
      <c r="AQ12">
        <v>4.0662006130125997E-4</v>
      </c>
      <c r="AR12">
        <v>2.53597226696E-6</v>
      </c>
      <c r="AS12">
        <v>7.0913196282217995E-4</v>
      </c>
      <c r="AT12">
        <v>0.17214420750510501</v>
      </c>
      <c r="AU12">
        <v>2.19999135145E-6</v>
      </c>
      <c r="AV12">
        <v>0</v>
      </c>
      <c r="AW12">
        <v>0</v>
      </c>
      <c r="AX12">
        <v>0</v>
      </c>
      <c r="AY12">
        <v>0</v>
      </c>
      <c r="AZ12">
        <v>4.4823493583701302E-2</v>
      </c>
      <c r="BA12">
        <v>3.9790356012319603E-2</v>
      </c>
      <c r="BB12">
        <v>1.3894839250013001E-4</v>
      </c>
      <c r="BC12">
        <v>6.3421724752699996E-6</v>
      </c>
      <c r="BD12">
        <v>2.6418931063900001E-6</v>
      </c>
      <c r="BE12">
        <v>3.09338910935632E-2</v>
      </c>
      <c r="BF12">
        <v>2.9671037216080401E-2</v>
      </c>
      <c r="BG12">
        <v>2.6412259426810001E-5</v>
      </c>
      <c r="BH12">
        <v>1.7427419288000001E-6</v>
      </c>
    </row>
    <row r="13" spans="1:60" x14ac:dyDescent="0.25">
      <c r="A13" s="1" t="s">
        <v>21</v>
      </c>
      <c r="B13" t="s">
        <v>144</v>
      </c>
      <c r="C13" t="s">
        <v>145</v>
      </c>
      <c r="D13" t="s">
        <v>142</v>
      </c>
      <c r="E13" t="s">
        <v>143</v>
      </c>
      <c r="F13">
        <v>1000</v>
      </c>
      <c r="G13">
        <v>12.8661333966143</v>
      </c>
      <c r="H13">
        <v>12.834029810119</v>
      </c>
      <c r="I13">
        <v>9.1150614149895001E-4</v>
      </c>
      <c r="J13">
        <v>1.8453188378809999E-5</v>
      </c>
      <c r="K13">
        <v>1.6272774331420001E-5</v>
      </c>
      <c r="L13">
        <v>12.491652487735999</v>
      </c>
      <c r="M13">
        <v>12.491652487735999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5.91153348865938</v>
      </c>
      <c r="Y13">
        <v>0</v>
      </c>
      <c r="Z13">
        <v>0</v>
      </c>
      <c r="AA13">
        <v>0</v>
      </c>
      <c r="AB13">
        <v>0</v>
      </c>
      <c r="AC13">
        <v>12.491652487735999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12.491652487735999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0.106028343098449</v>
      </c>
      <c r="BA13">
        <v>8.4605512097746596E-2</v>
      </c>
      <c r="BB13">
        <v>6.8186277441658998E-4</v>
      </c>
      <c r="BC13">
        <v>1.8453188378809999E-5</v>
      </c>
      <c r="BD13">
        <v>2.2164257760399998E-6</v>
      </c>
      <c r="BE13">
        <v>0.26845256577989202</v>
      </c>
      <c r="BF13">
        <v>0.25777181028522</v>
      </c>
      <c r="BG13">
        <v>2.2964336708235E-4</v>
      </c>
      <c r="BH13">
        <v>1.4056348555370001E-5</v>
      </c>
    </row>
    <row r="14" spans="1:60" x14ac:dyDescent="0.25">
      <c r="A14" s="1" t="s">
        <v>22</v>
      </c>
      <c r="B14" t="s">
        <v>172</v>
      </c>
      <c r="C14" t="s">
        <v>173</v>
      </c>
      <c r="D14" t="s">
        <v>142</v>
      </c>
      <c r="E14" t="s">
        <v>143</v>
      </c>
      <c r="F14">
        <v>1000</v>
      </c>
      <c r="G14">
        <v>6.8316131397574296</v>
      </c>
      <c r="H14">
        <v>6.7995095532620597</v>
      </c>
      <c r="I14">
        <v>9.1150614149895001E-4</v>
      </c>
      <c r="J14">
        <v>1.8453188378809999E-5</v>
      </c>
      <c r="K14">
        <v>1.6272774331420001E-5</v>
      </c>
      <c r="L14">
        <v>6.4571322308790897</v>
      </c>
      <c r="M14">
        <v>6.4571322308790897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3.6034967327189902</v>
      </c>
      <c r="Y14">
        <v>0</v>
      </c>
      <c r="Z14">
        <v>0</v>
      </c>
      <c r="AA14">
        <v>0</v>
      </c>
      <c r="AB14">
        <v>0</v>
      </c>
      <c r="AC14">
        <v>6.4571322308790897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6.4571322308790897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0.106028343098449</v>
      </c>
      <c r="BA14">
        <v>8.4605512097746596E-2</v>
      </c>
      <c r="BB14">
        <v>6.8186277441658998E-4</v>
      </c>
      <c r="BC14">
        <v>1.8453188378809999E-5</v>
      </c>
      <c r="BD14">
        <v>2.2164257760399998E-6</v>
      </c>
      <c r="BE14">
        <v>0.26845256577989202</v>
      </c>
      <c r="BF14">
        <v>0.25777181028522</v>
      </c>
      <c r="BG14">
        <v>2.2964336708235E-4</v>
      </c>
      <c r="BH14">
        <v>1.4056348555370001E-5</v>
      </c>
    </row>
    <row r="15" spans="1:60" x14ac:dyDescent="0.25">
      <c r="A15" s="1" t="s">
        <v>23</v>
      </c>
      <c r="B15" t="s">
        <v>132</v>
      </c>
      <c r="C15" t="s">
        <v>133</v>
      </c>
      <c r="D15" t="s">
        <v>130</v>
      </c>
      <c r="E15" t="s">
        <v>131</v>
      </c>
      <c r="F15">
        <v>1000</v>
      </c>
      <c r="G15">
        <v>8.1222085600684508</v>
      </c>
      <c r="H15">
        <v>3.4080904786387598</v>
      </c>
      <c r="I15">
        <v>8.34140773417286E-3</v>
      </c>
      <c r="J15">
        <v>0.111302362117829</v>
      </c>
      <c r="K15">
        <v>5.3493785852378999E-3</v>
      </c>
      <c r="L15">
        <v>7.8890818588648797</v>
      </c>
      <c r="M15">
        <v>3.21726668943192</v>
      </c>
      <c r="N15">
        <v>6.98773467326069E-3</v>
      </c>
      <c r="O15">
        <v>0.111276480009524</v>
      </c>
      <c r="P15">
        <v>5.3447462121341801E-3</v>
      </c>
      <c r="Q15">
        <v>14.4088488876871</v>
      </c>
      <c r="R15">
        <v>0.154190737520504</v>
      </c>
      <c r="S15">
        <v>3.0301495743950701E-2</v>
      </c>
      <c r="T15">
        <v>0.62944218993418699</v>
      </c>
      <c r="U15">
        <v>1.92010826322794</v>
      </c>
      <c r="V15">
        <v>6.0408962815980802E-12</v>
      </c>
      <c r="W15">
        <v>8.6248605039504003E-2</v>
      </c>
      <c r="X15">
        <v>3.9010936085357999</v>
      </c>
      <c r="Y15">
        <v>229.96571891021</v>
      </c>
      <c r="Z15">
        <v>0.64341055029883598</v>
      </c>
      <c r="AA15">
        <v>0.22728290226737399</v>
      </c>
      <c r="AB15">
        <v>0.60051336430059898</v>
      </c>
      <c r="AC15">
        <v>2.4681785977135702</v>
      </c>
      <c r="AD15">
        <v>0.35433895914159502</v>
      </c>
      <c r="AE15">
        <v>0.275828666137239</v>
      </c>
      <c r="AF15">
        <v>3.3195288190056602</v>
      </c>
      <c r="AG15">
        <v>0.38999784897537898</v>
      </c>
      <c r="AH15">
        <v>0.20299348324507799</v>
      </c>
      <c r="AI15">
        <v>2.3420771690238502</v>
      </c>
      <c r="AJ15">
        <v>0.35433895914159502</v>
      </c>
      <c r="AK15">
        <v>7.3430938202832005E-4</v>
      </c>
      <c r="AL15">
        <v>7.4460916759973002E-4</v>
      </c>
      <c r="AM15">
        <v>0.57524986938909395</v>
      </c>
      <c r="AN15">
        <v>0</v>
      </c>
      <c r="AO15">
        <v>1.0215876523601401E-2</v>
      </c>
      <c r="AP15">
        <v>0.101060603485922</v>
      </c>
      <c r="AQ15">
        <v>8.4809627010627004E-4</v>
      </c>
      <c r="AR15">
        <v>7.6925488198600008E-6</v>
      </c>
      <c r="AS15">
        <v>2.19968265311574E-3</v>
      </c>
      <c r="AT15">
        <v>0.57181929836950296</v>
      </c>
      <c r="AU15">
        <v>2.1644414830979701E-3</v>
      </c>
      <c r="AV15">
        <v>0</v>
      </c>
      <c r="AW15">
        <v>0</v>
      </c>
      <c r="AX15">
        <v>0</v>
      </c>
      <c r="AY15">
        <v>0</v>
      </c>
      <c r="AZ15">
        <v>0.16715054694313</v>
      </c>
      <c r="BA15">
        <v>0.127591292497577</v>
      </c>
      <c r="BB15">
        <v>1.2976377481273399E-3</v>
      </c>
      <c r="BC15">
        <v>2.5882108305240001E-5</v>
      </c>
      <c r="BD15">
        <v>6.9902061214887601E-7</v>
      </c>
      <c r="BE15">
        <v>6.5976154260444397E-2</v>
      </c>
      <c r="BF15">
        <v>6.3232496709257902E-2</v>
      </c>
      <c r="BG15">
        <v>5.603531278483E-5</v>
      </c>
      <c r="BH15">
        <v>3.9333524915599998E-6</v>
      </c>
    </row>
    <row r="16" spans="1:60" x14ac:dyDescent="0.25">
      <c r="A16" s="1" t="s">
        <v>24</v>
      </c>
      <c r="B16" t="s">
        <v>156</v>
      </c>
      <c r="C16" t="s">
        <v>157</v>
      </c>
      <c r="D16" t="s">
        <v>158</v>
      </c>
      <c r="E16" t="s">
        <v>159</v>
      </c>
      <c r="F16">
        <v>1000</v>
      </c>
      <c r="G16">
        <v>1.2725980201938101</v>
      </c>
      <c r="H16">
        <v>0.41476740154908898</v>
      </c>
      <c r="I16">
        <v>1.6542812642515901E-3</v>
      </c>
      <c r="J16">
        <v>2.26771814333835E-2</v>
      </c>
      <c r="K16">
        <v>7.1886131233944999E-4</v>
      </c>
      <c r="L16">
        <v>1.12474709207505</v>
      </c>
      <c r="M16">
        <v>0.28331447064297399</v>
      </c>
      <c r="N16">
        <v>1.22178300890189E-3</v>
      </c>
      <c r="O16">
        <v>2.2631370310068E-2</v>
      </c>
      <c r="P16">
        <v>7.1053659119036001E-4</v>
      </c>
      <c r="Q16">
        <v>0.97376924479922999</v>
      </c>
      <c r="R16">
        <v>1.5673716882020801E-2</v>
      </c>
      <c r="S16">
        <v>1.1015535938948501E-3</v>
      </c>
      <c r="T16">
        <v>8.6699109576174899E-3</v>
      </c>
      <c r="U16">
        <v>7.6160567341806595E-2</v>
      </c>
      <c r="V16">
        <v>5.2002611001773199E-13</v>
      </c>
      <c r="W16">
        <v>4.9487428448636997E-4</v>
      </c>
      <c r="X16">
        <v>7.8745441541651692E-3</v>
      </c>
      <c r="Y16">
        <v>3.4866958891338702</v>
      </c>
      <c r="Z16">
        <v>4.5199461019017603E-2</v>
      </c>
      <c r="AA16">
        <v>2.4810966081463302E-2</v>
      </c>
      <c r="AB16">
        <v>8.4227521543503603E-2</v>
      </c>
      <c r="AC16">
        <v>0.25621783992888902</v>
      </c>
      <c r="AD16">
        <v>2.70311105257625E-2</v>
      </c>
      <c r="AE16">
        <v>0.49642847747948499</v>
      </c>
      <c r="AF16">
        <v>0.190831715496937</v>
      </c>
      <c r="AG16">
        <v>2.7260167659068101E-2</v>
      </c>
      <c r="AH16">
        <v>2.22262476358339E-2</v>
      </c>
      <c r="AI16">
        <v>0.248368749636034</v>
      </c>
      <c r="AJ16">
        <v>2.70311105257625E-2</v>
      </c>
      <c r="AK16">
        <v>5.0883008724980001E-5</v>
      </c>
      <c r="AL16">
        <v>7.8494865094969995E-5</v>
      </c>
      <c r="AM16">
        <v>0.159185713204823</v>
      </c>
      <c r="AN16">
        <v>0</v>
      </c>
      <c r="AO16">
        <v>1.8386239906647499E-2</v>
      </c>
      <c r="AP16">
        <v>4.2451304034204704E-3</v>
      </c>
      <c r="AQ16">
        <v>6.0157434798329997E-5</v>
      </c>
      <c r="AR16">
        <v>8.9952917875173199E-7</v>
      </c>
      <c r="AS16">
        <v>3.0852571993957001E-4</v>
      </c>
      <c r="AT16">
        <v>0.158957573213523</v>
      </c>
      <c r="AU16">
        <v>2.7916921100579997E-4</v>
      </c>
      <c r="AV16">
        <v>1.16559293746207E-2</v>
      </c>
      <c r="AW16">
        <v>1.0211712712978801E-2</v>
      </c>
      <c r="AX16">
        <v>4.43926200926E-5</v>
      </c>
      <c r="AY16">
        <v>4.4438308748041299E-7</v>
      </c>
      <c r="AZ16">
        <v>8.9356930463117906E-2</v>
      </c>
      <c r="BA16">
        <v>7.6347166005903203E-2</v>
      </c>
      <c r="BB16">
        <v>3.4830651141009E-4</v>
      </c>
      <c r="BC16">
        <v>4.5811123315500002E-5</v>
      </c>
      <c r="BD16">
        <v>5.1037732149200004E-6</v>
      </c>
      <c r="BE16">
        <v>4.6838068281015603E-2</v>
      </c>
      <c r="BF16">
        <v>4.4894052187232698E-2</v>
      </c>
      <c r="BG16">
        <v>3.9799123846989999E-5</v>
      </c>
      <c r="BH16">
        <v>2.7765648466700001E-6</v>
      </c>
    </row>
    <row r="17" spans="1:60" x14ac:dyDescent="0.25">
      <c r="A17" s="1" t="s">
        <v>25</v>
      </c>
      <c r="B17" t="s">
        <v>153</v>
      </c>
      <c r="C17" t="s">
        <v>154</v>
      </c>
      <c r="D17" t="s">
        <v>142</v>
      </c>
      <c r="E17" t="s">
        <v>155</v>
      </c>
      <c r="F17">
        <v>1000</v>
      </c>
      <c r="G17">
        <v>14.8079227367546</v>
      </c>
      <c r="H17">
        <v>14.7555091414053</v>
      </c>
      <c r="I17">
        <v>1.59857989257933E-3</v>
      </c>
      <c r="J17">
        <v>2.7304202168160002E-5</v>
      </c>
      <c r="K17">
        <v>1.479377689346E-5</v>
      </c>
      <c r="L17">
        <v>14.363135528045699</v>
      </c>
      <c r="M17">
        <v>14.363135528045699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13.613068724169</v>
      </c>
      <c r="Y17">
        <v>0</v>
      </c>
      <c r="Z17">
        <v>0</v>
      </c>
      <c r="AA17">
        <v>0</v>
      </c>
      <c r="AB17">
        <v>0</v>
      </c>
      <c r="AC17">
        <v>14.363135528045699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14.363135528045699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0.17633464292901599</v>
      </c>
      <c r="BA17">
        <v>0.134601803074367</v>
      </c>
      <c r="BB17">
        <v>1.36893652549697E-3</v>
      </c>
      <c r="BC17">
        <v>2.7304202168160002E-5</v>
      </c>
      <c r="BD17">
        <v>7.3742833809112202E-7</v>
      </c>
      <c r="BE17">
        <v>0.26845256577989202</v>
      </c>
      <c r="BF17">
        <v>0.25777181028522</v>
      </c>
      <c r="BG17">
        <v>2.2964336708235E-4</v>
      </c>
      <c r="BH17">
        <v>1.4056348555370001E-5</v>
      </c>
    </row>
    <row r="18" spans="1:60" x14ac:dyDescent="0.25">
      <c r="A18" s="1" t="s">
        <v>26</v>
      </c>
      <c r="B18" t="s">
        <v>134</v>
      </c>
      <c r="C18" t="s">
        <v>135</v>
      </c>
      <c r="D18" t="s">
        <v>130</v>
      </c>
      <c r="E18" t="s">
        <v>131</v>
      </c>
      <c r="F18">
        <v>1000</v>
      </c>
      <c r="G18">
        <v>43.1761177596983</v>
      </c>
      <c r="H18">
        <v>10.9869881479834</v>
      </c>
      <c r="I18">
        <v>4.19230547024287E-2</v>
      </c>
      <c r="J18">
        <v>0.84140825797012897</v>
      </c>
      <c r="K18">
        <v>3.0116482111315301E-2</v>
      </c>
      <c r="L18">
        <v>42.9018053401782</v>
      </c>
      <c r="M18">
        <v>10.7566045645759</v>
      </c>
      <c r="N18">
        <v>4.0534030794416601E-2</v>
      </c>
      <c r="O18">
        <v>0.84138237586182396</v>
      </c>
      <c r="P18">
        <v>3.01097527826352E-2</v>
      </c>
      <c r="Q18">
        <v>41.037024253300402</v>
      </c>
      <c r="R18">
        <v>1.16904036198147</v>
      </c>
      <c r="S18">
        <v>5.9716852969730297E-2</v>
      </c>
      <c r="T18">
        <v>0.50531763219334902</v>
      </c>
      <c r="U18">
        <v>2.3138282222880902</v>
      </c>
      <c r="V18">
        <v>3.9179812129454802E-11</v>
      </c>
      <c r="W18">
        <v>0.112530266818733</v>
      </c>
      <c r="X18">
        <v>4.84775523233332</v>
      </c>
      <c r="Y18">
        <v>75.938348955800805</v>
      </c>
      <c r="Z18">
        <v>3.2027513967585501</v>
      </c>
      <c r="AA18">
        <v>2.0676708517776898</v>
      </c>
      <c r="AB18">
        <v>5.9287805365630604</v>
      </c>
      <c r="AC18">
        <v>7.7631383528647797</v>
      </c>
      <c r="AD18">
        <v>0.69979993254988504</v>
      </c>
      <c r="AE18">
        <v>22.128906660163</v>
      </c>
      <c r="AF18">
        <v>1.1107576095012099</v>
      </c>
      <c r="AG18">
        <v>1.8993756629180201</v>
      </c>
      <c r="AH18">
        <v>1.83782220981064</v>
      </c>
      <c r="AI18">
        <v>7.6277067494014004</v>
      </c>
      <c r="AJ18">
        <v>0.69979993254988504</v>
      </c>
      <c r="AK18">
        <v>3.6124184423047098E-3</v>
      </c>
      <c r="AL18">
        <v>6.5594862464272499E-3</v>
      </c>
      <c r="AM18">
        <v>4.9117683439170801</v>
      </c>
      <c r="AN18">
        <v>0</v>
      </c>
      <c r="AO18">
        <v>0.81958913556159296</v>
      </c>
      <c r="AP18">
        <v>2.1793240300230599E-2</v>
      </c>
      <c r="AQ18">
        <v>4.37994748813133E-3</v>
      </c>
      <c r="AR18">
        <v>1.2591923744877001E-4</v>
      </c>
      <c r="AS18">
        <v>2.17171448225753E-2</v>
      </c>
      <c r="AT18">
        <v>4.9083121227173496</v>
      </c>
      <c r="AU18">
        <v>1.91333377800361E-3</v>
      </c>
      <c r="AV18">
        <v>0</v>
      </c>
      <c r="AW18">
        <v>0</v>
      </c>
      <c r="AX18">
        <v>0</v>
      </c>
      <c r="AY18">
        <v>0</v>
      </c>
      <c r="AZ18">
        <v>0.16715054694313</v>
      </c>
      <c r="BA18">
        <v>0.127591292497577</v>
      </c>
      <c r="BB18">
        <v>1.2976377481273399E-3</v>
      </c>
      <c r="BC18">
        <v>2.5882108305240001E-5</v>
      </c>
      <c r="BD18">
        <v>6.9902061214887601E-7</v>
      </c>
      <c r="BE18">
        <v>0.107161872577043</v>
      </c>
      <c r="BF18">
        <v>0.102792290909925</v>
      </c>
      <c r="BG18">
        <v>9.1386159884779999E-5</v>
      </c>
      <c r="BH18">
        <v>6.0303080679500002E-6</v>
      </c>
    </row>
    <row r="19" spans="1:60" x14ac:dyDescent="0.25">
      <c r="A19" s="1" t="s">
        <v>27</v>
      </c>
      <c r="B19" t="s">
        <v>132</v>
      </c>
      <c r="C19" t="s">
        <v>133</v>
      </c>
      <c r="D19" t="s">
        <v>130</v>
      </c>
      <c r="E19" t="s">
        <v>131</v>
      </c>
      <c r="F19">
        <v>1000</v>
      </c>
      <c r="G19">
        <v>8.1222085600684508</v>
      </c>
      <c r="H19">
        <v>3.4080904786387598</v>
      </c>
      <c r="I19">
        <v>8.34140773417286E-3</v>
      </c>
      <c r="J19">
        <v>0.111302362117829</v>
      </c>
      <c r="K19">
        <v>5.3493785852378999E-3</v>
      </c>
      <c r="L19">
        <v>7.8890818588648797</v>
      </c>
      <c r="M19">
        <v>3.21726668943192</v>
      </c>
      <c r="N19">
        <v>6.98773467326069E-3</v>
      </c>
      <c r="O19">
        <v>0.111276480009524</v>
      </c>
      <c r="P19">
        <v>5.3447462121341801E-3</v>
      </c>
      <c r="Q19">
        <v>14.4088488876871</v>
      </c>
      <c r="R19">
        <v>0.154190737520504</v>
      </c>
      <c r="S19">
        <v>3.0301495743950701E-2</v>
      </c>
      <c r="T19">
        <v>0.62944218993418699</v>
      </c>
      <c r="U19">
        <v>1.92010826322794</v>
      </c>
      <c r="V19">
        <v>6.0408962815980802E-12</v>
      </c>
      <c r="W19">
        <v>8.6248605039504003E-2</v>
      </c>
      <c r="X19">
        <v>3.9010936085357999</v>
      </c>
      <c r="Y19">
        <v>229.96571891021</v>
      </c>
      <c r="Z19">
        <v>0.64341055029883598</v>
      </c>
      <c r="AA19">
        <v>0.22728290226737399</v>
      </c>
      <c r="AB19">
        <v>0.60051336430059898</v>
      </c>
      <c r="AC19">
        <v>2.4681785977135702</v>
      </c>
      <c r="AD19">
        <v>0.35433895914159502</v>
      </c>
      <c r="AE19">
        <v>0.275828666137239</v>
      </c>
      <c r="AF19">
        <v>3.3195288190056602</v>
      </c>
      <c r="AG19">
        <v>0.38999784897537898</v>
      </c>
      <c r="AH19">
        <v>0.20299348324507799</v>
      </c>
      <c r="AI19">
        <v>2.3420771690238502</v>
      </c>
      <c r="AJ19">
        <v>0.35433895914159502</v>
      </c>
      <c r="AK19">
        <v>7.3430938202832005E-4</v>
      </c>
      <c r="AL19">
        <v>7.4460916759973002E-4</v>
      </c>
      <c r="AM19">
        <v>0.57524986938909395</v>
      </c>
      <c r="AN19">
        <v>0</v>
      </c>
      <c r="AO19">
        <v>1.0215876523601401E-2</v>
      </c>
      <c r="AP19">
        <v>0.101060603485922</v>
      </c>
      <c r="AQ19">
        <v>8.4809627010627004E-4</v>
      </c>
      <c r="AR19">
        <v>7.6925488198600008E-6</v>
      </c>
      <c r="AS19">
        <v>2.19968265311574E-3</v>
      </c>
      <c r="AT19">
        <v>0.57181929836950296</v>
      </c>
      <c r="AU19">
        <v>2.1644414830979701E-3</v>
      </c>
      <c r="AV19">
        <v>0</v>
      </c>
      <c r="AW19">
        <v>0</v>
      </c>
      <c r="AX19">
        <v>0</v>
      </c>
      <c r="AY19">
        <v>0</v>
      </c>
      <c r="AZ19">
        <v>0.16715054694313</v>
      </c>
      <c r="BA19">
        <v>0.127591292497577</v>
      </c>
      <c r="BB19">
        <v>1.2976377481273399E-3</v>
      </c>
      <c r="BC19">
        <v>2.5882108305240001E-5</v>
      </c>
      <c r="BD19">
        <v>6.9902061214887601E-7</v>
      </c>
      <c r="BE19">
        <v>6.5976154260444397E-2</v>
      </c>
      <c r="BF19">
        <v>6.3232496709257902E-2</v>
      </c>
      <c r="BG19">
        <v>5.603531278483E-5</v>
      </c>
      <c r="BH19">
        <v>3.9333524915599998E-6</v>
      </c>
    </row>
    <row r="20" spans="1:60" x14ac:dyDescent="0.25">
      <c r="A20" s="1" t="s">
        <v>28</v>
      </c>
      <c r="B20" t="s">
        <v>140</v>
      </c>
      <c r="C20" t="s">
        <v>141</v>
      </c>
      <c r="D20" t="s">
        <v>142</v>
      </c>
      <c r="E20" t="s">
        <v>143</v>
      </c>
      <c r="F20">
        <v>1000</v>
      </c>
      <c r="G20">
        <v>5.2603706363124196</v>
      </c>
      <c r="H20">
        <v>5.2282670498170498</v>
      </c>
      <c r="I20">
        <v>9.1150614149895001E-4</v>
      </c>
      <c r="J20">
        <v>1.8453188378809999E-5</v>
      </c>
      <c r="K20">
        <v>1.6272774331420001E-5</v>
      </c>
      <c r="L20">
        <v>4.8858897274340798</v>
      </c>
      <c r="M20">
        <v>4.8858897274340798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10.716474501609101</v>
      </c>
      <c r="Y20">
        <v>0</v>
      </c>
      <c r="Z20">
        <v>0</v>
      </c>
      <c r="AA20">
        <v>0</v>
      </c>
      <c r="AB20">
        <v>0</v>
      </c>
      <c r="AC20">
        <v>4.8858897274340798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4.8858897274340798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0.106028343098449</v>
      </c>
      <c r="BA20">
        <v>8.4605512097746596E-2</v>
      </c>
      <c r="BB20">
        <v>6.8186277441658998E-4</v>
      </c>
      <c r="BC20">
        <v>1.8453188378809999E-5</v>
      </c>
      <c r="BD20">
        <v>2.2164257760399998E-6</v>
      </c>
      <c r="BE20">
        <v>0.26845256577989202</v>
      </c>
      <c r="BF20">
        <v>0.25777181028522</v>
      </c>
      <c r="BG20">
        <v>2.2964336708235E-4</v>
      </c>
      <c r="BH20">
        <v>1.4056348555370001E-5</v>
      </c>
    </row>
    <row r="21" spans="1:60" x14ac:dyDescent="0.25">
      <c r="A21" s="1" t="s">
        <v>29</v>
      </c>
      <c r="B21" t="s">
        <v>132</v>
      </c>
      <c r="C21" t="s">
        <v>133</v>
      </c>
      <c r="D21" t="s">
        <v>130</v>
      </c>
      <c r="E21" t="s">
        <v>131</v>
      </c>
      <c r="F21">
        <v>1000</v>
      </c>
      <c r="G21">
        <v>8.1222085600684508</v>
      </c>
      <c r="H21">
        <v>3.4080904786387598</v>
      </c>
      <c r="I21">
        <v>8.34140773417286E-3</v>
      </c>
      <c r="J21">
        <v>0.111302362117829</v>
      </c>
      <c r="K21">
        <v>5.3493785852378999E-3</v>
      </c>
      <c r="L21">
        <v>7.8890818588648797</v>
      </c>
      <c r="M21">
        <v>3.21726668943192</v>
      </c>
      <c r="N21">
        <v>6.98773467326069E-3</v>
      </c>
      <c r="O21">
        <v>0.111276480009524</v>
      </c>
      <c r="P21">
        <v>5.3447462121341801E-3</v>
      </c>
      <c r="Q21">
        <v>14.4088488876871</v>
      </c>
      <c r="R21">
        <v>0.154190737520504</v>
      </c>
      <c r="S21">
        <v>3.0301495743950701E-2</v>
      </c>
      <c r="T21">
        <v>0.62944218993418699</v>
      </c>
      <c r="U21">
        <v>1.92010826322794</v>
      </c>
      <c r="V21">
        <v>6.0408962815980802E-12</v>
      </c>
      <c r="W21">
        <v>8.6248605039504003E-2</v>
      </c>
      <c r="X21">
        <v>3.9010936085357999</v>
      </c>
      <c r="Y21">
        <v>229.96571891021</v>
      </c>
      <c r="Z21">
        <v>0.64341055029883598</v>
      </c>
      <c r="AA21">
        <v>0.22728290226737399</v>
      </c>
      <c r="AB21">
        <v>0.60051336430059898</v>
      </c>
      <c r="AC21">
        <v>2.4681785977135702</v>
      </c>
      <c r="AD21">
        <v>0.35433895914159502</v>
      </c>
      <c r="AE21">
        <v>0.275828666137239</v>
      </c>
      <c r="AF21">
        <v>3.3195288190056602</v>
      </c>
      <c r="AG21">
        <v>0.38999784897537898</v>
      </c>
      <c r="AH21">
        <v>0.20299348324507799</v>
      </c>
      <c r="AI21">
        <v>2.3420771690238502</v>
      </c>
      <c r="AJ21">
        <v>0.35433895914159502</v>
      </c>
      <c r="AK21">
        <v>7.3430938202832005E-4</v>
      </c>
      <c r="AL21">
        <v>7.4460916759973002E-4</v>
      </c>
      <c r="AM21">
        <v>0.57524986938909395</v>
      </c>
      <c r="AN21">
        <v>0</v>
      </c>
      <c r="AO21">
        <v>1.0215876523601401E-2</v>
      </c>
      <c r="AP21">
        <v>0.101060603485922</v>
      </c>
      <c r="AQ21">
        <v>8.4809627010627004E-4</v>
      </c>
      <c r="AR21">
        <v>7.6925488198600008E-6</v>
      </c>
      <c r="AS21">
        <v>2.19968265311574E-3</v>
      </c>
      <c r="AT21">
        <v>0.57181929836950296</v>
      </c>
      <c r="AU21">
        <v>2.1644414830979701E-3</v>
      </c>
      <c r="AV21">
        <v>0</v>
      </c>
      <c r="AW21">
        <v>0</v>
      </c>
      <c r="AX21">
        <v>0</v>
      </c>
      <c r="AY21">
        <v>0</v>
      </c>
      <c r="AZ21">
        <v>0.16715054694313</v>
      </c>
      <c r="BA21">
        <v>0.127591292497577</v>
      </c>
      <c r="BB21">
        <v>1.2976377481273399E-3</v>
      </c>
      <c r="BC21">
        <v>2.5882108305240001E-5</v>
      </c>
      <c r="BD21">
        <v>6.9902061214887601E-7</v>
      </c>
      <c r="BE21">
        <v>6.5976154260444397E-2</v>
      </c>
      <c r="BF21">
        <v>6.3232496709257902E-2</v>
      </c>
      <c r="BG21">
        <v>5.603531278483E-5</v>
      </c>
      <c r="BH21">
        <v>3.9333524915599998E-6</v>
      </c>
    </row>
    <row r="22" spans="1:60" x14ac:dyDescent="0.25">
      <c r="A22" s="1" t="s">
        <v>30</v>
      </c>
      <c r="B22" t="s">
        <v>138</v>
      </c>
      <c r="C22" t="s">
        <v>139</v>
      </c>
      <c r="D22" t="s">
        <v>130</v>
      </c>
      <c r="E22" t="s">
        <v>47</v>
      </c>
      <c r="F22">
        <v>1000</v>
      </c>
      <c r="G22">
        <v>2.1958338484062701</v>
      </c>
      <c r="H22">
        <v>1.5920611950030199</v>
      </c>
      <c r="I22">
        <v>4.6545550153134002E-3</v>
      </c>
      <c r="J22">
        <v>2.8153365603104702E-3</v>
      </c>
      <c r="K22">
        <v>1.42510192973822E-3</v>
      </c>
      <c r="L22">
        <v>2.0091200500625699</v>
      </c>
      <c r="M22">
        <v>1.4457170698983799</v>
      </c>
      <c r="N22">
        <v>3.3401837351824501E-3</v>
      </c>
      <c r="O22">
        <v>2.78945445200522E-3</v>
      </c>
      <c r="P22">
        <v>1.4232609327897801E-3</v>
      </c>
      <c r="Q22">
        <v>6.9850172006574702</v>
      </c>
      <c r="R22">
        <v>6.8948451577954498E-2</v>
      </c>
      <c r="S22">
        <v>1.57176474358778E-2</v>
      </c>
      <c r="T22">
        <v>0.231077473597917</v>
      </c>
      <c r="U22">
        <v>0.81448355760782898</v>
      </c>
      <c r="V22">
        <v>3.3279114215059399E-12</v>
      </c>
      <c r="W22">
        <v>4.84561625943958E-2</v>
      </c>
      <c r="X22">
        <v>94.558279304901106</v>
      </c>
      <c r="Y22">
        <v>124.17478940347</v>
      </c>
      <c r="Z22">
        <v>0.28887138675894902</v>
      </c>
      <c r="AA22">
        <v>0.11105388493719</v>
      </c>
      <c r="AB22">
        <v>0.21687800181921599</v>
      </c>
      <c r="AC22">
        <v>1.1122482727543701</v>
      </c>
      <c r="AD22">
        <v>0.15179348565786499</v>
      </c>
      <c r="AE22">
        <v>0</v>
      </c>
      <c r="AF22">
        <v>0.12827501813497499</v>
      </c>
      <c r="AG22">
        <v>0.174460552611752</v>
      </c>
      <c r="AH22">
        <v>9.9140538419559804E-2</v>
      </c>
      <c r="AI22">
        <v>1.0598610519784799</v>
      </c>
      <c r="AJ22">
        <v>0.15178656866753901</v>
      </c>
      <c r="AK22">
        <v>3.3907457468582001E-4</v>
      </c>
      <c r="AL22">
        <v>3.6545740576156001E-4</v>
      </c>
      <c r="AM22">
        <v>0.40285649985212901</v>
      </c>
      <c r="AN22">
        <v>0</v>
      </c>
      <c r="AO22">
        <v>0</v>
      </c>
      <c r="AP22">
        <v>2.78945445200522E-3</v>
      </c>
      <c r="AQ22">
        <v>3.8207476857712999E-4</v>
      </c>
      <c r="AR22">
        <v>3.74621181661E-6</v>
      </c>
      <c r="AS22">
        <v>7.9442491508869997E-4</v>
      </c>
      <c r="AT22">
        <v>0.40138441050446599</v>
      </c>
      <c r="AU22">
        <v>1.9399175066238999E-4</v>
      </c>
      <c r="AV22">
        <v>0</v>
      </c>
      <c r="AW22">
        <v>0</v>
      </c>
      <c r="AX22">
        <v>0</v>
      </c>
      <c r="AY22">
        <v>0</v>
      </c>
      <c r="AZ22">
        <v>0.16715054694313</v>
      </c>
      <c r="BA22">
        <v>0.127591292497577</v>
      </c>
      <c r="BB22">
        <v>1.2976377481273399E-3</v>
      </c>
      <c r="BC22">
        <v>2.5882108305240001E-5</v>
      </c>
      <c r="BD22">
        <v>6.9902061214887601E-7</v>
      </c>
      <c r="BE22">
        <v>1.9563251400573699E-2</v>
      </c>
      <c r="BF22">
        <v>1.8752832607057499E-2</v>
      </c>
      <c r="BG22">
        <v>1.6733532003600001E-5</v>
      </c>
      <c r="BH22">
        <v>1.1419763362899999E-6</v>
      </c>
    </row>
    <row r="23" spans="1:60" x14ac:dyDescent="0.25">
      <c r="A23" s="1" t="s">
        <v>31</v>
      </c>
      <c r="B23" t="s">
        <v>151</v>
      </c>
      <c r="C23" t="s">
        <v>152</v>
      </c>
      <c r="D23" t="s">
        <v>142</v>
      </c>
      <c r="E23" t="s">
        <v>150</v>
      </c>
      <c r="F23">
        <v>1000</v>
      </c>
      <c r="G23">
        <v>2.1822297318511601</v>
      </c>
      <c r="H23">
        <v>2.1537669581193102</v>
      </c>
      <c r="I23">
        <v>7.5647880972959001E-4</v>
      </c>
      <c r="J23">
        <v>1.4206897765150001E-5</v>
      </c>
      <c r="K23">
        <v>2.0278824037509999E-5</v>
      </c>
      <c r="L23">
        <v>1.7812278786428399</v>
      </c>
      <c r="M23">
        <v>1.7812278786428399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4.46996286465252</v>
      </c>
      <c r="Y23">
        <v>0</v>
      </c>
      <c r="Z23">
        <v>0</v>
      </c>
      <c r="AA23">
        <v>0</v>
      </c>
      <c r="AB23">
        <v>0</v>
      </c>
      <c r="AC23">
        <v>1.7812278786428399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1.7812278786428399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0.132549287428427</v>
      </c>
      <c r="BA23">
        <v>0.114767269191258</v>
      </c>
      <c r="BB23">
        <v>5.2683544264723995E-4</v>
      </c>
      <c r="BC23">
        <v>1.4206897765150001E-5</v>
      </c>
      <c r="BD23">
        <v>6.22247548213E-6</v>
      </c>
      <c r="BE23">
        <v>0.26845256577989202</v>
      </c>
      <c r="BF23">
        <v>0.25777181028522</v>
      </c>
      <c r="BG23">
        <v>2.2964336708235E-4</v>
      </c>
      <c r="BH23">
        <v>1.4056348555370001E-5</v>
      </c>
    </row>
    <row r="24" spans="1:60" x14ac:dyDescent="0.25">
      <c r="A24" s="1" t="s">
        <v>32</v>
      </c>
      <c r="B24" t="s">
        <v>136</v>
      </c>
      <c r="C24" t="s">
        <v>137</v>
      </c>
      <c r="D24" t="s">
        <v>130</v>
      </c>
      <c r="E24" t="s">
        <v>131</v>
      </c>
      <c r="F24">
        <v>1000</v>
      </c>
      <c r="G24">
        <v>11.1263271649205</v>
      </c>
      <c r="H24">
        <v>4.2096968189691202</v>
      </c>
      <c r="I24">
        <v>1.30654376137246E-2</v>
      </c>
      <c r="J24">
        <v>3.44605688511345E-2</v>
      </c>
      <c r="K24">
        <v>2.0501263538761201E-2</v>
      </c>
      <c r="L24">
        <v>10.945169190715699</v>
      </c>
      <c r="M24">
        <v>4.06868208778039</v>
      </c>
      <c r="N24">
        <v>1.17558181354588E-2</v>
      </c>
      <c r="O24">
        <v>3.44346867428292E-2</v>
      </c>
      <c r="P24">
        <v>2.0499733261693302E-2</v>
      </c>
      <c r="Q24">
        <v>24.500245534422099</v>
      </c>
      <c r="R24">
        <v>0.31660275235399199</v>
      </c>
      <c r="S24">
        <v>2.85161306885558E-2</v>
      </c>
      <c r="T24">
        <v>9.1298949310861105E-2</v>
      </c>
      <c r="U24">
        <v>1.5168998745772799</v>
      </c>
      <c r="V24">
        <v>1.05366675445685E-11</v>
      </c>
      <c r="W24">
        <v>0.22459054689528499</v>
      </c>
      <c r="X24">
        <v>122.14784620916799</v>
      </c>
      <c r="Y24">
        <v>3761.7048845971899</v>
      </c>
      <c r="Z24">
        <v>1.27435545456696</v>
      </c>
      <c r="AA24">
        <v>0.34901672537333001</v>
      </c>
      <c r="AB24">
        <v>3.4882825851536299</v>
      </c>
      <c r="AC24">
        <v>3.0275300991640601</v>
      </c>
      <c r="AD24">
        <v>0.33468418545589901</v>
      </c>
      <c r="AE24">
        <v>1.10569354439141E-2</v>
      </c>
      <c r="AF24">
        <v>2.46024320555791</v>
      </c>
      <c r="AG24">
        <v>0.76598880139048997</v>
      </c>
      <c r="AH24">
        <v>0.31212528346451102</v>
      </c>
      <c r="AI24">
        <v>2.9322187635382799</v>
      </c>
      <c r="AJ24">
        <v>0.33468418545589901</v>
      </c>
      <c r="AK24">
        <v>1.4473177731727099E-3</v>
      </c>
      <c r="AL24">
        <v>1.12669214823957E-3</v>
      </c>
      <c r="AM24">
        <v>1.64345361564013</v>
      </c>
      <c r="AN24">
        <v>0</v>
      </c>
      <c r="AO24">
        <v>4.0951612755236999E-4</v>
      </c>
      <c r="AP24">
        <v>3.4025170615276802E-2</v>
      </c>
      <c r="AQ24">
        <v>1.7041633096554201E-3</v>
      </c>
      <c r="AR24">
        <v>1.214657835633E-5</v>
      </c>
      <c r="AS24">
        <v>1.2777591887009601E-2</v>
      </c>
      <c r="AT24">
        <v>1.64073071103195</v>
      </c>
      <c r="AU24">
        <v>5.64675310969023E-3</v>
      </c>
      <c r="AV24">
        <v>0</v>
      </c>
      <c r="AW24">
        <v>0</v>
      </c>
      <c r="AX24">
        <v>0</v>
      </c>
      <c r="AY24">
        <v>0</v>
      </c>
      <c r="AZ24">
        <v>0.16715054694313</v>
      </c>
      <c r="BA24">
        <v>0.127591292497577</v>
      </c>
      <c r="BB24">
        <v>1.2976377481273399E-3</v>
      </c>
      <c r="BC24">
        <v>2.5882108305240001E-5</v>
      </c>
      <c r="BD24">
        <v>6.9902061214887601E-7</v>
      </c>
      <c r="BE24">
        <v>1.4007427261701001E-2</v>
      </c>
      <c r="BF24">
        <v>1.3423438691151601E-2</v>
      </c>
      <c r="BG24">
        <v>1.1981730138429999E-5</v>
      </c>
      <c r="BH24">
        <v>8.3125645576544896E-7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7" tint="0.79998168889431442"/>
  </sheetPr>
  <dimension ref="A2:BH24"/>
  <sheetViews>
    <sheetView workbookViewId="0">
      <selection activeCell="D25" sqref="D25"/>
    </sheetView>
  </sheetViews>
  <sheetFormatPr defaultRowHeight="15" x14ac:dyDescent="0.25"/>
  <cols>
    <col min="1" max="1" width="20.140625" customWidth="1"/>
    <col min="2" max="2" width="13.7109375" customWidth="1"/>
    <col min="3" max="3" width="13.85546875" customWidth="1"/>
    <col min="4" max="4" width="15.28515625" customWidth="1"/>
  </cols>
  <sheetData>
    <row r="2" spans="1:60" ht="21" x14ac:dyDescent="0.35">
      <c r="A2" s="5" t="s">
        <v>175</v>
      </c>
      <c r="C2" t="s">
        <v>187</v>
      </c>
    </row>
    <row r="4" spans="1:60" x14ac:dyDescent="0.25">
      <c r="A4" s="10" t="s">
        <v>68</v>
      </c>
      <c r="B4" s="10" t="s">
        <v>69</v>
      </c>
      <c r="C4" s="10" t="s">
        <v>70</v>
      </c>
      <c r="D4" s="10" t="s">
        <v>71</v>
      </c>
      <c r="E4" s="10" t="s">
        <v>72</v>
      </c>
      <c r="F4" s="10" t="s">
        <v>73</v>
      </c>
      <c r="G4" s="10" t="s">
        <v>74</v>
      </c>
      <c r="H4" s="10" t="s">
        <v>75</v>
      </c>
      <c r="I4" s="10" t="s">
        <v>76</v>
      </c>
      <c r="J4" s="10" t="s">
        <v>77</v>
      </c>
      <c r="K4" s="10" t="s">
        <v>78</v>
      </c>
      <c r="L4" s="10" t="s">
        <v>79</v>
      </c>
      <c r="M4" s="10" t="s">
        <v>80</v>
      </c>
      <c r="N4" s="10" t="s">
        <v>81</v>
      </c>
      <c r="O4" s="10" t="s">
        <v>82</v>
      </c>
      <c r="P4" s="10" t="s">
        <v>83</v>
      </c>
      <c r="Q4" s="10" t="s">
        <v>84</v>
      </c>
      <c r="R4" s="10" t="s">
        <v>85</v>
      </c>
      <c r="S4" s="10" t="s">
        <v>86</v>
      </c>
      <c r="T4" s="10" t="s">
        <v>87</v>
      </c>
      <c r="U4" s="10" t="s">
        <v>88</v>
      </c>
      <c r="V4" s="10" t="s">
        <v>89</v>
      </c>
      <c r="W4" s="10" t="s">
        <v>90</v>
      </c>
      <c r="X4" s="10" t="s">
        <v>91</v>
      </c>
      <c r="Y4" s="10" t="s">
        <v>92</v>
      </c>
      <c r="Z4" s="10" t="s">
        <v>93</v>
      </c>
      <c r="AA4" s="10" t="s">
        <v>94</v>
      </c>
      <c r="AB4" s="10" t="s">
        <v>95</v>
      </c>
      <c r="AC4" s="10" t="s">
        <v>96</v>
      </c>
      <c r="AD4" s="10" t="s">
        <v>97</v>
      </c>
      <c r="AE4" s="10" t="s">
        <v>98</v>
      </c>
      <c r="AF4" s="10" t="s">
        <v>99</v>
      </c>
      <c r="AG4" s="10" t="s">
        <v>100</v>
      </c>
      <c r="AH4" s="10" t="s">
        <v>101</v>
      </c>
      <c r="AI4" s="10" t="s">
        <v>102</v>
      </c>
      <c r="AJ4" s="10" t="s">
        <v>103</v>
      </c>
      <c r="AK4" s="10" t="s">
        <v>104</v>
      </c>
      <c r="AL4" s="10" t="s">
        <v>105</v>
      </c>
      <c r="AM4" s="10" t="s">
        <v>106</v>
      </c>
      <c r="AN4" s="10" t="s">
        <v>107</v>
      </c>
      <c r="AO4" s="10" t="s">
        <v>108</v>
      </c>
      <c r="AP4" s="10" t="s">
        <v>109</v>
      </c>
      <c r="AQ4" s="10" t="s">
        <v>110</v>
      </c>
      <c r="AR4" s="10" t="s">
        <v>111</v>
      </c>
      <c r="AS4" s="10" t="s">
        <v>112</v>
      </c>
      <c r="AT4" s="10" t="s">
        <v>113</v>
      </c>
      <c r="AU4" s="10" t="s">
        <v>114</v>
      </c>
      <c r="AV4" s="10" t="s">
        <v>115</v>
      </c>
      <c r="AW4" s="10" t="s">
        <v>116</v>
      </c>
      <c r="AX4" s="10" t="s">
        <v>117</v>
      </c>
      <c r="AY4" s="10" t="s">
        <v>118</v>
      </c>
      <c r="AZ4" s="10" t="s">
        <v>119</v>
      </c>
      <c r="BA4" s="10" t="s">
        <v>120</v>
      </c>
      <c r="BB4" s="10" t="s">
        <v>121</v>
      </c>
      <c r="BC4" s="10" t="s">
        <v>122</v>
      </c>
      <c r="BD4" s="10" t="s">
        <v>123</v>
      </c>
      <c r="BE4" s="10" t="s">
        <v>124</v>
      </c>
      <c r="BF4" s="10" t="s">
        <v>125</v>
      </c>
      <c r="BG4" s="10" t="s">
        <v>126</v>
      </c>
      <c r="BH4" s="10" t="s">
        <v>127</v>
      </c>
    </row>
    <row r="5" spans="1:60" x14ac:dyDescent="0.25">
      <c r="A5" s="1" t="s">
        <v>13</v>
      </c>
      <c r="B5" t="s">
        <v>146</v>
      </c>
      <c r="C5" t="s">
        <v>147</v>
      </c>
      <c r="D5" t="s">
        <v>142</v>
      </c>
      <c r="E5" t="s">
        <v>18</v>
      </c>
      <c r="F5">
        <v>1000</v>
      </c>
      <c r="G5">
        <v>15.465521516035301</v>
      </c>
      <c r="H5">
        <v>15.4370587423034</v>
      </c>
      <c r="I5">
        <v>7.5647880972959001E-4</v>
      </c>
      <c r="J5">
        <v>1.4206897765150001E-5</v>
      </c>
      <c r="K5">
        <v>2.0278824037509999E-5</v>
      </c>
      <c r="L5">
        <v>15.0645196628269</v>
      </c>
      <c r="M5">
        <v>15.0645196628269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15.663199131551799</v>
      </c>
      <c r="Y5">
        <v>0</v>
      </c>
      <c r="Z5">
        <v>0</v>
      </c>
      <c r="AA5">
        <v>0</v>
      </c>
      <c r="AB5">
        <v>0</v>
      </c>
      <c r="AC5">
        <v>15.0645196628269</v>
      </c>
      <c r="AD5">
        <v>0</v>
      </c>
      <c r="AE5">
        <v>0</v>
      </c>
      <c r="AF5">
        <v>0</v>
      </c>
      <c r="AG5">
        <v>0</v>
      </c>
      <c r="AH5">
        <v>0</v>
      </c>
      <c r="AI5">
        <v>15.0645196628269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0.132549287428427</v>
      </c>
      <c r="BA5">
        <v>0.114767269191258</v>
      </c>
      <c r="BB5">
        <v>5.2683544264723995E-4</v>
      </c>
      <c r="BC5">
        <v>1.4206897765150001E-5</v>
      </c>
      <c r="BD5">
        <v>6.22247548213E-6</v>
      </c>
      <c r="BE5">
        <v>0.26845256577989202</v>
      </c>
      <c r="BF5">
        <v>0.25777181028522</v>
      </c>
      <c r="BG5">
        <v>2.2964336708235E-4</v>
      </c>
      <c r="BH5">
        <v>1.4056348555370001E-5</v>
      </c>
    </row>
    <row r="6" spans="1:60" x14ac:dyDescent="0.25">
      <c r="A6" s="1" t="s">
        <v>14</v>
      </c>
      <c r="B6" t="s">
        <v>128</v>
      </c>
      <c r="C6" t="s">
        <v>129</v>
      </c>
      <c r="D6" t="s">
        <v>130</v>
      </c>
      <c r="E6" t="s">
        <v>131</v>
      </c>
      <c r="F6">
        <v>1000</v>
      </c>
      <c r="G6">
        <v>32.542928960335203</v>
      </c>
      <c r="H6">
        <v>8.6373851406605198</v>
      </c>
      <c r="I6">
        <v>1.8300729726566101E-2</v>
      </c>
      <c r="J6">
        <v>0.61359885095891398</v>
      </c>
      <c r="K6">
        <v>2.4882831860558102E-2</v>
      </c>
      <c r="L6">
        <v>32.367811720684202</v>
      </c>
      <c r="M6">
        <v>8.5021610485374808</v>
      </c>
      <c r="N6">
        <v>1.6996178780873301E-2</v>
      </c>
      <c r="O6">
        <v>0.61357296885060897</v>
      </c>
      <c r="P6">
        <v>2.4881664415788599E-2</v>
      </c>
      <c r="Q6">
        <v>29.3230885634872</v>
      </c>
      <c r="R6">
        <v>0.46739692478560202</v>
      </c>
      <c r="S6">
        <v>4.1609486022390098E-2</v>
      </c>
      <c r="T6">
        <v>9.0017454724648699E-2</v>
      </c>
      <c r="U6">
        <v>2.3082561788535698</v>
      </c>
      <c r="V6">
        <v>8.0777034119109696E-12</v>
      </c>
      <c r="W6">
        <v>0.19665178271307901</v>
      </c>
      <c r="X6">
        <v>0.46069559437890201</v>
      </c>
      <c r="Y6">
        <v>41.618666408003797</v>
      </c>
      <c r="Z6">
        <v>3.2582792356656598</v>
      </c>
      <c r="AA6">
        <v>0.78268076840384404</v>
      </c>
      <c r="AB6">
        <v>3.02559311309277</v>
      </c>
      <c r="AC6">
        <v>6.0795283336540402</v>
      </c>
      <c r="AD6">
        <v>0.22115043522073899</v>
      </c>
      <c r="AE6">
        <v>16.083740209493101</v>
      </c>
      <c r="AF6">
        <v>2.9168396251539601</v>
      </c>
      <c r="AG6">
        <v>1.96720394439452</v>
      </c>
      <c r="AH6">
        <v>0.699209838529678</v>
      </c>
      <c r="AI6">
        <v>5.8930475415018799</v>
      </c>
      <c r="AJ6">
        <v>0.22115043522073899</v>
      </c>
      <c r="AK6">
        <v>3.6772790272500298E-3</v>
      </c>
      <c r="AL6">
        <v>2.5579936225185E-3</v>
      </c>
      <c r="AM6">
        <v>1.34934875682028</v>
      </c>
      <c r="AN6">
        <v>0</v>
      </c>
      <c r="AO6">
        <v>0.59569408183308203</v>
      </c>
      <c r="AP6">
        <v>1.7878887017526698E-2</v>
      </c>
      <c r="AQ6">
        <v>4.3278109020479299E-3</v>
      </c>
      <c r="AR6">
        <v>2.6530109608479999E-5</v>
      </c>
      <c r="AS6">
        <v>1.1082758656017501E-2</v>
      </c>
      <c r="AT6">
        <v>1.34424884291399</v>
      </c>
      <c r="AU6">
        <v>8.9161526581712103E-3</v>
      </c>
      <c r="AV6">
        <v>0</v>
      </c>
      <c r="AW6">
        <v>0</v>
      </c>
      <c r="AX6">
        <v>0</v>
      </c>
      <c r="AY6">
        <v>0</v>
      </c>
      <c r="AZ6">
        <v>0.16715054694313</v>
      </c>
      <c r="BA6">
        <v>0.127591292497577</v>
      </c>
      <c r="BB6">
        <v>1.2976377481273399E-3</v>
      </c>
      <c r="BC6">
        <v>2.5882108305240001E-5</v>
      </c>
      <c r="BD6">
        <v>6.9902061214887601E-7</v>
      </c>
      <c r="BE6">
        <v>7.9666927078651702E-3</v>
      </c>
      <c r="BF6">
        <v>7.6327996254681599E-3</v>
      </c>
      <c r="BG6">
        <v>6.9131975655400001E-6</v>
      </c>
      <c r="BH6">
        <v>4.6842415730336999E-7</v>
      </c>
    </row>
    <row r="7" spans="1:60" x14ac:dyDescent="0.25">
      <c r="A7" s="1" t="s">
        <v>15</v>
      </c>
      <c r="B7" t="s">
        <v>167</v>
      </c>
      <c r="C7" t="s">
        <v>65</v>
      </c>
      <c r="D7" t="s">
        <v>168</v>
      </c>
      <c r="E7" t="s">
        <v>169</v>
      </c>
      <c r="F7">
        <v>1000</v>
      </c>
      <c r="G7">
        <v>8.5015347385142501</v>
      </c>
      <c r="H7">
        <v>3.4751532752280099</v>
      </c>
      <c r="I7">
        <v>8.4866439883311794E-3</v>
      </c>
      <c r="J7">
        <v>0.119252377816776</v>
      </c>
      <c r="K7">
        <v>5.6910815801502297E-3</v>
      </c>
      <c r="L7">
        <v>7.8943950113269503</v>
      </c>
      <c r="M7">
        <v>2.9017140077249701</v>
      </c>
      <c r="N7">
        <v>7.5910865325053804E-3</v>
      </c>
      <c r="O7">
        <v>0.119202762504323</v>
      </c>
      <c r="P7">
        <v>5.6703005029912004E-3</v>
      </c>
      <c r="Q7">
        <v>7.7204407838396598</v>
      </c>
      <c r="R7">
        <v>0.114226707985146</v>
      </c>
      <c r="S7">
        <v>1.16099954381231E-2</v>
      </c>
      <c r="T7">
        <v>7.9807324566366303E-3</v>
      </c>
      <c r="U7">
        <v>0.64973501712572701</v>
      </c>
      <c r="V7">
        <v>1.16184946635706E-12</v>
      </c>
      <c r="W7">
        <v>4.2909718388607901E-3</v>
      </c>
      <c r="X7">
        <v>7.4133812976433303E-2</v>
      </c>
      <c r="Y7">
        <v>42.187148295833303</v>
      </c>
      <c r="Z7">
        <v>0.55939345250288397</v>
      </c>
      <c r="AA7">
        <v>0.19489458562399301</v>
      </c>
      <c r="AB7">
        <v>0.726991528134738</v>
      </c>
      <c r="AC7">
        <v>2.5306925190184502</v>
      </c>
      <c r="AD7">
        <v>0.136112661450073</v>
      </c>
      <c r="AE7">
        <v>2.9839465992864902</v>
      </c>
      <c r="AF7">
        <v>0.76236366531031297</v>
      </c>
      <c r="AG7">
        <v>0.33733861408649202</v>
      </c>
      <c r="AH7">
        <v>0.17437056750333699</v>
      </c>
      <c r="AI7">
        <v>2.46625953437007</v>
      </c>
      <c r="AJ7">
        <v>0.136112661450073</v>
      </c>
      <c r="AK7">
        <v>6.3212585040947004E-4</v>
      </c>
      <c r="AL7">
        <v>6.2591714930633003E-4</v>
      </c>
      <c r="AM7">
        <v>1.2231825342171001</v>
      </c>
      <c r="AN7">
        <v>0</v>
      </c>
      <c r="AO7">
        <v>0.11051654071431399</v>
      </c>
      <c r="AP7">
        <v>8.6862217900085699E-3</v>
      </c>
      <c r="AQ7">
        <v>7.4438640320216001E-4</v>
      </c>
      <c r="AR7">
        <v>6.85599659826E-6</v>
      </c>
      <c r="AS7">
        <v>2.6629726305301702E-3</v>
      </c>
      <c r="AT7">
        <v>1.22130125460688</v>
      </c>
      <c r="AU7">
        <v>1.93346401824206E-3</v>
      </c>
      <c r="AV7">
        <v>0.45842688464451897</v>
      </c>
      <c r="AW7">
        <v>0.44099003178279</v>
      </c>
      <c r="AX7">
        <v>4.7355307205563998E-4</v>
      </c>
      <c r="AY7">
        <v>1.217938210428E-5</v>
      </c>
      <c r="AZ7">
        <v>9.6777195229454799E-2</v>
      </c>
      <c r="BA7">
        <v>8.2687090430199603E-2</v>
      </c>
      <c r="BB7">
        <v>3.7723013849875E-4</v>
      </c>
      <c r="BC7">
        <v>4.961531245318E-5</v>
      </c>
      <c r="BD7">
        <v>5.5275942701700004E-6</v>
      </c>
      <c r="BE7">
        <v>5.1935647313324097E-2</v>
      </c>
      <c r="BF7">
        <v>4.9762145290048299E-2</v>
      </c>
      <c r="BG7">
        <v>4.4774245271389999E-5</v>
      </c>
      <c r="BH7">
        <v>3.07410078457E-6</v>
      </c>
    </row>
    <row r="8" spans="1:60" x14ac:dyDescent="0.25">
      <c r="A8" s="1" t="s">
        <v>16</v>
      </c>
      <c r="B8" t="s">
        <v>148</v>
      </c>
      <c r="C8" t="s">
        <v>149</v>
      </c>
      <c r="D8" t="s">
        <v>142</v>
      </c>
      <c r="E8" t="s">
        <v>150</v>
      </c>
      <c r="F8">
        <v>1000</v>
      </c>
      <c r="G8">
        <v>10.713373881389501</v>
      </c>
      <c r="H8">
        <v>10.6849111076576</v>
      </c>
      <c r="I8">
        <v>7.5647880972959001E-4</v>
      </c>
      <c r="J8">
        <v>1.4206897765150001E-5</v>
      </c>
      <c r="K8">
        <v>2.0278824037509999E-5</v>
      </c>
      <c r="L8">
        <v>10.3123720281811</v>
      </c>
      <c r="M8">
        <v>10.3123720281811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0.61753085931381502</v>
      </c>
      <c r="Y8">
        <v>0</v>
      </c>
      <c r="Z8">
        <v>0</v>
      </c>
      <c r="AA8">
        <v>0</v>
      </c>
      <c r="AB8">
        <v>0</v>
      </c>
      <c r="AC8">
        <v>10.3123720281811</v>
      </c>
      <c r="AD8">
        <v>0</v>
      </c>
      <c r="AE8">
        <v>0</v>
      </c>
      <c r="AF8">
        <v>0</v>
      </c>
      <c r="AG8">
        <v>0</v>
      </c>
      <c r="AH8">
        <v>0</v>
      </c>
      <c r="AI8">
        <v>10.3123720281811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0.132549287428427</v>
      </c>
      <c r="BA8">
        <v>0.114767269191258</v>
      </c>
      <c r="BB8">
        <v>5.2683544264723995E-4</v>
      </c>
      <c r="BC8">
        <v>1.4206897765150001E-5</v>
      </c>
      <c r="BD8">
        <v>6.22247548213E-6</v>
      </c>
      <c r="BE8">
        <v>0.26845256577989202</v>
      </c>
      <c r="BF8">
        <v>0.25777181028522</v>
      </c>
      <c r="BG8">
        <v>2.2964336708235E-4</v>
      </c>
      <c r="BH8">
        <v>1.4056348555370001E-5</v>
      </c>
    </row>
    <row r="9" spans="1:60" x14ac:dyDescent="0.25">
      <c r="A9" s="1" t="s">
        <v>17</v>
      </c>
      <c r="B9" t="s">
        <v>160</v>
      </c>
      <c r="C9" t="s">
        <v>161</v>
      </c>
      <c r="D9" t="s">
        <v>158</v>
      </c>
      <c r="E9" t="s">
        <v>162</v>
      </c>
      <c r="F9">
        <v>1000</v>
      </c>
      <c r="G9">
        <v>4.1532078473121103</v>
      </c>
      <c r="H9">
        <v>1.6043663170031699</v>
      </c>
      <c r="I9">
        <v>4.2768069155953697E-3</v>
      </c>
      <c r="J9">
        <v>6.05200126186176E-2</v>
      </c>
      <c r="K9">
        <v>2.8840745183938499E-3</v>
      </c>
      <c r="L9">
        <v>4.0050014325899497</v>
      </c>
      <c r="M9">
        <v>1.4721037826496299</v>
      </c>
      <c r="N9">
        <v>3.8511263236735401E-3</v>
      </c>
      <c r="O9">
        <v>6.0474201495302103E-2</v>
      </c>
      <c r="P9">
        <v>2.87666902974976E-3</v>
      </c>
      <c r="Q9">
        <v>3.9167506002852499</v>
      </c>
      <c r="R9">
        <v>5.7949738829150499E-2</v>
      </c>
      <c r="S9">
        <v>5.8900078214137999E-3</v>
      </c>
      <c r="T9">
        <v>4.0488023307785103E-3</v>
      </c>
      <c r="U9">
        <v>0.32962496437773198</v>
      </c>
      <c r="V9">
        <v>5.8943196667223405E-13</v>
      </c>
      <c r="W9">
        <v>2.1769050493651398E-3</v>
      </c>
      <c r="X9">
        <v>3.7609725222511298E-2</v>
      </c>
      <c r="Y9">
        <v>21.402474682261499</v>
      </c>
      <c r="Z9">
        <v>0.28379268777923899</v>
      </c>
      <c r="AA9">
        <v>9.8874339769947195E-2</v>
      </c>
      <c r="AB9">
        <v>0.368818903473007</v>
      </c>
      <c r="AC9">
        <v>1.2838763641255799</v>
      </c>
      <c r="AD9">
        <v>6.9052967747245605E-2</v>
      </c>
      <c r="AE9">
        <v>1.5138221976183499</v>
      </c>
      <c r="AF9">
        <v>0.38676397207657798</v>
      </c>
      <c r="AG9">
        <v>0.17113935022833601</v>
      </c>
      <c r="AH9">
        <v>8.8462050815849194E-2</v>
      </c>
      <c r="AI9">
        <v>1.2511880839657199</v>
      </c>
      <c r="AJ9">
        <v>6.9052967747245605E-2</v>
      </c>
      <c r="AK9">
        <v>3.2069144409858002E-4</v>
      </c>
      <c r="AL9">
        <v>3.1754163251999001E-4</v>
      </c>
      <c r="AM9">
        <v>0.62054759038907903</v>
      </c>
      <c r="AN9">
        <v>0</v>
      </c>
      <c r="AO9">
        <v>5.6067488800679702E-2</v>
      </c>
      <c r="AP9">
        <v>4.4067126946224196E-3</v>
      </c>
      <c r="AQ9">
        <v>3.7764370885261998E-4</v>
      </c>
      <c r="AR9">
        <v>3.47819891942E-6</v>
      </c>
      <c r="AS9">
        <v>1.35098499440661E-3</v>
      </c>
      <c r="AT9">
        <v>0.61959317557664195</v>
      </c>
      <c r="AU9">
        <v>9.808891183947701E-4</v>
      </c>
      <c r="AV9">
        <v>2.7996491586951E-2</v>
      </c>
      <c r="AW9">
        <v>2.6353570557397201E-2</v>
      </c>
      <c r="AX9">
        <v>5.0775404405449999E-5</v>
      </c>
      <c r="AY9">
        <v>4.7550907791646401E-7</v>
      </c>
      <c r="AZ9">
        <v>8.9356930463117906E-2</v>
      </c>
      <c r="BA9">
        <v>7.6347166005903203E-2</v>
      </c>
      <c r="BB9">
        <v>3.4830651141009E-4</v>
      </c>
      <c r="BC9">
        <v>4.5811123315500002E-5</v>
      </c>
      <c r="BD9">
        <v>5.1037732149200004E-6</v>
      </c>
      <c r="BE9">
        <v>3.0852992672088599E-2</v>
      </c>
      <c r="BF9">
        <v>2.9561797790231499E-2</v>
      </c>
      <c r="BG9">
        <v>2.6598676106270001E-5</v>
      </c>
      <c r="BH9">
        <v>1.8262063512400001E-6</v>
      </c>
    </row>
    <row r="10" spans="1:60" x14ac:dyDescent="0.25">
      <c r="A10" s="1" t="s">
        <v>18</v>
      </c>
      <c r="B10" t="s">
        <v>146</v>
      </c>
      <c r="C10" t="s">
        <v>147</v>
      </c>
      <c r="D10" t="s">
        <v>142</v>
      </c>
      <c r="E10" t="s">
        <v>18</v>
      </c>
      <c r="F10">
        <v>1000</v>
      </c>
      <c r="G10">
        <v>15.465521516035301</v>
      </c>
      <c r="H10">
        <v>15.4370587423034</v>
      </c>
      <c r="I10">
        <v>7.5647880972959001E-4</v>
      </c>
      <c r="J10">
        <v>1.4206897765150001E-5</v>
      </c>
      <c r="K10">
        <v>2.0278824037509999E-5</v>
      </c>
      <c r="L10">
        <v>15.0645196628269</v>
      </c>
      <c r="M10">
        <v>15.0645196628269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15.663199131551799</v>
      </c>
      <c r="Y10">
        <v>0</v>
      </c>
      <c r="Z10">
        <v>0</v>
      </c>
      <c r="AA10">
        <v>0</v>
      </c>
      <c r="AB10">
        <v>0</v>
      </c>
      <c r="AC10">
        <v>15.0645196628269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15.0645196628269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0.132549287428427</v>
      </c>
      <c r="BA10">
        <v>0.114767269191258</v>
      </c>
      <c r="BB10">
        <v>5.2683544264723995E-4</v>
      </c>
      <c r="BC10">
        <v>1.4206897765150001E-5</v>
      </c>
      <c r="BD10">
        <v>6.22247548213E-6</v>
      </c>
      <c r="BE10">
        <v>0.26845256577989202</v>
      </c>
      <c r="BF10">
        <v>0.25777181028522</v>
      </c>
      <c r="BG10">
        <v>2.2964336708235E-4</v>
      </c>
      <c r="BH10">
        <v>1.4056348555370001E-5</v>
      </c>
    </row>
    <row r="11" spans="1:60" x14ac:dyDescent="0.25">
      <c r="A11" s="1" t="s">
        <v>19</v>
      </c>
      <c r="B11" t="s">
        <v>170</v>
      </c>
      <c r="C11" t="s">
        <v>171</v>
      </c>
      <c r="D11" t="s">
        <v>142</v>
      </c>
      <c r="E11" t="s">
        <v>143</v>
      </c>
      <c r="F11">
        <v>1000</v>
      </c>
      <c r="G11">
        <v>6.8013085759136196</v>
      </c>
      <c r="H11">
        <v>4.1060372070075299</v>
      </c>
      <c r="I11">
        <v>1.5624228480953101E-3</v>
      </c>
      <c r="J11">
        <v>1.8453188378809999E-5</v>
      </c>
      <c r="K11">
        <v>9.7004136701341597E-3</v>
      </c>
      <c r="L11">
        <v>6.4268276670352797</v>
      </c>
      <c r="M11">
        <v>3.7636598846245599</v>
      </c>
      <c r="N11">
        <v>6.5091670659635995E-4</v>
      </c>
      <c r="O11">
        <v>0</v>
      </c>
      <c r="P11">
        <v>9.6841408958027401E-3</v>
      </c>
      <c r="Q11">
        <v>5.3688853608748301</v>
      </c>
      <c r="R11">
        <v>6.9999122740278405E-2</v>
      </c>
      <c r="S11">
        <v>1.0547821309108999E-2</v>
      </c>
      <c r="T11">
        <v>4.5471930797232801E-2</v>
      </c>
      <c r="U11">
        <v>5.9360692116173001E-4</v>
      </c>
      <c r="V11">
        <v>1.3168238176067801E-12</v>
      </c>
      <c r="W11">
        <v>2.1385836678236101E-3</v>
      </c>
      <c r="X11">
        <v>11.8253821162509</v>
      </c>
      <c r="Y11">
        <v>99.659569964545796</v>
      </c>
      <c r="Z11">
        <v>3.6129574596249001</v>
      </c>
      <c r="AA11">
        <v>8.6281674421219007E-2</v>
      </c>
      <c r="AB11">
        <v>1.89431679589359</v>
      </c>
      <c r="AC11">
        <v>0.61367361589456304</v>
      </c>
      <c r="AD11">
        <v>0.219598121200998</v>
      </c>
      <c r="AE11">
        <v>0</v>
      </c>
      <c r="AF11">
        <v>0</v>
      </c>
      <c r="AG11">
        <v>2.8441064731077699</v>
      </c>
      <c r="AH11">
        <v>8.6281674421219007E-2</v>
      </c>
      <c r="AI11">
        <v>0.61367361589456304</v>
      </c>
      <c r="AJ11">
        <v>0.219598121200998</v>
      </c>
      <c r="AK11">
        <v>6.5091670659635995E-4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2.74525153355513E-3</v>
      </c>
      <c r="AR11">
        <v>0</v>
      </c>
      <c r="AS11">
        <v>6.9388893622476001E-3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0.106028343098449</v>
      </c>
      <c r="BA11">
        <v>8.4605512097746596E-2</v>
      </c>
      <c r="BB11">
        <v>6.8186277441658998E-4</v>
      </c>
      <c r="BC11">
        <v>1.8453188378809999E-5</v>
      </c>
      <c r="BD11">
        <v>2.2164257760399998E-6</v>
      </c>
      <c r="BE11">
        <v>0.26845256577989202</v>
      </c>
      <c r="BF11">
        <v>0.25777181028522</v>
      </c>
      <c r="BG11">
        <v>2.2964336708235E-4</v>
      </c>
      <c r="BH11">
        <v>1.4056348555370001E-5</v>
      </c>
    </row>
    <row r="12" spans="1:60" x14ac:dyDescent="0.25">
      <c r="A12" s="1" t="s">
        <v>20</v>
      </c>
      <c r="B12" t="s">
        <v>163</v>
      </c>
      <c r="C12" t="s">
        <v>164</v>
      </c>
      <c r="D12" t="s">
        <v>165</v>
      </c>
      <c r="E12" t="s">
        <v>166</v>
      </c>
      <c r="F12">
        <v>1000</v>
      </c>
      <c r="G12">
        <v>1.4005219818808201</v>
      </c>
      <c r="H12">
        <v>0.77737923980301205</v>
      </c>
      <c r="I12">
        <v>1.33058130416336E-3</v>
      </c>
      <c r="J12">
        <v>2.1717250084466199E-3</v>
      </c>
      <c r="K12">
        <v>1.9225452160647799E-3</v>
      </c>
      <c r="L12">
        <v>1.34613435560981</v>
      </c>
      <c r="M12">
        <v>0.72842507743093698</v>
      </c>
      <c r="N12">
        <v>1.1833811078138701E-3</v>
      </c>
      <c r="O12">
        <v>2.1653828359713399E-3</v>
      </c>
      <c r="P12">
        <v>1.9193376725084E-3</v>
      </c>
      <c r="Q12">
        <v>5.7714312719605303</v>
      </c>
      <c r="R12">
        <v>5.7807123959926501E-2</v>
      </c>
      <c r="S12">
        <v>8.9460648810066497E-3</v>
      </c>
      <c r="T12">
        <v>1.4824782551487699E-2</v>
      </c>
      <c r="U12">
        <v>0.54250203354958504</v>
      </c>
      <c r="V12">
        <v>3.20195286681035E-13</v>
      </c>
      <c r="W12">
        <v>3.4980828101105399E-3</v>
      </c>
      <c r="X12">
        <v>10.9204326924997</v>
      </c>
      <c r="Y12">
        <v>2.0235026152957598</v>
      </c>
      <c r="Z12">
        <v>0.34903647770183099</v>
      </c>
      <c r="AA12">
        <v>7.9532342340964596E-2</v>
      </c>
      <c r="AB12">
        <v>0.39215947150135599</v>
      </c>
      <c r="AC12">
        <v>0.44729752549151103</v>
      </c>
      <c r="AD12">
        <v>1.8745824160336901E-2</v>
      </c>
      <c r="AE12">
        <v>0</v>
      </c>
      <c r="AF12">
        <v>5.9362714413810497E-2</v>
      </c>
      <c r="AG12">
        <v>0.210054145234469</v>
      </c>
      <c r="AH12">
        <v>7.0988720298137506E-2</v>
      </c>
      <c r="AI12">
        <v>0.43169800256223201</v>
      </c>
      <c r="AJ12">
        <v>1.8745824160336901E-2</v>
      </c>
      <c r="AK12">
        <v>3.9900983599777001E-4</v>
      </c>
      <c r="AL12">
        <v>2.6254303726855999E-4</v>
      </c>
      <c r="AM12">
        <v>5.17230470542724E-2</v>
      </c>
      <c r="AN12">
        <v>0</v>
      </c>
      <c r="AO12">
        <v>0</v>
      </c>
      <c r="AP12">
        <v>2.1653828359713399E-3</v>
      </c>
      <c r="AQ12">
        <v>4.6553787309387001E-4</v>
      </c>
      <c r="AR12">
        <v>2.6367748433099999E-6</v>
      </c>
      <c r="AS12">
        <v>1.43648158059104E-3</v>
      </c>
      <c r="AT12">
        <v>5.1295085429318099E-2</v>
      </c>
      <c r="AU12">
        <v>3.2870983244800001E-6</v>
      </c>
      <c r="AV12">
        <v>0</v>
      </c>
      <c r="AW12">
        <v>0</v>
      </c>
      <c r="AX12">
        <v>0</v>
      </c>
      <c r="AY12">
        <v>0</v>
      </c>
      <c r="AZ12">
        <v>4.4823493583701302E-2</v>
      </c>
      <c r="BA12">
        <v>3.9790356012319603E-2</v>
      </c>
      <c r="BB12">
        <v>1.3894839250013001E-4</v>
      </c>
      <c r="BC12">
        <v>6.3421724752699996E-6</v>
      </c>
      <c r="BD12">
        <v>2.6418931063900001E-6</v>
      </c>
      <c r="BE12">
        <v>9.5641326873143109E-3</v>
      </c>
      <c r="BF12">
        <v>9.1638063597557703E-3</v>
      </c>
      <c r="BG12">
        <v>8.2518038493500002E-6</v>
      </c>
      <c r="BH12">
        <v>5.6565044999189504E-7</v>
      </c>
    </row>
    <row r="13" spans="1:60" x14ac:dyDescent="0.25">
      <c r="A13" s="1" t="s">
        <v>21</v>
      </c>
      <c r="B13" t="s">
        <v>144</v>
      </c>
      <c r="C13" t="s">
        <v>145</v>
      </c>
      <c r="D13" t="s">
        <v>142</v>
      </c>
      <c r="E13" t="s">
        <v>143</v>
      </c>
      <c r="F13">
        <v>1000</v>
      </c>
      <c r="G13">
        <v>12.8661333966143</v>
      </c>
      <c r="H13">
        <v>12.834029810119</v>
      </c>
      <c r="I13">
        <v>9.1150614149895001E-4</v>
      </c>
      <c r="J13">
        <v>1.8453188378809999E-5</v>
      </c>
      <c r="K13">
        <v>1.6272774331420001E-5</v>
      </c>
      <c r="L13">
        <v>12.491652487735999</v>
      </c>
      <c r="M13">
        <v>12.491652487735999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5.91153348865938</v>
      </c>
      <c r="Y13">
        <v>0</v>
      </c>
      <c r="Z13">
        <v>0</v>
      </c>
      <c r="AA13">
        <v>0</v>
      </c>
      <c r="AB13">
        <v>0</v>
      </c>
      <c r="AC13">
        <v>12.491652487735999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12.491652487735999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0.106028343098449</v>
      </c>
      <c r="BA13">
        <v>8.4605512097746596E-2</v>
      </c>
      <c r="BB13">
        <v>6.8186277441658998E-4</v>
      </c>
      <c r="BC13">
        <v>1.8453188378809999E-5</v>
      </c>
      <c r="BD13">
        <v>2.2164257760399998E-6</v>
      </c>
      <c r="BE13">
        <v>0.26845256577989202</v>
      </c>
      <c r="BF13">
        <v>0.25777181028522</v>
      </c>
      <c r="BG13">
        <v>2.2964336708235E-4</v>
      </c>
      <c r="BH13">
        <v>1.4056348555370001E-5</v>
      </c>
    </row>
    <row r="14" spans="1:60" x14ac:dyDescent="0.25">
      <c r="A14" s="1" t="s">
        <v>22</v>
      </c>
      <c r="B14" t="s">
        <v>172</v>
      </c>
      <c r="C14" t="s">
        <v>173</v>
      </c>
      <c r="D14" t="s">
        <v>142</v>
      </c>
      <c r="E14" t="s">
        <v>143</v>
      </c>
      <c r="F14">
        <v>1000</v>
      </c>
      <c r="G14">
        <v>6.8316131397574296</v>
      </c>
      <c r="H14">
        <v>6.7995095532620597</v>
      </c>
      <c r="I14">
        <v>9.1150614149895001E-4</v>
      </c>
      <c r="J14">
        <v>1.8453188378809999E-5</v>
      </c>
      <c r="K14">
        <v>1.6272774331420001E-5</v>
      </c>
      <c r="L14">
        <v>6.4571322308790897</v>
      </c>
      <c r="M14">
        <v>6.4571322308790897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3.6034967327189902</v>
      </c>
      <c r="Y14">
        <v>0</v>
      </c>
      <c r="Z14">
        <v>0</v>
      </c>
      <c r="AA14">
        <v>0</v>
      </c>
      <c r="AB14">
        <v>0</v>
      </c>
      <c r="AC14">
        <v>6.4571322308790897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6.4571322308790897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0.106028343098449</v>
      </c>
      <c r="BA14">
        <v>8.4605512097746596E-2</v>
      </c>
      <c r="BB14">
        <v>6.8186277441658998E-4</v>
      </c>
      <c r="BC14">
        <v>1.8453188378809999E-5</v>
      </c>
      <c r="BD14">
        <v>2.2164257760399998E-6</v>
      </c>
      <c r="BE14">
        <v>0.26845256577989202</v>
      </c>
      <c r="BF14">
        <v>0.25777181028522</v>
      </c>
      <c r="BG14">
        <v>2.2964336708235E-4</v>
      </c>
      <c r="BH14">
        <v>1.4056348555370001E-5</v>
      </c>
    </row>
    <row r="15" spans="1:60" x14ac:dyDescent="0.25">
      <c r="A15" s="1" t="s">
        <v>23</v>
      </c>
      <c r="B15" t="s">
        <v>132</v>
      </c>
      <c r="C15" t="s">
        <v>133</v>
      </c>
      <c r="D15" t="s">
        <v>130</v>
      </c>
      <c r="E15" t="s">
        <v>131</v>
      </c>
      <c r="F15">
        <v>1000</v>
      </c>
      <c r="G15">
        <v>7.69050224848952</v>
      </c>
      <c r="H15">
        <v>4.5865518931360398</v>
      </c>
      <c r="I15">
        <v>8.3697733978051695E-3</v>
      </c>
      <c r="J15">
        <v>3.9465112665633899E-2</v>
      </c>
      <c r="K15">
        <v>6.5530148942372496E-3</v>
      </c>
      <c r="L15">
        <v>7.4907069078723199</v>
      </c>
      <c r="M15">
        <v>4.4276783210305499</v>
      </c>
      <c r="N15">
        <v>7.0443331632494598E-3</v>
      </c>
      <c r="O15">
        <v>3.9439230557328599E-2</v>
      </c>
      <c r="P15">
        <v>6.5503598297767798E-3</v>
      </c>
      <c r="Q15">
        <v>16.977899194103099</v>
      </c>
      <c r="R15">
        <v>0.160775630317288</v>
      </c>
      <c r="S15">
        <v>2.55377475700884E-2</v>
      </c>
      <c r="T15">
        <v>0.31054124926748</v>
      </c>
      <c r="U15">
        <v>1.9590954608814899</v>
      </c>
      <c r="V15">
        <v>2.38443449646322E-12</v>
      </c>
      <c r="W15">
        <v>7.4724690239308195E-2</v>
      </c>
      <c r="X15">
        <v>4.5455053936077103</v>
      </c>
      <c r="Y15">
        <v>317.98563448923699</v>
      </c>
      <c r="Z15">
        <v>0.738824220392023</v>
      </c>
      <c r="AA15">
        <v>0.225902330822943</v>
      </c>
      <c r="AB15">
        <v>0.97551588804648603</v>
      </c>
      <c r="AC15">
        <v>3.6917034639414199</v>
      </c>
      <c r="AD15">
        <v>0.281709901080405</v>
      </c>
      <c r="AE15">
        <v>0.31869008182956499</v>
      </c>
      <c r="AF15">
        <v>1.2583610217594801</v>
      </c>
      <c r="AG15">
        <v>0.44764720789950002</v>
      </c>
      <c r="AH15">
        <v>0.20170183339459799</v>
      </c>
      <c r="AI15">
        <v>3.5388832466089601</v>
      </c>
      <c r="AJ15">
        <v>0.281709901080405</v>
      </c>
      <c r="AK15">
        <v>8.2892757615587E-4</v>
      </c>
      <c r="AL15">
        <v>7.4242204448484003E-4</v>
      </c>
      <c r="AM15">
        <v>0.574488753704535</v>
      </c>
      <c r="AN15">
        <v>0</v>
      </c>
      <c r="AO15">
        <v>1.1803336364057899E-2</v>
      </c>
      <c r="AP15">
        <v>2.7635894193270599E-2</v>
      </c>
      <c r="AQ15">
        <v>9.7609879385742002E-4</v>
      </c>
      <c r="AR15">
        <v>7.6055696069399996E-6</v>
      </c>
      <c r="AS15">
        <v>3.5733182712325401E-3</v>
      </c>
      <c r="AT15">
        <v>0.57023441901446204</v>
      </c>
      <c r="AU15">
        <v>1.8761607272570399E-3</v>
      </c>
      <c r="AV15">
        <v>0</v>
      </c>
      <c r="AW15">
        <v>0</v>
      </c>
      <c r="AX15">
        <v>0</v>
      </c>
      <c r="AY15">
        <v>0</v>
      </c>
      <c r="AZ15">
        <v>0.16715054694313</v>
      </c>
      <c r="BA15">
        <v>0.127591292497577</v>
      </c>
      <c r="BB15">
        <v>1.2976377481273399E-3</v>
      </c>
      <c r="BC15">
        <v>2.5882108305240001E-5</v>
      </c>
      <c r="BD15">
        <v>6.9902061214887601E-7</v>
      </c>
      <c r="BE15">
        <v>3.26447936740673E-2</v>
      </c>
      <c r="BF15">
        <v>3.1282279607911898E-2</v>
      </c>
      <c r="BG15">
        <v>2.7802486428370001E-5</v>
      </c>
      <c r="BH15">
        <v>1.9560438483099999E-6</v>
      </c>
    </row>
    <row r="16" spans="1:60" x14ac:dyDescent="0.25">
      <c r="A16" s="1" t="s">
        <v>24</v>
      </c>
      <c r="B16" t="s">
        <v>156</v>
      </c>
      <c r="C16" t="s">
        <v>157</v>
      </c>
      <c r="D16" t="s">
        <v>158</v>
      </c>
      <c r="E16" t="s">
        <v>159</v>
      </c>
      <c r="F16">
        <v>1000</v>
      </c>
      <c r="G16">
        <v>1.1771575832846699</v>
      </c>
      <c r="H16">
        <v>0.49703394664424</v>
      </c>
      <c r="I16">
        <v>1.4173617291721101E-3</v>
      </c>
      <c r="J16">
        <v>1.5926168450103698E-2</v>
      </c>
      <c r="K16">
        <v>7.6146413537837995E-4</v>
      </c>
      <c r="L16">
        <v>1.0517022510626799</v>
      </c>
      <c r="M16">
        <v>0.38657036409829998</v>
      </c>
      <c r="N16">
        <v>1.0112950748971401E-3</v>
      </c>
      <c r="O16">
        <v>1.5880357326788198E-2</v>
      </c>
      <c r="P16">
        <v>7.5540529637054996E-4</v>
      </c>
      <c r="Q16">
        <v>1.0285278276435601</v>
      </c>
      <c r="R16">
        <v>1.5217440443136001E-2</v>
      </c>
      <c r="S16">
        <v>1.54669969257709E-3</v>
      </c>
      <c r="T16">
        <v>1.06320424525639E-3</v>
      </c>
      <c r="U16">
        <v>8.6558600009871603E-2</v>
      </c>
      <c r="V16">
        <v>1.5478319711776201E-13</v>
      </c>
      <c r="W16">
        <v>5.7164921893334999E-4</v>
      </c>
      <c r="X16">
        <v>9.8762093707380101E-3</v>
      </c>
      <c r="Y16">
        <v>5.6202303995407998</v>
      </c>
      <c r="Z16">
        <v>7.4523171488491205E-2</v>
      </c>
      <c r="AA16">
        <v>2.5964126969398801E-2</v>
      </c>
      <c r="AB16">
        <v>9.68508195429513E-2</v>
      </c>
      <c r="AC16">
        <v>0.33714236685400201</v>
      </c>
      <c r="AD16">
        <v>1.8133117514360701E-2</v>
      </c>
      <c r="AE16">
        <v>0.397525503983228</v>
      </c>
      <c r="AF16">
        <v>0.10156314471024699</v>
      </c>
      <c r="AG16">
        <v>4.4940717977259501E-2</v>
      </c>
      <c r="AH16">
        <v>2.3229888813419301E-2</v>
      </c>
      <c r="AI16">
        <v>0.32855851528587499</v>
      </c>
      <c r="AJ16">
        <v>1.8133117514360701E-2</v>
      </c>
      <c r="AK16">
        <v>8.4212682400189998E-5</v>
      </c>
      <c r="AL16">
        <v>8.3385550629229999E-5</v>
      </c>
      <c r="AM16">
        <v>0.16295407347249599</v>
      </c>
      <c r="AN16">
        <v>0</v>
      </c>
      <c r="AO16">
        <v>1.4723166814193601E-2</v>
      </c>
      <c r="AP16">
        <v>1.1571905125946E-3</v>
      </c>
      <c r="AQ16">
        <v>9.9168188921990001E-5</v>
      </c>
      <c r="AR16">
        <v>9.1336537446226599E-7</v>
      </c>
      <c r="AS16">
        <v>3.5476490675072998E-4</v>
      </c>
      <c r="AT16">
        <v>0.162703446793933</v>
      </c>
      <c r="AU16">
        <v>2.5757875776626999E-4</v>
      </c>
      <c r="AV16">
        <v>2.7996491586951E-2</v>
      </c>
      <c r="AW16">
        <v>2.6353570557397201E-2</v>
      </c>
      <c r="AX16">
        <v>5.0775404405449999E-5</v>
      </c>
      <c r="AY16">
        <v>4.7550907791646401E-7</v>
      </c>
      <c r="AZ16">
        <v>8.9356930463117906E-2</v>
      </c>
      <c r="BA16">
        <v>7.6347166005903203E-2</v>
      </c>
      <c r="BB16">
        <v>3.4830651141009E-4</v>
      </c>
      <c r="BC16">
        <v>4.5811123315500002E-5</v>
      </c>
      <c r="BD16">
        <v>5.1037732149200004E-6</v>
      </c>
      <c r="BE16">
        <v>8.1019101719203308E-3</v>
      </c>
      <c r="BF16">
        <v>7.7628459826394897E-3</v>
      </c>
      <c r="BG16">
        <v>6.9847384594199997E-6</v>
      </c>
      <c r="BH16">
        <v>4.7955671498184399E-7</v>
      </c>
    </row>
    <row r="17" spans="1:60" x14ac:dyDescent="0.25">
      <c r="A17" s="1" t="s">
        <v>25</v>
      </c>
      <c r="B17" t="s">
        <v>153</v>
      </c>
      <c r="C17" t="s">
        <v>154</v>
      </c>
      <c r="D17" t="s">
        <v>142</v>
      </c>
      <c r="E17" t="s">
        <v>155</v>
      </c>
      <c r="F17">
        <v>1000</v>
      </c>
      <c r="G17">
        <v>14.8079227367546</v>
      </c>
      <c r="H17">
        <v>14.7555091414053</v>
      </c>
      <c r="I17">
        <v>1.59857989257933E-3</v>
      </c>
      <c r="J17">
        <v>2.7304202168160002E-5</v>
      </c>
      <c r="K17">
        <v>1.479377689346E-5</v>
      </c>
      <c r="L17">
        <v>14.363135528045699</v>
      </c>
      <c r="M17">
        <v>14.363135528045699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13.613068724169</v>
      </c>
      <c r="Y17">
        <v>0</v>
      </c>
      <c r="Z17">
        <v>0</v>
      </c>
      <c r="AA17">
        <v>0</v>
      </c>
      <c r="AB17">
        <v>0</v>
      </c>
      <c r="AC17">
        <v>14.363135528045699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14.363135528045699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0.17633464292901599</v>
      </c>
      <c r="BA17">
        <v>0.134601803074367</v>
      </c>
      <c r="BB17">
        <v>1.36893652549697E-3</v>
      </c>
      <c r="BC17">
        <v>2.7304202168160002E-5</v>
      </c>
      <c r="BD17">
        <v>7.3742833809112202E-7</v>
      </c>
      <c r="BE17">
        <v>0.26845256577989202</v>
      </c>
      <c r="BF17">
        <v>0.25777181028522</v>
      </c>
      <c r="BG17">
        <v>2.2964336708235E-4</v>
      </c>
      <c r="BH17">
        <v>1.4056348555370001E-5</v>
      </c>
    </row>
    <row r="18" spans="1:60" x14ac:dyDescent="0.25">
      <c r="A18" s="1" t="s">
        <v>26</v>
      </c>
      <c r="B18" t="s">
        <v>134</v>
      </c>
      <c r="C18" t="s">
        <v>135</v>
      </c>
      <c r="D18" t="s">
        <v>130</v>
      </c>
      <c r="E18" t="s">
        <v>131</v>
      </c>
      <c r="F18">
        <v>1000</v>
      </c>
      <c r="G18">
        <v>46.097498916105003</v>
      </c>
      <c r="H18">
        <v>12.8650246595961</v>
      </c>
      <c r="I18">
        <v>5.1422868869899399E-2</v>
      </c>
      <c r="J18">
        <v>0.84541319071417698</v>
      </c>
      <c r="K18">
        <v>3.2505189065579303E-2</v>
      </c>
      <c r="L18">
        <v>45.815784831871298</v>
      </c>
      <c r="M18">
        <v>12.627540042228199</v>
      </c>
      <c r="N18">
        <v>5.0027480615330799E-2</v>
      </c>
      <c r="O18">
        <v>0.84538730860587097</v>
      </c>
      <c r="P18">
        <v>3.2498053241566599E-2</v>
      </c>
      <c r="Q18">
        <v>59.193265091993702</v>
      </c>
      <c r="R18">
        <v>1.2370951046811201</v>
      </c>
      <c r="S18">
        <v>6.9679134268152906E-2</v>
      </c>
      <c r="T18">
        <v>0.12517397817714301</v>
      </c>
      <c r="U18">
        <v>2.7002570431430701</v>
      </c>
      <c r="V18">
        <v>1.2642829650175E-11</v>
      </c>
      <c r="W18">
        <v>0.18898354991997399</v>
      </c>
      <c r="X18">
        <v>6.4130330391246702</v>
      </c>
      <c r="Y18">
        <v>80.064232634151196</v>
      </c>
      <c r="Z18">
        <v>3.0800928114129098</v>
      </c>
      <c r="AA18">
        <v>2.0782583036314999</v>
      </c>
      <c r="AB18">
        <v>5.62861802503609</v>
      </c>
      <c r="AC18">
        <v>9.9787254592935408</v>
      </c>
      <c r="AD18">
        <v>0.905536676045403</v>
      </c>
      <c r="AE18">
        <v>22.249663139559399</v>
      </c>
      <c r="AF18">
        <v>1.8948904168923599</v>
      </c>
      <c r="AG18">
        <v>1.8234478171156601</v>
      </c>
      <c r="AH18">
        <v>1.8466898949881001</v>
      </c>
      <c r="AI18">
        <v>9.8476020543878295</v>
      </c>
      <c r="AJ18">
        <v>0.905536676045403</v>
      </c>
      <c r="AK18">
        <v>3.4761389414161101E-3</v>
      </c>
      <c r="AL18">
        <v>6.5885227832334897E-3</v>
      </c>
      <c r="AM18">
        <v>6.5798634548894199</v>
      </c>
      <c r="AN18">
        <v>0</v>
      </c>
      <c r="AO18">
        <v>0.82406159776146104</v>
      </c>
      <c r="AP18">
        <v>2.1325710844410199E-2</v>
      </c>
      <c r="AQ18">
        <v>4.2236485488756402E-3</v>
      </c>
      <c r="AR18">
        <v>1.2904919305141001E-4</v>
      </c>
      <c r="AS18">
        <v>2.0617648443355601E-2</v>
      </c>
      <c r="AT18">
        <v>6.5765535776748996</v>
      </c>
      <c r="AU18">
        <v>4.8318543007079898E-3</v>
      </c>
      <c r="AV18">
        <v>0</v>
      </c>
      <c r="AW18">
        <v>0</v>
      </c>
      <c r="AX18">
        <v>0</v>
      </c>
      <c r="AY18">
        <v>0</v>
      </c>
      <c r="AZ18">
        <v>0.16715054694313</v>
      </c>
      <c r="BA18">
        <v>0.127591292497577</v>
      </c>
      <c r="BB18">
        <v>1.2976377481273399E-3</v>
      </c>
      <c r="BC18">
        <v>2.5882108305240001E-5</v>
      </c>
      <c r="BD18">
        <v>6.9902061214887601E-7</v>
      </c>
      <c r="BE18">
        <v>0.11456353729067401</v>
      </c>
      <c r="BF18">
        <v>0.10989332487037599</v>
      </c>
      <c r="BG18">
        <v>9.7750506441239996E-5</v>
      </c>
      <c r="BH18">
        <v>6.43680340054E-6</v>
      </c>
    </row>
    <row r="19" spans="1:60" x14ac:dyDescent="0.25">
      <c r="A19" s="1" t="s">
        <v>27</v>
      </c>
      <c r="B19" t="s">
        <v>132</v>
      </c>
      <c r="C19" t="s">
        <v>133</v>
      </c>
      <c r="D19" t="s">
        <v>130</v>
      </c>
      <c r="E19" t="s">
        <v>131</v>
      </c>
      <c r="F19">
        <v>1000</v>
      </c>
      <c r="G19">
        <v>7.69050224848952</v>
      </c>
      <c r="H19">
        <v>4.5865518931360398</v>
      </c>
      <c r="I19">
        <v>8.3697733978051695E-3</v>
      </c>
      <c r="J19">
        <v>3.9465112665633899E-2</v>
      </c>
      <c r="K19">
        <v>6.5530148942372496E-3</v>
      </c>
      <c r="L19">
        <v>7.4907069078723199</v>
      </c>
      <c r="M19">
        <v>4.4276783210305499</v>
      </c>
      <c r="N19">
        <v>7.0443331632494598E-3</v>
      </c>
      <c r="O19">
        <v>3.9439230557328599E-2</v>
      </c>
      <c r="P19">
        <v>6.5503598297767798E-3</v>
      </c>
      <c r="Q19">
        <v>16.977899194103099</v>
      </c>
      <c r="R19">
        <v>0.160775630317288</v>
      </c>
      <c r="S19">
        <v>2.55377475700884E-2</v>
      </c>
      <c r="T19">
        <v>0.31054124926748</v>
      </c>
      <c r="U19">
        <v>1.9590954608814899</v>
      </c>
      <c r="V19">
        <v>2.38443449646322E-12</v>
      </c>
      <c r="W19">
        <v>7.4724690239308195E-2</v>
      </c>
      <c r="X19">
        <v>4.5455053936077103</v>
      </c>
      <c r="Y19">
        <v>317.98563448923699</v>
      </c>
      <c r="Z19">
        <v>0.738824220392023</v>
      </c>
      <c r="AA19">
        <v>0.225902330822943</v>
      </c>
      <c r="AB19">
        <v>0.97551588804648603</v>
      </c>
      <c r="AC19">
        <v>3.6917034639414199</v>
      </c>
      <c r="AD19">
        <v>0.281709901080405</v>
      </c>
      <c r="AE19">
        <v>0.31869008182956499</v>
      </c>
      <c r="AF19">
        <v>1.2583610217594801</v>
      </c>
      <c r="AG19">
        <v>0.44764720789950002</v>
      </c>
      <c r="AH19">
        <v>0.20170183339459799</v>
      </c>
      <c r="AI19">
        <v>3.5388832466089601</v>
      </c>
      <c r="AJ19">
        <v>0.281709901080405</v>
      </c>
      <c r="AK19">
        <v>8.2892757615587E-4</v>
      </c>
      <c r="AL19">
        <v>7.4242204448484003E-4</v>
      </c>
      <c r="AM19">
        <v>0.574488753704535</v>
      </c>
      <c r="AN19">
        <v>0</v>
      </c>
      <c r="AO19">
        <v>1.1803336364057899E-2</v>
      </c>
      <c r="AP19">
        <v>2.7635894193270599E-2</v>
      </c>
      <c r="AQ19">
        <v>9.7609879385742002E-4</v>
      </c>
      <c r="AR19">
        <v>7.6055696069399996E-6</v>
      </c>
      <c r="AS19">
        <v>3.5733182712325401E-3</v>
      </c>
      <c r="AT19">
        <v>0.57023441901446204</v>
      </c>
      <c r="AU19">
        <v>1.8761607272570399E-3</v>
      </c>
      <c r="AV19">
        <v>0</v>
      </c>
      <c r="AW19">
        <v>0</v>
      </c>
      <c r="AX19">
        <v>0</v>
      </c>
      <c r="AY19">
        <v>0</v>
      </c>
      <c r="AZ19">
        <v>0.16715054694313</v>
      </c>
      <c r="BA19">
        <v>0.127591292497577</v>
      </c>
      <c r="BB19">
        <v>1.2976377481273399E-3</v>
      </c>
      <c r="BC19">
        <v>2.5882108305240001E-5</v>
      </c>
      <c r="BD19">
        <v>6.9902061214887601E-7</v>
      </c>
      <c r="BE19">
        <v>3.26447936740673E-2</v>
      </c>
      <c r="BF19">
        <v>3.1282279607911898E-2</v>
      </c>
      <c r="BG19">
        <v>2.7802486428370001E-5</v>
      </c>
      <c r="BH19">
        <v>1.9560438483099999E-6</v>
      </c>
    </row>
    <row r="20" spans="1:60" x14ac:dyDescent="0.25">
      <c r="A20" s="1" t="s">
        <v>28</v>
      </c>
      <c r="B20" t="s">
        <v>140</v>
      </c>
      <c r="C20" t="s">
        <v>141</v>
      </c>
      <c r="D20" t="s">
        <v>142</v>
      </c>
      <c r="E20" t="s">
        <v>143</v>
      </c>
      <c r="F20">
        <v>1000</v>
      </c>
      <c r="G20">
        <v>5.2603706363124196</v>
      </c>
      <c r="H20">
        <v>5.2282670498170498</v>
      </c>
      <c r="I20">
        <v>9.1150614149895001E-4</v>
      </c>
      <c r="J20">
        <v>1.8453188378809999E-5</v>
      </c>
      <c r="K20">
        <v>1.6272774331420001E-5</v>
      </c>
      <c r="L20">
        <v>4.8858897274340798</v>
      </c>
      <c r="M20">
        <v>4.8858897274340798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10.716474501609101</v>
      </c>
      <c r="Y20">
        <v>0</v>
      </c>
      <c r="Z20">
        <v>0</v>
      </c>
      <c r="AA20">
        <v>0</v>
      </c>
      <c r="AB20">
        <v>0</v>
      </c>
      <c r="AC20">
        <v>4.8858897274340798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4.8858897274340798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0.106028343098449</v>
      </c>
      <c r="BA20">
        <v>8.4605512097746596E-2</v>
      </c>
      <c r="BB20">
        <v>6.8186277441658998E-4</v>
      </c>
      <c r="BC20">
        <v>1.8453188378809999E-5</v>
      </c>
      <c r="BD20">
        <v>2.2164257760399998E-6</v>
      </c>
      <c r="BE20">
        <v>0.26845256577989202</v>
      </c>
      <c r="BF20">
        <v>0.25777181028522</v>
      </c>
      <c r="BG20">
        <v>2.2964336708235E-4</v>
      </c>
      <c r="BH20">
        <v>1.4056348555370001E-5</v>
      </c>
    </row>
    <row r="21" spans="1:60" x14ac:dyDescent="0.25">
      <c r="A21" s="1" t="s">
        <v>29</v>
      </c>
      <c r="B21" t="s">
        <v>132</v>
      </c>
      <c r="C21" t="s">
        <v>133</v>
      </c>
      <c r="D21" t="s">
        <v>130</v>
      </c>
      <c r="E21" t="s">
        <v>131</v>
      </c>
      <c r="F21">
        <v>1000</v>
      </c>
      <c r="G21">
        <v>7.69050224848952</v>
      </c>
      <c r="H21">
        <v>4.5865518931360398</v>
      </c>
      <c r="I21">
        <v>8.3697733978051695E-3</v>
      </c>
      <c r="J21">
        <v>3.9465112665633899E-2</v>
      </c>
      <c r="K21">
        <v>6.5530148942372496E-3</v>
      </c>
      <c r="L21">
        <v>7.4907069078723199</v>
      </c>
      <c r="M21">
        <v>4.4276783210305499</v>
      </c>
      <c r="N21">
        <v>7.0443331632494598E-3</v>
      </c>
      <c r="O21">
        <v>3.9439230557328599E-2</v>
      </c>
      <c r="P21">
        <v>6.5503598297767798E-3</v>
      </c>
      <c r="Q21">
        <v>16.977899194103099</v>
      </c>
      <c r="R21">
        <v>0.160775630317288</v>
      </c>
      <c r="S21">
        <v>2.55377475700884E-2</v>
      </c>
      <c r="T21">
        <v>0.31054124926748</v>
      </c>
      <c r="U21">
        <v>1.9590954608814899</v>
      </c>
      <c r="V21">
        <v>2.38443449646322E-12</v>
      </c>
      <c r="W21">
        <v>7.4724690239308195E-2</v>
      </c>
      <c r="X21">
        <v>4.5455053936077103</v>
      </c>
      <c r="Y21">
        <v>317.98563448923699</v>
      </c>
      <c r="Z21">
        <v>0.738824220392023</v>
      </c>
      <c r="AA21">
        <v>0.225902330822943</v>
      </c>
      <c r="AB21">
        <v>0.97551588804648603</v>
      </c>
      <c r="AC21">
        <v>3.6917034639414199</v>
      </c>
      <c r="AD21">
        <v>0.281709901080405</v>
      </c>
      <c r="AE21">
        <v>0.31869008182956499</v>
      </c>
      <c r="AF21">
        <v>1.2583610217594801</v>
      </c>
      <c r="AG21">
        <v>0.44764720789950002</v>
      </c>
      <c r="AH21">
        <v>0.20170183339459799</v>
      </c>
      <c r="AI21">
        <v>3.5388832466089601</v>
      </c>
      <c r="AJ21">
        <v>0.281709901080405</v>
      </c>
      <c r="AK21">
        <v>8.2892757615587E-4</v>
      </c>
      <c r="AL21">
        <v>7.4242204448484003E-4</v>
      </c>
      <c r="AM21">
        <v>0.574488753704535</v>
      </c>
      <c r="AN21">
        <v>0</v>
      </c>
      <c r="AO21">
        <v>1.1803336364057899E-2</v>
      </c>
      <c r="AP21">
        <v>2.7635894193270599E-2</v>
      </c>
      <c r="AQ21">
        <v>9.7609879385742002E-4</v>
      </c>
      <c r="AR21">
        <v>7.6055696069399996E-6</v>
      </c>
      <c r="AS21">
        <v>3.5733182712325401E-3</v>
      </c>
      <c r="AT21">
        <v>0.57023441901446204</v>
      </c>
      <c r="AU21">
        <v>1.8761607272570399E-3</v>
      </c>
      <c r="AV21">
        <v>0</v>
      </c>
      <c r="AW21">
        <v>0</v>
      </c>
      <c r="AX21">
        <v>0</v>
      </c>
      <c r="AY21">
        <v>0</v>
      </c>
      <c r="AZ21">
        <v>0.16715054694313</v>
      </c>
      <c r="BA21">
        <v>0.127591292497577</v>
      </c>
      <c r="BB21">
        <v>1.2976377481273399E-3</v>
      </c>
      <c r="BC21">
        <v>2.5882108305240001E-5</v>
      </c>
      <c r="BD21">
        <v>6.9902061214887601E-7</v>
      </c>
      <c r="BE21">
        <v>3.26447936740673E-2</v>
      </c>
      <c r="BF21">
        <v>3.1282279607911898E-2</v>
      </c>
      <c r="BG21">
        <v>2.7802486428370001E-5</v>
      </c>
      <c r="BH21">
        <v>1.9560438483099999E-6</v>
      </c>
    </row>
    <row r="22" spans="1:60" x14ac:dyDescent="0.25">
      <c r="A22" s="1" t="s">
        <v>30</v>
      </c>
      <c r="B22" t="s">
        <v>138</v>
      </c>
      <c r="C22" t="s">
        <v>139</v>
      </c>
      <c r="D22" t="s">
        <v>130</v>
      </c>
      <c r="E22" t="s">
        <v>47</v>
      </c>
      <c r="F22">
        <v>1000</v>
      </c>
      <c r="G22">
        <v>2.9912876124210199</v>
      </c>
      <c r="H22">
        <v>2.1012177168915498</v>
      </c>
      <c r="I22">
        <v>4.4151600869349597E-3</v>
      </c>
      <c r="J22">
        <v>4.1242841105333904E-3</v>
      </c>
      <c r="K22">
        <v>2.3704851793201601E-3</v>
      </c>
      <c r="L22">
        <v>2.8161703727700198</v>
      </c>
      <c r="M22">
        <v>1.9659936247684999</v>
      </c>
      <c r="N22">
        <v>3.11060914124208E-3</v>
      </c>
      <c r="O22">
        <v>4.0984020022281501E-3</v>
      </c>
      <c r="P22">
        <v>2.3693177345506999E-3</v>
      </c>
      <c r="Q22">
        <v>8.9421098892388304</v>
      </c>
      <c r="R22">
        <v>6.8365186207811193E-2</v>
      </c>
      <c r="S22">
        <v>1.2963554323010299E-2</v>
      </c>
      <c r="T22">
        <v>2.2334158344002299E-2</v>
      </c>
      <c r="U22">
        <v>0.88029493749416898</v>
      </c>
      <c r="V22">
        <v>9.7586335080568296E-13</v>
      </c>
      <c r="W22">
        <v>5.6212061620841303E-2</v>
      </c>
      <c r="X22">
        <v>94.841648738028397</v>
      </c>
      <c r="Y22">
        <v>166.71328382073</v>
      </c>
      <c r="Z22">
        <v>0.31074353858965398</v>
      </c>
      <c r="AA22">
        <v>0.11532768529189601</v>
      </c>
      <c r="AB22">
        <v>0.45999951927385302</v>
      </c>
      <c r="AC22">
        <v>1.6221273908189999</v>
      </c>
      <c r="AD22">
        <v>0.135831326433731</v>
      </c>
      <c r="AE22">
        <v>0</v>
      </c>
      <c r="AF22">
        <v>0.17214091236189</v>
      </c>
      <c r="AG22">
        <v>0.18759214599272001</v>
      </c>
      <c r="AH22">
        <v>0.10229290408927701</v>
      </c>
      <c r="AI22">
        <v>1.5629378301419601</v>
      </c>
      <c r="AJ22">
        <v>0.135662694893009</v>
      </c>
      <c r="AK22">
        <v>3.6679956453886998E-4</v>
      </c>
      <c r="AL22">
        <v>4.0220718752940002E-4</v>
      </c>
      <c r="AM22">
        <v>0.38774670302667902</v>
      </c>
      <c r="AN22">
        <v>0</v>
      </c>
      <c r="AO22">
        <v>0</v>
      </c>
      <c r="AP22">
        <v>4.0984020022281501E-3</v>
      </c>
      <c r="AQ22">
        <v>4.1106507536144002E-4</v>
      </c>
      <c r="AR22">
        <v>3.8425165356800002E-6</v>
      </c>
      <c r="AS22">
        <v>1.68497992408005E-3</v>
      </c>
      <c r="AT22">
        <v>0.38606197246177199</v>
      </c>
      <c r="AU22">
        <v>2.2521633077556E-4</v>
      </c>
      <c r="AV22">
        <v>0</v>
      </c>
      <c r="AW22">
        <v>0</v>
      </c>
      <c r="AX22">
        <v>0</v>
      </c>
      <c r="AY22">
        <v>0</v>
      </c>
      <c r="AZ22">
        <v>0.16715054694313</v>
      </c>
      <c r="BA22">
        <v>0.127591292497577</v>
      </c>
      <c r="BB22">
        <v>1.2976377481273399E-3</v>
      </c>
      <c r="BC22">
        <v>2.5882108305240001E-5</v>
      </c>
      <c r="BD22">
        <v>6.9902061214887601E-7</v>
      </c>
      <c r="BE22">
        <v>7.9666927078651702E-3</v>
      </c>
      <c r="BF22">
        <v>7.6327996254681599E-3</v>
      </c>
      <c r="BG22">
        <v>6.9131975655400001E-6</v>
      </c>
      <c r="BH22">
        <v>4.6842415730336999E-7</v>
      </c>
    </row>
    <row r="23" spans="1:60" x14ac:dyDescent="0.25">
      <c r="A23" s="1"/>
    </row>
    <row r="24" spans="1:60" x14ac:dyDescent="0.25">
      <c r="A2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7</vt:i4>
      </vt:variant>
    </vt:vector>
  </HeadingPairs>
  <TitlesOfParts>
    <vt:vector size="7" baseType="lpstr">
      <vt:lpstr>README</vt:lpstr>
      <vt:lpstr>Diet assessment</vt:lpstr>
      <vt:lpstr>Cons data</vt:lpstr>
      <vt:lpstr>Yields</vt:lpstr>
      <vt:lpstr>Footprints Ireland</vt:lpstr>
      <vt:lpstr>Footprints Italy</vt:lpstr>
      <vt:lpstr>Footprints Poland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Elin Röös</dc:creator>
  <cp:keywords/>
  <dc:description/>
  <cp:lastModifiedBy>Elin Röös</cp:lastModifiedBy>
  <cp:revision/>
  <dcterms:created xsi:type="dcterms:W3CDTF">2024-03-15T17:55:52Z</dcterms:created>
  <dcterms:modified xsi:type="dcterms:W3CDTF">2025-05-30T06:36:42Z</dcterms:modified>
  <cp:category/>
  <cp:contentStatus/>
</cp:coreProperties>
</file>