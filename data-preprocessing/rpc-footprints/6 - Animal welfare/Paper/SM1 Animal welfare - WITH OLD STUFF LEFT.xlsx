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9.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0.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3.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4.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7.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8.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9.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20.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omments1.xml" ContentType="application/vnd.openxmlformats-officedocument.spreadsheetml.comments+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Paper/"/>
    </mc:Choice>
  </mc:AlternateContent>
  <xr:revisionPtr revIDLastSave="788" documentId="8_{560371D1-02D6-4ABF-8687-507DFDB0A067}" xr6:coauthVersionLast="47" xr6:coauthVersionMax="47" xr10:uidLastSave="{A457B989-D564-4AF8-8B4E-6DF6DD9A39B8}"/>
  <bookViews>
    <workbookView xWindow="-108" yWindow="-108" windowWidth="23256" windowHeight="12576" firstSheet="28" activeTab="30" xr2:uid="{00000000-000D-0000-FFFF-FFFF00000000}"/>
  </bookViews>
  <sheets>
    <sheet name="README" sheetId="16" r:id="rId1"/>
    <sheet name="DK" sheetId="28" r:id="rId2"/>
    <sheet name="FR" sheetId="38" r:id="rId3"/>
    <sheet name="DE" sheetId="39" r:id="rId4"/>
    <sheet name="GR" sheetId="40" r:id="rId5"/>
    <sheet name="HU" sheetId="41" r:id="rId6"/>
    <sheet name="IE" sheetId="42" r:id="rId7"/>
    <sheet name="IT" sheetId="43" r:id="rId8"/>
    <sheet name="NL" sheetId="44" r:id="rId9"/>
    <sheet name="PL" sheetId="46" r:id="rId10"/>
    <sheet name="ES" sheetId="47" r:id="rId11"/>
    <sheet name="SE" sheetId="48" r:id="rId12"/>
    <sheet name="UK" sheetId="49" r:id="rId13"/>
    <sheet name="NZ" sheetId="50" r:id="rId14"/>
    <sheet name="NO" sheetId="54" r:id="rId15"/>
    <sheet name="Wild" sheetId="55" r:id="rId16"/>
    <sheet name="Mortality" sheetId="30" r:id="rId17"/>
    <sheet name="Disease" sheetId="33" r:id="rId18"/>
    <sheet name="Slaughter" sheetId="32" r:id="rId19"/>
    <sheet name="Space" sheetId="34" r:id="rId20"/>
    <sheet name="No affected" sheetId="35" r:id="rId21"/>
    <sheet name="Ability" sheetId="31" r:id="rId22"/>
    <sheet name="Life duration" sheetId="36" r:id="rId23"/>
    <sheet name="Space cattle" sheetId="58" r:id="rId24"/>
    <sheet name="Space horse" sheetId="62" r:id="rId25"/>
    <sheet name="Space lamb" sheetId="61" r:id="rId26"/>
    <sheet name="Space pig" sheetId="60" r:id="rId27"/>
    <sheet name="Space poultry" sheetId="59" r:id="rId28"/>
    <sheet name="Space rabbit" sheetId="63" r:id="rId29"/>
    <sheet name="Space salmon" sheetId="64" r:id="rId30"/>
    <sheet name="Fig.1" sheetId="51" r:id="rId31"/>
    <sheet name="Fig. 2a" sheetId="52" r:id="rId32"/>
    <sheet name="Fig. 2b" sheetId="56" r:id="rId33"/>
    <sheet name="Fig. 2c" sheetId="57" r:id="rId34"/>
    <sheet name="Fig. 3" sheetId="45" r:id="rId35"/>
    <sheet name="GAMMALT--&gt;" sheetId="23" r:id="rId36"/>
    <sheet name="Pasture" sheetId="14" r:id="rId37"/>
    <sheet name="Mortality pigs" sheetId="17" r:id="rId38"/>
    <sheet name="Ability OLD" sheetId="18" r:id="rId39"/>
    <sheet name="Europe Utopia" sheetId="25" r:id="rId40"/>
    <sheet name="Slaughter_OLD" sheetId="13" r:id="rId41"/>
    <sheet name="Animal welfare index" sheetId="11" r:id="rId42"/>
    <sheet name="Ingrids tabell" sheetId="19" r:id="rId43"/>
    <sheet name="Prel, EAAP" sheetId="12" r:id="rId44"/>
    <sheet name="Wild game" sheetId="20" r:id="rId45"/>
  </sheets>
  <definedNames>
    <definedName name="_xlnm._FilterDatabase" localSheetId="31" hidden="1">'Fig. 2a'!$A$2:$B$2</definedName>
    <definedName name="_xlnm._FilterDatabase" localSheetId="32" hidden="1">'Fig. 2b'!$A$2:$B$2</definedName>
    <definedName name="_xlnm._FilterDatabase" localSheetId="33" hidden="1">'Fig. 2c'!$A$2:$B$2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35" l="1"/>
  <c r="C16" i="48" l="1"/>
  <c r="D16" i="48"/>
  <c r="D15" i="31"/>
  <c r="O16" i="34" l="1"/>
  <c r="B13" i="64"/>
  <c r="B14" i="64" s="1"/>
  <c r="E14" i="64" s="1"/>
  <c r="D12" i="64"/>
  <c r="C12" i="64"/>
  <c r="B12" i="64"/>
  <c r="D11" i="64"/>
  <c r="D13" i="64" s="1"/>
  <c r="D14" i="64" s="1"/>
  <c r="C11" i="64"/>
  <c r="C13" i="64" s="1"/>
  <c r="C14" i="64" s="1"/>
  <c r="B11" i="64"/>
  <c r="J31" i="46"/>
  <c r="L14" i="34"/>
  <c r="H14" i="34"/>
  <c r="K14" i="34"/>
  <c r="J14" i="34"/>
  <c r="I14" i="34"/>
  <c r="D14" i="34"/>
  <c r="E14" i="34"/>
  <c r="F14" i="34"/>
  <c r="C14" i="34"/>
  <c r="D29" i="63"/>
  <c r="C29" i="63" s="1"/>
  <c r="C30" i="63" s="1"/>
  <c r="C31" i="63" s="1"/>
  <c r="D28" i="63"/>
  <c r="C28" i="63"/>
  <c r="B28" i="63"/>
  <c r="B30" i="63" s="1"/>
  <c r="B31" i="63" s="1"/>
  <c r="D20" i="63"/>
  <c r="D21" i="63" s="1"/>
  <c r="D22" i="63" s="1"/>
  <c r="B20" i="63"/>
  <c r="B21" i="63" s="1"/>
  <c r="B22" i="63" s="1"/>
  <c r="D19" i="63"/>
  <c r="C19" i="63"/>
  <c r="B19" i="63"/>
  <c r="D12" i="63"/>
  <c r="D13" i="63" s="1"/>
  <c r="D11" i="63"/>
  <c r="C11" i="63" s="1"/>
  <c r="C12" i="63" s="1"/>
  <c r="C13" i="63" s="1"/>
  <c r="B11" i="63"/>
  <c r="D10" i="63"/>
  <c r="C10" i="63"/>
  <c r="B10" i="63"/>
  <c r="B12" i="63" s="1"/>
  <c r="B13" i="63" s="1"/>
  <c r="E13" i="63" s="1"/>
  <c r="M7" i="34"/>
  <c r="L7" i="34"/>
  <c r="D7" i="34"/>
  <c r="E7" i="34"/>
  <c r="F7" i="34"/>
  <c r="G7" i="34"/>
  <c r="H7" i="34"/>
  <c r="I7" i="34"/>
  <c r="J7" i="34"/>
  <c r="K7" i="34"/>
  <c r="C7" i="34"/>
  <c r="B7" i="34"/>
  <c r="R13" i="34"/>
  <c r="S13" i="34"/>
  <c r="T13" i="34"/>
  <c r="U13" i="34"/>
  <c r="V13" i="34"/>
  <c r="W13" i="34"/>
  <c r="X13" i="34"/>
  <c r="Y13" i="34"/>
  <c r="Z13" i="34"/>
  <c r="AA13" i="34"/>
  <c r="Q13" i="34"/>
  <c r="L13" i="34"/>
  <c r="F13" i="34"/>
  <c r="G13" i="34"/>
  <c r="H13" i="34"/>
  <c r="I13" i="34"/>
  <c r="J13" i="34"/>
  <c r="K13" i="34"/>
  <c r="E13" i="34"/>
  <c r="C13" i="34"/>
  <c r="D13" i="34"/>
  <c r="B13" i="34"/>
  <c r="L10" i="34"/>
  <c r="K10" i="34"/>
  <c r="J10" i="34"/>
  <c r="I10" i="34"/>
  <c r="H10" i="34"/>
  <c r="G10" i="34"/>
  <c r="F10" i="34"/>
  <c r="E10" i="34"/>
  <c r="D10" i="34"/>
  <c r="C10" i="34"/>
  <c r="B10" i="34"/>
  <c r="D39" i="62"/>
  <c r="D30" i="62"/>
  <c r="D31" i="62"/>
  <c r="D32" i="62"/>
  <c r="D33" i="62"/>
  <c r="D34" i="62"/>
  <c r="D35" i="62"/>
  <c r="D36" i="62"/>
  <c r="D37" i="62"/>
  <c r="E37" i="62" s="1"/>
  <c r="D38" i="62"/>
  <c r="D29" i="62"/>
  <c r="E29" i="62" s="1"/>
  <c r="C39" i="62"/>
  <c r="E39" i="62" s="1"/>
  <c r="C38" i="62"/>
  <c r="C37" i="62"/>
  <c r="C36" i="62"/>
  <c r="C35" i="62"/>
  <c r="C34" i="62"/>
  <c r="C33" i="62"/>
  <c r="C32" i="62"/>
  <c r="E32" i="62" s="1"/>
  <c r="C31" i="62"/>
  <c r="C30" i="62"/>
  <c r="C29" i="62"/>
  <c r="B24" i="62"/>
  <c r="E34" i="62" s="1"/>
  <c r="B22" i="62"/>
  <c r="B25" i="62" s="1"/>
  <c r="B16" i="62"/>
  <c r="B14" i="62"/>
  <c r="B17" i="62" s="1"/>
  <c r="B9" i="62"/>
  <c r="B7" i="62"/>
  <c r="B10" i="62" s="1"/>
  <c r="B18" i="62" s="1"/>
  <c r="AC11" i="34"/>
  <c r="AB11" i="34"/>
  <c r="AA11" i="34"/>
  <c r="Z11" i="34"/>
  <c r="Y11" i="34"/>
  <c r="X11" i="34"/>
  <c r="W11" i="34"/>
  <c r="V11" i="34"/>
  <c r="U11" i="34"/>
  <c r="T11" i="34"/>
  <c r="S11" i="34"/>
  <c r="R11" i="34"/>
  <c r="Q11" i="34"/>
  <c r="N11" i="34"/>
  <c r="M11" i="34"/>
  <c r="L11" i="34"/>
  <c r="K11" i="34"/>
  <c r="J11" i="34"/>
  <c r="I11" i="34"/>
  <c r="H11" i="34"/>
  <c r="G11" i="34"/>
  <c r="F11" i="34"/>
  <c r="E11" i="34"/>
  <c r="D11" i="34"/>
  <c r="C11" i="34"/>
  <c r="B11" i="34"/>
  <c r="C69" i="61"/>
  <c r="C68" i="61"/>
  <c r="C61" i="61"/>
  <c r="C60" i="61"/>
  <c r="C65" i="61"/>
  <c r="C67" i="61"/>
  <c r="C59" i="61"/>
  <c r="C66" i="61"/>
  <c r="C64" i="61"/>
  <c r="C63" i="61"/>
  <c r="C62" i="61"/>
  <c r="C58" i="61"/>
  <c r="C57" i="61"/>
  <c r="H51" i="61"/>
  <c r="H52" i="61" s="1"/>
  <c r="G51" i="61"/>
  <c r="G52" i="61" s="1"/>
  <c r="F51" i="61"/>
  <c r="F52" i="61" s="1"/>
  <c r="E51" i="61"/>
  <c r="E52" i="61" s="1"/>
  <c r="D51" i="61"/>
  <c r="D52" i="61" s="1"/>
  <c r="C51" i="61"/>
  <c r="C52" i="61" s="1"/>
  <c r="B51" i="61"/>
  <c r="B52" i="61" s="1"/>
  <c r="H50" i="61"/>
  <c r="G50" i="61"/>
  <c r="F50" i="61"/>
  <c r="E50" i="61"/>
  <c r="D50" i="61"/>
  <c r="C50" i="61"/>
  <c r="B50" i="61"/>
  <c r="H47" i="61"/>
  <c r="G47" i="61"/>
  <c r="H44" i="61"/>
  <c r="G44" i="61"/>
  <c r="F44" i="61"/>
  <c r="E44" i="61"/>
  <c r="D44" i="61"/>
  <c r="C44" i="61"/>
  <c r="B44" i="61"/>
  <c r="H41" i="61"/>
  <c r="G41" i="61"/>
  <c r="F41" i="61"/>
  <c r="E41" i="61"/>
  <c r="D41" i="61"/>
  <c r="C41" i="61"/>
  <c r="B41" i="61"/>
  <c r="H38" i="61"/>
  <c r="G38" i="61"/>
  <c r="C35" i="61"/>
  <c r="C34" i="61"/>
  <c r="C27" i="61"/>
  <c r="C26" i="61"/>
  <c r="C31" i="61"/>
  <c r="C33" i="61"/>
  <c r="C25" i="61"/>
  <c r="C32" i="61"/>
  <c r="C30" i="61"/>
  <c r="C29" i="61"/>
  <c r="C28" i="61"/>
  <c r="C24" i="61"/>
  <c r="C23" i="61"/>
  <c r="E18" i="61"/>
  <c r="E19" i="61" s="1"/>
  <c r="D18" i="61"/>
  <c r="D19" i="61" s="1"/>
  <c r="C18" i="61"/>
  <c r="C19" i="61" s="1"/>
  <c r="B18" i="61"/>
  <c r="B19" i="61" s="1"/>
  <c r="E17" i="61"/>
  <c r="D17" i="61"/>
  <c r="C17" i="61"/>
  <c r="B17" i="61"/>
  <c r="F14" i="61"/>
  <c r="E11" i="61"/>
  <c r="D11" i="61"/>
  <c r="C11" i="61"/>
  <c r="B11" i="61"/>
  <c r="E8" i="61"/>
  <c r="D8" i="61"/>
  <c r="C8" i="61"/>
  <c r="B8" i="61"/>
  <c r="F5" i="61"/>
  <c r="AA12" i="34"/>
  <c r="R12" i="34"/>
  <c r="S12" i="34"/>
  <c r="T12" i="34"/>
  <c r="U12" i="34"/>
  <c r="V12" i="34"/>
  <c r="W12" i="34"/>
  <c r="X12" i="34"/>
  <c r="Y12" i="34"/>
  <c r="Z12" i="34"/>
  <c r="Q12" i="34"/>
  <c r="L12" i="34"/>
  <c r="C12" i="34"/>
  <c r="D12" i="34"/>
  <c r="E12" i="34"/>
  <c r="F12" i="34"/>
  <c r="G12" i="34"/>
  <c r="H12" i="34"/>
  <c r="I12" i="34"/>
  <c r="J12" i="34"/>
  <c r="K12" i="34"/>
  <c r="B12" i="34"/>
  <c r="I44" i="60"/>
  <c r="I45" i="60" s="1"/>
  <c r="H44" i="60"/>
  <c r="H45" i="60" s="1"/>
  <c r="G44" i="60"/>
  <c r="G45" i="60" s="1"/>
  <c r="B44" i="60"/>
  <c r="B45" i="60" s="1"/>
  <c r="F43" i="60"/>
  <c r="F44" i="60" s="1"/>
  <c r="F45" i="60" s="1"/>
  <c r="E43" i="60"/>
  <c r="E44" i="60" s="1"/>
  <c r="E45" i="60" s="1"/>
  <c r="D43" i="60"/>
  <c r="D44" i="60" s="1"/>
  <c r="D45" i="60" s="1"/>
  <c r="C43" i="60"/>
  <c r="C44" i="60" s="1"/>
  <c r="C45" i="60" s="1"/>
  <c r="C46" i="60" s="1"/>
  <c r="R41" i="60"/>
  <c r="I41" i="60"/>
  <c r="H41" i="60"/>
  <c r="G41" i="60"/>
  <c r="G46" i="60" s="1"/>
  <c r="F41" i="60"/>
  <c r="E41" i="60"/>
  <c r="D41" i="60"/>
  <c r="C41" i="60"/>
  <c r="B41" i="60"/>
  <c r="J38" i="60"/>
  <c r="K34" i="60"/>
  <c r="J34" i="60"/>
  <c r="I34" i="60"/>
  <c r="H34" i="60"/>
  <c r="G34" i="60"/>
  <c r="F34" i="60"/>
  <c r="E34" i="60"/>
  <c r="D34" i="60"/>
  <c r="C34" i="60"/>
  <c r="B34" i="60"/>
  <c r="K33" i="60"/>
  <c r="J33" i="60"/>
  <c r="I33" i="60"/>
  <c r="H33" i="60"/>
  <c r="G33" i="60"/>
  <c r="F33" i="60"/>
  <c r="E33" i="60"/>
  <c r="D33" i="60"/>
  <c r="C33" i="60"/>
  <c r="B33" i="60"/>
  <c r="K30" i="60"/>
  <c r="J30" i="60"/>
  <c r="J35" i="60" s="1"/>
  <c r="I30" i="60"/>
  <c r="H30" i="60"/>
  <c r="G30" i="60"/>
  <c r="F30" i="60"/>
  <c r="E30" i="60"/>
  <c r="E35" i="60" s="1"/>
  <c r="D30" i="60"/>
  <c r="D35" i="60" s="1"/>
  <c r="C30" i="60"/>
  <c r="B30" i="60"/>
  <c r="B35" i="60" s="1"/>
  <c r="J27" i="60"/>
  <c r="L27" i="60" s="1"/>
  <c r="B22" i="60"/>
  <c r="B23" i="60" s="1"/>
  <c r="F21" i="60"/>
  <c r="F22" i="60" s="1"/>
  <c r="F23" i="60" s="1"/>
  <c r="E21" i="60"/>
  <c r="E22" i="60" s="1"/>
  <c r="E23" i="60" s="1"/>
  <c r="D21" i="60"/>
  <c r="D22" i="60" s="1"/>
  <c r="D23" i="60" s="1"/>
  <c r="C21" i="60"/>
  <c r="C22" i="60" s="1"/>
  <c r="C23" i="60" s="1"/>
  <c r="F18" i="60"/>
  <c r="E18" i="60"/>
  <c r="D18" i="60"/>
  <c r="C18" i="60"/>
  <c r="B18" i="60"/>
  <c r="G15" i="60"/>
  <c r="H12" i="60"/>
  <c r="G12" i="60"/>
  <c r="F12" i="60"/>
  <c r="E12" i="60"/>
  <c r="D12" i="60"/>
  <c r="C12" i="60"/>
  <c r="B12" i="60"/>
  <c r="H11" i="60"/>
  <c r="G11" i="60"/>
  <c r="F11" i="60"/>
  <c r="E11" i="60"/>
  <c r="D11" i="60"/>
  <c r="C11" i="60"/>
  <c r="B11" i="60"/>
  <c r="H8" i="60"/>
  <c r="G8" i="60"/>
  <c r="F8" i="60"/>
  <c r="E8" i="60"/>
  <c r="D8" i="60"/>
  <c r="D13" i="60" s="1"/>
  <c r="C8" i="60"/>
  <c r="C13" i="60" s="1"/>
  <c r="B8" i="60"/>
  <c r="B13" i="60" s="1"/>
  <c r="I5" i="60"/>
  <c r="AB6" i="34"/>
  <c r="AA6" i="34"/>
  <c r="Z6" i="34"/>
  <c r="Y6" i="34"/>
  <c r="X6" i="34"/>
  <c r="W6" i="34"/>
  <c r="V6" i="34"/>
  <c r="U6" i="34"/>
  <c r="T6" i="34"/>
  <c r="S6" i="34"/>
  <c r="R6" i="34"/>
  <c r="Q6" i="34"/>
  <c r="C15" i="34"/>
  <c r="D15" i="34"/>
  <c r="E15" i="34"/>
  <c r="F15" i="34"/>
  <c r="G15" i="34"/>
  <c r="H15" i="34"/>
  <c r="I15" i="34"/>
  <c r="J15" i="34"/>
  <c r="K15" i="34"/>
  <c r="L15" i="34"/>
  <c r="B15" i="34"/>
  <c r="B105" i="59"/>
  <c r="L102" i="59"/>
  <c r="L105" i="59" s="1"/>
  <c r="K102" i="59"/>
  <c r="K105" i="59" s="1"/>
  <c r="J102" i="59"/>
  <c r="J105" i="59" s="1"/>
  <c r="I102" i="59"/>
  <c r="I105" i="59" s="1"/>
  <c r="H102" i="59"/>
  <c r="H105" i="59" s="1"/>
  <c r="G102" i="59"/>
  <c r="G105" i="59" s="1"/>
  <c r="F102" i="59"/>
  <c r="F105" i="59" s="1"/>
  <c r="E102" i="59"/>
  <c r="E105" i="59" s="1"/>
  <c r="D102" i="59"/>
  <c r="D105" i="59" s="1"/>
  <c r="C102" i="59"/>
  <c r="C105" i="59" s="1"/>
  <c r="B102" i="59"/>
  <c r="G95" i="59"/>
  <c r="F95" i="59"/>
  <c r="E95" i="59"/>
  <c r="D95" i="59"/>
  <c r="C95" i="59"/>
  <c r="B95" i="59"/>
  <c r="G93" i="59"/>
  <c r="F93" i="59"/>
  <c r="E93" i="59"/>
  <c r="D93" i="59"/>
  <c r="C93" i="59"/>
  <c r="B93" i="59"/>
  <c r="G90" i="59"/>
  <c r="G85" i="59"/>
  <c r="F85" i="59"/>
  <c r="E85" i="59"/>
  <c r="D85" i="59"/>
  <c r="C85" i="59"/>
  <c r="B85" i="59"/>
  <c r="G83" i="59"/>
  <c r="F83" i="59"/>
  <c r="E83" i="59"/>
  <c r="E86" i="59" s="1"/>
  <c r="D83" i="59"/>
  <c r="C83" i="59"/>
  <c r="B83" i="59"/>
  <c r="G80" i="59"/>
  <c r="E75" i="59"/>
  <c r="D75" i="59"/>
  <c r="C75" i="59"/>
  <c r="B75" i="59"/>
  <c r="G74" i="59"/>
  <c r="F74" i="59"/>
  <c r="G73" i="59"/>
  <c r="G76" i="59" s="1"/>
  <c r="F73" i="59"/>
  <c r="F76" i="59" s="1"/>
  <c r="E73" i="59"/>
  <c r="E76" i="59" s="1"/>
  <c r="D73" i="59"/>
  <c r="D76" i="59" s="1"/>
  <c r="C73" i="59"/>
  <c r="C76" i="59" s="1"/>
  <c r="B73" i="59"/>
  <c r="B76" i="59" s="1"/>
  <c r="G70" i="59"/>
  <c r="E65" i="59"/>
  <c r="D65" i="59"/>
  <c r="C65" i="59"/>
  <c r="B65" i="59"/>
  <c r="G64" i="59"/>
  <c r="F64" i="59"/>
  <c r="F65" i="59" s="1"/>
  <c r="G63" i="59"/>
  <c r="G66" i="59" s="1"/>
  <c r="F63" i="59"/>
  <c r="E63" i="59"/>
  <c r="E66" i="59" s="1"/>
  <c r="D63" i="59"/>
  <c r="D66" i="59" s="1"/>
  <c r="C63" i="59"/>
  <c r="C66" i="59" s="1"/>
  <c r="B63" i="59"/>
  <c r="B66" i="59" s="1"/>
  <c r="G60" i="59"/>
  <c r="B55" i="59"/>
  <c r="G54" i="59"/>
  <c r="F54" i="59"/>
  <c r="E54" i="59"/>
  <c r="D54" i="59"/>
  <c r="C54" i="59"/>
  <c r="B54" i="59"/>
  <c r="G52" i="59"/>
  <c r="G55" i="59" s="1"/>
  <c r="F52" i="59"/>
  <c r="F55" i="59" s="1"/>
  <c r="E52" i="59"/>
  <c r="E55" i="59" s="1"/>
  <c r="D52" i="59"/>
  <c r="C52" i="59"/>
  <c r="B52" i="59"/>
  <c r="G49" i="59"/>
  <c r="F42" i="59"/>
  <c r="D42" i="59" s="1"/>
  <c r="D43" i="59" s="1"/>
  <c r="E42" i="59"/>
  <c r="E43" i="59" s="1"/>
  <c r="E44" i="59" s="1"/>
  <c r="F40" i="59"/>
  <c r="E40" i="59"/>
  <c r="D40" i="59"/>
  <c r="C40" i="59"/>
  <c r="B40" i="59"/>
  <c r="F32" i="59"/>
  <c r="E32" i="59" s="1"/>
  <c r="E33" i="59" s="1"/>
  <c r="D32" i="59"/>
  <c r="D33" i="59" s="1"/>
  <c r="D34" i="59" s="1"/>
  <c r="B32" i="59"/>
  <c r="B33" i="59" s="1"/>
  <c r="B34" i="59" s="1"/>
  <c r="F30" i="59"/>
  <c r="E30" i="59"/>
  <c r="D30" i="59"/>
  <c r="C30" i="59"/>
  <c r="B30" i="59"/>
  <c r="F22" i="59"/>
  <c r="E22" i="59" s="1"/>
  <c r="E23" i="59" s="1"/>
  <c r="C22" i="59"/>
  <c r="C23" i="59" s="1"/>
  <c r="F20" i="59"/>
  <c r="E20" i="59"/>
  <c r="D20" i="59"/>
  <c r="C20" i="59"/>
  <c r="B20" i="59"/>
  <c r="F12" i="59"/>
  <c r="F13" i="59" s="1"/>
  <c r="D12" i="59"/>
  <c r="D13" i="59" s="1"/>
  <c r="F10" i="59"/>
  <c r="E10" i="59"/>
  <c r="D10" i="59"/>
  <c r="C10" i="59"/>
  <c r="B10" i="59"/>
  <c r="C193" i="58"/>
  <c r="C186" i="58"/>
  <c r="C185" i="58"/>
  <c r="C190" i="58"/>
  <c r="C192" i="58"/>
  <c r="C184" i="58"/>
  <c r="C191" i="58"/>
  <c r="C189" i="58"/>
  <c r="C188" i="58"/>
  <c r="C187" i="58"/>
  <c r="C183" i="58"/>
  <c r="C182" i="58"/>
  <c r="C177" i="58"/>
  <c r="C170" i="58"/>
  <c r="C169" i="58"/>
  <c r="C174" i="58"/>
  <c r="C176" i="58"/>
  <c r="C168" i="58"/>
  <c r="C175" i="58"/>
  <c r="B173" i="58"/>
  <c r="C173" i="58" s="1"/>
  <c r="C172" i="58"/>
  <c r="C171" i="58"/>
  <c r="C167" i="58"/>
  <c r="C166" i="58"/>
  <c r="C165" i="58"/>
  <c r="G161" i="58"/>
  <c r="F161" i="58"/>
  <c r="E161" i="58"/>
  <c r="D161" i="58"/>
  <c r="C161" i="58"/>
  <c r="B161" i="58"/>
  <c r="G159" i="58"/>
  <c r="F159" i="58"/>
  <c r="E159" i="58"/>
  <c r="D159" i="58"/>
  <c r="C159" i="58"/>
  <c r="B159" i="58"/>
  <c r="H156" i="58"/>
  <c r="G151" i="58"/>
  <c r="F151" i="58"/>
  <c r="E151" i="58"/>
  <c r="D151" i="58"/>
  <c r="C151" i="58"/>
  <c r="B151" i="58"/>
  <c r="G149" i="58"/>
  <c r="F149" i="58"/>
  <c r="E149" i="58"/>
  <c r="D149" i="58"/>
  <c r="C149" i="58"/>
  <c r="B149" i="58"/>
  <c r="H146" i="58"/>
  <c r="G142" i="58"/>
  <c r="F142" i="58"/>
  <c r="E142" i="58"/>
  <c r="D142" i="58"/>
  <c r="C142" i="58"/>
  <c r="B142" i="58"/>
  <c r="G140" i="58"/>
  <c r="F140" i="58"/>
  <c r="E140" i="58"/>
  <c r="D140" i="58"/>
  <c r="C140" i="58"/>
  <c r="B140" i="58"/>
  <c r="H137" i="58"/>
  <c r="G133" i="58"/>
  <c r="F133" i="58"/>
  <c r="E133" i="58"/>
  <c r="D133" i="58"/>
  <c r="C133" i="58"/>
  <c r="B133" i="58"/>
  <c r="G131" i="58"/>
  <c r="F131" i="58"/>
  <c r="E131" i="58"/>
  <c r="D131" i="58"/>
  <c r="D134" i="58" s="1"/>
  <c r="C131" i="58"/>
  <c r="B131" i="58"/>
  <c r="H128" i="58"/>
  <c r="G123" i="58"/>
  <c r="F123" i="58"/>
  <c r="E123" i="58"/>
  <c r="D123" i="58"/>
  <c r="C123" i="58"/>
  <c r="B123" i="58"/>
  <c r="G121" i="58"/>
  <c r="F121" i="58"/>
  <c r="E121" i="58"/>
  <c r="D121" i="58"/>
  <c r="C121" i="58"/>
  <c r="B121" i="58"/>
  <c r="H118" i="58"/>
  <c r="G114" i="58"/>
  <c r="F114" i="58"/>
  <c r="E114" i="58"/>
  <c r="D114" i="58"/>
  <c r="C114" i="58"/>
  <c r="B114" i="58"/>
  <c r="G112" i="58"/>
  <c r="F112" i="58"/>
  <c r="F115" i="58" s="1"/>
  <c r="E112" i="58"/>
  <c r="D112" i="58"/>
  <c r="C112" i="58"/>
  <c r="B112" i="58"/>
  <c r="H109" i="58"/>
  <c r="F105" i="58"/>
  <c r="E105" i="58"/>
  <c r="D105" i="58"/>
  <c r="C105" i="58"/>
  <c r="B105" i="58"/>
  <c r="F103" i="58"/>
  <c r="E103" i="58"/>
  <c r="D103" i="58"/>
  <c r="C103" i="58"/>
  <c r="B103" i="58"/>
  <c r="G100" i="58"/>
  <c r="F95" i="58"/>
  <c r="E95" i="58"/>
  <c r="D95" i="58"/>
  <c r="C95" i="58"/>
  <c r="B95" i="58"/>
  <c r="F93" i="58"/>
  <c r="E93" i="58"/>
  <c r="D93" i="58"/>
  <c r="C93" i="58"/>
  <c r="B93" i="58"/>
  <c r="G90" i="58"/>
  <c r="F86" i="58"/>
  <c r="E86" i="58"/>
  <c r="D86" i="58"/>
  <c r="C86" i="58"/>
  <c r="B86" i="58"/>
  <c r="F84" i="58"/>
  <c r="E84" i="58"/>
  <c r="D84" i="58"/>
  <c r="C84" i="58"/>
  <c r="B84" i="58"/>
  <c r="G81" i="58"/>
  <c r="F76" i="58"/>
  <c r="E76" i="58"/>
  <c r="D76" i="58"/>
  <c r="C76" i="58"/>
  <c r="B76" i="58"/>
  <c r="F74" i="58"/>
  <c r="E74" i="58"/>
  <c r="D74" i="58"/>
  <c r="C74" i="58"/>
  <c r="B74" i="58"/>
  <c r="G71" i="58"/>
  <c r="G61" i="58"/>
  <c r="D61" i="58"/>
  <c r="C61" i="58"/>
  <c r="G60" i="58"/>
  <c r="D60" i="58"/>
  <c r="C60" i="58"/>
  <c r="G66" i="58"/>
  <c r="D66" i="58"/>
  <c r="C66" i="58"/>
  <c r="G67" i="58"/>
  <c r="D67" i="58"/>
  <c r="C67" i="58"/>
  <c r="G59" i="58"/>
  <c r="D59" i="58"/>
  <c r="C59" i="58"/>
  <c r="G65" i="58"/>
  <c r="D65" i="58"/>
  <c r="C65" i="58"/>
  <c r="G64" i="58"/>
  <c r="D64" i="58"/>
  <c r="C64" i="58"/>
  <c r="G63" i="58"/>
  <c r="D63" i="58"/>
  <c r="C63" i="58"/>
  <c r="G62" i="58"/>
  <c r="D62" i="58"/>
  <c r="C62" i="58"/>
  <c r="G58" i="58"/>
  <c r="D58" i="58"/>
  <c r="C58" i="58"/>
  <c r="G57" i="58"/>
  <c r="D57" i="58"/>
  <c r="C57" i="58"/>
  <c r="I52" i="58"/>
  <c r="H52" i="58"/>
  <c r="G52" i="58"/>
  <c r="F52" i="58"/>
  <c r="E52" i="58"/>
  <c r="D52" i="58"/>
  <c r="C52" i="58"/>
  <c r="B52" i="58"/>
  <c r="I49" i="58"/>
  <c r="I53" i="58" s="1"/>
  <c r="H49" i="58"/>
  <c r="H53" i="58" s="1"/>
  <c r="G49" i="58"/>
  <c r="G53" i="58" s="1"/>
  <c r="F49" i="58"/>
  <c r="F53" i="58" s="1"/>
  <c r="E49" i="58"/>
  <c r="D49" i="58"/>
  <c r="C49" i="58"/>
  <c r="C53" i="58" s="1"/>
  <c r="B49" i="58"/>
  <c r="B53" i="58" s="1"/>
  <c r="I46" i="58"/>
  <c r="H46" i="58"/>
  <c r="I42" i="58"/>
  <c r="H42" i="58"/>
  <c r="G42" i="58"/>
  <c r="F42" i="58"/>
  <c r="E42" i="58"/>
  <c r="D42" i="58"/>
  <c r="C42" i="58"/>
  <c r="B42" i="58"/>
  <c r="V41" i="58"/>
  <c r="I39" i="58"/>
  <c r="H39" i="58"/>
  <c r="G39" i="58"/>
  <c r="F39" i="58"/>
  <c r="E39" i="58"/>
  <c r="D39" i="58"/>
  <c r="D43" i="58" s="1"/>
  <c r="C39" i="58"/>
  <c r="B39" i="58"/>
  <c r="I36" i="58"/>
  <c r="H36" i="58"/>
  <c r="I32" i="58"/>
  <c r="H32" i="58"/>
  <c r="G32" i="58"/>
  <c r="F32" i="58"/>
  <c r="E32" i="58"/>
  <c r="D32" i="58"/>
  <c r="C32" i="58"/>
  <c r="B32" i="58"/>
  <c r="I29" i="58"/>
  <c r="I33" i="58" s="1"/>
  <c r="H29" i="58"/>
  <c r="H33" i="58" s="1"/>
  <c r="G29" i="58"/>
  <c r="G33" i="58" s="1"/>
  <c r="F29" i="58"/>
  <c r="F33" i="58" s="1"/>
  <c r="E29" i="58"/>
  <c r="D29" i="58"/>
  <c r="C29" i="58"/>
  <c r="B29" i="58"/>
  <c r="B33" i="58" s="1"/>
  <c r="I26" i="58"/>
  <c r="H26" i="58"/>
  <c r="I22" i="58"/>
  <c r="H22" i="58"/>
  <c r="G22" i="58"/>
  <c r="F22" i="58"/>
  <c r="E22" i="58"/>
  <c r="D22" i="58"/>
  <c r="C22" i="58"/>
  <c r="B22" i="58"/>
  <c r="I19" i="58"/>
  <c r="I23" i="58" s="1"/>
  <c r="H19" i="58"/>
  <c r="H23" i="58" s="1"/>
  <c r="G19" i="58"/>
  <c r="G23" i="58" s="1"/>
  <c r="F19" i="58"/>
  <c r="F23" i="58" s="1"/>
  <c r="E19" i="58"/>
  <c r="E23" i="58" s="1"/>
  <c r="D19" i="58"/>
  <c r="C19" i="58"/>
  <c r="C23" i="58" s="1"/>
  <c r="B19" i="58"/>
  <c r="B23" i="58" s="1"/>
  <c r="I16" i="58"/>
  <c r="H16" i="58"/>
  <c r="I12" i="58"/>
  <c r="H12" i="58"/>
  <c r="G12" i="58"/>
  <c r="F12" i="58"/>
  <c r="E12" i="58"/>
  <c r="D12" i="58"/>
  <c r="C12" i="58"/>
  <c r="B12" i="58"/>
  <c r="I9" i="58"/>
  <c r="H9" i="58"/>
  <c r="G9" i="58"/>
  <c r="F9" i="58"/>
  <c r="F13" i="58" s="1"/>
  <c r="E9" i="58"/>
  <c r="D9" i="58"/>
  <c r="D13" i="58" s="1"/>
  <c r="C9" i="58"/>
  <c r="C13" i="58" s="1"/>
  <c r="B9" i="58"/>
  <c r="I6" i="58"/>
  <c r="H6" i="58"/>
  <c r="B16" i="51"/>
  <c r="B17" i="51"/>
  <c r="B18" i="51"/>
  <c r="B19" i="51"/>
  <c r="B20" i="51"/>
  <c r="B21" i="51"/>
  <c r="B22" i="51"/>
  <c r="B23" i="51"/>
  <c r="B15" i="51"/>
  <c r="A16" i="51"/>
  <c r="A17" i="51"/>
  <c r="A18" i="51"/>
  <c r="A19" i="51"/>
  <c r="A20" i="51"/>
  <c r="A21" i="51"/>
  <c r="A22" i="51"/>
  <c r="A23" i="51"/>
  <c r="A15" i="51"/>
  <c r="B14" i="51"/>
  <c r="A14" i="51"/>
  <c r="T22" i="11"/>
  <c r="T23" i="11"/>
  <c r="C20" i="63" l="1"/>
  <c r="C21" i="63" s="1"/>
  <c r="C22" i="63" s="1"/>
  <c r="E22" i="63" s="1"/>
  <c r="D30" i="63"/>
  <c r="D31" i="63" s="1"/>
  <c r="E31" i="63" s="1"/>
  <c r="E35" i="62"/>
  <c r="E30" i="62"/>
  <c r="E38" i="62"/>
  <c r="E33" i="62"/>
  <c r="E36" i="62"/>
  <c r="E31" i="62"/>
  <c r="B20" i="61"/>
  <c r="F53" i="61"/>
  <c r="C20" i="61"/>
  <c r="E45" i="61"/>
  <c r="H45" i="61"/>
  <c r="H53" i="61"/>
  <c r="C53" i="61"/>
  <c r="I38" i="61"/>
  <c r="B45" i="61"/>
  <c r="C45" i="61"/>
  <c r="E12" i="61"/>
  <c r="B53" i="61"/>
  <c r="F45" i="61"/>
  <c r="D53" i="61"/>
  <c r="B12" i="61"/>
  <c r="C12" i="61"/>
  <c r="D12" i="61"/>
  <c r="E20" i="61"/>
  <c r="D20" i="61"/>
  <c r="D45" i="61"/>
  <c r="I47" i="61"/>
  <c r="E53" i="61"/>
  <c r="G45" i="61"/>
  <c r="G53" i="61"/>
  <c r="F13" i="60"/>
  <c r="F35" i="60"/>
  <c r="G13" i="60"/>
  <c r="H13" i="60"/>
  <c r="C24" i="60"/>
  <c r="G35" i="60"/>
  <c r="D24" i="60"/>
  <c r="H35" i="60"/>
  <c r="L35" i="60" s="1"/>
  <c r="E46" i="60"/>
  <c r="E24" i="60"/>
  <c r="B24" i="60"/>
  <c r="E13" i="60"/>
  <c r="I13" i="60" s="1"/>
  <c r="I35" i="60"/>
  <c r="C35" i="60"/>
  <c r="K35" i="60"/>
  <c r="B46" i="60"/>
  <c r="F46" i="60"/>
  <c r="D46" i="60"/>
  <c r="F24" i="60"/>
  <c r="H46" i="60"/>
  <c r="I46" i="60"/>
  <c r="D23" i="58"/>
  <c r="J23" i="58" s="1"/>
  <c r="E13" i="58"/>
  <c r="E53" i="58"/>
  <c r="C33" i="58"/>
  <c r="C77" i="58"/>
  <c r="B106" i="58"/>
  <c r="C152" i="58"/>
  <c r="D77" i="58"/>
  <c r="F96" i="58"/>
  <c r="C106" i="58"/>
  <c r="C124" i="58"/>
  <c r="D152" i="58"/>
  <c r="G162" i="58"/>
  <c r="E24" i="59"/>
  <c r="B86" i="59"/>
  <c r="E96" i="59"/>
  <c r="G96" i="59"/>
  <c r="C55" i="59"/>
  <c r="H55" i="59" s="1"/>
  <c r="C86" i="59"/>
  <c r="C96" i="59"/>
  <c r="D96" i="59"/>
  <c r="D86" i="59"/>
  <c r="D14" i="59"/>
  <c r="F96" i="59"/>
  <c r="F14" i="59"/>
  <c r="F23" i="59"/>
  <c r="F24" i="59" s="1"/>
  <c r="F86" i="59"/>
  <c r="D55" i="59"/>
  <c r="B96" i="59"/>
  <c r="G86" i="59"/>
  <c r="H76" i="59"/>
  <c r="C24" i="59"/>
  <c r="D44" i="59"/>
  <c r="F66" i="59"/>
  <c r="H66" i="59" s="1"/>
  <c r="E34" i="59"/>
  <c r="E12" i="59"/>
  <c r="E13" i="59" s="1"/>
  <c r="E14" i="59" s="1"/>
  <c r="C32" i="59"/>
  <c r="C33" i="59" s="1"/>
  <c r="C34" i="59" s="1"/>
  <c r="F33" i="59"/>
  <c r="F34" i="59" s="1"/>
  <c r="B22" i="59"/>
  <c r="B23" i="59" s="1"/>
  <c r="B24" i="59" s="1"/>
  <c r="D22" i="59"/>
  <c r="D23" i="59" s="1"/>
  <c r="D24" i="59" s="1"/>
  <c r="B42" i="59"/>
  <c r="B43" i="59" s="1"/>
  <c r="B44" i="59" s="1"/>
  <c r="B12" i="59"/>
  <c r="B13" i="59" s="1"/>
  <c r="B14" i="59" s="1"/>
  <c r="C42" i="59"/>
  <c r="C43" i="59" s="1"/>
  <c r="C44" i="59" s="1"/>
  <c r="F43" i="59"/>
  <c r="F44" i="59" s="1"/>
  <c r="C12" i="59"/>
  <c r="C13" i="59" s="1"/>
  <c r="C14" i="59" s="1"/>
  <c r="F162" i="58"/>
  <c r="E43" i="58"/>
  <c r="H13" i="58"/>
  <c r="D33" i="58"/>
  <c r="E162" i="58"/>
  <c r="C43" i="58"/>
  <c r="J46" i="58"/>
  <c r="E106" i="58"/>
  <c r="G13" i="58"/>
  <c r="G115" i="58"/>
  <c r="B43" i="58"/>
  <c r="I13" i="58"/>
  <c r="B13" i="58"/>
  <c r="E134" i="58"/>
  <c r="G134" i="58"/>
  <c r="C143" i="58"/>
  <c r="E87" i="58"/>
  <c r="B96" i="58"/>
  <c r="C87" i="58"/>
  <c r="C115" i="58"/>
  <c r="C96" i="58"/>
  <c r="E115" i="58"/>
  <c r="G124" i="58"/>
  <c r="E143" i="58"/>
  <c r="C162" i="58"/>
  <c r="F77" i="58"/>
  <c r="B143" i="58"/>
  <c r="D87" i="58"/>
  <c r="E124" i="58"/>
  <c r="F152" i="58"/>
  <c r="B77" i="58"/>
  <c r="E77" i="58"/>
  <c r="D96" i="58"/>
  <c r="J36" i="58"/>
  <c r="H43" i="58"/>
  <c r="B124" i="58"/>
  <c r="C134" i="58"/>
  <c r="B162" i="58"/>
  <c r="B152" i="58"/>
  <c r="G143" i="58"/>
  <c r="J26" i="58"/>
  <c r="F43" i="58"/>
  <c r="B134" i="58"/>
  <c r="J16" i="58"/>
  <c r="I43" i="58"/>
  <c r="F87" i="58"/>
  <c r="D106" i="58"/>
  <c r="F106" i="58"/>
  <c r="B115" i="58"/>
  <c r="D124" i="58"/>
  <c r="D143" i="58"/>
  <c r="E152" i="58"/>
  <c r="D53" i="58"/>
  <c r="E33" i="58"/>
  <c r="J33" i="58" s="1"/>
  <c r="D162" i="58"/>
  <c r="B87" i="58"/>
  <c r="E96" i="58"/>
  <c r="D115" i="58"/>
  <c r="F124" i="58"/>
  <c r="F134" i="58"/>
  <c r="F143" i="58"/>
  <c r="G152" i="58"/>
  <c r="J6" i="58"/>
  <c r="G43" i="58"/>
  <c r="P19" i="35"/>
  <c r="P18" i="35"/>
  <c r="F20" i="61" l="1"/>
  <c r="D28" i="61" s="1"/>
  <c r="I45" i="61"/>
  <c r="D67" i="61" s="1"/>
  <c r="F12" i="61"/>
  <c r="D33" i="61" s="1"/>
  <c r="I53" i="61"/>
  <c r="D68" i="61" s="1"/>
  <c r="D29" i="61"/>
  <c r="J46" i="60"/>
  <c r="G24" i="60"/>
  <c r="J53" i="58"/>
  <c r="H96" i="59"/>
  <c r="H86" i="59"/>
  <c r="G44" i="59"/>
  <c r="G34" i="59"/>
  <c r="G24" i="59"/>
  <c r="G14" i="59"/>
  <c r="J13" i="58"/>
  <c r="K13" i="58" s="1"/>
  <c r="K53" i="58"/>
  <c r="G77" i="58"/>
  <c r="J43" i="58"/>
  <c r="K43" i="58" s="1"/>
  <c r="H115" i="58"/>
  <c r="I115" i="58" s="1"/>
  <c r="H134" i="58"/>
  <c r="I134" i="58" s="1"/>
  <c r="D165" i="58" s="1"/>
  <c r="B6" i="34" s="1"/>
  <c r="K33" i="58"/>
  <c r="D184" i="58" s="1"/>
  <c r="H143" i="58"/>
  <c r="I143" i="58" s="1"/>
  <c r="D166" i="58" s="1"/>
  <c r="B8" i="34" s="1"/>
  <c r="H124" i="58"/>
  <c r="I124" i="58" s="1"/>
  <c r="G96" i="58"/>
  <c r="G106" i="58"/>
  <c r="H152" i="58"/>
  <c r="I152" i="58" s="1"/>
  <c r="D168" i="58" s="1"/>
  <c r="D8" i="34" s="1"/>
  <c r="D6" i="34" s="1"/>
  <c r="G87" i="58"/>
  <c r="K23" i="58"/>
  <c r="H162" i="58"/>
  <c r="I162" i="58" s="1"/>
  <c r="D177" i="58" s="1"/>
  <c r="M8" i="34" s="1"/>
  <c r="M6" i="34" s="1"/>
  <c r="O29" i="55"/>
  <c r="N29" i="55"/>
  <c r="L29" i="55"/>
  <c r="K29" i="55"/>
  <c r="J29" i="55"/>
  <c r="H29" i="55"/>
  <c r="G29" i="55"/>
  <c r="C29" i="55"/>
  <c r="O28" i="55"/>
  <c r="N28" i="55"/>
  <c r="L28" i="55"/>
  <c r="K28" i="55"/>
  <c r="J28" i="55"/>
  <c r="H28" i="55"/>
  <c r="G28" i="55"/>
  <c r="C28" i="55"/>
  <c r="O27" i="55"/>
  <c r="N27" i="55"/>
  <c r="L27" i="55"/>
  <c r="K27" i="55"/>
  <c r="J27" i="55"/>
  <c r="H27" i="55"/>
  <c r="G27" i="55"/>
  <c r="C27" i="55"/>
  <c r="B27" i="55"/>
  <c r="O26" i="55"/>
  <c r="N26" i="55"/>
  <c r="L26" i="55"/>
  <c r="K26" i="55"/>
  <c r="J26" i="55"/>
  <c r="H26" i="55"/>
  <c r="G26" i="55"/>
  <c r="C26" i="55"/>
  <c r="B26" i="55"/>
  <c r="O25" i="55"/>
  <c r="N25" i="55"/>
  <c r="L25" i="55"/>
  <c r="K25" i="55"/>
  <c r="J25" i="55"/>
  <c r="H25" i="55"/>
  <c r="G25" i="55"/>
  <c r="C25" i="55"/>
  <c r="B25" i="55"/>
  <c r="N24" i="55"/>
  <c r="L24" i="55"/>
  <c r="K24" i="55"/>
  <c r="J24" i="55"/>
  <c r="H24" i="55"/>
  <c r="G24" i="55"/>
  <c r="C24" i="55"/>
  <c r="B24" i="55"/>
  <c r="P23" i="55"/>
  <c r="O23" i="55"/>
  <c r="N23" i="55"/>
  <c r="M23" i="55"/>
  <c r="L23" i="55"/>
  <c r="K23" i="55"/>
  <c r="J23" i="55"/>
  <c r="I23" i="55"/>
  <c r="H23" i="55"/>
  <c r="G23" i="55"/>
  <c r="C23" i="55"/>
  <c r="B23" i="55"/>
  <c r="P22" i="55"/>
  <c r="O22" i="55"/>
  <c r="N22" i="55"/>
  <c r="M22" i="55"/>
  <c r="L22" i="55"/>
  <c r="K22" i="55"/>
  <c r="J22" i="55"/>
  <c r="I22" i="55"/>
  <c r="H22" i="55"/>
  <c r="G22" i="55"/>
  <c r="C22" i="55"/>
  <c r="B22" i="55"/>
  <c r="O21" i="55"/>
  <c r="N21" i="55"/>
  <c r="L21" i="55"/>
  <c r="K21" i="55"/>
  <c r="J21" i="55"/>
  <c r="H21" i="55"/>
  <c r="G21" i="55"/>
  <c r="C21" i="55"/>
  <c r="B21" i="55"/>
  <c r="P13" i="54"/>
  <c r="N13" i="54"/>
  <c r="M13" i="54"/>
  <c r="L13" i="54"/>
  <c r="K13" i="54"/>
  <c r="J13" i="54"/>
  <c r="I13" i="54"/>
  <c r="H13" i="54"/>
  <c r="G13" i="54"/>
  <c r="C13" i="54"/>
  <c r="B13" i="54"/>
  <c r="D27" i="61" l="1"/>
  <c r="D26" i="61"/>
  <c r="D30" i="61"/>
  <c r="D25" i="61"/>
  <c r="D23" i="61"/>
  <c r="D31" i="61"/>
  <c r="D32" i="61"/>
  <c r="D24" i="61"/>
  <c r="D35" i="61"/>
  <c r="D34" i="61"/>
  <c r="D58" i="61"/>
  <c r="D57" i="61"/>
  <c r="D64" i="61"/>
  <c r="D63" i="61"/>
  <c r="D59" i="61"/>
  <c r="D62" i="61"/>
  <c r="D69" i="61"/>
  <c r="D65" i="61"/>
  <c r="D61" i="61"/>
  <c r="D60" i="61"/>
  <c r="D66" i="61"/>
  <c r="D189" i="58"/>
  <c r="H63" i="58"/>
  <c r="H9" i="34" s="1"/>
  <c r="H61" i="58"/>
  <c r="F9" i="34" s="1"/>
  <c r="D193" i="58"/>
  <c r="H65" i="58"/>
  <c r="J9" i="34" s="1"/>
  <c r="D188" i="58"/>
  <c r="D183" i="58"/>
  <c r="H60" i="58"/>
  <c r="E9" i="34" s="1"/>
  <c r="D167" i="58"/>
  <c r="C8" i="34" s="1"/>
  <c r="C6" i="34" s="1"/>
  <c r="H62" i="58"/>
  <c r="G9" i="34" s="1"/>
  <c r="D190" i="58"/>
  <c r="D182" i="58"/>
  <c r="H57" i="58"/>
  <c r="B9" i="34" s="1"/>
  <c r="D187" i="58"/>
  <c r="H59" i="58"/>
  <c r="D9" i="34" s="1"/>
  <c r="D173" i="58"/>
  <c r="I8" i="34" s="1"/>
  <c r="I6" i="34" s="1"/>
  <c r="I125" i="58"/>
  <c r="D176" i="58" s="1"/>
  <c r="L8" i="34" s="1"/>
  <c r="L6" i="34" s="1"/>
  <c r="D174" i="58"/>
  <c r="J8" i="34" s="1"/>
  <c r="J6" i="34" s="1"/>
  <c r="D171" i="58"/>
  <c r="G8" i="34" s="1"/>
  <c r="G6" i="34" s="1"/>
  <c r="D172" i="58"/>
  <c r="H8" i="34" s="1"/>
  <c r="H6" i="34" s="1"/>
  <c r="D169" i="58"/>
  <c r="E8" i="34" s="1"/>
  <c r="E6" i="34" s="1"/>
  <c r="H67" i="58"/>
  <c r="L9" i="34" s="1"/>
  <c r="D191" i="58"/>
  <c r="H66" i="58"/>
  <c r="K9" i="34" s="1"/>
  <c r="D175" i="58"/>
  <c r="K8" i="34" s="1"/>
  <c r="K6" i="34" s="1"/>
  <c r="D186" i="58"/>
  <c r="H64" i="58"/>
  <c r="I9" i="34" s="1"/>
  <c r="D185" i="58"/>
  <c r="H58" i="58"/>
  <c r="C9" i="34" s="1"/>
  <c r="D170" i="58"/>
  <c r="F8" i="34" s="1"/>
  <c r="F6" i="34" s="1"/>
  <c r="D192" i="58"/>
  <c r="D22" i="55"/>
  <c r="C8" i="55" s="1"/>
  <c r="B8" i="55" s="1"/>
  <c r="B10" i="52" s="1"/>
  <c r="F26" i="55"/>
  <c r="F23" i="55"/>
  <c r="L9" i="55" s="1"/>
  <c r="K9" i="55" s="1"/>
  <c r="B6" i="57" s="1"/>
  <c r="F28" i="55"/>
  <c r="F27" i="55"/>
  <c r="D23" i="55"/>
  <c r="C9" i="55" s="1"/>
  <c r="B9" i="55" s="1"/>
  <c r="B6" i="52" s="1"/>
  <c r="F22" i="55"/>
  <c r="I8" i="55" s="1"/>
  <c r="H8" i="55" s="1"/>
  <c r="B10" i="56" s="1"/>
  <c r="F24" i="55"/>
  <c r="F25" i="55"/>
  <c r="F29" i="55"/>
  <c r="F21" i="55"/>
  <c r="I9" i="55"/>
  <c r="H9" i="55" s="1"/>
  <c r="B6" i="56" s="1"/>
  <c r="E23" i="55"/>
  <c r="E22" i="55"/>
  <c r="F13" i="54"/>
  <c r="D13" i="54"/>
  <c r="C7" i="54" s="1"/>
  <c r="B7" i="54" s="1"/>
  <c r="B5" i="52" s="1"/>
  <c r="E13" i="54"/>
  <c r="F7" i="54" l="1"/>
  <c r="E7" i="54" s="1"/>
  <c r="C14" i="51"/>
  <c r="F8" i="55"/>
  <c r="E8" i="55" s="1"/>
  <c r="C16" i="51"/>
  <c r="F9" i="55"/>
  <c r="E9" i="55" s="1"/>
  <c r="C17" i="51"/>
  <c r="L8" i="55"/>
  <c r="K8" i="55" s="1"/>
  <c r="B10" i="57" s="1"/>
  <c r="P24" i="35" l="1"/>
  <c r="B28" i="55" s="1"/>
  <c r="P25" i="35"/>
  <c r="B29" i="55" s="1"/>
  <c r="A5" i="51"/>
  <c r="A6" i="51"/>
  <c r="A7" i="51"/>
  <c r="A8" i="51"/>
  <c r="A9" i="51"/>
  <c r="A10" i="51"/>
  <c r="A11" i="51"/>
  <c r="A12" i="51"/>
  <c r="A13" i="51"/>
  <c r="A4" i="51"/>
  <c r="B6" i="31"/>
  <c r="B8" i="31"/>
  <c r="B9" i="31"/>
  <c r="B11" i="31"/>
  <c r="O16" i="36" l="1"/>
  <c r="O13" i="54" s="1"/>
  <c r="C7" i="36"/>
  <c r="D7" i="36"/>
  <c r="E7" i="36"/>
  <c r="F7" i="36"/>
  <c r="G7" i="36"/>
  <c r="H7" i="36"/>
  <c r="I7" i="36"/>
  <c r="J7" i="36"/>
  <c r="K7" i="36"/>
  <c r="L7" i="36"/>
  <c r="M7" i="36"/>
  <c r="B7" i="36"/>
  <c r="R6" i="36"/>
  <c r="S6" i="36"/>
  <c r="T6" i="36"/>
  <c r="U6" i="36"/>
  <c r="V6" i="36"/>
  <c r="W6" i="36"/>
  <c r="X6" i="36"/>
  <c r="Y6" i="36"/>
  <c r="Z6" i="36"/>
  <c r="AA6" i="36"/>
  <c r="AB6" i="36"/>
  <c r="Q6" i="36"/>
  <c r="G22" i="28"/>
  <c r="H22" i="28"/>
  <c r="J22" i="28"/>
  <c r="I22" i="28"/>
  <c r="L7" i="54" l="1"/>
  <c r="K7" i="54" s="1"/>
  <c r="B5" i="57" s="1"/>
  <c r="I7" i="54"/>
  <c r="H7" i="54" s="1"/>
  <c r="B5" i="56" s="1"/>
  <c r="D22" i="28"/>
  <c r="C7" i="28" s="1"/>
  <c r="O31" i="48"/>
  <c r="AE27" i="50"/>
  <c r="AC27" i="50"/>
  <c r="AB27" i="50"/>
  <c r="AA27" i="50"/>
  <c r="Z27" i="50"/>
  <c r="Y27" i="50"/>
  <c r="X27" i="50"/>
  <c r="W27" i="50"/>
  <c r="V27" i="50"/>
  <c r="Q27" i="50"/>
  <c r="P27" i="50"/>
  <c r="O27" i="50"/>
  <c r="N27" i="50"/>
  <c r="M27" i="50"/>
  <c r="L27" i="50"/>
  <c r="K27" i="50"/>
  <c r="J27" i="50"/>
  <c r="I27" i="50"/>
  <c r="H27" i="50"/>
  <c r="G27" i="50"/>
  <c r="B27" i="50"/>
  <c r="R27" i="50"/>
  <c r="C27" i="50"/>
  <c r="AE27" i="49"/>
  <c r="AC27" i="49"/>
  <c r="AB27" i="49"/>
  <c r="AA27" i="49"/>
  <c r="Z27" i="49"/>
  <c r="Y27" i="49"/>
  <c r="X27" i="49"/>
  <c r="W27" i="49"/>
  <c r="V27" i="49"/>
  <c r="AE22" i="49"/>
  <c r="AD22" i="49"/>
  <c r="AC22" i="49"/>
  <c r="AB22" i="49"/>
  <c r="AA22" i="49"/>
  <c r="Z22" i="49"/>
  <c r="Y22" i="49"/>
  <c r="X22" i="49"/>
  <c r="W22" i="49"/>
  <c r="V22" i="49"/>
  <c r="Q27" i="49"/>
  <c r="Q22" i="49"/>
  <c r="P27" i="49"/>
  <c r="O27" i="49"/>
  <c r="N27" i="49"/>
  <c r="F27" i="49" s="1"/>
  <c r="M27" i="49"/>
  <c r="L27" i="49"/>
  <c r="K27" i="49"/>
  <c r="J27" i="49"/>
  <c r="I27" i="49"/>
  <c r="H27" i="49"/>
  <c r="G27" i="49"/>
  <c r="P24" i="49"/>
  <c r="O24" i="49"/>
  <c r="N24" i="49"/>
  <c r="M24" i="49"/>
  <c r="L24" i="49"/>
  <c r="K24" i="49"/>
  <c r="J24" i="49"/>
  <c r="I24" i="49"/>
  <c r="H24" i="49"/>
  <c r="G24" i="49"/>
  <c r="P23" i="49"/>
  <c r="O23" i="49"/>
  <c r="N23" i="49"/>
  <c r="M23" i="49"/>
  <c r="L23" i="49"/>
  <c r="K23" i="49"/>
  <c r="J23" i="49"/>
  <c r="I23" i="49"/>
  <c r="H23" i="49"/>
  <c r="G23" i="49"/>
  <c r="P22" i="49"/>
  <c r="O22" i="49"/>
  <c r="N22" i="49"/>
  <c r="M22" i="49"/>
  <c r="L22" i="49"/>
  <c r="K22" i="49"/>
  <c r="J22" i="49"/>
  <c r="I22" i="49"/>
  <c r="H22" i="49"/>
  <c r="G22" i="49"/>
  <c r="B27" i="49"/>
  <c r="B24" i="49"/>
  <c r="B23" i="49"/>
  <c r="B22" i="49"/>
  <c r="R27" i="49"/>
  <c r="C27" i="49"/>
  <c r="C24" i="49"/>
  <c r="C23" i="49"/>
  <c r="R22" i="49"/>
  <c r="C22" i="49"/>
  <c r="AC31" i="48"/>
  <c r="AA31" i="48"/>
  <c r="Z31" i="48"/>
  <c r="Y31" i="48"/>
  <c r="S31" i="48" s="1"/>
  <c r="W31" i="48"/>
  <c r="V31" i="48"/>
  <c r="AE29" i="48"/>
  <c r="AC29" i="48"/>
  <c r="AB29" i="48"/>
  <c r="AA29" i="48"/>
  <c r="Z29" i="48"/>
  <c r="Y29" i="48"/>
  <c r="X29" i="48"/>
  <c r="W29" i="48"/>
  <c r="V29" i="48"/>
  <c r="AE28" i="48"/>
  <c r="AC28" i="48"/>
  <c r="AB28" i="48"/>
  <c r="AA28" i="48"/>
  <c r="Z28" i="48"/>
  <c r="Y28" i="48"/>
  <c r="X28" i="48"/>
  <c r="W28" i="48"/>
  <c r="V28" i="48"/>
  <c r="AE27" i="48"/>
  <c r="AC27" i="48"/>
  <c r="AB27" i="48"/>
  <c r="AA27" i="48"/>
  <c r="Z27" i="48"/>
  <c r="Y27" i="48"/>
  <c r="X27" i="48"/>
  <c r="W27" i="48"/>
  <c r="V27" i="48"/>
  <c r="AE22" i="48"/>
  <c r="AD22" i="48"/>
  <c r="AC22" i="48"/>
  <c r="AB22" i="48"/>
  <c r="AA22" i="48"/>
  <c r="Z22" i="48"/>
  <c r="Y22" i="48"/>
  <c r="X22" i="48"/>
  <c r="W22" i="48"/>
  <c r="V22" i="48"/>
  <c r="Q31" i="48"/>
  <c r="Q29" i="48"/>
  <c r="Q28" i="48"/>
  <c r="Q27" i="48"/>
  <c r="Q22" i="48"/>
  <c r="P31" i="48"/>
  <c r="N31" i="48"/>
  <c r="M31" i="48"/>
  <c r="L31" i="48"/>
  <c r="K31" i="48"/>
  <c r="J31" i="48"/>
  <c r="I31" i="48"/>
  <c r="H31" i="48"/>
  <c r="G31" i="48"/>
  <c r="P30" i="48"/>
  <c r="N30" i="48"/>
  <c r="M30" i="48"/>
  <c r="L30" i="48"/>
  <c r="K30" i="48"/>
  <c r="J30" i="48"/>
  <c r="I30" i="48"/>
  <c r="H30" i="48"/>
  <c r="G30" i="48"/>
  <c r="P29" i="48"/>
  <c r="N29" i="48"/>
  <c r="M29" i="48"/>
  <c r="L29" i="48"/>
  <c r="K29" i="48"/>
  <c r="J29" i="48"/>
  <c r="I29" i="48"/>
  <c r="H29" i="48"/>
  <c r="G29" i="48"/>
  <c r="P28" i="48"/>
  <c r="N28" i="48"/>
  <c r="M28" i="48"/>
  <c r="L28" i="48"/>
  <c r="K28" i="48"/>
  <c r="J28" i="48"/>
  <c r="I28" i="48"/>
  <c r="H28" i="48"/>
  <c r="G28" i="48"/>
  <c r="P27" i="48"/>
  <c r="O27" i="48"/>
  <c r="N27" i="48"/>
  <c r="M27" i="48"/>
  <c r="L27" i="48"/>
  <c r="K27" i="48"/>
  <c r="J27" i="48"/>
  <c r="I27" i="48"/>
  <c r="H27" i="48"/>
  <c r="G27" i="48"/>
  <c r="P26" i="48"/>
  <c r="O26" i="48"/>
  <c r="N26" i="48"/>
  <c r="M26" i="48"/>
  <c r="L26" i="48"/>
  <c r="K26" i="48"/>
  <c r="J26" i="48"/>
  <c r="I26" i="48"/>
  <c r="H26" i="48"/>
  <c r="G26" i="48"/>
  <c r="P25" i="48"/>
  <c r="O25" i="48"/>
  <c r="N25" i="48"/>
  <c r="M25" i="48"/>
  <c r="L25" i="48"/>
  <c r="K25" i="48"/>
  <c r="J25" i="48"/>
  <c r="I25" i="48"/>
  <c r="H25" i="48"/>
  <c r="G25" i="48"/>
  <c r="P24" i="48"/>
  <c r="O24" i="48"/>
  <c r="N24" i="48"/>
  <c r="M24" i="48"/>
  <c r="L24" i="48"/>
  <c r="K24" i="48"/>
  <c r="J24" i="48"/>
  <c r="I24" i="48"/>
  <c r="H24" i="48"/>
  <c r="G24" i="48"/>
  <c r="P23" i="48"/>
  <c r="O23" i="48"/>
  <c r="N23" i="48"/>
  <c r="M23" i="48"/>
  <c r="L23" i="48"/>
  <c r="K23" i="48"/>
  <c r="J23" i="48"/>
  <c r="I23" i="48"/>
  <c r="H23" i="48"/>
  <c r="G23" i="48"/>
  <c r="P22" i="48"/>
  <c r="O22" i="48"/>
  <c r="N22" i="48"/>
  <c r="M22" i="48"/>
  <c r="L22" i="48"/>
  <c r="K22" i="48"/>
  <c r="J22" i="48"/>
  <c r="I22" i="48"/>
  <c r="H22" i="48"/>
  <c r="G22" i="48"/>
  <c r="B31" i="48"/>
  <c r="B30" i="48"/>
  <c r="B29" i="48"/>
  <c r="B28" i="48"/>
  <c r="B27" i="48"/>
  <c r="B26" i="48"/>
  <c r="B25" i="48"/>
  <c r="B24" i="48"/>
  <c r="B23" i="48"/>
  <c r="B22" i="48"/>
  <c r="R31" i="48"/>
  <c r="C31" i="48"/>
  <c r="C30" i="48"/>
  <c r="R29" i="48"/>
  <c r="C29" i="48"/>
  <c r="R28" i="48"/>
  <c r="C28" i="48"/>
  <c r="R27" i="48"/>
  <c r="C27" i="48"/>
  <c r="C26" i="48"/>
  <c r="C25" i="48"/>
  <c r="C24" i="48"/>
  <c r="C23" i="48"/>
  <c r="R22" i="48"/>
  <c r="C22" i="48"/>
  <c r="AC31" i="47"/>
  <c r="AA31" i="47"/>
  <c r="Z31" i="47"/>
  <c r="Y31" i="47"/>
  <c r="W31" i="47"/>
  <c r="V31" i="47"/>
  <c r="AE29" i="47"/>
  <c r="AC29" i="47"/>
  <c r="AB29" i="47"/>
  <c r="AA29" i="47"/>
  <c r="Z29" i="47"/>
  <c r="Y29" i="47"/>
  <c r="X29" i="47"/>
  <c r="W29" i="47"/>
  <c r="V29" i="47"/>
  <c r="AE28" i="47"/>
  <c r="AC28" i="47"/>
  <c r="U28" i="47" s="1"/>
  <c r="AB28" i="47"/>
  <c r="AA28" i="47"/>
  <c r="Z28" i="47"/>
  <c r="Y28" i="47"/>
  <c r="X28" i="47"/>
  <c r="W28" i="47"/>
  <c r="V28" i="47"/>
  <c r="AE27" i="47"/>
  <c r="AC27" i="47"/>
  <c r="AB27" i="47"/>
  <c r="AA27" i="47"/>
  <c r="Z27" i="47"/>
  <c r="Y27" i="47"/>
  <c r="X27" i="47"/>
  <c r="W27" i="47"/>
  <c r="V27" i="47"/>
  <c r="AE22" i="47"/>
  <c r="AD22" i="47"/>
  <c r="AC22" i="47"/>
  <c r="AB22" i="47"/>
  <c r="AA22" i="47"/>
  <c r="Z22" i="47"/>
  <c r="Y22" i="47"/>
  <c r="X22" i="47"/>
  <c r="W22" i="47"/>
  <c r="V22" i="47"/>
  <c r="Q31" i="47"/>
  <c r="Q29" i="47"/>
  <c r="Q28" i="47"/>
  <c r="Q27" i="47"/>
  <c r="Q22" i="47"/>
  <c r="P31" i="47"/>
  <c r="O31" i="47"/>
  <c r="N31" i="47"/>
  <c r="M31" i="47"/>
  <c r="L31" i="47"/>
  <c r="K31" i="47"/>
  <c r="J31" i="47"/>
  <c r="I31" i="47"/>
  <c r="H31" i="47"/>
  <c r="G31" i="47"/>
  <c r="P30" i="47"/>
  <c r="N30" i="47"/>
  <c r="M30" i="47"/>
  <c r="L30" i="47"/>
  <c r="K30" i="47"/>
  <c r="J30" i="47"/>
  <c r="I30" i="47"/>
  <c r="H30" i="47"/>
  <c r="G30" i="47"/>
  <c r="P29" i="47"/>
  <c r="N29" i="47"/>
  <c r="M29" i="47"/>
  <c r="L29" i="47"/>
  <c r="K29" i="47"/>
  <c r="J29" i="47"/>
  <c r="I29" i="47"/>
  <c r="H29" i="47"/>
  <c r="G29" i="47"/>
  <c r="P28" i="47"/>
  <c r="N28" i="47"/>
  <c r="M28" i="47"/>
  <c r="L28" i="47"/>
  <c r="K28" i="47"/>
  <c r="J28" i="47"/>
  <c r="I28" i="47"/>
  <c r="H28" i="47"/>
  <c r="G28" i="47"/>
  <c r="P27" i="47"/>
  <c r="O27" i="47"/>
  <c r="N27" i="47"/>
  <c r="M27" i="47"/>
  <c r="L27" i="47"/>
  <c r="K27" i="47"/>
  <c r="J27" i="47"/>
  <c r="I27" i="47"/>
  <c r="H27" i="47"/>
  <c r="G27" i="47"/>
  <c r="P26" i="47"/>
  <c r="O26" i="47"/>
  <c r="N26" i="47"/>
  <c r="M26" i="47"/>
  <c r="L26" i="47"/>
  <c r="K26" i="47"/>
  <c r="J26" i="47"/>
  <c r="I26" i="47"/>
  <c r="H26" i="47"/>
  <c r="G26" i="47"/>
  <c r="P25" i="47"/>
  <c r="O25" i="47"/>
  <c r="N25" i="47"/>
  <c r="M25" i="47"/>
  <c r="L25" i="47"/>
  <c r="K25" i="47"/>
  <c r="J25" i="47"/>
  <c r="I25" i="47"/>
  <c r="H25" i="47"/>
  <c r="G25" i="47"/>
  <c r="P24" i="47"/>
  <c r="O24" i="47"/>
  <c r="N24" i="47"/>
  <c r="M24" i="47"/>
  <c r="L24" i="47"/>
  <c r="K24" i="47"/>
  <c r="J24" i="47"/>
  <c r="I24" i="47"/>
  <c r="H24" i="47"/>
  <c r="G24" i="47"/>
  <c r="P23" i="47"/>
  <c r="O23" i="47"/>
  <c r="N23" i="47"/>
  <c r="M23" i="47"/>
  <c r="L23" i="47"/>
  <c r="K23" i="47"/>
  <c r="J23" i="47"/>
  <c r="I23" i="47"/>
  <c r="H23" i="47"/>
  <c r="G23" i="47"/>
  <c r="P22" i="47"/>
  <c r="O22" i="47"/>
  <c r="N22" i="47"/>
  <c r="M22" i="47"/>
  <c r="L22" i="47"/>
  <c r="K22" i="47"/>
  <c r="J22" i="47"/>
  <c r="I22" i="47"/>
  <c r="H22" i="47"/>
  <c r="G22" i="47"/>
  <c r="B31" i="47"/>
  <c r="B30" i="47"/>
  <c r="B29" i="47"/>
  <c r="B28" i="47"/>
  <c r="B27" i="47"/>
  <c r="B26" i="47"/>
  <c r="B25" i="47"/>
  <c r="B24" i="47"/>
  <c r="B23" i="47"/>
  <c r="B22" i="47"/>
  <c r="R31" i="47"/>
  <c r="C31" i="47"/>
  <c r="C30" i="47"/>
  <c r="U29" i="47"/>
  <c r="R29" i="47"/>
  <c r="C29" i="47"/>
  <c r="R28" i="47"/>
  <c r="C28" i="47"/>
  <c r="R27" i="47"/>
  <c r="C27" i="47"/>
  <c r="C26" i="47"/>
  <c r="C25" i="47"/>
  <c r="C24" i="47"/>
  <c r="C23" i="47"/>
  <c r="R22" i="47"/>
  <c r="C22" i="47"/>
  <c r="AC31" i="46"/>
  <c r="AA31" i="46"/>
  <c r="Z31" i="46"/>
  <c r="Y31" i="46"/>
  <c r="W31" i="46"/>
  <c r="V31" i="46"/>
  <c r="AE29" i="46"/>
  <c r="AC29" i="46"/>
  <c r="AB29" i="46"/>
  <c r="AA29" i="46"/>
  <c r="Z29" i="46"/>
  <c r="Y29" i="46"/>
  <c r="X29" i="46"/>
  <c r="W29" i="46"/>
  <c r="V29" i="46"/>
  <c r="AE28" i="46"/>
  <c r="AC28" i="46"/>
  <c r="AB28" i="46"/>
  <c r="AA28" i="46"/>
  <c r="Z28" i="46"/>
  <c r="Y28" i="46"/>
  <c r="X28" i="46"/>
  <c r="W28" i="46"/>
  <c r="V28" i="46"/>
  <c r="AE27" i="46"/>
  <c r="AC27" i="46"/>
  <c r="AB27" i="46"/>
  <c r="AA27" i="46"/>
  <c r="Z27" i="46"/>
  <c r="Y27" i="46"/>
  <c r="X27" i="46"/>
  <c r="W27" i="46"/>
  <c r="V27" i="46"/>
  <c r="AE22" i="46"/>
  <c r="AD22" i="46"/>
  <c r="AC22" i="46"/>
  <c r="U22" i="46" s="1"/>
  <c r="AB22" i="46"/>
  <c r="AA22" i="46"/>
  <c r="Z22" i="46"/>
  <c r="Y22" i="46"/>
  <c r="X22" i="46"/>
  <c r="W22" i="46"/>
  <c r="V22" i="46"/>
  <c r="Q31" i="46"/>
  <c r="Q29" i="46"/>
  <c r="Q28" i="46"/>
  <c r="Q27" i="46"/>
  <c r="Q22" i="46"/>
  <c r="P31" i="46"/>
  <c r="O31" i="46"/>
  <c r="N31" i="46"/>
  <c r="M31" i="46"/>
  <c r="L31" i="46"/>
  <c r="K31" i="46"/>
  <c r="I31" i="46"/>
  <c r="H31" i="46"/>
  <c r="G31" i="46"/>
  <c r="P30" i="46"/>
  <c r="N30" i="46"/>
  <c r="M30" i="46"/>
  <c r="L30" i="46"/>
  <c r="K30" i="46"/>
  <c r="J30" i="46"/>
  <c r="I30" i="46"/>
  <c r="H30" i="46"/>
  <c r="G30" i="46"/>
  <c r="P29" i="46"/>
  <c r="N29" i="46"/>
  <c r="M29" i="46"/>
  <c r="L29" i="46"/>
  <c r="K29" i="46"/>
  <c r="J29" i="46"/>
  <c r="I29" i="46"/>
  <c r="H29" i="46"/>
  <c r="G29" i="46"/>
  <c r="P28" i="46"/>
  <c r="N28" i="46"/>
  <c r="M28" i="46"/>
  <c r="L28" i="46"/>
  <c r="K28" i="46"/>
  <c r="J28" i="46"/>
  <c r="I28" i="46"/>
  <c r="H28" i="46"/>
  <c r="G28" i="46"/>
  <c r="P27" i="46"/>
  <c r="O27" i="46"/>
  <c r="N27" i="46"/>
  <c r="M27" i="46"/>
  <c r="L27" i="46"/>
  <c r="K27" i="46"/>
  <c r="J27" i="46"/>
  <c r="I27" i="46"/>
  <c r="H27" i="46"/>
  <c r="G27" i="46"/>
  <c r="P26" i="46"/>
  <c r="O26" i="46"/>
  <c r="N26" i="46"/>
  <c r="M26" i="46"/>
  <c r="L26" i="46"/>
  <c r="K26" i="46"/>
  <c r="J26" i="46"/>
  <c r="I26" i="46"/>
  <c r="H26" i="46"/>
  <c r="G26" i="46"/>
  <c r="P25" i="46"/>
  <c r="O25" i="46"/>
  <c r="N25" i="46"/>
  <c r="M25" i="46"/>
  <c r="L25" i="46"/>
  <c r="K25" i="46"/>
  <c r="J25" i="46"/>
  <c r="I25" i="46"/>
  <c r="H25" i="46"/>
  <c r="G25" i="46"/>
  <c r="P24" i="46"/>
  <c r="O24" i="46"/>
  <c r="N24" i="46"/>
  <c r="M24" i="46"/>
  <c r="L24" i="46"/>
  <c r="K24" i="46"/>
  <c r="J24" i="46"/>
  <c r="I24" i="46"/>
  <c r="H24" i="46"/>
  <c r="G24" i="46"/>
  <c r="P23" i="46"/>
  <c r="O23" i="46"/>
  <c r="N23" i="46"/>
  <c r="M23" i="46"/>
  <c r="L23" i="46"/>
  <c r="K23" i="46"/>
  <c r="J23" i="46"/>
  <c r="I23" i="46"/>
  <c r="H23" i="46"/>
  <c r="G23" i="46"/>
  <c r="P22" i="46"/>
  <c r="O22" i="46"/>
  <c r="N22" i="46"/>
  <c r="M22" i="46"/>
  <c r="L22" i="46"/>
  <c r="K22" i="46"/>
  <c r="J22" i="46"/>
  <c r="I22" i="46"/>
  <c r="H22" i="46"/>
  <c r="G22" i="46"/>
  <c r="B31" i="46"/>
  <c r="B30" i="46"/>
  <c r="B29" i="46"/>
  <c r="B28" i="46"/>
  <c r="B27" i="46"/>
  <c r="B26" i="46"/>
  <c r="B25" i="46"/>
  <c r="B24" i="46"/>
  <c r="B23" i="46"/>
  <c r="B22" i="46"/>
  <c r="R31" i="46"/>
  <c r="C31" i="46"/>
  <c r="C30" i="46"/>
  <c r="R29" i="46"/>
  <c r="C29" i="46"/>
  <c r="R28" i="46"/>
  <c r="C28" i="46"/>
  <c r="R27" i="46"/>
  <c r="C27" i="46"/>
  <c r="C26" i="46"/>
  <c r="C25" i="46"/>
  <c r="C24" i="46"/>
  <c r="C23" i="46"/>
  <c r="R22" i="46"/>
  <c r="C22" i="46"/>
  <c r="AC31" i="44"/>
  <c r="AA31" i="44"/>
  <c r="Z31" i="44"/>
  <c r="Y31" i="44"/>
  <c r="W31" i="44"/>
  <c r="V31" i="44"/>
  <c r="AE29" i="44"/>
  <c r="AC29" i="44"/>
  <c r="AB29" i="44"/>
  <c r="AA29" i="44"/>
  <c r="Z29" i="44"/>
  <c r="Y29" i="44"/>
  <c r="X29" i="44"/>
  <c r="W29" i="44"/>
  <c r="V29" i="44"/>
  <c r="AE28" i="44"/>
  <c r="AC28" i="44"/>
  <c r="AB28" i="44"/>
  <c r="AA28" i="44"/>
  <c r="Z28" i="44"/>
  <c r="Y28" i="44"/>
  <c r="X28" i="44"/>
  <c r="W28" i="44"/>
  <c r="V28" i="44"/>
  <c r="AE27" i="44"/>
  <c r="AC27" i="44"/>
  <c r="AB27" i="44"/>
  <c r="AA27" i="44"/>
  <c r="Z27" i="44"/>
  <c r="Y27" i="44"/>
  <c r="X27" i="44"/>
  <c r="W27" i="44"/>
  <c r="V27" i="44"/>
  <c r="AE22" i="44"/>
  <c r="AD22" i="44"/>
  <c r="AC22" i="44"/>
  <c r="AB22" i="44"/>
  <c r="AA22" i="44"/>
  <c r="Z22" i="44"/>
  <c r="Y22" i="44"/>
  <c r="X22" i="44"/>
  <c r="W22" i="44"/>
  <c r="V22" i="44"/>
  <c r="Q31" i="44"/>
  <c r="Q29" i="44"/>
  <c r="Q28" i="44"/>
  <c r="Q27" i="44"/>
  <c r="Q22" i="44"/>
  <c r="P31" i="44"/>
  <c r="O31" i="44"/>
  <c r="N31" i="44"/>
  <c r="M31" i="44"/>
  <c r="L31" i="44"/>
  <c r="K31" i="44"/>
  <c r="J31" i="44"/>
  <c r="I31" i="44"/>
  <c r="H31" i="44"/>
  <c r="G31" i="44"/>
  <c r="P30" i="44"/>
  <c r="N30" i="44"/>
  <c r="M30" i="44"/>
  <c r="L30" i="44"/>
  <c r="K30" i="44"/>
  <c r="J30" i="44"/>
  <c r="I30" i="44"/>
  <c r="H30" i="44"/>
  <c r="G30" i="44"/>
  <c r="P29" i="44"/>
  <c r="N29" i="44"/>
  <c r="M29" i="44"/>
  <c r="L29" i="44"/>
  <c r="K29" i="44"/>
  <c r="J29" i="44"/>
  <c r="I29" i="44"/>
  <c r="H29" i="44"/>
  <c r="G29" i="44"/>
  <c r="P28" i="44"/>
  <c r="N28" i="44"/>
  <c r="M28" i="44"/>
  <c r="L28" i="44"/>
  <c r="K28" i="44"/>
  <c r="F28" i="44" s="1"/>
  <c r="J28" i="44"/>
  <c r="I28" i="44"/>
  <c r="H28" i="44"/>
  <c r="G28" i="44"/>
  <c r="P27" i="44"/>
  <c r="O27" i="44"/>
  <c r="N27" i="44"/>
  <c r="M27" i="44"/>
  <c r="L27" i="44"/>
  <c r="K27" i="44"/>
  <c r="J27" i="44"/>
  <c r="I27" i="44"/>
  <c r="H27" i="44"/>
  <c r="G27" i="44"/>
  <c r="P26" i="44"/>
  <c r="O26" i="44"/>
  <c r="N26" i="44"/>
  <c r="M26" i="44"/>
  <c r="L26" i="44"/>
  <c r="K26" i="44"/>
  <c r="J26" i="44"/>
  <c r="I26" i="44"/>
  <c r="H26" i="44"/>
  <c r="G26" i="44"/>
  <c r="P25" i="44"/>
  <c r="O25" i="44"/>
  <c r="N25" i="44"/>
  <c r="M25" i="44"/>
  <c r="L25" i="44"/>
  <c r="K25" i="44"/>
  <c r="J25" i="44"/>
  <c r="I25" i="44"/>
  <c r="H25" i="44"/>
  <c r="G25" i="44"/>
  <c r="P24" i="44"/>
  <c r="O24" i="44"/>
  <c r="N24" i="44"/>
  <c r="M24" i="44"/>
  <c r="L24" i="44"/>
  <c r="K24" i="44"/>
  <c r="J24" i="44"/>
  <c r="I24" i="44"/>
  <c r="H24" i="44"/>
  <c r="G24" i="44"/>
  <c r="P23" i="44"/>
  <c r="O23" i="44"/>
  <c r="N23" i="44"/>
  <c r="M23" i="44"/>
  <c r="L23" i="44"/>
  <c r="K23" i="44"/>
  <c r="J23" i="44"/>
  <c r="I23" i="44"/>
  <c r="H23" i="44"/>
  <c r="G23" i="44"/>
  <c r="P22" i="44"/>
  <c r="O22" i="44"/>
  <c r="N22" i="44"/>
  <c r="M22" i="44"/>
  <c r="L22" i="44"/>
  <c r="K22" i="44"/>
  <c r="J22" i="44"/>
  <c r="I22" i="44"/>
  <c r="H22" i="44"/>
  <c r="G22" i="44"/>
  <c r="B31" i="44"/>
  <c r="B30" i="44"/>
  <c r="B29" i="44"/>
  <c r="B28" i="44"/>
  <c r="B27" i="44"/>
  <c r="B26" i="44"/>
  <c r="B25" i="44"/>
  <c r="B24" i="44"/>
  <c r="B23" i="44"/>
  <c r="B22" i="44"/>
  <c r="R31" i="44"/>
  <c r="C31" i="44"/>
  <c r="C30" i="44"/>
  <c r="R29" i="44"/>
  <c r="C29" i="44"/>
  <c r="R28" i="44"/>
  <c r="C28" i="44"/>
  <c r="R27" i="44"/>
  <c r="C27" i="44"/>
  <c r="C26" i="44"/>
  <c r="C25" i="44"/>
  <c r="C24" i="44"/>
  <c r="C23" i="44"/>
  <c r="R22" i="44"/>
  <c r="C22" i="44"/>
  <c r="AC31" i="43"/>
  <c r="AA31" i="43"/>
  <c r="Z31" i="43"/>
  <c r="Y31" i="43"/>
  <c r="W31" i="43"/>
  <c r="V31" i="43"/>
  <c r="AE29" i="43"/>
  <c r="AC29" i="43"/>
  <c r="AB29" i="43"/>
  <c r="AA29" i="43"/>
  <c r="Z29" i="43"/>
  <c r="Y29" i="43"/>
  <c r="X29" i="43"/>
  <c r="W29" i="43"/>
  <c r="V29" i="43"/>
  <c r="AE28" i="43"/>
  <c r="AC28" i="43"/>
  <c r="AB28" i="43"/>
  <c r="AA28" i="43"/>
  <c r="Z28" i="43"/>
  <c r="Y28" i="43"/>
  <c r="X28" i="43"/>
  <c r="W28" i="43"/>
  <c r="V28" i="43"/>
  <c r="AE27" i="43"/>
  <c r="AC27" i="43"/>
  <c r="AB27" i="43"/>
  <c r="AA27" i="43"/>
  <c r="Z27" i="43"/>
  <c r="Y27" i="43"/>
  <c r="X27" i="43"/>
  <c r="W27" i="43"/>
  <c r="V27" i="43"/>
  <c r="AE22" i="43"/>
  <c r="AD22" i="43"/>
  <c r="AC22" i="43"/>
  <c r="AB22" i="43"/>
  <c r="AA22" i="43"/>
  <c r="Z22" i="43"/>
  <c r="Y22" i="43"/>
  <c r="X22" i="43"/>
  <c r="W22" i="43"/>
  <c r="V22" i="43"/>
  <c r="Q31" i="43"/>
  <c r="Q29" i="43"/>
  <c r="Q28" i="43"/>
  <c r="Q27" i="43"/>
  <c r="Q22" i="43"/>
  <c r="P31" i="43"/>
  <c r="O31" i="43"/>
  <c r="N31" i="43"/>
  <c r="M31" i="43"/>
  <c r="L31" i="43"/>
  <c r="K31" i="43"/>
  <c r="J31" i="43"/>
  <c r="I31" i="43"/>
  <c r="H31" i="43"/>
  <c r="G31" i="43"/>
  <c r="P30" i="43"/>
  <c r="N30" i="43"/>
  <c r="M30" i="43"/>
  <c r="L30" i="43"/>
  <c r="K30" i="43"/>
  <c r="J30" i="43"/>
  <c r="I30" i="43"/>
  <c r="H30" i="43"/>
  <c r="G30" i="43"/>
  <c r="P29" i="43"/>
  <c r="N29" i="43"/>
  <c r="M29" i="43"/>
  <c r="L29" i="43"/>
  <c r="K29" i="43"/>
  <c r="J29" i="43"/>
  <c r="I29" i="43"/>
  <c r="H29" i="43"/>
  <c r="G29" i="43"/>
  <c r="P28" i="43"/>
  <c r="N28" i="43"/>
  <c r="M28" i="43"/>
  <c r="L28" i="43"/>
  <c r="K28" i="43"/>
  <c r="J28" i="43"/>
  <c r="I28" i="43"/>
  <c r="H28" i="43"/>
  <c r="G28" i="43"/>
  <c r="P27" i="43"/>
  <c r="O27" i="43"/>
  <c r="N27" i="43"/>
  <c r="M27" i="43"/>
  <c r="L27" i="43"/>
  <c r="K27" i="43"/>
  <c r="J27" i="43"/>
  <c r="I27" i="43"/>
  <c r="H27" i="43"/>
  <c r="G27" i="43"/>
  <c r="P26" i="43"/>
  <c r="O26" i="43"/>
  <c r="N26" i="43"/>
  <c r="M26" i="43"/>
  <c r="L26" i="43"/>
  <c r="K26" i="43"/>
  <c r="J26" i="43"/>
  <c r="I26" i="43"/>
  <c r="H26" i="43"/>
  <c r="G26" i="43"/>
  <c r="P25" i="43"/>
  <c r="O25" i="43"/>
  <c r="N25" i="43"/>
  <c r="M25" i="43"/>
  <c r="L25" i="43"/>
  <c r="K25" i="43"/>
  <c r="J25" i="43"/>
  <c r="I25" i="43"/>
  <c r="H25" i="43"/>
  <c r="G25" i="43"/>
  <c r="P24" i="43"/>
  <c r="O24" i="43"/>
  <c r="N24" i="43"/>
  <c r="M24" i="43"/>
  <c r="L24" i="43"/>
  <c r="K24" i="43"/>
  <c r="J24" i="43"/>
  <c r="I24" i="43"/>
  <c r="H24" i="43"/>
  <c r="G24" i="43"/>
  <c r="P23" i="43"/>
  <c r="O23" i="43"/>
  <c r="N23" i="43"/>
  <c r="M23" i="43"/>
  <c r="L23" i="43"/>
  <c r="K23" i="43"/>
  <c r="J23" i="43"/>
  <c r="I23" i="43"/>
  <c r="H23" i="43"/>
  <c r="G23" i="43"/>
  <c r="P22" i="43"/>
  <c r="O22" i="43"/>
  <c r="N22" i="43"/>
  <c r="M22" i="43"/>
  <c r="L22" i="43"/>
  <c r="K22" i="43"/>
  <c r="J22" i="43"/>
  <c r="I22" i="43"/>
  <c r="H22" i="43"/>
  <c r="G22" i="43"/>
  <c r="B31" i="43"/>
  <c r="B30" i="43"/>
  <c r="B29" i="43"/>
  <c r="B28" i="43"/>
  <c r="B27" i="43"/>
  <c r="B26" i="43"/>
  <c r="B25" i="43"/>
  <c r="B24" i="43"/>
  <c r="B23" i="43"/>
  <c r="B22" i="43"/>
  <c r="R31" i="43"/>
  <c r="C31" i="43"/>
  <c r="C30" i="43"/>
  <c r="R29" i="43"/>
  <c r="C29" i="43"/>
  <c r="R28" i="43"/>
  <c r="C28" i="43"/>
  <c r="R27" i="43"/>
  <c r="C27" i="43"/>
  <c r="C26" i="43"/>
  <c r="C25" i="43"/>
  <c r="C24" i="43"/>
  <c r="C23" i="43"/>
  <c r="R22" i="43"/>
  <c r="C22" i="43"/>
  <c r="AC31" i="42"/>
  <c r="AA31" i="42"/>
  <c r="Z31" i="42"/>
  <c r="Y31" i="42"/>
  <c r="W31" i="42"/>
  <c r="V31" i="42"/>
  <c r="AE29" i="42"/>
  <c r="AC29" i="42"/>
  <c r="AB29" i="42"/>
  <c r="AA29" i="42"/>
  <c r="Z29" i="42"/>
  <c r="Y29" i="42"/>
  <c r="X29" i="42"/>
  <c r="W29" i="42"/>
  <c r="V29" i="42"/>
  <c r="AE28" i="42"/>
  <c r="AC28" i="42"/>
  <c r="AB28" i="42"/>
  <c r="AA28" i="42"/>
  <c r="Z28" i="42"/>
  <c r="Y28" i="42"/>
  <c r="X28" i="42"/>
  <c r="W28" i="42"/>
  <c r="V28" i="42"/>
  <c r="AE27" i="42"/>
  <c r="AC27" i="42"/>
  <c r="AB27" i="42"/>
  <c r="AA27" i="42"/>
  <c r="Z27" i="42"/>
  <c r="Y27" i="42"/>
  <c r="X27" i="42"/>
  <c r="W27" i="42"/>
  <c r="V27" i="42"/>
  <c r="AE22" i="42"/>
  <c r="AD22" i="42"/>
  <c r="AC22" i="42"/>
  <c r="AB22" i="42"/>
  <c r="AA22" i="42"/>
  <c r="Z22" i="42"/>
  <c r="Y22" i="42"/>
  <c r="X22" i="42"/>
  <c r="W22" i="42"/>
  <c r="V22" i="42"/>
  <c r="Q31" i="42"/>
  <c r="Q29" i="42"/>
  <c r="Q28" i="42"/>
  <c r="Q27" i="42"/>
  <c r="Q22" i="42"/>
  <c r="P31" i="42"/>
  <c r="O31" i="42"/>
  <c r="N31" i="42"/>
  <c r="M31" i="42"/>
  <c r="L31" i="42"/>
  <c r="K31" i="42"/>
  <c r="J31" i="42"/>
  <c r="I31" i="42"/>
  <c r="H31" i="42"/>
  <c r="G31" i="42"/>
  <c r="P29" i="42"/>
  <c r="N29" i="42"/>
  <c r="F29" i="42" s="1"/>
  <c r="M29" i="42"/>
  <c r="L29" i="42"/>
  <c r="K29" i="42"/>
  <c r="J29" i="42"/>
  <c r="I29" i="42"/>
  <c r="H29" i="42"/>
  <c r="G29" i="42"/>
  <c r="P28" i="42"/>
  <c r="N28" i="42"/>
  <c r="M28" i="42"/>
  <c r="L28" i="42"/>
  <c r="K28" i="42"/>
  <c r="J28" i="42"/>
  <c r="I28" i="42"/>
  <c r="H28" i="42"/>
  <c r="G28" i="42"/>
  <c r="P27" i="42"/>
  <c r="O27" i="42"/>
  <c r="N27" i="42"/>
  <c r="M27" i="42"/>
  <c r="L27" i="42"/>
  <c r="K27" i="42"/>
  <c r="J27" i="42"/>
  <c r="I27" i="42"/>
  <c r="H27" i="42"/>
  <c r="G27" i="42"/>
  <c r="P26" i="42"/>
  <c r="O26" i="42"/>
  <c r="N26" i="42"/>
  <c r="M26" i="42"/>
  <c r="L26" i="42"/>
  <c r="K26" i="42"/>
  <c r="J26" i="42"/>
  <c r="I26" i="42"/>
  <c r="H26" i="42"/>
  <c r="G26" i="42"/>
  <c r="P25" i="42"/>
  <c r="O25" i="42"/>
  <c r="N25" i="42"/>
  <c r="M25" i="42"/>
  <c r="L25" i="42"/>
  <c r="K25" i="42"/>
  <c r="J25" i="42"/>
  <c r="I25" i="42"/>
  <c r="H25" i="42"/>
  <c r="G25" i="42"/>
  <c r="P24" i="42"/>
  <c r="O24" i="42"/>
  <c r="N24" i="42"/>
  <c r="M24" i="42"/>
  <c r="L24" i="42"/>
  <c r="K24" i="42"/>
  <c r="J24" i="42"/>
  <c r="I24" i="42"/>
  <c r="H24" i="42"/>
  <c r="G24" i="42"/>
  <c r="P23" i="42"/>
  <c r="O23" i="42"/>
  <c r="N23" i="42"/>
  <c r="M23" i="42"/>
  <c r="L23" i="42"/>
  <c r="K23" i="42"/>
  <c r="J23" i="42"/>
  <c r="I23" i="42"/>
  <c r="H23" i="42"/>
  <c r="G23" i="42"/>
  <c r="P22" i="42"/>
  <c r="O22" i="42"/>
  <c r="N22" i="42"/>
  <c r="M22" i="42"/>
  <c r="L22" i="42"/>
  <c r="K22" i="42"/>
  <c r="J22" i="42"/>
  <c r="I22" i="42"/>
  <c r="H22" i="42"/>
  <c r="G22" i="42"/>
  <c r="B31" i="42"/>
  <c r="B29" i="42"/>
  <c r="B28" i="42"/>
  <c r="B27" i="42"/>
  <c r="B26" i="42"/>
  <c r="B25" i="42"/>
  <c r="B24" i="42"/>
  <c r="B23" i="42"/>
  <c r="B22" i="42"/>
  <c r="R31" i="42"/>
  <c r="C31" i="42"/>
  <c r="R29" i="42"/>
  <c r="C29" i="42"/>
  <c r="R28" i="42"/>
  <c r="C28" i="42"/>
  <c r="R27" i="42"/>
  <c r="C27" i="42"/>
  <c r="C26" i="42"/>
  <c r="C25" i="42"/>
  <c r="C24" i="42"/>
  <c r="C23" i="42"/>
  <c r="R22" i="42"/>
  <c r="C22" i="42"/>
  <c r="AC31" i="41"/>
  <c r="AA31" i="41"/>
  <c r="Z31" i="41"/>
  <c r="Y31" i="41"/>
  <c r="W31" i="41"/>
  <c r="V31" i="41"/>
  <c r="AE29" i="41"/>
  <c r="AC29" i="41"/>
  <c r="AB29" i="41"/>
  <c r="AA29" i="41"/>
  <c r="Z29" i="41"/>
  <c r="Y29" i="41"/>
  <c r="X29" i="41"/>
  <c r="W29" i="41"/>
  <c r="V29" i="41"/>
  <c r="AE28" i="41"/>
  <c r="AC28" i="41"/>
  <c r="AB28" i="41"/>
  <c r="AA28" i="41"/>
  <c r="Z28" i="41"/>
  <c r="Y28" i="41"/>
  <c r="X28" i="41"/>
  <c r="W28" i="41"/>
  <c r="V28" i="41"/>
  <c r="AE27" i="41"/>
  <c r="AC27" i="41"/>
  <c r="AB27" i="41"/>
  <c r="AA27" i="41"/>
  <c r="Z27" i="41"/>
  <c r="Y27" i="41"/>
  <c r="X27" i="41"/>
  <c r="W27" i="41"/>
  <c r="V27" i="41"/>
  <c r="AE22" i="41"/>
  <c r="AD22" i="41"/>
  <c r="AC22" i="41"/>
  <c r="AB22" i="41"/>
  <c r="AA22" i="41"/>
  <c r="Z22" i="41"/>
  <c r="Y22" i="41"/>
  <c r="X22" i="41"/>
  <c r="W22" i="41"/>
  <c r="V22" i="41"/>
  <c r="Q31" i="41"/>
  <c r="Q29" i="41"/>
  <c r="Q28" i="41"/>
  <c r="Q27" i="41"/>
  <c r="Q22" i="41"/>
  <c r="P31" i="41"/>
  <c r="O31" i="41"/>
  <c r="N31" i="41"/>
  <c r="M31" i="41"/>
  <c r="L31" i="41"/>
  <c r="K31" i="41"/>
  <c r="J31" i="41"/>
  <c r="I31" i="41"/>
  <c r="H31" i="41"/>
  <c r="G31" i="41"/>
  <c r="P30" i="41"/>
  <c r="N30" i="41"/>
  <c r="M30" i="41"/>
  <c r="L30" i="41"/>
  <c r="K30" i="41"/>
  <c r="J30" i="41"/>
  <c r="I30" i="41"/>
  <c r="H30" i="41"/>
  <c r="G30" i="41"/>
  <c r="P29" i="41"/>
  <c r="N29" i="41"/>
  <c r="M29" i="41"/>
  <c r="L29" i="41"/>
  <c r="K29" i="41"/>
  <c r="J29" i="41"/>
  <c r="I29" i="41"/>
  <c r="H29" i="41"/>
  <c r="G29" i="41"/>
  <c r="P28" i="41"/>
  <c r="N28" i="41"/>
  <c r="M28" i="41"/>
  <c r="L28" i="41"/>
  <c r="K28" i="41"/>
  <c r="J28" i="41"/>
  <c r="I28" i="41"/>
  <c r="H28" i="41"/>
  <c r="G28" i="41"/>
  <c r="P27" i="41"/>
  <c r="O27" i="41"/>
  <c r="N27" i="41"/>
  <c r="M27" i="41"/>
  <c r="L27" i="41"/>
  <c r="K27" i="41"/>
  <c r="J27" i="41"/>
  <c r="I27" i="41"/>
  <c r="H27" i="41"/>
  <c r="G27" i="41"/>
  <c r="P26" i="41"/>
  <c r="O26" i="41"/>
  <c r="N26" i="41"/>
  <c r="F26" i="41" s="1"/>
  <c r="M26" i="41"/>
  <c r="L26" i="41"/>
  <c r="K26" i="41"/>
  <c r="J26" i="41"/>
  <c r="I26" i="41"/>
  <c r="H26" i="41"/>
  <c r="G26" i="41"/>
  <c r="P25" i="41"/>
  <c r="O25" i="41"/>
  <c r="N25" i="41"/>
  <c r="M25" i="41"/>
  <c r="L25" i="41"/>
  <c r="K25" i="41"/>
  <c r="J25" i="41"/>
  <c r="I25" i="41"/>
  <c r="H25" i="41"/>
  <c r="G25" i="41"/>
  <c r="P24" i="41"/>
  <c r="O24" i="41"/>
  <c r="N24" i="41"/>
  <c r="M24" i="41"/>
  <c r="L24" i="41"/>
  <c r="K24" i="41"/>
  <c r="J24" i="41"/>
  <c r="I24" i="41"/>
  <c r="H24" i="41"/>
  <c r="G24" i="41"/>
  <c r="P23" i="41"/>
  <c r="O23" i="41"/>
  <c r="N23" i="41"/>
  <c r="M23" i="41"/>
  <c r="L23" i="41"/>
  <c r="K23" i="41"/>
  <c r="J23" i="41"/>
  <c r="I23" i="41"/>
  <c r="H23" i="41"/>
  <c r="G23" i="41"/>
  <c r="P22" i="41"/>
  <c r="O22" i="41"/>
  <c r="N22" i="41"/>
  <c r="M22" i="41"/>
  <c r="L22" i="41"/>
  <c r="K22" i="41"/>
  <c r="J22" i="41"/>
  <c r="I22" i="41"/>
  <c r="H22" i="41"/>
  <c r="G22" i="41"/>
  <c r="B31" i="41"/>
  <c r="B30" i="41"/>
  <c r="B29" i="41"/>
  <c r="B28" i="41"/>
  <c r="B27" i="41"/>
  <c r="B26" i="41"/>
  <c r="B25" i="41"/>
  <c r="B24" i="41"/>
  <c r="B23" i="41"/>
  <c r="B22" i="41"/>
  <c r="R31" i="41"/>
  <c r="C31" i="41"/>
  <c r="C30" i="41"/>
  <c r="R29" i="41"/>
  <c r="C29" i="41"/>
  <c r="R28" i="41"/>
  <c r="C28" i="41"/>
  <c r="R27" i="41"/>
  <c r="C27" i="41"/>
  <c r="C26" i="41"/>
  <c r="C25" i="41"/>
  <c r="C24" i="41"/>
  <c r="C23" i="41"/>
  <c r="R22" i="41"/>
  <c r="C22" i="41"/>
  <c r="AC31" i="40"/>
  <c r="AA31" i="40"/>
  <c r="Z31" i="40"/>
  <c r="Y31" i="40"/>
  <c r="W31" i="40"/>
  <c r="V31" i="40"/>
  <c r="AE29" i="40"/>
  <c r="AC29" i="40"/>
  <c r="AB29" i="40"/>
  <c r="AA29" i="40"/>
  <c r="Z29" i="40"/>
  <c r="Y29" i="40"/>
  <c r="S29" i="40" s="1"/>
  <c r="X29" i="40"/>
  <c r="W29" i="40"/>
  <c r="V29" i="40"/>
  <c r="AE28" i="40"/>
  <c r="AC28" i="40"/>
  <c r="AB28" i="40"/>
  <c r="AA28" i="40"/>
  <c r="Z28" i="40"/>
  <c r="Y28" i="40"/>
  <c r="X28" i="40"/>
  <c r="W28" i="40"/>
  <c r="V28" i="40"/>
  <c r="AE27" i="40"/>
  <c r="AC27" i="40"/>
  <c r="AB27" i="40"/>
  <c r="AA27" i="40"/>
  <c r="Z27" i="40"/>
  <c r="Y27" i="40"/>
  <c r="X27" i="40"/>
  <c r="W27" i="40"/>
  <c r="V27" i="40"/>
  <c r="AE22" i="40"/>
  <c r="AD22" i="40"/>
  <c r="AC22" i="40"/>
  <c r="AB22" i="40"/>
  <c r="AA22" i="40"/>
  <c r="Z22" i="40"/>
  <c r="Y22" i="40"/>
  <c r="X22" i="40"/>
  <c r="W22" i="40"/>
  <c r="V22" i="40"/>
  <c r="Q31" i="40"/>
  <c r="Q29" i="40"/>
  <c r="Q28" i="40"/>
  <c r="Q27" i="40"/>
  <c r="Q22" i="40"/>
  <c r="P31" i="40"/>
  <c r="O31" i="40"/>
  <c r="N31" i="40"/>
  <c r="M31" i="40"/>
  <c r="L31" i="40"/>
  <c r="K31" i="40"/>
  <c r="J31" i="40"/>
  <c r="I31" i="40"/>
  <c r="H31" i="40"/>
  <c r="G31" i="40"/>
  <c r="P30" i="40"/>
  <c r="N30" i="40"/>
  <c r="M30" i="40"/>
  <c r="L30" i="40"/>
  <c r="K30" i="40"/>
  <c r="J30" i="40"/>
  <c r="I30" i="40"/>
  <c r="H30" i="40"/>
  <c r="G30" i="40"/>
  <c r="P29" i="40"/>
  <c r="N29" i="40"/>
  <c r="M29" i="40"/>
  <c r="L29" i="40"/>
  <c r="K29" i="40"/>
  <c r="J29" i="40"/>
  <c r="I29" i="40"/>
  <c r="H29" i="40"/>
  <c r="G29" i="40"/>
  <c r="P28" i="40"/>
  <c r="N28" i="40"/>
  <c r="M28" i="40"/>
  <c r="L28" i="40"/>
  <c r="K28" i="40"/>
  <c r="J28" i="40"/>
  <c r="I28" i="40"/>
  <c r="H28" i="40"/>
  <c r="G28" i="40"/>
  <c r="P27" i="40"/>
  <c r="O27" i="40"/>
  <c r="N27" i="40"/>
  <c r="M27" i="40"/>
  <c r="L27" i="40"/>
  <c r="K27" i="40"/>
  <c r="J27" i="40"/>
  <c r="I27" i="40"/>
  <c r="H27" i="40"/>
  <c r="G27" i="40"/>
  <c r="P26" i="40"/>
  <c r="O26" i="40"/>
  <c r="N26" i="40"/>
  <c r="M26" i="40"/>
  <c r="L26" i="40"/>
  <c r="K26" i="40"/>
  <c r="J26" i="40"/>
  <c r="I26" i="40"/>
  <c r="H26" i="40"/>
  <c r="G26" i="40"/>
  <c r="P25" i="40"/>
  <c r="O25" i="40"/>
  <c r="N25" i="40"/>
  <c r="M25" i="40"/>
  <c r="L25" i="40"/>
  <c r="K25" i="40"/>
  <c r="J25" i="40"/>
  <c r="I25" i="40"/>
  <c r="H25" i="40"/>
  <c r="G25" i="40"/>
  <c r="P24" i="40"/>
  <c r="O24" i="40"/>
  <c r="N24" i="40"/>
  <c r="M24" i="40"/>
  <c r="L24" i="40"/>
  <c r="K24" i="40"/>
  <c r="J24" i="40"/>
  <c r="I24" i="40"/>
  <c r="H24" i="40"/>
  <c r="G24" i="40"/>
  <c r="P23" i="40"/>
  <c r="O23" i="40"/>
  <c r="N23" i="40"/>
  <c r="M23" i="40"/>
  <c r="L23" i="40"/>
  <c r="K23" i="40"/>
  <c r="J23" i="40"/>
  <c r="I23" i="40"/>
  <c r="H23" i="40"/>
  <c r="G23" i="40"/>
  <c r="P22" i="40"/>
  <c r="O22" i="40"/>
  <c r="N22" i="40"/>
  <c r="M22" i="40"/>
  <c r="L22" i="40"/>
  <c r="K22" i="40"/>
  <c r="J22" i="40"/>
  <c r="I22" i="40"/>
  <c r="H22" i="40"/>
  <c r="G22" i="40"/>
  <c r="B31" i="40"/>
  <c r="B30" i="40"/>
  <c r="B29" i="40"/>
  <c r="B28" i="40"/>
  <c r="B27" i="40"/>
  <c r="B26" i="40"/>
  <c r="B25" i="40"/>
  <c r="B24" i="40"/>
  <c r="B23" i="40"/>
  <c r="B22" i="40"/>
  <c r="R31" i="40"/>
  <c r="C31" i="40"/>
  <c r="C30" i="40"/>
  <c r="R29" i="40"/>
  <c r="C29" i="40"/>
  <c r="R28" i="40"/>
  <c r="C28" i="40"/>
  <c r="R27" i="40"/>
  <c r="C27" i="40"/>
  <c r="C26" i="40"/>
  <c r="C25" i="40"/>
  <c r="C24" i="40"/>
  <c r="C23" i="40"/>
  <c r="R22" i="40"/>
  <c r="C22" i="40"/>
  <c r="AE31" i="39"/>
  <c r="AC31" i="39"/>
  <c r="AB31" i="39"/>
  <c r="AA31" i="39"/>
  <c r="Z31" i="39"/>
  <c r="Y31" i="39"/>
  <c r="X31" i="39"/>
  <c r="W31" i="39"/>
  <c r="V31" i="39"/>
  <c r="AE29" i="39"/>
  <c r="AC29" i="39"/>
  <c r="AB29" i="39"/>
  <c r="AA29" i="39"/>
  <c r="Z29" i="39"/>
  <c r="Y29" i="39"/>
  <c r="X29" i="39"/>
  <c r="S29" i="39" s="1"/>
  <c r="W29" i="39"/>
  <c r="V29" i="39"/>
  <c r="AE28" i="39"/>
  <c r="AC28" i="39"/>
  <c r="AB28" i="39"/>
  <c r="AA28" i="39"/>
  <c r="Z28" i="39"/>
  <c r="Y28" i="39"/>
  <c r="X28" i="39"/>
  <c r="W28" i="39"/>
  <c r="V28" i="39"/>
  <c r="AE27" i="39"/>
  <c r="AC27" i="39"/>
  <c r="AB27" i="39"/>
  <c r="AA27" i="39"/>
  <c r="Z27" i="39"/>
  <c r="Y27" i="39"/>
  <c r="X27" i="39"/>
  <c r="W27" i="39"/>
  <c r="V27" i="39"/>
  <c r="AE22" i="39"/>
  <c r="AD22" i="39"/>
  <c r="AC22" i="39"/>
  <c r="U22" i="39" s="1"/>
  <c r="AB22" i="39"/>
  <c r="AA22" i="39"/>
  <c r="Z22" i="39"/>
  <c r="Y22" i="39"/>
  <c r="X22" i="39"/>
  <c r="W22" i="39"/>
  <c r="V22" i="39"/>
  <c r="Q31" i="39"/>
  <c r="Q29" i="39"/>
  <c r="Q28" i="39"/>
  <c r="Q27" i="39"/>
  <c r="Q22" i="39"/>
  <c r="P31" i="39"/>
  <c r="O31" i="39"/>
  <c r="P30" i="39"/>
  <c r="P29" i="39"/>
  <c r="P28" i="39"/>
  <c r="P27" i="39"/>
  <c r="O27" i="39"/>
  <c r="P26" i="39"/>
  <c r="O26" i="39"/>
  <c r="P25" i="39"/>
  <c r="O25" i="39"/>
  <c r="P24" i="39"/>
  <c r="O24" i="39"/>
  <c r="P23" i="39"/>
  <c r="O23" i="39"/>
  <c r="B31" i="39"/>
  <c r="B30" i="39"/>
  <c r="B29" i="39"/>
  <c r="B28" i="39"/>
  <c r="B27" i="39"/>
  <c r="B26" i="39"/>
  <c r="B25" i="39"/>
  <c r="B24" i="39"/>
  <c r="B23" i="39"/>
  <c r="N31" i="39"/>
  <c r="M31" i="39"/>
  <c r="L31" i="39"/>
  <c r="K31" i="39"/>
  <c r="J31" i="39"/>
  <c r="I31" i="39"/>
  <c r="H31" i="39"/>
  <c r="G31" i="39"/>
  <c r="N30" i="39"/>
  <c r="M30" i="39"/>
  <c r="L30" i="39"/>
  <c r="K30" i="39"/>
  <c r="J30" i="39"/>
  <c r="I30" i="39"/>
  <c r="H30" i="39"/>
  <c r="G30" i="39"/>
  <c r="N29" i="39"/>
  <c r="M29" i="39"/>
  <c r="L29" i="39"/>
  <c r="K29" i="39"/>
  <c r="J29" i="39"/>
  <c r="I29" i="39"/>
  <c r="H29" i="39"/>
  <c r="G29" i="39"/>
  <c r="N28" i="39"/>
  <c r="M28" i="39"/>
  <c r="L28" i="39"/>
  <c r="K28" i="39"/>
  <c r="J28" i="39"/>
  <c r="I28" i="39"/>
  <c r="H28" i="39"/>
  <c r="G28" i="39"/>
  <c r="N27" i="39"/>
  <c r="M27" i="39"/>
  <c r="L27" i="39"/>
  <c r="K27" i="39"/>
  <c r="J27" i="39"/>
  <c r="I27" i="39"/>
  <c r="H27" i="39"/>
  <c r="G27" i="39"/>
  <c r="N26" i="39"/>
  <c r="M26" i="39"/>
  <c r="L26" i="39"/>
  <c r="K26" i="39"/>
  <c r="J26" i="39"/>
  <c r="I26" i="39"/>
  <c r="H26" i="39"/>
  <c r="G26" i="39"/>
  <c r="N25" i="39"/>
  <c r="M25" i="39"/>
  <c r="L25" i="39"/>
  <c r="K25" i="39"/>
  <c r="J25" i="39"/>
  <c r="I25" i="39"/>
  <c r="H25" i="39"/>
  <c r="G25" i="39"/>
  <c r="N24" i="39"/>
  <c r="M24" i="39"/>
  <c r="L24" i="39"/>
  <c r="K24" i="39"/>
  <c r="J24" i="39"/>
  <c r="I24" i="39"/>
  <c r="H24" i="39"/>
  <c r="G24" i="39"/>
  <c r="N23" i="39"/>
  <c r="M23" i="39"/>
  <c r="L23" i="39"/>
  <c r="K23" i="39"/>
  <c r="J23" i="39"/>
  <c r="I23" i="39"/>
  <c r="H23" i="39"/>
  <c r="G23" i="39"/>
  <c r="C23" i="39"/>
  <c r="B5" i="51" s="1"/>
  <c r="C24" i="39"/>
  <c r="B6" i="51" s="1"/>
  <c r="C25" i="39"/>
  <c r="B7" i="51" s="1"/>
  <c r="C26" i="39"/>
  <c r="B8" i="51" s="1"/>
  <c r="P22" i="39"/>
  <c r="O22" i="39"/>
  <c r="N22" i="39"/>
  <c r="M22" i="39"/>
  <c r="L22" i="39"/>
  <c r="K22" i="39"/>
  <c r="J22" i="39"/>
  <c r="I22" i="39"/>
  <c r="H22" i="39"/>
  <c r="G22" i="39"/>
  <c r="B22" i="39"/>
  <c r="R31" i="39"/>
  <c r="C31" i="39"/>
  <c r="B13" i="51" s="1"/>
  <c r="C30" i="39"/>
  <c r="B12" i="51" s="1"/>
  <c r="R29" i="39"/>
  <c r="B28" i="51" s="1"/>
  <c r="C29" i="39"/>
  <c r="B11" i="51" s="1"/>
  <c r="R28" i="39"/>
  <c r="B27" i="51" s="1"/>
  <c r="C28" i="39"/>
  <c r="B10" i="51" s="1"/>
  <c r="R27" i="39"/>
  <c r="B26" i="51" s="1"/>
  <c r="C27" i="39"/>
  <c r="B9" i="51" s="1"/>
  <c r="R22" i="39"/>
  <c r="B25" i="51" s="1"/>
  <c r="C22" i="39"/>
  <c r="B4" i="51" s="1"/>
  <c r="AE31" i="38"/>
  <c r="AC31" i="38"/>
  <c r="AB31" i="38"/>
  <c r="AA31" i="38"/>
  <c r="Z31" i="38"/>
  <c r="Y31" i="38"/>
  <c r="X31" i="38"/>
  <c r="W31" i="38"/>
  <c r="V31" i="38"/>
  <c r="AE29" i="38"/>
  <c r="AC29" i="38"/>
  <c r="AB29" i="38"/>
  <c r="AA29" i="38"/>
  <c r="Z29" i="38"/>
  <c r="Y29" i="38"/>
  <c r="X29" i="38"/>
  <c r="W29" i="38"/>
  <c r="V29" i="38"/>
  <c r="AE28" i="38"/>
  <c r="AD28" i="38"/>
  <c r="AC28" i="38"/>
  <c r="AB28" i="38"/>
  <c r="AA28" i="38"/>
  <c r="Z28" i="38"/>
  <c r="Y28" i="38"/>
  <c r="X28" i="38"/>
  <c r="W28" i="38"/>
  <c r="V28" i="38"/>
  <c r="AE27" i="38"/>
  <c r="AC27" i="38"/>
  <c r="AB27" i="38"/>
  <c r="AA27" i="38"/>
  <c r="Z27" i="38"/>
  <c r="Y27" i="38"/>
  <c r="X27" i="38"/>
  <c r="W27" i="38"/>
  <c r="V27" i="38"/>
  <c r="R31" i="38"/>
  <c r="Q31" i="38"/>
  <c r="R29" i="38"/>
  <c r="Q29" i="38"/>
  <c r="R28" i="38"/>
  <c r="Q28" i="38"/>
  <c r="R27" i="38"/>
  <c r="Q27" i="38"/>
  <c r="B23" i="38"/>
  <c r="C23" i="38"/>
  <c r="G23" i="38"/>
  <c r="H23" i="38"/>
  <c r="I23" i="38"/>
  <c r="J23" i="38"/>
  <c r="K23" i="38"/>
  <c r="L23" i="38"/>
  <c r="M23" i="38"/>
  <c r="N23" i="38"/>
  <c r="O23" i="38"/>
  <c r="P23" i="38"/>
  <c r="B24" i="38"/>
  <c r="C24" i="38"/>
  <c r="G24" i="38"/>
  <c r="H24" i="38"/>
  <c r="I24" i="38"/>
  <c r="J24" i="38"/>
  <c r="K24" i="38"/>
  <c r="L24" i="38"/>
  <c r="M24" i="38"/>
  <c r="N24" i="38"/>
  <c r="O24" i="38"/>
  <c r="P24" i="38"/>
  <c r="B25" i="38"/>
  <c r="C25" i="38"/>
  <c r="G25" i="38"/>
  <c r="H25" i="38"/>
  <c r="I25" i="38"/>
  <c r="J25" i="38"/>
  <c r="K25" i="38"/>
  <c r="L25" i="38"/>
  <c r="M25" i="38"/>
  <c r="N25" i="38"/>
  <c r="O25" i="38"/>
  <c r="P25" i="38"/>
  <c r="B26" i="38"/>
  <c r="C26" i="38"/>
  <c r="G26" i="38"/>
  <c r="H26" i="38"/>
  <c r="I26" i="38"/>
  <c r="J26" i="38"/>
  <c r="K26" i="38"/>
  <c r="L26" i="38"/>
  <c r="M26" i="38"/>
  <c r="N26" i="38"/>
  <c r="O26" i="38"/>
  <c r="P26" i="38"/>
  <c r="B27" i="38"/>
  <c r="C27" i="38"/>
  <c r="G27" i="38"/>
  <c r="H27" i="38"/>
  <c r="I27" i="38"/>
  <c r="J27" i="38"/>
  <c r="K27" i="38"/>
  <c r="L27" i="38"/>
  <c r="M27" i="38"/>
  <c r="N27" i="38"/>
  <c r="O27" i="38"/>
  <c r="P27" i="38"/>
  <c r="B28" i="38"/>
  <c r="C28" i="38"/>
  <c r="G28" i="38"/>
  <c r="H28" i="38"/>
  <c r="I28" i="38"/>
  <c r="J28" i="38"/>
  <c r="K28" i="38"/>
  <c r="L28" i="38"/>
  <c r="M28" i="38"/>
  <c r="N28" i="38"/>
  <c r="P28" i="38"/>
  <c r="B29" i="38"/>
  <c r="C29" i="38"/>
  <c r="G29" i="38"/>
  <c r="H29" i="38"/>
  <c r="I29" i="38"/>
  <c r="J29" i="38"/>
  <c r="K29" i="38"/>
  <c r="L29" i="38"/>
  <c r="M29" i="38"/>
  <c r="N29" i="38"/>
  <c r="P29" i="38"/>
  <c r="B30" i="38"/>
  <c r="C30" i="38"/>
  <c r="G30" i="38"/>
  <c r="H30" i="38"/>
  <c r="I30" i="38"/>
  <c r="J30" i="38"/>
  <c r="K30" i="38"/>
  <c r="L30" i="38"/>
  <c r="M30" i="38"/>
  <c r="N30" i="38"/>
  <c r="P30" i="38"/>
  <c r="B31" i="38"/>
  <c r="C31" i="38"/>
  <c r="G31" i="38"/>
  <c r="H31" i="38"/>
  <c r="I31" i="38"/>
  <c r="J31" i="38"/>
  <c r="K31" i="38"/>
  <c r="L31" i="38"/>
  <c r="M31" i="38"/>
  <c r="N31" i="38"/>
  <c r="O31" i="38"/>
  <c r="P31" i="38"/>
  <c r="AE27" i="28"/>
  <c r="AE28" i="28"/>
  <c r="AE29" i="28"/>
  <c r="AE22" i="28"/>
  <c r="AE22" i="38"/>
  <c r="AD22" i="38"/>
  <c r="AC22" i="38"/>
  <c r="AB22" i="38"/>
  <c r="AA22" i="38"/>
  <c r="Z22" i="38"/>
  <c r="Y22" i="38"/>
  <c r="X22" i="38"/>
  <c r="W22" i="38"/>
  <c r="V22" i="38"/>
  <c r="Q22" i="38"/>
  <c r="P22" i="38"/>
  <c r="O22" i="38"/>
  <c r="N22" i="38"/>
  <c r="M22" i="38"/>
  <c r="L22" i="38"/>
  <c r="K22" i="38"/>
  <c r="J22" i="38"/>
  <c r="I22" i="38"/>
  <c r="H22" i="38"/>
  <c r="G22" i="38"/>
  <c r="B22" i="38"/>
  <c r="R22" i="38"/>
  <c r="C22" i="38"/>
  <c r="Y31" i="28"/>
  <c r="W31" i="28"/>
  <c r="V31" i="28"/>
  <c r="Y29" i="28"/>
  <c r="X29" i="28"/>
  <c r="W29" i="28"/>
  <c r="V29" i="28"/>
  <c r="Y28" i="28"/>
  <c r="X28" i="28"/>
  <c r="W28" i="28"/>
  <c r="V28" i="28"/>
  <c r="Y27" i="28"/>
  <c r="X27" i="28"/>
  <c r="W27" i="28"/>
  <c r="V27" i="28"/>
  <c r="Y22" i="28"/>
  <c r="X22" i="28"/>
  <c r="W22" i="28"/>
  <c r="V22" i="28"/>
  <c r="AD31" i="28"/>
  <c r="AD22" i="28"/>
  <c r="O23" i="28"/>
  <c r="O24" i="28"/>
  <c r="O25" i="28"/>
  <c r="O26" i="28"/>
  <c r="O27" i="28"/>
  <c r="O31" i="28"/>
  <c r="O22" i="28"/>
  <c r="R13" i="36"/>
  <c r="AD29" i="38" s="1"/>
  <c r="S13" i="36"/>
  <c r="AD29" i="39" s="1"/>
  <c r="T13" i="36"/>
  <c r="AD29" i="40" s="1"/>
  <c r="U13" i="36"/>
  <c r="AD29" i="41" s="1"/>
  <c r="V13" i="36"/>
  <c r="AD29" i="42" s="1"/>
  <c r="W13" i="36"/>
  <c r="AD29" i="43" s="1"/>
  <c r="X13" i="36"/>
  <c r="AD29" i="44" s="1"/>
  <c r="Y13" i="36"/>
  <c r="AD29" i="46" s="1"/>
  <c r="Z13" i="36"/>
  <c r="AD29" i="47" s="1"/>
  <c r="AA13" i="36"/>
  <c r="AD29" i="48" s="1"/>
  <c r="Q13" i="36"/>
  <c r="AD29" i="28" s="1"/>
  <c r="R15" i="36"/>
  <c r="AD31" i="38" s="1"/>
  <c r="S15" i="36"/>
  <c r="AD31" i="39" s="1"/>
  <c r="T15" i="36"/>
  <c r="AD31" i="40" s="1"/>
  <c r="U15" i="36"/>
  <c r="AD31" i="41" s="1"/>
  <c r="V15" i="36"/>
  <c r="AD31" i="42" s="1"/>
  <c r="W15" i="36"/>
  <c r="AD31" i="43" s="1"/>
  <c r="X15" i="36"/>
  <c r="AD31" i="44" s="1"/>
  <c r="Y15" i="36"/>
  <c r="AD31" i="46" s="1"/>
  <c r="Z15" i="36"/>
  <c r="AD31" i="47" s="1"/>
  <c r="AA15" i="36"/>
  <c r="AD31" i="48" s="1"/>
  <c r="Q15" i="36"/>
  <c r="AA12" i="36"/>
  <c r="AD28" i="48" s="1"/>
  <c r="Z12" i="36"/>
  <c r="AD28" i="47" s="1"/>
  <c r="Y12" i="36"/>
  <c r="AD28" i="46" s="1"/>
  <c r="X12" i="36"/>
  <c r="AD28" i="44" s="1"/>
  <c r="W12" i="36"/>
  <c r="AD28" i="43" s="1"/>
  <c r="V12" i="36"/>
  <c r="AD28" i="42" s="1"/>
  <c r="U12" i="36"/>
  <c r="AD28" i="41" s="1"/>
  <c r="T12" i="36"/>
  <c r="AD28" i="40" s="1"/>
  <c r="S12" i="36"/>
  <c r="AD28" i="39" s="1"/>
  <c r="R12" i="36"/>
  <c r="Q12" i="36"/>
  <c r="AD28" i="28" s="1"/>
  <c r="AC11" i="36"/>
  <c r="AD27" i="50" s="1"/>
  <c r="R11" i="36"/>
  <c r="AD27" i="38" s="1"/>
  <c r="S11" i="36"/>
  <c r="AD27" i="39" s="1"/>
  <c r="T11" i="36"/>
  <c r="AD27" i="40" s="1"/>
  <c r="U11" i="36"/>
  <c r="AD27" i="41" s="1"/>
  <c r="V11" i="36"/>
  <c r="AD27" i="42" s="1"/>
  <c r="W11" i="36"/>
  <c r="AD27" i="43" s="1"/>
  <c r="X11" i="36"/>
  <c r="AD27" i="44" s="1"/>
  <c r="Y11" i="36"/>
  <c r="AD27" i="46" s="1"/>
  <c r="Z11" i="36"/>
  <c r="AD27" i="47" s="1"/>
  <c r="AA11" i="36"/>
  <c r="AD27" i="48" s="1"/>
  <c r="AB11" i="36"/>
  <c r="AD27" i="49" s="1"/>
  <c r="Q11" i="36"/>
  <c r="AD27" i="28" s="1"/>
  <c r="U31" i="48" l="1"/>
  <c r="T31" i="48"/>
  <c r="F25" i="43"/>
  <c r="E26" i="43"/>
  <c r="S28" i="46"/>
  <c r="D13" i="46" s="1"/>
  <c r="D22" i="39"/>
  <c r="C7" i="39" s="1"/>
  <c r="F24" i="43"/>
  <c r="L9" i="43" s="1"/>
  <c r="K9" i="43" s="1"/>
  <c r="D25" i="45" s="1"/>
  <c r="D25" i="47"/>
  <c r="C10" i="47" s="1"/>
  <c r="B10" i="47" s="1"/>
  <c r="E14" i="45" s="1"/>
  <c r="E30" i="40"/>
  <c r="F15" i="40" s="1"/>
  <c r="E15" i="40" s="1"/>
  <c r="T27" i="40"/>
  <c r="G12" i="40" s="1"/>
  <c r="D14" i="40"/>
  <c r="D26" i="48"/>
  <c r="C11" i="48" s="1"/>
  <c r="B11" i="48" s="1"/>
  <c r="F15" i="45" s="1"/>
  <c r="U28" i="48"/>
  <c r="D31" i="48"/>
  <c r="F25" i="47"/>
  <c r="I10" i="47" s="1"/>
  <c r="H10" i="47" s="1"/>
  <c r="F29" i="47"/>
  <c r="D26" i="47"/>
  <c r="F26" i="46"/>
  <c r="D23" i="46"/>
  <c r="C8" i="46" s="1"/>
  <c r="B8" i="46" s="1"/>
  <c r="C13" i="45" s="1"/>
  <c r="D27" i="46"/>
  <c r="C12" i="46" s="1"/>
  <c r="S29" i="44"/>
  <c r="D14" i="44" s="1"/>
  <c r="U28" i="44"/>
  <c r="J13" i="44" s="1"/>
  <c r="E25" i="44"/>
  <c r="F10" i="44" s="1"/>
  <c r="E10" i="44" s="1"/>
  <c r="D28" i="44"/>
  <c r="D31" i="43"/>
  <c r="C16" i="43" s="1"/>
  <c r="D27" i="43"/>
  <c r="C12" i="43" s="1"/>
  <c r="T29" i="43"/>
  <c r="D31" i="41"/>
  <c r="E31" i="40"/>
  <c r="D23" i="43"/>
  <c r="C8" i="43" s="1"/>
  <c r="B8" i="43" s="1"/>
  <c r="C11" i="45" s="1"/>
  <c r="D24" i="46"/>
  <c r="E24" i="41"/>
  <c r="F9" i="41" s="1"/>
  <c r="E9" i="41" s="1"/>
  <c r="S28" i="48"/>
  <c r="U31" i="40"/>
  <c r="F31" i="44"/>
  <c r="L16" i="44" s="1"/>
  <c r="F25" i="48"/>
  <c r="L10" i="48" s="1"/>
  <c r="K10" i="48" s="1"/>
  <c r="E29" i="45" s="1"/>
  <c r="D28" i="43"/>
  <c r="C13" i="43" s="1"/>
  <c r="F22" i="41"/>
  <c r="I7" i="41" s="1"/>
  <c r="T27" i="41"/>
  <c r="G12" i="41" s="1"/>
  <c r="F22" i="43"/>
  <c r="I7" i="43" s="1"/>
  <c r="F26" i="43"/>
  <c r="I11" i="43" s="1"/>
  <c r="H11" i="43" s="1"/>
  <c r="T22" i="43"/>
  <c r="G7" i="43" s="1"/>
  <c r="S29" i="43"/>
  <c r="D14" i="43" s="1"/>
  <c r="F30" i="48"/>
  <c r="U27" i="43"/>
  <c r="J12" i="43" s="1"/>
  <c r="F23" i="41"/>
  <c r="I8" i="41" s="1"/>
  <c r="H8" i="41" s="1"/>
  <c r="S22" i="43"/>
  <c r="D7" i="43" s="1"/>
  <c r="U27" i="44"/>
  <c r="J12" i="44" s="1"/>
  <c r="F22" i="48"/>
  <c r="I7" i="48" s="1"/>
  <c r="U28" i="46"/>
  <c r="S29" i="47"/>
  <c r="D14" i="47" s="1"/>
  <c r="D23" i="41"/>
  <c r="E27" i="49"/>
  <c r="F12" i="49" s="1"/>
  <c r="D27" i="41"/>
  <c r="S29" i="38"/>
  <c r="D14" i="38" s="1"/>
  <c r="E22" i="41"/>
  <c r="F7" i="41" s="1"/>
  <c r="D24" i="48"/>
  <c r="C9" i="48" s="1"/>
  <c r="B9" i="48" s="1"/>
  <c r="D15" i="45" s="1"/>
  <c r="D28" i="48"/>
  <c r="D22" i="49"/>
  <c r="C7" i="49" s="1"/>
  <c r="D29" i="42"/>
  <c r="C14" i="42" s="1"/>
  <c r="S22" i="49"/>
  <c r="D7" i="49" s="1"/>
  <c r="F29" i="41"/>
  <c r="D26" i="42"/>
  <c r="C11" i="42" s="1"/>
  <c r="B11" i="42" s="1"/>
  <c r="S27" i="28"/>
  <c r="D29" i="46"/>
  <c r="C14" i="46" s="1"/>
  <c r="D30" i="38"/>
  <c r="C15" i="38" s="1"/>
  <c r="B15" i="38" s="1"/>
  <c r="J6" i="45" s="1"/>
  <c r="U29" i="41"/>
  <c r="J14" i="41" s="1"/>
  <c r="U28" i="43"/>
  <c r="M13" i="43" s="1"/>
  <c r="S27" i="47"/>
  <c r="T31" i="39"/>
  <c r="E29" i="48"/>
  <c r="F14" i="48" s="1"/>
  <c r="F23" i="44"/>
  <c r="I8" i="44" s="1"/>
  <c r="H8" i="44" s="1"/>
  <c r="F27" i="44"/>
  <c r="I12" i="44" s="1"/>
  <c r="D29" i="44"/>
  <c r="F23" i="42"/>
  <c r="I8" i="42" s="1"/>
  <c r="H8" i="42" s="1"/>
  <c r="D25" i="42"/>
  <c r="C10" i="42" s="1"/>
  <c r="B10" i="42" s="1"/>
  <c r="F27" i="42"/>
  <c r="I12" i="42" s="1"/>
  <c r="F25" i="46"/>
  <c r="I10" i="46" s="1"/>
  <c r="H10" i="46" s="1"/>
  <c r="S31" i="38"/>
  <c r="D16" i="38" s="1"/>
  <c r="D22" i="44"/>
  <c r="C7" i="44" s="1"/>
  <c r="S29" i="48"/>
  <c r="E25" i="39"/>
  <c r="C7" i="51" s="1"/>
  <c r="S29" i="41"/>
  <c r="D14" i="41" s="1"/>
  <c r="S27" i="42"/>
  <c r="D12" i="42" s="1"/>
  <c r="D22" i="47"/>
  <c r="C7" i="47" s="1"/>
  <c r="E22" i="48"/>
  <c r="F7" i="48" s="1"/>
  <c r="E26" i="48"/>
  <c r="F11" i="48" s="1"/>
  <c r="E11" i="48" s="1"/>
  <c r="F24" i="49"/>
  <c r="I9" i="49" s="1"/>
  <c r="H9" i="49" s="1"/>
  <c r="U27" i="49"/>
  <c r="J12" i="49" s="1"/>
  <c r="E28" i="38"/>
  <c r="F13" i="38" s="1"/>
  <c r="E24" i="38"/>
  <c r="F9" i="38" s="1"/>
  <c r="E9" i="38" s="1"/>
  <c r="S28" i="43"/>
  <c r="D30" i="44"/>
  <c r="C15" i="44" s="1"/>
  <c r="B15" i="44" s="1"/>
  <c r="J12" i="45" s="1"/>
  <c r="D23" i="47"/>
  <c r="C8" i="47" s="1"/>
  <c r="B8" i="47" s="1"/>
  <c r="C14" i="45" s="1"/>
  <c r="E25" i="47"/>
  <c r="F10" i="47" s="1"/>
  <c r="E10" i="47" s="1"/>
  <c r="U22" i="40"/>
  <c r="M7" i="40" s="1"/>
  <c r="D24" i="43"/>
  <c r="C9" i="43" s="1"/>
  <c r="D25" i="43"/>
  <c r="C10" i="43" s="1"/>
  <c r="B10" i="43" s="1"/>
  <c r="E11" i="45" s="1"/>
  <c r="E27" i="43"/>
  <c r="F12" i="43" s="1"/>
  <c r="E26" i="46"/>
  <c r="D30" i="47"/>
  <c r="C15" i="47" s="1"/>
  <c r="B15" i="47" s="1"/>
  <c r="J14" i="45" s="1"/>
  <c r="T27" i="48"/>
  <c r="G12" i="48" s="1"/>
  <c r="U29" i="42"/>
  <c r="T27" i="46"/>
  <c r="G12" i="46" s="1"/>
  <c r="D31" i="38"/>
  <c r="C16" i="38" s="1"/>
  <c r="S27" i="38"/>
  <c r="D12" i="38" s="1"/>
  <c r="E25" i="41"/>
  <c r="F10" i="41" s="1"/>
  <c r="E10" i="41" s="1"/>
  <c r="S29" i="46"/>
  <c r="D14" i="46" s="1"/>
  <c r="D27" i="47"/>
  <c r="C12" i="47" s="1"/>
  <c r="E23" i="48"/>
  <c r="F8" i="48" s="1"/>
  <c r="E8" i="48" s="1"/>
  <c r="T27" i="50"/>
  <c r="G12" i="50" s="1"/>
  <c r="U27" i="40"/>
  <c r="M12" i="40" s="1"/>
  <c r="F31" i="40"/>
  <c r="L16" i="40" s="1"/>
  <c r="D22" i="43"/>
  <c r="C7" i="43" s="1"/>
  <c r="D26" i="43"/>
  <c r="C11" i="43" s="1"/>
  <c r="B11" i="43" s="1"/>
  <c r="F11" i="45" s="1"/>
  <c r="D23" i="49"/>
  <c r="E26" i="39"/>
  <c r="C8" i="51" s="1"/>
  <c r="E27" i="39"/>
  <c r="C9" i="51" s="1"/>
  <c r="E28" i="39"/>
  <c r="C10" i="51" s="1"/>
  <c r="F29" i="39"/>
  <c r="U27" i="39"/>
  <c r="J12" i="39" s="1"/>
  <c r="S31" i="39"/>
  <c r="D16" i="39" s="1"/>
  <c r="D24" i="41"/>
  <c r="E26" i="41"/>
  <c r="F11" i="41" s="1"/>
  <c r="E11" i="41" s="1"/>
  <c r="D29" i="41"/>
  <c r="C14" i="41" s="1"/>
  <c r="U22" i="44"/>
  <c r="J7" i="44" s="1"/>
  <c r="S28" i="44"/>
  <c r="D13" i="44" s="1"/>
  <c r="D23" i="48"/>
  <c r="C8" i="48" s="1"/>
  <c r="B8" i="48" s="1"/>
  <c r="C15" i="45" s="1"/>
  <c r="D27" i="48"/>
  <c r="C12" i="48" s="1"/>
  <c r="T27" i="38"/>
  <c r="G12" i="38" s="1"/>
  <c r="T27" i="43"/>
  <c r="G12" i="43" s="1"/>
  <c r="E23" i="47"/>
  <c r="F8" i="47" s="1"/>
  <c r="E8" i="47" s="1"/>
  <c r="F27" i="47"/>
  <c r="L12" i="47" s="1"/>
  <c r="U31" i="47"/>
  <c r="F27" i="50"/>
  <c r="L12" i="50" s="1"/>
  <c r="F25" i="42"/>
  <c r="L10" i="42" s="1"/>
  <c r="K10" i="42" s="1"/>
  <c r="E24" i="45" s="1"/>
  <c r="E31" i="42"/>
  <c r="F16" i="42" s="1"/>
  <c r="U27" i="42"/>
  <c r="J12" i="42" s="1"/>
  <c r="E25" i="43"/>
  <c r="F10" i="43" s="1"/>
  <c r="E10" i="43" s="1"/>
  <c r="F30" i="43"/>
  <c r="E23" i="46"/>
  <c r="F8" i="46" s="1"/>
  <c r="E8" i="46" s="1"/>
  <c r="D29" i="38"/>
  <c r="C14" i="38" s="1"/>
  <c r="U29" i="43"/>
  <c r="M14" i="43" s="1"/>
  <c r="D22" i="46"/>
  <c r="C7" i="46" s="1"/>
  <c r="F24" i="46"/>
  <c r="I9" i="46" s="1"/>
  <c r="H9" i="46" s="1"/>
  <c r="D26" i="46"/>
  <c r="C11" i="46" s="1"/>
  <c r="B11" i="46" s="1"/>
  <c r="F13" i="45" s="1"/>
  <c r="F28" i="46"/>
  <c r="F24" i="47"/>
  <c r="I9" i="47" s="1"/>
  <c r="H9" i="47" s="1"/>
  <c r="F28" i="47"/>
  <c r="D31" i="47"/>
  <c r="C16" i="47" s="1"/>
  <c r="E23" i="43"/>
  <c r="F8" i="43" s="1"/>
  <c r="E8" i="43" s="1"/>
  <c r="D30" i="43"/>
  <c r="C15" i="43" s="1"/>
  <c r="B15" i="43" s="1"/>
  <c r="J11" i="45" s="1"/>
  <c r="F28" i="43"/>
  <c r="U22" i="43"/>
  <c r="M7" i="43" s="1"/>
  <c r="F26" i="48"/>
  <c r="I11" i="48" s="1"/>
  <c r="H11" i="48" s="1"/>
  <c r="T22" i="39"/>
  <c r="C25" i="51" s="1"/>
  <c r="S27" i="43"/>
  <c r="U31" i="43"/>
  <c r="T27" i="47"/>
  <c r="G12" i="47" s="1"/>
  <c r="S22" i="44"/>
  <c r="D7" i="44" s="1"/>
  <c r="S27" i="44"/>
  <c r="D12" i="44" s="1"/>
  <c r="U31" i="44"/>
  <c r="D28" i="41"/>
  <c r="C13" i="41" s="1"/>
  <c r="U28" i="41"/>
  <c r="M13" i="41" s="1"/>
  <c r="D22" i="42"/>
  <c r="C7" i="42" s="1"/>
  <c r="S22" i="46"/>
  <c r="D7" i="46" s="1"/>
  <c r="F24" i="44"/>
  <c r="I9" i="44" s="1"/>
  <c r="H9" i="44" s="1"/>
  <c r="D26" i="44"/>
  <c r="C11" i="44" s="1"/>
  <c r="B11" i="44" s="1"/>
  <c r="F12" i="45" s="1"/>
  <c r="D29" i="47"/>
  <c r="E31" i="38"/>
  <c r="F16" i="38" s="1"/>
  <c r="S27" i="40"/>
  <c r="D12" i="40" s="1"/>
  <c r="D25" i="41"/>
  <c r="C10" i="41" s="1"/>
  <c r="B10" i="41" s="1"/>
  <c r="E9" i="45" s="1"/>
  <c r="F27" i="41"/>
  <c r="I12" i="41" s="1"/>
  <c r="D30" i="41"/>
  <c r="C15" i="41" s="1"/>
  <c r="B15" i="41" s="1"/>
  <c r="J9" i="45" s="1"/>
  <c r="S27" i="41"/>
  <c r="D12" i="41" s="1"/>
  <c r="U22" i="48"/>
  <c r="J7" i="48" s="1"/>
  <c r="D27" i="44"/>
  <c r="C12" i="44" s="1"/>
  <c r="D31" i="46"/>
  <c r="C16" i="46" s="1"/>
  <c r="S28" i="41"/>
  <c r="D13" i="41" s="1"/>
  <c r="U22" i="47"/>
  <c r="J7" i="47" s="1"/>
  <c r="U29" i="48"/>
  <c r="M14" i="48" s="1"/>
  <c r="E29" i="40"/>
  <c r="F14" i="40" s="1"/>
  <c r="S27" i="48"/>
  <c r="D12" i="48" s="1"/>
  <c r="E30" i="38"/>
  <c r="F15" i="38" s="1"/>
  <c r="E15" i="38" s="1"/>
  <c r="U29" i="38"/>
  <c r="M14" i="38" s="1"/>
  <c r="E22" i="39"/>
  <c r="C4" i="51" s="1"/>
  <c r="U29" i="39"/>
  <c r="M14" i="39" s="1"/>
  <c r="D24" i="40"/>
  <c r="C9" i="40" s="1"/>
  <c r="B9" i="40" s="1"/>
  <c r="D8" i="45" s="1"/>
  <c r="F26" i="40"/>
  <c r="U29" i="40"/>
  <c r="E31" i="41"/>
  <c r="F16" i="41" s="1"/>
  <c r="F22" i="42"/>
  <c r="I7" i="42" s="1"/>
  <c r="D23" i="42"/>
  <c r="C8" i="42" s="1"/>
  <c r="B8" i="42" s="1"/>
  <c r="D24" i="42"/>
  <c r="C9" i="42" s="1"/>
  <c r="B9" i="42" s="1"/>
  <c r="E25" i="42"/>
  <c r="F10" i="42" s="1"/>
  <c r="E10" i="42" s="1"/>
  <c r="E26" i="42"/>
  <c r="F11" i="42" s="1"/>
  <c r="E11" i="42" s="1"/>
  <c r="D27" i="42"/>
  <c r="C12" i="42" s="1"/>
  <c r="D28" i="42"/>
  <c r="C13" i="42" s="1"/>
  <c r="T28" i="42"/>
  <c r="G13" i="42" s="1"/>
  <c r="E31" i="43"/>
  <c r="F16" i="43" s="1"/>
  <c r="F31" i="46"/>
  <c r="I16" i="46" s="1"/>
  <c r="D22" i="48"/>
  <c r="C7" i="48" s="1"/>
  <c r="F24" i="48"/>
  <c r="I9" i="48" s="1"/>
  <c r="H9" i="48" s="1"/>
  <c r="E28" i="48"/>
  <c r="F13" i="48" s="1"/>
  <c r="D28" i="38"/>
  <c r="C13" i="38" s="1"/>
  <c r="F27" i="38"/>
  <c r="I12" i="38" s="1"/>
  <c r="D26" i="38"/>
  <c r="C11" i="38" s="1"/>
  <c r="B11" i="38" s="1"/>
  <c r="F6" i="45" s="1"/>
  <c r="E25" i="38"/>
  <c r="F10" i="38" s="1"/>
  <c r="E10" i="38" s="1"/>
  <c r="E23" i="38"/>
  <c r="F8" i="38" s="1"/>
  <c r="E8" i="38" s="1"/>
  <c r="S28" i="38"/>
  <c r="D13" i="38" s="1"/>
  <c r="S27" i="39"/>
  <c r="D12" i="39" s="1"/>
  <c r="U31" i="39"/>
  <c r="J16" i="39" s="1"/>
  <c r="D30" i="40"/>
  <c r="C15" i="40" s="1"/>
  <c r="B15" i="40" s="1"/>
  <c r="J8" i="45" s="1"/>
  <c r="U28" i="40"/>
  <c r="J13" i="40" s="1"/>
  <c r="D29" i="43"/>
  <c r="C14" i="43" s="1"/>
  <c r="U29" i="46"/>
  <c r="M14" i="46" s="1"/>
  <c r="E31" i="47"/>
  <c r="F16" i="47" s="1"/>
  <c r="U22" i="38"/>
  <c r="M7" i="38" s="1"/>
  <c r="F29" i="38"/>
  <c r="D23" i="39"/>
  <c r="D24" i="39"/>
  <c r="C9" i="39" s="1"/>
  <c r="B9" i="39" s="1"/>
  <c r="D25" i="39"/>
  <c r="C10" i="39" s="1"/>
  <c r="B10" i="39" s="1"/>
  <c r="D26" i="39"/>
  <c r="C11" i="39" s="1"/>
  <c r="B11" i="39" s="1"/>
  <c r="D27" i="39"/>
  <c r="C12" i="39" s="1"/>
  <c r="D28" i="39"/>
  <c r="C13" i="39" s="1"/>
  <c r="D29" i="39"/>
  <c r="C14" i="39" s="1"/>
  <c r="D30" i="39"/>
  <c r="C15" i="39" s="1"/>
  <c r="D31" i="39"/>
  <c r="C16" i="39" s="1"/>
  <c r="S28" i="39"/>
  <c r="D13" i="39" s="1"/>
  <c r="D31" i="40"/>
  <c r="C16" i="40" s="1"/>
  <c r="S28" i="40"/>
  <c r="D13" i="40" s="1"/>
  <c r="S22" i="41"/>
  <c r="D7" i="41" s="1"/>
  <c r="U31" i="41"/>
  <c r="E30" i="44"/>
  <c r="F15" i="44" s="1"/>
  <c r="E15" i="44" s="1"/>
  <c r="D31" i="44"/>
  <c r="C16" i="44" s="1"/>
  <c r="T27" i="44"/>
  <c r="G12" i="44" s="1"/>
  <c r="D30" i="46"/>
  <c r="S27" i="46"/>
  <c r="D12" i="46" s="1"/>
  <c r="U31" i="46"/>
  <c r="F22" i="47"/>
  <c r="L7" i="47" s="1"/>
  <c r="D28" i="47"/>
  <c r="C13" i="47" s="1"/>
  <c r="T28" i="48"/>
  <c r="G13" i="48" s="1"/>
  <c r="F22" i="49"/>
  <c r="L7" i="49" s="1"/>
  <c r="D24" i="49"/>
  <c r="C9" i="49" s="1"/>
  <c r="B9" i="49" s="1"/>
  <c r="D16" i="45" s="1"/>
  <c r="S27" i="49"/>
  <c r="D12" i="49" s="1"/>
  <c r="D22" i="40"/>
  <c r="C7" i="40" s="1"/>
  <c r="F24" i="40"/>
  <c r="L9" i="40" s="1"/>
  <c r="K9" i="40" s="1"/>
  <c r="D22" i="45" s="1"/>
  <c r="D26" i="40"/>
  <c r="C11" i="40" s="1"/>
  <c r="B11" i="40" s="1"/>
  <c r="F8" i="45" s="1"/>
  <c r="F28" i="40"/>
  <c r="F24" i="42"/>
  <c r="I9" i="42" s="1"/>
  <c r="H9" i="42" s="1"/>
  <c r="E28" i="42"/>
  <c r="U22" i="42"/>
  <c r="J7" i="42" s="1"/>
  <c r="D22" i="41"/>
  <c r="C7" i="41" s="1"/>
  <c r="F24" i="41"/>
  <c r="L9" i="41" s="1"/>
  <c r="K9" i="41" s="1"/>
  <c r="D23" i="45" s="1"/>
  <c r="D26" i="41"/>
  <c r="C11" i="41" s="1"/>
  <c r="B11" i="41" s="1"/>
  <c r="F9" i="45" s="1"/>
  <c r="E28" i="41"/>
  <c r="F13" i="41" s="1"/>
  <c r="S29" i="42"/>
  <c r="F22" i="44"/>
  <c r="I7" i="44" s="1"/>
  <c r="D27" i="49"/>
  <c r="C12" i="49" s="1"/>
  <c r="U22" i="49"/>
  <c r="M7" i="49" s="1"/>
  <c r="D27" i="38"/>
  <c r="F24" i="38"/>
  <c r="I9" i="38" s="1"/>
  <c r="H9" i="38" s="1"/>
  <c r="U28" i="38"/>
  <c r="M13" i="38" s="1"/>
  <c r="T27" i="39"/>
  <c r="C26" i="51" s="1"/>
  <c r="D23" i="40"/>
  <c r="C8" i="40" s="1"/>
  <c r="B8" i="40" s="1"/>
  <c r="C8" i="45" s="1"/>
  <c r="F25" i="40"/>
  <c r="L10" i="40" s="1"/>
  <c r="K10" i="40" s="1"/>
  <c r="E22" i="45" s="1"/>
  <c r="D27" i="40"/>
  <c r="C12" i="40" s="1"/>
  <c r="U29" i="44"/>
  <c r="J14" i="44" s="1"/>
  <c r="E29" i="46"/>
  <c r="F14" i="46" s="1"/>
  <c r="S28" i="47"/>
  <c r="D13" i="47" s="1"/>
  <c r="D30" i="48"/>
  <c r="C15" i="48" s="1"/>
  <c r="B15" i="48" s="1"/>
  <c r="J15" i="45" s="1"/>
  <c r="F29" i="44"/>
  <c r="F23" i="48"/>
  <c r="I8" i="48" s="1"/>
  <c r="H8" i="48" s="1"/>
  <c r="F27" i="48"/>
  <c r="L12" i="48" s="1"/>
  <c r="F22" i="46"/>
  <c r="I7" i="46" s="1"/>
  <c r="D25" i="46"/>
  <c r="C10" i="46" s="1"/>
  <c r="B10" i="46" s="1"/>
  <c r="E13" i="45" s="1"/>
  <c r="F27" i="46"/>
  <c r="I12" i="46" s="1"/>
  <c r="F28" i="42"/>
  <c r="U27" i="47"/>
  <c r="J12" i="47" s="1"/>
  <c r="S29" i="28"/>
  <c r="S22" i="39"/>
  <c r="D7" i="39" s="1"/>
  <c r="T29" i="41"/>
  <c r="G14" i="41" s="1"/>
  <c r="F30" i="44"/>
  <c r="F28" i="38"/>
  <c r="S28" i="28"/>
  <c r="E22" i="44"/>
  <c r="F7" i="44" s="1"/>
  <c r="D24" i="44"/>
  <c r="C9" i="44" s="1"/>
  <c r="B9" i="44" s="1"/>
  <c r="D12" i="45" s="1"/>
  <c r="E31" i="46"/>
  <c r="F16" i="46" s="1"/>
  <c r="T27" i="49"/>
  <c r="G12" i="49" s="1"/>
  <c r="E25" i="40"/>
  <c r="F10" i="40" s="1"/>
  <c r="E10" i="40" s="1"/>
  <c r="F22" i="40"/>
  <c r="L7" i="40" s="1"/>
  <c r="D28" i="40"/>
  <c r="C13" i="40" s="1"/>
  <c r="F30" i="41"/>
  <c r="U22" i="41"/>
  <c r="M7" i="41" s="1"/>
  <c r="U27" i="41"/>
  <c r="J12" i="41" s="1"/>
  <c r="D28" i="46"/>
  <c r="C13" i="46" s="1"/>
  <c r="E26" i="40"/>
  <c r="F11" i="40" s="1"/>
  <c r="E11" i="40" s="1"/>
  <c r="E24" i="46"/>
  <c r="F9" i="46" s="1"/>
  <c r="E9" i="46" s="1"/>
  <c r="E30" i="47"/>
  <c r="F15" i="47" s="1"/>
  <c r="E15" i="47" s="1"/>
  <c r="D25" i="48"/>
  <c r="C10" i="48" s="1"/>
  <c r="B10" i="48" s="1"/>
  <c r="E15" i="45" s="1"/>
  <c r="F13" i="39"/>
  <c r="F30" i="38"/>
  <c r="E23" i="39"/>
  <c r="C5" i="51" s="1"/>
  <c r="E24" i="39"/>
  <c r="C6" i="51" s="1"/>
  <c r="F27" i="39"/>
  <c r="L12" i="39" s="1"/>
  <c r="E31" i="39"/>
  <c r="C13" i="51" s="1"/>
  <c r="S22" i="40"/>
  <c r="D7" i="40" s="1"/>
  <c r="S22" i="42"/>
  <c r="D7" i="42" s="1"/>
  <c r="F31" i="43"/>
  <c r="L16" i="43" s="1"/>
  <c r="U27" i="48"/>
  <c r="M12" i="48" s="1"/>
  <c r="E26" i="38"/>
  <c r="F11" i="38" s="1"/>
  <c r="E11" i="38" s="1"/>
  <c r="D25" i="38"/>
  <c r="C10" i="38" s="1"/>
  <c r="B10" i="38" s="1"/>
  <c r="E6" i="45" s="1"/>
  <c r="D23" i="38"/>
  <c r="C8" i="38" s="1"/>
  <c r="B8" i="38" s="1"/>
  <c r="C6" i="45" s="1"/>
  <c r="U27" i="38"/>
  <c r="J12" i="38" s="1"/>
  <c r="T28" i="39"/>
  <c r="C27" i="51" s="1"/>
  <c r="F23" i="40"/>
  <c r="L8" i="40" s="1"/>
  <c r="K8" i="40" s="1"/>
  <c r="C22" i="45" s="1"/>
  <c r="D25" i="40"/>
  <c r="C10" i="40" s="1"/>
  <c r="B10" i="40" s="1"/>
  <c r="E8" i="45" s="1"/>
  <c r="F27" i="40"/>
  <c r="I12" i="40" s="1"/>
  <c r="D29" i="40"/>
  <c r="C14" i="40" s="1"/>
  <c r="B14" i="40" s="1"/>
  <c r="I8" i="45" s="1"/>
  <c r="D23" i="44"/>
  <c r="C8" i="44" s="1"/>
  <c r="B8" i="44" s="1"/>
  <c r="C12" i="45" s="1"/>
  <c r="F25" i="44"/>
  <c r="L10" i="44" s="1"/>
  <c r="K10" i="44" s="1"/>
  <c r="E26" i="45" s="1"/>
  <c r="F26" i="44"/>
  <c r="I11" i="44" s="1"/>
  <c r="H11" i="44" s="1"/>
  <c r="E31" i="44"/>
  <c r="F16" i="44" s="1"/>
  <c r="D24" i="47"/>
  <c r="C9" i="47" s="1"/>
  <c r="B9" i="47" s="1"/>
  <c r="D14" i="45" s="1"/>
  <c r="S22" i="47"/>
  <c r="D7" i="47" s="1"/>
  <c r="F29" i="48"/>
  <c r="S27" i="50"/>
  <c r="D12" i="50" s="1"/>
  <c r="F30" i="39"/>
  <c r="U28" i="39"/>
  <c r="J13" i="39" s="1"/>
  <c r="E26" i="47"/>
  <c r="F11" i="47" s="1"/>
  <c r="E11" i="47" s="1"/>
  <c r="F28" i="39"/>
  <c r="D31" i="42"/>
  <c r="C16" i="42" s="1"/>
  <c r="U27" i="46"/>
  <c r="J12" i="46" s="1"/>
  <c r="S22" i="48"/>
  <c r="D7" i="48" s="1"/>
  <c r="E23" i="49"/>
  <c r="F8" i="49" s="1"/>
  <c r="E8" i="49" s="1"/>
  <c r="E29" i="38"/>
  <c r="F14" i="38" s="1"/>
  <c r="E27" i="38"/>
  <c r="F12" i="38" s="1"/>
  <c r="D24" i="38"/>
  <c r="C9" i="38" s="1"/>
  <c r="B9" i="38" s="1"/>
  <c r="D6" i="45" s="1"/>
  <c r="T28" i="38"/>
  <c r="G13" i="38" s="1"/>
  <c r="E13" i="38" s="1"/>
  <c r="U31" i="42"/>
  <c r="D25" i="44"/>
  <c r="C10" i="44" s="1"/>
  <c r="B10" i="44" s="1"/>
  <c r="E12" i="45" s="1"/>
  <c r="E31" i="48"/>
  <c r="F16" i="48" s="1"/>
  <c r="F31" i="38"/>
  <c r="L16" i="38" s="1"/>
  <c r="U31" i="38"/>
  <c r="J16" i="38" s="1"/>
  <c r="F30" i="40"/>
  <c r="T22" i="42"/>
  <c r="G7" i="42" s="1"/>
  <c r="T27" i="42"/>
  <c r="G12" i="42" s="1"/>
  <c r="S28" i="42"/>
  <c r="D13" i="42" s="1"/>
  <c r="E29" i="43"/>
  <c r="F14" i="43" s="1"/>
  <c r="F30" i="46"/>
  <c r="D29" i="48"/>
  <c r="C14" i="48" s="1"/>
  <c r="F31" i="41"/>
  <c r="I16" i="41" s="1"/>
  <c r="D27" i="50"/>
  <c r="C12" i="50" s="1"/>
  <c r="U27" i="50"/>
  <c r="M12" i="50" s="1"/>
  <c r="C13" i="44"/>
  <c r="J7" i="39"/>
  <c r="F11" i="43"/>
  <c r="E11" i="43" s="1"/>
  <c r="C16" i="41"/>
  <c r="D14" i="48"/>
  <c r="I10" i="43"/>
  <c r="H10" i="43" s="1"/>
  <c r="C15" i="46"/>
  <c r="B15" i="46" s="1"/>
  <c r="J13" i="45" s="1"/>
  <c r="D13" i="48"/>
  <c r="D13" i="43"/>
  <c r="C9" i="46"/>
  <c r="B9" i="46" s="1"/>
  <c r="D13" i="45" s="1"/>
  <c r="C12" i="41"/>
  <c r="L10" i="43"/>
  <c r="K10" i="43" s="1"/>
  <c r="E25" i="45" s="1"/>
  <c r="L7" i="41"/>
  <c r="J14" i="42"/>
  <c r="M13" i="46"/>
  <c r="J13" i="48"/>
  <c r="M7" i="46"/>
  <c r="E27" i="50"/>
  <c r="F12" i="50" s="1"/>
  <c r="C8" i="49"/>
  <c r="B8" i="49" s="1"/>
  <c r="C16" i="45" s="1"/>
  <c r="I12" i="49"/>
  <c r="L12" i="49"/>
  <c r="E24" i="49"/>
  <c r="F9" i="49" s="1"/>
  <c r="E9" i="49" s="1"/>
  <c r="T22" i="49"/>
  <c r="G7" i="49" s="1"/>
  <c r="F23" i="49"/>
  <c r="E22" i="49"/>
  <c r="F7" i="49" s="1"/>
  <c r="T22" i="48"/>
  <c r="G7" i="48" s="1"/>
  <c r="E27" i="48"/>
  <c r="F12" i="48" s="1"/>
  <c r="F28" i="48"/>
  <c r="C13" i="48"/>
  <c r="M13" i="48"/>
  <c r="E25" i="48"/>
  <c r="F10" i="48" s="1"/>
  <c r="E10" i="48" s="1"/>
  <c r="E30" i="48"/>
  <c r="F15" i="48" s="1"/>
  <c r="E15" i="48" s="1"/>
  <c r="F31" i="48"/>
  <c r="I16" i="48" s="1"/>
  <c r="E24" i="48"/>
  <c r="F9" i="48" s="1"/>
  <c r="E9" i="48" s="1"/>
  <c r="T29" i="48"/>
  <c r="G14" i="48" s="1"/>
  <c r="M13" i="47"/>
  <c r="F26" i="47"/>
  <c r="L11" i="47" s="1"/>
  <c r="K11" i="47" s="1"/>
  <c r="F28" i="45" s="1"/>
  <c r="F31" i="47"/>
  <c r="L16" i="47" s="1"/>
  <c r="E27" i="47"/>
  <c r="F12" i="47" s="1"/>
  <c r="F30" i="47"/>
  <c r="C11" i="47"/>
  <c r="B11" i="47" s="1"/>
  <c r="F14" i="45" s="1"/>
  <c r="M14" i="47"/>
  <c r="J14" i="47"/>
  <c r="E24" i="47"/>
  <c r="F9" i="47" s="1"/>
  <c r="E9" i="47" s="1"/>
  <c r="T29" i="47"/>
  <c r="G14" i="47" s="1"/>
  <c r="C14" i="47"/>
  <c r="E29" i="47"/>
  <c r="F14" i="47" s="1"/>
  <c r="D12" i="47"/>
  <c r="T22" i="47"/>
  <c r="G7" i="47" s="1"/>
  <c r="F23" i="47"/>
  <c r="T28" i="47"/>
  <c r="G13" i="47" s="1"/>
  <c r="E22" i="47"/>
  <c r="F7" i="47" s="1"/>
  <c r="E28" i="47"/>
  <c r="F13" i="47" s="1"/>
  <c r="J13" i="47"/>
  <c r="E25" i="46"/>
  <c r="F10" i="46" s="1"/>
  <c r="E10" i="46" s="1"/>
  <c r="L11" i="46"/>
  <c r="K11" i="46" s="1"/>
  <c r="F27" i="45" s="1"/>
  <c r="E30" i="46"/>
  <c r="F15" i="46" s="1"/>
  <c r="E15" i="46" s="1"/>
  <c r="I11" i="46"/>
  <c r="H11" i="46" s="1"/>
  <c r="F11" i="46"/>
  <c r="E11" i="46" s="1"/>
  <c r="T29" i="46"/>
  <c r="G14" i="46" s="1"/>
  <c r="T22" i="46"/>
  <c r="G7" i="46" s="1"/>
  <c r="F23" i="46"/>
  <c r="T28" i="46"/>
  <c r="G13" i="46" s="1"/>
  <c r="F29" i="46"/>
  <c r="E22" i="46"/>
  <c r="F7" i="46" s="1"/>
  <c r="E28" i="46"/>
  <c r="F13" i="46" s="1"/>
  <c r="J7" i="46"/>
  <c r="J13" i="46"/>
  <c r="E27" i="46"/>
  <c r="F12" i="46" s="1"/>
  <c r="E28" i="44"/>
  <c r="F13" i="44" s="1"/>
  <c r="E26" i="44"/>
  <c r="F11" i="44" s="1"/>
  <c r="E11" i="44" s="1"/>
  <c r="I16" i="44"/>
  <c r="E24" i="44"/>
  <c r="F9" i="44" s="1"/>
  <c r="E9" i="44" s="1"/>
  <c r="T29" i="44"/>
  <c r="G14" i="44" s="1"/>
  <c r="C14" i="44"/>
  <c r="E23" i="44"/>
  <c r="F8" i="44" s="1"/>
  <c r="E8" i="44" s="1"/>
  <c r="E29" i="44"/>
  <c r="F14" i="44" s="1"/>
  <c r="T22" i="44"/>
  <c r="G7" i="44" s="1"/>
  <c r="T28" i="44"/>
  <c r="G13" i="44" s="1"/>
  <c r="E27" i="44"/>
  <c r="F12" i="44" s="1"/>
  <c r="G14" i="43"/>
  <c r="F27" i="43"/>
  <c r="E30" i="43"/>
  <c r="F15" i="43" s="1"/>
  <c r="E15" i="43" s="1"/>
  <c r="E24" i="43"/>
  <c r="F9" i="43" s="1"/>
  <c r="E9" i="43" s="1"/>
  <c r="D12" i="43"/>
  <c r="F23" i="43"/>
  <c r="T28" i="43"/>
  <c r="G13" i="43" s="1"/>
  <c r="F29" i="43"/>
  <c r="E22" i="43"/>
  <c r="F7" i="43" s="1"/>
  <c r="E28" i="43"/>
  <c r="F13" i="43" s="1"/>
  <c r="U28" i="42"/>
  <c r="M13" i="42" s="1"/>
  <c r="E22" i="42"/>
  <c r="F7" i="42" s="1"/>
  <c r="E27" i="42"/>
  <c r="F12" i="42" s="1"/>
  <c r="F26" i="42"/>
  <c r="L11" i="42" s="1"/>
  <c r="K11" i="42" s="1"/>
  <c r="F24" i="45" s="1"/>
  <c r="F13" i="42"/>
  <c r="E24" i="42"/>
  <c r="F9" i="42" s="1"/>
  <c r="E9" i="42" s="1"/>
  <c r="T29" i="42"/>
  <c r="G14" i="42" s="1"/>
  <c r="E23" i="42"/>
  <c r="F8" i="42" s="1"/>
  <c r="E8" i="42" s="1"/>
  <c r="E29" i="42"/>
  <c r="F14" i="42" s="1"/>
  <c r="D14" i="42"/>
  <c r="M14" i="42"/>
  <c r="F31" i="42"/>
  <c r="E27" i="41"/>
  <c r="F12" i="41" s="1"/>
  <c r="F28" i="41"/>
  <c r="C8" i="41"/>
  <c r="B8" i="41" s="1"/>
  <c r="C9" i="45" s="1"/>
  <c r="M14" i="41"/>
  <c r="L11" i="41"/>
  <c r="K11" i="41" s="1"/>
  <c r="F23" i="45" s="1"/>
  <c r="I11" i="41"/>
  <c r="H11" i="41" s="1"/>
  <c r="L8" i="41"/>
  <c r="K8" i="41" s="1"/>
  <c r="C23" i="45" s="1"/>
  <c r="E30" i="41"/>
  <c r="F15" i="41" s="1"/>
  <c r="E15" i="41" s="1"/>
  <c r="F25" i="41"/>
  <c r="I10" i="41" s="1"/>
  <c r="H10" i="41" s="1"/>
  <c r="C9" i="41"/>
  <c r="B9" i="41" s="1"/>
  <c r="D9" i="45" s="1"/>
  <c r="E23" i="41"/>
  <c r="F8" i="41" s="1"/>
  <c r="E8" i="41" s="1"/>
  <c r="E29" i="41"/>
  <c r="F14" i="41" s="1"/>
  <c r="T22" i="41"/>
  <c r="G7" i="41" s="1"/>
  <c r="T28" i="41"/>
  <c r="G13" i="41" s="1"/>
  <c r="J7" i="41"/>
  <c r="T29" i="40"/>
  <c r="G14" i="40" s="1"/>
  <c r="F16" i="40"/>
  <c r="E24" i="40"/>
  <c r="F9" i="40" s="1"/>
  <c r="E9" i="40" s="1"/>
  <c r="L11" i="40"/>
  <c r="K11" i="40" s="1"/>
  <c r="F22" i="45" s="1"/>
  <c r="M14" i="40"/>
  <c r="J14" i="40"/>
  <c r="I11" i="40"/>
  <c r="H11" i="40" s="1"/>
  <c r="E23" i="40"/>
  <c r="F8" i="40" s="1"/>
  <c r="E8" i="40" s="1"/>
  <c r="T22" i="40"/>
  <c r="G7" i="40" s="1"/>
  <c r="T28" i="40"/>
  <c r="G13" i="40" s="1"/>
  <c r="F29" i="40"/>
  <c r="E22" i="40"/>
  <c r="F7" i="40" s="1"/>
  <c r="E28" i="40"/>
  <c r="F13" i="40" s="1"/>
  <c r="E27" i="40"/>
  <c r="F12" i="40" s="1"/>
  <c r="M13" i="39"/>
  <c r="T29" i="39"/>
  <c r="G16" i="39"/>
  <c r="F23" i="39"/>
  <c r="L8" i="39" s="1"/>
  <c r="K8" i="39" s="1"/>
  <c r="F24" i="39"/>
  <c r="I9" i="39" s="1"/>
  <c r="H9" i="39" s="1"/>
  <c r="B14" i="56" s="1"/>
  <c r="F25" i="39"/>
  <c r="I10" i="39" s="1"/>
  <c r="H10" i="39" s="1"/>
  <c r="B20" i="56" s="1"/>
  <c r="F26" i="39"/>
  <c r="L11" i="39" s="1"/>
  <c r="K11" i="39" s="1"/>
  <c r="C8" i="39"/>
  <c r="B8" i="39" s="1"/>
  <c r="F22" i="39"/>
  <c r="L7" i="39" s="1"/>
  <c r="M7" i="39"/>
  <c r="E30" i="39"/>
  <c r="C12" i="51" s="1"/>
  <c r="F31" i="39"/>
  <c r="I16" i="39" s="1"/>
  <c r="E29" i="39"/>
  <c r="D14" i="39"/>
  <c r="T31" i="38"/>
  <c r="G16" i="38" s="1"/>
  <c r="T29" i="38"/>
  <c r="G14" i="38" s="1"/>
  <c r="F23" i="38"/>
  <c r="L8" i="38" s="1"/>
  <c r="K8" i="38" s="1"/>
  <c r="C20" i="45" s="1"/>
  <c r="F25" i="38"/>
  <c r="L10" i="38" s="1"/>
  <c r="K10" i="38" s="1"/>
  <c r="E20" i="45" s="1"/>
  <c r="F26" i="38"/>
  <c r="I11" i="38" s="1"/>
  <c r="H11" i="38" s="1"/>
  <c r="T22" i="38"/>
  <c r="G7" i="38" s="1"/>
  <c r="S22" i="38"/>
  <c r="D7" i="38" s="1"/>
  <c r="F22" i="38"/>
  <c r="L7" i="38" s="1"/>
  <c r="E22" i="38"/>
  <c r="F7" i="38" s="1"/>
  <c r="D22" i="38"/>
  <c r="C7" i="38" s="1"/>
  <c r="J14" i="38"/>
  <c r="C12" i="38"/>
  <c r="S22" i="28"/>
  <c r="I9" i="40" l="1"/>
  <c r="H9" i="40" s="1"/>
  <c r="I9" i="43"/>
  <c r="H9" i="43" s="1"/>
  <c r="L11" i="43"/>
  <c r="K11" i="43" s="1"/>
  <c r="F25" i="45" s="1"/>
  <c r="J12" i="40"/>
  <c r="M12" i="39"/>
  <c r="I12" i="50"/>
  <c r="L12" i="44"/>
  <c r="L12" i="42"/>
  <c r="B7" i="44"/>
  <c r="G7" i="39"/>
  <c r="I10" i="48"/>
  <c r="H10" i="48" s="1"/>
  <c r="L9" i="47"/>
  <c r="K9" i="47" s="1"/>
  <c r="D28" i="45" s="1"/>
  <c r="L7" i="43"/>
  <c r="K7" i="43" s="1"/>
  <c r="B25" i="45" s="1"/>
  <c r="L7" i="46"/>
  <c r="K7" i="46" s="1"/>
  <c r="B27" i="45" s="1"/>
  <c r="I7" i="49"/>
  <c r="L9" i="42"/>
  <c r="K9" i="42" s="1"/>
  <c r="D24" i="45" s="1"/>
  <c r="L10" i="46"/>
  <c r="K10" i="46" s="1"/>
  <c r="E27" i="45" s="1"/>
  <c r="L10" i="47"/>
  <c r="K10" i="47" s="1"/>
  <c r="E28" i="45" s="1"/>
  <c r="F10" i="39"/>
  <c r="E10" i="39" s="1"/>
  <c r="I10" i="42"/>
  <c r="H10" i="42" s="1"/>
  <c r="B9" i="43"/>
  <c r="D11" i="45" s="1"/>
  <c r="B15" i="39"/>
  <c r="B3" i="52" s="1"/>
  <c r="B16" i="52"/>
  <c r="F7" i="45"/>
  <c r="B13" i="57"/>
  <c r="C21" i="45"/>
  <c r="B20" i="52"/>
  <c r="E7" i="45"/>
  <c r="B13" i="52"/>
  <c r="C7" i="45"/>
  <c r="F10" i="45"/>
  <c r="B14" i="52"/>
  <c r="D7" i="45"/>
  <c r="F21" i="45"/>
  <c r="B16" i="57"/>
  <c r="E10" i="45"/>
  <c r="D10" i="45"/>
  <c r="C10" i="45"/>
  <c r="B12" i="48"/>
  <c r="G15" i="45" s="1"/>
  <c r="L9" i="48"/>
  <c r="K9" i="48" s="1"/>
  <c r="D29" i="45" s="1"/>
  <c r="M7" i="47"/>
  <c r="K7" i="47" s="1"/>
  <c r="B28" i="45" s="1"/>
  <c r="J14" i="46"/>
  <c r="M14" i="44"/>
  <c r="I10" i="44"/>
  <c r="H10" i="44" s="1"/>
  <c r="M13" i="44"/>
  <c r="L9" i="44"/>
  <c r="K9" i="44" s="1"/>
  <c r="D26" i="45" s="1"/>
  <c r="M12" i="43"/>
  <c r="M12" i="42"/>
  <c r="K12" i="42" s="1"/>
  <c r="G24" i="45" s="1"/>
  <c r="L12" i="41"/>
  <c r="I9" i="41"/>
  <c r="H9" i="41" s="1"/>
  <c r="F11" i="39"/>
  <c r="E11" i="39" s="1"/>
  <c r="B13" i="39"/>
  <c r="M12" i="38"/>
  <c r="L9" i="38"/>
  <c r="K9" i="38" s="1"/>
  <c r="D20" i="45" s="1"/>
  <c r="M13" i="40"/>
  <c r="B7" i="43"/>
  <c r="B11" i="45" s="1"/>
  <c r="L7" i="48"/>
  <c r="J7" i="43"/>
  <c r="H7" i="43" s="1"/>
  <c r="L12" i="38"/>
  <c r="J7" i="38"/>
  <c r="I10" i="40"/>
  <c r="H10" i="40" s="1"/>
  <c r="B13" i="43"/>
  <c r="H11" i="45" s="1"/>
  <c r="J13" i="38"/>
  <c r="I8" i="40"/>
  <c r="H8" i="40" s="1"/>
  <c r="J14" i="43"/>
  <c r="L8" i="44"/>
  <c r="K8" i="44" s="1"/>
  <c r="C26" i="45" s="1"/>
  <c r="I16" i="40"/>
  <c r="B16" i="38"/>
  <c r="K6" i="45" s="1"/>
  <c r="F12" i="39"/>
  <c r="M12" i="44"/>
  <c r="L12" i="40"/>
  <c r="K12" i="40" s="1"/>
  <c r="G22" i="45" s="1"/>
  <c r="L16" i="46"/>
  <c r="M12" i="47"/>
  <c r="K12" i="47" s="1"/>
  <c r="G28" i="45" s="1"/>
  <c r="L11" i="44"/>
  <c r="K11" i="44" s="1"/>
  <c r="F26" i="45" s="1"/>
  <c r="I12" i="48"/>
  <c r="B13" i="44"/>
  <c r="H12" i="45" s="1"/>
  <c r="M7" i="42"/>
  <c r="F7" i="39"/>
  <c r="J7" i="40"/>
  <c r="J13" i="41"/>
  <c r="I16" i="43"/>
  <c r="E14" i="38"/>
  <c r="J13" i="43"/>
  <c r="J14" i="48"/>
  <c r="M16" i="38"/>
  <c r="K16" i="38" s="1"/>
  <c r="K20" i="45" s="1"/>
  <c r="L9" i="46"/>
  <c r="K9" i="46" s="1"/>
  <c r="D27" i="45" s="1"/>
  <c r="L9" i="49"/>
  <c r="K9" i="49" s="1"/>
  <c r="D30" i="45" s="1"/>
  <c r="G12" i="39"/>
  <c r="M12" i="49"/>
  <c r="K12" i="49" s="1"/>
  <c r="G30" i="45" s="1"/>
  <c r="L8" i="42"/>
  <c r="K8" i="42" s="1"/>
  <c r="C24" i="45" s="1"/>
  <c r="L7" i="42"/>
  <c r="I12" i="47"/>
  <c r="H12" i="47" s="1"/>
  <c r="I7" i="40"/>
  <c r="J14" i="39"/>
  <c r="E12" i="43"/>
  <c r="B13" i="38"/>
  <c r="H6" i="45" s="1"/>
  <c r="B16" i="39"/>
  <c r="M12" i="46"/>
  <c r="J12" i="48"/>
  <c r="M7" i="44"/>
  <c r="M12" i="41"/>
  <c r="F8" i="39"/>
  <c r="E8" i="39" s="1"/>
  <c r="E12" i="44"/>
  <c r="H7" i="46"/>
  <c r="M7" i="48"/>
  <c r="L11" i="48"/>
  <c r="K11" i="48" s="1"/>
  <c r="F29" i="45" s="1"/>
  <c r="L7" i="44"/>
  <c r="L12" i="46"/>
  <c r="J12" i="50"/>
  <c r="K12" i="48"/>
  <c r="G29" i="45" s="1"/>
  <c r="B12" i="45"/>
  <c r="L8" i="48"/>
  <c r="K8" i="48" s="1"/>
  <c r="C29" i="45" s="1"/>
  <c r="I11" i="42"/>
  <c r="H11" i="42" s="1"/>
  <c r="K7" i="49"/>
  <c r="B30" i="45" s="1"/>
  <c r="F9" i="39"/>
  <c r="E9" i="39" s="1"/>
  <c r="E13" i="42"/>
  <c r="J7" i="49"/>
  <c r="I7" i="47"/>
  <c r="H7" i="47" s="1"/>
  <c r="M16" i="39"/>
  <c r="E14" i="41"/>
  <c r="B14" i="42"/>
  <c r="E12" i="47"/>
  <c r="L16" i="41"/>
  <c r="G13" i="39"/>
  <c r="E13" i="39" s="1"/>
  <c r="F15" i="39"/>
  <c r="E15" i="39" s="1"/>
  <c r="L9" i="39"/>
  <c r="K9" i="39" s="1"/>
  <c r="I11" i="47"/>
  <c r="H11" i="47" s="1"/>
  <c r="B12" i="43"/>
  <c r="G11" i="45" s="1"/>
  <c r="B7" i="48"/>
  <c r="B15" i="45" s="1"/>
  <c r="B13" i="47"/>
  <c r="H14" i="45" s="1"/>
  <c r="I11" i="39"/>
  <c r="H11" i="39" s="1"/>
  <c r="B16" i="56" s="1"/>
  <c r="I16" i="47"/>
  <c r="B12" i="42"/>
  <c r="F16" i="39"/>
  <c r="E16" i="39" s="1"/>
  <c r="G14" i="39"/>
  <c r="C28" i="51"/>
  <c r="H12" i="49"/>
  <c r="I7" i="39"/>
  <c r="H7" i="39" s="1"/>
  <c r="B17" i="56" s="1"/>
  <c r="I8" i="38"/>
  <c r="H8" i="38" s="1"/>
  <c r="F14" i="39"/>
  <c r="C11" i="51"/>
  <c r="B14" i="41"/>
  <c r="I9" i="45" s="1"/>
  <c r="L11" i="38"/>
  <c r="K11" i="38" s="1"/>
  <c r="F20" i="45" s="1"/>
  <c r="I12" i="39"/>
  <c r="H12" i="39" s="1"/>
  <c r="B8" i="56" s="1"/>
  <c r="J13" i="42"/>
  <c r="B14" i="44"/>
  <c r="I12" i="45" s="1"/>
  <c r="B7" i="41"/>
  <c r="B9" i="45" s="1"/>
  <c r="E12" i="41"/>
  <c r="B14" i="48"/>
  <c r="I15" i="45" s="1"/>
  <c r="B14" i="43"/>
  <c r="I11" i="45" s="1"/>
  <c r="B7" i="49"/>
  <c r="B16" i="45" s="1"/>
  <c r="B14" i="39"/>
  <c r="B14" i="38"/>
  <c r="I6" i="45" s="1"/>
  <c r="B7" i="46"/>
  <c r="B13" i="45" s="1"/>
  <c r="E13" i="48"/>
  <c r="H7" i="48"/>
  <c r="B7" i="42"/>
  <c r="E12" i="40"/>
  <c r="B7" i="40"/>
  <c r="B8" i="45" s="1"/>
  <c r="K7" i="40"/>
  <c r="B22" i="45" s="1"/>
  <c r="B13" i="48"/>
  <c r="H15" i="45" s="1"/>
  <c r="E12" i="48"/>
  <c r="K7" i="41"/>
  <c r="B23" i="45" s="1"/>
  <c r="B13" i="42"/>
  <c r="E14" i="44"/>
  <c r="B7" i="38"/>
  <c r="B6" i="45" s="1"/>
  <c r="H16" i="39"/>
  <c r="B7" i="56" s="1"/>
  <c r="E12" i="46"/>
  <c r="B12" i="50"/>
  <c r="G17" i="45" s="1"/>
  <c r="B13" i="46"/>
  <c r="H13" i="45" s="1"/>
  <c r="E12" i="49"/>
  <c r="H12" i="40"/>
  <c r="H12" i="46"/>
  <c r="B12" i="41"/>
  <c r="G9" i="45" s="1"/>
  <c r="H12" i="44"/>
  <c r="E7" i="48"/>
  <c r="K7" i="39"/>
  <c r="B12" i="40"/>
  <c r="G8" i="45" s="1"/>
  <c r="B12" i="39"/>
  <c r="E7" i="42"/>
  <c r="H12" i="42"/>
  <c r="H7" i="42"/>
  <c r="K12" i="50"/>
  <c r="G31" i="45" s="1"/>
  <c r="E12" i="50"/>
  <c r="E7" i="49"/>
  <c r="B12" i="49"/>
  <c r="G16" i="45" s="1"/>
  <c r="I8" i="49"/>
  <c r="H8" i="49" s="1"/>
  <c r="L8" i="49"/>
  <c r="K8" i="49" s="1"/>
  <c r="C30" i="45" s="1"/>
  <c r="E14" i="48"/>
  <c r="L16" i="48"/>
  <c r="E14" i="47"/>
  <c r="E13" i="47"/>
  <c r="B7" i="47"/>
  <c r="B14" i="45" s="1"/>
  <c r="B14" i="47"/>
  <c r="I14" i="45" s="1"/>
  <c r="E7" i="47"/>
  <c r="B12" i="47"/>
  <c r="G14" i="45" s="1"/>
  <c r="I8" i="47"/>
  <c r="H8" i="47" s="1"/>
  <c r="L8" i="47"/>
  <c r="K8" i="47" s="1"/>
  <c r="C28" i="45" s="1"/>
  <c r="E7" i="46"/>
  <c r="B14" i="46"/>
  <c r="I13" i="45" s="1"/>
  <c r="B12" i="46"/>
  <c r="G13" i="45" s="1"/>
  <c r="E13" i="46"/>
  <c r="I8" i="46"/>
  <c r="H8" i="46" s="1"/>
  <c r="L8" i="46"/>
  <c r="K8" i="46" s="1"/>
  <c r="C27" i="45" s="1"/>
  <c r="E14" i="46"/>
  <c r="E7" i="44"/>
  <c r="H7" i="44"/>
  <c r="E13" i="44"/>
  <c r="B12" i="44"/>
  <c r="G12" i="45" s="1"/>
  <c r="E14" i="43"/>
  <c r="E7" i="43"/>
  <c r="I12" i="43"/>
  <c r="H12" i="43" s="1"/>
  <c r="L12" i="43"/>
  <c r="E13" i="43"/>
  <c r="I8" i="43"/>
  <c r="H8" i="43" s="1"/>
  <c r="L8" i="43"/>
  <c r="K8" i="43" s="1"/>
  <c r="C25" i="45" s="1"/>
  <c r="E12" i="42"/>
  <c r="L16" i="42"/>
  <c r="I16" i="42"/>
  <c r="E14" i="42"/>
  <c r="H7" i="41"/>
  <c r="B13" i="41"/>
  <c r="H9" i="45" s="1"/>
  <c r="H12" i="41"/>
  <c r="E13" i="41"/>
  <c r="L10" i="41"/>
  <c r="K10" i="41" s="1"/>
  <c r="E23" i="45" s="1"/>
  <c r="E7" i="41"/>
  <c r="E14" i="40"/>
  <c r="E7" i="40"/>
  <c r="E13" i="40"/>
  <c r="B13" i="40"/>
  <c r="H8" i="45" s="1"/>
  <c r="B7" i="39"/>
  <c r="K12" i="39"/>
  <c r="L10" i="39"/>
  <c r="K10" i="39" s="1"/>
  <c r="I8" i="39"/>
  <c r="H8" i="39" s="1"/>
  <c r="B13" i="56" s="1"/>
  <c r="L16" i="39"/>
  <c r="E16" i="38"/>
  <c r="H12" i="38"/>
  <c r="B12" i="38"/>
  <c r="G6" i="45" s="1"/>
  <c r="I16" i="38"/>
  <c r="H16" i="38" s="1"/>
  <c r="E12" i="38"/>
  <c r="I10" i="38"/>
  <c r="H10" i="38" s="1"/>
  <c r="E7" i="38"/>
  <c r="K7" i="38"/>
  <c r="B20" i="45" s="1"/>
  <c r="I7" i="38"/>
  <c r="K12" i="43" l="1"/>
  <c r="G25" i="45" s="1"/>
  <c r="H12" i="50"/>
  <c r="K12" i="44"/>
  <c r="G26" i="45" s="1"/>
  <c r="E7" i="39"/>
  <c r="H7" i="49"/>
  <c r="K12" i="41"/>
  <c r="G23" i="45" s="1"/>
  <c r="J7" i="45"/>
  <c r="K12" i="38"/>
  <c r="G20" i="45" s="1"/>
  <c r="H10" i="45"/>
  <c r="B10" i="45"/>
  <c r="G10" i="45"/>
  <c r="B14" i="57"/>
  <c r="D21" i="45"/>
  <c r="E21" i="45"/>
  <c r="B20" i="57"/>
  <c r="G7" i="45"/>
  <c r="B8" i="52"/>
  <c r="B9" i="52"/>
  <c r="H7" i="45"/>
  <c r="G21" i="45"/>
  <c r="B8" i="57"/>
  <c r="B17" i="57"/>
  <c r="B21" i="45"/>
  <c r="B17" i="52"/>
  <c r="B7" i="45"/>
  <c r="I10" i="45"/>
  <c r="B4" i="52"/>
  <c r="I7" i="45"/>
  <c r="K7" i="45"/>
  <c r="B7" i="52"/>
  <c r="K7" i="48"/>
  <c r="B29" i="45" s="1"/>
  <c r="K7" i="42"/>
  <c r="B24" i="45" s="1"/>
  <c r="H7" i="40"/>
  <c r="H7" i="38"/>
  <c r="H12" i="48"/>
  <c r="E12" i="39"/>
  <c r="K16" i="39"/>
  <c r="K12" i="46"/>
  <c r="G27" i="45" s="1"/>
  <c r="K7" i="44"/>
  <c r="B26" i="45" s="1"/>
  <c r="E14" i="39"/>
  <c r="H12" i="36"/>
  <c r="O28" i="43" s="1"/>
  <c r="C12" i="36"/>
  <c r="O28" i="38" s="1"/>
  <c r="D12" i="36"/>
  <c r="O28" i="39" s="1"/>
  <c r="E12" i="36"/>
  <c r="O28" i="40" s="1"/>
  <c r="F12" i="36"/>
  <c r="O28" i="41" s="1"/>
  <c r="G12" i="36"/>
  <c r="O28" i="42" s="1"/>
  <c r="I12" i="36"/>
  <c r="O28" i="44" s="1"/>
  <c r="J12" i="36"/>
  <c r="O28" i="46" s="1"/>
  <c r="K12" i="36"/>
  <c r="O28" i="47" s="1"/>
  <c r="L12" i="36"/>
  <c r="O28" i="48" s="1"/>
  <c r="C13" i="36"/>
  <c r="O29" i="38" s="1"/>
  <c r="D13" i="36"/>
  <c r="O29" i="39" s="1"/>
  <c r="E13" i="36"/>
  <c r="O29" i="40" s="1"/>
  <c r="F13" i="36"/>
  <c r="O29" i="41" s="1"/>
  <c r="G13" i="36"/>
  <c r="O29" i="42" s="1"/>
  <c r="H13" i="36"/>
  <c r="O29" i="43" s="1"/>
  <c r="I13" i="36"/>
  <c r="O29" i="44" s="1"/>
  <c r="J13" i="36"/>
  <c r="O29" i="46" s="1"/>
  <c r="K13" i="36"/>
  <c r="O29" i="47" s="1"/>
  <c r="L13" i="36"/>
  <c r="O29" i="48" s="1"/>
  <c r="C14" i="36"/>
  <c r="D14" i="36"/>
  <c r="E14" i="36"/>
  <c r="O30" i="40" s="1"/>
  <c r="F14" i="36"/>
  <c r="O30" i="41" s="1"/>
  <c r="G14" i="36"/>
  <c r="H14" i="36"/>
  <c r="O30" i="43" s="1"/>
  <c r="I14" i="36"/>
  <c r="O30" i="44" s="1"/>
  <c r="J14" i="36"/>
  <c r="K14" i="36"/>
  <c r="L14" i="36"/>
  <c r="P25" i="36"/>
  <c r="P24" i="36"/>
  <c r="P19" i="36"/>
  <c r="P17" i="36"/>
  <c r="B14" i="36"/>
  <c r="B13" i="36"/>
  <c r="O29" i="28" s="1"/>
  <c r="B12" i="36"/>
  <c r="O28" i="28" s="1"/>
  <c r="Q31" i="28"/>
  <c r="Q29" i="28"/>
  <c r="Q28" i="28"/>
  <c r="Q27" i="28"/>
  <c r="Q22" i="28"/>
  <c r="B23" i="28"/>
  <c r="B24" i="28"/>
  <c r="B25" i="28"/>
  <c r="B26" i="28"/>
  <c r="B27" i="28"/>
  <c r="B28" i="28"/>
  <c r="B29" i="28"/>
  <c r="B31" i="28"/>
  <c r="C16" i="28" s="1"/>
  <c r="B22" i="28"/>
  <c r="K21" i="45" l="1"/>
  <c r="B7" i="57"/>
  <c r="I15" i="44"/>
  <c r="H15" i="44" s="1"/>
  <c r="L15" i="44"/>
  <c r="K15" i="44" s="1"/>
  <c r="J26" i="45" s="1"/>
  <c r="L14" i="47"/>
  <c r="K14" i="47" s="1"/>
  <c r="I28" i="45" s="1"/>
  <c r="I14" i="47"/>
  <c r="H14" i="47" s="1"/>
  <c r="I14" i="38"/>
  <c r="H14" i="38" s="1"/>
  <c r="L14" i="38"/>
  <c r="K14" i="38" s="1"/>
  <c r="I20" i="45" s="1"/>
  <c r="I13" i="39"/>
  <c r="H13" i="39" s="1"/>
  <c r="B9" i="56" s="1"/>
  <c r="L13" i="39"/>
  <c r="K13" i="39" s="1"/>
  <c r="L14" i="43"/>
  <c r="K14" i="43" s="1"/>
  <c r="I25" i="45" s="1"/>
  <c r="I14" i="43"/>
  <c r="H14" i="43" s="1"/>
  <c r="I14" i="42"/>
  <c r="H14" i="42" s="1"/>
  <c r="L14" i="42"/>
  <c r="K14" i="42" s="1"/>
  <c r="I24" i="45" s="1"/>
  <c r="I14" i="41"/>
  <c r="H14" i="41" s="1"/>
  <c r="L14" i="41"/>
  <c r="K14" i="41" s="1"/>
  <c r="I23" i="45" s="1"/>
  <c r="O30" i="47"/>
  <c r="I14" i="40"/>
  <c r="H14" i="40" s="1"/>
  <c r="L14" i="40"/>
  <c r="K14" i="40" s="1"/>
  <c r="I22" i="45" s="1"/>
  <c r="L14" i="48"/>
  <c r="K14" i="48" s="1"/>
  <c r="I29" i="45" s="1"/>
  <c r="I14" i="48"/>
  <c r="H14" i="48" s="1"/>
  <c r="L13" i="40"/>
  <c r="K13" i="40" s="1"/>
  <c r="H22" i="45" s="1"/>
  <c r="I13" i="40"/>
  <c r="H13" i="40" s="1"/>
  <c r="I15" i="43"/>
  <c r="H15" i="43" s="1"/>
  <c r="L15" i="43"/>
  <c r="K15" i="43" s="1"/>
  <c r="J25" i="45" s="1"/>
  <c r="I14" i="46"/>
  <c r="H14" i="46" s="1"/>
  <c r="L14" i="46"/>
  <c r="K14" i="46" s="1"/>
  <c r="I27" i="45" s="1"/>
  <c r="L13" i="48"/>
  <c r="K13" i="48" s="1"/>
  <c r="H29" i="45" s="1"/>
  <c r="I13" i="48"/>
  <c r="H13" i="48" s="1"/>
  <c r="I13" i="38"/>
  <c r="H13" i="38" s="1"/>
  <c r="L13" i="38"/>
  <c r="K13" i="38" s="1"/>
  <c r="H20" i="45" s="1"/>
  <c r="L15" i="41"/>
  <c r="K15" i="41" s="1"/>
  <c r="J23" i="45" s="1"/>
  <c r="I15" i="41"/>
  <c r="H15" i="41" s="1"/>
  <c r="I13" i="46"/>
  <c r="H13" i="46" s="1"/>
  <c r="L13" i="46"/>
  <c r="K13" i="46" s="1"/>
  <c r="H27" i="45" s="1"/>
  <c r="L15" i="40"/>
  <c r="K15" i="40" s="1"/>
  <c r="J22" i="45" s="1"/>
  <c r="I15" i="40"/>
  <c r="H15" i="40" s="1"/>
  <c r="L13" i="44"/>
  <c r="K13" i="44" s="1"/>
  <c r="H26" i="45" s="1"/>
  <c r="I13" i="44"/>
  <c r="H13" i="44" s="1"/>
  <c r="O30" i="48"/>
  <c r="O30" i="39"/>
  <c r="I15" i="39" s="1"/>
  <c r="H15" i="39" s="1"/>
  <c r="B3" i="56" s="1"/>
  <c r="I13" i="42"/>
  <c r="H13" i="42" s="1"/>
  <c r="L13" i="42"/>
  <c r="K13" i="42" s="1"/>
  <c r="H24" i="45" s="1"/>
  <c r="O30" i="38"/>
  <c r="I13" i="41"/>
  <c r="H13" i="41" s="1"/>
  <c r="L13" i="41"/>
  <c r="K13" i="41" s="1"/>
  <c r="H23" i="45" s="1"/>
  <c r="O30" i="46"/>
  <c r="I14" i="39"/>
  <c r="H14" i="39" s="1"/>
  <c r="B4" i="56" s="1"/>
  <c r="L14" i="39"/>
  <c r="K14" i="39" s="1"/>
  <c r="P23" i="36"/>
  <c r="I14" i="44"/>
  <c r="H14" i="44" s="1"/>
  <c r="L14" i="44"/>
  <c r="K14" i="44" s="1"/>
  <c r="I26" i="45" s="1"/>
  <c r="I13" i="47"/>
  <c r="H13" i="47" s="1"/>
  <c r="L13" i="47"/>
  <c r="K13" i="47" s="1"/>
  <c r="H28" i="45" s="1"/>
  <c r="L13" i="43"/>
  <c r="K13" i="43" s="1"/>
  <c r="H25" i="45" s="1"/>
  <c r="I13" i="43"/>
  <c r="H13" i="43" s="1"/>
  <c r="P20" i="36"/>
  <c r="P23" i="28"/>
  <c r="P24" i="28"/>
  <c r="P25" i="28"/>
  <c r="P26" i="28"/>
  <c r="P27" i="28"/>
  <c r="P28" i="28"/>
  <c r="P29" i="28"/>
  <c r="P31" i="28"/>
  <c r="P22" i="28"/>
  <c r="G31" i="28"/>
  <c r="G23" i="28"/>
  <c r="H23" i="28"/>
  <c r="I23" i="28"/>
  <c r="J23" i="28"/>
  <c r="G24" i="28"/>
  <c r="H24" i="28"/>
  <c r="I24" i="28"/>
  <c r="J24" i="28"/>
  <c r="G25" i="28"/>
  <c r="H25" i="28"/>
  <c r="I25" i="28"/>
  <c r="J25" i="28"/>
  <c r="G26" i="28"/>
  <c r="H26" i="28"/>
  <c r="I26" i="28"/>
  <c r="J26" i="28"/>
  <c r="G27" i="28"/>
  <c r="H27" i="28"/>
  <c r="I27" i="28"/>
  <c r="J27" i="28"/>
  <c r="G28" i="28"/>
  <c r="H28" i="28"/>
  <c r="I28" i="28"/>
  <c r="J28" i="28"/>
  <c r="G29" i="28"/>
  <c r="H29" i="28"/>
  <c r="I29" i="28"/>
  <c r="J29" i="28"/>
  <c r="H31" i="28"/>
  <c r="I31" i="28"/>
  <c r="J31" i="28"/>
  <c r="B71" i="11"/>
  <c r="C14" i="11"/>
  <c r="D14" i="11"/>
  <c r="E14" i="11"/>
  <c r="F14" i="11"/>
  <c r="G14" i="11"/>
  <c r="H14" i="11"/>
  <c r="I14" i="11"/>
  <c r="J14" i="11"/>
  <c r="K14" i="11"/>
  <c r="L14" i="11"/>
  <c r="M14" i="11"/>
  <c r="B14" i="11"/>
  <c r="B13" i="11"/>
  <c r="AC31" i="28"/>
  <c r="AC29" i="28"/>
  <c r="AC28" i="28"/>
  <c r="AC27" i="28"/>
  <c r="AC22" i="28"/>
  <c r="U15" i="32"/>
  <c r="V15" i="32"/>
  <c r="W15" i="32"/>
  <c r="X15" i="32"/>
  <c r="Y15" i="32"/>
  <c r="Z15" i="32"/>
  <c r="AA15" i="32"/>
  <c r="T15" i="32"/>
  <c r="Q15" i="32"/>
  <c r="AB31" i="28" s="1"/>
  <c r="B46" i="11"/>
  <c r="AA31" i="28"/>
  <c r="Z31" i="28"/>
  <c r="R31" i="28"/>
  <c r="K14" i="18"/>
  <c r="K12" i="18"/>
  <c r="L22" i="28"/>
  <c r="B9" i="57" l="1"/>
  <c r="H21" i="45"/>
  <c r="B4" i="57"/>
  <c r="I21" i="45"/>
  <c r="O24" i="55"/>
  <c r="U31" i="28"/>
  <c r="AB31" i="47"/>
  <c r="T31" i="47" s="1"/>
  <c r="G16" i="47" s="1"/>
  <c r="E16" i="47" s="1"/>
  <c r="X31" i="47"/>
  <c r="S31" i="47" s="1"/>
  <c r="D16" i="47" s="1"/>
  <c r="B16" i="47" s="1"/>
  <c r="K14" i="45" s="1"/>
  <c r="AE31" i="47"/>
  <c r="AB31" i="46"/>
  <c r="T31" i="46" s="1"/>
  <c r="G16" i="46" s="1"/>
  <c r="E16" i="46" s="1"/>
  <c r="X31" i="46"/>
  <c r="S31" i="46" s="1"/>
  <c r="D16" i="46" s="1"/>
  <c r="B16" i="46" s="1"/>
  <c r="K13" i="45" s="1"/>
  <c r="AE31" i="46"/>
  <c r="X31" i="48"/>
  <c r="B16" i="48" s="1"/>
  <c r="K15" i="45" s="1"/>
  <c r="AE31" i="48"/>
  <c r="AB31" i="48"/>
  <c r="G16" i="48" s="1"/>
  <c r="E16" i="48" s="1"/>
  <c r="AE31" i="44"/>
  <c r="AB31" i="44"/>
  <c r="T31" i="44" s="1"/>
  <c r="G16" i="44" s="1"/>
  <c r="E16" i="44" s="1"/>
  <c r="X31" i="44"/>
  <c r="S31" i="44" s="1"/>
  <c r="D16" i="44" s="1"/>
  <c r="B16" i="44" s="1"/>
  <c r="K12" i="45" s="1"/>
  <c r="X31" i="43"/>
  <c r="S31" i="43" s="1"/>
  <c r="D16" i="43" s="1"/>
  <c r="B16" i="43" s="1"/>
  <c r="K11" i="45" s="1"/>
  <c r="AE31" i="43"/>
  <c r="AB31" i="43"/>
  <c r="T31" i="43" s="1"/>
  <c r="G16" i="43" s="1"/>
  <c r="E16" i="43" s="1"/>
  <c r="AE31" i="42"/>
  <c r="X31" i="42"/>
  <c r="S31" i="42" s="1"/>
  <c r="D16" i="42" s="1"/>
  <c r="B16" i="42" s="1"/>
  <c r="AB31" i="42"/>
  <c r="T31" i="42" s="1"/>
  <c r="G16" i="42" s="1"/>
  <c r="E16" i="42" s="1"/>
  <c r="X31" i="28"/>
  <c r="S31" i="28" s="1"/>
  <c r="D16" i="28" s="1"/>
  <c r="AE31" i="28"/>
  <c r="AB31" i="41"/>
  <c r="T31" i="41" s="1"/>
  <c r="G16" i="41" s="1"/>
  <c r="E16" i="41" s="1"/>
  <c r="X31" i="41"/>
  <c r="S31" i="41" s="1"/>
  <c r="D16" i="41" s="1"/>
  <c r="B16" i="41" s="1"/>
  <c r="K9" i="45" s="1"/>
  <c r="AE31" i="41"/>
  <c r="AB31" i="40"/>
  <c r="T31" i="40" s="1"/>
  <c r="G16" i="40" s="1"/>
  <c r="E16" i="40" s="1"/>
  <c r="X31" i="40"/>
  <c r="S31" i="40" s="1"/>
  <c r="D16" i="40" s="1"/>
  <c r="B16" i="40" s="1"/>
  <c r="K8" i="45" s="1"/>
  <c r="AE31" i="40"/>
  <c r="T31" i="28"/>
  <c r="G16" i="28" s="1"/>
  <c r="I15" i="46"/>
  <c r="H15" i="46" s="1"/>
  <c r="L15" i="46"/>
  <c r="K15" i="46" s="1"/>
  <c r="J27" i="45" s="1"/>
  <c r="I15" i="38"/>
  <c r="H15" i="38" s="1"/>
  <c r="L15" i="38"/>
  <c r="K15" i="38" s="1"/>
  <c r="J20" i="45" s="1"/>
  <c r="L15" i="39"/>
  <c r="K15" i="39" s="1"/>
  <c r="I15" i="48"/>
  <c r="H15" i="48" s="1"/>
  <c r="L15" i="48"/>
  <c r="K15" i="48" s="1"/>
  <c r="J29" i="45" s="1"/>
  <c r="L15" i="47"/>
  <c r="K15" i="47" s="1"/>
  <c r="J28" i="45" s="1"/>
  <c r="I15" i="47"/>
  <c r="H15" i="47" s="1"/>
  <c r="D25" i="28"/>
  <c r="D31" i="28"/>
  <c r="D29" i="28"/>
  <c r="D27" i="28"/>
  <c r="D23" i="28"/>
  <c r="D28" i="28"/>
  <c r="D26" i="28"/>
  <c r="D24" i="28"/>
  <c r="AB29" i="28"/>
  <c r="AB28" i="28"/>
  <c r="AB27" i="28"/>
  <c r="AB22" i="28"/>
  <c r="AA29" i="28"/>
  <c r="AA28" i="28"/>
  <c r="AA27" i="28"/>
  <c r="AA22" i="28"/>
  <c r="Z27" i="28"/>
  <c r="Z28" i="28"/>
  <c r="Z29" i="28"/>
  <c r="Z22" i="28"/>
  <c r="R27" i="28"/>
  <c r="R28" i="28"/>
  <c r="D13" i="28" s="1"/>
  <c r="R29" i="28"/>
  <c r="D14" i="28" s="1"/>
  <c r="R22" i="28"/>
  <c r="C23" i="28"/>
  <c r="C24" i="28"/>
  <c r="C25" i="28"/>
  <c r="C26" i="28"/>
  <c r="C27" i="28"/>
  <c r="C28" i="28"/>
  <c r="C29" i="28"/>
  <c r="C31" i="28"/>
  <c r="C22" i="28"/>
  <c r="K23" i="28"/>
  <c r="L23" i="28"/>
  <c r="M23" i="28"/>
  <c r="N23" i="28"/>
  <c r="F23" i="28" s="1"/>
  <c r="I8" i="28" s="1"/>
  <c r="K24" i="28"/>
  <c r="L24" i="28"/>
  <c r="M24" i="28"/>
  <c r="N24" i="28"/>
  <c r="K25" i="28"/>
  <c r="L25" i="28"/>
  <c r="M25" i="28"/>
  <c r="N25" i="28"/>
  <c r="K26" i="28"/>
  <c r="L26" i="28"/>
  <c r="M26" i="28"/>
  <c r="N26" i="28"/>
  <c r="K27" i="28"/>
  <c r="L27" i="28"/>
  <c r="M27" i="28"/>
  <c r="N27" i="28"/>
  <c r="K28" i="28"/>
  <c r="L28" i="28"/>
  <c r="M28" i="28"/>
  <c r="N28" i="28"/>
  <c r="K29" i="28"/>
  <c r="L29" i="28"/>
  <c r="M29" i="28"/>
  <c r="N29" i="28"/>
  <c r="K31" i="28"/>
  <c r="L31" i="28"/>
  <c r="M31" i="28"/>
  <c r="N31" i="28"/>
  <c r="N22" i="28"/>
  <c r="M22" i="28"/>
  <c r="K22" i="28"/>
  <c r="C2" i="34"/>
  <c r="C2" i="33"/>
  <c r="C2" i="30"/>
  <c r="P25" i="32"/>
  <c r="P24" i="32"/>
  <c r="P23" i="32"/>
  <c r="P22" i="32"/>
  <c r="P21" i="32"/>
  <c r="P20" i="32"/>
  <c r="P17" i="32"/>
  <c r="D13" i="31"/>
  <c r="D12" i="31"/>
  <c r="D11" i="31"/>
  <c r="D8" i="31"/>
  <c r="D7" i="31"/>
  <c r="D6" i="31"/>
  <c r="B7" i="31"/>
  <c r="B10" i="31"/>
  <c r="B12" i="31"/>
  <c r="B13" i="31"/>
  <c r="B14" i="31"/>
  <c r="B15" i="31"/>
  <c r="B16" i="31"/>
  <c r="B17" i="31"/>
  <c r="B18" i="31"/>
  <c r="B19" i="31"/>
  <c r="B20" i="31"/>
  <c r="B21" i="31"/>
  <c r="B22" i="31"/>
  <c r="B23" i="31"/>
  <c r="B24" i="31"/>
  <c r="B25" i="31"/>
  <c r="I24" i="18"/>
  <c r="I23" i="18"/>
  <c r="I22" i="18"/>
  <c r="I21" i="18"/>
  <c r="I20" i="18"/>
  <c r="I19" i="18"/>
  <c r="I18" i="18"/>
  <c r="I17" i="18"/>
  <c r="I16" i="18"/>
  <c r="I14" i="18"/>
  <c r="I15" i="18"/>
  <c r="I13" i="18"/>
  <c r="I12" i="18"/>
  <c r="K11" i="18"/>
  <c r="I11" i="18"/>
  <c r="K10" i="18"/>
  <c r="I10" i="18"/>
  <c r="I9" i="18"/>
  <c r="I8" i="18"/>
  <c r="I7" i="18"/>
  <c r="K7" i="18"/>
  <c r="K6" i="18"/>
  <c r="I6" i="18"/>
  <c r="I5" i="18"/>
  <c r="K5" i="18"/>
  <c r="B6" i="18"/>
  <c r="E22" i="28" l="1"/>
  <c r="M16" i="28"/>
  <c r="P21" i="55"/>
  <c r="M21" i="55"/>
  <c r="E21" i="55" s="1"/>
  <c r="I21" i="55"/>
  <c r="D21" i="55" s="1"/>
  <c r="P24" i="55"/>
  <c r="M24" i="55"/>
  <c r="E24" i="55" s="1"/>
  <c r="I24" i="55"/>
  <c r="D24" i="55" s="1"/>
  <c r="C10" i="55" s="1"/>
  <c r="B10" i="55" s="1"/>
  <c r="B12" i="52" s="1"/>
  <c r="P25" i="55"/>
  <c r="M25" i="55"/>
  <c r="E25" i="55" s="1"/>
  <c r="I25" i="55"/>
  <c r="D25" i="55" s="1"/>
  <c r="C11" i="55" s="1"/>
  <c r="B11" i="55" s="1"/>
  <c r="B21" i="52" s="1"/>
  <c r="P26" i="55"/>
  <c r="M26" i="55"/>
  <c r="E26" i="55" s="1"/>
  <c r="I26" i="55"/>
  <c r="D26" i="55" s="1"/>
  <c r="C12" i="55" s="1"/>
  <c r="B12" i="55" s="1"/>
  <c r="B22" i="52" s="1"/>
  <c r="P27" i="55"/>
  <c r="M27" i="55"/>
  <c r="E27" i="55" s="1"/>
  <c r="I27" i="55"/>
  <c r="D27" i="55" s="1"/>
  <c r="C13" i="55" s="1"/>
  <c r="B13" i="55" s="1"/>
  <c r="B19" i="52" s="1"/>
  <c r="P28" i="55"/>
  <c r="M28" i="55"/>
  <c r="E28" i="55" s="1"/>
  <c r="I28" i="55"/>
  <c r="D28" i="55" s="1"/>
  <c r="C14" i="55" s="1"/>
  <c r="B14" i="55" s="1"/>
  <c r="B18" i="52" s="1"/>
  <c r="P29" i="55"/>
  <c r="M29" i="55"/>
  <c r="E29" i="55" s="1"/>
  <c r="I29" i="55"/>
  <c r="D29" i="55" s="1"/>
  <c r="C15" i="55" s="1"/>
  <c r="B15" i="55" s="1"/>
  <c r="B15" i="52" s="1"/>
  <c r="K10" i="45"/>
  <c r="J21" i="45"/>
  <c r="B3" i="57"/>
  <c r="L10" i="55"/>
  <c r="K10" i="55" s="1"/>
  <c r="B12" i="57" s="1"/>
  <c r="I10" i="55"/>
  <c r="H10" i="55" s="1"/>
  <c r="B12" i="56" s="1"/>
  <c r="J16" i="28"/>
  <c r="J16" i="42"/>
  <c r="H16" i="42" s="1"/>
  <c r="M16" i="42"/>
  <c r="K16" i="42" s="1"/>
  <c r="K24" i="45" s="1"/>
  <c r="J16" i="48"/>
  <c r="H16" i="48" s="1"/>
  <c r="M16" i="48"/>
  <c r="K16" i="48" s="1"/>
  <c r="K29" i="45" s="1"/>
  <c r="J16" i="41"/>
  <c r="H16" i="41" s="1"/>
  <c r="M16" i="41"/>
  <c r="K16" i="41" s="1"/>
  <c r="K23" i="45" s="1"/>
  <c r="J16" i="43"/>
  <c r="H16" i="43" s="1"/>
  <c r="M16" i="43"/>
  <c r="K16" i="43" s="1"/>
  <c r="K25" i="45" s="1"/>
  <c r="J16" i="47"/>
  <c r="H16" i="47" s="1"/>
  <c r="M16" i="47"/>
  <c r="K16" i="47" s="1"/>
  <c r="K28" i="45" s="1"/>
  <c r="M16" i="46"/>
  <c r="K16" i="46" s="1"/>
  <c r="K27" i="45" s="1"/>
  <c r="J16" i="46"/>
  <c r="H16" i="46" s="1"/>
  <c r="M16" i="40"/>
  <c r="K16" i="40" s="1"/>
  <c r="K22" i="45" s="1"/>
  <c r="J16" i="40"/>
  <c r="H16" i="40" s="1"/>
  <c r="J16" i="44"/>
  <c r="H16" i="44" s="1"/>
  <c r="M16" i="44"/>
  <c r="K16" i="44" s="1"/>
  <c r="K26" i="45" s="1"/>
  <c r="C2" i="32"/>
  <c r="U29" i="28"/>
  <c r="J14" i="28" s="1"/>
  <c r="U28" i="28"/>
  <c r="M13" i="28" s="1"/>
  <c r="U27" i="28"/>
  <c r="M12" i="28" s="1"/>
  <c r="T22" i="28"/>
  <c r="G7" i="28" s="1"/>
  <c r="U22" i="28"/>
  <c r="F26" i="28"/>
  <c r="I11" i="28" s="1"/>
  <c r="H11" i="28" s="1"/>
  <c r="C8" i="28"/>
  <c r="B8" i="28" s="1"/>
  <c r="C5" i="45" s="1"/>
  <c r="F31" i="28"/>
  <c r="I16" i="28" s="1"/>
  <c r="F29" i="28"/>
  <c r="I14" i="28" s="1"/>
  <c r="F27" i="28"/>
  <c r="I12" i="28" s="1"/>
  <c r="F25" i="28"/>
  <c r="I10" i="28" s="1"/>
  <c r="H10" i="28" s="1"/>
  <c r="H8" i="28"/>
  <c r="F22" i="28"/>
  <c r="I7" i="28" s="1"/>
  <c r="F7" i="28"/>
  <c r="F28" i="28"/>
  <c r="I13" i="28" s="1"/>
  <c r="F24" i="28"/>
  <c r="I9" i="28" s="1"/>
  <c r="H9" i="28" s="1"/>
  <c r="B16" i="28"/>
  <c r="K5" i="45" s="1"/>
  <c r="T28" i="28"/>
  <c r="G13" i="28" s="1"/>
  <c r="T27" i="28"/>
  <c r="G12" i="28" s="1"/>
  <c r="C9" i="28"/>
  <c r="B9" i="28" s="1"/>
  <c r="D5" i="45" s="1"/>
  <c r="T29" i="28"/>
  <c r="G14" i="28" s="1"/>
  <c r="E24" i="28"/>
  <c r="F9" i="28" s="1"/>
  <c r="E9" i="28" s="1"/>
  <c r="E28" i="28"/>
  <c r="F13" i="28" s="1"/>
  <c r="E26" i="28"/>
  <c r="F11" i="28" s="1"/>
  <c r="E11" i="28" s="1"/>
  <c r="E31" i="28"/>
  <c r="F16" i="28" s="1"/>
  <c r="E16" i="28" s="1"/>
  <c r="E29" i="28"/>
  <c r="F14" i="28" s="1"/>
  <c r="E27" i="28"/>
  <c r="F12" i="28" s="1"/>
  <c r="E25" i="28"/>
  <c r="F10" i="28" s="1"/>
  <c r="E10" i="28" s="1"/>
  <c r="E23" i="28"/>
  <c r="F8" i="28" s="1"/>
  <c r="E8" i="28" s="1"/>
  <c r="C11" i="28"/>
  <c r="B11" i="28" s="1"/>
  <c r="F5" i="45" s="1"/>
  <c r="C10" i="28"/>
  <c r="B10" i="28" s="1"/>
  <c r="E5" i="45" s="1"/>
  <c r="D7" i="28"/>
  <c r="C14" i="28"/>
  <c r="B14" i="28" s="1"/>
  <c r="I5" i="45" s="1"/>
  <c r="C13" i="28"/>
  <c r="B13" i="28" s="1"/>
  <c r="H5" i="45" s="1"/>
  <c r="C12" i="28"/>
  <c r="D12" i="28"/>
  <c r="C23" i="51" l="1"/>
  <c r="F15" i="55"/>
  <c r="E15" i="55" s="1"/>
  <c r="I15" i="55"/>
  <c r="H15" i="55" s="1"/>
  <c r="B15" i="56" s="1"/>
  <c r="L15" i="55"/>
  <c r="K15" i="55" s="1"/>
  <c r="B15" i="57" s="1"/>
  <c r="C22" i="51"/>
  <c r="F14" i="55"/>
  <c r="E14" i="55" s="1"/>
  <c r="I14" i="55"/>
  <c r="H14" i="55" s="1"/>
  <c r="B18" i="56" s="1"/>
  <c r="L14" i="55"/>
  <c r="K14" i="55" s="1"/>
  <c r="B18" i="57" s="1"/>
  <c r="F13" i="55"/>
  <c r="E13" i="55" s="1"/>
  <c r="C21" i="51"/>
  <c r="I13" i="55"/>
  <c r="H13" i="55" s="1"/>
  <c r="B19" i="56" s="1"/>
  <c r="L13" i="55"/>
  <c r="K13" i="55" s="1"/>
  <c r="B19" i="57" s="1"/>
  <c r="F12" i="55"/>
  <c r="E12" i="55" s="1"/>
  <c r="C20" i="51"/>
  <c r="L12" i="55"/>
  <c r="K12" i="55" s="1"/>
  <c r="B22" i="57" s="1"/>
  <c r="I12" i="55"/>
  <c r="H12" i="55" s="1"/>
  <c r="B22" i="56" s="1"/>
  <c r="F11" i="55"/>
  <c r="E11" i="55" s="1"/>
  <c r="C19" i="51"/>
  <c r="I11" i="55"/>
  <c r="H11" i="55" s="1"/>
  <c r="B21" i="56" s="1"/>
  <c r="L11" i="55"/>
  <c r="K11" i="55" s="1"/>
  <c r="B21" i="57" s="1"/>
  <c r="F10" i="55"/>
  <c r="E10" i="55" s="1"/>
  <c r="C18" i="51"/>
  <c r="C7" i="55"/>
  <c r="B7" i="55" s="1"/>
  <c r="B11" i="52" s="1"/>
  <c r="F7" i="55"/>
  <c r="E7" i="55" s="1"/>
  <c r="C15" i="51"/>
  <c r="I7" i="55"/>
  <c r="H7" i="55" s="1"/>
  <c r="B11" i="56" s="1"/>
  <c r="L7" i="55"/>
  <c r="K7" i="55" s="1"/>
  <c r="B11" i="57" s="1"/>
  <c r="H16" i="28"/>
  <c r="J13" i="28"/>
  <c r="H13" i="28" s="1"/>
  <c r="H14" i="28"/>
  <c r="J12" i="28"/>
  <c r="H12" i="28" s="1"/>
  <c r="M14" i="28"/>
  <c r="L9" i="28"/>
  <c r="K9" i="28" s="1"/>
  <c r="D19" i="45" s="1"/>
  <c r="L10" i="28"/>
  <c r="K10" i="28" s="1"/>
  <c r="E19" i="45" s="1"/>
  <c r="M7" i="28"/>
  <c r="J7" i="28"/>
  <c r="L16" i="28"/>
  <c r="K16" i="28" s="1"/>
  <c r="K19" i="45" s="1"/>
  <c r="L11" i="28"/>
  <c r="K11" i="28" s="1"/>
  <c r="F19" i="45" s="1"/>
  <c r="L13" i="28"/>
  <c r="K13" i="28" s="1"/>
  <c r="H19" i="45" s="1"/>
  <c r="L14" i="28"/>
  <c r="B7" i="28"/>
  <c r="B5" i="45" s="1"/>
  <c r="L12" i="28"/>
  <c r="K12" i="28" s="1"/>
  <c r="G19" i="45" s="1"/>
  <c r="L7" i="28"/>
  <c r="L8" i="28"/>
  <c r="K8" i="28" s="1"/>
  <c r="C19" i="45" s="1"/>
  <c r="B12" i="28"/>
  <c r="G5" i="45" s="1"/>
  <c r="E7" i="28"/>
  <c r="E13" i="28"/>
  <c r="E14" i="28"/>
  <c r="E12" i="28"/>
  <c r="B5" i="18"/>
  <c r="B85" i="11"/>
  <c r="K14" i="28" l="1"/>
  <c r="I19" i="45" s="1"/>
  <c r="K7" i="28"/>
  <c r="B19" i="45" s="1"/>
  <c r="H7" i="28"/>
  <c r="B15" i="11"/>
  <c r="O88" i="11"/>
  <c r="L46" i="11"/>
  <c r="B30" i="11" l="1"/>
  <c r="L126" i="11" l="1"/>
  <c r="K126" i="11"/>
  <c r="J126" i="11"/>
  <c r="I126" i="11"/>
  <c r="H126" i="11"/>
  <c r="G126" i="11"/>
  <c r="F126" i="11"/>
  <c r="E126" i="11"/>
  <c r="Q12" i="13"/>
  <c r="W12" i="13"/>
  <c r="U12" i="13"/>
  <c r="S12" i="13"/>
  <c r="O12" i="13"/>
  <c r="M12" i="13"/>
  <c r="K12" i="13"/>
  <c r="I12" i="13"/>
  <c r="G12" i="13"/>
  <c r="E12" i="13"/>
  <c r="C126" i="11"/>
  <c r="D126" i="11"/>
  <c r="B126" i="11"/>
  <c r="B13" i="13"/>
  <c r="O200" i="11"/>
  <c r="O201" i="11"/>
  <c r="P201" i="11"/>
  <c r="P200" i="11" s="1"/>
  <c r="O193" i="11"/>
  <c r="O185" i="11"/>
  <c r="O187" i="11"/>
  <c r="P187" i="11"/>
  <c r="O179" i="11"/>
  <c r="P179" i="11"/>
  <c r="O177" i="11"/>
  <c r="O171" i="11"/>
  <c r="P171" i="11"/>
  <c r="O161" i="11"/>
  <c r="P161" i="11"/>
  <c r="O163" i="11"/>
  <c r="P163" i="11"/>
  <c r="O153" i="11"/>
  <c r="P153" i="11"/>
  <c r="O145" i="11"/>
  <c r="P145" i="11"/>
  <c r="O137" i="11"/>
  <c r="P137" i="11"/>
  <c r="O129" i="11"/>
  <c r="P129" i="11"/>
  <c r="O121" i="11"/>
  <c r="P121" i="11"/>
  <c r="O113" i="11"/>
  <c r="P113" i="11"/>
  <c r="M106" i="11"/>
  <c r="N106" i="11"/>
  <c r="O105" i="11"/>
  <c r="P105" i="11"/>
  <c r="O97" i="11"/>
  <c r="P97" i="11"/>
  <c r="P88" i="11"/>
  <c r="O80" i="11"/>
  <c r="P80" i="11"/>
  <c r="O71" i="11"/>
  <c r="P71" i="11"/>
  <c r="O63" i="11"/>
  <c r="P63" i="11"/>
  <c r="F48" i="11"/>
  <c r="G48" i="11"/>
  <c r="J48" i="11"/>
  <c r="K48" i="11"/>
  <c r="L48" i="11"/>
  <c r="O54" i="11"/>
  <c r="P54" i="11"/>
  <c r="O46" i="11"/>
  <c r="P46" i="11"/>
  <c r="O37" i="11"/>
  <c r="P37" i="11"/>
  <c r="O38" i="11"/>
  <c r="O36" i="11" s="1"/>
  <c r="P38" i="11"/>
  <c r="P36" i="11" s="1"/>
  <c r="O29" i="11"/>
  <c r="P29" i="11"/>
  <c r="O30" i="11"/>
  <c r="P30" i="11"/>
  <c r="O21" i="11"/>
  <c r="P21" i="11"/>
  <c r="O22" i="11"/>
  <c r="O20" i="11" s="1"/>
  <c r="E7" i="25" s="1"/>
  <c r="P22" i="11"/>
  <c r="P20" i="11" s="1"/>
  <c r="O13" i="11"/>
  <c r="P13" i="11"/>
  <c r="O14" i="11"/>
  <c r="P14" i="11"/>
  <c r="O5" i="11"/>
  <c r="P5" i="11"/>
  <c r="C21" i="13"/>
  <c r="O6" i="11"/>
  <c r="P6" i="11"/>
  <c r="C187" i="11"/>
  <c r="D187" i="11"/>
  <c r="E187" i="11"/>
  <c r="F187" i="11"/>
  <c r="G187" i="11"/>
  <c r="H187" i="11"/>
  <c r="I187" i="11"/>
  <c r="J187" i="11"/>
  <c r="K187" i="11"/>
  <c r="L187" i="11"/>
  <c r="B187" i="11"/>
  <c r="C179" i="11"/>
  <c r="D179" i="11"/>
  <c r="E179" i="11"/>
  <c r="F179" i="11"/>
  <c r="G179" i="11"/>
  <c r="H179" i="11"/>
  <c r="I179" i="11"/>
  <c r="J179" i="11"/>
  <c r="K179" i="11"/>
  <c r="L179" i="11"/>
  <c r="B179" i="11"/>
  <c r="C171" i="11"/>
  <c r="D171" i="11"/>
  <c r="E171" i="11"/>
  <c r="F171" i="11"/>
  <c r="G171" i="11"/>
  <c r="H171" i="11"/>
  <c r="I171" i="11"/>
  <c r="J171" i="11"/>
  <c r="K171" i="11"/>
  <c r="L171" i="11"/>
  <c r="B171" i="11"/>
  <c r="C163" i="11"/>
  <c r="D163" i="11"/>
  <c r="E163" i="11"/>
  <c r="F163" i="11"/>
  <c r="G163" i="11"/>
  <c r="H163" i="11"/>
  <c r="I163" i="11"/>
  <c r="J163" i="11"/>
  <c r="K163" i="11"/>
  <c r="L163" i="11"/>
  <c r="B163" i="11"/>
  <c r="B20" i="18"/>
  <c r="O162" i="11" s="1"/>
  <c r="B7" i="18"/>
  <c r="O47" i="11" s="1"/>
  <c r="B8" i="18"/>
  <c r="P55" i="11" s="1"/>
  <c r="B9" i="18"/>
  <c r="B10" i="18"/>
  <c r="B81" i="11" s="1"/>
  <c r="B11" i="18"/>
  <c r="B12" i="18"/>
  <c r="B13" i="18"/>
  <c r="B14" i="18"/>
  <c r="O114" i="11" s="1"/>
  <c r="O112" i="11" s="1"/>
  <c r="B15" i="18"/>
  <c r="O122" i="11" s="1"/>
  <c r="O120" i="11" s="1"/>
  <c r="B16" i="18"/>
  <c r="B17" i="18"/>
  <c r="O138" i="11" s="1"/>
  <c r="O136" i="11" s="1"/>
  <c r="B18" i="18"/>
  <c r="H146" i="11" s="1"/>
  <c r="B19" i="18"/>
  <c r="D154" i="11" s="1"/>
  <c r="B21" i="18"/>
  <c r="B22" i="18"/>
  <c r="B23" i="18"/>
  <c r="O186" i="11" s="1"/>
  <c r="B24" i="18"/>
  <c r="O194" i="11" s="1"/>
  <c r="B25" i="18"/>
  <c r="AA10" i="13"/>
  <c r="Y10" i="13"/>
  <c r="Y6" i="13"/>
  <c r="B20" i="13"/>
  <c r="C20" i="13"/>
  <c r="D20" i="13"/>
  <c r="E20" i="13" s="1"/>
  <c r="C68" i="11" s="1"/>
  <c r="F20" i="13"/>
  <c r="G20" i="13" s="1"/>
  <c r="D68" i="11" s="1"/>
  <c r="H20" i="13"/>
  <c r="I20" i="13" s="1"/>
  <c r="E68" i="11" s="1"/>
  <c r="J20" i="13"/>
  <c r="K20" i="13" s="1"/>
  <c r="F68" i="11" s="1"/>
  <c r="L20" i="13"/>
  <c r="M20" i="13" s="1"/>
  <c r="G68" i="11" s="1"/>
  <c r="N20" i="13"/>
  <c r="O20" i="13" s="1"/>
  <c r="H68" i="11" s="1"/>
  <c r="P20" i="13"/>
  <c r="Q20" i="13" s="1"/>
  <c r="I68" i="11" s="1"/>
  <c r="R20" i="13"/>
  <c r="S20" i="13" s="1"/>
  <c r="J68" i="11" s="1"/>
  <c r="T20" i="13"/>
  <c r="U20" i="13" s="1"/>
  <c r="K68" i="11" s="1"/>
  <c r="V20" i="13"/>
  <c r="W20" i="13" s="1"/>
  <c r="L68" i="11" s="1"/>
  <c r="F34" i="13"/>
  <c r="F35" i="13"/>
  <c r="F36" i="13"/>
  <c r="F37" i="13"/>
  <c r="F33" i="13"/>
  <c r="G33" i="13" s="1"/>
  <c r="I56" i="11"/>
  <c r="I48" i="11" s="1"/>
  <c r="H56" i="11"/>
  <c r="H48" i="11" s="1"/>
  <c r="E56" i="11"/>
  <c r="E48" i="11" s="1"/>
  <c r="B56" i="11"/>
  <c r="C9" i="13"/>
  <c r="E3" i="20"/>
  <c r="J146" i="11" l="1"/>
  <c r="B154" i="11"/>
  <c r="E154" i="11"/>
  <c r="P47" i="11"/>
  <c r="P45" i="11" s="1"/>
  <c r="P162" i="11"/>
  <c r="P178" i="11"/>
  <c r="B72" i="11"/>
  <c r="I146" i="11"/>
  <c r="L154" i="11"/>
  <c r="P122" i="11"/>
  <c r="P138" i="11"/>
  <c r="P136" i="11" s="1"/>
  <c r="O178" i="11"/>
  <c r="K154" i="11"/>
  <c r="C154" i="11"/>
  <c r="P72" i="11"/>
  <c r="P89" i="11"/>
  <c r="P154" i="11"/>
  <c r="P152" i="11" s="1"/>
  <c r="P194" i="11"/>
  <c r="G146" i="11"/>
  <c r="J154" i="11"/>
  <c r="O72" i="11"/>
  <c r="O89" i="11"/>
  <c r="O154" i="11"/>
  <c r="O152" i="11" s="1"/>
  <c r="F146" i="11"/>
  <c r="I154" i="11"/>
  <c r="C202" i="11"/>
  <c r="K202" i="11"/>
  <c r="L202" i="11"/>
  <c r="D202" i="11"/>
  <c r="E202" i="11"/>
  <c r="B202" i="11"/>
  <c r="J202" i="11"/>
  <c r="F202" i="11"/>
  <c r="G202" i="11"/>
  <c r="H202" i="11"/>
  <c r="I202" i="11"/>
  <c r="B146" i="11"/>
  <c r="E146" i="11"/>
  <c r="H154" i="11"/>
  <c r="O55" i="11"/>
  <c r="P98" i="11"/>
  <c r="P96" i="11" s="1"/>
  <c r="P95" i="11" s="1"/>
  <c r="P114" i="11"/>
  <c r="P112" i="11" s="1"/>
  <c r="P130" i="11"/>
  <c r="P146" i="11"/>
  <c r="P144" i="11" s="1"/>
  <c r="L146" i="11"/>
  <c r="D146" i="11"/>
  <c r="G154" i="11"/>
  <c r="L55" i="11"/>
  <c r="P64" i="11"/>
  <c r="P81" i="11"/>
  <c r="P79" i="11" s="1"/>
  <c r="O98" i="11"/>
  <c r="O96" i="11" s="1"/>
  <c r="O130" i="11"/>
  <c r="O128" i="11" s="1"/>
  <c r="O146" i="11"/>
  <c r="O144" i="11" s="1"/>
  <c r="P170" i="11"/>
  <c r="K146" i="11"/>
  <c r="C146" i="11"/>
  <c r="F154" i="11"/>
  <c r="O64" i="11"/>
  <c r="O62" i="11" s="1"/>
  <c r="O81" i="11"/>
  <c r="O79" i="11" s="1"/>
  <c r="O170" i="11"/>
  <c r="P186" i="11"/>
  <c r="P87" i="11"/>
  <c r="P106" i="11"/>
  <c r="P104" i="11" s="1"/>
  <c r="P120" i="11"/>
  <c r="P53" i="11"/>
  <c r="P44" i="11" s="1"/>
  <c r="O53" i="11"/>
  <c r="P62" i="11"/>
  <c r="P61" i="11" s="1"/>
  <c r="O160" i="11"/>
  <c r="O184" i="11"/>
  <c r="O45" i="11"/>
  <c r="O44" i="11" s="1"/>
  <c r="O176" i="11"/>
  <c r="O192" i="11"/>
  <c r="P70" i="11"/>
  <c r="O70" i="11"/>
  <c r="O87" i="11"/>
  <c r="B48" i="11"/>
  <c r="O106" i="11"/>
  <c r="O104" i="11" s="1"/>
  <c r="O95" i="11" s="1"/>
  <c r="P128" i="11"/>
  <c r="P160" i="11"/>
  <c r="M34" i="11"/>
  <c r="M29" i="11" s="1"/>
  <c r="M26" i="11"/>
  <c r="M21" i="11" s="1"/>
  <c r="M18" i="11"/>
  <c r="M13" i="11" s="1"/>
  <c r="M10" i="11"/>
  <c r="M5" i="11" s="1"/>
  <c r="M102" i="11"/>
  <c r="M97" i="11" s="1"/>
  <c r="M110" i="11"/>
  <c r="M105" i="11" s="1"/>
  <c r="N102" i="11"/>
  <c r="N97" i="11" s="1"/>
  <c r="N110" i="11"/>
  <c r="N105" i="11" s="1"/>
  <c r="B68" i="11"/>
  <c r="B63" i="11" s="1"/>
  <c r="P78" i="11" l="1"/>
  <c r="O78" i="11"/>
  <c r="O61" i="11"/>
  <c r="C18" i="20" l="1"/>
  <c r="C19" i="20"/>
  <c r="C20" i="20"/>
  <c r="C21" i="20"/>
  <c r="C22" i="20"/>
  <c r="C23" i="20"/>
  <c r="C24" i="20"/>
  <c r="C25" i="20"/>
  <c r="C26" i="20"/>
  <c r="C27" i="20"/>
  <c r="C17" i="20"/>
  <c r="B18" i="20"/>
  <c r="B19" i="20"/>
  <c r="B20" i="20"/>
  <c r="B21" i="20"/>
  <c r="B22" i="20"/>
  <c r="B23" i="20"/>
  <c r="B24" i="20"/>
  <c r="B25" i="20"/>
  <c r="B26" i="20"/>
  <c r="B27" i="20"/>
  <c r="B17" i="20"/>
  <c r="E13" i="20"/>
  <c r="I4" i="20"/>
  <c r="I5" i="20"/>
  <c r="I6" i="20"/>
  <c r="I7" i="20"/>
  <c r="I8" i="20"/>
  <c r="I9" i="20"/>
  <c r="I10" i="20"/>
  <c r="I11" i="20"/>
  <c r="I12" i="20"/>
  <c r="I13" i="20"/>
  <c r="L201" i="11"/>
  <c r="L200" i="11" s="1"/>
  <c r="K201" i="11"/>
  <c r="K200" i="11" s="1"/>
  <c r="J201" i="11"/>
  <c r="J200" i="11" s="1"/>
  <c r="I201" i="11"/>
  <c r="I200" i="11" s="1"/>
  <c r="H201" i="11"/>
  <c r="H200" i="11" s="1"/>
  <c r="G201" i="11"/>
  <c r="G200" i="11" s="1"/>
  <c r="F201" i="11"/>
  <c r="F200" i="11" s="1"/>
  <c r="E201" i="11"/>
  <c r="E200" i="11" s="1"/>
  <c r="D201" i="11"/>
  <c r="D200" i="11" s="1"/>
  <c r="C201" i="11"/>
  <c r="C200" i="11" s="1"/>
  <c r="B201" i="11"/>
  <c r="F6" i="14"/>
  <c r="C15" i="14"/>
  <c r="C14" i="14"/>
  <c r="C13" i="14"/>
  <c r="C12" i="14"/>
  <c r="C11" i="14"/>
  <c r="C10" i="14"/>
  <c r="C9" i="14"/>
  <c r="C7" i="14"/>
  <c r="C6" i="14"/>
  <c r="C5" i="14"/>
  <c r="C4" i="14"/>
  <c r="F15" i="14"/>
  <c r="B15" i="14"/>
  <c r="F14" i="14"/>
  <c r="B14" i="14"/>
  <c r="F13" i="14"/>
  <c r="B13" i="14"/>
  <c r="B12" i="14"/>
  <c r="F11" i="14"/>
  <c r="B11" i="14"/>
  <c r="F10" i="14"/>
  <c r="B10" i="14"/>
  <c r="F9" i="14"/>
  <c r="B4" i="14"/>
  <c r="B5" i="14"/>
  <c r="B6" i="14"/>
  <c r="F7" i="14"/>
  <c r="B7" i="14"/>
  <c r="F8" i="14"/>
  <c r="E8" i="14"/>
  <c r="B8" i="14"/>
  <c r="D8" i="14"/>
  <c r="F5" i="14"/>
  <c r="F4" i="14"/>
  <c r="F12" i="14" s="1"/>
  <c r="F33" i="20"/>
  <c r="F35" i="20" s="1"/>
  <c r="F6" i="20" s="1"/>
  <c r="G33" i="20"/>
  <c r="G35" i="20" s="1"/>
  <c r="H33" i="20"/>
  <c r="H35" i="20" s="1"/>
  <c r="I33" i="20"/>
  <c r="I35" i="20" s="1"/>
  <c r="J33" i="20"/>
  <c r="J35" i="20" s="1"/>
  <c r="K33" i="20"/>
  <c r="K35" i="20" s="1"/>
  <c r="E31" i="20"/>
  <c r="E33" i="20" s="1"/>
  <c r="E35" i="20" s="1"/>
  <c r="O31" i="20"/>
  <c r="V15" i="13"/>
  <c r="T15" i="13"/>
  <c r="R15" i="13"/>
  <c r="P15" i="13"/>
  <c r="N15" i="13"/>
  <c r="L15" i="13"/>
  <c r="J15" i="13"/>
  <c r="H15" i="13"/>
  <c r="F15" i="13"/>
  <c r="D15" i="13"/>
  <c r="B15" i="13"/>
  <c r="C17" i="13"/>
  <c r="B182" i="11"/>
  <c r="B16" i="13"/>
  <c r="B200" i="11" l="1"/>
  <c r="E10" i="20"/>
  <c r="E5" i="20"/>
  <c r="K4" i="20"/>
  <c r="K10" i="20"/>
  <c r="K3" i="20"/>
  <c r="J4" i="20"/>
  <c r="J10" i="20"/>
  <c r="J3" i="20"/>
  <c r="I3" i="20"/>
  <c r="H7" i="20"/>
  <c r="H10" i="20"/>
  <c r="H3" i="20"/>
  <c r="G7" i="20"/>
  <c r="G10" i="20"/>
  <c r="G3" i="20"/>
  <c r="F10" i="20"/>
  <c r="F3" i="20"/>
  <c r="C3" i="20"/>
  <c r="E12" i="20"/>
  <c r="E11" i="20"/>
  <c r="K11" i="20"/>
  <c r="E9" i="20"/>
  <c r="K9" i="20"/>
  <c r="E8" i="20"/>
  <c r="K8" i="20"/>
  <c r="E7" i="20"/>
  <c r="K7" i="20"/>
  <c r="K12" i="20"/>
  <c r="E6" i="20"/>
  <c r="K6" i="20"/>
  <c r="E4" i="20"/>
  <c r="K5" i="20"/>
  <c r="K13" i="20"/>
  <c r="H13" i="20"/>
  <c r="J9" i="20"/>
  <c r="J6" i="20"/>
  <c r="G13" i="20"/>
  <c r="F13" i="20"/>
  <c r="H8" i="20"/>
  <c r="J5" i="20"/>
  <c r="G8" i="20"/>
  <c r="F12" i="20"/>
  <c r="F8" i="20"/>
  <c r="H4" i="20"/>
  <c r="F4" i="20"/>
  <c r="J11" i="20"/>
  <c r="F7" i="20"/>
  <c r="H5" i="20"/>
  <c r="G9" i="20"/>
  <c r="G5" i="20"/>
  <c r="J12" i="20"/>
  <c r="H11" i="20"/>
  <c r="F9" i="20"/>
  <c r="J7" i="20"/>
  <c r="H6" i="20"/>
  <c r="F5" i="20"/>
  <c r="G4" i="20"/>
  <c r="H9" i="20"/>
  <c r="G11" i="20"/>
  <c r="G6" i="20"/>
  <c r="J13" i="20"/>
  <c r="H12" i="20"/>
  <c r="F11" i="20"/>
  <c r="J8" i="20"/>
  <c r="G12" i="20"/>
  <c r="C11" i="17"/>
  <c r="D11" i="17"/>
  <c r="E11" i="17"/>
  <c r="F11" i="17"/>
  <c r="G11" i="17"/>
  <c r="H11" i="17"/>
  <c r="I11" i="17"/>
  <c r="J11" i="17"/>
  <c r="K11" i="17"/>
  <c r="L11" i="17"/>
  <c r="B11" i="17"/>
  <c r="E10" i="17"/>
  <c r="J10" i="17"/>
  <c r="J9" i="17"/>
  <c r="E9" i="17"/>
  <c r="E7" i="17"/>
  <c r="J7" i="17" s="1"/>
  <c r="C10" i="20" l="1"/>
  <c r="C6" i="20"/>
  <c r="C4" i="20"/>
  <c r="C7" i="20"/>
  <c r="C13" i="20"/>
  <c r="C9" i="20"/>
  <c r="C8" i="20"/>
  <c r="C12" i="20"/>
  <c r="C11" i="20"/>
  <c r="C5" i="20"/>
  <c r="E8" i="17"/>
  <c r="J8" i="17" s="1"/>
  <c r="V5" i="11" l="1"/>
  <c r="W6" i="13"/>
  <c r="L42" i="11" s="1"/>
  <c r="U6" i="13"/>
  <c r="K42" i="11" s="1"/>
  <c r="S6" i="13"/>
  <c r="J26" i="11" s="1"/>
  <c r="Q6" i="13"/>
  <c r="I26" i="11" s="1"/>
  <c r="O6" i="13"/>
  <c r="H10" i="11" s="1"/>
  <c r="M6" i="13"/>
  <c r="G34" i="11" s="1"/>
  <c r="K6" i="13"/>
  <c r="F34" i="11" s="1"/>
  <c r="I6" i="13"/>
  <c r="E18" i="11" s="1"/>
  <c r="G6" i="13"/>
  <c r="D42" i="11" s="1"/>
  <c r="E6" i="13"/>
  <c r="C42" i="11" s="1"/>
  <c r="C6" i="13"/>
  <c r="W16" i="13"/>
  <c r="U16" i="13"/>
  <c r="K174" i="11" s="1"/>
  <c r="K169" i="11" s="1"/>
  <c r="S16" i="13"/>
  <c r="J174" i="11" s="1"/>
  <c r="J169" i="11" s="1"/>
  <c r="Q16" i="13"/>
  <c r="I174" i="11" s="1"/>
  <c r="I169" i="11" s="1"/>
  <c r="O16" i="13"/>
  <c r="H174" i="11" s="1"/>
  <c r="H169" i="11" s="1"/>
  <c r="M16" i="13"/>
  <c r="G174" i="11" s="1"/>
  <c r="G169" i="11" s="1"/>
  <c r="K16" i="13"/>
  <c r="F174" i="11" s="1"/>
  <c r="F169" i="11" s="1"/>
  <c r="I16" i="13"/>
  <c r="E174" i="11" s="1"/>
  <c r="E169" i="11" s="1"/>
  <c r="G16" i="13"/>
  <c r="D174" i="11" s="1"/>
  <c r="D169" i="11" s="1"/>
  <c r="E16" i="13"/>
  <c r="C174" i="11" s="1"/>
  <c r="C169" i="11" s="1"/>
  <c r="C16" i="13"/>
  <c r="W19" i="13"/>
  <c r="U19" i="13"/>
  <c r="K198" i="11" s="1"/>
  <c r="S19" i="13"/>
  <c r="J198" i="11" s="1"/>
  <c r="Q19" i="13"/>
  <c r="I198" i="11" s="1"/>
  <c r="O19" i="13"/>
  <c r="H198" i="11" s="1"/>
  <c r="M19" i="13"/>
  <c r="G198" i="11" s="1"/>
  <c r="K19" i="13"/>
  <c r="F198" i="11" s="1"/>
  <c r="I19" i="13"/>
  <c r="E198" i="11" s="1"/>
  <c r="G19" i="13"/>
  <c r="D198" i="11" s="1"/>
  <c r="E19" i="13"/>
  <c r="C198" i="11" s="1"/>
  <c r="C19" i="13"/>
  <c r="W18" i="13"/>
  <c r="P190" i="11" s="1"/>
  <c r="P185" i="11" s="1"/>
  <c r="P184" i="11" s="1"/>
  <c r="U18" i="13"/>
  <c r="S18" i="13"/>
  <c r="Q18" i="13"/>
  <c r="O18" i="13"/>
  <c r="M18" i="13"/>
  <c r="K18" i="13"/>
  <c r="I18" i="13"/>
  <c r="G18" i="13"/>
  <c r="E18" i="13"/>
  <c r="C18" i="13"/>
  <c r="W17" i="13"/>
  <c r="U17" i="13"/>
  <c r="K182" i="11" s="1"/>
  <c r="S17" i="13"/>
  <c r="J182" i="11" s="1"/>
  <c r="Q17" i="13"/>
  <c r="I182" i="11" s="1"/>
  <c r="O17" i="13"/>
  <c r="H182" i="11" s="1"/>
  <c r="M17" i="13"/>
  <c r="G182" i="11" s="1"/>
  <c r="K17" i="13"/>
  <c r="F182" i="11" s="1"/>
  <c r="I17" i="13"/>
  <c r="E182" i="11" s="1"/>
  <c r="G17" i="13"/>
  <c r="D182" i="11" s="1"/>
  <c r="E17" i="13"/>
  <c r="C182" i="11" s="1"/>
  <c r="W15" i="13"/>
  <c r="L166" i="11" s="1"/>
  <c r="U15" i="13"/>
  <c r="K166" i="11" s="1"/>
  <c r="S15" i="13"/>
  <c r="J166" i="11" s="1"/>
  <c r="Q15" i="13"/>
  <c r="I166" i="11" s="1"/>
  <c r="O15" i="13"/>
  <c r="H166" i="11" s="1"/>
  <c r="M15" i="13"/>
  <c r="G166" i="11" s="1"/>
  <c r="K15" i="13"/>
  <c r="F166" i="11" s="1"/>
  <c r="I15" i="13"/>
  <c r="E166" i="11" s="1"/>
  <c r="G15" i="13"/>
  <c r="D166" i="11" s="1"/>
  <c r="E15" i="13"/>
  <c r="C166" i="11" s="1"/>
  <c r="C15" i="13"/>
  <c r="C12" i="13"/>
  <c r="V13" i="13"/>
  <c r="W13" i="13" s="1"/>
  <c r="L134" i="11" s="1"/>
  <c r="T13" i="13"/>
  <c r="U13" i="13" s="1"/>
  <c r="K134" i="11" s="1"/>
  <c r="R13" i="13"/>
  <c r="S13" i="13" s="1"/>
  <c r="J134" i="11" s="1"/>
  <c r="P13" i="13"/>
  <c r="Q13" i="13" s="1"/>
  <c r="I134" i="11" s="1"/>
  <c r="N13" i="13"/>
  <c r="O13" i="13" s="1"/>
  <c r="H134" i="11" s="1"/>
  <c r="L13" i="13"/>
  <c r="M13" i="13" s="1"/>
  <c r="G134" i="11" s="1"/>
  <c r="J13" i="13"/>
  <c r="K13" i="13" s="1"/>
  <c r="F134" i="11" s="1"/>
  <c r="H13" i="13"/>
  <c r="I13" i="13" s="1"/>
  <c r="E134" i="11" s="1"/>
  <c r="F13" i="13"/>
  <c r="G13" i="13" s="1"/>
  <c r="D134" i="11" s="1"/>
  <c r="D13" i="13"/>
  <c r="E13" i="13" s="1"/>
  <c r="C134" i="11" s="1"/>
  <c r="C13" i="13"/>
  <c r="V7" i="13"/>
  <c r="W7" i="13" s="1"/>
  <c r="L51" i="11" s="1"/>
  <c r="T7" i="13"/>
  <c r="U7" i="13" s="1"/>
  <c r="K51" i="11" s="1"/>
  <c r="R7" i="13"/>
  <c r="S7" i="13" s="1"/>
  <c r="J51" i="11" s="1"/>
  <c r="P7" i="13"/>
  <c r="Q7" i="13" s="1"/>
  <c r="I51" i="11" s="1"/>
  <c r="N7" i="13"/>
  <c r="O7" i="13" s="1"/>
  <c r="H51" i="11" s="1"/>
  <c r="L7" i="13"/>
  <c r="M7" i="13" s="1"/>
  <c r="G51" i="11" s="1"/>
  <c r="J7" i="13"/>
  <c r="K7" i="13" s="1"/>
  <c r="F51" i="11" s="1"/>
  <c r="H7" i="13"/>
  <c r="I7" i="13" s="1"/>
  <c r="E51" i="11" s="1"/>
  <c r="F7" i="13"/>
  <c r="G7" i="13" s="1"/>
  <c r="D51" i="11" s="1"/>
  <c r="D7" i="13"/>
  <c r="E7" i="13" s="1"/>
  <c r="C51" i="11" s="1"/>
  <c r="B7" i="13"/>
  <c r="C7" i="13" s="1"/>
  <c r="V14" i="13"/>
  <c r="W14" i="13" s="1"/>
  <c r="T14" i="13"/>
  <c r="U14" i="13" s="1"/>
  <c r="R14" i="13"/>
  <c r="S14" i="13" s="1"/>
  <c r="P14" i="13"/>
  <c r="Q14" i="13" s="1"/>
  <c r="N14" i="13"/>
  <c r="O14" i="13" s="1"/>
  <c r="L14" i="13"/>
  <c r="M14" i="13" s="1"/>
  <c r="J14" i="13"/>
  <c r="K14" i="13" s="1"/>
  <c r="H14" i="13"/>
  <c r="I14" i="13" s="1"/>
  <c r="F14" i="13"/>
  <c r="G14" i="13" s="1"/>
  <c r="D14" i="13"/>
  <c r="E14" i="13" s="1"/>
  <c r="B14" i="13"/>
  <c r="C14" i="13" s="1"/>
  <c r="W11" i="13"/>
  <c r="L118" i="11" s="1"/>
  <c r="U11" i="13"/>
  <c r="K118" i="11" s="1"/>
  <c r="S11" i="13"/>
  <c r="J118" i="11" s="1"/>
  <c r="Q11" i="13"/>
  <c r="I118" i="11" s="1"/>
  <c r="O11" i="13"/>
  <c r="H118" i="11" s="1"/>
  <c r="M11" i="13"/>
  <c r="G118" i="11" s="1"/>
  <c r="K11" i="13"/>
  <c r="F118" i="11" s="1"/>
  <c r="I11" i="13"/>
  <c r="E118" i="11" s="1"/>
  <c r="G11" i="13"/>
  <c r="D118" i="11" s="1"/>
  <c r="E11" i="13"/>
  <c r="C118" i="11" s="1"/>
  <c r="C11" i="13"/>
  <c r="B118" i="11" s="1"/>
  <c r="W5" i="13"/>
  <c r="U5" i="13"/>
  <c r="S5" i="13"/>
  <c r="Q5" i="13"/>
  <c r="O5" i="13"/>
  <c r="M5" i="13"/>
  <c r="K5" i="13"/>
  <c r="I5" i="13"/>
  <c r="G5" i="13"/>
  <c r="E5" i="13"/>
  <c r="C5" i="13"/>
  <c r="W10" i="13"/>
  <c r="L110" i="11" s="1"/>
  <c r="U10" i="13"/>
  <c r="K110" i="11" s="1"/>
  <c r="S10" i="13"/>
  <c r="J110" i="11" s="1"/>
  <c r="Q10" i="13"/>
  <c r="I110" i="11" s="1"/>
  <c r="O10" i="13"/>
  <c r="H110" i="11" s="1"/>
  <c r="M10" i="13"/>
  <c r="G102" i="11" s="1"/>
  <c r="K10" i="13"/>
  <c r="F102" i="11" s="1"/>
  <c r="I10" i="13"/>
  <c r="E102" i="11" s="1"/>
  <c r="G10" i="13"/>
  <c r="D110" i="11" s="1"/>
  <c r="E10" i="13"/>
  <c r="C110" i="11" s="1"/>
  <c r="C10" i="13"/>
  <c r="W9" i="13"/>
  <c r="L85" i="11" s="1"/>
  <c r="U9" i="13"/>
  <c r="K93" i="11" s="1"/>
  <c r="S9" i="13"/>
  <c r="J93" i="11" s="1"/>
  <c r="Q9" i="13"/>
  <c r="I93" i="11" s="1"/>
  <c r="O9" i="13"/>
  <c r="H93" i="11" s="1"/>
  <c r="M9" i="13"/>
  <c r="G93" i="11" s="1"/>
  <c r="K9" i="13"/>
  <c r="F85" i="11" s="1"/>
  <c r="I9" i="13"/>
  <c r="E85" i="11" s="1"/>
  <c r="G9" i="13"/>
  <c r="D85" i="11" s="1"/>
  <c r="E9" i="13"/>
  <c r="C93" i="11" s="1"/>
  <c r="B93" i="11"/>
  <c r="W8" i="13"/>
  <c r="U8" i="13"/>
  <c r="S8" i="13"/>
  <c r="Q8" i="13"/>
  <c r="I76" i="11" s="1"/>
  <c r="O8" i="13"/>
  <c r="H76" i="11" s="1"/>
  <c r="M8" i="13"/>
  <c r="G59" i="11" s="1"/>
  <c r="K8" i="13"/>
  <c r="F59" i="11" s="1"/>
  <c r="I8" i="13"/>
  <c r="E59" i="11" s="1"/>
  <c r="G8" i="13"/>
  <c r="E8" i="13"/>
  <c r="C8" i="13"/>
  <c r="L182" i="11" l="1"/>
  <c r="P182" i="11"/>
  <c r="P177" i="11" s="1"/>
  <c r="P176" i="11" s="1"/>
  <c r="L198" i="11"/>
  <c r="P198" i="11"/>
  <c r="P193" i="11" s="1"/>
  <c r="P192" i="11" s="1"/>
  <c r="L174" i="11"/>
  <c r="L169" i="11" s="1"/>
  <c r="P174" i="11"/>
  <c r="P169" i="11" s="1"/>
  <c r="P168" i="11" s="1"/>
  <c r="O174" i="11"/>
  <c r="O169" i="11" s="1"/>
  <c r="O168" i="11" s="1"/>
  <c r="B110" i="11"/>
  <c r="B105" i="11" s="1"/>
  <c r="B142" i="11"/>
  <c r="B158" i="11"/>
  <c r="B153" i="11" s="1"/>
  <c r="B150" i="11"/>
  <c r="B145" i="11" s="1"/>
  <c r="C142" i="11"/>
  <c r="C158" i="11"/>
  <c r="C153" i="11" s="1"/>
  <c r="C152" i="11" s="1"/>
  <c r="C150" i="11"/>
  <c r="C145" i="11" s="1"/>
  <c r="C144" i="11" s="1"/>
  <c r="D142" i="11"/>
  <c r="D158" i="11"/>
  <c r="D153" i="11" s="1"/>
  <c r="D152" i="11" s="1"/>
  <c r="D150" i="11"/>
  <c r="D145" i="11" s="1"/>
  <c r="D144" i="11" s="1"/>
  <c r="E142" i="11"/>
  <c r="E158" i="11"/>
  <c r="E153" i="11" s="1"/>
  <c r="E152" i="11" s="1"/>
  <c r="E150" i="11"/>
  <c r="E145" i="11" s="1"/>
  <c r="E144" i="11" s="1"/>
  <c r="F142" i="11"/>
  <c r="F158" i="11"/>
  <c r="F153" i="11" s="1"/>
  <c r="F152" i="11" s="1"/>
  <c r="F150" i="11"/>
  <c r="F145" i="11" s="1"/>
  <c r="F144" i="11" s="1"/>
  <c r="G142" i="11"/>
  <c r="G158" i="11"/>
  <c r="G153" i="11" s="1"/>
  <c r="G152" i="11" s="1"/>
  <c r="G150" i="11"/>
  <c r="G145" i="11" s="1"/>
  <c r="G144" i="11" s="1"/>
  <c r="H142" i="11"/>
  <c r="H158" i="11"/>
  <c r="H153" i="11" s="1"/>
  <c r="H152" i="11" s="1"/>
  <c r="H150" i="11"/>
  <c r="H145" i="11" s="1"/>
  <c r="H144" i="11" s="1"/>
  <c r="I142" i="11"/>
  <c r="I158" i="11"/>
  <c r="I153" i="11" s="1"/>
  <c r="I152" i="11" s="1"/>
  <c r="I150" i="11"/>
  <c r="I145" i="11" s="1"/>
  <c r="I144" i="11" s="1"/>
  <c r="J142" i="11"/>
  <c r="J158" i="11"/>
  <c r="J153" i="11" s="1"/>
  <c r="J152" i="11" s="1"/>
  <c r="J150" i="11"/>
  <c r="J145" i="11" s="1"/>
  <c r="J144" i="11" s="1"/>
  <c r="K142" i="11"/>
  <c r="K158" i="11"/>
  <c r="K153" i="11" s="1"/>
  <c r="K152" i="11" s="1"/>
  <c r="K150" i="11"/>
  <c r="K145" i="11" s="1"/>
  <c r="K144" i="11" s="1"/>
  <c r="L142" i="11"/>
  <c r="L158" i="11"/>
  <c r="L153" i="11" s="1"/>
  <c r="L152" i="11" s="1"/>
  <c r="L150" i="11"/>
  <c r="L145" i="11" s="1"/>
  <c r="L144" i="11" s="1"/>
  <c r="B51" i="11"/>
  <c r="B134" i="11"/>
  <c r="B166" i="11"/>
  <c r="B198" i="11"/>
  <c r="B174" i="11"/>
  <c r="B26" i="11"/>
  <c r="I190" i="11"/>
  <c r="C190" i="11"/>
  <c r="K190" i="11"/>
  <c r="J190" i="11"/>
  <c r="D190" i="11"/>
  <c r="L190" i="11"/>
  <c r="E190" i="11"/>
  <c r="F190" i="11"/>
  <c r="H190" i="11"/>
  <c r="B190" i="11"/>
  <c r="B185" i="11" s="1"/>
  <c r="G190" i="11"/>
  <c r="E26" i="11"/>
  <c r="H18" i="11"/>
  <c r="J76" i="11"/>
  <c r="D93" i="11"/>
  <c r="L93" i="11"/>
  <c r="G85" i="11"/>
  <c r="H59" i="11"/>
  <c r="H102" i="11"/>
  <c r="B76" i="11"/>
  <c r="I18" i="11"/>
  <c r="E110" i="11"/>
  <c r="I59" i="11"/>
  <c r="C76" i="11"/>
  <c r="K76" i="11"/>
  <c r="H85" i="11"/>
  <c r="E93" i="11"/>
  <c r="I102" i="11"/>
  <c r="F110" i="11"/>
  <c r="C10" i="11"/>
  <c r="B59" i="11"/>
  <c r="J59" i="11"/>
  <c r="D76" i="11"/>
  <c r="L76" i="11"/>
  <c r="I85" i="11"/>
  <c r="F93" i="11"/>
  <c r="B102" i="11"/>
  <c r="J102" i="11"/>
  <c r="G110" i="11"/>
  <c r="D10" i="11"/>
  <c r="F26" i="11"/>
  <c r="C59" i="11"/>
  <c r="K59" i="11"/>
  <c r="E76" i="11"/>
  <c r="J85" i="11"/>
  <c r="C102" i="11"/>
  <c r="K102" i="11"/>
  <c r="I10" i="11"/>
  <c r="J34" i="11"/>
  <c r="J29" i="11" s="1"/>
  <c r="D59" i="11"/>
  <c r="L59" i="11"/>
  <c r="F76" i="11"/>
  <c r="C85" i="11"/>
  <c r="K85" i="11"/>
  <c r="D102" i="11"/>
  <c r="L102" i="11"/>
  <c r="K10" i="11"/>
  <c r="E42" i="11"/>
  <c r="G76" i="11"/>
  <c r="L10" i="11"/>
  <c r="G42" i="11"/>
  <c r="F18" i="11"/>
  <c r="C26" i="11"/>
  <c r="K26" i="11"/>
  <c r="H34" i="11"/>
  <c r="H29" i="11" s="1"/>
  <c r="B10" i="11"/>
  <c r="B5" i="11" s="1"/>
  <c r="J10" i="11"/>
  <c r="G18" i="11"/>
  <c r="D26" i="11"/>
  <c r="L26" i="11"/>
  <c r="I34" i="11"/>
  <c r="I29" i="11" s="1"/>
  <c r="F42" i="11"/>
  <c r="B34" i="11"/>
  <c r="B29" i="11" s="1"/>
  <c r="H42" i="11"/>
  <c r="E10" i="11"/>
  <c r="B18" i="11"/>
  <c r="J18" i="11"/>
  <c r="G26" i="11"/>
  <c r="D34" i="11"/>
  <c r="D29" i="11" s="1"/>
  <c r="L34" i="11"/>
  <c r="L29" i="11" s="1"/>
  <c r="I42" i="11"/>
  <c r="K34" i="11"/>
  <c r="F10" i="11"/>
  <c r="C18" i="11"/>
  <c r="K18" i="11"/>
  <c r="H26" i="11"/>
  <c r="E34" i="11"/>
  <c r="E29" i="11" s="1"/>
  <c r="B42" i="11"/>
  <c r="J42" i="11"/>
  <c r="C34" i="11"/>
  <c r="C29" i="11" s="1"/>
  <c r="G10" i="11"/>
  <c r="D18" i="11"/>
  <c r="L18" i="11"/>
  <c r="K29" i="11"/>
  <c r="G29" i="11"/>
  <c r="F29" i="11"/>
  <c r="V4" i="11"/>
  <c r="B80" i="11" l="1"/>
  <c r="B144" i="11"/>
  <c r="B152" i="11"/>
  <c r="V6" i="11"/>
  <c r="W4" i="11" l="1"/>
  <c r="W5" i="11"/>
  <c r="B31" i="11" s="1"/>
  <c r="O7" i="11" l="1"/>
  <c r="O4" i="11" s="1"/>
  <c r="P7" i="11"/>
  <c r="P4" i="11" s="1"/>
  <c r="O31" i="11"/>
  <c r="O28" i="11" s="1"/>
  <c r="D7" i="25" s="1"/>
  <c r="P31" i="11"/>
  <c r="P28" i="11" s="1"/>
  <c r="P15" i="11"/>
  <c r="P12" i="11" s="1"/>
  <c r="P3" i="11" s="1"/>
  <c r="O15" i="11"/>
  <c r="O12" i="11" s="1"/>
  <c r="M31" i="11"/>
  <c r="M15" i="11"/>
  <c r="C7" i="11"/>
  <c r="D7" i="11"/>
  <c r="E7" i="11"/>
  <c r="M7" i="11"/>
  <c r="F7" i="11"/>
  <c r="B7" i="11"/>
  <c r="G7" i="11"/>
  <c r="H7" i="11"/>
  <c r="I7" i="11"/>
  <c r="J7" i="11"/>
  <c r="K7" i="11"/>
  <c r="L7" i="11"/>
  <c r="L15" i="11"/>
  <c r="E31" i="11"/>
  <c r="C31" i="11"/>
  <c r="D31" i="11"/>
  <c r="K15" i="11"/>
  <c r="J15" i="11"/>
  <c r="H15" i="11"/>
  <c r="G31" i="11"/>
  <c r="K31" i="11"/>
  <c r="G15" i="11"/>
  <c r="H31" i="11"/>
  <c r="F15" i="11"/>
  <c r="I31" i="11"/>
  <c r="F31" i="11"/>
  <c r="D15" i="11"/>
  <c r="I15" i="11"/>
  <c r="L31" i="11"/>
  <c r="C15" i="11"/>
  <c r="E15" i="11"/>
  <c r="J31" i="11"/>
  <c r="B12" i="11" l="1"/>
  <c r="O3" i="11"/>
  <c r="C7" i="25" s="1"/>
  <c r="B9" i="25" s="1"/>
  <c r="C5" i="11"/>
  <c r="D5" i="11"/>
  <c r="E5" i="11"/>
  <c r="F5" i="11"/>
  <c r="G5" i="11"/>
  <c r="H5" i="11"/>
  <c r="I5" i="11"/>
  <c r="J5" i="11"/>
  <c r="K5" i="11"/>
  <c r="L5" i="11"/>
  <c r="C13" i="11" l="1"/>
  <c r="D13" i="11"/>
  <c r="E13" i="11"/>
  <c r="F13" i="11"/>
  <c r="G13" i="11"/>
  <c r="H13" i="11"/>
  <c r="I13" i="11"/>
  <c r="J13" i="11"/>
  <c r="K13" i="11"/>
  <c r="L13" i="11"/>
  <c r="C21" i="11"/>
  <c r="D21" i="11"/>
  <c r="E21" i="11"/>
  <c r="F21" i="11"/>
  <c r="G21" i="11"/>
  <c r="H21" i="11"/>
  <c r="I21" i="11"/>
  <c r="J21" i="11"/>
  <c r="K21" i="11"/>
  <c r="L21" i="11"/>
  <c r="B21" i="11" l="1"/>
  <c r="C105" i="11"/>
  <c r="D105" i="11"/>
  <c r="E105" i="11"/>
  <c r="F105" i="11"/>
  <c r="G105" i="11"/>
  <c r="H105" i="11"/>
  <c r="I105" i="11"/>
  <c r="J105" i="11"/>
  <c r="K105" i="11"/>
  <c r="L105" i="11"/>
  <c r="C97" i="11"/>
  <c r="D97" i="11"/>
  <c r="E97" i="11"/>
  <c r="F97" i="11"/>
  <c r="G97" i="11"/>
  <c r="H97" i="11"/>
  <c r="I97" i="11"/>
  <c r="J97" i="11"/>
  <c r="K97" i="11"/>
  <c r="L97" i="11"/>
  <c r="B97" i="11"/>
  <c r="L193" i="11" l="1"/>
  <c r="K193" i="11"/>
  <c r="J193" i="11"/>
  <c r="I193" i="11"/>
  <c r="H193" i="11"/>
  <c r="G193" i="11"/>
  <c r="F193" i="11"/>
  <c r="E193" i="11"/>
  <c r="D193" i="11"/>
  <c r="C193" i="11"/>
  <c r="B193" i="11"/>
  <c r="L185" i="11"/>
  <c r="K185" i="11"/>
  <c r="J185" i="11"/>
  <c r="I185" i="11"/>
  <c r="H185" i="11"/>
  <c r="G185" i="11"/>
  <c r="F185" i="11"/>
  <c r="E185" i="11"/>
  <c r="D185" i="11"/>
  <c r="C185" i="11"/>
  <c r="L177" i="11"/>
  <c r="K177" i="11"/>
  <c r="J177" i="11"/>
  <c r="I177" i="11"/>
  <c r="H177" i="11"/>
  <c r="G177" i="11"/>
  <c r="F177" i="11"/>
  <c r="E177" i="11"/>
  <c r="D177" i="11"/>
  <c r="C177" i="11"/>
  <c r="B177" i="11"/>
  <c r="B169" i="11"/>
  <c r="L161" i="11"/>
  <c r="K161" i="11"/>
  <c r="J161" i="11"/>
  <c r="I161" i="11"/>
  <c r="H161" i="11"/>
  <c r="G161" i="11"/>
  <c r="F161" i="11"/>
  <c r="E161" i="11"/>
  <c r="D161" i="11"/>
  <c r="C161" i="11"/>
  <c r="B161" i="11"/>
  <c r="L137" i="11"/>
  <c r="K137" i="11"/>
  <c r="J137" i="11"/>
  <c r="I137" i="11"/>
  <c r="H137" i="11"/>
  <c r="G137" i="11"/>
  <c r="F137" i="11"/>
  <c r="E137" i="11"/>
  <c r="D137" i="11"/>
  <c r="C137" i="11"/>
  <c r="B137" i="11"/>
  <c r="C37" i="11"/>
  <c r="D37" i="11"/>
  <c r="E37" i="11"/>
  <c r="F37" i="11"/>
  <c r="G37" i="11"/>
  <c r="H37" i="11"/>
  <c r="I37" i="11"/>
  <c r="J37" i="11"/>
  <c r="K37" i="11"/>
  <c r="L37" i="11"/>
  <c r="B37" i="11"/>
  <c r="F13" i="12" l="1"/>
  <c r="F14" i="12"/>
  <c r="F15" i="12"/>
  <c r="F16" i="12"/>
  <c r="F17" i="12"/>
  <c r="F18" i="12"/>
  <c r="F19" i="12"/>
  <c r="C63" i="11" l="1"/>
  <c r="D63" i="11"/>
  <c r="E63" i="11"/>
  <c r="F63" i="11"/>
  <c r="G63" i="11"/>
  <c r="H63" i="11"/>
  <c r="I63" i="11"/>
  <c r="J63" i="11"/>
  <c r="K63" i="11"/>
  <c r="L63" i="11"/>
  <c r="C71" i="11"/>
  <c r="D71" i="11"/>
  <c r="E71" i="11"/>
  <c r="F71" i="11"/>
  <c r="G71" i="11"/>
  <c r="H71" i="11"/>
  <c r="I71" i="11"/>
  <c r="J71" i="11"/>
  <c r="K71" i="11"/>
  <c r="L71" i="11"/>
  <c r="C54" i="11"/>
  <c r="D54" i="11"/>
  <c r="E54" i="11"/>
  <c r="F54" i="11"/>
  <c r="G54" i="11"/>
  <c r="H54" i="11"/>
  <c r="I54" i="11"/>
  <c r="J54" i="11"/>
  <c r="K54" i="11"/>
  <c r="L54" i="11"/>
  <c r="B54" i="11"/>
  <c r="C46" i="11"/>
  <c r="D46" i="11"/>
  <c r="E46" i="11"/>
  <c r="F46" i="11"/>
  <c r="G46" i="11"/>
  <c r="H46" i="11"/>
  <c r="I46" i="11"/>
  <c r="J46" i="11"/>
  <c r="K46" i="11"/>
  <c r="C80" i="11"/>
  <c r="D80" i="11"/>
  <c r="E80" i="11"/>
  <c r="F80" i="11"/>
  <c r="G80" i="11"/>
  <c r="H80" i="11"/>
  <c r="I80" i="11"/>
  <c r="J80" i="11"/>
  <c r="K80" i="11"/>
  <c r="L80" i="11"/>
  <c r="C88" i="11"/>
  <c r="D88" i="11"/>
  <c r="E88" i="11"/>
  <c r="F88" i="11"/>
  <c r="G88" i="11"/>
  <c r="H88" i="11"/>
  <c r="I88" i="11"/>
  <c r="J88" i="11"/>
  <c r="K88" i="11"/>
  <c r="L88" i="11"/>
  <c r="B88" i="11"/>
  <c r="C113" i="11"/>
  <c r="D113" i="11"/>
  <c r="E113" i="11"/>
  <c r="F113" i="11"/>
  <c r="G113" i="11"/>
  <c r="H113" i="11"/>
  <c r="I113" i="11"/>
  <c r="J113" i="11"/>
  <c r="K113" i="11"/>
  <c r="L113" i="11"/>
  <c r="B113" i="11"/>
  <c r="L129" i="11"/>
  <c r="K129" i="11"/>
  <c r="J129" i="11"/>
  <c r="I129" i="11"/>
  <c r="H129" i="11"/>
  <c r="G129" i="11"/>
  <c r="F129" i="11"/>
  <c r="E129" i="11"/>
  <c r="D129" i="11"/>
  <c r="C129" i="11"/>
  <c r="B129" i="11"/>
  <c r="C121" i="11"/>
  <c r="D121" i="11"/>
  <c r="E121" i="11"/>
  <c r="F121" i="11"/>
  <c r="G121" i="11"/>
  <c r="H121" i="11"/>
  <c r="I121" i="11"/>
  <c r="J121" i="11"/>
  <c r="K121" i="11"/>
  <c r="L121" i="11"/>
  <c r="B121" i="11"/>
  <c r="I6" i="12" l="1"/>
  <c r="I7" i="12"/>
  <c r="I8" i="12"/>
  <c r="I9" i="12"/>
  <c r="I10" i="12"/>
  <c r="I5" i="12"/>
  <c r="F6" i="12"/>
  <c r="G6" i="12" s="1"/>
  <c r="F7" i="12"/>
  <c r="G7" i="12" s="1"/>
  <c r="F8" i="12"/>
  <c r="G8" i="12" s="1"/>
  <c r="F9" i="12"/>
  <c r="G9" i="12" s="1"/>
  <c r="F10" i="12"/>
  <c r="G10" i="12" s="1"/>
  <c r="F5" i="12"/>
  <c r="G5" i="12" s="1"/>
  <c r="J98" i="11"/>
  <c r="J96" i="11" s="1"/>
  <c r="H178" i="11"/>
  <c r="H176" i="11" s="1"/>
  <c r="L170" i="11"/>
  <c r="L168" i="11" s="1"/>
  <c r="B170" i="11"/>
  <c r="B186" i="11"/>
  <c r="E186" i="11"/>
  <c r="E184" i="11" s="1"/>
  <c r="D170" i="11"/>
  <c r="D168" i="11" s="1"/>
  <c r="F130" i="11"/>
  <c r="F128" i="11" s="1"/>
  <c r="K162" i="11"/>
  <c r="K160" i="11" s="1"/>
  <c r="H170" i="11"/>
  <c r="H168" i="11" s="1"/>
  <c r="D98" i="11"/>
  <c r="D96" i="11" s="1"/>
  <c r="I138" i="11"/>
  <c r="I136" i="11" s="1"/>
  <c r="B162" i="11"/>
  <c r="C186" i="11"/>
  <c r="C184" i="11" s="1"/>
  <c r="K194" i="11"/>
  <c r="K192" i="11" s="1"/>
  <c r="C98" i="11"/>
  <c r="C96" i="11" s="1"/>
  <c r="D186" i="11"/>
  <c r="D184" i="11" s="1"/>
  <c r="C162" i="11"/>
  <c r="C160" i="11" s="1"/>
  <c r="E122" i="11"/>
  <c r="E120" i="11" s="1"/>
  <c r="F186" i="11"/>
  <c r="F184" i="11" s="1"/>
  <c r="B178" i="11"/>
  <c r="K130" i="11"/>
  <c r="K128" i="11" s="1"/>
  <c r="E114" i="11"/>
  <c r="E112" i="11" s="1"/>
  <c r="K178" i="11"/>
  <c r="K176" i="11" s="1"/>
  <c r="I130" i="11"/>
  <c r="I128" i="11" s="1"/>
  <c r="K122" i="11"/>
  <c r="K120" i="11" s="1"/>
  <c r="J122" i="11"/>
  <c r="J120" i="11" s="1"/>
  <c r="L114" i="11"/>
  <c r="L112" i="11" s="1"/>
  <c r="D114" i="11"/>
  <c r="D112" i="11" s="1"/>
  <c r="K138" i="11"/>
  <c r="K136" i="11" s="1"/>
  <c r="D178" i="11"/>
  <c r="D176" i="11" s="1"/>
  <c r="F122" i="11"/>
  <c r="F120" i="11" s="1"/>
  <c r="D162" i="11"/>
  <c r="D160" i="11" s="1"/>
  <c r="B98" i="11"/>
  <c r="E162" i="11"/>
  <c r="E160" i="11" s="1"/>
  <c r="E89" i="11"/>
  <c r="E87" i="11" s="1"/>
  <c r="G98" i="11"/>
  <c r="G96" i="11" s="1"/>
  <c r="K98" i="11"/>
  <c r="K96" i="11" s="1"/>
  <c r="F162" i="11"/>
  <c r="F160" i="11" s="1"/>
  <c r="C138" i="11"/>
  <c r="C136" i="11" s="1"/>
  <c r="G170" i="11"/>
  <c r="G168" i="11" s="1"/>
  <c r="E98" i="11"/>
  <c r="E96" i="11" s="1"/>
  <c r="I186" i="11"/>
  <c r="I184" i="11" s="1"/>
  <c r="G178" i="11"/>
  <c r="G176" i="11" s="1"/>
  <c r="K186" i="11"/>
  <c r="K184" i="11" s="1"/>
  <c r="J170" i="11"/>
  <c r="J168" i="11" s="1"/>
  <c r="I194" i="11"/>
  <c r="I192" i="11" s="1"/>
  <c r="L194" i="11"/>
  <c r="L192" i="11" s="1"/>
  <c r="B194" i="11"/>
  <c r="L178" i="11"/>
  <c r="L176" i="11" s="1"/>
  <c r="K89" i="11"/>
  <c r="K87" i="11" s="1"/>
  <c r="H186" i="11"/>
  <c r="H184" i="11" s="1"/>
  <c r="I162" i="11"/>
  <c r="I160" i="11" s="1"/>
  <c r="D122" i="11"/>
  <c r="D120" i="11" s="1"/>
  <c r="D130" i="11"/>
  <c r="D128" i="11" s="1"/>
  <c r="C114" i="11"/>
  <c r="C112" i="11" s="1"/>
  <c r="E170" i="11"/>
  <c r="E168" i="11" s="1"/>
  <c r="D89" i="11"/>
  <c r="D87" i="11" s="1"/>
  <c r="G162" i="11"/>
  <c r="G160" i="11" s="1"/>
  <c r="G194" i="11"/>
  <c r="G192" i="11" s="1"/>
  <c r="C170" i="11"/>
  <c r="C168" i="11" s="1"/>
  <c r="F138" i="11"/>
  <c r="F136" i="11" s="1"/>
  <c r="G138" i="11"/>
  <c r="G136" i="11" s="1"/>
  <c r="J89" i="11"/>
  <c r="J87" i="11" s="1"/>
  <c r="L138" i="11"/>
  <c r="L136" i="11" s="1"/>
  <c r="F114" i="11"/>
  <c r="F112" i="11" s="1"/>
  <c r="K114" i="11"/>
  <c r="K112" i="11" s="1"/>
  <c r="L186" i="11"/>
  <c r="L184" i="11" s="1"/>
  <c r="F194" i="11"/>
  <c r="F192" i="11" s="1"/>
  <c r="J130" i="11"/>
  <c r="J128" i="11" s="1"/>
  <c r="I178" i="11"/>
  <c r="I176" i="11" s="1"/>
  <c r="G186" i="11"/>
  <c r="G184" i="11" s="1"/>
  <c r="L122" i="11"/>
  <c r="L120" i="11" s="1"/>
  <c r="E194" i="11"/>
  <c r="E192" i="11" s="1"/>
  <c r="I89" i="11"/>
  <c r="I87" i="11" s="1"/>
  <c r="I122" i="11"/>
  <c r="I120" i="11" s="1"/>
  <c r="B89" i="11"/>
  <c r="B122" i="11"/>
  <c r="M98" i="11"/>
  <c r="M96" i="11" s="1"/>
  <c r="C194" i="11"/>
  <c r="C192" i="11" s="1"/>
  <c r="G89" i="11"/>
  <c r="G87" i="11" s="1"/>
  <c r="L89" i="11"/>
  <c r="L87" i="11" s="1"/>
  <c r="B114" i="11"/>
  <c r="F89" i="11"/>
  <c r="F87" i="11" s="1"/>
  <c r="G130" i="11"/>
  <c r="G128" i="11" s="1"/>
  <c r="J178" i="11"/>
  <c r="J176" i="11" s="1"/>
  <c r="H130" i="11"/>
  <c r="H128" i="11" s="1"/>
  <c r="G114" i="11"/>
  <c r="G112" i="11" s="1"/>
  <c r="B130" i="11"/>
  <c r="B138" i="11"/>
  <c r="I170" i="11"/>
  <c r="I168" i="11" s="1"/>
  <c r="L98" i="11"/>
  <c r="L96" i="11" s="1"/>
  <c r="H98" i="11"/>
  <c r="H96" i="11" s="1"/>
  <c r="C122" i="11"/>
  <c r="C120" i="11" s="1"/>
  <c r="L162" i="11"/>
  <c r="L160" i="11" s="1"/>
  <c r="I98" i="11"/>
  <c r="I96" i="11" s="1"/>
  <c r="G122" i="11"/>
  <c r="G120" i="11" s="1"/>
  <c r="J114" i="11"/>
  <c r="J112" i="11" s="1"/>
  <c r="K72" i="11"/>
  <c r="K70" i="11" s="1"/>
  <c r="H138" i="11"/>
  <c r="H136" i="11" s="1"/>
  <c r="E178" i="11"/>
  <c r="E176" i="11" s="1"/>
  <c r="N98" i="11"/>
  <c r="N96" i="11" s="1"/>
  <c r="D138" i="11"/>
  <c r="D136" i="11" s="1"/>
  <c r="C178" i="11"/>
  <c r="C176" i="11" s="1"/>
  <c r="J186" i="11"/>
  <c r="J184" i="11" s="1"/>
  <c r="C130" i="11"/>
  <c r="C128" i="11" s="1"/>
  <c r="L30" i="11"/>
  <c r="L28" i="11" s="1"/>
  <c r="H194" i="11"/>
  <c r="H192" i="11" s="1"/>
  <c r="H162" i="11"/>
  <c r="H160" i="11" s="1"/>
  <c r="I114" i="11"/>
  <c r="I112" i="11" s="1"/>
  <c r="C30" i="11"/>
  <c r="C28" i="11" s="1"/>
  <c r="F170" i="11"/>
  <c r="F168" i="11" s="1"/>
  <c r="F98" i="11"/>
  <c r="F96" i="11" s="1"/>
  <c r="L130" i="11"/>
  <c r="L128" i="11" s="1"/>
  <c r="J138" i="11"/>
  <c r="J136" i="11" s="1"/>
  <c r="E138" i="11"/>
  <c r="E136" i="11" s="1"/>
  <c r="C89" i="11"/>
  <c r="C87" i="11" s="1"/>
  <c r="J194" i="11"/>
  <c r="J192" i="11" s="1"/>
  <c r="F178" i="11"/>
  <c r="F176" i="11" s="1"/>
  <c r="I64" i="11"/>
  <c r="I62" i="11" s="1"/>
  <c r="E38" i="11"/>
  <c r="E106" i="11" s="1"/>
  <c r="E104" i="11" s="1"/>
  <c r="E130" i="11"/>
  <c r="E128" i="11" s="1"/>
  <c r="K170" i="11"/>
  <c r="K168" i="11" s="1"/>
  <c r="H89" i="11"/>
  <c r="H87" i="11" s="1"/>
  <c r="D194" i="11"/>
  <c r="D192" i="11" s="1"/>
  <c r="H114" i="11"/>
  <c r="H112" i="11" s="1"/>
  <c r="H122" i="11"/>
  <c r="H120" i="11" s="1"/>
  <c r="K55" i="11"/>
  <c r="K53" i="11" s="1"/>
  <c r="J162" i="11"/>
  <c r="J160" i="11" s="1"/>
  <c r="L72" i="11"/>
  <c r="L70" i="11" s="1"/>
  <c r="K47" i="11"/>
  <c r="K45" i="11" s="1"/>
  <c r="F22" i="11"/>
  <c r="F20" i="11" s="1"/>
  <c r="B70" i="11" l="1"/>
  <c r="B136" i="11"/>
  <c r="B128" i="11"/>
  <c r="B112" i="11"/>
  <c r="B120" i="11"/>
  <c r="B87" i="11"/>
  <c r="B192" i="11"/>
  <c r="B96" i="11"/>
  <c r="B176" i="11"/>
  <c r="B160" i="11"/>
  <c r="B184" i="11"/>
  <c r="B168" i="11"/>
  <c r="K44" i="11"/>
  <c r="C81" i="11"/>
  <c r="C79" i="11" s="1"/>
  <c r="C78" i="11" s="1"/>
  <c r="E81" i="11"/>
  <c r="E79" i="11" s="1"/>
  <c r="E78" i="11" s="1"/>
  <c r="G30" i="11"/>
  <c r="G28" i="11" s="1"/>
  <c r="E95" i="11"/>
  <c r="H6" i="11"/>
  <c r="H4" i="11" s="1"/>
  <c r="E36" i="11"/>
  <c r="J38" i="11"/>
  <c r="C6" i="11"/>
  <c r="C4" i="11" s="1"/>
  <c r="D6" i="11"/>
  <c r="D4" i="11" s="1"/>
  <c r="L6" i="11"/>
  <c r="L4" i="11" s="1"/>
  <c r="I81" i="11"/>
  <c r="I79" i="11" s="1"/>
  <c r="I78" i="11" s="1"/>
  <c r="C22" i="11"/>
  <c r="C20" i="11" s="1"/>
  <c r="M30" i="11"/>
  <c r="M28" i="11" s="1"/>
  <c r="H72" i="11"/>
  <c r="H70" i="11" s="1"/>
  <c r="I12" i="11"/>
  <c r="D22" i="11"/>
  <c r="D20" i="11" s="1"/>
  <c r="G12" i="11"/>
  <c r="K22" i="11"/>
  <c r="K20" i="11" s="1"/>
  <c r="G22" i="11"/>
  <c r="G20" i="11" s="1"/>
  <c r="M12" i="11"/>
  <c r="D30" i="11"/>
  <c r="D28" i="11" s="1"/>
  <c r="L53" i="11"/>
  <c r="C72" i="11"/>
  <c r="C70" i="11" s="1"/>
  <c r="D72" i="11"/>
  <c r="D70" i="11" s="1"/>
  <c r="J72" i="11"/>
  <c r="J70" i="11" s="1"/>
  <c r="E72" i="11"/>
  <c r="E70" i="11" s="1"/>
  <c r="C55" i="11"/>
  <c r="C53" i="11" s="1"/>
  <c r="D55" i="11"/>
  <c r="D53" i="11" s="1"/>
  <c r="J55" i="11"/>
  <c r="J53" i="11" s="1"/>
  <c r="H55" i="11"/>
  <c r="H53" i="11" s="1"/>
  <c r="F55" i="11"/>
  <c r="F53" i="11" s="1"/>
  <c r="E55" i="11"/>
  <c r="E53" i="11" s="1"/>
  <c r="C64" i="11"/>
  <c r="C62" i="11" s="1"/>
  <c r="J64" i="11"/>
  <c r="J62" i="11" s="1"/>
  <c r="D64" i="11"/>
  <c r="D62" i="11" s="1"/>
  <c r="F64" i="11"/>
  <c r="F62" i="11" s="1"/>
  <c r="K64" i="11"/>
  <c r="L64" i="11"/>
  <c r="B64" i="11"/>
  <c r="K30" i="11"/>
  <c r="K28" i="11" s="1"/>
  <c r="E64" i="11"/>
  <c r="E62" i="11" s="1"/>
  <c r="B47" i="11"/>
  <c r="F47" i="11"/>
  <c r="F45" i="11" s="1"/>
  <c r="F44" i="11" s="1"/>
  <c r="C47" i="11"/>
  <c r="C45" i="11" s="1"/>
  <c r="H47" i="11"/>
  <c r="H45" i="11" s="1"/>
  <c r="J47" i="11"/>
  <c r="J45" i="11" s="1"/>
  <c r="L47" i="11"/>
  <c r="L45" i="11" s="1"/>
  <c r="I47" i="11"/>
  <c r="I45" i="11" s="1"/>
  <c r="E47" i="11"/>
  <c r="E45" i="11" s="1"/>
  <c r="H38" i="11"/>
  <c r="D12" i="11"/>
  <c r="I72" i="11"/>
  <c r="I70" i="11" s="1"/>
  <c r="I61" i="11" s="1"/>
  <c r="E22" i="11"/>
  <c r="E20" i="11" s="1"/>
  <c r="D47" i="11"/>
  <c r="D45" i="11" s="1"/>
  <c r="G47" i="11"/>
  <c r="G45" i="11" s="1"/>
  <c r="B22" i="11"/>
  <c r="B55" i="11"/>
  <c r="M6" i="11"/>
  <c r="M4" i="11" s="1"/>
  <c r="H64" i="11"/>
  <c r="H62" i="11" s="1"/>
  <c r="J22" i="11"/>
  <c r="J20" i="11" s="1"/>
  <c r="H81" i="11"/>
  <c r="H79" i="11" s="1"/>
  <c r="H78" i="11" s="1"/>
  <c r="E12" i="11"/>
  <c r="K12" i="11"/>
  <c r="F81" i="11"/>
  <c r="F79" i="11" s="1"/>
  <c r="F78" i="11" s="1"/>
  <c r="L22" i="11"/>
  <c r="L20" i="11" s="1"/>
  <c r="F72" i="11"/>
  <c r="F70" i="11" s="1"/>
  <c r="G55" i="11"/>
  <c r="G53" i="11" s="1"/>
  <c r="D81" i="11"/>
  <c r="D79" i="11" s="1"/>
  <c r="D78" i="11" s="1"/>
  <c r="J81" i="11"/>
  <c r="J79" i="11" s="1"/>
  <c r="J78" i="11" s="1"/>
  <c r="G81" i="11"/>
  <c r="G79" i="11" s="1"/>
  <c r="G78" i="11" s="1"/>
  <c r="L81" i="11"/>
  <c r="L79" i="11" s="1"/>
  <c r="L78" i="11" s="1"/>
  <c r="K81" i="11"/>
  <c r="K79" i="11" s="1"/>
  <c r="K78" i="11" s="1"/>
  <c r="H30" i="11"/>
  <c r="H28" i="11" s="1"/>
  <c r="H12" i="11"/>
  <c r="I22" i="11"/>
  <c r="I20" i="11" s="1"/>
  <c r="J12" i="11"/>
  <c r="E30" i="11"/>
  <c r="E28" i="11" s="1"/>
  <c r="J30" i="11"/>
  <c r="J28" i="11" s="1"/>
  <c r="I30" i="11"/>
  <c r="I28" i="11" s="1"/>
  <c r="C12" i="11"/>
  <c r="H22" i="11"/>
  <c r="H20" i="11" s="1"/>
  <c r="I38" i="11"/>
  <c r="K6" i="11"/>
  <c r="K4" i="11" s="1"/>
  <c r="B38" i="11"/>
  <c r="I6" i="11"/>
  <c r="I4" i="11" s="1"/>
  <c r="L38" i="11"/>
  <c r="F38" i="11"/>
  <c r="C38" i="11"/>
  <c r="G6" i="11"/>
  <c r="G4" i="11" s="1"/>
  <c r="E6" i="11"/>
  <c r="E4" i="11" s="1"/>
  <c r="J6" i="11"/>
  <c r="J4" i="11" s="1"/>
  <c r="G38" i="11"/>
  <c r="D38" i="11"/>
  <c r="L12" i="11"/>
  <c r="F30" i="11"/>
  <c r="F28" i="11" s="1"/>
  <c r="F6" i="11"/>
  <c r="F4" i="11" s="1"/>
  <c r="F12" i="11"/>
  <c r="K38" i="11"/>
  <c r="B6" i="11"/>
  <c r="I55" i="11"/>
  <c r="I53" i="11" s="1"/>
  <c r="G72" i="11"/>
  <c r="G70" i="11" s="1"/>
  <c r="M22" i="11"/>
  <c r="M20" i="11" s="1"/>
  <c r="G64" i="11"/>
  <c r="G62" i="11" s="1"/>
  <c r="J44" i="11" l="1"/>
  <c r="L62" i="11"/>
  <c r="L61" i="11" s="1"/>
  <c r="E44" i="11"/>
  <c r="B62" i="11"/>
  <c r="K62" i="11"/>
  <c r="K61" i="11" s="1"/>
  <c r="B28" i="11"/>
  <c r="B79" i="11"/>
  <c r="B53" i="11"/>
  <c r="B20" i="11"/>
  <c r="B45" i="11"/>
  <c r="B4" i="11"/>
  <c r="C3" i="11"/>
  <c r="L3" i="11"/>
  <c r="H3" i="11"/>
  <c r="J61" i="11"/>
  <c r="F3" i="11"/>
  <c r="D3" i="11"/>
  <c r="H44" i="11"/>
  <c r="G44" i="11"/>
  <c r="L44" i="11"/>
  <c r="E61" i="11"/>
  <c r="D106" i="11"/>
  <c r="D104" i="11" s="1"/>
  <c r="D95" i="11" s="1"/>
  <c r="D36" i="11"/>
  <c r="N104" i="11"/>
  <c r="N95" i="11" s="1"/>
  <c r="M104" i="11"/>
  <c r="M95" i="11" s="1"/>
  <c r="L106" i="11"/>
  <c r="L104" i="11" s="1"/>
  <c r="L95" i="11" s="1"/>
  <c r="L36" i="11"/>
  <c r="I3" i="11"/>
  <c r="B106" i="11"/>
  <c r="B36" i="11"/>
  <c r="D44" i="11"/>
  <c r="C61" i="11"/>
  <c r="M3" i="11"/>
  <c r="K3" i="11"/>
  <c r="H106" i="11"/>
  <c r="H104" i="11" s="1"/>
  <c r="H95" i="11" s="1"/>
  <c r="H36" i="11"/>
  <c r="G36" i="11"/>
  <c r="G106" i="11"/>
  <c r="G104" i="11" s="1"/>
  <c r="G95" i="11" s="1"/>
  <c r="I44" i="11"/>
  <c r="H61" i="11"/>
  <c r="F61" i="11"/>
  <c r="K106" i="11"/>
  <c r="K104" i="11" s="1"/>
  <c r="K95" i="11" s="1"/>
  <c r="K36" i="11"/>
  <c r="G61" i="11"/>
  <c r="C36" i="11"/>
  <c r="C106" i="11"/>
  <c r="C104" i="11" s="1"/>
  <c r="C95" i="11" s="1"/>
  <c r="I36" i="11"/>
  <c r="I106" i="11"/>
  <c r="I104" i="11" s="1"/>
  <c r="I95" i="11" s="1"/>
  <c r="J3" i="11"/>
  <c r="D61" i="11"/>
  <c r="J36" i="11"/>
  <c r="J106" i="11"/>
  <c r="J104" i="11" s="1"/>
  <c r="J95" i="11" s="1"/>
  <c r="F36" i="11"/>
  <c r="F106" i="11"/>
  <c r="F104" i="11" s="1"/>
  <c r="F95" i="11" s="1"/>
  <c r="E3" i="11"/>
  <c r="C44" i="11"/>
  <c r="G3" i="11"/>
  <c r="B61" i="11" l="1"/>
  <c r="B44" i="11"/>
  <c r="B78" i="11"/>
  <c r="B3" i="11"/>
  <c r="B104" i="11"/>
  <c r="B9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3" authorId="0" shapeId="0" xr:uid="{E91E0CBE-085A-44A7-8E8E-2763A6EA04C8}">
      <text>
        <r>
          <rPr>
            <b/>
            <sz val="9"/>
            <color indexed="81"/>
            <rFont val="Tahoma"/>
            <family val="2"/>
          </rPr>
          <t>Elin Röös:</t>
        </r>
        <r>
          <rPr>
            <sz val="9"/>
            <color indexed="81"/>
            <rFont val="Tahoma"/>
            <family val="2"/>
          </rPr>
          <t xml:space="preserve">
Suckler cow and her calves slaughtered at 24 month</t>
        </r>
      </text>
    </comment>
    <comment ref="B56" authorId="0" shapeId="0" xr:uid="{E041B6AC-4B4C-4B3C-8B77-BF7D94FFD46C}">
      <text>
        <r>
          <rPr>
            <b/>
            <sz val="9"/>
            <color indexed="81"/>
            <rFont val="Tahoma"/>
            <family val="2"/>
          </rPr>
          <t>Elin Röös:</t>
        </r>
        <r>
          <rPr>
            <sz val="9"/>
            <color indexed="81"/>
            <rFont val="Tahoma"/>
            <family val="2"/>
          </rPr>
          <t xml:space="preserve">
Approx DE
</t>
        </r>
      </text>
    </comment>
    <comment ref="E56" authorId="0" shapeId="0" xr:uid="{6FF2168A-25DF-43B6-A7BC-5378142BE9F1}">
      <text>
        <r>
          <rPr>
            <b/>
            <sz val="9"/>
            <color indexed="81"/>
            <rFont val="Tahoma"/>
            <family val="2"/>
          </rPr>
          <t>Elin Röös:</t>
        </r>
        <r>
          <rPr>
            <sz val="9"/>
            <color indexed="81"/>
            <rFont val="Tahoma"/>
            <family val="2"/>
          </rPr>
          <t xml:space="preserve">
Approx HU</t>
        </r>
      </text>
    </comment>
    <comment ref="H56" authorId="0" shapeId="0" xr:uid="{2D4A173E-49B9-4EEA-BE1A-32E20AF5C1DE}">
      <text>
        <r>
          <rPr>
            <b/>
            <sz val="9"/>
            <color indexed="81"/>
            <rFont val="Tahoma"/>
            <family val="2"/>
          </rPr>
          <t>Elin Röös:</t>
        </r>
        <r>
          <rPr>
            <sz val="9"/>
            <color indexed="81"/>
            <rFont val="Tahoma"/>
            <family val="2"/>
          </rPr>
          <t xml:space="preserve">
Approx IT</t>
        </r>
      </text>
    </comment>
    <comment ref="I56" authorId="0" shapeId="0" xr:uid="{B684D717-E873-4409-937F-C3C71D7984DD}">
      <text>
        <r>
          <rPr>
            <b/>
            <sz val="9"/>
            <color indexed="81"/>
            <rFont val="Tahoma"/>
            <family val="2"/>
          </rPr>
          <t>Elin Röös:</t>
        </r>
        <r>
          <rPr>
            <sz val="9"/>
            <color indexed="81"/>
            <rFont val="Tahoma"/>
            <family val="2"/>
          </rPr>
          <t xml:space="preserve">
Approx SE</t>
        </r>
      </text>
    </comment>
  </commentList>
</comments>
</file>

<file path=xl/sharedStrings.xml><?xml version="1.0" encoding="utf-8"?>
<sst xmlns="http://schemas.openxmlformats.org/spreadsheetml/2006/main" count="3113" uniqueCount="930">
  <si>
    <t>Supplementary Material 1 to</t>
  </si>
  <si>
    <t>Advancing Indicators for Animal Welfare and Antibiotic Use in Sustainability Assessments of Diets</t>
  </si>
  <si>
    <t>by</t>
  </si>
  <si>
    <t xml:space="preserve">Lotta Rydhmer, Professor in Animal Breeding, Swedish University of Agricultural Sciences </t>
  </si>
  <si>
    <t>Elin Röös, Associate Professor in Sustainable Food Systems, Swedish University of Agricultural Sciences</t>
  </si>
  <si>
    <t>Explanation of the sheets:</t>
  </si>
  <si>
    <t>Sheets DK-Wild</t>
  </si>
  <si>
    <t>Calculations of the animal welfare indices for the different countries and for wild animals</t>
  </si>
  <si>
    <t>Mortality</t>
  </si>
  <si>
    <t>Mortality rates used to calculate 'suffering'</t>
  </si>
  <si>
    <t>Disease</t>
  </si>
  <si>
    <t>Disease rates used to calculate 'suffering'</t>
  </si>
  <si>
    <t>Slaughter</t>
  </si>
  <si>
    <t>Slaughtering times used to calculate 'suffering'</t>
  </si>
  <si>
    <t xml:space="preserve">Space </t>
  </si>
  <si>
    <t>Summary of space used to calculate 'suffering'</t>
  </si>
  <si>
    <t>No affected</t>
  </si>
  <si>
    <t>No of animals affected to produce 1 kg of edible product</t>
  </si>
  <si>
    <t>Ability</t>
  </si>
  <si>
    <t>Ability of animals to perceive negative effects of being used by humans, see SM4 for more information</t>
  </si>
  <si>
    <t>Life duration</t>
  </si>
  <si>
    <t>Life duration in years</t>
  </si>
  <si>
    <t>Space cattle-rabbit</t>
  </si>
  <si>
    <t>Calculations of the relative lack of space, summarised in tab 'Space'</t>
  </si>
  <si>
    <t>Fig.1-3</t>
  </si>
  <si>
    <t>Figures 1-3 use in the manuscript</t>
  </si>
  <si>
    <t>See SM5 for references and further information</t>
  </si>
  <si>
    <t>Denmark</t>
  </si>
  <si>
    <t>Perception Adjusted Animal Lifes Affected (PAALA)</t>
  </si>
  <si>
    <t>Perception Adjusted Animal Lifes Affected (PAALA) - normalised</t>
  </si>
  <si>
    <t>Animal Life Years Suffered (ALYS)</t>
  </si>
  <si>
    <t>Perception Adjusted  Animal Life Years Suffered (PAALYS)</t>
  </si>
  <si>
    <t>Total</t>
  </si>
  <si>
    <t>Prod. animal</t>
  </si>
  <si>
    <t>Parent</t>
  </si>
  <si>
    <t>Beef suckler herds</t>
  </si>
  <si>
    <t>Beef dairy int</t>
  </si>
  <si>
    <t>Beef dairy ext</t>
  </si>
  <si>
    <t>Milk</t>
  </si>
  <si>
    <t>Horse meat</t>
  </si>
  <si>
    <t>Lamb meat</t>
  </si>
  <si>
    <t>Pig meat</t>
  </si>
  <si>
    <t>Chicken meat</t>
  </si>
  <si>
    <t>Rabbit meat</t>
  </si>
  <si>
    <t>Egg</t>
  </si>
  <si>
    <t>Animal data</t>
  </si>
  <si>
    <t>PRODUCTION ANIMALS</t>
  </si>
  <si>
    <t>Non-normalised</t>
  </si>
  <si>
    <t>Normalised</t>
  </si>
  <si>
    <t>PARENT ANIMALS  (male chicks for hen)</t>
  </si>
  <si>
    <t>Number affected</t>
  </si>
  <si>
    <t>Ability - normalised</t>
  </si>
  <si>
    <t>Suffering</t>
  </si>
  <si>
    <t>Suffering - normalised</t>
  </si>
  <si>
    <t>Suffering norm ex. slaughter</t>
  </si>
  <si>
    <t>Space</t>
  </si>
  <si>
    <t>Life duration (years)</t>
  </si>
  <si>
    <t>Slaughter duration (years)</t>
  </si>
  <si>
    <t>Suffering norm</t>
  </si>
  <si>
    <t>Cattle suckler herds</t>
  </si>
  <si>
    <t>Meat cattle dairy intensive</t>
  </si>
  <si>
    <t>Meat cattle dairy extensive</t>
  </si>
  <si>
    <t>Dairy cows</t>
  </si>
  <si>
    <t>Horse</t>
  </si>
  <si>
    <t>Lamb</t>
  </si>
  <si>
    <t>Pig</t>
  </si>
  <si>
    <t>Chicken</t>
  </si>
  <si>
    <t>Rabbit</t>
  </si>
  <si>
    <t>Laying hen</t>
  </si>
  <si>
    <t>France</t>
  </si>
  <si>
    <t>Germany</t>
  </si>
  <si>
    <t>Greece</t>
  </si>
  <si>
    <t>Hungary</t>
  </si>
  <si>
    <t>Ireland</t>
  </si>
  <si>
    <t>Italy</t>
  </si>
  <si>
    <t>The Netherlands</t>
  </si>
  <si>
    <t>PARENT ANIMALS  (male chicks for hen, in red)</t>
  </si>
  <si>
    <t>Poland</t>
  </si>
  <si>
    <t>Spain</t>
  </si>
  <si>
    <t>Sweden</t>
  </si>
  <si>
    <t>United Kingdom</t>
  </si>
  <si>
    <t>New Zealand</t>
  </si>
  <si>
    <t>Norway</t>
  </si>
  <si>
    <t>Farmed salmon</t>
  </si>
  <si>
    <t>Wild animals, insects and honeybees</t>
  </si>
  <si>
    <t>Perception Adjusted Animal Lifes Affected (PAALA) - normalised (inte använt)</t>
  </si>
  <si>
    <t>Wild fish</t>
  </si>
  <si>
    <t>Mussels</t>
  </si>
  <si>
    <t>Shrimp</t>
  </si>
  <si>
    <t>Octopus</t>
  </si>
  <si>
    <t>Wild ruminant meat</t>
  </si>
  <si>
    <t>Wild boar meat</t>
  </si>
  <si>
    <t>Wild rabbit meat</t>
  </si>
  <si>
    <t>Mealworm meat</t>
  </si>
  <si>
    <t>Honey</t>
  </si>
  <si>
    <t>Wild ruminants</t>
  </si>
  <si>
    <t>Wild boar</t>
  </si>
  <si>
    <t>Wild rabbit</t>
  </si>
  <si>
    <t>Mealworm</t>
  </si>
  <si>
    <t>Honeybee</t>
  </si>
  <si>
    <t>Max</t>
  </si>
  <si>
    <t>Dystopia</t>
  </si>
  <si>
    <t>PARENT ANIMALS</t>
  </si>
  <si>
    <t>DK</t>
  </si>
  <si>
    <t>FR</t>
  </si>
  <si>
    <t>DE</t>
  </si>
  <si>
    <t>GR</t>
  </si>
  <si>
    <t>HU</t>
  </si>
  <si>
    <t>IE</t>
  </si>
  <si>
    <t>IT</t>
  </si>
  <si>
    <t>NL</t>
  </si>
  <si>
    <t>PL</t>
  </si>
  <si>
    <t>ES</t>
  </si>
  <si>
    <t>SE</t>
  </si>
  <si>
    <t>UK</t>
  </si>
  <si>
    <t>NZ</t>
  </si>
  <si>
    <t>NO</t>
  </si>
  <si>
    <t>Wild</t>
  </si>
  <si>
    <t>Not applicable as all impact from the mother animal (the dairy cow) allocated to the milk</t>
  </si>
  <si>
    <t>Honey bee</t>
  </si>
  <si>
    <t>(discarded male chicks for laying hen)</t>
  </si>
  <si>
    <t>Male chicks not killed in France and Germany</t>
  </si>
  <si>
    <t>No of animals affected</t>
  </si>
  <si>
    <t>Dairy cows*</t>
  </si>
  <si>
    <t>Not applicable as parent animals (dairy cows) are production animals</t>
  </si>
  <si>
    <t>Not applicable as parent animals (mares) are production animals</t>
  </si>
  <si>
    <t xml:space="preserve">Number of parent animals added to number of production animals; a simplification made because data on suffering were not found for parent animals. </t>
  </si>
  <si>
    <t>Laying hen parents are assumed to have similar conditions as laying hens and are included in number of hens</t>
  </si>
  <si>
    <t>Not included since the impact is negliable as each parent animal produces a huge amount of offspring for slaughter.</t>
  </si>
  <si>
    <t>Not applicable as only the wild animals caught and used for food are included in the assessment</t>
  </si>
  <si>
    <t>Mussels**</t>
  </si>
  <si>
    <t>Shrimp**</t>
  </si>
  <si>
    <t>Mealworm**</t>
  </si>
  <si>
    <t>Honey bee**</t>
  </si>
  <si>
    <t>* Ajusted to not downplay the contibution to animal welfare loss of dairy cows</t>
  </si>
  <si>
    <t xml:space="preserve">** Adjusted (divided by 10 for mussels and shrimp and divided by 100 for mealworm and honey bee) to not give too much emphasis on the very large number of animals affected. </t>
  </si>
  <si>
    <t xml:space="preserve">PARENT ANIMALS   </t>
  </si>
  <si>
    <t>(discarded  male chicks for laying hen, in red)</t>
  </si>
  <si>
    <t>Cattle space calculations</t>
  </si>
  <si>
    <t>Law is indicated in yellow</t>
  </si>
  <si>
    <t>Dairy cow loose housed SE</t>
  </si>
  <si>
    <t>SE law</t>
  </si>
  <si>
    <t>Assuming calf hut until 60 kg, reared in group, age 1st calving 24 m, 305 d lactation, 2,5 lactations</t>
  </si>
  <si>
    <t>before mating</t>
  </si>
  <si>
    <t>heifer and dry cow</t>
  </si>
  <si>
    <t>milking cow</t>
  </si>
  <si>
    <t>Total days</t>
  </si>
  <si>
    <t>Ref.</t>
  </si>
  <si>
    <t>SJV, 2019e</t>
  </si>
  <si>
    <t>days</t>
  </si>
  <si>
    <t>body length</t>
  </si>
  <si>
    <t>body width</t>
  </si>
  <si>
    <t>body area cm2</t>
  </si>
  <si>
    <t>law, weight, kg</t>
  </si>
  <si>
    <t>m2/animal</t>
  </si>
  <si>
    <t>cm2/ animal</t>
  </si>
  <si>
    <t>area covered %</t>
  </si>
  <si>
    <t>mean life space</t>
  </si>
  <si>
    <t>Dairy cow loose housed DK</t>
  </si>
  <si>
    <t>DK law</t>
  </si>
  <si>
    <t>Assuming calf hut until 60 kg, reared in group on slatted floor, age 1st calving 24 m, 305 d lactation, 2,5 lactations</t>
  </si>
  <si>
    <t xml:space="preserve">DVFA, 2020. </t>
  </si>
  <si>
    <t>law for dairy calves, weight, kg</t>
  </si>
  <si>
    <t>Dairy cow louse housed EU</t>
  </si>
  <si>
    <t xml:space="preserve">EU law </t>
  </si>
  <si>
    <t>EU, 2008b</t>
  </si>
  <si>
    <t>law for calves, weight, kg</t>
  </si>
  <si>
    <t>&lt;150</t>
  </si>
  <si>
    <t>&lt;220</t>
  </si>
  <si>
    <t>&gt;220</t>
  </si>
  <si>
    <t xml:space="preserve">Assumed space for heifers and cows (no EU law). Minimum for organic milking cows 6 m2 (EU, 2020) </t>
  </si>
  <si>
    <t>Dairy cow tied SE</t>
  </si>
  <si>
    <t>Dairy cow tied EU</t>
  </si>
  <si>
    <t xml:space="preserve">Assumed space for heifers and cows (no EU law). </t>
  </si>
  <si>
    <t>Stall assumed same size as SE</t>
  </si>
  <si>
    <t>Dairy cow, country specific</t>
  </si>
  <si>
    <t>Proportion tied and loose housed and proportion on pasture from EFSA (2023a), pasture season length from Phelan et al (2016)</t>
  </si>
  <si>
    <t>Assuming louse housed and tied cows spend equally much time on pasture within country</t>
  </si>
  <si>
    <t>Country, and assumptions when missing data</t>
  </si>
  <si>
    <t>louse-housed</t>
  </si>
  <si>
    <t>tied</t>
  </si>
  <si>
    <t>always indoors</t>
  </si>
  <si>
    <t>cows on pasture</t>
  </si>
  <si>
    <t>pasture length, m</t>
  </si>
  <si>
    <t>time indoors</t>
  </si>
  <si>
    <t>GR, same proportion tied as Pl</t>
  </si>
  <si>
    <t>HU, same proportion tied as PL</t>
  </si>
  <si>
    <t>IE,  same proportion tied as FR</t>
  </si>
  <si>
    <t>IT, proportion tied as mean of FR and Austria</t>
  </si>
  <si>
    <t>PL, 0.87 from 2011, decrease to 0.70 assumed</t>
  </si>
  <si>
    <t>Calf on slatted floor, slaugthered at 9-10 m, SE</t>
  </si>
  <si>
    <t xml:space="preserve">SE law </t>
  </si>
  <si>
    <t>Assumed always indoors in groups  on slatted floor</t>
  </si>
  <si>
    <t>SJV 2019e</t>
  </si>
  <si>
    <t>weight, kg</t>
  </si>
  <si>
    <t>m2/animal, SE law</t>
  </si>
  <si>
    <t>Dairy calf on slatted floor, slaugthered at 9-10 m, DK</t>
  </si>
  <si>
    <t xml:space="preserve">DK law </t>
  </si>
  <si>
    <t xml:space="preserve">Danish Veterinary and Food Administration, 2020. </t>
  </si>
  <si>
    <t>&lt;200kg</t>
  </si>
  <si>
    <t>200-300kg</t>
  </si>
  <si>
    <t>m2/animal, DK law for dairy calf</t>
  </si>
  <si>
    <t>Assumed same space as EU until 90 kg</t>
  </si>
  <si>
    <t xml:space="preserve">Calf on slatted floor, slaugthered at 9-10 m, EU </t>
  </si>
  <si>
    <t xml:space="preserve">m2/animal, EU law </t>
  </si>
  <si>
    <t>Calf on slatted floor, slaugthered at 9-10 m, UK</t>
  </si>
  <si>
    <t>UK legislation, 2007</t>
  </si>
  <si>
    <t>150-200</t>
  </si>
  <si>
    <t>&gt;200</t>
  </si>
  <si>
    <t>Calf on slatted floor, slaughtered at 24 m, SE</t>
  </si>
  <si>
    <t xml:space="preserve">m2/animal, SE law </t>
  </si>
  <si>
    <t>Calf on straw, slaughtered at 24 m, SE</t>
  </si>
  <si>
    <t xml:space="preserve">m2/animal,SE law </t>
  </si>
  <si>
    <t>Calf slaugthered at 24 m, SE</t>
  </si>
  <si>
    <t>Assuming 50% on slatted floor and 50% on straw</t>
  </si>
  <si>
    <t>Beef calf, slaughtered at 24 m, DK</t>
  </si>
  <si>
    <t>kg</t>
  </si>
  <si>
    <t>m2/animal, DK law (not dairy)</t>
  </si>
  <si>
    <t>Assume same as SE on slatted floor</t>
  </si>
  <si>
    <t>Dairy calf, slaughtered at 24 m, DK</t>
  </si>
  <si>
    <t>m2/animal, DK law (dairy)</t>
  </si>
  <si>
    <t>Calf, slaughtered at 24 m, EU</t>
  </si>
  <si>
    <t xml:space="preserve">Assume same as SE on slatted floor </t>
  </si>
  <si>
    <t>Calf, slaughtered at 24 m, UK</t>
  </si>
  <si>
    <t>UKGov, 2007</t>
  </si>
  <si>
    <t>Calf slaughtered at 24 m, country specific</t>
  </si>
  <si>
    <t>Time on pasture estimated from ratio of manure on pasture for 'no-dairy cattle' (CRF,2023)</t>
  </si>
  <si>
    <t>combining indoors and on pasture</t>
  </si>
  <si>
    <t>pasture ratio</t>
  </si>
  <si>
    <t>time inside</t>
  </si>
  <si>
    <t>mean life space whole year</t>
  </si>
  <si>
    <t>DK beef</t>
  </si>
  <si>
    <t>DK dairy</t>
  </si>
  <si>
    <t>NL assumed mean of FR and GE</t>
  </si>
  <si>
    <t>Beef suckler cow, country specific</t>
  </si>
  <si>
    <t>Assuming all suckler cows are loose housed indoors (same space as loose housed dairy cows)</t>
  </si>
  <si>
    <t>and on pasture during the whole pasture season, with pasture season length from Phelan et al (2016)</t>
  </si>
  <si>
    <t>Horse space calculations</t>
  </si>
  <si>
    <t>Horse SE stall</t>
  </si>
  <si>
    <t>SJV 2019b</t>
  </si>
  <si>
    <t>cm2/animal</t>
  </si>
  <si>
    <t>Horse SE pen</t>
  </si>
  <si>
    <t>Horse SE combined space</t>
  </si>
  <si>
    <t>Assuming 20% are in stalls, which is only allowed for old buildnings</t>
  </si>
  <si>
    <t xml:space="preserve">Horse EU </t>
  </si>
  <si>
    <t>No EU law. Assuming same space as in EU organic production (although organic production generally means larger space than conventional for other species)</t>
  </si>
  <si>
    <t>EU, 2020</t>
  </si>
  <si>
    <t>Horse country specific</t>
  </si>
  <si>
    <t xml:space="preserve">Assuming all horses are indoors (with the space calculated above) day and night during winter season and outdoors on pasture or in large paddock day and night during summer season. </t>
  </si>
  <si>
    <t>Assuming same lenght of pasture season as for beef cattle (Phelan et al, 2016)</t>
  </si>
  <si>
    <t>pasture months</t>
  </si>
  <si>
    <t>space</t>
  </si>
  <si>
    <t>mean space</t>
  </si>
  <si>
    <t>Lamb space calculations</t>
  </si>
  <si>
    <t>Lamb SE</t>
  </si>
  <si>
    <t>Assuming 2 lambs/litter and ewe body weight 65 kg</t>
  </si>
  <si>
    <t>SJV, 2019d</t>
  </si>
  <si>
    <t>law</t>
  </si>
  <si>
    <r>
      <rPr>
        <sz val="10"/>
        <color theme="1"/>
        <rFont val="Calibri"/>
        <family val="2"/>
        <scheme val="minor"/>
      </rPr>
      <t xml:space="preserve">lambing pen </t>
    </r>
    <r>
      <rPr>
        <sz val="11"/>
        <color theme="1"/>
        <rFont val="Calibri"/>
        <family val="2"/>
        <scheme val="minor"/>
      </rPr>
      <t>1,2x1,2m</t>
    </r>
  </si>
  <si>
    <t>body weight &gt;15 kg</t>
  </si>
  <si>
    <t>body weight &gt;30 kg</t>
  </si>
  <si>
    <t>body weight &lt;65 kg</t>
  </si>
  <si>
    <t>Lamb EU and UK</t>
  </si>
  <si>
    <t>No EU law</t>
  </si>
  <si>
    <t>Assuming 30% higher stocking density than in SE, based on Teagasc (2022) recommendations for ewes (1.2 m2 vs 1.7 m2)</t>
  </si>
  <si>
    <t>Lamb, country specific</t>
  </si>
  <si>
    <t>Time on pasture estimated from ratio of manure on pasture for sheep (CRF,2023)</t>
  </si>
  <si>
    <t>Average of 'upland' and 'other' for EI. No Swedish data; assumed same as DK.</t>
  </si>
  <si>
    <t>combing indoors and on pasture</t>
  </si>
  <si>
    <t>Ewe SE</t>
  </si>
  <si>
    <t xml:space="preserve">Assuming 2 lambs/litter, ewe body weight 65 kg and 4 litters </t>
  </si>
  <si>
    <t>body weight 65 kg</t>
  </si>
  <si>
    <t>pregnant ewe</t>
  </si>
  <si>
    <t>ewe with lambs &lt;15 kg</t>
  </si>
  <si>
    <t>Ewe EU and UK</t>
  </si>
  <si>
    <t>Ewe, country specific</t>
  </si>
  <si>
    <t xml:space="preserve">Assuming all ewes are indoors (with the space calculated above) day and night during winter season and outdoors on pasture day and night during summer season. </t>
  </si>
  <si>
    <t>combing indoors</t>
  </si>
  <si>
    <t>Lenght of pasture season from Phelan et al, 2016</t>
  </si>
  <si>
    <t>and on pasture</t>
  </si>
  <si>
    <t>Pig space calculations</t>
  </si>
  <si>
    <t>Slaughter pig EU</t>
  </si>
  <si>
    <t>EU law</t>
  </si>
  <si>
    <t>total days</t>
  </si>
  <si>
    <t>EU, 2008</t>
  </si>
  <si>
    <t>N/m2</t>
  </si>
  <si>
    <t>Slaughter pig SE</t>
  </si>
  <si>
    <t>Assuming 13 piglets per litter</t>
  </si>
  <si>
    <t>SJV, 2019c</t>
  </si>
  <si>
    <t>6 m2/ litter</t>
  </si>
  <si>
    <t>From 10 kg: 0,17 + (weight in kg/130)</t>
  </si>
  <si>
    <t>Gilt sow EU</t>
  </si>
  <si>
    <t>Assuming 1st farrowing 1 year, 4,5 parities, 35 d in crate/litter. N=6-39 in gilt and sow groups</t>
  </si>
  <si>
    <t>gilt group</t>
  </si>
  <si>
    <t>crate</t>
  </si>
  <si>
    <t>sow group</t>
  </si>
  <si>
    <t>Baxter et al, 2023 (no EU law)</t>
  </si>
  <si>
    <t>Gilt sow SE</t>
  </si>
  <si>
    <t>Assuming 1st farrowing 1 year, 4,5 parities, 40 d in farrowing pen/litter. N=6-39 in gilt and sow groups</t>
  </si>
  <si>
    <t>SJV, 2019</t>
  </si>
  <si>
    <t>farrowing pen</t>
  </si>
  <si>
    <t>Poultry space calculations</t>
  </si>
  <si>
    <t>Chickens</t>
  </si>
  <si>
    <t>Assuming same numbers of birds on same total area during whole life</t>
  </si>
  <si>
    <t>Chicken EU</t>
  </si>
  <si>
    <t>body weight</t>
  </si>
  <si>
    <t>EU, 2007</t>
  </si>
  <si>
    <t>42 kg / m2</t>
  </si>
  <si>
    <t>week</t>
  </si>
  <si>
    <t>law, kg/m2</t>
  </si>
  <si>
    <t>Chicken DK</t>
  </si>
  <si>
    <t>The better chicken, nd</t>
  </si>
  <si>
    <t>40 kg / m2</t>
  </si>
  <si>
    <t>Chicken GE</t>
  </si>
  <si>
    <t>GE law</t>
  </si>
  <si>
    <t>39 kg / m2</t>
  </si>
  <si>
    <t xml:space="preserve">Chicken SE </t>
  </si>
  <si>
    <t>SJV, 2019a</t>
  </si>
  <si>
    <t>36 kg / m2</t>
  </si>
  <si>
    <t>Chicken parents</t>
  </si>
  <si>
    <t>Assuming 1st egg at 24wk and slaughter at 65 wk</t>
  </si>
  <si>
    <t>Chicken parent</t>
  </si>
  <si>
    <t>Asuming same space in all countries (no EU law)</t>
  </si>
  <si>
    <t>&lt;2,4</t>
  </si>
  <si>
    <t>0-3wk</t>
  </si>
  <si>
    <t>4-6wk</t>
  </si>
  <si>
    <t>7-15wk</t>
  </si>
  <si>
    <t>16-18wk</t>
  </si>
  <si>
    <t>19-21wk</t>
  </si>
  <si>
    <t>22-65wk</t>
  </si>
  <si>
    <t>weeks to sum</t>
  </si>
  <si>
    <t>law N/m2</t>
  </si>
  <si>
    <t>Laying hens</t>
  </si>
  <si>
    <t>Assuming 1st egg at 18wk  and slaughter at 75 wk</t>
  </si>
  <si>
    <t>Laying hen EU</t>
  </si>
  <si>
    <t>Assuming same space as in SE until wk 18 (no EU law for young)</t>
  </si>
  <si>
    <t>EU, 1999</t>
  </si>
  <si>
    <t>cage</t>
  </si>
  <si>
    <t>22-75wk</t>
  </si>
  <si>
    <t xml:space="preserve"> N/m2</t>
  </si>
  <si>
    <t>Laying hen DK SE</t>
  </si>
  <si>
    <t xml:space="preserve">Assuming same space in DK as in SE until wk 18 </t>
  </si>
  <si>
    <t>(no law in DK for young hens)</t>
  </si>
  <si>
    <t>including nest and dust bath</t>
  </si>
  <si>
    <t>Assuming same space as in SE until wk 6 (no EU law)</t>
  </si>
  <si>
    <t>free range</t>
  </si>
  <si>
    <t>and same space as för EU chicken 7-21 wk (no EU law)</t>
  </si>
  <si>
    <t>Laying hen SE DK</t>
  </si>
  <si>
    <t xml:space="preserve">Assuming same space in DK as in SE for young hens </t>
  </si>
  <si>
    <t>(no DK law for young hens)</t>
  </si>
  <si>
    <t>Laying hens combining cage and free range within country</t>
  </si>
  <si>
    <t>Ref:</t>
  </si>
  <si>
    <t>SchukPaim et al, 2021</t>
  </si>
  <si>
    <t>GR*</t>
  </si>
  <si>
    <t>cage, ratio</t>
  </si>
  <si>
    <t>free range, ratio</t>
  </si>
  <si>
    <t>cage space</t>
  </si>
  <si>
    <t>free range space</t>
  </si>
  <si>
    <t>* GR no data, assume same as IT</t>
  </si>
  <si>
    <t>Rabbit space calculations</t>
  </si>
  <si>
    <t>Assumed litter size of 6, weaning at 5 wk, same cage size during rearing and weight at end of rearing period 2.5 kg</t>
  </si>
  <si>
    <t>Rabbit IT</t>
  </si>
  <si>
    <t>IT 'guide'</t>
  </si>
  <si>
    <t>Minestero della salute, 2021</t>
  </si>
  <si>
    <t>0.44m2/litter</t>
  </si>
  <si>
    <t>40 kg/m2</t>
  </si>
  <si>
    <t>Rabbit SE</t>
  </si>
  <si>
    <t>Jordbruksverket, 2017</t>
  </si>
  <si>
    <t>0.8m2/litter</t>
  </si>
  <si>
    <t>0.3 m2/animal</t>
  </si>
  <si>
    <t xml:space="preserve">Rabbit </t>
  </si>
  <si>
    <t>DG SANTE, 2017</t>
  </si>
  <si>
    <t>other countries</t>
  </si>
  <si>
    <t>45 kg/m2</t>
  </si>
  <si>
    <t>85% in Europe in conventinal cages, 45-50 kg/m2</t>
  </si>
  <si>
    <t>Salmon space calculations</t>
  </si>
  <si>
    <t>Assumed slaughter age 3 years and weight at slaughter 5 kg</t>
  </si>
  <si>
    <t xml:space="preserve">Salmon </t>
  </si>
  <si>
    <t>NO law</t>
  </si>
  <si>
    <t>Fiskeri- og kystdepartementet, 2008</t>
  </si>
  <si>
    <t>25 kg/m3</t>
  </si>
  <si>
    <t>year</t>
  </si>
  <si>
    <t>body lengh</t>
  </si>
  <si>
    <t>body area</t>
  </si>
  <si>
    <t>body volume</t>
  </si>
  <si>
    <t>N/m3</t>
  </si>
  <si>
    <t>fish volume/m3</t>
  </si>
  <si>
    <t>volume covered %</t>
  </si>
  <si>
    <t>mean  life space</t>
  </si>
  <si>
    <t>German production systems. Farmed salmon reflects Norweigan production. The rest is non-country specific.</t>
  </si>
  <si>
    <t>Dummy column to draw diagram</t>
  </si>
  <si>
    <t>Production animals</t>
  </si>
  <si>
    <t xml:space="preserve">             Parent animals</t>
  </si>
  <si>
    <t>Suckler cows (beef)</t>
  </si>
  <si>
    <t>Ewe (sheep)</t>
  </si>
  <si>
    <t>Sow (pig)</t>
  </si>
  <si>
    <t>Hens (chicken)</t>
  </si>
  <si>
    <t>Product</t>
  </si>
  <si>
    <t>PAALA</t>
  </si>
  <si>
    <t>ALYS</t>
  </si>
  <si>
    <t>Beef dairy  int</t>
  </si>
  <si>
    <t xml:space="preserve">Spain </t>
  </si>
  <si>
    <t>Perception Adjusted Animal Life Years Spent (PAALYS)</t>
  </si>
  <si>
    <t>Share of manure on pasture</t>
  </si>
  <si>
    <t>Dairy</t>
  </si>
  <si>
    <t>No-dairy cattle</t>
  </si>
  <si>
    <t>Other mature cattle</t>
  </si>
  <si>
    <t>Growing cattle</t>
  </si>
  <si>
    <t>Sheep</t>
  </si>
  <si>
    <t>Comment:</t>
  </si>
  <si>
    <t>Source:</t>
  </si>
  <si>
    <t xml:space="preserve">National inventory reporting. CRF files. </t>
  </si>
  <si>
    <t xml:space="preserve">https://unfccc.int/ghg-inventories-annex-i-parties/2023  </t>
  </si>
  <si>
    <t>For sheep Ireland, average Upland sheep and sheep other</t>
  </si>
  <si>
    <t>CRF 2023, Table 3B(a)s2 Allocation.</t>
  </si>
  <si>
    <t>Only Netherlands provide data divided on Other mature cattle and Growing cattle</t>
  </si>
  <si>
    <t>No value for sheep Sweden, assuming same as Denmark</t>
  </si>
  <si>
    <t>inte använt gödsel för dairy</t>
  </si>
  <si>
    <t>Betessäsongens längd i månader</t>
  </si>
  <si>
    <t>köttkor</t>
  </si>
  <si>
    <t>mjölkkor</t>
  </si>
  <si>
    <t>får</t>
  </si>
  <si>
    <t>Source: Gård&amp;Djurhälsan, 2022, figures 9, 11 and 12</t>
  </si>
  <si>
    <t xml:space="preserve">Denmark </t>
  </si>
  <si>
    <t>Greece*</t>
  </si>
  <si>
    <t xml:space="preserve">Hungary </t>
  </si>
  <si>
    <t>Netherlands</t>
  </si>
  <si>
    <t>Poland*</t>
  </si>
  <si>
    <t>Born</t>
  </si>
  <si>
    <t>Mortality weaning %</t>
  </si>
  <si>
    <t>Mortality piglet growth phase %</t>
  </si>
  <si>
    <t>Mortality slaughtering/fattening pigs %</t>
  </si>
  <si>
    <t>Total mortality of liveborn</t>
  </si>
  <si>
    <t>* Missing data, used average of other countries</t>
  </si>
  <si>
    <t>Species</t>
  </si>
  <si>
    <t>Ability score, norm</t>
  </si>
  <si>
    <t>Beef parents/cows</t>
  </si>
  <si>
    <t>Beef from suckler herds</t>
  </si>
  <si>
    <t>Beef calves</t>
  </si>
  <si>
    <t>Beef from dairy intensive</t>
  </si>
  <si>
    <t>Male chick 10m</t>
  </si>
  <si>
    <t>Beef from dairy extensive</t>
  </si>
  <si>
    <t>Milk (dairy cow)</t>
  </si>
  <si>
    <t xml:space="preserve">Pigs, slaughtering </t>
  </si>
  <si>
    <t>Pigs, parents/sows</t>
  </si>
  <si>
    <t>Sheep/goat, lamb</t>
  </si>
  <si>
    <t>Sheep/goat, parents</t>
  </si>
  <si>
    <t>Egg (laying hen) *</t>
  </si>
  <si>
    <t>Salmon, farmed</t>
  </si>
  <si>
    <t>Salmon</t>
  </si>
  <si>
    <t>Non-domestic ruminants, hunting</t>
  </si>
  <si>
    <t>Non-domestic pigs, hunting</t>
  </si>
  <si>
    <t>Non-domestic rabits, hunting</t>
  </si>
  <si>
    <t>Honey bees</t>
  </si>
  <si>
    <t>Musslor har ett högre värde än mjölmask!</t>
  </si>
  <si>
    <t>Shrimps</t>
  </si>
  <si>
    <t>Ja, och vi har nog egentligen ingen aning...</t>
  </si>
  <si>
    <t>Octopus, wild</t>
  </si>
  <si>
    <t>Averge beef Europe</t>
  </si>
  <si>
    <t>Shares_dairy_cows</t>
  </si>
  <si>
    <t>Shares_suckler</t>
  </si>
  <si>
    <t>Shares_dairy24m</t>
  </si>
  <si>
    <t>Shares_dairy9m</t>
  </si>
  <si>
    <t>Shares</t>
  </si>
  <si>
    <t>Average of SAFAD countries, calculated from Shares beef.xlsx</t>
  </si>
  <si>
    <t>AW</t>
  </si>
  <si>
    <t>Utopia</t>
  </si>
  <si>
    <t>Average</t>
  </si>
  <si>
    <t xml:space="preserve">Slaughtering </t>
  </si>
  <si>
    <t xml:space="preserve">Slaughter process duration in hours and relative value for slaughter </t>
  </si>
  <si>
    <t>DK**</t>
  </si>
  <si>
    <t>DKrel</t>
  </si>
  <si>
    <t>FRrel</t>
  </si>
  <si>
    <t>DE**</t>
  </si>
  <si>
    <t>DErel</t>
  </si>
  <si>
    <t>GRrel</t>
  </si>
  <si>
    <t>HUrel</t>
  </si>
  <si>
    <t>IErel</t>
  </si>
  <si>
    <t>ITrel</t>
  </si>
  <si>
    <t>NL**</t>
  </si>
  <si>
    <t>NLrel</t>
  </si>
  <si>
    <t>PLrel</t>
  </si>
  <si>
    <t>ESrel</t>
  </si>
  <si>
    <t>SE**</t>
  </si>
  <si>
    <t>SErel</t>
  </si>
  <si>
    <t>UKrel</t>
  </si>
  <si>
    <t>NZrel</t>
  </si>
  <si>
    <t>Cattle</t>
  </si>
  <si>
    <t>Poultry - hen</t>
  </si>
  <si>
    <t>Både hönor och kyckling??</t>
  </si>
  <si>
    <t>Svar Nej, ändrat nu</t>
  </si>
  <si>
    <t>Sheep/goat</t>
  </si>
  <si>
    <t xml:space="preserve">Time for Spain from Buil et al (2004), and from Italy from Caucci (2018) assuming the same time for loading as in Spain. Average time of these two for France, Greece, Hungary, Irland, Polen. Denmark, Germany, Netherlands and Sweden set to 6 h. </t>
  </si>
  <si>
    <t>Wild mammals, hunting</t>
  </si>
  <si>
    <t>ändrat!</t>
  </si>
  <si>
    <t>Poultry - chicken *</t>
  </si>
  <si>
    <t>Slaughter process duration includes cathing or collecting animals on farm, loading, transport, loading off and lairage time on the slaughter house, i.e. from start of handling until the animal is dead or has lost consiuosness.</t>
  </si>
  <si>
    <t xml:space="preserve">Data on average duration of slaughter process are scarce and thus based on assumptions (except data for Italian and Spanish rabbits). In addition to the transport, 1 h pre-transport and 1 h post-transport is assumed. </t>
  </si>
  <si>
    <t xml:space="preserve">The duration of transport from farm to slaughter plant is assumed based on frequencies of short (&lt;8h), long (8-24) and very long (&gt;24 h) journeys in EU 2017-2021 presented by ECA (2023) for intra-EU transports of horses, poultry, pigs, small ruminants and cattle. These data are used for the slaughter process indicator although many journeys are between farms and not between farm and slaughter plant. European data on localisation of farms and slaughter plants are lacking. </t>
  </si>
  <si>
    <t xml:space="preserve"> UK (with brexit 2021) is assumed to have the same transport durations as reported for EU countries' average 2017-2021 (ECA, 2023). Journeys &lt;8h is set to 6 h, 8-24 h to 10h and &gt;24 h to 26 h. </t>
  </si>
  <si>
    <t>The transport duration for NZ is assumed to nbe shorter (4 h) due to NZ relatively small size and large number of slaughter plants; &gt;30 slaughter plants for sheep (beeflambnz, 2019)</t>
  </si>
  <si>
    <t>* The structure of chicken production differs from other animal production; a group of chicken farms is often localised in a cluster close to a slaughter plant (Albihn et al, 2021) and the time for chicken is therefore reduced with 2 h, compared to hens (within country).</t>
  </si>
  <si>
    <t xml:space="preserve">**  Ministers responsible for animal welfare during transport in Denmark, Germany, Netherlands  and Sweden (and Belgium) suggest in a position paper (European Council, 2022) a maximum of 8 h of transport for all animals destinated for slaughter. The assumed average duration of transport for these countries was set to 6 h. </t>
  </si>
  <si>
    <t>Wild fish ref: Breen et al (2020)</t>
  </si>
  <si>
    <t>Aquaculture fish ref: Artctic seafood export, 2024 and Leröy, 2017</t>
  </si>
  <si>
    <t>ECA, 2023</t>
  </si>
  <si>
    <t>Percent of animals</t>
  </si>
  <si>
    <t>short = 6</t>
  </si>
  <si>
    <t>long = 10</t>
  </si>
  <si>
    <t>very long =26</t>
  </si>
  <si>
    <t>minus 2h</t>
  </si>
  <si>
    <t>poultry</t>
  </si>
  <si>
    <t>pig</t>
  </si>
  <si>
    <t>sheep</t>
  </si>
  <si>
    <t>cattle</t>
  </si>
  <si>
    <t>horse</t>
  </si>
  <si>
    <t>Animal welfare index</t>
  </si>
  <si>
    <t>Blue number are inputed here</t>
  </si>
  <si>
    <t>Black are calculated</t>
  </si>
  <si>
    <t>Assumptions and comments:</t>
  </si>
  <si>
    <t>fem kalvar per ko (livstidsproduktion) räknat från Gård&amp;Djurhälsan, 2023 men det ska väl användas för beef parent cow</t>
  </si>
  <si>
    <t>beef suckler tot welfare index</t>
  </si>
  <si>
    <t>Per suckler herd per yr???</t>
  </si>
  <si>
    <t>No of animals</t>
  </si>
  <si>
    <t>Slaughtering weight</t>
  </si>
  <si>
    <t>Meat produced (bonefree weight)</t>
  </si>
  <si>
    <t xml:space="preserve">welfare index beef parent </t>
  </si>
  <si>
    <t>Suckler cows</t>
  </si>
  <si>
    <t>beef parent  level</t>
  </si>
  <si>
    <t>Young animals</t>
  </si>
  <si>
    <t>beef parent ability</t>
  </si>
  <si>
    <t>Value for ruminats</t>
  </si>
  <si>
    <t>Sum meat</t>
  </si>
  <si>
    <t>kg meat</t>
  </si>
  <si>
    <t>beef parent  no per kg meat</t>
  </si>
  <si>
    <t>Lotta - dödlighet dikor 2% i Ahlgren et al - ANVÄNDA????</t>
  </si>
  <si>
    <t>Vi kan ta ett värde mittemellan de två referenserna. Men jag förstår inte var Ahlgren har fått 2% ifrån (otydlig hänvisning)</t>
  </si>
  <si>
    <t>beef parent mortality</t>
  </si>
  <si>
    <t>Assumed 3% based on Ahlgren et al, 2022 (2%) and 60% of dairy cow mortality, based on Thomson et al, 2020 (4%)</t>
  </si>
  <si>
    <t>Assumption</t>
  </si>
  <si>
    <t>beef parent  disease</t>
  </si>
  <si>
    <t>No data found; assumed 25% of dairy cow disease</t>
  </si>
  <si>
    <t>Saknar källa. Mastit hos dikor 1,5% (Andersson, 2028) och 7,9% på mjölkkor (Växa 2023b) Gammal anonym källa säger 2% (slutrapport SLF troligen fr 2005)</t>
  </si>
  <si>
    <t>beef parent slaughter</t>
  </si>
  <si>
    <t>Tab "Slaughtering"</t>
  </si>
  <si>
    <t>Från Ahlgren et al (2022):</t>
  </si>
  <si>
    <t>beef parent space</t>
  </si>
  <si>
    <t>Assuming all animals on pasture during the grazing season and free-range indoor during the stable season</t>
  </si>
  <si>
    <t>welfare index beef calves 24m suckler syst</t>
  </si>
  <si>
    <t>beef calves 24m level</t>
  </si>
  <si>
    <t>beef calves 24m ability</t>
  </si>
  <si>
    <t>beef calves 24m no per kg meat</t>
  </si>
  <si>
    <t>beef calves 24m mortality</t>
  </si>
  <si>
    <t>Mortality of live born from birth to slaughter. Based on combination of Swedish data. Most calves die first week and in UK 4.4% of suckler calves died from day 1 to day 21 (AHDP, 2021)</t>
  </si>
  <si>
    <t xml:space="preserve">Jordbruksverket 2012; 2022;2023; </t>
  </si>
  <si>
    <t>2,7+1,5=4,2. Kombination av Jordbruksverket 2023 (4,7 tot vid 6 mån) och Jordbruksverket 2022 (2,7 dikokalv och 6,0 mjölkkokalv,  tot 4,7 vid 6 mån) och Jordbruksverket 2012 (1,5% under 6-24 mån, tabell 2.14)</t>
  </si>
  <si>
    <t>beef calves 24m disease</t>
  </si>
  <si>
    <t>Lower disease and injury risk for beef than dairy calves, and for calves raised to 18m than for veal calves (Mandel et al, 2022). Assumed value set to 50% of the value for young dairy calves.</t>
  </si>
  <si>
    <t>Jordbruksverket 2012; 2022; 2023; Mandel et al, 2022</t>
  </si>
  <si>
    <t>beef calves 24m slaughter</t>
  </si>
  <si>
    <t>beef calves 24m space</t>
  </si>
  <si>
    <t>dairy calf 9m tot welfare index</t>
  </si>
  <si>
    <t>Parent (cow) is not included; all welfare isssues are allocated to the dairy production</t>
  </si>
  <si>
    <t>dairy calf 9m level</t>
  </si>
  <si>
    <t>dairy calf 9m ability</t>
  </si>
  <si>
    <t>Var kommer slaktvikten nedan ifrån?</t>
  </si>
  <si>
    <t>dairy calf 9m no per kg meat</t>
  </si>
  <si>
    <t xml:space="preserve">Här ska vi ha 1/(slaktvikt (240 kg)*0.7), vi antar bara mjölkras och all impact för moderdjuren hamnar för mjölken </t>
  </si>
  <si>
    <t>dairy calf 9m  mortality</t>
  </si>
  <si>
    <t>Mortality of liveborn from birth to slaughter. Based on combination of Swedish data</t>
  </si>
  <si>
    <t xml:space="preserve">Jordbruksverket 2012; 2022; 2023; </t>
  </si>
  <si>
    <t>Kombination av Jordbruksverket 2023 (4,7 tot vid 6 mån) och Jordbruksverket 2022 (2,7 dikokalv och 6,0 mjölkkokalv,  tot 4,7 vid 6 mån) och Jordbruksverket 2012 (0,5% under 6-9 mån, tabell 2.14)</t>
  </si>
  <si>
    <t>dairy calf 9m disease</t>
  </si>
  <si>
    <t>Data are scarce. 10% is an assumed value within a range from 4% (0-15m, calculated from Jordbruksverket, 2023b) to 23% (0-3m, Svensson et al, 2003).</t>
  </si>
  <si>
    <t>Jordbruksverket 2023b, Svensson et al, 2003</t>
  </si>
  <si>
    <t>dairy calf 9m  slaughter</t>
  </si>
  <si>
    <t>dairy calf 9m  space</t>
  </si>
  <si>
    <t>Assuming all animals indoors all year</t>
  </si>
  <si>
    <t>dairy calf 24m tot welfare index</t>
  </si>
  <si>
    <t>dairy calves 24m level</t>
  </si>
  <si>
    <t>dairy calves 24m ability</t>
  </si>
  <si>
    <t>Är rad 33 rätt? Det är inte 1/slaktvikt utan tagit från tabellen ovan, men borde det inte vara samma sak här som för 9m??</t>
  </si>
  <si>
    <t>dairy calves 24m no per kg meat</t>
  </si>
  <si>
    <t xml:space="preserve">Här ska vi ha 1/(slaktvikt*0.7), vi antar bara mjölkras och all impact för moderdjuren hamnar för mjölken </t>
  </si>
  <si>
    <t>dairy calves 24m mortality</t>
  </si>
  <si>
    <t>Kombination av Jordbruksverket 2023 (4,7 tot vid 6 mån) och Jordbruksverket 2022 (2,7 dikokalv och 6,0 mjölkkokalv,  tot 4,7 vid 6 mån) och Jordbruksverket 2012 (1,5% under 6-24 mån, tabell 2.14)</t>
  </si>
  <si>
    <t>dairy calves 24m disease</t>
  </si>
  <si>
    <t>Lower disease and injury risk for beef than dairy calves, and for calves raised to  18m than for veal calves (Mandel et al, 2022). Assumed value set to 50% of the value for young dairy calves.</t>
  </si>
  <si>
    <t>dairy calves 24m slaughter</t>
  </si>
  <si>
    <t>dairy calves 24m space</t>
  </si>
  <si>
    <t>dairy cow welfare index</t>
  </si>
  <si>
    <t>Dairy cow space includes the cow's whole life. Disease and mortality in % affected cows per year.</t>
  </si>
  <si>
    <t>kan inte sudda här?</t>
  </si>
  <si>
    <r>
      <rPr>
        <sz val="11"/>
        <color rgb="FFFF0000"/>
        <rFont val="Calibri"/>
        <family val="2"/>
        <scheme val="minor"/>
      </rPr>
      <t xml:space="preserve">Vad menas med detta? </t>
    </r>
    <r>
      <rPr>
        <sz val="11"/>
        <color rgb="FF000000"/>
        <rFont val="Calibri"/>
        <family val="2"/>
        <scheme val="minor"/>
      </rPr>
      <t>Förenklat genom att inte ha med en beräkning för kvigan. Sjukdom o dödlighet gäller vuxna kor per år</t>
    </r>
  </si>
  <si>
    <t>dairy cow level</t>
  </si>
  <si>
    <t>dairy cow ability</t>
  </si>
  <si>
    <t xml:space="preserve">See också Ingrids artikel: </t>
  </si>
  <si>
    <t xml:space="preserve"> https://www.frontiersin.org/articles/10.3389/fsufs.2023.1171865/full</t>
  </si>
  <si>
    <t>dairy cows no per kg milk</t>
  </si>
  <si>
    <t>1/life time milk production, but here adjusted to 0.0001</t>
  </si>
  <si>
    <t>Comes from Dairy.xlsx, tab Parameters, country specific</t>
  </si>
  <si>
    <t>dairy cows mortality</t>
  </si>
  <si>
    <t>Mortality per year</t>
  </si>
  <si>
    <t xml:space="preserve">Växa 2023b </t>
  </si>
  <si>
    <t>figur 4</t>
  </si>
  <si>
    <t>dairy cows disease</t>
  </si>
  <si>
    <t>Disease frequency per year. Based on combination of Swedish data</t>
  </si>
  <si>
    <t>Jordbruksverket 2023; Växa 2023a</t>
  </si>
  <si>
    <t>Medeltal av Jordbruksverket 2023 (12%) och Växa 2023a (20,4%, tabell 42)</t>
  </si>
  <si>
    <t>dairy cows slaughter</t>
  </si>
  <si>
    <t>dairy cows space</t>
  </si>
  <si>
    <t>lösdrift resp uppbundna, bete</t>
  </si>
  <si>
    <t>laying hen tot welfare index</t>
  </si>
  <si>
    <t>welfare index laying hen male</t>
  </si>
  <si>
    <t>laying hen male level</t>
  </si>
  <si>
    <t>male chick ability</t>
  </si>
  <si>
    <t>male chick no per kg</t>
  </si>
  <si>
    <t xml:space="preserve">1 male per laying hen, but killing male chicks is forbidden in France and Germany (EFSA, 2023). </t>
  </si>
  <si>
    <t>male chick mort</t>
  </si>
  <si>
    <t>male chick disease</t>
  </si>
  <si>
    <t>male chick slaughter</t>
  </si>
  <si>
    <t>male chick space</t>
  </si>
  <si>
    <t>welfare index laying hen hen</t>
  </si>
  <si>
    <t>Laying hen parents are included in number of hens/ kg egg. Thus they are assumed to have the same welfare as laying hens (a simplification)</t>
  </si>
  <si>
    <t>laying hen hen level</t>
  </si>
  <si>
    <t>laying hen ability</t>
  </si>
  <si>
    <r>
      <rPr>
        <sz val="11"/>
        <color rgb="FF000000"/>
        <rFont val="Calibri"/>
        <family val="2"/>
        <scheme val="minor"/>
      </rPr>
      <t xml:space="preserve">laying hens no per kg </t>
    </r>
    <r>
      <rPr>
        <b/>
        <sz val="11"/>
        <color rgb="FF000000"/>
        <rFont val="Calibri"/>
        <family val="2"/>
        <scheme val="minor"/>
      </rPr>
      <t>egg</t>
    </r>
  </si>
  <si>
    <t>1/life time production. Including laying hen breeders</t>
  </si>
  <si>
    <t>Comes from Eggs.xlsx, tab Egg yield, data from Eurostat</t>
  </si>
  <si>
    <t>laying hen mort</t>
  </si>
  <si>
    <t xml:space="preserve">Cumulative mortality at 60wk. 4% in cages and 3% in avaries. Percent in cages within country range from 7 to 88; no data on Greece. </t>
  </si>
  <si>
    <t>Schuck‑Paim et al, 2021</t>
  </si>
  <si>
    <t>laying hen disease</t>
  </si>
  <si>
    <t>Comparable disease data are scarce and only keel bone fracture is used for this indicator. Studies in European countries from 2023-2019 in the review of Rufener &amp; Makagon (2020) were used. 12 studies (25 lines/replicates/treatments) averaged at 44% prevalence around 68 wk of age. Risk of bone fracture is lower in cages (Thöfner et al, 2021). Percent of hens in cages from Schuk-Paim et al (2021).</t>
  </si>
  <si>
    <t>Rufener &amp; Makagon, 2020</t>
  </si>
  <si>
    <t>laying hen slaughter</t>
  </si>
  <si>
    <t>laying hen space</t>
  </si>
  <si>
    <t xml:space="preserve">chicken tot welfare index </t>
  </si>
  <si>
    <t>welfare index chicken sl</t>
  </si>
  <si>
    <t>chicken sl level</t>
  </si>
  <si>
    <t>chicken sl ability</t>
  </si>
  <si>
    <t>chicken sl no per kg product</t>
  </si>
  <si>
    <t>Comes from Chicken.xlsx, tab Production</t>
  </si>
  <si>
    <t>chicken sl mortality</t>
  </si>
  <si>
    <t>Mortality from day 1 to slaughter</t>
  </si>
  <si>
    <t xml:space="preserve">Van Limbergen et al, 2020. </t>
  </si>
  <si>
    <t>Hittar ej specifika värden. Ref visar medel för 7 EU-länder</t>
  </si>
  <si>
    <t>chicken sl disease</t>
  </si>
  <si>
    <t xml:space="preserve">Comparable disease data are scarce and only leg problem is used for this indicator. 10% with leg problems (gait score 3-5) is an assumed average value within a range from 3% (Svensk fågel, 2023) to 17-18% (Grankvist et al, 2017; Bailie et al, 2018) in recent, large studies. Gait score is influenced by stocking density (van der Eijk et al, 2023) which range within nation from 36 kg/m2 (5,5% leg problems) to 42 kg/m2 (14,5% leg problems). </t>
  </si>
  <si>
    <t>Svensk fågel, 2023; Bailie et al, 2018; Grankvist et al, 2017; Van der Eijk et al, 2023</t>
  </si>
  <si>
    <t>chicken sl slaughter</t>
  </si>
  <si>
    <t>kortat slakttid, se flik slaughtering</t>
  </si>
  <si>
    <t>chicken sl space</t>
  </si>
  <si>
    <t>welfare index chicken parent</t>
  </si>
  <si>
    <t>chicken parent level</t>
  </si>
  <si>
    <t>chicken parent ability</t>
  </si>
  <si>
    <t>chicken parent no per kg</t>
  </si>
  <si>
    <t>chicken parents mortality</t>
  </si>
  <si>
    <t>Mortality from 20 to 60 weeks of age.</t>
  </si>
  <si>
    <t>Thøfner et al, 2019</t>
  </si>
  <si>
    <t>chicken parent disease</t>
  </si>
  <si>
    <t>Assumed the same as for laying hens due to lack of data. It may be lower in breeders than in layers due to lower selection pressure on eggmass, but on the other hand breeders suffer from hunger (De Jong &amp; Guémené, 2011)</t>
  </si>
  <si>
    <t>chicken parent slaughter</t>
  </si>
  <si>
    <t>chicken parent space</t>
  </si>
  <si>
    <t>pig tot welfare index</t>
  </si>
  <si>
    <t>welfare index pig sl</t>
  </si>
  <si>
    <t>pig sl level</t>
  </si>
  <si>
    <t>pigs sl ability</t>
  </si>
  <si>
    <t>pigs sl no  per kg meat</t>
  </si>
  <si>
    <t>Comes from Pigs.xlsx, tab Production</t>
  </si>
  <si>
    <t>pigs sl mortality</t>
  </si>
  <si>
    <t>Mortality of live born from birth to slaughter. National data from Interpig report. Mean values for Greece and Poland.</t>
  </si>
  <si>
    <t>Gårdochdjurhälsan, 2022</t>
  </si>
  <si>
    <t xml:space="preserve">Includes both piglet and sl. pigs, from figur 9 och 11-12, Gård &amp; Djurhälsan, Internationella rapporten 2022. https://www.gardochdjurhalsan.se/wp-content/uploads/2022/12/internationella-rapporten-2022.pdf </t>
  </si>
  <si>
    <t>pigs sl disease</t>
  </si>
  <si>
    <t xml:space="preserve">Assumed 15% disease frequency. Comparable data are scarce. Respiratory diseases and joint inflamations are common diseases. </t>
  </si>
  <si>
    <t>pigs sl slaughter</t>
  </si>
  <si>
    <t>pig sl space</t>
  </si>
  <si>
    <t>welfare index pig parent</t>
  </si>
  <si>
    <t>welfare level prod syst</t>
  </si>
  <si>
    <t>pig parent ability</t>
  </si>
  <si>
    <t>pigs no parent per kg meat</t>
  </si>
  <si>
    <t>pig parent mortality</t>
  </si>
  <si>
    <t>Mortality per year, based on Swedish national data</t>
  </si>
  <si>
    <t>Landquist et al, 2021</t>
  </si>
  <si>
    <t>Comes from Pigs.xlsx, tab Parameters, country specific</t>
  </si>
  <si>
    <t>pig parent disease</t>
  </si>
  <si>
    <t>Assumed 15% disease frequency. Comparable data are scarce. Leg problems and dysgalactia are common diseases. Prevalence of lameness in 7 European studies range from 9 to 29% (Huneau-Salaün et al, 2021). Prevalence of leg problems and dysgalactia in Finnish study was 14% (Niemi et al, 2017).</t>
  </si>
  <si>
    <t>Huneau-Salaun et al, 2021; Niemi et al, 2017</t>
  </si>
  <si>
    <t>pig parent slaughter</t>
  </si>
  <si>
    <t>pig parent space</t>
  </si>
  <si>
    <t>sheep tot welfare index</t>
  </si>
  <si>
    <t>welfare index sheep lamb</t>
  </si>
  <si>
    <t>sheep lamb level</t>
  </si>
  <si>
    <t xml:space="preserve">sheep lamb ability </t>
  </si>
  <si>
    <t>sheep lamb no per kg</t>
  </si>
  <si>
    <t>sheep lamb mort</t>
  </si>
  <si>
    <t>Assumed value of mortality of live born from birth to slaughter. Based on combination of data from Sweden (mean mortality from birth to weaning 5-10%, Rydhmer et al, 2021) and UK (median mortality from birth to 3 weeks 8.2% (AHDB, 2021) and Ireland (Shiels et al, 2022). Higher mortality in NZ's extensive system (Bruce et al, 2021)</t>
  </si>
  <si>
    <t>Rydhmer et al, 2021, AHDB (2021)</t>
  </si>
  <si>
    <t>sheep lamb disease</t>
  </si>
  <si>
    <t>Assumed value of 6 % disease frequency, based on 14% with disease symptoms around weaning in Spain (Gonzales et al, 2016) and 3% during a period 1 month before weaning to 2 months after weaning in UK (Lima et al, 2020).</t>
  </si>
  <si>
    <t>Gonzales et al, 2016; Lima et al, 2020</t>
  </si>
  <si>
    <t>sheep lamb slaughter</t>
  </si>
  <si>
    <t>sheep lamb space</t>
  </si>
  <si>
    <t>welfare index sheep parent</t>
  </si>
  <si>
    <t>sheep parent level</t>
  </si>
  <si>
    <t>sheep parent ability</t>
  </si>
  <si>
    <t>sheep parent no per kg</t>
  </si>
  <si>
    <t>sheep parent mortality</t>
  </si>
  <si>
    <r>
      <rPr>
        <sz val="11"/>
        <color rgb="FF000000"/>
        <rFont val="Calibri"/>
        <family val="2"/>
        <scheme val="minor"/>
      </rPr>
      <t xml:space="preserve">Assumed </t>
    </r>
    <r>
      <rPr>
        <sz val="11"/>
        <color rgb="FFFF0000"/>
        <rFont val="Calibri"/>
        <family val="2"/>
        <scheme val="minor"/>
      </rPr>
      <t>6%</t>
    </r>
    <r>
      <rPr>
        <sz val="11"/>
        <color rgb="FF000000"/>
        <rFont val="Calibri"/>
        <family val="2"/>
        <scheme val="minor"/>
      </rPr>
      <t xml:space="preserve"> mortality by year, based on data from UK (5-7%, AssureWel, 2023), Sweden (5%, Rydhmer et al, 2021; 2-3% Ahlgren et al, 2022) and Australia and NZ (3-27%, reviewed by Flay et al, 2021)</t>
    </r>
  </si>
  <si>
    <t>AssureWel (2023), Rydhmer et al (2021)</t>
  </si>
  <si>
    <t>sheep parent disease</t>
  </si>
  <si>
    <t xml:space="preserve">Assumed value. Matsitis is a common disease and Arsenaut et al (2008) found ranged among flocks from 0 to 6.6%. Footroot is another common disease and Storms et al (2021) found that 6% of ewes had clear signs of footroot. </t>
  </si>
  <si>
    <t xml:space="preserve">Arsenaut et al (2008); Storms et al (2021) </t>
  </si>
  <si>
    <t>sheep parent slaughter</t>
  </si>
  <si>
    <t>sheep parent space</t>
  </si>
  <si>
    <t>antar alla på bete hela säsongen</t>
  </si>
  <si>
    <t>rabbit welfare index</t>
  </si>
  <si>
    <t>Rabbit parents are assumed to have similar conditions as rabbits reared for slaughter and are included in number of rabbits (a simplification)</t>
  </si>
  <si>
    <t>rabbit level</t>
  </si>
  <si>
    <t>rabbit ability</t>
  </si>
  <si>
    <t>rabbit no per kg</t>
  </si>
  <si>
    <t>Including rabbit breeders</t>
  </si>
  <si>
    <t>Ökat till 0,743 här. 1 kaninmamma ger 76 kg kaninkött . Krupova et al, 2020</t>
  </si>
  <si>
    <t>rabbit mort</t>
  </si>
  <si>
    <t>Mortality of rabbits raised for slaughter set to 15% based on EFSA (2005) stating 10-15% "on the most successful intensive closed cycle farms" and EFSA (2021) highlighting savaging and gastroenteeric disorders as common causes of mortality.</t>
  </si>
  <si>
    <t>EFSA, 2005; EFSA 2021</t>
  </si>
  <si>
    <t>rabbit disease</t>
  </si>
  <si>
    <t xml:space="preserve">Assumed disease rate 11% based on 19% rhinitis and 11% skin lesions and wounds (average over different production systems) reported by EFSA (2020) and 11 % dermatomycosis and 1% diarrhea found by Trocino et al (2022) </t>
  </si>
  <si>
    <t>rabbit slaughter</t>
  </si>
  <si>
    <t>Time for Spain from Buil et al (2004), and from Italy from Caucci (2018) assuming the same time for loading as in Spain. Average time of these two for the other countries.</t>
  </si>
  <si>
    <t>Buil et al, 2004; Cauccia et al, 2018</t>
  </si>
  <si>
    <t>rabbit space</t>
  </si>
  <si>
    <t>salmon welfare index</t>
  </si>
  <si>
    <t xml:space="preserve">Since each parent salmon produces huge numbers of salmon for slaughter, the parents are not included. </t>
  </si>
  <si>
    <t>salmon level</t>
  </si>
  <si>
    <t>salmon ability</t>
  </si>
  <si>
    <t>salmon no per kg</t>
  </si>
  <si>
    <t>See Blue food.xlsx</t>
  </si>
  <si>
    <t>salmon mortality</t>
  </si>
  <si>
    <t>Yearly mortality in % in salmon production in Norway</t>
  </si>
  <si>
    <t>Sommerset et al, 2023</t>
  </si>
  <si>
    <t>salmon disease</t>
  </si>
  <si>
    <t xml:space="preserve">Assumed value. Disease prevalence of fish in aquaculture is not measured in % of individuals. At slaughter, 14,5% of the produced weigth is classified as less than 'superior' due to  defects and malformations, clinical signs, wounds and injuries and puberty. Puberty (approx 20% on non-superior) is not a sign of disease or injury, but on the other hand the rate of non-superior individuals is higher than rate of non-superior weight since non-superior individuals are smaller. (Sommerset el al, 2022). </t>
  </si>
  <si>
    <t>salmon slaughter</t>
  </si>
  <si>
    <t xml:space="preserve">ökat på till 5 h här för alla länder </t>
  </si>
  <si>
    <t>salmon space</t>
  </si>
  <si>
    <t>wild fish welfare index</t>
  </si>
  <si>
    <t>wild fish level</t>
  </si>
  <si>
    <t>wild fish ability</t>
  </si>
  <si>
    <t>wild fish no per kg</t>
  </si>
  <si>
    <t>Assumed body weight in the middle of cod (xkg) and hering (60g)</t>
  </si>
  <si>
    <t>wild fish mortality</t>
  </si>
  <si>
    <t>wild fish disease</t>
  </si>
  <si>
    <t>wild fish slaughter</t>
  </si>
  <si>
    <t>Breen et al, 2020</t>
  </si>
  <si>
    <t>wild fish space</t>
  </si>
  <si>
    <t>wild ruminant tot welfare index</t>
  </si>
  <si>
    <t>game: moose, raw deer, fallow deer, red dear</t>
  </si>
  <si>
    <t>wild ruminant level</t>
  </si>
  <si>
    <t>wild ruminant ability</t>
  </si>
  <si>
    <t>wild ruminant no per kg</t>
  </si>
  <si>
    <t>wild ruminant mortality</t>
  </si>
  <si>
    <t>wild ruminant disease</t>
  </si>
  <si>
    <t>wild ruminant slaughter</t>
  </si>
  <si>
    <t>hur ska vi tänka här? Stressande jakt 1 timme?</t>
  </si>
  <si>
    <t>wild ruminant space</t>
  </si>
  <si>
    <t>wild boar tot welfare index</t>
  </si>
  <si>
    <t>game: wild boar</t>
  </si>
  <si>
    <t>wild boar level</t>
  </si>
  <si>
    <t>wild boar ability</t>
  </si>
  <si>
    <t>wild boar no per kg</t>
  </si>
  <si>
    <t>wild boar mortality</t>
  </si>
  <si>
    <t>wild boar disease</t>
  </si>
  <si>
    <t>wild boar slaughter</t>
  </si>
  <si>
    <t>wild boar space</t>
  </si>
  <si>
    <t>wild rabbit tot welfare index</t>
  </si>
  <si>
    <t>game: European hare and rabbit</t>
  </si>
  <si>
    <t>wild rabbit level</t>
  </si>
  <si>
    <t>wild rabbit ability</t>
  </si>
  <si>
    <t>wild rabbit no per kg</t>
  </si>
  <si>
    <t>wild rabbit mortality</t>
  </si>
  <si>
    <t>wild rabbit disease</t>
  </si>
  <si>
    <t>wild rabbit slaughter</t>
  </si>
  <si>
    <t>wild rabbit space</t>
  </si>
  <si>
    <t>mealworm welfare index</t>
  </si>
  <si>
    <t>mealworm level</t>
  </si>
  <si>
    <t>mealworm ability</t>
  </si>
  <si>
    <t>mealworm no per kg</t>
  </si>
  <si>
    <t>Adjusted by dividing by 100</t>
  </si>
  <si>
    <t>mealworm mortality</t>
  </si>
  <si>
    <t>mealworm disease</t>
  </si>
  <si>
    <t>mealworm slaughter</t>
  </si>
  <si>
    <t>Slaughter is here assumed to be done by shredding and time of slaughter process is set to 1 minute. According to Erens et al (2012) it takes a "split second". But slaughter is also made by freezing which takes longer time; see the discussion</t>
  </si>
  <si>
    <t>Erens et al (2021)</t>
  </si>
  <si>
    <t>hur ska vi tänka med "slakten" i Dystopia?</t>
  </si>
  <si>
    <t>mealworm space</t>
  </si>
  <si>
    <t>Assuming stocking density is not relevant for mealworms</t>
  </si>
  <si>
    <t>welfare index honeybee</t>
  </si>
  <si>
    <t>honeybee level</t>
  </si>
  <si>
    <t>honeybee ability</t>
  </si>
  <si>
    <t>honeybee no per kg honey</t>
  </si>
  <si>
    <t>Assumed number of bees needed to produce 1 kg honey, adjusted by dividing by 100</t>
  </si>
  <si>
    <t>honeybee mortality</t>
  </si>
  <si>
    <t>honeybee disease</t>
  </si>
  <si>
    <t>honeybee slaughter</t>
  </si>
  <si>
    <t>The slaughter process is irrelevant for honey bees and thus given a very low, arbitrary value</t>
  </si>
  <si>
    <t>honeybee space</t>
  </si>
  <si>
    <t>Assuming stocking density is not relevant for bees</t>
  </si>
  <si>
    <t>welfare index mussels</t>
  </si>
  <si>
    <t>Till diskussionen: Musslor rör sig inte och sitter trångt i det vilda. Om de växer där det är tidvatten är de vana att vara ovanför yten. Välfärdsindex funkar inte om 1 timmes eller 1 dygns lagring från skörd till kokning är ovidkommande för musslan och det vet vi inte. Vi kan presentera två värden, ett där räknar med ett dygn och detta</t>
  </si>
  <si>
    <t>mussels level</t>
  </si>
  <si>
    <t>mussels ability</t>
  </si>
  <si>
    <t>mussels no per kg</t>
  </si>
  <si>
    <t>Assumed weight per animal 7,5 g (without shell). utan skal blir det 133 st, adjusted by divided by 10</t>
  </si>
  <si>
    <t>https://receptfavoriter.se/matartiklar/matt-och-vikt-pa-olika-livsmedel.html</t>
  </si>
  <si>
    <t>medelstor 25 g varav 70% skal</t>
  </si>
  <si>
    <t>mussels mortality</t>
  </si>
  <si>
    <t>mussels disease</t>
  </si>
  <si>
    <t>mussels slaughter</t>
  </si>
  <si>
    <t>The length of slaughter process is set to 2 h to represent the time for handling the mussels and for killing  by boiling. Storing mussels before sale is not included, which can be questionned; see the discussion.</t>
  </si>
  <si>
    <t>mussels space</t>
  </si>
  <si>
    <t>Assuming stocking density is not relevant for mussels</t>
  </si>
  <si>
    <t>welfare index shrimps</t>
  </si>
  <si>
    <t>shrimps level</t>
  </si>
  <si>
    <t>shrimps ability</t>
  </si>
  <si>
    <t>shrimps no per kg</t>
  </si>
  <si>
    <t>Assumed weight per animal 8 g (peeled) Om 8 g skalad blir det 125 st, adjusted by dividing by 10</t>
  </si>
  <si>
    <t>http://www.kunskapskokboken.se/4.22713/varufakta/nordhavsraka/</t>
  </si>
  <si>
    <t xml:space="preserve">normalstor 14 g, varav 8 g skalad  </t>
  </si>
  <si>
    <t>shrimps mortality</t>
  </si>
  <si>
    <t>shrimps disease</t>
  </si>
  <si>
    <t>shrimps slaughter</t>
  </si>
  <si>
    <t>kan de leva längre än 1 timma?</t>
  </si>
  <si>
    <t>shrimps space</t>
  </si>
  <si>
    <t>welfare index wild octopus squid</t>
  </si>
  <si>
    <t>octopus squid level</t>
  </si>
  <si>
    <t>wild octopus squid ability</t>
  </si>
  <si>
    <t>wild octopus squid no per kg</t>
  </si>
  <si>
    <t>Assumed body weight in the middle of octopus (15kg) and squid (60g)</t>
  </si>
  <si>
    <t>från bluefood.xlsx</t>
  </si>
  <si>
    <t>wild octopus squid mortality</t>
  </si>
  <si>
    <t>wild octopus squid disease</t>
  </si>
  <si>
    <t>wild octopus squid slaughter</t>
  </si>
  <si>
    <t>kan de leva längre än 3,5 timme?</t>
  </si>
  <si>
    <t>wild octopus squid space</t>
  </si>
  <si>
    <t>horse welfare index</t>
  </si>
  <si>
    <t>All horses (parents and non-parents) are assumed to have similar conditions. The welfare index is based on data from adult animals only, since a horse has a long life and thus the adult phase is a large part of the total life phase.</t>
  </si>
  <si>
    <t>horse level</t>
  </si>
  <si>
    <t>horse ability</t>
  </si>
  <si>
    <t>horse no per kg</t>
  </si>
  <si>
    <t xml:space="preserve">Assuming carcasse weight 300 kg and dressing percentage 65%. </t>
  </si>
  <si>
    <t>horse mort</t>
  </si>
  <si>
    <t xml:space="preserve">Mortality of horses set to 3% based on Tapprest et al 2017 (large epidemiological study in France) </t>
  </si>
  <si>
    <t>horse disease</t>
  </si>
  <si>
    <t>Assumed disease rate 15% based on Ireland et al (2013) reporting 14% of horses have osteoarthritis (most prevalent owner-reported chronic/recurrent condition)</t>
  </si>
  <si>
    <t>http://dx.doi.org/10.1016/j.rvsc.2013.05.007</t>
  </si>
  <si>
    <t>horse slaughter</t>
  </si>
  <si>
    <t>horse space</t>
  </si>
  <si>
    <t>Preliminary results shown at the EAAP conference????</t>
  </si>
  <si>
    <t>gram</t>
  </si>
  <si>
    <t>level</t>
  </si>
  <si>
    <t>number</t>
  </si>
  <si>
    <t>ability</t>
  </si>
  <si>
    <t>per kg</t>
  </si>
  <si>
    <t>per diet</t>
  </si>
  <si>
    <t>per år</t>
  </si>
  <si>
    <t>Beef</t>
  </si>
  <si>
    <t>Pork</t>
  </si>
  <si>
    <t>Available space</t>
  </si>
  <si>
    <t>Disease ratio</t>
  </si>
  <si>
    <t>Mortality on farm</t>
  </si>
  <si>
    <t>Slaughter process duration</t>
  </si>
  <si>
    <t>Welfare level      of production system</t>
  </si>
  <si>
    <t>Beef cattle</t>
  </si>
  <si>
    <t>Dairy cow</t>
  </si>
  <si>
    <t>-”- parents</t>
  </si>
  <si>
    <t>Använt för Lyon</t>
  </si>
  <si>
    <t>Total, per country</t>
  </si>
  <si>
    <t>European</t>
  </si>
  <si>
    <t>Country</t>
  </si>
  <si>
    <t>animals / kg meat</t>
  </si>
  <si>
    <t>Moose</t>
  </si>
  <si>
    <t>Roe deer</t>
  </si>
  <si>
    <t>Red deer</t>
  </si>
  <si>
    <t>Fallow deer</t>
  </si>
  <si>
    <t>Hare</t>
  </si>
  <si>
    <t xml:space="preserve"> </t>
  </si>
  <si>
    <t>Estimation was done by:</t>
  </si>
  <si>
    <t>Inga uppgifter om konsumtion från  fågeljakt?</t>
  </si>
  <si>
    <t>1. As no complete consumption data could be found, it was assumed that the share of game animals consumed (on a weight basis) mirrored the national production of game meat. There seems to be a large difference between amounts produced and consumed (due to trade), but as the end goal is to provide the number of game animals killed for 1 kg of meat - the difference in total amount is not superrelevant</t>
  </si>
  <si>
    <t>2. National production of game animals was found in the UNECE report. All animals that contributed 10% or more of the meat supply (on a weight basis) for at least one country were considered, and the share that each species contributed to the national production of game meat calculated</t>
  </si>
  <si>
    <t>3. Number of animals needed for 1 kg of meat were determined on a species by species basis, using the total mass of the animals (as presented in the UNECE report) and the meat yield of each animal</t>
  </si>
  <si>
    <t>4. By using the share of game animals produced in each country and species-specific number of animals / kg of meat, a national average of number of animals / kg of meat could be determined</t>
  </si>
  <si>
    <t>Sources:</t>
  </si>
  <si>
    <t>1. UNECE report, for determining national production per species, species weight, and meat yield for hares / rabbits</t>
  </si>
  <si>
    <t>https://unece.org/fileadmin/DAM/timber/meetings/2018/20180321/game-meat-draft-2018-03.pdf</t>
  </si>
  <si>
    <t>Netherland</t>
  </si>
  <si>
    <t>2. For meat yields of roe and red deer, and wild boar.</t>
  </si>
  <si>
    <t>https://www.sciencedirect.com/science/article/pii/S0921800914001980#bb0165</t>
  </si>
  <si>
    <t>3. For meat yield of mooses.</t>
  </si>
  <si>
    <t>https://www.adfg.alaska.gov/index.cfm?adfg=moosehunting.main</t>
  </si>
  <si>
    <t>This article also has kg game meat consumed / capita and country, if we need it in the future</t>
  </si>
  <si>
    <t xml:space="preserve">Share of hunted wild meat </t>
  </si>
  <si>
    <t>sum rum</t>
  </si>
  <si>
    <t>rum</t>
  </si>
  <si>
    <t>European Hare</t>
  </si>
  <si>
    <t>European Rabbit</t>
  </si>
  <si>
    <t>Approximated with Germany</t>
  </si>
  <si>
    <t>Approximated with Italy</t>
  </si>
  <si>
    <t>Approximated with Poland</t>
  </si>
  <si>
    <t>Animals per kg of meat</t>
  </si>
  <si>
    <t>Live weight</t>
  </si>
  <si>
    <t>Animal</t>
  </si>
  <si>
    <t>Meat Yield</t>
  </si>
  <si>
    <t>Source</t>
  </si>
  <si>
    <t>Meat yield</t>
  </si>
  <si>
    <t>Roe Deer</t>
  </si>
  <si>
    <t>kg meat / animal</t>
  </si>
  <si>
    <t>Red Deer</t>
  </si>
  <si>
    <t>https://www.sciencedirect.com/science/article/pii/S0921800914001980#bb0166</t>
  </si>
  <si>
    <t>https://www.sciencedirect.com/science/article/pii/S0921800914001980#bb0167</t>
  </si>
  <si>
    <t>animal / kg meat</t>
  </si>
  <si>
    <t>Assumed meat yield for all species in the report</t>
  </si>
  <si>
    <t>PARENT ANIMALS WHERE APPLICABLE</t>
  </si>
  <si>
    <t xml:space="preserve">PARENT ANIMALS WHERE APPLICABLE </t>
  </si>
  <si>
    <t xml:space="preserve">Male chicks, not parent, parent assumed same as production animal </t>
  </si>
  <si>
    <t>Laying hen / male chicks</t>
  </si>
  <si>
    <t>PARENT (female) ANIMALS WHERE APPLICABLE</t>
  </si>
  <si>
    <t>Male chicks, laying hen parents contribution negliable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</si>
</sst>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
    <numFmt numFmtId="165" formatCode="0.0000"/>
    <numFmt numFmtId="166" formatCode="#,##0.0000"/>
    <numFmt numFmtId="167" formatCode="#,##0.0000000"/>
    <numFmt numFmtId="168" formatCode="0.000000"/>
    <numFmt numFmtId="169" formatCode="0.00000"/>
    <numFmt numFmtId="170" formatCode="0.0"/>
    <numFmt numFmtId="171" formatCode="0.0E+00"/>
    <numFmt numFmtId="172" formatCode="0E+00"/>
  </numFmts>
  <fonts count="47" x14ac:knownFonts="1">
    <font>
      <sz val="11"/>
      <color theme="1"/>
      <name val="Calibri"/>
      <family val="2"/>
      <scheme val="minor"/>
    </font>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0"/>
      <color rgb="FF000000"/>
      <name val="Calibri"/>
      <family val="2"/>
      <scheme val="minor"/>
    </font>
    <font>
      <sz val="9"/>
      <color rgb="FF000000"/>
      <name val="Calibri"/>
      <family val="2"/>
      <scheme val="minor"/>
    </font>
    <font>
      <b/>
      <sz val="11"/>
      <color rgb="FF000000"/>
      <name val="Calibri"/>
      <family val="2"/>
      <scheme val="minor"/>
    </font>
    <font>
      <sz val="9"/>
      <color theme="1"/>
      <name val="Calibri"/>
      <family val="2"/>
      <scheme val="minor"/>
    </font>
    <font>
      <b/>
      <sz val="9"/>
      <color rgb="FFFFFFFF"/>
      <name val="Calibri"/>
      <family val="2"/>
      <scheme val="minor"/>
    </font>
    <font>
      <b/>
      <sz val="9"/>
      <color rgb="FFFFFFFF"/>
      <name val="Calibri"/>
      <family val="2"/>
    </font>
    <font>
      <sz val="9"/>
      <color rgb="FF000000"/>
      <name val="Calibri"/>
      <family val="2"/>
    </font>
    <font>
      <sz val="9"/>
      <name val="Arial"/>
      <family val="2"/>
    </font>
    <font>
      <i/>
      <sz val="9"/>
      <color rgb="FF000000"/>
      <name val="Calibri"/>
      <family val="2"/>
    </font>
    <font>
      <sz val="11"/>
      <color theme="0" tint="-0.34998626667073579"/>
      <name val="Calibri"/>
      <family val="2"/>
      <scheme val="minor"/>
    </font>
    <font>
      <sz val="11"/>
      <color theme="0"/>
      <name val="Calibri"/>
      <family val="2"/>
      <scheme val="minor"/>
    </font>
    <font>
      <sz val="16"/>
      <color theme="1"/>
      <name val="Calibri"/>
      <family val="2"/>
      <scheme val="minor"/>
    </font>
    <font>
      <sz val="11"/>
      <color theme="8"/>
      <name val="Calibri"/>
      <family val="2"/>
      <scheme val="minor"/>
    </font>
    <font>
      <sz val="9"/>
      <color indexed="81"/>
      <name val="Tahoma"/>
      <family val="2"/>
    </font>
    <font>
      <b/>
      <sz val="9"/>
      <color indexed="81"/>
      <name val="Tahoma"/>
      <family val="2"/>
    </font>
    <font>
      <i/>
      <sz val="11"/>
      <color theme="1"/>
      <name val="Calibri"/>
      <family val="2"/>
      <scheme val="minor"/>
    </font>
    <font>
      <sz val="12"/>
      <color theme="1"/>
      <name val="Times New Roman"/>
      <family val="1"/>
    </font>
    <font>
      <b/>
      <i/>
      <sz val="11"/>
      <color theme="1"/>
      <name val="Calibri"/>
      <family val="2"/>
      <scheme val="minor"/>
    </font>
    <font>
      <sz val="10"/>
      <color theme="1"/>
      <name val="Calibri"/>
      <family val="2"/>
      <scheme val="minor"/>
    </font>
    <font>
      <sz val="11"/>
      <color theme="1"/>
      <name val="Calibri"/>
      <family val="2"/>
      <charset val="1"/>
    </font>
    <font>
      <sz val="11"/>
      <color rgb="FF000000"/>
      <name val="Calibri"/>
      <family val="2"/>
    </font>
    <font>
      <u/>
      <sz val="11"/>
      <color theme="10"/>
      <name val="Calibri"/>
      <family val="2"/>
      <scheme val="minor"/>
    </font>
    <font>
      <b/>
      <sz val="11"/>
      <color theme="1"/>
      <name val="Calibri"/>
      <family val="2"/>
      <scheme val="minor"/>
    </font>
    <font>
      <sz val="8"/>
      <name val="Calibri"/>
      <family val="2"/>
      <scheme val="minor"/>
    </font>
    <font>
      <sz val="11"/>
      <color theme="9"/>
      <name val="Calibri"/>
      <family val="2"/>
      <scheme val="minor"/>
    </font>
    <font>
      <sz val="11"/>
      <color theme="0" tint="-4.9989318521683403E-2"/>
      <name val="Calibri"/>
      <family val="2"/>
      <scheme val="minor"/>
    </font>
    <font>
      <sz val="11"/>
      <color theme="0" tint="-0.499984740745262"/>
      <name val="Calibri"/>
      <family val="2"/>
      <scheme val="minor"/>
    </font>
    <font>
      <sz val="14"/>
      <color theme="1"/>
      <name val="Calibri"/>
      <family val="2"/>
      <scheme val="minor"/>
    </font>
    <font>
      <sz val="10"/>
      <color theme="1"/>
      <name val="Cambria"/>
      <family val="1"/>
    </font>
    <font>
      <sz val="10"/>
      <color theme="1" tint="0.249977111117893"/>
      <name val="Times New Roman"/>
      <family val="1"/>
    </font>
    <font>
      <sz val="11"/>
      <color theme="1"/>
      <name val="Tenorite"/>
    </font>
    <font>
      <sz val="10"/>
      <color theme="1"/>
      <name val="Tenorite"/>
    </font>
    <font>
      <i/>
      <sz val="10"/>
      <color theme="1"/>
      <name val="Tenorite"/>
    </font>
    <font>
      <sz val="10"/>
      <name val="Tenorite"/>
    </font>
    <font>
      <sz val="10"/>
      <color theme="1" tint="0.249977111117893"/>
      <name val="Tenorite"/>
    </font>
    <font>
      <sz val="11"/>
      <color theme="1" tint="0.249977111117893"/>
      <name val="Tenorite"/>
    </font>
    <font>
      <sz val="11"/>
      <color theme="1"/>
      <name val="Calibri"/>
      <family val="2"/>
    </font>
    <font>
      <i/>
      <sz val="11"/>
      <color rgb="FFFF0000"/>
      <name val="Calibri"/>
      <family val="2"/>
      <scheme val="minor"/>
    </font>
    <font>
      <sz val="11"/>
      <color theme="9" tint="-0.249977111117893"/>
      <name val="Calibri"/>
      <family val="2"/>
      <scheme val="minor"/>
    </font>
    <font>
      <b/>
      <sz val="11"/>
      <color rgb="FFFF0000"/>
      <name val="Calibri"/>
      <family val="2"/>
      <scheme val="minor"/>
    </font>
    <font>
      <b/>
      <i/>
      <sz val="11"/>
      <color rgb="FFFF0000"/>
      <name val="Calibri"/>
      <family val="2"/>
      <scheme val="minor"/>
    </font>
    <font>
      <i/>
      <sz val="14"/>
      <color theme="1"/>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5B9BD5"/>
        <bgColor indexed="64"/>
      </patternFill>
    </fill>
    <fill>
      <patternFill patternType="solid">
        <fgColor rgb="FFD2DEEF"/>
        <bgColor indexed="64"/>
      </patternFill>
    </fill>
    <fill>
      <patternFill patternType="solid">
        <fgColor rgb="FFEAEFF7"/>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rgb="FFFAF2FA"/>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rgb="FFD0CECE"/>
        <bgColor rgb="FF000000"/>
      </patternFill>
    </fill>
  </fills>
  <borders count="28">
    <border>
      <left/>
      <right/>
      <top/>
      <bottom/>
      <diagonal/>
    </border>
    <border>
      <left/>
      <right/>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indexed="64"/>
      </top>
      <bottom/>
      <diagonal/>
    </border>
    <border>
      <left/>
      <right/>
      <top style="thin">
        <color indexed="64"/>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thin">
        <color indexed="64"/>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right/>
      <top style="thin">
        <color rgb="FF00000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26" fillId="0" borderId="0" applyNumberFormat="0" applyFill="0" applyBorder="0" applyAlignment="0" applyProtection="0"/>
  </cellStyleXfs>
  <cellXfs count="494">
    <xf numFmtId="0" fontId="0" fillId="0" borderId="0" xfId="0"/>
    <xf numFmtId="0" fontId="2" fillId="0" borderId="0" xfId="0" applyFont="1"/>
    <xf numFmtId="0" fontId="3" fillId="0" borderId="0" xfId="0" applyFont="1"/>
    <xf numFmtId="0" fontId="4" fillId="0" borderId="0" xfId="0" applyFont="1"/>
    <xf numFmtId="0" fontId="3" fillId="0" borderId="1" xfId="0" applyFont="1" applyBorder="1"/>
    <xf numFmtId="0" fontId="0" fillId="2" borderId="0" xfId="0" applyFill="1"/>
    <xf numFmtId="0" fontId="8" fillId="0" borderId="0" xfId="0" applyFont="1"/>
    <xf numFmtId="0" fontId="9" fillId="3" borderId="2" xfId="0" applyFont="1" applyFill="1" applyBorder="1" applyAlignment="1">
      <alignment horizontal="left" vertical="center" wrapText="1" readingOrder="1"/>
    </xf>
    <xf numFmtId="0" fontId="6" fillId="4" borderId="3" xfId="0" applyFont="1" applyFill="1" applyBorder="1" applyAlignment="1">
      <alignment horizontal="left" vertical="center" wrapText="1" readingOrder="1"/>
    </xf>
    <xf numFmtId="0" fontId="6" fillId="5" borderId="4" xfId="0" applyFont="1" applyFill="1" applyBorder="1" applyAlignment="1">
      <alignment horizontal="left" vertical="center" wrapText="1" readingOrder="1"/>
    </xf>
    <xf numFmtId="0" fontId="6" fillId="4" borderId="4" xfId="0" applyFont="1" applyFill="1" applyBorder="1" applyAlignment="1">
      <alignment horizontal="left" vertical="center" wrapText="1" readingOrder="1"/>
    </xf>
    <xf numFmtId="0" fontId="10" fillId="3" borderId="2" xfId="0" applyFont="1" applyFill="1" applyBorder="1" applyAlignment="1">
      <alignment horizontal="left" vertical="center" wrapText="1" readingOrder="1"/>
    </xf>
    <xf numFmtId="0" fontId="11" fillId="4" borderId="3" xfId="0" applyFont="1" applyFill="1" applyBorder="1" applyAlignment="1">
      <alignment horizontal="left" vertical="center" wrapText="1" readingOrder="1"/>
    </xf>
    <xf numFmtId="0" fontId="11" fillId="5" borderId="4" xfId="0" applyFont="1" applyFill="1" applyBorder="1" applyAlignment="1">
      <alignment horizontal="left" vertical="center" wrapText="1" readingOrder="1"/>
    </xf>
    <xf numFmtId="0" fontId="12" fillId="5" borderId="4" xfId="0" applyFont="1" applyFill="1" applyBorder="1" applyAlignment="1">
      <alignment vertical="top" wrapText="1"/>
    </xf>
    <xf numFmtId="0" fontId="11" fillId="4" borderId="4" xfId="0" applyFont="1" applyFill="1" applyBorder="1" applyAlignment="1">
      <alignment horizontal="left" vertical="center" wrapText="1" readingOrder="1"/>
    </xf>
    <xf numFmtId="0" fontId="12" fillId="4" borderId="4" xfId="0" applyFont="1" applyFill="1" applyBorder="1" applyAlignment="1">
      <alignment vertical="top" wrapText="1"/>
    </xf>
    <xf numFmtId="0" fontId="13" fillId="4" borderId="3" xfId="0" applyFont="1" applyFill="1" applyBorder="1" applyAlignment="1">
      <alignment horizontal="left" vertical="center" wrapText="1" readingOrder="1"/>
    </xf>
    <xf numFmtId="164" fontId="3" fillId="0" borderId="0" xfId="0" applyNumberFormat="1" applyFont="1"/>
    <xf numFmtId="164" fontId="0" fillId="0" borderId="0" xfId="0" applyNumberFormat="1"/>
    <xf numFmtId="0" fontId="4" fillId="6" borderId="0" xfId="0" applyFont="1" applyFill="1"/>
    <xf numFmtId="0" fontId="4" fillId="6" borderId="1" xfId="0" applyFont="1" applyFill="1" applyBorder="1"/>
    <xf numFmtId="164" fontId="14" fillId="0" borderId="0" xfId="0" applyNumberFormat="1" applyFont="1"/>
    <xf numFmtId="0" fontId="14" fillId="0" borderId="0" xfId="0" applyFont="1"/>
    <xf numFmtId="0" fontId="3" fillId="6" borderId="0" xfId="0" applyFont="1" applyFill="1"/>
    <xf numFmtId="164" fontId="3" fillId="0" borderId="5" xfId="0" applyNumberFormat="1" applyFont="1" applyBorder="1"/>
    <xf numFmtId="0" fontId="4" fillId="6" borderId="5" xfId="0" applyFont="1" applyFill="1" applyBorder="1"/>
    <xf numFmtId="4" fontId="0" fillId="0" borderId="0" xfId="0" applyNumberFormat="1"/>
    <xf numFmtId="4" fontId="4" fillId="0" borderId="0" xfId="0" applyNumberFormat="1" applyFont="1"/>
    <xf numFmtId="167" fontId="0" fillId="0" borderId="0" xfId="0" applyNumberFormat="1"/>
    <xf numFmtId="0" fontId="16" fillId="0" borderId="0" xfId="0" applyFont="1"/>
    <xf numFmtId="166" fontId="0" fillId="0" borderId="0" xfId="0" applyNumberFormat="1"/>
    <xf numFmtId="0" fontId="4" fillId="8" borderId="0" xfId="0" applyFont="1" applyFill="1"/>
    <xf numFmtId="164" fontId="3" fillId="8" borderId="0" xfId="0" applyNumberFormat="1" applyFont="1" applyFill="1"/>
    <xf numFmtId="0" fontId="4" fillId="8" borderId="6" xfId="0" applyFont="1" applyFill="1" applyBorder="1"/>
    <xf numFmtId="164" fontId="3" fillId="8" borderId="6" xfId="0" applyNumberFormat="1" applyFont="1" applyFill="1" applyBorder="1"/>
    <xf numFmtId="0" fontId="17" fillId="0" borderId="0" xfId="0" applyFont="1"/>
    <xf numFmtId="0" fontId="0" fillId="8" borderId="1" xfId="0" applyFill="1" applyBorder="1"/>
    <xf numFmtId="0" fontId="3" fillId="9" borderId="0" xfId="0" applyFont="1" applyFill="1"/>
    <xf numFmtId="169" fontId="0" fillId="9" borderId="0" xfId="0" applyNumberFormat="1" applyFill="1"/>
    <xf numFmtId="164" fontId="3" fillId="0" borderId="1" xfId="0" applyNumberFormat="1" applyFont="1" applyBorder="1"/>
    <xf numFmtId="2" fontId="0" fillId="0" borderId="0" xfId="0" applyNumberFormat="1"/>
    <xf numFmtId="164" fontId="0" fillId="10" borderId="0" xfId="0" applyNumberFormat="1" applyFill="1"/>
    <xf numFmtId="164" fontId="20" fillId="0" borderId="0" xfId="0" applyNumberFormat="1" applyFont="1"/>
    <xf numFmtId="2" fontId="20" fillId="0" borderId="0" xfId="0" applyNumberFormat="1" applyFont="1"/>
    <xf numFmtId="0" fontId="21" fillId="0" borderId="0" xfId="0" applyFont="1" applyAlignment="1">
      <alignment horizontal="left" vertical="center" indent="5"/>
    </xf>
    <xf numFmtId="164" fontId="2" fillId="0" borderId="0" xfId="0" applyNumberFormat="1" applyFont="1"/>
    <xf numFmtId="0" fontId="17" fillId="0" borderId="1" xfId="0" applyFont="1" applyBorder="1"/>
    <xf numFmtId="164" fontId="3" fillId="6" borderId="0" xfId="0" applyNumberFormat="1" applyFont="1" applyFill="1"/>
    <xf numFmtId="164" fontId="0" fillId="6" borderId="0" xfId="0" applyNumberFormat="1" applyFill="1"/>
    <xf numFmtId="164" fontId="17" fillId="0" borderId="0" xfId="0" applyNumberFormat="1" applyFont="1"/>
    <xf numFmtId="2" fontId="3" fillId="0" borderId="0" xfId="0" applyNumberFormat="1" applyFont="1"/>
    <xf numFmtId="2" fontId="2" fillId="0" borderId="0" xfId="0" applyNumberFormat="1" applyFont="1"/>
    <xf numFmtId="165" fontId="3" fillId="6" borderId="0" xfId="0" applyNumberFormat="1" applyFont="1" applyFill="1"/>
    <xf numFmtId="0" fontId="4" fillId="11" borderId="6" xfId="0" applyFont="1" applyFill="1" applyBorder="1"/>
    <xf numFmtId="164" fontId="3" fillId="11" borderId="6" xfId="0" applyNumberFormat="1" applyFont="1" applyFill="1" applyBorder="1"/>
    <xf numFmtId="0" fontId="3" fillId="12" borderId="0" xfId="0" applyFont="1" applyFill="1"/>
    <xf numFmtId="0" fontId="4" fillId="13" borderId="6" xfId="0" applyFont="1" applyFill="1" applyBorder="1"/>
    <xf numFmtId="164" fontId="3" fillId="13" borderId="6" xfId="0" applyNumberFormat="1" applyFont="1" applyFill="1" applyBorder="1"/>
    <xf numFmtId="0" fontId="4" fillId="14" borderId="6" xfId="0" applyFont="1" applyFill="1" applyBorder="1"/>
    <xf numFmtId="164" fontId="3" fillId="14" borderId="6" xfId="0" applyNumberFormat="1" applyFont="1" applyFill="1" applyBorder="1"/>
    <xf numFmtId="0" fontId="4" fillId="15" borderId="6" xfId="0" applyFont="1" applyFill="1" applyBorder="1"/>
    <xf numFmtId="165" fontId="3" fillId="15" borderId="6" xfId="0" applyNumberFormat="1" applyFont="1" applyFill="1" applyBorder="1"/>
    <xf numFmtId="2" fontId="22" fillId="0" borderId="0" xfId="0" applyNumberFormat="1" applyFont="1"/>
    <xf numFmtId="0" fontId="20" fillId="0" borderId="0" xfId="0" applyFont="1"/>
    <xf numFmtId="0" fontId="23" fillId="0" borderId="0" xfId="0" applyFont="1"/>
    <xf numFmtId="3" fontId="0" fillId="0" borderId="0" xfId="0" applyNumberFormat="1"/>
    <xf numFmtId="0" fontId="0" fillId="14" borderId="0" xfId="0" applyFill="1"/>
    <xf numFmtId="0" fontId="0" fillId="0" borderId="0" xfId="0" applyAlignment="1">
      <alignment horizontal="left" vertical="center" wrapText="1"/>
    </xf>
    <xf numFmtId="170" fontId="0" fillId="10" borderId="0" xfId="0" applyNumberFormat="1" applyFill="1"/>
    <xf numFmtId="0" fontId="23" fillId="0" borderId="0" xfId="0" applyFont="1" applyAlignment="1">
      <alignment horizontal="left" vertical="center"/>
    </xf>
    <xf numFmtId="0" fontId="4" fillId="17" borderId="6" xfId="0" applyFont="1" applyFill="1" applyBorder="1"/>
    <xf numFmtId="164" fontId="3" fillId="17" borderId="6" xfId="0" applyNumberFormat="1" applyFont="1" applyFill="1" applyBorder="1"/>
    <xf numFmtId="0" fontId="4" fillId="16" borderId="6" xfId="0" applyFont="1" applyFill="1" applyBorder="1"/>
    <xf numFmtId="0" fontId="3" fillId="14" borderId="0" xfId="0" applyFont="1" applyFill="1"/>
    <xf numFmtId="0" fontId="0" fillId="10" borderId="0" xfId="0" applyFill="1"/>
    <xf numFmtId="0" fontId="4" fillId="10" borderId="0" xfId="0" applyFont="1" applyFill="1"/>
    <xf numFmtId="0" fontId="17" fillId="10" borderId="0" xfId="0" applyFont="1" applyFill="1"/>
    <xf numFmtId="0" fontId="3" fillId="10" borderId="0" xfId="0" applyFont="1" applyFill="1"/>
    <xf numFmtId="0" fontId="2" fillId="10" borderId="0" xfId="0" applyFont="1" applyFill="1"/>
    <xf numFmtId="164" fontId="17" fillId="10" borderId="0" xfId="0" applyNumberFormat="1" applyFont="1" applyFill="1"/>
    <xf numFmtId="0" fontId="25" fillId="10" borderId="0" xfId="0" applyFont="1" applyFill="1"/>
    <xf numFmtId="0" fontId="0" fillId="0" borderId="8" xfId="0" applyBorder="1"/>
    <xf numFmtId="0" fontId="0" fillId="0" borderId="11" xfId="0" applyBorder="1"/>
    <xf numFmtId="0" fontId="0" fillId="0" borderId="12" xfId="0" applyBorder="1"/>
    <xf numFmtId="170" fontId="0" fillId="0" borderId="0" xfId="0" applyNumberFormat="1"/>
    <xf numFmtId="0" fontId="3" fillId="16" borderId="6" xfId="0" applyFont="1" applyFill="1" applyBorder="1" applyAlignment="1">
      <alignment horizontal="center" vertical="center"/>
    </xf>
    <xf numFmtId="164" fontId="4" fillId="0" borderId="0" xfId="0" applyNumberFormat="1" applyFont="1"/>
    <xf numFmtId="0" fontId="4" fillId="2" borderId="0" xfId="0" applyFont="1" applyFill="1"/>
    <xf numFmtId="0" fontId="3" fillId="2" borderId="0" xfId="0" applyFont="1" applyFill="1"/>
    <xf numFmtId="0" fontId="14" fillId="2" borderId="0" xfId="0" applyFont="1" applyFill="1"/>
    <xf numFmtId="0" fontId="26" fillId="0" borderId="0" xfId="1"/>
    <xf numFmtId="164" fontId="0" fillId="2" borderId="0" xfId="0" applyNumberFormat="1" applyFill="1"/>
    <xf numFmtId="164" fontId="3" fillId="10" borderId="0" xfId="0" applyNumberFormat="1" applyFont="1" applyFill="1"/>
    <xf numFmtId="2" fontId="20" fillId="2" borderId="0" xfId="0" applyNumberFormat="1" applyFont="1" applyFill="1"/>
    <xf numFmtId="164" fontId="4" fillId="8" borderId="6" xfId="0" applyNumberFormat="1" applyFont="1" applyFill="1" applyBorder="1"/>
    <xf numFmtId="0" fontId="25" fillId="0" borderId="0" xfId="0" applyFont="1"/>
    <xf numFmtId="0" fontId="25" fillId="0" borderId="1" xfId="0" applyFont="1" applyBorder="1" applyAlignment="1">
      <alignment wrapText="1"/>
    </xf>
    <xf numFmtId="0" fontId="25" fillId="0" borderId="13" xfId="0" applyFont="1" applyBorder="1"/>
    <xf numFmtId="169" fontId="3" fillId="8" borderId="6" xfId="0" applyNumberFormat="1" applyFont="1" applyFill="1" applyBorder="1"/>
    <xf numFmtId="0" fontId="27" fillId="0" borderId="0" xfId="0" applyFont="1"/>
    <xf numFmtId="0" fontId="0" fillId="0" borderId="14" xfId="0" applyBorder="1"/>
    <xf numFmtId="165" fontId="0" fillId="0" borderId="0" xfId="0" applyNumberFormat="1"/>
    <xf numFmtId="165" fontId="0" fillId="0" borderId="15" xfId="0" applyNumberFormat="1" applyBorder="1"/>
    <xf numFmtId="0" fontId="0" fillId="0" borderId="16" xfId="0" applyBorder="1"/>
    <xf numFmtId="165" fontId="0" fillId="0" borderId="1" xfId="0" applyNumberFormat="1" applyBorder="1"/>
    <xf numFmtId="165" fontId="0" fillId="0" borderId="17" xfId="0" applyNumberFormat="1" applyBorder="1"/>
    <xf numFmtId="0" fontId="0" fillId="0" borderId="18" xfId="0" applyBorder="1"/>
    <xf numFmtId="0" fontId="0" fillId="0" borderId="19" xfId="0" applyBorder="1"/>
    <xf numFmtId="0" fontId="0" fillId="0" borderId="20" xfId="0" applyBorder="1"/>
    <xf numFmtId="2" fontId="0" fillId="0" borderId="15" xfId="0" applyNumberFormat="1" applyBorder="1"/>
    <xf numFmtId="0" fontId="0" fillId="0" borderId="15" xfId="0" applyBorder="1"/>
    <xf numFmtId="170" fontId="0" fillId="0" borderId="15" xfId="0" applyNumberFormat="1" applyBorder="1"/>
    <xf numFmtId="164" fontId="0" fillId="0" borderId="1" xfId="0" applyNumberFormat="1" applyBorder="1"/>
    <xf numFmtId="164" fontId="0" fillId="0" borderId="17" xfId="0" applyNumberFormat="1" applyBorder="1"/>
    <xf numFmtId="0" fontId="0" fillId="0" borderId="21" xfId="0" applyBorder="1"/>
    <xf numFmtId="0" fontId="27" fillId="0" borderId="22" xfId="0" applyFont="1" applyBorder="1"/>
    <xf numFmtId="0" fontId="0" fillId="0" borderId="22" xfId="0" applyBorder="1"/>
    <xf numFmtId="0" fontId="0" fillId="0" borderId="23" xfId="0" applyBorder="1"/>
    <xf numFmtId="165" fontId="0" fillId="0" borderId="24" xfId="0" applyNumberFormat="1" applyBorder="1"/>
    <xf numFmtId="164" fontId="20" fillId="10" borderId="0" xfId="0" applyNumberFormat="1" applyFont="1" applyFill="1"/>
    <xf numFmtId="164" fontId="27" fillId="0" borderId="0" xfId="0" applyNumberFormat="1" applyFont="1"/>
    <xf numFmtId="0" fontId="17" fillId="0" borderId="13" xfId="0" applyFont="1" applyBorder="1"/>
    <xf numFmtId="164" fontId="27" fillId="0" borderId="1" xfId="0" applyNumberFormat="1" applyFont="1" applyBorder="1"/>
    <xf numFmtId="2" fontId="17" fillId="0" borderId="0" xfId="0" applyNumberFormat="1" applyFont="1"/>
    <xf numFmtId="2" fontId="17" fillId="0" borderId="15" xfId="0" applyNumberFormat="1" applyFont="1" applyBorder="1"/>
    <xf numFmtId="0" fontId="17" fillId="10" borderId="1" xfId="0" applyFont="1" applyFill="1" applyBorder="1"/>
    <xf numFmtId="0" fontId="17" fillId="10" borderId="13" xfId="0" applyFont="1" applyFill="1" applyBorder="1"/>
    <xf numFmtId="0" fontId="3" fillId="10" borderId="1" xfId="0" applyFont="1" applyFill="1" applyBorder="1"/>
    <xf numFmtId="0" fontId="4" fillId="18" borderId="6" xfId="0" applyFont="1" applyFill="1" applyBorder="1"/>
    <xf numFmtId="164" fontId="3" fillId="18" borderId="6" xfId="0" applyNumberFormat="1" applyFont="1" applyFill="1" applyBorder="1"/>
    <xf numFmtId="0" fontId="0" fillId="18" borderId="6" xfId="0" applyFill="1" applyBorder="1"/>
    <xf numFmtId="0" fontId="4" fillId="0" borderId="1" xfId="0" applyFont="1" applyBorder="1"/>
    <xf numFmtId="0" fontId="0" fillId="0" borderId="1" xfId="0" applyBorder="1"/>
    <xf numFmtId="0" fontId="14" fillId="10" borderId="1" xfId="0" applyFont="1" applyFill="1" applyBorder="1"/>
    <xf numFmtId="0" fontId="4" fillId="10" borderId="1" xfId="0" applyFont="1" applyFill="1" applyBorder="1"/>
    <xf numFmtId="0" fontId="4" fillId="19" borderId="6" xfId="0" applyFont="1" applyFill="1" applyBorder="1"/>
    <xf numFmtId="164" fontId="3" fillId="19" borderId="6" xfId="0" applyNumberFormat="1" applyFont="1" applyFill="1" applyBorder="1"/>
    <xf numFmtId="0" fontId="4" fillId="19" borderId="25" xfId="0" applyFont="1" applyFill="1" applyBorder="1"/>
    <xf numFmtId="164" fontId="3" fillId="19" borderId="25" xfId="0" applyNumberFormat="1" applyFont="1" applyFill="1" applyBorder="1"/>
    <xf numFmtId="164" fontId="4" fillId="17" borderId="6" xfId="0" applyNumberFormat="1" applyFont="1" applyFill="1" applyBorder="1"/>
    <xf numFmtId="164" fontId="4" fillId="10" borderId="0" xfId="0" applyNumberFormat="1" applyFont="1" applyFill="1"/>
    <xf numFmtId="0" fontId="4" fillId="0" borderId="13" xfId="0" applyFont="1" applyBorder="1"/>
    <xf numFmtId="2" fontId="0" fillId="2" borderId="0" xfId="0" applyNumberFormat="1" applyFill="1"/>
    <xf numFmtId="2" fontId="3" fillId="2" borderId="0" xfId="0" applyNumberFormat="1" applyFont="1" applyFill="1"/>
    <xf numFmtId="0" fontId="3" fillId="16" borderId="0" xfId="0" applyFont="1" applyFill="1" applyAlignment="1">
      <alignment horizontal="center" vertical="center"/>
    </xf>
    <xf numFmtId="169" fontId="3" fillId="8" borderId="0" xfId="0" applyNumberFormat="1" applyFont="1" applyFill="1"/>
    <xf numFmtId="164" fontId="3" fillId="7" borderId="0" xfId="0" applyNumberFormat="1" applyFont="1" applyFill="1"/>
    <xf numFmtId="0" fontId="14" fillId="10" borderId="0" xfId="0" applyFont="1" applyFill="1"/>
    <xf numFmtId="0" fontId="3" fillId="10" borderId="13" xfId="0" applyFont="1" applyFill="1" applyBorder="1"/>
    <xf numFmtId="165" fontId="3" fillId="0" borderId="0" xfId="0" applyNumberFormat="1" applyFont="1"/>
    <xf numFmtId="1" fontId="0" fillId="0" borderId="0" xfId="0" applyNumberFormat="1"/>
    <xf numFmtId="169" fontId="4" fillId="18" borderId="0" xfId="0" applyNumberFormat="1" applyFont="1" applyFill="1"/>
    <xf numFmtId="169" fontId="3" fillId="0" borderId="0" xfId="0" applyNumberFormat="1" applyFont="1"/>
    <xf numFmtId="2" fontId="4" fillId="0" borderId="0" xfId="0" applyNumberFormat="1" applyFont="1"/>
    <xf numFmtId="2" fontId="14" fillId="0" borderId="0" xfId="0" applyNumberFormat="1" applyFont="1"/>
    <xf numFmtId="170" fontId="14" fillId="8" borderId="6" xfId="0" applyNumberFormat="1" applyFont="1" applyFill="1" applyBorder="1"/>
    <xf numFmtId="170" fontId="3" fillId="8" borderId="6" xfId="0" applyNumberFormat="1" applyFont="1" applyFill="1" applyBorder="1"/>
    <xf numFmtId="164" fontId="25" fillId="0" borderId="0" xfId="0" applyNumberFormat="1" applyFont="1"/>
    <xf numFmtId="0" fontId="17" fillId="7" borderId="0" xfId="0" applyFont="1" applyFill="1"/>
    <xf numFmtId="0" fontId="3" fillId="7" borderId="0" xfId="0" applyFont="1" applyFill="1"/>
    <xf numFmtId="169" fontId="3" fillId="0" borderId="5" xfId="0" applyNumberFormat="1" applyFont="1" applyBorder="1"/>
    <xf numFmtId="164" fontId="3" fillId="2" borderId="0" xfId="0" applyNumberFormat="1" applyFont="1" applyFill="1"/>
    <xf numFmtId="0" fontId="0" fillId="20" borderId="6" xfId="0" applyFill="1" applyBorder="1"/>
    <xf numFmtId="164" fontId="3" fillId="20" borderId="6" xfId="0" applyNumberFormat="1" applyFont="1" applyFill="1" applyBorder="1"/>
    <xf numFmtId="170" fontId="4" fillId="8" borderId="6" xfId="0" applyNumberFormat="1" applyFont="1" applyFill="1" applyBorder="1"/>
    <xf numFmtId="169" fontId="3" fillId="10" borderId="0" xfId="0" applyNumberFormat="1" applyFont="1" applyFill="1"/>
    <xf numFmtId="169" fontId="4" fillId="8" borderId="6" xfId="0" applyNumberFormat="1" applyFont="1" applyFill="1" applyBorder="1"/>
    <xf numFmtId="2" fontId="3" fillId="6" borderId="0" xfId="0" applyNumberFormat="1" applyFont="1" applyFill="1"/>
    <xf numFmtId="0" fontId="0" fillId="11" borderId="0" xfId="0" applyFill="1"/>
    <xf numFmtId="0" fontId="29" fillId="0" borderId="0" xfId="0" applyFont="1"/>
    <xf numFmtId="0" fontId="0" fillId="23" borderId="0" xfId="0" applyFill="1"/>
    <xf numFmtId="0" fontId="3" fillId="13" borderId="0" xfId="0" applyFont="1" applyFill="1" applyAlignment="1">
      <alignment horizontal="center" vertical="center"/>
    </xf>
    <xf numFmtId="0" fontId="3" fillId="8" borderId="0" xfId="0" applyFont="1" applyFill="1" applyAlignment="1">
      <alignment horizontal="center" vertical="center"/>
    </xf>
    <xf numFmtId="164" fontId="25" fillId="19" borderId="0" xfId="0" applyNumberFormat="1" applyFont="1" applyFill="1"/>
    <xf numFmtId="170" fontId="3" fillId="0" borderId="0" xfId="0" applyNumberFormat="1" applyFont="1"/>
    <xf numFmtId="1" fontId="3" fillId="0" borderId="0" xfId="0" applyNumberFormat="1" applyFont="1"/>
    <xf numFmtId="164" fontId="0" fillId="18" borderId="0" xfId="0" applyNumberFormat="1" applyFill="1"/>
    <xf numFmtId="0" fontId="0" fillId="24" borderId="0" xfId="0" applyFill="1"/>
    <xf numFmtId="1" fontId="0" fillId="18" borderId="0" xfId="0" applyNumberFormat="1" applyFill="1"/>
    <xf numFmtId="170" fontId="0" fillId="18" borderId="0" xfId="0" applyNumberFormat="1" applyFill="1"/>
    <xf numFmtId="2" fontId="0" fillId="18" borderId="0" xfId="0" applyNumberFormat="1" applyFill="1"/>
    <xf numFmtId="170" fontId="4" fillId="0" borderId="0" xfId="0" applyNumberFormat="1" applyFont="1"/>
    <xf numFmtId="0" fontId="30" fillId="23" borderId="26" xfId="0" applyFont="1" applyFill="1" applyBorder="1"/>
    <xf numFmtId="0" fontId="0" fillId="23" borderId="5" xfId="0" applyFill="1" applyBorder="1"/>
    <xf numFmtId="0" fontId="0" fillId="23" borderId="27" xfId="0" applyFill="1" applyBorder="1"/>
    <xf numFmtId="0" fontId="0" fillId="17" borderId="14" xfId="0" applyFill="1" applyBorder="1" applyAlignment="1">
      <alignment horizontal="center" vertical="top" wrapText="1"/>
    </xf>
    <xf numFmtId="0" fontId="0" fillId="17" borderId="0" xfId="0" applyFill="1" applyAlignment="1">
      <alignment horizontal="center" vertical="top" wrapText="1"/>
    </xf>
    <xf numFmtId="0" fontId="0" fillId="17" borderId="15" xfId="0" applyFill="1" applyBorder="1" applyAlignment="1">
      <alignment horizontal="center" vertical="top" wrapText="1"/>
    </xf>
    <xf numFmtId="164" fontId="0" fillId="0" borderId="14" xfId="0" applyNumberFormat="1" applyBorder="1"/>
    <xf numFmtId="165" fontId="0" fillId="0" borderId="14" xfId="0" applyNumberFormat="1" applyBorder="1"/>
    <xf numFmtId="2" fontId="0" fillId="0" borderId="14" xfId="0" applyNumberFormat="1" applyBorder="1"/>
    <xf numFmtId="1" fontId="0" fillId="0" borderId="15" xfId="0" applyNumberFormat="1" applyBorder="1"/>
    <xf numFmtId="2" fontId="0" fillId="0" borderId="1" xfId="0" applyNumberFormat="1" applyBorder="1"/>
    <xf numFmtId="1" fontId="0" fillId="0" borderId="1" xfId="0" applyNumberFormat="1" applyBorder="1"/>
    <xf numFmtId="1" fontId="0" fillId="0" borderId="17" xfId="0" applyNumberFormat="1" applyBorder="1"/>
    <xf numFmtId="0" fontId="0" fillId="18" borderId="0" xfId="0" applyFill="1" applyAlignment="1">
      <alignment horizontal="center" vertical="top"/>
    </xf>
    <xf numFmtId="0" fontId="0" fillId="18" borderId="0" xfId="0" applyFill="1" applyAlignment="1">
      <alignment horizontal="center" vertical="top" wrapText="1"/>
    </xf>
    <xf numFmtId="0" fontId="0" fillId="10" borderId="0" xfId="0" applyFill="1" applyAlignment="1">
      <alignment horizontal="center" vertical="top"/>
    </xf>
    <xf numFmtId="0" fontId="0" fillId="10" borderId="0" xfId="0" applyFill="1" applyAlignment="1">
      <alignment horizontal="center" vertical="top" wrapText="1"/>
    </xf>
    <xf numFmtId="170" fontId="0" fillId="0" borderId="14" xfId="0" applyNumberFormat="1" applyBorder="1"/>
    <xf numFmtId="0" fontId="0" fillId="0" borderId="17" xfId="0" applyBorder="1"/>
    <xf numFmtId="0" fontId="0" fillId="23" borderId="26" xfId="0" applyFill="1" applyBorder="1"/>
    <xf numFmtId="0" fontId="20" fillId="17" borderId="14" xfId="0" applyFont="1" applyFill="1" applyBorder="1" applyAlignment="1">
      <alignment horizontal="center" vertical="top" wrapText="1"/>
    </xf>
    <xf numFmtId="0" fontId="20" fillId="17" borderId="0" xfId="0" applyFont="1" applyFill="1" applyAlignment="1">
      <alignment horizontal="center" vertical="top" wrapText="1"/>
    </xf>
    <xf numFmtId="0" fontId="20" fillId="17" borderId="15" xfId="0" applyFont="1" applyFill="1" applyBorder="1" applyAlignment="1">
      <alignment horizontal="center" vertical="top" wrapText="1"/>
    </xf>
    <xf numFmtId="2" fontId="20" fillId="0" borderId="14" xfId="0" applyNumberFormat="1" applyFont="1" applyBorder="1"/>
    <xf numFmtId="2" fontId="20" fillId="0" borderId="15" xfId="0" applyNumberFormat="1" applyFont="1" applyBorder="1"/>
    <xf numFmtId="0" fontId="30" fillId="11" borderId="26" xfId="0" applyFont="1" applyFill="1" applyBorder="1"/>
    <xf numFmtId="0" fontId="0" fillId="11" borderId="5" xfId="0" applyFill="1" applyBorder="1"/>
    <xf numFmtId="0" fontId="0" fillId="11" borderId="27" xfId="0" applyFill="1" applyBorder="1"/>
    <xf numFmtId="0" fontId="0" fillId="8" borderId="14" xfId="0" applyFill="1" applyBorder="1" applyAlignment="1">
      <alignment horizontal="center" vertical="top" wrapText="1"/>
    </xf>
    <xf numFmtId="0" fontId="0" fillId="8" borderId="0" xfId="0" applyFill="1" applyAlignment="1">
      <alignment horizontal="center" vertical="top" wrapText="1"/>
    </xf>
    <xf numFmtId="0" fontId="0" fillId="8" borderId="15" xfId="0" applyFill="1" applyBorder="1" applyAlignment="1">
      <alignment horizontal="center" vertical="top" wrapText="1"/>
    </xf>
    <xf numFmtId="0" fontId="29" fillId="0" borderId="1" xfId="0" applyFont="1" applyBorder="1"/>
    <xf numFmtId="0" fontId="20" fillId="8" borderId="14" xfId="0" applyFont="1" applyFill="1" applyBorder="1" applyAlignment="1">
      <alignment horizontal="center" vertical="top" wrapText="1"/>
    </xf>
    <xf numFmtId="0" fontId="20" fillId="8" borderId="0" xfId="0" applyFont="1" applyFill="1" applyAlignment="1">
      <alignment horizontal="center" vertical="top" wrapText="1"/>
    </xf>
    <xf numFmtId="0" fontId="20" fillId="8" borderId="15" xfId="0" applyFont="1" applyFill="1" applyBorder="1" applyAlignment="1">
      <alignment horizontal="center" vertical="top" wrapText="1"/>
    </xf>
    <xf numFmtId="164" fontId="0" fillId="0" borderId="15" xfId="0" applyNumberFormat="1" applyBorder="1"/>
    <xf numFmtId="0" fontId="0" fillId="11" borderId="26" xfId="0" applyFill="1" applyBorder="1"/>
    <xf numFmtId="0" fontId="15" fillId="11" borderId="26" xfId="0" applyFont="1" applyFill="1" applyBorder="1"/>
    <xf numFmtId="0" fontId="0" fillId="0" borderId="26" xfId="0" applyBorder="1"/>
    <xf numFmtId="0" fontId="30" fillId="23" borderId="5" xfId="0" applyFont="1" applyFill="1" applyBorder="1"/>
    <xf numFmtId="0" fontId="0" fillId="9" borderId="0" xfId="0" applyFill="1" applyAlignment="1">
      <alignment horizontal="center" vertical="top"/>
    </xf>
    <xf numFmtId="0" fontId="0" fillId="9" borderId="0" xfId="0" applyFill="1" applyAlignment="1">
      <alignment horizontal="center" vertical="top" wrapText="1"/>
    </xf>
    <xf numFmtId="0" fontId="0" fillId="9" borderId="15" xfId="0" applyFill="1" applyBorder="1" applyAlignment="1">
      <alignment horizontal="center" vertical="top"/>
    </xf>
    <xf numFmtId="171" fontId="0" fillId="0" borderId="0" xfId="0" applyNumberFormat="1"/>
    <xf numFmtId="171" fontId="0" fillId="0" borderId="1" xfId="0" applyNumberFormat="1" applyBorder="1"/>
    <xf numFmtId="0" fontId="0" fillId="24" borderId="14" xfId="0" applyFill="1" applyBorder="1" applyAlignment="1">
      <alignment horizontal="center" vertical="top"/>
    </xf>
    <xf numFmtId="0" fontId="0" fillId="24" borderId="0" xfId="0" applyFill="1" applyAlignment="1">
      <alignment horizontal="center" vertical="top" wrapText="1"/>
    </xf>
    <xf numFmtId="0" fontId="0" fillId="24" borderId="0" xfId="0" applyFill="1" applyAlignment="1">
      <alignment horizontal="center" vertical="top"/>
    </xf>
    <xf numFmtId="0" fontId="32" fillId="0" borderId="0" xfId="0" applyFont="1"/>
    <xf numFmtId="164" fontId="0" fillId="0" borderId="16" xfId="0" applyNumberFormat="1" applyBorder="1"/>
    <xf numFmtId="2" fontId="0" fillId="0" borderId="16" xfId="0" applyNumberFormat="1" applyBorder="1"/>
    <xf numFmtId="171" fontId="0" fillId="0" borderId="15" xfId="0" applyNumberFormat="1" applyBorder="1"/>
    <xf numFmtId="171" fontId="0" fillId="0" borderId="17" xfId="0" applyNumberFormat="1" applyBorder="1"/>
    <xf numFmtId="1" fontId="20" fillId="0" borderId="0" xfId="0" applyNumberFormat="1" applyFont="1"/>
    <xf numFmtId="1" fontId="20" fillId="0" borderId="1" xfId="0" applyNumberFormat="1" applyFont="1" applyBorder="1"/>
    <xf numFmtId="1" fontId="20" fillId="0" borderId="15" xfId="0" applyNumberFormat="1" applyFont="1" applyBorder="1"/>
    <xf numFmtId="1" fontId="20" fillId="0" borderId="17" xfId="0" applyNumberFormat="1" applyFont="1" applyBorder="1"/>
    <xf numFmtId="1" fontId="20" fillId="0" borderId="14" xfId="0" applyNumberFormat="1" applyFont="1" applyBorder="1"/>
    <xf numFmtId="1" fontId="20" fillId="0" borderId="16" xfId="0" applyNumberFormat="1" applyFont="1" applyBorder="1"/>
    <xf numFmtId="0" fontId="30" fillId="11" borderId="5" xfId="0" applyFont="1" applyFill="1" applyBorder="1"/>
    <xf numFmtId="164" fontId="31" fillId="0" borderId="0" xfId="0" applyNumberFormat="1" applyFont="1"/>
    <xf numFmtId="170" fontId="0" fillId="0" borderId="16" xfId="0" applyNumberFormat="1" applyBorder="1"/>
    <xf numFmtId="165" fontId="20" fillId="0" borderId="0" xfId="0" applyNumberFormat="1" applyFont="1"/>
    <xf numFmtId="165" fontId="20" fillId="0" borderId="1" xfId="0" applyNumberFormat="1" applyFont="1" applyBorder="1"/>
    <xf numFmtId="168" fontId="0" fillId="0" borderId="14" xfId="0" applyNumberFormat="1" applyBorder="1"/>
    <xf numFmtId="0" fontId="0" fillId="27" borderId="0" xfId="0" applyFill="1"/>
    <xf numFmtId="0" fontId="34" fillId="27" borderId="0" xfId="0" applyFont="1" applyFill="1"/>
    <xf numFmtId="165" fontId="0" fillId="9" borderId="0" xfId="0" applyNumberFormat="1" applyFill="1"/>
    <xf numFmtId="170" fontId="0" fillId="9" borderId="0" xfId="0" applyNumberFormat="1" applyFill="1"/>
    <xf numFmtId="1" fontId="0" fillId="9" borderId="0" xfId="0" applyNumberFormat="1" applyFill="1"/>
    <xf numFmtId="170" fontId="0" fillId="0" borderId="1" xfId="0" applyNumberFormat="1" applyBorder="1"/>
    <xf numFmtId="2" fontId="0" fillId="0" borderId="17" xfId="0" applyNumberFormat="1" applyBorder="1"/>
    <xf numFmtId="2" fontId="20" fillId="0" borderId="1" xfId="0" applyNumberFormat="1" applyFont="1" applyBorder="1"/>
    <xf numFmtId="2" fontId="20" fillId="0" borderId="17" xfId="0" applyNumberFormat="1" applyFont="1" applyBorder="1"/>
    <xf numFmtId="2" fontId="20" fillId="0" borderId="16" xfId="0" applyNumberFormat="1" applyFont="1" applyBorder="1"/>
    <xf numFmtId="168" fontId="0" fillId="0" borderId="1" xfId="0" applyNumberFormat="1" applyBorder="1"/>
    <xf numFmtId="1" fontId="0" fillId="0" borderId="14" xfId="0" applyNumberFormat="1" applyBorder="1"/>
    <xf numFmtId="1" fontId="0" fillId="0" borderId="16" xfId="0" applyNumberFormat="1" applyBorder="1"/>
    <xf numFmtId="2" fontId="3" fillId="0" borderId="1" xfId="0" applyNumberFormat="1" applyFont="1" applyBorder="1"/>
    <xf numFmtId="171" fontId="0" fillId="0" borderId="16" xfId="0" applyNumberFormat="1" applyBorder="1"/>
    <xf numFmtId="165" fontId="0" fillId="0" borderId="16" xfId="0" applyNumberFormat="1" applyBorder="1"/>
    <xf numFmtId="0" fontId="3" fillId="0" borderId="14" xfId="0" applyFont="1" applyBorder="1"/>
    <xf numFmtId="0" fontId="33" fillId="0" borderId="0" xfId="0" applyFont="1"/>
    <xf numFmtId="0" fontId="35" fillId="0" borderId="0" xfId="0" applyFont="1"/>
    <xf numFmtId="0" fontId="36" fillId="27" borderId="0" xfId="0" applyFont="1" applyFill="1"/>
    <xf numFmtId="0" fontId="36" fillId="27" borderId="0" xfId="0" applyFont="1" applyFill="1" applyAlignment="1">
      <alignment vertical="top" wrapText="1"/>
    </xf>
    <xf numFmtId="0" fontId="37" fillId="27" borderId="0" xfId="0" applyFont="1" applyFill="1"/>
    <xf numFmtId="0" fontId="38" fillId="27" borderId="0" xfId="0" applyFont="1" applyFill="1" applyAlignment="1">
      <alignment horizontal="left" vertical="center"/>
    </xf>
    <xf numFmtId="2" fontId="36" fillId="27" borderId="0" xfId="0" applyNumberFormat="1" applyFont="1" applyFill="1"/>
    <xf numFmtId="164" fontId="36" fillId="27" borderId="0" xfId="0" applyNumberFormat="1" applyFont="1" applyFill="1"/>
    <xf numFmtId="170" fontId="36" fillId="27" borderId="0" xfId="0" applyNumberFormat="1" applyFont="1" applyFill="1"/>
    <xf numFmtId="0" fontId="38" fillId="27" borderId="0" xfId="0" applyFont="1" applyFill="1" applyAlignment="1">
      <alignment horizontal="left" vertical="center" wrapText="1"/>
    </xf>
    <xf numFmtId="0" fontId="35" fillId="27" borderId="0" xfId="0" applyFont="1" applyFill="1"/>
    <xf numFmtId="171" fontId="36" fillId="0" borderId="0" xfId="0" applyNumberFormat="1" applyFont="1"/>
    <xf numFmtId="171" fontId="36" fillId="27" borderId="0" xfId="0" applyNumberFormat="1" applyFont="1" applyFill="1"/>
    <xf numFmtId="0" fontId="36" fillId="27" borderId="0" xfId="0" applyFont="1" applyFill="1" applyAlignment="1">
      <alignment horizontal="center" vertical="top" wrapText="1"/>
    </xf>
    <xf numFmtId="0" fontId="39" fillId="27" borderId="0" xfId="0" applyFont="1" applyFill="1"/>
    <xf numFmtId="0" fontId="40" fillId="0" borderId="0" xfId="0" applyFont="1"/>
    <xf numFmtId="0" fontId="39" fillId="0" borderId="0" xfId="0" applyFont="1"/>
    <xf numFmtId="0" fontId="0" fillId="0" borderId="0" xfId="0" applyAlignment="1">
      <alignment wrapText="1"/>
    </xf>
    <xf numFmtId="0" fontId="4" fillId="0" borderId="0" xfId="0" applyFont="1" applyAlignment="1">
      <alignment wrapText="1"/>
    </xf>
    <xf numFmtId="0" fontId="3" fillId="0" borderId="0" xfId="0" applyFont="1" applyAlignment="1">
      <alignment wrapText="1"/>
    </xf>
    <xf numFmtId="0" fontId="2" fillId="0" borderId="0" xfId="0" applyFont="1" applyAlignment="1">
      <alignment wrapText="1"/>
    </xf>
    <xf numFmtId="0" fontId="0" fillId="7" borderId="0" xfId="0" applyFill="1" applyAlignment="1">
      <alignment wrapText="1"/>
    </xf>
    <xf numFmtId="0" fontId="0" fillId="10" borderId="0" xfId="0" applyFill="1" applyAlignment="1">
      <alignment wrapText="1"/>
    </xf>
    <xf numFmtId="0" fontId="4" fillId="10" borderId="0" xfId="0" applyFont="1" applyFill="1" applyAlignment="1">
      <alignment wrapText="1"/>
    </xf>
    <xf numFmtId="0" fontId="0" fillId="14" borderId="0" xfId="0" applyFill="1" applyAlignment="1">
      <alignment wrapText="1"/>
    </xf>
    <xf numFmtId="0" fontId="0" fillId="2" borderId="0" xfId="0" applyFill="1" applyAlignment="1">
      <alignment wrapText="1"/>
    </xf>
    <xf numFmtId="164" fontId="0" fillId="0" borderId="0" xfId="0" applyNumberFormat="1" applyAlignment="1">
      <alignment wrapText="1"/>
    </xf>
    <xf numFmtId="0" fontId="1" fillId="7" borderId="0" xfId="0" applyFont="1" applyFill="1" applyAlignment="1">
      <alignment wrapText="1"/>
    </xf>
    <xf numFmtId="0" fontId="0" fillId="10" borderId="0" xfId="0" applyFill="1" applyAlignment="1">
      <alignment horizontal="left" wrapText="1"/>
    </xf>
    <xf numFmtId="164" fontId="4" fillId="10" borderId="0" xfId="0" applyNumberFormat="1" applyFont="1" applyFill="1" applyAlignment="1">
      <alignment wrapText="1"/>
    </xf>
    <xf numFmtId="164" fontId="14" fillId="10" borderId="0" xfId="0" applyNumberFormat="1" applyFont="1" applyFill="1" applyAlignment="1">
      <alignment wrapText="1"/>
    </xf>
    <xf numFmtId="0" fontId="3" fillId="10" borderId="0" xfId="0" applyFont="1" applyFill="1" applyAlignment="1">
      <alignment wrapText="1"/>
    </xf>
    <xf numFmtId="0" fontId="15" fillId="0" borderId="0" xfId="0" applyFont="1" applyAlignment="1">
      <alignment wrapText="1"/>
    </xf>
    <xf numFmtId="0" fontId="24" fillId="10" borderId="0" xfId="0" applyFont="1" applyFill="1" applyAlignment="1">
      <alignment wrapText="1"/>
    </xf>
    <xf numFmtId="0" fontId="25" fillId="10" borderId="0" xfId="0" applyFont="1" applyFill="1" applyAlignment="1">
      <alignment wrapText="1"/>
    </xf>
    <xf numFmtId="0" fontId="26" fillId="0" borderId="0" xfId="1" applyAlignment="1">
      <alignment wrapText="1"/>
    </xf>
    <xf numFmtId="0" fontId="2" fillId="10" borderId="0" xfId="0" applyFont="1" applyFill="1" applyAlignment="1">
      <alignment wrapText="1"/>
    </xf>
    <xf numFmtId="0" fontId="26" fillId="10" borderId="0" xfId="1" applyFill="1" applyAlignment="1">
      <alignment wrapText="1"/>
    </xf>
    <xf numFmtId="0" fontId="2" fillId="10" borderId="7" xfId="0" applyFont="1" applyFill="1" applyBorder="1" applyAlignment="1">
      <alignment wrapText="1"/>
    </xf>
    <xf numFmtId="0" fontId="4" fillId="8" borderId="9" xfId="0" applyFont="1" applyFill="1" applyBorder="1" applyAlignment="1">
      <alignment wrapText="1"/>
    </xf>
    <xf numFmtId="0" fontId="4" fillId="0" borderId="7" xfId="0" applyFont="1" applyBorder="1" applyAlignment="1">
      <alignment wrapText="1"/>
    </xf>
    <xf numFmtId="0" fontId="4" fillId="0" borderId="10" xfId="0" applyFont="1" applyBorder="1" applyAlignment="1">
      <alignment wrapText="1"/>
    </xf>
    <xf numFmtId="0" fontId="5" fillId="0" borderId="0" xfId="0" applyFont="1" applyAlignment="1">
      <alignment wrapText="1"/>
    </xf>
    <xf numFmtId="164" fontId="4" fillId="0" borderId="0" xfId="0" applyNumberFormat="1" applyFont="1" applyAlignment="1">
      <alignment wrapText="1"/>
    </xf>
    <xf numFmtId="0" fontId="4" fillId="8" borderId="1" xfId="0" applyFont="1" applyFill="1" applyBorder="1" applyAlignment="1">
      <alignment wrapText="1"/>
    </xf>
    <xf numFmtId="0" fontId="4" fillId="0" borderId="11" xfId="0" applyFont="1" applyBorder="1" applyAlignment="1">
      <alignment wrapText="1"/>
    </xf>
    <xf numFmtId="0" fontId="6" fillId="0" borderId="0" xfId="0" applyFont="1" applyAlignment="1">
      <alignment wrapText="1"/>
    </xf>
    <xf numFmtId="165" fontId="2" fillId="0" borderId="16" xfId="0" applyNumberFormat="1" applyFont="1" applyBorder="1"/>
    <xf numFmtId="2" fontId="2" fillId="0" borderId="1" xfId="0" applyNumberFormat="1" applyFont="1" applyBorder="1"/>
    <xf numFmtId="2" fontId="2" fillId="0" borderId="17" xfId="0" applyNumberFormat="1" applyFont="1" applyBorder="1"/>
    <xf numFmtId="1" fontId="2" fillId="0" borderId="1" xfId="0" applyNumberFormat="1" applyFont="1" applyBorder="1"/>
    <xf numFmtId="0" fontId="2" fillId="0" borderId="16" xfId="0" applyFont="1" applyBorder="1"/>
    <xf numFmtId="0" fontId="2" fillId="0" borderId="1" xfId="0" applyFont="1" applyBorder="1"/>
    <xf numFmtId="164" fontId="2" fillId="0" borderId="17" xfId="0" applyNumberFormat="1" applyFont="1" applyBorder="1"/>
    <xf numFmtId="170" fontId="2" fillId="0" borderId="16" xfId="0" applyNumberFormat="1" applyFont="1" applyBorder="1"/>
    <xf numFmtId="171" fontId="2" fillId="0" borderId="17" xfId="0" applyNumberFormat="1" applyFont="1" applyBorder="1"/>
    <xf numFmtId="170" fontId="2" fillId="0" borderId="0" xfId="0" applyNumberFormat="1" applyFont="1"/>
    <xf numFmtId="0" fontId="4" fillId="23" borderId="0" xfId="0" applyFont="1" applyFill="1"/>
    <xf numFmtId="0" fontId="4" fillId="11" borderId="0" xfId="0" applyFont="1" applyFill="1"/>
    <xf numFmtId="0" fontId="7" fillId="0" borderId="0" xfId="0" applyFont="1" applyAlignment="1">
      <alignment wrapText="1"/>
    </xf>
    <xf numFmtId="0" fontId="0" fillId="0" borderId="5" xfId="0" applyBorder="1" applyAlignment="1">
      <alignment vertical="top"/>
    </xf>
    <xf numFmtId="0" fontId="0" fillId="0" borderId="5" xfId="0" applyBorder="1"/>
    <xf numFmtId="0" fontId="0" fillId="18" borderId="0" xfId="0" applyFill="1" applyAlignment="1">
      <alignment vertical="top"/>
    </xf>
    <xf numFmtId="0" fontId="0" fillId="0" borderId="0" xfId="0" applyAlignment="1">
      <alignment vertical="top"/>
    </xf>
    <xf numFmtId="0" fontId="20" fillId="0" borderId="0" xfId="0" applyFont="1" applyAlignment="1">
      <alignment vertical="top"/>
    </xf>
    <xf numFmtId="170" fontId="20" fillId="0" borderId="0" xfId="0" applyNumberFormat="1" applyFont="1" applyAlignment="1">
      <alignment horizontal="center" vertical="top"/>
    </xf>
    <xf numFmtId="170" fontId="20" fillId="0" borderId="0" xfId="0" applyNumberFormat="1" applyFont="1" applyAlignment="1">
      <alignment vertical="top"/>
    </xf>
    <xf numFmtId="170" fontId="42" fillId="0" borderId="0" xfId="0" applyNumberFormat="1" applyFont="1" applyAlignment="1">
      <alignment horizontal="center" vertical="top"/>
    </xf>
    <xf numFmtId="0" fontId="0" fillId="0" borderId="0" xfId="0" applyAlignment="1">
      <alignment vertical="top" wrapText="1"/>
    </xf>
    <xf numFmtId="170" fontId="0" fillId="0" borderId="0" xfId="0" applyNumberFormat="1" applyAlignment="1">
      <alignment horizontal="center" vertical="top" wrapText="1"/>
    </xf>
    <xf numFmtId="170" fontId="0" fillId="2" borderId="0" xfId="0" applyNumberFormat="1" applyFill="1" applyAlignment="1">
      <alignment vertical="top" wrapText="1"/>
    </xf>
    <xf numFmtId="0" fontId="0" fillId="2" borderId="0" xfId="0" applyFill="1" applyAlignment="1">
      <alignment vertical="top" wrapText="1"/>
    </xf>
    <xf numFmtId="0" fontId="0" fillId="6" borderId="0" xfId="0" applyFill="1"/>
    <xf numFmtId="0" fontId="0" fillId="0" borderId="0" xfId="0" applyAlignment="1">
      <alignment horizontal="right" vertical="top"/>
    </xf>
    <xf numFmtId="0" fontId="0" fillId="0" borderId="0" xfId="0" applyAlignment="1">
      <alignment horizontal="center" vertical="top"/>
    </xf>
    <xf numFmtId="1" fontId="0" fillId="0" borderId="0" xfId="0" applyNumberFormat="1" applyAlignment="1">
      <alignment horizontal="center" vertical="top"/>
    </xf>
    <xf numFmtId="1" fontId="0" fillId="6" borderId="0" xfId="0" applyNumberFormat="1" applyFill="1" applyAlignment="1">
      <alignment horizontal="center" vertical="top"/>
    </xf>
    <xf numFmtId="170" fontId="0" fillId="0" borderId="0" xfId="0" applyNumberFormat="1" applyAlignment="1">
      <alignment vertical="top"/>
    </xf>
    <xf numFmtId="1" fontId="0" fillId="0" borderId="0" xfId="0" applyNumberFormat="1" applyAlignment="1">
      <alignment horizontal="center" vertical="top" wrapText="1"/>
    </xf>
    <xf numFmtId="170" fontId="0" fillId="0" borderId="0" xfId="0" applyNumberFormat="1" applyAlignment="1">
      <alignment vertical="top" wrapText="1"/>
    </xf>
    <xf numFmtId="0" fontId="0" fillId="0" borderId="0" xfId="0" applyAlignment="1">
      <alignment horizontal="left" vertical="top"/>
    </xf>
    <xf numFmtId="170" fontId="0" fillId="2" borderId="0" xfId="0" applyNumberFormat="1" applyFill="1" applyAlignment="1">
      <alignment horizontal="center" vertical="top"/>
    </xf>
    <xf numFmtId="170" fontId="0" fillId="2" borderId="0" xfId="0" applyNumberFormat="1" applyFill="1" applyAlignment="1">
      <alignment horizontal="center" vertical="top" wrapText="1"/>
    </xf>
    <xf numFmtId="170" fontId="0" fillId="0" borderId="0" xfId="0" applyNumberFormat="1" applyAlignment="1">
      <alignment horizontal="center" vertical="top"/>
    </xf>
    <xf numFmtId="0" fontId="0" fillId="0" borderId="1" xfId="0" applyBorder="1" applyAlignment="1">
      <alignment vertical="top"/>
    </xf>
    <xf numFmtId="1" fontId="0" fillId="0" borderId="1" xfId="0" applyNumberFormat="1" applyBorder="1" applyAlignment="1">
      <alignment horizontal="center" vertical="top"/>
    </xf>
    <xf numFmtId="170" fontId="2" fillId="0" borderId="1" xfId="0" applyNumberFormat="1" applyFont="1" applyBorder="1" applyAlignment="1">
      <alignment horizontal="center" vertical="top"/>
    </xf>
    <xf numFmtId="0" fontId="0" fillId="0" borderId="1" xfId="0" applyBorder="1" applyAlignment="1">
      <alignment vertical="top" wrapText="1"/>
    </xf>
    <xf numFmtId="170" fontId="3" fillId="0" borderId="0" xfId="0" applyNumberFormat="1" applyFont="1" applyAlignment="1">
      <alignment horizontal="right" vertical="top"/>
    </xf>
    <xf numFmtId="170" fontId="3" fillId="0" borderId="0" xfId="0" applyNumberFormat="1" applyFont="1" applyAlignment="1">
      <alignment horizontal="center" vertical="top"/>
    </xf>
    <xf numFmtId="170" fontId="0" fillId="0" borderId="0" xfId="0" applyNumberFormat="1" applyAlignment="1">
      <alignment horizontal="right" vertical="top"/>
    </xf>
    <xf numFmtId="0" fontId="0" fillId="2" borderId="0" xfId="0" applyFill="1" applyAlignment="1">
      <alignment horizontal="center" vertical="top"/>
    </xf>
    <xf numFmtId="1" fontId="0" fillId="2" borderId="0" xfId="0" applyNumberFormat="1" applyFill="1" applyAlignment="1">
      <alignment horizontal="center" vertical="top" wrapText="1"/>
    </xf>
    <xf numFmtId="1" fontId="20" fillId="0" borderId="0" xfId="0" applyNumberFormat="1" applyFont="1" applyAlignment="1">
      <alignment horizontal="left" vertical="top"/>
    </xf>
    <xf numFmtId="1" fontId="20" fillId="0" borderId="0" xfId="0" applyNumberFormat="1" applyFont="1" applyAlignment="1">
      <alignment horizontal="center" vertical="top"/>
    </xf>
    <xf numFmtId="1" fontId="23" fillId="0" borderId="0" xfId="0" applyNumberFormat="1" applyFont="1" applyAlignment="1">
      <alignment horizontal="left" vertical="top" wrapText="1"/>
    </xf>
    <xf numFmtId="0" fontId="41" fillId="0" borderId="0" xfId="0" applyFont="1" applyAlignment="1">
      <alignment horizontal="center"/>
    </xf>
    <xf numFmtId="2" fontId="0" fillId="0" borderId="0" xfId="0" applyNumberFormat="1" applyAlignment="1">
      <alignment horizontal="center" vertical="top" wrapText="1"/>
    </xf>
    <xf numFmtId="2" fontId="3" fillId="0" borderId="0" xfId="0" applyNumberFormat="1" applyFont="1" applyAlignment="1">
      <alignment horizontal="center"/>
    </xf>
    <xf numFmtId="2" fontId="0" fillId="0" borderId="0" xfId="0" applyNumberFormat="1" applyAlignment="1">
      <alignment horizontal="center"/>
    </xf>
    <xf numFmtId="170" fontId="2" fillId="0" borderId="0" xfId="0" applyNumberFormat="1" applyFont="1" applyAlignment="1">
      <alignment horizontal="center"/>
    </xf>
    <xf numFmtId="0" fontId="0" fillId="0" borderId="0" xfId="0" applyAlignment="1">
      <alignment horizontal="center"/>
    </xf>
    <xf numFmtId="2" fontId="41" fillId="0" borderId="0" xfId="0" applyNumberFormat="1" applyFont="1" applyAlignment="1">
      <alignment horizontal="center"/>
    </xf>
    <xf numFmtId="2" fontId="0" fillId="0" borderId="1" xfId="0" applyNumberFormat="1" applyBorder="1" applyAlignment="1">
      <alignment horizontal="center"/>
    </xf>
    <xf numFmtId="170" fontId="2" fillId="0" borderId="1" xfId="0" applyNumberFormat="1" applyFont="1" applyBorder="1" applyAlignment="1">
      <alignment horizontal="center"/>
    </xf>
    <xf numFmtId="170" fontId="0" fillId="6" borderId="0" xfId="0" applyNumberFormat="1" applyFill="1" applyAlignment="1">
      <alignment horizontal="center" vertical="top"/>
    </xf>
    <xf numFmtId="0" fontId="20" fillId="0" borderId="0" xfId="0" applyFont="1" applyAlignment="1">
      <alignment horizontal="right" vertical="top"/>
    </xf>
    <xf numFmtId="170" fontId="2" fillId="0" borderId="1" xfId="0" applyNumberFormat="1" applyFont="1" applyBorder="1" applyAlignment="1">
      <alignment vertical="top"/>
    </xf>
    <xf numFmtId="0" fontId="0" fillId="0" borderId="1" xfId="0" applyBorder="1" applyAlignment="1">
      <alignment horizontal="right" vertical="top"/>
    </xf>
    <xf numFmtId="0" fontId="0" fillId="0" borderId="0" xfId="0" applyAlignment="1">
      <alignment horizontal="right"/>
    </xf>
    <xf numFmtId="0" fontId="0" fillId="2" borderId="0" xfId="0" applyFill="1" applyAlignment="1">
      <alignment vertical="top"/>
    </xf>
    <xf numFmtId="170" fontId="20" fillId="0" borderId="0" xfId="0" applyNumberFormat="1" applyFont="1" applyAlignment="1">
      <alignment horizontal="left" vertical="top"/>
    </xf>
    <xf numFmtId="0" fontId="20" fillId="2" borderId="0" xfId="0" applyFont="1" applyFill="1" applyAlignment="1">
      <alignment vertical="top"/>
    </xf>
    <xf numFmtId="170" fontId="2" fillId="0" borderId="0" xfId="0" applyNumberFormat="1" applyFont="1" applyAlignment="1">
      <alignment vertical="top"/>
    </xf>
    <xf numFmtId="0" fontId="27" fillId="0" borderId="0" xfId="0" applyFont="1" applyAlignment="1">
      <alignment vertical="top"/>
    </xf>
    <xf numFmtId="170" fontId="3" fillId="2" borderId="0" xfId="0" applyNumberFormat="1" applyFont="1" applyFill="1" applyAlignment="1">
      <alignment horizontal="center" vertical="top"/>
    </xf>
    <xf numFmtId="170" fontId="3" fillId="2" borderId="0" xfId="0" applyNumberFormat="1" applyFont="1" applyFill="1" applyAlignment="1">
      <alignment horizontal="center" vertical="top" wrapText="1"/>
    </xf>
    <xf numFmtId="170" fontId="3" fillId="0" borderId="1" xfId="0" applyNumberFormat="1" applyFont="1" applyBorder="1" applyAlignment="1">
      <alignment vertical="top"/>
    </xf>
    <xf numFmtId="170" fontId="3" fillId="0" borderId="0" xfId="0" applyNumberFormat="1" applyFont="1" applyAlignment="1">
      <alignment vertical="top"/>
    </xf>
    <xf numFmtId="0" fontId="0" fillId="18" borderId="1" xfId="0" applyFill="1" applyBorder="1" applyAlignment="1">
      <alignment vertical="top"/>
    </xf>
    <xf numFmtId="1" fontId="20" fillId="0" borderId="1" xfId="0" applyNumberFormat="1" applyFont="1" applyBorder="1" applyAlignment="1">
      <alignment horizontal="left" vertical="top"/>
    </xf>
    <xf numFmtId="170" fontId="0" fillId="0" borderId="1" xfId="0" applyNumberFormat="1" applyBorder="1" applyAlignment="1">
      <alignment vertical="top"/>
    </xf>
    <xf numFmtId="0" fontId="0" fillId="18" borderId="0" xfId="0" applyFill="1" applyAlignment="1">
      <alignment vertical="top" wrapText="1"/>
    </xf>
    <xf numFmtId="0" fontId="27" fillId="2" borderId="0" xfId="0" applyFont="1" applyFill="1" applyAlignment="1">
      <alignment horizontal="center" vertical="top"/>
    </xf>
    <xf numFmtId="1" fontId="0" fillId="2" borderId="0" xfId="0" applyNumberFormat="1" applyFill="1" applyAlignment="1">
      <alignment horizontal="center" vertical="top"/>
    </xf>
    <xf numFmtId="0" fontId="27" fillId="0" borderId="0" xfId="0" applyFont="1" applyAlignment="1">
      <alignment horizontal="center" vertical="top"/>
    </xf>
    <xf numFmtId="170" fontId="0" fillId="6" borderId="0" xfId="0" applyNumberFormat="1" applyFill="1" applyAlignment="1">
      <alignment vertical="top"/>
    </xf>
    <xf numFmtId="170" fontId="0" fillId="6" borderId="0" xfId="0" applyNumberFormat="1" applyFill="1" applyAlignment="1">
      <alignment horizontal="center" vertical="top" wrapText="1"/>
    </xf>
    <xf numFmtId="170" fontId="20" fillId="6" borderId="0" xfId="0" applyNumberFormat="1" applyFont="1" applyFill="1" applyAlignment="1">
      <alignment vertical="top"/>
    </xf>
    <xf numFmtId="0" fontId="0" fillId="6" borderId="0" xfId="0" applyFill="1" applyAlignment="1">
      <alignment vertical="top"/>
    </xf>
    <xf numFmtId="0" fontId="0" fillId="0" borderId="1" xfId="0" applyBorder="1" applyAlignment="1">
      <alignment horizontal="center" vertical="top"/>
    </xf>
    <xf numFmtId="0" fontId="20" fillId="0" borderId="5" xfId="0" applyFont="1" applyBorder="1"/>
    <xf numFmtId="0" fontId="20" fillId="0" borderId="6" xfId="0" applyFont="1" applyBorder="1"/>
    <xf numFmtId="0" fontId="20" fillId="0" borderId="1" xfId="0" applyFont="1" applyBorder="1"/>
    <xf numFmtId="0" fontId="16" fillId="0" borderId="0" xfId="0" applyFont="1" applyAlignment="1">
      <alignment vertical="top"/>
    </xf>
    <xf numFmtId="0" fontId="20" fillId="0" borderId="0" xfId="0" applyFont="1" applyAlignment="1">
      <alignment horizontal="center" vertical="top"/>
    </xf>
    <xf numFmtId="1" fontId="0" fillId="0" borderId="0" xfId="0" applyNumberFormat="1" applyAlignment="1">
      <alignment horizontal="left" vertical="top"/>
    </xf>
    <xf numFmtId="0" fontId="0" fillId="0" borderId="0" xfId="0" applyAlignment="1">
      <alignment horizontal="left" vertical="top" wrapText="1"/>
    </xf>
    <xf numFmtId="2" fontId="4" fillId="0" borderId="0" xfId="0" applyNumberFormat="1" applyFont="1" applyAlignment="1">
      <alignment horizontal="center"/>
    </xf>
    <xf numFmtId="0" fontId="3" fillId="0" borderId="0" xfId="0" applyFont="1" applyAlignment="1">
      <alignment horizontal="center" vertical="center"/>
    </xf>
    <xf numFmtId="0" fontId="0" fillId="18" borderId="5" xfId="0" applyFill="1" applyBorder="1" applyAlignment="1">
      <alignment vertical="top"/>
    </xf>
    <xf numFmtId="0" fontId="0" fillId="6" borderId="5" xfId="0" applyFill="1" applyBorder="1"/>
    <xf numFmtId="0" fontId="0" fillId="0" borderId="5" xfId="0" applyBorder="1" applyAlignment="1">
      <alignment horizontal="right"/>
    </xf>
    <xf numFmtId="0" fontId="0" fillId="6" borderId="0" xfId="0" applyFill="1" applyAlignment="1">
      <alignment horizontal="center" vertical="top"/>
    </xf>
    <xf numFmtId="0" fontId="0" fillId="0" borderId="0" xfId="0" applyAlignment="1">
      <alignment horizontal="center" vertical="top" wrapText="1"/>
    </xf>
    <xf numFmtId="170" fontId="0" fillId="0" borderId="1" xfId="0" applyNumberFormat="1" applyBorder="1" applyAlignment="1">
      <alignment vertical="top" wrapText="1"/>
    </xf>
    <xf numFmtId="0" fontId="0" fillId="0" borderId="0" xfId="0" applyAlignment="1">
      <alignment horizontal="center" wrapText="1"/>
    </xf>
    <xf numFmtId="170" fontId="2" fillId="0" borderId="0" xfId="0" applyNumberFormat="1" applyFont="1" applyAlignment="1">
      <alignment horizontal="center" vertical="top"/>
    </xf>
    <xf numFmtId="16" fontId="0" fillId="0" borderId="0" xfId="0" applyNumberFormat="1" applyAlignment="1">
      <alignment horizontal="center" vertical="top"/>
    </xf>
    <xf numFmtId="170" fontId="0" fillId="0" borderId="1" xfId="0" applyNumberFormat="1" applyBorder="1" applyAlignment="1">
      <alignment horizontal="center" vertical="top"/>
    </xf>
    <xf numFmtId="0" fontId="20" fillId="0" borderId="6" xfId="0" applyFont="1" applyBorder="1" applyAlignment="1">
      <alignment vertical="top"/>
    </xf>
    <xf numFmtId="1" fontId="20" fillId="0" borderId="6" xfId="0" applyNumberFormat="1" applyFont="1" applyBorder="1" applyAlignment="1">
      <alignment horizontal="left"/>
    </xf>
    <xf numFmtId="1" fontId="20" fillId="0" borderId="6" xfId="0" applyNumberFormat="1" applyFont="1" applyBorder="1" applyAlignment="1">
      <alignment horizontal="center" vertical="top"/>
    </xf>
    <xf numFmtId="170" fontId="20" fillId="0" borderId="6" xfId="0" applyNumberFormat="1" applyFont="1" applyBorder="1" applyAlignment="1">
      <alignment horizontal="center" vertical="top"/>
    </xf>
    <xf numFmtId="170" fontId="42" fillId="0" borderId="6" xfId="0" applyNumberFormat="1" applyFont="1" applyBorder="1" applyAlignment="1">
      <alignment horizontal="center" vertical="top"/>
    </xf>
    <xf numFmtId="170" fontId="20" fillId="0" borderId="6" xfId="0" applyNumberFormat="1" applyFont="1" applyBorder="1" applyAlignment="1">
      <alignment vertical="top" wrapText="1"/>
    </xf>
    <xf numFmtId="170" fontId="3" fillId="0" borderId="0" xfId="0" applyNumberFormat="1" applyFont="1" applyAlignment="1">
      <alignment horizontal="left" vertical="top"/>
    </xf>
    <xf numFmtId="0" fontId="3" fillId="0" borderId="0" xfId="0" applyFont="1" applyAlignment="1">
      <alignment vertical="top"/>
    </xf>
    <xf numFmtId="1" fontId="20" fillId="0" borderId="0" xfId="0" applyNumberFormat="1" applyFont="1" applyAlignment="1">
      <alignment vertical="top"/>
    </xf>
    <xf numFmtId="0" fontId="0" fillId="2" borderId="0" xfId="0" applyFill="1" applyAlignment="1">
      <alignment horizontal="center" vertical="top" wrapText="1"/>
    </xf>
    <xf numFmtId="0" fontId="43" fillId="0" borderId="0" xfId="0" applyFont="1"/>
    <xf numFmtId="0" fontId="20" fillId="0" borderId="1" xfId="0" applyFont="1" applyBorder="1" applyAlignment="1">
      <alignment vertical="top"/>
    </xf>
    <xf numFmtId="0" fontId="3" fillId="28" borderId="6" xfId="0" applyFont="1" applyFill="1" applyBorder="1" applyAlignment="1">
      <alignment horizontal="center" vertical="center"/>
    </xf>
    <xf numFmtId="0" fontId="43" fillId="28" borderId="6" xfId="0" applyFont="1" applyFill="1" applyBorder="1" applyAlignment="1">
      <alignment horizontal="center" vertical="center"/>
    </xf>
    <xf numFmtId="2" fontId="43" fillId="0" borderId="0" xfId="0" applyNumberFormat="1" applyFont="1" applyAlignment="1">
      <alignment horizontal="center"/>
    </xf>
    <xf numFmtId="2" fontId="0" fillId="0" borderId="0" xfId="0" applyNumberFormat="1" applyAlignment="1">
      <alignment vertical="top"/>
    </xf>
    <xf numFmtId="164" fontId="0" fillId="0" borderId="0" xfId="0" applyNumberFormat="1" applyAlignment="1">
      <alignment horizontal="center"/>
    </xf>
    <xf numFmtId="164" fontId="2" fillId="0" borderId="1" xfId="0" applyNumberFormat="1" applyFont="1" applyBorder="1" applyAlignment="1">
      <alignment horizontal="center"/>
    </xf>
    <xf numFmtId="0" fontId="3" fillId="2" borderId="0" xfId="0" applyFont="1" applyFill="1" applyAlignment="1">
      <alignment horizontal="center" vertical="top" wrapText="1"/>
    </xf>
    <xf numFmtId="170" fontId="0" fillId="0" borderId="0" xfId="0" applyNumberFormat="1" applyAlignment="1">
      <alignment horizontal="left" vertical="top"/>
    </xf>
    <xf numFmtId="2" fontId="0" fillId="2" borderId="0" xfId="0" applyNumberFormat="1" applyFill="1" applyAlignment="1">
      <alignment horizontal="center" vertical="top" wrapText="1"/>
    </xf>
    <xf numFmtId="0" fontId="0" fillId="2" borderId="0" xfId="0" applyFill="1" applyAlignment="1">
      <alignment horizontal="left" vertical="top" wrapText="1"/>
    </xf>
    <xf numFmtId="0" fontId="3" fillId="0" borderId="0" xfId="0" applyFont="1" applyAlignment="1">
      <alignment horizontal="center" vertical="top"/>
    </xf>
    <xf numFmtId="170" fontId="0" fillId="6" borderId="0" xfId="0" applyNumberFormat="1" applyFill="1" applyAlignment="1">
      <alignment horizontal="center"/>
    </xf>
    <xf numFmtId="1" fontId="0" fillId="6" borderId="0" xfId="0" applyNumberFormat="1" applyFill="1" applyAlignment="1">
      <alignment horizontal="center"/>
    </xf>
    <xf numFmtId="2" fontId="0" fillId="2" borderId="0" xfId="0" applyNumberFormat="1" applyFill="1" applyAlignment="1">
      <alignment horizontal="center" vertical="top"/>
    </xf>
    <xf numFmtId="2" fontId="0" fillId="14" borderId="0" xfId="0" applyNumberFormat="1" applyFill="1" applyAlignment="1">
      <alignment horizontal="center" vertical="top"/>
    </xf>
    <xf numFmtId="2" fontId="0" fillId="14" borderId="0" xfId="0" applyNumberFormat="1" applyFill="1" applyAlignment="1">
      <alignment horizontal="right" vertical="top"/>
    </xf>
    <xf numFmtId="2" fontId="0" fillId="14" borderId="0" xfId="0" applyNumberFormat="1" applyFill="1" applyAlignment="1">
      <alignment horizontal="left" vertical="top"/>
    </xf>
    <xf numFmtId="2" fontId="0" fillId="14" borderId="0" xfId="0" applyNumberFormat="1" applyFill="1" applyAlignment="1">
      <alignment vertical="top"/>
    </xf>
    <xf numFmtId="1" fontId="23" fillId="2" borderId="0" xfId="0" applyNumberFormat="1" applyFont="1" applyFill="1" applyAlignment="1">
      <alignment horizontal="center" vertical="top" wrapText="1"/>
    </xf>
    <xf numFmtId="170" fontId="0" fillId="0" borderId="0" xfId="0" applyNumberFormat="1" applyAlignment="1">
      <alignment horizontal="left"/>
    </xf>
    <xf numFmtId="1" fontId="0" fillId="0" borderId="0" xfId="0" applyNumberFormat="1" applyAlignment="1">
      <alignment horizontal="left"/>
    </xf>
    <xf numFmtId="170" fontId="0" fillId="0" borderId="0" xfId="0" applyNumberFormat="1" applyAlignment="1">
      <alignment wrapText="1"/>
    </xf>
    <xf numFmtId="2" fontId="0" fillId="0" borderId="0" xfId="0" applyNumberFormat="1" applyAlignment="1">
      <alignment vertical="top" wrapText="1"/>
    </xf>
    <xf numFmtId="0" fontId="0" fillId="18" borderId="0" xfId="0" applyFill="1"/>
    <xf numFmtId="164" fontId="20" fillId="0" borderId="0" xfId="0" applyNumberFormat="1" applyFont="1" applyAlignment="1">
      <alignment horizontal="center" vertical="top"/>
    </xf>
    <xf numFmtId="2" fontId="0" fillId="0" borderId="14" xfId="0" applyNumberFormat="1" applyBorder="1" applyAlignment="1">
      <alignment horizontal="center"/>
    </xf>
    <xf numFmtId="170" fontId="27" fillId="0" borderId="0" xfId="0" applyNumberFormat="1" applyFont="1" applyAlignment="1">
      <alignment vertical="top"/>
    </xf>
    <xf numFmtId="170" fontId="44" fillId="0" borderId="0" xfId="0" applyNumberFormat="1" applyFont="1" applyAlignment="1">
      <alignment horizontal="center" vertical="top"/>
    </xf>
    <xf numFmtId="17" fontId="0" fillId="0" borderId="0" xfId="0" applyNumberFormat="1" applyAlignment="1">
      <alignment vertical="top"/>
    </xf>
    <xf numFmtId="164" fontId="0" fillId="0" borderId="1" xfId="0" applyNumberFormat="1" applyBorder="1" applyAlignment="1">
      <alignment horizontal="center" vertical="top"/>
    </xf>
    <xf numFmtId="2" fontId="2" fillId="0" borderId="1" xfId="0" applyNumberFormat="1" applyFont="1" applyBorder="1" applyAlignment="1">
      <alignment vertical="top"/>
    </xf>
    <xf numFmtId="2" fontId="2" fillId="0" borderId="0" xfId="0" applyNumberFormat="1" applyFont="1" applyAlignment="1">
      <alignment vertical="top"/>
    </xf>
    <xf numFmtId="164" fontId="20" fillId="0" borderId="0" xfId="0" applyNumberFormat="1" applyFont="1" applyAlignment="1">
      <alignment horizontal="left" vertical="top"/>
    </xf>
    <xf numFmtId="0" fontId="22" fillId="0" borderId="0" xfId="0" applyFont="1" applyAlignment="1">
      <alignment vertical="top"/>
    </xf>
    <xf numFmtId="170" fontId="45" fillId="0" borderId="0" xfId="0" applyNumberFormat="1" applyFont="1" applyAlignment="1">
      <alignment horizontal="center" vertical="top"/>
    </xf>
    <xf numFmtId="2" fontId="42" fillId="0" borderId="0" xfId="0" applyNumberFormat="1" applyFont="1" applyAlignment="1">
      <alignment vertical="top"/>
    </xf>
    <xf numFmtId="0" fontId="20" fillId="18" borderId="0" xfId="0" applyFont="1" applyFill="1" applyAlignment="1">
      <alignment vertical="top"/>
    </xf>
    <xf numFmtId="0" fontId="0" fillId="0" borderId="5" xfId="0" applyBorder="1" applyAlignment="1">
      <alignment horizontal="right" vertical="top"/>
    </xf>
    <xf numFmtId="0" fontId="0" fillId="6" borderId="0" xfId="0" applyFill="1" applyAlignment="1">
      <alignment horizontal="center"/>
    </xf>
    <xf numFmtId="0" fontId="0" fillId="8" borderId="0" xfId="0" applyFill="1"/>
    <xf numFmtId="0" fontId="20" fillId="0" borderId="5" xfId="0" applyFont="1" applyBorder="1" applyAlignment="1">
      <alignment vertical="top"/>
    </xf>
    <xf numFmtId="0" fontId="0" fillId="6" borderId="5" xfId="0" applyFill="1" applyBorder="1" applyAlignment="1">
      <alignment horizontal="center"/>
    </xf>
    <xf numFmtId="170" fontId="31" fillId="0" borderId="0" xfId="0" applyNumberFormat="1" applyFont="1"/>
    <xf numFmtId="170" fontId="14" fillId="0" borderId="0" xfId="0" applyNumberFormat="1" applyFont="1"/>
    <xf numFmtId="0" fontId="2" fillId="0" borderId="1" xfId="0" applyFont="1" applyBorder="1" applyAlignment="1">
      <alignment vertical="top"/>
    </xf>
    <xf numFmtId="0" fontId="46" fillId="0" borderId="0" xfId="0" applyFont="1"/>
    <xf numFmtId="11" fontId="36" fillId="0" borderId="0" xfId="0" applyNumberFormat="1" applyFont="1"/>
    <xf numFmtId="2" fontId="0" fillId="2" borderId="14" xfId="0" applyNumberFormat="1" applyFill="1" applyBorder="1"/>
    <xf numFmtId="171" fontId="0" fillId="2" borderId="0" xfId="0" applyNumberFormat="1" applyFill="1"/>
    <xf numFmtId="0" fontId="0" fillId="25" borderId="26" xfId="0" applyFill="1" applyBorder="1" applyAlignment="1">
      <alignment vertical="top" wrapText="1"/>
    </xf>
    <xf numFmtId="0" fontId="0" fillId="0" borderId="5" xfId="0" applyBorder="1" applyAlignment="1">
      <alignment vertical="top"/>
    </xf>
    <xf numFmtId="0" fontId="0" fillId="21" borderId="5" xfId="0" applyFill="1" applyBorder="1" applyAlignment="1">
      <alignment horizontal="left" vertical="top" wrapText="1"/>
    </xf>
    <xf numFmtId="0" fontId="0" fillId="0" borderId="5" xfId="0" applyBorder="1"/>
    <xf numFmtId="0" fontId="0" fillId="22" borderId="5" xfId="0" applyFill="1" applyBorder="1" applyAlignment="1">
      <alignment vertical="top" wrapText="1"/>
    </xf>
    <xf numFmtId="0" fontId="0" fillId="0" borderId="5" xfId="0" applyBorder="1" applyAlignment="1">
      <alignment vertical="top" wrapText="1"/>
    </xf>
    <xf numFmtId="0" fontId="0" fillId="26" borderId="5" xfId="0" applyFill="1" applyBorder="1" applyAlignment="1">
      <alignment horizontal="left" vertical="top" wrapText="1"/>
    </xf>
    <xf numFmtId="0" fontId="0" fillId="0" borderId="5" xfId="0" applyBorder="1" applyAlignment="1">
      <alignment horizontal="left" vertical="top" wrapText="1"/>
    </xf>
    <xf numFmtId="0" fontId="0" fillId="0" borderId="27" xfId="0" applyBorder="1" applyAlignment="1">
      <alignment horizontal="left" vertical="top" wrapText="1"/>
    </xf>
    <xf numFmtId="0" fontId="0" fillId="0" borderId="0" xfId="0" applyAlignment="1">
      <alignment horizontal="left"/>
    </xf>
    <xf numFmtId="0" fontId="0" fillId="2" borderId="0" xfId="0" applyFill="1" applyAlignment="1">
      <alignment horizontal="center" vertical="top"/>
    </xf>
    <xf numFmtId="0" fontId="0" fillId="0" borderId="0" xfId="0" applyAlignment="1">
      <alignment horizontal="left" vertical="top" wrapText="1"/>
    </xf>
    <xf numFmtId="0" fontId="0" fillId="0" borderId="0" xfId="0" applyAlignment="1">
      <alignment horizontal="left" wrapText="1"/>
    </xf>
    <xf numFmtId="0" fontId="0" fillId="2" borderId="14" xfId="0" applyFill="1" applyBorder="1" applyAlignment="1">
      <alignment horizontal="center" vertical="top"/>
    </xf>
    <xf numFmtId="0" fontId="0" fillId="2" borderId="15" xfId="0" applyFill="1" applyBorder="1" applyAlignment="1">
      <alignment horizontal="center" vertical="top"/>
    </xf>
    <xf numFmtId="170" fontId="0" fillId="0" borderId="0" xfId="0" applyNumberFormat="1" applyFill="1"/>
    <xf numFmtId="1" fontId="3" fillId="0" borderId="0" xfId="0" applyNumberFormat="1" applyFont="1" applyFill="1"/>
    <xf numFmtId="172" fontId="3" fillId="0" borderId="0" xfId="0" applyNumberFormat="1" applyFont="1"/>
  </cellXfs>
  <cellStyles count="2">
    <cellStyle name="Hyperlink" xfId="1" xr:uid="{00000000-000B-0000-0000-000008000000}"/>
    <cellStyle name="Normal" xfId="0" builtinId="0"/>
  </cellStyles>
  <dxfs count="0"/>
  <tableStyles count="0" defaultTableStyle="TableStyleMedium2" defaultPivotStyle="PivotStyleLight16"/>
  <colors>
    <mruColors>
      <color rgb="FFFFCCFF"/>
      <color rgb="FFFA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DK!$E$7:$E$16</c:f>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c:ext xmlns:c16="http://schemas.microsoft.com/office/drawing/2014/chart" uri="{C3380CC4-5D6E-409C-BE32-E72D297353CC}">
              <c16:uniqueId val="{00000000-C8E3-4A50-9453-4F9A1CA27BA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DK!$B$6</c:f>
              <c:strCache>
                <c:ptCount val="1"/>
                <c:pt idx="0">
                  <c:v>Total</c:v>
                </c:pt>
              </c:strCache>
            </c:strRef>
          </c:tx>
          <c:spPr>
            <a:solidFill>
              <a:schemeClr val="bg2">
                <a:lumMod val="5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DK!$B$7:$B$16</c:f>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9BDC-4952-9E72-06221A51086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DK!$H$6</c:f>
              <c:strCache>
                <c:ptCount val="1"/>
                <c:pt idx="0">
                  <c:v>Total</c:v>
                </c:pt>
              </c:strCache>
            </c:strRef>
          </c:tx>
          <c:spPr>
            <a:solidFill>
              <a:schemeClr val="accent4">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DK!$H$7:$H$16</c:f>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c:ext xmlns:c16="http://schemas.microsoft.com/office/drawing/2014/chart" uri="{C3380CC4-5D6E-409C-BE32-E72D297353CC}">
              <c16:uniqueId val="{00000006-B20A-4F36-B34D-0041F7C4BCE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B20A-4F36-B34D-0041F7C4BCE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1-B20A-4F36-B34D-0041F7C4BCE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2-B20A-4F36-B34D-0041F7C4BCE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3-B20A-4F36-B34D-0041F7C4BCE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4-B20A-4F36-B34D-0041F7C4BCE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5-B20A-4F36-B34D-0041F7C4BCE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DK!$K$6</c:f>
              <c:strCache>
                <c:ptCount val="1"/>
                <c:pt idx="0">
                  <c:v>Total</c:v>
                </c:pt>
              </c:strCache>
            </c:strRef>
          </c:tx>
          <c:spPr>
            <a:solidFill>
              <a:schemeClr val="accent3">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DK!$K$7:$K$16</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c:v>1.2231414123130238E-2</c:v>
                </c:pt>
                <c:pt idx="9">
                  <c:v>1.8247475660454596E-2</c:v>
                </c:pt>
              </c:numCache>
            </c:numRef>
          </c:val>
          <c:extLst>
            <c:ext xmlns:c16="http://schemas.microsoft.com/office/drawing/2014/chart" uri="{C3380CC4-5D6E-409C-BE32-E72D297353CC}">
              <c16:uniqueId val="{00000009-7916-449D-994B-5DD7465A6B2F}"/>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1-7916-449D-994B-5DD7465A6B2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2-7916-449D-994B-5DD7465A6B2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3-7916-449D-994B-5DD7465A6B2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4-7916-449D-994B-5DD7465A6B2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5-7916-449D-994B-5DD7465A6B2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6-7916-449D-994B-5DD7465A6B2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DK!$H$7:$H$16</c15:sqref>
                        </c15:formulaRef>
                      </c:ext>
                    </c:extLst>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xmlns:c15="http://schemas.microsoft.com/office/drawing/2012/chart">
                  <c:ext xmlns:c16="http://schemas.microsoft.com/office/drawing/2014/chart" uri="{C3380CC4-5D6E-409C-BE32-E72D297353CC}">
                    <c16:uniqueId val="{00000000-7916-449D-994B-5DD7465A6B2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DK!$I$7:$I$16</c15:sqref>
                        </c15:formulaRef>
                      </c:ext>
                    </c:extLst>
                    <c:numCache>
                      <c:formatCode>0.0E+00</c:formatCode>
                      <c:ptCount val="10"/>
                      <c:pt idx="0">
                        <c:v>9.8695067719902028E-4</c:v>
                      </c:pt>
                      <c:pt idx="1">
                        <c:v>9.7634574512245722E-4</c:v>
                      </c:pt>
                      <c:pt idx="2">
                        <c:v>1.2286336008205043E-3</c:v>
                      </c:pt>
                      <c:pt idx="3">
                        <c:v>1.3970636092193179E-4</c:v>
                      </c:pt>
                      <c:pt idx="4">
                        <c:v>1.4989123287671234E-3</c:v>
                      </c:pt>
                      <c:pt idx="5">
                        <c:v>4.3086943523370121E-3</c:v>
                      </c:pt>
                      <c:pt idx="6">
                        <c:v>4.2190088049180972E-3</c:v>
                      </c:pt>
                      <c:pt idx="7">
                        <c:v>2.2498842062160421E-2</c:v>
                      </c:pt>
                      <c:pt idx="9">
                        <c:v>3.1173649406392695E-2</c:v>
                      </c:pt>
                    </c:numCache>
                  </c:numRef>
                </c:val>
                <c:extLst xmlns:c15="http://schemas.microsoft.com/office/drawing/2012/chart">
                  <c:ext xmlns:c16="http://schemas.microsoft.com/office/drawing/2014/chart" uri="{C3380CC4-5D6E-409C-BE32-E72D297353CC}">
                    <c16:uniqueId val="{00000007-7916-449D-994B-5DD7465A6B2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DK!$J$7:$J$16</c15:sqref>
                        </c15:formulaRef>
                      </c:ext>
                    </c:extLst>
                    <c:numCache>
                      <c:formatCode>0.0E+00</c:formatCode>
                      <c:ptCount val="10"/>
                      <c:pt idx="0">
                        <c:v>6.9091138013754592E-5</c:v>
                      </c:pt>
                      <c:pt idx="5">
                        <c:v>7.131551541879707E-5</c:v>
                      </c:pt>
                      <c:pt idx="6">
                        <c:v>2.1848154848281882E-6</c:v>
                      </c:pt>
                      <c:pt idx="7">
                        <c:v>1.8145615667142698E-5</c:v>
                      </c:pt>
                      <c:pt idx="9">
                        <c:v>1.0464231354642312E-6</c:v>
                      </c:pt>
                    </c:numCache>
                  </c:numRef>
                </c:val>
                <c:extLst xmlns:c15="http://schemas.microsoft.com/office/drawing/2012/chart">
                  <c:ext xmlns:c16="http://schemas.microsoft.com/office/drawing/2014/chart" uri="{C3380CC4-5D6E-409C-BE32-E72D297353CC}">
                    <c16:uniqueId val="{00000008-7916-449D-994B-5DD7465A6B2F}"/>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FR!$E$7:$E$16</c:f>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c:ext xmlns:c16="http://schemas.microsoft.com/office/drawing/2014/chart" uri="{C3380CC4-5D6E-409C-BE32-E72D297353CC}">
              <c16:uniqueId val="{00000000-9D14-4752-92ED-736E35760AC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4438957622527119E-2"/>
              <c:y val="0.22020340660700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FR!$B$6</c:f>
              <c:strCache>
                <c:ptCount val="1"/>
                <c:pt idx="0">
                  <c:v>Total</c:v>
                </c:pt>
              </c:strCache>
            </c:strRef>
          </c:tx>
          <c:spPr>
            <a:solidFill>
              <a:schemeClr val="bg2">
                <a:lumMod val="5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FR!$B$7:$B$16</c:f>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0-DB34-40A2-ABD6-0077495F9F0F}"/>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FR!$H$6</c:f>
              <c:strCache>
                <c:ptCount val="1"/>
                <c:pt idx="0">
                  <c:v>Total</c:v>
                </c:pt>
              </c:strCache>
            </c:strRef>
          </c:tx>
          <c:spPr>
            <a:solidFill>
              <a:schemeClr val="accent4">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FR!$H$7:$H$16</c:f>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c:ext xmlns:c16="http://schemas.microsoft.com/office/drawing/2014/chart" uri="{C3380CC4-5D6E-409C-BE32-E72D297353CC}">
              <c16:uniqueId val="{00000000-4052-4571-8EB5-12D298D3572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4052-4571-8EB5-12D298D3572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4052-4571-8EB5-12D298D3572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4052-4571-8EB5-12D298D3572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4052-4571-8EB5-12D298D3572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4052-4571-8EB5-12D298D3572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4052-4571-8EB5-12D298D3572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FR!$K$6</c:f>
              <c:strCache>
                <c:ptCount val="1"/>
                <c:pt idx="0">
                  <c:v>Total</c:v>
                </c:pt>
              </c:strCache>
            </c:strRef>
          </c:tx>
          <c:spPr>
            <a:solidFill>
              <a:schemeClr val="accent3">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FR!$K$7:$K$16</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c:v>1.3435071021210427E-2</c:v>
                </c:pt>
                <c:pt idx="8">
                  <c:v>4.0106711724711933E-2</c:v>
                </c:pt>
                <c:pt idx="9">
                  <c:v>1.7965284658036922E-2</c:v>
                </c:pt>
              </c:numCache>
            </c:numRef>
          </c:val>
          <c:extLst>
            <c:ext xmlns:c16="http://schemas.microsoft.com/office/drawing/2014/chart" uri="{C3380CC4-5D6E-409C-BE32-E72D297353CC}">
              <c16:uniqueId val="{00000000-E84E-4196-84EA-B6AF0EE1344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E84E-4196-84EA-B6AF0EE134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E84E-4196-84EA-B6AF0EE1344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E84E-4196-84EA-B6AF0EE1344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E84E-4196-84EA-B6AF0EE1344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E84E-4196-84EA-B6AF0EE1344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E84E-4196-84EA-B6AF0EE1344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FR!$H$7:$H$16</c15:sqref>
                        </c15:formulaRef>
                      </c:ext>
                    </c:extLst>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7-E84E-4196-84EA-B6AF0EE1344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FR!$I$7:$I$16</c15:sqref>
                        </c15:formulaRef>
                      </c:ext>
                    </c:extLst>
                    <c:numCache>
                      <c:formatCode>0.0E+00</c:formatCode>
                      <c:ptCount val="10"/>
                      <c:pt idx="0">
                        <c:v>7.9604621313456893E-4</c:v>
                      </c:pt>
                      <c:pt idx="1">
                        <c:v>1.1271776694015091E-3</c:v>
                      </c:pt>
                      <c:pt idx="2">
                        <c:v>1.357105907869997E-3</c:v>
                      </c:pt>
                      <c:pt idx="3">
                        <c:v>1.2679701833419617E-4</c:v>
                      </c:pt>
                      <c:pt idx="4">
                        <c:v>1.4254065753424659E-3</c:v>
                      </c:pt>
                      <c:pt idx="5">
                        <c:v>4.2756615560062671E-3</c:v>
                      </c:pt>
                      <c:pt idx="6">
                        <c:v>4.1124086855282155E-3</c:v>
                      </c:pt>
                      <c:pt idx="7">
                        <c:v>2.4714358052140239E-2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8-E84E-4196-84EA-B6AF0EE1344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FR!$J$7:$J$16</c15:sqref>
                        </c15:formulaRef>
                      </c:ext>
                    </c:extLst>
                    <c:numCache>
                      <c:formatCode>0.0E+00</c:formatCode>
                      <c:ptCount val="10"/>
                      <c:pt idx="0">
                        <c:v>7.2082363454973466E-5</c:v>
                      </c:pt>
                      <c:pt idx="5">
                        <c:v>6.2932879056933527E-5</c:v>
                      </c:pt>
                      <c:pt idx="6">
                        <c:v>2.8370450737309052E-6</c:v>
                      </c:pt>
                      <c:pt idx="7">
                        <c:v>1.845906859295749E-5</c:v>
                      </c:pt>
                      <c:pt idx="9">
                        <c:v>0</c:v>
                      </c:pt>
                    </c:numCache>
                  </c:numRef>
                </c:val>
                <c:extLst xmlns:c15="http://schemas.microsoft.com/office/drawing/2012/chart">
                  <c:ext xmlns:c16="http://schemas.microsoft.com/office/drawing/2014/chart" uri="{C3380CC4-5D6E-409C-BE32-E72D297353CC}">
                    <c16:uniqueId val="{00000009-E84E-4196-84EA-B6AF0EE1344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DE!$E$7:$E$16</c:f>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c:ext xmlns:c16="http://schemas.microsoft.com/office/drawing/2014/chart" uri="{C3380CC4-5D6E-409C-BE32-E72D297353CC}">
              <c16:uniqueId val="{00000000-9AF5-44D8-8D2F-A1CB12BE5F6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DE!$B$6</c:f>
              <c:strCache>
                <c:ptCount val="1"/>
                <c:pt idx="0">
                  <c:v>Total</c:v>
                </c:pt>
              </c:strCache>
            </c:strRef>
          </c:tx>
          <c:spPr>
            <a:solidFill>
              <a:schemeClr val="bg2">
                <a:lumMod val="5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DE!$B$7:$B$16</c:f>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0-43A6-4E5A-B2A5-7519CEE5D00E}"/>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DE!$H$6</c:f>
              <c:strCache>
                <c:ptCount val="1"/>
                <c:pt idx="0">
                  <c:v>Total</c:v>
                </c:pt>
              </c:strCache>
            </c:strRef>
          </c:tx>
          <c:spPr>
            <a:solidFill>
              <a:schemeClr val="accent4">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DE!$H$7:$H$16</c:f>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c:ext xmlns:c16="http://schemas.microsoft.com/office/drawing/2014/chart" uri="{C3380CC4-5D6E-409C-BE32-E72D297353CC}">
              <c16:uniqueId val="{00000000-84B8-4395-85B4-7AC79B012771}"/>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84B8-4395-85B4-7AC79B0127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84B8-4395-85B4-7AC79B01277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84B8-4395-85B4-7AC79B0127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84B8-4395-85B4-7AC79B0127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84B8-4395-85B4-7AC79B0127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84B8-4395-85B4-7AC79B012771}"/>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DE!$K$6</c:f>
              <c:strCache>
                <c:ptCount val="1"/>
                <c:pt idx="0">
                  <c:v>Total</c:v>
                </c:pt>
              </c:strCache>
            </c:strRef>
          </c:tx>
          <c:spPr>
            <a:solidFill>
              <a:schemeClr val="accent3">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DE!$K$7:$K$16</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c:v>1.163948658788734E-2</c:v>
                </c:pt>
                <c:pt idx="8">
                  <c:v>3.3945818396546174E-2</c:v>
                </c:pt>
                <c:pt idx="9">
                  <c:v>1.8648499347118076E-2</c:v>
                </c:pt>
              </c:numCache>
            </c:numRef>
          </c:val>
          <c:extLst>
            <c:ext xmlns:c16="http://schemas.microsoft.com/office/drawing/2014/chart" uri="{C3380CC4-5D6E-409C-BE32-E72D297353CC}">
              <c16:uniqueId val="{00000000-DE72-4F87-AE7B-48F162B94BA8}"/>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DE72-4F87-AE7B-48F162B94BA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DE72-4F87-AE7B-48F162B94BA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DE72-4F87-AE7B-48F162B94BA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DE72-4F87-AE7B-48F162B94BA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DE72-4F87-AE7B-48F162B94BA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DE72-4F87-AE7B-48F162B94BA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DE!$H$7:$H$16</c15:sqref>
                        </c15:formulaRef>
                      </c:ext>
                    </c:extLst>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7-DE72-4F87-AE7B-48F162B94BA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DE!$I$7:$I$16</c15:sqref>
                        </c15:formulaRef>
                      </c:ext>
                    </c:extLst>
                    <c:numCache>
                      <c:formatCode>0.0E+00</c:formatCode>
                      <c:ptCount val="10"/>
                      <c:pt idx="0">
                        <c:v>1.056170015152577E-3</c:v>
                      </c:pt>
                      <c:pt idx="1">
                        <c:v>1.125292484067101E-3</c:v>
                      </c:pt>
                      <c:pt idx="2">
                        <c:v>1.7287389648950708E-3</c:v>
                      </c:pt>
                      <c:pt idx="3">
                        <c:v>1.5761883223897158E-4</c:v>
                      </c:pt>
                      <c:pt idx="4">
                        <c:v>1.5492950684931508E-3</c:v>
                      </c:pt>
                      <c:pt idx="5">
                        <c:v>5.1160579704243956E-3</c:v>
                      </c:pt>
                      <c:pt idx="6">
                        <c:v>4.0386950488455449E-3</c:v>
                      </c:pt>
                      <c:pt idx="7">
                        <c:v>2.1408702771794647E-2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8-DE72-4F87-AE7B-48F162B94BA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DE!$J$7:$J$16</c15:sqref>
                        </c15:formulaRef>
                      </c:ext>
                    </c:extLst>
                    <c:numCache>
                      <c:formatCode>0.0E+00</c:formatCode>
                      <c:ptCount val="10"/>
                      <c:pt idx="0">
                        <c:v>8.3279912849067576E-5</c:v>
                      </c:pt>
                      <c:pt idx="5">
                        <c:v>6.7552517708039639E-5</c:v>
                      </c:pt>
                      <c:pt idx="6">
                        <c:v>2.6704135191177248E-6</c:v>
                      </c:pt>
                      <c:pt idx="7">
                        <c:v>1.8596920403652114E-5</c:v>
                      </c:pt>
                      <c:pt idx="9">
                        <c:v>0</c:v>
                      </c:pt>
                    </c:numCache>
                  </c:numRef>
                </c:val>
                <c:extLst xmlns:c15="http://schemas.microsoft.com/office/drawing/2012/chart">
                  <c:ext xmlns:c16="http://schemas.microsoft.com/office/drawing/2014/chart" uri="{C3380CC4-5D6E-409C-BE32-E72D297353CC}">
                    <c16:uniqueId val="{00000009-DE72-4F87-AE7B-48F162B94BA8}"/>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GR!$E$7:$E$16</c:f>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c:ext xmlns:c16="http://schemas.microsoft.com/office/drawing/2014/chart" uri="{C3380CC4-5D6E-409C-BE32-E72D297353CC}">
              <c16:uniqueId val="{00000000-718D-4340-817D-0688EFFD8D7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0329256858339131E-2"/>
              <c:y val="0.216013352051365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GR!$B$6</c:f>
              <c:strCache>
                <c:ptCount val="1"/>
                <c:pt idx="0">
                  <c:v>Total</c:v>
                </c:pt>
              </c:strCache>
            </c:strRef>
          </c:tx>
          <c:spPr>
            <a:solidFill>
              <a:schemeClr val="bg2">
                <a:lumMod val="5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GR!$B$7:$B$16</c:f>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0-BEA2-412F-8FC0-017DF788522B}"/>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GR!$H$6</c:f>
              <c:strCache>
                <c:ptCount val="1"/>
                <c:pt idx="0">
                  <c:v>Total</c:v>
                </c:pt>
              </c:strCache>
            </c:strRef>
          </c:tx>
          <c:spPr>
            <a:solidFill>
              <a:schemeClr val="accent4">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GR!$H$7:$H$16</c:f>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c:ext xmlns:c16="http://schemas.microsoft.com/office/drawing/2014/chart" uri="{C3380CC4-5D6E-409C-BE32-E72D297353CC}">
              <c16:uniqueId val="{00000000-EEAA-4D62-BE13-6B529631CD30}"/>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EEAA-4D62-BE13-6B529631CD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EEAA-4D62-BE13-6B529631CD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EEAA-4D62-BE13-6B529631CD3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EEAA-4D62-BE13-6B529631CD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EEAA-4D62-BE13-6B529631CD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EEAA-4D62-BE13-6B529631CD30}"/>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GR!$K$6</c:f>
              <c:strCache>
                <c:ptCount val="1"/>
                <c:pt idx="0">
                  <c:v>Total</c:v>
                </c:pt>
              </c:strCache>
            </c:strRef>
          </c:tx>
          <c:spPr>
            <a:solidFill>
              <a:schemeClr val="accent3">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GR!$K$7:$K$16</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c:v>1.3435013371368128E-2</c:v>
                </c:pt>
                <c:pt idx="8">
                  <c:v>3.3961328476570588E-2</c:v>
                </c:pt>
                <c:pt idx="9">
                  <c:v>2.5365372386246629E-2</c:v>
                </c:pt>
              </c:numCache>
            </c:numRef>
          </c:val>
          <c:extLst>
            <c:ext xmlns:c16="http://schemas.microsoft.com/office/drawing/2014/chart" uri="{C3380CC4-5D6E-409C-BE32-E72D297353CC}">
              <c16:uniqueId val="{00000000-F7D0-4726-80A1-87CE32B25AF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F7D0-4726-80A1-87CE32B25AF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F7D0-4726-80A1-87CE32B25AF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F7D0-4726-80A1-87CE32B25AF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F7D0-4726-80A1-87CE32B25AF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F7D0-4726-80A1-87CE32B25AF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F7D0-4726-80A1-87CE32B25AF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GR!$H$7:$H$16</c15:sqref>
                        </c15:formulaRef>
                      </c:ext>
                    </c:extLst>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xmlns:c15="http://schemas.microsoft.com/office/drawing/2012/chart">
                  <c:ext xmlns:c16="http://schemas.microsoft.com/office/drawing/2014/chart" uri="{C3380CC4-5D6E-409C-BE32-E72D297353CC}">
                    <c16:uniqueId val="{00000007-F7D0-4726-80A1-87CE32B25AF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GR!$I$6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GR!$I$7:$I$16</c15:sqref>
                        </c15:formulaRef>
                      </c:ext>
                    </c:extLst>
                    <c:numCache>
                      <c:formatCode>0.0E+00</c:formatCode>
                      <c:ptCount val="10"/>
                      <c:pt idx="0">
                        <c:v>9.6205466798923245E-4</c:v>
                      </c:pt>
                      <c:pt idx="1">
                        <c:v>1.1271776694015091E-3</c:v>
                      </c:pt>
                      <c:pt idx="2">
                        <c:v>1.5942608433766594E-3</c:v>
                      </c:pt>
                      <c:pt idx="3">
                        <c:v>1.8749253542162171E-4</c:v>
                      </c:pt>
                      <c:pt idx="4">
                        <c:v>1.4294040547945205E-3</c:v>
                      </c:pt>
                      <c:pt idx="5">
                        <c:v>3.5161860076666179E-3</c:v>
                      </c:pt>
                      <c:pt idx="6">
                        <c:v>3.9941551167038567E-3</c:v>
                      </c:pt>
                      <c:pt idx="7">
                        <c:v>2.4714358052140239E-2</c:v>
                      </c:pt>
                      <c:pt idx="8">
                        <c:v>5.0540099841095892E-2</c:v>
                      </c:pt>
                      <c:pt idx="9">
                        <c:v>4.3333785949467275E-2</c:v>
                      </c:pt>
                    </c:numCache>
                  </c:numRef>
                </c:val>
                <c:extLst xmlns:c15="http://schemas.microsoft.com/office/drawing/2012/chart">
                  <c:ext xmlns:c16="http://schemas.microsoft.com/office/drawing/2014/chart" uri="{C3380CC4-5D6E-409C-BE32-E72D297353CC}">
                    <c16:uniqueId val="{00000008-F7D0-4726-80A1-87CE32B25AF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GR!$J$6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GR!$J$7:$J$16</c15:sqref>
                        </c15:formulaRef>
                      </c:ext>
                    </c:extLst>
                    <c:numCache>
                      <c:formatCode>0.0E+00</c:formatCode>
                      <c:ptCount val="10"/>
                      <c:pt idx="0">
                        <c:v>7.2442597930964E-5</c:v>
                      </c:pt>
                      <c:pt idx="5">
                        <c:v>6.6864943319369804E-5</c:v>
                      </c:pt>
                      <c:pt idx="6">
                        <c:v>2.891377483835693E-6</c:v>
                      </c:pt>
                      <c:pt idx="7">
                        <c:v>1.8352940162048212E-5</c:v>
                      </c:pt>
                      <c:pt idx="9">
                        <c:v>1.3318112633181127E-6</c:v>
                      </c:pt>
                    </c:numCache>
                  </c:numRef>
                </c:val>
                <c:extLst xmlns:c15="http://schemas.microsoft.com/office/drawing/2012/chart">
                  <c:ext xmlns:c16="http://schemas.microsoft.com/office/drawing/2014/chart" uri="{C3380CC4-5D6E-409C-BE32-E72D297353CC}">
                    <c16:uniqueId val="{00000009-F7D0-4726-80A1-87CE32B25AF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HU!$E$7:$E$16</c:f>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c:ext xmlns:c16="http://schemas.microsoft.com/office/drawing/2014/chart" uri="{C3380CC4-5D6E-409C-BE32-E72D297353CC}">
              <c16:uniqueId val="{00000000-94AB-45AA-AD82-C7BEF66CCAC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729305555555556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HU!$B$6</c:f>
              <c:strCache>
                <c:ptCount val="1"/>
                <c:pt idx="0">
                  <c:v>Total</c:v>
                </c:pt>
              </c:strCache>
            </c:strRef>
          </c:tx>
          <c:spPr>
            <a:solidFill>
              <a:schemeClr val="bg2">
                <a:lumMod val="5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HU!$B$7:$B$16</c:f>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0-C3FD-408F-B1A6-F69517A2C83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HU!$H$6</c:f>
              <c:strCache>
                <c:ptCount val="1"/>
                <c:pt idx="0">
                  <c:v>Total</c:v>
                </c:pt>
              </c:strCache>
            </c:strRef>
          </c:tx>
          <c:spPr>
            <a:solidFill>
              <a:schemeClr val="accent4">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HU!$H$7:$H$16</c:f>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c:ext xmlns:c16="http://schemas.microsoft.com/office/drawing/2014/chart" uri="{C3380CC4-5D6E-409C-BE32-E72D297353CC}">
              <c16:uniqueId val="{00000000-9FE5-4E18-917D-903A332035EE}"/>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9FE5-4E18-917D-903A332035E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9FE5-4E18-917D-903A332035E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9FE5-4E18-917D-903A332035E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9FE5-4E18-917D-903A332035E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9FE5-4E18-917D-903A332035E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9FE5-4E18-917D-903A332035EE}"/>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HU!$K$6</c:f>
              <c:strCache>
                <c:ptCount val="1"/>
                <c:pt idx="0">
                  <c:v>Total</c:v>
                </c:pt>
              </c:strCache>
            </c:strRef>
          </c:tx>
          <c:spPr>
            <a:solidFill>
              <a:schemeClr val="accent3">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HU!$K$7:$K$16</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c:v>1.3434771012916048E-2</c:v>
                </c:pt>
                <c:pt idx="8">
                  <c:v>3.3961328476570588E-2</c:v>
                </c:pt>
                <c:pt idx="9">
                  <c:v>2.5952731227515045E-2</c:v>
                </c:pt>
              </c:numCache>
            </c:numRef>
          </c:val>
          <c:extLst>
            <c:ext xmlns:c16="http://schemas.microsoft.com/office/drawing/2014/chart" uri="{C3380CC4-5D6E-409C-BE32-E72D297353CC}">
              <c16:uniqueId val="{00000000-6F76-467C-92AF-96EB4A66E8A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6F76-467C-92AF-96EB4A66E8A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6F76-467C-92AF-96EB4A66E8A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6F76-467C-92AF-96EB4A66E8A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6F76-467C-92AF-96EB4A66E8A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6F76-467C-92AF-96EB4A66E8A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6F76-467C-92AF-96EB4A66E8A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HU!$H$6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HU!$H$7:$H$16</c15:sqref>
                        </c15:formulaRef>
                      </c:ext>
                    </c:extLst>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xmlns:c15="http://schemas.microsoft.com/office/drawing/2012/chart">
                  <c:ext xmlns:c16="http://schemas.microsoft.com/office/drawing/2014/chart" uri="{C3380CC4-5D6E-409C-BE32-E72D297353CC}">
                    <c16:uniqueId val="{00000007-6F76-467C-92AF-96EB4A66E8A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HU!$I$6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HU!$I$7:$I$16</c15:sqref>
                        </c15:formulaRef>
                      </c:ext>
                    </c:extLst>
                    <c:numCache>
                      <c:formatCode>0.0E+00</c:formatCode>
                      <c:ptCount val="10"/>
                      <c:pt idx="0">
                        <c:v>1.0252959841243426E-3</c:v>
                      </c:pt>
                      <c:pt idx="1">
                        <c:v>1.1271776694015091E-3</c:v>
                      </c:pt>
                      <c:pt idx="2">
                        <c:v>1.6846055807125306E-3</c:v>
                      </c:pt>
                      <c:pt idx="3">
                        <c:v>1.9141558852227734E-4</c:v>
                      </c:pt>
                      <c:pt idx="4">
                        <c:v>1.5173486027397261E-3</c:v>
                      </c:pt>
                      <c:pt idx="5">
                        <c:v>5.6522109873718817E-3</c:v>
                      </c:pt>
                      <c:pt idx="6">
                        <c:v>3.7862428643849265E-3</c:v>
                      </c:pt>
                      <c:pt idx="7">
                        <c:v>2.4714358052140239E-2</c:v>
                      </c:pt>
                      <c:pt idx="8">
                        <c:v>5.0540099841095892E-2</c:v>
                      </c:pt>
                      <c:pt idx="9">
                        <c:v>4.4337233623592091E-2</c:v>
                      </c:pt>
                    </c:numCache>
                  </c:numRef>
                </c:val>
                <c:extLst xmlns:c15="http://schemas.microsoft.com/office/drawing/2012/chart">
                  <c:ext xmlns:c16="http://schemas.microsoft.com/office/drawing/2014/chart" uri="{C3380CC4-5D6E-409C-BE32-E72D297353CC}">
                    <c16:uniqueId val="{00000008-6F76-467C-92AF-96EB4A66E8A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HU!$J$6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HU!$J$7:$J$16</c15:sqref>
                        </c15:formulaRef>
                      </c:ext>
                    </c:extLst>
                    <c:numCache>
                      <c:formatCode>0.0E+00</c:formatCode>
                      <c:ptCount val="10"/>
                      <c:pt idx="0">
                        <c:v>8.0367756402755519E-5</c:v>
                      </c:pt>
                      <c:pt idx="5">
                        <c:v>8.0370729264259567E-5</c:v>
                      </c:pt>
                      <c:pt idx="6">
                        <c:v>2.7101670729793843E-6</c:v>
                      </c:pt>
                      <c:pt idx="7">
                        <c:v>1.7906778972168132E-5</c:v>
                      </c:pt>
                      <c:pt idx="9">
                        <c:v>1.3318112633181127E-6</c:v>
                      </c:pt>
                    </c:numCache>
                  </c:numRef>
                </c:val>
                <c:extLst xmlns:c15="http://schemas.microsoft.com/office/drawing/2012/chart">
                  <c:ext xmlns:c16="http://schemas.microsoft.com/office/drawing/2014/chart" uri="{C3380CC4-5D6E-409C-BE32-E72D297353CC}">
                    <c16:uniqueId val="{00000009-6F76-467C-92AF-96EB4A66E8A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IE!$E$7:$E$16</c:f>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c:ext xmlns:c16="http://schemas.microsoft.com/office/drawing/2014/chart" uri="{C3380CC4-5D6E-409C-BE32-E72D297353CC}">
              <c16:uniqueId val="{00000000-D878-40C4-A7A4-C99A7F34962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9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IE!$B$6</c:f>
              <c:strCache>
                <c:ptCount val="1"/>
                <c:pt idx="0">
                  <c:v>Total</c:v>
                </c:pt>
              </c:strCache>
            </c:strRef>
          </c:tx>
          <c:spPr>
            <a:solidFill>
              <a:schemeClr val="bg2">
                <a:lumMod val="5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IE!$B$7:$B$16</c:f>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0-38DD-4F50-B585-A865D795547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IE!$H$6</c:f>
              <c:strCache>
                <c:ptCount val="1"/>
                <c:pt idx="0">
                  <c:v>Total</c:v>
                </c:pt>
              </c:strCache>
            </c:strRef>
          </c:tx>
          <c:spPr>
            <a:solidFill>
              <a:schemeClr val="accent4">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IE!$H$7:$H$16</c:f>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c:ext xmlns:c16="http://schemas.microsoft.com/office/drawing/2014/chart" uri="{C3380CC4-5D6E-409C-BE32-E72D297353CC}">
              <c16:uniqueId val="{00000000-1E28-48AE-AD73-5A0753ED000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1E28-48AE-AD73-5A0753ED000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1E28-48AE-AD73-5A0753ED000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1E28-48AE-AD73-5A0753ED000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1E28-48AE-AD73-5A0753ED000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1E28-48AE-AD73-5A0753ED000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1E28-48AE-AD73-5A0753ED000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IE!$K$6</c:f>
              <c:strCache>
                <c:ptCount val="1"/>
                <c:pt idx="0">
                  <c:v>Total</c:v>
                </c:pt>
              </c:strCache>
            </c:strRef>
          </c:tx>
          <c:spPr>
            <a:solidFill>
              <a:schemeClr val="accent3">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IE!$K$7:$K$16</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c:v>1.3435013371368128E-2</c:v>
                </c:pt>
                <c:pt idx="9">
                  <c:v>1.8804155660142485E-2</c:v>
                </c:pt>
              </c:numCache>
            </c:numRef>
          </c:val>
          <c:extLst>
            <c:ext xmlns:c16="http://schemas.microsoft.com/office/drawing/2014/chart" uri="{C3380CC4-5D6E-409C-BE32-E72D297353CC}">
              <c16:uniqueId val="{00000000-3D7A-403E-8F9F-111C16B9C76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3D7A-403E-8F9F-111C16B9C76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3D7A-403E-8F9F-111C16B9C76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3D7A-403E-8F9F-111C16B9C76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3D7A-403E-8F9F-111C16B9C76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3D7A-403E-8F9F-111C16B9C76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3D7A-403E-8F9F-111C16B9C76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IE!$H$7:$H$16</c15:sqref>
                        </c15:formulaRef>
                      </c:ext>
                    </c:extLst>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xmlns:c15="http://schemas.microsoft.com/office/drawing/2012/chart">
                  <c:ext xmlns:c16="http://schemas.microsoft.com/office/drawing/2014/chart" uri="{C3380CC4-5D6E-409C-BE32-E72D297353CC}">
                    <c16:uniqueId val="{00000007-3D7A-403E-8F9F-111C16B9C76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IE!$I$7:$I$16</c15:sqref>
                        </c15:formulaRef>
                      </c:ext>
                    </c:extLst>
                    <c:numCache>
                      <c:formatCode>0.0E+00</c:formatCode>
                      <c:ptCount val="10"/>
                      <c:pt idx="0">
                        <c:v>8.1185654216834626E-4</c:v>
                      </c:pt>
                      <c:pt idx="1">
                        <c:v>1.1271776694015091E-3</c:v>
                      </c:pt>
                      <c:pt idx="2">
                        <c:v>1.3796920922039648E-3</c:v>
                      </c:pt>
                      <c:pt idx="3">
                        <c:v>1.24286353888057E-4</c:v>
                      </c:pt>
                      <c:pt idx="4">
                        <c:v>1.500559189041096E-3</c:v>
                      </c:pt>
                      <c:pt idx="5">
                        <c:v>3.2313826770392511E-3</c:v>
                      </c:pt>
                      <c:pt idx="6">
                        <c:v>3.7767859453758774E-3</c:v>
                      </c:pt>
                      <c:pt idx="7">
                        <c:v>2.4714358052140239E-2</c:v>
                      </c:pt>
                      <c:pt idx="9">
                        <c:v>3.2124710074216127E-2</c:v>
                      </c:pt>
                    </c:numCache>
                  </c:numRef>
                </c:val>
                <c:extLst xmlns:c15="http://schemas.microsoft.com/office/drawing/2012/chart">
                  <c:ext xmlns:c16="http://schemas.microsoft.com/office/drawing/2014/chart" uri="{C3380CC4-5D6E-409C-BE32-E72D297353CC}">
                    <c16:uniqueId val="{00000008-3D7A-403E-8F9F-111C16B9C76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IE!$J$7:$J$16</c15:sqref>
                        </c15:formulaRef>
                      </c:ext>
                    </c:extLst>
                    <c:numCache>
                      <c:formatCode>0.0E+00</c:formatCode>
                      <c:ptCount val="10"/>
                      <c:pt idx="0">
                        <c:v>7.8854771603595295E-5</c:v>
                      </c:pt>
                      <c:pt idx="5">
                        <c:v>6.6095626398458368E-5</c:v>
                      </c:pt>
                      <c:pt idx="6">
                        <c:v>2.9932774232306553E-6</c:v>
                      </c:pt>
                      <c:pt idx="7">
                        <c:v>1.8352940162048212E-5</c:v>
                      </c:pt>
                      <c:pt idx="9">
                        <c:v>9.8934550989345503E-7</c:v>
                      </c:pt>
                    </c:numCache>
                  </c:numRef>
                </c:val>
                <c:extLst xmlns:c15="http://schemas.microsoft.com/office/drawing/2012/chart">
                  <c:ext xmlns:c16="http://schemas.microsoft.com/office/drawing/2014/chart" uri="{C3380CC4-5D6E-409C-BE32-E72D297353CC}">
                    <c16:uniqueId val="{00000009-3D7A-403E-8F9F-111C16B9C76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IT!$E$7:$E$16</c:f>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c:ext xmlns:c16="http://schemas.microsoft.com/office/drawing/2014/chart" uri="{C3380CC4-5D6E-409C-BE32-E72D297353CC}">
              <c16:uniqueId val="{00000000-516D-491A-9657-11002A04EB2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IT!$B$6</c:f>
              <c:strCache>
                <c:ptCount val="1"/>
                <c:pt idx="0">
                  <c:v>Total</c:v>
                </c:pt>
              </c:strCache>
            </c:strRef>
          </c:tx>
          <c:spPr>
            <a:solidFill>
              <a:schemeClr val="bg2">
                <a:lumMod val="5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IT!$B$7:$B$16</c:f>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0-D400-49E1-B6D9-1CEA48B1D15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IT!$H$6</c:f>
              <c:strCache>
                <c:ptCount val="1"/>
                <c:pt idx="0">
                  <c:v>Total</c:v>
                </c:pt>
              </c:strCache>
            </c:strRef>
          </c:tx>
          <c:spPr>
            <a:solidFill>
              <a:schemeClr val="accent4">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IT!$H$7:$H$16</c:f>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c:ext xmlns:c16="http://schemas.microsoft.com/office/drawing/2014/chart" uri="{C3380CC4-5D6E-409C-BE32-E72D297353CC}">
              <c16:uniqueId val="{00000000-0A01-4F2A-A773-5899251292C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0A01-4F2A-A773-5899251292C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0A01-4F2A-A773-5899251292C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0A01-4F2A-A773-5899251292C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0A01-4F2A-A773-5899251292C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0A01-4F2A-A773-5899251292C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0A01-4F2A-A773-5899251292C9}"/>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IT!$K$6</c:f>
              <c:strCache>
                <c:ptCount val="1"/>
                <c:pt idx="0">
                  <c:v>Total</c:v>
                </c:pt>
              </c:strCache>
            </c:strRef>
          </c:tx>
          <c:spPr>
            <a:solidFill>
              <a:schemeClr val="accent3">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IT!$K$7:$K$16</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c:v>1.3435013371368128E-2</c:v>
                </c:pt>
                <c:pt idx="8">
                  <c:v>3.2632898379744445E-2</c:v>
                </c:pt>
                <c:pt idx="9">
                  <c:v>2.1741747759639961E-2</c:v>
                </c:pt>
              </c:numCache>
            </c:numRef>
          </c:val>
          <c:extLst>
            <c:ext xmlns:c16="http://schemas.microsoft.com/office/drawing/2014/chart" uri="{C3380CC4-5D6E-409C-BE32-E72D297353CC}">
              <c16:uniqueId val="{00000000-580E-424F-9522-6A709863FB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580E-424F-9522-6A709863FB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580E-424F-9522-6A709863FB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580E-424F-9522-6A709863FB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580E-424F-9522-6A709863FB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580E-424F-9522-6A709863FB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580E-424F-9522-6A709863FB4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IT!$H$6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IT!$H$7:$H$16</c15:sqref>
                        </c15:formulaRef>
                      </c:ext>
                    </c:extLst>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xmlns:c15="http://schemas.microsoft.com/office/drawing/2012/chart">
                  <c:ext xmlns:c16="http://schemas.microsoft.com/office/drawing/2014/chart" uri="{C3380CC4-5D6E-409C-BE32-E72D297353CC}">
                    <c16:uniqueId val="{00000007-580E-424F-9522-6A709863FB4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IT!$I$6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IT!$I$7:$I$16</c15:sqref>
                        </c15:formulaRef>
                      </c:ext>
                    </c:extLst>
                    <c:numCache>
                      <c:formatCode>0.0E+00</c:formatCode>
                      <c:ptCount val="10"/>
                      <c:pt idx="0">
                        <c:v>1.1992096034958951E-3</c:v>
                      </c:pt>
                      <c:pt idx="1">
                        <c:v>1.1271776694015091E-3</c:v>
                      </c:pt>
                      <c:pt idx="2">
                        <c:v>1.9330536083861775E-3</c:v>
                      </c:pt>
                      <c:pt idx="3">
                        <c:v>1.6484388928473723E-4</c:v>
                      </c:pt>
                      <c:pt idx="4">
                        <c:v>1.5253435616438358E-3</c:v>
                      </c:pt>
                      <c:pt idx="5">
                        <c:v>3.5161860076666179E-3</c:v>
                      </c:pt>
                      <c:pt idx="6">
                        <c:v>4.5983955905903292E-3</c:v>
                      </c:pt>
                      <c:pt idx="7">
                        <c:v>2.4714358052140239E-2</c:v>
                      </c:pt>
                      <c:pt idx="8">
                        <c:v>4.8563175122976338E-2</c:v>
                      </c:pt>
                      <c:pt idx="9">
                        <c:v>3.7143245099543372E-2</c:v>
                      </c:pt>
                    </c:numCache>
                  </c:numRef>
                </c:val>
                <c:extLst xmlns:c15="http://schemas.microsoft.com/office/drawing/2012/chart">
                  <c:ext xmlns:c16="http://schemas.microsoft.com/office/drawing/2014/chart" uri="{C3380CC4-5D6E-409C-BE32-E72D297353CC}">
                    <c16:uniqueId val="{00000008-580E-424F-9522-6A709863FB46}"/>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IT!$J$6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IT!$J$7:$J$16</c15:sqref>
                        </c15:formulaRef>
                      </c:ext>
                    </c:extLst>
                    <c:numCache>
                      <c:formatCode>0.0E+00</c:formatCode>
                      <c:ptCount val="10"/>
                      <c:pt idx="0">
                        <c:v>8.108822535473656E-5</c:v>
                      </c:pt>
                      <c:pt idx="5">
                        <c:v>6.9429333055741259E-5</c:v>
                      </c:pt>
                      <c:pt idx="6">
                        <c:v>3.0711482222210793E-6</c:v>
                      </c:pt>
                      <c:pt idx="7">
                        <c:v>1.8352940162048212E-5</c:v>
                      </c:pt>
                      <c:pt idx="9">
                        <c:v>1.1415525114155249E-6</c:v>
                      </c:pt>
                    </c:numCache>
                  </c:numRef>
                </c:val>
                <c:extLst xmlns:c15="http://schemas.microsoft.com/office/drawing/2012/chart">
                  <c:ext xmlns:c16="http://schemas.microsoft.com/office/drawing/2014/chart" uri="{C3380CC4-5D6E-409C-BE32-E72D297353CC}">
                    <c16:uniqueId val="{00000009-580E-424F-9522-6A709863FB46}"/>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NL!$E$7:$E$16</c:f>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c:ext xmlns:c16="http://schemas.microsoft.com/office/drawing/2014/chart" uri="{C3380CC4-5D6E-409C-BE32-E72D297353CC}">
              <c16:uniqueId val="{00000000-401D-42FF-AD88-C0B69626274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2895577038102787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NL!$B$6</c:f>
              <c:strCache>
                <c:ptCount val="1"/>
                <c:pt idx="0">
                  <c:v>Total</c:v>
                </c:pt>
              </c:strCache>
            </c:strRef>
          </c:tx>
          <c:spPr>
            <a:solidFill>
              <a:schemeClr val="bg2">
                <a:lumMod val="5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NL!$B$7:$B$16</c:f>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0-2305-47F4-A985-27140305D2E8}"/>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NL!$H$6</c:f>
              <c:strCache>
                <c:ptCount val="1"/>
                <c:pt idx="0">
                  <c:v>Total</c:v>
                </c:pt>
              </c:strCache>
            </c:strRef>
          </c:tx>
          <c:spPr>
            <a:solidFill>
              <a:schemeClr val="accent4">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NL!$H$7:$H$16</c:f>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c:ext xmlns:c16="http://schemas.microsoft.com/office/drawing/2014/chart" uri="{C3380CC4-5D6E-409C-BE32-E72D297353CC}">
              <c16:uniqueId val="{00000000-8A78-40F5-A846-DE706EE7C7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8A78-40F5-A846-DE706EE7C7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8A78-40F5-A846-DE706EE7C7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8A78-40F5-A846-DE706EE7C7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8A78-40F5-A846-DE706EE7C7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8A78-40F5-A846-DE706EE7C7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8A78-40F5-A846-DE706EE7C7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NL!$K$6</c:f>
              <c:strCache>
                <c:ptCount val="1"/>
                <c:pt idx="0">
                  <c:v>Total</c:v>
                </c:pt>
              </c:strCache>
            </c:strRef>
          </c:tx>
          <c:spPr>
            <a:solidFill>
              <a:schemeClr val="accent3">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NL!$K$7:$K$16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c:v>1.3416004651023614E-2</c:v>
                </c:pt>
                <c:pt idx="8">
                  <c:v>3.3945818396546174E-2</c:v>
                </c:pt>
                <c:pt idx="9">
                  <c:v>2.1890880128527811E-2</c:v>
                </c:pt>
              </c:numCache>
            </c:numRef>
          </c:val>
          <c:extLst>
            <c:ext xmlns:c16="http://schemas.microsoft.com/office/drawing/2014/chart" uri="{C3380CC4-5D6E-409C-BE32-E72D297353CC}">
              <c16:uniqueId val="{00000000-6144-4426-B6C6-0A870F1445D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6144-4426-B6C6-0A870F1445D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6144-4426-B6C6-0A870F1445D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6144-4426-B6C6-0A870F1445D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6144-4426-B6C6-0A870F1445D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6144-4426-B6C6-0A870F1445D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6144-4426-B6C6-0A870F1445DB}"/>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NL!$H$7:$H$16</c15:sqref>
                        </c15:formulaRef>
                      </c:ext>
                    </c:extLst>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xmlns:c15="http://schemas.microsoft.com/office/drawing/2012/chart">
                  <c:ext xmlns:c16="http://schemas.microsoft.com/office/drawing/2014/chart" uri="{C3380CC4-5D6E-409C-BE32-E72D297353CC}">
                    <c16:uniqueId val="{00000007-6144-4426-B6C6-0A870F1445DB}"/>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NL!$I$7:$I$16</c15:sqref>
                        </c15:formulaRef>
                      </c:ext>
                    </c:extLst>
                    <c:numCache>
                      <c:formatCode>0.0E+00</c:formatCode>
                      <c:ptCount val="10"/>
                      <c:pt idx="0">
                        <c:v>9.2571841410328288E-4</c:v>
                      </c:pt>
                      <c:pt idx="1">
                        <c:v>1.125292484067101E-3</c:v>
                      </c:pt>
                      <c:pt idx="2">
                        <c:v>1.5423795348246505E-3</c:v>
                      </c:pt>
                      <c:pt idx="3">
                        <c:v>1.4166604831034285E-4</c:v>
                      </c:pt>
                      <c:pt idx="4">
                        <c:v>1.5860824657534247E-3</c:v>
                      </c:pt>
                      <c:pt idx="5">
                        <c:v>3.5013307342496285E-3</c:v>
                      </c:pt>
                      <c:pt idx="6">
                        <c:v>3.8022365375239065E-3</c:v>
                      </c:pt>
                      <c:pt idx="7">
                        <c:v>2.4679120642891988E-2</c:v>
                      </c:pt>
                      <c:pt idx="8">
                        <c:v>5.0517018264840181E-2</c:v>
                      </c:pt>
                      <c:pt idx="9">
                        <c:v>3.7397990575342467E-2</c:v>
                      </c:pt>
                    </c:numCache>
                  </c:numRef>
                </c:val>
                <c:extLst xmlns:c15="http://schemas.microsoft.com/office/drawing/2012/chart">
                  <c:ext xmlns:c16="http://schemas.microsoft.com/office/drawing/2014/chart" uri="{C3380CC4-5D6E-409C-BE32-E72D297353CC}">
                    <c16:uniqueId val="{00000008-6144-4426-B6C6-0A870F1445DB}"/>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NL!$J$7:$J$16</c15:sqref>
                        </c15:formulaRef>
                      </c:ext>
                    </c:extLst>
                    <c:numCache>
                      <c:formatCode>0.0E+00</c:formatCode>
                      <c:ptCount val="10"/>
                      <c:pt idx="0">
                        <c:v>8.6594673153356873E-5</c:v>
                      </c:pt>
                      <c:pt idx="5">
                        <c:v>7.311149159893132E-5</c:v>
                      </c:pt>
                      <c:pt idx="6">
                        <c:v>2.4617872457221118E-6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6144-4426-B6C6-0A870F1445DB}"/>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PL!$E$7:$E$16</c:f>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c:ext xmlns:c16="http://schemas.microsoft.com/office/drawing/2014/chart" uri="{C3380CC4-5D6E-409C-BE32-E72D297353CC}">
              <c16:uniqueId val="{00000000-A625-4401-816C-A73378E135E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2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PL!$B$6</c:f>
              <c:strCache>
                <c:ptCount val="1"/>
                <c:pt idx="0">
                  <c:v>Total</c:v>
                </c:pt>
              </c:strCache>
            </c:strRef>
          </c:tx>
          <c:spPr>
            <a:solidFill>
              <a:schemeClr val="bg2">
                <a:lumMod val="5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PL!$B$7:$B$16</c:f>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0-FD10-4508-AA67-D63FE005145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PL!$H$6</c:f>
              <c:strCache>
                <c:ptCount val="1"/>
                <c:pt idx="0">
                  <c:v>Total</c:v>
                </c:pt>
              </c:strCache>
            </c:strRef>
          </c:tx>
          <c:spPr>
            <a:solidFill>
              <a:schemeClr val="accent4">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PL!$H$7:$H$16</c:f>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c:ext xmlns:c16="http://schemas.microsoft.com/office/drawing/2014/chart" uri="{C3380CC4-5D6E-409C-BE32-E72D297353CC}">
              <c16:uniqueId val="{00000000-B382-4ADB-B2BB-C9EFD76B4FF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B382-4ADB-B2BB-C9EFD76B4FF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B382-4ADB-B2BB-C9EFD76B4FF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B382-4ADB-B2BB-C9EFD76B4FF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B382-4ADB-B2BB-C9EFD76B4FF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B382-4ADB-B2BB-C9EFD76B4FF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B382-4ADB-B2BB-C9EFD76B4FFA}"/>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PL!$K$6</c:f>
              <c:strCache>
                <c:ptCount val="1"/>
                <c:pt idx="0">
                  <c:v>Total</c:v>
                </c:pt>
              </c:strCache>
            </c:strRef>
          </c:tx>
          <c:spPr>
            <a:solidFill>
              <a:schemeClr val="accent3">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PL!$K$7:$K$16</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c:v>1.3434771012916048E-2</c:v>
                </c:pt>
                <c:pt idx="8">
                  <c:v>3.3637887252984201E-2</c:v>
                </c:pt>
                <c:pt idx="9">
                  <c:v>2.4813485090937535E-2</c:v>
                </c:pt>
              </c:numCache>
            </c:numRef>
          </c:val>
          <c:extLst>
            <c:ext xmlns:c16="http://schemas.microsoft.com/office/drawing/2014/chart" uri="{C3380CC4-5D6E-409C-BE32-E72D297353CC}">
              <c16:uniqueId val="{00000000-5B80-40A3-8268-06398716C08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5B80-40A3-8268-06398716C08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5B80-40A3-8268-06398716C08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5B80-40A3-8268-06398716C08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5B80-40A3-8268-06398716C08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5B80-40A3-8268-06398716C08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5B80-40A3-8268-06398716C08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PL!$H$6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PL!$H$7:$H$16</c15:sqref>
                        </c15:formulaRef>
                      </c:ext>
                    </c:extLst>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xmlns:c15="http://schemas.microsoft.com/office/drawing/2012/chart">
                  <c:ext xmlns:c16="http://schemas.microsoft.com/office/drawing/2014/chart" uri="{C3380CC4-5D6E-409C-BE32-E72D297353CC}">
                    <c16:uniqueId val="{00000007-5B80-40A3-8268-06398716C08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PL!$I$6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PL!$I$7:$I$16</c15:sqref>
                        </c15:formulaRef>
                      </c:ext>
                    </c:extLst>
                    <c:numCache>
                      <c:formatCode>0.0E+00</c:formatCode>
                      <c:ptCount val="10"/>
                      <c:pt idx="0">
                        <c:v>1.1280631228438964E-3</c:v>
                      </c:pt>
                      <c:pt idx="1">
                        <c:v>1.1271776694015091E-3</c:v>
                      </c:pt>
                      <c:pt idx="2">
                        <c:v>1.8314157788833225E-3</c:v>
                      </c:pt>
                      <c:pt idx="3">
                        <c:v>1.5550715850044892E-4</c:v>
                      </c:pt>
                      <c:pt idx="4">
                        <c:v>1.7044306410958904E-3</c:v>
                      </c:pt>
                      <c:pt idx="5">
                        <c:v>5.8895470962280197E-3</c:v>
                      </c:pt>
                      <c:pt idx="6">
                        <c:v>3.9941551167038576E-3</c:v>
                      </c:pt>
                      <c:pt idx="7">
                        <c:v>2.4714358052140239E-2</c:v>
                      </c:pt>
                      <c:pt idx="8">
                        <c:v>5.005876555689498E-2</c:v>
                      </c:pt>
                      <c:pt idx="9">
                        <c:v>4.2390971331324197E-2</c:v>
                      </c:pt>
                    </c:numCache>
                  </c:numRef>
                </c:val>
                <c:extLst xmlns:c15="http://schemas.microsoft.com/office/drawing/2012/chart">
                  <c:ext xmlns:c16="http://schemas.microsoft.com/office/drawing/2014/chart" uri="{C3380CC4-5D6E-409C-BE32-E72D297353CC}">
                    <c16:uniqueId val="{00000008-5B80-40A3-8268-06398716C08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PL!$J$7:$J$16</c15:sqref>
                        </c15:formulaRef>
                      </c:ext>
                    </c:extLst>
                    <c:numCache>
                      <c:formatCode>0.0E+00</c:formatCode>
                      <c:ptCount val="10"/>
                      <c:pt idx="0">
                        <c:v>9.7226729879112004E-5</c:v>
                      </c:pt>
                      <c:pt idx="5">
                        <c:v>9.2936238972479777E-5</c:v>
                      </c:pt>
                      <c:pt idx="6">
                        <c:v>2.891377483835693E-6</c:v>
                      </c:pt>
                      <c:pt idx="7">
                        <c:v>1.7906778972168132E-5</c:v>
                      </c:pt>
                      <c:pt idx="9">
                        <c:v>1.2557077625570776E-6</c:v>
                      </c:pt>
                    </c:numCache>
                  </c:numRef>
                </c:val>
                <c:extLst xmlns:c15="http://schemas.microsoft.com/office/drawing/2012/chart">
                  <c:ext xmlns:c16="http://schemas.microsoft.com/office/drawing/2014/chart" uri="{C3380CC4-5D6E-409C-BE32-E72D297353CC}">
                    <c16:uniqueId val="{00000009-5B80-40A3-8268-06398716C08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ES!$E$7:$E$16</c:f>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c:ext xmlns:c16="http://schemas.microsoft.com/office/drawing/2014/chart" uri="{C3380CC4-5D6E-409C-BE32-E72D297353CC}">
              <c16:uniqueId val="{00000000-3F89-4136-9F0D-440B4F91867F}"/>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0594537577393758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ES!$B$6</c:f>
              <c:strCache>
                <c:ptCount val="1"/>
                <c:pt idx="0">
                  <c:v>Total</c:v>
                </c:pt>
              </c:strCache>
            </c:strRef>
          </c:tx>
          <c:spPr>
            <a:solidFill>
              <a:schemeClr val="bg2">
                <a:lumMod val="5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ES!$B$7:$B$16</c:f>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0-33C9-4C0A-9976-E4F919E6BAC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ES!$H$6</c:f>
              <c:strCache>
                <c:ptCount val="1"/>
                <c:pt idx="0">
                  <c:v>Total</c:v>
                </c:pt>
              </c:strCache>
            </c:strRef>
          </c:tx>
          <c:spPr>
            <a:solidFill>
              <a:schemeClr val="accent4">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ES!$H$7:$H$16</c:f>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c:ext xmlns:c16="http://schemas.microsoft.com/office/drawing/2014/chart" uri="{C3380CC4-5D6E-409C-BE32-E72D297353CC}">
              <c16:uniqueId val="{00000000-BF30-4B3F-AD5E-F2001E54B4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BF30-4B3F-AD5E-F2001E54B4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BF30-4B3F-AD5E-F2001E54B4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BF30-4B3F-AD5E-F2001E54B4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BF30-4B3F-AD5E-F2001E54B4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BF30-4B3F-AD5E-F2001E54B4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BF30-4B3F-AD5E-F2001E54B446}"/>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ES!$K$6</c:f>
              <c:strCache>
                <c:ptCount val="1"/>
                <c:pt idx="0">
                  <c:v>Total</c:v>
                </c:pt>
              </c:strCache>
            </c:strRef>
          </c:tx>
          <c:spPr>
            <a:solidFill>
              <a:schemeClr val="accent3">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ES!$K$7:$K$16</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c:v>1.3434771012916048E-2</c:v>
                </c:pt>
                <c:pt idx="8">
                  <c:v>4.0106711724711933E-2</c:v>
                </c:pt>
                <c:pt idx="9">
                  <c:v>2.2066617895572183E-2</c:v>
                </c:pt>
              </c:numCache>
            </c:numRef>
          </c:val>
          <c:extLst>
            <c:ext xmlns:c16="http://schemas.microsoft.com/office/drawing/2014/chart" uri="{C3380CC4-5D6E-409C-BE32-E72D297353CC}">
              <c16:uniqueId val="{00000000-D8EB-4AB8-9C30-201EEA8E377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D8EB-4AB8-9C30-201EEA8E37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D8EB-4AB8-9C30-201EEA8E377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D8EB-4AB8-9C30-201EEA8E37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D8EB-4AB8-9C30-201EEA8E377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D8EB-4AB8-9C30-201EEA8E377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D8EB-4AB8-9C30-201EEA8E377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ES!$H$6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ES!$H$7:$H$16</c15:sqref>
                        </c15:formulaRef>
                      </c:ext>
                    </c:extLst>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xmlns:c15="http://schemas.microsoft.com/office/drawing/2012/chart">
                  <c:ext xmlns:c16="http://schemas.microsoft.com/office/drawing/2014/chart" uri="{C3380CC4-5D6E-409C-BE32-E72D297353CC}">
                    <c16:uniqueId val="{00000007-D8EB-4AB8-9C30-201EEA8E377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ES!$I$6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ES!$I$7:$I$16</c15:sqref>
                        </c15:formulaRef>
                      </c:ext>
                    </c:extLst>
                    <c:numCache>
                      <c:formatCode>0.0E+00</c:formatCode>
                      <c:ptCount val="10"/>
                      <c:pt idx="0">
                        <c:v>7.090894034487927E-4</c:v>
                      </c:pt>
                      <c:pt idx="1">
                        <c:v>1.1271776694015091E-3</c:v>
                      </c:pt>
                      <c:pt idx="2">
                        <c:v>1.2328818940331742E-3</c:v>
                      </c:pt>
                      <c:pt idx="3">
                        <c:v>1.8114216554261048E-4</c:v>
                      </c:pt>
                      <c:pt idx="4">
                        <c:v>1.4214090958904108E-3</c:v>
                      </c:pt>
                      <c:pt idx="5">
                        <c:v>4.3231287777774951E-3</c:v>
                      </c:pt>
                      <c:pt idx="6">
                        <c:v>4.3028087473265912E-3</c:v>
                      </c:pt>
                      <c:pt idx="7">
                        <c:v>2.4714358052140239E-2</c:v>
                      </c:pt>
                      <c:pt idx="8">
                        <c:v>5.9685451240913241E-2</c:v>
                      </c:pt>
                      <c:pt idx="9">
                        <c:v>3.7698255357990859E-2</c:v>
                      </c:pt>
                    </c:numCache>
                  </c:numRef>
                </c:val>
                <c:extLst xmlns:c15="http://schemas.microsoft.com/office/drawing/2012/chart">
                  <c:ext xmlns:c16="http://schemas.microsoft.com/office/drawing/2014/chart" uri="{C3380CC4-5D6E-409C-BE32-E72D297353CC}">
                    <c16:uniqueId val="{00000008-D8EB-4AB8-9C30-201EEA8E377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ES!$J$6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ES!$J$7:$J$16</c15:sqref>
                        </c15:formulaRef>
                      </c:ext>
                    </c:extLst>
                    <c:numCache>
                      <c:formatCode>0.0E+00</c:formatCode>
                      <c:ptCount val="10"/>
                      <c:pt idx="0">
                        <c:v>7.1722128978982932E-5</c:v>
                      </c:pt>
                      <c:pt idx="5">
                        <c:v>6.3531236662086885E-5</c:v>
                      </c:pt>
                      <c:pt idx="6">
                        <c:v>3.4013432886416845E-6</c:v>
                      </c:pt>
                      <c:pt idx="7">
                        <c:v>1.7906778972168132E-5</c:v>
                      </c:pt>
                      <c:pt idx="9">
                        <c:v>1.1415525114155249E-6</c:v>
                      </c:pt>
                    </c:numCache>
                  </c:numRef>
                </c:val>
                <c:extLst xmlns:c15="http://schemas.microsoft.com/office/drawing/2012/chart">
                  <c:ext xmlns:c16="http://schemas.microsoft.com/office/drawing/2014/chart" uri="{C3380CC4-5D6E-409C-BE32-E72D297353CC}">
                    <c16:uniqueId val="{00000009-D8EB-4AB8-9C30-201EEA8E377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SE!$E$7:$E$16</c:f>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c:ext xmlns:c16="http://schemas.microsoft.com/office/drawing/2014/chart" uri="{C3380CC4-5D6E-409C-BE32-E72D297353CC}">
              <c16:uniqueId val="{00000000-EC42-456F-BECC-DF518E75047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6112499999999999E-2"/>
              <c:y val="0.20361787353547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SE!$B$6</c:f>
              <c:strCache>
                <c:ptCount val="1"/>
                <c:pt idx="0">
                  <c:v>Total</c:v>
                </c:pt>
              </c:strCache>
            </c:strRef>
          </c:tx>
          <c:spPr>
            <a:solidFill>
              <a:schemeClr val="bg2">
                <a:lumMod val="5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SE!$B$7:$B$16</c:f>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0-EB15-44F4-8EBF-DF16BBB1A4A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SE!$H$6</c:f>
              <c:strCache>
                <c:ptCount val="1"/>
                <c:pt idx="0">
                  <c:v>Total</c:v>
                </c:pt>
              </c:strCache>
            </c:strRef>
          </c:tx>
          <c:spPr>
            <a:solidFill>
              <a:schemeClr val="accent4">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SE!$H$7:$H$16</c:f>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c:ext xmlns:c16="http://schemas.microsoft.com/office/drawing/2014/chart" uri="{C3380CC4-5D6E-409C-BE32-E72D297353CC}">
              <c16:uniqueId val="{00000000-D9F0-4D6B-B3D8-3502C24D398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9F0-4D6B-B3D8-3502C24D398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9F0-4D6B-B3D8-3502C24D398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9F0-4D6B-B3D8-3502C24D398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9F0-4D6B-B3D8-3502C24D398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9F0-4D6B-B3D8-3502C24D398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9F0-4D6B-B3D8-3502C24D398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SE!$K$6</c:f>
              <c:strCache>
                <c:ptCount val="1"/>
                <c:pt idx="0">
                  <c:v>Total</c:v>
                </c:pt>
              </c:strCache>
            </c:strRef>
          </c:tx>
          <c:spPr>
            <a:solidFill>
              <a:schemeClr val="accent3">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SE!$K$7:$K$16</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c:v>9.8629685247510705E-3</c:v>
                </c:pt>
                <c:pt idx="8">
                  <c:v>1.5183403339521178E-2</c:v>
                </c:pt>
                <c:pt idx="9">
                  <c:v>2.1038136953664154E-2</c:v>
                </c:pt>
              </c:numCache>
            </c:numRef>
          </c:val>
          <c:extLst>
            <c:ext xmlns:c16="http://schemas.microsoft.com/office/drawing/2014/chart" uri="{C3380CC4-5D6E-409C-BE32-E72D297353CC}">
              <c16:uniqueId val="{00000000-D5C6-47FE-9D04-1B07105B1403}"/>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5C6-47FE-9D04-1B07105B140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5C6-47FE-9D04-1B07105B140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5C6-47FE-9D04-1B07105B140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5C6-47FE-9D04-1B07105B140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5C6-47FE-9D04-1B07105B140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5C6-47FE-9D04-1B07105B140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SE!$H$7:$H$16</c15:sqref>
                        </c15:formulaRef>
                      </c:ext>
                    </c:extLst>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xmlns:c15="http://schemas.microsoft.com/office/drawing/2012/chart">
                  <c:ext xmlns:c16="http://schemas.microsoft.com/office/drawing/2014/chart" uri="{C3380CC4-5D6E-409C-BE32-E72D297353CC}">
                    <c16:uniqueId val="{00000007-D5C6-47FE-9D04-1B07105B140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SE!$I$7:$I$16</c15:sqref>
                        </c15:formulaRef>
                      </c:ext>
                    </c:extLst>
                    <c:numCache>
                      <c:formatCode>0.0E+00</c:formatCode>
                      <c:ptCount val="10"/>
                      <c:pt idx="0">
                        <c:v>7.4627434011575176E-4</c:v>
                      </c:pt>
                      <c:pt idx="1">
                        <c:v>1.1142256931244673E-3</c:v>
                      </c:pt>
                      <c:pt idx="2">
                        <c:v>1.2860308576996063E-3</c:v>
                      </c:pt>
                      <c:pt idx="3">
                        <c:v>1.336960759080382E-4</c:v>
                      </c:pt>
                      <c:pt idx="4">
                        <c:v>1.5185577724836214E-3</c:v>
                      </c:pt>
                      <c:pt idx="5">
                        <c:v>4.0124868884540118E-3</c:v>
                      </c:pt>
                      <c:pt idx="6">
                        <c:v>3.3151602012681447E-3</c:v>
                      </c:pt>
                      <c:pt idx="7">
                        <c:v>1.8138284900697309E-2</c:v>
                      </c:pt>
                      <c:pt idx="8">
                        <c:v>2.2595427067478434E-2</c:v>
                      </c:pt>
                      <c:pt idx="9">
                        <c:v>3.5941158575342469E-2</c:v>
                      </c:pt>
                    </c:numCache>
                  </c:numRef>
                </c:val>
                <c:extLst xmlns:c15="http://schemas.microsoft.com/office/drawing/2012/chart">
                  <c:ext xmlns:c16="http://schemas.microsoft.com/office/drawing/2014/chart" uri="{C3380CC4-5D6E-409C-BE32-E72D297353CC}">
                    <c16:uniqueId val="{00000008-D5C6-47FE-9D04-1B07105B140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SE!$J$7:$J$16</c15:sqref>
                        </c15:formulaRef>
                      </c:ext>
                    </c:extLst>
                    <c:numCache>
                      <c:formatCode>0.0E+00</c:formatCode>
                      <c:ptCount val="10"/>
                      <c:pt idx="0">
                        <c:v>7.8659367850266747E-5</c:v>
                      </c:pt>
                      <c:pt idx="5">
                        <c:v>7.5377842492910214E-5</c:v>
                      </c:pt>
                      <c:pt idx="6">
                        <c:v>2.7273075086285809E-6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D5C6-47FE-9D04-1B07105B1403}"/>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UK!$E$7:$E$16</c:f>
              <c:numCache>
                <c:formatCode>0.00</c:formatCode>
                <c:ptCount val="10"/>
                <c:pt idx="0">
                  <c:v>5.9755467165852366E-2</c:v>
                </c:pt>
                <c:pt idx="1">
                  <c:v>0.15633688348676886</c:v>
                </c:pt>
                <c:pt idx="2">
                  <c:v>8.2975369273896774E-2</c:v>
                </c:pt>
                <c:pt idx="5">
                  <c:v>0.96736197604410901</c:v>
                </c:pt>
              </c:numCache>
            </c:numRef>
          </c:val>
          <c:extLst>
            <c:ext xmlns:c16="http://schemas.microsoft.com/office/drawing/2014/chart" uri="{C3380CC4-5D6E-409C-BE32-E72D297353CC}">
              <c16:uniqueId val="{00000000-D080-4E6F-A6DC-5C8650BC248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8959103974811587E-2"/>
              <c:y val="0.211881667726727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UK!$B$6</c:f>
              <c:strCache>
                <c:ptCount val="1"/>
                <c:pt idx="0">
                  <c:v>Total</c:v>
                </c:pt>
              </c:strCache>
            </c:strRef>
          </c:tx>
          <c:spPr>
            <a:solidFill>
              <a:schemeClr val="bg2">
                <a:lumMod val="5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UK!$B$7:$B$16</c:f>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0-21E3-4B05-8EEB-C1E5ACA8EBCA}"/>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UK!$H$6</c:f>
              <c:strCache>
                <c:ptCount val="1"/>
                <c:pt idx="0">
                  <c:v>Total</c:v>
                </c:pt>
              </c:strCache>
            </c:strRef>
          </c:tx>
          <c:spPr>
            <a:solidFill>
              <a:schemeClr val="accent4">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UK!$H$7:$H$16</c:f>
              <c:numCache>
                <c:formatCode>0.0E+00</c:formatCode>
                <c:ptCount val="10"/>
                <c:pt idx="0">
                  <c:v>8.1161054556092135E-4</c:v>
                </c:pt>
                <c:pt idx="1">
                  <c:v>1.0617447322540474E-3</c:v>
                </c:pt>
                <c:pt idx="2">
                  <c:v>1.9071019891031258E-3</c:v>
                </c:pt>
                <c:pt idx="5">
                  <c:v>3.3357992018158786E-3</c:v>
                </c:pt>
              </c:numCache>
            </c:numRef>
          </c:val>
          <c:extLst>
            <c:ext xmlns:c16="http://schemas.microsoft.com/office/drawing/2014/chart" uri="{C3380CC4-5D6E-409C-BE32-E72D297353CC}">
              <c16:uniqueId val="{00000000-A980-43EC-B83D-CA338BF6CED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A980-43EC-B83D-CA338BF6CED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A980-43EC-B83D-CA338BF6CED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A980-43EC-B83D-CA338BF6CE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A980-43EC-B83D-CA338BF6CED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A980-43EC-B83D-CA338BF6CED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A980-43EC-B83D-CA338BF6CEDD}"/>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UK!$K$6</c:f>
              <c:strCache>
                <c:ptCount val="1"/>
                <c:pt idx="0">
                  <c:v>Total</c:v>
                </c:pt>
              </c:strCache>
            </c:strRef>
          </c:tx>
          <c:spPr>
            <a:solidFill>
              <a:schemeClr val="accent3">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UK!$K$7:$K$16</c:f>
              <c:numCache>
                <c:formatCode>0.0E+00</c:formatCode>
                <c:ptCount val="10"/>
                <c:pt idx="0">
                  <c:v>7.1754734475967287E-4</c:v>
                </c:pt>
                <c:pt idx="1">
                  <c:v>8.7110625476609512E-4</c:v>
                </c:pt>
                <c:pt idx="2">
                  <c:v>1.6860746523704707E-3</c:v>
                </c:pt>
                <c:pt idx="5">
                  <c:v>2.740474623614389E-3</c:v>
                </c:pt>
              </c:numCache>
            </c:numRef>
          </c:val>
          <c:extLst>
            <c:ext xmlns:c16="http://schemas.microsoft.com/office/drawing/2014/chart" uri="{C3380CC4-5D6E-409C-BE32-E72D297353CC}">
              <c16:uniqueId val="{00000000-4315-44EA-A273-B55F8A81837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4315-44EA-A273-B55F8A81837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4315-44EA-A273-B55F8A81837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4315-44EA-A273-B55F8A81837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4315-44EA-A273-B55F8A81837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4315-44EA-A273-B55F8A81837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4315-44EA-A273-B55F8A81837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UK!$H$6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UK!$H$7:$H$16</c15:sqref>
                        </c15:formulaRef>
                      </c:ext>
                    </c:extLst>
                    <c:numCache>
                      <c:formatCode>0.0E+00</c:formatCode>
                      <c:ptCount val="10"/>
                      <c:pt idx="0">
                        <c:v>8.1161054556092135E-4</c:v>
                      </c:pt>
                      <c:pt idx="1">
                        <c:v>1.0617447322540474E-3</c:v>
                      </c:pt>
                      <c:pt idx="2">
                        <c:v>1.9071019891031258E-3</c:v>
                      </c:pt>
                      <c:pt idx="5">
                        <c:v>3.3357992018158786E-3</c:v>
                      </c:pt>
                    </c:numCache>
                  </c:numRef>
                </c:val>
                <c:extLst xmlns:c15="http://schemas.microsoft.com/office/drawing/2012/chart">
                  <c:ext xmlns:c16="http://schemas.microsoft.com/office/drawing/2014/chart" uri="{C3380CC4-5D6E-409C-BE32-E72D297353CC}">
                    <c16:uniqueId val="{00000007-4315-44EA-A273-B55F8A81837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UK!$I$6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UK!$I$7:$I$16</c15:sqref>
                        </c15:formulaRef>
                      </c:ext>
                    </c:extLst>
                    <c:numCache>
                      <c:formatCode>0.0E+00</c:formatCode>
                      <c:ptCount val="10"/>
                      <c:pt idx="0">
                        <c:v>7.3700654077401423E-4</c:v>
                      </c:pt>
                      <c:pt idx="1">
                        <c:v>1.0617447322540474E-3</c:v>
                      </c:pt>
                      <c:pt idx="2">
                        <c:v>1.9071019891031258E-3</c:v>
                      </c:pt>
                      <c:pt idx="5">
                        <c:v>3.2788498988104786E-3</c:v>
                      </c:pt>
                    </c:numCache>
                  </c:numRef>
                </c:val>
                <c:extLst xmlns:c15="http://schemas.microsoft.com/office/drawing/2012/chart">
                  <c:ext xmlns:c16="http://schemas.microsoft.com/office/drawing/2014/chart" uri="{C3380CC4-5D6E-409C-BE32-E72D297353CC}">
                    <c16:uniqueId val="{00000008-4315-44EA-A273-B55F8A81837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UK!$J$6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UK!$J$7:$J$16</c15:sqref>
                        </c15:formulaRef>
                      </c:ext>
                    </c:extLst>
                    <c:numCache>
                      <c:formatCode>0.0E+00</c:formatCode>
                      <c:ptCount val="10"/>
                      <c:pt idx="0">
                        <c:v>7.4604004786907137E-5</c:v>
                      </c:pt>
                      <c:pt idx="5">
                        <c:v>5.6949303005400094E-5</c:v>
                      </c:pt>
                    </c:numCache>
                  </c:numRef>
                </c:val>
                <c:extLst xmlns:c15="http://schemas.microsoft.com/office/drawing/2012/chart">
                  <c:ext xmlns:c16="http://schemas.microsoft.com/office/drawing/2014/chart" uri="{C3380CC4-5D6E-409C-BE32-E72D297353CC}">
                    <c16:uniqueId val="{00000009-4315-44EA-A273-B55F8A818377}"/>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NZ!$E$7:$E$16</c:f>
              <c:numCache>
                <c:formatCode>0.00</c:formatCode>
                <c:ptCount val="10"/>
                <c:pt idx="5">
                  <c:v>0.87472882974489896</c:v>
                </c:pt>
              </c:numCache>
            </c:numRef>
          </c:val>
          <c:extLst>
            <c:ext xmlns:c16="http://schemas.microsoft.com/office/drawing/2014/chart" uri="{C3380CC4-5D6E-409C-BE32-E72D297353CC}">
              <c16:uniqueId val="{00000000-31B7-4D1C-BBAD-8F828A832DC9}"/>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1.8473611111111114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NZ!$B$6</c:f>
              <c:strCache>
                <c:ptCount val="1"/>
                <c:pt idx="0">
                  <c:v>Total</c:v>
                </c:pt>
              </c:strCache>
            </c:strRef>
          </c:tx>
          <c:spPr>
            <a:solidFill>
              <a:schemeClr val="bg2">
                <a:lumMod val="5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NZ!$B$7:$B$16</c:f>
              <c:numCache>
                <c:formatCode>0.00</c:formatCode>
                <c:ptCount val="10"/>
                <c:pt idx="5">
                  <c:v>3.0615509041071465</c:v>
                </c:pt>
              </c:numCache>
            </c:numRef>
          </c:val>
          <c:extLst>
            <c:ext xmlns:c16="http://schemas.microsoft.com/office/drawing/2014/chart" uri="{C3380CC4-5D6E-409C-BE32-E72D297353CC}">
              <c16:uniqueId val="{00000000-E3AB-4FE4-993C-B139AE6084E2}"/>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NZ!$H$6</c:f>
              <c:strCache>
                <c:ptCount val="1"/>
                <c:pt idx="0">
                  <c:v>Total</c:v>
                </c:pt>
              </c:strCache>
            </c:strRef>
          </c:tx>
          <c:spPr>
            <a:solidFill>
              <a:schemeClr val="accent4">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NZ!$H$7:$H$16</c:f>
              <c:numCache>
                <c:formatCode>0.0E+00</c:formatCode>
                <c:ptCount val="10"/>
                <c:pt idx="5">
                  <c:v>1.0112861491628616E-4</c:v>
                </c:pt>
              </c:numCache>
            </c:numRef>
          </c:val>
          <c:extLst>
            <c:ext xmlns:c16="http://schemas.microsoft.com/office/drawing/2014/chart" uri="{C3380CC4-5D6E-409C-BE32-E72D297353CC}">
              <c16:uniqueId val="{00000000-58B5-4CD3-9455-E73A757020C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58B5-4CD3-9455-E73A757020C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58B5-4CD3-9455-E73A757020C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58B5-4CD3-9455-E73A757020C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58B5-4CD3-9455-E73A757020C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58B5-4CD3-9455-E73A757020C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58B5-4CD3-9455-E73A757020C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NZ!$K$6</c:f>
              <c:strCache>
                <c:ptCount val="1"/>
                <c:pt idx="0">
                  <c:v>Total</c:v>
                </c:pt>
              </c:strCache>
            </c:strRef>
          </c:tx>
          <c:spPr>
            <a:solidFill>
              <a:schemeClr val="accent3">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NZ!$K$7:$K$16</c:f>
              <c:numCache>
                <c:formatCode>0.0E+00</c:formatCode>
                <c:ptCount val="10"/>
                <c:pt idx="5">
                  <c:v>8.783330504173403E-5</c:v>
                </c:pt>
              </c:numCache>
            </c:numRef>
          </c:val>
          <c:extLst>
            <c:ext xmlns:c16="http://schemas.microsoft.com/office/drawing/2014/chart" uri="{C3380CC4-5D6E-409C-BE32-E72D297353CC}">
              <c16:uniqueId val="{00000000-E800-43D7-9ADC-1ACABE31111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E800-43D7-9ADC-1ACABE31111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E800-43D7-9ADC-1ACABE31111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E800-43D7-9ADC-1ACABE31111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E800-43D7-9ADC-1ACABE31111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E800-43D7-9ADC-1ACABE31111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E800-43D7-9ADC-1ACABE31111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NZ!$H$6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NZ!$H$7:$H$16</c15:sqref>
                        </c15:formulaRef>
                      </c:ext>
                    </c:extLst>
                    <c:numCache>
                      <c:formatCode>0.0E+00</c:formatCode>
                      <c:ptCount val="10"/>
                      <c:pt idx="5">
                        <c:v>1.0112861491628616E-4</c:v>
                      </c:pt>
                    </c:numCache>
                  </c:numRef>
                </c:val>
                <c:extLst xmlns:c15="http://schemas.microsoft.com/office/drawing/2012/chart">
                  <c:ext xmlns:c16="http://schemas.microsoft.com/office/drawing/2014/chart" uri="{C3380CC4-5D6E-409C-BE32-E72D297353CC}">
                    <c16:uniqueId val="{00000007-E800-43D7-9ADC-1ACABE31111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NZ!$I$6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NZ!$I$7:$I$16</c15:sqref>
                        </c15:formulaRef>
                      </c:ext>
                    </c:extLst>
                    <c:numCache>
                      <c:formatCode>0.0E+00</c:formatCode>
                      <c:ptCount val="10"/>
                      <c:pt idx="5">
                        <c:v>2.4739726027397261E-5</c:v>
                      </c:pt>
                    </c:numCache>
                  </c:numRef>
                </c:val>
                <c:extLst xmlns:c15="http://schemas.microsoft.com/office/drawing/2012/chart">
                  <c:ext xmlns:c16="http://schemas.microsoft.com/office/drawing/2014/chart" uri="{C3380CC4-5D6E-409C-BE32-E72D297353CC}">
                    <c16:uniqueId val="{00000008-E800-43D7-9ADC-1ACABE31111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NZ!$J$6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NZ!$J$7:$J$16</c15:sqref>
                        </c15:formulaRef>
                      </c:ext>
                    </c:extLst>
                    <c:numCache>
                      <c:formatCode>0.0E+00</c:formatCode>
                      <c:ptCount val="10"/>
                      <c:pt idx="5">
                        <c:v>7.6388888888888887E-5</c:v>
                      </c:pt>
                    </c:numCache>
                  </c:numRef>
                </c:val>
                <c:extLst xmlns:c15="http://schemas.microsoft.com/office/drawing/2012/chart">
                  <c:ext xmlns:c16="http://schemas.microsoft.com/office/drawing/2014/chart" uri="{C3380CC4-5D6E-409C-BE32-E72D297353CC}">
                    <c16:uniqueId val="{00000009-E800-43D7-9ADC-1ACABE31111A}"/>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Wild!$E$7:$E$15</c:f>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c:ext xmlns:c16="http://schemas.microsoft.com/office/drawing/2014/chart" uri="{C3380CC4-5D6E-409C-BE32-E72D297353CC}">
              <c16:uniqueId val="{00000000-26E1-4E88-BAB9-D276DCB67AE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Wild!$B$6</c:f>
              <c:strCache>
                <c:ptCount val="1"/>
                <c:pt idx="0">
                  <c:v>Total</c:v>
                </c:pt>
              </c:strCache>
            </c:strRef>
          </c:tx>
          <c:spPr>
            <a:solidFill>
              <a:schemeClr val="bg2">
                <a:lumMod val="5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Wild!$B$7:$B$15</c:f>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0-C944-4E7B-AB0D-5FE5239F8D8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Wild!$H$6</c:f>
              <c:strCache>
                <c:ptCount val="1"/>
                <c:pt idx="0">
                  <c:v>Total</c:v>
                </c:pt>
              </c:strCache>
            </c:strRef>
          </c:tx>
          <c:spPr>
            <a:solidFill>
              <a:schemeClr val="accent4">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Wild!$H$7:$H$15</c:f>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c:ext xmlns:c16="http://schemas.microsoft.com/office/drawing/2014/chart" uri="{C3380CC4-5D6E-409C-BE32-E72D297353CC}">
              <c16:uniqueId val="{00000000-F575-4A48-9681-7E5BE84E81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F575-4A48-9681-7E5BE84E81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F575-4A48-9681-7E5BE84E81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F575-4A48-9681-7E5BE84E81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F575-4A48-9681-7E5BE84E81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F575-4A48-9681-7E5BE84E81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F575-4A48-9681-7E5BE84E81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Wild!$K$6</c:f>
              <c:strCache>
                <c:ptCount val="1"/>
                <c:pt idx="0">
                  <c:v>Total</c:v>
                </c:pt>
              </c:strCache>
            </c:strRef>
          </c:tx>
          <c:spPr>
            <a:solidFill>
              <a:schemeClr val="accent3">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Wild!$K$7:$K$15</c:f>
              <c:numCache>
                <c:formatCode>0.0E+00</c:formatCode>
                <c:ptCount val="9"/>
                <c:pt idx="0">
                  <c:v>5.1090051275798644E-5</c:v>
                </c:pt>
                <c:pt idx="1">
                  <c:v>9.7214356978952984E-5</c:v>
                </c:pt>
                <c:pt idx="2">
                  <c:v>2.6681725708123708E-4</c:v>
                </c:pt>
                <c:pt idx="3">
                  <c:v>1.9246210246178816E-5</c:v>
                </c:pt>
                <c:pt idx="4">
                  <c:v>8.8710526813550867E-8</c:v>
                </c:pt>
                <c:pt idx="5">
                  <c:v>6.0882800608828005E-8</c:v>
                </c:pt>
                <c:pt idx="6">
                  <c:v>8.5768914491029749E-7</c:v>
                </c:pt>
                <c:pt idx="7">
                  <c:v>7.523128009824215E-6</c:v>
                </c:pt>
                <c:pt idx="8">
                  <c:v>1.0133306789473174E-5</c:v>
                </c:pt>
              </c:numCache>
            </c:numRef>
          </c:val>
          <c:extLst>
            <c:ext xmlns:c16="http://schemas.microsoft.com/office/drawing/2014/chart" uri="{C3380CC4-5D6E-409C-BE32-E72D297353CC}">
              <c16:uniqueId val="{00000000-0704-4034-91E9-E1ADAEA02E0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0704-4034-91E9-E1ADAEA02E0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0704-4034-91E9-E1ADAEA02E0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0704-4034-91E9-E1ADAEA02E0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0704-4034-91E9-E1ADAEA02E0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0704-4034-91E9-E1ADAEA02E0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0704-4034-91E9-E1ADAEA02E0D}"/>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Wild!$H$6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Wild!$H$7:$H$15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7-0704-4034-91E9-E1ADAEA02E0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Wild!$I$6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Wild!$I$7:$I$15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8-0704-4034-91E9-E1ADAEA02E0D}"/>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Wild!$J$6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Wild!$J$7:$J$15</c15:sqref>
                        </c15:formulaRef>
                      </c:ext>
                    </c:extLst>
                    <c:numCache>
                      <c:formatCode>0.0E+00</c:formatCode>
                      <c:ptCount val="9"/>
                    </c:numCache>
                  </c:numRef>
                </c:val>
                <c:extLst xmlns:c15="http://schemas.microsoft.com/office/drawing/2012/chart">
                  <c:ext xmlns:c16="http://schemas.microsoft.com/office/drawing/2014/chart" uri="{C3380CC4-5D6E-409C-BE32-E72D297353CC}">
                    <c16:uniqueId val="{00000009-0704-4034-91E9-E1ADAEA02E0D}"/>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Fig.1!$B$3</c:f>
              <c:strCache>
                <c:ptCount val="1"/>
                <c:pt idx="0">
                  <c:v>Ability</c:v>
                </c:pt>
              </c:strCache>
            </c:strRef>
          </c:tx>
          <c:spPr>
            <a:solidFill>
              <a:schemeClr val="accent2">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Fig.1!$B$4:$B$28</c:f>
              <c:numCache>
                <c:formatCode>0.00</c:formatCode>
                <c:ptCount val="25"/>
                <c:pt idx="0">
                  <c:v>0.88410303277141455</c:v>
                </c:pt>
                <c:pt idx="1">
                  <c:v>0.82044791775586834</c:v>
                </c:pt>
                <c:pt idx="2">
                  <c:v>0.88410303277141455</c:v>
                </c:pt>
                <c:pt idx="3">
                  <c:v>0.88410303277141455</c:v>
                </c:pt>
                <c:pt idx="4">
                  <c:v>0.87913616180078868</c:v>
                </c:pt>
                <c:pt idx="5">
                  <c:v>0.82044791775586834</c:v>
                </c:pt>
                <c:pt idx="6">
                  <c:v>0.87981165625279378</c:v>
                </c:pt>
                <c:pt idx="7">
                  <c:v>0.54320827892864587</c:v>
                </c:pt>
                <c:pt idx="8">
                  <c:v>0.67196797361598137</c:v>
                </c:pt>
                <c:pt idx="9">
                  <c:v>0.58534077701729459</c:v>
                </c:pt>
                <c:pt idx="10">
                  <c:v>0.30307199464420814</c:v>
                </c:pt>
                <c:pt idx="11">
                  <c:v>0.31967774941142579</c:v>
                </c:pt>
                <c:pt idx="12">
                  <c:v>4.9917805810998139E-2</c:v>
                </c:pt>
                <c:pt idx="13">
                  <c:v>0.1460824482519773</c:v>
                </c:pt>
                <c:pt idx="14">
                  <c:v>0.37054242144291522</c:v>
                </c:pt>
                <c:pt idx="15">
                  <c:v>0.93252505786404671</c:v>
                </c:pt>
                <c:pt idx="16">
                  <c:v>1</c:v>
                </c:pt>
                <c:pt idx="17">
                  <c:v>0.70880725560511382</c:v>
                </c:pt>
                <c:pt idx="18">
                  <c:v>3.9541560819636078E-2</c:v>
                </c:pt>
                <c:pt idx="19">
                  <c:v>8.8767767475785006E-2</c:v>
                </c:pt>
                <c:pt idx="21">
                  <c:v>0.88410303277141455</c:v>
                </c:pt>
                <c:pt idx="22">
                  <c:v>0.88410303277141455</c:v>
                </c:pt>
                <c:pt idx="23">
                  <c:v>0.94805646338919392</c:v>
                </c:pt>
                <c:pt idx="24">
                  <c:v>0.54320827892864587</c:v>
                </c:pt>
              </c:numCache>
            </c:numRef>
          </c:val>
          <c:extLst>
            <c:ext xmlns:c16="http://schemas.microsoft.com/office/drawing/2014/chart" uri="{C3380CC4-5D6E-409C-BE32-E72D297353CC}">
              <c16:uniqueId val="{00000000-C86D-42A1-B449-869DCDE95012}"/>
            </c:ext>
          </c:extLst>
        </c:ser>
        <c:dLbls>
          <c:showLegendKey val="0"/>
          <c:showVal val="0"/>
          <c:showCatName val="0"/>
          <c:showSerName val="0"/>
          <c:showPercent val="0"/>
          <c:showBubbleSize val="0"/>
        </c:dLbls>
        <c:gapWidth val="303"/>
        <c:overlap val="-90"/>
        <c:axId val="197967872"/>
        <c:axId val="197974112"/>
      </c:barChart>
      <c:barChart>
        <c:barDir val="col"/>
        <c:grouping val="clustered"/>
        <c:varyColors val="0"/>
        <c:ser>
          <c:idx val="1"/>
          <c:order val="1"/>
          <c:tx>
            <c:strRef>
              <c:f>Fig.1!$C$3</c:f>
              <c:strCache>
                <c:ptCount val="1"/>
                <c:pt idx="0">
                  <c:v>Suffering</c:v>
                </c:pt>
              </c:strCache>
            </c:strRef>
          </c:tx>
          <c:spPr>
            <a:solidFill>
              <a:schemeClr val="accent6">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Fig.1!$C$4:$C$28</c:f>
              <c:numCache>
                <c:formatCode>0.00</c:formatCode>
                <c:ptCount val="25"/>
                <c:pt idx="0">
                  <c:v>0.16225308732188529</c:v>
                </c:pt>
                <c:pt idx="1">
                  <c:v>0.18969213139801377</c:v>
                </c:pt>
                <c:pt idx="2">
                  <c:v>0.18111023017902814</c:v>
                </c:pt>
                <c:pt idx="3">
                  <c:v>0.22742771909171466</c:v>
                </c:pt>
                <c:pt idx="4">
                  <c:v>0.18913142857142856</c:v>
                </c:pt>
                <c:pt idx="5">
                  <c:v>0.17945330537936893</c:v>
                </c:pt>
                <c:pt idx="6">
                  <c:v>0.36613686313686317</c:v>
                </c:pt>
                <c:pt idx="7">
                  <c:v>0.21246997929606626</c:v>
                </c:pt>
                <c:pt idx="8">
                  <c:v>0.26817142857142856</c:v>
                </c:pt>
                <c:pt idx="9">
                  <c:v>0.42103714285714283</c:v>
                </c:pt>
                <c:pt idx="10">
                  <c:v>0.25057142857142856</c:v>
                </c:pt>
                <c:pt idx="11">
                  <c:v>4.1666666666666671E-2</c:v>
                </c:pt>
                <c:pt idx="12">
                  <c:v>2.3809523809523808E-2</c:v>
                </c:pt>
                <c:pt idx="13">
                  <c:v>1.1904761904761904E-2</c:v>
                </c:pt>
                <c:pt idx="14">
                  <c:v>4.1666666666666671E-2</c:v>
                </c:pt>
                <c:pt idx="15">
                  <c:v>1.9841269841269841E-4</c:v>
                </c:pt>
                <c:pt idx="16">
                  <c:v>1.9841269841269841E-4</c:v>
                </c:pt>
                <c:pt idx="17">
                  <c:v>1.9841269841269841E-4</c:v>
                </c:pt>
                <c:pt idx="18">
                  <c:v>1.9841269841269841E-4</c:v>
                </c:pt>
                <c:pt idx="19">
                  <c:v>9.9206349206349206E-5</c:v>
                </c:pt>
                <c:pt idx="21">
                  <c:v>9.9934733671275949E-2</c:v>
                </c:pt>
                <c:pt idx="22">
                  <c:v>0.13630615568100515</c:v>
                </c:pt>
                <c:pt idx="23">
                  <c:v>0.26059130348587112</c:v>
                </c:pt>
                <c:pt idx="24">
                  <c:v>0.43172161172161172</c:v>
                </c:pt>
              </c:numCache>
            </c:numRef>
          </c:val>
          <c:extLst>
            <c:ext xmlns:c16="http://schemas.microsoft.com/office/drawing/2014/chart" uri="{C3380CC4-5D6E-409C-BE32-E72D297353CC}">
              <c16:uniqueId val="{00000001-C86D-42A1-B449-869DCDE95012}"/>
            </c:ext>
          </c:extLst>
        </c:ser>
        <c:ser>
          <c:idx val="2"/>
          <c:order val="2"/>
          <c:tx>
            <c:strRef>
              <c:f>Fig.1!$D$3</c:f>
              <c:strCache>
                <c:ptCount val="1"/>
              </c:strCache>
            </c:strRef>
          </c:tx>
          <c:spPr>
            <a:no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Fig.1!$D$4:$D$28</c:f>
              <c:numCache>
                <c:formatCode>0.00</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1">
                  <c:v>1</c:v>
                </c:pt>
                <c:pt idx="22">
                  <c:v>1</c:v>
                </c:pt>
                <c:pt idx="23">
                  <c:v>1</c:v>
                </c:pt>
                <c:pt idx="24">
                  <c:v>1</c:v>
                </c:pt>
              </c:numCache>
            </c:numRef>
          </c:val>
          <c:extLst>
            <c:ext xmlns:c16="http://schemas.microsoft.com/office/drawing/2014/chart" uri="{C3380CC4-5D6E-409C-BE32-E72D297353CC}">
              <c16:uniqueId val="{00000002-C86D-42A1-B449-869DCDE95012}"/>
            </c:ext>
          </c:extLst>
        </c:ser>
        <c:dLbls>
          <c:showLegendKey val="0"/>
          <c:showVal val="0"/>
          <c:showCatName val="0"/>
          <c:showSerName val="0"/>
          <c:showPercent val="0"/>
          <c:showBubbleSize val="0"/>
        </c:dLbls>
        <c:gapWidth val="114"/>
        <c:overlap val="-97"/>
        <c:axId val="179389072"/>
        <c:axId val="179389552"/>
      </c:barChart>
      <c:catAx>
        <c:axId val="1979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74112"/>
        <c:crosses val="autoZero"/>
        <c:auto val="1"/>
        <c:lblAlgn val="ctr"/>
        <c:lblOffset val="100"/>
        <c:noMultiLvlLbl val="0"/>
      </c:catAx>
      <c:valAx>
        <c:axId val="19797411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67872"/>
        <c:crosses val="autoZero"/>
        <c:crossBetween val="between"/>
      </c:valAx>
      <c:valAx>
        <c:axId val="179389552"/>
        <c:scaling>
          <c:orientation val="minMax"/>
          <c:max val="0.4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Suffering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79389072"/>
        <c:crosses val="max"/>
        <c:crossBetween val="between"/>
      </c:valAx>
      <c:catAx>
        <c:axId val="179389072"/>
        <c:scaling>
          <c:orientation val="minMax"/>
        </c:scaling>
        <c:delete val="1"/>
        <c:axPos val="b"/>
        <c:numFmt formatCode="General" sourceLinked="1"/>
        <c:majorTickMark val="out"/>
        <c:minorTickMark val="none"/>
        <c:tickLblPos val="nextTo"/>
        <c:crossAx val="17938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2a'!$B$2</c:f>
              <c:strCache>
                <c:ptCount val="1"/>
                <c:pt idx="0">
                  <c:v>PAALA</c:v>
                </c:pt>
              </c:strCache>
            </c:strRef>
          </c:tx>
          <c:spPr>
            <a:solidFill>
              <a:schemeClr val="accent2">
                <a:lumMod val="75000"/>
              </a:schemeClr>
            </a:solidFill>
            <a:ln>
              <a:solidFill>
                <a:schemeClr val="tx1">
                  <a:lumMod val="65000"/>
                  <a:lumOff val="35000"/>
                </a:schemeClr>
              </a:solidFill>
            </a:ln>
            <a:effectLst/>
          </c:spPr>
          <c:invertIfNegative val="0"/>
          <c:cat>
            <c:strRef>
              <c:f>'Fig. 2a'!$A$3:$A$22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2a'!$B$3:$B$22</c:f>
              <c:numCache>
                <c:formatCode>0</c:formatCode>
                <c:ptCount val="20"/>
                <c:pt idx="0">
                  <c:v>101.91200681454696</c:v>
                </c:pt>
                <c:pt idx="1">
                  <c:v>67.86352278164415</c:v>
                </c:pt>
                <c:pt idx="2">
                  <c:v>11.456842109961455</c:v>
                </c:pt>
                <c:pt idx="3">
                  <c:v>9.7388298834651525</c:v>
                </c:pt>
                <c:pt idx="4">
                  <c:v>6.904012517210206</c:v>
                </c:pt>
                <c:pt idx="5">
                  <c:v>4.9145137131217602</c:v>
                </c:pt>
                <c:pt idx="6">
                  <c:v>3.571643061507237</c:v>
                </c:pt>
                <c:pt idx="7">
                  <c:v>3.5483240297317837</c:v>
                </c:pt>
                <c:pt idx="8">
                  <c:v>1.8647868715666507</c:v>
                </c:pt>
                <c:pt idx="9">
                  <c:v>0.70248667398552689</c:v>
                </c:pt>
                <c:pt idx="10">
                  <c:v>0.6761482399684895</c:v>
                </c:pt>
                <c:pt idx="11">
                  <c:v>0.45776345179189332</c:v>
                </c:pt>
                <c:pt idx="12">
                  <c:v>0.36986569781577089</c:v>
                </c:pt>
                <c:pt idx="13">
                  <c:v>0.35949635928357854</c:v>
                </c:pt>
                <c:pt idx="14">
                  <c:v>0.33958713885633385</c:v>
                </c:pt>
                <c:pt idx="15">
                  <c:v>0.27459417235858385</c:v>
                </c:pt>
                <c:pt idx="16">
                  <c:v>3.1305653789225861E-2</c:v>
                </c:pt>
                <c:pt idx="17">
                  <c:v>9.8488022875695535E-3</c:v>
                </c:pt>
                <c:pt idx="18">
                  <c:v>3.2379342286946071E-3</c:v>
                </c:pt>
                <c:pt idx="19">
                  <c:v>2.2222222222222222E-3</c:v>
                </c:pt>
              </c:numCache>
            </c:numRef>
          </c:val>
          <c:extLst>
            <c:ext xmlns:c16="http://schemas.microsoft.com/office/drawing/2014/chart" uri="{C3380CC4-5D6E-409C-BE32-E72D297353CC}">
              <c16:uniqueId val="{00000000-8CB8-4CFB-9510-51F743DED894}"/>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ax val="1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PAALA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lgCheck">
              <a:fgClr>
                <a:schemeClr val="accent2">
                  <a:lumMod val="75000"/>
                </a:schemeClr>
              </a:fgClr>
              <a:bgClr>
                <a:schemeClr val="bg1"/>
              </a:bgClr>
            </a:pattFill>
            <a:ln>
              <a:solidFill>
                <a:schemeClr val="tx1">
                  <a:lumMod val="65000"/>
                  <a:lumOff val="35000"/>
                </a:schemeClr>
              </a:solidFill>
            </a:ln>
            <a:effectLst/>
          </c:spPr>
          <c:invertIfNegative val="0"/>
          <c:cat>
            <c:strRef>
              <c:f>'Fig. 2a'!$A$11:$A$22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2a'!$B$11:$B$22</c:f>
              <c:numCache>
                <c:formatCode>0</c:formatCode>
                <c:ptCount val="12"/>
                <c:pt idx="0">
                  <c:v>1.8647868715666507</c:v>
                </c:pt>
                <c:pt idx="1">
                  <c:v>0.70248667398552689</c:v>
                </c:pt>
                <c:pt idx="2">
                  <c:v>0.6761482399684895</c:v>
                </c:pt>
                <c:pt idx="3">
                  <c:v>0.45776345179189332</c:v>
                </c:pt>
                <c:pt idx="4">
                  <c:v>0.36986569781577089</c:v>
                </c:pt>
                <c:pt idx="5">
                  <c:v>0.35949635928357854</c:v>
                </c:pt>
                <c:pt idx="6">
                  <c:v>0.33958713885633385</c:v>
                </c:pt>
                <c:pt idx="7">
                  <c:v>0.27459417235858385</c:v>
                </c:pt>
                <c:pt idx="8">
                  <c:v>3.1305653789225861E-2</c:v>
                </c:pt>
                <c:pt idx="9">
                  <c:v>9.8488022875695535E-3</c:v>
                </c:pt>
                <c:pt idx="10">
                  <c:v>3.2379342286946071E-3</c:v>
                </c:pt>
                <c:pt idx="11">
                  <c:v>2.2222222222222222E-3</c:v>
                </c:pt>
              </c:numCache>
            </c:numRef>
          </c:val>
          <c:extLst>
            <c:ext xmlns:c16="http://schemas.microsoft.com/office/drawing/2014/chart" uri="{C3380CC4-5D6E-409C-BE32-E72D297353CC}">
              <c16:uniqueId val="{00000000-7777-49AE-9300-D12E55D5510E}"/>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2b'!$B$2</c:f>
              <c:strCache>
                <c:ptCount val="1"/>
                <c:pt idx="0">
                  <c:v>ALYS</c:v>
                </c:pt>
              </c:strCache>
            </c:strRef>
          </c:tx>
          <c:spPr>
            <a:solidFill>
              <a:schemeClr val="accent4">
                <a:lumMod val="60000"/>
                <a:lumOff val="40000"/>
              </a:schemeClr>
            </a:solidFill>
            <a:ln>
              <a:solidFill>
                <a:schemeClr val="tx1">
                  <a:lumMod val="65000"/>
                  <a:lumOff val="35000"/>
                </a:schemeClr>
              </a:solidFill>
            </a:ln>
            <a:effectLst/>
          </c:spPr>
          <c:invertIfNegative val="0"/>
          <c:cat>
            <c:strRef>
              <c:f>'Fig. 2b'!$A$3:$A$22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2b'!$B$3:$B$22</c:f>
              <c:numCache>
                <c:formatCode>0.0</c:formatCode>
                <c:ptCount val="20"/>
                <c:pt idx="0">
                  <c:v>5.0517018264840181E-2</c:v>
                </c:pt>
                <c:pt idx="1">
                  <c:v>2.1427299692198299E-2</c:v>
                </c:pt>
                <c:pt idx="2">
                  <c:v>0.26344336046100186</c:v>
                </c:pt>
                <c:pt idx="3">
                  <c:v>1.8264840182648401E-3</c:v>
                </c:pt>
                <c:pt idx="4">
                  <c:v>3.185921787671233E-2</c:v>
                </c:pt>
                <c:pt idx="5">
                  <c:v>5.1836104881324355E-3</c:v>
                </c:pt>
                <c:pt idx="6">
                  <c:v>4.0413654623646629E-3</c:v>
                </c:pt>
                <c:pt idx="7">
                  <c:v>1.9474885844748856E-3</c:v>
                </c:pt>
                <c:pt idx="8">
                  <c:v>1.5981735159817354E-4</c:v>
                </c:pt>
                <c:pt idx="9">
                  <c:v>5.19406392694064E-5</c:v>
                </c:pt>
                <c:pt idx="10">
                  <c:v>1.125292484067101E-3</c:v>
                </c:pt>
                <c:pt idx="11">
                  <c:v>1.7287389648950708E-3</c:v>
                </c:pt>
                <c:pt idx="12">
                  <c:v>1.1415525114155251E-4</c:v>
                </c:pt>
                <c:pt idx="13">
                  <c:v>1.5492950684931508E-3</c:v>
                </c:pt>
                <c:pt idx="14">
                  <c:v>1.1394499280016446E-3</c:v>
                </c:pt>
                <c:pt idx="15">
                  <c:v>1.9025875190258751E-4</c:v>
                </c:pt>
                <c:pt idx="16">
                  <c:v>1.2100456621004565E-6</c:v>
                </c:pt>
                <c:pt idx="17">
                  <c:v>1.5761883223897158E-4</c:v>
                </c:pt>
                <c:pt idx="18">
                  <c:v>9.5129375951293758E-8</c:v>
                </c:pt>
                <c:pt idx="19">
                  <c:v>6.0882800608828005E-8</c:v>
                </c:pt>
              </c:numCache>
            </c:numRef>
          </c:val>
          <c:extLst>
            <c:ext xmlns:c16="http://schemas.microsoft.com/office/drawing/2014/chart" uri="{C3380CC4-5D6E-409C-BE32-E72D297353CC}">
              <c16:uniqueId val="{00000000-44B7-4386-8175-866E39A538C5}"/>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lgCheck">
              <a:fgClr>
                <a:schemeClr val="accent4">
                  <a:lumMod val="60000"/>
                  <a:lumOff val="40000"/>
                </a:schemeClr>
              </a:fgClr>
              <a:bgClr>
                <a:schemeClr val="bg1"/>
              </a:bgClr>
            </a:pattFill>
            <a:ln>
              <a:solidFill>
                <a:schemeClr val="tx1">
                  <a:lumMod val="65000"/>
                  <a:lumOff val="35000"/>
                </a:schemeClr>
              </a:solidFill>
            </a:ln>
            <a:effectLst/>
          </c:spPr>
          <c:invertIfNegative val="0"/>
          <c:cat>
            <c:strRef>
              <c:f>'Fig. 2b'!$A$11:$A$22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2b'!$B$11:$B$22</c:f>
              <c:numCache>
                <c:formatCode>0.0</c:formatCode>
                <c:ptCount val="12"/>
                <c:pt idx="0">
                  <c:v>1.5981735159817354E-4</c:v>
                </c:pt>
                <c:pt idx="1">
                  <c:v>5.19406392694064E-5</c:v>
                </c:pt>
                <c:pt idx="2">
                  <c:v>1.125292484067101E-3</c:v>
                </c:pt>
                <c:pt idx="3">
                  <c:v>1.7287389648950708E-3</c:v>
                </c:pt>
                <c:pt idx="4">
                  <c:v>1.1415525114155251E-4</c:v>
                </c:pt>
                <c:pt idx="5">
                  <c:v>1.5492950684931508E-3</c:v>
                </c:pt>
                <c:pt idx="6">
                  <c:v>1.1394499280016446E-3</c:v>
                </c:pt>
                <c:pt idx="7">
                  <c:v>1.9025875190258751E-4</c:v>
                </c:pt>
                <c:pt idx="8">
                  <c:v>1.2100456621004565E-6</c:v>
                </c:pt>
                <c:pt idx="9">
                  <c:v>1.5761883223897158E-4</c:v>
                </c:pt>
                <c:pt idx="10">
                  <c:v>9.5129375951293758E-8</c:v>
                </c:pt>
                <c:pt idx="11">
                  <c:v>6.0882800608828005E-8</c:v>
                </c:pt>
              </c:numCache>
            </c:numRef>
          </c:val>
          <c:extLst>
            <c:ext xmlns:c16="http://schemas.microsoft.com/office/drawing/2014/chart" uri="{C3380CC4-5D6E-409C-BE32-E72D297353CC}">
              <c16:uniqueId val="{00000000-99DE-40F8-B0D6-09A3E63EB69D}"/>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2c'!$B$2</c:f>
              <c:strCache>
                <c:ptCount val="1"/>
                <c:pt idx="0">
                  <c:v>PAALA</c:v>
                </c:pt>
              </c:strCache>
            </c:strRef>
          </c:tx>
          <c:spPr>
            <a:solidFill>
              <a:schemeClr val="accent3">
                <a:lumMod val="60000"/>
                <a:lumOff val="40000"/>
              </a:schemeClr>
            </a:solidFill>
            <a:ln>
              <a:solidFill>
                <a:schemeClr val="tx1">
                  <a:lumMod val="65000"/>
                  <a:lumOff val="35000"/>
                </a:schemeClr>
              </a:solidFill>
            </a:ln>
            <a:effectLst/>
          </c:spPr>
          <c:invertIfNegative val="0"/>
          <c:cat>
            <c:strRef>
              <c:f>'Fig. 2c'!$A$3:$A$22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2c'!$B$3:$B$22</c:f>
              <c:numCache>
                <c:formatCode>0.00</c:formatCode>
                <c:ptCount val="20"/>
                <c:pt idx="0">
                  <c:v>3.3945818396546174E-2</c:v>
                </c:pt>
                <c:pt idx="1">
                  <c:v>1.163948658788734E-2</c:v>
                </c:pt>
                <c:pt idx="2">
                  <c:v>7.9842304730688957E-2</c:v>
                </c:pt>
                <c:pt idx="3">
                  <c:v>2.6681725708123708E-4</c:v>
                </c:pt>
                <c:pt idx="4">
                  <c:v>1.8648499347118076E-2</c:v>
                </c:pt>
                <c:pt idx="5">
                  <c:v>4.2571824947300321E-3</c:v>
                </c:pt>
                <c:pt idx="6">
                  <c:v>3.5558226828214783E-3</c:v>
                </c:pt>
                <c:pt idx="7">
                  <c:v>9.7214356978952984E-5</c:v>
                </c:pt>
                <c:pt idx="8">
                  <c:v>5.1090051275798644E-5</c:v>
                </c:pt>
                <c:pt idx="9">
                  <c:v>1.9246210246178816E-5</c:v>
                </c:pt>
                <c:pt idx="10">
                  <c:v>9.2324387541918172E-4</c:v>
                </c:pt>
                <c:pt idx="11">
                  <c:v>1.5283833617338481E-3</c:v>
                </c:pt>
                <c:pt idx="12">
                  <c:v>1.0133306789473174E-5</c:v>
                </c:pt>
                <c:pt idx="13">
                  <c:v>1.3620413200119588E-3</c:v>
                </c:pt>
                <c:pt idx="14">
                  <c:v>1.007391137037424E-3</c:v>
                </c:pt>
                <c:pt idx="15">
                  <c:v>7.523128009824215E-6</c:v>
                </c:pt>
                <c:pt idx="16">
                  <c:v>8.5768914491029749E-7</c:v>
                </c:pt>
                <c:pt idx="17">
                  <c:v>1.3935128760436357E-4</c:v>
                </c:pt>
                <c:pt idx="18">
                  <c:v>8.8710526813550867E-8</c:v>
                </c:pt>
                <c:pt idx="19">
                  <c:v>6.0882800608828005E-8</c:v>
                </c:pt>
              </c:numCache>
            </c:numRef>
          </c:val>
          <c:extLst>
            <c:ext xmlns:c16="http://schemas.microsoft.com/office/drawing/2014/chart" uri="{C3380CC4-5D6E-409C-BE32-E72D297353CC}">
              <c16:uniqueId val="{00000000-B2EA-44C7-9E99-1C73DA92FE7E}"/>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pattFill prst="sphere">
              <a:fgClr>
                <a:schemeClr val="accent3">
                  <a:lumMod val="60000"/>
                  <a:lumOff val="40000"/>
                </a:schemeClr>
              </a:fgClr>
              <a:bgClr>
                <a:schemeClr val="bg1"/>
              </a:bgClr>
            </a:pattFill>
            <a:ln>
              <a:solidFill>
                <a:schemeClr val="tx1">
                  <a:lumMod val="65000"/>
                  <a:lumOff val="35000"/>
                </a:schemeClr>
              </a:solidFill>
            </a:ln>
            <a:effectLst/>
          </c:spPr>
          <c:invertIfNegative val="0"/>
          <c:cat>
            <c:strRef>
              <c:f>'Fig. 2c'!$A$11:$A$22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2c'!$B$11:$B$22</c:f>
              <c:numCache>
                <c:formatCode>0.00</c:formatCode>
                <c:ptCount val="12"/>
                <c:pt idx="0">
                  <c:v>5.1090051275798644E-5</c:v>
                </c:pt>
                <c:pt idx="1">
                  <c:v>1.9246210246178816E-5</c:v>
                </c:pt>
                <c:pt idx="2">
                  <c:v>9.2324387541918172E-4</c:v>
                </c:pt>
                <c:pt idx="3">
                  <c:v>1.5283833617338481E-3</c:v>
                </c:pt>
                <c:pt idx="4">
                  <c:v>1.0133306789473174E-5</c:v>
                </c:pt>
                <c:pt idx="5">
                  <c:v>1.3620413200119588E-3</c:v>
                </c:pt>
                <c:pt idx="6">
                  <c:v>1.007391137037424E-3</c:v>
                </c:pt>
                <c:pt idx="7">
                  <c:v>7.523128009824215E-6</c:v>
                </c:pt>
                <c:pt idx="8">
                  <c:v>8.5768914491029749E-7</c:v>
                </c:pt>
                <c:pt idx="9">
                  <c:v>1.3935128760436357E-4</c:v>
                </c:pt>
                <c:pt idx="10">
                  <c:v>8.8710526813550867E-8</c:v>
                </c:pt>
                <c:pt idx="11">
                  <c:v>6.0882800608828005E-8</c:v>
                </c:pt>
              </c:numCache>
            </c:numRef>
          </c:val>
          <c:extLst>
            <c:ext xmlns:c16="http://schemas.microsoft.com/office/drawing/2014/chart" uri="{C3380CC4-5D6E-409C-BE32-E72D297353CC}">
              <c16:uniqueId val="{00000000-97D6-41DA-8968-4CDA0B21E5DB}"/>
            </c:ext>
          </c:extLst>
        </c:ser>
        <c:dLbls>
          <c:showLegendKey val="0"/>
          <c:showVal val="0"/>
          <c:showCatName val="0"/>
          <c:showSerName val="0"/>
          <c:showPercent val="0"/>
          <c:showBubbleSize val="0"/>
        </c:dLbls>
        <c:gapWidth val="15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04846307257442E-2"/>
          <c:y val="1.9140555972029079E-2"/>
          <c:w val="0.88137566775049658"/>
          <c:h val="0.70224368859683306"/>
        </c:manualLayout>
      </c:layout>
      <c:lineChart>
        <c:grouping val="standard"/>
        <c:varyColors val="0"/>
        <c:ser>
          <c:idx val="1"/>
          <c:order val="1"/>
          <c:tx>
            <c:strRef>
              <c:f>'Fig. 3'!$A$19</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CF3E-4B53-9A59-74F8A2D68C77}"/>
            </c:ext>
          </c:extLst>
        </c:ser>
        <c:ser>
          <c:idx val="2"/>
          <c:order val="2"/>
          <c:tx>
            <c:strRef>
              <c:f>'Fig. 3'!$A$20</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CF3E-4B53-9A59-74F8A2D68C77}"/>
            </c:ext>
          </c:extLst>
        </c:ser>
        <c:ser>
          <c:idx val="3"/>
          <c:order val="3"/>
          <c:tx>
            <c:strRef>
              <c:f>'Fig. 3'!$A$21</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CF3E-4B53-9A59-74F8A2D68C77}"/>
            </c:ext>
          </c:extLst>
        </c:ser>
        <c:ser>
          <c:idx val="4"/>
          <c:order val="4"/>
          <c:tx>
            <c:strRef>
              <c:f>'Fig. 3'!$A$22</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CF3E-4B53-9A59-74F8A2D68C77}"/>
            </c:ext>
          </c:extLst>
        </c:ser>
        <c:ser>
          <c:idx val="5"/>
          <c:order val="5"/>
          <c:tx>
            <c:strRef>
              <c:f>'Fig. 3'!$A$23</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CF3E-4B53-9A59-74F8A2D68C77}"/>
            </c:ext>
          </c:extLst>
        </c:ser>
        <c:ser>
          <c:idx val="6"/>
          <c:order val="6"/>
          <c:tx>
            <c:strRef>
              <c:f>'Fig. 3'!$A$24</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CF3E-4B53-9A59-74F8A2D68C77}"/>
            </c:ext>
          </c:extLst>
        </c:ser>
        <c:ser>
          <c:idx val="7"/>
          <c:order val="7"/>
          <c:tx>
            <c:strRef>
              <c:f>'Fig. 3'!$A$25</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CF3E-4B53-9A59-74F8A2D68C77}"/>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CF3E-4B53-9A59-74F8A2D68C77}"/>
            </c:ext>
          </c:extLst>
        </c:ser>
        <c:ser>
          <c:idx val="9"/>
          <c:order val="9"/>
          <c:tx>
            <c:strRef>
              <c:f>'Fig. 3'!$A$27</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CF3E-4B53-9A59-74F8A2D68C77}"/>
            </c:ext>
          </c:extLst>
        </c:ser>
        <c:ser>
          <c:idx val="10"/>
          <c:order val="10"/>
          <c:tx>
            <c:strRef>
              <c:f>'Fig. 3'!$A$28</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CF3E-4B53-9A59-74F8A2D68C77}"/>
            </c:ext>
          </c:extLst>
        </c:ser>
        <c:ser>
          <c:idx val="11"/>
          <c:order val="11"/>
          <c:tx>
            <c:strRef>
              <c:f>'Fig. 3'!$A$29</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CF3E-4B53-9A59-74F8A2D68C77}"/>
            </c:ext>
          </c:extLst>
        </c:ser>
        <c:ser>
          <c:idx val="12"/>
          <c:order val="12"/>
          <c:tx>
            <c:strRef>
              <c:f>'Fig. 3'!$A$30</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CF3E-4B53-9A59-74F8A2D68C77}"/>
            </c:ext>
          </c:extLst>
        </c:ser>
        <c:ser>
          <c:idx val="13"/>
          <c:order val="13"/>
          <c:tx>
            <c:strRef>
              <c:f>'Fig. 3'!$A$31</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CF3E-4B53-9A59-74F8A2D68C77}"/>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3'!$A$18</c15:sqref>
                        </c15:formulaRef>
                      </c:ext>
                    </c:extLst>
                    <c:strCache>
                      <c:ptCount val="1"/>
                      <c:pt idx="0">
                        <c:v>Perception Adjusted Animal Life Years Spent (PAALYS)</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3'!$B$18:$K$18</c15:sqref>
                        </c15:formulaRef>
                      </c:ext>
                    </c:extLst>
                    <c:numCache>
                      <c:formatCode>General</c:formatCode>
                      <c:ptCount val="10"/>
                    </c:numCache>
                  </c:numRef>
                </c:val>
                <c:smooth val="0"/>
                <c:extLst>
                  <c:ext xmlns:c16="http://schemas.microsoft.com/office/drawing/2014/chart" uri="{C3380CC4-5D6E-409C-BE32-E72D297353CC}">
                    <c16:uniqueId val="{0000000D-CF3E-4B53-9A59-74F8A2D68C77}"/>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04400"/>
        <c:crosses val="autoZero"/>
        <c:crossBetween val="between"/>
      </c:valAx>
      <c:spPr>
        <a:noFill/>
        <a:ln>
          <a:noFill/>
        </a:ln>
        <a:effectLst/>
      </c:spPr>
    </c:plotArea>
    <c:legend>
      <c:legendPos val="b"/>
      <c:layout>
        <c:manualLayout>
          <c:xMode val="edge"/>
          <c:yMode val="edge"/>
          <c:x val="5.0803884263270926E-2"/>
          <c:y val="0.80568798646211814"/>
          <c:w val="0.92430913988622232"/>
          <c:h val="0.17316254256608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'Fig. 3'!$A$5</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3'!$B$5:$K$5</c:f>
              <c:numCache>
                <c:formatCode>0.00</c:formatCode>
                <c:ptCount val="10"/>
                <c:pt idx="0">
                  <c:v>0.31576873779158926</c:v>
                </c:pt>
                <c:pt idx="1">
                  <c:v>0.57829644413894088</c:v>
                </c:pt>
                <c:pt idx="2">
                  <c:v>0.32507460968253632</c:v>
                </c:pt>
                <c:pt idx="3" formatCode="0.000">
                  <c:v>8.5380740270760303E-3</c:v>
                </c:pt>
                <c:pt idx="4">
                  <c:v>0.3462038205171506</c:v>
                </c:pt>
                <c:pt idx="5">
                  <c:v>4.122401207708533</c:v>
                </c:pt>
                <c:pt idx="6">
                  <c:v>3.681157952250719</c:v>
                </c:pt>
                <c:pt idx="7">
                  <c:v>70.338715502387515</c:v>
                </c:pt>
                <c:pt idx="9">
                  <c:v>6.7130158850058992</c:v>
                </c:pt>
              </c:numCache>
            </c:numRef>
          </c:val>
          <c:smooth val="0"/>
          <c:extLst>
            <c:ext xmlns:c16="http://schemas.microsoft.com/office/drawing/2014/chart" uri="{C3380CC4-5D6E-409C-BE32-E72D297353CC}">
              <c16:uniqueId val="{00000001-5742-46E4-BA21-E3E47D273602}"/>
            </c:ext>
          </c:extLst>
        </c:ser>
        <c:ser>
          <c:idx val="2"/>
          <c:order val="2"/>
          <c:tx>
            <c:strRef>
              <c:f>'Fig. 3'!$A$6</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3'!$B$6:$K$6</c:f>
              <c:numCache>
                <c:formatCode>0.00</c:formatCode>
                <c:ptCount val="10"/>
                <c:pt idx="0">
                  <c:v>0.30083658621305265</c:v>
                </c:pt>
                <c:pt idx="1">
                  <c:v>0.74383519318334856</c:v>
                </c:pt>
                <c:pt idx="2">
                  <c:v>0.39939441182216567</c:v>
                </c:pt>
                <c:pt idx="3" formatCode="0.000">
                  <c:v>8.4023562912709029E-3</c:v>
                </c:pt>
                <c:pt idx="4">
                  <c:v>0.41846881301717542</c:v>
                </c:pt>
                <c:pt idx="5">
                  <c:v>4.5747956459451755</c:v>
                </c:pt>
                <c:pt idx="6">
                  <c:v>3.7605990113536159</c:v>
                </c:pt>
                <c:pt idx="7">
                  <c:v>76.379314647983435</c:v>
                </c:pt>
                <c:pt idx="8" formatCode="0.0">
                  <c:v>121.28923368465666</c:v>
                </c:pt>
                <c:pt idx="9">
                  <c:v>6.8057357518849253</c:v>
                </c:pt>
              </c:numCache>
            </c:numRef>
          </c:val>
          <c:smooth val="0"/>
          <c:extLst>
            <c:ext xmlns:c16="http://schemas.microsoft.com/office/drawing/2014/chart" uri="{C3380CC4-5D6E-409C-BE32-E72D297353CC}">
              <c16:uniqueId val="{00000002-5742-46E4-BA21-E3E47D273602}"/>
            </c:ext>
          </c:extLst>
        </c:ser>
        <c:ser>
          <c:idx val="3"/>
          <c:order val="3"/>
          <c:tx>
            <c:strRef>
              <c:f>'Fig. 3'!$A$7</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3'!$B$7:$K$7</c:f>
              <c:numCache>
                <c:formatCode>0.00</c:formatCode>
                <c:ptCount val="10"/>
                <c:pt idx="0">
                  <c:v>0.33958713885633385</c:v>
                </c:pt>
                <c:pt idx="1">
                  <c:v>0.6761482399684895</c:v>
                </c:pt>
                <c:pt idx="2">
                  <c:v>0.45776345179189332</c:v>
                </c:pt>
                <c:pt idx="3" formatCode="0.000">
                  <c:v>9.8488022875695535E-3</c:v>
                </c:pt>
                <c:pt idx="4">
                  <c:v>0.35949635928357854</c:v>
                </c:pt>
                <c:pt idx="5">
                  <c:v>4.9145137131217602</c:v>
                </c:pt>
                <c:pt idx="6">
                  <c:v>3.571643061507237</c:v>
                </c:pt>
                <c:pt idx="7">
                  <c:v>67.86352278164415</c:v>
                </c:pt>
                <c:pt idx="8" formatCode="0.0">
                  <c:v>101.91200681454696</c:v>
                </c:pt>
                <c:pt idx="9">
                  <c:v>6.904012517210206</c:v>
                </c:pt>
              </c:numCache>
            </c:numRef>
          </c:val>
          <c:smooth val="0"/>
          <c:extLst>
            <c:ext xmlns:c16="http://schemas.microsoft.com/office/drawing/2014/chart" uri="{C3380CC4-5D6E-409C-BE32-E72D297353CC}">
              <c16:uniqueId val="{00000003-5742-46E4-BA21-E3E47D273602}"/>
            </c:ext>
          </c:extLst>
        </c:ser>
        <c:ser>
          <c:idx val="4"/>
          <c:order val="4"/>
          <c:tx>
            <c:strRef>
              <c:f>'Fig. 3'!$A$8</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3'!$B$8:$K$8</c:f>
              <c:numCache>
                <c:formatCode>0.00</c:formatCode>
                <c:ptCount val="10"/>
                <c:pt idx="0">
                  <c:v>0.34502624713922819</c:v>
                </c:pt>
                <c:pt idx="1">
                  <c:v>0.74383519318334856</c:v>
                </c:pt>
                <c:pt idx="2">
                  <c:v>0.46232468480418876</c:v>
                </c:pt>
                <c:pt idx="3" formatCode="0.000">
                  <c:v>1.2843847601606386E-2</c:v>
                </c:pt>
                <c:pt idx="4">
                  <c:v>0.41952377641133637</c:v>
                </c:pt>
                <c:pt idx="5">
                  <c:v>3.829680259377557</c:v>
                </c:pt>
                <c:pt idx="6">
                  <c:v>3.6851588734859804</c:v>
                </c:pt>
                <c:pt idx="7">
                  <c:v>76.375945434990129</c:v>
                </c:pt>
                <c:pt idx="8" formatCode="0.0">
                  <c:v>102.70459303942701</c:v>
                </c:pt>
                <c:pt idx="9">
                  <c:v>9.9251216624319838</c:v>
                </c:pt>
              </c:numCache>
            </c:numRef>
          </c:val>
          <c:smooth val="0"/>
          <c:extLst>
            <c:ext xmlns:c16="http://schemas.microsoft.com/office/drawing/2014/chart" uri="{C3380CC4-5D6E-409C-BE32-E72D297353CC}">
              <c16:uniqueId val="{00000004-5742-46E4-BA21-E3E47D273602}"/>
            </c:ext>
          </c:extLst>
        </c:ser>
        <c:ser>
          <c:idx val="5"/>
          <c:order val="5"/>
          <c:tx>
            <c:strRef>
              <c:f>'Fig. 3'!$A$9</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3'!$B$9:$K$9</c:f>
              <c:numCache>
                <c:formatCode>0.00</c:formatCode>
                <c:ptCount val="10"/>
                <c:pt idx="0">
                  <c:v>0.36485398972047356</c:v>
                </c:pt>
                <c:pt idx="1">
                  <c:v>0.74383519318334856</c:v>
                </c:pt>
                <c:pt idx="2">
                  <c:v>0.48629812213067392</c:v>
                </c:pt>
                <c:pt idx="3" formatCode="0.000">
                  <c:v>1.3130923271980016E-2</c:v>
                </c:pt>
                <c:pt idx="4">
                  <c:v>0.44273297108287724</c:v>
                </c:pt>
                <c:pt idx="5">
                  <c:v>5.9505123897046435</c:v>
                </c:pt>
                <c:pt idx="6">
                  <c:v>3.5752122260616277</c:v>
                </c:pt>
                <c:pt idx="7">
                  <c:v>76.364102407618148</c:v>
                </c:pt>
                <c:pt idx="8" formatCode="0.0">
                  <c:v>102.70459303942701</c:v>
                </c:pt>
                <c:pt idx="9" formatCode="0.0">
                  <c:v>10.4238554180818</c:v>
                </c:pt>
              </c:numCache>
            </c:numRef>
          </c:val>
          <c:smooth val="0"/>
          <c:extLst>
            <c:ext xmlns:c16="http://schemas.microsoft.com/office/drawing/2014/chart" uri="{C3380CC4-5D6E-409C-BE32-E72D297353CC}">
              <c16:uniqueId val="{00000005-5742-46E4-BA21-E3E47D273602}"/>
            </c:ext>
          </c:extLst>
        </c:ser>
        <c:ser>
          <c:idx val="6"/>
          <c:order val="6"/>
          <c:tx>
            <c:strRef>
              <c:f>'Fig. 3'!$A$10</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3'!$B$10:$K$10</c:f>
              <c:numCache>
                <c:formatCode>0.00</c:formatCode>
                <c:ptCount val="10"/>
                <c:pt idx="0">
                  <c:v>0.30763517071386332</c:v>
                </c:pt>
                <c:pt idx="1">
                  <c:v>0.74383519318334856</c:v>
                </c:pt>
                <c:pt idx="2">
                  <c:v>0.40538777115378694</c:v>
                </c:pt>
                <c:pt idx="3" formatCode="0.000">
                  <c:v>8.2186344143383248E-3</c:v>
                </c:pt>
                <c:pt idx="4">
                  <c:v>0.43830212482740122</c:v>
                </c:pt>
                <c:pt idx="5">
                  <c:v>3.5479605661101381</c:v>
                </c:pt>
                <c:pt idx="6">
                  <c:v>3.5621390083309037</c:v>
                </c:pt>
                <c:pt idx="7">
                  <c:v>76.375945434990129</c:v>
                </c:pt>
                <c:pt idx="9">
                  <c:v>7.3535891304862409</c:v>
                </c:pt>
              </c:numCache>
            </c:numRef>
          </c:val>
          <c:smooth val="0"/>
          <c:extLst>
            <c:ext xmlns:c16="http://schemas.microsoft.com/office/drawing/2014/chart" uri="{C3380CC4-5D6E-409C-BE32-E72D297353CC}">
              <c16:uniqueId val="{00000006-5742-46E4-BA21-E3E47D273602}"/>
            </c:ext>
          </c:extLst>
        </c:ser>
        <c:ser>
          <c:idx val="7"/>
          <c:order val="7"/>
          <c:tx>
            <c:strRef>
              <c:f>'Fig. 3'!$A$11</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3'!$B$11:$K$11</c:f>
              <c:numCache>
                <c:formatCode>0.00</c:formatCode>
                <c:ptCount val="10"/>
                <c:pt idx="0">
                  <c:v>0.41127979625147598</c:v>
                </c:pt>
                <c:pt idx="1">
                  <c:v>0.74383519318334856</c:v>
                </c:pt>
                <c:pt idx="2">
                  <c:v>0.5522250747785078</c:v>
                </c:pt>
                <c:pt idx="3" formatCode="0.000">
                  <c:v>1.1186496781727206E-2</c:v>
                </c:pt>
                <c:pt idx="4">
                  <c:v>0.44484289787119907</c:v>
                </c:pt>
                <c:pt idx="5">
                  <c:v>3.8323104574399136</c:v>
                </c:pt>
                <c:pt idx="6">
                  <c:v>2.8469004569656313</c:v>
                </c:pt>
                <c:pt idx="7">
                  <c:v>76.375945434990129</c:v>
                </c:pt>
                <c:pt idx="8" formatCode="0.0">
                  <c:v>97.636675488412735</c:v>
                </c:pt>
                <c:pt idx="9">
                  <c:v>8.5072471392274132</c:v>
                </c:pt>
              </c:numCache>
            </c:numRef>
          </c:val>
          <c:smooth val="0"/>
          <c:extLst>
            <c:ext xmlns:c16="http://schemas.microsoft.com/office/drawing/2014/chart" uri="{C3380CC4-5D6E-409C-BE32-E72D297353CC}">
              <c16:uniqueId val="{00000007-5742-46E4-BA21-E3E47D273602}"/>
            </c:ext>
          </c:extLst>
        </c:ser>
        <c:ser>
          <c:idx val="8"/>
          <c:order val="8"/>
          <c:tx>
            <c:strRef>
              <c:f>'Fig. 3'!$A$12</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3'!$B$12:$K$12</c:f>
              <c:numCache>
                <c:formatCode>0.00</c:formatCode>
                <c:ptCount val="10"/>
                <c:pt idx="0">
                  <c:v>0.30624941123280713</c:v>
                </c:pt>
                <c:pt idx="1">
                  <c:v>0.6761482399684895</c:v>
                </c:pt>
                <c:pt idx="2">
                  <c:v>0.40831823730601785</c:v>
                </c:pt>
                <c:pt idx="3" formatCode="0.000">
                  <c:v>8.68147231066628E-3</c:v>
                </c:pt>
                <c:pt idx="4">
                  <c:v>0.36920202250985923</c:v>
                </c:pt>
                <c:pt idx="5">
                  <c:v>3.328272217114165</c:v>
                </c:pt>
                <c:pt idx="6">
                  <c:v>3.4403831412221062</c:v>
                </c:pt>
                <c:pt idx="7">
                  <c:v>75.324630025990174</c:v>
                </c:pt>
                <c:pt idx="8" formatCode="0.0">
                  <c:v>101.91200681454696</c:v>
                </c:pt>
                <c:pt idx="9">
                  <c:v>8.140424082882971</c:v>
                </c:pt>
              </c:numCache>
            </c:numRef>
          </c:val>
          <c:smooth val="0"/>
          <c:extLst>
            <c:ext xmlns:c16="http://schemas.microsoft.com/office/drawing/2014/chart" uri="{C3380CC4-5D6E-409C-BE32-E72D297353CC}">
              <c16:uniqueId val="{00000008-5742-46E4-BA21-E3E47D273602}"/>
            </c:ext>
          </c:extLst>
        </c:ser>
        <c:ser>
          <c:idx val="9"/>
          <c:order val="9"/>
          <c:tx>
            <c:strRef>
              <c:f>'Fig. 3'!$A$13</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3'!$B$13:$K$13</c:f>
              <c:numCache>
                <c:formatCode>0.00</c:formatCode>
                <c:ptCount val="10"/>
                <c:pt idx="0">
                  <c:v>0.39860416313328806</c:v>
                </c:pt>
                <c:pt idx="1">
                  <c:v>0.74383519318334856</c:v>
                </c:pt>
                <c:pt idx="2">
                  <c:v>0.52525495778621201</c:v>
                </c:pt>
                <c:pt idx="3" formatCode="0.000">
                  <c:v>1.0503266608638366E-2</c:v>
                </c:pt>
                <c:pt idx="4">
                  <c:v>0.49210525792960952</c:v>
                </c:pt>
                <c:pt idx="5">
                  <c:v>6.1975092217507841</c:v>
                </c:pt>
                <c:pt idx="6">
                  <c:v>3.6851588734859804</c:v>
                </c:pt>
                <c:pt idx="7">
                  <c:v>76.364102407618148</c:v>
                </c:pt>
                <c:pt idx="8" formatCode="0.0">
                  <c:v>101.72645405809915</c:v>
                </c:pt>
                <c:pt idx="9">
                  <c:v>10.000198388241101</c:v>
                </c:pt>
              </c:numCache>
            </c:numRef>
          </c:val>
          <c:smooth val="0"/>
          <c:extLst>
            <c:ext xmlns:c16="http://schemas.microsoft.com/office/drawing/2014/chart" uri="{C3380CC4-5D6E-409C-BE32-E72D297353CC}">
              <c16:uniqueId val="{00000009-5742-46E4-BA21-E3E47D273602}"/>
            </c:ext>
          </c:extLst>
        </c:ser>
        <c:ser>
          <c:idx val="10"/>
          <c:order val="10"/>
          <c:tx>
            <c:strRef>
              <c:f>'Fig. 3'!$A$14</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3'!$B$14:$K$14</c:f>
              <c:numCache>
                <c:formatCode>0.00</c:formatCode>
                <c:ptCount val="10"/>
                <c:pt idx="0">
                  <c:v>0.27762368294755141</c:v>
                </c:pt>
                <c:pt idx="1">
                  <c:v>0.74383519318334856</c:v>
                </c:pt>
                <c:pt idx="2">
                  <c:v>0.36643093549824873</c:v>
                </c:pt>
                <c:pt idx="3" formatCode="0.000">
                  <c:v>1.2379149152882114E-2</c:v>
                </c:pt>
                <c:pt idx="4">
                  <c:v>0.41741384962301448</c:v>
                </c:pt>
                <c:pt idx="5">
                  <c:v>4.6222311311345115</c:v>
                </c:pt>
                <c:pt idx="6">
                  <c:v>3.8727111368711289</c:v>
                </c:pt>
                <c:pt idx="7">
                  <c:v>76.364102407618148</c:v>
                </c:pt>
                <c:pt idx="8" formatCode="0.0">
                  <c:v>121.28923368465666</c:v>
                </c:pt>
                <c:pt idx="9">
                  <c:v>8.8453867992947615</c:v>
                </c:pt>
              </c:numCache>
            </c:numRef>
          </c:val>
          <c:smooth val="0"/>
          <c:extLst>
            <c:ext xmlns:c16="http://schemas.microsoft.com/office/drawing/2014/chart" uri="{C3380CC4-5D6E-409C-BE32-E72D297353CC}">
              <c16:uniqueId val="{00000003-84E6-4A53-88ED-30861800BD37}"/>
            </c:ext>
          </c:extLst>
        </c:ser>
        <c:ser>
          <c:idx val="11"/>
          <c:order val="11"/>
          <c:tx>
            <c:strRef>
              <c:f>'Fig. 3'!$A$15</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3'!$B$15:$K$15</c:f>
              <c:numCache>
                <c:formatCode>0.00</c:formatCode>
                <c:ptCount val="10"/>
                <c:pt idx="0">
                  <c:v>0.25558930950794517</c:v>
                </c:pt>
                <c:pt idx="1">
                  <c:v>0.66887781984731198</c:v>
                </c:pt>
                <c:pt idx="2">
                  <c:v>0.34030335166900655</c:v>
                </c:pt>
                <c:pt idx="3" formatCode="0.000">
                  <c:v>8.0982770676337607E-3</c:v>
                </c:pt>
                <c:pt idx="4">
                  <c:v>0.35138690154063701</c:v>
                </c:pt>
                <c:pt idx="5">
                  <c:v>3.8345382940881954</c:v>
                </c:pt>
                <c:pt idx="6">
                  <c:v>2.8155572654515386</c:v>
                </c:pt>
                <c:pt idx="7">
                  <c:v>60.40241553729814</c:v>
                </c:pt>
                <c:pt idx="8" formatCode="0.0">
                  <c:v>41.615200595362268</c:v>
                </c:pt>
                <c:pt idx="9">
                  <c:v>7.7138089936879002</c:v>
                </c:pt>
              </c:numCache>
            </c:numRef>
          </c:val>
          <c:smooth val="0"/>
          <c:extLst>
            <c:ext xmlns:c16="http://schemas.microsoft.com/office/drawing/2014/chart" uri="{C3380CC4-5D6E-409C-BE32-E72D297353CC}">
              <c16:uniqueId val="{00000004-84E6-4A53-88ED-30861800BD37}"/>
            </c:ext>
          </c:extLst>
        </c:ser>
        <c:ser>
          <c:idx val="12"/>
          <c:order val="12"/>
          <c:tx>
            <c:strRef>
              <c:f>'Fig. 3'!$A$16</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3'!$B$16:$K$16</c:f>
              <c:numCache>
                <c:formatCode>0.00</c:formatCode>
                <c:ptCount val="10"/>
                <c:pt idx="0">
                  <c:v>0.28613939658379933</c:v>
                </c:pt>
                <c:pt idx="1">
                  <c:v>0.70083406996449682</c:v>
                </c:pt>
                <c:pt idx="2">
                  <c:v>0.37701372824992452</c:v>
                </c:pt>
                <c:pt idx="5">
                  <c:v>3.5854012986625179</c:v>
                </c:pt>
              </c:numCache>
            </c:numRef>
          </c:val>
          <c:smooth val="0"/>
          <c:extLst>
            <c:ext xmlns:c16="http://schemas.microsoft.com/office/drawing/2014/chart" uri="{C3380CC4-5D6E-409C-BE32-E72D297353CC}">
              <c16:uniqueId val="{00000005-84E6-4A53-88ED-30861800BD37}"/>
            </c:ext>
          </c:extLst>
        </c:ser>
        <c:ser>
          <c:idx val="13"/>
          <c:order val="13"/>
          <c:tx>
            <c:strRef>
              <c:f>'Fig. 3'!$A$17</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3'!$B$17:$K$17</c:f>
              <c:numCache>
                <c:formatCode>0.00</c:formatCode>
                <c:ptCount val="10"/>
                <c:pt idx="5">
                  <c:v>3.0615509041071465</c:v>
                </c:pt>
              </c:numCache>
            </c:numRef>
          </c:val>
          <c:smooth val="0"/>
          <c:extLst>
            <c:ext xmlns:c16="http://schemas.microsoft.com/office/drawing/2014/chart" uri="{C3380CC4-5D6E-409C-BE32-E72D297353CC}">
              <c16:uniqueId val="{00000006-84E6-4A53-88ED-30861800BD37}"/>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3'!$A$4</c15:sqref>
                        </c15:formulaRef>
                      </c:ext>
                    </c:extLst>
                    <c:strCache>
                      <c:ptCount val="1"/>
                      <c:pt idx="0">
                        <c:v>Perception Adjusted Animal Lifes Affected (PAALA)</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3'!$B$4:$K$4</c15:sqref>
                        </c15:formulaRef>
                      </c:ext>
                    </c:extLst>
                    <c:numCache>
                      <c:formatCode>General</c:formatCode>
                      <c:ptCount val="10"/>
                    </c:numCache>
                  </c:numRef>
                </c:val>
                <c:smooth val="0"/>
                <c:extLst>
                  <c:ext xmlns:c16="http://schemas.microsoft.com/office/drawing/2014/chart" uri="{C3380CC4-5D6E-409C-BE32-E72D297353CC}">
                    <c16:uniqueId val="{00000000-5742-46E4-BA21-E3E47D273602}"/>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majorUnit val="10"/>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strRef>
              <c:f>'Fig. 3'!$A$19</c:f>
              <c:strCache>
                <c:ptCount val="1"/>
                <c:pt idx="0">
                  <c:v>Denmark</c:v>
                </c:pt>
              </c:strCache>
            </c:strRef>
          </c:tx>
          <c:spPr>
            <a:ln w="25400" cap="rnd">
              <a:noFill/>
              <a:round/>
            </a:ln>
            <a:effectLst/>
          </c:spPr>
          <c:marker>
            <c:symbol val="circle"/>
            <c:size val="5"/>
            <c:spPr>
              <a:solidFill>
                <a:schemeClr val="accent2"/>
              </a:solidFill>
              <a:ln w="9525">
                <a:solidFill>
                  <a:schemeClr val="accent2"/>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86FE-4C78-A402-2309B631947D}"/>
            </c:ext>
          </c:extLst>
        </c:ser>
        <c:ser>
          <c:idx val="2"/>
          <c:order val="2"/>
          <c:tx>
            <c:strRef>
              <c:f>'Fig. 3'!$A$20</c:f>
              <c:strCache>
                <c:ptCount val="1"/>
                <c:pt idx="0">
                  <c:v>France</c:v>
                </c:pt>
              </c:strCache>
            </c:strRef>
          </c:tx>
          <c:spPr>
            <a:ln w="25400" cap="rnd">
              <a:noFill/>
              <a:round/>
            </a:ln>
            <a:effectLst/>
          </c:spPr>
          <c:marker>
            <c:symbol val="circle"/>
            <c:size val="5"/>
            <c:spPr>
              <a:solidFill>
                <a:schemeClr val="accent3"/>
              </a:solidFill>
              <a:ln w="9525">
                <a:solidFill>
                  <a:schemeClr val="accent3"/>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86FE-4C78-A402-2309B631947D}"/>
            </c:ext>
          </c:extLst>
        </c:ser>
        <c:ser>
          <c:idx val="3"/>
          <c:order val="3"/>
          <c:tx>
            <c:strRef>
              <c:f>'Fig. 3'!$A$21</c:f>
              <c:strCache>
                <c:ptCount val="1"/>
                <c:pt idx="0">
                  <c:v>Germany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86FE-4C78-A402-2309B631947D}"/>
            </c:ext>
          </c:extLst>
        </c:ser>
        <c:ser>
          <c:idx val="4"/>
          <c:order val="4"/>
          <c:tx>
            <c:strRef>
              <c:f>'Fig. 3'!$A$22</c:f>
              <c:strCache>
                <c:ptCount val="1"/>
                <c:pt idx="0">
                  <c:v>Greece</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86FE-4C78-A402-2309B631947D}"/>
            </c:ext>
          </c:extLst>
        </c:ser>
        <c:ser>
          <c:idx val="5"/>
          <c:order val="5"/>
          <c:tx>
            <c:strRef>
              <c:f>'Fig. 3'!$A$23</c:f>
              <c:strCache>
                <c:ptCount val="1"/>
                <c:pt idx="0">
                  <c:v>Hungary</c:v>
                </c:pt>
              </c:strCache>
            </c:strRef>
          </c:tx>
          <c:spPr>
            <a:ln w="25400" cap="rnd">
              <a:noFill/>
              <a:round/>
            </a:ln>
            <a:effectLst/>
          </c:spPr>
          <c:marker>
            <c:symbol val="circle"/>
            <c:size val="5"/>
            <c:spPr>
              <a:solidFill>
                <a:schemeClr val="accent6"/>
              </a:solidFill>
              <a:ln w="9525">
                <a:solidFill>
                  <a:schemeClr val="accent6"/>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86FE-4C78-A402-2309B631947D}"/>
            </c:ext>
          </c:extLst>
        </c:ser>
        <c:ser>
          <c:idx val="6"/>
          <c:order val="6"/>
          <c:tx>
            <c:strRef>
              <c:f>'Fig. 3'!$A$24</c:f>
              <c:strCache>
                <c:ptCount val="1"/>
                <c:pt idx="0">
                  <c:v>Ireland</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86FE-4C78-A402-2309B631947D}"/>
            </c:ext>
          </c:extLst>
        </c:ser>
        <c:ser>
          <c:idx val="7"/>
          <c:order val="7"/>
          <c:tx>
            <c:strRef>
              <c:f>'Fig. 3'!$A$25</c:f>
              <c:strCache>
                <c:ptCount val="1"/>
                <c:pt idx="0">
                  <c:v>Italy</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86FE-4C78-A402-2309B631947D}"/>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86FE-4C78-A402-2309B631947D}"/>
            </c:ext>
          </c:extLst>
        </c:ser>
        <c:ser>
          <c:idx val="9"/>
          <c:order val="9"/>
          <c:tx>
            <c:strRef>
              <c:f>'Fig. 3'!$A$27</c:f>
              <c:strCache>
                <c:ptCount val="1"/>
                <c:pt idx="0">
                  <c:v>Poland</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86FE-4C78-A402-2309B631947D}"/>
            </c:ext>
          </c:extLst>
        </c:ser>
        <c:ser>
          <c:idx val="10"/>
          <c:order val="10"/>
          <c:tx>
            <c:strRef>
              <c:f>'Fig. 3'!$A$28</c:f>
              <c:strCache>
                <c:ptCount val="1"/>
                <c:pt idx="0">
                  <c:v>Spain </c:v>
                </c:pt>
              </c:strCache>
            </c:strRef>
          </c:tx>
          <c:spPr>
            <a:ln w="25400"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86FE-4C78-A402-2309B631947D}"/>
            </c:ext>
          </c:extLst>
        </c:ser>
        <c:ser>
          <c:idx val="11"/>
          <c:order val="11"/>
          <c:tx>
            <c:strRef>
              <c:f>'Fig. 3'!$A$29</c:f>
              <c:strCache>
                <c:ptCount val="1"/>
                <c:pt idx="0">
                  <c:v>Sweden</c:v>
                </c:pt>
              </c:strCache>
            </c:strRef>
          </c:tx>
          <c:spPr>
            <a:ln w="25400" cap="rnd">
              <a:noFill/>
              <a:round/>
            </a:ln>
            <a:effectLst/>
          </c:spPr>
          <c:marker>
            <c:symbol val="circle"/>
            <c:size val="5"/>
            <c:spPr>
              <a:solidFill>
                <a:srgbClr val="FFFF00"/>
              </a:solidFill>
              <a:ln w="9525">
                <a:no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86FE-4C78-A402-2309B631947D}"/>
            </c:ext>
          </c:extLst>
        </c:ser>
        <c:ser>
          <c:idx val="12"/>
          <c:order val="12"/>
          <c:tx>
            <c:strRef>
              <c:f>'Fig. 3'!$A$30</c:f>
              <c:strCache>
                <c:ptCount val="1"/>
                <c:pt idx="0">
                  <c:v>United Kingdom</c:v>
                </c:pt>
              </c:strCache>
            </c:strRef>
          </c:tx>
          <c:spPr>
            <a:ln w="254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86FE-4C78-A402-2309B631947D}"/>
            </c:ext>
          </c:extLst>
        </c:ser>
        <c:ser>
          <c:idx val="13"/>
          <c:order val="13"/>
          <c:tx>
            <c:strRef>
              <c:f>'Fig. 3'!$A$31</c:f>
              <c:strCache>
                <c:ptCount val="1"/>
                <c:pt idx="0">
                  <c:v>New Zealand</c:v>
                </c:pt>
              </c:strCache>
            </c:strRef>
          </c:tx>
          <c:spPr>
            <a:ln w="254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86FE-4C78-A402-2309B631947D}"/>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3'!$A$18</c15:sqref>
                        </c15:formulaRef>
                      </c:ext>
                    </c:extLst>
                    <c:strCache>
                      <c:ptCount val="1"/>
                      <c:pt idx="0">
                        <c:v>Perception Adjusted Animal Life Years Spent (PAALYS)</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3'!$B$18:$K$18</c15:sqref>
                        </c15:formulaRef>
                      </c:ext>
                    </c:extLst>
                    <c:numCache>
                      <c:formatCode>General</c:formatCode>
                      <c:ptCount val="10"/>
                    </c:numCache>
                  </c:numRef>
                </c:val>
                <c:smooth val="0"/>
                <c:extLst>
                  <c:ext xmlns:c16="http://schemas.microsoft.com/office/drawing/2014/chart" uri="{C3380CC4-5D6E-409C-BE32-E72D297353CC}">
                    <c16:uniqueId val="{0000000D-86FE-4C78-A402-2309B631947D}"/>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'Ability OLD'!$A$5:$A$24</c:f>
              <c:strCache>
                <c:ptCount val="20"/>
                <c:pt idx="0">
                  <c:v>Beef parents/cows</c:v>
                </c:pt>
                <c:pt idx="1">
                  <c:v>Beef calves</c:v>
                </c:pt>
                <c:pt idx="2">
                  <c:v>Male chick 10m</c:v>
                </c:pt>
                <c:pt idx="3">
                  <c:v>Laying hens</c:v>
                </c:pt>
                <c:pt idx="4">
                  <c:v>Chicken</c:v>
                </c:pt>
                <c:pt idx="5">
                  <c:v>Pigs, slaughtering </c:v>
                </c:pt>
                <c:pt idx="6">
                  <c:v>Pigs, parents/sows</c:v>
                </c:pt>
                <c:pt idx="7">
                  <c:v>Sheep/goat, lamb</c:v>
                </c:pt>
                <c:pt idx="8">
                  <c:v>Sheep/goat, parents</c:v>
                </c:pt>
                <c:pt idx="9">
                  <c:v>Rabbit</c:v>
                </c:pt>
                <c:pt idx="10">
                  <c:v>Salmon, farmed</c:v>
                </c:pt>
                <c:pt idx="11">
                  <c:v>Wild fish</c:v>
                </c:pt>
                <c:pt idx="12">
                  <c:v>Non-domestic ruminants, hunting</c:v>
                </c:pt>
                <c:pt idx="13">
                  <c:v>Non-domestic pigs, hunting</c:v>
                </c:pt>
                <c:pt idx="14">
                  <c:v>Non-domestic rabits, hunting</c:v>
                </c:pt>
                <c:pt idx="15">
                  <c:v>Mealworm</c:v>
                </c:pt>
                <c:pt idx="16">
                  <c:v>Honey bees</c:v>
                </c:pt>
                <c:pt idx="17">
                  <c:v>Mussels</c:v>
                </c:pt>
                <c:pt idx="18">
                  <c:v>Shrimps</c:v>
                </c:pt>
                <c:pt idx="19">
                  <c:v>Octopus, wild</c:v>
                </c:pt>
              </c:strCache>
            </c:strRef>
          </c:cat>
          <c:val>
            <c:numRef>
              <c:f>'Ability OLD'!$B$5:$B$24</c:f>
              <c:numCache>
                <c:formatCode>0.000</c:formatCode>
                <c:ptCount val="20"/>
                <c:pt idx="0">
                  <c:v>0.88410303277141455</c:v>
                </c:pt>
                <c:pt idx="1">
                  <c:v>0.82044791775586834</c:v>
                </c:pt>
                <c:pt idx="2">
                  <c:v>0.2556274253781865</c:v>
                </c:pt>
                <c:pt idx="3">
                  <c:v>0.58534077701729459</c:v>
                </c:pt>
                <c:pt idx="4">
                  <c:v>0.54320827892864587</c:v>
                </c:pt>
                <c:pt idx="5">
                  <c:v>0.87981165625279378</c:v>
                </c:pt>
                <c:pt idx="6">
                  <c:v>0.94805646338919392</c:v>
                </c:pt>
                <c:pt idx="7">
                  <c:v>0.82044791775586834</c:v>
                </c:pt>
                <c:pt idx="8">
                  <c:v>0.88410303277141455</c:v>
                </c:pt>
                <c:pt idx="9">
                  <c:v>0.67196797361598137</c:v>
                </c:pt>
                <c:pt idx="10">
                  <c:v>0.30307199464420814</c:v>
                </c:pt>
                <c:pt idx="11">
                  <c:v>0.31967774941142579</c:v>
                </c:pt>
                <c:pt idx="12">
                  <c:v>0.93252505786404671</c:v>
                </c:pt>
                <c:pt idx="13">
                  <c:v>1</c:v>
                </c:pt>
                <c:pt idx="14">
                  <c:v>0.70880725560511382</c:v>
                </c:pt>
                <c:pt idx="15">
                  <c:v>3.9541560819636078E-2</c:v>
                </c:pt>
                <c:pt idx="16">
                  <c:v>8.8767767475785006E-2</c:v>
                </c:pt>
                <c:pt idx="17">
                  <c:v>4.9917805810998139E-2</c:v>
                </c:pt>
                <c:pt idx="18">
                  <c:v>0.1460824482519773</c:v>
                </c:pt>
                <c:pt idx="19">
                  <c:v>0.37054242144291522</c:v>
                </c:pt>
              </c:numCache>
            </c:numRef>
          </c:val>
          <c:extLst>
            <c:ext xmlns:c16="http://schemas.microsoft.com/office/drawing/2014/chart" uri="{C3380CC4-5D6E-409C-BE32-E72D297353CC}">
              <c16:uniqueId val="{00000000-C171-472C-99D3-D315A108132A}"/>
            </c:ext>
          </c:extLst>
        </c:ser>
        <c:dLbls>
          <c:showLegendKey val="0"/>
          <c:showVal val="0"/>
          <c:showCatName val="0"/>
          <c:showSerName val="0"/>
          <c:showPercent val="0"/>
          <c:showBubbleSize val="0"/>
        </c:dLbls>
        <c:gapWidth val="219"/>
        <c:overlap val="-27"/>
        <c:axId val="666551311"/>
        <c:axId val="642189567"/>
      </c:barChart>
      <c:catAx>
        <c:axId val="6665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42189567"/>
        <c:crosses val="autoZero"/>
        <c:auto val="1"/>
        <c:lblAlgn val="ctr"/>
        <c:lblOffset val="100"/>
        <c:noMultiLvlLbl val="0"/>
      </c:catAx>
      <c:valAx>
        <c:axId val="6421895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6655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291101</xdr:colOff>
      <xdr:row>6</xdr:row>
      <xdr:rowOff>162674</xdr:rowOff>
    </xdr:from>
    <xdr:to>
      <xdr:col>19</xdr:col>
      <xdr:colOff>556517</xdr:colOff>
      <xdr:row>18</xdr:row>
      <xdr:rowOff>17124</xdr:rowOff>
    </xdr:to>
    <xdr:graphicFrame macro="">
      <xdr:nvGraphicFramePr>
        <xdr:cNvPr id="3" name="Chart 2">
          <a:extLst>
            <a:ext uri="{FF2B5EF4-FFF2-40B4-BE49-F238E27FC236}">
              <a16:creationId xmlns:a16="http://schemas.microsoft.com/office/drawing/2014/main" id="{DE7BA0C8-417C-C9C0-904B-CE82AB756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7" name="Chart 6">
          <a:extLst>
            <a:ext uri="{FF2B5EF4-FFF2-40B4-BE49-F238E27FC236}">
              <a16:creationId xmlns:a16="http://schemas.microsoft.com/office/drawing/2014/main" id="{8DB719C7-B6C6-3CB3-43BF-0FDB34A9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162674</xdr:rowOff>
    </xdr:to>
    <xdr:graphicFrame macro="">
      <xdr:nvGraphicFramePr>
        <xdr:cNvPr id="8" name="Chart 7">
          <a:extLst>
            <a:ext uri="{FF2B5EF4-FFF2-40B4-BE49-F238E27FC236}">
              <a16:creationId xmlns:a16="http://schemas.microsoft.com/office/drawing/2014/main" id="{0E159026-865B-B6A8-E8CB-16E914B0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599326</xdr:colOff>
      <xdr:row>6</xdr:row>
      <xdr:rowOff>145550</xdr:rowOff>
    </xdr:from>
    <xdr:to>
      <xdr:col>26</xdr:col>
      <xdr:colOff>231169</xdr:colOff>
      <xdr:row>17</xdr:row>
      <xdr:rowOff>616448</xdr:rowOff>
    </xdr:to>
    <xdr:graphicFrame macro="">
      <xdr:nvGraphicFramePr>
        <xdr:cNvPr id="9" name="Chart 8">
          <a:extLst>
            <a:ext uri="{FF2B5EF4-FFF2-40B4-BE49-F238E27FC236}">
              <a16:creationId xmlns:a16="http://schemas.microsoft.com/office/drawing/2014/main" id="{88F3B863-9B89-4F07-B01F-D5F94566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325349</xdr:colOff>
      <xdr:row>7</xdr:row>
      <xdr:rowOff>25685</xdr:rowOff>
    </xdr:from>
    <xdr:to>
      <xdr:col>19</xdr:col>
      <xdr:colOff>530831</xdr:colOff>
      <xdr:row>17</xdr:row>
      <xdr:rowOff>607887</xdr:rowOff>
    </xdr:to>
    <xdr:graphicFrame macro="">
      <xdr:nvGraphicFramePr>
        <xdr:cNvPr id="2" name="Chart 1">
          <a:extLst>
            <a:ext uri="{FF2B5EF4-FFF2-40B4-BE49-F238E27FC236}">
              <a16:creationId xmlns:a16="http://schemas.microsoft.com/office/drawing/2014/main" id="{28DD76CE-623F-48DF-8627-BCCCB3D7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B49784AD-0531-42DA-81D2-94FDAAA4D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646415</xdr:colOff>
      <xdr:row>0</xdr:row>
      <xdr:rowOff>32534</xdr:rowOff>
    </xdr:from>
    <xdr:to>
      <xdr:col>26</xdr:col>
      <xdr:colOff>291673</xdr:colOff>
      <xdr:row>6</xdr:row>
      <xdr:rowOff>119865</xdr:rowOff>
    </xdr:to>
    <xdr:graphicFrame macro="">
      <xdr:nvGraphicFramePr>
        <xdr:cNvPr id="4" name="Chart 3">
          <a:extLst>
            <a:ext uri="{FF2B5EF4-FFF2-40B4-BE49-F238E27FC236}">
              <a16:creationId xmlns:a16="http://schemas.microsoft.com/office/drawing/2014/main" id="{94C33591-C1F2-4D21-B5A9-3D2AEBE7E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633572</xdr:colOff>
      <xdr:row>6</xdr:row>
      <xdr:rowOff>136988</xdr:rowOff>
    </xdr:from>
    <xdr:to>
      <xdr:col>26</xdr:col>
      <xdr:colOff>239730</xdr:colOff>
      <xdr:row>18</xdr:row>
      <xdr:rowOff>0</xdr:rowOff>
    </xdr:to>
    <xdr:graphicFrame macro="">
      <xdr:nvGraphicFramePr>
        <xdr:cNvPr id="5" name="Chart 4">
          <a:extLst>
            <a:ext uri="{FF2B5EF4-FFF2-40B4-BE49-F238E27FC236}">
              <a16:creationId xmlns:a16="http://schemas.microsoft.com/office/drawing/2014/main" id="{A5FC81B1-AA85-4AF0-93B5-A0ACB9DC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333909</xdr:colOff>
      <xdr:row>6</xdr:row>
      <xdr:rowOff>162674</xdr:rowOff>
    </xdr:from>
    <xdr:to>
      <xdr:col>20</xdr:col>
      <xdr:colOff>8561</xdr:colOff>
      <xdr:row>17</xdr:row>
      <xdr:rowOff>607887</xdr:rowOff>
    </xdr:to>
    <xdr:graphicFrame macro="">
      <xdr:nvGraphicFramePr>
        <xdr:cNvPr id="2" name="Chart 1">
          <a:extLst>
            <a:ext uri="{FF2B5EF4-FFF2-40B4-BE49-F238E27FC236}">
              <a16:creationId xmlns:a16="http://schemas.microsoft.com/office/drawing/2014/main" id="{D05AB98A-5129-4F36-9FF5-48C1648A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D578762E-4018-471C-8495-0A10CA24F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612168</xdr:colOff>
      <xdr:row>0</xdr:row>
      <xdr:rowOff>66781</xdr:rowOff>
    </xdr:from>
    <xdr:to>
      <xdr:col>26</xdr:col>
      <xdr:colOff>257426</xdr:colOff>
      <xdr:row>6</xdr:row>
      <xdr:rowOff>136812</xdr:rowOff>
    </xdr:to>
    <xdr:graphicFrame macro="">
      <xdr:nvGraphicFramePr>
        <xdr:cNvPr id="4" name="Chart 3">
          <a:extLst>
            <a:ext uri="{FF2B5EF4-FFF2-40B4-BE49-F238E27FC236}">
              <a16:creationId xmlns:a16="http://schemas.microsoft.com/office/drawing/2014/main" id="{BE50C8A7-DAE9-4A4B-989A-96B69624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599326</xdr:colOff>
      <xdr:row>6</xdr:row>
      <xdr:rowOff>171234</xdr:rowOff>
    </xdr:from>
    <xdr:to>
      <xdr:col>26</xdr:col>
      <xdr:colOff>231169</xdr:colOff>
      <xdr:row>18</xdr:row>
      <xdr:rowOff>8561</xdr:rowOff>
    </xdr:to>
    <xdr:graphicFrame macro="">
      <xdr:nvGraphicFramePr>
        <xdr:cNvPr id="5" name="Chart 4">
          <a:extLst>
            <a:ext uri="{FF2B5EF4-FFF2-40B4-BE49-F238E27FC236}">
              <a16:creationId xmlns:a16="http://schemas.microsoft.com/office/drawing/2014/main" id="{60BC911C-5F5A-41CE-A68D-A6671CE6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453775</xdr:colOff>
      <xdr:row>18</xdr:row>
      <xdr:rowOff>8562</xdr:rowOff>
    </xdr:to>
    <xdr:graphicFrame macro="">
      <xdr:nvGraphicFramePr>
        <xdr:cNvPr id="2" name="Chart 1">
          <a:extLst>
            <a:ext uri="{FF2B5EF4-FFF2-40B4-BE49-F238E27FC236}">
              <a16:creationId xmlns:a16="http://schemas.microsoft.com/office/drawing/2014/main" id="{F04F00C1-7DC5-468F-A21C-2559437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42762478-1C9B-466E-A534-D6A01DAAB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496584</xdr:colOff>
      <xdr:row>0</xdr:row>
      <xdr:rowOff>41095</xdr:rowOff>
    </xdr:from>
    <xdr:to>
      <xdr:col>26</xdr:col>
      <xdr:colOff>141842</xdr:colOff>
      <xdr:row>6</xdr:row>
      <xdr:rowOff>111126</xdr:rowOff>
    </xdr:to>
    <xdr:graphicFrame macro="">
      <xdr:nvGraphicFramePr>
        <xdr:cNvPr id="4" name="Chart 3">
          <a:extLst>
            <a:ext uri="{FF2B5EF4-FFF2-40B4-BE49-F238E27FC236}">
              <a16:creationId xmlns:a16="http://schemas.microsoft.com/office/drawing/2014/main" id="{FCFAEC1A-4427-418E-9B91-48AB184B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496584</xdr:colOff>
      <xdr:row>6</xdr:row>
      <xdr:rowOff>145548</xdr:rowOff>
    </xdr:from>
    <xdr:to>
      <xdr:col>26</xdr:col>
      <xdr:colOff>239730</xdr:colOff>
      <xdr:row>17</xdr:row>
      <xdr:rowOff>607886</xdr:rowOff>
    </xdr:to>
    <xdr:graphicFrame macro="">
      <xdr:nvGraphicFramePr>
        <xdr:cNvPr id="5" name="Chart 4">
          <a:extLst>
            <a:ext uri="{FF2B5EF4-FFF2-40B4-BE49-F238E27FC236}">
              <a16:creationId xmlns:a16="http://schemas.microsoft.com/office/drawing/2014/main" id="{664F0814-F5EB-4F7C-9324-B3ACBFFA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D3A060E-412B-4326-AE64-2685C8AFC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8F58ECE2-83F8-4873-9D43-6C00E5F35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415247</xdr:colOff>
      <xdr:row>0</xdr:row>
      <xdr:rowOff>15410</xdr:rowOff>
    </xdr:from>
    <xdr:to>
      <xdr:col>26</xdr:col>
      <xdr:colOff>60505</xdr:colOff>
      <xdr:row>6</xdr:row>
      <xdr:rowOff>85441</xdr:rowOff>
    </xdr:to>
    <xdr:graphicFrame macro="">
      <xdr:nvGraphicFramePr>
        <xdr:cNvPr id="4" name="Chart 3">
          <a:extLst>
            <a:ext uri="{FF2B5EF4-FFF2-40B4-BE49-F238E27FC236}">
              <a16:creationId xmlns:a16="http://schemas.microsoft.com/office/drawing/2014/main" id="{652E6E35-C119-4070-AEDD-195C7DF3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402404</xdr:colOff>
      <xdr:row>6</xdr:row>
      <xdr:rowOff>119864</xdr:rowOff>
    </xdr:from>
    <xdr:to>
      <xdr:col>26</xdr:col>
      <xdr:colOff>47662</xdr:colOff>
      <xdr:row>18</xdr:row>
      <xdr:rowOff>0</xdr:rowOff>
    </xdr:to>
    <xdr:graphicFrame macro="">
      <xdr:nvGraphicFramePr>
        <xdr:cNvPr id="5" name="Chart 4">
          <a:extLst>
            <a:ext uri="{FF2B5EF4-FFF2-40B4-BE49-F238E27FC236}">
              <a16:creationId xmlns:a16="http://schemas.microsoft.com/office/drawing/2014/main" id="{C81773BD-F1D9-4C49-BE05-D5D829C2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785858E3-0A18-4C07-8766-4EDC5DDD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21EEA0F5-866B-4652-9BCD-EB0092474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398124</xdr:colOff>
      <xdr:row>0</xdr:row>
      <xdr:rowOff>32534</xdr:rowOff>
    </xdr:from>
    <xdr:to>
      <xdr:col>26</xdr:col>
      <xdr:colOff>43382</xdr:colOff>
      <xdr:row>6</xdr:row>
      <xdr:rowOff>102565</xdr:rowOff>
    </xdr:to>
    <xdr:graphicFrame macro="">
      <xdr:nvGraphicFramePr>
        <xdr:cNvPr id="4" name="Chart 3">
          <a:extLst>
            <a:ext uri="{FF2B5EF4-FFF2-40B4-BE49-F238E27FC236}">
              <a16:creationId xmlns:a16="http://schemas.microsoft.com/office/drawing/2014/main" id="{62E56E00-543A-4898-80EA-CE0EA4C4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385281</xdr:colOff>
      <xdr:row>6</xdr:row>
      <xdr:rowOff>136988</xdr:rowOff>
    </xdr:from>
    <xdr:to>
      <xdr:col>26</xdr:col>
      <xdr:colOff>30539</xdr:colOff>
      <xdr:row>17</xdr:row>
      <xdr:rowOff>607887</xdr:rowOff>
    </xdr:to>
    <xdr:graphicFrame macro="">
      <xdr:nvGraphicFramePr>
        <xdr:cNvPr id="5" name="Chart 4">
          <a:extLst>
            <a:ext uri="{FF2B5EF4-FFF2-40B4-BE49-F238E27FC236}">
              <a16:creationId xmlns:a16="http://schemas.microsoft.com/office/drawing/2014/main" id="{7FEEFF9E-1C5B-42E3-B421-A0058C848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BD3FAE3A-3726-4BDE-B88D-E267B2AA4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57505F2E-0B23-483E-A74C-11BACA7AF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32534</xdr:rowOff>
    </xdr:from>
    <xdr:to>
      <xdr:col>26</xdr:col>
      <xdr:colOff>17696</xdr:colOff>
      <xdr:row>6</xdr:row>
      <xdr:rowOff>102565</xdr:rowOff>
    </xdr:to>
    <xdr:graphicFrame macro="">
      <xdr:nvGraphicFramePr>
        <xdr:cNvPr id="4" name="Chart 3">
          <a:extLst>
            <a:ext uri="{FF2B5EF4-FFF2-40B4-BE49-F238E27FC236}">
              <a16:creationId xmlns:a16="http://schemas.microsoft.com/office/drawing/2014/main" id="{2129C357-71D1-4C52-A76F-B61E8C7BC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6</xdr:row>
      <xdr:rowOff>136988</xdr:rowOff>
    </xdr:from>
    <xdr:to>
      <xdr:col>26</xdr:col>
      <xdr:colOff>4853</xdr:colOff>
      <xdr:row>17</xdr:row>
      <xdr:rowOff>607887</xdr:rowOff>
    </xdr:to>
    <xdr:graphicFrame macro="">
      <xdr:nvGraphicFramePr>
        <xdr:cNvPr id="5" name="Chart 4">
          <a:extLst>
            <a:ext uri="{FF2B5EF4-FFF2-40B4-BE49-F238E27FC236}">
              <a16:creationId xmlns:a16="http://schemas.microsoft.com/office/drawing/2014/main" id="{DABD7629-F10F-48E2-A711-44FC51500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31058CA-55CD-417E-948E-6A77C1C27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D91049A-BD22-46E5-BE78-8B8DC2FDE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312506</xdr:colOff>
      <xdr:row>0</xdr:row>
      <xdr:rowOff>75343</xdr:rowOff>
    </xdr:from>
    <xdr:to>
      <xdr:col>25</xdr:col>
      <xdr:colOff>625584</xdr:colOff>
      <xdr:row>6</xdr:row>
      <xdr:rowOff>145374</xdr:rowOff>
    </xdr:to>
    <xdr:graphicFrame macro="">
      <xdr:nvGraphicFramePr>
        <xdr:cNvPr id="4" name="Chart 3">
          <a:extLst>
            <a:ext uri="{FF2B5EF4-FFF2-40B4-BE49-F238E27FC236}">
              <a16:creationId xmlns:a16="http://schemas.microsoft.com/office/drawing/2014/main" id="{0DBD9681-75FC-4341-B955-610B9547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299663</xdr:colOff>
      <xdr:row>6</xdr:row>
      <xdr:rowOff>179796</xdr:rowOff>
    </xdr:from>
    <xdr:to>
      <xdr:col>25</xdr:col>
      <xdr:colOff>612741</xdr:colOff>
      <xdr:row>17</xdr:row>
      <xdr:rowOff>616448</xdr:rowOff>
    </xdr:to>
    <xdr:graphicFrame macro="">
      <xdr:nvGraphicFramePr>
        <xdr:cNvPr id="5" name="Chart 4">
          <a:extLst>
            <a:ext uri="{FF2B5EF4-FFF2-40B4-BE49-F238E27FC236}">
              <a16:creationId xmlns:a16="http://schemas.microsoft.com/office/drawing/2014/main" id="{DDC65F15-73FA-423B-BDE6-081B0338E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2E5EBDD-0FF5-491A-A0E7-816B34B2D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AD89472-E36C-4801-A510-AA2F722E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381000</xdr:colOff>
      <xdr:row>0</xdr:row>
      <xdr:rowOff>83905</xdr:rowOff>
    </xdr:from>
    <xdr:to>
      <xdr:col>26</xdr:col>
      <xdr:colOff>26258</xdr:colOff>
      <xdr:row>6</xdr:row>
      <xdr:rowOff>153936</xdr:rowOff>
    </xdr:to>
    <xdr:graphicFrame macro="">
      <xdr:nvGraphicFramePr>
        <xdr:cNvPr id="4" name="Chart 3">
          <a:extLst>
            <a:ext uri="{FF2B5EF4-FFF2-40B4-BE49-F238E27FC236}">
              <a16:creationId xmlns:a16="http://schemas.microsoft.com/office/drawing/2014/main" id="{1992597E-E5C2-4FBD-BDBF-525AB8E3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368157</xdr:colOff>
      <xdr:row>7</xdr:row>
      <xdr:rowOff>8561</xdr:rowOff>
    </xdr:from>
    <xdr:to>
      <xdr:col>26</xdr:col>
      <xdr:colOff>13415</xdr:colOff>
      <xdr:row>17</xdr:row>
      <xdr:rowOff>616448</xdr:rowOff>
    </xdr:to>
    <xdr:graphicFrame macro="">
      <xdr:nvGraphicFramePr>
        <xdr:cNvPr id="5" name="Chart 4">
          <a:extLst>
            <a:ext uri="{FF2B5EF4-FFF2-40B4-BE49-F238E27FC236}">
              <a16:creationId xmlns:a16="http://schemas.microsoft.com/office/drawing/2014/main" id="{7B30423A-4C17-4F11-B880-F4BD3433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FF2C840B-69F4-45E8-92AC-64354D8D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7CAE333-62B8-42E5-AA3B-233EDC74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449494</xdr:colOff>
      <xdr:row>0</xdr:row>
      <xdr:rowOff>49658</xdr:rowOff>
    </xdr:from>
    <xdr:to>
      <xdr:col>26</xdr:col>
      <xdr:colOff>94752</xdr:colOff>
      <xdr:row>6</xdr:row>
      <xdr:rowOff>119689</xdr:rowOff>
    </xdr:to>
    <xdr:graphicFrame macro="">
      <xdr:nvGraphicFramePr>
        <xdr:cNvPr id="4" name="Chart 3">
          <a:extLst>
            <a:ext uri="{FF2B5EF4-FFF2-40B4-BE49-F238E27FC236}">
              <a16:creationId xmlns:a16="http://schemas.microsoft.com/office/drawing/2014/main" id="{AD72746B-1CCD-4B82-AAAA-7CA0E8F57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436651</xdr:colOff>
      <xdr:row>6</xdr:row>
      <xdr:rowOff>154112</xdr:rowOff>
    </xdr:from>
    <xdr:to>
      <xdr:col>26</xdr:col>
      <xdr:colOff>81909</xdr:colOff>
      <xdr:row>18</xdr:row>
      <xdr:rowOff>0</xdr:rowOff>
    </xdr:to>
    <xdr:graphicFrame macro="">
      <xdr:nvGraphicFramePr>
        <xdr:cNvPr id="5" name="Chart 4">
          <a:extLst>
            <a:ext uri="{FF2B5EF4-FFF2-40B4-BE49-F238E27FC236}">
              <a16:creationId xmlns:a16="http://schemas.microsoft.com/office/drawing/2014/main" id="{7EDC3EAB-F73B-4969-BB34-E659F7729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480DC3B-8664-43E8-8FDB-A477AF21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ECB7EEA5-9CE0-4B0C-8603-730B38A83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303943</xdr:colOff>
      <xdr:row>0</xdr:row>
      <xdr:rowOff>66782</xdr:rowOff>
    </xdr:from>
    <xdr:to>
      <xdr:col>25</xdr:col>
      <xdr:colOff>617021</xdr:colOff>
      <xdr:row>6</xdr:row>
      <xdr:rowOff>136813</xdr:rowOff>
    </xdr:to>
    <xdr:graphicFrame macro="">
      <xdr:nvGraphicFramePr>
        <xdr:cNvPr id="4" name="Chart 3">
          <a:extLst>
            <a:ext uri="{FF2B5EF4-FFF2-40B4-BE49-F238E27FC236}">
              <a16:creationId xmlns:a16="http://schemas.microsoft.com/office/drawing/2014/main" id="{080B9C5D-9778-4A41-B3C0-6658688A9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291100</xdr:colOff>
      <xdr:row>6</xdr:row>
      <xdr:rowOff>171236</xdr:rowOff>
    </xdr:from>
    <xdr:to>
      <xdr:col>25</xdr:col>
      <xdr:colOff>604178</xdr:colOff>
      <xdr:row>18</xdr:row>
      <xdr:rowOff>0</xdr:rowOff>
    </xdr:to>
    <xdr:graphicFrame macro="">
      <xdr:nvGraphicFramePr>
        <xdr:cNvPr id="5" name="Chart 4">
          <a:extLst>
            <a:ext uri="{FF2B5EF4-FFF2-40B4-BE49-F238E27FC236}">
              <a16:creationId xmlns:a16="http://schemas.microsoft.com/office/drawing/2014/main" id="{C3E07749-205B-49CE-9A04-21EF2E7B1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FACFFEF-038B-4A91-9328-9ECAAD91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F774915-994C-4FA7-A7DB-BDAD5A55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83905</xdr:rowOff>
    </xdr:from>
    <xdr:to>
      <xdr:col>26</xdr:col>
      <xdr:colOff>17696</xdr:colOff>
      <xdr:row>6</xdr:row>
      <xdr:rowOff>153936</xdr:rowOff>
    </xdr:to>
    <xdr:graphicFrame macro="">
      <xdr:nvGraphicFramePr>
        <xdr:cNvPr id="4" name="Chart 3">
          <a:extLst>
            <a:ext uri="{FF2B5EF4-FFF2-40B4-BE49-F238E27FC236}">
              <a16:creationId xmlns:a16="http://schemas.microsoft.com/office/drawing/2014/main" id="{C6DCEB81-A377-4F3F-9243-1EA78724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7</xdr:row>
      <xdr:rowOff>8561</xdr:rowOff>
    </xdr:from>
    <xdr:to>
      <xdr:col>26</xdr:col>
      <xdr:colOff>4853</xdr:colOff>
      <xdr:row>18</xdr:row>
      <xdr:rowOff>8561</xdr:rowOff>
    </xdr:to>
    <xdr:graphicFrame macro="">
      <xdr:nvGraphicFramePr>
        <xdr:cNvPr id="5" name="Chart 4">
          <a:extLst>
            <a:ext uri="{FF2B5EF4-FFF2-40B4-BE49-F238E27FC236}">
              <a16:creationId xmlns:a16="http://schemas.microsoft.com/office/drawing/2014/main" id="{4EAD1B6D-1702-4B19-87CC-0A19E019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A58B4C8-8632-4F97-B550-BF9924E9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FA1BF988-4F1C-4D6C-9BCE-459E6F38C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560798</xdr:colOff>
      <xdr:row>0</xdr:row>
      <xdr:rowOff>32534</xdr:rowOff>
    </xdr:from>
    <xdr:to>
      <xdr:col>26</xdr:col>
      <xdr:colOff>206056</xdr:colOff>
      <xdr:row>6</xdr:row>
      <xdr:rowOff>102565</xdr:rowOff>
    </xdr:to>
    <xdr:graphicFrame macro="">
      <xdr:nvGraphicFramePr>
        <xdr:cNvPr id="4" name="Chart 3">
          <a:extLst>
            <a:ext uri="{FF2B5EF4-FFF2-40B4-BE49-F238E27FC236}">
              <a16:creationId xmlns:a16="http://schemas.microsoft.com/office/drawing/2014/main" id="{BB98721B-61E5-4265-9AFD-47B4219C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547955</xdr:colOff>
      <xdr:row>6</xdr:row>
      <xdr:rowOff>136988</xdr:rowOff>
    </xdr:from>
    <xdr:to>
      <xdr:col>26</xdr:col>
      <xdr:colOff>193213</xdr:colOff>
      <xdr:row>18</xdr:row>
      <xdr:rowOff>0</xdr:rowOff>
    </xdr:to>
    <xdr:graphicFrame macro="">
      <xdr:nvGraphicFramePr>
        <xdr:cNvPr id="5" name="Chart 4">
          <a:extLst>
            <a:ext uri="{FF2B5EF4-FFF2-40B4-BE49-F238E27FC236}">
              <a16:creationId xmlns:a16="http://schemas.microsoft.com/office/drawing/2014/main" id="{1DAA985A-767F-4D09-A3C6-258BDBEED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291101</xdr:colOff>
      <xdr:row>6</xdr:row>
      <xdr:rowOff>-1</xdr:rowOff>
    </xdr:from>
    <xdr:to>
      <xdr:col>19</xdr:col>
      <xdr:colOff>573640</xdr:colOff>
      <xdr:row>16</xdr:row>
      <xdr:rowOff>410965</xdr:rowOff>
    </xdr:to>
    <xdr:graphicFrame macro="">
      <xdr:nvGraphicFramePr>
        <xdr:cNvPr id="2" name="Chart 1">
          <a:extLst>
            <a:ext uri="{FF2B5EF4-FFF2-40B4-BE49-F238E27FC236}">
              <a16:creationId xmlns:a16="http://schemas.microsoft.com/office/drawing/2014/main" id="{998219BB-5387-4F22-8866-92FDA4DD3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0</xdr:rowOff>
    </xdr:to>
    <xdr:graphicFrame macro="">
      <xdr:nvGraphicFramePr>
        <xdr:cNvPr id="3" name="Chart 2">
          <a:extLst>
            <a:ext uri="{FF2B5EF4-FFF2-40B4-BE49-F238E27FC236}">
              <a16:creationId xmlns:a16="http://schemas.microsoft.com/office/drawing/2014/main" id="{EFCC2D55-3244-4663-97BC-3315D067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0</xdr:rowOff>
    </xdr:to>
    <xdr:graphicFrame macro="">
      <xdr:nvGraphicFramePr>
        <xdr:cNvPr id="4" name="Chart 3">
          <a:extLst>
            <a:ext uri="{FF2B5EF4-FFF2-40B4-BE49-F238E27FC236}">
              <a16:creationId xmlns:a16="http://schemas.microsoft.com/office/drawing/2014/main" id="{3C992AF9-FCDE-4553-9584-41BA4029B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599325</xdr:colOff>
      <xdr:row>6</xdr:row>
      <xdr:rowOff>-1</xdr:rowOff>
    </xdr:from>
    <xdr:to>
      <xdr:col>26</xdr:col>
      <xdr:colOff>222607</xdr:colOff>
      <xdr:row>16</xdr:row>
      <xdr:rowOff>428090</xdr:rowOff>
    </xdr:to>
    <xdr:graphicFrame macro="">
      <xdr:nvGraphicFramePr>
        <xdr:cNvPr id="5" name="Chart 4">
          <a:extLst>
            <a:ext uri="{FF2B5EF4-FFF2-40B4-BE49-F238E27FC236}">
              <a16:creationId xmlns:a16="http://schemas.microsoft.com/office/drawing/2014/main" id="{F4B97404-D2D8-4BFF-B350-9BA6D6625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304800</xdr:colOff>
      <xdr:row>3</xdr:row>
      <xdr:rowOff>20955</xdr:rowOff>
    </xdr:to>
    <xdr:sp macro="" textlink="">
      <xdr:nvSpPr>
        <xdr:cNvPr id="2"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43B25EDA-1A82-4E19-8B60-A61C8C3E8A31}"/>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xdr:row>
      <xdr:rowOff>0</xdr:rowOff>
    </xdr:from>
    <xdr:to>
      <xdr:col>11</xdr:col>
      <xdr:colOff>304800</xdr:colOff>
      <xdr:row>8</xdr:row>
      <xdr:rowOff>114300</xdr:rowOff>
    </xdr:to>
    <xdr:sp macro="" textlink="">
      <xdr:nvSpPr>
        <xdr:cNvPr id="3"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37FC9AF7-4D7B-4DEE-8233-5FE2A56465FF}"/>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xdr:row>
      <xdr:rowOff>0</xdr:rowOff>
    </xdr:from>
    <xdr:to>
      <xdr:col>16</xdr:col>
      <xdr:colOff>304800</xdr:colOff>
      <xdr:row>8</xdr:row>
      <xdr:rowOff>93345</xdr:rowOff>
    </xdr:to>
    <xdr:sp macro="" textlink="">
      <xdr:nvSpPr>
        <xdr:cNvPr id="4" name="AutoShape 3"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E1775E9C-91B8-45FA-BE5D-FE4E4C928153}"/>
            </a:ext>
          </a:extLst>
        </xdr:cNvPr>
        <xdr:cNvSpPr>
          <a:spLocks noChangeAspect="1" noChangeArrowheads="1"/>
        </xdr:cNvSpPr>
      </xdr:nvSpPr>
      <xdr:spPr bwMode="auto">
        <a:xfrm>
          <a:off x="13411200" y="1924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70923</xdr:colOff>
      <xdr:row>5</xdr:row>
      <xdr:rowOff>178190</xdr:rowOff>
    </xdr:from>
    <xdr:to>
      <xdr:col>14</xdr:col>
      <xdr:colOff>102576</xdr:colOff>
      <xdr:row>25</xdr:row>
      <xdr:rowOff>93638</xdr:rowOff>
    </xdr:to>
    <xdr:graphicFrame macro="">
      <xdr:nvGraphicFramePr>
        <xdr:cNvPr id="4" name="Chart 3">
          <a:extLst>
            <a:ext uri="{FF2B5EF4-FFF2-40B4-BE49-F238E27FC236}">
              <a16:creationId xmlns:a16="http://schemas.microsoft.com/office/drawing/2014/main" id="{E0DABA02-80FF-35F3-F8CB-EBAFE9FB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AC29A1E2-F76F-49B0-E6A9-386880789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3</xdr:row>
      <xdr:rowOff>171450</xdr:rowOff>
    </xdr:from>
    <xdr:to>
      <xdr:col>11</xdr:col>
      <xdr:colOff>175260</xdr:colOff>
      <xdr:row>15</xdr:row>
      <xdr:rowOff>152400</xdr:rowOff>
    </xdr:to>
    <xdr:graphicFrame macro="">
      <xdr:nvGraphicFramePr>
        <xdr:cNvPr id="3" name="Chart 2">
          <a:extLst>
            <a:ext uri="{FF2B5EF4-FFF2-40B4-BE49-F238E27FC236}">
              <a16:creationId xmlns:a16="http://schemas.microsoft.com/office/drawing/2014/main" id="{3CBA7BDD-DA10-0826-1A56-4CE40AE27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1C389946-FBEE-46E1-87FF-D58CDFF39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3</xdr:row>
      <xdr:rowOff>80010</xdr:rowOff>
    </xdr:from>
    <xdr:to>
      <xdr:col>11</xdr:col>
      <xdr:colOff>175260</xdr:colOff>
      <xdr:row>15</xdr:row>
      <xdr:rowOff>60960</xdr:rowOff>
    </xdr:to>
    <xdr:graphicFrame macro="">
      <xdr:nvGraphicFramePr>
        <xdr:cNvPr id="3" name="Chart 2">
          <a:extLst>
            <a:ext uri="{FF2B5EF4-FFF2-40B4-BE49-F238E27FC236}">
              <a16:creationId xmlns:a16="http://schemas.microsoft.com/office/drawing/2014/main" id="{282BA363-4292-425A-AB4B-DE99F0339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881E2A27-DE49-469E-A1B9-3BBA0376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xdr:colOff>
      <xdr:row>3</xdr:row>
      <xdr:rowOff>87630</xdr:rowOff>
    </xdr:from>
    <xdr:to>
      <xdr:col>11</xdr:col>
      <xdr:colOff>152400</xdr:colOff>
      <xdr:row>15</xdr:row>
      <xdr:rowOff>68580</xdr:rowOff>
    </xdr:to>
    <xdr:graphicFrame macro="">
      <xdr:nvGraphicFramePr>
        <xdr:cNvPr id="3" name="Chart 2">
          <a:extLst>
            <a:ext uri="{FF2B5EF4-FFF2-40B4-BE49-F238E27FC236}">
              <a16:creationId xmlns:a16="http://schemas.microsoft.com/office/drawing/2014/main" id="{4D95F42C-BF96-49E7-B464-3C6744BB9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464698</xdr:colOff>
      <xdr:row>3</xdr:row>
      <xdr:rowOff>170943</xdr:rowOff>
    </xdr:from>
    <xdr:to>
      <xdr:col>24</xdr:col>
      <xdr:colOff>554855</xdr:colOff>
      <xdr:row>23</xdr:row>
      <xdr:rowOff>116269</xdr:rowOff>
    </xdr:to>
    <xdr:graphicFrame macro="">
      <xdr:nvGraphicFramePr>
        <xdr:cNvPr id="7" name="Chart 6">
          <a:extLst>
            <a:ext uri="{FF2B5EF4-FFF2-40B4-BE49-F238E27FC236}">
              <a16:creationId xmlns:a16="http://schemas.microsoft.com/office/drawing/2014/main" id="{C5F6B08F-3132-426F-914F-B97EF7966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1</xdr:row>
      <xdr:rowOff>38100</xdr:rowOff>
    </xdr:from>
    <xdr:to>
      <xdr:col>18</xdr:col>
      <xdr:colOff>342900</xdr:colOff>
      <xdr:row>19</xdr:row>
      <xdr:rowOff>171450</xdr:rowOff>
    </xdr:to>
    <xdr:graphicFrame macro="">
      <xdr:nvGraphicFramePr>
        <xdr:cNvPr id="3" name="Chart 2">
          <a:extLst>
            <a:ext uri="{FF2B5EF4-FFF2-40B4-BE49-F238E27FC236}">
              <a16:creationId xmlns:a16="http://schemas.microsoft.com/office/drawing/2014/main" id="{15CE8F94-CBD3-804F-137B-863B5B3D4D12}"/>
            </a:ext>
            <a:ext uri="{147F2762-F138-4A5C-976F-8EAC2B608ADB}">
              <a16:predDERef xmlns:a16="http://schemas.microsoft.com/office/drawing/2014/main" pred="{C5F6B08F-3132-426F-914F-B97EF7966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289411</xdr:colOff>
      <xdr:row>2</xdr:row>
      <xdr:rowOff>0</xdr:rowOff>
    </xdr:from>
    <xdr:to>
      <xdr:col>24</xdr:col>
      <xdr:colOff>562251</xdr:colOff>
      <xdr:row>19</xdr:row>
      <xdr:rowOff>168847</xdr:rowOff>
    </xdr:to>
    <xdr:graphicFrame macro="">
      <xdr:nvGraphicFramePr>
        <xdr:cNvPr id="5" name="Chart 4">
          <a:extLst>
            <a:ext uri="{FF2B5EF4-FFF2-40B4-BE49-F238E27FC236}">
              <a16:creationId xmlns:a16="http://schemas.microsoft.com/office/drawing/2014/main" id="{CDB49F68-0CFF-4375-82BD-E44DAF504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325755</xdr:colOff>
      <xdr:row>19</xdr:row>
      <xdr:rowOff>9524</xdr:rowOff>
    </xdr:from>
    <xdr:to>
      <xdr:col>15</xdr:col>
      <xdr:colOff>154305</xdr:colOff>
      <xdr:row>43</xdr:row>
      <xdr:rowOff>64769</xdr:rowOff>
    </xdr:to>
    <xdr:sp macro="" textlink="">
      <xdr:nvSpPr>
        <xdr:cNvPr id="2" name="TextBox 1">
          <a:extLst>
            <a:ext uri="{FF2B5EF4-FFF2-40B4-BE49-F238E27FC236}">
              <a16:creationId xmlns:a16="http://schemas.microsoft.com/office/drawing/2014/main" id="{A1A687CB-DC82-4A39-FB64-56CB76A29602}"/>
            </a:ext>
          </a:extLst>
        </xdr:cNvPr>
        <xdr:cNvSpPr txBox="1"/>
      </xdr:nvSpPr>
      <xdr:spPr>
        <a:xfrm>
          <a:off x="2764155" y="3750944"/>
          <a:ext cx="6534150" cy="44443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lt"/>
              <a:cs typeface="+mn-lt"/>
            </a:rPr>
            <a:t>Journal of Agricultural Science (2016), 154, 765–781. doi:10.1017/S0021859615000830 där jag använde observerad beteslängd år 2010. Det är 13 år sedan och vi skulle kunna öka upp med hjälp av prognosen i artikeln. Prognosen gäller för 2050, så en fjärdedel av ökningen från 2010-2050, men enligt vilket scenario? Tror inte det är värt att göra en sådan korrigering</a:t>
          </a:r>
          <a:r>
            <a:rPr lang="en-US" sz="1100" b="0" i="0" u="none" strike="noStrike">
              <a:solidFill>
                <a:schemeClr val="dk1"/>
              </a:solidFill>
              <a:latin typeface="Calibri" panose="020F0502020204030204" pitchFamily="34" charset="0"/>
              <a:cs typeface="Calibri" panose="020F0502020204030204" pitchFamily="34" charset="0"/>
            </a:rPr>
            <a:t> (alltså inte gjort)</a:t>
          </a:r>
          <a:r>
            <a:rPr lang="en-US" sz="1100">
              <a:solidFill>
                <a:schemeClr val="dk1"/>
              </a:solidFill>
              <a:latin typeface="+mn-lt"/>
              <a:ea typeface="+mn-lt"/>
              <a:cs typeface="+mn-lt"/>
            </a:rPr>
            <a:t>.</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Betestid under dygnet</a:t>
          </a:r>
          <a:r>
            <a:rPr lang="en-US" sz="1100">
              <a:solidFill>
                <a:schemeClr val="dk1"/>
              </a:solidFill>
              <a:latin typeface="+mn-lt"/>
              <a:ea typeface="+mn-lt"/>
              <a:cs typeface="+mn-lt"/>
            </a:rPr>
            <a:t>: Får och köttkor, mjölk-sinkor och mjölk-kvigor är på bete dygnet runt, men mjölkkor går ju in för mjölkning, sammanlagt 3-4 t per dag. Går korna i lösdrift med robot kan de gå in och ut som de vill, men de måste ju ha betet i direkt anslutning till lagården så ofta funkar deras betet nog mer som rasthage än som utfodring.  För djurvälfärdsindikatorn har jag förenklat som om mjölkkor på bete är ute på betet dygnet runt. Antalet timmar per dygn kan variera inom land. Är det mycket varmt kan korna hållas inomhus, i skuggan, på dagen. Är betet dåligt kan korna hållas inne för stödutfodring några timmar per dag. Är det mycket insekter kan korna hållas inomhus på natten. Och så vidare.</a:t>
          </a:r>
          <a:r>
            <a:rPr lang="en-US" sz="1100" b="0" i="0" u="none" strike="noStrike">
              <a:solidFill>
                <a:schemeClr val="dk1"/>
              </a:solidFill>
              <a:latin typeface="Calibri" panose="020F0502020204030204" pitchFamily="34" charset="0"/>
              <a:cs typeface="Calibri" panose="020F0502020204030204" pitchFamily="34" charset="0"/>
            </a:rPr>
            <a:t> Sådan minskad tid på bete leder dock till högre välfärd än dygnet runt på bete. </a:t>
          </a:r>
          <a:r>
            <a:rPr lang="en-US" sz="1100">
              <a:solidFill>
                <a:schemeClr val="dk1"/>
              </a:solidFill>
              <a:latin typeface="+mn-lt"/>
              <a:ea typeface="+mn-lt"/>
              <a:cs typeface="+mn-lt"/>
            </a:rPr>
            <a:t>  </a:t>
          </a:r>
        </a:p>
        <a:p>
          <a:pPr marL="0" indent="0"/>
          <a:r>
            <a:rPr lang="en-US" sz="1100">
              <a:solidFill>
                <a:schemeClr val="dk1"/>
              </a:solidFill>
              <a:latin typeface="+mn-lt"/>
              <a:ea typeface="+mn-lt"/>
              <a:cs typeface="+mn-lt"/>
            </a:rPr>
            <a:t> </a:t>
          </a:r>
          <a:endParaRPr lang="en-US" sz="1100" i="1">
            <a:solidFill>
              <a:schemeClr val="dk1"/>
            </a:solidFill>
            <a:latin typeface="+mn-lt"/>
            <a:ea typeface="+mn-lt"/>
            <a:cs typeface="+mn-lt"/>
          </a:endParaRPr>
        </a:p>
        <a:p>
          <a:pPr marL="0" indent="0"/>
          <a:r>
            <a:rPr lang="en-US" sz="1100" i="1">
              <a:solidFill>
                <a:schemeClr val="dk1"/>
              </a:solidFill>
              <a:latin typeface="+mn-lt"/>
              <a:ea typeface="+mn-lt"/>
              <a:cs typeface="+mn-lt"/>
            </a:rPr>
            <a:t>Andel djur som tillåts gå på bete</a:t>
          </a:r>
          <a:r>
            <a:rPr lang="en-US" sz="1100">
              <a:solidFill>
                <a:schemeClr val="dk1"/>
              </a:solidFill>
              <a:latin typeface="+mn-lt"/>
              <a:ea typeface="+mn-lt"/>
              <a:cs typeface="+mn-lt"/>
            </a:rPr>
            <a:t>: För mjölkkor har jag tagit andel mjölkkor som tillåts gå på bete från Sustainability 2020, 12, 1098; doi:10.3390/su12031098, tabell 3. </a:t>
          </a:r>
        </a:p>
        <a:p>
          <a:pPr marL="0" indent="0"/>
          <a:r>
            <a:rPr lang="en-US" sz="1100">
              <a:solidFill>
                <a:schemeClr val="dk1"/>
              </a:solidFill>
              <a:latin typeface="+mn-lt"/>
              <a:ea typeface="+mn-lt"/>
              <a:cs typeface="+mn-lt"/>
            </a:rPr>
            <a:t>Jag har inte hittat motsvarade uppgifter för köttkor eller får. </a:t>
          </a:r>
        </a:p>
        <a:p>
          <a:pPr marL="0" indent="0"/>
          <a:r>
            <a:rPr lang="en-US" sz="1100">
              <a:solidFill>
                <a:schemeClr val="dk1"/>
              </a:solidFill>
              <a:latin typeface="+mn-lt"/>
              <a:ea typeface="+mn-lt"/>
              <a:cs typeface="+mn-lt"/>
            </a:rPr>
            <a:t>För köttkor har jag antagit att alla kor tillåts gå på bete. För kalvar som slaktas vid 9 mån har jag antagit att alla kalvar går inne från födsel till slakt. För ungnöt som slaktas vid 24 mån har jag a</a:t>
          </a:r>
          <a:r>
            <a:rPr lang="en-US" sz="1100" b="0" i="0" u="none" strike="noStrike">
              <a:solidFill>
                <a:schemeClr val="dk1"/>
              </a:solidFill>
              <a:latin typeface="Calibri" panose="020F0502020204030204" pitchFamily="34" charset="0"/>
              <a:cs typeface="Calibri" panose="020F0502020204030204" pitchFamily="34" charset="0"/>
            </a:rPr>
            <a:t>nvänt gödsel-siffror</a:t>
          </a:r>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För fåren har jag antagit att alla tackor tillåts gå på bete och f</a:t>
          </a:r>
          <a:r>
            <a:rPr lang="en-US" sz="1100" b="0" i="0" u="none" strike="noStrike">
              <a:solidFill>
                <a:schemeClr val="dk1"/>
              </a:solidFill>
              <a:latin typeface="Calibri" panose="020F0502020204030204" pitchFamily="34" charset="0"/>
              <a:cs typeface="Calibri" panose="020F0502020204030204" pitchFamily="34" charset="0"/>
            </a:rPr>
            <a:t>ör</a:t>
          </a:r>
          <a:r>
            <a:rPr lang="en-US" sz="1100">
              <a:solidFill>
                <a:schemeClr val="dk1"/>
              </a:solidFill>
              <a:latin typeface="+mn-lt"/>
              <a:ea typeface="+mn-lt"/>
              <a:cs typeface="+mn-lt"/>
            </a:rPr>
            <a:t> lammen </a:t>
          </a:r>
          <a:r>
            <a:rPr lang="en-US" sz="1100" b="0" i="0" u="none" strike="noStrike">
              <a:solidFill>
                <a:schemeClr val="dk1"/>
              </a:solidFill>
              <a:latin typeface="Calibri" panose="020F0502020204030204" pitchFamily="34" charset="0"/>
              <a:cs typeface="Calibri" panose="020F0502020204030204" pitchFamily="34" charset="0"/>
            </a:rPr>
            <a:t>har jag använt gödselsiffror.</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16</xdr:col>
      <xdr:colOff>135255</xdr:colOff>
      <xdr:row>2</xdr:row>
      <xdr:rowOff>27621</xdr:rowOff>
    </xdr:from>
    <xdr:to>
      <xdr:col>23</xdr:col>
      <xdr:colOff>440055</xdr:colOff>
      <xdr:row>22</xdr:row>
      <xdr:rowOff>1904</xdr:rowOff>
    </xdr:to>
    <xdr:graphicFrame macro="">
      <xdr:nvGraphicFramePr>
        <xdr:cNvPr id="2" name="Chart 1">
          <a:extLst>
            <a:ext uri="{FF2B5EF4-FFF2-40B4-BE49-F238E27FC236}">
              <a16:creationId xmlns:a16="http://schemas.microsoft.com/office/drawing/2014/main" id="{CC615D75-EAE7-24A1-E733-5CDC62193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281941</xdr:colOff>
      <xdr:row>4</xdr:row>
      <xdr:rowOff>76201</xdr:rowOff>
    </xdr:from>
    <xdr:to>
      <xdr:col>7</xdr:col>
      <xdr:colOff>480061</xdr:colOff>
      <xdr:row>26</xdr:row>
      <xdr:rowOff>32161</xdr:rowOff>
    </xdr:to>
    <xdr:pic>
      <xdr:nvPicPr>
        <xdr:cNvPr id="2" name="Bild 1" descr="A table with numbers and text&#10;&#10;Description automatically generated">
          <a:extLst>
            <a:ext uri="{FF2B5EF4-FFF2-40B4-BE49-F238E27FC236}">
              <a16:creationId xmlns:a16="http://schemas.microsoft.com/office/drawing/2014/main" id="{5A62710C-88A3-4425-80D5-33493AD94409}"/>
            </a:ext>
          </a:extLst>
        </xdr:cNvPr>
        <xdr:cNvPicPr>
          <a:picLocks noChangeAspect="1"/>
        </xdr:cNvPicPr>
      </xdr:nvPicPr>
      <xdr:blipFill>
        <a:blip xmlns:r="http://schemas.openxmlformats.org/officeDocument/2006/relationships" r:embed="rId1"/>
        <a:stretch>
          <a:fillRect/>
        </a:stretch>
      </xdr:blipFill>
      <xdr:spPr>
        <a:xfrm>
          <a:off x="281941" y="807721"/>
          <a:ext cx="4465320" cy="3979320"/>
        </a:xfrm>
        <a:prstGeom prst="rect">
          <a:avLst/>
        </a:prstGeom>
      </xdr:spPr>
    </xdr:pic>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https://unfccc.int/ghg-inventories-annex-i-parties/2023"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2.xml.rels><?xml version="1.0" encoding="UTF-8" standalone="yes"?>
<Relationships xmlns="http://schemas.openxmlformats.org/package/2006/relationships"><Relationship Id="rId3" Type="http://schemas.openxmlformats.org/officeDocument/2006/relationships/hyperlink" Target="http://dx.doi.org/10.1016/j.rvsc.2013.05.007" TargetMode="External"/><Relationship Id="rId2" Type="http://schemas.openxmlformats.org/officeDocument/2006/relationships/hyperlink" Target="https://receptfavoriter.se/matartiklar/matt-och-vikt-pa-olika-livsmedel.html" TargetMode="External"/><Relationship Id="rId1" Type="http://schemas.openxmlformats.org/officeDocument/2006/relationships/hyperlink" Target="http://www.kunskapskokboken.se/4.22713/varufakta/nordhavsraka/"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B5-7CC3-4AC5-AABB-E87D1B4493C1}">
  <sheetPr>
    <tabColor theme="1"/>
  </sheetPr>
  <dimension ref="A2:C22"/>
  <sheetViews>
    <sheetView workbookViewId="0">
      <selection activeCell="A25" sqref="A25"/>
    </sheetView>
  </sheetViews>
  <sheetFormatPr defaultRowHeight="14.4" x14ac:dyDescent="0.3"/>
  <cols>
    <col min="1" max="1" width="16.44140625" customWidth="1"/>
    <col min="2" max="2" width="107.44140625" customWidth="1"/>
  </cols>
  <sheetData>
    <row r="2" spans="1:3" ht="21" x14ac:dyDescent="0.4">
      <c r="A2" s="30" t="s">
        <v>0</v>
      </c>
    </row>
    <row r="3" spans="1:3" x14ac:dyDescent="0.3">
      <c r="C3" s="170"/>
    </row>
    <row r="4" spans="1:3" ht="18" x14ac:dyDescent="0.35">
      <c r="A4" s="472" t="s">
        <v>1</v>
      </c>
      <c r="C4" s="170"/>
    </row>
    <row r="5" spans="1:3" x14ac:dyDescent="0.3">
      <c r="C5" s="170"/>
    </row>
    <row r="6" spans="1:3" x14ac:dyDescent="0.3">
      <c r="A6" t="s">
        <v>2</v>
      </c>
      <c r="C6" s="170"/>
    </row>
    <row r="7" spans="1:3" x14ac:dyDescent="0.3">
      <c r="A7" s="64" t="s">
        <v>3</v>
      </c>
    </row>
    <row r="8" spans="1:3" x14ac:dyDescent="0.3">
      <c r="A8" s="64" t="s">
        <v>4</v>
      </c>
    </row>
    <row r="9" spans="1:3" x14ac:dyDescent="0.3">
      <c r="A9" s="64"/>
    </row>
    <row r="10" spans="1:3" ht="15.75" customHeight="1" x14ac:dyDescent="0.3">
      <c r="A10" s="100" t="s">
        <v>5</v>
      </c>
    </row>
    <row r="11" spans="1:3" x14ac:dyDescent="0.3">
      <c r="A11" t="s">
        <v>6</v>
      </c>
      <c r="B11" s="96" t="s">
        <v>7</v>
      </c>
    </row>
    <row r="12" spans="1:3" x14ac:dyDescent="0.3">
      <c r="A12" t="s">
        <v>8</v>
      </c>
      <c r="B12" s="96" t="s">
        <v>9</v>
      </c>
    </row>
    <row r="13" spans="1:3" x14ac:dyDescent="0.3">
      <c r="A13" t="s">
        <v>10</v>
      </c>
      <c r="B13" s="96" t="s">
        <v>11</v>
      </c>
    </row>
    <row r="14" spans="1:3" x14ac:dyDescent="0.3">
      <c r="A14" t="s">
        <v>12</v>
      </c>
      <c r="B14" s="96" t="s">
        <v>13</v>
      </c>
    </row>
    <row r="15" spans="1:3" x14ac:dyDescent="0.3">
      <c r="A15" t="s">
        <v>14</v>
      </c>
      <c r="B15" s="96" t="s">
        <v>15</v>
      </c>
    </row>
    <row r="16" spans="1:3" x14ac:dyDescent="0.3">
      <c r="A16" t="s">
        <v>16</v>
      </c>
      <c r="B16" s="96" t="s">
        <v>17</v>
      </c>
    </row>
    <row r="17" spans="1:2" x14ac:dyDescent="0.3">
      <c r="A17" t="s">
        <v>18</v>
      </c>
      <c r="B17" s="96" t="s">
        <v>19</v>
      </c>
    </row>
    <row r="18" spans="1:2" x14ac:dyDescent="0.3">
      <c r="A18" t="s">
        <v>20</v>
      </c>
      <c r="B18" s="96" t="s">
        <v>21</v>
      </c>
    </row>
    <row r="19" spans="1:2" x14ac:dyDescent="0.3">
      <c r="A19" t="s">
        <v>22</v>
      </c>
      <c r="B19" s="96" t="s">
        <v>23</v>
      </c>
    </row>
    <row r="20" spans="1:2" x14ac:dyDescent="0.3">
      <c r="A20" t="s">
        <v>24</v>
      </c>
      <c r="B20" s="96" t="s">
        <v>25</v>
      </c>
    </row>
    <row r="22" spans="1:2" x14ac:dyDescent="0.3">
      <c r="A2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C8BD-778B-4C94-8634-0444501592DC}">
  <sheetPr>
    <tabColor theme="5" tint="0.79998168889431442"/>
  </sheetPr>
  <dimension ref="A2:AE31"/>
  <sheetViews>
    <sheetView topLeftCell="A12" zoomScale="89" workbookViewId="0">
      <selection activeCell="R31" sqref="R31"/>
    </sheetView>
  </sheetViews>
  <sheetFormatPr defaultRowHeight="14.4" x14ac:dyDescent="0.3"/>
  <cols>
    <col min="1" max="1" width="23.33203125" customWidth="1"/>
    <col min="2" max="31" width="9.6640625" customWidth="1"/>
  </cols>
  <sheetData>
    <row r="2" spans="1:13" ht="21" x14ac:dyDescent="0.4">
      <c r="A2" s="30" t="s">
        <v>27</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0.31576873779158926</v>
      </c>
      <c r="C7" s="41">
        <f>B22*C22*D22*100</f>
        <v>0.28164623869426214</v>
      </c>
      <c r="D7" s="41">
        <f>Q22*R22*S22*100</f>
        <v>3.4122499097327119E-2</v>
      </c>
      <c r="E7" s="41">
        <f t="shared" ref="E7:E16" si="0">F7+G7</f>
        <v>5.5184349775494981E-2</v>
      </c>
      <c r="F7" s="19">
        <f t="shared" ref="F7:F14" si="1">B22*C22*E22*100</f>
        <v>4.8895142194871129E-2</v>
      </c>
      <c r="G7" s="19">
        <f>Q22*R22*T22*100</f>
        <v>6.2892075806238517E-3</v>
      </c>
      <c r="H7" s="226">
        <f>I7+J7</f>
        <v>1.0560418152127749E-3</v>
      </c>
      <c r="I7" s="226">
        <f>B22*((O22-P22)*F22+P22)</f>
        <v>9.8695067719902028E-4</v>
      </c>
      <c r="J7" s="226">
        <f>Q22*((AD22-AE22)*U22+AE22)</f>
        <v>6.9091138013754592E-5</v>
      </c>
      <c r="K7" s="226">
        <f>L7+M7</f>
        <v>9.3364977156304397E-4</v>
      </c>
      <c r="L7" s="226">
        <f t="shared" ref="L7:L14" si="2">C22*B22*((O22-P22)*F22+P22)</f>
        <v>8.7256608690745516E-4</v>
      </c>
      <c r="M7" s="234">
        <f>R22*Q22*((AD22-AE22)*U22+AE22)</f>
        <v>6.1083684655588799E-5</v>
      </c>
    </row>
    <row r="8" spans="1:13" x14ac:dyDescent="0.3">
      <c r="A8" s="101" t="s">
        <v>36</v>
      </c>
      <c r="B8" s="191">
        <f>C8+D8</f>
        <v>0.57829644413894088</v>
      </c>
      <c r="C8" s="41">
        <f t="shared" ref="C8:C14" si="3">B23*C23*D23*100</f>
        <v>0.57829644413894088</v>
      </c>
      <c r="D8" s="41"/>
      <c r="E8" s="41">
        <f t="shared" si="0"/>
        <v>0.13307984881033075</v>
      </c>
      <c r="F8" s="19">
        <f t="shared" si="1"/>
        <v>0.13307984881033075</v>
      </c>
      <c r="G8" s="19"/>
      <c r="H8" s="226">
        <f t="shared" ref="H8:H16" si="4">I8+J8</f>
        <v>9.7634574512245722E-4</v>
      </c>
      <c r="I8" s="226">
        <f>B23*((O23-P23)*F23+P23)</f>
        <v>9.7634574512245722E-4</v>
      </c>
      <c r="J8" s="226"/>
      <c r="K8" s="226">
        <f t="shared" ref="K8:K16" si="5">L8+M8</f>
        <v>8.0104083359552186E-4</v>
      </c>
      <c r="L8" s="226">
        <f t="shared" si="2"/>
        <v>8.0104083359552186E-4</v>
      </c>
      <c r="M8" s="111"/>
    </row>
    <row r="9" spans="1:13" x14ac:dyDescent="0.3">
      <c r="A9" s="101" t="s">
        <v>37</v>
      </c>
      <c r="B9" s="191">
        <f t="shared" ref="B9:B16" si="6">C9+D9</f>
        <v>0.32507460968253632</v>
      </c>
      <c r="C9" s="41">
        <f t="shared" si="3"/>
        <v>0.32507460968253632</v>
      </c>
      <c r="D9" s="41"/>
      <c r="E9" s="41">
        <f t="shared" si="0"/>
        <v>7.0582277447221245E-2</v>
      </c>
      <c r="F9" s="19">
        <f t="shared" si="1"/>
        <v>7.0582277447221245E-2</v>
      </c>
      <c r="G9" s="19"/>
      <c r="H9" s="226">
        <f t="shared" si="4"/>
        <v>1.2286336008205043E-3</v>
      </c>
      <c r="I9" s="226">
        <f t="shared" ref="I9:I14" si="7">B24*((O24-P24)*F24+P24)</f>
        <v>1.2286336008205043E-3</v>
      </c>
      <c r="J9" s="226"/>
      <c r="K9" s="226">
        <f t="shared" si="5"/>
        <v>1.0862386926502713E-3</v>
      </c>
      <c r="L9" s="226">
        <f t="shared" si="2"/>
        <v>1.0862386926502713E-3</v>
      </c>
      <c r="M9" s="111"/>
    </row>
    <row r="10" spans="1:13" x14ac:dyDescent="0.3">
      <c r="A10" s="101" t="s">
        <v>38</v>
      </c>
      <c r="B10" s="191">
        <f t="shared" si="6"/>
        <v>8.5380740270760303E-3</v>
      </c>
      <c r="C10" s="102">
        <f t="shared" si="3"/>
        <v>8.5380740270760303E-3</v>
      </c>
      <c r="D10" s="41"/>
      <c r="E10" s="41">
        <f t="shared" si="0"/>
        <v>1.9170719146745939E-3</v>
      </c>
      <c r="F10" s="19">
        <f t="shared" si="1"/>
        <v>1.9170719146745939E-3</v>
      </c>
      <c r="G10" s="19"/>
      <c r="H10" s="226">
        <f t="shared" si="4"/>
        <v>1.3970636092193179E-4</v>
      </c>
      <c r="I10" s="226">
        <f t="shared" si="7"/>
        <v>1.3970636092193179E-4</v>
      </c>
      <c r="J10" s="226"/>
      <c r="K10" s="226">
        <f t="shared" si="5"/>
        <v>1.2351481738853771E-4</v>
      </c>
      <c r="L10" s="226">
        <f t="shared" si="2"/>
        <v>1.2351481738853771E-4</v>
      </c>
      <c r="M10" s="111"/>
    </row>
    <row r="11" spans="1:13" x14ac:dyDescent="0.3">
      <c r="A11" s="101" t="s">
        <v>39</v>
      </c>
      <c r="B11" s="191">
        <f t="shared" si="6"/>
        <v>0.3462038205171506</v>
      </c>
      <c r="C11" s="41">
        <f t="shared" si="3"/>
        <v>0.3462038205171506</v>
      </c>
      <c r="D11" s="41"/>
      <c r="E11" s="41">
        <f t="shared" si="0"/>
        <v>8.2186672040348019E-2</v>
      </c>
      <c r="F11" s="19">
        <f t="shared" si="1"/>
        <v>8.2186672040348019E-2</v>
      </c>
      <c r="G11" s="19"/>
      <c r="H11" s="226">
        <f t="shared" si="4"/>
        <v>1.4989123287671234E-3</v>
      </c>
      <c r="I11" s="226">
        <f t="shared" si="7"/>
        <v>1.4989123287671234E-3</v>
      </c>
      <c r="J11" s="226"/>
      <c r="K11" s="226">
        <f t="shared" si="5"/>
        <v>1.3177480315882107E-3</v>
      </c>
      <c r="L11" s="226">
        <f t="shared" si="2"/>
        <v>1.3177480315882107E-3</v>
      </c>
      <c r="M11" s="111"/>
    </row>
    <row r="12" spans="1:13" x14ac:dyDescent="0.3">
      <c r="A12" s="101" t="s">
        <v>40</v>
      </c>
      <c r="B12" s="191">
        <f t="shared" si="6"/>
        <v>4.122401207708533</v>
      </c>
      <c r="C12" s="85">
        <f t="shared" si="3"/>
        <v>4.0471471893471094</v>
      </c>
      <c r="D12" s="41">
        <f>Q27*R27*S27*100</f>
        <v>7.5254018361423439E-2</v>
      </c>
      <c r="E12" s="41">
        <f t="shared" si="0"/>
        <v>0.89923741599570073</v>
      </c>
      <c r="F12" s="41">
        <f t="shared" si="1"/>
        <v>0.88543037145934478</v>
      </c>
      <c r="G12" s="19">
        <f>Q27*R27*T27*100</f>
        <v>1.3807044536355952E-2</v>
      </c>
      <c r="H12" s="226">
        <f t="shared" si="4"/>
        <v>4.3800098677558089E-3</v>
      </c>
      <c r="I12" s="226">
        <f t="shared" si="7"/>
        <v>4.3086943523370121E-3</v>
      </c>
      <c r="J12" s="226">
        <f t="shared" ref="J12:J16" si="8">Q27*((AD27-AE27)*U27+AE27)</f>
        <v>7.131551541879707E-5</v>
      </c>
      <c r="K12" s="226">
        <f t="shared" si="5"/>
        <v>3.5981095730867863E-3</v>
      </c>
      <c r="L12" s="226">
        <f t="shared" si="2"/>
        <v>3.5350593096213712E-3</v>
      </c>
      <c r="M12" s="234">
        <f>R27*Q27*((AD27-AE27)*U27+AE27)</f>
        <v>6.3050263465415067E-5</v>
      </c>
    </row>
    <row r="13" spans="1:13" x14ac:dyDescent="0.3">
      <c r="A13" s="101" t="s">
        <v>41</v>
      </c>
      <c r="B13" s="191">
        <f t="shared" si="6"/>
        <v>3.681157952250719</v>
      </c>
      <c r="C13" s="85">
        <f t="shared" si="3"/>
        <v>3.6383623868877661</v>
      </c>
      <c r="D13" s="41">
        <f>Q28*R28*S28*100</f>
        <v>4.2795565362952606E-2</v>
      </c>
      <c r="E13" s="41">
        <f t="shared" si="0"/>
        <v>0.61216208220048129</v>
      </c>
      <c r="F13" s="41">
        <f t="shared" si="1"/>
        <v>0.60450336884372469</v>
      </c>
      <c r="G13" s="19">
        <f>Q28*R28*T28*100</f>
        <v>7.6587133567566478E-3</v>
      </c>
      <c r="H13" s="226">
        <f t="shared" si="4"/>
        <v>4.221193620402925E-3</v>
      </c>
      <c r="I13" s="226">
        <f t="shared" si="7"/>
        <v>4.2190088049180972E-3</v>
      </c>
      <c r="J13" s="226">
        <f t="shared" si="8"/>
        <v>2.1848154848281882E-6</v>
      </c>
      <c r="K13" s="226">
        <f t="shared" si="5"/>
        <v>3.7140044528418156E-3</v>
      </c>
      <c r="L13" s="226">
        <f t="shared" si="2"/>
        <v>3.7119331244001115E-3</v>
      </c>
      <c r="M13" s="234">
        <f>R28*Q28*((AD28-AE28)*U28+AE28)</f>
        <v>2.0713284417041589E-6</v>
      </c>
    </row>
    <row r="14" spans="1:13" x14ac:dyDescent="0.3">
      <c r="A14" s="101" t="s">
        <v>42</v>
      </c>
      <c r="B14" s="191">
        <f>C14+D14</f>
        <v>70.338715502387515</v>
      </c>
      <c r="C14" s="85">
        <f t="shared" si="3"/>
        <v>69.763721340109569</v>
      </c>
      <c r="D14" s="41">
        <f>Q29*R29*S29*100</f>
        <v>0.5749941622779472</v>
      </c>
      <c r="E14" s="41">
        <f t="shared" si="0"/>
        <v>9.2459382314083474</v>
      </c>
      <c r="F14" s="85">
        <f t="shared" si="1"/>
        <v>9.1214996818972907</v>
      </c>
      <c r="G14" s="41">
        <f>Q29*R29*T29*100</f>
        <v>0.124438549511056</v>
      </c>
      <c r="H14" s="226">
        <f>I14+J14</f>
        <v>2.2516987677827564E-2</v>
      </c>
      <c r="I14" s="226">
        <f t="shared" si="7"/>
        <v>2.2498842062160421E-2</v>
      </c>
      <c r="J14" s="226">
        <f t="shared" si="8"/>
        <v>1.8145615667142698E-5</v>
      </c>
      <c r="K14" s="226">
        <f t="shared" si="5"/>
        <v>1.2231414123130238E-2</v>
      </c>
      <c r="L14" s="226">
        <f t="shared" si="2"/>
        <v>1.2221557274473589E-2</v>
      </c>
      <c r="M14" s="234">
        <f>R29*Q29*((AD29-AE29)*U29+AE29)</f>
        <v>9.8568486566492564E-6</v>
      </c>
    </row>
    <row r="15" spans="1:13" x14ac:dyDescent="0.3">
      <c r="A15" s="101" t="s">
        <v>43</v>
      </c>
      <c r="B15" s="191"/>
      <c r="C15" s="85"/>
      <c r="D15" s="41"/>
      <c r="E15" s="41"/>
      <c r="F15" s="85"/>
      <c r="H15" s="226"/>
      <c r="I15" s="226"/>
      <c r="J15" s="226"/>
      <c r="K15" s="226"/>
      <c r="L15" s="226"/>
      <c r="M15" s="111"/>
    </row>
    <row r="16" spans="1:13" x14ac:dyDescent="0.3">
      <c r="A16" s="104" t="s">
        <v>44</v>
      </c>
      <c r="B16" s="233">
        <f t="shared" si="6"/>
        <v>6.7130158850058992</v>
      </c>
      <c r="C16" s="253">
        <f>B31*C31*D31*100</f>
        <v>6.7032523375088156</v>
      </c>
      <c r="D16" s="193">
        <f>Q31*R31*S31*100</f>
        <v>9.7635474970835124E-3</v>
      </c>
      <c r="E16" s="193">
        <f t="shared" si="0"/>
        <v>1.3425309256060487</v>
      </c>
      <c r="F16" s="193">
        <f>B31*C31*E31*100</f>
        <v>1.3411361331064653</v>
      </c>
      <c r="G16" s="113">
        <f>Q31*R31*T31*100</f>
        <v>1.3947924995833588E-3</v>
      </c>
      <c r="H16" s="227">
        <f t="shared" si="4"/>
        <v>3.117469582952816E-2</v>
      </c>
      <c r="I16" s="227">
        <f>B31*((O31-P31)*F31+P31)</f>
        <v>3.1173649406392695E-2</v>
      </c>
      <c r="J16" s="227">
        <f t="shared" si="8"/>
        <v>1.0464231354642312E-6</v>
      </c>
      <c r="K16" s="227">
        <f t="shared" si="5"/>
        <v>1.8247475660454596E-2</v>
      </c>
      <c r="L16" s="227">
        <f>C31*B31*((O31-P31)*F31+P31)</f>
        <v>1.8247208166002622E-2</v>
      </c>
      <c r="M16" s="235">
        <f>R31*Q31*((AD31-AE31)*U31+AE31)</f>
        <v>2.6749445197489074E-7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affected'!B6</f>
        <v>3.5000000000000001E-3</v>
      </c>
      <c r="C22" s="41">
        <f>Ability!B6</f>
        <v>0.88410303277141455</v>
      </c>
      <c r="D22" s="41">
        <f>2*G22+2*H22+I22+2*J22</f>
        <v>0.91019203565442341</v>
      </c>
      <c r="E22" s="41">
        <f>(2*K22+2*L22+N22+2*M22)/7</f>
        <v>0.15801371683245882</v>
      </c>
      <c r="F22" s="110">
        <f>(K22+L22+N22)/3</f>
        <v>0.14069867260907057</v>
      </c>
      <c r="G22" s="44">
        <f>Mortality!B6</f>
        <v>4.2000000000000003E-2</v>
      </c>
      <c r="H22" s="44">
        <f>Disease!B6</f>
        <v>0.05</v>
      </c>
      <c r="I22" s="44">
        <f>Slaughter!B6/24</f>
        <v>0.25</v>
      </c>
      <c r="J22" s="207">
        <f>Space!B6/100</f>
        <v>0.23809601782721171</v>
      </c>
      <c r="K22" s="206">
        <f>Mortality!B6/Mortality!$G$2</f>
        <v>8.4000000000000005E-2</v>
      </c>
      <c r="L22" s="44">
        <f>Disease!B6/Disease!$G$2</f>
        <v>0.1</v>
      </c>
      <c r="M22" s="44">
        <f>Slaughter!B6/Slaughter!$G$2</f>
        <v>0.25</v>
      </c>
      <c r="N22" s="207">
        <f>Space!B6/Space!$G$2</f>
        <v>0.23809601782721171</v>
      </c>
      <c r="O22" s="200">
        <f>'Life duration'!B6</f>
        <v>2</v>
      </c>
      <c r="P22" s="226">
        <f>Slaughter!B6/(365*24)</f>
        <v>6.8493150684931507E-4</v>
      </c>
      <c r="Q22" s="247">
        <f>'No affected'!Q6</f>
        <v>8.0000000000000004E-4</v>
      </c>
      <c r="R22" s="51">
        <f>Ability!D6</f>
        <v>0.88410303277141455</v>
      </c>
      <c r="S22" s="41">
        <f>2*V22+2*W22+X22+2*Y22</f>
        <v>0.48244517087508848</v>
      </c>
      <c r="T22" s="41">
        <f>(2*Z22+2*AA22+AB22+2*AC22)/7</f>
        <v>8.8920738696441209E-2</v>
      </c>
      <c r="U22" s="110">
        <f>(Z22+AA22+AC22)/3</f>
        <v>6.2074195145848082E-2</v>
      </c>
      <c r="V22">
        <f>Mortality!Q6</f>
        <v>0.03</v>
      </c>
      <c r="W22" s="41">
        <f>Disease!Q6</f>
        <v>0.04</v>
      </c>
      <c r="X22" s="41">
        <f>Slaughter!Q6/24</f>
        <v>0.25</v>
      </c>
      <c r="Y22" s="110">
        <f>Space!Q6/100</f>
        <v>4.6222585437544234E-2</v>
      </c>
      <c r="Z22" s="101">
        <f>Mortality!Q6/Mortality!$G$2</f>
        <v>0.06</v>
      </c>
      <c r="AA22">
        <f>Disease!Q6/Disease!$G$2</f>
        <v>0.08</v>
      </c>
      <c r="AB22">
        <f>Slaughter!Q6/Slaughter!$G$2</f>
        <v>0.25</v>
      </c>
      <c r="AC22" s="218">
        <f>Space!Q6/Space!$G$2</f>
        <v>4.6222585437544234E-2</v>
      </c>
      <c r="AD22" s="200">
        <f>'Life duration'!Q6</f>
        <v>1.3809523809523809</v>
      </c>
      <c r="AE22" s="234">
        <f>Slaughter!Q6/(365*24)</f>
        <v>6.8493150684931507E-4</v>
      </c>
    </row>
    <row r="23" spans="1:31" x14ac:dyDescent="0.3">
      <c r="A23" s="101" t="s">
        <v>60</v>
      </c>
      <c r="B23" s="189">
        <f>'No affected'!B7</f>
        <v>8.9999999999999993E-3</v>
      </c>
      <c r="C23" s="41">
        <f>Ability!B7</f>
        <v>0.82044791775586834</v>
      </c>
      <c r="D23" s="41">
        <f t="shared" ref="D23:D31" si="9">2*G23+2*H23+I23+2*J23</f>
        <v>0.78317171717171719</v>
      </c>
      <c r="E23" s="41">
        <f t="shared" ref="E23:E31" si="10">(2*K23+2*L23+N23+2*M23)/7</f>
        <v>0.18022655122655123</v>
      </c>
      <c r="F23" s="110">
        <f>(K23+L23+N23)/3</f>
        <v>0.14386195286195286</v>
      </c>
      <c r="G23" s="44">
        <f>Mortality!B7</f>
        <v>6.5000000000000002E-2</v>
      </c>
      <c r="H23" s="44">
        <f>Disease!B7</f>
        <v>0.1</v>
      </c>
      <c r="I23" s="44">
        <f>Slaughter!B7/24</f>
        <v>0.25</v>
      </c>
      <c r="J23" s="207">
        <f>Space!B7/100</f>
        <v>0.10158585858585857</v>
      </c>
      <c r="K23" s="206">
        <f>Mortality!B7/Mortality!$G$2</f>
        <v>0.13</v>
      </c>
      <c r="L23" s="44">
        <f>Disease!B7/Disease!$G$2</f>
        <v>0.2</v>
      </c>
      <c r="M23" s="44">
        <f>Slaughter!B7/Slaughter!$G$2</f>
        <v>0.25</v>
      </c>
      <c r="N23" s="207">
        <f>Space!B7/Space!$G$2</f>
        <v>0.10158585858585857</v>
      </c>
      <c r="O23" s="200">
        <f>'Life duration'!B7</f>
        <v>0.75</v>
      </c>
      <c r="P23" s="226">
        <f>Slaughter!B7/(365*24)</f>
        <v>6.8493150684931507E-4</v>
      </c>
      <c r="Q23" s="101"/>
      <c r="R23" s="51"/>
      <c r="S23" s="51"/>
      <c r="U23" s="111"/>
      <c r="X23" s="41"/>
      <c r="Y23" s="110"/>
      <c r="Z23" s="101"/>
      <c r="AC23" s="111"/>
      <c r="AD23" s="200"/>
      <c r="AE23" s="234"/>
    </row>
    <row r="24" spans="1:31" x14ac:dyDescent="0.3">
      <c r="A24" s="101" t="s">
        <v>61</v>
      </c>
      <c r="B24" s="189">
        <f>'No affected'!B8</f>
        <v>5.0000000000000001E-3</v>
      </c>
      <c r="C24" s="41">
        <f>Ability!B8</f>
        <v>0.88410303277141455</v>
      </c>
      <c r="D24" s="41">
        <f t="shared" si="9"/>
        <v>0.73537720748116597</v>
      </c>
      <c r="E24" s="41">
        <f t="shared" si="10"/>
        <v>0.15966980053436902</v>
      </c>
      <c r="F24" s="110">
        <f t="shared" ref="F24:F31" si="11">(K24+L24+N24)/3</f>
        <v>0.12256286791352766</v>
      </c>
      <c r="G24" s="44">
        <f>Mortality!B8</f>
        <v>7.4999999999999997E-2</v>
      </c>
      <c r="H24" s="44">
        <f>Disease!B8</f>
        <v>0.05</v>
      </c>
      <c r="I24" s="44">
        <f>Slaughter!B8/24</f>
        <v>0.25</v>
      </c>
      <c r="J24" s="207">
        <f>Space!B8/100</f>
        <v>0.11768860374058297</v>
      </c>
      <c r="K24" s="206">
        <f>Mortality!B8/Mortality!$G$2</f>
        <v>0.15</v>
      </c>
      <c r="L24" s="44">
        <f>Disease!B8/Disease!$G$2</f>
        <v>0.1</v>
      </c>
      <c r="M24" s="44">
        <f>Slaughter!B8/Slaughter!$G$2</f>
        <v>0.25</v>
      </c>
      <c r="N24" s="207">
        <f>Space!B8/Space!$G$2</f>
        <v>0.11768860374058297</v>
      </c>
      <c r="O24" s="200">
        <f>'Life duration'!B8</f>
        <v>2</v>
      </c>
      <c r="P24" s="226">
        <f>Slaughter!B8/(365*24)</f>
        <v>6.8493150684931507E-4</v>
      </c>
      <c r="Q24" s="101"/>
      <c r="R24" s="51"/>
      <c r="S24" s="51"/>
      <c r="U24" s="111"/>
      <c r="X24" s="41"/>
      <c r="Y24" s="110"/>
      <c r="Z24" s="101"/>
      <c r="AC24" s="111"/>
      <c r="AD24" s="200"/>
      <c r="AE24" s="234"/>
    </row>
    <row r="25" spans="1:31" x14ac:dyDescent="0.3">
      <c r="A25" s="101" t="s">
        <v>62</v>
      </c>
      <c r="B25" s="190">
        <f>'No affected'!B9</f>
        <v>1E-4</v>
      </c>
      <c r="C25" s="41">
        <f>Ability!B9</f>
        <v>0.88410303277141455</v>
      </c>
      <c r="D25" s="41">
        <f t="shared" si="9"/>
        <v>0.96573291919512672</v>
      </c>
      <c r="E25" s="41">
        <f t="shared" si="10"/>
        <v>0.21683806565679478</v>
      </c>
      <c r="F25" s="110">
        <f t="shared" si="11"/>
        <v>0.19262215319918782</v>
      </c>
      <c r="G25" s="44">
        <f>Mortality!B9</f>
        <v>0.06</v>
      </c>
      <c r="H25" s="44">
        <f>Disease!B9</f>
        <v>0.16</v>
      </c>
      <c r="I25" s="44">
        <f>Slaughter!B9/24</f>
        <v>0.25</v>
      </c>
      <c r="J25" s="207">
        <f>Space!B9/100</f>
        <v>0.13786645959756341</v>
      </c>
      <c r="K25" s="206">
        <f>Mortality!B9/Mortality!$G$2</f>
        <v>0.12</v>
      </c>
      <c r="L25" s="44">
        <f>Disease!B9/Disease!$G$2</f>
        <v>0.32</v>
      </c>
      <c r="M25" s="44">
        <f>Slaughter!B9/Slaughter!$G$2</f>
        <v>0.25</v>
      </c>
      <c r="N25" s="207">
        <f>Space!B9/Space!$G$2</f>
        <v>0.13786645959756341</v>
      </c>
      <c r="O25" s="200">
        <f>'Life duration'!B9</f>
        <v>7.25</v>
      </c>
      <c r="P25" s="226">
        <f>Slaughter!B9/(365*24)</f>
        <v>6.8493150684931507E-4</v>
      </c>
      <c r="Q25" s="101"/>
      <c r="R25" s="51"/>
      <c r="S25" s="51"/>
      <c r="U25" s="111"/>
      <c r="X25" s="41"/>
      <c r="Y25" s="110"/>
      <c r="Z25" s="101"/>
      <c r="AC25" s="111"/>
      <c r="AD25" s="200"/>
      <c r="AE25" s="234"/>
    </row>
    <row r="26" spans="1:31" x14ac:dyDescent="0.3">
      <c r="A26" s="101" t="s">
        <v>63</v>
      </c>
      <c r="B26" s="189">
        <f>'No affected'!B10</f>
        <v>5.0000000000000001E-3</v>
      </c>
      <c r="C26" s="41">
        <f>Ability!B10</f>
        <v>0.87913616180078868</v>
      </c>
      <c r="D26" s="41">
        <f t="shared" si="9"/>
        <v>0.78759999999999997</v>
      </c>
      <c r="E26" s="41">
        <f t="shared" si="10"/>
        <v>0.18697142857142857</v>
      </c>
      <c r="F26" s="110">
        <f t="shared" si="11"/>
        <v>0.14959999999999998</v>
      </c>
      <c r="G26" s="44">
        <f>Mortality!B10</f>
        <v>0.03</v>
      </c>
      <c r="H26" s="44">
        <f>Disease!B10</f>
        <v>0.15</v>
      </c>
      <c r="I26" s="44">
        <f>Slaughter!B10/24</f>
        <v>0.25</v>
      </c>
      <c r="J26" s="207">
        <f>Space!B10/100</f>
        <v>8.8799999999999976E-2</v>
      </c>
      <c r="K26" s="206">
        <f>Mortality!B10/Mortality!$G$2</f>
        <v>0.06</v>
      </c>
      <c r="L26" s="44">
        <f>Disease!B10/Disease!$G$2</f>
        <v>0.3</v>
      </c>
      <c r="M26" s="44">
        <f>Slaughter!B10/Slaughter!$G$2</f>
        <v>0.25</v>
      </c>
      <c r="N26" s="207">
        <f>Space!B10/Space!$G$2</f>
        <v>8.8799999999999976E-2</v>
      </c>
      <c r="O26" s="200">
        <f>'Life duration'!B10</f>
        <v>2</v>
      </c>
      <c r="P26" s="226">
        <f>Slaughter!B10/(365*24)</f>
        <v>6.8493150684931507E-4</v>
      </c>
      <c r="Q26" s="101"/>
      <c r="R26" s="51"/>
      <c r="S26" s="51"/>
      <c r="U26" s="111"/>
      <c r="X26" s="41"/>
      <c r="Y26" s="110"/>
      <c r="Z26" s="101"/>
      <c r="AC26" s="111"/>
      <c r="AD26" s="200"/>
      <c r="AE26" s="234"/>
    </row>
    <row r="27" spans="1:31" x14ac:dyDescent="0.3">
      <c r="A27" s="101" t="s">
        <v>64</v>
      </c>
      <c r="B27" s="189">
        <f>'No affected'!B11</f>
        <v>6.4000000000000001E-2</v>
      </c>
      <c r="C27" s="41">
        <f>Ability!B11</f>
        <v>0.82044791775586834</v>
      </c>
      <c r="D27" s="41">
        <f t="shared" si="9"/>
        <v>0.77075794166821476</v>
      </c>
      <c r="E27" s="41">
        <f t="shared" si="10"/>
        <v>0.16862556726201536</v>
      </c>
      <c r="F27" s="110">
        <f t="shared" si="11"/>
        <v>0.13345965694470246</v>
      </c>
      <c r="G27" s="44">
        <f>Mortality!B11</f>
        <v>0.08</v>
      </c>
      <c r="H27" s="44">
        <f>Disease!B11</f>
        <v>0.06</v>
      </c>
      <c r="I27" s="44">
        <f>Slaughter!B11/24</f>
        <v>0.25</v>
      </c>
      <c r="J27" s="207">
        <f>Space!B11/100</f>
        <v>0.12037897083410738</v>
      </c>
      <c r="K27" s="206">
        <f>Mortality!B11/Mortality!$G$2</f>
        <v>0.16</v>
      </c>
      <c r="L27" s="44">
        <f>Disease!B11/Disease!$G$2</f>
        <v>0.12</v>
      </c>
      <c r="M27" s="44">
        <f>Slaughter!B11/Slaughter!$G$2</f>
        <v>0.25</v>
      </c>
      <c r="N27" s="207">
        <f>Space!B11/Space!$G$2</f>
        <v>0.12037897083410738</v>
      </c>
      <c r="O27" s="200">
        <f>'Life duration'!B11</f>
        <v>0.5</v>
      </c>
      <c r="P27" s="226">
        <f>Slaughter!B11/(365*24)</f>
        <v>6.8493150684931507E-4</v>
      </c>
      <c r="Q27" s="101">
        <f>'No affected'!Q11</f>
        <v>1.1000000000000001E-3</v>
      </c>
      <c r="R27" s="51">
        <f>Ability!D11</f>
        <v>0.88410303277141455</v>
      </c>
      <c r="S27" s="41">
        <f>2*V27+2*W27+X27+2*Y27</f>
        <v>0.77380962884467963</v>
      </c>
      <c r="T27" s="41">
        <f>(2*Z27+2*AA27+AB27+2*AC27)/7</f>
        <v>0.14197280412066851</v>
      </c>
      <c r="U27" s="110">
        <f>(Z27+AA27+AC27)/3</f>
        <v>0.12396827147411327</v>
      </c>
      <c r="V27">
        <f>Mortality!Q11</f>
        <v>0.06</v>
      </c>
      <c r="W27" s="41">
        <f>Disease!Q11</f>
        <v>0.05</v>
      </c>
      <c r="X27" s="41">
        <f>Slaughter!Q11/24</f>
        <v>0.25</v>
      </c>
      <c r="Y27" s="110">
        <f>Space!Q11/100</f>
        <v>0.1519048144223398</v>
      </c>
      <c r="Z27" s="101">
        <f>Mortality!Q11/Mortality!$G$2</f>
        <v>0.12</v>
      </c>
      <c r="AA27" s="41">
        <f>Disease!Q11/Disease!$G$2</f>
        <v>0.1</v>
      </c>
      <c r="AB27">
        <f>Slaughter!Q11/Slaughter!$G$2</f>
        <v>0.25</v>
      </c>
      <c r="AC27" s="110">
        <f>Space!Q11/Space!$G$2</f>
        <v>0.1519048144223398</v>
      </c>
      <c r="AD27" s="191">
        <f>'Life duration'!Q11</f>
        <v>0.5181347150259068</v>
      </c>
      <c r="AE27" s="234">
        <f>Slaughter!Q11/(365*24)</f>
        <v>6.8493150684931507E-4</v>
      </c>
    </row>
    <row r="28" spans="1:31" x14ac:dyDescent="0.3">
      <c r="A28" s="101" t="s">
        <v>65</v>
      </c>
      <c r="B28" s="189">
        <f>'No affected'!B12</f>
        <v>1.81702121013212E-2</v>
      </c>
      <c r="C28" s="41">
        <f>Ability!B12</f>
        <v>0.87981165625279378</v>
      </c>
      <c r="D28" s="41">
        <f t="shared" si="9"/>
        <v>2.2759160839160844</v>
      </c>
      <c r="E28" s="41">
        <f t="shared" si="10"/>
        <v>0.37813686313686318</v>
      </c>
      <c r="F28" s="110">
        <f t="shared" si="11"/>
        <v>0.46365268065268067</v>
      </c>
      <c r="G28" s="44">
        <f>Mortality!B12</f>
        <v>0.22800000000000001</v>
      </c>
      <c r="H28" s="44">
        <f>Disease!B12</f>
        <v>0.15</v>
      </c>
      <c r="I28" s="44">
        <f>Slaughter!B12/24</f>
        <v>0.25</v>
      </c>
      <c r="J28" s="207">
        <f>Space!B12/100</f>
        <v>0.63495804195804206</v>
      </c>
      <c r="K28" s="206">
        <f>Mortality!B12/Mortality!$G$2</f>
        <v>0.45600000000000002</v>
      </c>
      <c r="L28" s="44">
        <f>Disease!B12/Disease!$G$2</f>
        <v>0.3</v>
      </c>
      <c r="M28" s="44">
        <f>Slaughter!B12/Slaughter!$G$2</f>
        <v>0.25</v>
      </c>
      <c r="N28" s="207">
        <f>Space!B12/Space!$G$2</f>
        <v>0.63495804195804206</v>
      </c>
      <c r="O28" s="200">
        <f>'Life duration'!B12</f>
        <v>0.5</v>
      </c>
      <c r="P28" s="226">
        <f>Slaughter!B12/(365*24)</f>
        <v>6.8493150684931507E-4</v>
      </c>
      <c r="Q28" s="190">
        <f>'No affected'!Q12</f>
        <v>3.1E-4</v>
      </c>
      <c r="R28" s="51">
        <f>Ability!D12</f>
        <v>0.94805646338919392</v>
      </c>
      <c r="S28" s="41">
        <f>2*V28+2*W28+X28+2*Y28</f>
        <v>1.4561391244010977</v>
      </c>
      <c r="T28" s="41">
        <f>(2*Z28+2*AA28+AB28+2*AC28)/7</f>
        <v>0.26059130348587112</v>
      </c>
      <c r="U28" s="110">
        <f>(Z28+AA28+AC28)/3</f>
        <v>0.26235652073351629</v>
      </c>
      <c r="V28">
        <f>Mortality!Q12</f>
        <v>3.4000000000000002E-2</v>
      </c>
      <c r="W28" s="41">
        <f>Disease!Q12</f>
        <v>0.15</v>
      </c>
      <c r="X28" s="41">
        <f>Slaughter!Q12/24</f>
        <v>0.25</v>
      </c>
      <c r="Y28" s="110">
        <f>Space!Q12/100</f>
        <v>0.41906956220054892</v>
      </c>
      <c r="Z28" s="101">
        <f>Mortality!Q12/Mortality!$G$2</f>
        <v>6.8000000000000005E-2</v>
      </c>
      <c r="AA28" s="41">
        <f>Disease!Q12/Disease!$G$2</f>
        <v>0.3</v>
      </c>
      <c r="AB28">
        <f>Slaughter!Q12/Slaughter!$G$2</f>
        <v>0.25</v>
      </c>
      <c r="AC28" s="110">
        <f>Space!Q12/Space!$G$2</f>
        <v>0.41906956220054892</v>
      </c>
      <c r="AD28" s="189">
        <f>'Life duration'!Q12</f>
        <v>2.4937655860349125E-2</v>
      </c>
      <c r="AE28" s="234">
        <f>Slaughter!Q12/(365*24)</f>
        <v>6.8493150684931507E-4</v>
      </c>
    </row>
    <row r="29" spans="1:31" x14ac:dyDescent="0.3">
      <c r="A29" s="101" t="s">
        <v>66</v>
      </c>
      <c r="B29" s="189">
        <f>'No affected'!B13</f>
        <v>0.75216903015372494</v>
      </c>
      <c r="C29" s="41">
        <f>Ability!B13</f>
        <v>0.54320827892864587</v>
      </c>
      <c r="D29" s="41">
        <f t="shared" si="9"/>
        <v>1.7074492753623192</v>
      </c>
      <c r="E29" s="41">
        <f t="shared" si="10"/>
        <v>0.2232463768115942</v>
      </c>
      <c r="F29" s="110">
        <f t="shared" si="11"/>
        <v>0.30779710144927536</v>
      </c>
      <c r="G29" s="44">
        <f>Mortality!B13</f>
        <v>3.7999999999999999E-2</v>
      </c>
      <c r="H29" s="44">
        <f>Disease!B13</f>
        <v>0.115</v>
      </c>
      <c r="I29" s="44">
        <f>Slaughter!B13/24</f>
        <v>0.16666666666666666</v>
      </c>
      <c r="J29" s="207">
        <f>Space!B13/100</f>
        <v>0.61739130434782619</v>
      </c>
      <c r="K29" s="206">
        <f>Mortality!B13/Mortality!$G$2</f>
        <v>7.5999999999999998E-2</v>
      </c>
      <c r="L29" s="44">
        <f>Disease!B13/Disease!$G$2</f>
        <v>0.23</v>
      </c>
      <c r="M29" s="44">
        <f>Slaughter!B13/Slaughter!$G$2</f>
        <v>0.16666666666666666</v>
      </c>
      <c r="N29" s="207">
        <f>Space!B13/Space!$G$2</f>
        <v>0.61739130434782619</v>
      </c>
      <c r="O29" s="200">
        <f>'Life duration'!B13</f>
        <v>9.6153846153846159E-2</v>
      </c>
      <c r="P29" s="226">
        <f>Slaughter!B13/(365*24)</f>
        <v>4.5662100456621003E-4</v>
      </c>
      <c r="Q29" s="190">
        <f>'No affected'!Q13</f>
        <v>5.4505002185052534E-3</v>
      </c>
      <c r="R29" s="51">
        <f>Ability!D13</f>
        <v>0.54320827892864587</v>
      </c>
      <c r="S29" s="41">
        <f>2*V29+2*W29+X29+2*Y29</f>
        <v>1.9420512820512821</v>
      </c>
      <c r="T29" s="41">
        <f>(2*Z29+2*AA29+AB29+2*AC29)/7</f>
        <v>0.42029304029304032</v>
      </c>
      <c r="U29" s="110">
        <f>(Z29+AA29+AC29)/3</f>
        <v>0.46256410256410252</v>
      </c>
      <c r="V29">
        <f>Mortality!Q13</f>
        <v>0.06</v>
      </c>
      <c r="W29" s="41">
        <f>Disease!Q13</f>
        <v>0.44</v>
      </c>
      <c r="X29" s="41">
        <f>Slaughter!Q13/24</f>
        <v>0.16666666666666666</v>
      </c>
      <c r="Y29" s="110">
        <f>Space!Q13/100</f>
        <v>0.38769230769230767</v>
      </c>
      <c r="Z29" s="101">
        <f>Mortality!Q13/Mortality!$G$2</f>
        <v>0.12</v>
      </c>
      <c r="AA29">
        <f>Disease!Q13/Disease!$G$2</f>
        <v>0.88</v>
      </c>
      <c r="AB29" s="41">
        <f>Slaughter!Q13/Slaughter!$G$2</f>
        <v>0.16666666666666666</v>
      </c>
      <c r="AC29" s="110">
        <f>Space!Q13/Space!$G$2</f>
        <v>0.38769230769230767</v>
      </c>
      <c r="AD29" s="189">
        <f>'Life duration'!Q13</f>
        <v>6.6666666666666671E-3</v>
      </c>
      <c r="AE29" s="234">
        <f>Slaughter!Q13/(365*24)</f>
        <v>4.5662100456621003E-4</v>
      </c>
    </row>
    <row r="30" spans="1:31" x14ac:dyDescent="0.3">
      <c r="A30" s="101" t="s">
        <v>67</v>
      </c>
      <c r="B30" s="189"/>
      <c r="C30" s="41"/>
      <c r="D30" s="41"/>
      <c r="E30" s="41"/>
      <c r="F30" s="110"/>
      <c r="G30" s="44"/>
      <c r="H30" s="44"/>
      <c r="I30" s="44"/>
      <c r="J30" s="207"/>
      <c r="K30" s="206"/>
      <c r="L30" s="44"/>
      <c r="M30" s="44"/>
      <c r="N30" s="207"/>
      <c r="O30" s="200"/>
      <c r="P30" s="226"/>
      <c r="Q30" s="101"/>
      <c r="R30" s="51"/>
      <c r="S30" s="51"/>
      <c r="U30" s="111"/>
      <c r="X30" s="41"/>
      <c r="Y30" s="110"/>
      <c r="Z30" s="101"/>
      <c r="AC30" s="111"/>
      <c r="AD30" s="191"/>
      <c r="AE30" s="234"/>
    </row>
    <row r="31" spans="1:31" x14ac:dyDescent="0.3">
      <c r="A31" s="104" t="s">
        <v>68</v>
      </c>
      <c r="B31" s="232">
        <f>'No affected'!B15</f>
        <v>5.5E-2</v>
      </c>
      <c r="C31" s="193">
        <f>Ability!B15</f>
        <v>0.58534077701729459</v>
      </c>
      <c r="D31" s="193">
        <f t="shared" si="9"/>
        <v>2.08216</v>
      </c>
      <c r="E31" s="193">
        <f t="shared" si="10"/>
        <v>0.41658285714285714</v>
      </c>
      <c r="F31" s="254">
        <f t="shared" si="11"/>
        <v>0.47202666666666665</v>
      </c>
      <c r="G31" s="255">
        <f>Mortality!B15</f>
        <v>0.04</v>
      </c>
      <c r="H31" s="255">
        <f>Disease!B15</f>
        <v>0.46</v>
      </c>
      <c r="I31" s="255">
        <f>Slaughter!B15/24</f>
        <v>0.25</v>
      </c>
      <c r="J31" s="256">
        <f>Space!B15/100</f>
        <v>0.41608000000000006</v>
      </c>
      <c r="K31" s="257">
        <f>Mortality!B15/Mortality!$G$2</f>
        <v>0.08</v>
      </c>
      <c r="L31" s="255">
        <f>Disease!B15/Disease!$G$2</f>
        <v>0.92</v>
      </c>
      <c r="M31" s="255">
        <f>Slaughter!B15/Slaughter!$G$2</f>
        <v>0.25</v>
      </c>
      <c r="N31" s="256">
        <f>Space!B15/Space!$G$2</f>
        <v>0.41608000000000006</v>
      </c>
      <c r="O31" s="244">
        <f>'Life duration'!B15</f>
        <v>1.2</v>
      </c>
      <c r="P31" s="227">
        <f>Slaughter!B15/(365*24)</f>
        <v>6.8493150684931507E-4</v>
      </c>
      <c r="Q31" s="104">
        <f>'No affected'!Q15</f>
        <v>5.5E-2</v>
      </c>
      <c r="R31" s="261">
        <f>Ability!D15</f>
        <v>0.2556274253781865</v>
      </c>
      <c r="S31" s="105">
        <f>2*V31+2*W31+X31+2*Y31</f>
        <v>6.9444444444444441E-3</v>
      </c>
      <c r="T31" s="113">
        <f>(2*Z31+2*AA31+AB31+2*AC31)/7</f>
        <v>9.9206349206349201E-4</v>
      </c>
      <c r="U31" s="195">
        <f>(Z31+AA31+AC31)/3</f>
        <v>0</v>
      </c>
      <c r="V31" s="194">
        <f>Mortality!Q15</f>
        <v>0</v>
      </c>
      <c r="W31" s="194">
        <f>Disease!Q15</f>
        <v>0</v>
      </c>
      <c r="X31" s="193">
        <f>Slaughter!Q15/24</f>
        <v>6.9444444444444441E-3</v>
      </c>
      <c r="Y31" s="195">
        <f>Space!Q15/100</f>
        <v>0</v>
      </c>
      <c r="Z31" s="260">
        <f>Mortality!Q15/Mortality!$G$2</f>
        <v>0</v>
      </c>
      <c r="AA31" s="194">
        <f>Disease!Q15/Disease!$G$2</f>
        <v>0</v>
      </c>
      <c r="AB31" s="105">
        <f>Slaughter!Q15/Slaughter!$G$2</f>
        <v>6.9444444444444441E-3</v>
      </c>
      <c r="AC31" s="195">
        <f>Space!Q15/Space!$G$2</f>
        <v>0</v>
      </c>
      <c r="AD31" s="262">
        <f>'Life duration'!Q15</f>
        <v>3.1709791983764589E-7</v>
      </c>
      <c r="AE31" s="235">
        <f>Slaughter!Q15/(365*24)</f>
        <v>1.902587519025875E-5</v>
      </c>
    </row>
  </sheetData>
  <mergeCells count="4">
    <mergeCell ref="B5:D5"/>
    <mergeCell ref="E5:G5"/>
    <mergeCell ref="H5:J5"/>
    <mergeCell ref="K5:M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7BF-6E6A-4BA3-B34C-9E9689CCD75D}">
  <sheetPr>
    <tabColor theme="5" tint="0.79998168889431442"/>
  </sheetPr>
  <dimension ref="A2:AE31"/>
  <sheetViews>
    <sheetView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30" t="s">
        <v>69</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0.30083658621305265</v>
      </c>
      <c r="C7" s="41">
        <f t="shared" ref="C7:C16" si="0">B22*C22*D22*100</f>
        <v>0.2591533082184963</v>
      </c>
      <c r="D7" s="41">
        <f>Q22*R22*S22*100</f>
        <v>4.1683277994556324E-2</v>
      </c>
      <c r="E7" s="41">
        <f t="shared" ref="E7:E16" si="1">F7+G7</f>
        <v>6.0736031505705057E-2</v>
      </c>
      <c r="F7" s="19">
        <f t="shared" ref="F7:F16" si="2">B22*C22*E22*100</f>
        <v>5.3366712654048465E-2</v>
      </c>
      <c r="G7" s="19">
        <f>Q22*R22*T22*100</f>
        <v>7.3693188516565939E-3</v>
      </c>
      <c r="H7" s="226">
        <f>I7+J7</f>
        <v>8.6812857658954241E-4</v>
      </c>
      <c r="I7" s="226">
        <f t="shared" ref="I7:I16" si="3">B22*((O22-P22)*F22+P22)</f>
        <v>7.9604621313456893E-4</v>
      </c>
      <c r="J7" s="226">
        <f>Q22*((AD22-AE22)*U22+AE22)</f>
        <v>7.2082363454973466E-5</v>
      </c>
      <c r="K7" s="226">
        <f>L7+M7</f>
        <v>7.6751510739834561E-4</v>
      </c>
      <c r="L7" s="226">
        <f t="shared" ref="L7:L16" si="4">C22*B22*((O22-P22)*F22+P22)</f>
        <v>7.0378687125847224E-4</v>
      </c>
      <c r="M7" s="234">
        <f>R22*Q22*((AD22-AE22)*U22+AE22)</f>
        <v>6.3728236139873413E-5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0.39939441182216567</v>
      </c>
      <c r="C9" s="41">
        <f t="shared" si="0"/>
        <v>0.39939441182216567</v>
      </c>
      <c r="D9" s="41"/>
      <c r="E9" s="41">
        <f t="shared" si="1"/>
        <v>8.4573989529056856E-2</v>
      </c>
      <c r="F9" s="19">
        <f t="shared" si="2"/>
        <v>8.4573989529056856E-2</v>
      </c>
      <c r="G9" s="19"/>
      <c r="H9" s="226">
        <f t="shared" si="6"/>
        <v>1.357105907869997E-3</v>
      </c>
      <c r="I9" s="226">
        <f t="shared" si="3"/>
        <v>1.357105907869997E-3</v>
      </c>
      <c r="J9" s="226"/>
      <c r="K9" s="226">
        <f t="shared" si="7"/>
        <v>1.1998214489398684E-3</v>
      </c>
      <c r="L9" s="226">
        <f t="shared" si="4"/>
        <v>1.1998214489398684E-3</v>
      </c>
      <c r="M9" s="111"/>
    </row>
    <row r="10" spans="1:13" x14ac:dyDescent="0.3">
      <c r="A10" s="101" t="s">
        <v>38</v>
      </c>
      <c r="B10" s="191">
        <f t="shared" si="5"/>
        <v>8.4023562912709029E-3</v>
      </c>
      <c r="C10" s="102">
        <f t="shared" si="0"/>
        <v>8.4023562912709029E-3</v>
      </c>
      <c r="D10" s="41"/>
      <c r="E10" s="41">
        <f t="shared" si="1"/>
        <v>2.0810408864114691E-3</v>
      </c>
      <c r="F10" s="19">
        <f t="shared" si="2"/>
        <v>2.0810408864114691E-3</v>
      </c>
      <c r="G10" s="19"/>
      <c r="H10" s="226">
        <f t="shared" si="6"/>
        <v>1.2679701833419617E-4</v>
      </c>
      <c r="I10" s="226">
        <f t="shared" si="3"/>
        <v>1.2679701833419617E-4</v>
      </c>
      <c r="J10" s="226"/>
      <c r="K10" s="226">
        <f t="shared" si="7"/>
        <v>1.1210162845563548E-4</v>
      </c>
      <c r="L10" s="226">
        <f t="shared" si="4"/>
        <v>1.1210162845563548E-4</v>
      </c>
      <c r="M10" s="111"/>
    </row>
    <row r="11" spans="1:13" x14ac:dyDescent="0.3">
      <c r="A11" s="101" t="s">
        <v>39</v>
      </c>
      <c r="B11" s="191">
        <f t="shared" si="5"/>
        <v>0.41846881301717542</v>
      </c>
      <c r="C11" s="41">
        <f t="shared" si="0"/>
        <v>0.41846881301717542</v>
      </c>
      <c r="D11" s="41"/>
      <c r="E11" s="41">
        <f t="shared" si="1"/>
        <v>0.10712902085943897</v>
      </c>
      <c r="F11" s="19">
        <f t="shared" si="2"/>
        <v>0.10712902085943897</v>
      </c>
      <c r="G11" s="19"/>
      <c r="H11" s="226">
        <f t="shared" si="6"/>
        <v>1.4254065753424659E-3</v>
      </c>
      <c r="I11" s="226">
        <f t="shared" si="3"/>
        <v>1.4254065753424659E-3</v>
      </c>
      <c r="J11" s="226"/>
      <c r="K11" s="226">
        <f t="shared" si="7"/>
        <v>1.2531264656521822E-3</v>
      </c>
      <c r="L11" s="226">
        <f t="shared" si="4"/>
        <v>1.2531264656521822E-3</v>
      </c>
      <c r="M11" s="111"/>
    </row>
    <row r="12" spans="1:13" x14ac:dyDescent="0.3">
      <c r="A12" s="101" t="s">
        <v>40</v>
      </c>
      <c r="B12" s="191">
        <f t="shared" si="5"/>
        <v>4.5747956459451755</v>
      </c>
      <c r="C12" s="85">
        <f t="shared" si="0"/>
        <v>4.4991577510345584</v>
      </c>
      <c r="D12" s="41">
        <f>Q27*R27*S27*100</f>
        <v>7.5637894910616857E-2</v>
      </c>
      <c r="E12" s="41">
        <f t="shared" si="1"/>
        <v>1.0384713671937391</v>
      </c>
      <c r="F12" s="41">
        <f t="shared" si="2"/>
        <v>1.0246094831503556</v>
      </c>
      <c r="G12" s="19">
        <f>Q27*R27*T27*100</f>
        <v>1.3861884043383585E-2</v>
      </c>
      <c r="H12" s="226">
        <f t="shared" si="6"/>
        <v>4.338594435063201E-3</v>
      </c>
      <c r="I12" s="226">
        <f t="shared" si="3"/>
        <v>4.2756615560062671E-3</v>
      </c>
      <c r="J12" s="226">
        <f t="shared" ref="J12:J16" si="8">Q27*((AD27-AE27)*U27+AE27)</f>
        <v>6.2932879056933527E-5</v>
      </c>
      <c r="K12" s="226">
        <f t="shared" si="7"/>
        <v>3.5635967698894292E-3</v>
      </c>
      <c r="L12" s="226">
        <f t="shared" si="4"/>
        <v>3.5079576206541578E-3</v>
      </c>
      <c r="M12" s="234">
        <f>R27*Q27*((AD27-AE27)*U27+AE27)</f>
        <v>5.5639149235271581E-5</v>
      </c>
    </row>
    <row r="13" spans="1:13" x14ac:dyDescent="0.3">
      <c r="A13" s="101" t="s">
        <v>41</v>
      </c>
      <c r="B13" s="191">
        <f t="shared" si="5"/>
        <v>3.7605990113536159</v>
      </c>
      <c r="C13" s="85">
        <f t="shared" si="0"/>
        <v>3.7095162728718489</v>
      </c>
      <c r="D13" s="41">
        <f>Q28*R28*S28*100</f>
        <v>5.1082738481767129E-2</v>
      </c>
      <c r="E13" s="41">
        <f t="shared" si="1"/>
        <v>0.63515064878234317</v>
      </c>
      <c r="F13" s="41">
        <f t="shared" si="2"/>
        <v>0.62610869082088316</v>
      </c>
      <c r="G13" s="19">
        <f>Q28*R28*T28*100</f>
        <v>9.041957961459993E-3</v>
      </c>
      <c r="H13" s="226">
        <f t="shared" si="6"/>
        <v>4.1152457306019461E-3</v>
      </c>
      <c r="I13" s="226">
        <f t="shared" si="3"/>
        <v>4.1124086855282155E-3</v>
      </c>
      <c r="J13" s="226">
        <f t="shared" si="8"/>
        <v>2.8370450737309052E-6</v>
      </c>
      <c r="K13" s="226">
        <f t="shared" si="7"/>
        <v>3.6208347757220303E-3</v>
      </c>
      <c r="L13" s="226">
        <f t="shared" si="4"/>
        <v>3.6181450968029534E-3</v>
      </c>
      <c r="M13" s="234">
        <f>R28*Q28*((AD28-AE28)*U28+AE28)</f>
        <v>2.6896789190770568E-6</v>
      </c>
    </row>
    <row r="14" spans="1:13" x14ac:dyDescent="0.3">
      <c r="A14" s="101" t="s">
        <v>42</v>
      </c>
      <c r="B14" s="191">
        <f>C14+D14</f>
        <v>76.379314647983435</v>
      </c>
      <c r="C14" s="85">
        <f t="shared" si="0"/>
        <v>75.793302650867773</v>
      </c>
      <c r="D14" s="41">
        <f>Q29*R29*S29*100</f>
        <v>0.58601199711566521</v>
      </c>
      <c r="E14" s="41">
        <f t="shared" si="1"/>
        <v>10.429944704245555</v>
      </c>
      <c r="F14" s="85">
        <f t="shared" si="2"/>
        <v>10.303687592778648</v>
      </c>
      <c r="G14" s="41">
        <f>Q29*R29*T29*100</f>
        <v>0.12625711146690763</v>
      </c>
      <c r="H14" s="226">
        <f>I14+J14</f>
        <v>2.4732817120733195E-2</v>
      </c>
      <c r="I14" s="226">
        <f t="shared" si="3"/>
        <v>2.4714358052140239E-2</v>
      </c>
      <c r="J14" s="226">
        <f t="shared" si="8"/>
        <v>1.845906859295749E-5</v>
      </c>
      <c r="K14" s="226">
        <f t="shared" si="7"/>
        <v>1.3435071021210427E-2</v>
      </c>
      <c r="L14" s="226">
        <f t="shared" si="4"/>
        <v>1.3425043902329421E-2</v>
      </c>
      <c r="M14" s="234">
        <f>R29*Q29*((AD29-AE29)*U29+AE29)</f>
        <v>1.0027118881006258E-5</v>
      </c>
    </row>
    <row r="15" spans="1:13" x14ac:dyDescent="0.3">
      <c r="A15" s="101" t="s">
        <v>43</v>
      </c>
      <c r="B15" s="191">
        <f t="shared" si="5"/>
        <v>121.28923368465666</v>
      </c>
      <c r="C15" s="85">
        <f t="shared" si="0"/>
        <v>121.28923368465666</v>
      </c>
      <c r="D15" s="41"/>
      <c r="E15" s="41">
        <f t="shared" si="1"/>
        <v>22.612554272526062</v>
      </c>
      <c r="F15" s="85">
        <f t="shared" si="2"/>
        <v>22.612554272526062</v>
      </c>
      <c r="H15" s="226">
        <f t="shared" si="6"/>
        <v>5.9685451240913241E-2</v>
      </c>
      <c r="I15" s="226">
        <f t="shared" si="3"/>
        <v>5.9685451240913241E-2</v>
      </c>
      <c r="J15" s="226"/>
      <c r="K15" s="226">
        <f t="shared" si="7"/>
        <v>4.0106711724711933E-2</v>
      </c>
      <c r="L15" s="226">
        <f t="shared" si="4"/>
        <v>4.0106711724711933E-2</v>
      </c>
      <c r="M15" s="111"/>
    </row>
    <row r="16" spans="1:13" x14ac:dyDescent="0.3">
      <c r="A16" s="104" t="s">
        <v>44</v>
      </c>
      <c r="B16" s="233">
        <f t="shared" si="5"/>
        <v>6.8057357518849253</v>
      </c>
      <c r="C16" s="253">
        <f t="shared" si="0"/>
        <v>6.8057357518849253</v>
      </c>
      <c r="D16" s="193">
        <f>Q31*R31*S31*100</f>
        <v>0</v>
      </c>
      <c r="E16" s="193">
        <f t="shared" si="1"/>
        <v>1.3317846173593557</v>
      </c>
      <c r="F16" s="193">
        <f t="shared" si="2"/>
        <v>1.3317846173593557</v>
      </c>
      <c r="G16" s="113">
        <f>Q31*R31*T31*100</f>
        <v>0</v>
      </c>
      <c r="H16" s="227">
        <f t="shared" si="6"/>
        <v>3.0692009447184164E-2</v>
      </c>
      <c r="I16" s="227">
        <f t="shared" si="3"/>
        <v>3.0692009447184164E-2</v>
      </c>
      <c r="J16" s="227">
        <f t="shared" si="8"/>
        <v>0</v>
      </c>
      <c r="K16" s="227">
        <f t="shared" si="7"/>
        <v>1.7965284658036922E-2</v>
      </c>
      <c r="L16" s="227">
        <f t="shared" si="4"/>
        <v>1.7965284658036922E-2</v>
      </c>
      <c r="M16" s="235">
        <f>R31*Q31*((AD31-AE31)*U31+AE31)</f>
        <v>0</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affected'!C6</f>
        <v>3.5000000000000001E-3</v>
      </c>
      <c r="C22" s="41">
        <f>Ability!B6</f>
        <v>0.88410303277141455</v>
      </c>
      <c r="D22" s="41">
        <f>2*G22+2*H22+I22+2*J22</f>
        <v>0.83750196078431371</v>
      </c>
      <c r="E22" s="41">
        <f>(2*K22+2*L22+N22+2*M22)/7</f>
        <v>0.1724644257703081</v>
      </c>
      <c r="F22" s="110">
        <f>(K22+L22+N22)/3</f>
        <v>0.11330588235294119</v>
      </c>
      <c r="G22" s="44">
        <f>Mortality!C6</f>
        <v>4.2000000000000003E-2</v>
      </c>
      <c r="H22" s="44">
        <f>Disease!C6</f>
        <v>0.05</v>
      </c>
      <c r="I22" s="44">
        <f>Slaughter!C6/24</f>
        <v>0.34166666666666662</v>
      </c>
      <c r="J22" s="207">
        <f>Space!C6/100</f>
        <v>0.15591764705882352</v>
      </c>
      <c r="K22" s="206">
        <f>Mortality!C6/Mortality!$G$2</f>
        <v>8.4000000000000005E-2</v>
      </c>
      <c r="L22" s="44">
        <f>Disease!C6/Disease!$G$2</f>
        <v>0.1</v>
      </c>
      <c r="M22" s="44">
        <f>Slaughter!C6/Slaughter!$G$2</f>
        <v>0.34166666666666662</v>
      </c>
      <c r="N22" s="207">
        <f>Space!C6/Space!$G$2</f>
        <v>0.15591764705882352</v>
      </c>
      <c r="O22" s="200">
        <f>'Life duration'!C6</f>
        <v>2</v>
      </c>
      <c r="P22" s="234">
        <f>Slaughter!C6/(365*24)</f>
        <v>9.3607305936073046E-4</v>
      </c>
      <c r="Q22" s="247">
        <f>'No affected'!R6</f>
        <v>8.0000000000000004E-4</v>
      </c>
      <c r="R22" s="51">
        <f>Ability!D6</f>
        <v>0.88410303277141455</v>
      </c>
      <c r="S22" s="41">
        <f>2*V22+2*W22+X22+2*Y22</f>
        <v>0.58934417779185422</v>
      </c>
      <c r="T22" s="41">
        <f>(2*Z22+2*AA22+AB22+2*AC22)/7</f>
        <v>0.1041920253988363</v>
      </c>
      <c r="U22" s="110">
        <f>(Z22+AA22+AC22)/3</f>
        <v>6.4612918520864593E-2</v>
      </c>
      <c r="V22">
        <f>Mortality!R6</f>
        <v>0.03</v>
      </c>
      <c r="W22" s="41">
        <f>Disease!R6</f>
        <v>0.04</v>
      </c>
      <c r="X22" s="41">
        <f>Slaughter!R6/24</f>
        <v>0.34166666666666662</v>
      </c>
      <c r="Y22" s="110">
        <f>Space!R6/100</f>
        <v>5.3838755562593772E-2</v>
      </c>
      <c r="Z22" s="101">
        <f>Mortality!R6/Mortality!$G$2</f>
        <v>0.06</v>
      </c>
      <c r="AA22">
        <f>Disease!R6/Disease!$G$2</f>
        <v>0.08</v>
      </c>
      <c r="AB22" s="41">
        <f>Slaughter!R6/Slaughter!$G$2</f>
        <v>0.34166666666666662</v>
      </c>
      <c r="AC22" s="218">
        <f>Space!R6/Space!$G$2</f>
        <v>5.3838755562593772E-2</v>
      </c>
      <c r="AD22" s="200">
        <f>'Life duration'!R6</f>
        <v>1.3809523809523809</v>
      </c>
      <c r="AE22" s="234">
        <f>Slaughter!R6/(365*24)</f>
        <v>9.3607305936073046E-4</v>
      </c>
    </row>
    <row r="23" spans="1:31" x14ac:dyDescent="0.3">
      <c r="A23" s="101" t="s">
        <v>60</v>
      </c>
      <c r="B23" s="189">
        <f>'No affected'!C7</f>
        <v>8.9999999999999993E-3</v>
      </c>
      <c r="C23" s="41">
        <f>Ability!B7</f>
        <v>0.82044791775586834</v>
      </c>
      <c r="D23" s="41">
        <f t="shared" ref="D23:D31" si="9">2*G23+2*H23+I23+2*J23</f>
        <v>1.0073565062388592</v>
      </c>
      <c r="E23" s="41">
        <f t="shared" ref="E23:E31" si="10">(2*K23+2*L23+N23+2*M23)/7</f>
        <v>0.21588260758848993</v>
      </c>
      <c r="F23" s="110">
        <f t="shared" ref="F23:F30" si="11">(K23+L23+N23)/3</f>
        <v>0.16594830659536541</v>
      </c>
      <c r="G23" s="44">
        <f>Mortality!C7</f>
        <v>6.5000000000000002E-2</v>
      </c>
      <c r="H23" s="44">
        <f>Disease!C7</f>
        <v>0.1</v>
      </c>
      <c r="I23" s="44">
        <f>Slaughter!C7/24</f>
        <v>0.34166666666666662</v>
      </c>
      <c r="J23" s="207">
        <f>Space!C7/100</f>
        <v>0.16784491978609625</v>
      </c>
      <c r="K23" s="206">
        <f>Mortality!C7/Mortality!$G$2</f>
        <v>0.13</v>
      </c>
      <c r="L23" s="44">
        <f>Disease!C7/Disease!$G$2</f>
        <v>0.2</v>
      </c>
      <c r="M23" s="44">
        <f>Slaughter!C7/Slaughter!$G$2</f>
        <v>0.34166666666666662</v>
      </c>
      <c r="N23" s="207">
        <f>Space!C7/Space!$G$2</f>
        <v>0.16784491978609625</v>
      </c>
      <c r="O23" s="200">
        <f>'Life duration'!C7</f>
        <v>0.75</v>
      </c>
      <c r="P23" s="234">
        <f>Slaughter!C7/(365*24)</f>
        <v>9.3607305936073046E-4</v>
      </c>
      <c r="Q23" s="101"/>
      <c r="R23" s="51"/>
      <c r="S23" s="51"/>
      <c r="U23" s="111"/>
      <c r="X23" s="41"/>
      <c r="Y23" s="110"/>
      <c r="Z23" s="101"/>
      <c r="AC23" s="111"/>
      <c r="AD23" s="200"/>
      <c r="AE23" s="234"/>
    </row>
    <row r="24" spans="1:31" x14ac:dyDescent="0.3">
      <c r="A24" s="101" t="s">
        <v>61</v>
      </c>
      <c r="B24" s="189">
        <f>'No affected'!C8</f>
        <v>5.0000000000000001E-3</v>
      </c>
      <c r="C24" s="41">
        <f>Ability!B8</f>
        <v>0.88410303277141455</v>
      </c>
      <c r="D24" s="41">
        <f t="shared" si="9"/>
        <v>0.90350196078431355</v>
      </c>
      <c r="E24" s="41">
        <f t="shared" si="10"/>
        <v>0.19132156862745095</v>
      </c>
      <c r="F24" s="110">
        <f t="shared" si="11"/>
        <v>0.13530588235294116</v>
      </c>
      <c r="G24" s="44">
        <f>Mortality!C8</f>
        <v>7.4999999999999997E-2</v>
      </c>
      <c r="H24" s="44">
        <f>Disease!C8</f>
        <v>0.05</v>
      </c>
      <c r="I24" s="44">
        <f>Slaughter!C8/24</f>
        <v>0.34166666666666662</v>
      </c>
      <c r="J24" s="207">
        <f>Space!C8/100</f>
        <v>0.15591764705882352</v>
      </c>
      <c r="K24" s="206">
        <f>Mortality!C8/Mortality!$G$2</f>
        <v>0.15</v>
      </c>
      <c r="L24" s="44">
        <f>Disease!C8/Disease!$G$2</f>
        <v>0.1</v>
      </c>
      <c r="M24" s="44">
        <f>Slaughter!C8/Slaughter!$G$2</f>
        <v>0.34166666666666662</v>
      </c>
      <c r="N24" s="207">
        <f>Space!C8/Space!$G$2</f>
        <v>0.15591764705882352</v>
      </c>
      <c r="O24" s="200">
        <f>'Life duration'!C8</f>
        <v>2</v>
      </c>
      <c r="P24" s="234">
        <f>Slaughter!C8/(365*24)</f>
        <v>9.3607305936073046E-4</v>
      </c>
      <c r="Q24" s="101"/>
      <c r="R24" s="51"/>
      <c r="S24" s="51"/>
      <c r="U24" s="111"/>
      <c r="X24" s="41"/>
      <c r="Y24" s="110"/>
      <c r="Z24" s="101"/>
      <c r="AC24" s="111"/>
      <c r="AD24" s="200"/>
      <c r="AE24" s="234"/>
    </row>
    <row r="25" spans="1:31" x14ac:dyDescent="0.3">
      <c r="A25" s="101" t="s">
        <v>62</v>
      </c>
      <c r="B25" s="190">
        <f>'No affected'!C9</f>
        <v>1E-4</v>
      </c>
      <c r="C25" s="41">
        <f>Ability!B9</f>
        <v>0.88410303277141455</v>
      </c>
      <c r="D25" s="41">
        <f t="shared" si="9"/>
        <v>0.95038202334086308</v>
      </c>
      <c r="E25" s="41">
        <f t="shared" si="10"/>
        <v>0.23538443023863304</v>
      </c>
      <c r="F25" s="110">
        <f t="shared" si="11"/>
        <v>0.17478589277903275</v>
      </c>
      <c r="G25" s="44">
        <f>Mortality!C9</f>
        <v>0.06</v>
      </c>
      <c r="H25" s="44">
        <f>Disease!C9</f>
        <v>0.16</v>
      </c>
      <c r="I25" s="44">
        <f>Slaughter!C9/24</f>
        <v>0.34166666666666662</v>
      </c>
      <c r="J25" s="207">
        <f>Space!C9/100</f>
        <v>8.4357678337098202E-2</v>
      </c>
      <c r="K25" s="206">
        <f>Mortality!C9/Mortality!$G$2</f>
        <v>0.12</v>
      </c>
      <c r="L25" s="44">
        <f>Disease!C9/Disease!$G$2</f>
        <v>0.32</v>
      </c>
      <c r="M25" s="44">
        <f>Slaughter!C9/Slaughter!$G$2</f>
        <v>0.34166666666666662</v>
      </c>
      <c r="N25" s="207">
        <f>Space!C9/Space!$G$2</f>
        <v>8.4357678337098202E-2</v>
      </c>
      <c r="O25" s="200">
        <f>'Life duration'!C9</f>
        <v>7.25</v>
      </c>
      <c r="P25" s="234">
        <f>Slaughter!C9/(365*24)</f>
        <v>9.3607305936073046E-4</v>
      </c>
      <c r="Q25" s="101"/>
      <c r="R25" s="51"/>
      <c r="S25" s="51"/>
      <c r="U25" s="111"/>
      <c r="X25" s="41"/>
      <c r="Y25" s="110"/>
      <c r="Z25" s="101"/>
      <c r="AC25" s="111"/>
      <c r="AD25" s="200"/>
      <c r="AE25" s="234"/>
    </row>
    <row r="26" spans="1:31" x14ac:dyDescent="0.3">
      <c r="A26" s="101" t="s">
        <v>63</v>
      </c>
      <c r="B26" s="189">
        <f>'No affected'!C10</f>
        <v>5.0000000000000001E-3</v>
      </c>
      <c r="C26" s="41">
        <f>Ability!B10</f>
        <v>0.87913616180078868</v>
      </c>
      <c r="D26" s="41">
        <f t="shared" si="9"/>
        <v>0.95199999999999996</v>
      </c>
      <c r="E26" s="41">
        <f t="shared" si="10"/>
        <v>0.24371428571428572</v>
      </c>
      <c r="F26" s="110">
        <f t="shared" si="11"/>
        <v>0.14199999999999999</v>
      </c>
      <c r="G26" s="44">
        <f>Mortality!C10</f>
        <v>0.03</v>
      </c>
      <c r="H26" s="44">
        <f>Disease!C10</f>
        <v>0.15</v>
      </c>
      <c r="I26" s="44">
        <f>Slaughter!C10/24</f>
        <v>0.45999999999999996</v>
      </c>
      <c r="J26" s="207">
        <f>Space!C10/100</f>
        <v>6.5999999999999975E-2</v>
      </c>
      <c r="K26" s="206">
        <f>Mortality!C10/Mortality!$G$2</f>
        <v>0.06</v>
      </c>
      <c r="L26" s="44">
        <f>Disease!C10/Disease!$G$2</f>
        <v>0.3</v>
      </c>
      <c r="M26" s="44">
        <f>Slaughter!C10/Slaughter!$G$2</f>
        <v>0.45999999999999996</v>
      </c>
      <c r="N26" s="207">
        <f>Space!C10/Space!$G$2</f>
        <v>6.5999999999999975E-2</v>
      </c>
      <c r="O26" s="200">
        <f>'Life duration'!C10</f>
        <v>2</v>
      </c>
      <c r="P26" s="234">
        <f>Slaughter!C10/(365*24)</f>
        <v>1.2602739726027396E-3</v>
      </c>
      <c r="Q26" s="101"/>
      <c r="R26" s="51"/>
      <c r="S26" s="51"/>
      <c r="U26" s="111"/>
      <c r="X26" s="41"/>
      <c r="Y26" s="110"/>
      <c r="Z26" s="101"/>
      <c r="AC26" s="111"/>
      <c r="AD26" s="200"/>
      <c r="AE26" s="234"/>
    </row>
    <row r="27" spans="1:31" x14ac:dyDescent="0.3">
      <c r="A27" s="101" t="s">
        <v>64</v>
      </c>
      <c r="B27" s="189">
        <f>'No affected'!C11</f>
        <v>6.4000000000000001E-2</v>
      </c>
      <c r="C27" s="41">
        <f>Ability!B11</f>
        <v>0.82044791775586834</v>
      </c>
      <c r="D27" s="41">
        <f t="shared" si="9"/>
        <v>0.85684098086568827</v>
      </c>
      <c r="E27" s="41">
        <f t="shared" si="10"/>
        <v>0.19513149863326346</v>
      </c>
      <c r="F27" s="110">
        <f t="shared" si="11"/>
        <v>0.13197349681094805</v>
      </c>
      <c r="G27" s="44">
        <f>Mortality!C11</f>
        <v>0.08</v>
      </c>
      <c r="H27" s="44">
        <f>Disease!C11</f>
        <v>0.06</v>
      </c>
      <c r="I27" s="44">
        <f>Slaughter!C11/24</f>
        <v>0.34499999999999997</v>
      </c>
      <c r="J27" s="207">
        <f>Space!C11/100</f>
        <v>0.11592049043284414</v>
      </c>
      <c r="K27" s="206">
        <f>Mortality!C11/Mortality!$G$2</f>
        <v>0.16</v>
      </c>
      <c r="L27" s="44">
        <f>Disease!C11/Disease!$G$2</f>
        <v>0.12</v>
      </c>
      <c r="M27" s="44">
        <f>Slaughter!C11/Slaughter!$G$2</f>
        <v>0.34499999999999997</v>
      </c>
      <c r="N27" s="207">
        <f>Space!C11/Space!$G$2</f>
        <v>0.11592049043284414</v>
      </c>
      <c r="O27" s="200">
        <f>'Life duration'!C11</f>
        <v>0.5</v>
      </c>
      <c r="P27" s="234">
        <f>Slaughter!C11/(365*24)</f>
        <v>9.4520547945205473E-4</v>
      </c>
      <c r="Q27" s="190">
        <f>'No affected'!R11</f>
        <v>1.1000000000000001E-3</v>
      </c>
      <c r="R27" s="51">
        <f>Ability!D11</f>
        <v>0.88410303277141455</v>
      </c>
      <c r="S27" s="41">
        <f>2*V27+2*W27+X27+2*Y27</f>
        <v>0.77775689141645221</v>
      </c>
      <c r="T27" s="41">
        <f>(2*Z27+2*AA27+AB27+2*AC27)/7</f>
        <v>0.14253669877377889</v>
      </c>
      <c r="U27" s="110">
        <f>(Z27+AA27+AC27)/3</f>
        <v>0.10879281523607537</v>
      </c>
      <c r="V27">
        <f>Mortality!R11</f>
        <v>0.06</v>
      </c>
      <c r="W27" s="41">
        <f>Disease!R11</f>
        <v>0.05</v>
      </c>
      <c r="X27" s="41">
        <f>Slaughter!R11/24</f>
        <v>0.34499999999999997</v>
      </c>
      <c r="Y27" s="110">
        <f>Space!R11/100</f>
        <v>0.10637844570822612</v>
      </c>
      <c r="Z27" s="101">
        <f>Mortality!R11/Mortality!$G$2</f>
        <v>0.12</v>
      </c>
      <c r="AA27">
        <f>Disease!R11/Disease!$G$2</f>
        <v>0.1</v>
      </c>
      <c r="AB27" s="41">
        <f>Slaughter!R11/Slaughter!$G$2</f>
        <v>0.34499999999999997</v>
      </c>
      <c r="AC27" s="218">
        <f>Space!R11/Space!$G$2</f>
        <v>0.10637844570822612</v>
      </c>
      <c r="AD27" s="200">
        <f>'Life duration'!R11</f>
        <v>0.5181347150259068</v>
      </c>
      <c r="AE27" s="234">
        <f>Slaughter!R11/(365*24)</f>
        <v>9.4520547945205473E-4</v>
      </c>
    </row>
    <row r="28" spans="1:31" x14ac:dyDescent="0.3">
      <c r="A28" s="101" t="s">
        <v>65</v>
      </c>
      <c r="B28" s="189">
        <f>'No affected'!C12</f>
        <v>1.8116931359148457E-2</v>
      </c>
      <c r="C28" s="41">
        <f>Ability!B12</f>
        <v>0.87981165625279378</v>
      </c>
      <c r="D28" s="41">
        <f t="shared" si="9"/>
        <v>2.3272494172494174</v>
      </c>
      <c r="E28" s="41">
        <f t="shared" si="10"/>
        <v>0.39280352980352978</v>
      </c>
      <c r="F28" s="110">
        <f t="shared" si="11"/>
        <v>0.45298601398601401</v>
      </c>
      <c r="G28" s="44">
        <f>Mortality!C12</f>
        <v>0.21199999999999999</v>
      </c>
      <c r="H28" s="44">
        <f>Disease!C12</f>
        <v>0.15</v>
      </c>
      <c r="I28" s="44">
        <f>Slaughter!C12/24</f>
        <v>0.33333333333333331</v>
      </c>
      <c r="J28" s="207">
        <f>Space!C12/100</f>
        <v>0.63495804195804206</v>
      </c>
      <c r="K28" s="206">
        <f>Mortality!C12/Mortality!$G$2</f>
        <v>0.42399999999999999</v>
      </c>
      <c r="L28" s="44">
        <f>Disease!C12/Disease!$G$2</f>
        <v>0.3</v>
      </c>
      <c r="M28" s="44">
        <f>Slaughter!C12/Slaughter!$G$2</f>
        <v>0.33333333333333331</v>
      </c>
      <c r="N28" s="207">
        <f>Space!C12/Space!$G$2</f>
        <v>0.63495804195804206</v>
      </c>
      <c r="O28" s="200">
        <f>'Life duration'!C12</f>
        <v>0.5</v>
      </c>
      <c r="P28" s="234">
        <f>Slaughter!C12/(365*24)</f>
        <v>9.1324200913242006E-4</v>
      </c>
      <c r="Q28" s="190">
        <f>'No affected'!R12</f>
        <v>3.5E-4</v>
      </c>
      <c r="R28" s="51">
        <f>Ability!D12</f>
        <v>0.94805646338919392</v>
      </c>
      <c r="S28" s="41">
        <f>2*V28+2*W28+X28+2*Y28</f>
        <v>1.5394724577344312</v>
      </c>
      <c r="T28" s="41">
        <f>(2*Z28+2*AA28+AB28+2*AC28)/7</f>
        <v>0.27249606539063304</v>
      </c>
      <c r="U28" s="110">
        <f>(Z28+AA28+AC28)/3</f>
        <v>0.26235652073351629</v>
      </c>
      <c r="V28">
        <f>Mortality!R12</f>
        <v>3.4000000000000002E-2</v>
      </c>
      <c r="W28" s="41">
        <f>Disease!R12</f>
        <v>0.15</v>
      </c>
      <c r="X28" s="41">
        <f>Slaughter!R12/24</f>
        <v>0.33333333333333331</v>
      </c>
      <c r="Y28" s="110">
        <f>Space!R12/100</f>
        <v>0.41906956220054892</v>
      </c>
      <c r="Z28" s="101">
        <f>Mortality!R12/Mortality!$G$2</f>
        <v>6.8000000000000005E-2</v>
      </c>
      <c r="AA28">
        <f>Disease!R12/Disease!$G$2</f>
        <v>0.3</v>
      </c>
      <c r="AB28" s="41">
        <f>Slaughter!R12/Slaughter!$G$2</f>
        <v>0.33333333333333331</v>
      </c>
      <c r="AC28" s="218">
        <f>Space!R12/Space!$G$2</f>
        <v>0.41906956220054892</v>
      </c>
      <c r="AD28" s="191">
        <f>'Life duration'!R12</f>
        <v>2.8328611898017001E-2</v>
      </c>
      <c r="AE28" s="234">
        <f>Slaughter!R12/(365*24)</f>
        <v>9.1324200913242006E-4</v>
      </c>
    </row>
    <row r="29" spans="1:31" x14ac:dyDescent="0.3">
      <c r="A29" s="101" t="s">
        <v>66</v>
      </c>
      <c r="B29" s="189">
        <f>'No affected'!C13</f>
        <v>0.75216903015372494</v>
      </c>
      <c r="C29" s="41">
        <f>Ability!B13</f>
        <v>0.54320827892864587</v>
      </c>
      <c r="D29" s="41">
        <f t="shared" si="9"/>
        <v>1.8550217391304353</v>
      </c>
      <c r="E29" s="41">
        <f t="shared" si="10"/>
        <v>0.25218012422360253</v>
      </c>
      <c r="F29" s="110">
        <f t="shared" si="11"/>
        <v>0.33808695652173926</v>
      </c>
      <c r="G29" s="44">
        <f>Mortality!C13</f>
        <v>3.7999999999999999E-2</v>
      </c>
      <c r="H29" s="44">
        <f>Disease!C13</f>
        <v>0.14499999999999999</v>
      </c>
      <c r="I29" s="44">
        <f>Slaughter!C13/24</f>
        <v>0.1925</v>
      </c>
      <c r="J29" s="207">
        <f>Space!C13/100</f>
        <v>0.64826086956521767</v>
      </c>
      <c r="K29" s="206">
        <f>Mortality!C13/Mortality!$G$2</f>
        <v>7.5999999999999998E-2</v>
      </c>
      <c r="L29" s="44">
        <f>Disease!C13/Disease!$G$2</f>
        <v>0.28999999999999998</v>
      </c>
      <c r="M29" s="44">
        <f>Slaughter!C13/Slaughter!$G$2</f>
        <v>0.1925</v>
      </c>
      <c r="N29" s="207">
        <f>Space!C13/Space!$G$2</f>
        <v>0.64826086956521767</v>
      </c>
      <c r="O29" s="200">
        <f>'Life duration'!C13</f>
        <v>9.6153846153846159E-2</v>
      </c>
      <c r="P29" s="234">
        <f>Slaughter!C13/(365*24)</f>
        <v>5.273972602739726E-4</v>
      </c>
      <c r="Q29" s="190">
        <f>'No affected'!R13</f>
        <v>5.4820184946372062E-3</v>
      </c>
      <c r="R29" s="51">
        <f>Ability!D13</f>
        <v>0.54320827892864587</v>
      </c>
      <c r="S29" s="41">
        <f>2*V29+2*W29+X29+2*Y29</f>
        <v>1.9678846153846152</v>
      </c>
      <c r="T29" s="41">
        <f>(2*Z29+2*AA29+AB29+2*AC29)/7</f>
        <v>0.42398351648351645</v>
      </c>
      <c r="U29" s="110">
        <f>(Z29+AA29+AC29)/3</f>
        <v>0.46256410256410252</v>
      </c>
      <c r="V29">
        <f>Mortality!R13</f>
        <v>0.06</v>
      </c>
      <c r="W29" s="41">
        <f>Disease!R13</f>
        <v>0.44</v>
      </c>
      <c r="X29" s="41">
        <f>Slaughter!R13/24</f>
        <v>0.1925</v>
      </c>
      <c r="Y29" s="110">
        <f>Space!R13/100</f>
        <v>0.38769230769230767</v>
      </c>
      <c r="Z29" s="101">
        <f>Mortality!R13/Mortality!$G$2</f>
        <v>0.12</v>
      </c>
      <c r="AA29">
        <f>Disease!R13/Disease!$G$2</f>
        <v>0.88</v>
      </c>
      <c r="AB29" s="41">
        <f>Slaughter!R13/Slaughter!$G$2</f>
        <v>0.1925</v>
      </c>
      <c r="AC29" s="218">
        <f>Space!R13/Space!$G$2</f>
        <v>0.38769230769230767</v>
      </c>
      <c r="AD29" s="191">
        <f>'Life duration'!R13</f>
        <v>6.6666666666666671E-3</v>
      </c>
      <c r="AE29" s="234">
        <f>Slaughter!R13/(365*24)</f>
        <v>5.273972602739726E-4</v>
      </c>
    </row>
    <row r="30" spans="1:31" x14ac:dyDescent="0.3">
      <c r="A30" s="101" t="s">
        <v>67</v>
      </c>
      <c r="B30" s="189">
        <f>'No affected'!C14</f>
        <v>1.24</v>
      </c>
      <c r="C30" s="41">
        <f>Ability!B14</f>
        <v>0.67196797361598137</v>
      </c>
      <c r="D30" s="41">
        <f>2*G30+2*H30+I30+2*J30</f>
        <v>1.4556333333333333</v>
      </c>
      <c r="E30" s="41">
        <f t="shared" si="10"/>
        <v>0.27138095238095239</v>
      </c>
      <c r="F30" s="110">
        <f t="shared" si="11"/>
        <v>0.28573333333333334</v>
      </c>
      <c r="G30" s="44">
        <f>Mortality!C14</f>
        <v>0.15</v>
      </c>
      <c r="H30" s="44">
        <f>Disease!C14</f>
        <v>0.11</v>
      </c>
      <c r="I30" s="44">
        <f>Slaughter!C14/24</f>
        <v>0.26123333333333332</v>
      </c>
      <c r="J30" s="207">
        <f>Space!C14/100</f>
        <v>0.3372</v>
      </c>
      <c r="K30" s="206">
        <f>Mortality!C14/Mortality!$G$2</f>
        <v>0.3</v>
      </c>
      <c r="L30" s="44">
        <f>Disease!C14/Disease!$G$2</f>
        <v>0.22</v>
      </c>
      <c r="M30" s="44">
        <f>Slaughter!C14/Slaughter!$G$2</f>
        <v>0.26123333333333332</v>
      </c>
      <c r="N30" s="207">
        <f>Space!C14/Space!$G$2</f>
        <v>0.3372</v>
      </c>
      <c r="O30" s="200">
        <f>'Life duration'!C14</f>
        <v>0.16666666666666666</v>
      </c>
      <c r="P30" s="234">
        <f>Slaughter!C14/(365*24)</f>
        <v>7.1570776255707759E-4</v>
      </c>
      <c r="Q30" s="101"/>
      <c r="R30" s="51"/>
      <c r="S30" s="51"/>
      <c r="U30" s="111"/>
      <c r="X30" s="41"/>
      <c r="Y30" s="110"/>
      <c r="Z30" s="101"/>
      <c r="AC30" s="111"/>
      <c r="AD30" s="191"/>
      <c r="AE30" s="234"/>
    </row>
    <row r="31" spans="1:31" x14ac:dyDescent="0.3">
      <c r="A31" s="104" t="s">
        <v>68</v>
      </c>
      <c r="B31" s="232">
        <f>'No affected'!C15</f>
        <v>5.5E-2</v>
      </c>
      <c r="C31" s="193">
        <f>Ability!B15</f>
        <v>0.58534077701729459</v>
      </c>
      <c r="D31" s="193">
        <f t="shared" si="9"/>
        <v>2.1139933333333332</v>
      </c>
      <c r="E31" s="193">
        <f t="shared" si="10"/>
        <v>0.41367809523809523</v>
      </c>
      <c r="F31" s="254">
        <f>(K31+L31+N31)/3</f>
        <v>0.46469333333333324</v>
      </c>
      <c r="G31" s="255">
        <f>Mortality!C15</f>
        <v>3.5000000000000003E-2</v>
      </c>
      <c r="H31" s="255">
        <f>Disease!C15</f>
        <v>0.44</v>
      </c>
      <c r="I31" s="255">
        <f>Slaughter!C15/24</f>
        <v>0.27583333333333332</v>
      </c>
      <c r="J31" s="256">
        <f>Space!C15/100</f>
        <v>0.44407999999999992</v>
      </c>
      <c r="K31" s="257">
        <f>Mortality!C15/Mortality!$G$2</f>
        <v>7.0000000000000007E-2</v>
      </c>
      <c r="L31" s="255">
        <f>Disease!C15/Disease!$G$2</f>
        <v>0.88</v>
      </c>
      <c r="M31" s="255">
        <f>Slaughter!C15/Slaughter!$G$2</f>
        <v>0.27583333333333332</v>
      </c>
      <c r="N31" s="256">
        <f>Space!C15/Space!$G$2</f>
        <v>0.44407999999999992</v>
      </c>
      <c r="O31" s="244">
        <f>'Life duration'!C15</f>
        <v>1.2</v>
      </c>
      <c r="P31" s="235">
        <f>Slaughter!C15/(365*24)</f>
        <v>7.5570776255707759E-4</v>
      </c>
      <c r="Q31" s="263">
        <f>'No affected'!R15</f>
        <v>0</v>
      </c>
      <c r="R31" s="261">
        <f>Ability!D15</f>
        <v>0.2556274253781865</v>
      </c>
      <c r="S31" s="193">
        <f>2*V31+2*W31+X31+2*Y31</f>
        <v>0</v>
      </c>
      <c r="T31" s="193">
        <f>(2*Z31+2*AA31+AB31+2*AC31)/7</f>
        <v>0</v>
      </c>
      <c r="U31" s="254">
        <f>(Z31+AA31+AC31)/3</f>
        <v>0</v>
      </c>
      <c r="V31" s="133">
        <f>Mortality!R15</f>
        <v>0</v>
      </c>
      <c r="W31" s="193">
        <f>Disease!R15</f>
        <v>0</v>
      </c>
      <c r="X31" s="193">
        <f>Slaughter!R15/24</f>
        <v>0</v>
      </c>
      <c r="Y31" s="254">
        <f>Space!R15/100</f>
        <v>0</v>
      </c>
      <c r="Z31" s="104">
        <f>Mortality!R15/Mortality!$G$2</f>
        <v>0</v>
      </c>
      <c r="AA31" s="133">
        <f>Disease!R15/Disease!$G$2</f>
        <v>0</v>
      </c>
      <c r="AB31" s="193">
        <f>Slaughter!R15/Slaughter!$G$2</f>
        <v>0</v>
      </c>
      <c r="AC31" s="114">
        <f>Space!R15/Space!$G$2</f>
        <v>0</v>
      </c>
      <c r="AD31" s="244">
        <f>'Life duration'!R15</f>
        <v>3.1709791983764589E-7</v>
      </c>
      <c r="AE31" s="235">
        <f>Slaughter!R15/(365*24)</f>
        <v>0</v>
      </c>
    </row>
  </sheetData>
  <mergeCells count="4">
    <mergeCell ref="B5:D5"/>
    <mergeCell ref="E5:G5"/>
    <mergeCell ref="H5:J5"/>
    <mergeCell ref="K5: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7385-7F37-4128-BE1D-886F0C695CC8}">
  <sheetPr>
    <tabColor theme="5" tint="0.79998168889431442"/>
  </sheetPr>
  <dimension ref="A2:AE34"/>
  <sheetViews>
    <sheetView topLeftCell="O13" zoomScale="89" workbookViewId="0">
      <selection activeCell="W31" sqref="W31"/>
    </sheetView>
  </sheetViews>
  <sheetFormatPr defaultRowHeight="14.4" x14ac:dyDescent="0.3"/>
  <cols>
    <col min="1" max="1" width="23.33203125" customWidth="1"/>
    <col min="2" max="31" width="9.6640625" customWidth="1"/>
  </cols>
  <sheetData>
    <row r="2" spans="1:13" ht="21" x14ac:dyDescent="0.4">
      <c r="A2" s="30" t="s">
        <v>70</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0.33958713885633385</v>
      </c>
      <c r="C7" s="41">
        <f>B22*C22*D22*100</f>
        <v>0.30001163619730564</v>
      </c>
      <c r="D7" s="41">
        <f>Q22*R22*S22*100</f>
        <v>3.9575502659028206E-2</v>
      </c>
      <c r="E7" s="41">
        <f t="shared" ref="E7:E16" si="0">F7+G7</f>
        <v>5.7275164391669672E-2</v>
      </c>
      <c r="F7" s="19">
        <f t="shared" ref="F7:F16" si="1">B22*C22*E22*100</f>
        <v>5.0206956302231383E-2</v>
      </c>
      <c r="G7" s="19">
        <f>Q22*R22*T22*100</f>
        <v>7.068208089438293E-3</v>
      </c>
      <c r="H7" s="226">
        <f>I7+J7</f>
        <v>1.1394499280016446E-3</v>
      </c>
      <c r="I7" s="226">
        <f t="shared" ref="I7:I16" si="2">B22*((O22-P22)*F22+P22)</f>
        <v>1.056170015152577E-3</v>
      </c>
      <c r="J7" s="226">
        <f>Q22*((AD22-AE22)*U22+AE22)</f>
        <v>8.3279912849067576E-5</v>
      </c>
      <c r="K7" s="226">
        <f>L7+M7</f>
        <v>1.007391137037424E-3</v>
      </c>
      <c r="L7" s="226">
        <f t="shared" ref="L7:L16" si="3">C22*B22*((O22-P22)*F22+P22)</f>
        <v>9.3376311351862419E-4</v>
      </c>
      <c r="M7" s="234">
        <f>R22*Q22*((AD22-AE22)*U22+AE22)</f>
        <v>7.3628023518799735E-5</v>
      </c>
    </row>
    <row r="8" spans="1:13" x14ac:dyDescent="0.3">
      <c r="A8" s="101" t="s">
        <v>36</v>
      </c>
      <c r="B8" s="191">
        <f t="shared" ref="B8:B16" si="4">C8+D8</f>
        <v>0.6761482399684895</v>
      </c>
      <c r="C8" s="41">
        <f t="shared" ref="C8:C16" si="5">B23*C23*D23*100</f>
        <v>0.6761482399684895</v>
      </c>
      <c r="D8" s="41"/>
      <c r="E8" s="41">
        <f t="shared" si="0"/>
        <v>0.14006926279815568</v>
      </c>
      <c r="F8" s="19">
        <f t="shared" si="1"/>
        <v>0.14006926279815568</v>
      </c>
      <c r="G8" s="19"/>
      <c r="H8" s="226">
        <f t="shared" ref="H8:H16" si="6">I8+J8</f>
        <v>1.125292484067101E-3</v>
      </c>
      <c r="I8" s="226">
        <f t="shared" si="2"/>
        <v>1.125292484067101E-3</v>
      </c>
      <c r="J8" s="226"/>
      <c r="K8" s="226">
        <f t="shared" ref="K8:K16" si="7">L8+M8</f>
        <v>9.2324387541918172E-4</v>
      </c>
      <c r="L8" s="226">
        <f t="shared" si="3"/>
        <v>9.2324387541918172E-4</v>
      </c>
      <c r="M8" s="111"/>
    </row>
    <row r="9" spans="1:13" x14ac:dyDescent="0.3">
      <c r="A9" s="101" t="s">
        <v>37</v>
      </c>
      <c r="B9" s="191">
        <f t="shared" si="4"/>
        <v>0.45776345179189332</v>
      </c>
      <c r="C9" s="41">
        <f t="shared" si="5"/>
        <v>0.45776345179189332</v>
      </c>
      <c r="D9" s="41"/>
      <c r="E9" s="41">
        <f t="shared" si="0"/>
        <v>8.0060051883603878E-2</v>
      </c>
      <c r="F9" s="19">
        <f t="shared" si="1"/>
        <v>8.0060051883603878E-2</v>
      </c>
      <c r="G9" s="19"/>
      <c r="H9" s="226">
        <f t="shared" si="6"/>
        <v>1.7287389648950708E-3</v>
      </c>
      <c r="I9" s="226">
        <f t="shared" si="2"/>
        <v>1.7287389648950708E-3</v>
      </c>
      <c r="J9" s="226"/>
      <c r="K9" s="226">
        <f t="shared" si="7"/>
        <v>1.5283833617338481E-3</v>
      </c>
      <c r="L9" s="226">
        <f t="shared" si="3"/>
        <v>1.5283833617338481E-3</v>
      </c>
      <c r="M9" s="111"/>
    </row>
    <row r="10" spans="1:13" x14ac:dyDescent="0.3">
      <c r="A10" s="101" t="s">
        <v>38</v>
      </c>
      <c r="B10" s="191">
        <f t="shared" si="4"/>
        <v>9.8488022875695535E-3</v>
      </c>
      <c r="C10" s="102">
        <f t="shared" si="5"/>
        <v>9.8488022875695535E-3</v>
      </c>
      <c r="D10" s="41"/>
      <c r="E10" s="41">
        <f t="shared" si="0"/>
        <v>2.0106953618527026E-3</v>
      </c>
      <c r="F10" s="19">
        <f t="shared" si="1"/>
        <v>2.0106953618527026E-3</v>
      </c>
      <c r="G10" s="19"/>
      <c r="H10" s="226">
        <f t="shared" si="6"/>
        <v>1.5761883223897158E-4</v>
      </c>
      <c r="I10" s="226">
        <f t="shared" si="2"/>
        <v>1.5761883223897158E-4</v>
      </c>
      <c r="J10" s="226"/>
      <c r="K10" s="226">
        <f t="shared" si="7"/>
        <v>1.3935128760436357E-4</v>
      </c>
      <c r="L10" s="226">
        <f t="shared" si="3"/>
        <v>1.3935128760436357E-4</v>
      </c>
      <c r="M10" s="111"/>
    </row>
    <row r="11" spans="1:13" x14ac:dyDescent="0.3">
      <c r="A11" s="101" t="s">
        <v>39</v>
      </c>
      <c r="B11" s="191">
        <f t="shared" si="4"/>
        <v>0.35949635928357854</v>
      </c>
      <c r="C11" s="41">
        <f t="shared" si="5"/>
        <v>0.35949635928357854</v>
      </c>
      <c r="D11" s="41"/>
      <c r="E11" s="41">
        <f t="shared" si="0"/>
        <v>8.3136139095092876E-2</v>
      </c>
      <c r="F11" s="19">
        <f t="shared" si="1"/>
        <v>8.3136139095092876E-2</v>
      </c>
      <c r="G11" s="19"/>
      <c r="H11" s="226">
        <f t="shared" si="6"/>
        <v>1.5492950684931508E-3</v>
      </c>
      <c r="I11" s="226">
        <f t="shared" si="2"/>
        <v>1.5492950684931508E-3</v>
      </c>
      <c r="J11" s="226"/>
      <c r="K11" s="226">
        <f t="shared" si="7"/>
        <v>1.3620413200119588E-3</v>
      </c>
      <c r="L11" s="226">
        <f t="shared" si="3"/>
        <v>1.3620413200119588E-3</v>
      </c>
      <c r="M11" s="111"/>
    </row>
    <row r="12" spans="1:13" x14ac:dyDescent="0.3">
      <c r="A12" s="101" t="s">
        <v>40</v>
      </c>
      <c r="B12" s="191">
        <f t="shared" si="4"/>
        <v>4.9145137131217602</v>
      </c>
      <c r="C12" s="85">
        <f>B27*C27*D27*100</f>
        <v>4.8431173185851266</v>
      </c>
      <c r="D12" s="41">
        <f>Q27*R27*S27*100</f>
        <v>7.1396394536633476E-2</v>
      </c>
      <c r="E12" s="41">
        <f t="shared" si="0"/>
        <v>0.9555413361091607</v>
      </c>
      <c r="F12" s="41">
        <f t="shared" si="1"/>
        <v>0.94228538069063184</v>
      </c>
      <c r="G12" s="19">
        <f>Q27*R27*T27*100</f>
        <v>1.3255955418528816E-2</v>
      </c>
      <c r="H12" s="226">
        <f t="shared" si="6"/>
        <v>5.1836104881324355E-3</v>
      </c>
      <c r="I12" s="226">
        <f t="shared" si="2"/>
        <v>5.1160579704243956E-3</v>
      </c>
      <c r="J12" s="226">
        <f t="shared" ref="J12:J16" si="8">Q27*((AD27-AE27)*U27+AE27)</f>
        <v>6.7552517708039639E-5</v>
      </c>
      <c r="K12" s="226">
        <f t="shared" si="7"/>
        <v>4.2571824947300321E-3</v>
      </c>
      <c r="L12" s="226">
        <f t="shared" si="3"/>
        <v>4.1974591089530095E-3</v>
      </c>
      <c r="M12" s="234">
        <f>R27*Q27*((AD27-AE27)*U27+AE27)</f>
        <v>5.9723385777022527E-5</v>
      </c>
    </row>
    <row r="13" spans="1:13" x14ac:dyDescent="0.3">
      <c r="A13" s="101" t="s">
        <v>41</v>
      </c>
      <c r="B13" s="191">
        <f t="shared" si="4"/>
        <v>3.571643061507237</v>
      </c>
      <c r="C13" s="85">
        <f t="shared" si="5"/>
        <v>3.5247059898188375</v>
      </c>
      <c r="D13" s="41">
        <f>Q28*R28*S28*100</f>
        <v>4.693707168839964E-2</v>
      </c>
      <c r="E13" s="41">
        <f t="shared" si="0"/>
        <v>0.58609606206312204</v>
      </c>
      <c r="F13" s="41">
        <f t="shared" si="1"/>
        <v>0.57769618289764701</v>
      </c>
      <c r="G13" s="19">
        <f>Q28*R28*T28*100</f>
        <v>8.3998791654750337E-3</v>
      </c>
      <c r="H13" s="226">
        <f t="shared" si="6"/>
        <v>4.0413654623646629E-3</v>
      </c>
      <c r="I13" s="226">
        <f t="shared" si="2"/>
        <v>4.0386950488455449E-3</v>
      </c>
      <c r="J13" s="226">
        <f t="shared" si="8"/>
        <v>2.6704135191177248E-6</v>
      </c>
      <c r="K13" s="226">
        <f t="shared" si="7"/>
        <v>3.5558226828214783E-3</v>
      </c>
      <c r="L13" s="226">
        <f t="shared" si="3"/>
        <v>3.5532909800247568E-3</v>
      </c>
      <c r="M13" s="234">
        <f>R28*Q28*((AD28-AE28)*U28+AE28)</f>
        <v>2.5317027967214419E-6</v>
      </c>
    </row>
    <row r="14" spans="1:13" x14ac:dyDescent="0.3">
      <c r="A14" s="101" t="s">
        <v>42</v>
      </c>
      <c r="B14" s="191">
        <f>C14+D14</f>
        <v>67.86352278164415</v>
      </c>
      <c r="C14" s="85">
        <f t="shared" si="5"/>
        <v>67.276685591994223</v>
      </c>
      <c r="D14" s="41">
        <f>Q29*R29*S29*100</f>
        <v>0.58683718964992504</v>
      </c>
      <c r="E14" s="41">
        <f t="shared" si="0"/>
        <v>8.8090151144350237</v>
      </c>
      <c r="F14" s="85">
        <f t="shared" si="1"/>
        <v>8.6811928428176888</v>
      </c>
      <c r="G14" s="41">
        <f>Q29*R29*T29*100</f>
        <v>0.12782227161733536</v>
      </c>
      <c r="H14" s="226">
        <f>I14+J14</f>
        <v>2.1427299692198299E-2</v>
      </c>
      <c r="I14" s="226">
        <f t="shared" si="2"/>
        <v>2.1408702771794647E-2</v>
      </c>
      <c r="J14" s="226">
        <f t="shared" si="8"/>
        <v>1.8596920403652114E-5</v>
      </c>
      <c r="K14" s="226">
        <f t="shared" si="7"/>
        <v>1.163948658788734E-2</v>
      </c>
      <c r="L14" s="226">
        <f t="shared" si="3"/>
        <v>1.16293845867615E-2</v>
      </c>
      <c r="M14" s="234">
        <f>R29*Q29*((AD29-AE29)*U29+AE29)</f>
        <v>1.0102001125840883E-5</v>
      </c>
    </row>
    <row r="15" spans="1:13" x14ac:dyDescent="0.3">
      <c r="A15" s="101" t="s">
        <v>43</v>
      </c>
      <c r="B15" s="191">
        <f t="shared" si="4"/>
        <v>101.91200681454696</v>
      </c>
      <c r="C15" s="85">
        <f>B30*C30*D30*100</f>
        <v>101.91200681454696</v>
      </c>
      <c r="D15" s="41"/>
      <c r="E15" s="41">
        <f t="shared" si="0"/>
        <v>18.921274201078802</v>
      </c>
      <c r="F15" s="85">
        <f t="shared" si="1"/>
        <v>18.921274201078802</v>
      </c>
      <c r="H15" s="226">
        <f>I15+J15</f>
        <v>5.0517018264840181E-2</v>
      </c>
      <c r="I15" s="226">
        <f>B30*((O30-P30)*F30+P30)</f>
        <v>5.0517018264840181E-2</v>
      </c>
      <c r="J15" s="226"/>
      <c r="K15" s="226">
        <f t="shared" si="7"/>
        <v>3.3945818396546174E-2</v>
      </c>
      <c r="L15" s="226">
        <f t="shared" si="3"/>
        <v>3.3945818396546174E-2</v>
      </c>
      <c r="M15" s="111"/>
    </row>
    <row r="16" spans="1:13" x14ac:dyDescent="0.3">
      <c r="A16" s="104" t="s">
        <v>44</v>
      </c>
      <c r="B16" s="233">
        <f t="shared" si="4"/>
        <v>6.904012517210206</v>
      </c>
      <c r="C16" s="253">
        <f t="shared" si="5"/>
        <v>6.904012517210206</v>
      </c>
      <c r="D16" s="193">
        <f>Q31*R31*S31*100</f>
        <v>0</v>
      </c>
      <c r="E16" s="193">
        <f t="shared" si="0"/>
        <v>1.3554761459422791</v>
      </c>
      <c r="F16" s="193">
        <f t="shared" si="1"/>
        <v>1.3554761459422791</v>
      </c>
      <c r="G16" s="113">
        <f>Q31*R31*T31*100</f>
        <v>0</v>
      </c>
      <c r="H16" s="227">
        <f t="shared" si="6"/>
        <v>3.185921787671233E-2</v>
      </c>
      <c r="I16" s="227">
        <f t="shared" si="2"/>
        <v>3.185921787671233E-2</v>
      </c>
      <c r="J16" s="227">
        <f t="shared" si="8"/>
        <v>0</v>
      </c>
      <c r="K16" s="227">
        <f t="shared" si="7"/>
        <v>1.8648499347118076E-2</v>
      </c>
      <c r="L16" s="227">
        <f t="shared" si="3"/>
        <v>1.8648499347118076E-2</v>
      </c>
      <c r="M16" s="235">
        <f>R31*Q31*((AD31-AE31)*U31+AE31)</f>
        <v>0</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affected'!D6</f>
        <v>3.5000000000000001E-3</v>
      </c>
      <c r="C22" s="41">
        <f>Ability!B6</f>
        <v>0.88410303277141455</v>
      </c>
      <c r="D22" s="41">
        <f>2*G22+2*H22+I22+2*J22</f>
        <v>0.9695432225063938</v>
      </c>
      <c r="E22" s="41">
        <f>(2*K22+2*L22+N22+2*M22)/7</f>
        <v>0.16225308732188529</v>
      </c>
      <c r="F22" s="110">
        <f>(K22+L22+N22)/3</f>
        <v>0.15059053708439898</v>
      </c>
      <c r="G22" s="44">
        <f>Mortality!D6</f>
        <v>4.2000000000000003E-2</v>
      </c>
      <c r="H22" s="44">
        <f>Disease!D6</f>
        <v>0.05</v>
      </c>
      <c r="I22" s="44">
        <f>Slaughter!D6/24</f>
        <v>0.25</v>
      </c>
      <c r="J22" s="207">
        <f>Space!D6/100</f>
        <v>0.26777161125319693</v>
      </c>
      <c r="K22" s="206">
        <f>Mortality!D6/Mortality!$G$2</f>
        <v>8.4000000000000005E-2</v>
      </c>
      <c r="L22" s="44">
        <f>Disease!D6/Disease!$G$2</f>
        <v>0.1</v>
      </c>
      <c r="M22" s="44">
        <f>Slaughter!D6/Slaughter!$G$2</f>
        <v>0.25</v>
      </c>
      <c r="N22" s="207">
        <f>Space!D6/Space!$G$2</f>
        <v>0.26777161125319693</v>
      </c>
      <c r="O22" s="200">
        <f>'Life duration'!D6</f>
        <v>2</v>
      </c>
      <c r="P22" s="234">
        <f>Slaughter!D6/(365*24)</f>
        <v>6.8493150684931507E-4</v>
      </c>
      <c r="Q22" s="247">
        <f>'No affected'!S6</f>
        <v>8.0000000000000004E-4</v>
      </c>
      <c r="R22" s="51">
        <f>Ability!D6</f>
        <v>0.88410303277141455</v>
      </c>
      <c r="S22" s="41">
        <f>2*V22+2*W22+X22+2*Y22</f>
        <v>0.55954313569893166</v>
      </c>
      <c r="T22" s="41">
        <f>(2*Z22+2*AA22+AB22+2*AC22)/7</f>
        <v>9.9934733671275949E-2</v>
      </c>
      <c r="U22" s="110">
        <f>(Z22+AA22+AC22)/3</f>
        <v>7.4923855949821941E-2</v>
      </c>
      <c r="V22">
        <f>Mortality!S6</f>
        <v>0.03</v>
      </c>
      <c r="W22" s="41">
        <f>Disease!S6</f>
        <v>0.04</v>
      </c>
      <c r="X22" s="41">
        <f>Slaughter!S6/24</f>
        <v>0.25</v>
      </c>
      <c r="Y22" s="110">
        <f>Space!S6/100</f>
        <v>8.4771567849465837E-2</v>
      </c>
      <c r="Z22" s="101">
        <f>Mortality!S6/Mortality!$G$2</f>
        <v>0.06</v>
      </c>
      <c r="AA22">
        <f>Disease!S6/Disease!$G$2</f>
        <v>0.08</v>
      </c>
      <c r="AB22" s="41">
        <f>Slaughter!S6/Slaughter!$G$2</f>
        <v>0.25</v>
      </c>
      <c r="AC22" s="218">
        <f>Space!S6/Space!$G$2</f>
        <v>8.4771567849465837E-2</v>
      </c>
      <c r="AD22" s="200">
        <f>'Life duration'!S6</f>
        <v>1.3809523809523809</v>
      </c>
      <c r="AE22" s="234">
        <f>Slaughter!S6/(365*24)</f>
        <v>6.8493150684931507E-4</v>
      </c>
    </row>
    <row r="23" spans="1:31" x14ac:dyDescent="0.3">
      <c r="A23" s="101" t="s">
        <v>60</v>
      </c>
      <c r="B23" s="189">
        <f>'No affected'!D7</f>
        <v>8.9999999999999993E-3</v>
      </c>
      <c r="C23" s="41">
        <f>Ability!B7</f>
        <v>0.82044791775586834</v>
      </c>
      <c r="D23" s="41">
        <f t="shared" ref="D23:D31" si="9">2*G23+2*H23+I23+2*J23</f>
        <v>0.91568983957219263</v>
      </c>
      <c r="E23" s="41">
        <f t="shared" ref="E23:E31" si="10">(2*K23+2*L23+N23+2*M23)/7</f>
        <v>0.18969213139801377</v>
      </c>
      <c r="F23" s="110">
        <f t="shared" ref="F23:F31" si="11">(K23+L23+N23)/3</f>
        <v>0.16594830659536541</v>
      </c>
      <c r="G23" s="44">
        <f>Mortality!D7</f>
        <v>6.5000000000000002E-2</v>
      </c>
      <c r="H23" s="44">
        <f>Disease!D7</f>
        <v>0.1</v>
      </c>
      <c r="I23" s="44">
        <f>Slaughter!D7/24</f>
        <v>0.25</v>
      </c>
      <c r="J23" s="207">
        <f>Space!D7/100</f>
        <v>0.16784491978609625</v>
      </c>
      <c r="K23" s="206">
        <f>Mortality!D7/Mortality!$G$2</f>
        <v>0.13</v>
      </c>
      <c r="L23" s="44">
        <f>Disease!D7/Disease!$G$2</f>
        <v>0.2</v>
      </c>
      <c r="M23" s="44">
        <f>Slaughter!D7/Slaughter!$G$2</f>
        <v>0.25</v>
      </c>
      <c r="N23" s="207">
        <f>Space!D7/Space!$G$2</f>
        <v>0.16784491978609625</v>
      </c>
      <c r="O23" s="200">
        <f>'Life duration'!D7</f>
        <v>0.75</v>
      </c>
      <c r="P23" s="234">
        <f>Slaughter!D7/(365*24)</f>
        <v>6.8493150684931507E-4</v>
      </c>
      <c r="Q23" s="101"/>
      <c r="R23" s="51"/>
      <c r="S23" s="51"/>
      <c r="U23" s="111"/>
      <c r="X23" s="41"/>
      <c r="Y23" s="110"/>
      <c r="Z23" s="101"/>
      <c r="AC23" s="111"/>
      <c r="AD23" s="200"/>
      <c r="AE23" s="234"/>
    </row>
    <row r="24" spans="1:31" x14ac:dyDescent="0.3">
      <c r="A24" s="101" t="s">
        <v>61</v>
      </c>
      <c r="B24" s="189">
        <f>'No affected'!D8</f>
        <v>5.0000000000000001E-3</v>
      </c>
      <c r="C24" s="41">
        <f>Ability!B8</f>
        <v>0.88410303277141455</v>
      </c>
      <c r="D24" s="41">
        <f t="shared" si="9"/>
        <v>1.0355432225063939</v>
      </c>
      <c r="E24" s="41">
        <f t="shared" si="10"/>
        <v>0.18111023017902814</v>
      </c>
      <c r="F24" s="110">
        <f t="shared" si="11"/>
        <v>0.17259053708439898</v>
      </c>
      <c r="G24" s="44">
        <f>Mortality!D8</f>
        <v>7.4999999999999997E-2</v>
      </c>
      <c r="H24" s="44">
        <f>Disease!D8</f>
        <v>0.05</v>
      </c>
      <c r="I24" s="44">
        <f>Slaughter!D8/24</f>
        <v>0.25</v>
      </c>
      <c r="J24" s="207">
        <f>Space!D8/100</f>
        <v>0.26777161125319693</v>
      </c>
      <c r="K24" s="206">
        <f>Mortality!D8/Mortality!$G$2</f>
        <v>0.15</v>
      </c>
      <c r="L24" s="44">
        <f>Disease!D8/Disease!$G$2</f>
        <v>0.1</v>
      </c>
      <c r="M24" s="44">
        <f>Slaughter!D8/Slaughter!$G$2</f>
        <v>0.25</v>
      </c>
      <c r="N24" s="207">
        <f>Space!D8/Space!$G$2</f>
        <v>0.26777161125319693</v>
      </c>
      <c r="O24" s="200">
        <f>'Life duration'!D8</f>
        <v>2</v>
      </c>
      <c r="P24" s="234">
        <f>Slaughter!D8/(365*24)</f>
        <v>6.8493150684931507E-4</v>
      </c>
      <c r="Q24" s="101"/>
      <c r="R24" s="51"/>
      <c r="S24" s="51"/>
      <c r="U24" s="111"/>
      <c r="X24" s="41"/>
      <c r="Y24" s="110"/>
      <c r="Z24" s="101"/>
      <c r="AC24" s="111"/>
      <c r="AD24" s="200"/>
      <c r="AE24" s="234"/>
    </row>
    <row r="25" spans="1:31" x14ac:dyDescent="0.3">
      <c r="A25" s="101" t="s">
        <v>62</v>
      </c>
      <c r="B25" s="189">
        <f>'No affected'!D9</f>
        <v>1E-4</v>
      </c>
      <c r="C25" s="41">
        <f>Ability!B9</f>
        <v>0.88410303277141455</v>
      </c>
      <c r="D25" s="41">
        <f t="shared" si="9"/>
        <v>1.113988067284005</v>
      </c>
      <c r="E25" s="41">
        <f t="shared" si="10"/>
        <v>0.22742771909171466</v>
      </c>
      <c r="F25" s="110">
        <f t="shared" si="11"/>
        <v>0.21733134454733416</v>
      </c>
      <c r="G25" s="44">
        <f>Mortality!D9</f>
        <v>0.06</v>
      </c>
      <c r="H25" s="44">
        <f>Disease!D9</f>
        <v>0.16</v>
      </c>
      <c r="I25" s="44">
        <f>Slaughter!D9/24</f>
        <v>0.25</v>
      </c>
      <c r="J25" s="207">
        <f>Space!D9/100</f>
        <v>0.21199403364200253</v>
      </c>
      <c r="K25" s="206">
        <f>Mortality!D9/Mortality!$G$2</f>
        <v>0.12</v>
      </c>
      <c r="L25" s="44">
        <f>Disease!D9/Disease!$G$2</f>
        <v>0.32</v>
      </c>
      <c r="M25" s="44">
        <f>Slaughter!D9/Slaughter!$G$2</f>
        <v>0.25</v>
      </c>
      <c r="N25" s="207">
        <f>Space!D9/Space!$G$2</f>
        <v>0.21199403364200253</v>
      </c>
      <c r="O25" s="200">
        <f>'Life duration'!D9</f>
        <v>7.25</v>
      </c>
      <c r="P25" s="234">
        <f>Slaughter!D9/(365*24)</f>
        <v>6.8493150684931507E-4</v>
      </c>
      <c r="Q25" s="101"/>
      <c r="R25" s="51"/>
      <c r="S25" s="51"/>
      <c r="U25" s="111"/>
      <c r="X25" s="41"/>
      <c r="Y25" s="110"/>
      <c r="Z25" s="101"/>
      <c r="AC25" s="111"/>
      <c r="AD25" s="200"/>
      <c r="AE25" s="234"/>
    </row>
    <row r="26" spans="1:31" x14ac:dyDescent="0.3">
      <c r="A26" s="101" t="s">
        <v>63</v>
      </c>
      <c r="B26" s="189">
        <f>'No affected'!D10</f>
        <v>5.0000000000000001E-3</v>
      </c>
      <c r="C26" s="41">
        <f>Ability!B10</f>
        <v>0.87913616180078868</v>
      </c>
      <c r="D26" s="41">
        <f t="shared" si="9"/>
        <v>0.81784000000000001</v>
      </c>
      <c r="E26" s="41">
        <f t="shared" si="10"/>
        <v>0.18913142857142856</v>
      </c>
      <c r="F26" s="110">
        <f t="shared" si="11"/>
        <v>0.15464</v>
      </c>
      <c r="G26" s="44">
        <f>Mortality!D10</f>
        <v>0.03</v>
      </c>
      <c r="H26" s="44">
        <f>Disease!D10</f>
        <v>0.15</v>
      </c>
      <c r="I26" s="44">
        <f>Slaughter!D10/24</f>
        <v>0.25</v>
      </c>
      <c r="J26" s="207">
        <f>Space!D10/100</f>
        <v>0.10392</v>
      </c>
      <c r="K26" s="206">
        <f>Mortality!D10/Mortality!$G$2</f>
        <v>0.06</v>
      </c>
      <c r="L26" s="44">
        <f>Disease!D10/Disease!$G$2</f>
        <v>0.3</v>
      </c>
      <c r="M26" s="44">
        <f>Slaughter!D10/Slaughter!$G$2</f>
        <v>0.25</v>
      </c>
      <c r="N26" s="207">
        <f>Space!D10/Space!$G$2</f>
        <v>0.10392</v>
      </c>
      <c r="O26" s="200">
        <f>'Life duration'!D10</f>
        <v>2</v>
      </c>
      <c r="P26" s="234">
        <f>Slaughter!D10/(365*24)</f>
        <v>6.8493150684931507E-4</v>
      </c>
      <c r="Q26" s="101"/>
      <c r="R26" s="51"/>
      <c r="S26" s="51"/>
      <c r="U26" s="111"/>
      <c r="X26" s="41"/>
      <c r="Y26" s="110"/>
      <c r="Z26" s="101"/>
      <c r="AC26" s="111"/>
      <c r="AD26" s="200"/>
      <c r="AE26" s="234"/>
    </row>
    <row r="27" spans="1:31" x14ac:dyDescent="0.3">
      <c r="A27" s="101" t="s">
        <v>64</v>
      </c>
      <c r="B27" s="189">
        <f>'No affected'!D11</f>
        <v>6.4000000000000001E-2</v>
      </c>
      <c r="C27" s="41">
        <f>Ability!B11</f>
        <v>0.82044791775586834</v>
      </c>
      <c r="D27" s="41">
        <f t="shared" si="9"/>
        <v>0.92234627531116475</v>
      </c>
      <c r="E27" s="41">
        <f t="shared" si="10"/>
        <v>0.17945330537936893</v>
      </c>
      <c r="F27" s="110">
        <f t="shared" si="11"/>
        <v>0.15872437921852747</v>
      </c>
      <c r="G27" s="44">
        <f>Mortality!D11</f>
        <v>0.08</v>
      </c>
      <c r="H27" s="44">
        <f>Disease!D11</f>
        <v>0.06</v>
      </c>
      <c r="I27" s="44">
        <f>Slaughter!D11/24</f>
        <v>0.25</v>
      </c>
      <c r="J27" s="207">
        <f>Space!D11/100</f>
        <v>0.19617313765558236</v>
      </c>
      <c r="K27" s="206">
        <f>Mortality!D11/Mortality!$G$2</f>
        <v>0.16</v>
      </c>
      <c r="L27" s="44">
        <f>Disease!D11/Disease!$G$2</f>
        <v>0.12</v>
      </c>
      <c r="M27" s="44">
        <f>Slaughter!D11/Slaughter!$G$2</f>
        <v>0.25</v>
      </c>
      <c r="N27" s="207">
        <f>Space!D11/Space!$G$2</f>
        <v>0.19617313765558236</v>
      </c>
      <c r="O27" s="200">
        <f>'Life duration'!D11</f>
        <v>0.5</v>
      </c>
      <c r="P27" s="234">
        <f>Slaughter!D11/(365*24)</f>
        <v>6.8493150684931507E-4</v>
      </c>
      <c r="Q27" s="190">
        <f>'No affected'!S11</f>
        <v>1.1000000000000001E-3</v>
      </c>
      <c r="R27" s="51">
        <f>Ability!D11</f>
        <v>0.88410303277141455</v>
      </c>
      <c r="S27" s="41">
        <f>2*V27+2*W27+X27+2*Y27</f>
        <v>0.73414308976703602</v>
      </c>
      <c r="T27" s="41">
        <f>(2*Z27+2*AA27+AB27+2*AC27)/7</f>
        <v>0.13630615568100515</v>
      </c>
      <c r="U27" s="110">
        <f>(Z27+AA27+AC27)/3</f>
        <v>0.11735718162783933</v>
      </c>
      <c r="V27">
        <f>Mortality!S11</f>
        <v>0.06</v>
      </c>
      <c r="W27" s="41">
        <f>Disease!S11</f>
        <v>0.05</v>
      </c>
      <c r="X27" s="41">
        <f>Slaughter!S11/24</f>
        <v>0.25</v>
      </c>
      <c r="Y27" s="110">
        <f>Space!S11/100</f>
        <v>0.13207154488351802</v>
      </c>
      <c r="Z27" s="101">
        <f>Mortality!S11/Mortality!$G$2</f>
        <v>0.12</v>
      </c>
      <c r="AA27">
        <f>Disease!S11/Disease!$G$2</f>
        <v>0.1</v>
      </c>
      <c r="AB27" s="41">
        <f>Slaughter!S11/Slaughter!$G$2</f>
        <v>0.25</v>
      </c>
      <c r="AC27" s="218">
        <f>Space!S11/Space!$G$2</f>
        <v>0.13207154488351802</v>
      </c>
      <c r="AD27" s="200">
        <f>'Life duration'!S11</f>
        <v>0.5181347150259068</v>
      </c>
      <c r="AE27" s="234">
        <f>Slaughter!S11/(365*24)</f>
        <v>6.8493150684931507E-4</v>
      </c>
    </row>
    <row r="28" spans="1:31" x14ac:dyDescent="0.3">
      <c r="A28" s="101" t="s">
        <v>65</v>
      </c>
      <c r="B28" s="189">
        <f>'No affected'!D12</f>
        <v>1.7933552565197779E-2</v>
      </c>
      <c r="C28" s="41">
        <f>Ability!B12</f>
        <v>0.87981165625279378</v>
      </c>
      <c r="D28" s="41">
        <f t="shared" si="9"/>
        <v>2.2339160839160841</v>
      </c>
      <c r="E28" s="41">
        <f t="shared" si="10"/>
        <v>0.36613686313686317</v>
      </c>
      <c r="F28" s="110">
        <f t="shared" si="11"/>
        <v>0.44965268065268066</v>
      </c>
      <c r="G28" s="44">
        <f>Mortality!D12</f>
        <v>0.20699999999999999</v>
      </c>
      <c r="H28" s="44">
        <f>Disease!D12</f>
        <v>0.15</v>
      </c>
      <c r="I28" s="44">
        <f>Slaughter!D12/24</f>
        <v>0.25</v>
      </c>
      <c r="J28" s="207">
        <f>Space!D12/100</f>
        <v>0.63495804195804206</v>
      </c>
      <c r="K28" s="206">
        <f>Mortality!D12/Mortality!$G$2</f>
        <v>0.41399999999999998</v>
      </c>
      <c r="L28" s="44">
        <f>Disease!D12/Disease!$G$2</f>
        <v>0.3</v>
      </c>
      <c r="M28" s="44">
        <f>Slaughter!D12/Slaughter!$G$2</f>
        <v>0.25</v>
      </c>
      <c r="N28" s="207">
        <f>Space!D12/Space!$G$2</f>
        <v>0.63495804195804206</v>
      </c>
      <c r="O28" s="200">
        <f>'Life duration'!D12</f>
        <v>0.5</v>
      </c>
      <c r="P28" s="234">
        <f>Slaughter!D12/(365*24)</f>
        <v>6.8493150684931507E-4</v>
      </c>
      <c r="Q28" s="190">
        <f>'No affected'!S12</f>
        <v>3.4000000000000002E-4</v>
      </c>
      <c r="R28" s="51">
        <f>Ability!D12</f>
        <v>0.94805646338919392</v>
      </c>
      <c r="S28" s="41">
        <f>2*V28+2*W28+X28+2*Y28</f>
        <v>1.4561391244010977</v>
      </c>
      <c r="T28" s="41">
        <f>(2*Z28+2*AA28+AB28+2*AC28)/7</f>
        <v>0.26059130348587112</v>
      </c>
      <c r="U28" s="110">
        <f>(Z28+AA28+AC28)/3</f>
        <v>0.26235652073351629</v>
      </c>
      <c r="V28">
        <f>Mortality!S12</f>
        <v>3.4000000000000002E-2</v>
      </c>
      <c r="W28" s="41">
        <f>Disease!S12</f>
        <v>0.15</v>
      </c>
      <c r="X28" s="41">
        <f>Slaughter!S12/24</f>
        <v>0.25</v>
      </c>
      <c r="Y28" s="110">
        <f>Space!S12/100</f>
        <v>0.41906956220054892</v>
      </c>
      <c r="Z28" s="101">
        <f>Mortality!S12/Mortality!$G$2</f>
        <v>6.8000000000000005E-2</v>
      </c>
      <c r="AA28">
        <f>Disease!S12/Disease!$G$2</f>
        <v>0.3</v>
      </c>
      <c r="AB28" s="41">
        <f>Slaughter!S12/Slaughter!$G$2</f>
        <v>0.25</v>
      </c>
      <c r="AC28" s="218">
        <f>Space!S12/Space!$G$2</f>
        <v>0.41906956220054892</v>
      </c>
      <c r="AD28" s="191">
        <f>'Life duration'!S12</f>
        <v>2.8011204481792715E-2</v>
      </c>
      <c r="AE28" s="234">
        <f>Slaughter!S12/(365*24)</f>
        <v>6.8493150684931507E-4</v>
      </c>
    </row>
    <row r="29" spans="1:31" x14ac:dyDescent="0.3">
      <c r="A29" s="101" t="s">
        <v>66</v>
      </c>
      <c r="B29" s="189">
        <f>'No affected'!D13</f>
        <v>0.75216903015372494</v>
      </c>
      <c r="C29" s="41">
        <f>Ability!B13</f>
        <v>0.54320827892864587</v>
      </c>
      <c r="D29" s="41">
        <f t="shared" si="9"/>
        <v>1.6465797101449278</v>
      </c>
      <c r="E29" s="41">
        <f t="shared" si="10"/>
        <v>0.21246997929606626</v>
      </c>
      <c r="F29" s="110">
        <f t="shared" si="11"/>
        <v>0.29265217391304355</v>
      </c>
      <c r="G29" s="44">
        <f>Mortality!D13</f>
        <v>3.7999999999999999E-2</v>
      </c>
      <c r="H29" s="44">
        <f>Disease!D13</f>
        <v>0.1</v>
      </c>
      <c r="I29" s="44">
        <f>Slaughter!D13/24</f>
        <v>0.16666666666666666</v>
      </c>
      <c r="J29" s="207">
        <f>Space!D13/100</f>
        <v>0.60195652173913061</v>
      </c>
      <c r="K29" s="206">
        <f>Mortality!D13/Mortality!$G$2</f>
        <v>7.5999999999999998E-2</v>
      </c>
      <c r="L29" s="44">
        <f>Disease!D13/Disease!$G$2</f>
        <v>0.2</v>
      </c>
      <c r="M29" s="44">
        <f>Slaughter!D13/Slaughter!$G$2</f>
        <v>0.16666666666666666</v>
      </c>
      <c r="N29" s="207">
        <f>Space!D13/Space!$G$2</f>
        <v>0.60195652173913061</v>
      </c>
      <c r="O29" s="200">
        <f>'Life duration'!D13</f>
        <v>9.6153846153846159E-2</v>
      </c>
      <c r="P29" s="234">
        <f>Slaughter!D13/(365*24)</f>
        <v>4.5662100456621003E-4</v>
      </c>
      <c r="Q29" s="190">
        <f>'No affected'!S13</f>
        <v>5.4505002185052534E-3</v>
      </c>
      <c r="R29" s="51">
        <f>Ability!D13</f>
        <v>0.54320827892864587</v>
      </c>
      <c r="S29" s="41">
        <f>2*V29+2*W29+X29+2*Y29</f>
        <v>1.9820512820512821</v>
      </c>
      <c r="T29" s="41">
        <f>(2*Z29+2*AA29+AB29+2*AC29)/7</f>
        <v>0.43172161172161172</v>
      </c>
      <c r="U29" s="110">
        <f>(Z29+AA29+AC29)/3</f>
        <v>0.47589743589743588</v>
      </c>
      <c r="V29">
        <f>Mortality!S13</f>
        <v>0.06</v>
      </c>
      <c r="W29" s="41">
        <f>Disease!S13</f>
        <v>0.46</v>
      </c>
      <c r="X29" s="41">
        <f>Slaughter!S13/24</f>
        <v>0.16666666666666666</v>
      </c>
      <c r="Y29" s="110">
        <f>Space!S13/100</f>
        <v>0.38769230769230767</v>
      </c>
      <c r="Z29" s="101">
        <f>Mortality!S13/Mortality!$G$2</f>
        <v>0.12</v>
      </c>
      <c r="AA29">
        <f>Disease!S13/Disease!$G$2</f>
        <v>0.92</v>
      </c>
      <c r="AB29" s="41">
        <f>Slaughter!S13/Slaughter!$G$2</f>
        <v>0.16666666666666666</v>
      </c>
      <c r="AC29" s="218">
        <f>Space!S13/Space!$G$2</f>
        <v>0.38769230769230767</v>
      </c>
      <c r="AD29" s="191">
        <f>'Life duration'!S13</f>
        <v>6.6666666666666671E-3</v>
      </c>
      <c r="AE29" s="234">
        <f>Slaughter!S13/(365*24)</f>
        <v>4.5662100456621003E-4</v>
      </c>
    </row>
    <row r="30" spans="1:31" x14ac:dyDescent="0.3">
      <c r="A30" s="101" t="s">
        <v>67</v>
      </c>
      <c r="B30" s="189">
        <f>'No affected'!D14</f>
        <v>1.05</v>
      </c>
      <c r="C30" s="41">
        <f>Ability!B14</f>
        <v>0.67196797361598137</v>
      </c>
      <c r="D30" s="41">
        <f t="shared" si="9"/>
        <v>1.4443999999999999</v>
      </c>
      <c r="E30" s="41">
        <f t="shared" si="10"/>
        <v>0.26817142857142856</v>
      </c>
      <c r="F30" s="110">
        <f t="shared" si="11"/>
        <v>0.28573333333333334</v>
      </c>
      <c r="G30" s="44">
        <f>Mortality!D14</f>
        <v>0.15</v>
      </c>
      <c r="H30" s="44">
        <f>Disease!D14</f>
        <v>0.11</v>
      </c>
      <c r="I30" s="44">
        <f>Slaughter!D14/24</f>
        <v>0.25</v>
      </c>
      <c r="J30" s="207">
        <f>Space!D14/100</f>
        <v>0.3372</v>
      </c>
      <c r="K30" s="206">
        <f>Mortality!D14/Mortality!$G$2</f>
        <v>0.3</v>
      </c>
      <c r="L30" s="44">
        <f>Disease!D14/Disease!$G$2</f>
        <v>0.22</v>
      </c>
      <c r="M30" s="44">
        <f>Slaughter!D14/Slaughter!$G$2</f>
        <v>0.25</v>
      </c>
      <c r="N30" s="207">
        <f>Space!D14/Space!$G$2</f>
        <v>0.3372</v>
      </c>
      <c r="O30" s="200">
        <f>'Life duration'!D14</f>
        <v>0.16666666666666666</v>
      </c>
      <c r="P30" s="234">
        <f>Slaughter!D14/(365*24)</f>
        <v>6.8493150684931507E-4</v>
      </c>
      <c r="Q30" s="101"/>
      <c r="R30" s="51"/>
      <c r="S30" s="51"/>
      <c r="U30" s="111"/>
      <c r="X30" s="41"/>
      <c r="Y30" s="110"/>
      <c r="Z30" s="101"/>
      <c r="AC30" s="111"/>
      <c r="AD30" s="191"/>
      <c r="AE30" s="234"/>
    </row>
    <row r="31" spans="1:31" x14ac:dyDescent="0.3">
      <c r="A31" s="104" t="s">
        <v>68</v>
      </c>
      <c r="B31" s="232">
        <f>'No affected'!D15</f>
        <v>5.5E-2</v>
      </c>
      <c r="C31" s="193">
        <f>Ability!B15</f>
        <v>0.58534077701729459</v>
      </c>
      <c r="D31" s="193">
        <f t="shared" si="9"/>
        <v>2.14452</v>
      </c>
      <c r="E31" s="193">
        <f t="shared" si="10"/>
        <v>0.42103714285714283</v>
      </c>
      <c r="F31" s="254">
        <f t="shared" si="11"/>
        <v>0.48242000000000002</v>
      </c>
      <c r="G31" s="255">
        <f>Mortality!D15</f>
        <v>0.04</v>
      </c>
      <c r="H31" s="255">
        <f>Disease!D15</f>
        <v>0.46</v>
      </c>
      <c r="I31" s="255">
        <f>Slaughter!D15/24</f>
        <v>0.25</v>
      </c>
      <c r="J31" s="256">
        <f>Space!D15/100</f>
        <v>0.44725999999999999</v>
      </c>
      <c r="K31" s="257">
        <f>Mortality!D15/Mortality!$G$2</f>
        <v>0.08</v>
      </c>
      <c r="L31" s="255">
        <f>Disease!D15/Disease!$G$2</f>
        <v>0.92</v>
      </c>
      <c r="M31" s="255">
        <f>Slaughter!D15/Slaughter!$G$2</f>
        <v>0.25</v>
      </c>
      <c r="N31" s="256">
        <f>Space!D15/Space!$G$2</f>
        <v>0.44725999999999999</v>
      </c>
      <c r="O31" s="244">
        <f>'Life duration'!D15</f>
        <v>1.2</v>
      </c>
      <c r="P31" s="235">
        <f>Slaughter!D15/(365*24)</f>
        <v>6.8493150684931507E-4</v>
      </c>
      <c r="Q31" s="263">
        <f>'No affected'!S15</f>
        <v>0</v>
      </c>
      <c r="R31" s="261">
        <f>Ability!D15</f>
        <v>0.2556274253781865</v>
      </c>
      <c r="S31" s="193">
        <f>2*V31+2*W31+X31+2*Y31</f>
        <v>0</v>
      </c>
      <c r="T31" s="193">
        <f>(2*Z31+2*AA31+AB31+2*AC31)/7</f>
        <v>0</v>
      </c>
      <c r="U31" s="254">
        <f>(Z31+AA31+AC31)/3</f>
        <v>0</v>
      </c>
      <c r="V31" s="194">
        <f>Mortality!S15</f>
        <v>0</v>
      </c>
      <c r="W31" s="193">
        <f>Disease!S15</f>
        <v>0</v>
      </c>
      <c r="X31" s="193">
        <f>Slaughter!S15/24</f>
        <v>0</v>
      </c>
      <c r="Y31" s="254">
        <f>Space!S15/100</f>
        <v>0</v>
      </c>
      <c r="Z31" s="104">
        <f>Mortality!S15/Mortality!$G$2</f>
        <v>0</v>
      </c>
      <c r="AA31" s="133">
        <f>Disease!S15/Disease!$G$2</f>
        <v>0</v>
      </c>
      <c r="AB31" s="193">
        <f>Slaughter!S15/Slaughter!$G$2</f>
        <v>0</v>
      </c>
      <c r="AC31" s="114">
        <f>Space!S15/Space!$G$2</f>
        <v>0</v>
      </c>
      <c r="AD31" s="244">
        <f>'Life duration'!S15</f>
        <v>3.1709791983764589E-7</v>
      </c>
      <c r="AE31" s="235">
        <f>Slaughter!S15/(365*24)</f>
        <v>0</v>
      </c>
    </row>
    <row r="33" spans="4:4" x14ac:dyDescent="0.3">
      <c r="D33" s="41"/>
    </row>
    <row r="34" spans="4:4" x14ac:dyDescent="0.3">
      <c r="D34" s="102"/>
    </row>
  </sheetData>
  <mergeCells count="4">
    <mergeCell ref="B5:D5"/>
    <mergeCell ref="E5:G5"/>
    <mergeCell ref="H5:J5"/>
    <mergeCell ref="K5: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4FBD-2AA6-4680-8FEB-0C74BFF402B0}">
  <sheetPr>
    <tabColor theme="5" tint="0.79998168889431442"/>
  </sheetPr>
  <dimension ref="A2:AE31"/>
  <sheetViews>
    <sheetView topLeftCell="Q19" zoomScale="89" workbookViewId="0">
      <selection activeCell="X22" sqref="X22"/>
    </sheetView>
  </sheetViews>
  <sheetFormatPr defaultRowHeight="14.4" x14ac:dyDescent="0.3"/>
  <cols>
    <col min="1" max="1" width="23.33203125" customWidth="1"/>
    <col min="2" max="31" width="9.6640625" customWidth="1"/>
  </cols>
  <sheetData>
    <row r="2" spans="1:13" ht="21" x14ac:dyDescent="0.4">
      <c r="A2" s="30" t="s">
        <v>71</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0.34502624713922819</v>
      </c>
      <c r="C7" s="41">
        <f t="shared" ref="C7:C16" si="0">B22*C22*D22*100</f>
        <v>0.30320449930591253</v>
      </c>
      <c r="D7" s="41">
        <f>Q22*R22*S22*100</f>
        <v>4.1821747833315673E-2</v>
      </c>
      <c r="E7" s="41">
        <f t="shared" ref="E7:E16" si="1">F7+G7</f>
        <v>6.3902326560343281E-2</v>
      </c>
      <c r="F7" s="19">
        <f t="shared" ref="F7:F16" si="2">B22*C22*E22*100</f>
        <v>5.651322630314963E-2</v>
      </c>
      <c r="G7" s="19">
        <f>Q22*R22*T22*100</f>
        <v>7.3891002571936457E-3</v>
      </c>
      <c r="H7" s="226">
        <f>I7+J7</f>
        <v>1.0344972659201966E-3</v>
      </c>
      <c r="I7" s="226">
        <f t="shared" ref="I7:I16" si="3">B22*((O22-P22)*F22+P22)</f>
        <v>9.6205466798923245E-4</v>
      </c>
      <c r="J7" s="226">
        <f>Q22*((AD22-AE22)*U22+AE22)</f>
        <v>7.2442597930964E-5</v>
      </c>
      <c r="K7" s="226">
        <f>L7+M7</f>
        <v>9.1460217019378228E-4</v>
      </c>
      <c r="L7" s="226">
        <f t="shared" ref="L7:L16" si="4">C22*B22*((O22-P22)*F22+P22)</f>
        <v>8.505554496611768E-4</v>
      </c>
      <c r="M7" s="234">
        <f>R22*Q22*((AD22-AE22)*U22+AE22)</f>
        <v>6.4046720532605467E-5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0.46232468480418876</v>
      </c>
      <c r="C9" s="41">
        <f t="shared" si="0"/>
        <v>0.46232468480418876</v>
      </c>
      <c r="D9" s="41"/>
      <c r="E9" s="41">
        <f t="shared" si="1"/>
        <v>8.9069009027772816E-2</v>
      </c>
      <c r="F9" s="19">
        <f t="shared" si="2"/>
        <v>8.9069009027772816E-2</v>
      </c>
      <c r="G9" s="19"/>
      <c r="H9" s="226">
        <f t="shared" si="6"/>
        <v>1.5942608433766594E-3</v>
      </c>
      <c r="I9" s="226">
        <f t="shared" si="3"/>
        <v>1.5942608433766594E-3</v>
      </c>
      <c r="J9" s="226"/>
      <c r="K9" s="226">
        <f t="shared" si="7"/>
        <v>1.4094908466580178E-3</v>
      </c>
      <c r="L9" s="226">
        <f t="shared" si="4"/>
        <v>1.4094908466580178E-3</v>
      </c>
      <c r="M9" s="111"/>
    </row>
    <row r="10" spans="1:13" x14ac:dyDescent="0.3">
      <c r="A10" s="101" t="s">
        <v>38</v>
      </c>
      <c r="B10" s="191">
        <f t="shared" si="5"/>
        <v>1.2843847601606386E-2</v>
      </c>
      <c r="C10" s="102">
        <f t="shared" si="0"/>
        <v>1.2843847601606386E-2</v>
      </c>
      <c r="D10" s="41"/>
      <c r="E10" s="41">
        <f t="shared" si="1"/>
        <v>2.3982902657211469E-3</v>
      </c>
      <c r="F10" s="19">
        <f t="shared" si="2"/>
        <v>2.3982902657211469E-3</v>
      </c>
      <c r="G10" s="19"/>
      <c r="H10" s="226">
        <f t="shared" si="6"/>
        <v>1.8749253542162171E-4</v>
      </c>
      <c r="I10" s="226">
        <f t="shared" si="3"/>
        <v>1.8749253542162171E-4</v>
      </c>
      <c r="J10" s="226"/>
      <c r="K10" s="226">
        <f t="shared" si="7"/>
        <v>1.657627191882576E-4</v>
      </c>
      <c r="L10" s="226">
        <f t="shared" si="4"/>
        <v>1.657627191882576E-4</v>
      </c>
      <c r="M10" s="111"/>
    </row>
    <row r="11" spans="1:13" x14ac:dyDescent="0.3">
      <c r="A11" s="101" t="s">
        <v>39</v>
      </c>
      <c r="B11" s="191">
        <f t="shared" si="5"/>
        <v>0.41952377641133637</v>
      </c>
      <c r="C11" s="41">
        <f t="shared" si="0"/>
        <v>0.41952377641133637</v>
      </c>
      <c r="D11" s="41"/>
      <c r="E11" s="41">
        <f t="shared" si="1"/>
        <v>0.10720437538759332</v>
      </c>
      <c r="F11" s="19">
        <f t="shared" si="2"/>
        <v>0.10720437538759332</v>
      </c>
      <c r="G11" s="19"/>
      <c r="H11" s="226">
        <f t="shared" si="6"/>
        <v>1.4294040547945205E-3</v>
      </c>
      <c r="I11" s="226">
        <f t="shared" si="3"/>
        <v>1.4294040547945205E-3</v>
      </c>
      <c r="J11" s="226"/>
      <c r="K11" s="226">
        <f t="shared" si="7"/>
        <v>1.2566407943945391E-3</v>
      </c>
      <c r="L11" s="226">
        <f t="shared" si="4"/>
        <v>1.2566407943945391E-3</v>
      </c>
      <c r="M11" s="111"/>
    </row>
    <row r="12" spans="1:13" x14ac:dyDescent="0.3">
      <c r="A12" s="101" t="s">
        <v>40</v>
      </c>
      <c r="B12" s="191">
        <f t="shared" si="5"/>
        <v>3.829680259377557</v>
      </c>
      <c r="C12" s="85">
        <f t="shared" si="0"/>
        <v>3.7500093941046595</v>
      </c>
      <c r="D12" s="41">
        <f>Q27*R27*S27*100</f>
        <v>7.9670865272897282E-2</v>
      </c>
      <c r="E12" s="41">
        <f t="shared" si="1"/>
        <v>0.98553690889335799</v>
      </c>
      <c r="F12" s="41">
        <f t="shared" si="2"/>
        <v>0.97109888622679152</v>
      </c>
      <c r="G12" s="19">
        <f>Q27*R27*T27*100</f>
        <v>1.4438022666566502E-2</v>
      </c>
      <c r="H12" s="226">
        <f t="shared" si="6"/>
        <v>3.5830509509859878E-3</v>
      </c>
      <c r="I12" s="226">
        <f t="shared" si="3"/>
        <v>3.5161860076666179E-3</v>
      </c>
      <c r="J12" s="226">
        <f t="shared" ref="J12:J16" si="8">Q27*((AD27-AE27)*U27+AE27)</f>
        <v>6.6864943319369804E-5</v>
      </c>
      <c r="K12" s="226">
        <f t="shared" si="7"/>
        <v>2.9439629876071398E-3</v>
      </c>
      <c r="L12" s="226">
        <f t="shared" si="4"/>
        <v>2.8848474884323964E-3</v>
      </c>
      <c r="M12" s="234">
        <f>R27*Q27*((AD27-AE27)*U27+AE27)</f>
        <v>5.9115499174743579E-5</v>
      </c>
    </row>
    <row r="13" spans="1:13" x14ac:dyDescent="0.3">
      <c r="A13" s="101" t="s">
        <v>41</v>
      </c>
      <c r="B13" s="191">
        <f t="shared" si="5"/>
        <v>3.6851588734859804</v>
      </c>
      <c r="C13" s="85">
        <f t="shared" si="0"/>
        <v>3.6340761350042134</v>
      </c>
      <c r="D13" s="41">
        <f>Q28*R28*S28*100</f>
        <v>5.1082738481767129E-2</v>
      </c>
      <c r="E13" s="41">
        <f t="shared" si="1"/>
        <v>0.6172427533311492</v>
      </c>
      <c r="F13" s="41">
        <f t="shared" si="2"/>
        <v>0.60820079536968918</v>
      </c>
      <c r="G13" s="19">
        <f>Q28*R28*T28*100</f>
        <v>9.041957961459993E-3</v>
      </c>
      <c r="H13" s="226">
        <f t="shared" si="6"/>
        <v>3.9970464941876923E-3</v>
      </c>
      <c r="I13" s="226">
        <f t="shared" si="3"/>
        <v>3.9941551167038567E-3</v>
      </c>
      <c r="J13" s="226">
        <f t="shared" si="8"/>
        <v>2.891377483835693E-6</v>
      </c>
      <c r="K13" s="226">
        <f t="shared" si="7"/>
        <v>3.51684541766944E-3</v>
      </c>
      <c r="L13" s="226">
        <f t="shared" si="4"/>
        <v>3.5141042285577917E-3</v>
      </c>
      <c r="M13" s="234">
        <f>R28*Q28*((AD28-AE28)*U28+AE28)</f>
        <v>2.7411891116484131E-6</v>
      </c>
    </row>
    <row r="14" spans="1:13" x14ac:dyDescent="0.3">
      <c r="A14" s="101" t="s">
        <v>42</v>
      </c>
      <c r="B14" s="191">
        <f>C14+D14</f>
        <v>76.375945434990129</v>
      </c>
      <c r="C14" s="85">
        <f t="shared" si="0"/>
        <v>75.793302650867773</v>
      </c>
      <c r="D14" s="41">
        <f>Q29*R29*S29*100</f>
        <v>0.58264278412234949</v>
      </c>
      <c r="E14" s="41">
        <f t="shared" si="1"/>
        <v>10.429218802553189</v>
      </c>
      <c r="F14" s="85">
        <f t="shared" si="2"/>
        <v>10.303687592778648</v>
      </c>
      <c r="G14" s="41">
        <f>Q29*R29*T29*100</f>
        <v>0.12553120977454202</v>
      </c>
      <c r="H14" s="226">
        <f>I14+J14</f>
        <v>2.4732710992302287E-2</v>
      </c>
      <c r="I14" s="226">
        <f t="shared" si="3"/>
        <v>2.4714358052140239E-2</v>
      </c>
      <c r="J14" s="226">
        <f t="shared" si="8"/>
        <v>1.8352940162048212E-5</v>
      </c>
      <c r="K14" s="226">
        <f t="shared" si="7"/>
        <v>1.3435013371368128E-2</v>
      </c>
      <c r="L14" s="226">
        <f t="shared" si="4"/>
        <v>1.3425043902329421E-2</v>
      </c>
      <c r="M14" s="234">
        <f>R29*Q29*((AD29-AE29)*U29+AE29)</f>
        <v>9.9694690387066327E-6</v>
      </c>
    </row>
    <row r="15" spans="1:13" x14ac:dyDescent="0.3">
      <c r="A15" s="101" t="s">
        <v>43</v>
      </c>
      <c r="B15" s="191">
        <f t="shared" si="5"/>
        <v>102.70459303942701</v>
      </c>
      <c r="C15" s="85">
        <f t="shared" si="0"/>
        <v>102.70459303942701</v>
      </c>
      <c r="D15" s="41"/>
      <c r="E15" s="41">
        <f t="shared" si="1"/>
        <v>19.147727408187389</v>
      </c>
      <c r="F15" s="85">
        <f t="shared" si="2"/>
        <v>19.147727408187389</v>
      </c>
      <c r="H15" s="226">
        <f t="shared" si="6"/>
        <v>5.0540099841095892E-2</v>
      </c>
      <c r="I15" s="226">
        <f t="shared" si="3"/>
        <v>5.0540099841095892E-2</v>
      </c>
      <c r="J15" s="226"/>
      <c r="K15" s="226">
        <f t="shared" si="7"/>
        <v>3.3961328476570588E-2</v>
      </c>
      <c r="L15" s="226">
        <f t="shared" si="4"/>
        <v>3.3961328476570588E-2</v>
      </c>
      <c r="M15" s="111"/>
    </row>
    <row r="16" spans="1:13" x14ac:dyDescent="0.3">
      <c r="A16" s="104" t="s">
        <v>44</v>
      </c>
      <c r="B16" s="233">
        <f t="shared" si="5"/>
        <v>9.9251216624319838</v>
      </c>
      <c r="C16" s="253">
        <f t="shared" si="0"/>
        <v>9.9126953292538769</v>
      </c>
      <c r="D16" s="193">
        <f>Q31*R31*S31*100</f>
        <v>1.2426333178106288E-2</v>
      </c>
      <c r="E16" s="193">
        <f t="shared" si="1"/>
        <v>1.7861202105698422</v>
      </c>
      <c r="F16" s="193">
        <f t="shared" si="2"/>
        <v>1.7843450201158271</v>
      </c>
      <c r="G16" s="113">
        <f>Q31*R31*T31*100</f>
        <v>1.7751904540151842E-3</v>
      </c>
      <c r="H16" s="227">
        <f t="shared" si="6"/>
        <v>4.3335117760730596E-2</v>
      </c>
      <c r="I16" s="227">
        <f t="shared" si="3"/>
        <v>4.3333785949467275E-2</v>
      </c>
      <c r="J16" s="227">
        <f t="shared" si="8"/>
        <v>1.3318112633181127E-6</v>
      </c>
      <c r="K16" s="227">
        <f t="shared" si="7"/>
        <v>2.5365372386246629E-2</v>
      </c>
      <c r="L16" s="227">
        <f t="shared" si="4"/>
        <v>2.5365031938762297E-2</v>
      </c>
      <c r="M16" s="235">
        <f>R31*Q31*((AD31-AE31)*U31+AE31)</f>
        <v>3.4044748433167914E-7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affected'!E6</f>
        <v>3.5000000000000001E-3</v>
      </c>
      <c r="C22" s="41">
        <f>Ability!B6</f>
        <v>0.88410303277141455</v>
      </c>
      <c r="D22" s="41">
        <f>2*G22+2*H22+I22+2*J22</f>
        <v>0.97986155157715249</v>
      </c>
      <c r="E22" s="41">
        <f>(2*K22+2*L22+N22+2*M22)/7</f>
        <v>0.18263296796979661</v>
      </c>
      <c r="F22" s="110">
        <f>(K22+L22+N22)/3</f>
        <v>0.13703248081841432</v>
      </c>
      <c r="G22" s="44">
        <f>Mortality!E6</f>
        <v>4.2000000000000003E-2</v>
      </c>
      <c r="H22" s="44">
        <f>Disease!E6</f>
        <v>0.05</v>
      </c>
      <c r="I22" s="44">
        <f>Slaughter!E6/24</f>
        <v>0.34166666666666662</v>
      </c>
      <c r="J22" s="207">
        <f>Space!E6/100</f>
        <v>0.22709744245524294</v>
      </c>
      <c r="K22" s="206">
        <f>Mortality!E6/Mortality!$G$2</f>
        <v>8.4000000000000005E-2</v>
      </c>
      <c r="L22" s="44">
        <f>Disease!E6/Disease!$G$2</f>
        <v>0.1</v>
      </c>
      <c r="M22" s="44">
        <f>Slaughter!E6/Slaughter!$G$2</f>
        <v>0.34166666666666662</v>
      </c>
      <c r="N22" s="207">
        <f>Space!E6/Space!$G$2</f>
        <v>0.22709744245524294</v>
      </c>
      <c r="O22" s="200">
        <f>'Life duration'!E6</f>
        <v>2</v>
      </c>
      <c r="P22" s="234">
        <f>Slaughter!E6/(365*24)</f>
        <v>9.3607305936073046E-4</v>
      </c>
      <c r="Q22" s="247">
        <f>'No affected'!T6</f>
        <v>8.0000000000000004E-4</v>
      </c>
      <c r="R22" s="51">
        <f>Ability!D6</f>
        <v>0.88410303277141455</v>
      </c>
      <c r="S22" s="41">
        <f>2*V22+2*W22+X22+2*Y22</f>
        <v>0.59130195072140301</v>
      </c>
      <c r="T22" s="41">
        <f>(2*Z22+2*AA22+AB22+2*AC22)/7</f>
        <v>0.10447170724591472</v>
      </c>
      <c r="U22" s="110">
        <f>(Z22+AA22+AC22)/3</f>
        <v>6.4939214009122739E-2</v>
      </c>
      <c r="V22">
        <f>Mortality!T6</f>
        <v>0.03</v>
      </c>
      <c r="W22" s="41">
        <f>Disease!T6</f>
        <v>0.04</v>
      </c>
      <c r="X22" s="41">
        <f>Slaughter!T6/24</f>
        <v>0.34166666666666662</v>
      </c>
      <c r="Y22" s="110">
        <f>Space!T6/100</f>
        <v>5.4817642027368219E-2</v>
      </c>
      <c r="Z22" s="101">
        <f>Mortality!T6/Mortality!$G$2</f>
        <v>0.06</v>
      </c>
      <c r="AA22">
        <f>Disease!T6/Disease!$G$2</f>
        <v>0.08</v>
      </c>
      <c r="AB22" s="41">
        <f>Slaughter!T6/Slaughter!$G$2</f>
        <v>0.34166666666666662</v>
      </c>
      <c r="AC22" s="218">
        <f>Space!T6/Space!$G$2</f>
        <v>5.4817642027368219E-2</v>
      </c>
      <c r="AD22" s="200">
        <f>'Life duration'!T6</f>
        <v>1.3809523809523809</v>
      </c>
      <c r="AE22" s="234">
        <f>Slaughter!T6/(365*24)</f>
        <v>9.3607305936073046E-4</v>
      </c>
    </row>
    <row r="23" spans="1:31" x14ac:dyDescent="0.3">
      <c r="A23" s="101" t="s">
        <v>60</v>
      </c>
      <c r="B23" s="189">
        <f>'No affected'!E7</f>
        <v>8.9999999999999993E-3</v>
      </c>
      <c r="C23" s="41">
        <f>Ability!B7</f>
        <v>0.82044791775586834</v>
      </c>
      <c r="D23" s="41">
        <f t="shared" ref="D23:D31" si="9">2*G23+2*H23+I23+2*J23</f>
        <v>1.0073565062388592</v>
      </c>
      <c r="E23" s="41">
        <f t="shared" ref="E23:E31" si="10">(2*K23+2*L23+N23+2*M23)/7</f>
        <v>0.21588260758848993</v>
      </c>
      <c r="F23" s="110">
        <f t="shared" ref="F23:F31" si="11">(K23+L23+N23)/3</f>
        <v>0.16594830659536541</v>
      </c>
      <c r="G23" s="44">
        <f>Mortality!E7</f>
        <v>6.5000000000000002E-2</v>
      </c>
      <c r="H23" s="44">
        <f>Disease!E7</f>
        <v>0.1</v>
      </c>
      <c r="I23" s="44">
        <f>Slaughter!E7/24</f>
        <v>0.34166666666666662</v>
      </c>
      <c r="J23" s="207">
        <f>Space!E7/100</f>
        <v>0.16784491978609625</v>
      </c>
      <c r="K23" s="206">
        <f>Mortality!E7/Mortality!$G$2</f>
        <v>0.13</v>
      </c>
      <c r="L23" s="44">
        <f>Disease!E7/Disease!$G$2</f>
        <v>0.2</v>
      </c>
      <c r="M23" s="44">
        <f>Slaughter!E7/Slaughter!$G$2</f>
        <v>0.34166666666666662</v>
      </c>
      <c r="N23" s="207">
        <f>Space!E7/Space!$G$2</f>
        <v>0.16784491978609625</v>
      </c>
      <c r="O23" s="200">
        <f>'Life duration'!E7</f>
        <v>0.75</v>
      </c>
      <c r="P23" s="234">
        <f>Slaughter!E7/(365*24)</f>
        <v>9.3607305936073046E-4</v>
      </c>
      <c r="Q23" s="101"/>
      <c r="R23" s="51"/>
      <c r="S23" s="51"/>
      <c r="U23" s="111"/>
      <c r="X23" s="41"/>
      <c r="Y23" s="110"/>
      <c r="Z23" s="101"/>
      <c r="AC23" s="111"/>
      <c r="AD23" s="200"/>
      <c r="AE23" s="234"/>
    </row>
    <row r="24" spans="1:31" x14ac:dyDescent="0.3">
      <c r="A24" s="101" t="s">
        <v>61</v>
      </c>
      <c r="B24" s="189">
        <f>'No affected'!E8</f>
        <v>5.0000000000000001E-3</v>
      </c>
      <c r="C24" s="41">
        <f>Ability!B8</f>
        <v>0.88410303277141455</v>
      </c>
      <c r="D24" s="41">
        <f t="shared" si="9"/>
        <v>1.0458615515771523</v>
      </c>
      <c r="E24" s="41">
        <f t="shared" si="10"/>
        <v>0.20149011082693949</v>
      </c>
      <c r="F24" s="110">
        <f t="shared" si="11"/>
        <v>0.15903248081841431</v>
      </c>
      <c r="G24" s="44">
        <f>Mortality!E8</f>
        <v>7.4999999999999997E-2</v>
      </c>
      <c r="H24" s="44">
        <f>Disease!E8</f>
        <v>0.05</v>
      </c>
      <c r="I24" s="44">
        <f>Slaughter!E8/24</f>
        <v>0.34166666666666662</v>
      </c>
      <c r="J24" s="207">
        <f>Space!E8/100</f>
        <v>0.22709744245524294</v>
      </c>
      <c r="K24" s="206">
        <f>Mortality!E8/Mortality!$G$2</f>
        <v>0.15</v>
      </c>
      <c r="L24" s="44">
        <f>Disease!E8/Disease!$G$2</f>
        <v>0.1</v>
      </c>
      <c r="M24" s="44">
        <f>Slaughter!E8/Slaughter!$G$2</f>
        <v>0.34166666666666662</v>
      </c>
      <c r="N24" s="207">
        <f>Space!E8/Space!$G$2</f>
        <v>0.22709744245524294</v>
      </c>
      <c r="O24" s="200">
        <f>'Life duration'!E8</f>
        <v>2</v>
      </c>
      <c r="P24" s="234">
        <f>Slaughter!E8/(365*24)</f>
        <v>9.3607305936073046E-4</v>
      </c>
      <c r="Q24" s="101"/>
      <c r="R24" s="51"/>
      <c r="S24" s="51"/>
      <c r="U24" s="111"/>
      <c r="X24" s="41"/>
      <c r="Y24" s="110"/>
      <c r="Z24" s="101"/>
      <c r="AC24" s="111"/>
      <c r="AD24" s="200"/>
      <c r="AE24" s="234"/>
    </row>
    <row r="25" spans="1:31" x14ac:dyDescent="0.3">
      <c r="A25" s="101" t="s">
        <v>62</v>
      </c>
      <c r="B25" s="189">
        <f>'No affected'!E9</f>
        <v>1E-4</v>
      </c>
      <c r="C25" s="41">
        <f>Ability!B9</f>
        <v>0.88410303277141455</v>
      </c>
      <c r="D25" s="41">
        <f t="shared" si="9"/>
        <v>1.4527546140572027</v>
      </c>
      <c r="E25" s="41">
        <f t="shared" si="10"/>
        <v>0.27126818671837161</v>
      </c>
      <c r="F25" s="110">
        <f t="shared" si="11"/>
        <v>0.25851465789842271</v>
      </c>
      <c r="G25" s="44">
        <f>Mortality!E9</f>
        <v>0.06</v>
      </c>
      <c r="H25" s="44">
        <f>Disease!E9</f>
        <v>0.16</v>
      </c>
      <c r="I25" s="44">
        <f>Slaughter!E9/24</f>
        <v>0.34166666666666662</v>
      </c>
      <c r="J25" s="207">
        <f>Space!E9/100</f>
        <v>0.33554397369526806</v>
      </c>
      <c r="K25" s="206">
        <f>Mortality!E9/Mortality!$G$2</f>
        <v>0.12</v>
      </c>
      <c r="L25" s="44">
        <f>Disease!E9/Disease!$G$2</f>
        <v>0.32</v>
      </c>
      <c r="M25" s="44">
        <f>Slaughter!E9/Slaughter!$G$2</f>
        <v>0.34166666666666662</v>
      </c>
      <c r="N25" s="207">
        <f>Space!E9/Space!$G$2</f>
        <v>0.33554397369526806</v>
      </c>
      <c r="O25" s="200">
        <f>'Life duration'!E9</f>
        <v>7.25</v>
      </c>
      <c r="P25" s="234">
        <f>Slaughter!E9/(365*24)</f>
        <v>9.3607305936073046E-4</v>
      </c>
      <c r="Q25" s="101"/>
      <c r="R25" s="51"/>
      <c r="S25" s="51"/>
      <c r="U25" s="111"/>
      <c r="X25" s="41"/>
      <c r="Y25" s="110"/>
      <c r="Z25" s="101"/>
      <c r="AC25" s="111"/>
      <c r="AD25" s="200"/>
      <c r="AE25" s="234"/>
    </row>
    <row r="26" spans="1:31" x14ac:dyDescent="0.3">
      <c r="A26" s="101" t="s">
        <v>63</v>
      </c>
      <c r="B26" s="189">
        <f>'No affected'!E10</f>
        <v>5.0000000000000001E-3</v>
      </c>
      <c r="C26" s="41">
        <f>Ability!B10</f>
        <v>0.87913616180078868</v>
      </c>
      <c r="D26" s="41">
        <f t="shared" si="9"/>
        <v>0.95439999999999992</v>
      </c>
      <c r="E26" s="41">
        <f t="shared" si="10"/>
        <v>0.24388571428571426</v>
      </c>
      <c r="F26" s="110">
        <f t="shared" si="11"/>
        <v>0.1424</v>
      </c>
      <c r="G26" s="44">
        <f>Mortality!E10</f>
        <v>0.03</v>
      </c>
      <c r="H26" s="44">
        <f>Disease!E10</f>
        <v>0.15</v>
      </c>
      <c r="I26" s="44">
        <f>Slaughter!E10/24</f>
        <v>0.45999999999999996</v>
      </c>
      <c r="J26" s="207">
        <f>Space!E10/100</f>
        <v>6.720000000000001E-2</v>
      </c>
      <c r="K26" s="206">
        <f>Mortality!E10/Mortality!$G$2</f>
        <v>0.06</v>
      </c>
      <c r="L26" s="44">
        <f>Disease!E10/Disease!$G$2</f>
        <v>0.3</v>
      </c>
      <c r="M26" s="44">
        <f>Slaughter!E10/Slaughter!$G$2</f>
        <v>0.45999999999999996</v>
      </c>
      <c r="N26" s="207">
        <f>Space!E10/Space!$G$2</f>
        <v>6.720000000000001E-2</v>
      </c>
      <c r="O26" s="200">
        <f>'Life duration'!E10</f>
        <v>2</v>
      </c>
      <c r="P26" s="234">
        <f>Slaughter!E10/(365*24)</f>
        <v>1.2602739726027396E-3</v>
      </c>
      <c r="Q26" s="101"/>
      <c r="R26" s="51"/>
      <c r="S26" s="51"/>
      <c r="U26" s="111"/>
      <c r="X26" s="41"/>
      <c r="Y26" s="110"/>
      <c r="Z26" s="101"/>
      <c r="AC26" s="111"/>
      <c r="AD26" s="200"/>
      <c r="AE26" s="234"/>
    </row>
    <row r="27" spans="1:31" x14ac:dyDescent="0.3">
      <c r="A27" s="101" t="s">
        <v>64</v>
      </c>
      <c r="B27" s="189">
        <f>'No affected'!E11</f>
        <v>6.4000000000000001E-2</v>
      </c>
      <c r="C27" s="41">
        <f>Ability!B11</f>
        <v>0.82044791775586834</v>
      </c>
      <c r="D27" s="41">
        <f t="shared" si="9"/>
        <v>0.71416960802526464</v>
      </c>
      <c r="E27" s="41">
        <f t="shared" si="10"/>
        <v>0.18494068628751892</v>
      </c>
      <c r="F27" s="110">
        <f t="shared" si="11"/>
        <v>0.10819493467087744</v>
      </c>
      <c r="G27" s="44">
        <f>Mortality!E11</f>
        <v>0.08</v>
      </c>
      <c r="H27" s="44">
        <f>Disease!E11</f>
        <v>0.06</v>
      </c>
      <c r="I27" s="44">
        <f>Slaughter!E11/24</f>
        <v>0.34499999999999997</v>
      </c>
      <c r="J27" s="207">
        <f>Space!E11/100</f>
        <v>4.4584804012632345E-2</v>
      </c>
      <c r="K27" s="206">
        <f>Mortality!E11/Mortality!$G$2</f>
        <v>0.16</v>
      </c>
      <c r="L27" s="44">
        <f>Disease!E11/Disease!$G$2</f>
        <v>0.12</v>
      </c>
      <c r="M27" s="44">
        <f>Slaughter!E11/Slaughter!$G$2</f>
        <v>0.34499999999999997</v>
      </c>
      <c r="N27" s="207">
        <f>Space!E11/Space!$G$2</f>
        <v>4.4584804012632345E-2</v>
      </c>
      <c r="O27" s="200">
        <f>'Life duration'!E11</f>
        <v>0.5</v>
      </c>
      <c r="P27" s="234">
        <f>Slaughter!E11/(365*24)</f>
        <v>9.4520547945205473E-4</v>
      </c>
      <c r="Q27" s="190">
        <f>'No affected'!T11</f>
        <v>1.1000000000000001E-3</v>
      </c>
      <c r="R27" s="51">
        <f>Ability!D11</f>
        <v>0.88410303277141455</v>
      </c>
      <c r="S27" s="41">
        <f>2*V27+2*W27+X27+2*Y27</f>
        <v>0.81922645499762514</v>
      </c>
      <c r="T27" s="41">
        <f>(2*Z27+2*AA27+AB27+2*AC27)/7</f>
        <v>0.14846092214251788</v>
      </c>
      <c r="U27" s="110">
        <f>(Z27+AA27+AC27)/3</f>
        <v>0.11570440916627085</v>
      </c>
      <c r="V27">
        <f>Mortality!T11</f>
        <v>0.06</v>
      </c>
      <c r="W27" s="41">
        <f>Disease!T11</f>
        <v>0.05</v>
      </c>
      <c r="X27" s="41">
        <f>Slaughter!T11/24</f>
        <v>0.34499999999999997</v>
      </c>
      <c r="Y27" s="110">
        <f>Space!T11/100</f>
        <v>0.12711322749881257</v>
      </c>
      <c r="Z27" s="101">
        <f>Mortality!T11/Mortality!$G$2</f>
        <v>0.12</v>
      </c>
      <c r="AA27">
        <f>Disease!T11/Disease!$G$2</f>
        <v>0.1</v>
      </c>
      <c r="AB27" s="41">
        <f>Slaughter!T11/Slaughter!$G$2</f>
        <v>0.34499999999999997</v>
      </c>
      <c r="AC27" s="218">
        <f>Space!T11/Space!$G$2</f>
        <v>0.12711322749881257</v>
      </c>
      <c r="AD27" s="200">
        <f>'Life duration'!T11</f>
        <v>0.5181347150259068</v>
      </c>
      <c r="AE27" s="234">
        <f>Slaughter!T11/(365*24)</f>
        <v>9.4520547945205473E-4</v>
      </c>
    </row>
    <row r="28" spans="1:31" x14ac:dyDescent="0.3">
      <c r="A28" s="101" t="s">
        <v>65</v>
      </c>
      <c r="B28" s="189">
        <f>'No affected'!E12</f>
        <v>1.7964627858546044E-2</v>
      </c>
      <c r="C28" s="41">
        <f>Ability!B12</f>
        <v>0.87981165625279378</v>
      </c>
      <c r="D28" s="41">
        <f t="shared" si="9"/>
        <v>2.2992494172494173</v>
      </c>
      <c r="E28" s="41">
        <f t="shared" si="10"/>
        <v>0.38480352980352978</v>
      </c>
      <c r="F28" s="110">
        <f t="shared" si="11"/>
        <v>0.44365268065268065</v>
      </c>
      <c r="G28" s="44">
        <f>Mortality!E12</f>
        <v>0.19800000000000001</v>
      </c>
      <c r="H28" s="44">
        <f>Disease!E12</f>
        <v>0.15</v>
      </c>
      <c r="I28" s="44">
        <f>Slaughter!E12/24</f>
        <v>0.33333333333333331</v>
      </c>
      <c r="J28" s="207">
        <f>Space!E12/100</f>
        <v>0.63495804195804206</v>
      </c>
      <c r="K28" s="206">
        <f>Mortality!E12/Mortality!$G$2</f>
        <v>0.39600000000000002</v>
      </c>
      <c r="L28" s="44">
        <f>Disease!E12/Disease!$G$2</f>
        <v>0.3</v>
      </c>
      <c r="M28" s="44">
        <f>Slaughter!E12/Slaughter!$G$2</f>
        <v>0.33333333333333331</v>
      </c>
      <c r="N28" s="207">
        <f>Space!E12/Space!$G$2</f>
        <v>0.63495804195804206</v>
      </c>
      <c r="O28" s="200">
        <f>'Life duration'!E12</f>
        <v>0.5</v>
      </c>
      <c r="P28" s="234">
        <f>Slaughter!E12/(365*24)</f>
        <v>9.1324200913242006E-4</v>
      </c>
      <c r="Q28" s="190">
        <f>'No affected'!T12</f>
        <v>3.5E-4</v>
      </c>
      <c r="R28" s="51">
        <f>Ability!D12</f>
        <v>0.94805646338919392</v>
      </c>
      <c r="S28" s="41">
        <f>2*V28+2*W28+X28+2*Y28</f>
        <v>1.5394724577344312</v>
      </c>
      <c r="T28" s="41">
        <f>(2*Z28+2*AA28+AB28+2*AC28)/7</f>
        <v>0.27249606539063304</v>
      </c>
      <c r="U28" s="110">
        <f>(Z28+AA28+AC28)/3</f>
        <v>0.26235652073351629</v>
      </c>
      <c r="V28">
        <f>Mortality!T12</f>
        <v>3.4000000000000002E-2</v>
      </c>
      <c r="W28" s="41">
        <f>Disease!T12</f>
        <v>0.15</v>
      </c>
      <c r="X28" s="41">
        <f>Slaughter!T12/24</f>
        <v>0.33333333333333331</v>
      </c>
      <c r="Y28" s="110">
        <f>Space!T12/100</f>
        <v>0.41906956220054892</v>
      </c>
      <c r="Z28" s="101">
        <f>Mortality!T12/Mortality!$G$2</f>
        <v>6.8000000000000005E-2</v>
      </c>
      <c r="AA28">
        <f>Disease!T12/Disease!$G$2</f>
        <v>0.3</v>
      </c>
      <c r="AB28" s="41">
        <f>Slaughter!T12/Slaughter!$G$2</f>
        <v>0.33333333333333331</v>
      </c>
      <c r="AC28" s="218">
        <f>Space!T12/Space!$G$2</f>
        <v>0.41906956220054892</v>
      </c>
      <c r="AD28" s="191">
        <f>'Life duration'!T12</f>
        <v>2.8920308483290472E-2</v>
      </c>
      <c r="AE28" s="234">
        <f>Slaughter!T12/(365*24)</f>
        <v>9.1324200913242006E-4</v>
      </c>
    </row>
    <row r="29" spans="1:31" x14ac:dyDescent="0.3">
      <c r="A29" s="101" t="s">
        <v>66</v>
      </c>
      <c r="B29" s="189">
        <f>'No affected'!E13</f>
        <v>0.75216903015372494</v>
      </c>
      <c r="C29" s="41">
        <f>Ability!B13</f>
        <v>0.54320827892864587</v>
      </c>
      <c r="D29" s="41">
        <f t="shared" si="9"/>
        <v>1.8550217391304353</v>
      </c>
      <c r="E29" s="41">
        <f t="shared" si="10"/>
        <v>0.25218012422360253</v>
      </c>
      <c r="F29" s="110">
        <f t="shared" si="11"/>
        <v>0.33808695652173926</v>
      </c>
      <c r="G29" s="44">
        <f>Mortality!E13</f>
        <v>3.7999999999999999E-2</v>
      </c>
      <c r="H29" s="44">
        <f>Disease!E13</f>
        <v>0.14499999999999999</v>
      </c>
      <c r="I29" s="44">
        <f>Slaughter!E13/24</f>
        <v>0.1925</v>
      </c>
      <c r="J29" s="207">
        <f>Space!E13/100</f>
        <v>0.64826086956521767</v>
      </c>
      <c r="K29" s="206">
        <f>Mortality!E13/Mortality!$G$2</f>
        <v>7.5999999999999998E-2</v>
      </c>
      <c r="L29" s="44">
        <f>Disease!E13/Disease!$G$2</f>
        <v>0.28999999999999998</v>
      </c>
      <c r="M29" s="44">
        <f>Slaughter!E13/Slaughter!$G$2</f>
        <v>0.1925</v>
      </c>
      <c r="N29" s="207">
        <f>Space!E13/Space!$G$2</f>
        <v>0.64826086956521767</v>
      </c>
      <c r="O29" s="200">
        <f>'Life duration'!E13</f>
        <v>9.6153846153846159E-2</v>
      </c>
      <c r="P29" s="234">
        <f>Slaughter!E13/(365*24)</f>
        <v>5.273972602739726E-4</v>
      </c>
      <c r="Q29" s="190">
        <f>'No affected'!T13</f>
        <v>5.4505002185052534E-3</v>
      </c>
      <c r="R29" s="51">
        <f>Ability!D13</f>
        <v>0.54320827892864587</v>
      </c>
      <c r="S29" s="41">
        <f>2*V29+2*W29+X29+2*Y29</f>
        <v>1.9678846153846152</v>
      </c>
      <c r="T29" s="41">
        <f>(2*Z29+2*AA29+AB29+2*AC29)/7</f>
        <v>0.42398351648351645</v>
      </c>
      <c r="U29" s="110">
        <f>(Z29+AA29+AC29)/3</f>
        <v>0.46256410256410252</v>
      </c>
      <c r="V29">
        <f>Mortality!T13</f>
        <v>0.06</v>
      </c>
      <c r="W29" s="41">
        <f>Disease!T13</f>
        <v>0.44</v>
      </c>
      <c r="X29" s="41">
        <f>Slaughter!T13/24</f>
        <v>0.1925</v>
      </c>
      <c r="Y29" s="110">
        <f>Space!T13/100</f>
        <v>0.38769230769230767</v>
      </c>
      <c r="Z29" s="101">
        <f>Mortality!T13/Mortality!$G$2</f>
        <v>0.12</v>
      </c>
      <c r="AA29">
        <f>Disease!T13/Disease!$G$2</f>
        <v>0.88</v>
      </c>
      <c r="AB29" s="41">
        <f>Slaughter!T13/Slaughter!$G$2</f>
        <v>0.1925</v>
      </c>
      <c r="AC29" s="218">
        <f>Space!T13/Space!$G$2</f>
        <v>0.38769230769230767</v>
      </c>
      <c r="AD29" s="191">
        <f>'Life duration'!T13</f>
        <v>6.6666666666666671E-3</v>
      </c>
      <c r="AE29" s="234">
        <f>Slaughter!T13/(365*24)</f>
        <v>5.273972602739726E-4</v>
      </c>
    </row>
    <row r="30" spans="1:31" x14ac:dyDescent="0.3">
      <c r="A30" s="101" t="s">
        <v>67</v>
      </c>
      <c r="B30" s="189">
        <f>'No affected'!E14</f>
        <v>1.05</v>
      </c>
      <c r="C30" s="41">
        <f>Ability!B14</f>
        <v>0.67196797361598137</v>
      </c>
      <c r="D30" s="41">
        <f t="shared" si="9"/>
        <v>1.4556333333333333</v>
      </c>
      <c r="E30" s="41">
        <f t="shared" si="10"/>
        <v>0.27138095238095239</v>
      </c>
      <c r="F30" s="110">
        <f t="shared" si="11"/>
        <v>0.28573333333333334</v>
      </c>
      <c r="G30" s="44">
        <f>Mortality!E14</f>
        <v>0.15</v>
      </c>
      <c r="H30" s="44">
        <f>Disease!E14</f>
        <v>0.11</v>
      </c>
      <c r="I30" s="44">
        <f>Slaughter!E14/24</f>
        <v>0.26123333333333332</v>
      </c>
      <c r="J30" s="207">
        <f>Space!E14/100</f>
        <v>0.3372</v>
      </c>
      <c r="K30" s="206">
        <f>Mortality!E14/Mortality!$G$2</f>
        <v>0.3</v>
      </c>
      <c r="L30" s="44">
        <f>Disease!E14/Disease!$G$2</f>
        <v>0.22</v>
      </c>
      <c r="M30" s="44">
        <f>Slaughter!E14/Slaughter!$G$2</f>
        <v>0.26123333333333332</v>
      </c>
      <c r="N30" s="207">
        <f>Space!E14/Space!$G$2</f>
        <v>0.3372</v>
      </c>
      <c r="O30" s="200">
        <f>'Life duration'!E14</f>
        <v>0.16666666666666666</v>
      </c>
      <c r="P30" s="234">
        <f>Slaughter!E14/(365*24)</f>
        <v>7.1570776255707759E-4</v>
      </c>
      <c r="Q30" s="101"/>
      <c r="R30" s="51"/>
      <c r="S30" s="51"/>
      <c r="U30" s="111"/>
      <c r="X30" s="41"/>
      <c r="Y30" s="110"/>
      <c r="Z30" s="101"/>
      <c r="AC30" s="111"/>
      <c r="AD30" s="191"/>
      <c r="AE30" s="234"/>
    </row>
    <row r="31" spans="1:31" x14ac:dyDescent="0.3">
      <c r="A31" s="104" t="s">
        <v>68</v>
      </c>
      <c r="B31" s="232">
        <f>'No affected'!E15</f>
        <v>7.0000000000000007E-2</v>
      </c>
      <c r="C31" s="193">
        <f>Ability!B15</f>
        <v>0.58534077701729459</v>
      </c>
      <c r="D31" s="193">
        <f t="shared" si="9"/>
        <v>2.4192733333333334</v>
      </c>
      <c r="E31" s="193">
        <f t="shared" si="10"/>
        <v>0.4354838095238095</v>
      </c>
      <c r="F31" s="254">
        <f t="shared" si="11"/>
        <v>0.51557333333333333</v>
      </c>
      <c r="G31" s="255">
        <f>Mortality!E15</f>
        <v>3.5000000000000003E-2</v>
      </c>
      <c r="H31" s="255">
        <f>Disease!E15</f>
        <v>0.44</v>
      </c>
      <c r="I31" s="255">
        <f>Slaughter!E15/24</f>
        <v>0.27583333333333332</v>
      </c>
      <c r="J31" s="256">
        <f>Space!E15/100</f>
        <v>0.59672000000000003</v>
      </c>
      <c r="K31" s="257">
        <f>Mortality!E15/Mortality!$G$2</f>
        <v>7.0000000000000007E-2</v>
      </c>
      <c r="L31" s="255">
        <f>Disease!E15/Disease!$G$2</f>
        <v>0.88</v>
      </c>
      <c r="M31" s="255">
        <f>Slaughter!E15/Slaughter!$G$2</f>
        <v>0.27583333333333332</v>
      </c>
      <c r="N31" s="256">
        <f>Space!E15/Space!$G$2</f>
        <v>0.59672000000000003</v>
      </c>
      <c r="O31" s="244">
        <f>'Life duration'!E15</f>
        <v>1.2</v>
      </c>
      <c r="P31" s="235">
        <f>Slaughter!E15/(365*24)</f>
        <v>7.5570776255707759E-4</v>
      </c>
      <c r="Q31" s="263">
        <f>'No affected'!T15</f>
        <v>7.0000000000000007E-2</v>
      </c>
      <c r="R31" s="261">
        <f>Ability!D15</f>
        <v>0.2556274253781865</v>
      </c>
      <c r="S31" s="193">
        <f>2*V31+2*W31+X31+2*Y31</f>
        <v>6.9444444444444441E-3</v>
      </c>
      <c r="T31" s="193">
        <f>(2*Z31+2*AA31+AB31+2*AC31)/7</f>
        <v>9.9206349206349201E-4</v>
      </c>
      <c r="U31" s="254">
        <f>(Z31+AA31+AC31)/3</f>
        <v>0</v>
      </c>
      <c r="V31" s="194">
        <f>Mortality!T15</f>
        <v>0</v>
      </c>
      <c r="W31" s="193">
        <f>Disease!T15</f>
        <v>0</v>
      </c>
      <c r="X31" s="193">
        <f>Slaughter!T15/24</f>
        <v>6.9444444444444441E-3</v>
      </c>
      <c r="Y31" s="254">
        <f>Space!T15/100</f>
        <v>0</v>
      </c>
      <c r="Z31" s="104">
        <f>Mortality!T15/Mortality!$G$2</f>
        <v>0</v>
      </c>
      <c r="AA31" s="133">
        <f>Disease!T15/Disease!$G$2</f>
        <v>0</v>
      </c>
      <c r="AB31" s="193">
        <f>Slaughter!T15/Slaughter!$G$2</f>
        <v>6.9444444444444441E-3</v>
      </c>
      <c r="AC31" s="114">
        <f>Space!T15/Space!$G$2</f>
        <v>0</v>
      </c>
      <c r="AD31" s="244">
        <f>'Life duration'!T15</f>
        <v>3.1709791983764589E-7</v>
      </c>
      <c r="AE31" s="235">
        <f>Slaughter!T15/(365*24)</f>
        <v>1.902587519025875E-5</v>
      </c>
    </row>
  </sheetData>
  <mergeCells count="4">
    <mergeCell ref="B5:D5"/>
    <mergeCell ref="E5:G5"/>
    <mergeCell ref="H5:J5"/>
    <mergeCell ref="K5: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9C7-D572-4E4C-B175-C6B107F3F032}">
  <sheetPr>
    <tabColor theme="5" tint="0.79998168889431442"/>
  </sheetPr>
  <dimension ref="A2:AE31"/>
  <sheetViews>
    <sheetView topLeftCell="A3"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30" t="s">
        <v>72</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0.36485398972047356</v>
      </c>
      <c r="C7" s="41">
        <f t="shared" ref="C7:C16" si="0">B22*C22*D22*100</f>
        <v>0.3199859054344521</v>
      </c>
      <c r="D7" s="41">
        <f>Q22*R22*S22*100</f>
        <v>4.4868084286021473E-2</v>
      </c>
      <c r="E7" s="41">
        <f t="shared" ref="E7:E16" si="1">F7+G7</f>
        <v>6.553618934848264E-2</v>
      </c>
      <c r="F7" s="19">
        <f t="shared" ref="F7:F16" si="2">B22*C22*E22*100</f>
        <v>5.7711898169473877E-2</v>
      </c>
      <c r="G7" s="19">
        <f>Q22*R22*T22*100</f>
        <v>7.8242911790087598E-3</v>
      </c>
      <c r="H7" s="226">
        <f>I7+J7</f>
        <v>1.1056637405270982E-3</v>
      </c>
      <c r="I7" s="226">
        <f t="shared" ref="I7:I16" si="3">B22*((O22-P22)*F22+P22)</f>
        <v>1.0252959841243426E-3</v>
      </c>
      <c r="J7" s="226">
        <f>Q22*((AD22-AE22)*U22+AE22)</f>
        <v>8.0367756402755519E-5</v>
      </c>
      <c r="K7" s="226">
        <f>L7+M7</f>
        <v>9.7752066622539381E-4</v>
      </c>
      <c r="L7" s="226">
        <f t="shared" ref="L7:L16" si="4">C22*B22*((O22-P22)*F22+P22)</f>
        <v>9.0646728905268337E-4</v>
      </c>
      <c r="M7" s="234">
        <f>R22*Q22*((AD22-AE22)*U22+AE22)</f>
        <v>7.1053377172710421E-5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4" si="7">L8+M8</f>
        <v>9.2479057180138065E-4</v>
      </c>
      <c r="L8" s="226">
        <f t="shared" si="4"/>
        <v>9.2479057180138065E-4</v>
      </c>
      <c r="M8" s="111"/>
    </row>
    <row r="9" spans="1:13" x14ac:dyDescent="0.3">
      <c r="A9" s="101" t="s">
        <v>37</v>
      </c>
      <c r="B9" s="191">
        <f t="shared" si="5"/>
        <v>0.48629812213067392</v>
      </c>
      <c r="C9" s="41">
        <f t="shared" si="0"/>
        <v>0.48629812213067392</v>
      </c>
      <c r="D9" s="41"/>
      <c r="E9" s="41">
        <f t="shared" si="1"/>
        <v>9.0781397408236E-2</v>
      </c>
      <c r="F9" s="19">
        <f t="shared" si="2"/>
        <v>9.0781397408236E-2</v>
      </c>
      <c r="G9" s="19"/>
      <c r="H9" s="226">
        <f t="shared" si="6"/>
        <v>1.6846055807125306E-3</v>
      </c>
      <c r="I9" s="226">
        <f t="shared" si="3"/>
        <v>1.6846055807125306E-3</v>
      </c>
      <c r="J9" s="226"/>
      <c r="K9" s="226">
        <f t="shared" si="7"/>
        <v>1.4893649029315984E-3</v>
      </c>
      <c r="L9" s="226">
        <f t="shared" si="4"/>
        <v>1.4893649029315984E-3</v>
      </c>
      <c r="M9" s="111"/>
    </row>
    <row r="10" spans="1:13" x14ac:dyDescent="0.3">
      <c r="A10" s="101" t="s">
        <v>38</v>
      </c>
      <c r="B10" s="191">
        <f t="shared" si="5"/>
        <v>1.3130923271980016E-2</v>
      </c>
      <c r="C10" s="102">
        <f t="shared" si="0"/>
        <v>1.3130923271980016E-2</v>
      </c>
      <c r="D10" s="41"/>
      <c r="E10" s="41">
        <f t="shared" si="1"/>
        <v>2.4187956707478341E-3</v>
      </c>
      <c r="F10" s="19">
        <f t="shared" si="2"/>
        <v>2.4187956707478341E-3</v>
      </c>
      <c r="G10" s="19"/>
      <c r="H10" s="226">
        <f t="shared" si="6"/>
        <v>1.9141558852227734E-4</v>
      </c>
      <c r="I10" s="226">
        <f t="shared" si="3"/>
        <v>1.9141558852227734E-4</v>
      </c>
      <c r="J10" s="226"/>
      <c r="K10" s="226">
        <f t="shared" si="7"/>
        <v>1.6923110233227053E-4</v>
      </c>
      <c r="L10" s="226">
        <f t="shared" si="4"/>
        <v>1.6923110233227053E-4</v>
      </c>
      <c r="M10" s="111"/>
    </row>
    <row r="11" spans="1:13" x14ac:dyDescent="0.3">
      <c r="A11" s="101" t="s">
        <v>39</v>
      </c>
      <c r="B11" s="191">
        <f t="shared" si="5"/>
        <v>0.44273297108287724</v>
      </c>
      <c r="C11" s="41">
        <f t="shared" si="0"/>
        <v>0.44273297108287724</v>
      </c>
      <c r="D11" s="41"/>
      <c r="E11" s="41">
        <f t="shared" si="1"/>
        <v>0.10886217500698908</v>
      </c>
      <c r="F11" s="19">
        <f t="shared" si="2"/>
        <v>0.10886217500698908</v>
      </c>
      <c r="G11" s="19"/>
      <c r="H11" s="226">
        <f t="shared" si="6"/>
        <v>1.5173486027397261E-3</v>
      </c>
      <c r="I11" s="226">
        <f t="shared" si="3"/>
        <v>1.5173486027397261E-3</v>
      </c>
      <c r="J11" s="226"/>
      <c r="K11" s="226">
        <f t="shared" si="7"/>
        <v>1.3339560267263927E-3</v>
      </c>
      <c r="L11" s="226">
        <f t="shared" si="4"/>
        <v>1.3339560267263927E-3</v>
      </c>
      <c r="M11" s="111"/>
    </row>
    <row r="12" spans="1:13" x14ac:dyDescent="0.3">
      <c r="A12" s="101" t="s">
        <v>40</v>
      </c>
      <c r="B12" s="191">
        <f t="shared" si="5"/>
        <v>5.9505123897046435</v>
      </c>
      <c r="C12" s="85">
        <f t="shared" si="0"/>
        <v>5.8569891479700003</v>
      </c>
      <c r="D12" s="41">
        <f>Q27*R27*S27*100</f>
        <v>9.3523241734643048E-2</v>
      </c>
      <c r="E12" s="41">
        <f t="shared" si="1"/>
        <v>1.1380143736639889</v>
      </c>
      <c r="F12" s="41">
        <f t="shared" si="2"/>
        <v>1.1215974400743158</v>
      </c>
      <c r="G12" s="19">
        <f>Q27*R27*T27*100</f>
        <v>1.6416933589673038E-2</v>
      </c>
      <c r="H12" s="226">
        <f t="shared" si="6"/>
        <v>5.7325817166361415E-3</v>
      </c>
      <c r="I12" s="226">
        <f t="shared" si="3"/>
        <v>5.6522109873718817E-3</v>
      </c>
      <c r="J12" s="226">
        <f t="shared" ref="J12:J16" si="8">Q27*((AD27-AE27)*U27+AE27)</f>
        <v>8.0370729264259567E-5</v>
      </c>
      <c r="K12" s="226">
        <f t="shared" si="7"/>
        <v>4.7084007407946831E-3</v>
      </c>
      <c r="L12" s="226">
        <f t="shared" si="4"/>
        <v>4.6373447353061006E-3</v>
      </c>
      <c r="M12" s="234">
        <f>R27*Q27*((AD27-AE27)*U27+AE27)</f>
        <v>7.1056005488582169E-5</v>
      </c>
    </row>
    <row r="13" spans="1:13" x14ac:dyDescent="0.3">
      <c r="A13" s="101" t="s">
        <v>41</v>
      </c>
      <c r="B13" s="191">
        <f t="shared" si="5"/>
        <v>3.5752122260616277</v>
      </c>
      <c r="C13" s="85">
        <f t="shared" si="0"/>
        <v>3.52704850120739</v>
      </c>
      <c r="D13" s="41">
        <f>Q28*R28*S28*100</f>
        <v>4.8163724854237581E-2</v>
      </c>
      <c r="E13" s="41">
        <f t="shared" si="1"/>
        <v>0.58531935832628279</v>
      </c>
      <c r="F13" s="41">
        <f t="shared" si="2"/>
        <v>0.57679408367690621</v>
      </c>
      <c r="G13" s="19">
        <f>Q28*R28*T28*100</f>
        <v>8.525274649376564E-3</v>
      </c>
      <c r="H13" s="226">
        <f t="shared" si="6"/>
        <v>3.788953031457906E-3</v>
      </c>
      <c r="I13" s="226">
        <f t="shared" si="3"/>
        <v>3.7862428643849265E-3</v>
      </c>
      <c r="J13" s="226">
        <f t="shared" si="8"/>
        <v>2.7101670729793843E-6</v>
      </c>
      <c r="K13" s="226">
        <f t="shared" si="7"/>
        <v>3.3337499969002269E-3</v>
      </c>
      <c r="L13" s="226">
        <f t="shared" si="4"/>
        <v>3.3311806054898241E-3</v>
      </c>
      <c r="M13" s="234">
        <f>R28*Q28*((AD28-AE28)*U28+AE28)</f>
        <v>2.5693914104026785E-6</v>
      </c>
    </row>
    <row r="14" spans="1:13" x14ac:dyDescent="0.3">
      <c r="A14" s="101" t="s">
        <v>42</v>
      </c>
      <c r="B14" s="191">
        <f>C14+D14</f>
        <v>76.364102407618148</v>
      </c>
      <c r="C14" s="85">
        <f t="shared" si="0"/>
        <v>75.793302650867773</v>
      </c>
      <c r="D14" s="41">
        <f>Q29*R29*S29*100</f>
        <v>0.57079975675037176</v>
      </c>
      <c r="E14" s="41">
        <f t="shared" si="1"/>
        <v>10.425835080446911</v>
      </c>
      <c r="F14" s="85">
        <f t="shared" si="2"/>
        <v>10.303687592778648</v>
      </c>
      <c r="G14" s="41">
        <f>Q29*R29*T29*100</f>
        <v>0.12214748766826264</v>
      </c>
      <c r="H14" s="226">
        <f>I14+J14</f>
        <v>2.4732264831112408E-2</v>
      </c>
      <c r="I14" s="226">
        <f t="shared" si="3"/>
        <v>2.4714358052140239E-2</v>
      </c>
      <c r="J14" s="226">
        <f t="shared" si="8"/>
        <v>1.7906778972168132E-5</v>
      </c>
      <c r="K14" s="226">
        <f t="shared" si="7"/>
        <v>1.3434771012916048E-2</v>
      </c>
      <c r="L14" s="226">
        <f t="shared" si="4"/>
        <v>1.3425043902329421E-2</v>
      </c>
      <c r="M14" s="234">
        <f>R29*Q29*((AD29-AE29)*U29+AE29)</f>
        <v>9.7271105866271174E-6</v>
      </c>
    </row>
    <row r="15" spans="1:13" x14ac:dyDescent="0.3">
      <c r="A15" s="101" t="s">
        <v>43</v>
      </c>
      <c r="B15" s="191">
        <f t="shared" si="5"/>
        <v>102.70459303942701</v>
      </c>
      <c r="C15" s="85">
        <f t="shared" si="0"/>
        <v>102.70459303942701</v>
      </c>
      <c r="D15" s="41"/>
      <c r="E15" s="41">
        <f t="shared" si="1"/>
        <v>19.147727408187389</v>
      </c>
      <c r="F15" s="85">
        <f t="shared" si="2"/>
        <v>19.147727408187389</v>
      </c>
      <c r="H15" s="226">
        <f t="shared" si="6"/>
        <v>5.0540099841095892E-2</v>
      </c>
      <c r="I15" s="226">
        <f t="shared" si="3"/>
        <v>5.0540099841095892E-2</v>
      </c>
      <c r="J15" s="226"/>
      <c r="K15" s="226">
        <f>L15+M15</f>
        <v>3.3961328476570588E-2</v>
      </c>
      <c r="L15" s="226">
        <f t="shared" si="4"/>
        <v>3.3961328476570588E-2</v>
      </c>
      <c r="M15" s="111"/>
    </row>
    <row r="16" spans="1:13" x14ac:dyDescent="0.3">
      <c r="A16" s="104" t="s">
        <v>44</v>
      </c>
      <c r="B16" s="233">
        <f t="shared" si="5"/>
        <v>10.4238554180818</v>
      </c>
      <c r="C16" s="253">
        <f t="shared" si="0"/>
        <v>10.411429084903693</v>
      </c>
      <c r="D16" s="193">
        <f>Q31*R31*S31*100</f>
        <v>1.2426333178106288E-2</v>
      </c>
      <c r="E16" s="193">
        <f t="shared" si="1"/>
        <v>1.7778434919828179</v>
      </c>
      <c r="F16" s="193">
        <f t="shared" si="2"/>
        <v>1.7760683015288028</v>
      </c>
      <c r="G16" s="113">
        <f>Q31*R31*T31*100</f>
        <v>1.7751904540151842E-3</v>
      </c>
      <c r="H16" s="227">
        <f t="shared" si="6"/>
        <v>4.4338565434855412E-2</v>
      </c>
      <c r="I16" s="227">
        <f t="shared" si="3"/>
        <v>4.4337233623592091E-2</v>
      </c>
      <c r="J16" s="227">
        <f t="shared" si="8"/>
        <v>1.3318112633181127E-6</v>
      </c>
      <c r="K16" s="227">
        <f>L16+M16</f>
        <v>2.5952731227515045E-2</v>
      </c>
      <c r="L16" s="227">
        <f t="shared" si="4"/>
        <v>2.5952390780030712E-2</v>
      </c>
      <c r="M16" s="235">
        <f>R31*Q31*((AD31-AE31)*U31+AE31)</f>
        <v>3.4044748433167914E-7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affected'!F6</f>
        <v>3.5000000000000001E-3</v>
      </c>
      <c r="C22" s="41">
        <f>Ability!B6</f>
        <v>0.88410303277141455</v>
      </c>
      <c r="D22" s="41">
        <f>2*G22+2*H22+I22+2*J22</f>
        <v>1.0340937766410911</v>
      </c>
      <c r="E22" s="41">
        <f t="shared" ref="E22:E31" si="9">(2*K22+2*L22+N22+2*M22)/7</f>
        <v>0.18650669833150652</v>
      </c>
      <c r="F22" s="110">
        <f>(K22+L22+N22)/3</f>
        <v>0.14607118499573743</v>
      </c>
      <c r="G22" s="44">
        <f>Mortality!F6</f>
        <v>4.2000000000000003E-2</v>
      </c>
      <c r="H22" s="44">
        <f>Disease!F6</f>
        <v>0.05</v>
      </c>
      <c r="I22" s="44">
        <f>Slaughter!F6/24</f>
        <v>0.34166666666666662</v>
      </c>
      <c r="J22" s="207">
        <f>Space!F6/100</f>
        <v>0.25421355498721226</v>
      </c>
      <c r="K22" s="206">
        <f>Mortality!F6/Mortality!$G$2</f>
        <v>8.4000000000000005E-2</v>
      </c>
      <c r="L22" s="44">
        <f>Disease!F6/Disease!$G$2</f>
        <v>0.1</v>
      </c>
      <c r="M22" s="44">
        <f>Slaughter!F6/Slaughter!$G$2</f>
        <v>0.34166666666666662</v>
      </c>
      <c r="N22" s="207">
        <f>Space!F6/Space!$G$2</f>
        <v>0.25421355498721226</v>
      </c>
      <c r="O22" s="200">
        <f>'Life duration'!F6</f>
        <v>2</v>
      </c>
      <c r="P22" s="234">
        <f>Slaughter!F6/(365*24)</f>
        <v>9.3607305936073046E-4</v>
      </c>
      <c r="Q22" s="247">
        <f>'No affected'!U6</f>
        <v>8.0000000000000004E-4</v>
      </c>
      <c r="R22" s="51">
        <f>Ability!D6</f>
        <v>0.88410303277141455</v>
      </c>
      <c r="S22" s="41">
        <f>2*V22+2*W22+X22+2*Y22</f>
        <v>0.63437295517147807</v>
      </c>
      <c r="T22" s="41">
        <f>(2*Z22+2*AA22+AB22+2*AC22)/7</f>
        <v>0.11062470788163972</v>
      </c>
      <c r="U22" s="110">
        <f>(Z22+AA22+AC22)/3</f>
        <v>7.211771475080192E-2</v>
      </c>
      <c r="V22">
        <f>Mortality!U6</f>
        <v>0.03</v>
      </c>
      <c r="W22" s="41">
        <f>Disease!U6</f>
        <v>0.04</v>
      </c>
      <c r="X22" s="41">
        <f>Slaughter!U6/24</f>
        <v>0.34166666666666662</v>
      </c>
      <c r="Y22" s="110">
        <f>Space!U6/100</f>
        <v>7.6353144252405733E-2</v>
      </c>
      <c r="Z22" s="101">
        <f>Mortality!U6/Mortality!$G$2</f>
        <v>0.06</v>
      </c>
      <c r="AA22">
        <f>Disease!U6/Disease!$G$2</f>
        <v>0.08</v>
      </c>
      <c r="AB22" s="41">
        <f>Slaughter!U6/Slaughter!$G$2</f>
        <v>0.34166666666666662</v>
      </c>
      <c r="AC22" s="218">
        <f>Space!U6/Space!$G$2</f>
        <v>7.6353144252405733E-2</v>
      </c>
      <c r="AD22" s="200">
        <f>'Life duration'!U6</f>
        <v>1.3809523809523809</v>
      </c>
      <c r="AE22" s="234">
        <f>Slaughter!U6/(365*24)</f>
        <v>9.3607305936073046E-4</v>
      </c>
    </row>
    <row r="23" spans="1:31" x14ac:dyDescent="0.3">
      <c r="A23" s="101" t="s">
        <v>60</v>
      </c>
      <c r="B23" s="189">
        <f>'No affected'!F7</f>
        <v>8.9999999999999993E-3</v>
      </c>
      <c r="C23" s="41">
        <f>Ability!B7</f>
        <v>0.82044791775586834</v>
      </c>
      <c r="D23" s="41">
        <f t="shared" ref="D23:D31" si="10">2*G23+2*H23+I23+2*J23</f>
        <v>1.0073565062388592</v>
      </c>
      <c r="E23" s="41">
        <f t="shared" si="9"/>
        <v>0.21588260758848993</v>
      </c>
      <c r="F23" s="110">
        <f t="shared" ref="F23:F30" si="11">(K23+L23+N23)/3</f>
        <v>0.16594830659536541</v>
      </c>
      <c r="G23" s="44">
        <f>Mortality!F7</f>
        <v>6.5000000000000002E-2</v>
      </c>
      <c r="H23" s="44">
        <f>Disease!F7</f>
        <v>0.1</v>
      </c>
      <c r="I23" s="44">
        <f>Slaughter!F7/24</f>
        <v>0.34166666666666662</v>
      </c>
      <c r="J23" s="207">
        <f>Space!F7/100</f>
        <v>0.16784491978609625</v>
      </c>
      <c r="K23" s="206">
        <f>Mortality!F7/Mortality!$G$2</f>
        <v>0.13</v>
      </c>
      <c r="L23" s="44">
        <f>Disease!F7/Disease!$G$2</f>
        <v>0.2</v>
      </c>
      <c r="M23" s="44">
        <f>Slaughter!F7/Slaughter!$G$2</f>
        <v>0.34166666666666662</v>
      </c>
      <c r="N23" s="207">
        <f>Space!F7/Space!$G$2</f>
        <v>0.16784491978609625</v>
      </c>
      <c r="O23" s="200">
        <f>'Life duration'!F7</f>
        <v>0.75</v>
      </c>
      <c r="P23" s="234">
        <f>Slaughter!F7/(365*24)</f>
        <v>9.3607305936073046E-4</v>
      </c>
      <c r="Q23" s="101"/>
      <c r="R23" s="51"/>
      <c r="S23" s="51"/>
      <c r="U23" s="111"/>
      <c r="X23" s="41"/>
      <c r="Y23" s="110"/>
      <c r="Z23" s="101"/>
      <c r="AC23" s="111"/>
      <c r="AD23" s="200"/>
      <c r="AE23" s="234"/>
    </row>
    <row r="24" spans="1:31" x14ac:dyDescent="0.3">
      <c r="A24" s="101" t="s">
        <v>61</v>
      </c>
      <c r="B24" s="189">
        <f>'No affected'!F8</f>
        <v>5.0000000000000001E-3</v>
      </c>
      <c r="C24" s="41">
        <f>Ability!B8</f>
        <v>0.88410303277141455</v>
      </c>
      <c r="D24" s="41">
        <f t="shared" si="10"/>
        <v>1.1000937766410912</v>
      </c>
      <c r="E24" s="41">
        <f t="shared" si="9"/>
        <v>0.20536384118864934</v>
      </c>
      <c r="F24" s="110">
        <f t="shared" si="11"/>
        <v>0.16807118499573739</v>
      </c>
      <c r="G24" s="44">
        <f>Mortality!F8</f>
        <v>7.4999999999999997E-2</v>
      </c>
      <c r="H24" s="44">
        <f>Disease!F8</f>
        <v>0.05</v>
      </c>
      <c r="I24" s="44">
        <f>Slaughter!F8/24</f>
        <v>0.34166666666666662</v>
      </c>
      <c r="J24" s="207">
        <f>Space!F8/100</f>
        <v>0.25421355498721226</v>
      </c>
      <c r="K24" s="206">
        <f>Mortality!F8/Mortality!$G$2</f>
        <v>0.15</v>
      </c>
      <c r="L24" s="44">
        <f>Disease!F8/Disease!$G$2</f>
        <v>0.1</v>
      </c>
      <c r="M24" s="44">
        <f>Slaughter!F8/Slaughter!$G$2</f>
        <v>0.34166666666666662</v>
      </c>
      <c r="N24" s="207">
        <f>Space!F8/Space!$G$2</f>
        <v>0.25421355498721226</v>
      </c>
      <c r="O24" s="200">
        <f>'Life duration'!F8</f>
        <v>2</v>
      </c>
      <c r="P24" s="234">
        <f>Slaughter!F8/(365*24)</f>
        <v>9.3607305936073046E-4</v>
      </c>
      <c r="Q24" s="101"/>
      <c r="R24" s="51"/>
      <c r="S24" s="51"/>
      <c r="U24" s="111"/>
      <c r="X24" s="41"/>
      <c r="Y24" s="110"/>
      <c r="Z24" s="101"/>
      <c r="AC24" s="111"/>
      <c r="AD24" s="200"/>
      <c r="AE24" s="234"/>
    </row>
    <row r="25" spans="1:31" x14ac:dyDescent="0.3">
      <c r="A25" s="101" t="s">
        <v>62</v>
      </c>
      <c r="B25" s="189">
        <f>'No affected'!F9</f>
        <v>1E-4</v>
      </c>
      <c r="C25" s="41">
        <f>Ability!B9</f>
        <v>0.88410303277141455</v>
      </c>
      <c r="D25" s="41">
        <f t="shared" si="10"/>
        <v>1.4852254528319242</v>
      </c>
      <c r="E25" s="41">
        <f t="shared" si="9"/>
        <v>0.27358753234513739</v>
      </c>
      <c r="F25" s="110">
        <f t="shared" si="11"/>
        <v>0.26392646436087625</v>
      </c>
      <c r="G25" s="44">
        <f>Mortality!F9</f>
        <v>0.06</v>
      </c>
      <c r="H25" s="44">
        <f>Disease!F9</f>
        <v>0.16</v>
      </c>
      <c r="I25" s="44">
        <f>Slaughter!F9/24</f>
        <v>0.34166666666666662</v>
      </c>
      <c r="J25" s="207">
        <f>Space!F9/100</f>
        <v>0.35177939308262873</v>
      </c>
      <c r="K25" s="206">
        <f>Mortality!F9/Mortality!$G$2</f>
        <v>0.12</v>
      </c>
      <c r="L25" s="44">
        <f>Disease!F9/Disease!$G$2</f>
        <v>0.32</v>
      </c>
      <c r="M25" s="44">
        <f>Slaughter!F9/Slaughter!$G$2</f>
        <v>0.34166666666666662</v>
      </c>
      <c r="N25" s="207">
        <f>Space!F9/Space!$G$2</f>
        <v>0.35177939308262873</v>
      </c>
      <c r="O25" s="200">
        <f>'Life duration'!F9</f>
        <v>7.25</v>
      </c>
      <c r="P25" s="234">
        <f>Slaughter!F9/(365*24)</f>
        <v>9.3607305936073046E-4</v>
      </c>
      <c r="Q25" s="101"/>
      <c r="R25" s="51"/>
      <c r="S25" s="51"/>
      <c r="U25" s="111"/>
      <c r="X25" s="41"/>
      <c r="Y25" s="110"/>
      <c r="Z25" s="101"/>
      <c r="AC25" s="111"/>
      <c r="AD25" s="200"/>
      <c r="AE25" s="234"/>
    </row>
    <row r="26" spans="1:31" x14ac:dyDescent="0.3">
      <c r="A26" s="101" t="s">
        <v>63</v>
      </c>
      <c r="B26" s="189">
        <f>'No affected'!F10</f>
        <v>5.0000000000000001E-3</v>
      </c>
      <c r="C26" s="41">
        <f>Ability!B10</f>
        <v>0.87913616180078868</v>
      </c>
      <c r="D26" s="41">
        <f t="shared" si="10"/>
        <v>1.0072000000000001</v>
      </c>
      <c r="E26" s="41">
        <f t="shared" si="9"/>
        <v>0.24765714285714285</v>
      </c>
      <c r="F26" s="110">
        <f t="shared" si="11"/>
        <v>0.1512</v>
      </c>
      <c r="G26" s="44">
        <f>Mortality!F10</f>
        <v>0.03</v>
      </c>
      <c r="H26" s="44">
        <f>Disease!F10</f>
        <v>0.15</v>
      </c>
      <c r="I26" s="44">
        <f>Slaughter!F10/24</f>
        <v>0.45999999999999996</v>
      </c>
      <c r="J26" s="207">
        <f>Space!F10/100</f>
        <v>9.3600000000000017E-2</v>
      </c>
      <c r="K26" s="206">
        <f>Mortality!F10/Mortality!$G$2</f>
        <v>0.06</v>
      </c>
      <c r="L26" s="44">
        <f>Disease!F10/Disease!$G$2</f>
        <v>0.3</v>
      </c>
      <c r="M26" s="44">
        <f>Slaughter!F10/Slaughter!$G$2</f>
        <v>0.45999999999999996</v>
      </c>
      <c r="N26" s="207">
        <f>Space!F10/Space!$G$2</f>
        <v>9.3600000000000017E-2</v>
      </c>
      <c r="O26" s="200">
        <f>'Life duration'!F10</f>
        <v>2</v>
      </c>
      <c r="P26" s="234">
        <f>Slaughter!F10/(365*24)</f>
        <v>1.2602739726027396E-3</v>
      </c>
      <c r="Q26" s="101"/>
      <c r="R26" s="51"/>
      <c r="S26" s="51"/>
      <c r="U26" s="111"/>
      <c r="X26" s="41"/>
      <c r="Y26" s="110"/>
      <c r="Z26" s="101"/>
      <c r="AC26" s="111"/>
      <c r="AD26" s="200"/>
      <c r="AE26" s="234"/>
    </row>
    <row r="27" spans="1:31" x14ac:dyDescent="0.3">
      <c r="A27" s="101" t="s">
        <v>64</v>
      </c>
      <c r="B27" s="189">
        <f>'No affected'!F11</f>
        <v>6.4000000000000001E-2</v>
      </c>
      <c r="C27" s="41">
        <f>Ability!B11</f>
        <v>0.82044791775586834</v>
      </c>
      <c r="D27" s="41">
        <f t="shared" si="10"/>
        <v>1.115432844138956</v>
      </c>
      <c r="E27" s="41">
        <f t="shared" si="9"/>
        <v>0.21360234600992545</v>
      </c>
      <c r="F27" s="110">
        <f t="shared" si="11"/>
        <v>0.17507214068982602</v>
      </c>
      <c r="G27" s="44">
        <f>Mortality!F11</f>
        <v>0.08</v>
      </c>
      <c r="H27" s="44">
        <f>Disease!F11</f>
        <v>0.06</v>
      </c>
      <c r="I27" s="44">
        <f>Slaughter!F11/24</f>
        <v>0.34499999999999997</v>
      </c>
      <c r="J27" s="207">
        <f>Space!F11/100</f>
        <v>0.245216422069478</v>
      </c>
      <c r="K27" s="206">
        <f>Mortality!F11/Mortality!$G$2</f>
        <v>0.16</v>
      </c>
      <c r="L27" s="44">
        <f>Disease!F11/Disease!$G$2</f>
        <v>0.12</v>
      </c>
      <c r="M27" s="44">
        <f>Slaughter!F11/Slaughter!$G$2</f>
        <v>0.34499999999999997</v>
      </c>
      <c r="N27" s="207">
        <f>Space!F11/Space!$G$2</f>
        <v>0.245216422069478</v>
      </c>
      <c r="O27" s="200">
        <f>'Life duration'!F11</f>
        <v>0.5</v>
      </c>
      <c r="P27" s="234">
        <f>Slaughter!F11/(365*24)</f>
        <v>9.4520547945205473E-4</v>
      </c>
      <c r="Q27" s="190">
        <f>'No affected'!U11</f>
        <v>1.1000000000000001E-3</v>
      </c>
      <c r="R27" s="51">
        <f>Ability!D11</f>
        <v>0.88410303277141455</v>
      </c>
      <c r="S27" s="41">
        <f>2*V27+2*W27+X27+2*Y27</f>
        <v>0.96166539077643631</v>
      </c>
      <c r="T27" s="41">
        <f>(2*Z27+2*AA27+AB27+2*AC27)/7</f>
        <v>0.1688093415394909</v>
      </c>
      <c r="U27" s="110">
        <f>(Z27+AA27+AC27)/3</f>
        <v>0.13944423179607274</v>
      </c>
      <c r="V27">
        <f>Mortality!U11</f>
        <v>0.06</v>
      </c>
      <c r="W27" s="41">
        <f>Disease!U11</f>
        <v>0.05</v>
      </c>
      <c r="X27" s="41">
        <f>Slaughter!U11/24</f>
        <v>0.34499999999999997</v>
      </c>
      <c r="Y27" s="110">
        <f>Space!U11/100</f>
        <v>0.19833269538821821</v>
      </c>
      <c r="Z27" s="101">
        <f>Mortality!U11/Mortality!$G$2</f>
        <v>0.12</v>
      </c>
      <c r="AA27">
        <f>Disease!U11/Disease!$G$2</f>
        <v>0.1</v>
      </c>
      <c r="AB27" s="41">
        <f>Slaughter!U11/Slaughter!$G$2</f>
        <v>0.34499999999999997</v>
      </c>
      <c r="AC27" s="218">
        <f>Space!U11/Space!$G$2</f>
        <v>0.19833269538821821</v>
      </c>
      <c r="AD27" s="200">
        <f>'Life duration'!U11</f>
        <v>0.5181347150259068</v>
      </c>
      <c r="AE27" s="234">
        <f>Slaughter!U11/(365*24)</f>
        <v>9.4520547945205473E-4</v>
      </c>
    </row>
    <row r="28" spans="1:31" x14ac:dyDescent="0.3">
      <c r="A28" s="101" t="s">
        <v>65</v>
      </c>
      <c r="B28" s="189">
        <f>'No affected'!F12</f>
        <v>1.7999186060066438E-2</v>
      </c>
      <c r="C28" s="41">
        <f>Ability!B12</f>
        <v>0.87981165625279378</v>
      </c>
      <c r="D28" s="41">
        <f t="shared" si="10"/>
        <v>2.2272494172494177</v>
      </c>
      <c r="E28" s="41">
        <f t="shared" si="9"/>
        <v>0.36423210123210126</v>
      </c>
      <c r="F28" s="110">
        <f t="shared" si="11"/>
        <v>0.41965268065268074</v>
      </c>
      <c r="G28" s="44">
        <f>Mortality!F12</f>
        <v>0.16200000000000001</v>
      </c>
      <c r="H28" s="44">
        <f>Disease!F12</f>
        <v>0.15</v>
      </c>
      <c r="I28" s="44">
        <f>Slaughter!F12/24</f>
        <v>0.33333333333333331</v>
      </c>
      <c r="J28" s="207">
        <f>Space!F12/100</f>
        <v>0.63495804195804206</v>
      </c>
      <c r="K28" s="206">
        <f>Mortality!F12/Mortality!$G$2</f>
        <v>0.32400000000000001</v>
      </c>
      <c r="L28" s="44">
        <f>Disease!F12/Disease!$G$2</f>
        <v>0.3</v>
      </c>
      <c r="M28" s="44">
        <f>Slaughter!F12/Slaughter!$G$2</f>
        <v>0.33333333333333331</v>
      </c>
      <c r="N28" s="207">
        <f>Space!F12/Space!$G$2</f>
        <v>0.63495804195804206</v>
      </c>
      <c r="O28" s="200">
        <f>'Life duration'!F12</f>
        <v>0.5</v>
      </c>
      <c r="P28" s="234">
        <f>Slaughter!F12/(365*24)</f>
        <v>9.1324200913242006E-4</v>
      </c>
      <c r="Q28" s="190">
        <f>'No affected'!U12</f>
        <v>3.3E-4</v>
      </c>
      <c r="R28" s="51">
        <f>Ability!D12</f>
        <v>0.94805646338919392</v>
      </c>
      <c r="S28" s="41">
        <f>2*V28+2*W28+X28+2*Y28</f>
        <v>1.5394724577344312</v>
      </c>
      <c r="T28" s="41">
        <f>(2*Z28+2*AA28+AB28+2*AC28)/7</f>
        <v>0.27249606539063304</v>
      </c>
      <c r="U28" s="110">
        <f>(Z28+AA28+AC28)/3</f>
        <v>0.26235652073351629</v>
      </c>
      <c r="V28">
        <f>Mortality!U12</f>
        <v>3.4000000000000002E-2</v>
      </c>
      <c r="W28" s="41">
        <f>Disease!U12</f>
        <v>0.15</v>
      </c>
      <c r="X28" s="41">
        <f>Slaughter!U12/24</f>
        <v>0.33333333333333331</v>
      </c>
      <c r="Y28" s="110">
        <f>Space!U12/100</f>
        <v>0.41906956220054892</v>
      </c>
      <c r="Z28" s="101">
        <f>Mortality!U12/Mortality!$G$2</f>
        <v>6.8000000000000005E-2</v>
      </c>
      <c r="AA28">
        <f>Disease!U12/Disease!$G$2</f>
        <v>0.3</v>
      </c>
      <c r="AB28" s="41">
        <f>Slaughter!U12/Slaughter!$G$2</f>
        <v>0.33333333333333331</v>
      </c>
      <c r="AC28" s="218">
        <f>Space!U12/Space!$G$2</f>
        <v>0.41906956220054892</v>
      </c>
      <c r="AD28" s="191">
        <f>'Life duration'!U12</f>
        <v>2.8735632183908049E-2</v>
      </c>
      <c r="AE28" s="234">
        <f>Slaughter!U12/(365*24)</f>
        <v>9.1324200913242006E-4</v>
      </c>
    </row>
    <row r="29" spans="1:31" x14ac:dyDescent="0.3">
      <c r="A29" s="101" t="s">
        <v>66</v>
      </c>
      <c r="B29" s="189">
        <f>'No affected'!F13</f>
        <v>0.75216903015372494</v>
      </c>
      <c r="C29" s="41">
        <f>Ability!B13</f>
        <v>0.54320827892864587</v>
      </c>
      <c r="D29" s="41">
        <f t="shared" si="10"/>
        <v>1.8550217391304353</v>
      </c>
      <c r="E29" s="41">
        <f t="shared" si="9"/>
        <v>0.25218012422360253</v>
      </c>
      <c r="F29" s="110">
        <f t="shared" si="11"/>
        <v>0.33808695652173926</v>
      </c>
      <c r="G29" s="44">
        <f>Mortality!F13</f>
        <v>3.7999999999999999E-2</v>
      </c>
      <c r="H29" s="44">
        <f>Disease!F13</f>
        <v>0.14499999999999999</v>
      </c>
      <c r="I29" s="44">
        <f>Slaughter!F13/24</f>
        <v>0.1925</v>
      </c>
      <c r="J29" s="207">
        <f>Space!F13/100</f>
        <v>0.64826086956521767</v>
      </c>
      <c r="K29" s="206">
        <f>Mortality!F13/Mortality!$G$2</f>
        <v>7.5999999999999998E-2</v>
      </c>
      <c r="L29" s="44">
        <f>Disease!F13/Disease!$G$2</f>
        <v>0.28999999999999998</v>
      </c>
      <c r="M29" s="44">
        <f>Slaughter!F13/Slaughter!$G$2</f>
        <v>0.1925</v>
      </c>
      <c r="N29" s="207">
        <f>Space!F13/Space!$G$2</f>
        <v>0.64826086956521767</v>
      </c>
      <c r="O29" s="200">
        <f>'Life duration'!F13</f>
        <v>9.6153846153846159E-2</v>
      </c>
      <c r="P29" s="234">
        <f>Slaughter!F13/(365*24)</f>
        <v>5.273972602739726E-4</v>
      </c>
      <c r="Q29" s="190">
        <f>'No affected'!U13</f>
        <v>5.4505002185052534E-3</v>
      </c>
      <c r="R29" s="51">
        <f>Ability!D13</f>
        <v>0.54320827892864587</v>
      </c>
      <c r="S29" s="41">
        <f>2*V29+2*W29+X29+2*Y29</f>
        <v>1.9278846153846152</v>
      </c>
      <c r="T29" s="41">
        <f>(2*Z29+2*AA29+AB29+2*AC29)/7</f>
        <v>0.412554945054945</v>
      </c>
      <c r="U29" s="110">
        <f>(Z29+AA29+AC29)/3</f>
        <v>0.44923076923076916</v>
      </c>
      <c r="V29">
        <f>Mortality!U13</f>
        <v>0.06</v>
      </c>
      <c r="W29" s="41">
        <f>Disease!U13</f>
        <v>0.42</v>
      </c>
      <c r="X29" s="41">
        <f>Slaughter!U13/24</f>
        <v>0.1925</v>
      </c>
      <c r="Y29" s="110">
        <f>Space!U13/100</f>
        <v>0.38769230769230767</v>
      </c>
      <c r="Z29" s="101">
        <f>Mortality!U13/Mortality!$G$2</f>
        <v>0.12</v>
      </c>
      <c r="AA29">
        <f>Disease!U13/Disease!$G$2</f>
        <v>0.84</v>
      </c>
      <c r="AB29" s="41">
        <f>Slaughter!U13/Slaughter!$G$2</f>
        <v>0.1925</v>
      </c>
      <c r="AC29" s="218">
        <f>Space!U13/Space!$G$2</f>
        <v>0.38769230769230767</v>
      </c>
      <c r="AD29" s="191">
        <f>'Life duration'!U13</f>
        <v>6.6666666666666671E-3</v>
      </c>
      <c r="AE29" s="234">
        <f>Slaughter!U13/(365*24)</f>
        <v>5.273972602739726E-4</v>
      </c>
    </row>
    <row r="30" spans="1:31" x14ac:dyDescent="0.3">
      <c r="A30" s="101" t="s">
        <v>67</v>
      </c>
      <c r="B30" s="189">
        <f>'No affected'!F14</f>
        <v>1.05</v>
      </c>
      <c r="C30" s="41">
        <f>Ability!B14</f>
        <v>0.67196797361598137</v>
      </c>
      <c r="D30" s="41">
        <f t="shared" si="10"/>
        <v>1.4556333333333333</v>
      </c>
      <c r="E30" s="41">
        <f t="shared" si="9"/>
        <v>0.27138095238095239</v>
      </c>
      <c r="F30" s="110">
        <f t="shared" si="11"/>
        <v>0.28573333333333334</v>
      </c>
      <c r="G30" s="44">
        <f>Mortality!F14</f>
        <v>0.15</v>
      </c>
      <c r="H30" s="44">
        <f>Disease!F14</f>
        <v>0.11</v>
      </c>
      <c r="I30" s="44">
        <f>Slaughter!F14/24</f>
        <v>0.26123333333333332</v>
      </c>
      <c r="J30" s="207">
        <f>Space!F14/100</f>
        <v>0.3372</v>
      </c>
      <c r="K30" s="206">
        <f>Mortality!F14/Mortality!$G$2</f>
        <v>0.3</v>
      </c>
      <c r="L30" s="44">
        <f>Disease!F14/Disease!$G$2</f>
        <v>0.22</v>
      </c>
      <c r="M30" s="44">
        <f>Slaughter!F14/Slaughter!$G$2</f>
        <v>0.26123333333333332</v>
      </c>
      <c r="N30" s="207">
        <f>Space!F14/Space!$G$2</f>
        <v>0.3372</v>
      </c>
      <c r="O30" s="200">
        <f>'Life duration'!F14</f>
        <v>0.16666666666666666</v>
      </c>
      <c r="P30" s="234">
        <f>Slaughter!F14/(365*24)</f>
        <v>7.1570776255707759E-4</v>
      </c>
      <c r="Q30" s="101"/>
      <c r="R30" s="51"/>
      <c r="S30" s="51"/>
      <c r="U30" s="111"/>
      <c r="X30" s="41"/>
      <c r="Y30" s="110"/>
      <c r="Z30" s="101"/>
      <c r="AC30" s="111"/>
      <c r="AD30" s="191"/>
      <c r="AE30" s="234"/>
    </row>
    <row r="31" spans="1:31" x14ac:dyDescent="0.3">
      <c r="A31" s="104" t="s">
        <v>68</v>
      </c>
      <c r="B31" s="232">
        <f>'No affected'!F15</f>
        <v>7.0000000000000007E-2</v>
      </c>
      <c r="C31" s="193">
        <f>Ability!B15</f>
        <v>0.58534077701729459</v>
      </c>
      <c r="D31" s="193">
        <f t="shared" si="10"/>
        <v>2.5409933333333337</v>
      </c>
      <c r="E31" s="193">
        <f t="shared" si="9"/>
        <v>0.43346380952380953</v>
      </c>
      <c r="F31" s="254">
        <f>(K31+L31+N31)/3</f>
        <v>0.5275266666666667</v>
      </c>
      <c r="G31" s="255">
        <f>Mortality!F15</f>
        <v>0.03</v>
      </c>
      <c r="H31" s="255">
        <f>Disease!F15</f>
        <v>0.42</v>
      </c>
      <c r="I31" s="255">
        <f>Slaughter!F15/24</f>
        <v>0.27583333333333332</v>
      </c>
      <c r="J31" s="256">
        <f>Space!F15/100</f>
        <v>0.68258000000000008</v>
      </c>
      <c r="K31" s="257">
        <f>Mortality!F15/Mortality!$G$2</f>
        <v>0.06</v>
      </c>
      <c r="L31" s="255">
        <f>Disease!F15/Disease!$G$2</f>
        <v>0.84</v>
      </c>
      <c r="M31" s="255">
        <f>Slaughter!F15/Slaughter!$G$2</f>
        <v>0.27583333333333332</v>
      </c>
      <c r="N31" s="256">
        <f>Space!F15/Space!$G$2</f>
        <v>0.68258000000000008</v>
      </c>
      <c r="O31" s="244">
        <f>'Life duration'!F15</f>
        <v>1.2</v>
      </c>
      <c r="P31" s="235">
        <f>Slaughter!F15/(365*24)</f>
        <v>7.5570776255707759E-4</v>
      </c>
      <c r="Q31" s="263">
        <f>'No affected'!U15</f>
        <v>7.0000000000000007E-2</v>
      </c>
      <c r="R31" s="261">
        <f>Ability!D15</f>
        <v>0.2556274253781865</v>
      </c>
      <c r="S31" s="193">
        <f>2*V31+2*W31+X31+2*Y31</f>
        <v>6.9444444444444441E-3</v>
      </c>
      <c r="T31" s="193">
        <f>(2*Z31+2*AA31+AB31+2*AC31)/7</f>
        <v>9.9206349206349201E-4</v>
      </c>
      <c r="U31" s="254">
        <f>(Z31+AA31+AC31)/3</f>
        <v>0</v>
      </c>
      <c r="V31" s="194">
        <f>Mortality!U15</f>
        <v>0</v>
      </c>
      <c r="W31" s="193">
        <f>Disease!U15</f>
        <v>0</v>
      </c>
      <c r="X31" s="193">
        <f>Slaughter!U15/24</f>
        <v>6.9444444444444441E-3</v>
      </c>
      <c r="Y31" s="254">
        <f>Space!U15/100</f>
        <v>0</v>
      </c>
      <c r="Z31" s="104">
        <f>Mortality!U15/Mortality!$G$2</f>
        <v>0</v>
      </c>
      <c r="AA31" s="133">
        <f>Disease!U15/Disease!$G$2</f>
        <v>0</v>
      </c>
      <c r="AB31" s="193">
        <f>Slaughter!U15/Slaughter!$G$2</f>
        <v>6.9444444444444441E-3</v>
      </c>
      <c r="AC31" s="114">
        <f>Space!U15/Space!$G$2</f>
        <v>0</v>
      </c>
      <c r="AD31" s="244">
        <f>'Life duration'!U15</f>
        <v>3.1709791983764589E-7</v>
      </c>
      <c r="AE31" s="235">
        <f>Slaughter!U15/(365*24)</f>
        <v>1.902587519025875E-5</v>
      </c>
    </row>
  </sheetData>
  <mergeCells count="4">
    <mergeCell ref="B5:D5"/>
    <mergeCell ref="E5:G5"/>
    <mergeCell ref="H5:J5"/>
    <mergeCell ref="K5: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BA2F-5EAC-4C2A-BE50-1C7BC270E52A}">
  <sheetPr>
    <tabColor theme="5" tint="0.79998168889431442"/>
  </sheetPr>
  <dimension ref="A2:AE31"/>
  <sheetViews>
    <sheetView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30" t="s">
        <v>73</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0.30763517071386332</v>
      </c>
      <c r="C7" s="41">
        <f t="shared" ref="C7:C14" si="0">B22*C22*D22*100</f>
        <v>0.26334865975063115</v>
      </c>
      <c r="D7" s="41">
        <f>Q22*R22*S22*100</f>
        <v>4.4286510963232176E-2</v>
      </c>
      <c r="E7" s="41">
        <f t="shared" ref="E7:E16" si="1">F7+G7</f>
        <v>6.1407589896382682E-2</v>
      </c>
      <c r="F7" s="19">
        <f t="shared" ref="F7:F14" si="2">B22*C22*E22*100</f>
        <v>5.3666380620629534E-2</v>
      </c>
      <c r="G7" s="19">
        <f>Q22*R22*T22*100</f>
        <v>7.7412092757531458E-3</v>
      </c>
      <c r="H7" s="226">
        <f>I7+J7</f>
        <v>8.9071131377194157E-4</v>
      </c>
      <c r="I7" s="226">
        <f t="shared" ref="I7:I14" si="3">B22*((O22-P22)*F22+P22)</f>
        <v>8.1185654216834626E-4</v>
      </c>
      <c r="J7" s="226">
        <f>Q22*((AD22-AE22)*U22+AE22)</f>
        <v>7.8854771603595295E-5</v>
      </c>
      <c r="K7" s="226">
        <f>L7+M7</f>
        <v>7.8748057382958456E-4</v>
      </c>
      <c r="L7" s="226">
        <f t="shared" ref="L7:L14" si="4">C22*B22*((O22-P22)*F22+P22)</f>
        <v>7.1776483110634875E-4</v>
      </c>
      <c r="M7" s="234">
        <f>R22*Q22*((AD22-AE22)*U22+AE22)</f>
        <v>6.9715742723235825E-5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0.40538777115378694</v>
      </c>
      <c r="C9" s="41">
        <f t="shared" si="0"/>
        <v>0.40538777115378694</v>
      </c>
      <c r="D9" s="41"/>
      <c r="E9" s="41">
        <f t="shared" si="1"/>
        <v>8.5002086624172676E-2</v>
      </c>
      <c r="F9" s="19">
        <f t="shared" si="2"/>
        <v>8.5002086624172676E-2</v>
      </c>
      <c r="G9" s="19"/>
      <c r="H9" s="226">
        <f t="shared" si="6"/>
        <v>1.3796920922039648E-3</v>
      </c>
      <c r="I9" s="226">
        <f t="shared" si="3"/>
        <v>1.3796920922039648E-3</v>
      </c>
      <c r="J9" s="226"/>
      <c r="K9" s="226">
        <f t="shared" si="7"/>
        <v>1.2197899630082634E-3</v>
      </c>
      <c r="L9" s="226">
        <f t="shared" si="4"/>
        <v>1.2197899630082634E-3</v>
      </c>
      <c r="M9" s="111"/>
    </row>
    <row r="10" spans="1:13" x14ac:dyDescent="0.3">
      <c r="A10" s="101" t="s">
        <v>38</v>
      </c>
      <c r="B10" s="191">
        <f t="shared" si="5"/>
        <v>8.2186344143383248E-3</v>
      </c>
      <c r="C10" s="102">
        <f t="shared" si="0"/>
        <v>8.2186344143383248E-3</v>
      </c>
      <c r="D10" s="41"/>
      <c r="E10" s="41">
        <f t="shared" si="1"/>
        <v>2.0679178952019996E-3</v>
      </c>
      <c r="F10" s="19">
        <f t="shared" si="2"/>
        <v>2.0679178952019996E-3</v>
      </c>
      <c r="G10" s="19"/>
      <c r="H10" s="226">
        <f t="shared" si="6"/>
        <v>1.24286353888057E-4</v>
      </c>
      <c r="I10" s="226">
        <f t="shared" si="3"/>
        <v>1.24286353888057E-4</v>
      </c>
      <c r="J10" s="226"/>
      <c r="K10" s="226">
        <f t="shared" si="7"/>
        <v>1.0988194240453248E-4</v>
      </c>
      <c r="L10" s="226">
        <f t="shared" si="4"/>
        <v>1.0988194240453248E-4</v>
      </c>
      <c r="M10" s="111"/>
    </row>
    <row r="11" spans="1:13" x14ac:dyDescent="0.3">
      <c r="A11" s="101" t="s">
        <v>39</v>
      </c>
      <c r="B11" s="191">
        <f t="shared" si="5"/>
        <v>0.43830212482740122</v>
      </c>
      <c r="C11" s="41">
        <f t="shared" si="0"/>
        <v>0.43830212482740122</v>
      </c>
      <c r="D11" s="41"/>
      <c r="E11" s="41">
        <f t="shared" si="1"/>
        <v>0.10854568598874081</v>
      </c>
      <c r="F11" s="19">
        <f t="shared" si="2"/>
        <v>0.10854568598874081</v>
      </c>
      <c r="G11" s="19"/>
      <c r="H11" s="226">
        <f t="shared" si="6"/>
        <v>1.500559189041096E-3</v>
      </c>
      <c r="I11" s="226">
        <f t="shared" si="3"/>
        <v>1.500559189041096E-3</v>
      </c>
      <c r="J11" s="226"/>
      <c r="K11" s="226">
        <f t="shared" si="7"/>
        <v>1.3191958460084933E-3</v>
      </c>
      <c r="L11" s="226">
        <f t="shared" si="4"/>
        <v>1.3191958460084933E-3</v>
      </c>
      <c r="M11" s="111"/>
    </row>
    <row r="12" spans="1:13" x14ac:dyDescent="0.3">
      <c r="A12" s="101" t="s">
        <v>40</v>
      </c>
      <c r="B12" s="191">
        <f t="shared" si="5"/>
        <v>3.5479605661101381</v>
      </c>
      <c r="C12" s="85">
        <f t="shared" si="0"/>
        <v>3.4690787602559481</v>
      </c>
      <c r="D12" s="41">
        <f>Q27*R27*S27*100</f>
        <v>7.8881805854190246E-2</v>
      </c>
      <c r="E12" s="41">
        <f t="shared" si="1"/>
        <v>0.96535771227292033</v>
      </c>
      <c r="F12" s="41">
        <f t="shared" si="2"/>
        <v>0.95103241238045488</v>
      </c>
      <c r="G12" s="19">
        <f>Q27*R27*T27*100</f>
        <v>1.4325299892465495E-2</v>
      </c>
      <c r="H12" s="226">
        <f t="shared" si="6"/>
        <v>3.2974783034377094E-3</v>
      </c>
      <c r="I12" s="226">
        <f t="shared" si="3"/>
        <v>3.2313826770392511E-3</v>
      </c>
      <c r="J12" s="226">
        <f t="shared" ref="J12:J16" si="8">Q27*((AD27-AE27)*U27+AE27)</f>
        <v>6.6095626398458368E-5</v>
      </c>
      <c r="K12" s="226">
        <f t="shared" si="7"/>
        <v>2.7096165326010403E-3</v>
      </c>
      <c r="L12" s="226">
        <f t="shared" si="4"/>
        <v>2.6511811888492369E-3</v>
      </c>
      <c r="M12" s="234">
        <f>R27*Q27*((AD27-AE27)*U27+AE27)</f>
        <v>5.8435343751803408E-5</v>
      </c>
    </row>
    <row r="13" spans="1:13" x14ac:dyDescent="0.3">
      <c r="A13" s="101" t="s">
        <v>41</v>
      </c>
      <c r="B13" s="191">
        <f t="shared" si="5"/>
        <v>3.5621390083309037</v>
      </c>
      <c r="C13" s="85">
        <f t="shared" si="0"/>
        <v>3.5110562698491368</v>
      </c>
      <c r="D13" s="41">
        <f>Q28*R28*S28*100</f>
        <v>5.1082738481767129E-2</v>
      </c>
      <c r="E13" s="41">
        <f t="shared" si="1"/>
        <v>0.58437328745498629</v>
      </c>
      <c r="F13" s="41">
        <f t="shared" si="2"/>
        <v>0.57533132949352628</v>
      </c>
      <c r="G13" s="19">
        <f>Q28*R28*T28*100</f>
        <v>9.041957961459993E-3</v>
      </c>
      <c r="H13" s="226">
        <f t="shared" si="6"/>
        <v>3.7797792227991082E-3</v>
      </c>
      <c r="I13" s="226">
        <f t="shared" si="3"/>
        <v>3.7767859453758774E-3</v>
      </c>
      <c r="J13" s="226">
        <f t="shared" si="8"/>
        <v>2.9932774232306553E-6</v>
      </c>
      <c r="K13" s="226">
        <f t="shared" si="7"/>
        <v>3.3256980939212351E-3</v>
      </c>
      <c r="L13" s="226">
        <f t="shared" si="4"/>
        <v>3.3228602979134244E-3</v>
      </c>
      <c r="M13" s="234">
        <f>R28*Q28*((AD28-AE28)*U28+AE28)</f>
        <v>2.8377960078107746E-6</v>
      </c>
    </row>
    <row r="14" spans="1:13" x14ac:dyDescent="0.3">
      <c r="A14" s="101" t="s">
        <v>42</v>
      </c>
      <c r="B14" s="191">
        <f>C14+D14</f>
        <v>76.375945434990129</v>
      </c>
      <c r="C14" s="85">
        <f t="shared" si="0"/>
        <v>75.793302650867773</v>
      </c>
      <c r="D14" s="41">
        <f>Q29*R29*S29*100</f>
        <v>0.58264278412234949</v>
      </c>
      <c r="E14" s="41">
        <f t="shared" si="1"/>
        <v>10.429218802553189</v>
      </c>
      <c r="F14" s="85">
        <f t="shared" si="2"/>
        <v>10.303687592778648</v>
      </c>
      <c r="G14" s="41">
        <f>Q29*R29*T29*100</f>
        <v>0.12553120977454202</v>
      </c>
      <c r="H14" s="226">
        <f>I14+J14</f>
        <v>2.4732710992302287E-2</v>
      </c>
      <c r="I14" s="226">
        <f t="shared" si="3"/>
        <v>2.4714358052140239E-2</v>
      </c>
      <c r="J14" s="226">
        <f t="shared" si="8"/>
        <v>1.8352940162048212E-5</v>
      </c>
      <c r="K14" s="226">
        <f t="shared" si="7"/>
        <v>1.3435013371368128E-2</v>
      </c>
      <c r="L14" s="226">
        <f t="shared" si="4"/>
        <v>1.3425043902329421E-2</v>
      </c>
      <c r="M14" s="234">
        <f>R29*Q29*((AD29-AE29)*U29+AE29)</f>
        <v>9.9694690387066327E-6</v>
      </c>
    </row>
    <row r="15" spans="1:13" x14ac:dyDescent="0.3">
      <c r="A15" s="101" t="s">
        <v>43</v>
      </c>
      <c r="B15" s="191"/>
      <c r="C15" s="85"/>
      <c r="D15" s="41"/>
      <c r="E15" s="41"/>
      <c r="F15" s="85"/>
      <c r="H15" s="226"/>
      <c r="I15" s="226"/>
      <c r="J15" s="226"/>
      <c r="K15" s="226"/>
      <c r="L15" s="226"/>
      <c r="M15" s="111"/>
    </row>
    <row r="16" spans="1:13" x14ac:dyDescent="0.3">
      <c r="A16" s="104" t="s">
        <v>44</v>
      </c>
      <c r="B16" s="233">
        <f t="shared" si="5"/>
        <v>7.3535891304862409</v>
      </c>
      <c r="C16" s="253">
        <f>B31*C31*D31*100</f>
        <v>7.3443581401253617</v>
      </c>
      <c r="D16" s="193">
        <f>Q31*R31*S31*100</f>
        <v>9.2309903608789566E-3</v>
      </c>
      <c r="E16" s="193">
        <f t="shared" si="1"/>
        <v>1.3254494142677746</v>
      </c>
      <c r="F16" s="193">
        <f>B31*C31*E31*100</f>
        <v>1.3241307013590777</v>
      </c>
      <c r="G16" s="113">
        <f>Q31*R31*T31*100</f>
        <v>1.3187129086969936E-3</v>
      </c>
      <c r="H16" s="227">
        <f t="shared" si="6"/>
        <v>3.2125699419726018E-2</v>
      </c>
      <c r="I16" s="227">
        <f>B31*((O31-P31)*F31+P31)</f>
        <v>3.2124710074216127E-2</v>
      </c>
      <c r="J16" s="227">
        <f t="shared" si="8"/>
        <v>9.8934550989345503E-7</v>
      </c>
      <c r="K16" s="227">
        <f t="shared" si="7"/>
        <v>1.8804155660142485E-2</v>
      </c>
      <c r="L16" s="227">
        <f>C31*B31*((O31-P31)*F31+P31)</f>
        <v>1.8803902756296981E-2</v>
      </c>
      <c r="M16" s="235">
        <f>R31*Q31*((AD31-AE31)*U31+AE31)</f>
        <v>2.5290384550353305E-7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affected'!G6</f>
        <v>3.5000000000000001E-3</v>
      </c>
      <c r="C22" s="41">
        <f>Ability!B6</f>
        <v>0.88410303277141455</v>
      </c>
      <c r="D22" s="41">
        <f>2*G22+2*H22+I22+2*J22</f>
        <v>0.85106001705029832</v>
      </c>
      <c r="E22" s="41">
        <f>(2*K22+2*L22+N22+2*M22)/7</f>
        <v>0.1734328583607356</v>
      </c>
      <c r="F22" s="110">
        <f>(K22+L22+N22)/3</f>
        <v>0.11556555839727195</v>
      </c>
      <c r="G22" s="44">
        <f>Mortality!G6</f>
        <v>4.2000000000000003E-2</v>
      </c>
      <c r="H22" s="44">
        <f>Disease!G6</f>
        <v>0.05</v>
      </c>
      <c r="I22" s="44">
        <f>Slaughter!G6/24</f>
        <v>0.34166666666666662</v>
      </c>
      <c r="J22" s="207">
        <f>Space!G6/100</f>
        <v>0.16269667519181585</v>
      </c>
      <c r="K22" s="206">
        <f>Mortality!G6/Mortality!$G$2</f>
        <v>8.4000000000000005E-2</v>
      </c>
      <c r="L22" s="44">
        <f>Disease!G6/Disease!$G$2</f>
        <v>0.1</v>
      </c>
      <c r="M22" s="44">
        <f>Slaughter!G6/Slaughter!$G$2</f>
        <v>0.34166666666666662</v>
      </c>
      <c r="N22" s="207">
        <f>Space!G6/Space!$G$2</f>
        <v>0.16269667519181585</v>
      </c>
      <c r="O22" s="200">
        <f>'Life duration'!G6</f>
        <v>2</v>
      </c>
      <c r="P22" s="234">
        <f>Slaughter!G6/(365*24)</f>
        <v>9.3607305936073046E-4</v>
      </c>
      <c r="Q22" s="247">
        <f>'No affected'!V6</f>
        <v>8.0000000000000004E-4</v>
      </c>
      <c r="R22" s="51">
        <f>Ability!D6</f>
        <v>0.88410303277141455</v>
      </c>
      <c r="S22" s="41">
        <f>2*V22+2*W22+X22+2*Y22</f>
        <v>0.62615030886737277</v>
      </c>
      <c r="T22" s="41">
        <f>(2*Z22+2*AA22+AB22+2*AC22)/7</f>
        <v>0.10945004412391039</v>
      </c>
      <c r="U22" s="110">
        <f>(Z22+AA22+AC22)/3</f>
        <v>7.0747273700117699E-2</v>
      </c>
      <c r="V22">
        <f>Mortality!V6</f>
        <v>0.03</v>
      </c>
      <c r="W22" s="41">
        <f>Disease!V6</f>
        <v>0.04</v>
      </c>
      <c r="X22" s="41">
        <f>Slaughter!V6/24</f>
        <v>0.34166666666666662</v>
      </c>
      <c r="Y22" s="110">
        <f>Space!V6/100</f>
        <v>7.2241821100353099E-2</v>
      </c>
      <c r="Z22" s="101">
        <f>Mortality!V6/Mortality!$G$2</f>
        <v>0.06</v>
      </c>
      <c r="AA22">
        <f>Disease!V6/Disease!$G$2</f>
        <v>0.08</v>
      </c>
      <c r="AB22" s="41">
        <f>Slaughter!V6/Slaughter!$G$2</f>
        <v>0.34166666666666662</v>
      </c>
      <c r="AC22" s="218">
        <f>Space!V6/Space!$G$2</f>
        <v>7.2241821100353099E-2</v>
      </c>
      <c r="AD22" s="200">
        <f>'Life duration'!V6</f>
        <v>1.3809523809523809</v>
      </c>
      <c r="AE22" s="234">
        <f>Slaughter!V6/(365*24)</f>
        <v>9.3607305936073046E-4</v>
      </c>
    </row>
    <row r="23" spans="1:31" x14ac:dyDescent="0.3">
      <c r="A23" s="101" t="s">
        <v>60</v>
      </c>
      <c r="B23" s="189">
        <f>'No affected'!G7</f>
        <v>8.9999999999999993E-3</v>
      </c>
      <c r="C23" s="41">
        <f>Ability!B7</f>
        <v>0.82044791775586834</v>
      </c>
      <c r="D23" s="41">
        <f t="shared" ref="D23:D31" si="9">2*G23+2*H23+I23+2*J23</f>
        <v>1.0073565062388592</v>
      </c>
      <c r="E23" s="41">
        <f t="shared" ref="E23:E31" si="10">(2*K23+2*L23+N23+2*M23)/7</f>
        <v>0.21588260758848993</v>
      </c>
      <c r="F23" s="110">
        <f t="shared" ref="F23:F31" si="11">(K23+L23+N23)/3</f>
        <v>0.16594830659536541</v>
      </c>
      <c r="G23" s="44">
        <f>Mortality!G7</f>
        <v>6.5000000000000002E-2</v>
      </c>
      <c r="H23" s="44">
        <f>Disease!G7</f>
        <v>0.1</v>
      </c>
      <c r="I23" s="44">
        <f>Slaughter!G7/24</f>
        <v>0.34166666666666662</v>
      </c>
      <c r="J23" s="207">
        <f>Space!G7/100</f>
        <v>0.16784491978609625</v>
      </c>
      <c r="K23" s="206">
        <f>Mortality!G7/Mortality!$G$2</f>
        <v>0.13</v>
      </c>
      <c r="L23" s="44">
        <f>Disease!G7/Disease!$G$2</f>
        <v>0.2</v>
      </c>
      <c r="M23" s="44">
        <f>Slaughter!G7/Slaughter!$G$2</f>
        <v>0.34166666666666662</v>
      </c>
      <c r="N23" s="207">
        <f>Space!G7/Space!$G$2</f>
        <v>0.16784491978609625</v>
      </c>
      <c r="O23" s="200">
        <f>'Life duration'!G7</f>
        <v>0.75</v>
      </c>
      <c r="P23" s="234">
        <f>Slaughter!G7/(365*24)</f>
        <v>9.3607305936073046E-4</v>
      </c>
      <c r="Q23" s="101"/>
      <c r="R23" s="51"/>
      <c r="S23" s="51"/>
      <c r="U23" s="111"/>
      <c r="X23" s="41"/>
      <c r="Y23" s="110"/>
      <c r="Z23" s="101"/>
      <c r="AC23" s="111"/>
      <c r="AD23" s="200"/>
      <c r="AE23" s="234"/>
    </row>
    <row r="24" spans="1:31" x14ac:dyDescent="0.3">
      <c r="A24" s="101" t="s">
        <v>61</v>
      </c>
      <c r="B24" s="189">
        <f>'No affected'!G8</f>
        <v>5.0000000000000001E-3</v>
      </c>
      <c r="C24" s="41">
        <f>Ability!B8</f>
        <v>0.88410303277141455</v>
      </c>
      <c r="D24" s="41">
        <f t="shared" si="9"/>
        <v>0.91706001705029827</v>
      </c>
      <c r="E24" s="41">
        <f t="shared" si="10"/>
        <v>0.19229000121787845</v>
      </c>
      <c r="F24" s="110">
        <f t="shared" si="11"/>
        <v>0.13756555839727194</v>
      </c>
      <c r="G24" s="44">
        <f>Mortality!G8</f>
        <v>7.4999999999999997E-2</v>
      </c>
      <c r="H24" s="44">
        <f>Disease!G8</f>
        <v>0.05</v>
      </c>
      <c r="I24" s="44">
        <f>Slaughter!G8/24</f>
        <v>0.34166666666666662</v>
      </c>
      <c r="J24" s="207">
        <f>Space!G8/100</f>
        <v>0.16269667519181585</v>
      </c>
      <c r="K24" s="206">
        <f>Mortality!G8/Mortality!$G$2</f>
        <v>0.15</v>
      </c>
      <c r="L24" s="44">
        <f>Disease!G8/Disease!$G$2</f>
        <v>0.1</v>
      </c>
      <c r="M24" s="44">
        <f>Slaughter!G8/Slaughter!$G$2</f>
        <v>0.34166666666666662</v>
      </c>
      <c r="N24" s="207">
        <f>Space!G8/Space!$G$2</f>
        <v>0.16269667519181585</v>
      </c>
      <c r="O24" s="200">
        <f>'Life duration'!G8</f>
        <v>2</v>
      </c>
      <c r="P24" s="234">
        <f>Slaughter!G8/(365*24)</f>
        <v>9.3607305936073046E-4</v>
      </c>
      <c r="Q24" s="101"/>
      <c r="R24" s="51"/>
      <c r="S24" s="51"/>
      <c r="U24" s="111"/>
      <c r="X24" s="41"/>
      <c r="Y24" s="110"/>
      <c r="Z24" s="101"/>
      <c r="AC24" s="111"/>
      <c r="AD24" s="200"/>
      <c r="AE24" s="234"/>
    </row>
    <row r="25" spans="1:31" x14ac:dyDescent="0.3">
      <c r="A25" s="101" t="s">
        <v>62</v>
      </c>
      <c r="B25" s="189">
        <f>'No affected'!G9</f>
        <v>1E-4</v>
      </c>
      <c r="C25" s="41">
        <f>Ability!B9</f>
        <v>0.88410303277141455</v>
      </c>
      <c r="D25" s="41">
        <f t="shared" si="9"/>
        <v>0.92960142762718667</v>
      </c>
      <c r="E25" s="41">
        <f t="shared" si="10"/>
        <v>0.23390010197337047</v>
      </c>
      <c r="F25" s="110">
        <f t="shared" si="11"/>
        <v>0.17132246016008668</v>
      </c>
      <c r="G25" s="44">
        <f>Mortality!G9</f>
        <v>0.06</v>
      </c>
      <c r="H25" s="44">
        <f>Disease!G9</f>
        <v>0.16</v>
      </c>
      <c r="I25" s="44">
        <f>Slaughter!G9/24</f>
        <v>0.34166666666666662</v>
      </c>
      <c r="J25" s="207">
        <f>Space!G9/100</f>
        <v>7.3967380480260039E-2</v>
      </c>
      <c r="K25" s="206">
        <f>Mortality!G9/Mortality!$G$2</f>
        <v>0.12</v>
      </c>
      <c r="L25" s="44">
        <f>Disease!G9/Disease!$G$2</f>
        <v>0.32</v>
      </c>
      <c r="M25" s="44">
        <f>Slaughter!G9/Slaughter!$G$2</f>
        <v>0.34166666666666662</v>
      </c>
      <c r="N25" s="207">
        <f>Space!G9/Space!$G$2</f>
        <v>7.3967380480260039E-2</v>
      </c>
      <c r="O25" s="200">
        <f>'Life duration'!G9</f>
        <v>7.25</v>
      </c>
      <c r="P25" s="234">
        <f>Slaughter!G9/(365*24)</f>
        <v>9.3607305936073046E-4</v>
      </c>
      <c r="Q25" s="101"/>
      <c r="R25" s="51"/>
      <c r="S25" s="51"/>
      <c r="U25" s="111"/>
      <c r="X25" s="41"/>
      <c r="Y25" s="110"/>
      <c r="Z25" s="101"/>
      <c r="AC25" s="111"/>
      <c r="AD25" s="200"/>
      <c r="AE25" s="234"/>
    </row>
    <row r="26" spans="1:31" x14ac:dyDescent="0.3">
      <c r="A26" s="101" t="s">
        <v>63</v>
      </c>
      <c r="B26" s="189">
        <f>'No affected'!G10</f>
        <v>5.0000000000000001E-3</v>
      </c>
      <c r="C26" s="41">
        <f>Ability!B10</f>
        <v>0.87913616180078868</v>
      </c>
      <c r="D26" s="41">
        <f t="shared" si="9"/>
        <v>0.99712000000000001</v>
      </c>
      <c r="E26" s="41">
        <f t="shared" si="10"/>
        <v>0.24693714285714283</v>
      </c>
      <c r="F26" s="110">
        <f t="shared" si="11"/>
        <v>0.14951999999999999</v>
      </c>
      <c r="G26" s="44">
        <f>Mortality!G10</f>
        <v>0.03</v>
      </c>
      <c r="H26" s="44">
        <f>Disease!G10</f>
        <v>0.15</v>
      </c>
      <c r="I26" s="44">
        <f>Slaughter!G10/24</f>
        <v>0.45999999999999996</v>
      </c>
      <c r="J26" s="207">
        <f>Space!G10/100</f>
        <v>8.856E-2</v>
      </c>
      <c r="K26" s="206">
        <f>Mortality!G10/Mortality!$G$2</f>
        <v>0.06</v>
      </c>
      <c r="L26" s="44">
        <f>Disease!G10/Disease!$G$2</f>
        <v>0.3</v>
      </c>
      <c r="M26" s="44">
        <f>Slaughter!G10/Slaughter!$G$2</f>
        <v>0.45999999999999996</v>
      </c>
      <c r="N26" s="207">
        <f>Space!G10/Space!$G$2</f>
        <v>8.856E-2</v>
      </c>
      <c r="O26" s="200">
        <f>'Life duration'!G10</f>
        <v>2</v>
      </c>
      <c r="P26" s="234">
        <f>Slaughter!G10/(365*24)</f>
        <v>1.2602739726027396E-3</v>
      </c>
      <c r="Q26" s="101"/>
      <c r="R26" s="51"/>
      <c r="S26" s="51"/>
      <c r="U26" s="111"/>
      <c r="X26" s="41"/>
      <c r="Y26" s="110"/>
      <c r="Z26" s="101"/>
      <c r="AC26" s="111"/>
      <c r="AD26" s="200"/>
      <c r="AE26" s="234"/>
    </row>
    <row r="27" spans="1:31" x14ac:dyDescent="0.3">
      <c r="A27" s="101" t="s">
        <v>64</v>
      </c>
      <c r="B27" s="189">
        <f>'No affected'!G11</f>
        <v>6.4000000000000001E-2</v>
      </c>
      <c r="C27" s="41">
        <f>Ability!B11</f>
        <v>0.82044791775586834</v>
      </c>
      <c r="D27" s="41">
        <f t="shared" si="9"/>
        <v>0.66066784321010597</v>
      </c>
      <c r="E27" s="41">
        <f t="shared" si="10"/>
        <v>0.1811191316578647</v>
      </c>
      <c r="F27" s="110">
        <f t="shared" si="11"/>
        <v>9.9277973868351008E-2</v>
      </c>
      <c r="G27" s="44">
        <f>Mortality!G11</f>
        <v>0.08</v>
      </c>
      <c r="H27" s="44">
        <f>Disease!G11</f>
        <v>0.06</v>
      </c>
      <c r="I27" s="44">
        <f>Slaughter!G11/24</f>
        <v>0.34499999999999997</v>
      </c>
      <c r="J27" s="207">
        <f>Space!G11/100</f>
        <v>1.7833921605052962E-2</v>
      </c>
      <c r="K27" s="206">
        <f>Mortality!G11/Mortality!$G$2</f>
        <v>0.16</v>
      </c>
      <c r="L27" s="44">
        <f>Disease!G11/Disease!$G$2</f>
        <v>0.12</v>
      </c>
      <c r="M27" s="44">
        <f>Slaughter!G11/Slaughter!$G$2</f>
        <v>0.34499999999999997</v>
      </c>
      <c r="N27" s="207">
        <f>Space!G11/Space!$G$2</f>
        <v>1.7833921605052962E-2</v>
      </c>
      <c r="O27" s="200">
        <f>'Life duration'!G11</f>
        <v>0.5</v>
      </c>
      <c r="P27" s="234">
        <f>Slaughter!G11/(365*24)</f>
        <v>9.4520547945205473E-4</v>
      </c>
      <c r="Q27" s="190">
        <f>'No affected'!V11</f>
        <v>1.1000000000000001E-3</v>
      </c>
      <c r="R27" s="51">
        <f>Ability!D11</f>
        <v>0.88410303277141455</v>
      </c>
      <c r="S27" s="41">
        <f>2*V27+2*W27+X27+2*Y27</f>
        <v>0.8111128447317435</v>
      </c>
      <c r="T27" s="41">
        <f>(2*Z27+2*AA27+AB27+2*AC27)/7</f>
        <v>0.14730183496167765</v>
      </c>
      <c r="U27" s="110">
        <f>(Z27+AA27+AC27)/3</f>
        <v>0.11435214078862392</v>
      </c>
      <c r="V27">
        <f>Mortality!V11</f>
        <v>0.06</v>
      </c>
      <c r="W27" s="41">
        <f>Disease!V11</f>
        <v>0.05</v>
      </c>
      <c r="X27" s="41">
        <f>Slaughter!V11/24</f>
        <v>0.34499999999999997</v>
      </c>
      <c r="Y27" s="110">
        <f>Space!V11/100</f>
        <v>0.12305642236587178</v>
      </c>
      <c r="Z27" s="101">
        <f>Mortality!V11/Mortality!$G$2</f>
        <v>0.12</v>
      </c>
      <c r="AA27">
        <f>Disease!V11/Disease!$G$2</f>
        <v>0.1</v>
      </c>
      <c r="AB27" s="41">
        <f>Slaughter!V11/Slaughter!$G$2</f>
        <v>0.34499999999999997</v>
      </c>
      <c r="AC27" s="218">
        <f>Space!V11/Space!$G$2</f>
        <v>0.12305642236587178</v>
      </c>
      <c r="AD27" s="200">
        <f>'Life duration'!V11</f>
        <v>0.5181347150259068</v>
      </c>
      <c r="AE27" s="234">
        <f>Slaughter!V11/(365*24)</f>
        <v>9.4520547945205473E-4</v>
      </c>
    </row>
    <row r="28" spans="1:31" x14ac:dyDescent="0.3">
      <c r="A28" s="101" t="s">
        <v>65</v>
      </c>
      <c r="B28" s="189">
        <f>'No affected'!G12</f>
        <v>1.7869436145278569E-2</v>
      </c>
      <c r="C28" s="41">
        <f>Ability!B12</f>
        <v>0.87981165625279378</v>
      </c>
      <c r="D28" s="41">
        <f t="shared" si="9"/>
        <v>2.2332494172494175</v>
      </c>
      <c r="E28" s="41">
        <f t="shared" si="10"/>
        <v>0.36594638694638698</v>
      </c>
      <c r="F28" s="110">
        <f t="shared" si="11"/>
        <v>0.42165268065268063</v>
      </c>
      <c r="G28" s="44">
        <f>Mortality!G12</f>
        <v>0.16500000000000001</v>
      </c>
      <c r="H28" s="44">
        <f>Disease!G12</f>
        <v>0.15</v>
      </c>
      <c r="I28" s="44">
        <f>Slaughter!G12/24</f>
        <v>0.33333333333333331</v>
      </c>
      <c r="J28" s="207">
        <f>Space!G12/100</f>
        <v>0.63495804195804206</v>
      </c>
      <c r="K28" s="206">
        <f>Mortality!G12/Mortality!$G$2</f>
        <v>0.33</v>
      </c>
      <c r="L28" s="44">
        <f>Disease!G12/Disease!$G$2</f>
        <v>0.3</v>
      </c>
      <c r="M28" s="44">
        <f>Slaughter!G12/Slaughter!$G$2</f>
        <v>0.33333333333333331</v>
      </c>
      <c r="N28" s="207">
        <f>Space!G12/Space!$G$2</f>
        <v>0.63495804195804206</v>
      </c>
      <c r="O28" s="200">
        <f>'Life duration'!G12</f>
        <v>0.5</v>
      </c>
      <c r="P28" s="234">
        <f>Slaughter!G12/(365*24)</f>
        <v>9.1324200913242006E-4</v>
      </c>
      <c r="Q28" s="190">
        <f>'No affected'!V12</f>
        <v>3.5E-4</v>
      </c>
      <c r="R28" s="51">
        <f>Ability!D12</f>
        <v>0.94805646338919392</v>
      </c>
      <c r="S28" s="41">
        <f>2*V28+2*W28+X28+2*Y28</f>
        <v>1.5394724577344312</v>
      </c>
      <c r="T28" s="41">
        <f>(2*Z28+2*AA28+AB28+2*AC28)/7</f>
        <v>0.27249606539063304</v>
      </c>
      <c r="U28" s="110">
        <f>(Z28+AA28+AC28)/3</f>
        <v>0.26235652073351629</v>
      </c>
      <c r="V28">
        <f>Mortality!V12</f>
        <v>3.4000000000000002E-2</v>
      </c>
      <c r="W28" s="41">
        <f>Disease!V12</f>
        <v>0.15</v>
      </c>
      <c r="X28" s="41">
        <f>Slaughter!V12/24</f>
        <v>0.33333333333333331</v>
      </c>
      <c r="Y28" s="110">
        <f>Space!V12/100</f>
        <v>0.41906956220054892</v>
      </c>
      <c r="Z28" s="101">
        <f>Mortality!V12/Mortality!$G$2</f>
        <v>6.8000000000000005E-2</v>
      </c>
      <c r="AA28">
        <f>Disease!V12/Disease!$G$2</f>
        <v>0.3</v>
      </c>
      <c r="AB28" s="41">
        <f>Slaughter!V12/Slaughter!$G$2</f>
        <v>0.33333333333333331</v>
      </c>
      <c r="AC28" s="218">
        <f>Space!V12/Space!$G$2</f>
        <v>0.41906956220054892</v>
      </c>
      <c r="AD28" s="191">
        <f>'Life duration'!V12</f>
        <v>3.0030030030030033E-2</v>
      </c>
      <c r="AE28" s="234">
        <f>Slaughter!V12/(365*24)</f>
        <v>9.1324200913242006E-4</v>
      </c>
    </row>
    <row r="29" spans="1:31" x14ac:dyDescent="0.3">
      <c r="A29" s="101" t="s">
        <v>66</v>
      </c>
      <c r="B29" s="189">
        <f>'No affected'!G13</f>
        <v>0.75216903015372494</v>
      </c>
      <c r="C29" s="41">
        <f>Ability!B13</f>
        <v>0.54320827892864587</v>
      </c>
      <c r="D29" s="41">
        <f t="shared" si="9"/>
        <v>1.8550217391304353</v>
      </c>
      <c r="E29" s="41">
        <f t="shared" si="10"/>
        <v>0.25218012422360253</v>
      </c>
      <c r="F29" s="110">
        <f t="shared" si="11"/>
        <v>0.33808695652173926</v>
      </c>
      <c r="G29" s="44">
        <f>Mortality!G13</f>
        <v>3.7999999999999999E-2</v>
      </c>
      <c r="H29" s="44">
        <f>Disease!G13</f>
        <v>0.14499999999999999</v>
      </c>
      <c r="I29" s="44">
        <f>Slaughter!G13/24</f>
        <v>0.1925</v>
      </c>
      <c r="J29" s="207">
        <f>Space!G13/100</f>
        <v>0.64826086956521767</v>
      </c>
      <c r="K29" s="206">
        <f>Mortality!G13/Mortality!$G$2</f>
        <v>7.5999999999999998E-2</v>
      </c>
      <c r="L29" s="44">
        <f>Disease!G13/Disease!$G$2</f>
        <v>0.28999999999999998</v>
      </c>
      <c r="M29" s="44">
        <f>Slaughter!G13/Slaughter!$G$2</f>
        <v>0.1925</v>
      </c>
      <c r="N29" s="207">
        <f>Space!G13/Space!$G$2</f>
        <v>0.64826086956521767</v>
      </c>
      <c r="O29" s="200">
        <f>'Life duration'!G13</f>
        <v>9.6153846153846159E-2</v>
      </c>
      <c r="P29" s="234">
        <f>Slaughter!G13/(365*24)</f>
        <v>5.273972602739726E-4</v>
      </c>
      <c r="Q29" s="190">
        <f>'No affected'!V13</f>
        <v>5.4505002185052534E-3</v>
      </c>
      <c r="R29" s="51">
        <f>Ability!D13</f>
        <v>0.54320827892864587</v>
      </c>
      <c r="S29" s="41">
        <f>2*V29+2*W29+X29+2*Y29</f>
        <v>1.9678846153846152</v>
      </c>
      <c r="T29" s="41">
        <f>(2*Z29+2*AA29+AB29+2*AC29)/7</f>
        <v>0.42398351648351645</v>
      </c>
      <c r="U29" s="110">
        <f>(Z29+AA29+AC29)/3</f>
        <v>0.46256410256410252</v>
      </c>
      <c r="V29">
        <f>Mortality!V13</f>
        <v>0.06</v>
      </c>
      <c r="W29" s="41">
        <f>Disease!V13</f>
        <v>0.44</v>
      </c>
      <c r="X29" s="41">
        <f>Slaughter!V13/24</f>
        <v>0.1925</v>
      </c>
      <c r="Y29" s="110">
        <f>Space!V13/100</f>
        <v>0.38769230769230767</v>
      </c>
      <c r="Z29" s="101">
        <f>Mortality!V13/Mortality!$G$2</f>
        <v>0.12</v>
      </c>
      <c r="AA29">
        <f>Disease!V13/Disease!$G$2</f>
        <v>0.88</v>
      </c>
      <c r="AB29" s="41">
        <f>Slaughter!V13/Slaughter!$G$2</f>
        <v>0.1925</v>
      </c>
      <c r="AC29" s="218">
        <f>Space!V13/Space!$G$2</f>
        <v>0.38769230769230767</v>
      </c>
      <c r="AD29" s="191">
        <f>'Life duration'!V13</f>
        <v>6.6666666666666671E-3</v>
      </c>
      <c r="AE29" s="234">
        <f>Slaughter!V13/(365*24)</f>
        <v>5.273972602739726E-4</v>
      </c>
    </row>
    <row r="30" spans="1:31" x14ac:dyDescent="0.3">
      <c r="A30" s="101" t="s">
        <v>67</v>
      </c>
      <c r="B30" s="189"/>
      <c r="C30" s="41"/>
      <c r="D30" s="41"/>
      <c r="E30" s="41"/>
      <c r="F30" s="110"/>
      <c r="G30" s="44"/>
      <c r="H30" s="44"/>
      <c r="I30" s="44"/>
      <c r="J30" s="207"/>
      <c r="K30" s="206"/>
      <c r="L30" s="44"/>
      <c r="M30" s="44"/>
      <c r="N30" s="207"/>
      <c r="O30" s="200"/>
      <c r="P30" s="234"/>
      <c r="Q30" s="101"/>
      <c r="R30" s="51"/>
      <c r="S30" s="51"/>
      <c r="U30" s="111"/>
      <c r="X30" s="41"/>
      <c r="Y30" s="110"/>
      <c r="Z30" s="101"/>
      <c r="AC30" s="111"/>
      <c r="AD30" s="191"/>
      <c r="AE30" s="234"/>
    </row>
    <row r="31" spans="1:31" x14ac:dyDescent="0.3">
      <c r="A31" s="104" t="s">
        <v>68</v>
      </c>
      <c r="B31" s="232">
        <f>'No affected'!G15</f>
        <v>5.1999999999999998E-2</v>
      </c>
      <c r="C31" s="193">
        <f>Ability!B15</f>
        <v>0.58534077701729459</v>
      </c>
      <c r="D31" s="193">
        <f t="shared" si="9"/>
        <v>2.412913333333333</v>
      </c>
      <c r="E31" s="193">
        <f t="shared" si="10"/>
        <v>0.43502952380952381</v>
      </c>
      <c r="F31" s="254">
        <f t="shared" si="11"/>
        <v>0.51451333333333327</v>
      </c>
      <c r="G31" s="255">
        <f>Mortality!G15</f>
        <v>3.5000000000000003E-2</v>
      </c>
      <c r="H31" s="255">
        <f>Disease!G15</f>
        <v>0.44</v>
      </c>
      <c r="I31" s="255">
        <f>Slaughter!G15/24</f>
        <v>0.27583333333333332</v>
      </c>
      <c r="J31" s="256">
        <f>Space!G15/100</f>
        <v>0.59353999999999996</v>
      </c>
      <c r="K31" s="257">
        <f>Mortality!G15/Mortality!$G$2</f>
        <v>7.0000000000000007E-2</v>
      </c>
      <c r="L31" s="255">
        <f>Disease!G15/Disease!$G$2</f>
        <v>0.88</v>
      </c>
      <c r="M31" s="255">
        <f>Slaughter!G15/Slaughter!$G$2</f>
        <v>0.27583333333333332</v>
      </c>
      <c r="N31" s="256">
        <f>Space!G15/Space!$G$2</f>
        <v>0.59353999999999996</v>
      </c>
      <c r="O31" s="244">
        <f>'Life duration'!G15</f>
        <v>1.2</v>
      </c>
      <c r="P31" s="235">
        <f>Slaughter!G15/(365*24)</f>
        <v>7.5570776255707759E-4</v>
      </c>
      <c r="Q31" s="263">
        <f>'No affected'!V15</f>
        <v>5.1999999999999998E-2</v>
      </c>
      <c r="R31" s="261">
        <f>Ability!D15</f>
        <v>0.2556274253781865</v>
      </c>
      <c r="S31" s="193">
        <f>2*V31+2*W31+X31+2*Y31</f>
        <v>6.9444444444444441E-3</v>
      </c>
      <c r="T31" s="193">
        <f>(2*Z31+2*AA31+AB31+2*AC31)/7</f>
        <v>9.9206349206349201E-4</v>
      </c>
      <c r="U31" s="254">
        <f>(Z31+AA31+AC31)/3</f>
        <v>0</v>
      </c>
      <c r="V31" s="194">
        <f>Mortality!V15</f>
        <v>0</v>
      </c>
      <c r="W31" s="193">
        <f>Disease!V15</f>
        <v>0</v>
      </c>
      <c r="X31" s="193">
        <f>Slaughter!V15/24</f>
        <v>6.9444444444444441E-3</v>
      </c>
      <c r="Y31" s="254">
        <f>Space!V15/100</f>
        <v>0</v>
      </c>
      <c r="Z31" s="104">
        <f>Mortality!V15/Mortality!$G$2</f>
        <v>0</v>
      </c>
      <c r="AA31" s="133">
        <f>Disease!V15/Disease!$G$2</f>
        <v>0</v>
      </c>
      <c r="AB31" s="193">
        <f>Slaughter!V15/Slaughter!$G$2</f>
        <v>6.9444444444444441E-3</v>
      </c>
      <c r="AC31" s="114">
        <f>Space!V15/Space!$G$2</f>
        <v>0</v>
      </c>
      <c r="AD31" s="244">
        <f>'Life duration'!V15</f>
        <v>3.1709791983764589E-7</v>
      </c>
      <c r="AE31" s="235">
        <f>Slaughter!V15/(365*24)</f>
        <v>1.902587519025875E-5</v>
      </c>
    </row>
  </sheetData>
  <mergeCells count="4">
    <mergeCell ref="B5:D5"/>
    <mergeCell ref="E5:G5"/>
    <mergeCell ref="H5:J5"/>
    <mergeCell ref="K5:M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A417-2A8E-4898-B3CF-E7C29DC7FB64}">
  <sheetPr>
    <tabColor theme="5" tint="0.79998168889431442"/>
  </sheetPr>
  <dimension ref="A2:AE31"/>
  <sheetViews>
    <sheetView topLeftCell="A3"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30" t="s">
        <v>74</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0.41127979625147598</v>
      </c>
      <c r="C7" s="41">
        <f t="shared" ref="C7:C16" si="0">B22*C22*D22*100</f>
        <v>0.36613477228793578</v>
      </c>
      <c r="D7" s="41">
        <f>Q22*R22*S22*100</f>
        <v>4.5145023963540185E-2</v>
      </c>
      <c r="E7" s="41">
        <f t="shared" ref="E7:E16" si="1">F7+G7</f>
        <v>6.8872099791948443E-2</v>
      </c>
      <c r="F7" s="19">
        <f t="shared" ref="F7:F16" si="2">B22*C22*E22*100</f>
        <v>6.1008245801865577E-2</v>
      </c>
      <c r="G7" s="19">
        <f>Q22*R22*T22*100</f>
        <v>7.86385399008286E-3</v>
      </c>
      <c r="H7" s="226">
        <f>I7+J7</f>
        <v>1.2802978288506317E-3</v>
      </c>
      <c r="I7" s="226">
        <f t="shared" ref="I7:I16" si="3">B22*((O22-P22)*F22+P22)</f>
        <v>1.1992096034958951E-3</v>
      </c>
      <c r="J7" s="226">
        <f>Q22*((AD22-AE22)*U22+AE22)</f>
        <v>8.108822535473656E-5</v>
      </c>
      <c r="K7" s="226">
        <f>L7+M7</f>
        <v>1.131915193337501E-3</v>
      </c>
      <c r="L7" s="226">
        <f t="shared" ref="L7:L16" si="4">C22*B22*((O22-P22)*F22+P22)</f>
        <v>1.0602248473793264E-3</v>
      </c>
      <c r="M7" s="234">
        <f>R22*Q22*((AD22-AE22)*U22+AE22)</f>
        <v>7.1690345958174502E-5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0.5522250747785078</v>
      </c>
      <c r="C9" s="41">
        <f t="shared" si="0"/>
        <v>0.5522250747785078</v>
      </c>
      <c r="D9" s="41"/>
      <c r="E9" s="41">
        <f t="shared" si="1"/>
        <v>9.5490465454509857E-2</v>
      </c>
      <c r="F9" s="19">
        <f t="shared" si="2"/>
        <v>9.5490465454509857E-2</v>
      </c>
      <c r="G9" s="19"/>
      <c r="H9" s="226">
        <f t="shared" si="6"/>
        <v>1.9330536083861775E-3</v>
      </c>
      <c r="I9" s="226">
        <f t="shared" si="3"/>
        <v>1.9330536083861775E-3</v>
      </c>
      <c r="J9" s="226"/>
      <c r="K9" s="226">
        <f t="shared" si="7"/>
        <v>1.7090185576839458E-3</v>
      </c>
      <c r="L9" s="226">
        <f t="shared" si="4"/>
        <v>1.7090185576839458E-3</v>
      </c>
      <c r="M9" s="111"/>
    </row>
    <row r="10" spans="1:13" x14ac:dyDescent="0.3">
      <c r="A10" s="101" t="s">
        <v>38</v>
      </c>
      <c r="B10" s="191">
        <f t="shared" si="5"/>
        <v>1.1186496781727206E-2</v>
      </c>
      <c r="C10" s="102">
        <f t="shared" si="0"/>
        <v>1.1186496781727206E-2</v>
      </c>
      <c r="D10" s="41"/>
      <c r="E10" s="41">
        <f t="shared" si="1"/>
        <v>2.2799080643012052E-3</v>
      </c>
      <c r="F10" s="19">
        <f t="shared" si="2"/>
        <v>2.2799080643012052E-3</v>
      </c>
      <c r="G10" s="19"/>
      <c r="H10" s="226">
        <f t="shared" si="6"/>
        <v>1.6484388928473723E-4</v>
      </c>
      <c r="I10" s="226">
        <f t="shared" si="3"/>
        <v>1.6484388928473723E-4</v>
      </c>
      <c r="J10" s="226"/>
      <c r="K10" s="226">
        <f t="shared" si="7"/>
        <v>1.4573898245047147E-4</v>
      </c>
      <c r="L10" s="226">
        <f t="shared" si="4"/>
        <v>1.4573898245047147E-4</v>
      </c>
      <c r="M10" s="111"/>
    </row>
    <row r="11" spans="1:13" x14ac:dyDescent="0.3">
      <c r="A11" s="101" t="s">
        <v>39</v>
      </c>
      <c r="B11" s="191">
        <f t="shared" si="5"/>
        <v>0.44484289787119907</v>
      </c>
      <c r="C11" s="41">
        <f t="shared" si="0"/>
        <v>0.44484289787119907</v>
      </c>
      <c r="D11" s="41"/>
      <c r="E11" s="41">
        <f t="shared" si="1"/>
        <v>0.10901288406329779</v>
      </c>
      <c r="F11" s="19">
        <f t="shared" si="2"/>
        <v>0.10901288406329779</v>
      </c>
      <c r="G11" s="19"/>
      <c r="H11" s="226">
        <f t="shared" si="6"/>
        <v>1.5253435616438358E-3</v>
      </c>
      <c r="I11" s="226">
        <f t="shared" si="3"/>
        <v>1.5253435616438358E-3</v>
      </c>
      <c r="J11" s="226"/>
      <c r="K11" s="226">
        <f t="shared" si="7"/>
        <v>1.3409846842111065E-3</v>
      </c>
      <c r="L11" s="226">
        <f t="shared" si="4"/>
        <v>1.3409846842111065E-3</v>
      </c>
      <c r="M11" s="111"/>
    </row>
    <row r="12" spans="1:13" x14ac:dyDescent="0.3">
      <c r="A12" s="101" t="s">
        <v>40</v>
      </c>
      <c r="B12" s="191">
        <f t="shared" si="5"/>
        <v>3.8323104574399136</v>
      </c>
      <c r="C12" s="85">
        <f t="shared" si="0"/>
        <v>3.7500093941046595</v>
      </c>
      <c r="D12" s="41">
        <f>Q27*R27*S27*100</f>
        <v>8.2301063335254054E-2</v>
      </c>
      <c r="E12" s="41">
        <f t="shared" si="1"/>
        <v>0.98591265147369467</v>
      </c>
      <c r="F12" s="41">
        <f t="shared" si="2"/>
        <v>0.97109888622679152</v>
      </c>
      <c r="G12" s="19">
        <f>Q27*R27*T27*100</f>
        <v>1.4813765246903183E-2</v>
      </c>
      <c r="H12" s="226">
        <f t="shared" si="6"/>
        <v>3.5856153407223591E-3</v>
      </c>
      <c r="I12" s="226">
        <f t="shared" si="3"/>
        <v>3.5161860076666179E-3</v>
      </c>
      <c r="J12" s="226">
        <f t="shared" ref="J12:J16" si="8">Q27*((AD27-AE27)*U27+AE27)</f>
        <v>6.9429333055741259E-5</v>
      </c>
      <c r="K12" s="226">
        <f t="shared" si="7"/>
        <v>2.946230172350274E-3</v>
      </c>
      <c r="L12" s="226">
        <f t="shared" si="4"/>
        <v>2.8848474884323964E-3</v>
      </c>
      <c r="M12" s="234">
        <f>R27*Q27*((AD27-AE27)*U27+AE27)</f>
        <v>6.1382683917877466E-5</v>
      </c>
    </row>
    <row r="13" spans="1:13" x14ac:dyDescent="0.3">
      <c r="A13" s="101" t="s">
        <v>41</v>
      </c>
      <c r="B13" s="191">
        <f t="shared" si="5"/>
        <v>2.8469004569656313</v>
      </c>
      <c r="C13" s="85">
        <f t="shared" si="0"/>
        <v>2.8001962389251585</v>
      </c>
      <c r="D13" s="41">
        <f>Q28*R28*S28*100</f>
        <v>4.6704218040472811E-2</v>
      </c>
      <c r="E13" s="41">
        <f t="shared" si="1"/>
        <v>0.47546147638362357</v>
      </c>
      <c r="F13" s="41">
        <f t="shared" si="2"/>
        <v>0.46719454339028871</v>
      </c>
      <c r="G13" s="19">
        <f>Q28*R28*T28*100</f>
        <v>8.2669329933348513E-3</v>
      </c>
      <c r="H13" s="226">
        <f t="shared" si="6"/>
        <v>4.6014667388125504E-3</v>
      </c>
      <c r="I13" s="226">
        <f t="shared" si="3"/>
        <v>4.5983955905903292E-3</v>
      </c>
      <c r="J13" s="226">
        <f t="shared" si="8"/>
        <v>3.0711482222210793E-6</v>
      </c>
      <c r="K13" s="226">
        <f t="shared" si="7"/>
        <v>4.0486336625849247E-3</v>
      </c>
      <c r="L13" s="226">
        <f t="shared" si="4"/>
        <v>4.0457220406628219E-3</v>
      </c>
      <c r="M13" s="234">
        <f>R28*Q28*((AD28-AE28)*U28+AE28)</f>
        <v>2.9116219221029263E-6</v>
      </c>
    </row>
    <row r="14" spans="1:13" x14ac:dyDescent="0.3">
      <c r="A14" s="101" t="s">
        <v>42</v>
      </c>
      <c r="B14" s="191">
        <f>C14+D14</f>
        <v>76.375945434990129</v>
      </c>
      <c r="C14" s="85">
        <f t="shared" si="0"/>
        <v>75.793302650867773</v>
      </c>
      <c r="D14" s="41">
        <f>Q29*R29*S29*100</f>
        <v>0.58264278412234949</v>
      </c>
      <c r="E14" s="41">
        <f t="shared" si="1"/>
        <v>10.429218802553189</v>
      </c>
      <c r="F14" s="85">
        <f t="shared" si="2"/>
        <v>10.303687592778648</v>
      </c>
      <c r="G14" s="41">
        <f>Q29*R29*T29*100</f>
        <v>0.12553120977454202</v>
      </c>
      <c r="H14" s="226">
        <f>I14+J14</f>
        <v>2.4732710992302287E-2</v>
      </c>
      <c r="I14" s="226">
        <f t="shared" si="3"/>
        <v>2.4714358052140239E-2</v>
      </c>
      <c r="J14" s="226">
        <f t="shared" si="8"/>
        <v>1.8352940162048212E-5</v>
      </c>
      <c r="K14" s="226">
        <f t="shared" si="7"/>
        <v>1.3435013371368128E-2</v>
      </c>
      <c r="L14" s="226">
        <f t="shared" si="4"/>
        <v>1.3425043902329421E-2</v>
      </c>
      <c r="M14" s="234">
        <f>R29*Q29*((AD29-AE29)*U29+AE29)</f>
        <v>9.9694690387066327E-6</v>
      </c>
    </row>
    <row r="15" spans="1:13" x14ac:dyDescent="0.3">
      <c r="A15" s="101" t="s">
        <v>43</v>
      </c>
      <c r="B15" s="191">
        <f t="shared" si="5"/>
        <v>97.636675488412735</v>
      </c>
      <c r="C15" s="85">
        <f t="shared" si="0"/>
        <v>97.636675488412735</v>
      </c>
      <c r="D15" s="41"/>
      <c r="E15" s="41">
        <f t="shared" si="1"/>
        <v>18.724563212802426</v>
      </c>
      <c r="F15" s="85">
        <f t="shared" si="2"/>
        <v>18.724563212802426</v>
      </c>
      <c r="H15" s="226">
        <f t="shared" si="6"/>
        <v>4.8563175122976338E-2</v>
      </c>
      <c r="I15" s="226">
        <f t="shared" si="3"/>
        <v>4.8563175122976338E-2</v>
      </c>
      <c r="J15" s="226"/>
      <c r="K15" s="226">
        <f t="shared" si="7"/>
        <v>3.2632898379744445E-2</v>
      </c>
      <c r="L15" s="226">
        <f t="shared" si="4"/>
        <v>3.2632898379744445E-2</v>
      </c>
      <c r="M15" s="111"/>
    </row>
    <row r="16" spans="1:13" x14ac:dyDescent="0.3">
      <c r="A16" s="104" t="s">
        <v>44</v>
      </c>
      <c r="B16" s="233">
        <f t="shared" si="5"/>
        <v>8.5072471392274132</v>
      </c>
      <c r="C16" s="253">
        <f t="shared" si="0"/>
        <v>8.4965959965033218</v>
      </c>
      <c r="D16" s="193">
        <f>Q31*R31*S31*100</f>
        <v>1.0651142724091104E-2</v>
      </c>
      <c r="E16" s="193">
        <f t="shared" si="1"/>
        <v>1.5309601804884363</v>
      </c>
      <c r="F16" s="193">
        <f t="shared" si="2"/>
        <v>1.5294385886707089</v>
      </c>
      <c r="G16" s="113">
        <f>Q31*R31*T31*100</f>
        <v>1.5215918177273005E-3</v>
      </c>
      <c r="H16" s="227">
        <f t="shared" si="6"/>
        <v>3.7144386652054787E-2</v>
      </c>
      <c r="I16" s="227">
        <f t="shared" si="3"/>
        <v>3.7143245099543372E-2</v>
      </c>
      <c r="J16" s="227">
        <f t="shared" si="8"/>
        <v>1.1415525114155249E-6</v>
      </c>
      <c r="K16" s="227">
        <f t="shared" si="7"/>
        <v>2.1741747759639961E-2</v>
      </c>
      <c r="L16" s="227">
        <f t="shared" si="4"/>
        <v>2.1741455947510535E-2</v>
      </c>
      <c r="M16" s="235">
        <f>R31*Q31*((AD31-AE31)*U31+AE31)</f>
        <v>2.9181212942715349E-7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affected'!H6</f>
        <v>3.5000000000000001E-3</v>
      </c>
      <c r="C22" s="41">
        <f>Ability!B6</f>
        <v>0.88410303277141455</v>
      </c>
      <c r="D22" s="41">
        <f>2*G22+2*H22+I22+2*J22</f>
        <v>1.1832323955669224</v>
      </c>
      <c r="E22" s="41">
        <f>(2*K22+2*L22+N22+2*M22)/7</f>
        <v>0.19715945682620875</v>
      </c>
      <c r="F22" s="110">
        <f>(K22+L22+N22)/3</f>
        <v>0.17092762148337595</v>
      </c>
      <c r="G22" s="44">
        <f>Mortality!H6</f>
        <v>4.2000000000000003E-2</v>
      </c>
      <c r="H22" s="44">
        <f>Disease!H6</f>
        <v>0.05</v>
      </c>
      <c r="I22" s="44">
        <f>Slaughter!H6/24</f>
        <v>0.34166666666666662</v>
      </c>
      <c r="J22" s="207">
        <f>Space!H6/100</f>
        <v>0.32878286445012789</v>
      </c>
      <c r="K22" s="206">
        <f>Mortality!H6/Mortality!$G$2</f>
        <v>8.4000000000000005E-2</v>
      </c>
      <c r="L22" s="44">
        <f>Disease!H6/Disease!$G$2</f>
        <v>0.1</v>
      </c>
      <c r="M22" s="44">
        <f>Slaughter!H6/Slaughter!$G$2</f>
        <v>0.34166666666666662</v>
      </c>
      <c r="N22" s="207">
        <f>Space!H6/Space!$G$2</f>
        <v>0.32878286445012789</v>
      </c>
      <c r="O22" s="200">
        <f>'Life duration'!H6</f>
        <v>2</v>
      </c>
      <c r="P22" s="234">
        <f>Slaughter!H6/(365*24)</f>
        <v>9.3607305936073046E-4</v>
      </c>
      <c r="Q22" s="247">
        <f>'No affected'!W6</f>
        <v>8.0000000000000004E-4</v>
      </c>
      <c r="R22" s="51">
        <f>Ability!D6</f>
        <v>0.88410303277141455</v>
      </c>
      <c r="S22" s="41">
        <f>2*V22+2*W22+X22+2*Y22</f>
        <v>0.63828850103057588</v>
      </c>
      <c r="T22" s="41">
        <f>(2*Z22+2*AA22+AB22+2*AC22)/7</f>
        <v>0.11118407157579654</v>
      </c>
      <c r="U22" s="110">
        <f>(Z22+AA22+AC22)/3</f>
        <v>7.2770305727318199E-2</v>
      </c>
      <c r="V22">
        <f>Mortality!W6</f>
        <v>0.03</v>
      </c>
      <c r="W22" s="41">
        <f>Disease!W6</f>
        <v>0.04</v>
      </c>
      <c r="X22" s="41">
        <f>Slaughter!W6/24</f>
        <v>0.34166666666666662</v>
      </c>
      <c r="Y22" s="110">
        <f>Space!W6/100</f>
        <v>7.8310917181954598E-2</v>
      </c>
      <c r="Z22" s="101">
        <f>Mortality!W6/Mortality!$G$2</f>
        <v>0.06</v>
      </c>
      <c r="AA22">
        <f>Disease!W6/Disease!$G$2</f>
        <v>0.08</v>
      </c>
      <c r="AB22" s="41">
        <f>Slaughter!W6/Slaughter!$G$2</f>
        <v>0.34166666666666662</v>
      </c>
      <c r="AC22" s="218">
        <f>Space!W6/Space!$G$2</f>
        <v>7.8310917181954598E-2</v>
      </c>
      <c r="AD22" s="200">
        <f>'Life duration'!W6</f>
        <v>1.3809523809523809</v>
      </c>
      <c r="AE22" s="234">
        <f>Slaughter!W6/(365*24)</f>
        <v>9.3607305936073046E-4</v>
      </c>
    </row>
    <row r="23" spans="1:31" x14ac:dyDescent="0.3">
      <c r="A23" s="101" t="s">
        <v>60</v>
      </c>
      <c r="B23" s="189">
        <f>'No affected'!H7</f>
        <v>8.9999999999999993E-3</v>
      </c>
      <c r="C23" s="41">
        <f>Ability!B7</f>
        <v>0.82044791775586834</v>
      </c>
      <c r="D23" s="41">
        <f t="shared" ref="D23:D31" si="9">2*G23+2*H23+I23+2*J23</f>
        <v>1.0073565062388592</v>
      </c>
      <c r="E23" s="41">
        <f t="shared" ref="E23:E31" si="10">(2*K23+2*L23+N23+2*M23)/7</f>
        <v>0.21588260758848993</v>
      </c>
      <c r="F23" s="110">
        <f t="shared" ref="F23:F31" si="11">(K23+L23+N23)/3</f>
        <v>0.16594830659536541</v>
      </c>
      <c r="G23" s="44">
        <f>Mortality!H7</f>
        <v>6.5000000000000002E-2</v>
      </c>
      <c r="H23" s="44">
        <f>Disease!H7</f>
        <v>0.1</v>
      </c>
      <c r="I23" s="44">
        <f>Slaughter!H7/24</f>
        <v>0.34166666666666662</v>
      </c>
      <c r="J23" s="207">
        <f>Space!H7/100</f>
        <v>0.16784491978609625</v>
      </c>
      <c r="K23" s="206">
        <f>Mortality!H7/Mortality!$G$2</f>
        <v>0.13</v>
      </c>
      <c r="L23" s="44">
        <f>Disease!H7/Disease!$G$2</f>
        <v>0.2</v>
      </c>
      <c r="M23" s="44">
        <f>Slaughter!H7/Slaughter!$G$2</f>
        <v>0.34166666666666662</v>
      </c>
      <c r="N23" s="207">
        <f>Space!H7/Space!$G$2</f>
        <v>0.16784491978609625</v>
      </c>
      <c r="O23" s="200">
        <f>'Life duration'!H7</f>
        <v>0.75</v>
      </c>
      <c r="P23" s="234">
        <f>Slaughter!H7/(365*24)</f>
        <v>9.3607305936073046E-4</v>
      </c>
      <c r="Q23" s="101"/>
      <c r="R23" s="51"/>
      <c r="S23" s="51"/>
      <c r="U23" s="111"/>
      <c r="X23" s="41"/>
      <c r="Y23" s="110"/>
      <c r="Z23" s="101"/>
      <c r="AC23" s="111"/>
      <c r="AD23" s="200"/>
      <c r="AE23" s="234"/>
    </row>
    <row r="24" spans="1:31" x14ac:dyDescent="0.3">
      <c r="A24" s="101" t="s">
        <v>61</v>
      </c>
      <c r="B24" s="189">
        <f>'No affected'!H8</f>
        <v>5.0000000000000001E-3</v>
      </c>
      <c r="C24" s="41">
        <f>Ability!B8</f>
        <v>0.88410303277141455</v>
      </c>
      <c r="D24" s="41">
        <f t="shared" si="9"/>
        <v>1.2492323955669224</v>
      </c>
      <c r="E24" s="41">
        <f t="shared" si="10"/>
        <v>0.21601659968335157</v>
      </c>
      <c r="F24" s="110">
        <f t="shared" si="11"/>
        <v>0.19292762148337594</v>
      </c>
      <c r="G24" s="44">
        <f>Mortality!H8</f>
        <v>7.4999999999999997E-2</v>
      </c>
      <c r="H24" s="44">
        <f>Disease!H8</f>
        <v>0.05</v>
      </c>
      <c r="I24" s="44">
        <f>Slaughter!H8/24</f>
        <v>0.34166666666666662</v>
      </c>
      <c r="J24" s="207">
        <f>Space!H8/100</f>
        <v>0.32878286445012789</v>
      </c>
      <c r="K24" s="206">
        <f>Mortality!H8/Mortality!$G$2</f>
        <v>0.15</v>
      </c>
      <c r="L24" s="44">
        <f>Disease!H8/Disease!$G$2</f>
        <v>0.1</v>
      </c>
      <c r="M24" s="44">
        <f>Slaughter!H8/Slaughter!$G$2</f>
        <v>0.34166666666666662</v>
      </c>
      <c r="N24" s="207">
        <f>Space!H8/Space!$G$2</f>
        <v>0.32878286445012789</v>
      </c>
      <c r="O24" s="200">
        <f>'Life duration'!H8</f>
        <v>2</v>
      </c>
      <c r="P24" s="234">
        <f>Slaughter!H8/(365*24)</f>
        <v>9.3607305936073046E-4</v>
      </c>
      <c r="Q24" s="101"/>
      <c r="R24" s="51"/>
      <c r="S24" s="51"/>
      <c r="U24" s="111"/>
      <c r="X24" s="41"/>
      <c r="Y24" s="110"/>
      <c r="Z24" s="101"/>
      <c r="AC24" s="111"/>
      <c r="AD24" s="200"/>
      <c r="AE24" s="234"/>
    </row>
    <row r="25" spans="1:31" x14ac:dyDescent="0.3">
      <c r="A25" s="101" t="s">
        <v>62</v>
      </c>
      <c r="B25" s="189">
        <f>'No affected'!H9</f>
        <v>1E-4</v>
      </c>
      <c r="C25" s="41">
        <f>Ability!B9</f>
        <v>0.88410303277141455</v>
      </c>
      <c r="D25" s="41">
        <f t="shared" si="9"/>
        <v>1.2652933387934076</v>
      </c>
      <c r="E25" s="41">
        <f t="shared" si="10"/>
        <v>0.25787809562810049</v>
      </c>
      <c r="F25" s="110">
        <f t="shared" si="11"/>
        <v>0.22727111202112349</v>
      </c>
      <c r="G25" s="44">
        <f>Mortality!H9</f>
        <v>0.06</v>
      </c>
      <c r="H25" s="44">
        <f>Disease!H9</f>
        <v>0.16</v>
      </c>
      <c r="I25" s="44">
        <f>Slaughter!H9/24</f>
        <v>0.34166666666666662</v>
      </c>
      <c r="J25" s="207">
        <f>Space!H9/100</f>
        <v>0.24181333606337049</v>
      </c>
      <c r="K25" s="206">
        <f>Mortality!H9/Mortality!$G$2</f>
        <v>0.12</v>
      </c>
      <c r="L25" s="44">
        <f>Disease!H9/Disease!$G$2</f>
        <v>0.32</v>
      </c>
      <c r="M25" s="44">
        <f>Slaughter!H9/Slaughter!$G$2</f>
        <v>0.34166666666666662</v>
      </c>
      <c r="N25" s="207">
        <f>Space!H9/Space!$G$2</f>
        <v>0.24181333606337049</v>
      </c>
      <c r="O25" s="200">
        <f>'Life duration'!H9</f>
        <v>7.25</v>
      </c>
      <c r="P25" s="234">
        <f>Slaughter!H9/(365*24)</f>
        <v>9.3607305936073046E-4</v>
      </c>
      <c r="Q25" s="101"/>
      <c r="R25" s="51"/>
      <c r="S25" s="51"/>
      <c r="U25" s="111"/>
      <c r="X25" s="41"/>
      <c r="Y25" s="110"/>
      <c r="Z25" s="101"/>
      <c r="AC25" s="111"/>
      <c r="AD25" s="200"/>
      <c r="AE25" s="234"/>
    </row>
    <row r="26" spans="1:31" x14ac:dyDescent="0.3">
      <c r="A26" s="101" t="s">
        <v>63</v>
      </c>
      <c r="B26" s="189">
        <f>'No affected'!H10</f>
        <v>5.0000000000000001E-3</v>
      </c>
      <c r="C26" s="41">
        <f>Ability!B10</f>
        <v>0.87913616180078868</v>
      </c>
      <c r="D26" s="41">
        <f t="shared" si="9"/>
        <v>1.012</v>
      </c>
      <c r="E26" s="41">
        <f t="shared" si="10"/>
        <v>0.24799999999999997</v>
      </c>
      <c r="F26" s="110">
        <f t="shared" si="11"/>
        <v>0.152</v>
      </c>
      <c r="G26" s="44">
        <f>Mortality!H10</f>
        <v>0.03</v>
      </c>
      <c r="H26" s="44">
        <f>Disease!H10</f>
        <v>0.15</v>
      </c>
      <c r="I26" s="44">
        <f>Slaughter!H10/24</f>
        <v>0.45999999999999996</v>
      </c>
      <c r="J26" s="207">
        <f>Space!H10/100</f>
        <v>9.6000000000000002E-2</v>
      </c>
      <c r="K26" s="206">
        <f>Mortality!H10/Mortality!$G$2</f>
        <v>0.06</v>
      </c>
      <c r="L26" s="44">
        <f>Disease!H10/Disease!$G$2</f>
        <v>0.3</v>
      </c>
      <c r="M26" s="44">
        <f>Slaughter!H10/Slaughter!$G$2</f>
        <v>0.45999999999999996</v>
      </c>
      <c r="N26" s="207">
        <f>Space!H10/Space!$G$2</f>
        <v>9.6000000000000002E-2</v>
      </c>
      <c r="O26" s="200">
        <f>'Life duration'!H10</f>
        <v>2</v>
      </c>
      <c r="P26" s="234">
        <f>Slaughter!H10/(365*24)</f>
        <v>1.2602739726027396E-3</v>
      </c>
      <c r="Q26" s="101"/>
      <c r="R26" s="51"/>
      <c r="S26" s="51"/>
      <c r="U26" s="111"/>
      <c r="X26" s="41"/>
      <c r="Y26" s="110"/>
      <c r="Z26" s="101"/>
      <c r="AC26" s="111"/>
      <c r="AD26" s="200"/>
      <c r="AE26" s="234"/>
    </row>
    <row r="27" spans="1:31" x14ac:dyDescent="0.3">
      <c r="A27" s="101" t="s">
        <v>64</v>
      </c>
      <c r="B27" s="189">
        <f>'No affected'!H11</f>
        <v>6.4000000000000001E-2</v>
      </c>
      <c r="C27" s="41">
        <f>Ability!B11</f>
        <v>0.82044791775586834</v>
      </c>
      <c r="D27" s="41">
        <f t="shared" si="9"/>
        <v>0.71416960802526464</v>
      </c>
      <c r="E27" s="41">
        <f t="shared" si="10"/>
        <v>0.18494068628751892</v>
      </c>
      <c r="F27" s="110">
        <f t="shared" si="11"/>
        <v>0.10819493467087744</v>
      </c>
      <c r="G27" s="44">
        <f>Mortality!H11</f>
        <v>0.08</v>
      </c>
      <c r="H27" s="44">
        <f>Disease!H11</f>
        <v>0.06</v>
      </c>
      <c r="I27" s="44">
        <f>Slaughter!H11/24</f>
        <v>0.34499999999999997</v>
      </c>
      <c r="J27" s="207">
        <f>Space!H11/100</f>
        <v>4.4584804012632345E-2</v>
      </c>
      <c r="K27" s="206">
        <f>Mortality!H11/Mortality!$G$2</f>
        <v>0.16</v>
      </c>
      <c r="L27" s="44">
        <f>Disease!H11/Disease!$G$2</f>
        <v>0.12</v>
      </c>
      <c r="M27" s="44">
        <f>Slaughter!H11/Slaughter!$G$2</f>
        <v>0.34499999999999997</v>
      </c>
      <c r="N27" s="207">
        <f>Space!H11/Space!$G$2</f>
        <v>4.4584804012632345E-2</v>
      </c>
      <c r="O27" s="200">
        <f>'Life duration'!H11</f>
        <v>0.5</v>
      </c>
      <c r="P27" s="234">
        <f>Slaughter!H11/(365*24)</f>
        <v>9.4520547945205473E-4</v>
      </c>
      <c r="Q27" s="190">
        <f>'No affected'!W11</f>
        <v>1.1000000000000001E-3</v>
      </c>
      <c r="R27" s="51">
        <f>Ability!D11</f>
        <v>0.88410303277141455</v>
      </c>
      <c r="S27" s="41">
        <f>2*V27+2*W27+X27+2*Y27</f>
        <v>0.84627182255056388</v>
      </c>
      <c r="T27" s="41">
        <f>(2*Z27+2*AA27+AB27+2*AC27)/7</f>
        <v>0.15232454607865198</v>
      </c>
      <c r="U27" s="110">
        <f>(Z27+AA27+AC27)/3</f>
        <v>0.12021197042509398</v>
      </c>
      <c r="V27">
        <f>Mortality!W11</f>
        <v>0.06</v>
      </c>
      <c r="W27" s="41">
        <f>Disease!W11</f>
        <v>0.05</v>
      </c>
      <c r="X27" s="41">
        <f>Slaughter!W11/24</f>
        <v>0.34499999999999997</v>
      </c>
      <c r="Y27" s="110">
        <f>Space!W11/100</f>
        <v>0.14063591127528194</v>
      </c>
      <c r="Z27" s="101">
        <f>Mortality!W11/Mortality!$G$2</f>
        <v>0.12</v>
      </c>
      <c r="AA27">
        <f>Disease!W11/Disease!$G$2</f>
        <v>0.1</v>
      </c>
      <c r="AB27" s="41">
        <f>Slaughter!W11/Slaughter!$G$2</f>
        <v>0.34499999999999997</v>
      </c>
      <c r="AC27" s="218">
        <f>Space!W11/Space!$G$2</f>
        <v>0.14063591127528194</v>
      </c>
      <c r="AD27" s="200">
        <f>'Life duration'!W11</f>
        <v>0.5181347150259068</v>
      </c>
      <c r="AE27" s="234">
        <f>Slaughter!W11/(365*24)</f>
        <v>9.4520547945205473E-4</v>
      </c>
    </row>
    <row r="28" spans="1:31" x14ac:dyDescent="0.3">
      <c r="A28" s="101" t="s">
        <v>65</v>
      </c>
      <c r="B28" s="189">
        <f>'No affected'!H12</f>
        <v>1.3902907848700446E-2</v>
      </c>
      <c r="C28" s="41">
        <f>Ability!B12</f>
        <v>0.87981165625279378</v>
      </c>
      <c r="D28" s="41">
        <f>2*G28+2*H28+I28+2*J28</f>
        <v>2.2892494172494171</v>
      </c>
      <c r="E28" s="41">
        <f t="shared" si="10"/>
        <v>0.38194638694638694</v>
      </c>
      <c r="F28" s="110">
        <f t="shared" si="11"/>
        <v>0.44031934731934735</v>
      </c>
      <c r="G28" s="44">
        <f>Mortality!H12</f>
        <v>0.193</v>
      </c>
      <c r="H28" s="44">
        <f>Disease!H12</f>
        <v>0.15</v>
      </c>
      <c r="I28" s="44">
        <f>Slaughter!H12/24</f>
        <v>0.33333333333333331</v>
      </c>
      <c r="J28" s="207">
        <f>Space!H12/100</f>
        <v>0.63495804195804206</v>
      </c>
      <c r="K28" s="206">
        <f>Mortality!H12/Mortality!$G$2</f>
        <v>0.38600000000000001</v>
      </c>
      <c r="L28" s="44">
        <f>Disease!H12/Disease!$G$2</f>
        <v>0.3</v>
      </c>
      <c r="M28" s="44">
        <f>Slaughter!H12/Slaughter!$G$2</f>
        <v>0.33333333333333331</v>
      </c>
      <c r="N28" s="207">
        <f>Space!H12/Space!$G$2</f>
        <v>0.63495804195804206</v>
      </c>
      <c r="O28" s="200">
        <f>'Life duration'!H12</f>
        <v>0.75</v>
      </c>
      <c r="P28" s="234">
        <f>Slaughter!H12/(365*24)</f>
        <v>9.1324200913242006E-4</v>
      </c>
      <c r="Q28" s="190">
        <f>'No affected'!W12</f>
        <v>3.2000000000000003E-4</v>
      </c>
      <c r="R28" s="51">
        <f>Ability!D12</f>
        <v>0.94805646338919392</v>
      </c>
      <c r="S28" s="41">
        <f>2*V28+2*W28+X28+2*Y28</f>
        <v>1.5394724577344312</v>
      </c>
      <c r="T28" s="41">
        <f>(2*Z28+2*AA28+AB28+2*AC28)/7</f>
        <v>0.27249606539063304</v>
      </c>
      <c r="U28" s="110">
        <f>(Z28+AA28+AC28)/3</f>
        <v>0.26235652073351629</v>
      </c>
      <c r="V28">
        <f>Mortality!W12</f>
        <v>3.4000000000000002E-2</v>
      </c>
      <c r="W28" s="41">
        <f>Disease!W12</f>
        <v>0.15</v>
      </c>
      <c r="X28" s="41">
        <f>Slaughter!W12/24</f>
        <v>0.33333333333333331</v>
      </c>
      <c r="Y28" s="110">
        <f>Space!W12/100</f>
        <v>0.41906956220054892</v>
      </c>
      <c r="Z28" s="101">
        <f>Mortality!W12/Mortality!$G$2</f>
        <v>6.8000000000000005E-2</v>
      </c>
      <c r="AA28">
        <f>Disease!W12/Disease!$G$2</f>
        <v>0.3</v>
      </c>
      <c r="AB28" s="41">
        <f>Slaughter!W12/Slaughter!$G$2</f>
        <v>0.33333333333333331</v>
      </c>
      <c r="AC28" s="218">
        <f>Space!W12/Space!$G$2</f>
        <v>0.41906956220054892</v>
      </c>
      <c r="AD28" s="191">
        <f>'Life duration'!W12</f>
        <v>3.4013605442176874E-2</v>
      </c>
      <c r="AE28" s="234">
        <f>Slaughter!W12/(365*24)</f>
        <v>9.1324200913242006E-4</v>
      </c>
    </row>
    <row r="29" spans="1:31" x14ac:dyDescent="0.3">
      <c r="A29" s="101" t="s">
        <v>66</v>
      </c>
      <c r="B29" s="189">
        <f>'No affected'!H13</f>
        <v>0.75216903015372494</v>
      </c>
      <c r="C29" s="41">
        <f>Ability!B13</f>
        <v>0.54320827892864587</v>
      </c>
      <c r="D29" s="41">
        <f t="shared" si="9"/>
        <v>1.8550217391304353</v>
      </c>
      <c r="E29" s="41">
        <f t="shared" si="10"/>
        <v>0.25218012422360253</v>
      </c>
      <c r="F29" s="110">
        <f t="shared" si="11"/>
        <v>0.33808695652173926</v>
      </c>
      <c r="G29" s="44">
        <f>Mortality!H13</f>
        <v>3.7999999999999999E-2</v>
      </c>
      <c r="H29" s="44">
        <f>Disease!H13</f>
        <v>0.14499999999999999</v>
      </c>
      <c r="I29" s="44">
        <f>Slaughter!H13/24</f>
        <v>0.1925</v>
      </c>
      <c r="J29" s="207">
        <f>Space!H13/100</f>
        <v>0.64826086956521767</v>
      </c>
      <c r="K29" s="206">
        <f>Mortality!H13/Mortality!$G$2</f>
        <v>7.5999999999999998E-2</v>
      </c>
      <c r="L29" s="44">
        <f>Disease!H13/Disease!$G$2</f>
        <v>0.28999999999999998</v>
      </c>
      <c r="M29" s="44">
        <f>Slaughter!H13/Slaughter!$G$2</f>
        <v>0.1925</v>
      </c>
      <c r="N29" s="207">
        <f>Space!H13/Space!$G$2</f>
        <v>0.64826086956521767</v>
      </c>
      <c r="O29" s="200">
        <f>'Life duration'!H13</f>
        <v>9.6153846153846159E-2</v>
      </c>
      <c r="P29" s="234">
        <f>Slaughter!H13/(365*24)</f>
        <v>5.273972602739726E-4</v>
      </c>
      <c r="Q29" s="190">
        <f>'No affected'!W13</f>
        <v>5.4505002185052534E-3</v>
      </c>
      <c r="R29" s="51">
        <f>Ability!D13</f>
        <v>0.54320827892864587</v>
      </c>
      <c r="S29" s="41">
        <f>2*V29+2*W29+X29+2*Y29</f>
        <v>1.9678846153846152</v>
      </c>
      <c r="T29" s="41">
        <f>(2*Z29+2*AA29+AB29+2*AC29)/7</f>
        <v>0.42398351648351645</v>
      </c>
      <c r="U29" s="110">
        <f>(Z29+AA29+AC29)/3</f>
        <v>0.46256410256410252</v>
      </c>
      <c r="V29">
        <f>Mortality!W13</f>
        <v>0.06</v>
      </c>
      <c r="W29" s="41">
        <f>Disease!W13</f>
        <v>0.44</v>
      </c>
      <c r="X29" s="41">
        <f>Slaughter!W13/24</f>
        <v>0.1925</v>
      </c>
      <c r="Y29" s="110">
        <f>Space!W13/100</f>
        <v>0.38769230769230767</v>
      </c>
      <c r="Z29" s="101">
        <f>Mortality!W13/Mortality!$G$2</f>
        <v>0.12</v>
      </c>
      <c r="AA29">
        <f>Disease!W13/Disease!$G$2</f>
        <v>0.88</v>
      </c>
      <c r="AB29" s="41">
        <f>Slaughter!W13/Slaughter!$G$2</f>
        <v>0.1925</v>
      </c>
      <c r="AC29" s="218">
        <f>Space!W13/Space!$G$2</f>
        <v>0.38769230769230767</v>
      </c>
      <c r="AD29" s="191">
        <f>'Life duration'!W13</f>
        <v>6.6666666666666671E-3</v>
      </c>
      <c r="AE29" s="234">
        <f>Slaughter!W13/(365*24)</f>
        <v>5.273972602739726E-4</v>
      </c>
    </row>
    <row r="30" spans="1:31" x14ac:dyDescent="0.3">
      <c r="A30" s="101" t="s">
        <v>67</v>
      </c>
      <c r="B30" s="189">
        <f>'No affected'!H14</f>
        <v>1.05</v>
      </c>
      <c r="C30" s="41">
        <f>Ability!B14</f>
        <v>0.67196797361598137</v>
      </c>
      <c r="D30" s="41">
        <f t="shared" si="9"/>
        <v>1.3838056818181819</v>
      </c>
      <c r="E30" s="41">
        <f t="shared" si="10"/>
        <v>0.26538344155844157</v>
      </c>
      <c r="F30" s="110">
        <f t="shared" si="11"/>
        <v>0.27443636363636364</v>
      </c>
      <c r="G30" s="44">
        <f>Mortality!H14</f>
        <v>0.15</v>
      </c>
      <c r="H30" s="44">
        <f>Disease!H14</f>
        <v>0.11</v>
      </c>
      <c r="I30" s="44">
        <f>Slaughter!H14/24</f>
        <v>0.25718750000000001</v>
      </c>
      <c r="J30" s="207">
        <f>Space!H14/100</f>
        <v>0.30330909090909092</v>
      </c>
      <c r="K30" s="206">
        <f>Mortality!H14/Mortality!$G$2</f>
        <v>0.3</v>
      </c>
      <c r="L30" s="44">
        <f>Disease!H14/Disease!$G$2</f>
        <v>0.22</v>
      </c>
      <c r="M30" s="44">
        <f>Slaughter!H14/Slaughter!$G$2</f>
        <v>0.25718750000000001</v>
      </c>
      <c r="N30" s="207">
        <f>Space!H14/Space!$G$2</f>
        <v>0.30330909090909092</v>
      </c>
      <c r="O30" s="200">
        <f>'Life duration'!H14</f>
        <v>0.16666666666666666</v>
      </c>
      <c r="P30" s="234">
        <f>Slaughter!H14/(365*24)</f>
        <v>7.046232876712329E-4</v>
      </c>
      <c r="Q30" s="101"/>
      <c r="R30" s="51"/>
      <c r="S30" s="51"/>
      <c r="U30" s="111"/>
      <c r="X30" s="41"/>
      <c r="Y30" s="110"/>
      <c r="Z30" s="101"/>
      <c r="AC30" s="111"/>
      <c r="AD30" s="191"/>
      <c r="AE30" s="234"/>
    </row>
    <row r="31" spans="1:31" x14ac:dyDescent="0.3">
      <c r="A31" s="104" t="s">
        <v>68</v>
      </c>
      <c r="B31" s="232">
        <f>'No affected'!H15</f>
        <v>0.06</v>
      </c>
      <c r="C31" s="193">
        <f>Ability!B15</f>
        <v>0.58534077701729459</v>
      </c>
      <c r="D31" s="193">
        <f t="shared" si="9"/>
        <v>2.4192733333333334</v>
      </c>
      <c r="E31" s="193">
        <f t="shared" si="10"/>
        <v>0.4354838095238095</v>
      </c>
      <c r="F31" s="254">
        <f t="shared" si="11"/>
        <v>0.51557333333333333</v>
      </c>
      <c r="G31" s="255">
        <f>Mortality!H15</f>
        <v>3.5000000000000003E-2</v>
      </c>
      <c r="H31" s="255">
        <f>Disease!H15</f>
        <v>0.44</v>
      </c>
      <c r="I31" s="255">
        <f>Slaughter!H15/24</f>
        <v>0.27583333333333332</v>
      </c>
      <c r="J31" s="256">
        <f>Space!H15/100</f>
        <v>0.59672000000000003</v>
      </c>
      <c r="K31" s="257">
        <f>Mortality!H15/Mortality!$G$2</f>
        <v>7.0000000000000007E-2</v>
      </c>
      <c r="L31" s="255">
        <f>Disease!H15/Disease!$G$2</f>
        <v>0.88</v>
      </c>
      <c r="M31" s="255">
        <f>Slaughter!H15/Slaughter!$G$2</f>
        <v>0.27583333333333332</v>
      </c>
      <c r="N31" s="256">
        <f>Space!H15/Space!$G$2</f>
        <v>0.59672000000000003</v>
      </c>
      <c r="O31" s="244">
        <f>'Life duration'!H15</f>
        <v>1.2</v>
      </c>
      <c r="P31" s="235">
        <f>Slaughter!H15/(365*24)</f>
        <v>7.5570776255707759E-4</v>
      </c>
      <c r="Q31" s="263">
        <f>'No affected'!W15</f>
        <v>0.06</v>
      </c>
      <c r="R31" s="261">
        <f>Ability!D15</f>
        <v>0.2556274253781865</v>
      </c>
      <c r="S31" s="193">
        <f>2*V31+2*W31+X31+2*Y31</f>
        <v>6.9444444444444441E-3</v>
      </c>
      <c r="T31" s="193">
        <f>(2*Z31+2*AA31+AB31+2*AC31)/7</f>
        <v>9.9206349206349201E-4</v>
      </c>
      <c r="U31" s="254">
        <f>(Z31+AA31+AC31)/3</f>
        <v>0</v>
      </c>
      <c r="V31" s="194">
        <f>Mortality!W15</f>
        <v>0</v>
      </c>
      <c r="W31" s="193">
        <f>Disease!W15</f>
        <v>0</v>
      </c>
      <c r="X31" s="193">
        <f>Slaughter!W15/24</f>
        <v>6.9444444444444441E-3</v>
      </c>
      <c r="Y31" s="254">
        <f>Space!W15/100</f>
        <v>0</v>
      </c>
      <c r="Z31" s="104">
        <f>Mortality!W15/Mortality!$G$2</f>
        <v>0</v>
      </c>
      <c r="AA31" s="133">
        <f>Disease!W15/Disease!$G$2</f>
        <v>0</v>
      </c>
      <c r="AB31" s="193">
        <f>Slaughter!W15/Slaughter!$G$2</f>
        <v>6.9444444444444441E-3</v>
      </c>
      <c r="AC31" s="114">
        <f>Space!W15/Space!$G$2</f>
        <v>0</v>
      </c>
      <c r="AD31" s="244">
        <f>'Life duration'!W15</f>
        <v>3.1709791983764589E-7</v>
      </c>
      <c r="AE31" s="235">
        <f>Slaughter!W15/(365*24)</f>
        <v>1.902587519025875E-5</v>
      </c>
    </row>
  </sheetData>
  <mergeCells count="4">
    <mergeCell ref="B5:D5"/>
    <mergeCell ref="E5:G5"/>
    <mergeCell ref="H5:J5"/>
    <mergeCell ref="K5: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4C68-A5B5-479A-A6E7-AA490AE01609}">
  <sheetPr>
    <tabColor theme="5" tint="0.79998168889431442"/>
  </sheetPr>
  <dimension ref="A2:AE31"/>
  <sheetViews>
    <sheetView topLeftCell="A17" zoomScale="89" workbookViewId="0">
      <selection activeCell="R34" sqref="R34"/>
    </sheetView>
  </sheetViews>
  <sheetFormatPr defaultRowHeight="14.4" x14ac:dyDescent="0.3"/>
  <cols>
    <col min="1" max="1" width="23.33203125" customWidth="1"/>
    <col min="2" max="31" width="9.6640625" customWidth="1"/>
  </cols>
  <sheetData>
    <row r="2" spans="1:13" ht="21" x14ac:dyDescent="0.4">
      <c r="A2" s="30" t="s">
        <v>75</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0.30624941123280713</v>
      </c>
      <c r="C7" s="41">
        <f t="shared" ref="C7:C16" si="0">B22*C22*D22*100</f>
        <v>0.26539998605719289</v>
      </c>
      <c r="D7" s="41">
        <f>Q22*R22*S22*100</f>
        <v>4.0849425175614268E-2</v>
      </c>
      <c r="E7" s="41">
        <f t="shared" ref="E7:E16" si="1">F7+G7</f>
        <v>5.4984892598316758E-2</v>
      </c>
      <c r="F7" s="19">
        <f t="shared" ref="F7:F16" si="2">B22*C22*E22*100</f>
        <v>4.7734695577937601E-2</v>
      </c>
      <c r="G7" s="19">
        <f>Q22*R22*T22*100</f>
        <v>7.2501970203791592E-3</v>
      </c>
      <c r="H7" s="226">
        <f>I7+J7</f>
        <v>1.0123130872566398E-3</v>
      </c>
      <c r="I7" s="226">
        <f t="shared" ref="I7:I16" si="3">B22*((O22-P22)*F22+P22)</f>
        <v>9.2571841410328288E-4</v>
      </c>
      <c r="J7" s="226">
        <f>Q22*((AD22-AE22)*U22+AE22)</f>
        <v>8.6594673153356873E-5</v>
      </c>
      <c r="K7" s="226">
        <f>L7+M7</f>
        <v>8.9498907055778878E-4</v>
      </c>
      <c r="L7" s="226">
        <f t="shared" ref="L7:L16" si="4">C22*B22*((O22-P22)*F22+P22)</f>
        <v>8.1843045740105657E-4</v>
      </c>
      <c r="M7" s="234">
        <f>R22*Q22*((AD22-AE22)*U22+AE22)</f>
        <v>7.6558613156732196E-5</v>
      </c>
    </row>
    <row r="8" spans="1:13" x14ac:dyDescent="0.3">
      <c r="A8" s="101" t="s">
        <v>36</v>
      </c>
      <c r="B8" s="191">
        <f t="shared" ref="B8:B16" si="5">C8+D8</f>
        <v>0.6761482399684895</v>
      </c>
      <c r="C8" s="41">
        <f t="shared" si="0"/>
        <v>0.6761482399684895</v>
      </c>
      <c r="D8" s="41"/>
      <c r="E8" s="41">
        <f t="shared" si="1"/>
        <v>0.14006926279815568</v>
      </c>
      <c r="F8" s="19">
        <f t="shared" si="2"/>
        <v>0.14006926279815568</v>
      </c>
      <c r="G8" s="19"/>
      <c r="H8" s="226">
        <f t="shared" ref="H8:H16" si="6">I8+J8</f>
        <v>1.125292484067101E-3</v>
      </c>
      <c r="I8" s="226">
        <f t="shared" si="3"/>
        <v>1.125292484067101E-3</v>
      </c>
      <c r="J8" s="226"/>
      <c r="K8" s="226">
        <f t="shared" ref="K8:K16" si="7">L8+M8</f>
        <v>9.2324387541918172E-4</v>
      </c>
      <c r="L8" s="226">
        <f t="shared" si="4"/>
        <v>9.2324387541918172E-4</v>
      </c>
      <c r="M8" s="111"/>
    </row>
    <row r="9" spans="1:13" x14ac:dyDescent="0.3">
      <c r="A9" s="101" t="s">
        <v>37</v>
      </c>
      <c r="B9" s="191">
        <f t="shared" si="5"/>
        <v>0.40831823730601785</v>
      </c>
      <c r="C9" s="41">
        <f t="shared" si="0"/>
        <v>0.40831823730601785</v>
      </c>
      <c r="D9" s="41"/>
      <c r="E9" s="41">
        <f t="shared" si="1"/>
        <v>7.6528250848898485E-2</v>
      </c>
      <c r="F9" s="19">
        <f t="shared" si="2"/>
        <v>7.6528250848898485E-2</v>
      </c>
      <c r="G9" s="19"/>
      <c r="H9" s="226">
        <f t="shared" si="6"/>
        <v>1.5423795348246505E-3</v>
      </c>
      <c r="I9" s="226">
        <f t="shared" si="3"/>
        <v>1.5423795348246505E-3</v>
      </c>
      <c r="J9" s="226"/>
      <c r="K9" s="226">
        <f t="shared" si="7"/>
        <v>1.3636224244230372E-3</v>
      </c>
      <c r="L9" s="226">
        <f t="shared" si="4"/>
        <v>1.3636224244230372E-3</v>
      </c>
      <c r="M9" s="111"/>
    </row>
    <row r="10" spans="1:13" x14ac:dyDescent="0.3">
      <c r="A10" s="101" t="s">
        <v>38</v>
      </c>
      <c r="B10" s="191">
        <f t="shared" si="5"/>
        <v>8.68147231066628E-3</v>
      </c>
      <c r="C10" s="102">
        <f t="shared" si="0"/>
        <v>8.68147231066628E-3</v>
      </c>
      <c r="D10" s="41"/>
      <c r="E10" s="41">
        <f t="shared" si="1"/>
        <v>1.9273146492167544E-3</v>
      </c>
      <c r="F10" s="19">
        <f t="shared" si="2"/>
        <v>1.9273146492167544E-3</v>
      </c>
      <c r="G10" s="19"/>
      <c r="H10" s="226">
        <f t="shared" si="6"/>
        <v>1.4166604831034285E-4</v>
      </c>
      <c r="I10" s="226">
        <f t="shared" si="3"/>
        <v>1.4166604831034285E-4</v>
      </c>
      <c r="J10" s="226"/>
      <c r="K10" s="226">
        <f t="shared" si="7"/>
        <v>1.2524738295191583E-4</v>
      </c>
      <c r="L10" s="226">
        <f t="shared" si="4"/>
        <v>1.2524738295191583E-4</v>
      </c>
      <c r="M10" s="111"/>
    </row>
    <row r="11" spans="1:13" x14ac:dyDescent="0.3">
      <c r="A11" s="101" t="s">
        <v>39</v>
      </c>
      <c r="B11" s="191">
        <f t="shared" si="5"/>
        <v>0.36920202250985923</v>
      </c>
      <c r="C11" s="41">
        <f t="shared" si="0"/>
        <v>0.36920202250985923</v>
      </c>
      <c r="D11" s="41"/>
      <c r="E11" s="41">
        <f t="shared" si="1"/>
        <v>8.3829400754112923E-2</v>
      </c>
      <c r="F11" s="19">
        <f t="shared" si="2"/>
        <v>8.3829400754112923E-2</v>
      </c>
      <c r="G11" s="19"/>
      <c r="H11" s="226">
        <f t="shared" si="6"/>
        <v>1.5860824657534247E-3</v>
      </c>
      <c r="I11" s="226">
        <f t="shared" si="3"/>
        <v>1.5860824657534247E-3</v>
      </c>
      <c r="J11" s="226"/>
      <c r="K11" s="226">
        <f t="shared" si="7"/>
        <v>1.3943824512419967E-3</v>
      </c>
      <c r="L11" s="226">
        <f t="shared" si="4"/>
        <v>1.3943824512419967E-3</v>
      </c>
      <c r="M11" s="111"/>
    </row>
    <row r="12" spans="1:13" x14ac:dyDescent="0.3">
      <c r="A12" s="101" t="s">
        <v>40</v>
      </c>
      <c r="B12" s="191">
        <f t="shared" si="5"/>
        <v>3.328272217114165</v>
      </c>
      <c r="C12" s="85">
        <f t="shared" si="0"/>
        <v>3.2511770601090917</v>
      </c>
      <c r="D12" s="41">
        <f>Q27*R27*S27*100</f>
        <v>7.7095157005073203E-2</v>
      </c>
      <c r="E12" s="41">
        <f t="shared" si="1"/>
        <v>0.84264542657064934</v>
      </c>
      <c r="F12" s="41">
        <f t="shared" si="2"/>
        <v>0.82857536222805772</v>
      </c>
      <c r="G12" s="19">
        <f>Q27*R27*T27*100</f>
        <v>1.4070064342591636E-2</v>
      </c>
      <c r="H12" s="226">
        <f t="shared" si="6"/>
        <v>3.5744422258485601E-3</v>
      </c>
      <c r="I12" s="226">
        <f t="shared" si="3"/>
        <v>3.5013307342496285E-3</v>
      </c>
      <c r="J12" s="226">
        <f t="shared" ref="J12:J16" si="8">Q27*((AD27-AE27)*U27+AE27)</f>
        <v>7.311149159893132E-5</v>
      </c>
      <c r="K12" s="226">
        <f t="shared" si="7"/>
        <v>2.9372976017427903E-3</v>
      </c>
      <c r="L12" s="226">
        <f t="shared" si="4"/>
        <v>2.8726595102897333E-3</v>
      </c>
      <c r="M12" s="234">
        <f>R27*Q27*((AD27-AE27)*U27+AE27)</f>
        <v>6.4638091453056974E-5</v>
      </c>
    </row>
    <row r="13" spans="1:13" x14ac:dyDescent="0.3">
      <c r="A13" s="101" t="s">
        <v>41</v>
      </c>
      <c r="B13" s="191">
        <f t="shared" si="5"/>
        <v>3.4403831412221062</v>
      </c>
      <c r="C13" s="85">
        <f t="shared" si="0"/>
        <v>3.3962070737506713</v>
      </c>
      <c r="D13" s="41">
        <f>Q28*R28*S28*100</f>
        <v>4.4176067471434953E-2</v>
      </c>
      <c r="E13" s="41">
        <f t="shared" si="1"/>
        <v>0.54997058871851034</v>
      </c>
      <c r="F13" s="41">
        <f t="shared" si="2"/>
        <v>0.54206482009218093</v>
      </c>
      <c r="G13" s="19">
        <f>Q28*R28*T28*100</f>
        <v>7.905768626329442E-3</v>
      </c>
      <c r="H13" s="226">
        <f t="shared" si="6"/>
        <v>3.8046983247696287E-3</v>
      </c>
      <c r="I13" s="226">
        <f t="shared" si="3"/>
        <v>3.8022365375239065E-3</v>
      </c>
      <c r="J13" s="226">
        <f t="shared" si="8"/>
        <v>2.4617872457221118E-6</v>
      </c>
      <c r="K13" s="226">
        <f t="shared" si="7"/>
        <v>3.3475859388535918E-3</v>
      </c>
      <c r="L13" s="226">
        <f t="shared" si="4"/>
        <v>3.3452520255437958E-3</v>
      </c>
      <c r="M13" s="234">
        <f>R28*Q28*((AD28-AE28)*U28+AE28)</f>
        <v>2.3339133097959299E-6</v>
      </c>
    </row>
    <row r="14" spans="1:13" x14ac:dyDescent="0.3">
      <c r="A14" s="101" t="s">
        <v>42</v>
      </c>
      <c r="B14" s="191">
        <f>C14+D14</f>
        <v>75.324630025990174</v>
      </c>
      <c r="C14" s="85">
        <f t="shared" si="0"/>
        <v>74.737792836340248</v>
      </c>
      <c r="D14" s="41">
        <f>Q29*R29*S29*100</f>
        <v>0.58683718964992504</v>
      </c>
      <c r="E14" s="41">
        <f t="shared" si="1"/>
        <v>10.129935631673833</v>
      </c>
      <c r="F14" s="85">
        <f t="shared" si="2"/>
        <v>10.002113360056498</v>
      </c>
      <c r="G14" s="41">
        <f>Q29*R29*T29*100</f>
        <v>0.12782227161733536</v>
      </c>
      <c r="H14" s="226">
        <f>I14+J14</f>
        <v>2.469771756329564E-2</v>
      </c>
      <c r="I14" s="226">
        <f t="shared" si="3"/>
        <v>2.4679120642891988E-2</v>
      </c>
      <c r="J14" s="226">
        <f t="shared" si="8"/>
        <v>1.8596920403652114E-5</v>
      </c>
      <c r="K14" s="226">
        <f t="shared" si="7"/>
        <v>1.3416004651023614E-2</v>
      </c>
      <c r="L14" s="226">
        <f t="shared" si="4"/>
        <v>1.3405902649897774E-2</v>
      </c>
      <c r="M14" s="234">
        <f>R29*Q29*((AD29-AE29)*U29+AE29)</f>
        <v>1.0102001125840883E-5</v>
      </c>
    </row>
    <row r="15" spans="1:13" x14ac:dyDescent="0.3">
      <c r="A15" s="101" t="s">
        <v>43</v>
      </c>
      <c r="B15" s="191">
        <f t="shared" si="5"/>
        <v>101.91200681454696</v>
      </c>
      <c r="C15" s="85">
        <f t="shared" si="0"/>
        <v>101.91200681454696</v>
      </c>
      <c r="D15" s="41"/>
      <c r="E15" s="41">
        <f t="shared" si="1"/>
        <v>18.921274201078802</v>
      </c>
      <c r="F15" s="85">
        <f t="shared" si="2"/>
        <v>18.921274201078802</v>
      </c>
      <c r="H15" s="226">
        <f t="shared" si="6"/>
        <v>5.0517018264840181E-2</v>
      </c>
      <c r="I15" s="226">
        <f t="shared" si="3"/>
        <v>5.0517018264840181E-2</v>
      </c>
      <c r="J15" s="226"/>
      <c r="K15" s="226">
        <f t="shared" si="7"/>
        <v>3.3945818396546174E-2</v>
      </c>
      <c r="L15" s="226">
        <f t="shared" si="4"/>
        <v>3.3945818396546174E-2</v>
      </c>
      <c r="M15" s="111"/>
    </row>
    <row r="16" spans="1:13" x14ac:dyDescent="0.3">
      <c r="A16" s="104" t="s">
        <v>44</v>
      </c>
      <c r="B16" s="233">
        <f t="shared" si="5"/>
        <v>8.140424082882971</v>
      </c>
      <c r="C16" s="253">
        <f t="shared" si="0"/>
        <v>8.1290628639772731</v>
      </c>
      <c r="D16" s="193">
        <f>Q31*R31*S31*100</f>
        <v>1.1361218905697178E-2</v>
      </c>
      <c r="E16" s="193">
        <f t="shared" si="1"/>
        <v>1.5857117107288381</v>
      </c>
      <c r="F16" s="193">
        <f t="shared" si="2"/>
        <v>1.5840886794565956</v>
      </c>
      <c r="G16" s="113">
        <f>Q31*R31*T31*100</f>
        <v>1.6230312722424541E-3</v>
      </c>
      <c r="H16" s="227">
        <f t="shared" si="6"/>
        <v>3.7399208231354647E-2</v>
      </c>
      <c r="I16" s="227">
        <f t="shared" si="3"/>
        <v>3.7397990575342467E-2</v>
      </c>
      <c r="J16" s="227">
        <f t="shared" si="8"/>
        <v>1.2176560121765601E-6</v>
      </c>
      <c r="K16" s="227">
        <f t="shared" si="7"/>
        <v>2.1890880128527811E-2</v>
      </c>
      <c r="L16" s="227">
        <f t="shared" si="4"/>
        <v>2.1890568862256422E-2</v>
      </c>
      <c r="M16" s="235">
        <f>R31*Q31*((AD31-AE31)*U31+AE31)</f>
        <v>3.1126627138896376E-7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76</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affected'!I6</f>
        <v>3.5000000000000001E-3</v>
      </c>
      <c r="C22" s="41">
        <f>Ability!B6</f>
        <v>0.88410303277141455</v>
      </c>
      <c r="D22" s="41">
        <f>2*G22+2*H22+I22+2*J22</f>
        <v>0.85768925831202047</v>
      </c>
      <c r="E22" s="41">
        <f>(2*K22+2*L22+N22+2*M22)/7</f>
        <v>0.15426351845085859</v>
      </c>
      <c r="F22" s="110">
        <f>(K22+L22+N22)/3</f>
        <v>0.13194820971867008</v>
      </c>
      <c r="G22" s="44">
        <f>Mortality!I6</f>
        <v>4.2000000000000003E-2</v>
      </c>
      <c r="H22" s="44">
        <f>Disease!I6</f>
        <v>0.05</v>
      </c>
      <c r="I22" s="44">
        <f>Slaughter!I6/24</f>
        <v>0.25</v>
      </c>
      <c r="J22" s="207">
        <f>Space!I6/100</f>
        <v>0.21184462915601024</v>
      </c>
      <c r="K22" s="206">
        <f>Mortality!I6/Mortality!$G$2</f>
        <v>8.4000000000000005E-2</v>
      </c>
      <c r="L22" s="44">
        <f>Disease!I6/Disease!$G$2</f>
        <v>0.1</v>
      </c>
      <c r="M22" s="44">
        <f>Slaughter!I6/Slaughter!$G$2</f>
        <v>0.25</v>
      </c>
      <c r="N22" s="207">
        <f>Space!I6/Space!$G$2</f>
        <v>0.21184462915601024</v>
      </c>
      <c r="O22" s="200">
        <f>'Life duration'!I6</f>
        <v>2</v>
      </c>
      <c r="P22" s="234">
        <f>Slaughter!I6/(365*24)</f>
        <v>6.8493150684931507E-4</v>
      </c>
      <c r="Q22" s="247">
        <f>'No affected'!X6</f>
        <v>8.0000000000000004E-4</v>
      </c>
      <c r="R22" s="51">
        <f>Ability!D6</f>
        <v>0.88410303277141455</v>
      </c>
      <c r="S22" s="41">
        <f>2*V22+2*W22+X22+2*Y22</f>
        <v>0.57755464665078127</v>
      </c>
      <c r="T22" s="41">
        <f>(2*Z22+2*AA22+AB22+2*AC22)/7</f>
        <v>0.10250780666439732</v>
      </c>
      <c r="U22" s="110">
        <f>(Z22+AA22+AC22)/3</f>
        <v>7.792577444179688E-2</v>
      </c>
      <c r="V22">
        <f>Mortality!X6</f>
        <v>0.03</v>
      </c>
      <c r="W22" s="41">
        <f>Disease!X6</f>
        <v>0.04</v>
      </c>
      <c r="X22" s="41">
        <f>Slaughter!X6/24</f>
        <v>0.25</v>
      </c>
      <c r="Y22" s="110">
        <f>Space!X6/100</f>
        <v>9.3777323325390613E-2</v>
      </c>
      <c r="Z22" s="101">
        <f>Mortality!X6/Mortality!$G$2</f>
        <v>0.06</v>
      </c>
      <c r="AA22">
        <f>Disease!X6/Disease!$G$2</f>
        <v>0.08</v>
      </c>
      <c r="AB22" s="41">
        <f>Slaughter!X6/Slaughter!$G$2</f>
        <v>0.25</v>
      </c>
      <c r="AC22" s="218">
        <f>Space!X6/Space!$G$2</f>
        <v>9.3777323325390613E-2</v>
      </c>
      <c r="AD22" s="200">
        <f>'Life duration'!X6</f>
        <v>1.3809523809523809</v>
      </c>
      <c r="AE22" s="234">
        <f>Slaughter!X6/(365*24)</f>
        <v>6.8493150684931507E-4</v>
      </c>
    </row>
    <row r="23" spans="1:31" x14ac:dyDescent="0.3">
      <c r="A23" s="101" t="s">
        <v>60</v>
      </c>
      <c r="B23" s="189">
        <f>'No affected'!I7</f>
        <v>8.9999999999999993E-3</v>
      </c>
      <c r="C23" s="41">
        <f>Ability!B7</f>
        <v>0.82044791775586834</v>
      </c>
      <c r="D23" s="41">
        <f t="shared" ref="D23:D31" si="9">2*G23+2*H23+I23+2*J23</f>
        <v>0.91568983957219263</v>
      </c>
      <c r="E23" s="41">
        <f t="shared" ref="E23:E31" si="10">(2*K23+2*L23+N23+2*M23)/7</f>
        <v>0.18969213139801377</v>
      </c>
      <c r="F23" s="110">
        <f t="shared" ref="F23:F31" si="11">(K23+L23+N23)/3</f>
        <v>0.16594830659536541</v>
      </c>
      <c r="G23" s="44">
        <f>Mortality!I7</f>
        <v>6.5000000000000002E-2</v>
      </c>
      <c r="H23" s="44">
        <f>Disease!I7</f>
        <v>0.1</v>
      </c>
      <c r="I23" s="44">
        <f>Slaughter!I7/24</f>
        <v>0.25</v>
      </c>
      <c r="J23" s="207">
        <f>Space!I7/100</f>
        <v>0.16784491978609625</v>
      </c>
      <c r="K23" s="206">
        <f>Mortality!I7/Mortality!$G$2</f>
        <v>0.13</v>
      </c>
      <c r="L23" s="44">
        <f>Disease!I7/Disease!$G$2</f>
        <v>0.2</v>
      </c>
      <c r="M23" s="44">
        <f>Slaughter!I7/Slaughter!$G$2</f>
        <v>0.25</v>
      </c>
      <c r="N23" s="207">
        <f>Space!I7/Space!$G$2</f>
        <v>0.16784491978609625</v>
      </c>
      <c r="O23" s="200">
        <f>'Life duration'!I7</f>
        <v>0.75</v>
      </c>
      <c r="P23" s="234">
        <f>Slaughter!I7/(365*24)</f>
        <v>6.8493150684931507E-4</v>
      </c>
      <c r="Q23" s="101"/>
      <c r="R23" s="51"/>
      <c r="S23" s="51"/>
      <c r="U23" s="111"/>
      <c r="X23" s="41"/>
      <c r="Y23" s="110"/>
      <c r="Z23" s="101"/>
      <c r="AC23" s="111"/>
      <c r="AD23" s="200"/>
      <c r="AE23" s="234"/>
    </row>
    <row r="24" spans="1:31" x14ac:dyDescent="0.3">
      <c r="A24" s="101" t="s">
        <v>61</v>
      </c>
      <c r="B24" s="189">
        <f>'No affected'!I8</f>
        <v>5.0000000000000001E-3</v>
      </c>
      <c r="C24" s="41">
        <f>Ability!B8</f>
        <v>0.88410303277141455</v>
      </c>
      <c r="D24" s="41">
        <f t="shared" si="9"/>
        <v>0.92368925831202042</v>
      </c>
      <c r="E24" s="41">
        <f t="shared" si="10"/>
        <v>0.17312066130800144</v>
      </c>
      <c r="F24" s="110">
        <f t="shared" si="11"/>
        <v>0.15394820971867007</v>
      </c>
      <c r="G24" s="44">
        <f>Mortality!I8</f>
        <v>7.4999999999999997E-2</v>
      </c>
      <c r="H24" s="44">
        <f>Disease!I8</f>
        <v>0.05</v>
      </c>
      <c r="I24" s="44">
        <f>Slaughter!I8/24</f>
        <v>0.25</v>
      </c>
      <c r="J24" s="207">
        <f>Space!I8/100</f>
        <v>0.21184462915601024</v>
      </c>
      <c r="K24" s="206">
        <f>Mortality!I8/Mortality!$G$2</f>
        <v>0.15</v>
      </c>
      <c r="L24" s="44">
        <f>Disease!I8/Disease!$G$2</f>
        <v>0.1</v>
      </c>
      <c r="M24" s="44">
        <f>Slaughter!I8/Slaughter!$G$2</f>
        <v>0.25</v>
      </c>
      <c r="N24" s="207">
        <f>Space!I8/Space!$G$2</f>
        <v>0.21184462915601024</v>
      </c>
      <c r="O24" s="200">
        <f>'Life duration'!I8</f>
        <v>2</v>
      </c>
      <c r="P24" s="234">
        <f>Slaughter!I8/(365*24)</f>
        <v>6.8493150684931507E-4</v>
      </c>
      <c r="Q24" s="101"/>
      <c r="R24" s="51"/>
      <c r="S24" s="51"/>
      <c r="U24" s="111"/>
      <c r="X24" s="41"/>
      <c r="Y24" s="110"/>
      <c r="Z24" s="101"/>
      <c r="AC24" s="111"/>
      <c r="AD24" s="200"/>
      <c r="AE24" s="234"/>
    </row>
    <row r="25" spans="1:31" x14ac:dyDescent="0.3">
      <c r="A25" s="101" t="s">
        <v>62</v>
      </c>
      <c r="B25" s="189">
        <f>'No affected'!I9</f>
        <v>1E-4</v>
      </c>
      <c r="C25" s="41">
        <f>Ability!B9</f>
        <v>0.88410303277141455</v>
      </c>
      <c r="D25" s="41">
        <f t="shared" si="9"/>
        <v>0.9819525540425198</v>
      </c>
      <c r="E25" s="41">
        <f t="shared" si="10"/>
        <v>0.21799661100303713</v>
      </c>
      <c r="F25" s="110">
        <f t="shared" si="11"/>
        <v>0.19532542567375333</v>
      </c>
      <c r="G25" s="44">
        <f>Mortality!I9</f>
        <v>0.06</v>
      </c>
      <c r="H25" s="44">
        <f>Disease!I9</f>
        <v>0.16</v>
      </c>
      <c r="I25" s="44">
        <f>Slaughter!I9/24</f>
        <v>0.25</v>
      </c>
      <c r="J25" s="207">
        <f>Space!I9/100</f>
        <v>0.14597627702125993</v>
      </c>
      <c r="K25" s="206">
        <f>Mortality!I9/Mortality!$G$2</f>
        <v>0.12</v>
      </c>
      <c r="L25" s="44">
        <f>Disease!I9/Disease!$G$2</f>
        <v>0.32</v>
      </c>
      <c r="M25" s="44">
        <f>Slaughter!I9/Slaughter!$G$2</f>
        <v>0.25</v>
      </c>
      <c r="N25" s="207">
        <f>Space!I9/Space!$G$2</f>
        <v>0.14597627702125993</v>
      </c>
      <c r="O25" s="200">
        <f>'Life duration'!I9</f>
        <v>7.25</v>
      </c>
      <c r="P25" s="234">
        <f>Slaughter!I9/(365*24)</f>
        <v>6.8493150684931507E-4</v>
      </c>
      <c r="Q25" s="101"/>
      <c r="R25" s="51"/>
      <c r="S25" s="51"/>
      <c r="U25" s="111"/>
      <c r="X25" s="41"/>
      <c r="Y25" s="110"/>
      <c r="Z25" s="101"/>
      <c r="AC25" s="111"/>
      <c r="AD25" s="200"/>
      <c r="AE25" s="234"/>
    </row>
    <row r="26" spans="1:31" x14ac:dyDescent="0.3">
      <c r="A26" s="101" t="s">
        <v>63</v>
      </c>
      <c r="B26" s="189">
        <f>'No affected'!I10</f>
        <v>5.0000000000000001E-3</v>
      </c>
      <c r="C26" s="41">
        <f>Ability!B10</f>
        <v>0.87913616180078868</v>
      </c>
      <c r="D26" s="41">
        <f t="shared" si="9"/>
        <v>0.83992</v>
      </c>
      <c r="E26" s="41">
        <f t="shared" si="10"/>
        <v>0.19070857142857142</v>
      </c>
      <c r="F26" s="110">
        <f t="shared" si="11"/>
        <v>0.15831999999999999</v>
      </c>
      <c r="G26" s="44">
        <f>Mortality!I10</f>
        <v>0.03</v>
      </c>
      <c r="H26" s="44">
        <f>Disease!I10</f>
        <v>0.15</v>
      </c>
      <c r="I26" s="44">
        <f>Slaughter!I10/24</f>
        <v>0.25</v>
      </c>
      <c r="J26" s="207">
        <f>Space!I10/100</f>
        <v>0.11495999999999999</v>
      </c>
      <c r="K26" s="206">
        <f>Mortality!I10/Mortality!$G$2</f>
        <v>0.06</v>
      </c>
      <c r="L26" s="44">
        <f>Disease!I10/Disease!$G$2</f>
        <v>0.3</v>
      </c>
      <c r="M26" s="44">
        <f>Slaughter!I10/Slaughter!$G$2</f>
        <v>0.25</v>
      </c>
      <c r="N26" s="207">
        <f>Space!I10/Space!$G$2</f>
        <v>0.11495999999999999</v>
      </c>
      <c r="O26" s="200">
        <f>'Life duration'!I10</f>
        <v>2</v>
      </c>
      <c r="P26" s="234">
        <f>Slaughter!I10/(365*24)</f>
        <v>6.8493150684931507E-4</v>
      </c>
      <c r="Q26" s="101"/>
      <c r="R26" s="51"/>
      <c r="S26" s="51"/>
      <c r="U26" s="111"/>
      <c r="X26" s="41"/>
      <c r="Y26" s="110"/>
      <c r="Z26" s="101"/>
      <c r="AC26" s="111"/>
      <c r="AD26" s="200"/>
      <c r="AE26" s="234"/>
    </row>
    <row r="27" spans="1:31" x14ac:dyDescent="0.3">
      <c r="A27" s="101" t="s">
        <v>64</v>
      </c>
      <c r="B27" s="189">
        <f>'No affected'!I11</f>
        <v>6.4000000000000001E-2</v>
      </c>
      <c r="C27" s="41">
        <f>Ability!B11</f>
        <v>0.82044791775586834</v>
      </c>
      <c r="D27" s="41">
        <f t="shared" si="9"/>
        <v>0.61916960802526466</v>
      </c>
      <c r="E27" s="41">
        <f t="shared" si="10"/>
        <v>0.15779782914466178</v>
      </c>
      <c r="F27" s="110">
        <f t="shared" si="11"/>
        <v>0.10819493467087744</v>
      </c>
      <c r="G27" s="44">
        <f>Mortality!I11</f>
        <v>0.08</v>
      </c>
      <c r="H27" s="44">
        <f>Disease!I11</f>
        <v>0.06</v>
      </c>
      <c r="I27" s="44">
        <f>Slaughter!I11/24</f>
        <v>0.25</v>
      </c>
      <c r="J27" s="207">
        <f>Space!I11/100</f>
        <v>4.4584804012632345E-2</v>
      </c>
      <c r="K27" s="206">
        <f>Mortality!I11/Mortality!$G$2</f>
        <v>0.16</v>
      </c>
      <c r="L27" s="44">
        <f>Disease!I11/Disease!$G$2</f>
        <v>0.12</v>
      </c>
      <c r="M27" s="44">
        <f>Slaughter!I11/Slaughter!$G$2</f>
        <v>0.25</v>
      </c>
      <c r="N27" s="207">
        <f>Space!I11/Space!$G$2</f>
        <v>4.4584804012632345E-2</v>
      </c>
      <c r="O27" s="200">
        <f>'Life duration'!I11</f>
        <v>0.5</v>
      </c>
      <c r="P27" s="234">
        <f>Slaughter!I11/(365*24)</f>
        <v>6.8493150684931507E-4</v>
      </c>
      <c r="Q27" s="190">
        <f>'No affected'!X11</f>
        <v>1.1000000000000001E-3</v>
      </c>
      <c r="R27" s="51">
        <f>Ability!D11</f>
        <v>0.88410303277141455</v>
      </c>
      <c r="S27" s="41">
        <f>2*V27+2*W27+X27+2*Y27</f>
        <v>0.79274138613173695</v>
      </c>
      <c r="T27" s="41">
        <f>(2*Z27+2*AA27+AB27+2*AC27)/7</f>
        <v>0.14467734087596243</v>
      </c>
      <c r="U27" s="110">
        <f>(Z27+AA27+AC27)/3</f>
        <v>0.12712356435528949</v>
      </c>
      <c r="V27">
        <f>Mortality!X11</f>
        <v>0.06</v>
      </c>
      <c r="W27" s="41">
        <f>Disease!X11</f>
        <v>0.05</v>
      </c>
      <c r="X27" s="41">
        <f>Slaughter!X11/24</f>
        <v>0.25</v>
      </c>
      <c r="Y27" s="110">
        <f>Space!X11/100</f>
        <v>0.16137069306586846</v>
      </c>
      <c r="Z27" s="101">
        <f>Mortality!X11/Mortality!$G$2</f>
        <v>0.12</v>
      </c>
      <c r="AA27">
        <f>Disease!X11/Disease!$G$2</f>
        <v>0.1</v>
      </c>
      <c r="AB27" s="41">
        <f>Slaughter!X11/Slaughter!$G$2</f>
        <v>0.25</v>
      </c>
      <c r="AC27" s="218">
        <f>Space!X11/Space!$G$2</f>
        <v>0.16137069306586846</v>
      </c>
      <c r="AD27" s="200">
        <f>'Life duration'!X11</f>
        <v>0.5181347150259068</v>
      </c>
      <c r="AE27" s="234">
        <f>Slaughter!X11/(365*24)</f>
        <v>6.8493150684931507E-4</v>
      </c>
    </row>
    <row r="28" spans="1:31" x14ac:dyDescent="0.3">
      <c r="A28" s="101" t="s">
        <v>65</v>
      </c>
      <c r="B28" s="189">
        <f>'No affected'!I12</f>
        <v>1.7888334146650121E-2</v>
      </c>
      <c r="C28" s="41">
        <f>Ability!B12</f>
        <v>0.87981165625279378</v>
      </c>
      <c r="D28" s="41">
        <f t="shared" si="9"/>
        <v>2.157916083916084</v>
      </c>
      <c r="E28" s="41">
        <f t="shared" si="10"/>
        <v>0.34442257742257748</v>
      </c>
      <c r="F28" s="110">
        <f t="shared" si="11"/>
        <v>0.42431934731934734</v>
      </c>
      <c r="G28" s="44">
        <f>Mortality!I12</f>
        <v>0.16900000000000001</v>
      </c>
      <c r="H28" s="44">
        <f>Disease!I12</f>
        <v>0.15</v>
      </c>
      <c r="I28" s="44">
        <f>Slaughter!I12/24</f>
        <v>0.25</v>
      </c>
      <c r="J28" s="207">
        <f>Space!I12/100</f>
        <v>0.63495804195804206</v>
      </c>
      <c r="K28" s="206">
        <f>Mortality!I12/Mortality!$G$2</f>
        <v>0.33800000000000002</v>
      </c>
      <c r="L28" s="44">
        <f>Disease!I12/Disease!$G$2</f>
        <v>0.3</v>
      </c>
      <c r="M28" s="44">
        <f>Slaughter!I12/Slaughter!$G$2</f>
        <v>0.25</v>
      </c>
      <c r="N28" s="207">
        <f>Space!I12/Space!$G$2</f>
        <v>0.63495804195804206</v>
      </c>
      <c r="O28" s="200">
        <f>'Life duration'!I12</f>
        <v>0.5</v>
      </c>
      <c r="P28" s="234">
        <f>Slaughter!I12/(365*24)</f>
        <v>6.8493150684931507E-4</v>
      </c>
      <c r="Q28" s="190">
        <f>'No affected'!X12</f>
        <v>3.2000000000000003E-4</v>
      </c>
      <c r="R28" s="51">
        <f>Ability!D12</f>
        <v>0.94805646338919392</v>
      </c>
      <c r="S28" s="41">
        <f>2*V28+2*W28+X28+2*Y28</f>
        <v>1.4561391244010977</v>
      </c>
      <c r="T28" s="41">
        <f>(2*Z28+2*AA28+AB28+2*AC28)/7</f>
        <v>0.26059130348587112</v>
      </c>
      <c r="U28" s="110">
        <f>(Z28+AA28+AC28)/3</f>
        <v>0.26235652073351629</v>
      </c>
      <c r="V28">
        <f>Mortality!X12</f>
        <v>3.4000000000000002E-2</v>
      </c>
      <c r="W28" s="41">
        <f>Disease!X12</f>
        <v>0.15</v>
      </c>
      <c r="X28" s="41">
        <f>Slaughter!X12/24</f>
        <v>0.25</v>
      </c>
      <c r="Y28" s="110">
        <f>Space!X12/100</f>
        <v>0.41906956220054892</v>
      </c>
      <c r="Z28" s="101">
        <f>Mortality!X12/Mortality!$G$2</f>
        <v>6.8000000000000005E-2</v>
      </c>
      <c r="AA28">
        <f>Disease!X12/Disease!$G$2</f>
        <v>0.3</v>
      </c>
      <c r="AB28" s="41">
        <f>Slaughter!X12/Slaughter!$G$2</f>
        <v>0.25</v>
      </c>
      <c r="AC28" s="218">
        <f>Space!X12/Space!$G$2</f>
        <v>0.41906956220054892</v>
      </c>
      <c r="AD28" s="191">
        <f>'Life duration'!X12</f>
        <v>2.7397260273972601E-2</v>
      </c>
      <c r="AE28" s="234">
        <f>Slaughter!X12/(365*24)</f>
        <v>6.8493150684931507E-4</v>
      </c>
    </row>
    <row r="29" spans="1:31" x14ac:dyDescent="0.3">
      <c r="A29" s="101" t="s">
        <v>66</v>
      </c>
      <c r="B29" s="189">
        <f>'No affected'!I13</f>
        <v>0.75216903015372494</v>
      </c>
      <c r="C29" s="41">
        <f>Ability!B13</f>
        <v>0.54320827892864587</v>
      </c>
      <c r="D29" s="41">
        <f t="shared" si="9"/>
        <v>1.829188405797102</v>
      </c>
      <c r="E29" s="41">
        <f t="shared" si="10"/>
        <v>0.24479917184265013</v>
      </c>
      <c r="F29" s="110">
        <f t="shared" si="11"/>
        <v>0.33808695652173926</v>
      </c>
      <c r="G29" s="44">
        <f>Mortality!I13</f>
        <v>3.7999999999999999E-2</v>
      </c>
      <c r="H29" s="44">
        <f>Disease!I13</f>
        <v>0.14499999999999999</v>
      </c>
      <c r="I29" s="44">
        <f>Slaughter!I13/24</f>
        <v>0.16666666666666666</v>
      </c>
      <c r="J29" s="207">
        <f>Space!I13/100</f>
        <v>0.64826086956521767</v>
      </c>
      <c r="K29" s="206">
        <f>Mortality!I13/Mortality!$G$2</f>
        <v>7.5999999999999998E-2</v>
      </c>
      <c r="L29" s="44">
        <f>Disease!I13/Disease!$G$2</f>
        <v>0.28999999999999998</v>
      </c>
      <c r="M29" s="44">
        <f>Slaughter!I13/Slaughter!$G$2</f>
        <v>0.16666666666666666</v>
      </c>
      <c r="N29" s="207">
        <f>Space!I13/Space!$G$2</f>
        <v>0.64826086956521767</v>
      </c>
      <c r="O29" s="200">
        <f>'Life duration'!I13</f>
        <v>9.6153846153846159E-2</v>
      </c>
      <c r="P29" s="234">
        <f>Slaughter!I13/(365*24)</f>
        <v>4.5662100456621003E-4</v>
      </c>
      <c r="Q29" s="190">
        <f>'No affected'!X13</f>
        <v>5.4505002185052534E-3</v>
      </c>
      <c r="R29" s="51">
        <f>Ability!D13</f>
        <v>0.54320827892864587</v>
      </c>
      <c r="S29" s="41">
        <f>2*V29+2*W29+X29+2*Y29</f>
        <v>1.9820512820512821</v>
      </c>
      <c r="T29" s="41">
        <f>(2*Z29+2*AA29+AB29+2*AC29)/7</f>
        <v>0.43172161172161172</v>
      </c>
      <c r="U29" s="110">
        <f>(Z29+AA29+AC29)/3</f>
        <v>0.47589743589743588</v>
      </c>
      <c r="V29">
        <f>Mortality!X13</f>
        <v>0.06</v>
      </c>
      <c r="W29" s="41">
        <f>Disease!X13</f>
        <v>0.46</v>
      </c>
      <c r="X29" s="41">
        <f>Slaughter!X13/24</f>
        <v>0.16666666666666666</v>
      </c>
      <c r="Y29" s="110">
        <f>Space!X13/100</f>
        <v>0.38769230769230767</v>
      </c>
      <c r="Z29" s="101">
        <f>Mortality!X13/Mortality!$G$2</f>
        <v>0.12</v>
      </c>
      <c r="AA29">
        <f>Disease!X13/Disease!$G$2</f>
        <v>0.92</v>
      </c>
      <c r="AB29" s="41">
        <f>Slaughter!X13/Slaughter!$G$2</f>
        <v>0.16666666666666666</v>
      </c>
      <c r="AC29" s="218">
        <f>Space!X13/Space!$G$2</f>
        <v>0.38769230769230767</v>
      </c>
      <c r="AD29" s="191">
        <f>'Life duration'!X13</f>
        <v>6.6666666666666671E-3</v>
      </c>
      <c r="AE29" s="234">
        <f>Slaughter!X13/(365*24)</f>
        <v>4.5662100456621003E-4</v>
      </c>
    </row>
    <row r="30" spans="1:31" x14ac:dyDescent="0.3">
      <c r="A30" s="101" t="s">
        <v>67</v>
      </c>
      <c r="B30" s="189">
        <f>'No affected'!I14</f>
        <v>1.05</v>
      </c>
      <c r="C30" s="41">
        <f>Ability!B14</f>
        <v>0.67196797361598137</v>
      </c>
      <c r="D30" s="41">
        <f t="shared" si="9"/>
        <v>1.4443999999999999</v>
      </c>
      <c r="E30" s="41">
        <f t="shared" si="10"/>
        <v>0.26817142857142856</v>
      </c>
      <c r="F30" s="110">
        <f t="shared" si="11"/>
        <v>0.28573333333333334</v>
      </c>
      <c r="G30" s="44">
        <f>Mortality!I14</f>
        <v>0.15</v>
      </c>
      <c r="H30" s="44">
        <f>Disease!I14</f>
        <v>0.11</v>
      </c>
      <c r="I30" s="44">
        <f>Slaughter!I14/24</f>
        <v>0.25</v>
      </c>
      <c r="J30" s="207">
        <f>Space!I14/100</f>
        <v>0.3372</v>
      </c>
      <c r="K30" s="206">
        <f>Mortality!I14/Mortality!$G$2</f>
        <v>0.3</v>
      </c>
      <c r="L30" s="44">
        <f>Disease!I14/Disease!$G$2</f>
        <v>0.22</v>
      </c>
      <c r="M30" s="44">
        <f>Slaughter!I14/Slaughter!$G$2</f>
        <v>0.25</v>
      </c>
      <c r="N30" s="207">
        <f>Space!I14/Space!$G$2</f>
        <v>0.3372</v>
      </c>
      <c r="O30" s="200">
        <f>'Life duration'!I14</f>
        <v>0.16666666666666666</v>
      </c>
      <c r="P30" s="234">
        <f>Slaughter!I14/(365*24)</f>
        <v>6.8493150684931507E-4</v>
      </c>
      <c r="Q30" s="101"/>
      <c r="R30" s="51"/>
      <c r="S30" s="51"/>
      <c r="U30" s="111"/>
      <c r="X30" s="41"/>
      <c r="Y30" s="110"/>
      <c r="Z30" s="101"/>
      <c r="AC30" s="111"/>
      <c r="AD30" s="191"/>
      <c r="AE30" s="234"/>
    </row>
    <row r="31" spans="1:31" x14ac:dyDescent="0.3">
      <c r="A31" s="104" t="s">
        <v>68</v>
      </c>
      <c r="B31" s="232">
        <f>'No affected'!I15</f>
        <v>6.4000000000000001E-2</v>
      </c>
      <c r="C31" s="193">
        <f>Ability!B15</f>
        <v>0.58534077701729459</v>
      </c>
      <c r="D31" s="193">
        <f t="shared" si="9"/>
        <v>2.1699600000000001</v>
      </c>
      <c r="E31" s="193">
        <f t="shared" si="10"/>
        <v>0.42285428571428568</v>
      </c>
      <c r="F31" s="254">
        <f t="shared" si="11"/>
        <v>0.48666000000000004</v>
      </c>
      <c r="G31" s="255">
        <f>Mortality!I15</f>
        <v>0.04</v>
      </c>
      <c r="H31" s="255">
        <f>Disease!I15</f>
        <v>0.46</v>
      </c>
      <c r="I31" s="255">
        <f>Slaughter!I15/24</f>
        <v>0.25</v>
      </c>
      <c r="J31" s="256">
        <f>Space!I15/100</f>
        <v>0.45998</v>
      </c>
      <c r="K31" s="257">
        <f>Mortality!I15/Mortality!$G$2</f>
        <v>0.08</v>
      </c>
      <c r="L31" s="255">
        <f>Disease!I15/Disease!$G$2</f>
        <v>0.92</v>
      </c>
      <c r="M31" s="255">
        <f>Slaughter!I15/Slaughter!$G$2</f>
        <v>0.25</v>
      </c>
      <c r="N31" s="256">
        <f>Space!I15/Space!$G$2</f>
        <v>0.45998</v>
      </c>
      <c r="O31" s="244">
        <f>'Life duration'!I15</f>
        <v>1.2</v>
      </c>
      <c r="P31" s="235">
        <f>Slaughter!I15/(365*24)</f>
        <v>6.8493150684931507E-4</v>
      </c>
      <c r="Q31" s="312">
        <f>'No affected'!X15</f>
        <v>6.4000000000000001E-2</v>
      </c>
      <c r="R31" s="313">
        <f>Ability!D15</f>
        <v>0.2556274253781865</v>
      </c>
      <c r="S31" s="313">
        <f>2*V31+2*W31+X31+2*Y31</f>
        <v>6.9444444444444441E-3</v>
      </c>
      <c r="T31" s="313">
        <f>(2*Z31+2*AA31+AB31+2*AC31)/7</f>
        <v>9.9206349206349201E-4</v>
      </c>
      <c r="U31" s="314">
        <f>(Z31+AA31+AC31)/3</f>
        <v>0</v>
      </c>
      <c r="V31" s="315">
        <f>Mortality!X15</f>
        <v>0</v>
      </c>
      <c r="W31" s="313">
        <f>Disease!X15</f>
        <v>0</v>
      </c>
      <c r="X31" s="313">
        <f>Slaughter!X15/24</f>
        <v>6.9444444444444441E-3</v>
      </c>
      <c r="Y31" s="314">
        <f>Space!X15/100</f>
        <v>0</v>
      </c>
      <c r="Z31" s="316">
        <f>Mortality!X15/Mortality!$G$2</f>
        <v>0</v>
      </c>
      <c r="AA31" s="317">
        <f>Disease!X15/Disease!$G$2</f>
        <v>0</v>
      </c>
      <c r="AB31" s="313">
        <f>Slaughter!X15/Slaughter!$G$2</f>
        <v>6.9444444444444441E-3</v>
      </c>
      <c r="AC31" s="318">
        <f>Space!X15/Space!$G$2</f>
        <v>0</v>
      </c>
      <c r="AD31" s="319">
        <f>'Life duration'!X15</f>
        <v>3.1709791983764589E-7</v>
      </c>
      <c r="AE31" s="320">
        <f>Slaughter!X15/(365*24)</f>
        <v>1.902587519025875E-5</v>
      </c>
    </row>
  </sheetData>
  <mergeCells count="4">
    <mergeCell ref="B5:D5"/>
    <mergeCell ref="E5:G5"/>
    <mergeCell ref="H5:J5"/>
    <mergeCell ref="K5:M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C044-F3A5-4AA9-91DA-1792AEC8781F}">
  <sheetPr>
    <tabColor theme="5" tint="0.79998168889431442"/>
  </sheetPr>
  <dimension ref="A2:AE31"/>
  <sheetViews>
    <sheetView zoomScale="89" workbookViewId="0">
      <selection activeCell="M38" sqref="M38"/>
    </sheetView>
  </sheetViews>
  <sheetFormatPr defaultRowHeight="14.4" x14ac:dyDescent="0.3"/>
  <cols>
    <col min="1" max="1" width="23.33203125" customWidth="1"/>
    <col min="2" max="31" width="9.6640625" customWidth="1"/>
  </cols>
  <sheetData>
    <row r="2" spans="1:13" ht="21" x14ac:dyDescent="0.4">
      <c r="A2" s="30" t="s">
        <v>77</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0.39860416313328806</v>
      </c>
      <c r="C7" s="41">
        <f t="shared" ref="C7:C16" si="0">B22*C22*D22*100</f>
        <v>0.34725569039332882</v>
      </c>
      <c r="D7" s="41">
        <f>Q22*R22*S22*100</f>
        <v>5.1348472739959239E-2</v>
      </c>
      <c r="E7" s="41">
        <f t="shared" ref="E7:E16" si="1">F7+G7</f>
        <v>6.8409800910393503E-2</v>
      </c>
      <c r="F7" s="19">
        <f t="shared" ref="F7:F16" si="2">B22*C22*E22*100</f>
        <v>5.9659739952250775E-2</v>
      </c>
      <c r="G7" s="19">
        <f>Q22*R22*T22*100</f>
        <v>8.7500609581427271E-3</v>
      </c>
      <c r="H7" s="226">
        <f>I7+J7</f>
        <v>1.2252898527230084E-3</v>
      </c>
      <c r="I7" s="226">
        <f t="shared" ref="I7:I16" si="3">B22*((O22-P22)*F22+P22)</f>
        <v>1.1280631228438964E-3</v>
      </c>
      <c r="J7" s="226">
        <f>Q22*((AD22-AE22)*U22+AE22)</f>
        <v>9.7226729879112004E-5</v>
      </c>
      <c r="K7" s="226">
        <f>L7+M7</f>
        <v>1.0832824748164516E-3</v>
      </c>
      <c r="L7" s="226">
        <f t="shared" ref="L7:L16" si="4">C22*B22*((O22-P22)*F22+P22)</f>
        <v>9.9732402806388168E-4</v>
      </c>
      <c r="M7" s="234">
        <f>R22*Q22*((AD22-AE22)*U22+AE22)</f>
        <v>8.595844675257003E-5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0.52525495778621201</v>
      </c>
      <c r="C9" s="41">
        <f t="shared" si="0"/>
        <v>0.52525495778621201</v>
      </c>
      <c r="D9" s="41"/>
      <c r="E9" s="41">
        <f t="shared" si="1"/>
        <v>9.3564028526488735E-2</v>
      </c>
      <c r="F9" s="19">
        <f t="shared" si="2"/>
        <v>9.3564028526488735E-2</v>
      </c>
      <c r="G9" s="19"/>
      <c r="H9" s="226">
        <f t="shared" si="6"/>
        <v>1.8314157788833225E-3</v>
      </c>
      <c r="I9" s="226">
        <f t="shared" si="3"/>
        <v>1.8314157788833225E-3</v>
      </c>
      <c r="J9" s="226"/>
      <c r="K9" s="226">
        <f t="shared" si="7"/>
        <v>1.6191602443761677E-3</v>
      </c>
      <c r="L9" s="226">
        <f t="shared" si="4"/>
        <v>1.6191602443761677E-3</v>
      </c>
      <c r="M9" s="111"/>
    </row>
    <row r="10" spans="1:13" x14ac:dyDescent="0.3">
      <c r="A10" s="101" t="s">
        <v>38</v>
      </c>
      <c r="B10" s="191">
        <f t="shared" si="5"/>
        <v>1.0503266608638366E-2</v>
      </c>
      <c r="C10" s="102">
        <f t="shared" si="0"/>
        <v>1.0503266608638366E-2</v>
      </c>
      <c r="D10" s="41"/>
      <c r="E10" s="41">
        <f t="shared" si="1"/>
        <v>2.231105909080574E-3</v>
      </c>
      <c r="F10" s="19">
        <f t="shared" si="2"/>
        <v>2.231105909080574E-3</v>
      </c>
      <c r="G10" s="19"/>
      <c r="H10" s="226">
        <f t="shared" si="6"/>
        <v>1.5550715850044892E-4</v>
      </c>
      <c r="I10" s="226">
        <f t="shared" si="3"/>
        <v>1.5550715850044892E-4</v>
      </c>
      <c r="J10" s="226"/>
      <c r="K10" s="226">
        <f t="shared" si="7"/>
        <v>1.3748435044791196E-4</v>
      </c>
      <c r="L10" s="226">
        <f t="shared" si="4"/>
        <v>1.3748435044791196E-4</v>
      </c>
      <c r="M10" s="111"/>
    </row>
    <row r="11" spans="1:13" x14ac:dyDescent="0.3">
      <c r="A11" s="101" t="s">
        <v>39</v>
      </c>
      <c r="B11" s="191">
        <f t="shared" si="5"/>
        <v>0.49210525792960952</v>
      </c>
      <c r="C11" s="41">
        <f t="shared" si="0"/>
        <v>0.49210525792960952</v>
      </c>
      <c r="D11" s="41"/>
      <c r="E11" s="41">
        <f t="shared" si="1"/>
        <v>0.11238876692461282</v>
      </c>
      <c r="F11" s="19">
        <f t="shared" si="2"/>
        <v>0.11238876692461282</v>
      </c>
      <c r="G11" s="19"/>
      <c r="H11" s="226">
        <f t="shared" si="6"/>
        <v>1.7044306410958904E-3</v>
      </c>
      <c r="I11" s="226">
        <f t="shared" si="3"/>
        <v>1.7044306410958904E-3</v>
      </c>
      <c r="J11" s="226"/>
      <c r="K11" s="226">
        <f t="shared" si="7"/>
        <v>1.4984266118686987E-3</v>
      </c>
      <c r="L11" s="226">
        <f t="shared" si="4"/>
        <v>1.4984266118686987E-3</v>
      </c>
      <c r="M11" s="111"/>
    </row>
    <row r="12" spans="1:13" x14ac:dyDescent="0.3">
      <c r="A12" s="101" t="s">
        <v>40</v>
      </c>
      <c r="B12" s="191">
        <f t="shared" si="5"/>
        <v>6.1975092217507841</v>
      </c>
      <c r="C12" s="85">
        <f t="shared" si="0"/>
        <v>6.0910980095105929</v>
      </c>
      <c r="D12" s="41">
        <f>Q27*R27*S27*100</f>
        <v>0.10641121224019133</v>
      </c>
      <c r="E12" s="41">
        <f t="shared" si="1"/>
        <v>1.1565775738462523</v>
      </c>
      <c r="F12" s="41">
        <f t="shared" si="2"/>
        <v>1.1383195016129295</v>
      </c>
      <c r="G12" s="19">
        <f>Q27*R27*T27*100</f>
        <v>1.8258072233322792E-2</v>
      </c>
      <c r="H12" s="226">
        <f t="shared" si="6"/>
        <v>5.9824833352004995E-3</v>
      </c>
      <c r="I12" s="226">
        <f t="shared" si="3"/>
        <v>5.8895470962280197E-3</v>
      </c>
      <c r="J12" s="226">
        <f t="shared" ref="J12:J16" si="8">Q27*((AD27-AE27)*U27+AE27)</f>
        <v>9.2936238972479777E-5</v>
      </c>
      <c r="K12" s="226">
        <f t="shared" si="7"/>
        <v>4.914231862355338E-3</v>
      </c>
      <c r="L12" s="226">
        <f t="shared" si="4"/>
        <v>4.8320666516253998E-3</v>
      </c>
      <c r="M12" s="234">
        <f>R27*Q27*((AD27-AE27)*U27+AE27)</f>
        <v>8.2165210729938297E-5</v>
      </c>
    </row>
    <row r="13" spans="1:13" x14ac:dyDescent="0.3">
      <c r="A13" s="101" t="s">
        <v>41</v>
      </c>
      <c r="B13" s="191">
        <f t="shared" si="5"/>
        <v>3.6851588734859804</v>
      </c>
      <c r="C13" s="85">
        <f t="shared" si="0"/>
        <v>3.6340761350042134</v>
      </c>
      <c r="D13" s="41">
        <f>Q28*R28*S28*100</f>
        <v>5.1082738481767129E-2</v>
      </c>
      <c r="E13" s="41">
        <f t="shared" si="1"/>
        <v>0.6172427533311492</v>
      </c>
      <c r="F13" s="41">
        <f t="shared" si="2"/>
        <v>0.60820079536968918</v>
      </c>
      <c r="G13" s="19">
        <f>Q28*R28*T28*100</f>
        <v>9.041957961459993E-3</v>
      </c>
      <c r="H13" s="226">
        <f t="shared" si="6"/>
        <v>3.9970464941876931E-3</v>
      </c>
      <c r="I13" s="226">
        <f t="shared" si="3"/>
        <v>3.9941551167038576E-3</v>
      </c>
      <c r="J13" s="226">
        <f t="shared" si="8"/>
        <v>2.891377483835693E-6</v>
      </c>
      <c r="K13" s="226">
        <f t="shared" si="7"/>
        <v>3.51684541766944E-3</v>
      </c>
      <c r="L13" s="226">
        <f t="shared" si="4"/>
        <v>3.5141042285577917E-3</v>
      </c>
      <c r="M13" s="234">
        <f>R28*Q28*((AD28-AE28)*U28+AE28)</f>
        <v>2.7411891116484131E-6</v>
      </c>
    </row>
    <row r="14" spans="1:13" x14ac:dyDescent="0.3">
      <c r="A14" s="101" t="s">
        <v>42</v>
      </c>
      <c r="B14" s="191">
        <f>C14+D14</f>
        <v>76.364102407618148</v>
      </c>
      <c r="C14" s="85">
        <f t="shared" si="0"/>
        <v>75.793302650867773</v>
      </c>
      <c r="D14" s="41">
        <f>Q29*R29*S29*100</f>
        <v>0.57079975675037176</v>
      </c>
      <c r="E14" s="41">
        <f t="shared" si="1"/>
        <v>10.425835080446911</v>
      </c>
      <c r="F14" s="85">
        <f t="shared" si="2"/>
        <v>10.303687592778648</v>
      </c>
      <c r="G14" s="41">
        <f>Q29*R29*T29*100</f>
        <v>0.12214748766826264</v>
      </c>
      <c r="H14" s="226">
        <f>I14+J14</f>
        <v>2.4732264831112408E-2</v>
      </c>
      <c r="I14" s="226">
        <f t="shared" si="3"/>
        <v>2.4714358052140239E-2</v>
      </c>
      <c r="J14" s="226">
        <f t="shared" si="8"/>
        <v>1.7906778972168132E-5</v>
      </c>
      <c r="K14" s="226">
        <f t="shared" si="7"/>
        <v>1.3434771012916048E-2</v>
      </c>
      <c r="L14" s="226">
        <f t="shared" si="4"/>
        <v>1.3425043902329421E-2</v>
      </c>
      <c r="M14" s="234">
        <f>R29*Q29*((AD29-AE29)*U29+AE29)</f>
        <v>9.7271105866271174E-6</v>
      </c>
    </row>
    <row r="15" spans="1:13" x14ac:dyDescent="0.3">
      <c r="A15" s="101" t="s">
        <v>43</v>
      </c>
      <c r="B15" s="191">
        <f t="shared" si="5"/>
        <v>101.72645405809915</v>
      </c>
      <c r="C15" s="85">
        <f t="shared" si="0"/>
        <v>101.72645405809915</v>
      </c>
      <c r="D15" s="41"/>
      <c r="E15" s="41">
        <f t="shared" si="1"/>
        <v>18.965368099537987</v>
      </c>
      <c r="F15" s="85">
        <f t="shared" si="2"/>
        <v>18.965368099537987</v>
      </c>
      <c r="H15" s="226">
        <f t="shared" si="6"/>
        <v>5.005876555689498E-2</v>
      </c>
      <c r="I15" s="226">
        <f t="shared" si="3"/>
        <v>5.005876555689498E-2</v>
      </c>
      <c r="J15" s="226"/>
      <c r="K15" s="226">
        <f t="shared" si="7"/>
        <v>3.3637887252984201E-2</v>
      </c>
      <c r="L15" s="226">
        <f t="shared" si="4"/>
        <v>3.3637887252984201E-2</v>
      </c>
      <c r="M15" s="111"/>
    </row>
    <row r="16" spans="1:13" x14ac:dyDescent="0.3">
      <c r="A16" s="104" t="s">
        <v>44</v>
      </c>
      <c r="B16" s="233">
        <f t="shared" si="5"/>
        <v>10.000198388241101</v>
      </c>
      <c r="C16" s="253">
        <f t="shared" si="0"/>
        <v>9.9884821312446004</v>
      </c>
      <c r="D16" s="193">
        <f>Q31*R31*S31*100</f>
        <v>1.1716256996500213E-2</v>
      </c>
      <c r="E16" s="193">
        <f t="shared" si="1"/>
        <v>1.6885375675261243</v>
      </c>
      <c r="F16" s="193">
        <f t="shared" si="2"/>
        <v>1.6868638165266243</v>
      </c>
      <c r="G16" s="113">
        <f>Q31*R31*T31*100</f>
        <v>1.6737509995000304E-3</v>
      </c>
      <c r="H16" s="227">
        <f t="shared" si="6"/>
        <v>4.2392227039086752E-2</v>
      </c>
      <c r="I16" s="227">
        <f t="shared" si="3"/>
        <v>4.2390971331324197E-2</v>
      </c>
      <c r="J16" s="227">
        <f t="shared" si="8"/>
        <v>1.2557077625570776E-6</v>
      </c>
      <c r="K16" s="227">
        <f t="shared" si="7"/>
        <v>2.4813485090937535E-2</v>
      </c>
      <c r="L16" s="227">
        <f t="shared" si="4"/>
        <v>2.4813164097595167E-2</v>
      </c>
      <c r="M16" s="235">
        <f>R31*Q31*((AD31-AE31)*U31+AE31)</f>
        <v>3.2099334236986887E-7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affected'!J6</f>
        <v>3.5000000000000001E-3</v>
      </c>
      <c r="C22" s="41">
        <f>Ability!B6</f>
        <v>0.88410303277141455</v>
      </c>
      <c r="D22" s="41">
        <f>2*G22+2*H22+I22+2*J22</f>
        <v>1.1222211423699915</v>
      </c>
      <c r="E22" s="41">
        <f>(2*K22+2*L22+N22+2*M22)/7</f>
        <v>0.19280151016928507</v>
      </c>
      <c r="F22" s="110">
        <f>(K22+L22+N22)/3</f>
        <v>0.16075907928388747</v>
      </c>
      <c r="G22" s="44">
        <f>Mortality!J6</f>
        <v>4.2000000000000003E-2</v>
      </c>
      <c r="H22" s="44">
        <f>Disease!J6</f>
        <v>0.05</v>
      </c>
      <c r="I22" s="44">
        <f>Slaughter!J6/24</f>
        <v>0.34166666666666662</v>
      </c>
      <c r="J22" s="207">
        <f>Space!J6/100</f>
        <v>0.29827723785166244</v>
      </c>
      <c r="K22" s="206">
        <f>Mortality!J6/Mortality!$G$2</f>
        <v>8.4000000000000005E-2</v>
      </c>
      <c r="L22" s="44">
        <f>Disease!J6/Disease!$G$2</f>
        <v>0.1</v>
      </c>
      <c r="M22" s="44">
        <f>Slaughter!J6/Slaughter!$G$2</f>
        <v>0.34166666666666662</v>
      </c>
      <c r="N22" s="207">
        <f>Space!J6/Space!$G$2</f>
        <v>0.29827723785166244</v>
      </c>
      <c r="O22" s="200">
        <f>'Life duration'!J6</f>
        <v>2</v>
      </c>
      <c r="P22" s="234">
        <f>Slaughter!J6/(365*24)</f>
        <v>9.3607305936073046E-4</v>
      </c>
      <c r="Q22" s="247">
        <f>'No affected'!Y6</f>
        <v>8.0000000000000004E-4</v>
      </c>
      <c r="R22" s="51">
        <f>Ability!D6</f>
        <v>0.88410303277141455</v>
      </c>
      <c r="S22" s="41">
        <f>2*V22+2*W22+X22+2*Y22</f>
        <v>0.7259967282743649</v>
      </c>
      <c r="T22" s="41">
        <f>(2*Z22+2*AA22+AB22+2*AC22)/7</f>
        <v>0.12371381832490927</v>
      </c>
      <c r="U22" s="110">
        <f>(Z22+AA22+AC22)/3</f>
        <v>8.7388343601283058E-2</v>
      </c>
      <c r="V22">
        <f>Mortality!Y6</f>
        <v>0.03</v>
      </c>
      <c r="W22" s="41">
        <f>Disease!Y6</f>
        <v>0.04</v>
      </c>
      <c r="X22" s="41">
        <f>Slaughter!Y6/24</f>
        <v>0.34166666666666662</v>
      </c>
      <c r="Y22" s="110">
        <f>Space!Y6/100</f>
        <v>0.12216503080384916</v>
      </c>
      <c r="Z22" s="101">
        <f>Mortality!Y6/Mortality!$G$2</f>
        <v>0.06</v>
      </c>
      <c r="AA22">
        <f>Disease!Y6/Disease!$G$2</f>
        <v>0.08</v>
      </c>
      <c r="AB22" s="41">
        <f>Slaughter!Y6/Slaughter!$G$2</f>
        <v>0.34166666666666662</v>
      </c>
      <c r="AC22" s="218">
        <f>Space!Y6/Space!$G$2</f>
        <v>0.12216503080384916</v>
      </c>
      <c r="AD22" s="200">
        <f>'Life duration'!Y6</f>
        <v>1.3809523809523809</v>
      </c>
      <c r="AE22" s="234">
        <f>Slaughter!Y6/(365*24)</f>
        <v>9.3607305936073046E-4</v>
      </c>
    </row>
    <row r="23" spans="1:31" x14ac:dyDescent="0.3">
      <c r="A23" s="101" t="s">
        <v>60</v>
      </c>
      <c r="B23" s="189">
        <f>'No affected'!J7</f>
        <v>8.9999999999999993E-3</v>
      </c>
      <c r="C23" s="41">
        <f>Ability!B7</f>
        <v>0.82044791775586834</v>
      </c>
      <c r="D23" s="41">
        <f t="shared" ref="D23:D31" si="9">2*G23+2*H23+I23+2*J23</f>
        <v>1.0073565062388592</v>
      </c>
      <c r="E23" s="41">
        <f t="shared" ref="E23:E31" si="10">(2*K23+2*L23+N23+2*M23)/7</f>
        <v>0.21588260758848993</v>
      </c>
      <c r="F23" s="110">
        <f t="shared" ref="F23:F31" si="11">(K23+L23+N23)/3</f>
        <v>0.16594830659536541</v>
      </c>
      <c r="G23" s="44">
        <f>Mortality!J7</f>
        <v>6.5000000000000002E-2</v>
      </c>
      <c r="H23" s="44">
        <f>Disease!J7</f>
        <v>0.1</v>
      </c>
      <c r="I23" s="44">
        <f>Slaughter!J7/24</f>
        <v>0.34166666666666662</v>
      </c>
      <c r="J23" s="207">
        <f>Space!J7/100</f>
        <v>0.16784491978609625</v>
      </c>
      <c r="K23" s="206">
        <f>Mortality!J7/Mortality!$G$2</f>
        <v>0.13</v>
      </c>
      <c r="L23" s="44">
        <f>Disease!J7/Disease!$G$2</f>
        <v>0.2</v>
      </c>
      <c r="M23" s="44">
        <f>Slaughter!J7/Slaughter!$G$2</f>
        <v>0.34166666666666662</v>
      </c>
      <c r="N23" s="207">
        <f>Space!J7/Space!$G$2</f>
        <v>0.16784491978609625</v>
      </c>
      <c r="O23" s="200">
        <f>'Life duration'!J7</f>
        <v>0.75</v>
      </c>
      <c r="P23" s="234">
        <f>Slaughter!J7/(365*24)</f>
        <v>9.3607305936073046E-4</v>
      </c>
      <c r="Q23" s="101"/>
      <c r="R23" s="51"/>
      <c r="S23" s="51"/>
      <c r="U23" s="111"/>
      <c r="X23" s="41"/>
      <c r="Y23" s="110"/>
      <c r="Z23" s="101"/>
      <c r="AC23" s="111"/>
      <c r="AD23" s="200"/>
      <c r="AE23" s="234"/>
    </row>
    <row r="24" spans="1:31" x14ac:dyDescent="0.3">
      <c r="A24" s="101" t="s">
        <v>61</v>
      </c>
      <c r="B24" s="189">
        <f>'No affected'!J8</f>
        <v>5.0000000000000001E-3</v>
      </c>
      <c r="C24" s="41">
        <f>Ability!B8</f>
        <v>0.88410303277141455</v>
      </c>
      <c r="D24" s="41">
        <f t="shared" si="9"/>
        <v>1.1882211423699913</v>
      </c>
      <c r="E24" s="41">
        <f t="shared" si="10"/>
        <v>0.21165865302642795</v>
      </c>
      <c r="F24" s="110">
        <f t="shared" si="11"/>
        <v>0.18275907928388749</v>
      </c>
      <c r="G24" s="44">
        <f>Mortality!J8</f>
        <v>7.4999999999999997E-2</v>
      </c>
      <c r="H24" s="44">
        <f>Disease!J8</f>
        <v>0.05</v>
      </c>
      <c r="I24" s="44">
        <f>Slaughter!J8/24</f>
        <v>0.34166666666666662</v>
      </c>
      <c r="J24" s="207">
        <f>Space!J8/100</f>
        <v>0.29827723785166244</v>
      </c>
      <c r="K24" s="206">
        <f>Mortality!J8/Mortality!$G$2</f>
        <v>0.15</v>
      </c>
      <c r="L24" s="44">
        <f>Disease!J8/Disease!$G$2</f>
        <v>0.1</v>
      </c>
      <c r="M24" s="44">
        <f>Slaughter!J8/Slaughter!$G$2</f>
        <v>0.34166666666666662</v>
      </c>
      <c r="N24" s="207">
        <f>Space!J8/Space!$G$2</f>
        <v>0.29827723785166244</v>
      </c>
      <c r="O24" s="200">
        <f>'Life duration'!J8</f>
        <v>2</v>
      </c>
      <c r="P24" s="234">
        <f>Slaughter!J8/(365*24)</f>
        <v>9.3607305936073046E-4</v>
      </c>
      <c r="Q24" s="101"/>
      <c r="R24" s="51"/>
      <c r="S24" s="51"/>
      <c r="U24" s="111"/>
      <c r="X24" s="41"/>
      <c r="Y24" s="110"/>
      <c r="Z24" s="101"/>
      <c r="AC24" s="111"/>
      <c r="AD24" s="200"/>
      <c r="AE24" s="234"/>
    </row>
    <row r="25" spans="1:31" x14ac:dyDescent="0.3">
      <c r="A25" s="101" t="s">
        <v>62</v>
      </c>
      <c r="B25" s="189">
        <f>'No affected'!J9</f>
        <v>1E-4</v>
      </c>
      <c r="C25" s="41">
        <f>Ability!B9</f>
        <v>0.88410303277141455</v>
      </c>
      <c r="D25" s="41">
        <f t="shared" si="9"/>
        <v>1.1880138648222456</v>
      </c>
      <c r="E25" s="41">
        <f t="shared" si="10"/>
        <v>0.25235813320158895</v>
      </c>
      <c r="F25" s="110">
        <f t="shared" si="11"/>
        <v>0.21439119969259648</v>
      </c>
      <c r="G25" s="44">
        <f>Mortality!J9</f>
        <v>0.06</v>
      </c>
      <c r="H25" s="44">
        <f>Disease!J9</f>
        <v>0.16</v>
      </c>
      <c r="I25" s="44">
        <f>Slaughter!J9/24</f>
        <v>0.34166666666666662</v>
      </c>
      <c r="J25" s="207">
        <f>Space!J9/100</f>
        <v>0.20317359907778951</v>
      </c>
      <c r="K25" s="206">
        <f>Mortality!J9/Mortality!$G$2</f>
        <v>0.12</v>
      </c>
      <c r="L25" s="44">
        <f>Disease!J9/Disease!$G$2</f>
        <v>0.32</v>
      </c>
      <c r="M25" s="44">
        <f>Slaughter!J9/Slaughter!$G$2</f>
        <v>0.34166666666666662</v>
      </c>
      <c r="N25" s="207">
        <f>Space!J9/Space!$G$2</f>
        <v>0.20317359907778951</v>
      </c>
      <c r="O25" s="200">
        <f>'Life duration'!J9</f>
        <v>7.25</v>
      </c>
      <c r="P25" s="234">
        <f>Slaughter!J9/(365*24)</f>
        <v>9.3607305936073046E-4</v>
      </c>
      <c r="Q25" s="101"/>
      <c r="R25" s="51"/>
      <c r="S25" s="51"/>
      <c r="U25" s="111"/>
      <c r="X25" s="41"/>
      <c r="Y25" s="110"/>
      <c r="Z25" s="101"/>
      <c r="AC25" s="111"/>
      <c r="AD25" s="200"/>
      <c r="AE25" s="234"/>
    </row>
    <row r="26" spans="1:31" x14ac:dyDescent="0.3">
      <c r="A26" s="101" t="s">
        <v>63</v>
      </c>
      <c r="B26" s="189">
        <f>'No affected'!J10</f>
        <v>5.0000000000000001E-3</v>
      </c>
      <c r="C26" s="41">
        <f>Ability!B10</f>
        <v>0.87913616180078868</v>
      </c>
      <c r="D26" s="41">
        <f t="shared" si="9"/>
        <v>1.1195200000000001</v>
      </c>
      <c r="E26" s="41">
        <f t="shared" si="10"/>
        <v>0.25567999999999996</v>
      </c>
      <c r="F26" s="110">
        <f t="shared" si="11"/>
        <v>0.16991999999999999</v>
      </c>
      <c r="G26" s="44">
        <f>Mortality!J10</f>
        <v>0.03</v>
      </c>
      <c r="H26" s="44">
        <f>Disease!J10</f>
        <v>0.15</v>
      </c>
      <c r="I26" s="44">
        <f>Slaughter!J10/24</f>
        <v>0.45999999999999996</v>
      </c>
      <c r="J26" s="207">
        <f>Space!J10/100</f>
        <v>0.14976</v>
      </c>
      <c r="K26" s="206">
        <f>Mortality!J10/Mortality!$G$2</f>
        <v>0.06</v>
      </c>
      <c r="L26" s="44">
        <f>Disease!J10/Disease!$G$2</f>
        <v>0.3</v>
      </c>
      <c r="M26" s="44">
        <f>Slaughter!J10/Slaughter!$G$2</f>
        <v>0.45999999999999996</v>
      </c>
      <c r="N26" s="207">
        <f>Space!J10/Space!$G$2</f>
        <v>0.14976</v>
      </c>
      <c r="O26" s="200">
        <f>'Life duration'!J10</f>
        <v>2</v>
      </c>
      <c r="P26" s="234">
        <f>Slaughter!J10/(365*24)</f>
        <v>1.2602739726027396E-3</v>
      </c>
      <c r="Q26" s="101"/>
      <c r="R26" s="51"/>
      <c r="S26" s="51"/>
      <c r="U26" s="111"/>
      <c r="X26" s="41"/>
      <c r="Y26" s="110"/>
      <c r="Z26" s="101"/>
      <c r="AC26" s="111"/>
      <c r="AD26" s="200"/>
      <c r="AE26" s="234"/>
    </row>
    <row r="27" spans="1:31" x14ac:dyDescent="0.3">
      <c r="A27" s="101" t="s">
        <v>64</v>
      </c>
      <c r="B27" s="189">
        <f>'No affected'!J11</f>
        <v>6.4000000000000001E-2</v>
      </c>
      <c r="C27" s="41">
        <f>Ability!B11</f>
        <v>0.82044791775586834</v>
      </c>
      <c r="D27" s="41">
        <f t="shared" si="9"/>
        <v>1.1600176481515883</v>
      </c>
      <c r="E27" s="41">
        <f t="shared" si="10"/>
        <v>0.21678697486797058</v>
      </c>
      <c r="F27" s="110">
        <f t="shared" si="11"/>
        <v>0.18250294135859804</v>
      </c>
      <c r="G27" s="44">
        <f>Mortality!J11</f>
        <v>0.08</v>
      </c>
      <c r="H27" s="44">
        <f>Disease!J11</f>
        <v>0.06</v>
      </c>
      <c r="I27" s="44">
        <f>Slaughter!J11/24</f>
        <v>0.34499999999999997</v>
      </c>
      <c r="J27" s="207">
        <f>Space!J11/100</f>
        <v>0.26750882407579413</v>
      </c>
      <c r="K27" s="206">
        <f>Mortality!J11/Mortality!$G$2</f>
        <v>0.16</v>
      </c>
      <c r="L27" s="44">
        <f>Disease!J11/Disease!$G$2</f>
        <v>0.12</v>
      </c>
      <c r="M27" s="44">
        <f>Slaughter!J11/Slaughter!$G$2</f>
        <v>0.34499999999999997</v>
      </c>
      <c r="N27" s="207">
        <f>Space!J11/Space!$G$2</f>
        <v>0.26750882407579413</v>
      </c>
      <c r="O27" s="200">
        <f>'Life duration'!J11</f>
        <v>0.5</v>
      </c>
      <c r="P27" s="234">
        <f>Slaughter!J11/(365*24)</f>
        <v>9.4520547945205473E-4</v>
      </c>
      <c r="Q27" s="190">
        <f>'No affected'!Y11</f>
        <v>1.1000000000000001E-3</v>
      </c>
      <c r="R27" s="51">
        <f>Ability!D11</f>
        <v>0.88410303277141455</v>
      </c>
      <c r="S27" s="41">
        <f>2*V27+2*W27+X27+2*Y27</f>
        <v>1.0941876917858366</v>
      </c>
      <c r="T27" s="41">
        <f>(2*Z27+2*AA27+AB27+2*AC27)/7</f>
        <v>0.18774109882654808</v>
      </c>
      <c r="U27" s="110">
        <f>(Z27+AA27+AC27)/3</f>
        <v>0.16153128196430611</v>
      </c>
      <c r="V27">
        <f>Mortality!Y11</f>
        <v>0.06</v>
      </c>
      <c r="W27" s="41">
        <f>Disease!Y11</f>
        <v>0.05</v>
      </c>
      <c r="X27" s="41">
        <f>Slaughter!Y11/24</f>
        <v>0.34499999999999997</v>
      </c>
      <c r="Y27" s="110">
        <f>Space!Y11/100</f>
        <v>0.26459384589291834</v>
      </c>
      <c r="Z27" s="101">
        <f>Mortality!Y11/Mortality!$G$2</f>
        <v>0.12</v>
      </c>
      <c r="AA27">
        <f>Disease!Y11/Disease!$G$2</f>
        <v>0.1</v>
      </c>
      <c r="AB27" s="41">
        <f>Slaughter!Y11/Slaughter!$G$2</f>
        <v>0.34499999999999997</v>
      </c>
      <c r="AC27" s="218">
        <f>Space!Y11/Space!$G$2</f>
        <v>0.26459384589291834</v>
      </c>
      <c r="AD27" s="200">
        <f>'Life duration'!Y11</f>
        <v>0.5181347150259068</v>
      </c>
      <c r="AE27" s="234">
        <f>Slaughter!Y11/(365*24)</f>
        <v>9.4520547945205473E-4</v>
      </c>
    </row>
    <row r="28" spans="1:31" x14ac:dyDescent="0.3">
      <c r="A28" s="101" t="s">
        <v>65</v>
      </c>
      <c r="B28" s="189">
        <f>'No affected'!J12</f>
        <v>1.7964627858546047E-2</v>
      </c>
      <c r="C28" s="41">
        <f>Ability!B12</f>
        <v>0.87981165625279378</v>
      </c>
      <c r="D28" s="41">
        <f t="shared" si="9"/>
        <v>2.2992494172494173</v>
      </c>
      <c r="E28" s="41">
        <f t="shared" si="10"/>
        <v>0.38480352980352978</v>
      </c>
      <c r="F28" s="110">
        <f t="shared" si="11"/>
        <v>0.44365268065268065</v>
      </c>
      <c r="G28" s="44">
        <f>Mortality!J12</f>
        <v>0.19800000000000001</v>
      </c>
      <c r="H28" s="44">
        <f>Disease!J12</f>
        <v>0.15</v>
      </c>
      <c r="I28" s="44">
        <f>Slaughter!J12/24</f>
        <v>0.33333333333333331</v>
      </c>
      <c r="J28" s="207">
        <f>Space!J12/100</f>
        <v>0.63495804195804206</v>
      </c>
      <c r="K28" s="206">
        <f>Mortality!J12/Mortality!$G$2</f>
        <v>0.39600000000000002</v>
      </c>
      <c r="L28" s="44">
        <f>Disease!J12/Disease!$G$2</f>
        <v>0.3</v>
      </c>
      <c r="M28" s="44">
        <f>Slaughter!J12/Slaughter!$G$2</f>
        <v>0.33333333333333331</v>
      </c>
      <c r="N28" s="207">
        <f>Space!J12/Space!$G$2</f>
        <v>0.63495804195804206</v>
      </c>
      <c r="O28" s="200">
        <f>'Life duration'!J12</f>
        <v>0.5</v>
      </c>
      <c r="P28" s="234">
        <f>Slaughter!J12/(365*24)</f>
        <v>9.1324200913242006E-4</v>
      </c>
      <c r="Q28" s="190">
        <f>'No affected'!Y12</f>
        <v>3.5E-4</v>
      </c>
      <c r="R28" s="51">
        <f>Ability!D12</f>
        <v>0.94805646338919392</v>
      </c>
      <c r="S28" s="41">
        <f>2*V28+2*W28+X28+2*Y28</f>
        <v>1.5394724577344312</v>
      </c>
      <c r="T28" s="41">
        <f>(2*Z28+2*AA28+AB28+2*AC28)/7</f>
        <v>0.27249606539063304</v>
      </c>
      <c r="U28" s="110">
        <f>(Z28+AA28+AC28)/3</f>
        <v>0.26235652073351629</v>
      </c>
      <c r="V28">
        <f>Mortality!Y12</f>
        <v>3.4000000000000002E-2</v>
      </c>
      <c r="W28" s="41">
        <f>Disease!Y12</f>
        <v>0.15</v>
      </c>
      <c r="X28" s="41">
        <f>Slaughter!Y12/24</f>
        <v>0.33333333333333331</v>
      </c>
      <c r="Y28" s="110">
        <f>Space!Y12/100</f>
        <v>0.41906956220054892</v>
      </c>
      <c r="Z28" s="101">
        <f>Mortality!Y12/Mortality!$G$2</f>
        <v>6.8000000000000005E-2</v>
      </c>
      <c r="AA28">
        <f>Disease!Y12/Disease!$G$2</f>
        <v>0.3</v>
      </c>
      <c r="AB28" s="41">
        <f>Slaughter!Y12/Slaughter!$G$2</f>
        <v>0.33333333333333331</v>
      </c>
      <c r="AC28" s="218">
        <f>Space!Y12/Space!$G$2</f>
        <v>0.41906956220054892</v>
      </c>
      <c r="AD28" s="191">
        <f>'Life duration'!Y12</f>
        <v>2.8920308483290472E-2</v>
      </c>
      <c r="AE28" s="234">
        <f>Slaughter!Y12/(365*24)</f>
        <v>9.1324200913242006E-4</v>
      </c>
    </row>
    <row r="29" spans="1:31" x14ac:dyDescent="0.3">
      <c r="A29" s="101" t="s">
        <v>66</v>
      </c>
      <c r="B29" s="189">
        <f>'No affected'!J13</f>
        <v>0.75216903015372494</v>
      </c>
      <c r="C29" s="41">
        <f>Ability!B13</f>
        <v>0.54320827892864587</v>
      </c>
      <c r="D29" s="41">
        <f t="shared" si="9"/>
        <v>1.8550217391304353</v>
      </c>
      <c r="E29" s="41">
        <f t="shared" si="10"/>
        <v>0.25218012422360253</v>
      </c>
      <c r="F29" s="110">
        <f t="shared" si="11"/>
        <v>0.33808695652173926</v>
      </c>
      <c r="G29" s="44">
        <f>Mortality!J13</f>
        <v>3.7999999999999999E-2</v>
      </c>
      <c r="H29" s="44">
        <f>Disease!J13</f>
        <v>0.14499999999999999</v>
      </c>
      <c r="I29" s="44">
        <f>Slaughter!J13/24</f>
        <v>0.1925</v>
      </c>
      <c r="J29" s="207">
        <f>Space!J13/100</f>
        <v>0.64826086956521767</v>
      </c>
      <c r="K29" s="206">
        <f>Mortality!J13/Mortality!$G$2</f>
        <v>7.5999999999999998E-2</v>
      </c>
      <c r="L29" s="44">
        <f>Disease!J13/Disease!$G$2</f>
        <v>0.28999999999999998</v>
      </c>
      <c r="M29" s="44">
        <f>Slaughter!J13/Slaughter!$G$2</f>
        <v>0.1925</v>
      </c>
      <c r="N29" s="207">
        <f>Space!J13/Space!$G$2</f>
        <v>0.64826086956521767</v>
      </c>
      <c r="O29" s="200">
        <f>'Life duration'!J13</f>
        <v>9.6153846153846159E-2</v>
      </c>
      <c r="P29" s="234">
        <f>Slaughter!J13/(365*24)</f>
        <v>5.273972602739726E-4</v>
      </c>
      <c r="Q29" s="190">
        <f>'No affected'!Y13</f>
        <v>5.4505002185052534E-3</v>
      </c>
      <c r="R29" s="51">
        <f>Ability!D13</f>
        <v>0.54320827892864587</v>
      </c>
      <c r="S29" s="41">
        <f>2*V29+2*W29+X29+2*Y29</f>
        <v>1.9278846153846152</v>
      </c>
      <c r="T29" s="41">
        <f>(2*Z29+2*AA29+AB29+2*AC29)/7</f>
        <v>0.412554945054945</v>
      </c>
      <c r="U29" s="110">
        <f>(Z29+AA29+AC29)/3</f>
        <v>0.44923076923076916</v>
      </c>
      <c r="V29">
        <f>Mortality!Y13</f>
        <v>0.06</v>
      </c>
      <c r="W29" s="41">
        <f>Disease!Y13</f>
        <v>0.42</v>
      </c>
      <c r="X29" s="41">
        <f>Slaughter!Y13/24</f>
        <v>0.1925</v>
      </c>
      <c r="Y29" s="110">
        <f>Space!Y13/100</f>
        <v>0.38769230769230767</v>
      </c>
      <c r="Z29" s="101">
        <f>Mortality!Y13/Mortality!$G$2</f>
        <v>0.12</v>
      </c>
      <c r="AA29">
        <f>Disease!Y13/Disease!$G$2</f>
        <v>0.84</v>
      </c>
      <c r="AB29" s="41">
        <f>Slaughter!Y13/Slaughter!$G$2</f>
        <v>0.1925</v>
      </c>
      <c r="AC29" s="218">
        <f>Space!Y13/Space!$G$2</f>
        <v>0.38769230769230767</v>
      </c>
      <c r="AD29" s="191">
        <f>'Life duration'!Y13</f>
        <v>6.6666666666666671E-3</v>
      </c>
      <c r="AE29" s="234">
        <f>Slaughter!Y13/(365*24)</f>
        <v>5.273972602739726E-4</v>
      </c>
    </row>
    <row r="30" spans="1:31" x14ac:dyDescent="0.3">
      <c r="A30" s="101" t="s">
        <v>67</v>
      </c>
      <c r="B30" s="189">
        <f>'No affected'!J14</f>
        <v>1.04</v>
      </c>
      <c r="C30" s="41">
        <f>Ability!B14</f>
        <v>0.67196797361598137</v>
      </c>
      <c r="D30" s="41">
        <f t="shared" si="9"/>
        <v>1.4556333333333333</v>
      </c>
      <c r="E30" s="41">
        <f t="shared" si="10"/>
        <v>0.27138095238095239</v>
      </c>
      <c r="F30" s="110">
        <f t="shared" si="11"/>
        <v>0.28573333333333334</v>
      </c>
      <c r="G30" s="44">
        <f>Mortality!J14</f>
        <v>0.15</v>
      </c>
      <c r="H30" s="44">
        <f>Disease!J14</f>
        <v>0.11</v>
      </c>
      <c r="I30" s="44">
        <f>Slaughter!J14/24</f>
        <v>0.26123333333333332</v>
      </c>
      <c r="J30" s="207">
        <f>Space!J14/100</f>
        <v>0.3372</v>
      </c>
      <c r="K30" s="206">
        <f>Mortality!J14/Mortality!$G$2</f>
        <v>0.3</v>
      </c>
      <c r="L30" s="44">
        <f>Disease!J14/Disease!$G$2</f>
        <v>0.22</v>
      </c>
      <c r="M30" s="44">
        <f>Slaughter!J14/Slaughter!$G$2</f>
        <v>0.26123333333333332</v>
      </c>
      <c r="N30" s="207">
        <f>Space!J14/Space!$G$2</f>
        <v>0.3372</v>
      </c>
      <c r="O30" s="200">
        <f>'Life duration'!J14</f>
        <v>0.16666666666666666</v>
      </c>
      <c r="P30" s="234">
        <f>Slaughter!J14/(365*24)</f>
        <v>7.1570776255707759E-4</v>
      </c>
      <c r="Q30" s="101"/>
      <c r="R30" s="51"/>
      <c r="S30" s="51"/>
      <c r="U30" s="111"/>
      <c r="X30" s="41"/>
      <c r="Y30" s="110"/>
      <c r="Z30" s="101"/>
      <c r="AC30" s="111"/>
      <c r="AD30" s="191"/>
      <c r="AE30" s="234"/>
    </row>
    <row r="31" spans="1:31" x14ac:dyDescent="0.3">
      <c r="A31" s="104" t="s">
        <v>68</v>
      </c>
      <c r="B31" s="232">
        <f>'No affected'!J15</f>
        <v>6.6000000000000003E-2</v>
      </c>
      <c r="C31" s="193">
        <f>Ability!B15</f>
        <v>0.58534077701729459</v>
      </c>
      <c r="D31" s="193">
        <f t="shared" si="9"/>
        <v>2.5855133333333336</v>
      </c>
      <c r="E31" s="193">
        <f t="shared" si="10"/>
        <v>0.43664380952380949</v>
      </c>
      <c r="F31" s="254">
        <f t="shared" si="11"/>
        <v>0.53494666666666668</v>
      </c>
      <c r="G31" s="255">
        <f>Mortality!J15</f>
        <v>0.03</v>
      </c>
      <c r="H31" s="255">
        <f>Disease!J15</f>
        <v>0.42</v>
      </c>
      <c r="I31" s="255">
        <f>Slaughter!J15/24</f>
        <v>0.27583333333333332</v>
      </c>
      <c r="J31" s="256">
        <f>Space!J15/100</f>
        <v>0.70484000000000013</v>
      </c>
      <c r="K31" s="257">
        <f>Mortality!J15/Mortality!$G$2</f>
        <v>0.06</v>
      </c>
      <c r="L31" s="255">
        <f>Disease!J15/Disease!$G$2</f>
        <v>0.84</v>
      </c>
      <c r="M31" s="255">
        <f>Slaughter!J15/Slaughter!$G$2</f>
        <v>0.27583333333333332</v>
      </c>
      <c r="N31" s="256">
        <f>Space!J15/Space!$G$2</f>
        <v>0.70484000000000013</v>
      </c>
      <c r="O31" s="244">
        <f>'Life duration'!J15</f>
        <v>1.2</v>
      </c>
      <c r="P31" s="235">
        <f>Slaughter!J15/(365*24)</f>
        <v>7.5570776255707759E-4</v>
      </c>
      <c r="Q31" s="263">
        <f>'No affected'!Y15</f>
        <v>6.6000000000000003E-2</v>
      </c>
      <c r="R31" s="261">
        <f>Ability!D15</f>
        <v>0.2556274253781865</v>
      </c>
      <c r="S31" s="193">
        <f>2*V31+2*W31+X31+2*Y31</f>
        <v>6.9444444444444441E-3</v>
      </c>
      <c r="T31" s="193">
        <f>(2*Z31+2*AA31+AB31+2*AC31)/7</f>
        <v>9.9206349206349201E-4</v>
      </c>
      <c r="U31" s="254">
        <f>(Z31+AA31+AC31)/3</f>
        <v>0</v>
      </c>
      <c r="V31" s="194">
        <f>Mortality!Y15</f>
        <v>0</v>
      </c>
      <c r="W31" s="193">
        <f>Disease!Y15</f>
        <v>0</v>
      </c>
      <c r="X31" s="193">
        <f>Slaughter!Y15/24</f>
        <v>6.9444444444444441E-3</v>
      </c>
      <c r="Y31" s="254">
        <f>Space!Y15/100</f>
        <v>0</v>
      </c>
      <c r="Z31" s="104">
        <f>Mortality!Y15/Mortality!$G$2</f>
        <v>0</v>
      </c>
      <c r="AA31" s="133">
        <f>Disease!Y15/Disease!$G$2</f>
        <v>0</v>
      </c>
      <c r="AB31" s="193">
        <f>Slaughter!Y15/Slaughter!$G$2</f>
        <v>6.9444444444444441E-3</v>
      </c>
      <c r="AC31" s="114">
        <f>Space!Y15/Space!$G$2</f>
        <v>0</v>
      </c>
      <c r="AD31" s="244">
        <f>'Life duration'!Y15</f>
        <v>3.1709791983764589E-7</v>
      </c>
      <c r="AE31" s="235">
        <f>Slaughter!Y15/(365*24)</f>
        <v>1.902587519025875E-5</v>
      </c>
    </row>
  </sheetData>
  <mergeCells count="4">
    <mergeCell ref="B5:D5"/>
    <mergeCell ref="E5:G5"/>
    <mergeCell ref="H5:J5"/>
    <mergeCell ref="K5:M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094C-844E-4EF8-BD6E-91B6CAF2EC02}">
  <sheetPr>
    <tabColor theme="5" tint="0.79998168889431442"/>
  </sheetPr>
  <dimension ref="A2:AE31"/>
  <sheetViews>
    <sheetView topLeftCell="A11" zoomScale="89" workbookViewId="0">
      <selection activeCell="B7" sqref="B7"/>
    </sheetView>
  </sheetViews>
  <sheetFormatPr defaultRowHeight="14.4" x14ac:dyDescent="0.3"/>
  <cols>
    <col min="1" max="1" width="23.33203125" customWidth="1"/>
    <col min="2" max="31" width="9.6640625" customWidth="1"/>
  </cols>
  <sheetData>
    <row r="2" spans="1:13" ht="21" x14ac:dyDescent="0.4">
      <c r="A2" s="30" t="s">
        <v>78</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0.27762368294755141</v>
      </c>
      <c r="C7" s="41">
        <f t="shared" ref="C7:C16" si="0">B22*C22*D22*100</f>
        <v>0.23607887479175446</v>
      </c>
      <c r="D7" s="41">
        <f>Q22*R22*S22*100</f>
        <v>4.1544808155796961E-2</v>
      </c>
      <c r="E7" s="41">
        <f t="shared" ref="E7:E16" si="1">F7+G7</f>
        <v>5.9068076283972176E-2</v>
      </c>
      <c r="F7" s="19">
        <f t="shared" ref="F7:F16" si="2">B22*C22*E22*100</f>
        <v>5.1718538837852629E-2</v>
      </c>
      <c r="G7" s="19">
        <f>Q22*R22*T22*100</f>
        <v>7.3495374461195447E-3</v>
      </c>
      <c r="H7" s="226">
        <f>I7+J7</f>
        <v>7.8081153242777566E-4</v>
      </c>
      <c r="I7" s="226">
        <f t="shared" ref="I7:I16" si="3">B22*((O22-P22)*F22+P22)</f>
        <v>7.090894034487927E-4</v>
      </c>
      <c r="J7" s="226">
        <f>Q22*((AD22-AE22)*U22+AE22)</f>
        <v>7.1722128978982932E-5</v>
      </c>
      <c r="K7" s="226">
        <f>L7+M7</f>
        <v>6.9031784384229213E-4</v>
      </c>
      <c r="L7" s="226">
        <f t="shared" ref="L7:L16" si="4">C22*B22*((O22-P22)*F22+P22)</f>
        <v>6.2690809209515076E-4</v>
      </c>
      <c r="M7" s="234">
        <f>R22*Q22*((AD22-AE22)*U22+AE22)</f>
        <v>6.3409751747141373E-5</v>
      </c>
    </row>
    <row r="8" spans="1:13" x14ac:dyDescent="0.3">
      <c r="A8" s="101" t="s">
        <v>36</v>
      </c>
      <c r="B8" s="191">
        <f t="shared" ref="B8:B16" si="5">C8+D8</f>
        <v>0.74383519318334856</v>
      </c>
      <c r="C8" s="41">
        <f t="shared" si="0"/>
        <v>0.74383519318334856</v>
      </c>
      <c r="D8" s="41"/>
      <c r="E8" s="41">
        <f t="shared" si="1"/>
        <v>0.1594083922881154</v>
      </c>
      <c r="F8" s="19">
        <f t="shared" si="2"/>
        <v>0.1594083922881154</v>
      </c>
      <c r="G8" s="19"/>
      <c r="H8" s="226">
        <f t="shared" ref="H8:H16" si="6">I8+J8</f>
        <v>1.1271776694015091E-3</v>
      </c>
      <c r="I8" s="226">
        <f t="shared" si="3"/>
        <v>1.1271776694015091E-3</v>
      </c>
      <c r="J8" s="226"/>
      <c r="K8" s="226">
        <f t="shared" ref="K8:K16" si="7">L8+M8</f>
        <v>9.2479057180138065E-4</v>
      </c>
      <c r="L8" s="226">
        <f t="shared" si="4"/>
        <v>9.2479057180138065E-4</v>
      </c>
      <c r="M8" s="111"/>
    </row>
    <row r="9" spans="1:13" x14ac:dyDescent="0.3">
      <c r="A9" s="101" t="s">
        <v>37</v>
      </c>
      <c r="B9" s="191">
        <f t="shared" si="5"/>
        <v>0.36643093549824873</v>
      </c>
      <c r="C9" s="41">
        <f t="shared" si="0"/>
        <v>0.36643093549824873</v>
      </c>
      <c r="D9" s="41"/>
      <c r="E9" s="41">
        <f t="shared" si="1"/>
        <v>8.2219455505919956E-2</v>
      </c>
      <c r="F9" s="19">
        <f t="shared" si="2"/>
        <v>8.2219455505919956E-2</v>
      </c>
      <c r="G9" s="19"/>
      <c r="H9" s="226">
        <f t="shared" si="6"/>
        <v>1.2328818940331742E-3</v>
      </c>
      <c r="I9" s="226">
        <f t="shared" si="3"/>
        <v>1.2328818940331742E-3</v>
      </c>
      <c r="J9" s="226"/>
      <c r="K9" s="226">
        <f t="shared" si="7"/>
        <v>1.089994621563695E-3</v>
      </c>
      <c r="L9" s="226">
        <f t="shared" si="4"/>
        <v>1.089994621563695E-3</v>
      </c>
      <c r="M9" s="111"/>
    </row>
    <row r="10" spans="1:13" x14ac:dyDescent="0.3">
      <c r="A10" s="101" t="s">
        <v>38</v>
      </c>
      <c r="B10" s="191">
        <f t="shared" si="5"/>
        <v>1.2379149152882114E-2</v>
      </c>
      <c r="C10" s="102">
        <f t="shared" si="0"/>
        <v>1.2379149152882114E-2</v>
      </c>
      <c r="D10" s="41"/>
      <c r="E10" s="41">
        <f t="shared" si="1"/>
        <v>2.3650975193836984E-3</v>
      </c>
      <c r="F10" s="19">
        <f t="shared" si="2"/>
        <v>2.3650975193836984E-3</v>
      </c>
      <c r="G10" s="19"/>
      <c r="H10" s="226">
        <f t="shared" si="6"/>
        <v>1.8114216554261048E-4</v>
      </c>
      <c r="I10" s="226">
        <f t="shared" si="3"/>
        <v>1.8114216554261048E-4</v>
      </c>
      <c r="J10" s="226"/>
      <c r="K10" s="226">
        <f t="shared" si="7"/>
        <v>1.6014833791900356E-4</v>
      </c>
      <c r="L10" s="226">
        <f t="shared" si="4"/>
        <v>1.6014833791900356E-4</v>
      </c>
      <c r="M10" s="111"/>
    </row>
    <row r="11" spans="1:13" x14ac:dyDescent="0.3">
      <c r="A11" s="101" t="s">
        <v>39</v>
      </c>
      <c r="B11" s="191">
        <f t="shared" si="5"/>
        <v>0.41741384962301448</v>
      </c>
      <c r="C11" s="41">
        <f t="shared" si="0"/>
        <v>0.41741384962301448</v>
      </c>
      <c r="D11" s="41"/>
      <c r="E11" s="41">
        <f t="shared" si="1"/>
        <v>0.1070536663312846</v>
      </c>
      <c r="F11" s="19">
        <f t="shared" si="2"/>
        <v>0.1070536663312846</v>
      </c>
      <c r="G11" s="19"/>
      <c r="H11" s="226">
        <f t="shared" si="6"/>
        <v>1.4214090958904108E-3</v>
      </c>
      <c r="I11" s="226">
        <f t="shared" si="3"/>
        <v>1.4214090958904108E-3</v>
      </c>
      <c r="J11" s="226"/>
      <c r="K11" s="226">
        <f t="shared" si="7"/>
        <v>1.249612136909825E-3</v>
      </c>
      <c r="L11" s="226">
        <f t="shared" si="4"/>
        <v>1.249612136909825E-3</v>
      </c>
      <c r="M11" s="111"/>
    </row>
    <row r="12" spans="1:13" x14ac:dyDescent="0.3">
      <c r="A12" s="101" t="s">
        <v>40</v>
      </c>
      <c r="B12" s="191">
        <f t="shared" si="5"/>
        <v>4.6222311311345115</v>
      </c>
      <c r="C12" s="85">
        <f t="shared" si="0"/>
        <v>4.5459795233426776</v>
      </c>
      <c r="D12" s="41">
        <f>Q27*R27*S27*100</f>
        <v>7.6251607791833445E-2</v>
      </c>
      <c r="E12" s="41">
        <f t="shared" si="1"/>
        <v>1.0419034527702074</v>
      </c>
      <c r="F12" s="41">
        <f t="shared" si="2"/>
        <v>1.0279538954580785</v>
      </c>
      <c r="G12" s="19">
        <f>Q27*R27*T27*100</f>
        <v>1.3949557312128808E-2</v>
      </c>
      <c r="H12" s="226">
        <f t="shared" si="6"/>
        <v>4.386660014439582E-3</v>
      </c>
      <c r="I12" s="226">
        <f t="shared" si="3"/>
        <v>4.3231287777774951E-3</v>
      </c>
      <c r="J12" s="226">
        <f t="shared" ref="J12:J16" si="8">Q27*((AD27-AE27)*U27+AE27)</f>
        <v>6.3531236662086885E-5</v>
      </c>
      <c r="K12" s="226">
        <f t="shared" si="7"/>
        <v>3.6030701629266877E-3</v>
      </c>
      <c r="L12" s="226">
        <f t="shared" si="4"/>
        <v>3.546902003918018E-3</v>
      </c>
      <c r="M12" s="234">
        <f>R27*Q27*((AD27-AE27)*U27+AE27)</f>
        <v>5.6168159008669494E-5</v>
      </c>
    </row>
    <row r="13" spans="1:13" x14ac:dyDescent="0.3">
      <c r="A13" s="101" t="s">
        <v>41</v>
      </c>
      <c r="B13" s="191">
        <f t="shared" si="5"/>
        <v>3.8727111368711289</v>
      </c>
      <c r="C13" s="85">
        <f t="shared" si="0"/>
        <v>3.8157903711343026</v>
      </c>
      <c r="D13" s="41">
        <f>Q28*R28*S28*100</f>
        <v>5.692076573682623E-2</v>
      </c>
      <c r="E13" s="41">
        <f t="shared" si="1"/>
        <v>0.66497078878912153</v>
      </c>
      <c r="F13" s="41">
        <f t="shared" si="2"/>
        <v>0.65489546420349465</v>
      </c>
      <c r="G13" s="19">
        <f>Q28*R28*T28*100</f>
        <v>1.0075324585626849E-2</v>
      </c>
      <c r="H13" s="226">
        <f t="shared" si="6"/>
        <v>4.3062100906152328E-3</v>
      </c>
      <c r="I13" s="226">
        <f t="shared" si="3"/>
        <v>4.3028087473265912E-3</v>
      </c>
      <c r="J13" s="226">
        <f t="shared" si="8"/>
        <v>3.4013432886416845E-6</v>
      </c>
      <c r="K13" s="226">
        <f t="shared" si="7"/>
        <v>3.7888859560134191E-3</v>
      </c>
      <c r="L13" s="226">
        <f t="shared" si="4"/>
        <v>3.7856612905244171E-3</v>
      </c>
      <c r="M13" s="234">
        <f>R28*Q28*((AD28-AE28)*U28+AE28)</f>
        <v>3.2246654890022055E-6</v>
      </c>
    </row>
    <row r="14" spans="1:13" x14ac:dyDescent="0.3">
      <c r="A14" s="101" t="s">
        <v>42</v>
      </c>
      <c r="B14" s="191">
        <f>C14+D14</f>
        <v>76.364102407618148</v>
      </c>
      <c r="C14" s="85">
        <f t="shared" si="0"/>
        <v>75.793302650867773</v>
      </c>
      <c r="D14" s="41">
        <f>Q29*R29*S29*100</f>
        <v>0.57079975675037176</v>
      </c>
      <c r="E14" s="41">
        <f t="shared" si="1"/>
        <v>10.425835080446911</v>
      </c>
      <c r="F14" s="85">
        <f t="shared" si="2"/>
        <v>10.303687592778648</v>
      </c>
      <c r="G14" s="41">
        <f>Q29*R29*T29*100</f>
        <v>0.12214748766826264</v>
      </c>
      <c r="H14" s="226">
        <f>I14+J14</f>
        <v>2.4732264831112408E-2</v>
      </c>
      <c r="I14" s="226">
        <f t="shared" si="3"/>
        <v>2.4714358052140239E-2</v>
      </c>
      <c r="J14" s="226">
        <f t="shared" si="8"/>
        <v>1.7906778972168132E-5</v>
      </c>
      <c r="K14" s="226">
        <f t="shared" si="7"/>
        <v>1.3434771012916048E-2</v>
      </c>
      <c r="L14" s="226">
        <f t="shared" si="4"/>
        <v>1.3425043902329421E-2</v>
      </c>
      <c r="M14" s="234">
        <f>R29*Q29*((AD29-AE29)*U29+AE29)</f>
        <v>9.7271105866271174E-6</v>
      </c>
    </row>
    <row r="15" spans="1:13" x14ac:dyDescent="0.3">
      <c r="A15" s="101" t="s">
        <v>43</v>
      </c>
      <c r="B15" s="191">
        <f t="shared" si="5"/>
        <v>121.28923368465666</v>
      </c>
      <c r="C15" s="85">
        <f t="shared" si="0"/>
        <v>121.28923368465666</v>
      </c>
      <c r="D15" s="41"/>
      <c r="E15" s="41">
        <f t="shared" si="1"/>
        <v>22.612554272526062</v>
      </c>
      <c r="F15" s="85">
        <f t="shared" si="2"/>
        <v>22.612554272526062</v>
      </c>
      <c r="H15" s="226">
        <f t="shared" si="6"/>
        <v>5.9685451240913241E-2</v>
      </c>
      <c r="I15" s="226">
        <f t="shared" si="3"/>
        <v>5.9685451240913241E-2</v>
      </c>
      <c r="J15" s="226"/>
      <c r="K15" s="226">
        <f t="shared" si="7"/>
        <v>4.0106711724711933E-2</v>
      </c>
      <c r="L15" s="226">
        <f t="shared" si="4"/>
        <v>4.0106711724711933E-2</v>
      </c>
      <c r="M15" s="111"/>
    </row>
    <row r="16" spans="1:13" x14ac:dyDescent="0.3">
      <c r="A16" s="104" t="s">
        <v>44</v>
      </c>
      <c r="B16" s="233">
        <f t="shared" si="5"/>
        <v>8.8453867992947615</v>
      </c>
      <c r="C16" s="253">
        <f t="shared" si="0"/>
        <v>8.8347356565706701</v>
      </c>
      <c r="D16" s="193">
        <f>Q31*R31*S31*100</f>
        <v>1.0651142724091104E-2</v>
      </c>
      <c r="E16" s="193">
        <f t="shared" si="1"/>
        <v>1.517483963399278</v>
      </c>
      <c r="F16" s="193">
        <f t="shared" si="2"/>
        <v>1.5159623715815507</v>
      </c>
      <c r="G16" s="113">
        <f>Q31*R31*T31*100</f>
        <v>1.5215918177273005E-3</v>
      </c>
      <c r="H16" s="227">
        <f t="shared" si="6"/>
        <v>3.7699396910502274E-2</v>
      </c>
      <c r="I16" s="227">
        <f t="shared" si="3"/>
        <v>3.7698255357990859E-2</v>
      </c>
      <c r="J16" s="227">
        <f t="shared" si="8"/>
        <v>1.1415525114155249E-6</v>
      </c>
      <c r="K16" s="227">
        <f t="shared" si="7"/>
        <v>2.2066617895572183E-2</v>
      </c>
      <c r="L16" s="227">
        <f t="shared" si="4"/>
        <v>2.2066326083442757E-2</v>
      </c>
      <c r="M16" s="235">
        <f>R31*Q31*((AD31-AE31)*U31+AE31)</f>
        <v>2.9181212942715349E-7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affected'!K6</f>
        <v>3.5000000000000001E-3</v>
      </c>
      <c r="C22" s="41">
        <f>Ability!B6</f>
        <v>0.88410303277141455</v>
      </c>
      <c r="D22" s="41">
        <f>2*G22+2*H22+I22+2*J22</f>
        <v>0.76293265132139809</v>
      </c>
      <c r="E22" s="41">
        <f>(2*K22+2*L22+N22+2*M22)/7</f>
        <v>0.167138046522957</v>
      </c>
      <c r="F22" s="110">
        <f>(K22+L22+N22)/3</f>
        <v>0.10087766410912191</v>
      </c>
      <c r="G22" s="44">
        <f>Mortality!K6</f>
        <v>4.2000000000000003E-2</v>
      </c>
      <c r="H22" s="44">
        <f>Disease!K6</f>
        <v>0.05</v>
      </c>
      <c r="I22" s="44">
        <f>Slaughter!K6/24</f>
        <v>0.34166666666666662</v>
      </c>
      <c r="J22" s="207">
        <f>Space!K6/100</f>
        <v>0.11863299232736572</v>
      </c>
      <c r="K22" s="206">
        <f>Mortality!K6/Mortality!$G$2</f>
        <v>8.4000000000000005E-2</v>
      </c>
      <c r="L22" s="44">
        <f>Disease!K6/Disease!$G$2</f>
        <v>0.1</v>
      </c>
      <c r="M22" s="44">
        <f>Slaughter!K6/Slaughter!$G$2</f>
        <v>0.34166666666666662</v>
      </c>
      <c r="N22" s="207">
        <f>Space!K6/Space!$G$2</f>
        <v>0.11863299232736572</v>
      </c>
      <c r="O22" s="200">
        <f>'Life duration'!K6</f>
        <v>2</v>
      </c>
      <c r="P22" s="234">
        <f>Slaughter!K6/(365*24)</f>
        <v>9.3607305936073046E-4</v>
      </c>
      <c r="Q22" s="247">
        <f>'No affected'!Z6</f>
        <v>8.0000000000000004E-4</v>
      </c>
      <c r="R22" s="51">
        <f>Ability!D6</f>
        <v>0.88410303277141455</v>
      </c>
      <c r="S22" s="41">
        <f>2*V22+2*W22+X22+2*Y22</f>
        <v>0.58738640486230531</v>
      </c>
      <c r="T22" s="41">
        <f>(2*Z22+2*AA22+AB22+2*AC22)/7</f>
        <v>0.10391234355175791</v>
      </c>
      <c r="U22" s="110">
        <f>(Z22+AA22+AC22)/3</f>
        <v>6.4286623032606446E-2</v>
      </c>
      <c r="V22">
        <f>Mortality!Z6</f>
        <v>0.03</v>
      </c>
      <c r="W22" s="41">
        <f>Disease!Z6</f>
        <v>0.04</v>
      </c>
      <c r="X22" s="41">
        <f>Slaughter!Z6/24</f>
        <v>0.34166666666666662</v>
      </c>
      <c r="Y22" s="110">
        <f>Space!Z6/100</f>
        <v>5.285986909781934E-2</v>
      </c>
      <c r="Z22" s="101">
        <f>Mortality!Z6/Mortality!$G$2</f>
        <v>0.06</v>
      </c>
      <c r="AA22">
        <f>Disease!Z6/Disease!$G$2</f>
        <v>0.08</v>
      </c>
      <c r="AB22" s="41">
        <f>Slaughter!Z6/Slaughter!$G$2</f>
        <v>0.34166666666666662</v>
      </c>
      <c r="AC22" s="218">
        <f>Space!Z6/Space!$G$2</f>
        <v>5.285986909781934E-2</v>
      </c>
      <c r="AD22" s="200">
        <f>'Life duration'!Z6</f>
        <v>1.3809523809523809</v>
      </c>
      <c r="AE22" s="234">
        <f>Slaughter!Z6/(365*24)</f>
        <v>9.3607305936073046E-4</v>
      </c>
    </row>
    <row r="23" spans="1:31" x14ac:dyDescent="0.3">
      <c r="A23" s="101" t="s">
        <v>60</v>
      </c>
      <c r="B23" s="189">
        <f>'No affected'!K7</f>
        <v>8.9999999999999993E-3</v>
      </c>
      <c r="C23" s="41">
        <f>Ability!B7</f>
        <v>0.82044791775586834</v>
      </c>
      <c r="D23" s="41">
        <f t="shared" ref="D23:D31" si="9">2*G23+2*H23+I23+2*J23</f>
        <v>1.0073565062388592</v>
      </c>
      <c r="E23" s="41">
        <f t="shared" ref="E23:E31" si="10">(2*K23+2*L23+N23+2*M23)/7</f>
        <v>0.21588260758848993</v>
      </c>
      <c r="F23" s="110">
        <f t="shared" ref="F23:F31" si="11">(K23+L23+N23)/3</f>
        <v>0.16594830659536541</v>
      </c>
      <c r="G23" s="44">
        <f>Mortality!K7</f>
        <v>6.5000000000000002E-2</v>
      </c>
      <c r="H23" s="44">
        <f>Disease!K7</f>
        <v>0.1</v>
      </c>
      <c r="I23" s="44">
        <f>Slaughter!K7/24</f>
        <v>0.34166666666666662</v>
      </c>
      <c r="J23" s="207">
        <f>Space!K7/100</f>
        <v>0.16784491978609625</v>
      </c>
      <c r="K23" s="206">
        <f>Mortality!K7/Mortality!$G$2</f>
        <v>0.13</v>
      </c>
      <c r="L23" s="44">
        <f>Disease!K7/Disease!$G$2</f>
        <v>0.2</v>
      </c>
      <c r="M23" s="44">
        <f>Slaughter!K7/Slaughter!$G$2</f>
        <v>0.34166666666666662</v>
      </c>
      <c r="N23" s="207">
        <f>Space!K7/Space!$G$2</f>
        <v>0.16784491978609625</v>
      </c>
      <c r="O23" s="200">
        <f>'Life duration'!K7</f>
        <v>0.75</v>
      </c>
      <c r="P23" s="234">
        <f>Slaughter!K7/(365*24)</f>
        <v>9.3607305936073046E-4</v>
      </c>
      <c r="Q23" s="101"/>
      <c r="R23" s="51"/>
      <c r="S23" s="51"/>
      <c r="U23" s="111"/>
      <c r="X23" s="41"/>
      <c r="Y23" s="110"/>
      <c r="Z23" s="101"/>
      <c r="AC23" s="111"/>
      <c r="AD23" s="200"/>
      <c r="AE23" s="234"/>
    </row>
    <row r="24" spans="1:31" x14ac:dyDescent="0.3">
      <c r="A24" s="101" t="s">
        <v>61</v>
      </c>
      <c r="B24" s="189">
        <f>'No affected'!K8</f>
        <v>5.0000000000000001E-3</v>
      </c>
      <c r="C24" s="41">
        <f>Ability!B8</f>
        <v>0.88410303277141455</v>
      </c>
      <c r="D24" s="41">
        <f t="shared" si="9"/>
        <v>0.82893265132139804</v>
      </c>
      <c r="E24" s="41">
        <f t="shared" si="10"/>
        <v>0.18599518938009987</v>
      </c>
      <c r="F24" s="110">
        <f t="shared" si="11"/>
        <v>0.12287766410912192</v>
      </c>
      <c r="G24" s="44">
        <f>Mortality!K8</f>
        <v>7.4999999999999997E-2</v>
      </c>
      <c r="H24" s="44">
        <f>Disease!K8</f>
        <v>0.05</v>
      </c>
      <c r="I24" s="44">
        <f>Slaughter!K8/24</f>
        <v>0.34166666666666662</v>
      </c>
      <c r="J24" s="207">
        <f>Space!K8/100</f>
        <v>0.11863299232736572</v>
      </c>
      <c r="K24" s="206">
        <f>Mortality!K8/Mortality!$G$2</f>
        <v>0.15</v>
      </c>
      <c r="L24" s="44">
        <f>Disease!K8/Disease!$G$2</f>
        <v>0.1</v>
      </c>
      <c r="M24" s="44">
        <f>Slaughter!K8/Slaughter!$G$2</f>
        <v>0.34166666666666662</v>
      </c>
      <c r="N24" s="207">
        <f>Space!K8/Space!$G$2</f>
        <v>0.11863299232736572</v>
      </c>
      <c r="O24" s="200">
        <f>'Life duration'!K8</f>
        <v>2</v>
      </c>
      <c r="P24" s="234">
        <f>Slaughter!K8/(365*24)</f>
        <v>9.3607305936073046E-4</v>
      </c>
      <c r="Q24" s="101"/>
      <c r="R24" s="51"/>
      <c r="S24" s="51"/>
      <c r="U24" s="111"/>
      <c r="X24" s="41"/>
      <c r="Y24" s="110"/>
      <c r="Z24" s="101"/>
      <c r="AC24" s="111"/>
      <c r="AD24" s="200"/>
      <c r="AE24" s="234"/>
    </row>
    <row r="25" spans="1:31" x14ac:dyDescent="0.3">
      <c r="A25" s="101" t="s">
        <v>62</v>
      </c>
      <c r="B25" s="189">
        <f>'No affected'!K9</f>
        <v>1E-4</v>
      </c>
      <c r="C25" s="41">
        <f>Ability!B9</f>
        <v>0.88410303277141455</v>
      </c>
      <c r="D25" s="41">
        <f t="shared" si="9"/>
        <v>1.4001930424417797</v>
      </c>
      <c r="E25" s="41">
        <f t="shared" si="10"/>
        <v>0.26751378874584136</v>
      </c>
      <c r="F25" s="110">
        <f t="shared" si="11"/>
        <v>0.24975439596251883</v>
      </c>
      <c r="G25" s="44">
        <f>Mortality!K9</f>
        <v>0.06</v>
      </c>
      <c r="H25" s="44">
        <f>Disease!K9</f>
        <v>0.16</v>
      </c>
      <c r="I25" s="44">
        <f>Slaughter!K9/24</f>
        <v>0.34166666666666662</v>
      </c>
      <c r="J25" s="207">
        <f>Space!K9/100</f>
        <v>0.30926318788755652</v>
      </c>
      <c r="K25" s="206">
        <f>Mortality!K9/Mortality!$G$2</f>
        <v>0.12</v>
      </c>
      <c r="L25" s="44">
        <f>Disease!K9/Disease!$G$2</f>
        <v>0.32</v>
      </c>
      <c r="M25" s="44">
        <f>Slaughter!K9/Slaughter!$G$2</f>
        <v>0.34166666666666662</v>
      </c>
      <c r="N25" s="207">
        <f>Space!K9/Space!$G$2</f>
        <v>0.30926318788755652</v>
      </c>
      <c r="O25" s="200">
        <f>'Life duration'!K9</f>
        <v>7.25</v>
      </c>
      <c r="P25" s="234">
        <f>Slaughter!K9/(365*24)</f>
        <v>9.3607305936073046E-4</v>
      </c>
      <c r="Q25" s="101"/>
      <c r="R25" s="51"/>
      <c r="S25" s="51"/>
      <c r="U25" s="111"/>
      <c r="X25" s="41"/>
      <c r="Y25" s="110"/>
      <c r="Z25" s="101"/>
      <c r="AC25" s="111"/>
      <c r="AD25" s="200"/>
      <c r="AE25" s="234"/>
    </row>
    <row r="26" spans="1:31" x14ac:dyDescent="0.3">
      <c r="A26" s="101" t="s">
        <v>63</v>
      </c>
      <c r="B26" s="189">
        <f>'No affected'!K10</f>
        <v>5.0000000000000001E-3</v>
      </c>
      <c r="C26" s="41">
        <f>Ability!B10</f>
        <v>0.87913616180078868</v>
      </c>
      <c r="D26" s="41">
        <f t="shared" si="9"/>
        <v>0.94959999999999989</v>
      </c>
      <c r="E26" s="41">
        <f t="shared" si="10"/>
        <v>0.24354285714285712</v>
      </c>
      <c r="F26" s="110">
        <f t="shared" si="11"/>
        <v>0.14159999999999998</v>
      </c>
      <c r="G26" s="44">
        <f>Mortality!K10</f>
        <v>0.03</v>
      </c>
      <c r="H26" s="44">
        <f>Disease!K10</f>
        <v>0.15</v>
      </c>
      <c r="I26" s="44">
        <f>Slaughter!K10/24</f>
        <v>0.45999999999999996</v>
      </c>
      <c r="J26" s="207">
        <f>Space!K10/100</f>
        <v>6.4799999999999983E-2</v>
      </c>
      <c r="K26" s="206">
        <f>Mortality!K10/Mortality!$G$2</f>
        <v>0.06</v>
      </c>
      <c r="L26" s="44">
        <f>Disease!K10/Disease!$G$2</f>
        <v>0.3</v>
      </c>
      <c r="M26" s="44">
        <f>Slaughter!K10/Slaughter!$G$2</f>
        <v>0.45999999999999996</v>
      </c>
      <c r="N26" s="207">
        <f>Space!K10/Space!$G$2</f>
        <v>6.4799999999999983E-2</v>
      </c>
      <c r="O26" s="200">
        <f>'Life duration'!K10</f>
        <v>2</v>
      </c>
      <c r="P26" s="234">
        <f>Slaughter!K10/(365*24)</f>
        <v>1.2602739726027396E-3</v>
      </c>
      <c r="Q26" s="101"/>
      <c r="R26" s="51"/>
      <c r="S26" s="51"/>
      <c r="U26" s="111"/>
      <c r="X26" s="41"/>
      <c r="Y26" s="110"/>
      <c r="Z26" s="101"/>
      <c r="AC26" s="111"/>
      <c r="AD26" s="200"/>
      <c r="AE26" s="234"/>
    </row>
    <row r="27" spans="1:31" x14ac:dyDescent="0.3">
      <c r="A27" s="101" t="s">
        <v>64</v>
      </c>
      <c r="B27" s="189">
        <f>'No affected'!K11</f>
        <v>6.4000000000000001E-2</v>
      </c>
      <c r="C27" s="41">
        <f>Ability!B11</f>
        <v>0.82044791775586834</v>
      </c>
      <c r="D27" s="41">
        <f t="shared" si="9"/>
        <v>0.86575794166821474</v>
      </c>
      <c r="E27" s="41">
        <f t="shared" si="10"/>
        <v>0.19576842440487249</v>
      </c>
      <c r="F27" s="110">
        <f t="shared" si="11"/>
        <v>0.13345965694470246</v>
      </c>
      <c r="G27" s="44">
        <f>Mortality!K11</f>
        <v>0.08</v>
      </c>
      <c r="H27" s="44">
        <f>Disease!K11</f>
        <v>0.06</v>
      </c>
      <c r="I27" s="44">
        <f>Slaughter!K11/24</f>
        <v>0.34499999999999997</v>
      </c>
      <c r="J27" s="207">
        <f>Space!K11/100</f>
        <v>0.12037897083410738</v>
      </c>
      <c r="K27" s="206">
        <f>Mortality!K11/Mortality!$G$2</f>
        <v>0.16</v>
      </c>
      <c r="L27" s="44">
        <f>Disease!K11/Disease!$G$2</f>
        <v>0.12</v>
      </c>
      <c r="M27" s="44">
        <f>Slaughter!K11/Slaughter!$G$2</f>
        <v>0.34499999999999997</v>
      </c>
      <c r="N27" s="207">
        <f>Space!K11/Space!$G$2</f>
        <v>0.12037897083410738</v>
      </c>
      <c r="O27" s="200">
        <f>'Life duration'!K11</f>
        <v>0.5</v>
      </c>
      <c r="P27" s="234">
        <f>Slaughter!K11/(365*24)</f>
        <v>9.4520547945205473E-4</v>
      </c>
      <c r="Q27" s="190">
        <f>'No affected'!Z11</f>
        <v>1.1000000000000001E-3</v>
      </c>
      <c r="R27" s="51">
        <f>Ability!D11</f>
        <v>0.88410303277141455</v>
      </c>
      <c r="S27" s="41">
        <f>2*V27+2*W27+X27+2*Y27</f>
        <v>0.78406747717880465</v>
      </c>
      <c r="T27" s="41">
        <f>(2*Z27+2*AA27+AB27+2*AC27)/7</f>
        <v>0.14343821102554349</v>
      </c>
      <c r="U27" s="110">
        <f>(Z27+AA27+AC27)/3</f>
        <v>0.10984457952980077</v>
      </c>
      <c r="V27">
        <f>Mortality!Z11</f>
        <v>0.06</v>
      </c>
      <c r="W27" s="41">
        <f>Disease!Z11</f>
        <v>0.05</v>
      </c>
      <c r="X27" s="41">
        <f>Slaughter!Z11/24</f>
        <v>0.34499999999999997</v>
      </c>
      <c r="Y27" s="110">
        <f>Space!Z11/100</f>
        <v>0.10953373858940234</v>
      </c>
      <c r="Z27" s="101">
        <f>Mortality!Z11/Mortality!$G$2</f>
        <v>0.12</v>
      </c>
      <c r="AA27">
        <f>Disease!Z11/Disease!$G$2</f>
        <v>0.1</v>
      </c>
      <c r="AB27" s="41">
        <f>Slaughter!Z11/Slaughter!$G$2</f>
        <v>0.34499999999999997</v>
      </c>
      <c r="AC27" s="218">
        <f>Space!Z11/Space!$G$2</f>
        <v>0.10953373858940234</v>
      </c>
      <c r="AD27" s="200">
        <f>'Life duration'!Z11</f>
        <v>0.5181347150259068</v>
      </c>
      <c r="AE27" s="234">
        <f>Slaughter!Z11/(365*24)</f>
        <v>9.4520547945205473E-4</v>
      </c>
    </row>
    <row r="28" spans="1:31" x14ac:dyDescent="0.3">
      <c r="A28" s="101" t="s">
        <v>65</v>
      </c>
      <c r="B28" s="189">
        <f>'No affected'!K12</f>
        <v>1.8182809885212182E-2</v>
      </c>
      <c r="C28" s="41">
        <f>Ability!B12</f>
        <v>0.87981165625279378</v>
      </c>
      <c r="D28" s="41">
        <f t="shared" si="9"/>
        <v>2.3852494172494172</v>
      </c>
      <c r="E28" s="41">
        <f t="shared" si="10"/>
        <v>0.40937495837495835</v>
      </c>
      <c r="F28" s="110">
        <f t="shared" si="11"/>
        <v>0.47231934731934738</v>
      </c>
      <c r="G28" s="44">
        <f>Mortality!K12</f>
        <v>0.24099999999999999</v>
      </c>
      <c r="H28" s="44">
        <f>Disease!K12</f>
        <v>0.15</v>
      </c>
      <c r="I28" s="44">
        <f>Slaughter!K12/24</f>
        <v>0.33333333333333331</v>
      </c>
      <c r="J28" s="207">
        <f>Space!K12/100</f>
        <v>0.63495804195804206</v>
      </c>
      <c r="K28" s="206">
        <f>Mortality!K12/Mortality!$G$2</f>
        <v>0.48199999999999998</v>
      </c>
      <c r="L28" s="44">
        <f>Disease!K12/Disease!$G$2</f>
        <v>0.3</v>
      </c>
      <c r="M28" s="44">
        <f>Slaughter!K12/Slaughter!$G$2</f>
        <v>0.33333333333333331</v>
      </c>
      <c r="N28" s="207">
        <f>Space!K12/Space!$G$2</f>
        <v>0.63495804195804206</v>
      </c>
      <c r="O28" s="200">
        <f>'Life duration'!K12</f>
        <v>0.5</v>
      </c>
      <c r="P28" s="234">
        <f>Slaughter!K12/(365*24)</f>
        <v>9.1324200913242006E-4</v>
      </c>
      <c r="Q28" s="190">
        <f>'No affected'!Z12</f>
        <v>3.8999999999999999E-4</v>
      </c>
      <c r="R28" s="51">
        <f>Ability!D12</f>
        <v>0.94805646338919392</v>
      </c>
      <c r="S28" s="41">
        <f>2*V28+2*W28+X28+2*Y28</f>
        <v>1.5394724577344312</v>
      </c>
      <c r="T28" s="41">
        <f>(2*Z28+2*AA28+AB28+2*AC28)/7</f>
        <v>0.27249606539063304</v>
      </c>
      <c r="U28" s="110">
        <f>(Z28+AA28+AC28)/3</f>
        <v>0.26235652073351629</v>
      </c>
      <c r="V28">
        <f>Mortality!Z12</f>
        <v>3.4000000000000002E-2</v>
      </c>
      <c r="W28" s="41">
        <f>Disease!Z12</f>
        <v>0.15</v>
      </c>
      <c r="X28" s="41">
        <f>Slaughter!Z12/24</f>
        <v>0.33333333333333331</v>
      </c>
      <c r="Y28" s="110">
        <f>Space!Z12/100</f>
        <v>0.41906956220054892</v>
      </c>
      <c r="Z28" s="101">
        <f>Mortality!Z12/Mortality!$G$2</f>
        <v>6.8000000000000005E-2</v>
      </c>
      <c r="AA28">
        <f>Disease!Z12/Disease!$G$2</f>
        <v>0.3</v>
      </c>
      <c r="AB28" s="41">
        <f>Slaughter!Z12/Slaughter!$G$2</f>
        <v>0.33333333333333331</v>
      </c>
      <c r="AC28" s="218">
        <f>Space!Z12/Space!$G$2</f>
        <v>0.41906956220054892</v>
      </c>
      <c r="AD28" s="191">
        <f>'Life duration'!Z12</f>
        <v>3.0674846625766871E-2</v>
      </c>
      <c r="AE28" s="234">
        <f>Slaughter!Z12/(365*24)</f>
        <v>9.1324200913242006E-4</v>
      </c>
    </row>
    <row r="29" spans="1:31" x14ac:dyDescent="0.3">
      <c r="A29" s="101" t="s">
        <v>66</v>
      </c>
      <c r="B29" s="189">
        <f>'No affected'!K13</f>
        <v>0.75216903015372494</v>
      </c>
      <c r="C29" s="41">
        <f>Ability!B13</f>
        <v>0.54320827892864587</v>
      </c>
      <c r="D29" s="41">
        <f t="shared" si="9"/>
        <v>1.8550217391304353</v>
      </c>
      <c r="E29" s="41">
        <f t="shared" si="10"/>
        <v>0.25218012422360253</v>
      </c>
      <c r="F29" s="110">
        <f t="shared" si="11"/>
        <v>0.33808695652173926</v>
      </c>
      <c r="G29" s="44">
        <f>Mortality!K13</f>
        <v>3.7999999999999999E-2</v>
      </c>
      <c r="H29" s="44">
        <f>Disease!K13</f>
        <v>0.14499999999999999</v>
      </c>
      <c r="I29" s="44">
        <f>Slaughter!K13/24</f>
        <v>0.1925</v>
      </c>
      <c r="J29" s="207">
        <f>Space!K13/100</f>
        <v>0.64826086956521767</v>
      </c>
      <c r="K29" s="206">
        <f>Mortality!K13/Mortality!$G$2</f>
        <v>7.5999999999999998E-2</v>
      </c>
      <c r="L29" s="44">
        <f>Disease!K13/Disease!$G$2</f>
        <v>0.28999999999999998</v>
      </c>
      <c r="M29" s="44">
        <f>Slaughter!K13/Slaughter!$G$2</f>
        <v>0.1925</v>
      </c>
      <c r="N29" s="207">
        <f>Space!K13/Space!$G$2</f>
        <v>0.64826086956521767</v>
      </c>
      <c r="O29" s="200">
        <f>'Life duration'!K13</f>
        <v>9.6153846153846159E-2</v>
      </c>
      <c r="P29" s="234">
        <f>Slaughter!K13/(365*24)</f>
        <v>5.273972602739726E-4</v>
      </c>
      <c r="Q29" s="190">
        <f>'No affected'!Z13</f>
        <v>5.4505002185052534E-3</v>
      </c>
      <c r="R29" s="51">
        <f>Ability!D13</f>
        <v>0.54320827892864587</v>
      </c>
      <c r="S29" s="41">
        <f>2*V29+2*W29+X29+2*Y29</f>
        <v>1.9278846153846152</v>
      </c>
      <c r="T29" s="41">
        <f>(2*Z29+2*AA29+AB29+2*AC29)/7</f>
        <v>0.412554945054945</v>
      </c>
      <c r="U29" s="110">
        <f>(Z29+AA29+AC29)/3</f>
        <v>0.44923076923076916</v>
      </c>
      <c r="V29">
        <f>Mortality!Z13</f>
        <v>0.06</v>
      </c>
      <c r="W29" s="41">
        <f>Disease!Z13</f>
        <v>0.42</v>
      </c>
      <c r="X29" s="41">
        <f>Slaughter!Z13/24</f>
        <v>0.1925</v>
      </c>
      <c r="Y29" s="110">
        <f>Space!Z13/100</f>
        <v>0.38769230769230767</v>
      </c>
      <c r="Z29" s="101">
        <f>Mortality!Z13/Mortality!$G$2</f>
        <v>0.12</v>
      </c>
      <c r="AA29">
        <f>Disease!Z13/Disease!$G$2</f>
        <v>0.84</v>
      </c>
      <c r="AB29" s="41">
        <f>Slaughter!Z13/Slaughter!$G$2</f>
        <v>0.1925</v>
      </c>
      <c r="AC29" s="218">
        <f>Space!Z13/Space!$G$2</f>
        <v>0.38769230769230767</v>
      </c>
      <c r="AD29" s="191">
        <f>'Life duration'!Z13</f>
        <v>6.6666666666666671E-3</v>
      </c>
      <c r="AE29" s="234">
        <f>Slaughter!Z13/(365*24)</f>
        <v>5.273972602739726E-4</v>
      </c>
    </row>
    <row r="30" spans="1:31" x14ac:dyDescent="0.3">
      <c r="A30" s="101" t="s">
        <v>67</v>
      </c>
      <c r="B30" s="189">
        <f>'No affected'!K14</f>
        <v>1.24</v>
      </c>
      <c r="C30" s="41">
        <f>Ability!B14</f>
        <v>0.67196797361598137</v>
      </c>
      <c r="D30" s="41">
        <f t="shared" si="9"/>
        <v>1.4556333333333333</v>
      </c>
      <c r="E30" s="41">
        <f t="shared" si="10"/>
        <v>0.27138095238095239</v>
      </c>
      <c r="F30" s="110">
        <f t="shared" si="11"/>
        <v>0.28573333333333334</v>
      </c>
      <c r="G30" s="44">
        <f>Mortality!K14</f>
        <v>0.15</v>
      </c>
      <c r="H30" s="44">
        <f>Disease!K14</f>
        <v>0.11</v>
      </c>
      <c r="I30" s="44">
        <f>Slaughter!K14/24</f>
        <v>0.26123333333333332</v>
      </c>
      <c r="J30" s="207">
        <f>Space!K14/100</f>
        <v>0.3372</v>
      </c>
      <c r="K30" s="206">
        <f>Mortality!K14/Mortality!$G$2</f>
        <v>0.3</v>
      </c>
      <c r="L30" s="44">
        <f>Disease!K14/Disease!$G$2</f>
        <v>0.22</v>
      </c>
      <c r="M30" s="44">
        <f>Slaughter!K14/Slaughter!$G$2</f>
        <v>0.26123333333333332</v>
      </c>
      <c r="N30" s="207">
        <f>Space!K14/Space!$G$2</f>
        <v>0.3372</v>
      </c>
      <c r="O30" s="200">
        <f>'Life duration'!K14</f>
        <v>0.16666666666666666</v>
      </c>
      <c r="P30" s="234">
        <f>Slaughter!K14/(365*24)</f>
        <v>7.1570776255707759E-4</v>
      </c>
      <c r="Q30" s="101"/>
      <c r="R30" s="51"/>
      <c r="S30" s="51"/>
      <c r="U30" s="111"/>
      <c r="X30" s="41"/>
      <c r="Y30" s="110"/>
      <c r="Z30" s="101"/>
      <c r="AC30" s="111"/>
      <c r="AD30" s="191"/>
      <c r="AE30" s="234"/>
    </row>
    <row r="31" spans="1:31" x14ac:dyDescent="0.3">
      <c r="A31" s="104" t="s">
        <v>68</v>
      </c>
      <c r="B31" s="232">
        <f>'No affected'!K15</f>
        <v>0.06</v>
      </c>
      <c r="C31" s="193">
        <f>Ability!B15</f>
        <v>0.58534077701729459</v>
      </c>
      <c r="D31" s="193">
        <f t="shared" si="9"/>
        <v>2.5155533333333331</v>
      </c>
      <c r="E31" s="193">
        <f t="shared" si="10"/>
        <v>0.43164666666666662</v>
      </c>
      <c r="F31" s="254">
        <f t="shared" si="11"/>
        <v>0.52328666666666657</v>
      </c>
      <c r="G31" s="255">
        <f>Mortality!K15</f>
        <v>0.03</v>
      </c>
      <c r="H31" s="255">
        <f>Disease!K15</f>
        <v>0.42</v>
      </c>
      <c r="I31" s="255">
        <f>Slaughter!K15/24</f>
        <v>0.27583333333333332</v>
      </c>
      <c r="J31" s="256">
        <f>Space!K15/100</f>
        <v>0.66986000000000001</v>
      </c>
      <c r="K31" s="257">
        <f>Mortality!K15/Mortality!$G$2</f>
        <v>0.06</v>
      </c>
      <c r="L31" s="255">
        <f>Disease!K15/Disease!$G$2</f>
        <v>0.84</v>
      </c>
      <c r="M31" s="255">
        <f>Slaughter!K15/Slaughter!$G$2</f>
        <v>0.27583333333333332</v>
      </c>
      <c r="N31" s="256">
        <f>Space!K15/Space!$G$2</f>
        <v>0.66986000000000001</v>
      </c>
      <c r="O31" s="244">
        <f>'Life duration'!K15</f>
        <v>1.2</v>
      </c>
      <c r="P31" s="235">
        <f>Slaughter!K15/(365*24)</f>
        <v>7.5570776255707759E-4</v>
      </c>
      <c r="Q31" s="263">
        <f>'No affected'!Z15</f>
        <v>0.06</v>
      </c>
      <c r="R31" s="261">
        <f>Ability!D15</f>
        <v>0.2556274253781865</v>
      </c>
      <c r="S31" s="193">
        <f>2*V31+2*W31+X31+2*Y31</f>
        <v>6.9444444444444441E-3</v>
      </c>
      <c r="T31" s="193">
        <f>(2*Z31+2*AA31+AB31+2*AC31)/7</f>
        <v>9.9206349206349201E-4</v>
      </c>
      <c r="U31" s="254">
        <f>(Z31+AA31+AC31)/3</f>
        <v>0</v>
      </c>
      <c r="V31" s="194">
        <f>Mortality!Z15</f>
        <v>0</v>
      </c>
      <c r="W31" s="193">
        <f>Disease!Z15</f>
        <v>0</v>
      </c>
      <c r="X31" s="193">
        <f>Slaughter!Z15/24</f>
        <v>6.9444444444444441E-3</v>
      </c>
      <c r="Y31" s="254">
        <f>Space!Z15/100</f>
        <v>0</v>
      </c>
      <c r="Z31" s="104">
        <f>Mortality!Z15/Mortality!$G$2</f>
        <v>0</v>
      </c>
      <c r="AA31" s="133">
        <f>Disease!Z15/Disease!$G$2</f>
        <v>0</v>
      </c>
      <c r="AB31" s="193">
        <f>Slaughter!Z15/Slaughter!$G$2</f>
        <v>6.9444444444444441E-3</v>
      </c>
      <c r="AC31" s="114">
        <f>Space!Z15/Space!$G$2</f>
        <v>0</v>
      </c>
      <c r="AD31" s="244">
        <f>'Life duration'!Z15</f>
        <v>3.1709791983764589E-7</v>
      </c>
      <c r="AE31" s="235">
        <f>Slaughter!Z15/(365*24)</f>
        <v>1.902587519025875E-5</v>
      </c>
    </row>
  </sheetData>
  <mergeCells count="4">
    <mergeCell ref="B5:D5"/>
    <mergeCell ref="E5:G5"/>
    <mergeCell ref="H5:J5"/>
    <mergeCell ref="K5:M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9DA4-04A3-4E76-9AF2-B86194C2A079}">
  <sheetPr>
    <tabColor theme="5" tint="0.79998168889431442"/>
  </sheetPr>
  <dimension ref="A2:AE31"/>
  <sheetViews>
    <sheetView topLeftCell="O12" zoomScale="89" workbookViewId="0">
      <selection activeCell="AD31" sqref="AD31"/>
    </sheetView>
  </sheetViews>
  <sheetFormatPr defaultRowHeight="14.4" x14ac:dyDescent="0.3"/>
  <cols>
    <col min="1" max="1" width="23.33203125" customWidth="1"/>
    <col min="2" max="31" width="9.6640625" customWidth="1"/>
  </cols>
  <sheetData>
    <row r="2" spans="1:13" ht="21" x14ac:dyDescent="0.4">
      <c r="A2" s="30" t="s">
        <v>79</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0.25558930950794517</v>
      </c>
      <c r="C7" s="41">
        <f t="shared" ref="C7:C16" si="0">B22*C22*D22*100</f>
        <v>0.21778956611128494</v>
      </c>
      <c r="D7" s="41">
        <f>Q22*R22*S22*100</f>
        <v>3.7799743396660208E-2</v>
      </c>
      <c r="E7" s="41">
        <f t="shared" ref="E7:E16" si="1">F7+G7</f>
        <v>5.1148479490901323E-2</v>
      </c>
      <c r="F7" s="19">
        <f t="shared" ref="F7:F16" si="2">B22*C22*E22*100</f>
        <v>4.4333951296087033E-2</v>
      </c>
      <c r="G7" s="19">
        <f>Q22*R22*T22*100</f>
        <v>6.8145281948142926E-3</v>
      </c>
      <c r="H7" s="226">
        <f>I7+J7</f>
        <v>8.2493370796601852E-4</v>
      </c>
      <c r="I7" s="226">
        <f t="shared" ref="I7:I16" si="3">B22*((O22-P22)*F22+P22)</f>
        <v>7.4627434011575176E-4</v>
      </c>
      <c r="J7" s="226">
        <f>Q22*((AD22-AE22)*U22+AE22)</f>
        <v>7.8659367850266747E-5</v>
      </c>
      <c r="K7" s="226">
        <f>L7+M7</f>
        <v>7.2932639304812538E-4</v>
      </c>
      <c r="L7" s="226">
        <f t="shared" ref="L7:L16" si="4">C22*B22*((O22-P22)*F22+P22)</f>
        <v>6.5978340737582225E-4</v>
      </c>
      <c r="M7" s="234">
        <f>R22*Q22*((AD22-AE22)*U22+AE22)</f>
        <v>6.9542985672303129E-5</v>
      </c>
    </row>
    <row r="8" spans="1:13" x14ac:dyDescent="0.3">
      <c r="A8" s="101" t="s">
        <v>36</v>
      </c>
      <c r="B8" s="191">
        <f t="shared" ref="B8:B16" si="5">C8+D8</f>
        <v>0.66887781984731198</v>
      </c>
      <c r="C8" s="41">
        <f t="shared" si="0"/>
        <v>0.66887781984731198</v>
      </c>
      <c r="D8" s="41"/>
      <c r="E8" s="41">
        <f t="shared" si="1"/>
        <v>0.13954994707521443</v>
      </c>
      <c r="F8" s="19">
        <f t="shared" si="2"/>
        <v>0.13954994707521443</v>
      </c>
      <c r="G8" s="19"/>
      <c r="H8" s="226">
        <f t="shared" ref="H8:H15" si="6">I8+J8</f>
        <v>1.1142256931244673E-3</v>
      </c>
      <c r="I8" s="226">
        <f t="shared" si="3"/>
        <v>1.1142256931244673E-3</v>
      </c>
      <c r="J8" s="226"/>
      <c r="K8" s="226">
        <f t="shared" ref="K8:K16" si="7">L8+M8</f>
        <v>9.1416414983405833E-4</v>
      </c>
      <c r="L8" s="226">
        <f t="shared" si="4"/>
        <v>9.1416414983405833E-4</v>
      </c>
      <c r="M8" s="111"/>
    </row>
    <row r="9" spans="1:13" x14ac:dyDescent="0.3">
      <c r="A9" s="101" t="s">
        <v>37</v>
      </c>
      <c r="B9" s="191">
        <f t="shared" si="5"/>
        <v>0.34030335166900655</v>
      </c>
      <c r="C9" s="41">
        <f t="shared" si="0"/>
        <v>0.34030335166900655</v>
      </c>
      <c r="D9" s="41"/>
      <c r="E9" s="41">
        <f t="shared" si="1"/>
        <v>7.1670044731969113E-2</v>
      </c>
      <c r="F9" s="19">
        <f t="shared" si="2"/>
        <v>7.1670044731969113E-2</v>
      </c>
      <c r="G9" s="19"/>
      <c r="H9" s="226">
        <f t="shared" si="6"/>
        <v>1.2860308576996063E-3</v>
      </c>
      <c r="I9" s="226">
        <f t="shared" si="3"/>
        <v>1.2860308576996063E-3</v>
      </c>
      <c r="J9" s="226"/>
      <c r="K9" s="226">
        <f t="shared" si="7"/>
        <v>1.1369837815298454E-3</v>
      </c>
      <c r="L9" s="226">
        <f t="shared" si="4"/>
        <v>1.1369837815298454E-3</v>
      </c>
      <c r="M9" s="111"/>
    </row>
    <row r="10" spans="1:13" x14ac:dyDescent="0.3">
      <c r="A10" s="101" t="s">
        <v>38</v>
      </c>
      <c r="B10" s="191">
        <f t="shared" si="5"/>
        <v>8.0982770676337607E-3</v>
      </c>
      <c r="C10" s="102">
        <f t="shared" si="0"/>
        <v>8.0982770676337607E-3</v>
      </c>
      <c r="D10" s="41"/>
      <c r="E10" s="41">
        <f t="shared" si="1"/>
        <v>1.8856578461430029E-3</v>
      </c>
      <c r="F10" s="19">
        <f t="shared" si="2"/>
        <v>1.8856578461430029E-3</v>
      </c>
      <c r="G10" s="19"/>
      <c r="H10" s="226">
        <f t="shared" si="6"/>
        <v>1.336960759080382E-4</v>
      </c>
      <c r="I10" s="226">
        <f t="shared" si="3"/>
        <v>1.336960759080382E-4</v>
      </c>
      <c r="J10" s="226"/>
      <c r="K10" s="226">
        <f t="shared" si="7"/>
        <v>1.1820110617993383E-4</v>
      </c>
      <c r="L10" s="226">
        <f t="shared" si="4"/>
        <v>1.1820110617993383E-4</v>
      </c>
      <c r="M10" s="111"/>
    </row>
    <row r="11" spans="1:13" x14ac:dyDescent="0.3">
      <c r="A11" s="101" t="s">
        <v>63</v>
      </c>
      <c r="B11" s="191">
        <f t="shared" si="5"/>
        <v>0.35138690154063701</v>
      </c>
      <c r="C11" s="41">
        <f t="shared" si="0"/>
        <v>0.35138690154063701</v>
      </c>
      <c r="D11" s="41"/>
      <c r="E11" s="41">
        <f t="shared" si="1"/>
        <v>8.2556892113454197E-2</v>
      </c>
      <c r="F11" s="19">
        <f t="shared" si="2"/>
        <v>8.2556892113454197E-2</v>
      </c>
      <c r="G11" s="19"/>
      <c r="H11" s="226">
        <f t="shared" si="6"/>
        <v>1.5185577724836214E-3</v>
      </c>
      <c r="I11" s="226">
        <f t="shared" si="3"/>
        <v>1.5185577724836214E-3</v>
      </c>
      <c r="J11" s="226"/>
      <c r="K11" s="226">
        <f t="shared" si="7"/>
        <v>1.3350190515740061E-3</v>
      </c>
      <c r="L11" s="226">
        <f t="shared" si="4"/>
        <v>1.3350190515740061E-3</v>
      </c>
      <c r="M11" s="111"/>
    </row>
    <row r="12" spans="1:13" x14ac:dyDescent="0.3">
      <c r="A12" s="101" t="s">
        <v>40</v>
      </c>
      <c r="B12" s="191">
        <f t="shared" si="5"/>
        <v>3.8345382940881954</v>
      </c>
      <c r="C12" s="85">
        <f t="shared" si="0"/>
        <v>3.7551197954613738</v>
      </c>
      <c r="D12" s="41">
        <f>Q27*R27*S27*100</f>
        <v>7.9418498626821696E-2</v>
      </c>
      <c r="E12" s="41">
        <f t="shared" si="1"/>
        <v>0.87897324218463346</v>
      </c>
      <c r="F12" s="41">
        <f t="shared" si="2"/>
        <v>0.86457127189607774</v>
      </c>
      <c r="G12" s="19">
        <f>Q27*R27*T27*100</f>
        <v>1.4401970288555702E-2</v>
      </c>
      <c r="H12" s="226">
        <f t="shared" si="6"/>
        <v>4.087864730946922E-3</v>
      </c>
      <c r="I12" s="226">
        <f t="shared" si="3"/>
        <v>4.0124868884540118E-3</v>
      </c>
      <c r="J12" s="226">
        <f t="shared" ref="J12:J16" si="8">Q27*((AD27-AE27)*U27+AE27)</f>
        <v>7.5377842492910214E-5</v>
      </c>
      <c r="K12" s="226">
        <f t="shared" si="7"/>
        <v>3.3586782918065649E-3</v>
      </c>
      <c r="L12" s="226">
        <f t="shared" si="4"/>
        <v>3.292036512654817E-3</v>
      </c>
      <c r="M12" s="234">
        <f>R27*Q27*((AD27-AE27)*U27+AE27)</f>
        <v>6.6641779151747923E-5</v>
      </c>
    </row>
    <row r="13" spans="1:13" x14ac:dyDescent="0.3">
      <c r="A13" s="101" t="s">
        <v>41</v>
      </c>
      <c r="B13" s="191">
        <f t="shared" si="5"/>
        <v>2.8155572654515386</v>
      </c>
      <c r="C13" s="85">
        <f t="shared" si="0"/>
        <v>2.7714472406649806</v>
      </c>
      <c r="D13" s="41">
        <f>Q28*R28*S28*100</f>
        <v>4.4110024786557837E-2</v>
      </c>
      <c r="E13" s="41">
        <f t="shared" si="1"/>
        <v>0.52762505523508996</v>
      </c>
      <c r="F13" s="41">
        <f t="shared" si="2"/>
        <v>0.51947951786479496</v>
      </c>
      <c r="G13" s="19">
        <f>Q28*R28*T28*100</f>
        <v>8.1455373702950147E-3</v>
      </c>
      <c r="H13" s="226">
        <f t="shared" si="6"/>
        <v>3.3178875087767731E-3</v>
      </c>
      <c r="I13" s="226">
        <f t="shared" si="3"/>
        <v>3.3151602012681447E-3</v>
      </c>
      <c r="J13" s="226">
        <f t="shared" si="8"/>
        <v>2.7273075086285809E-6</v>
      </c>
      <c r="K13" s="226">
        <f t="shared" si="7"/>
        <v>2.9193022289322767E-3</v>
      </c>
      <c r="L13" s="226">
        <f t="shared" si="4"/>
        <v>2.9167165874210716E-3</v>
      </c>
      <c r="M13" s="234">
        <f>R28*Q28*((AD28-AE28)*U28+AE28)</f>
        <v>2.5856415112052058E-6</v>
      </c>
    </row>
    <row r="14" spans="1:13" x14ac:dyDescent="0.3">
      <c r="A14" s="101" t="s">
        <v>42</v>
      </c>
      <c r="B14" s="191">
        <f>C14+D14</f>
        <v>60.40241553729814</v>
      </c>
      <c r="C14" s="85">
        <f t="shared" si="0"/>
        <v>59.815578347648213</v>
      </c>
      <c r="D14" s="41">
        <f>Q29*R29*S29*100</f>
        <v>0.58683718964992504</v>
      </c>
      <c r="E14" s="41">
        <f t="shared" si="1"/>
        <v>7.4880945971962163</v>
      </c>
      <c r="F14" s="85">
        <f t="shared" si="2"/>
        <v>7.3602723255788813</v>
      </c>
      <c r="G14" s="41">
        <f>Q29*R29*T29*100</f>
        <v>0.12782227161733536</v>
      </c>
      <c r="H14" s="226">
        <f>I14+J14</f>
        <v>1.8156881821100961E-2</v>
      </c>
      <c r="I14" s="226">
        <f t="shared" si="3"/>
        <v>1.8138284900697309E-2</v>
      </c>
      <c r="J14" s="226">
        <f t="shared" si="8"/>
        <v>1.8596920403652114E-5</v>
      </c>
      <c r="K14" s="226">
        <f t="shared" si="7"/>
        <v>9.8629685247510705E-3</v>
      </c>
      <c r="L14" s="226">
        <f t="shared" si="4"/>
        <v>9.85286652362523E-3</v>
      </c>
      <c r="M14" s="234">
        <f>R29*Q29*((AD29-AE29)*U29+AE29)</f>
        <v>1.0102001125840883E-5</v>
      </c>
    </row>
    <row r="15" spans="1:13" x14ac:dyDescent="0.3">
      <c r="A15" s="101" t="s">
        <v>67</v>
      </c>
      <c r="B15" s="191">
        <f>C15+D15</f>
        <v>41.615200595362268</v>
      </c>
      <c r="C15" s="85">
        <f t="shared" si="0"/>
        <v>41.615200595362268</v>
      </c>
      <c r="D15" s="41"/>
      <c r="E15" s="41">
        <f t="shared" si="1"/>
        <v>10.401120276564836</v>
      </c>
      <c r="F15" s="85">
        <f t="shared" si="2"/>
        <v>10.401120276564836</v>
      </c>
      <c r="H15" s="226">
        <f t="shared" si="6"/>
        <v>2.2595427067478434E-2</v>
      </c>
      <c r="I15" s="226">
        <f t="shared" si="3"/>
        <v>2.2595427067478434E-2</v>
      </c>
      <c r="J15" s="226"/>
      <c r="K15" s="226">
        <f t="shared" si="7"/>
        <v>1.5183403339521178E-2</v>
      </c>
      <c r="L15" s="226">
        <f t="shared" si="4"/>
        <v>1.5183403339521178E-2</v>
      </c>
      <c r="M15" s="111"/>
    </row>
    <row r="16" spans="1:13" x14ac:dyDescent="0.3">
      <c r="A16" s="104" t="s">
        <v>44</v>
      </c>
      <c r="B16" s="233">
        <f t="shared" si="5"/>
        <v>7.7138089936879002</v>
      </c>
      <c r="C16" s="253">
        <f>B31*C31*D31*100</f>
        <v>7.7024477747822031</v>
      </c>
      <c r="D16" s="193">
        <f>Q31*R31*S31*100</f>
        <v>1.1361218905697178E-2</v>
      </c>
      <c r="E16" s="193">
        <f t="shared" si="1"/>
        <v>1.5552392043577621</v>
      </c>
      <c r="F16" s="193">
        <f t="shared" si="2"/>
        <v>1.5536161730855196</v>
      </c>
      <c r="G16" s="113">
        <f>Q31*R31*T31*100</f>
        <v>1.6230312722424541E-3</v>
      </c>
      <c r="H16" s="227">
        <f>I16+J16</f>
        <v>3.5942376231354649E-2</v>
      </c>
      <c r="I16" s="227">
        <f t="shared" si="3"/>
        <v>3.5941158575342469E-2</v>
      </c>
      <c r="J16" s="227">
        <f t="shared" si="8"/>
        <v>1.2176560121765601E-6</v>
      </c>
      <c r="K16" s="227">
        <f t="shared" si="7"/>
        <v>2.1038136953664154E-2</v>
      </c>
      <c r="L16" s="227">
        <f t="shared" si="4"/>
        <v>2.1037825687392764E-2</v>
      </c>
      <c r="M16" s="235">
        <f>R31*Q31*((AD31-AE31)*U31+AE31)</f>
        <v>3.1126627138896376E-7</v>
      </c>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affected'!L6</f>
        <v>3.5000000000000001E-3</v>
      </c>
      <c r="C22" s="41">
        <f>Ability!B6</f>
        <v>0.88410303277141455</v>
      </c>
      <c r="D22" s="41">
        <f>2*G22+2*H22+I22+2*J22</f>
        <v>0.70382735960593013</v>
      </c>
      <c r="E22" s="41">
        <f>(2*K22+2*L22+N22+2*M22)/7</f>
        <v>0.14327338282899499</v>
      </c>
      <c r="F22" s="110">
        <f>(K22+L22+N22)/3</f>
        <v>0.10630455993432168</v>
      </c>
      <c r="G22" s="44">
        <f>Mortality!L6</f>
        <v>4.2000000000000003E-2</v>
      </c>
      <c r="H22" s="44">
        <f>Disease!L6</f>
        <v>0.05</v>
      </c>
      <c r="I22" s="44">
        <f>Slaughter!L6/24</f>
        <v>0.25</v>
      </c>
      <c r="J22" s="207">
        <f>Space!L6/100</f>
        <v>0.13491367980296504</v>
      </c>
      <c r="K22" s="206">
        <f>Mortality!L6/Mortality!$G$2</f>
        <v>8.4000000000000005E-2</v>
      </c>
      <c r="L22" s="44">
        <f>Disease!L6/Disease!$G$2</f>
        <v>0.1</v>
      </c>
      <c r="M22" s="44">
        <f>Slaughter!L6/Slaughter!$G$2</f>
        <v>0.25</v>
      </c>
      <c r="N22" s="207">
        <f>Space!L6/Space!$G$2</f>
        <v>0.13491367980296504</v>
      </c>
      <c r="O22" s="200">
        <f>'Life duration'!L6</f>
        <v>2</v>
      </c>
      <c r="P22" s="234">
        <f>Slaughter!L6/(365*24)</f>
        <v>6.8493150684931507E-4</v>
      </c>
      <c r="Q22" s="247">
        <f>'No affected'!AA6</f>
        <v>8.0000000000000004E-4</v>
      </c>
      <c r="R22" s="51">
        <f>Ability!D6</f>
        <v>0.88410303277141455</v>
      </c>
      <c r="S22" s="41">
        <f>2*V22+2*W22+X22+2*Y22</f>
        <v>0.53443634389207773</v>
      </c>
      <c r="T22" s="41">
        <f>(2*Z22+2*AA22+AB22+2*AC22)/7</f>
        <v>9.6348049127439675E-2</v>
      </c>
      <c r="U22" s="110">
        <f>(Z22+AA22+AC22)/3</f>
        <v>7.0739390648679623E-2</v>
      </c>
      <c r="V22">
        <f>Mortality!AA6</f>
        <v>0.03</v>
      </c>
      <c r="W22" s="41">
        <f>Disease!AA6</f>
        <v>0.04</v>
      </c>
      <c r="X22" s="41">
        <f>Slaughter!AA6/24</f>
        <v>0.25</v>
      </c>
      <c r="Y22" s="110">
        <f>Space!AA6/100</f>
        <v>7.2218171946038842E-2</v>
      </c>
      <c r="Z22" s="101">
        <f>Mortality!AA6/Mortality!$G$2</f>
        <v>0.06</v>
      </c>
      <c r="AA22">
        <f>Disease!AA6/Disease!$G$2</f>
        <v>0.08</v>
      </c>
      <c r="AB22" s="41">
        <f>Slaughter!AA6/Slaughter!$G$2</f>
        <v>0.25</v>
      </c>
      <c r="AC22" s="218">
        <f>Space!AA6/Space!$G$2</f>
        <v>7.2218171946038842E-2</v>
      </c>
      <c r="AD22" s="200">
        <f>'Life duration'!AA6</f>
        <v>1.3809523809523809</v>
      </c>
      <c r="AE22" s="234">
        <f>Slaughter!AA6/(365*24)</f>
        <v>6.8493150684931507E-4</v>
      </c>
    </row>
    <row r="23" spans="1:31" x14ac:dyDescent="0.3">
      <c r="A23" s="101" t="s">
        <v>60</v>
      </c>
      <c r="B23" s="189">
        <f>'No affected'!L7</f>
        <v>8.9999999999999993E-3</v>
      </c>
      <c r="C23" s="41">
        <f>Ability!B7</f>
        <v>0.82044791775586834</v>
      </c>
      <c r="D23" s="41">
        <f t="shared" ref="D23:D31" si="9">2*G23+2*H23+I23+2*J23</f>
        <v>0.90584370015948967</v>
      </c>
      <c r="E23" s="41">
        <f t="shared" ref="E23:E31" si="10">(2*K23+2*L23+N23+2*M23)/7</f>
        <v>0.18898883572567785</v>
      </c>
      <c r="F23" s="110">
        <f t="shared" ref="F23:F31" si="11">(K23+L23+N23)/3</f>
        <v>0.16430728335991493</v>
      </c>
      <c r="G23" s="44">
        <f>Mortality!L7</f>
        <v>6.5000000000000002E-2</v>
      </c>
      <c r="H23" s="44">
        <f>Disease!L7</f>
        <v>0.1</v>
      </c>
      <c r="I23" s="44">
        <f>Slaughter!L7/24</f>
        <v>0.25</v>
      </c>
      <c r="J23" s="207">
        <f>Space!L7/100</f>
        <v>0.16292185007974477</v>
      </c>
      <c r="K23" s="206">
        <f>Mortality!L7/Mortality!$G$2</f>
        <v>0.13</v>
      </c>
      <c r="L23" s="44">
        <f>Disease!L7/Disease!$G$2</f>
        <v>0.2</v>
      </c>
      <c r="M23" s="44">
        <f>Slaughter!L7/Slaughter!$G$2</f>
        <v>0.25</v>
      </c>
      <c r="N23" s="207">
        <f>Space!L7/Space!$G$2</f>
        <v>0.16292185007974477</v>
      </c>
      <c r="O23" s="200">
        <f>'Life duration'!L7</f>
        <v>0.75</v>
      </c>
      <c r="P23" s="234">
        <f>Slaughter!L7/(365*24)</f>
        <v>6.8493150684931507E-4</v>
      </c>
      <c r="Q23" s="101"/>
      <c r="R23" s="51"/>
      <c r="S23" s="51"/>
      <c r="U23" s="111"/>
      <c r="X23" s="41"/>
      <c r="Y23" s="110"/>
      <c r="Z23" s="101"/>
      <c r="AC23" s="111"/>
      <c r="AD23" s="200"/>
      <c r="AE23" s="234"/>
    </row>
    <row r="24" spans="1:31" x14ac:dyDescent="0.3">
      <c r="A24" s="101" t="s">
        <v>61</v>
      </c>
      <c r="B24" s="189">
        <f>'No affected'!L8</f>
        <v>5.0000000000000001E-3</v>
      </c>
      <c r="C24" s="41">
        <f>Ability!B8</f>
        <v>0.88410303277141455</v>
      </c>
      <c r="D24" s="41">
        <f t="shared" si="9"/>
        <v>0.76982735960593007</v>
      </c>
      <c r="E24" s="41">
        <f t="shared" si="10"/>
        <v>0.16213052568613787</v>
      </c>
      <c r="F24" s="110">
        <f t="shared" si="11"/>
        <v>0.12830455993432169</v>
      </c>
      <c r="G24" s="44">
        <f>Mortality!L8</f>
        <v>7.4999999999999997E-2</v>
      </c>
      <c r="H24" s="44">
        <f>Disease!L8</f>
        <v>0.05</v>
      </c>
      <c r="I24" s="44">
        <f>Slaughter!L8/24</f>
        <v>0.25</v>
      </c>
      <c r="J24" s="207">
        <f>Space!L8/100</f>
        <v>0.13491367980296504</v>
      </c>
      <c r="K24" s="206">
        <f>Mortality!L8/Mortality!$G$2</f>
        <v>0.15</v>
      </c>
      <c r="L24" s="44">
        <f>Disease!L8/Disease!$G$2</f>
        <v>0.1</v>
      </c>
      <c r="M24" s="44">
        <f>Slaughter!L8/Slaughter!$G$2</f>
        <v>0.25</v>
      </c>
      <c r="N24" s="207">
        <f>Space!L8/Space!$G$2</f>
        <v>0.13491367980296504</v>
      </c>
      <c r="O24" s="200">
        <f>'Life duration'!L8</f>
        <v>2</v>
      </c>
      <c r="P24" s="234">
        <f>Slaughter!L8/(365*24)</f>
        <v>6.8493150684931507E-4</v>
      </c>
      <c r="Q24" s="101"/>
      <c r="R24" s="51"/>
      <c r="S24" s="51"/>
      <c r="U24" s="111"/>
      <c r="X24" s="41"/>
      <c r="Y24" s="110"/>
      <c r="Z24" s="101"/>
      <c r="AC24" s="111"/>
      <c r="AD24" s="200"/>
      <c r="AE24" s="234"/>
    </row>
    <row r="25" spans="1:31" x14ac:dyDescent="0.3">
      <c r="A25" s="101" t="s">
        <v>62</v>
      </c>
      <c r="B25" s="189">
        <f>'No affected'!L9</f>
        <v>1E-4</v>
      </c>
      <c r="C25" s="41">
        <f>Ability!B9</f>
        <v>0.88410303277141455</v>
      </c>
      <c r="D25" s="41">
        <f t="shared" si="9"/>
        <v>0.91598792985110988</v>
      </c>
      <c r="E25" s="41">
        <f t="shared" si="10"/>
        <v>0.21328485213222215</v>
      </c>
      <c r="F25" s="110">
        <f t="shared" si="11"/>
        <v>0.18433132164185165</v>
      </c>
      <c r="G25" s="44">
        <f>Mortality!L9</f>
        <v>0.06</v>
      </c>
      <c r="H25" s="44">
        <f>Disease!L9</f>
        <v>0.16</v>
      </c>
      <c r="I25" s="44">
        <f>Slaughter!L9/24</f>
        <v>0.25</v>
      </c>
      <c r="J25" s="207">
        <f>Space!L9/100</f>
        <v>0.11299396492555498</v>
      </c>
      <c r="K25" s="206">
        <f>Mortality!L9/Mortality!$G$2</f>
        <v>0.12</v>
      </c>
      <c r="L25" s="44">
        <f>Disease!L9/Disease!$G$2</f>
        <v>0.32</v>
      </c>
      <c r="M25" s="44">
        <f>Slaughter!L9/Slaughter!$G$2</f>
        <v>0.25</v>
      </c>
      <c r="N25" s="207">
        <f>Space!L9/Space!$G$2</f>
        <v>0.11299396492555498</v>
      </c>
      <c r="O25" s="200">
        <f>'Life duration'!L9</f>
        <v>7.25</v>
      </c>
      <c r="P25" s="234">
        <f>Slaughter!L9/(365*24)</f>
        <v>6.8493150684931507E-4</v>
      </c>
      <c r="Q25" s="101"/>
      <c r="R25" s="51"/>
      <c r="S25" s="51"/>
      <c r="U25" s="111"/>
      <c r="X25" s="41"/>
      <c r="Y25" s="110"/>
      <c r="Z25" s="101"/>
      <c r="AC25" s="111"/>
      <c r="AD25" s="200"/>
      <c r="AE25" s="234"/>
    </row>
    <row r="26" spans="1:31" x14ac:dyDescent="0.3">
      <c r="A26" s="101" t="s">
        <v>63</v>
      </c>
      <c r="B26" s="189">
        <f>'No affected'!L10</f>
        <v>5.0000000000000001E-3</v>
      </c>
      <c r="C26" s="41">
        <f>Ability!B10</f>
        <v>0.87913616180078868</v>
      </c>
      <c r="D26" s="41">
        <f t="shared" si="9"/>
        <v>0.79939130434782613</v>
      </c>
      <c r="E26" s="41">
        <f t="shared" si="10"/>
        <v>0.1878136645962733</v>
      </c>
      <c r="F26" s="110">
        <f t="shared" si="11"/>
        <v>0.15156521739130435</v>
      </c>
      <c r="G26" s="44">
        <f>Mortality!L10</f>
        <v>0.03</v>
      </c>
      <c r="H26" s="44">
        <f>Disease!L10</f>
        <v>0.15</v>
      </c>
      <c r="I26" s="44">
        <f>Slaughter!L10/24</f>
        <v>0.25</v>
      </c>
      <c r="J26" s="207">
        <f>Space!L10/100</f>
        <v>9.4695652173913056E-2</v>
      </c>
      <c r="K26" s="206">
        <f>Mortality!L10/Mortality!$G$2</f>
        <v>0.06</v>
      </c>
      <c r="L26" s="44">
        <f>Disease!L10/Disease!$G$2</f>
        <v>0.3</v>
      </c>
      <c r="M26" s="44">
        <f>Slaughter!L10/Slaughter!$G$2</f>
        <v>0.25</v>
      </c>
      <c r="N26" s="207">
        <f>Space!L10/Space!$G$2</f>
        <v>9.4695652173913056E-2</v>
      </c>
      <c r="O26" s="200">
        <f>'Life duration'!L10</f>
        <v>2</v>
      </c>
      <c r="P26" s="234">
        <f>Slaughter!L10/(365*24)</f>
        <v>6.8493150684931507E-4</v>
      </c>
      <c r="Q26" s="101"/>
      <c r="R26" s="51"/>
      <c r="S26" s="51"/>
      <c r="U26" s="111"/>
      <c r="X26" s="41"/>
      <c r="Y26" s="110"/>
      <c r="Z26" s="101"/>
      <c r="AC26" s="111"/>
      <c r="AD26" s="200"/>
      <c r="AE26" s="234"/>
    </row>
    <row r="27" spans="1:31" x14ac:dyDescent="0.3">
      <c r="A27" s="101" t="s">
        <v>64</v>
      </c>
      <c r="B27" s="189">
        <f>'No affected'!L11</f>
        <v>6.4000000000000001E-2</v>
      </c>
      <c r="C27" s="41">
        <f>Ability!B11</f>
        <v>0.82044791775586834</v>
      </c>
      <c r="D27" s="41">
        <f t="shared" si="9"/>
        <v>0.71514285714285719</v>
      </c>
      <c r="E27" s="41">
        <f t="shared" si="10"/>
        <v>0.16465306122448981</v>
      </c>
      <c r="F27" s="110">
        <f t="shared" si="11"/>
        <v>0.1241904761904762</v>
      </c>
      <c r="G27" s="44">
        <f>Mortality!L11</f>
        <v>0.08</v>
      </c>
      <c r="H27" s="44">
        <f>Disease!L11</f>
        <v>0.06</v>
      </c>
      <c r="I27" s="44">
        <f>Slaughter!L11/24</f>
        <v>0.25</v>
      </c>
      <c r="J27" s="207">
        <f>Space!L11/100</f>
        <v>9.2571428571428582E-2</v>
      </c>
      <c r="K27" s="206">
        <f>Mortality!L11/Mortality!$G$2</f>
        <v>0.16</v>
      </c>
      <c r="L27" s="44">
        <f>Disease!L11/Disease!$G$2</f>
        <v>0.12</v>
      </c>
      <c r="M27" s="44">
        <f>Slaughter!L11/Slaughter!$G$2</f>
        <v>0.25</v>
      </c>
      <c r="N27" s="207">
        <f>Space!L11/Space!$G$2</f>
        <v>9.2571428571428582E-2</v>
      </c>
      <c r="O27" s="200">
        <f>'Life duration'!L11</f>
        <v>0.5</v>
      </c>
      <c r="P27" s="234">
        <f>Slaughter!L11/(365*24)</f>
        <v>6.8493150684931507E-4</v>
      </c>
      <c r="Q27" s="190">
        <f>'No affected'!AA11</f>
        <v>1.1000000000000001E-3</v>
      </c>
      <c r="R27" s="51">
        <f>Ability!D11</f>
        <v>0.88410303277141455</v>
      </c>
      <c r="S27" s="41">
        <f>2*V27+2*W27+X27+2*Y27</f>
        <v>0.81663146080349946</v>
      </c>
      <c r="T27" s="41">
        <f>(2*Z27+2*AA27+AB27+2*AC27)/7</f>
        <v>0.1480902086862142</v>
      </c>
      <c r="U27" s="110">
        <f>(Z27+AA27+AC27)/3</f>
        <v>0.13110524346724992</v>
      </c>
      <c r="V27">
        <f>Mortality!AA11</f>
        <v>0.06</v>
      </c>
      <c r="W27" s="41">
        <f>Disease!AA11</f>
        <v>0.05</v>
      </c>
      <c r="X27" s="41">
        <f>Slaughter!AA11/24</f>
        <v>0.25</v>
      </c>
      <c r="Y27" s="110">
        <f>Space!AA11/100</f>
        <v>0.17331573040174975</v>
      </c>
      <c r="Z27" s="101">
        <f>Mortality!AA11/Mortality!$G$2</f>
        <v>0.12</v>
      </c>
      <c r="AA27">
        <f>Disease!AA11/Disease!$G$2</f>
        <v>0.1</v>
      </c>
      <c r="AB27" s="41">
        <f>Slaughter!AA11/Slaughter!$G$2</f>
        <v>0.25</v>
      </c>
      <c r="AC27" s="218">
        <f>Space!AA11/Space!$G$2</f>
        <v>0.17331573040174975</v>
      </c>
      <c r="AD27" s="200">
        <f>'Life duration'!AA11</f>
        <v>0.5181347150259068</v>
      </c>
      <c r="AE27" s="234">
        <f>Slaughter!AA11/(365*24)</f>
        <v>6.8493150684931507E-4</v>
      </c>
    </row>
    <row r="28" spans="1:31" x14ac:dyDescent="0.3">
      <c r="A28" s="101" t="s">
        <v>65</v>
      </c>
      <c r="B28" s="189">
        <f>'No affected'!L12</f>
        <v>1.7727546809334332E-2</v>
      </c>
      <c r="C28" s="41">
        <f>Ability!B12</f>
        <v>0.87981165625279378</v>
      </c>
      <c r="D28" s="41">
        <f t="shared" si="9"/>
        <v>1.7769215860118408</v>
      </c>
      <c r="E28" s="41">
        <f t="shared" si="10"/>
        <v>0.33306582757227432</v>
      </c>
      <c r="F28" s="110">
        <f t="shared" si="11"/>
        <v>0.37315359766864015</v>
      </c>
      <c r="G28" s="44">
        <f>Mortality!L12</f>
        <v>0.20599999999999999</v>
      </c>
      <c r="H28" s="44">
        <f>Disease!L12</f>
        <v>0.15</v>
      </c>
      <c r="I28" s="44">
        <f>Slaughter!L12/24</f>
        <v>0.25</v>
      </c>
      <c r="J28" s="207">
        <f>Space!L12/100</f>
        <v>0.40746079300592042</v>
      </c>
      <c r="K28" s="206">
        <f>Mortality!L12/Mortality!$G$2</f>
        <v>0.41199999999999998</v>
      </c>
      <c r="L28" s="44">
        <f>Disease!L12/Disease!$G$2</f>
        <v>0.3</v>
      </c>
      <c r="M28" s="44">
        <f>Slaughter!L12/Slaughter!$G$2</f>
        <v>0.25</v>
      </c>
      <c r="N28" s="207">
        <f>Space!L12/Space!$G$2</f>
        <v>0.40746079300592042</v>
      </c>
      <c r="O28" s="200">
        <f>'Life duration'!L12</f>
        <v>0.5</v>
      </c>
      <c r="P28" s="234">
        <f>Slaughter!L12/(365*24)</f>
        <v>6.8493150684931507E-4</v>
      </c>
      <c r="Q28" s="190">
        <f>'No affected'!AA12</f>
        <v>3.6999999999999999E-4</v>
      </c>
      <c r="R28" s="51">
        <f>Ability!D12</f>
        <v>0.94805646338919392</v>
      </c>
      <c r="S28" s="41">
        <f>2*V28+2*W28+X28+2*Y28</f>
        <v>1.2574808337968442</v>
      </c>
      <c r="T28" s="41">
        <f>(2*Z28+2*AA28+AB28+2*AC28)/7</f>
        <v>0.23221154768526348</v>
      </c>
      <c r="U28" s="110">
        <f>(Z28+AA28+AC28)/3</f>
        <v>0.22924680563280739</v>
      </c>
      <c r="V28">
        <f>Mortality!AA12</f>
        <v>3.4000000000000002E-2</v>
      </c>
      <c r="W28" s="41">
        <f>Disease!AA12</f>
        <v>0.15</v>
      </c>
      <c r="X28" s="41">
        <f>Slaughter!AA12/24</f>
        <v>0.25</v>
      </c>
      <c r="Y28" s="110">
        <f>Space!AA12/100</f>
        <v>0.31974041689842214</v>
      </c>
      <c r="Z28" s="101">
        <f>Mortality!AA12/Mortality!$G$2</f>
        <v>6.8000000000000005E-2</v>
      </c>
      <c r="AA28">
        <f>Disease!AA12/Disease!$G$2</f>
        <v>0.3</v>
      </c>
      <c r="AB28" s="41">
        <f>Slaughter!AA12/Slaughter!$G$2</f>
        <v>0.25</v>
      </c>
      <c r="AC28" s="218">
        <f>Space!AA12/Space!$G$2</f>
        <v>0.31974041689842214</v>
      </c>
      <c r="AD28" s="191">
        <f>'Life duration'!AA12</f>
        <v>2.9850746268656716E-2</v>
      </c>
      <c r="AE28" s="234">
        <f>Slaughter!AA12/(365*24)</f>
        <v>6.8493150684931507E-4</v>
      </c>
    </row>
    <row r="29" spans="1:31" x14ac:dyDescent="0.3">
      <c r="A29" s="101" t="s">
        <v>66</v>
      </c>
      <c r="B29" s="189">
        <f>'No affected'!L13</f>
        <v>0.75216903015372494</v>
      </c>
      <c r="C29" s="41">
        <f>Ability!B13</f>
        <v>0.54320827892864587</v>
      </c>
      <c r="D29" s="41">
        <f t="shared" si="9"/>
        <v>1.4639710144927538</v>
      </c>
      <c r="E29" s="41">
        <f t="shared" si="10"/>
        <v>0.18014078674948242</v>
      </c>
      <c r="F29" s="110">
        <f t="shared" si="11"/>
        <v>0.24721739130434783</v>
      </c>
      <c r="G29" s="44">
        <f>Mortality!L13</f>
        <v>3.7999999999999999E-2</v>
      </c>
      <c r="H29" s="44">
        <f>Disease!L13</f>
        <v>5.5E-2</v>
      </c>
      <c r="I29" s="44">
        <f>Slaughter!L13/24</f>
        <v>0.16666666666666666</v>
      </c>
      <c r="J29" s="207">
        <f>Space!L13/100</f>
        <v>0.55565217391304356</v>
      </c>
      <c r="K29" s="206">
        <f>Mortality!L13/Mortality!$G$2</f>
        <v>7.5999999999999998E-2</v>
      </c>
      <c r="L29" s="44">
        <f>Disease!L13/Disease!$G$2</f>
        <v>0.11</v>
      </c>
      <c r="M29" s="44">
        <f>Slaughter!L13/Slaughter!$G$2</f>
        <v>0.16666666666666666</v>
      </c>
      <c r="N29" s="207">
        <f>Space!L13/Space!$G$2</f>
        <v>0.55565217391304356</v>
      </c>
      <c r="O29" s="200">
        <f>'Life duration'!L13</f>
        <v>9.6153846153846159E-2</v>
      </c>
      <c r="P29" s="234">
        <f>Slaughter!L13/(365*24)</f>
        <v>4.5662100456621003E-4</v>
      </c>
      <c r="Q29" s="190">
        <f>'No affected'!AA13</f>
        <v>5.4505002185052534E-3</v>
      </c>
      <c r="R29" s="51">
        <f>Ability!D13</f>
        <v>0.54320827892864587</v>
      </c>
      <c r="S29" s="41">
        <f>2*V29+2*W29+X29+2*Y29</f>
        <v>1.9820512820512821</v>
      </c>
      <c r="T29" s="41">
        <f>(2*Z29+2*AA29+AB29+2*AC29)/7</f>
        <v>0.43172161172161172</v>
      </c>
      <c r="U29" s="110">
        <f>(Z29+AA29+AC29)/3</f>
        <v>0.47589743589743588</v>
      </c>
      <c r="V29">
        <f>Mortality!AA13</f>
        <v>0.06</v>
      </c>
      <c r="W29" s="41">
        <f>Disease!AA13</f>
        <v>0.46</v>
      </c>
      <c r="X29" s="41">
        <f>Slaughter!AA13/24</f>
        <v>0.16666666666666666</v>
      </c>
      <c r="Y29" s="110">
        <f>Space!AA13/100</f>
        <v>0.38769230769230767</v>
      </c>
      <c r="Z29" s="101">
        <f>Mortality!AA13/Mortality!$G$2</f>
        <v>0.12</v>
      </c>
      <c r="AA29">
        <f>Disease!AA13/Disease!$G$2</f>
        <v>0.92</v>
      </c>
      <c r="AB29" s="41">
        <f>Slaughter!AA13/Slaughter!$G$2</f>
        <v>0.16666666666666666</v>
      </c>
      <c r="AC29" s="218">
        <f>Space!AA13/Space!$G$2</f>
        <v>0.38769230769230767</v>
      </c>
      <c r="AD29" s="191">
        <f>'Life duration'!AA13</f>
        <v>6.6666666666666671E-3</v>
      </c>
      <c r="AE29" s="234">
        <f>Slaughter!AA13/(365*24)</f>
        <v>4.5662100456621003E-4</v>
      </c>
    </row>
    <row r="30" spans="1:31" x14ac:dyDescent="0.3">
      <c r="A30" s="101" t="s">
        <v>67</v>
      </c>
      <c r="B30" s="189">
        <f>'No affected'!L14</f>
        <v>0.67</v>
      </c>
      <c r="C30" s="41">
        <f>Ability!B14</f>
        <v>0.67196797361598137</v>
      </c>
      <c r="D30" s="41">
        <f>2*G30+2*H30+I30+2*J30</f>
        <v>0.92433333333333334</v>
      </c>
      <c r="E30" s="41">
        <f t="shared" si="10"/>
        <v>0.23102380952380952</v>
      </c>
      <c r="F30" s="110">
        <f t="shared" si="11"/>
        <v>0.19905555555555554</v>
      </c>
      <c r="G30" s="44">
        <f>Mortality!L14</f>
        <v>0.15</v>
      </c>
      <c r="H30" s="44">
        <f>Disease!L14</f>
        <v>0.11</v>
      </c>
      <c r="I30" s="44">
        <f>Slaughter!L14/24</f>
        <v>0.25</v>
      </c>
      <c r="J30" s="207">
        <f>Space!L14/100</f>
        <v>7.7166666666666661E-2</v>
      </c>
      <c r="K30" s="206">
        <f>Mortality!L14/Mortality!$G$2</f>
        <v>0.3</v>
      </c>
      <c r="L30" s="44">
        <f>Disease!L14/Disease!$G$2</f>
        <v>0.22</v>
      </c>
      <c r="M30" s="44">
        <f>Slaughter!L14/Slaughter!$G$2</f>
        <v>0.25</v>
      </c>
      <c r="N30" s="207">
        <f>Space!L14/Space!$G$2</f>
        <v>7.7166666666666661E-2</v>
      </c>
      <c r="O30" s="200">
        <f>'Life duration'!L14</f>
        <v>0.16666666666666666</v>
      </c>
      <c r="P30" s="234">
        <f>Slaughter!L14/(365*24)</f>
        <v>6.8493150684931507E-4</v>
      </c>
      <c r="Q30" s="101"/>
      <c r="R30" s="51"/>
      <c r="S30" s="51"/>
      <c r="U30" s="111"/>
      <c r="X30" s="41"/>
      <c r="Y30" s="110"/>
      <c r="Z30" s="101"/>
      <c r="AC30" s="111"/>
      <c r="AD30" s="191"/>
      <c r="AE30" s="234"/>
    </row>
    <row r="31" spans="1:31" x14ac:dyDescent="0.3">
      <c r="A31" s="104" t="s">
        <v>68</v>
      </c>
      <c r="B31" s="232">
        <f>'No affected'!L15</f>
        <v>6.4000000000000001E-2</v>
      </c>
      <c r="C31" s="193">
        <f>Ability!B15</f>
        <v>0.58534077701729459</v>
      </c>
      <c r="D31" s="193">
        <f t="shared" si="9"/>
        <v>2.0560800000000001</v>
      </c>
      <c r="E31" s="193">
        <f t="shared" si="10"/>
        <v>0.41471999999999998</v>
      </c>
      <c r="F31" s="254">
        <f t="shared" si="11"/>
        <v>0.46768000000000004</v>
      </c>
      <c r="G31" s="255">
        <f>Mortality!L15</f>
        <v>0.04</v>
      </c>
      <c r="H31" s="255">
        <f>Disease!L15</f>
        <v>0.46</v>
      </c>
      <c r="I31" s="255">
        <f>Slaughter!L15/24</f>
        <v>0.25</v>
      </c>
      <c r="J31" s="256">
        <f>Space!L15/100</f>
        <v>0.40304000000000001</v>
      </c>
      <c r="K31" s="257">
        <f>Mortality!L15/Mortality!$G$2</f>
        <v>0.08</v>
      </c>
      <c r="L31" s="255">
        <f>Disease!L15/Disease!$G$2</f>
        <v>0.92</v>
      </c>
      <c r="M31" s="255">
        <f>Slaughter!L15/Slaughter!$G$2</f>
        <v>0.25</v>
      </c>
      <c r="N31" s="256">
        <f>Space!L15/Space!$G$2</f>
        <v>0.40304000000000001</v>
      </c>
      <c r="O31" s="244">
        <f>'Life duration'!L15</f>
        <v>1.2</v>
      </c>
      <c r="P31" s="235">
        <f>Slaughter!L15/(365*24)</f>
        <v>6.8493150684931507E-4</v>
      </c>
      <c r="Q31" s="263">
        <f>'No affected'!AA15</f>
        <v>6.4000000000000001E-2</v>
      </c>
      <c r="R31" s="261">
        <f>Ability!D15</f>
        <v>0.2556274253781865</v>
      </c>
      <c r="S31" s="193">
        <f>2*V31+2*W31+X31+2*Y31</f>
        <v>6.9444444444444441E-3</v>
      </c>
      <c r="T31" s="193">
        <f>(2*Z31+2*AA31+AB31+2*AC31)/7</f>
        <v>9.9206349206349201E-4</v>
      </c>
      <c r="U31" s="254">
        <f>(Z31+AA31+AC31)/3</f>
        <v>0</v>
      </c>
      <c r="V31" s="194">
        <f>Mortality!AA15</f>
        <v>0</v>
      </c>
      <c r="W31" s="194">
        <f>Disease!AA15</f>
        <v>0</v>
      </c>
      <c r="X31" s="193">
        <f>Slaughter!AA15/24</f>
        <v>6.9444444444444441E-3</v>
      </c>
      <c r="Y31" s="195">
        <f>Space!AA15/100</f>
        <v>0</v>
      </c>
      <c r="Z31" s="104">
        <f>Mortality!AA15/Mortality!$G$2</f>
        <v>0</v>
      </c>
      <c r="AA31" s="133">
        <f>Disease!AA15/Disease!$G$2</f>
        <v>0</v>
      </c>
      <c r="AB31" s="193">
        <f>Slaughter!AA15/Slaughter!$G$2</f>
        <v>6.9444444444444441E-3</v>
      </c>
      <c r="AC31" s="195">
        <f>Space!AA15/Space!$G$2</f>
        <v>0</v>
      </c>
      <c r="AD31" s="244">
        <f>'Life duration'!AA15</f>
        <v>3.1709791983764589E-7</v>
      </c>
      <c r="AE31" s="235">
        <f>Slaughter!AA15/(365*24)</f>
        <v>1.902587519025875E-5</v>
      </c>
    </row>
  </sheetData>
  <mergeCells count="4">
    <mergeCell ref="B5:D5"/>
    <mergeCell ref="E5:G5"/>
    <mergeCell ref="H5:J5"/>
    <mergeCell ref="K5:M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CA50-D14C-4CE7-A21F-C6E4A36C4E80}">
  <sheetPr>
    <tabColor theme="5" tint="0.79998168889431442"/>
  </sheetPr>
  <dimension ref="A2:AE31"/>
  <sheetViews>
    <sheetView zoomScale="89" workbookViewId="0">
      <selection activeCell="G15" sqref="G15"/>
    </sheetView>
  </sheetViews>
  <sheetFormatPr defaultRowHeight="14.4" x14ac:dyDescent="0.3"/>
  <cols>
    <col min="1" max="1" width="23.33203125" customWidth="1"/>
    <col min="2" max="31" width="9.6640625" customWidth="1"/>
  </cols>
  <sheetData>
    <row r="2" spans="1:13" ht="21" x14ac:dyDescent="0.4">
      <c r="A2" s="30" t="s">
        <v>80</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f>C7+D7</f>
        <v>0.28613939658379933</v>
      </c>
      <c r="C7" s="41">
        <f>B22*C22*D22*100</f>
        <v>0.24348682971792754</v>
      </c>
      <c r="D7" s="41">
        <f>Q22*R22*S22*100</f>
        <v>4.2652566865871801E-2</v>
      </c>
      <c r="E7" s="41">
        <f>F7+G7</f>
        <v>5.9755467165852366E-2</v>
      </c>
      <c r="F7" s="19">
        <f>B22*C22*E22*100</f>
        <v>5.2247678475436418E-2</v>
      </c>
      <c r="G7" s="19">
        <f>Q22*R22*T22*100</f>
        <v>7.5077886904159471E-3</v>
      </c>
      <c r="H7" s="226">
        <f>I7+J7</f>
        <v>8.1161054556092135E-4</v>
      </c>
      <c r="I7" s="226">
        <f>B22*((O22-P22)*F22+P22)</f>
        <v>7.3700654077401423E-4</v>
      </c>
      <c r="J7" s="226">
        <f>Q22*((AD22-AE22)*U22+AE22)</f>
        <v>7.4604004786907137E-5</v>
      </c>
      <c r="K7" s="226">
        <f>L7+M7</f>
        <v>7.1754734475967287E-4</v>
      </c>
      <c r="L7" s="226">
        <f>C22*B22*((O22-P22)*F22+P22)</f>
        <v>6.5158971787067517E-4</v>
      </c>
      <c r="M7" s="234">
        <f>R22*Q22*((AD22-AE22)*U22+AE22)</f>
        <v>6.5957626888997722E-5</v>
      </c>
    </row>
    <row r="8" spans="1:13" x14ac:dyDescent="0.3">
      <c r="A8" s="101" t="s">
        <v>36</v>
      </c>
      <c r="B8" s="191">
        <f t="shared" ref="B8:B12" si="0">C8+D8</f>
        <v>0.70083406996449682</v>
      </c>
      <c r="C8" s="41">
        <f>B23*C23*D23*100</f>
        <v>0.70083406996449682</v>
      </c>
      <c r="D8" s="41"/>
      <c r="E8" s="41">
        <f>F8+G8</f>
        <v>0.15633688348676886</v>
      </c>
      <c r="F8" s="19">
        <f>B23*C23*E23*100</f>
        <v>0.15633688348676886</v>
      </c>
      <c r="G8" s="19"/>
      <c r="H8" s="226">
        <f t="shared" ref="H8:H12" si="1">I8+J8</f>
        <v>1.0617447322540474E-3</v>
      </c>
      <c r="I8" s="226">
        <f>B23*((O23-P23)*F23+P23)</f>
        <v>1.0617447322540474E-3</v>
      </c>
      <c r="J8" s="226"/>
      <c r="K8" s="226">
        <f t="shared" ref="K8:K12" si="2">L8+M8</f>
        <v>8.7110625476609512E-4</v>
      </c>
      <c r="L8" s="226">
        <f>C23*B23*((O23-P23)*F23+P23)</f>
        <v>8.7110625476609512E-4</v>
      </c>
      <c r="M8" s="111"/>
    </row>
    <row r="9" spans="1:13" x14ac:dyDescent="0.3">
      <c r="A9" s="101" t="s">
        <v>37</v>
      </c>
      <c r="B9" s="191">
        <f t="shared" si="0"/>
        <v>0.37701372824992452</v>
      </c>
      <c r="C9" s="41">
        <f>B24*C24*D24*100</f>
        <v>0.37701372824992452</v>
      </c>
      <c r="D9" s="41"/>
      <c r="E9" s="41">
        <f>F9+G9</f>
        <v>8.2975369273896774E-2</v>
      </c>
      <c r="F9" s="19">
        <f>B24*C24*E24*100</f>
        <v>8.2975369273896774E-2</v>
      </c>
      <c r="G9" s="19"/>
      <c r="H9" s="226">
        <f t="shared" si="1"/>
        <v>1.9071019891031258E-3</v>
      </c>
      <c r="I9" s="226">
        <f>B24*((O24-P24)*F24+P24)</f>
        <v>1.9071019891031258E-3</v>
      </c>
      <c r="J9" s="226"/>
      <c r="K9" s="226">
        <f t="shared" si="2"/>
        <v>1.6860746523704707E-3</v>
      </c>
      <c r="L9" s="226">
        <f>C24*B24*((O24-P24)*F24+P24)</f>
        <v>1.6860746523704707E-3</v>
      </c>
      <c r="M9" s="111"/>
    </row>
    <row r="10" spans="1:13" x14ac:dyDescent="0.3">
      <c r="A10" s="101" t="s">
        <v>38</v>
      </c>
      <c r="B10" s="191"/>
      <c r="C10" s="102"/>
      <c r="D10" s="41"/>
      <c r="E10" s="41"/>
      <c r="F10" s="19"/>
      <c r="G10" s="19"/>
      <c r="H10" s="226"/>
      <c r="I10" s="226"/>
      <c r="J10" s="226"/>
      <c r="K10" s="226"/>
      <c r="L10" s="226"/>
      <c r="M10" s="111"/>
    </row>
    <row r="11" spans="1:13" x14ac:dyDescent="0.3">
      <c r="A11" s="101" t="s">
        <v>39</v>
      </c>
      <c r="B11" s="191"/>
      <c r="C11" s="41"/>
      <c r="D11" s="41"/>
      <c r="E11" s="41"/>
      <c r="F11" s="19"/>
      <c r="G11" s="19"/>
      <c r="H11" s="226"/>
      <c r="I11" s="226"/>
      <c r="J11" s="226"/>
      <c r="K11" s="226"/>
      <c r="L11" s="226"/>
      <c r="M11" s="111"/>
    </row>
    <row r="12" spans="1:13" x14ac:dyDescent="0.3">
      <c r="A12" s="101" t="s">
        <v>40</v>
      </c>
      <c r="B12" s="191">
        <f t="shared" si="0"/>
        <v>3.5854012986625179</v>
      </c>
      <c r="C12" s="85">
        <f>B27*C27*D27*100</f>
        <v>3.5159005325640669</v>
      </c>
      <c r="D12" s="41">
        <f>Q27*R27*S27*100</f>
        <v>6.9500766098450989E-2</v>
      </c>
      <c r="E12" s="41">
        <f>F12+G12</f>
        <v>0.96736197604410901</v>
      </c>
      <c r="F12" s="41">
        <f>B27*C27*E27*100</f>
        <v>0.95437682468817764</v>
      </c>
      <c r="G12" s="19">
        <f>Q27*R27*T27*100</f>
        <v>1.2985151355931319E-2</v>
      </c>
      <c r="H12" s="226">
        <f t="shared" si="1"/>
        <v>3.3357992018158786E-3</v>
      </c>
      <c r="I12" s="226">
        <f>B27*((O27-P27)*F27+P27)</f>
        <v>3.2788498988104786E-3</v>
      </c>
      <c r="J12" s="226">
        <f t="shared" ref="J12" si="3">Q27*((AD27-AE27)*U27+AE27)</f>
        <v>5.6949303005400094E-5</v>
      </c>
      <c r="K12" s="226">
        <f t="shared" si="2"/>
        <v>2.740474623614389E-3</v>
      </c>
      <c r="L12" s="226">
        <f>C27*B27*((O27-P27)*F27+P27)</f>
        <v>2.6901255721130967E-3</v>
      </c>
      <c r="M12" s="234">
        <f>R27*Q27*((AD27-AE27)*U27+AE27)</f>
        <v>5.0349051501292457E-5</v>
      </c>
    </row>
    <row r="13" spans="1:13" x14ac:dyDescent="0.3">
      <c r="A13" s="101" t="s">
        <v>41</v>
      </c>
      <c r="B13" s="191"/>
      <c r="C13" s="85"/>
      <c r="D13" s="41"/>
      <c r="E13" s="41"/>
      <c r="F13" s="41"/>
      <c r="G13" s="19"/>
      <c r="H13" s="226"/>
      <c r="I13" s="226"/>
      <c r="J13" s="226"/>
      <c r="K13" s="226"/>
      <c r="L13" s="226"/>
      <c r="M13" s="234"/>
    </row>
    <row r="14" spans="1:13" x14ac:dyDescent="0.3">
      <c r="A14" s="101" t="s">
        <v>42</v>
      </c>
      <c r="B14" s="191"/>
      <c r="C14" s="85"/>
      <c r="D14" s="41"/>
      <c r="E14" s="41"/>
      <c r="F14" s="85"/>
      <c r="G14" s="41"/>
      <c r="H14" s="226"/>
      <c r="I14" s="226"/>
      <c r="J14" s="226"/>
      <c r="K14" s="226"/>
      <c r="L14" s="226"/>
      <c r="M14" s="234"/>
    </row>
    <row r="15" spans="1:13" x14ac:dyDescent="0.3">
      <c r="A15" s="101" t="s">
        <v>43</v>
      </c>
      <c r="B15" s="191"/>
      <c r="C15" s="85"/>
      <c r="D15" s="41"/>
      <c r="E15" s="41"/>
      <c r="F15" s="85"/>
      <c r="H15" s="226"/>
      <c r="I15" s="226"/>
      <c r="J15" s="226"/>
      <c r="K15" s="226"/>
      <c r="L15" s="226"/>
      <c r="M15" s="111"/>
    </row>
    <row r="16" spans="1:13" x14ac:dyDescent="0.3">
      <c r="A16" s="104" t="s">
        <v>44</v>
      </c>
      <c r="B16" s="233"/>
      <c r="C16" s="253"/>
      <c r="D16" s="193"/>
      <c r="E16" s="193"/>
      <c r="F16" s="193"/>
      <c r="G16" s="113"/>
      <c r="H16" s="227"/>
      <c r="I16" s="227"/>
      <c r="J16" s="227"/>
      <c r="K16" s="227"/>
      <c r="L16" s="227"/>
      <c r="M16" s="235"/>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f>'No affected'!M6</f>
        <v>3.5000000000000001E-3</v>
      </c>
      <c r="C22" s="41">
        <f>Ability!B6</f>
        <v>0.88410303277141455</v>
      </c>
      <c r="D22" s="41">
        <f>2*G22+2*H22+I22+2*J22</f>
        <v>0.78687283105022832</v>
      </c>
      <c r="E22" s="41">
        <f>(2*K22+2*L22+N22+2*M22)/7</f>
        <v>0.16884805936073061</v>
      </c>
      <c r="F22" s="110">
        <f>(K22+L22+N22)/3</f>
        <v>0.10486769406392694</v>
      </c>
      <c r="G22" s="44">
        <f>Mortality!M6</f>
        <v>4.2000000000000003E-2</v>
      </c>
      <c r="H22" s="44">
        <f>Disease!M6</f>
        <v>0.05</v>
      </c>
      <c r="I22" s="44">
        <f>Slaughter!M6/24</f>
        <v>0.34166666666666662</v>
      </c>
      <c r="J22" s="207">
        <f>Space!M6/100</f>
        <v>0.13060308219178085</v>
      </c>
      <c r="K22" s="206">
        <f>Mortality!M6/Mortality!$G$2</f>
        <v>8.4000000000000005E-2</v>
      </c>
      <c r="L22" s="44">
        <f>Disease!M6/Disease!$G$2</f>
        <v>0.1</v>
      </c>
      <c r="M22" s="44">
        <f>Slaughter!M6/Slaughter!$G$2</f>
        <v>0.34166666666666662</v>
      </c>
      <c r="N22" s="207">
        <f>Space!M6/Space!$G$2</f>
        <v>0.13060308219178085</v>
      </c>
      <c r="O22" s="200">
        <f>'Life duration'!M6</f>
        <v>2</v>
      </c>
      <c r="P22" s="234">
        <f>Slaughter!M6/(365*24)</f>
        <v>9.3607305936073046E-4</v>
      </c>
      <c r="Q22" s="247">
        <f>'No affected'!AB6</f>
        <v>8.0000000000000004E-4</v>
      </c>
      <c r="R22" s="51">
        <f>Ability!D6</f>
        <v>0.88410303277141455</v>
      </c>
      <c r="S22" s="41">
        <f>2*V22+2*W22+X22+2*Y22</f>
        <v>0.60304858829869623</v>
      </c>
      <c r="T22" s="41">
        <f>(2*Z22+2*AA22+AB22+2*AC22)/7</f>
        <v>0.10614979832838516</v>
      </c>
      <c r="U22" s="110">
        <f>(Z22+AA22+AC22)/3</f>
        <v>6.6896986938671604E-2</v>
      </c>
      <c r="V22">
        <f>Mortality!AB6</f>
        <v>0.03</v>
      </c>
      <c r="W22" s="41">
        <f>Disease!AB6</f>
        <v>0.04</v>
      </c>
      <c r="X22" s="41">
        <f>Slaughter!AB6/24</f>
        <v>0.34166666666666662</v>
      </c>
      <c r="Y22" s="110">
        <f>Space!AB6/100</f>
        <v>6.0690960816014793E-2</v>
      </c>
      <c r="Z22" s="101">
        <f>Mortality!AB6/Mortality!$G$2</f>
        <v>0.06</v>
      </c>
      <c r="AA22">
        <f>Disease!AB6/Disease!$G$2</f>
        <v>0.08</v>
      </c>
      <c r="AB22" s="41">
        <f>Slaughter!AB6/Slaughter!$G$2</f>
        <v>0.34166666666666662</v>
      </c>
      <c r="AC22" s="218">
        <f>Space!AB6/Space!$G$2</f>
        <v>6.0690960816014793E-2</v>
      </c>
      <c r="AD22" s="200">
        <f>'Life duration'!AB6</f>
        <v>1.3809523809523809</v>
      </c>
      <c r="AE22" s="234">
        <f>Slaughter!AB6/(365*24)</f>
        <v>9.3607305936073046E-4</v>
      </c>
    </row>
    <row r="23" spans="1:31" x14ac:dyDescent="0.3">
      <c r="A23" s="101" t="s">
        <v>60</v>
      </c>
      <c r="B23" s="189">
        <f>'No affected'!M7</f>
        <v>8.9999999999999993E-3</v>
      </c>
      <c r="C23" s="41">
        <f>Ability!B7</f>
        <v>0.82044791775586834</v>
      </c>
      <c r="D23" s="41">
        <f t="shared" ref="D23:D27" si="4">2*G23+2*H23+I23+2*J23</f>
        <v>0.94912121212121203</v>
      </c>
      <c r="E23" s="41">
        <f t="shared" ref="E23:E27" si="5">(2*K23+2*L23+N23+2*M23)/7</f>
        <v>0.2117229437229437</v>
      </c>
      <c r="F23" s="110">
        <f t="shared" ref="F23:F27" si="6">(K23+L23+N23)/3</f>
        <v>0.15624242424242427</v>
      </c>
      <c r="G23" s="44">
        <f>Mortality!M7</f>
        <v>6.5000000000000002E-2</v>
      </c>
      <c r="H23" s="44">
        <f>Disease!M7</f>
        <v>0.1</v>
      </c>
      <c r="I23" s="44">
        <f>Slaughter!M7/24</f>
        <v>0.34166666666666662</v>
      </c>
      <c r="J23" s="207">
        <f>Space!M7/100</f>
        <v>0.13872727272727273</v>
      </c>
      <c r="K23" s="206">
        <f>Mortality!M7/Mortality!$G$2</f>
        <v>0.13</v>
      </c>
      <c r="L23" s="44">
        <f>Disease!M7/Disease!$G$2</f>
        <v>0.2</v>
      </c>
      <c r="M23" s="44">
        <f>Slaughter!M7/Slaughter!$G$2</f>
        <v>0.34166666666666662</v>
      </c>
      <c r="N23" s="207">
        <f>Space!M7/Space!$G$2</f>
        <v>0.13872727272727273</v>
      </c>
      <c r="O23" s="200">
        <f>'Life duration'!M7</f>
        <v>0.75</v>
      </c>
      <c r="P23" s="234">
        <f>Slaughter!M7/(365*24)</f>
        <v>9.3607305936073046E-4</v>
      </c>
      <c r="Q23" s="101"/>
      <c r="R23" s="51"/>
      <c r="S23" s="51"/>
      <c r="U23" s="111"/>
      <c r="X23" s="41"/>
      <c r="Y23" s="110"/>
      <c r="Z23" s="101"/>
      <c r="AC23" s="111"/>
      <c r="AD23" s="200"/>
      <c r="AE23" s="234"/>
    </row>
    <row r="24" spans="1:31" x14ac:dyDescent="0.3">
      <c r="A24" s="101" t="s">
        <v>61</v>
      </c>
      <c r="B24" s="189">
        <f>'No affected'!M8</f>
        <v>5.0000000000000001E-3</v>
      </c>
      <c r="C24" s="41">
        <f>Ability!B8</f>
        <v>0.88410303277141455</v>
      </c>
      <c r="D24" s="41">
        <f t="shared" si="4"/>
        <v>0.85287283105022826</v>
      </c>
      <c r="E24" s="41">
        <f t="shared" si="5"/>
        <v>0.18770520221787343</v>
      </c>
      <c r="F24" s="110">
        <f t="shared" si="6"/>
        <v>0.12686769406392695</v>
      </c>
      <c r="G24" s="44">
        <f>Mortality!M8</f>
        <v>7.4999999999999997E-2</v>
      </c>
      <c r="H24" s="44">
        <f>Disease!M8</f>
        <v>0.05</v>
      </c>
      <c r="I24" s="44">
        <f>Slaughter!M8/24</f>
        <v>0.34166666666666662</v>
      </c>
      <c r="J24" s="207">
        <f>Space!M8/100</f>
        <v>0.13060308219178085</v>
      </c>
      <c r="K24" s="206">
        <f>Mortality!M8/Mortality!$G$2</f>
        <v>0.15</v>
      </c>
      <c r="L24" s="44">
        <f>Disease!M8/Disease!$G$2</f>
        <v>0.1</v>
      </c>
      <c r="M24" s="44">
        <f>Slaughter!M8/Slaughter!$G$2</f>
        <v>0.34166666666666662</v>
      </c>
      <c r="N24" s="207">
        <f>Space!M8/Space!$G$2</f>
        <v>0.13060308219178085</v>
      </c>
      <c r="O24" s="200">
        <f>'Life duration'!M8</f>
        <v>3</v>
      </c>
      <c r="P24" s="234">
        <f>Slaughter!M8/(365*24)</f>
        <v>9.3607305936073046E-4</v>
      </c>
      <c r="Q24" s="101"/>
      <c r="R24" s="51"/>
      <c r="S24" s="51"/>
      <c r="U24" s="111"/>
      <c r="X24" s="41"/>
      <c r="Y24" s="110"/>
      <c r="Z24" s="101"/>
      <c r="AC24" s="111"/>
      <c r="AD24" s="200"/>
      <c r="AE24" s="234"/>
    </row>
    <row r="25" spans="1:31" x14ac:dyDescent="0.3">
      <c r="A25" s="101" t="s">
        <v>62</v>
      </c>
      <c r="B25" s="189"/>
      <c r="C25" s="41"/>
      <c r="D25" s="41"/>
      <c r="E25" s="41"/>
      <c r="F25" s="110"/>
      <c r="G25" s="44"/>
      <c r="H25" s="44"/>
      <c r="I25" s="44"/>
      <c r="J25" s="207"/>
      <c r="K25" s="206"/>
      <c r="L25" s="44"/>
      <c r="M25" s="44"/>
      <c r="N25" s="207"/>
      <c r="O25" s="200"/>
      <c r="P25" s="234"/>
      <c r="Q25" s="101"/>
      <c r="R25" s="51"/>
      <c r="S25" s="51"/>
      <c r="U25" s="111"/>
      <c r="X25" s="41"/>
      <c r="Y25" s="110"/>
      <c r="Z25" s="101"/>
      <c r="AC25" s="111"/>
      <c r="AD25" s="200"/>
      <c r="AE25" s="234"/>
    </row>
    <row r="26" spans="1:31" x14ac:dyDescent="0.3">
      <c r="A26" s="101" t="s">
        <v>63</v>
      </c>
      <c r="B26" s="189"/>
      <c r="C26" s="41"/>
      <c r="D26" s="41"/>
      <c r="E26" s="41"/>
      <c r="F26" s="110"/>
      <c r="G26" s="44"/>
      <c r="H26" s="44"/>
      <c r="I26" s="44"/>
      <c r="J26" s="207"/>
      <c r="K26" s="206"/>
      <c r="L26" s="44"/>
      <c r="M26" s="44"/>
      <c r="N26" s="207"/>
      <c r="O26" s="200"/>
      <c r="P26" s="234"/>
      <c r="Q26" s="101"/>
      <c r="R26" s="51"/>
      <c r="S26" s="51"/>
      <c r="U26" s="111"/>
      <c r="X26" s="41"/>
      <c r="Y26" s="110"/>
      <c r="Z26" s="101"/>
      <c r="AC26" s="111"/>
      <c r="AD26" s="200"/>
      <c r="AE26" s="234"/>
    </row>
    <row r="27" spans="1:31" x14ac:dyDescent="0.3">
      <c r="A27" s="101" t="s">
        <v>64</v>
      </c>
      <c r="B27" s="189">
        <f>'No affected'!M11</f>
        <v>6.4000000000000001E-2</v>
      </c>
      <c r="C27" s="41">
        <f>Ability!B11</f>
        <v>0.82044791775586834</v>
      </c>
      <c r="D27" s="41">
        <f t="shared" si="4"/>
        <v>0.66958480401263243</v>
      </c>
      <c r="E27" s="41">
        <f t="shared" si="5"/>
        <v>0.18175605742947373</v>
      </c>
      <c r="F27" s="110">
        <f t="shared" si="6"/>
        <v>0.10076413400210542</v>
      </c>
      <c r="G27" s="44">
        <f>Mortality!M11</f>
        <v>0.08</v>
      </c>
      <c r="H27" s="44">
        <f>Disease!M11</f>
        <v>0.06</v>
      </c>
      <c r="I27" s="44">
        <f>Slaughter!M11/24</f>
        <v>0.34499999999999997</v>
      </c>
      <c r="J27" s="207">
        <f>Space!M11/100</f>
        <v>2.22924020063162E-2</v>
      </c>
      <c r="K27" s="206">
        <f>Mortality!M11/Mortality!$G$2</f>
        <v>0.16</v>
      </c>
      <c r="L27" s="44">
        <f>Disease!M11/Disease!$G$2</f>
        <v>0.12</v>
      </c>
      <c r="M27" s="44">
        <f>Slaughter!M11/Slaughter!$G$2</f>
        <v>0.34499999999999997</v>
      </c>
      <c r="N27" s="207">
        <f>Space!M11/Space!$G$2</f>
        <v>2.22924020063162E-2</v>
      </c>
      <c r="O27" s="200">
        <f>'Life duration'!M11</f>
        <v>0.5</v>
      </c>
      <c r="P27" s="234">
        <f>Slaughter!M11/(365*24)</f>
        <v>9.4520547945205473E-4</v>
      </c>
      <c r="Q27" s="190">
        <f>'No affected'!AB11</f>
        <v>1.1000000000000001E-3</v>
      </c>
      <c r="R27" s="51">
        <f>Ability!D11</f>
        <v>0.88410303277141455</v>
      </c>
      <c r="S27" s="41">
        <f>2*V27+2*W27+X27+2*Y27</f>
        <v>0.71465103379292816</v>
      </c>
      <c r="T27" s="41">
        <f>(2*Z27+2*AA27+AB27+2*AC27)/7</f>
        <v>0.13352157625613259</v>
      </c>
      <c r="U27" s="110">
        <f>(Z27+AA27+AC27)/3</f>
        <v>9.8275172298821378E-2</v>
      </c>
      <c r="V27">
        <f>Mortality!AB11</f>
        <v>0.06</v>
      </c>
      <c r="W27" s="41">
        <f>Disease!AB11</f>
        <v>0.05</v>
      </c>
      <c r="X27" s="41">
        <f>Slaughter!AB11/24</f>
        <v>0.34499999999999997</v>
      </c>
      <c r="Y27" s="110">
        <f>Space!AB11/100</f>
        <v>7.4825516896464134E-2</v>
      </c>
      <c r="Z27" s="101">
        <f>Mortality!AB11/Mortality!$G$2</f>
        <v>0.12</v>
      </c>
      <c r="AA27">
        <f>Disease!AB11/Disease!$G$2</f>
        <v>0.1</v>
      </c>
      <c r="AB27" s="41">
        <f>Slaughter!AB11/Slaughter!$G$2</f>
        <v>0.34499999999999997</v>
      </c>
      <c r="AC27" s="218">
        <f>Space!AB11/Space!$G$2</f>
        <v>7.4825516896464134E-2</v>
      </c>
      <c r="AD27" s="200">
        <f>'Life duration'!AB11</f>
        <v>0.5181347150259068</v>
      </c>
      <c r="AE27" s="234">
        <f>Slaughter!AB11/(365*24)</f>
        <v>9.4520547945205473E-4</v>
      </c>
    </row>
    <row r="28" spans="1:31" x14ac:dyDescent="0.3">
      <c r="A28" s="101" t="s">
        <v>65</v>
      </c>
      <c r="B28" s="189"/>
      <c r="C28" s="41"/>
      <c r="D28" s="41"/>
      <c r="E28" s="41"/>
      <c r="F28" s="110"/>
      <c r="G28" s="44"/>
      <c r="H28" s="44"/>
      <c r="I28" s="44"/>
      <c r="J28" s="207"/>
      <c r="K28" s="206"/>
      <c r="L28" s="44"/>
      <c r="M28" s="44"/>
      <c r="N28" s="207"/>
      <c r="O28" s="200"/>
      <c r="P28" s="234"/>
      <c r="Q28" s="190"/>
      <c r="R28" s="51"/>
      <c r="S28" s="41"/>
      <c r="T28" s="41"/>
      <c r="U28" s="110"/>
      <c r="W28" s="41"/>
      <c r="X28" s="41"/>
      <c r="Y28" s="110"/>
      <c r="Z28" s="101"/>
      <c r="AB28" s="41"/>
      <c r="AC28" s="218"/>
      <c r="AD28" s="191"/>
      <c r="AE28" s="234"/>
    </row>
    <row r="29" spans="1:31" x14ac:dyDescent="0.3">
      <c r="A29" s="101" t="s">
        <v>66</v>
      </c>
      <c r="B29" s="189"/>
      <c r="C29" s="41"/>
      <c r="D29" s="41"/>
      <c r="E29" s="41"/>
      <c r="F29" s="110"/>
      <c r="G29" s="44"/>
      <c r="H29" s="44"/>
      <c r="I29" s="44"/>
      <c r="J29" s="207"/>
      <c r="K29" s="206"/>
      <c r="L29" s="44"/>
      <c r="M29" s="44"/>
      <c r="N29" s="207"/>
      <c r="O29" s="200"/>
      <c r="P29" s="234"/>
      <c r="Q29" s="190"/>
      <c r="R29" s="51"/>
      <c r="S29" s="41"/>
      <c r="T29" s="41"/>
      <c r="U29" s="110"/>
      <c r="W29" s="41"/>
      <c r="X29" s="41"/>
      <c r="Y29" s="110"/>
      <c r="Z29" s="101"/>
      <c r="AB29" s="41"/>
      <c r="AC29" s="218"/>
      <c r="AD29" s="191"/>
      <c r="AE29" s="234"/>
    </row>
    <row r="30" spans="1:31" x14ac:dyDescent="0.3">
      <c r="A30" s="101" t="s">
        <v>67</v>
      </c>
      <c r="B30" s="189"/>
      <c r="C30" s="41"/>
      <c r="D30" s="41"/>
      <c r="E30" s="41"/>
      <c r="F30" s="110"/>
      <c r="G30" s="44"/>
      <c r="H30" s="44"/>
      <c r="I30" s="44"/>
      <c r="J30" s="207"/>
      <c r="K30" s="206"/>
      <c r="L30" s="44"/>
      <c r="M30" s="44"/>
      <c r="N30" s="207"/>
      <c r="O30" s="200"/>
      <c r="P30" s="234"/>
      <c r="Q30" s="101"/>
      <c r="R30" s="51"/>
      <c r="S30" s="51"/>
      <c r="U30" s="111"/>
      <c r="X30" s="41"/>
      <c r="Y30" s="110"/>
      <c r="Z30" s="101"/>
      <c r="AC30" s="111"/>
      <c r="AD30" s="191"/>
      <c r="AE30" s="234"/>
    </row>
    <row r="31" spans="1:31" x14ac:dyDescent="0.3">
      <c r="A31" s="104" t="s">
        <v>68</v>
      </c>
      <c r="B31" s="232"/>
      <c r="C31" s="193"/>
      <c r="D31" s="193"/>
      <c r="E31" s="193"/>
      <c r="F31" s="254"/>
      <c r="G31" s="255"/>
      <c r="H31" s="255"/>
      <c r="I31" s="255"/>
      <c r="J31" s="256"/>
      <c r="K31" s="257"/>
      <c r="L31" s="255"/>
      <c r="M31" s="255"/>
      <c r="N31" s="256"/>
      <c r="O31" s="244"/>
      <c r="P31" s="235"/>
      <c r="Q31" s="263"/>
      <c r="R31" s="261"/>
      <c r="S31" s="193"/>
      <c r="T31" s="193"/>
      <c r="U31" s="254"/>
      <c r="V31" s="194"/>
      <c r="W31" s="193"/>
      <c r="X31" s="193"/>
      <c r="Y31" s="254"/>
      <c r="Z31" s="104"/>
      <c r="AA31" s="133"/>
      <c r="AB31" s="193"/>
      <c r="AC31" s="114"/>
      <c r="AD31" s="244"/>
      <c r="AE31" s="235"/>
    </row>
  </sheetData>
  <mergeCells count="4">
    <mergeCell ref="B5:D5"/>
    <mergeCell ref="E5:G5"/>
    <mergeCell ref="H5:J5"/>
    <mergeCell ref="K5:M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9AFC-140C-44B7-8793-0A1470D882F8}">
  <sheetPr>
    <tabColor theme="5" tint="0.79998168889431442"/>
  </sheetPr>
  <dimension ref="A2:AE31"/>
  <sheetViews>
    <sheetView zoomScale="89" workbookViewId="0">
      <selection activeCell="K12" sqref="K12"/>
    </sheetView>
  </sheetViews>
  <sheetFormatPr defaultRowHeight="14.4" x14ac:dyDescent="0.3"/>
  <cols>
    <col min="1" max="1" width="23.33203125" customWidth="1"/>
    <col min="2" max="31" width="9.6640625" customWidth="1"/>
  </cols>
  <sheetData>
    <row r="2" spans="1:13" ht="21" x14ac:dyDescent="0.4">
      <c r="A2" s="30" t="s">
        <v>81</v>
      </c>
      <c r="B2" s="30"/>
      <c r="C2" s="30"/>
      <c r="D2" s="30"/>
      <c r="E2" s="30"/>
      <c r="F2" s="30"/>
    </row>
    <row r="5" spans="1:13" ht="45.6" customHeight="1" x14ac:dyDescent="0.3">
      <c r="A5" s="221"/>
      <c r="B5" s="476" t="s">
        <v>28</v>
      </c>
      <c r="C5" s="477"/>
      <c r="D5" s="477"/>
      <c r="E5" s="478" t="s">
        <v>29</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35</v>
      </c>
      <c r="B7" s="191"/>
      <c r="C7" s="41"/>
      <c r="D7" s="41"/>
      <c r="E7" s="41"/>
      <c r="F7" s="19"/>
      <c r="G7" s="19"/>
      <c r="H7" s="226"/>
      <c r="I7" s="226"/>
      <c r="J7" s="226"/>
      <c r="K7" s="226"/>
      <c r="L7" s="226"/>
      <c r="M7" s="234"/>
    </row>
    <row r="8" spans="1:13" x14ac:dyDescent="0.3">
      <c r="A8" s="101" t="s">
        <v>36</v>
      </c>
      <c r="B8" s="191"/>
      <c r="C8" s="41"/>
      <c r="D8" s="41"/>
      <c r="E8" s="41"/>
      <c r="F8" s="19"/>
      <c r="G8" s="19"/>
      <c r="H8" s="226"/>
      <c r="I8" s="226"/>
      <c r="J8" s="226"/>
      <c r="K8" s="226"/>
      <c r="L8" s="226"/>
      <c r="M8" s="111"/>
    </row>
    <row r="9" spans="1:13" x14ac:dyDescent="0.3">
      <c r="A9" s="101" t="s">
        <v>37</v>
      </c>
      <c r="B9" s="191"/>
      <c r="C9" s="41"/>
      <c r="D9" s="41"/>
      <c r="E9" s="41"/>
      <c r="F9" s="19"/>
      <c r="G9" s="19"/>
      <c r="H9" s="226"/>
      <c r="I9" s="226"/>
      <c r="J9" s="226"/>
      <c r="K9" s="226"/>
      <c r="L9" s="226"/>
      <c r="M9" s="111"/>
    </row>
    <row r="10" spans="1:13" x14ac:dyDescent="0.3">
      <c r="A10" s="101" t="s">
        <v>38</v>
      </c>
      <c r="B10" s="191"/>
      <c r="C10" s="102"/>
      <c r="D10" s="41"/>
      <c r="E10" s="41"/>
      <c r="F10" s="19"/>
      <c r="G10" s="19"/>
      <c r="H10" s="226"/>
      <c r="I10" s="226"/>
      <c r="J10" s="226"/>
      <c r="K10" s="226"/>
      <c r="L10" s="226"/>
      <c r="M10" s="111"/>
    </row>
    <row r="11" spans="1:13" x14ac:dyDescent="0.3">
      <c r="A11" s="101" t="s">
        <v>39</v>
      </c>
      <c r="B11" s="191"/>
      <c r="C11" s="41"/>
      <c r="D11" s="41"/>
      <c r="E11" s="41"/>
      <c r="F11" s="19"/>
      <c r="G11" s="19"/>
      <c r="H11" s="226"/>
      <c r="I11" s="226"/>
      <c r="J11" s="226"/>
      <c r="K11" s="226"/>
      <c r="L11" s="226"/>
      <c r="M11" s="111"/>
    </row>
    <row r="12" spans="1:13" x14ac:dyDescent="0.3">
      <c r="A12" s="101" t="s">
        <v>40</v>
      </c>
      <c r="B12" s="474">
        <f t="shared" ref="B12" si="0">C12+D12</f>
        <v>3.0615509041071465</v>
      </c>
      <c r="C12" s="85">
        <f>B27*C27*D27*100</f>
        <v>3.0323755040256897</v>
      </c>
      <c r="D12" s="41">
        <f>Q27*R27*S27*100</f>
        <v>2.9175400081456682E-2</v>
      </c>
      <c r="E12" s="41">
        <f>F12+G12</f>
        <v>0.87472882974489896</v>
      </c>
      <c r="F12" s="41">
        <f>B27*C27*E27*100</f>
        <v>0.86639300115019702</v>
      </c>
      <c r="G12" s="19">
        <f>Q27*R27*T27*100</f>
        <v>8.3358285947019092E-3</v>
      </c>
      <c r="H12" s="226">
        <f t="shared" ref="H12" si="1">I12+J12</f>
        <v>1.0112861491628616E-4</v>
      </c>
      <c r="I12" s="226">
        <f>B27*((O27-P27)*F27+P27)</f>
        <v>2.4739726027397261E-5</v>
      </c>
      <c r="J12" s="226">
        <f t="shared" ref="J12" si="2">Q27*((AD27-AE27)*U27+AE27)</f>
        <v>7.6388888888888887E-5</v>
      </c>
      <c r="K12" s="475">
        <f t="shared" ref="K12" si="3">L12+M12</f>
        <v>8.783330504173403E-5</v>
      </c>
      <c r="L12" s="226">
        <f>C27*B27*((O27-P27)*F27+P27)</f>
        <v>2.0297656705028745E-5</v>
      </c>
      <c r="M12" s="234">
        <f>R27*Q27*((AD27-AE27)*U27+AE27)</f>
        <v>6.7535648336705282E-5</v>
      </c>
    </row>
    <row r="13" spans="1:13" x14ac:dyDescent="0.3">
      <c r="A13" s="101" t="s">
        <v>41</v>
      </c>
      <c r="B13" s="191"/>
      <c r="C13" s="85"/>
      <c r="D13" s="41"/>
      <c r="E13" s="41"/>
      <c r="F13" s="41"/>
      <c r="G13" s="19"/>
      <c r="H13" s="226"/>
      <c r="I13" s="226"/>
      <c r="J13" s="226"/>
      <c r="K13" s="226"/>
      <c r="L13" s="226"/>
      <c r="M13" s="234"/>
    </row>
    <row r="14" spans="1:13" x14ac:dyDescent="0.3">
      <c r="A14" s="101" t="s">
        <v>42</v>
      </c>
      <c r="B14" s="191"/>
      <c r="C14" s="85"/>
      <c r="D14" s="41"/>
      <c r="E14" s="41"/>
      <c r="F14" s="85"/>
      <c r="G14" s="41"/>
      <c r="H14" s="226"/>
      <c r="I14" s="226"/>
      <c r="J14" s="226"/>
      <c r="K14" s="226"/>
      <c r="L14" s="226"/>
      <c r="M14" s="234"/>
    </row>
    <row r="15" spans="1:13" x14ac:dyDescent="0.3">
      <c r="A15" s="101" t="s">
        <v>43</v>
      </c>
      <c r="B15" s="191"/>
      <c r="C15" s="85"/>
      <c r="D15" s="41"/>
      <c r="E15" s="41"/>
      <c r="F15" s="85"/>
      <c r="H15" s="226"/>
      <c r="I15" s="226"/>
      <c r="J15" s="226"/>
      <c r="K15" s="226"/>
      <c r="L15" s="226"/>
      <c r="M15" s="111"/>
    </row>
    <row r="16" spans="1:13" x14ac:dyDescent="0.3">
      <c r="A16" s="104" t="s">
        <v>44</v>
      </c>
      <c r="B16" s="233"/>
      <c r="C16" s="253"/>
      <c r="D16" s="193"/>
      <c r="E16" s="193"/>
      <c r="F16" s="193"/>
      <c r="G16" s="113"/>
      <c r="H16" s="227"/>
      <c r="I16" s="227"/>
      <c r="J16" s="227"/>
      <c r="K16" s="227"/>
      <c r="L16" s="227"/>
      <c r="M16" s="235"/>
    </row>
    <row r="18" spans="1:31" ht="48.6" customHeight="1" x14ac:dyDescent="0.35">
      <c r="A18" s="231" t="s">
        <v>45</v>
      </c>
    </row>
    <row r="20" spans="1:31" x14ac:dyDescent="0.3">
      <c r="A20" s="221"/>
      <c r="B20" s="183" t="s">
        <v>46</v>
      </c>
      <c r="C20" s="184"/>
      <c r="D20" s="184"/>
      <c r="E20" s="184"/>
      <c r="F20" s="185"/>
      <c r="G20" s="222" t="s">
        <v>47</v>
      </c>
      <c r="H20" s="184"/>
      <c r="I20" s="184"/>
      <c r="J20" s="185"/>
      <c r="K20" s="183" t="s">
        <v>48</v>
      </c>
      <c r="L20" s="184"/>
      <c r="M20" s="184"/>
      <c r="N20" s="185"/>
      <c r="O20" s="202"/>
      <c r="P20" s="184"/>
      <c r="Q20" s="208" t="s">
        <v>49</v>
      </c>
      <c r="R20" s="209"/>
      <c r="S20" s="209"/>
      <c r="T20" s="209"/>
      <c r="U20" s="210"/>
      <c r="V20" s="242" t="s">
        <v>47</v>
      </c>
      <c r="W20" s="209"/>
      <c r="X20" s="209"/>
      <c r="Y20" s="210"/>
      <c r="Z20" s="220" t="s">
        <v>48</v>
      </c>
      <c r="AA20" s="209"/>
      <c r="AB20" s="209"/>
      <c r="AC20" s="210"/>
      <c r="AD20" s="219"/>
      <c r="AE20" s="210"/>
    </row>
    <row r="21" spans="1:31" ht="43.2" x14ac:dyDescent="0.3">
      <c r="A21" s="101"/>
      <c r="B21" s="186" t="s">
        <v>50</v>
      </c>
      <c r="C21" s="187" t="s">
        <v>51</v>
      </c>
      <c r="D21" s="187" t="s">
        <v>52</v>
      </c>
      <c r="E21" s="187" t="s">
        <v>53</v>
      </c>
      <c r="F21" s="188" t="s">
        <v>54</v>
      </c>
      <c r="G21" s="204" t="s">
        <v>8</v>
      </c>
      <c r="H21" s="204" t="s">
        <v>10</v>
      </c>
      <c r="I21" s="204" t="s">
        <v>12</v>
      </c>
      <c r="J21" s="205" t="s">
        <v>55</v>
      </c>
      <c r="K21" s="203" t="s">
        <v>8</v>
      </c>
      <c r="L21" s="204" t="s">
        <v>10</v>
      </c>
      <c r="M21" s="204" t="s">
        <v>12</v>
      </c>
      <c r="N21" s="205" t="s">
        <v>55</v>
      </c>
      <c r="O21" s="186" t="s">
        <v>56</v>
      </c>
      <c r="P21" s="187" t="s">
        <v>57</v>
      </c>
      <c r="Q21" s="211" t="s">
        <v>50</v>
      </c>
      <c r="R21" s="212" t="s">
        <v>18</v>
      </c>
      <c r="S21" s="212" t="s">
        <v>52</v>
      </c>
      <c r="T21" s="212" t="s">
        <v>58</v>
      </c>
      <c r="U21" s="213" t="s">
        <v>54</v>
      </c>
      <c r="V21" s="216" t="s">
        <v>8</v>
      </c>
      <c r="W21" s="216" t="s">
        <v>10</v>
      </c>
      <c r="X21" s="216" t="s">
        <v>12</v>
      </c>
      <c r="Y21" s="217" t="s">
        <v>55</v>
      </c>
      <c r="Z21" s="215" t="s">
        <v>8</v>
      </c>
      <c r="AA21" s="216" t="s">
        <v>10</v>
      </c>
      <c r="AB21" s="216" t="s">
        <v>12</v>
      </c>
      <c r="AC21" s="217" t="s">
        <v>55</v>
      </c>
      <c r="AD21" s="211" t="s">
        <v>56</v>
      </c>
      <c r="AE21" s="213" t="s">
        <v>57</v>
      </c>
    </row>
    <row r="22" spans="1:31" x14ac:dyDescent="0.3">
      <c r="A22" s="101" t="s">
        <v>59</v>
      </c>
      <c r="B22" s="189"/>
      <c r="C22" s="41"/>
      <c r="D22" s="41"/>
      <c r="E22" s="41"/>
      <c r="F22" s="110"/>
      <c r="G22" s="44"/>
      <c r="H22" s="44"/>
      <c r="I22" s="44"/>
      <c r="J22" s="207"/>
      <c r="K22" s="206"/>
      <c r="L22" s="44"/>
      <c r="M22" s="44"/>
      <c r="N22" s="207"/>
      <c r="O22" s="200"/>
      <c r="P22" s="234"/>
      <c r="Q22" s="247"/>
      <c r="R22" s="51"/>
      <c r="S22" s="41"/>
      <c r="T22" s="41"/>
      <c r="U22" s="110"/>
      <c r="W22" s="41"/>
      <c r="X22" s="41"/>
      <c r="Y22" s="110"/>
      <c r="Z22" s="101"/>
      <c r="AB22" s="41"/>
      <c r="AC22" s="218"/>
      <c r="AD22" s="200"/>
      <c r="AE22" s="234"/>
    </row>
    <row r="23" spans="1:31" x14ac:dyDescent="0.3">
      <c r="A23" s="101" t="s">
        <v>60</v>
      </c>
      <c r="B23" s="189"/>
      <c r="C23" s="41"/>
      <c r="D23" s="41"/>
      <c r="E23" s="41"/>
      <c r="F23" s="110"/>
      <c r="G23" s="44"/>
      <c r="H23" s="44"/>
      <c r="I23" s="44"/>
      <c r="J23" s="207"/>
      <c r="K23" s="206"/>
      <c r="L23" s="44"/>
      <c r="M23" s="44"/>
      <c r="N23" s="207"/>
      <c r="O23" s="200"/>
      <c r="P23" s="234"/>
      <c r="Q23" s="101"/>
      <c r="R23" s="51"/>
      <c r="S23" s="51"/>
      <c r="U23" s="111"/>
      <c r="X23" s="41"/>
      <c r="Y23" s="110"/>
      <c r="Z23" s="101"/>
      <c r="AC23" s="111"/>
      <c r="AD23" s="200"/>
      <c r="AE23" s="234"/>
    </row>
    <row r="24" spans="1:31" x14ac:dyDescent="0.3">
      <c r="A24" s="101" t="s">
        <v>61</v>
      </c>
      <c r="B24" s="189"/>
      <c r="C24" s="41"/>
      <c r="D24" s="41"/>
      <c r="E24" s="41"/>
      <c r="F24" s="110"/>
      <c r="G24" s="44"/>
      <c r="H24" s="44"/>
      <c r="I24" s="44"/>
      <c r="J24" s="207"/>
      <c r="K24" s="206"/>
      <c r="L24" s="44"/>
      <c r="M24" s="44"/>
      <c r="N24" s="207"/>
      <c r="O24" s="200"/>
      <c r="P24" s="234"/>
      <c r="Q24" s="101"/>
      <c r="R24" s="51"/>
      <c r="S24" s="51"/>
      <c r="U24" s="111"/>
      <c r="X24" s="41"/>
      <c r="Y24" s="110"/>
      <c r="Z24" s="101"/>
      <c r="AC24" s="111"/>
      <c r="AD24" s="200"/>
      <c r="AE24" s="234"/>
    </row>
    <row r="25" spans="1:31" x14ac:dyDescent="0.3">
      <c r="A25" s="101" t="s">
        <v>62</v>
      </c>
      <c r="B25" s="189"/>
      <c r="C25" s="41"/>
      <c r="D25" s="41"/>
      <c r="E25" s="41"/>
      <c r="F25" s="110"/>
      <c r="G25" s="44"/>
      <c r="H25" s="44"/>
      <c r="I25" s="44"/>
      <c r="J25" s="207"/>
      <c r="K25" s="206"/>
      <c r="L25" s="44"/>
      <c r="M25" s="44"/>
      <c r="N25" s="207"/>
      <c r="O25" s="200"/>
      <c r="P25" s="234"/>
      <c r="Q25" s="101"/>
      <c r="R25" s="51"/>
      <c r="S25" s="51"/>
      <c r="U25" s="111"/>
      <c r="X25" s="41"/>
      <c r="Y25" s="110"/>
      <c r="Z25" s="101"/>
      <c r="AC25" s="111"/>
      <c r="AD25" s="200"/>
      <c r="AE25" s="234"/>
    </row>
    <row r="26" spans="1:31" x14ac:dyDescent="0.3">
      <c r="A26" s="101" t="s">
        <v>63</v>
      </c>
      <c r="B26" s="189"/>
      <c r="C26" s="41"/>
      <c r="D26" s="41"/>
      <c r="E26" s="41"/>
      <c r="F26" s="110"/>
      <c r="G26" s="44"/>
      <c r="H26" s="44"/>
      <c r="I26" s="44"/>
      <c r="J26" s="207"/>
      <c r="K26" s="206"/>
      <c r="L26" s="44"/>
      <c r="M26" s="44"/>
      <c r="N26" s="207"/>
      <c r="O26" s="200"/>
      <c r="P26" s="234"/>
      <c r="Q26" s="101"/>
      <c r="R26" s="51"/>
      <c r="S26" s="51"/>
      <c r="U26" s="111"/>
      <c r="X26" s="41"/>
      <c r="Y26" s="110"/>
      <c r="Z26" s="101"/>
      <c r="AC26" s="111"/>
      <c r="AD26" s="200"/>
      <c r="AE26" s="234"/>
    </row>
    <row r="27" spans="1:31" x14ac:dyDescent="0.3">
      <c r="A27" s="101" t="s">
        <v>64</v>
      </c>
      <c r="B27" s="189">
        <f>'No affected'!N11</f>
        <v>6.3E-2</v>
      </c>
      <c r="C27" s="41">
        <f>Ability!B11</f>
        <v>0.82044791775586834</v>
      </c>
      <c r="D27" s="41">
        <f t="shared" ref="D27" si="4">2*G27+2*H27+I27+2*J27</f>
        <v>0.58666666666666667</v>
      </c>
      <c r="E27" s="41">
        <f t="shared" ref="E27" si="5">(2*K27+2*L27+N27+2*M27)/7</f>
        <v>0.16761904761904761</v>
      </c>
      <c r="F27" s="110">
        <f t="shared" ref="F27" si="6">(K27+L27+N27)/3</f>
        <v>0.13999999999999999</v>
      </c>
      <c r="G27" s="44">
        <f>Mortality!N11</f>
        <v>0.15</v>
      </c>
      <c r="H27" s="44">
        <f>Disease!N11</f>
        <v>0.06</v>
      </c>
      <c r="I27" s="94">
        <f>Slaughter!N11/24</f>
        <v>0.16666666666666666</v>
      </c>
      <c r="J27" s="207">
        <f>Space!N11/100</f>
        <v>0</v>
      </c>
      <c r="K27" s="206">
        <f>Mortality!N11/Mortality!$G$2</f>
        <v>0.3</v>
      </c>
      <c r="L27" s="44">
        <f>Disease!N11/Disease!$G$2</f>
        <v>0.12</v>
      </c>
      <c r="M27" s="44">
        <f>Slaughter!N11/Slaughter!$G$2</f>
        <v>0.16666666666666666</v>
      </c>
      <c r="N27" s="207">
        <f>Space!N11/Space!$G$2</f>
        <v>0</v>
      </c>
      <c r="O27" s="200">
        <f>'Life duration'!N11</f>
        <v>0</v>
      </c>
      <c r="P27" s="234">
        <f>Slaughter!N11/(365*24)</f>
        <v>4.5662100456621003E-4</v>
      </c>
      <c r="Q27" s="190">
        <f>'No affected'!AC11</f>
        <v>1.5E-3</v>
      </c>
      <c r="R27" s="51">
        <f>Ability!D11</f>
        <v>0.88410303277141455</v>
      </c>
      <c r="S27" s="41">
        <f>2*V27+2*W27+X27+2*Y27</f>
        <v>0.22</v>
      </c>
      <c r="T27" s="41">
        <f>(2*Z27+2*AA27+AB27+2*AC27)/7</f>
        <v>6.2857142857142861E-2</v>
      </c>
      <c r="U27" s="110">
        <f>(Z27+AA27+AC27)/3</f>
        <v>7.3333333333333334E-2</v>
      </c>
      <c r="V27">
        <f>Mortality!AC11</f>
        <v>0.06</v>
      </c>
      <c r="W27" s="41">
        <f>Disease!AC11</f>
        <v>0.05</v>
      </c>
      <c r="X27" s="41">
        <f>Slaughter!AC11/24</f>
        <v>0</v>
      </c>
      <c r="Y27" s="110">
        <f>Space!AC11/100</f>
        <v>0</v>
      </c>
      <c r="Z27" s="101">
        <f>Mortality!AC11/Mortality!$G$2</f>
        <v>0.12</v>
      </c>
      <c r="AA27">
        <f>Disease!AC11/Disease!$G$2</f>
        <v>0.1</v>
      </c>
      <c r="AB27" s="41">
        <f>Slaughter!AC11/Slaughter!$G$2</f>
        <v>0</v>
      </c>
      <c r="AC27" s="218">
        <f>Space!AC11/Space!$G$2</f>
        <v>0</v>
      </c>
      <c r="AD27" s="200">
        <f>'Life duration'!AC11</f>
        <v>0.69444444444444442</v>
      </c>
      <c r="AE27" s="234">
        <f>Slaughter!AC11/(365*24)</f>
        <v>0</v>
      </c>
    </row>
    <row r="28" spans="1:31" x14ac:dyDescent="0.3">
      <c r="A28" s="101" t="s">
        <v>65</v>
      </c>
      <c r="B28" s="189"/>
      <c r="C28" s="41"/>
      <c r="D28" s="41"/>
      <c r="E28" s="41"/>
      <c r="F28" s="110"/>
      <c r="G28" s="44"/>
      <c r="H28" s="44"/>
      <c r="I28" s="44"/>
      <c r="J28" s="207"/>
      <c r="K28" s="206"/>
      <c r="L28" s="44"/>
      <c r="M28" s="44"/>
      <c r="N28" s="207"/>
      <c r="O28" s="200"/>
      <c r="P28" s="234"/>
      <c r="Q28" s="190"/>
      <c r="R28" s="51"/>
      <c r="S28" s="41"/>
      <c r="T28" s="41"/>
      <c r="U28" s="110"/>
      <c r="W28" s="41"/>
      <c r="X28" s="41"/>
      <c r="Y28" s="110"/>
      <c r="Z28" s="101"/>
      <c r="AB28" s="41"/>
      <c r="AC28" s="218"/>
      <c r="AD28" s="191"/>
      <c r="AE28" s="234"/>
    </row>
    <row r="29" spans="1:31" x14ac:dyDescent="0.3">
      <c r="A29" s="101" t="s">
        <v>66</v>
      </c>
      <c r="B29" s="189"/>
      <c r="C29" s="41"/>
      <c r="D29" s="41"/>
      <c r="E29" s="41"/>
      <c r="F29" s="110"/>
      <c r="G29" s="44"/>
      <c r="H29" s="44"/>
      <c r="I29" s="44"/>
      <c r="J29" s="207"/>
      <c r="K29" s="206"/>
      <c r="L29" s="44"/>
      <c r="M29" s="44"/>
      <c r="N29" s="207"/>
      <c r="O29" s="200"/>
      <c r="P29" s="234"/>
      <c r="Q29" s="190"/>
      <c r="R29" s="51"/>
      <c r="S29" s="41"/>
      <c r="T29" s="41"/>
      <c r="U29" s="110"/>
      <c r="W29" s="41"/>
      <c r="X29" s="41"/>
      <c r="Y29" s="110"/>
      <c r="Z29" s="101"/>
      <c r="AB29" s="41"/>
      <c r="AC29" s="218"/>
      <c r="AD29" s="191"/>
      <c r="AE29" s="234"/>
    </row>
    <row r="30" spans="1:31" x14ac:dyDescent="0.3">
      <c r="A30" s="101" t="s">
        <v>67</v>
      </c>
      <c r="B30" s="189"/>
      <c r="C30" s="41"/>
      <c r="D30" s="41"/>
      <c r="E30" s="41"/>
      <c r="F30" s="110"/>
      <c r="G30" s="44"/>
      <c r="H30" s="44"/>
      <c r="I30" s="44"/>
      <c r="J30" s="207"/>
      <c r="K30" s="206"/>
      <c r="L30" s="44"/>
      <c r="M30" s="44"/>
      <c r="N30" s="207"/>
      <c r="O30" s="200"/>
      <c r="P30" s="234"/>
      <c r="Q30" s="101"/>
      <c r="R30" s="51"/>
      <c r="S30" s="51"/>
      <c r="U30" s="111"/>
      <c r="X30" s="41"/>
      <c r="Y30" s="110"/>
      <c r="Z30" s="101"/>
      <c r="AC30" s="111"/>
      <c r="AD30" s="191"/>
      <c r="AE30" s="234"/>
    </row>
    <row r="31" spans="1:31" x14ac:dyDescent="0.3">
      <c r="A31" s="104" t="s">
        <v>68</v>
      </c>
      <c r="B31" s="232"/>
      <c r="C31" s="193"/>
      <c r="D31" s="193"/>
      <c r="E31" s="193"/>
      <c r="F31" s="254"/>
      <c r="G31" s="255"/>
      <c r="H31" s="255"/>
      <c r="I31" s="255"/>
      <c r="J31" s="256"/>
      <c r="K31" s="257"/>
      <c r="L31" s="255"/>
      <c r="M31" s="255"/>
      <c r="N31" s="256"/>
      <c r="O31" s="244"/>
      <c r="P31" s="235"/>
      <c r="Q31" s="263"/>
      <c r="R31" s="261"/>
      <c r="S31" s="193"/>
      <c r="T31" s="193"/>
      <c r="U31" s="254"/>
      <c r="V31" s="194"/>
      <c r="W31" s="193"/>
      <c r="X31" s="193"/>
      <c r="Y31" s="254"/>
      <c r="Z31" s="104"/>
      <c r="AA31" s="133"/>
      <c r="AB31" s="193"/>
      <c r="AC31" s="114"/>
      <c r="AD31" s="244"/>
      <c r="AE31" s="235"/>
    </row>
  </sheetData>
  <mergeCells count="4">
    <mergeCell ref="B5:D5"/>
    <mergeCell ref="E5:G5"/>
    <mergeCell ref="H5:J5"/>
    <mergeCell ref="K5:M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2C37-04F4-46A6-8A7D-FEE590AEB475}">
  <sheetPr>
    <tabColor theme="5" tint="0.79998168889431442"/>
  </sheetPr>
  <dimension ref="A2:AE13"/>
  <sheetViews>
    <sheetView zoomScale="89" workbookViewId="0">
      <selection activeCell="A13" sqref="A13"/>
    </sheetView>
  </sheetViews>
  <sheetFormatPr defaultRowHeight="14.4" x14ac:dyDescent="0.3"/>
  <cols>
    <col min="1" max="1" width="23.33203125" customWidth="1"/>
    <col min="2" max="31" width="9.6640625" customWidth="1"/>
  </cols>
  <sheetData>
    <row r="2" spans="1:31" ht="21" x14ac:dyDescent="0.4">
      <c r="A2" s="30" t="s">
        <v>82</v>
      </c>
      <c r="B2" s="30"/>
      <c r="C2" s="30"/>
      <c r="D2" s="30"/>
      <c r="E2" s="30"/>
      <c r="F2" s="30"/>
    </row>
    <row r="5" spans="1:31" ht="45.6" customHeight="1" x14ac:dyDescent="0.3">
      <c r="A5" s="221"/>
      <c r="B5" s="476" t="s">
        <v>28</v>
      </c>
      <c r="C5" s="477"/>
      <c r="D5" s="477"/>
      <c r="E5" s="478" t="s">
        <v>29</v>
      </c>
      <c r="F5" s="479"/>
      <c r="G5" s="479"/>
      <c r="H5" s="480" t="s">
        <v>30</v>
      </c>
      <c r="I5" s="481"/>
      <c r="J5" s="481"/>
      <c r="K5" s="482" t="s">
        <v>31</v>
      </c>
      <c r="L5" s="483"/>
      <c r="M5" s="484"/>
    </row>
    <row r="6" spans="1:31"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31" x14ac:dyDescent="0.3">
      <c r="A7" s="104" t="s">
        <v>83</v>
      </c>
      <c r="B7" s="233">
        <f t="shared" ref="B7" si="0">C7+D7</f>
        <v>11.456842109961455</v>
      </c>
      <c r="C7" s="253">
        <f>B13*C13*D13*100</f>
        <v>11.456842109961455</v>
      </c>
      <c r="D7" s="133"/>
      <c r="E7" s="193">
        <f t="shared" ref="E7" si="1">F7+G7</f>
        <v>3.1136196251739063</v>
      </c>
      <c r="F7" s="193">
        <f>B13*C13*E13*100</f>
        <v>3.1136196251739063</v>
      </c>
      <c r="G7" s="133"/>
      <c r="H7" s="227">
        <f t="shared" ref="H7" si="2">I7+J7</f>
        <v>0.26344336046100186</v>
      </c>
      <c r="I7" s="227">
        <f>B13*((O13-P13)*F13+P13)</f>
        <v>0.26344336046100186</v>
      </c>
      <c r="J7" s="227"/>
      <c r="K7" s="227">
        <f t="shared" ref="K7" si="3">L7+M7</f>
        <v>7.9842304730688957E-2</v>
      </c>
      <c r="L7" s="227">
        <f>C13*B13*((O13-P13)*F13+P13)</f>
        <v>7.9842304730688957E-2</v>
      </c>
      <c r="M7" s="201"/>
    </row>
    <row r="9" spans="1:31" ht="48.6" customHeight="1" x14ac:dyDescent="0.35">
      <c r="A9" s="231" t="s">
        <v>45</v>
      </c>
    </row>
    <row r="11" spans="1:31" x14ac:dyDescent="0.3">
      <c r="A11" s="221"/>
      <c r="B11" s="183" t="s">
        <v>46</v>
      </c>
      <c r="C11" s="184"/>
      <c r="D11" s="184"/>
      <c r="E11" s="184"/>
      <c r="F11" s="185"/>
      <c r="G11" s="222" t="s">
        <v>47</v>
      </c>
      <c r="H11" s="184"/>
      <c r="I11" s="184"/>
      <c r="J11" s="185"/>
      <c r="K11" s="183" t="s">
        <v>48</v>
      </c>
      <c r="L11" s="184"/>
      <c r="M11" s="184"/>
      <c r="N11" s="185"/>
      <c r="O11" s="202"/>
      <c r="P11" s="184"/>
      <c r="Q11" s="208" t="s">
        <v>49</v>
      </c>
      <c r="R11" s="209"/>
      <c r="S11" s="209"/>
      <c r="T11" s="209"/>
      <c r="U11" s="210"/>
      <c r="V11" s="242" t="s">
        <v>47</v>
      </c>
      <c r="W11" s="209"/>
      <c r="X11" s="209"/>
      <c r="Y11" s="210"/>
      <c r="Z11" s="220" t="s">
        <v>48</v>
      </c>
      <c r="AA11" s="209"/>
      <c r="AB11" s="209"/>
      <c r="AC11" s="210"/>
      <c r="AD11" s="219"/>
      <c r="AE11" s="210"/>
    </row>
    <row r="12" spans="1:31" ht="43.2" x14ac:dyDescent="0.3">
      <c r="A12" s="101"/>
      <c r="B12" s="186" t="s">
        <v>50</v>
      </c>
      <c r="C12" s="187" t="s">
        <v>51</v>
      </c>
      <c r="D12" s="187" t="s">
        <v>52</v>
      </c>
      <c r="E12" s="187" t="s">
        <v>53</v>
      </c>
      <c r="F12" s="188" t="s">
        <v>54</v>
      </c>
      <c r="G12" s="204" t="s">
        <v>8</v>
      </c>
      <c r="H12" s="204" t="s">
        <v>10</v>
      </c>
      <c r="I12" s="204" t="s">
        <v>12</v>
      </c>
      <c r="J12" s="205" t="s">
        <v>55</v>
      </c>
      <c r="K12" s="203" t="s">
        <v>8</v>
      </c>
      <c r="L12" s="204" t="s">
        <v>10</v>
      </c>
      <c r="M12" s="204" t="s">
        <v>12</v>
      </c>
      <c r="N12" s="205" t="s">
        <v>55</v>
      </c>
      <c r="O12" s="186" t="s">
        <v>56</v>
      </c>
      <c r="P12" s="187" t="s">
        <v>57</v>
      </c>
      <c r="Q12" s="211" t="s">
        <v>50</v>
      </c>
      <c r="R12" s="212" t="s">
        <v>18</v>
      </c>
      <c r="S12" s="212" t="s">
        <v>52</v>
      </c>
      <c r="T12" s="212" t="s">
        <v>58</v>
      </c>
      <c r="U12" s="213" t="s">
        <v>54</v>
      </c>
      <c r="V12" s="216" t="s">
        <v>8</v>
      </c>
      <c r="W12" s="216" t="s">
        <v>10</v>
      </c>
      <c r="X12" s="216" t="s">
        <v>12</v>
      </c>
      <c r="Y12" s="217" t="s">
        <v>55</v>
      </c>
      <c r="Z12" s="215" t="s">
        <v>8</v>
      </c>
      <c r="AA12" s="216" t="s">
        <v>10</v>
      </c>
      <c r="AB12" s="216" t="s">
        <v>12</v>
      </c>
      <c r="AC12" s="217" t="s">
        <v>55</v>
      </c>
      <c r="AD12" s="211" t="s">
        <v>56</v>
      </c>
      <c r="AE12" s="213" t="s">
        <v>57</v>
      </c>
    </row>
    <row r="13" spans="1:31" x14ac:dyDescent="0.3">
      <c r="A13" s="104" t="s">
        <v>83</v>
      </c>
      <c r="B13" s="232">
        <f>'No affected'!O16</f>
        <v>0.41000410004100041</v>
      </c>
      <c r="C13" s="193">
        <f>Ability!B16</f>
        <v>0.30307199464420814</v>
      </c>
      <c r="D13" s="193">
        <f t="shared" ref="D13" si="4">2*G13+2*H13+I13+2*J13</f>
        <v>0.92199999999999993</v>
      </c>
      <c r="E13" s="193">
        <f t="shared" ref="E13" si="5">(2*K13+2*L13+N13+2*M13)/7</f>
        <v>0.25057142857142856</v>
      </c>
      <c r="F13" s="254">
        <f>(K13+L13+N13)/3</f>
        <v>0.214</v>
      </c>
      <c r="G13" s="255">
        <f>Mortality!O16</f>
        <v>0.161</v>
      </c>
      <c r="H13" s="255">
        <f>Disease!O16</f>
        <v>0.14499999999999999</v>
      </c>
      <c r="I13" s="255">
        <f>Slaughter!O16/24</f>
        <v>0.25</v>
      </c>
      <c r="J13" s="256">
        <f>Space!O16/100</f>
        <v>0.03</v>
      </c>
      <c r="K13" s="257">
        <f>Mortality!O16/Mortality!$G$2</f>
        <v>0.32200000000000001</v>
      </c>
      <c r="L13" s="255">
        <f>Disease!O16/Disease!$G$2</f>
        <v>0.28999999999999998</v>
      </c>
      <c r="M13" s="255">
        <f>Slaughter!O16/Slaughter!$G$2</f>
        <v>0.25</v>
      </c>
      <c r="N13" s="256">
        <f>Space!O16/Space!$G$2</f>
        <v>0.03</v>
      </c>
      <c r="O13" s="244">
        <f>'Life duration'!O16</f>
        <v>3</v>
      </c>
      <c r="P13" s="227">
        <f>Slaughter!O16/(365*24)</f>
        <v>6.8493150684931507E-4</v>
      </c>
      <c r="Q13" s="104"/>
      <c r="R13" s="214"/>
      <c r="S13" s="214"/>
      <c r="T13" s="133"/>
      <c r="U13" s="201"/>
      <c r="V13" s="258"/>
      <c r="W13" s="133"/>
      <c r="X13" s="133"/>
      <c r="Y13" s="201"/>
      <c r="Z13" s="104"/>
      <c r="AA13" s="133"/>
      <c r="AB13" s="133"/>
      <c r="AC13" s="201"/>
      <c r="AD13" s="244"/>
      <c r="AE13" s="235"/>
    </row>
  </sheetData>
  <mergeCells count="4">
    <mergeCell ref="B5:D5"/>
    <mergeCell ref="E5:G5"/>
    <mergeCell ref="H5:J5"/>
    <mergeCell ref="K5:M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DA72-4880-4C00-B4FF-0947BCB4E3E5}">
  <sheetPr>
    <tabColor theme="5" tint="0.79998168889431442"/>
  </sheetPr>
  <dimension ref="A2:AE29"/>
  <sheetViews>
    <sheetView topLeftCell="A19" zoomScale="89" workbookViewId="0">
      <selection activeCell="AG42" sqref="AG42"/>
    </sheetView>
  </sheetViews>
  <sheetFormatPr defaultRowHeight="14.4" x14ac:dyDescent="0.3"/>
  <cols>
    <col min="1" max="1" width="23.33203125" customWidth="1"/>
    <col min="2" max="31" width="9.6640625" customWidth="1"/>
  </cols>
  <sheetData>
    <row r="2" spans="1:13" ht="21" x14ac:dyDescent="0.4">
      <c r="A2" s="30" t="s">
        <v>84</v>
      </c>
      <c r="B2" s="30"/>
      <c r="C2" s="30"/>
      <c r="D2" s="30"/>
      <c r="E2" s="30"/>
      <c r="F2" s="30"/>
    </row>
    <row r="5" spans="1:13" ht="45.6" customHeight="1" x14ac:dyDescent="0.3">
      <c r="A5" s="221"/>
      <c r="B5" s="476" t="s">
        <v>28</v>
      </c>
      <c r="C5" s="477"/>
      <c r="D5" s="477"/>
      <c r="E5" s="478" t="s">
        <v>85</v>
      </c>
      <c r="F5" s="479"/>
      <c r="G5" s="479"/>
      <c r="H5" s="480" t="s">
        <v>30</v>
      </c>
      <c r="I5" s="481"/>
      <c r="J5" s="481"/>
      <c r="K5" s="482" t="s">
        <v>31</v>
      </c>
      <c r="L5" s="483"/>
      <c r="M5" s="484"/>
    </row>
    <row r="6" spans="1:13" ht="28.8" x14ac:dyDescent="0.3">
      <c r="A6" s="101"/>
      <c r="B6" s="228" t="s">
        <v>32</v>
      </c>
      <c r="C6" s="229" t="s">
        <v>33</v>
      </c>
      <c r="D6" s="230" t="s">
        <v>34</v>
      </c>
      <c r="E6" s="196" t="s">
        <v>32</v>
      </c>
      <c r="F6" s="197" t="s">
        <v>33</v>
      </c>
      <c r="G6" s="196" t="s">
        <v>34</v>
      </c>
      <c r="H6" s="198" t="s">
        <v>32</v>
      </c>
      <c r="I6" s="199" t="s">
        <v>33</v>
      </c>
      <c r="J6" s="198" t="s">
        <v>34</v>
      </c>
      <c r="K6" s="223" t="s">
        <v>32</v>
      </c>
      <c r="L6" s="224" t="s">
        <v>33</v>
      </c>
      <c r="M6" s="225" t="s">
        <v>34</v>
      </c>
    </row>
    <row r="7" spans="1:13" x14ac:dyDescent="0.3">
      <c r="A7" s="101" t="s">
        <v>86</v>
      </c>
      <c r="B7" s="191">
        <f t="shared" ref="B7:B15" si="0">C7+D7</f>
        <v>1.8647868715666507</v>
      </c>
      <c r="C7" s="85">
        <f>B21*C21*D21*100</f>
        <v>1.8647868715666507</v>
      </c>
      <c r="E7" s="41">
        <f t="shared" ref="E7:E15" si="1">F7+G7</f>
        <v>0.53279624901904299</v>
      </c>
      <c r="F7" s="41">
        <f t="shared" ref="F7:F15" si="2">B21*C21*E21*100</f>
        <v>0.53279624901904299</v>
      </c>
      <c r="H7" s="226">
        <f t="shared" ref="H7:H15" si="3">I7+J7</f>
        <v>1.5981735159817354E-4</v>
      </c>
      <c r="I7" s="226">
        <f t="shared" ref="I7:I15" si="4">B21*((O21-P21)*F21+P21)</f>
        <v>1.5981735159817354E-4</v>
      </c>
      <c r="J7" s="226"/>
      <c r="K7" s="226">
        <f t="shared" ref="K7:K15" si="5">L7+M7</f>
        <v>5.1090051275798644E-5</v>
      </c>
      <c r="L7" s="226">
        <f t="shared" ref="L7:L15" si="6">C21*B21*((O21-P21)*F21+P21)</f>
        <v>5.1090051275798644E-5</v>
      </c>
      <c r="M7" s="111"/>
    </row>
    <row r="8" spans="1:13" x14ac:dyDescent="0.3">
      <c r="A8" s="101" t="s">
        <v>87</v>
      </c>
      <c r="B8" s="191">
        <f t="shared" si="0"/>
        <v>3.5483240297317837</v>
      </c>
      <c r="C8" s="85">
        <f t="shared" ref="C8:C15" si="7">B22*C22*D22*100</f>
        <v>3.5483240297317837</v>
      </c>
      <c r="E8" s="41">
        <f t="shared" si="1"/>
        <v>1.0138068656376527</v>
      </c>
      <c r="F8" s="85">
        <f t="shared" si="2"/>
        <v>1.0138068656376527</v>
      </c>
      <c r="H8" s="226">
        <f t="shared" si="3"/>
        <v>1.9474885844748856E-3</v>
      </c>
      <c r="I8" s="226">
        <f t="shared" si="4"/>
        <v>1.9474885844748856E-3</v>
      </c>
      <c r="J8" s="226"/>
      <c r="K8" s="226">
        <f t="shared" si="5"/>
        <v>9.7214356978952984E-5</v>
      </c>
      <c r="L8" s="226">
        <f t="shared" si="6"/>
        <v>9.7214356978952984E-5</v>
      </c>
      <c r="M8" s="111"/>
    </row>
    <row r="9" spans="1:13" x14ac:dyDescent="0.3">
      <c r="A9" s="101" t="s">
        <v>88</v>
      </c>
      <c r="B9" s="191">
        <f t="shared" si="0"/>
        <v>9.7388298834651525</v>
      </c>
      <c r="C9" s="85">
        <f t="shared" si="7"/>
        <v>9.7388298834651525</v>
      </c>
      <c r="E9" s="41">
        <f t="shared" si="1"/>
        <v>2.7825228238471866</v>
      </c>
      <c r="F9" s="85">
        <f t="shared" si="2"/>
        <v>2.7825228238471866</v>
      </c>
      <c r="H9" s="226">
        <f t="shared" si="3"/>
        <v>1.8264840182648401E-3</v>
      </c>
      <c r="I9" s="226">
        <f t="shared" si="4"/>
        <v>1.8264840182648401E-3</v>
      </c>
      <c r="J9" s="226"/>
      <c r="K9" s="226">
        <f t="shared" si="5"/>
        <v>2.6681725708123708E-4</v>
      </c>
      <c r="L9" s="226">
        <f t="shared" si="6"/>
        <v>2.6681725708123708E-4</v>
      </c>
      <c r="M9" s="111"/>
    </row>
    <row r="10" spans="1:13" x14ac:dyDescent="0.3">
      <c r="A10" s="101" t="s">
        <v>89</v>
      </c>
      <c r="B10" s="191">
        <f t="shared" si="0"/>
        <v>0.70248667398552689</v>
      </c>
      <c r="C10" s="41">
        <f t="shared" si="7"/>
        <v>0.70248667398552689</v>
      </c>
      <c r="E10" s="41">
        <f t="shared" si="1"/>
        <v>0.20071047828157909</v>
      </c>
      <c r="F10" s="41">
        <f t="shared" si="2"/>
        <v>0.20071047828157909</v>
      </c>
      <c r="H10" s="226">
        <f t="shared" si="3"/>
        <v>5.19406392694064E-5</v>
      </c>
      <c r="I10" s="226">
        <f t="shared" si="4"/>
        <v>5.19406392694064E-5</v>
      </c>
      <c r="J10" s="226"/>
      <c r="K10" s="226">
        <f t="shared" si="5"/>
        <v>1.9246210246178816E-5</v>
      </c>
      <c r="L10" s="226">
        <f t="shared" si="6"/>
        <v>1.9246210246178816E-5</v>
      </c>
      <c r="M10" s="111"/>
    </row>
    <row r="11" spans="1:13" x14ac:dyDescent="0.3">
      <c r="A11" s="101" t="s">
        <v>90</v>
      </c>
      <c r="B11" s="191">
        <f t="shared" si="0"/>
        <v>3.2379342286946071E-3</v>
      </c>
      <c r="C11" s="19">
        <f t="shared" si="7"/>
        <v>3.2379342286946071E-3</v>
      </c>
      <c r="E11" s="41">
        <f t="shared" si="1"/>
        <v>9.2512406534131617E-4</v>
      </c>
      <c r="F11" s="19">
        <f t="shared" si="2"/>
        <v>9.2512406534131617E-4</v>
      </c>
      <c r="H11" s="226">
        <f t="shared" si="3"/>
        <v>9.5129375951293758E-8</v>
      </c>
      <c r="I11" s="226">
        <f t="shared" si="4"/>
        <v>9.5129375951293758E-8</v>
      </c>
      <c r="J11" s="226"/>
      <c r="K11" s="226">
        <f t="shared" si="5"/>
        <v>8.8710526813550867E-8</v>
      </c>
      <c r="L11" s="226">
        <f t="shared" si="6"/>
        <v>8.8710526813550867E-8</v>
      </c>
      <c r="M11" s="111"/>
    </row>
    <row r="12" spans="1:13" x14ac:dyDescent="0.3">
      <c r="A12" s="101" t="s">
        <v>91</v>
      </c>
      <c r="B12" s="191">
        <f t="shared" si="0"/>
        <v>2.2222222222222222E-3</v>
      </c>
      <c r="C12" s="19">
        <f t="shared" si="7"/>
        <v>2.2222222222222222E-3</v>
      </c>
      <c r="E12" s="41">
        <f t="shared" si="1"/>
        <v>6.3492063492063492E-4</v>
      </c>
      <c r="F12" s="19">
        <f t="shared" si="2"/>
        <v>6.3492063492063492E-4</v>
      </c>
      <c r="H12" s="226">
        <f t="shared" si="3"/>
        <v>6.0882800608828005E-8</v>
      </c>
      <c r="I12" s="226">
        <f t="shared" si="4"/>
        <v>6.0882800608828005E-8</v>
      </c>
      <c r="J12" s="226"/>
      <c r="K12" s="226">
        <f t="shared" si="5"/>
        <v>6.0882800608828005E-8</v>
      </c>
      <c r="L12" s="226">
        <f t="shared" si="6"/>
        <v>6.0882800608828005E-8</v>
      </c>
      <c r="M12" s="111"/>
    </row>
    <row r="13" spans="1:13" x14ac:dyDescent="0.3">
      <c r="A13" s="101" t="s">
        <v>92</v>
      </c>
      <c r="B13" s="191">
        <f t="shared" si="0"/>
        <v>3.1305653789225861E-2</v>
      </c>
      <c r="C13" s="19">
        <f t="shared" si="7"/>
        <v>3.1305653789225861E-2</v>
      </c>
      <c r="E13" s="41">
        <f t="shared" si="1"/>
        <v>8.9444725112073891E-3</v>
      </c>
      <c r="F13" s="19">
        <f t="shared" si="2"/>
        <v>8.9444725112073891E-3</v>
      </c>
      <c r="H13" s="226">
        <f t="shared" si="3"/>
        <v>1.2100456621004565E-6</v>
      </c>
      <c r="I13" s="226">
        <f t="shared" si="4"/>
        <v>1.2100456621004565E-6</v>
      </c>
      <c r="J13" s="226"/>
      <c r="K13" s="226">
        <f t="shared" si="5"/>
        <v>8.5768914491029749E-7</v>
      </c>
      <c r="L13" s="226">
        <f t="shared" si="6"/>
        <v>8.5768914491029749E-7</v>
      </c>
      <c r="M13" s="111"/>
    </row>
    <row r="14" spans="1:13" x14ac:dyDescent="0.3">
      <c r="A14" s="101" t="s">
        <v>93</v>
      </c>
      <c r="B14" s="191">
        <f t="shared" si="0"/>
        <v>0.27459417235858385</v>
      </c>
      <c r="C14" s="41">
        <f t="shared" si="7"/>
        <v>0.27459417235858385</v>
      </c>
      <c r="E14" s="41">
        <f t="shared" si="1"/>
        <v>7.8455477816738242E-2</v>
      </c>
      <c r="F14" s="19">
        <f t="shared" si="2"/>
        <v>7.8455477816738242E-2</v>
      </c>
      <c r="H14" s="226">
        <f t="shared" si="3"/>
        <v>1.9025875190258751E-4</v>
      </c>
      <c r="I14" s="226">
        <f t="shared" si="4"/>
        <v>1.9025875190258751E-4</v>
      </c>
      <c r="J14" s="226"/>
      <c r="K14" s="226">
        <f t="shared" si="5"/>
        <v>7.523128009824215E-6</v>
      </c>
      <c r="L14" s="226">
        <f t="shared" si="6"/>
        <v>7.523128009824215E-6</v>
      </c>
      <c r="M14" s="111"/>
    </row>
    <row r="15" spans="1:13" x14ac:dyDescent="0.3">
      <c r="A15" s="201" t="s">
        <v>94</v>
      </c>
      <c r="B15" s="233">
        <f t="shared" si="0"/>
        <v>0.36986569781577089</v>
      </c>
      <c r="C15" s="193">
        <f t="shared" si="7"/>
        <v>0.36986569781577089</v>
      </c>
      <c r="D15" s="133"/>
      <c r="E15" s="193">
        <f t="shared" si="1"/>
        <v>0.10567591366164883</v>
      </c>
      <c r="F15" s="113">
        <f t="shared" si="2"/>
        <v>0.10567591366164883</v>
      </c>
      <c r="G15" s="133"/>
      <c r="H15" s="227">
        <f t="shared" si="3"/>
        <v>1.1415525114155251E-4</v>
      </c>
      <c r="I15" s="227">
        <f t="shared" si="4"/>
        <v>1.1415525114155251E-4</v>
      </c>
      <c r="J15" s="227"/>
      <c r="K15" s="227">
        <f t="shared" si="5"/>
        <v>1.0133306789473174E-5</v>
      </c>
      <c r="L15" s="227">
        <f t="shared" si="6"/>
        <v>1.0133306789473174E-5</v>
      </c>
      <c r="M15" s="201"/>
    </row>
    <row r="17" spans="1:31" ht="48.6" customHeight="1" x14ac:dyDescent="0.35">
      <c r="A17" s="231" t="s">
        <v>45</v>
      </c>
    </row>
    <row r="19" spans="1:31" x14ac:dyDescent="0.3">
      <c r="A19" s="221"/>
      <c r="B19" s="183" t="s">
        <v>46</v>
      </c>
      <c r="C19" s="184"/>
      <c r="D19" s="184"/>
      <c r="E19" s="184"/>
      <c r="F19" s="185"/>
      <c r="G19" s="222" t="s">
        <v>47</v>
      </c>
      <c r="H19" s="184"/>
      <c r="I19" s="184"/>
      <c r="J19" s="185"/>
      <c r="K19" s="183" t="s">
        <v>48</v>
      </c>
      <c r="L19" s="184"/>
      <c r="M19" s="184"/>
      <c r="N19" s="185"/>
      <c r="O19" s="202"/>
      <c r="P19" s="184"/>
      <c r="Q19" s="208" t="s">
        <v>49</v>
      </c>
      <c r="R19" s="209"/>
      <c r="S19" s="209"/>
      <c r="T19" s="209"/>
      <c r="U19" s="210"/>
      <c r="V19" s="242" t="s">
        <v>47</v>
      </c>
      <c r="W19" s="209"/>
      <c r="X19" s="209"/>
      <c r="Y19" s="210"/>
      <c r="Z19" s="220" t="s">
        <v>48</v>
      </c>
      <c r="AA19" s="209"/>
      <c r="AB19" s="209"/>
      <c r="AC19" s="210"/>
      <c r="AD19" s="219"/>
      <c r="AE19" s="210"/>
    </row>
    <row r="20" spans="1:31" ht="43.2" x14ac:dyDescent="0.3">
      <c r="A20" s="101"/>
      <c r="B20" s="186" t="s">
        <v>50</v>
      </c>
      <c r="C20" s="187" t="s">
        <v>51</v>
      </c>
      <c r="D20" s="187" t="s">
        <v>52</v>
      </c>
      <c r="E20" s="187" t="s">
        <v>53</v>
      </c>
      <c r="F20" s="188" t="s">
        <v>54</v>
      </c>
      <c r="G20" s="204" t="s">
        <v>8</v>
      </c>
      <c r="H20" s="204" t="s">
        <v>10</v>
      </c>
      <c r="I20" s="204" t="s">
        <v>12</v>
      </c>
      <c r="J20" s="205" t="s">
        <v>55</v>
      </c>
      <c r="K20" s="203" t="s">
        <v>8</v>
      </c>
      <c r="L20" s="204" t="s">
        <v>10</v>
      </c>
      <c r="M20" s="204" t="s">
        <v>12</v>
      </c>
      <c r="N20" s="205" t="s">
        <v>55</v>
      </c>
      <c r="O20" s="186" t="s">
        <v>56</v>
      </c>
      <c r="P20" s="187" t="s">
        <v>57</v>
      </c>
      <c r="Q20" s="211" t="s">
        <v>50</v>
      </c>
      <c r="R20" s="212" t="s">
        <v>18</v>
      </c>
      <c r="S20" s="212" t="s">
        <v>52</v>
      </c>
      <c r="T20" s="212" t="s">
        <v>58</v>
      </c>
      <c r="U20" s="213" t="s">
        <v>54</v>
      </c>
      <c r="V20" s="216" t="s">
        <v>8</v>
      </c>
      <c r="W20" s="216" t="s">
        <v>10</v>
      </c>
      <c r="X20" s="216" t="s">
        <v>12</v>
      </c>
      <c r="Y20" s="217" t="s">
        <v>55</v>
      </c>
      <c r="Z20" s="215" t="s">
        <v>8</v>
      </c>
      <c r="AA20" s="216" t="s">
        <v>10</v>
      </c>
      <c r="AB20" s="216" t="s">
        <v>12</v>
      </c>
      <c r="AC20" s="217" t="s">
        <v>55</v>
      </c>
      <c r="AD20" s="211" t="s">
        <v>56</v>
      </c>
      <c r="AE20" s="213" t="s">
        <v>57</v>
      </c>
    </row>
    <row r="21" spans="1:31" x14ac:dyDescent="0.3">
      <c r="A21" s="101" t="s">
        <v>86</v>
      </c>
      <c r="B21" s="189">
        <f>'No affected'!P17</f>
        <v>0.4</v>
      </c>
      <c r="C21" s="41">
        <f>Ability!B17</f>
        <v>0.31967774941142579</v>
      </c>
      <c r="D21" s="41">
        <f t="shared" ref="D21:D29" si="8">2*G21+2*H21+I21+2*J21</f>
        <v>0.14583333333333334</v>
      </c>
      <c r="E21" s="41">
        <f t="shared" ref="E21:E29" si="9">(2*K21+2*L21+N21+2*M21)/7</f>
        <v>4.1666666666666671E-2</v>
      </c>
      <c r="F21" s="192">
        <f t="shared" ref="F21:F29" si="10">(K21+L21+N21)/3</f>
        <v>0</v>
      </c>
      <c r="G21" s="236">
        <f>Mortality!P17</f>
        <v>0</v>
      </c>
      <c r="H21" s="236">
        <f>Disease!P17</f>
        <v>0</v>
      </c>
      <c r="I21" s="44">
        <f>Slaughter!P17/24</f>
        <v>0.14583333333333334</v>
      </c>
      <c r="J21" s="238">
        <f>Space!P17/100</f>
        <v>0</v>
      </c>
      <c r="K21" s="240">
        <f>Mortality!P17/Mortality!$G$2</f>
        <v>0</v>
      </c>
      <c r="L21" s="236">
        <f>Disease!P17/Disease!$G$2</f>
        <v>0</v>
      </c>
      <c r="M21" s="44">
        <f>Slaughter!P17/Slaughter!$G$2</f>
        <v>0.14583333333333334</v>
      </c>
      <c r="N21" s="238">
        <f>Space!P17/Space!$G$2</f>
        <v>0</v>
      </c>
      <c r="O21" s="200">
        <f>'Life duration'!P17</f>
        <v>3</v>
      </c>
      <c r="P21" s="226">
        <f>Slaughter!P17/(365*24)</f>
        <v>3.9954337899543381E-4</v>
      </c>
      <c r="Q21" s="101"/>
      <c r="R21" s="170"/>
      <c r="S21" s="170"/>
      <c r="U21" s="111"/>
      <c r="Y21" s="111"/>
      <c r="Z21" s="101"/>
      <c r="AC21" s="111"/>
      <c r="AD21" s="200"/>
      <c r="AE21" s="234"/>
    </row>
    <row r="22" spans="1:31" x14ac:dyDescent="0.3">
      <c r="A22" s="101" t="s">
        <v>87</v>
      </c>
      <c r="B22" s="200">
        <f>'No affected'!P18</f>
        <v>8.5299999999999994</v>
      </c>
      <c r="C22" s="41">
        <f>Ability!B18</f>
        <v>4.9917805810998139E-2</v>
      </c>
      <c r="D22" s="41">
        <f t="shared" si="8"/>
        <v>8.3333333333333329E-2</v>
      </c>
      <c r="E22" s="41">
        <f t="shared" si="9"/>
        <v>2.3809523809523808E-2</v>
      </c>
      <c r="F22" s="192">
        <f t="shared" si="10"/>
        <v>0</v>
      </c>
      <c r="G22" s="236">
        <f>Mortality!P18</f>
        <v>0</v>
      </c>
      <c r="H22" s="236">
        <f>Disease!P18</f>
        <v>0</v>
      </c>
      <c r="I22" s="44">
        <f>Slaughter!P18/24</f>
        <v>8.3333333333333329E-2</v>
      </c>
      <c r="J22" s="238">
        <f>Space!P18/100</f>
        <v>0</v>
      </c>
      <c r="K22" s="240">
        <f>Mortality!P18/Mortality!$G$2</f>
        <v>0</v>
      </c>
      <c r="L22" s="236">
        <f>Disease!P18/Disease!$G$2</f>
        <v>0</v>
      </c>
      <c r="M22" s="44">
        <f>Slaughter!P18/Slaughter!$G$2</f>
        <v>8.3333333333333329E-2</v>
      </c>
      <c r="N22" s="238">
        <f>Space!P18/Space!$G$2</f>
        <v>0</v>
      </c>
      <c r="O22" s="200">
        <f>'Life duration'!P18</f>
        <v>1.5</v>
      </c>
      <c r="P22" s="226">
        <f>Slaughter!P18/(365*24)</f>
        <v>2.2831050228310502E-4</v>
      </c>
      <c r="Q22" s="101"/>
      <c r="R22" s="170"/>
      <c r="S22" s="170"/>
      <c r="U22" s="111"/>
      <c r="Y22" s="111"/>
      <c r="Z22" s="101"/>
      <c r="AC22" s="111"/>
      <c r="AD22" s="200"/>
      <c r="AE22" s="234"/>
    </row>
    <row r="23" spans="1:31" x14ac:dyDescent="0.3">
      <c r="A23" s="101" t="s">
        <v>88</v>
      </c>
      <c r="B23" s="200">
        <f>'No affected'!P19</f>
        <v>16</v>
      </c>
      <c r="C23" s="41">
        <f>Ability!B19</f>
        <v>0.1460824482519773</v>
      </c>
      <c r="D23" s="41">
        <f t="shared" si="8"/>
        <v>4.1666666666666664E-2</v>
      </c>
      <c r="E23" s="41">
        <f t="shared" si="9"/>
        <v>1.1904761904761904E-2</v>
      </c>
      <c r="F23" s="192">
        <f t="shared" si="10"/>
        <v>0</v>
      </c>
      <c r="G23" s="236">
        <f>Mortality!P19</f>
        <v>0</v>
      </c>
      <c r="H23" s="236">
        <f>Disease!P19</f>
        <v>0</v>
      </c>
      <c r="I23" s="44">
        <f>Slaughter!P19/24</f>
        <v>4.1666666666666664E-2</v>
      </c>
      <c r="J23" s="238">
        <f>Space!P19/100</f>
        <v>0</v>
      </c>
      <c r="K23" s="240">
        <f>Mortality!P19/Mortality!$G$2</f>
        <v>0</v>
      </c>
      <c r="L23" s="236">
        <f>Disease!P19/Disease!$G$2</f>
        <v>0</v>
      </c>
      <c r="M23" s="44">
        <f>Slaughter!P19/Slaughter!$G$2</f>
        <v>4.1666666666666664E-2</v>
      </c>
      <c r="N23" s="238">
        <f>Space!P19/Space!$G$2</f>
        <v>0</v>
      </c>
      <c r="O23" s="200">
        <f>'Life duration'!P19</f>
        <v>0.83333333333333337</v>
      </c>
      <c r="P23" s="226">
        <f>Slaughter!P19/(365*24)</f>
        <v>1.1415525114155251E-4</v>
      </c>
      <c r="Q23" s="101"/>
      <c r="R23" s="170"/>
      <c r="S23" s="170"/>
      <c r="U23" s="111"/>
      <c r="Y23" s="111"/>
      <c r="Z23" s="101"/>
      <c r="AC23" s="111"/>
      <c r="AD23" s="200"/>
      <c r="AE23" s="234"/>
    </row>
    <row r="24" spans="1:31" x14ac:dyDescent="0.3">
      <c r="A24" s="101" t="s">
        <v>89</v>
      </c>
      <c r="B24" s="189">
        <f>'No affected'!P20</f>
        <v>0.13</v>
      </c>
      <c r="C24" s="41">
        <f>Ability!B20</f>
        <v>0.37054242144291522</v>
      </c>
      <c r="D24" s="41">
        <f t="shared" si="8"/>
        <v>0.14583333333333334</v>
      </c>
      <c r="E24" s="41">
        <f t="shared" si="9"/>
        <v>4.1666666666666671E-2</v>
      </c>
      <c r="F24" s="192">
        <f t="shared" si="10"/>
        <v>0</v>
      </c>
      <c r="G24" s="236">
        <f>Mortality!P20</f>
        <v>0</v>
      </c>
      <c r="H24" s="236">
        <f>Disease!P20</f>
        <v>0</v>
      </c>
      <c r="I24" s="44">
        <f>Slaughter!P20/24</f>
        <v>0.14583333333333334</v>
      </c>
      <c r="J24" s="238">
        <f>Space!P20/100</f>
        <v>0</v>
      </c>
      <c r="K24" s="240">
        <f>Mortality!P20/Mortality!$G$2</f>
        <v>0</v>
      </c>
      <c r="L24" s="236">
        <f>Disease!P20/Disease!$G$2</f>
        <v>0</v>
      </c>
      <c r="M24" s="44">
        <f>Slaughter!P20/Slaughter!$G$2</f>
        <v>0.14583333333333334</v>
      </c>
      <c r="N24" s="238">
        <f>Space!P20/Space!$G$2</f>
        <v>0</v>
      </c>
      <c r="O24" s="200">
        <f>'Life duration'!P20</f>
        <v>3</v>
      </c>
      <c r="P24" s="226">
        <f>Slaughter!P20/(365*24)</f>
        <v>3.9954337899543381E-4</v>
      </c>
      <c r="Q24" s="101"/>
      <c r="R24" s="170"/>
      <c r="S24" s="170"/>
      <c r="U24" s="111"/>
      <c r="Y24" s="111"/>
      <c r="Z24" s="101"/>
      <c r="AC24" s="111"/>
      <c r="AD24" s="200"/>
      <c r="AE24" s="234"/>
    </row>
    <row r="25" spans="1:31" x14ac:dyDescent="0.3">
      <c r="A25" s="101" t="s">
        <v>95</v>
      </c>
      <c r="B25" s="189">
        <f>'No affected'!P21</f>
        <v>0.05</v>
      </c>
      <c r="C25" s="41">
        <f>Ability!B21</f>
        <v>0.93252505786404671</v>
      </c>
      <c r="D25" s="151">
        <f t="shared" si="8"/>
        <v>6.9444444444444447E-4</v>
      </c>
      <c r="E25" s="151">
        <f t="shared" si="9"/>
        <v>1.9841269841269841E-4</v>
      </c>
      <c r="F25" s="192">
        <f t="shared" si="10"/>
        <v>0</v>
      </c>
      <c r="G25" s="236">
        <f>Mortality!P21</f>
        <v>0</v>
      </c>
      <c r="H25" s="236">
        <f>Disease!P21</f>
        <v>0</v>
      </c>
      <c r="I25" s="245">
        <f>Slaughter!P21/24</f>
        <v>6.9444444444444447E-4</v>
      </c>
      <c r="J25" s="238">
        <f>Space!P21/100</f>
        <v>0</v>
      </c>
      <c r="K25" s="240">
        <f>Mortality!P21/Mortality!$G$2</f>
        <v>0</v>
      </c>
      <c r="L25" s="236">
        <f>Disease!P21/Disease!$G$2</f>
        <v>0</v>
      </c>
      <c r="M25" s="236">
        <f>Slaughter!P21/Slaughter!$G$2</f>
        <v>6.9444444444444447E-4</v>
      </c>
      <c r="N25" s="238">
        <f>Space!P21/Space!$G$2</f>
        <v>0</v>
      </c>
      <c r="O25" s="200">
        <f>'Life duration'!P21</f>
        <v>2</v>
      </c>
      <c r="P25" s="226">
        <f>Slaughter!P21/(365*24)</f>
        <v>1.9025875190258751E-6</v>
      </c>
      <c r="Q25" s="101"/>
      <c r="R25" s="170"/>
      <c r="S25" s="170"/>
      <c r="U25" s="111"/>
      <c r="Y25" s="111"/>
      <c r="Z25" s="101"/>
      <c r="AC25" s="111"/>
      <c r="AD25" s="200"/>
      <c r="AE25" s="234"/>
    </row>
    <row r="26" spans="1:31" x14ac:dyDescent="0.3">
      <c r="A26" s="101" t="s">
        <v>96</v>
      </c>
      <c r="B26" s="189">
        <f>'No affected'!P22</f>
        <v>3.2000000000000001E-2</v>
      </c>
      <c r="C26" s="41">
        <f>Ability!B22</f>
        <v>1</v>
      </c>
      <c r="D26" s="151">
        <f t="shared" si="8"/>
        <v>6.9444444444444447E-4</v>
      </c>
      <c r="E26" s="151">
        <f t="shared" si="9"/>
        <v>1.9841269841269841E-4</v>
      </c>
      <c r="F26" s="192">
        <f t="shared" si="10"/>
        <v>0</v>
      </c>
      <c r="G26" s="236">
        <f>Mortality!P22</f>
        <v>0</v>
      </c>
      <c r="H26" s="236">
        <f>Disease!P22</f>
        <v>0</v>
      </c>
      <c r="I26" s="245">
        <f>Slaughter!P22/24</f>
        <v>6.9444444444444447E-4</v>
      </c>
      <c r="J26" s="238">
        <f>Space!P22/100</f>
        <v>0</v>
      </c>
      <c r="K26" s="240">
        <f>Mortality!P22/Mortality!$G$2</f>
        <v>0</v>
      </c>
      <c r="L26" s="236">
        <f>Disease!P22/Disease!$G$2</f>
        <v>0</v>
      </c>
      <c r="M26" s="236">
        <f>Slaughter!P22/Slaughter!$G$2</f>
        <v>6.9444444444444447E-4</v>
      </c>
      <c r="N26" s="238">
        <f>Space!P22/Space!$G$2</f>
        <v>0</v>
      </c>
      <c r="O26" s="200">
        <f>'Life duration'!P22</f>
        <v>2</v>
      </c>
      <c r="P26" s="226">
        <f>Slaughter!P22/(365*24)</f>
        <v>1.9025875190258751E-6</v>
      </c>
      <c r="Q26" s="101"/>
      <c r="R26" s="170"/>
      <c r="S26" s="170"/>
      <c r="U26" s="111"/>
      <c r="Y26" s="111"/>
      <c r="Z26" s="101"/>
      <c r="AC26" s="111"/>
      <c r="AD26" s="200"/>
      <c r="AE26" s="234"/>
    </row>
    <row r="27" spans="1:31" x14ac:dyDescent="0.3">
      <c r="A27" s="101" t="s">
        <v>97</v>
      </c>
      <c r="B27" s="189">
        <f>'No affected'!P23</f>
        <v>0.63600000000000001</v>
      </c>
      <c r="C27" s="41">
        <f>Ability!B23</f>
        <v>0.70880725560511382</v>
      </c>
      <c r="D27" s="151">
        <f t="shared" si="8"/>
        <v>6.9444444444444447E-4</v>
      </c>
      <c r="E27" s="151">
        <f t="shared" si="9"/>
        <v>1.9841269841269841E-4</v>
      </c>
      <c r="F27" s="192">
        <f t="shared" si="10"/>
        <v>0</v>
      </c>
      <c r="G27" s="236">
        <f>Mortality!P23</f>
        <v>0</v>
      </c>
      <c r="H27" s="236">
        <f>Disease!P23</f>
        <v>0</v>
      </c>
      <c r="I27" s="245">
        <f>Slaughter!P23/24</f>
        <v>6.9444444444444447E-4</v>
      </c>
      <c r="J27" s="238">
        <f>Space!P23/100</f>
        <v>0</v>
      </c>
      <c r="K27" s="240">
        <f>Mortality!P23/Mortality!$G$2</f>
        <v>0</v>
      </c>
      <c r="L27" s="236">
        <f>Disease!P23/Disease!$G$2</f>
        <v>0</v>
      </c>
      <c r="M27" s="236">
        <f>Slaughter!P23/Slaughter!$G$2</f>
        <v>6.9444444444444447E-4</v>
      </c>
      <c r="N27" s="238">
        <f>Space!P23/Space!$G$2</f>
        <v>0</v>
      </c>
      <c r="O27" s="200">
        <f>'Life duration'!P23</f>
        <v>0.16666666666666666</v>
      </c>
      <c r="P27" s="226">
        <f>Slaughter!P23/(365*24)</f>
        <v>1.9025875190258751E-6</v>
      </c>
      <c r="Q27" s="101"/>
      <c r="R27" s="170"/>
      <c r="S27" s="170"/>
      <c r="U27" s="111"/>
      <c r="Y27" s="111"/>
      <c r="Z27" s="101"/>
      <c r="AC27" s="111"/>
      <c r="AD27" s="200"/>
      <c r="AE27" s="234"/>
    </row>
    <row r="28" spans="1:31" x14ac:dyDescent="0.3">
      <c r="A28" s="101" t="s">
        <v>98</v>
      </c>
      <c r="B28" s="259">
        <f>'No affected'!P24</f>
        <v>100</v>
      </c>
      <c r="C28" s="41">
        <f>Ability!B24</f>
        <v>3.9541560819636078E-2</v>
      </c>
      <c r="D28" s="151">
        <f t="shared" si="8"/>
        <v>6.9444444444444447E-4</v>
      </c>
      <c r="E28" s="151">
        <f t="shared" si="9"/>
        <v>1.9841269841269841E-4</v>
      </c>
      <c r="F28" s="192">
        <f t="shared" si="10"/>
        <v>0</v>
      </c>
      <c r="G28" s="236">
        <f>Mortality!P24</f>
        <v>0</v>
      </c>
      <c r="H28" s="236">
        <f>Disease!P24</f>
        <v>0</v>
      </c>
      <c r="I28" s="245">
        <f>Slaughter!P24/24</f>
        <v>6.9444444444444447E-4</v>
      </c>
      <c r="J28" s="238">
        <f>Space!P24/100</f>
        <v>0</v>
      </c>
      <c r="K28" s="240">
        <f>Mortality!P24/Mortality!$G$2</f>
        <v>0</v>
      </c>
      <c r="L28" s="236">
        <f>Disease!P24/Disease!$G$2</f>
        <v>0</v>
      </c>
      <c r="M28" s="236">
        <f>Slaughter!P24/Slaughter!$G$2</f>
        <v>6.9444444444444447E-4</v>
      </c>
      <c r="N28" s="238">
        <f>Space!P24/Space!$G$2</f>
        <v>0</v>
      </c>
      <c r="O28" s="200">
        <f>'Life duration'!P24</f>
        <v>0.29166666666666669</v>
      </c>
      <c r="P28" s="226">
        <f>Slaughter!P24/(365*24)</f>
        <v>1.9025875190258751E-6</v>
      </c>
      <c r="Q28" s="101"/>
      <c r="R28" s="170"/>
      <c r="S28" s="170"/>
      <c r="U28" s="111"/>
      <c r="Y28" s="111"/>
      <c r="Z28" s="101"/>
      <c r="AC28" s="111"/>
      <c r="AD28" s="200"/>
      <c r="AE28" s="234"/>
    </row>
    <row r="29" spans="1:31" x14ac:dyDescent="0.3">
      <c r="A29" s="104" t="s">
        <v>99</v>
      </c>
      <c r="B29" s="260">
        <f>'No affected'!P25</f>
        <v>120</v>
      </c>
      <c r="C29" s="193">
        <f>Ability!B25</f>
        <v>8.8767767475785006E-2</v>
      </c>
      <c r="D29" s="194">
        <f t="shared" si="8"/>
        <v>3.4722222222222224E-4</v>
      </c>
      <c r="E29" s="194">
        <f t="shared" si="9"/>
        <v>9.9206349206349206E-5</v>
      </c>
      <c r="F29" s="195">
        <f t="shared" si="10"/>
        <v>0</v>
      </c>
      <c r="G29" s="237">
        <f>Mortality!P25</f>
        <v>0</v>
      </c>
      <c r="H29" s="237">
        <f>Disease!P25</f>
        <v>0</v>
      </c>
      <c r="I29" s="246">
        <f>Slaughter!P25/24</f>
        <v>3.4722222222222224E-4</v>
      </c>
      <c r="J29" s="239">
        <f>Space!P25/100</f>
        <v>0</v>
      </c>
      <c r="K29" s="241">
        <f>Mortality!P25/Mortality!$G$2</f>
        <v>0</v>
      </c>
      <c r="L29" s="237">
        <f>Disease!P25/Disease!$G$2</f>
        <v>0</v>
      </c>
      <c r="M29" s="237">
        <f>Slaughter!P25/Slaughter!$G$2</f>
        <v>3.4722222222222224E-4</v>
      </c>
      <c r="N29" s="239">
        <f>Space!P25/Space!$G$2</f>
        <v>0</v>
      </c>
      <c r="O29" s="244">
        <f>'Life duration'!P25</f>
        <v>0.25</v>
      </c>
      <c r="P29" s="227">
        <f>Slaughter!P25/(365*24)</f>
        <v>9.5129375951293755E-7</v>
      </c>
      <c r="Q29" s="104"/>
      <c r="R29" s="214"/>
      <c r="S29" s="214"/>
      <c r="T29" s="133"/>
      <c r="U29" s="201"/>
      <c r="V29" s="133"/>
      <c r="W29" s="133"/>
      <c r="X29" s="133"/>
      <c r="Y29" s="201"/>
      <c r="Z29" s="104"/>
      <c r="AA29" s="133"/>
      <c r="AB29" s="133"/>
      <c r="AC29" s="201"/>
      <c r="AD29" s="244"/>
      <c r="AE29" s="235"/>
    </row>
  </sheetData>
  <mergeCells count="4">
    <mergeCell ref="B5:D5"/>
    <mergeCell ref="E5:G5"/>
    <mergeCell ref="H5:J5"/>
    <mergeCell ref="K5:M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E759-3B68-453C-9FB0-67D88BF630AD}">
  <sheetPr>
    <tabColor theme="8" tint="0.59999389629810485"/>
  </sheetPr>
  <dimension ref="A2:AC25"/>
  <sheetViews>
    <sheetView workbookViewId="0">
      <selection activeCell="T11" sqref="T11"/>
    </sheetView>
  </sheetViews>
  <sheetFormatPr defaultRowHeight="14.4" x14ac:dyDescent="0.3"/>
  <cols>
    <col min="1" max="1" width="22.5546875" customWidth="1"/>
    <col min="2" max="29" width="5.6640625" customWidth="1"/>
  </cols>
  <sheetData>
    <row r="2" spans="1:29" ht="21" x14ac:dyDescent="0.4">
      <c r="A2" s="30" t="s">
        <v>8</v>
      </c>
      <c r="B2" s="178" t="s">
        <v>100</v>
      </c>
      <c r="C2" s="177">
        <f>MAX(B6:N25,Q6:AC25)</f>
        <v>0.24099999999999999</v>
      </c>
      <c r="E2" s="178" t="s">
        <v>101</v>
      </c>
      <c r="F2" s="178"/>
      <c r="G2" s="180">
        <v>0.5</v>
      </c>
      <c r="I2" s="170"/>
    </row>
    <row r="4" spans="1:29" s="3" customFormat="1" x14ac:dyDescent="0.3">
      <c r="B4" s="322" t="s">
        <v>46</v>
      </c>
      <c r="C4" s="322"/>
      <c r="D4" s="322"/>
      <c r="E4" s="322"/>
      <c r="F4" s="322"/>
      <c r="G4" s="322"/>
      <c r="H4" s="322"/>
      <c r="I4" s="322"/>
      <c r="J4" s="322"/>
      <c r="K4" s="322"/>
      <c r="L4" s="322"/>
      <c r="M4" s="322"/>
      <c r="N4" s="322"/>
      <c r="O4" s="322"/>
      <c r="P4" s="322"/>
      <c r="Q4" s="323" t="s">
        <v>924</v>
      </c>
      <c r="R4" s="323"/>
      <c r="S4" s="323"/>
      <c r="T4" s="323"/>
      <c r="U4" s="323"/>
      <c r="V4" s="323"/>
      <c r="W4" s="323"/>
      <c r="X4" s="323"/>
      <c r="Y4" s="323"/>
      <c r="Z4" s="323"/>
      <c r="AA4" s="323"/>
      <c r="AB4" s="323"/>
      <c r="AC4" s="323"/>
    </row>
    <row r="5" spans="1:29"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29" x14ac:dyDescent="0.3">
      <c r="A6" t="s">
        <v>59</v>
      </c>
      <c r="B6" s="41">
        <v>4.2000000000000003E-2</v>
      </c>
      <c r="C6" s="41">
        <v>4.2000000000000003E-2</v>
      </c>
      <c r="D6" s="41">
        <v>4.2000000000000003E-2</v>
      </c>
      <c r="E6" s="41">
        <v>4.2000000000000003E-2</v>
      </c>
      <c r="F6" s="41">
        <v>4.2000000000000003E-2</v>
      </c>
      <c r="G6" s="41">
        <v>4.2000000000000003E-2</v>
      </c>
      <c r="H6" s="41">
        <v>4.2000000000000003E-2</v>
      </c>
      <c r="I6" s="41">
        <v>4.2000000000000003E-2</v>
      </c>
      <c r="J6" s="41">
        <v>4.2000000000000003E-2</v>
      </c>
      <c r="K6" s="41">
        <v>4.2000000000000003E-2</v>
      </c>
      <c r="L6" s="41">
        <v>4.2000000000000003E-2</v>
      </c>
      <c r="M6" s="41">
        <v>4.2000000000000003E-2</v>
      </c>
      <c r="N6" s="41"/>
      <c r="O6" s="41"/>
      <c r="P6" s="19"/>
      <c r="Q6" s="41">
        <v>0.03</v>
      </c>
      <c r="R6" s="41">
        <v>0.03</v>
      </c>
      <c r="S6" s="41">
        <v>0.03</v>
      </c>
      <c r="T6" s="41">
        <v>0.03</v>
      </c>
      <c r="U6" s="41">
        <v>0.03</v>
      </c>
      <c r="V6" s="41">
        <v>0.03</v>
      </c>
      <c r="W6" s="41">
        <v>0.03</v>
      </c>
      <c r="X6" s="41">
        <v>0.03</v>
      </c>
      <c r="Y6" s="41">
        <v>0.03</v>
      </c>
      <c r="Z6" s="41">
        <v>0.03</v>
      </c>
      <c r="AA6" s="41">
        <v>0.03</v>
      </c>
      <c r="AB6" s="41">
        <v>0.03</v>
      </c>
      <c r="AC6" s="19"/>
    </row>
    <row r="7" spans="1:29" x14ac:dyDescent="0.3">
      <c r="A7" t="s">
        <v>60</v>
      </c>
      <c r="B7" s="41">
        <v>6.5000000000000002E-2</v>
      </c>
      <c r="C7" s="41">
        <v>6.5000000000000002E-2</v>
      </c>
      <c r="D7" s="41">
        <v>6.5000000000000002E-2</v>
      </c>
      <c r="E7" s="41">
        <v>6.5000000000000002E-2</v>
      </c>
      <c r="F7" s="41">
        <v>6.5000000000000002E-2</v>
      </c>
      <c r="G7" s="41">
        <v>6.5000000000000002E-2</v>
      </c>
      <c r="H7" s="41">
        <v>6.5000000000000002E-2</v>
      </c>
      <c r="I7" s="41">
        <v>6.5000000000000002E-2</v>
      </c>
      <c r="J7" s="41">
        <v>6.5000000000000002E-2</v>
      </c>
      <c r="K7" s="41">
        <v>6.5000000000000002E-2</v>
      </c>
      <c r="L7" s="41">
        <v>6.5000000000000002E-2</v>
      </c>
      <c r="M7" s="41">
        <v>6.5000000000000002E-2</v>
      </c>
      <c r="N7" s="41"/>
      <c r="O7" s="41"/>
      <c r="P7" s="19"/>
      <c r="Q7" s="19" t="s">
        <v>118</v>
      </c>
      <c r="R7" s="19"/>
      <c r="S7" s="19"/>
      <c r="T7" s="19"/>
      <c r="U7" s="19"/>
      <c r="V7" s="19"/>
      <c r="W7" s="19"/>
      <c r="X7" s="19"/>
      <c r="Y7" s="19"/>
      <c r="Z7" s="19"/>
      <c r="AA7" s="19"/>
      <c r="AB7" s="19"/>
      <c r="AC7" s="19"/>
    </row>
    <row r="8" spans="1:29" x14ac:dyDescent="0.3">
      <c r="A8" t="s">
        <v>61</v>
      </c>
      <c r="B8" s="41">
        <v>7.4999999999999997E-2</v>
      </c>
      <c r="C8" s="41">
        <v>7.4999999999999997E-2</v>
      </c>
      <c r="D8" s="41">
        <v>7.4999999999999997E-2</v>
      </c>
      <c r="E8" s="41">
        <v>7.4999999999999997E-2</v>
      </c>
      <c r="F8" s="41">
        <v>7.4999999999999997E-2</v>
      </c>
      <c r="G8" s="41">
        <v>7.4999999999999997E-2</v>
      </c>
      <c r="H8" s="41">
        <v>7.4999999999999997E-2</v>
      </c>
      <c r="I8" s="41">
        <v>7.4999999999999997E-2</v>
      </c>
      <c r="J8" s="41">
        <v>7.4999999999999997E-2</v>
      </c>
      <c r="K8" s="41">
        <v>7.4999999999999997E-2</v>
      </c>
      <c r="L8" s="41">
        <v>7.4999999999999997E-2</v>
      </c>
      <c r="M8" s="41">
        <v>7.4999999999999997E-2</v>
      </c>
      <c r="N8" s="41"/>
      <c r="O8" s="41"/>
      <c r="P8" s="19"/>
      <c r="Q8" s="19" t="s">
        <v>118</v>
      </c>
      <c r="R8" s="19"/>
      <c r="S8" s="19"/>
      <c r="T8" s="19"/>
      <c r="U8" s="19"/>
      <c r="V8" s="19"/>
      <c r="W8" s="19"/>
      <c r="X8" s="19"/>
      <c r="Y8" s="19"/>
      <c r="Z8" s="19"/>
      <c r="AA8" s="19"/>
      <c r="AB8" s="19"/>
      <c r="AC8" s="19"/>
    </row>
    <row r="9" spans="1:29" x14ac:dyDescent="0.3">
      <c r="A9" t="s">
        <v>62</v>
      </c>
      <c r="B9" s="41">
        <v>0.06</v>
      </c>
      <c r="C9" s="41">
        <v>0.06</v>
      </c>
      <c r="D9" s="41">
        <v>0.06</v>
      </c>
      <c r="E9" s="41">
        <v>0.06</v>
      </c>
      <c r="F9" s="41">
        <v>0.06</v>
      </c>
      <c r="G9" s="41">
        <v>0.06</v>
      </c>
      <c r="H9" s="41">
        <v>0.06</v>
      </c>
      <c r="I9" s="41">
        <v>0.06</v>
      </c>
      <c r="J9" s="41">
        <v>0.06</v>
      </c>
      <c r="K9" s="41">
        <v>0.06</v>
      </c>
      <c r="L9" s="41">
        <v>0.06</v>
      </c>
      <c r="M9" s="41"/>
      <c r="N9" s="41"/>
      <c r="O9" s="41"/>
      <c r="P9" s="19"/>
      <c r="Q9" s="19"/>
      <c r="R9" s="19"/>
      <c r="S9" s="19"/>
      <c r="T9" s="19"/>
      <c r="U9" s="19"/>
      <c r="V9" s="19"/>
      <c r="W9" s="19"/>
      <c r="X9" s="19"/>
      <c r="Y9" s="19"/>
      <c r="Z9" s="19"/>
      <c r="AA9" s="19"/>
      <c r="AB9" s="19"/>
      <c r="AC9" s="19"/>
    </row>
    <row r="10" spans="1:29" x14ac:dyDescent="0.3">
      <c r="A10" t="s">
        <v>63</v>
      </c>
      <c r="B10" s="41">
        <v>0.03</v>
      </c>
      <c r="C10" s="41">
        <v>0.03</v>
      </c>
      <c r="D10" s="41">
        <v>0.03</v>
      </c>
      <c r="E10" s="41">
        <v>0.03</v>
      </c>
      <c r="F10" s="41">
        <v>0.03</v>
      </c>
      <c r="G10" s="41">
        <v>0.03</v>
      </c>
      <c r="H10" s="41">
        <v>0.03</v>
      </c>
      <c r="I10" s="41">
        <v>0.03</v>
      </c>
      <c r="J10" s="41">
        <v>0.03</v>
      </c>
      <c r="K10" s="41">
        <v>0.03</v>
      </c>
      <c r="L10" s="41">
        <v>0.03</v>
      </c>
      <c r="M10" s="41"/>
      <c r="N10" s="41"/>
      <c r="O10" s="41"/>
      <c r="P10" s="19"/>
      <c r="Q10" s="19"/>
      <c r="R10" s="19"/>
      <c r="S10" s="19"/>
      <c r="T10" s="19"/>
      <c r="U10" s="19"/>
      <c r="V10" s="19"/>
      <c r="W10" s="19"/>
      <c r="X10" s="19"/>
      <c r="Y10" s="19"/>
      <c r="Z10" s="19"/>
      <c r="AA10" s="19"/>
      <c r="AB10" s="19"/>
      <c r="AC10" s="19"/>
    </row>
    <row r="11" spans="1:29" x14ac:dyDescent="0.3">
      <c r="A11" t="s">
        <v>64</v>
      </c>
      <c r="B11" s="51">
        <v>0.08</v>
      </c>
      <c r="C11" s="51">
        <v>0.08</v>
      </c>
      <c r="D11" s="51">
        <v>0.08</v>
      </c>
      <c r="E11" s="51">
        <v>0.08</v>
      </c>
      <c r="F11" s="51">
        <v>0.08</v>
      </c>
      <c r="G11" s="51">
        <v>0.08</v>
      </c>
      <c r="H11" s="51">
        <v>0.08</v>
      </c>
      <c r="I11" s="51">
        <v>0.08</v>
      </c>
      <c r="J11" s="51">
        <v>0.08</v>
      </c>
      <c r="K11" s="51">
        <v>0.08</v>
      </c>
      <c r="L11" s="51">
        <v>0.08</v>
      </c>
      <c r="M11" s="51">
        <v>0.08</v>
      </c>
      <c r="N11" s="51">
        <v>0.15</v>
      </c>
      <c r="O11" s="51"/>
      <c r="P11" s="18"/>
      <c r="Q11" s="41">
        <v>0.06</v>
      </c>
      <c r="R11" s="41">
        <v>0.06</v>
      </c>
      <c r="S11" s="41">
        <v>0.06</v>
      </c>
      <c r="T11" s="41">
        <v>0.06</v>
      </c>
      <c r="U11" s="41">
        <v>0.06</v>
      </c>
      <c r="V11" s="41">
        <v>0.06</v>
      </c>
      <c r="W11" s="41">
        <v>0.06</v>
      </c>
      <c r="X11" s="41">
        <v>0.06</v>
      </c>
      <c r="Y11" s="41">
        <v>0.06</v>
      </c>
      <c r="Z11" s="41">
        <v>0.06</v>
      </c>
      <c r="AA11" s="41">
        <v>0.06</v>
      </c>
      <c r="AB11" s="41">
        <v>0.06</v>
      </c>
      <c r="AC11" s="41">
        <v>0.06</v>
      </c>
    </row>
    <row r="12" spans="1:29" x14ac:dyDescent="0.3">
      <c r="A12" t="s">
        <v>65</v>
      </c>
      <c r="B12" s="41">
        <v>0.22800000000000001</v>
      </c>
      <c r="C12" s="41">
        <v>0.21199999999999999</v>
      </c>
      <c r="D12" s="41">
        <v>0.20699999999999999</v>
      </c>
      <c r="E12" s="41">
        <v>0.19800000000000001</v>
      </c>
      <c r="F12" s="41">
        <v>0.16200000000000001</v>
      </c>
      <c r="G12" s="41">
        <v>0.16500000000000001</v>
      </c>
      <c r="H12" s="41">
        <v>0.193</v>
      </c>
      <c r="I12" s="41">
        <v>0.16900000000000001</v>
      </c>
      <c r="J12" s="41">
        <v>0.19800000000000001</v>
      </c>
      <c r="K12" s="41">
        <v>0.24099999999999999</v>
      </c>
      <c r="L12" s="41">
        <v>0.20599999999999999</v>
      </c>
      <c r="M12" s="41"/>
      <c r="N12" s="41"/>
      <c r="O12" s="41"/>
      <c r="P12" s="19"/>
      <c r="Q12" s="41">
        <v>3.4000000000000002E-2</v>
      </c>
      <c r="R12" s="41">
        <v>3.4000000000000002E-2</v>
      </c>
      <c r="S12" s="41">
        <v>3.4000000000000002E-2</v>
      </c>
      <c r="T12" s="41">
        <v>3.4000000000000002E-2</v>
      </c>
      <c r="U12" s="41">
        <v>3.4000000000000002E-2</v>
      </c>
      <c r="V12" s="41">
        <v>3.4000000000000002E-2</v>
      </c>
      <c r="W12" s="41">
        <v>3.4000000000000002E-2</v>
      </c>
      <c r="X12" s="41">
        <v>3.4000000000000002E-2</v>
      </c>
      <c r="Y12" s="41">
        <v>3.4000000000000002E-2</v>
      </c>
      <c r="Z12" s="41">
        <v>3.4000000000000002E-2</v>
      </c>
      <c r="AA12" s="41">
        <v>3.4000000000000002E-2</v>
      </c>
      <c r="AB12" s="41"/>
      <c r="AC12" s="41"/>
    </row>
    <row r="13" spans="1:29" x14ac:dyDescent="0.3">
      <c r="A13" t="s">
        <v>66</v>
      </c>
      <c r="B13" s="41">
        <v>3.7999999999999999E-2</v>
      </c>
      <c r="C13" s="41">
        <v>3.7999999999999999E-2</v>
      </c>
      <c r="D13" s="41">
        <v>3.7999999999999999E-2</v>
      </c>
      <c r="E13" s="41">
        <v>3.7999999999999999E-2</v>
      </c>
      <c r="F13" s="41">
        <v>3.7999999999999999E-2</v>
      </c>
      <c r="G13" s="41">
        <v>3.7999999999999999E-2</v>
      </c>
      <c r="H13" s="41">
        <v>3.7999999999999999E-2</v>
      </c>
      <c r="I13" s="41">
        <v>3.7999999999999999E-2</v>
      </c>
      <c r="J13" s="41">
        <v>3.7999999999999999E-2</v>
      </c>
      <c r="K13" s="41">
        <v>3.7999999999999999E-2</v>
      </c>
      <c r="L13" s="41">
        <v>3.7999999999999999E-2</v>
      </c>
      <c r="M13" s="41"/>
      <c r="N13" s="41"/>
      <c r="O13" s="41"/>
      <c r="P13" s="19"/>
      <c r="Q13" s="41">
        <v>0.06</v>
      </c>
      <c r="R13" s="41">
        <v>0.06</v>
      </c>
      <c r="S13" s="41">
        <v>0.06</v>
      </c>
      <c r="T13" s="41">
        <v>0.06</v>
      </c>
      <c r="U13" s="41">
        <v>0.06</v>
      </c>
      <c r="V13" s="41">
        <v>0.06</v>
      </c>
      <c r="W13" s="41">
        <v>0.06</v>
      </c>
      <c r="X13" s="41">
        <v>0.06</v>
      </c>
      <c r="Y13" s="41">
        <v>0.06</v>
      </c>
      <c r="Z13" s="41">
        <v>0.06</v>
      </c>
      <c r="AA13" s="41">
        <v>0.06</v>
      </c>
      <c r="AB13" s="41"/>
      <c r="AC13" s="41"/>
    </row>
    <row r="14" spans="1:29" x14ac:dyDescent="0.3">
      <c r="A14" t="s">
        <v>67</v>
      </c>
      <c r="B14" s="155">
        <v>0.15</v>
      </c>
      <c r="C14" s="154">
        <v>0.15</v>
      </c>
      <c r="D14" s="155">
        <v>0.15</v>
      </c>
      <c r="E14" s="155">
        <v>0.15</v>
      </c>
      <c r="F14" s="154">
        <v>0.15</v>
      </c>
      <c r="G14" s="155">
        <v>0.15</v>
      </c>
      <c r="H14" s="154">
        <v>0.15</v>
      </c>
      <c r="I14" s="155">
        <v>0.15</v>
      </c>
      <c r="J14" s="155">
        <v>0.15</v>
      </c>
      <c r="K14" s="154">
        <v>0.15</v>
      </c>
      <c r="L14" s="155">
        <v>0.15</v>
      </c>
      <c r="M14" s="155"/>
      <c r="N14" s="155"/>
      <c r="O14" s="155"/>
      <c r="P14" s="22"/>
    </row>
    <row r="15" spans="1:29" x14ac:dyDescent="0.3">
      <c r="A15" t="s">
        <v>68</v>
      </c>
      <c r="B15" s="41">
        <v>0.04</v>
      </c>
      <c r="C15" s="41">
        <v>3.5000000000000003E-2</v>
      </c>
      <c r="D15" s="41">
        <v>0.04</v>
      </c>
      <c r="E15" s="41">
        <v>3.5000000000000003E-2</v>
      </c>
      <c r="F15" s="41">
        <v>0.03</v>
      </c>
      <c r="G15" s="41">
        <v>3.5000000000000003E-2</v>
      </c>
      <c r="H15" s="41">
        <v>3.5000000000000003E-2</v>
      </c>
      <c r="I15" s="41">
        <v>0.04</v>
      </c>
      <c r="J15" s="41">
        <v>0.03</v>
      </c>
      <c r="K15" s="41">
        <v>0.03</v>
      </c>
      <c r="L15" s="41">
        <v>0.04</v>
      </c>
      <c r="M15" s="41"/>
      <c r="N15" s="41"/>
      <c r="O15" s="41"/>
      <c r="P15" s="19"/>
      <c r="Q15" s="51"/>
      <c r="R15" s="51"/>
      <c r="S15" s="51"/>
      <c r="T15" s="51"/>
      <c r="U15" s="51"/>
      <c r="V15" s="51"/>
      <c r="W15" s="51"/>
      <c r="X15" s="51"/>
      <c r="Y15" s="51"/>
      <c r="Z15" s="51"/>
      <c r="AA15" s="51"/>
    </row>
    <row r="16" spans="1:29" x14ac:dyDescent="0.3">
      <c r="A16" t="s">
        <v>83</v>
      </c>
      <c r="B16" s="41"/>
      <c r="C16" s="41"/>
      <c r="D16" s="41"/>
      <c r="E16" s="41"/>
      <c r="F16" s="41"/>
      <c r="G16" s="41"/>
      <c r="H16" s="41"/>
      <c r="I16" s="41"/>
      <c r="J16" s="41"/>
      <c r="K16" s="41"/>
      <c r="L16" s="41"/>
      <c r="M16" s="41"/>
      <c r="N16" s="41"/>
      <c r="O16" s="41">
        <v>0.161</v>
      </c>
    </row>
    <row r="17" spans="1:16" x14ac:dyDescent="0.3">
      <c r="A17" t="s">
        <v>86</v>
      </c>
      <c r="P17">
        <v>0</v>
      </c>
    </row>
    <row r="18" spans="1:16" x14ac:dyDescent="0.3">
      <c r="A18" t="s">
        <v>87</v>
      </c>
      <c r="P18">
        <v>0</v>
      </c>
    </row>
    <row r="19" spans="1:16" x14ac:dyDescent="0.3">
      <c r="A19" t="s">
        <v>88</v>
      </c>
      <c r="P19">
        <v>0</v>
      </c>
    </row>
    <row r="20" spans="1:16" x14ac:dyDescent="0.3">
      <c r="A20" t="s">
        <v>89</v>
      </c>
      <c r="P20">
        <v>0</v>
      </c>
    </row>
    <row r="21" spans="1:16" x14ac:dyDescent="0.3">
      <c r="A21" t="s">
        <v>95</v>
      </c>
      <c r="P21">
        <v>0</v>
      </c>
    </row>
    <row r="22" spans="1:16" x14ac:dyDescent="0.3">
      <c r="A22" t="s">
        <v>96</v>
      </c>
      <c r="P22">
        <v>0</v>
      </c>
    </row>
    <row r="23" spans="1:16" x14ac:dyDescent="0.3">
      <c r="A23" t="s">
        <v>97</v>
      </c>
      <c r="P23">
        <v>0</v>
      </c>
    </row>
    <row r="24" spans="1:16" x14ac:dyDescent="0.3">
      <c r="A24" t="s">
        <v>98</v>
      </c>
      <c r="P24">
        <v>0</v>
      </c>
    </row>
    <row r="25" spans="1:16" x14ac:dyDescent="0.3">
      <c r="A25" t="s">
        <v>119</v>
      </c>
      <c r="P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AF3D-61C7-44B9-8850-CB39F243B48B}">
  <sheetPr>
    <tabColor theme="8" tint="0.59999389629810485"/>
  </sheetPr>
  <dimension ref="A1:AC25"/>
  <sheetViews>
    <sheetView zoomScale="95" zoomScaleNormal="100" workbookViewId="0">
      <selection activeCell="T16" sqref="T16"/>
    </sheetView>
  </sheetViews>
  <sheetFormatPr defaultRowHeight="15" customHeight="1" x14ac:dyDescent="0.3"/>
  <cols>
    <col min="1" max="1" width="22.5546875" customWidth="1"/>
    <col min="2" max="2" width="5.6640625" customWidth="1"/>
    <col min="3" max="3" width="5.6640625" style="19" customWidth="1"/>
    <col min="4" max="29" width="5.6640625" customWidth="1"/>
  </cols>
  <sheetData>
    <row r="1" spans="1:29" ht="15" customHeight="1" x14ac:dyDescent="0.3">
      <c r="G1" s="170"/>
    </row>
    <row r="2" spans="1:29" ht="21" customHeight="1" x14ac:dyDescent="0.4">
      <c r="A2" s="30" t="s">
        <v>10</v>
      </c>
      <c r="B2" s="178" t="s">
        <v>100</v>
      </c>
      <c r="C2" s="181">
        <f>MAX(B6:N25,Q6:AC25)</f>
        <v>0.46</v>
      </c>
      <c r="E2" s="178" t="s">
        <v>101</v>
      </c>
      <c r="F2" s="178"/>
      <c r="G2" s="180">
        <v>0.5</v>
      </c>
    </row>
    <row r="3" spans="1:29" ht="15" customHeight="1" x14ac:dyDescent="0.3">
      <c r="C3"/>
    </row>
    <row r="4" spans="1:29" ht="15" customHeight="1" x14ac:dyDescent="0.3">
      <c r="B4" s="171" t="s">
        <v>46</v>
      </c>
      <c r="C4" s="171"/>
      <c r="D4" s="171"/>
      <c r="E4" s="171"/>
      <c r="F4" s="171"/>
      <c r="G4" s="171"/>
      <c r="H4" s="171"/>
      <c r="I4" s="171"/>
      <c r="J4" s="171"/>
      <c r="K4" s="171"/>
      <c r="L4" s="171"/>
      <c r="M4" s="171"/>
      <c r="N4" s="171"/>
      <c r="O4" s="171"/>
      <c r="P4" s="171"/>
      <c r="Q4" s="169" t="s">
        <v>924</v>
      </c>
      <c r="R4" s="169"/>
      <c r="S4" s="169"/>
      <c r="T4" s="169"/>
      <c r="U4" s="169"/>
      <c r="V4" s="169"/>
      <c r="W4" s="169"/>
      <c r="X4" s="169"/>
      <c r="Y4" s="169"/>
      <c r="Z4" s="169"/>
      <c r="AA4" s="169"/>
      <c r="AB4" s="169"/>
      <c r="AC4" s="169"/>
    </row>
    <row r="5" spans="1:29" ht="15" customHeight="1"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29" ht="15" customHeight="1" x14ac:dyDescent="0.3">
      <c r="A6" s="101" t="s">
        <v>59</v>
      </c>
      <c r="B6" s="41">
        <v>0.05</v>
      </c>
      <c r="C6" s="41">
        <v>0.05</v>
      </c>
      <c r="D6" s="41">
        <v>0.05</v>
      </c>
      <c r="E6" s="41">
        <v>0.05</v>
      </c>
      <c r="F6" s="41">
        <v>0.05</v>
      </c>
      <c r="G6" s="41">
        <v>0.05</v>
      </c>
      <c r="H6" s="41">
        <v>0.05</v>
      </c>
      <c r="I6" s="41">
        <v>0.05</v>
      </c>
      <c r="J6" s="41">
        <v>0.05</v>
      </c>
      <c r="K6" s="41">
        <v>0.05</v>
      </c>
      <c r="L6" s="41">
        <v>0.05</v>
      </c>
      <c r="M6" s="41">
        <v>0.05</v>
      </c>
      <c r="N6" s="41"/>
      <c r="O6" s="41"/>
      <c r="P6" s="85"/>
      <c r="Q6" s="41">
        <v>0.04</v>
      </c>
      <c r="R6" s="41">
        <v>0.04</v>
      </c>
      <c r="S6" s="41">
        <v>0.04</v>
      </c>
      <c r="T6" s="41">
        <v>0.04</v>
      </c>
      <c r="U6" s="41">
        <v>0.04</v>
      </c>
      <c r="V6" s="41">
        <v>0.04</v>
      </c>
      <c r="W6" s="41">
        <v>0.04</v>
      </c>
      <c r="X6" s="41">
        <v>0.04</v>
      </c>
      <c r="Y6" s="41">
        <v>0.04</v>
      </c>
      <c r="Z6" s="41">
        <v>0.04</v>
      </c>
      <c r="AA6" s="41">
        <v>0.04</v>
      </c>
      <c r="AB6" s="41">
        <v>0.04</v>
      </c>
      <c r="AC6" s="41"/>
    </row>
    <row r="7" spans="1:29" ht="15" customHeight="1" x14ac:dyDescent="0.3">
      <c r="A7" s="101" t="s">
        <v>60</v>
      </c>
      <c r="B7" s="41">
        <v>0.1</v>
      </c>
      <c r="C7" s="41">
        <v>0.1</v>
      </c>
      <c r="D7" s="41">
        <v>0.1</v>
      </c>
      <c r="E7" s="41">
        <v>0.1</v>
      </c>
      <c r="F7" s="41">
        <v>0.1</v>
      </c>
      <c r="G7" s="41">
        <v>0.1</v>
      </c>
      <c r="H7" s="41">
        <v>0.1</v>
      </c>
      <c r="I7" s="41">
        <v>0.1</v>
      </c>
      <c r="J7" s="41">
        <v>0.1</v>
      </c>
      <c r="K7" s="41">
        <v>0.1</v>
      </c>
      <c r="L7" s="41">
        <v>0.1</v>
      </c>
      <c r="M7" s="41">
        <v>0.1</v>
      </c>
      <c r="N7" s="41"/>
      <c r="O7" s="41"/>
      <c r="P7" s="41"/>
      <c r="Q7" s="19" t="s">
        <v>118</v>
      </c>
      <c r="R7" s="85"/>
      <c r="S7" s="151"/>
      <c r="T7" s="85"/>
      <c r="U7" s="85"/>
      <c r="V7" s="85"/>
      <c r="W7" s="85"/>
      <c r="X7" s="151"/>
      <c r="Y7" s="85"/>
      <c r="Z7" s="85"/>
      <c r="AA7" s="151"/>
      <c r="AB7" s="85"/>
      <c r="AC7" s="19"/>
    </row>
    <row r="8" spans="1:29" ht="15" customHeight="1" x14ac:dyDescent="0.3">
      <c r="A8" s="101" t="s">
        <v>61</v>
      </c>
      <c r="B8" s="41">
        <v>0.05</v>
      </c>
      <c r="C8" s="41">
        <v>0.05</v>
      </c>
      <c r="D8" s="41">
        <v>0.05</v>
      </c>
      <c r="E8" s="41">
        <v>0.05</v>
      </c>
      <c r="F8" s="41">
        <v>0.05</v>
      </c>
      <c r="G8" s="41">
        <v>0.05</v>
      </c>
      <c r="H8" s="41">
        <v>0.05</v>
      </c>
      <c r="I8" s="41">
        <v>0.05</v>
      </c>
      <c r="J8" s="41">
        <v>0.05</v>
      </c>
      <c r="K8" s="41">
        <v>0.05</v>
      </c>
      <c r="L8" s="41">
        <v>0.05</v>
      </c>
      <c r="M8" s="41">
        <v>0.05</v>
      </c>
      <c r="N8" s="41"/>
      <c r="O8" s="41"/>
      <c r="P8" s="41"/>
      <c r="Q8" s="19" t="s">
        <v>118</v>
      </c>
      <c r="R8" s="85"/>
      <c r="S8" s="151"/>
      <c r="T8" s="85"/>
      <c r="U8" s="85"/>
      <c r="V8" s="85"/>
      <c r="W8" s="85"/>
      <c r="X8" s="151"/>
      <c r="Y8" s="85"/>
      <c r="Z8" s="85"/>
      <c r="AA8" s="151"/>
      <c r="AB8" s="85"/>
      <c r="AC8" s="19"/>
    </row>
    <row r="9" spans="1:29" ht="15" customHeight="1" x14ac:dyDescent="0.3">
      <c r="A9" s="101" t="s">
        <v>62</v>
      </c>
      <c r="B9" s="41">
        <v>0.16</v>
      </c>
      <c r="C9" s="41">
        <v>0.16</v>
      </c>
      <c r="D9" s="41">
        <v>0.16</v>
      </c>
      <c r="E9" s="41">
        <v>0.16</v>
      </c>
      <c r="F9" s="41">
        <v>0.16</v>
      </c>
      <c r="G9" s="41">
        <v>0.16</v>
      </c>
      <c r="H9" s="41">
        <v>0.16</v>
      </c>
      <c r="I9" s="41">
        <v>0.16</v>
      </c>
      <c r="J9" s="41">
        <v>0.16</v>
      </c>
      <c r="K9" s="41">
        <v>0.16</v>
      </c>
      <c r="L9" s="41">
        <v>0.16</v>
      </c>
      <c r="M9" s="41">
        <v>0.16</v>
      </c>
      <c r="N9" s="41"/>
      <c r="O9" s="41"/>
      <c r="P9" s="85"/>
      <c r="Q9" s="151"/>
      <c r="R9" s="85"/>
      <c r="S9" s="151"/>
      <c r="T9" s="85"/>
      <c r="U9" s="85"/>
      <c r="V9" s="85"/>
      <c r="W9" s="85"/>
      <c r="X9" s="151"/>
      <c r="Y9" s="85"/>
      <c r="Z9" s="85"/>
      <c r="AA9" s="151"/>
      <c r="AB9" s="85"/>
      <c r="AC9" s="19"/>
    </row>
    <row r="10" spans="1:29" ht="15" customHeight="1" x14ac:dyDescent="0.3">
      <c r="A10" s="101" t="s">
        <v>63</v>
      </c>
      <c r="B10" s="41">
        <v>0.15</v>
      </c>
      <c r="C10" s="41">
        <v>0.15</v>
      </c>
      <c r="D10" s="41">
        <v>0.15</v>
      </c>
      <c r="E10" s="41">
        <v>0.15</v>
      </c>
      <c r="F10" s="41">
        <v>0.15</v>
      </c>
      <c r="G10" s="41">
        <v>0.15</v>
      </c>
      <c r="H10" s="41">
        <v>0.15</v>
      </c>
      <c r="I10" s="41">
        <v>0.15</v>
      </c>
      <c r="J10" s="41">
        <v>0.15</v>
      </c>
      <c r="K10" s="41">
        <v>0.15</v>
      </c>
      <c r="L10" s="41">
        <v>0.15</v>
      </c>
      <c r="M10" s="41"/>
      <c r="N10" s="41"/>
      <c r="O10" s="41"/>
      <c r="P10" s="41"/>
      <c r="Q10" s="151"/>
      <c r="R10" s="41"/>
      <c r="S10" s="151"/>
      <c r="T10" s="41"/>
      <c r="U10" s="41"/>
      <c r="V10" s="41"/>
      <c r="W10" s="41"/>
      <c r="X10" s="151"/>
      <c r="Y10" s="41"/>
      <c r="Z10" s="41"/>
      <c r="AA10" s="151"/>
      <c r="AB10" s="19"/>
      <c r="AC10" s="19"/>
    </row>
    <row r="11" spans="1:29" ht="15" customHeight="1" x14ac:dyDescent="0.3">
      <c r="A11" s="101" t="s">
        <v>64</v>
      </c>
      <c r="B11" s="51">
        <v>0.06</v>
      </c>
      <c r="C11" s="51">
        <v>0.06</v>
      </c>
      <c r="D11" s="51">
        <v>0.06</v>
      </c>
      <c r="E11" s="51">
        <v>0.06</v>
      </c>
      <c r="F11" s="51">
        <v>0.06</v>
      </c>
      <c r="G11" s="51">
        <v>0.06</v>
      </c>
      <c r="H11" s="51">
        <v>0.06</v>
      </c>
      <c r="I11" s="51">
        <v>0.06</v>
      </c>
      <c r="J11" s="51">
        <v>0.06</v>
      </c>
      <c r="K11" s="51">
        <v>0.06</v>
      </c>
      <c r="L11" s="51">
        <v>0.06</v>
      </c>
      <c r="M11" s="51">
        <v>0.06</v>
      </c>
      <c r="N11" s="51">
        <v>0.06</v>
      </c>
      <c r="O11" s="51"/>
      <c r="P11" s="2"/>
      <c r="Q11" s="2">
        <v>0.05</v>
      </c>
      <c r="R11" s="2">
        <v>0.05</v>
      </c>
      <c r="S11" s="2">
        <v>0.05</v>
      </c>
      <c r="T11" s="2">
        <v>0.05</v>
      </c>
      <c r="U11" s="2">
        <v>0.05</v>
      </c>
      <c r="V11" s="2">
        <v>0.05</v>
      </c>
      <c r="W11" s="2">
        <v>0.05</v>
      </c>
      <c r="X11" s="2">
        <v>0.05</v>
      </c>
      <c r="Y11" s="2">
        <v>0.05</v>
      </c>
      <c r="Z11" s="2">
        <v>0.05</v>
      </c>
      <c r="AA11" s="2">
        <v>0.05</v>
      </c>
      <c r="AB11" s="2">
        <v>0.05</v>
      </c>
      <c r="AC11" s="2">
        <v>0.05</v>
      </c>
    </row>
    <row r="12" spans="1:29" ht="15" customHeight="1" x14ac:dyDescent="0.3">
      <c r="A12" s="101" t="s">
        <v>65</v>
      </c>
      <c r="B12" s="41">
        <v>0.15</v>
      </c>
      <c r="C12" s="41">
        <v>0.15</v>
      </c>
      <c r="D12" s="41">
        <v>0.15</v>
      </c>
      <c r="E12" s="41">
        <v>0.15</v>
      </c>
      <c r="F12" s="41">
        <v>0.15</v>
      </c>
      <c r="G12" s="41">
        <v>0.15</v>
      </c>
      <c r="H12" s="41">
        <v>0.15</v>
      </c>
      <c r="I12" s="41">
        <v>0.15</v>
      </c>
      <c r="J12" s="41">
        <v>0.15</v>
      </c>
      <c r="K12" s="41">
        <v>0.15</v>
      </c>
      <c r="L12" s="41">
        <v>0.15</v>
      </c>
      <c r="M12" s="41"/>
      <c r="N12" s="41"/>
      <c r="O12" s="41"/>
      <c r="P12" s="41"/>
      <c r="Q12" s="41">
        <v>0.15</v>
      </c>
      <c r="R12" s="41">
        <v>0.15</v>
      </c>
      <c r="S12" s="41">
        <v>0.15</v>
      </c>
      <c r="T12" s="41">
        <v>0.15</v>
      </c>
      <c r="U12" s="41">
        <v>0.15</v>
      </c>
      <c r="V12" s="41">
        <v>0.15</v>
      </c>
      <c r="W12" s="41">
        <v>0.15</v>
      </c>
      <c r="X12" s="41">
        <v>0.15</v>
      </c>
      <c r="Y12" s="41">
        <v>0.15</v>
      </c>
      <c r="Z12" s="41">
        <v>0.15</v>
      </c>
      <c r="AA12" s="41">
        <v>0.15</v>
      </c>
      <c r="AB12" s="41"/>
      <c r="AC12" s="151"/>
    </row>
    <row r="13" spans="1:29" ht="15" customHeight="1" x14ac:dyDescent="0.3">
      <c r="A13" s="101" t="s">
        <v>66</v>
      </c>
      <c r="B13" s="41">
        <v>0.115</v>
      </c>
      <c r="C13" s="41">
        <v>0.14499999999999999</v>
      </c>
      <c r="D13" s="41">
        <v>0.1</v>
      </c>
      <c r="E13" s="41">
        <v>0.14499999999999999</v>
      </c>
      <c r="F13" s="41">
        <v>0.14499999999999999</v>
      </c>
      <c r="G13" s="41">
        <v>0.14499999999999999</v>
      </c>
      <c r="H13" s="41">
        <v>0.14499999999999999</v>
      </c>
      <c r="I13" s="41">
        <v>0.14499999999999999</v>
      </c>
      <c r="J13" s="41">
        <v>0.14499999999999999</v>
      </c>
      <c r="K13" s="41">
        <v>0.14499999999999999</v>
      </c>
      <c r="L13" s="41">
        <v>5.5E-2</v>
      </c>
      <c r="M13" s="41"/>
      <c r="N13" s="41"/>
      <c r="O13" s="41"/>
      <c r="P13" s="41"/>
      <c r="Q13" s="41">
        <v>0.44</v>
      </c>
      <c r="R13" s="41">
        <v>0.44</v>
      </c>
      <c r="S13" s="41">
        <v>0.46</v>
      </c>
      <c r="T13" s="41">
        <v>0.44</v>
      </c>
      <c r="U13" s="41">
        <v>0.42</v>
      </c>
      <c r="V13" s="41">
        <v>0.44</v>
      </c>
      <c r="W13" s="41">
        <v>0.44</v>
      </c>
      <c r="X13" s="41">
        <v>0.46</v>
      </c>
      <c r="Y13" s="41">
        <v>0.42</v>
      </c>
      <c r="Z13" s="41">
        <v>0.42</v>
      </c>
      <c r="AA13" s="41">
        <v>0.46</v>
      </c>
      <c r="AB13" s="41"/>
      <c r="AC13" s="41"/>
    </row>
    <row r="14" spans="1:29" ht="15" customHeight="1" x14ac:dyDescent="0.3">
      <c r="A14" s="101" t="s">
        <v>67</v>
      </c>
      <c r="B14" s="155">
        <v>0.11</v>
      </c>
      <c r="C14" s="154">
        <v>0.11</v>
      </c>
      <c r="D14" s="155">
        <v>0.11</v>
      </c>
      <c r="E14" s="155">
        <v>0.11</v>
      </c>
      <c r="F14" s="154">
        <v>0.11</v>
      </c>
      <c r="G14" s="155">
        <v>0.11</v>
      </c>
      <c r="H14" s="154">
        <v>0.11</v>
      </c>
      <c r="I14" s="155">
        <v>0.11</v>
      </c>
      <c r="J14" s="155">
        <v>0.11</v>
      </c>
      <c r="K14" s="154">
        <v>0.11</v>
      </c>
      <c r="L14" s="155">
        <v>0.11</v>
      </c>
      <c r="M14" s="155"/>
      <c r="N14" s="155"/>
      <c r="O14" s="155"/>
      <c r="P14" s="23"/>
    </row>
    <row r="15" spans="1:29" ht="15" customHeight="1" x14ac:dyDescent="0.3">
      <c r="A15" s="101" t="s">
        <v>68</v>
      </c>
      <c r="B15" s="51">
        <v>0.46</v>
      </c>
      <c r="C15" s="154">
        <v>0.44</v>
      </c>
      <c r="D15" s="51">
        <v>0.46</v>
      </c>
      <c r="E15" s="154">
        <v>0.44</v>
      </c>
      <c r="F15" s="154">
        <v>0.42</v>
      </c>
      <c r="G15" s="154">
        <v>0.44</v>
      </c>
      <c r="H15" s="41">
        <v>0.44</v>
      </c>
      <c r="I15" s="51">
        <v>0.46</v>
      </c>
      <c r="J15" s="154">
        <v>0.42</v>
      </c>
      <c r="K15" s="154">
        <v>0.42</v>
      </c>
      <c r="L15" s="51">
        <v>0.46</v>
      </c>
      <c r="M15" s="155"/>
      <c r="N15" s="155"/>
      <c r="O15" s="155"/>
      <c r="P15" s="22"/>
      <c r="Q15" s="51"/>
      <c r="R15" s="51"/>
      <c r="S15" s="51"/>
      <c r="T15" s="51"/>
      <c r="U15" s="51"/>
      <c r="V15" s="51"/>
      <c r="W15" s="51"/>
      <c r="X15" s="51"/>
      <c r="Y15" s="51"/>
      <c r="Z15" s="51"/>
      <c r="AA15" s="51"/>
      <c r="AB15" s="19"/>
      <c r="AC15" s="19"/>
    </row>
    <row r="16" spans="1:29" ht="15" customHeight="1" x14ac:dyDescent="0.3">
      <c r="A16" s="101" t="s">
        <v>83</v>
      </c>
      <c r="B16" s="41"/>
      <c r="C16" s="41"/>
      <c r="D16" s="41"/>
      <c r="E16" s="41"/>
      <c r="F16" s="41"/>
      <c r="G16" s="41"/>
      <c r="H16" s="41"/>
      <c r="I16" s="41"/>
      <c r="J16" s="41"/>
      <c r="K16" s="41"/>
      <c r="L16" s="41"/>
      <c r="M16" s="41"/>
      <c r="N16" s="41"/>
      <c r="O16" s="41">
        <v>0.14499999999999999</v>
      </c>
    </row>
    <row r="17" spans="1:27" ht="15" customHeight="1" x14ac:dyDescent="0.3">
      <c r="A17" s="101" t="s">
        <v>86</v>
      </c>
      <c r="C17" s="85"/>
      <c r="D17" s="85"/>
      <c r="E17" s="85"/>
      <c r="F17" s="85"/>
      <c r="G17" s="85"/>
      <c r="H17" s="85"/>
      <c r="I17" s="85"/>
      <c r="J17" s="85"/>
      <c r="K17" s="85"/>
      <c r="L17" s="85"/>
      <c r="P17" s="151">
        <v>0</v>
      </c>
      <c r="Q17" s="85"/>
      <c r="R17" s="85"/>
      <c r="S17" s="85"/>
      <c r="T17" s="85"/>
      <c r="U17" s="85"/>
      <c r="V17" s="85"/>
      <c r="W17" s="85"/>
      <c r="X17" s="85"/>
      <c r="Y17" s="85"/>
      <c r="Z17" s="85"/>
      <c r="AA17" s="85"/>
    </row>
    <row r="18" spans="1:27" ht="15" customHeight="1" x14ac:dyDescent="0.3">
      <c r="A18" s="101" t="s">
        <v>87</v>
      </c>
      <c r="C18" s="85"/>
      <c r="D18" s="85"/>
      <c r="E18" s="85"/>
      <c r="F18" s="85"/>
      <c r="G18" s="85"/>
      <c r="H18" s="85"/>
      <c r="I18" s="85"/>
      <c r="J18" s="85"/>
      <c r="K18" s="85"/>
      <c r="L18" s="85"/>
      <c r="P18" s="151">
        <v>0</v>
      </c>
    </row>
    <row r="19" spans="1:27" ht="15" customHeight="1" x14ac:dyDescent="0.3">
      <c r="A19" s="101" t="s">
        <v>88</v>
      </c>
      <c r="C19" s="85"/>
      <c r="D19" s="85"/>
      <c r="E19" s="85"/>
      <c r="F19" s="85"/>
      <c r="G19" s="85"/>
      <c r="H19" s="85"/>
      <c r="I19" s="85"/>
      <c r="J19" s="85"/>
      <c r="K19" s="85"/>
      <c r="L19" s="85"/>
      <c r="P19" s="151">
        <v>0</v>
      </c>
    </row>
    <row r="20" spans="1:27" ht="15" customHeight="1" x14ac:dyDescent="0.3">
      <c r="A20" s="101" t="s">
        <v>89</v>
      </c>
      <c r="C20" s="85"/>
      <c r="D20" s="85"/>
      <c r="E20" s="85"/>
      <c r="F20" s="85"/>
      <c r="G20" s="85"/>
      <c r="H20" s="85"/>
      <c r="I20" s="85"/>
      <c r="J20" s="85"/>
      <c r="K20" s="85"/>
      <c r="L20" s="85"/>
      <c r="P20" s="151">
        <v>0</v>
      </c>
      <c r="Q20" s="85"/>
      <c r="R20" s="85"/>
      <c r="S20" s="85"/>
      <c r="T20" s="85"/>
      <c r="U20" s="85"/>
      <c r="V20" s="85"/>
      <c r="W20" s="85"/>
      <c r="X20" s="85"/>
      <c r="Y20" s="85"/>
      <c r="Z20" s="85"/>
      <c r="AA20" s="85"/>
    </row>
    <row r="21" spans="1:27" ht="15" customHeight="1" x14ac:dyDescent="0.3">
      <c r="A21" s="101" t="s">
        <v>95</v>
      </c>
      <c r="C21" s="85"/>
      <c r="D21" s="85"/>
      <c r="E21" s="85"/>
      <c r="F21" s="85"/>
      <c r="G21" s="85"/>
      <c r="H21" s="85"/>
      <c r="I21" s="85"/>
      <c r="J21" s="85"/>
      <c r="K21" s="85"/>
      <c r="L21" s="85"/>
      <c r="P21" s="151">
        <v>0</v>
      </c>
      <c r="Q21" s="41"/>
      <c r="R21" s="41"/>
      <c r="S21" s="41"/>
      <c r="T21" s="41"/>
      <c r="U21" s="41"/>
      <c r="V21" s="41"/>
      <c r="W21" s="41"/>
      <c r="X21" s="41"/>
      <c r="Y21" s="41"/>
      <c r="Z21" s="41"/>
      <c r="AA21" s="41"/>
    </row>
    <row r="22" spans="1:27" ht="15" customHeight="1" x14ac:dyDescent="0.3">
      <c r="A22" s="101" t="s">
        <v>96</v>
      </c>
      <c r="C22" s="85"/>
      <c r="D22" s="85"/>
      <c r="E22" s="85"/>
      <c r="F22" s="85"/>
      <c r="G22" s="85"/>
      <c r="H22" s="85"/>
      <c r="I22" s="85"/>
      <c r="J22" s="85"/>
      <c r="K22" s="85"/>
      <c r="L22" s="85"/>
      <c r="P22" s="151">
        <v>0</v>
      </c>
      <c r="Q22" s="41"/>
      <c r="R22" s="41"/>
      <c r="S22" s="41"/>
      <c r="T22" s="41"/>
      <c r="U22" s="41"/>
      <c r="V22" s="41"/>
      <c r="W22" s="41"/>
      <c r="X22" s="41"/>
      <c r="Y22" s="41"/>
      <c r="Z22" s="41"/>
      <c r="AA22" s="41"/>
    </row>
    <row r="23" spans="1:27" ht="15" customHeight="1" x14ac:dyDescent="0.3">
      <c r="A23" s="101" t="s">
        <v>97</v>
      </c>
      <c r="C23" s="85"/>
      <c r="D23" s="85"/>
      <c r="E23" s="85"/>
      <c r="F23" s="85"/>
      <c r="G23" s="85"/>
      <c r="H23" s="85"/>
      <c r="I23" s="85"/>
      <c r="J23" s="85"/>
      <c r="K23" s="85"/>
      <c r="L23" s="85"/>
      <c r="P23" s="151">
        <v>0</v>
      </c>
      <c r="Q23" s="41"/>
      <c r="R23" s="41"/>
      <c r="S23" s="41"/>
      <c r="T23" s="41"/>
      <c r="U23" s="41"/>
      <c r="V23" s="41"/>
      <c r="W23" s="41"/>
      <c r="X23" s="41"/>
      <c r="Y23" s="41"/>
      <c r="Z23" s="41"/>
      <c r="AA23" s="41"/>
    </row>
    <row r="24" spans="1:27" ht="15" customHeight="1" x14ac:dyDescent="0.3">
      <c r="A24" s="101" t="s">
        <v>98</v>
      </c>
      <c r="C24" s="85"/>
      <c r="D24" s="85"/>
      <c r="E24" s="85"/>
      <c r="F24" s="85"/>
      <c r="G24" s="85"/>
      <c r="H24" s="85"/>
      <c r="I24" s="85"/>
      <c r="J24" s="85"/>
      <c r="K24" s="85"/>
      <c r="L24" s="85"/>
      <c r="P24" s="151">
        <v>0</v>
      </c>
      <c r="Q24" s="41"/>
      <c r="R24" s="41"/>
      <c r="S24" s="41"/>
      <c r="T24" s="41"/>
      <c r="U24" s="41"/>
      <c r="V24" s="41"/>
      <c r="W24" s="41"/>
      <c r="X24" s="41"/>
      <c r="Y24" s="41"/>
      <c r="Z24" s="41"/>
      <c r="AA24" s="41"/>
    </row>
    <row r="25" spans="1:27" ht="15" customHeight="1" x14ac:dyDescent="0.3">
      <c r="A25" t="s">
        <v>119</v>
      </c>
      <c r="C25" s="85"/>
      <c r="D25" s="85"/>
      <c r="E25" s="85"/>
      <c r="F25" s="85"/>
      <c r="G25" s="85"/>
      <c r="H25" s="85"/>
      <c r="I25" s="85"/>
      <c r="J25" s="85"/>
      <c r="K25" s="85"/>
      <c r="L25" s="85"/>
      <c r="P25" s="151">
        <v>0</v>
      </c>
      <c r="Q25" s="19"/>
      <c r="R25" s="19"/>
      <c r="S25" s="19"/>
      <c r="T25" s="19"/>
      <c r="U25" s="19"/>
      <c r="V25" s="19"/>
      <c r="W25" s="19"/>
      <c r="X25" s="19"/>
      <c r="Y25" s="19"/>
      <c r="Z25" s="19"/>
      <c r="AA25" s="1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197A-9780-4448-9158-4E677F59A4B5}">
  <sheetPr>
    <tabColor theme="8" tint="0.59999389629810485"/>
  </sheetPr>
  <dimension ref="A1:AJ27"/>
  <sheetViews>
    <sheetView zoomScale="95" zoomScaleNormal="100" workbookViewId="0">
      <selection activeCell="G1" sqref="G1"/>
    </sheetView>
  </sheetViews>
  <sheetFormatPr defaultRowHeight="15" customHeight="1" x14ac:dyDescent="0.3"/>
  <cols>
    <col min="1" max="1" width="22.5546875" customWidth="1"/>
    <col min="2" max="2" width="5.6640625" customWidth="1"/>
    <col min="3" max="3" width="5.6640625" style="19" customWidth="1"/>
    <col min="4" max="29" width="5.6640625" customWidth="1"/>
  </cols>
  <sheetData>
    <row r="1" spans="1:36" ht="15" customHeight="1" x14ac:dyDescent="0.3">
      <c r="G1" s="170"/>
    </row>
    <row r="2" spans="1:36" ht="21" customHeight="1" x14ac:dyDescent="0.4">
      <c r="A2" s="30" t="s">
        <v>12</v>
      </c>
      <c r="B2" s="178" t="s">
        <v>100</v>
      </c>
      <c r="C2" s="181">
        <f>MAX(B6:N25,Q6:AC25)</f>
        <v>11.04</v>
      </c>
      <c r="E2" s="178" t="s">
        <v>101</v>
      </c>
      <c r="F2" s="178"/>
      <c r="G2" s="179">
        <v>24</v>
      </c>
    </row>
    <row r="3" spans="1:36" ht="15" customHeight="1" x14ac:dyDescent="0.3">
      <c r="C3"/>
    </row>
    <row r="4" spans="1:36" ht="15" customHeight="1" x14ac:dyDescent="0.3">
      <c r="B4" s="171" t="s">
        <v>46</v>
      </c>
      <c r="C4" s="171"/>
      <c r="D4" s="171"/>
      <c r="E4" s="171"/>
      <c r="F4" s="171"/>
      <c r="G4" s="171"/>
      <c r="H4" s="171"/>
      <c r="I4" s="171"/>
      <c r="J4" s="171"/>
      <c r="K4" s="171"/>
      <c r="L4" s="171"/>
      <c r="M4" s="171"/>
      <c r="N4" s="171"/>
      <c r="O4" s="171"/>
      <c r="P4" s="171"/>
      <c r="Q4" s="169" t="s">
        <v>925</v>
      </c>
      <c r="R4" s="169"/>
      <c r="S4" s="169"/>
      <c r="T4" s="169"/>
      <c r="U4" s="169"/>
      <c r="V4" s="169"/>
      <c r="W4" s="169" t="s">
        <v>120</v>
      </c>
      <c r="X4" s="169"/>
      <c r="Y4" s="169"/>
      <c r="Z4" s="169"/>
      <c r="AA4" s="169"/>
      <c r="AB4" s="169"/>
      <c r="AC4" s="169"/>
    </row>
    <row r="5" spans="1:36" ht="15" customHeight="1"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36" ht="15" customHeight="1" x14ac:dyDescent="0.3">
      <c r="A6" s="101" t="s">
        <v>59</v>
      </c>
      <c r="B6" s="151">
        <v>6</v>
      </c>
      <c r="C6" s="85">
        <v>8.1999999999999993</v>
      </c>
      <c r="D6" s="151">
        <v>6</v>
      </c>
      <c r="E6" s="85">
        <v>8.1999999999999993</v>
      </c>
      <c r="F6" s="85">
        <v>8.1999999999999993</v>
      </c>
      <c r="G6" s="85">
        <v>8.1999999999999993</v>
      </c>
      <c r="H6" s="85">
        <v>8.1999999999999993</v>
      </c>
      <c r="I6" s="151">
        <v>6</v>
      </c>
      <c r="J6" s="85">
        <v>8.1999999999999993</v>
      </c>
      <c r="K6" s="85">
        <v>8.1999999999999993</v>
      </c>
      <c r="L6" s="151">
        <v>6</v>
      </c>
      <c r="M6" s="85">
        <v>8.1999999999999993</v>
      </c>
      <c r="N6" s="19"/>
      <c r="O6" s="19"/>
      <c r="P6" s="19"/>
      <c r="Q6" s="151">
        <v>6</v>
      </c>
      <c r="R6" s="85">
        <v>8.1999999999999993</v>
      </c>
      <c r="S6" s="151">
        <v>6</v>
      </c>
      <c r="T6" s="85">
        <v>8.1999999999999993</v>
      </c>
      <c r="U6" s="85">
        <v>8.1999999999999993</v>
      </c>
      <c r="V6" s="85">
        <v>8.1999999999999993</v>
      </c>
      <c r="W6" s="85">
        <v>8.1999999999999993</v>
      </c>
      <c r="X6" s="151">
        <v>6</v>
      </c>
      <c r="Y6" s="85">
        <v>8.1999999999999993</v>
      </c>
      <c r="Z6" s="85">
        <v>8.1999999999999993</v>
      </c>
      <c r="AA6" s="151">
        <v>6</v>
      </c>
      <c r="AB6" s="85">
        <v>8.1999999999999993</v>
      </c>
      <c r="AC6" s="19"/>
    </row>
    <row r="7" spans="1:36" ht="15" customHeight="1" x14ac:dyDescent="0.3">
      <c r="A7" s="101" t="s">
        <v>60</v>
      </c>
      <c r="B7" s="151">
        <v>6</v>
      </c>
      <c r="C7" s="85">
        <v>8.1999999999999993</v>
      </c>
      <c r="D7" s="151">
        <v>6</v>
      </c>
      <c r="E7" s="85">
        <v>8.1999999999999993</v>
      </c>
      <c r="F7" s="85">
        <v>8.1999999999999993</v>
      </c>
      <c r="G7" s="85">
        <v>8.1999999999999993</v>
      </c>
      <c r="H7" s="85">
        <v>8.1999999999999993</v>
      </c>
      <c r="I7" s="151">
        <v>6</v>
      </c>
      <c r="J7" s="85">
        <v>8.1999999999999993</v>
      </c>
      <c r="K7" s="85">
        <v>8.1999999999999993</v>
      </c>
      <c r="L7" s="151">
        <v>6</v>
      </c>
      <c r="M7" s="85">
        <v>8.1999999999999993</v>
      </c>
      <c r="N7" s="19"/>
      <c r="O7" s="19"/>
      <c r="P7" s="19"/>
      <c r="Q7" s="19" t="s">
        <v>118</v>
      </c>
      <c r="R7" s="85"/>
      <c r="S7" s="151"/>
      <c r="T7" s="85"/>
      <c r="U7" s="85"/>
      <c r="V7" s="85"/>
      <c r="W7" s="85"/>
      <c r="X7" s="151"/>
      <c r="Y7" s="85"/>
      <c r="Z7" s="85"/>
      <c r="AA7" s="151"/>
      <c r="AB7" s="85"/>
      <c r="AC7" s="19"/>
    </row>
    <row r="8" spans="1:36" ht="15" customHeight="1" x14ac:dyDescent="0.3">
      <c r="A8" s="101" t="s">
        <v>61</v>
      </c>
      <c r="B8" s="151">
        <v>6</v>
      </c>
      <c r="C8" s="85">
        <v>8.1999999999999993</v>
      </c>
      <c r="D8" s="151">
        <v>6</v>
      </c>
      <c r="E8" s="85">
        <v>8.1999999999999993</v>
      </c>
      <c r="F8" s="85">
        <v>8.1999999999999993</v>
      </c>
      <c r="G8" s="85">
        <v>8.1999999999999993</v>
      </c>
      <c r="H8" s="85">
        <v>8.1999999999999993</v>
      </c>
      <c r="I8" s="151">
        <v>6</v>
      </c>
      <c r="J8" s="85">
        <v>8.1999999999999993</v>
      </c>
      <c r="K8" s="85">
        <v>8.1999999999999993</v>
      </c>
      <c r="L8" s="151">
        <v>6</v>
      </c>
      <c r="M8" s="85">
        <v>8.1999999999999993</v>
      </c>
      <c r="N8" s="19"/>
      <c r="O8" s="19"/>
      <c r="P8" s="19"/>
      <c r="Q8" s="19" t="s">
        <v>118</v>
      </c>
      <c r="R8" s="85"/>
      <c r="S8" s="151"/>
      <c r="T8" s="85"/>
      <c r="U8" s="85"/>
      <c r="V8" s="85"/>
      <c r="W8" s="85"/>
      <c r="X8" s="151"/>
      <c r="Y8" s="85"/>
      <c r="Z8" s="85"/>
      <c r="AA8" s="151"/>
      <c r="AB8" s="85"/>
      <c r="AC8" s="19"/>
    </row>
    <row r="9" spans="1:36" ht="15" customHeight="1" x14ac:dyDescent="0.3">
      <c r="A9" s="101" t="s">
        <v>62</v>
      </c>
      <c r="B9" s="151">
        <v>6</v>
      </c>
      <c r="C9" s="85">
        <v>8.1999999999999993</v>
      </c>
      <c r="D9" s="151">
        <v>6</v>
      </c>
      <c r="E9" s="85">
        <v>8.1999999999999993</v>
      </c>
      <c r="F9" s="85">
        <v>8.1999999999999993</v>
      </c>
      <c r="G9" s="85">
        <v>8.1999999999999993</v>
      </c>
      <c r="H9" s="85">
        <v>8.1999999999999993</v>
      </c>
      <c r="I9" s="151">
        <v>6</v>
      </c>
      <c r="J9" s="85">
        <v>8.1999999999999993</v>
      </c>
      <c r="K9" s="85">
        <v>8.1999999999999993</v>
      </c>
      <c r="L9" s="151">
        <v>6</v>
      </c>
      <c r="M9" s="85">
        <v>8.1999999999999993</v>
      </c>
      <c r="N9" s="19"/>
      <c r="O9" s="19"/>
      <c r="P9" s="19"/>
      <c r="Q9" s="151"/>
      <c r="R9" s="85"/>
      <c r="S9" s="151"/>
      <c r="T9" s="85"/>
      <c r="U9" s="85"/>
      <c r="V9" s="85"/>
      <c r="W9" s="85"/>
      <c r="X9" s="151"/>
      <c r="Y9" s="85"/>
      <c r="Z9" s="85"/>
      <c r="AA9" s="151"/>
      <c r="AB9" s="85"/>
      <c r="AC9" s="19"/>
    </row>
    <row r="10" spans="1:36" ht="15" customHeight="1" x14ac:dyDescent="0.3">
      <c r="A10" s="101" t="s">
        <v>63</v>
      </c>
      <c r="B10" s="151">
        <v>6</v>
      </c>
      <c r="C10" s="85">
        <v>11.04</v>
      </c>
      <c r="D10" s="151">
        <v>6</v>
      </c>
      <c r="E10" s="85">
        <v>11.04</v>
      </c>
      <c r="F10" s="85">
        <v>11.04</v>
      </c>
      <c r="G10" s="85">
        <v>11.04</v>
      </c>
      <c r="H10" s="85">
        <v>11.04</v>
      </c>
      <c r="I10" s="151">
        <v>6</v>
      </c>
      <c r="J10" s="85">
        <v>11.04</v>
      </c>
      <c r="K10" s="85">
        <v>11.04</v>
      </c>
      <c r="L10" s="151">
        <v>6</v>
      </c>
      <c r="M10" s="19"/>
      <c r="N10" s="19"/>
      <c r="O10" s="19"/>
      <c r="P10" s="19"/>
      <c r="Q10" s="151"/>
      <c r="R10" s="41"/>
      <c r="S10" s="151"/>
      <c r="T10" s="41"/>
      <c r="U10" s="41"/>
      <c r="V10" s="41"/>
      <c r="W10" s="41"/>
      <c r="X10" s="151"/>
      <c r="Y10" s="41"/>
      <c r="Z10" s="41"/>
      <c r="AA10" s="151"/>
      <c r="AB10" s="19"/>
      <c r="AC10" s="19"/>
    </row>
    <row r="11" spans="1:36" ht="15" customHeight="1" x14ac:dyDescent="0.3">
      <c r="A11" s="101" t="s">
        <v>64</v>
      </c>
      <c r="B11" s="151">
        <v>6</v>
      </c>
      <c r="C11" s="175">
        <v>8.2799999999999994</v>
      </c>
      <c r="D11" s="151">
        <v>6</v>
      </c>
      <c r="E11" s="175">
        <v>8.2799999999999994</v>
      </c>
      <c r="F11" s="175">
        <v>8.2799999999999994</v>
      </c>
      <c r="G11" s="175">
        <v>8.2799999999999994</v>
      </c>
      <c r="H11" s="175">
        <v>8.2799999999999994</v>
      </c>
      <c r="I11" s="151">
        <v>6</v>
      </c>
      <c r="J11" s="175">
        <v>8.2799999999999994</v>
      </c>
      <c r="K11" s="175">
        <v>8.2799999999999994</v>
      </c>
      <c r="L11" s="151">
        <v>6</v>
      </c>
      <c r="M11" s="175">
        <v>8.2799999999999994</v>
      </c>
      <c r="N11" s="492">
        <v>4</v>
      </c>
      <c r="O11" s="18"/>
      <c r="P11" s="18"/>
      <c r="Q11" s="151">
        <v>6</v>
      </c>
      <c r="R11" s="175">
        <v>8.2799999999999994</v>
      </c>
      <c r="S11" s="151">
        <v>6</v>
      </c>
      <c r="T11" s="175">
        <v>8.2799999999999994</v>
      </c>
      <c r="U11" s="175">
        <v>8.2799999999999994</v>
      </c>
      <c r="V11" s="175">
        <v>8.2799999999999994</v>
      </c>
      <c r="W11" s="175">
        <v>8.2799999999999994</v>
      </c>
      <c r="X11" s="151">
        <v>6</v>
      </c>
      <c r="Y11" s="175">
        <v>8.2799999999999994</v>
      </c>
      <c r="Z11" s="175">
        <v>8.2799999999999994</v>
      </c>
      <c r="AA11" s="151">
        <v>6</v>
      </c>
      <c r="AB11" s="175">
        <v>8.2799999999999994</v>
      </c>
      <c r="AC11" s="18"/>
    </row>
    <row r="12" spans="1:36" ht="15" customHeight="1" x14ac:dyDescent="0.3">
      <c r="A12" s="101" t="s">
        <v>65</v>
      </c>
      <c r="B12" s="151">
        <v>6</v>
      </c>
      <c r="C12" s="151">
        <v>8</v>
      </c>
      <c r="D12" s="151">
        <v>6</v>
      </c>
      <c r="E12" s="151">
        <v>8</v>
      </c>
      <c r="F12" s="151">
        <v>8</v>
      </c>
      <c r="G12" s="151">
        <v>8</v>
      </c>
      <c r="H12" s="151">
        <v>8</v>
      </c>
      <c r="I12" s="151">
        <v>6</v>
      </c>
      <c r="J12" s="151">
        <v>8</v>
      </c>
      <c r="K12" s="151">
        <v>8</v>
      </c>
      <c r="L12" s="151">
        <v>6</v>
      </c>
      <c r="N12" s="491"/>
      <c r="O12" s="151"/>
      <c r="P12" s="151"/>
      <c r="Q12" s="151">
        <v>6</v>
      </c>
      <c r="R12" s="151">
        <v>8</v>
      </c>
      <c r="S12" s="151">
        <v>6</v>
      </c>
      <c r="T12" s="151">
        <v>8</v>
      </c>
      <c r="U12" s="151">
        <v>8</v>
      </c>
      <c r="V12" s="151">
        <v>8</v>
      </c>
      <c r="W12" s="151">
        <v>8</v>
      </c>
      <c r="X12" s="151">
        <v>6</v>
      </c>
      <c r="Y12" s="151">
        <v>8</v>
      </c>
      <c r="Z12" s="151">
        <v>8</v>
      </c>
      <c r="AA12" s="151">
        <v>6</v>
      </c>
      <c r="AB12" s="151"/>
      <c r="AC12" s="151">
        <v>4</v>
      </c>
    </row>
    <row r="13" spans="1:36" ht="15" customHeight="1" x14ac:dyDescent="0.3">
      <c r="A13" s="101" t="s">
        <v>66</v>
      </c>
      <c r="B13" s="151">
        <v>4</v>
      </c>
      <c r="C13" s="85">
        <v>4.62</v>
      </c>
      <c r="D13" s="151">
        <v>4</v>
      </c>
      <c r="E13" s="85">
        <v>4.62</v>
      </c>
      <c r="F13" s="85">
        <v>4.62</v>
      </c>
      <c r="G13" s="85">
        <v>4.62</v>
      </c>
      <c r="H13" s="85">
        <v>4.62</v>
      </c>
      <c r="I13" s="151">
        <v>4</v>
      </c>
      <c r="J13" s="85">
        <v>4.62</v>
      </c>
      <c r="K13" s="85">
        <v>4.62</v>
      </c>
      <c r="L13" s="151">
        <v>4</v>
      </c>
      <c r="M13" s="19"/>
      <c r="N13" s="19"/>
      <c r="O13" s="19"/>
      <c r="P13" s="19"/>
      <c r="Q13" s="151">
        <v>4</v>
      </c>
      <c r="R13" s="85">
        <v>4.62</v>
      </c>
      <c r="S13" s="151">
        <v>4</v>
      </c>
      <c r="T13" s="85">
        <v>4.62</v>
      </c>
      <c r="U13" s="85">
        <v>4.62</v>
      </c>
      <c r="V13" s="85">
        <v>4.62</v>
      </c>
      <c r="W13" s="85">
        <v>4.62</v>
      </c>
      <c r="X13" s="151">
        <v>4</v>
      </c>
      <c r="Y13" s="85">
        <v>4.62</v>
      </c>
      <c r="Z13" s="85">
        <v>4.62</v>
      </c>
      <c r="AA13" s="151">
        <v>4</v>
      </c>
      <c r="AB13" s="19"/>
      <c r="AC13" s="19"/>
    </row>
    <row r="14" spans="1:36" ht="15" customHeight="1" x14ac:dyDescent="0.3">
      <c r="A14" s="101" t="s">
        <v>67</v>
      </c>
      <c r="B14" s="176">
        <v>6</v>
      </c>
      <c r="C14" s="182">
        <v>6.2695999999999996</v>
      </c>
      <c r="D14" s="176">
        <v>6</v>
      </c>
      <c r="E14" s="182">
        <v>6.2695999999999996</v>
      </c>
      <c r="F14" s="182">
        <v>6.2695999999999996</v>
      </c>
      <c r="G14" s="182">
        <v>6.2695999999999996</v>
      </c>
      <c r="H14" s="85">
        <v>6.1725000000000003</v>
      </c>
      <c r="I14" s="176">
        <v>6</v>
      </c>
      <c r="J14" s="182">
        <v>6.2695999999999996</v>
      </c>
      <c r="K14" s="182">
        <v>6.2695999999999996</v>
      </c>
      <c r="L14" s="176">
        <v>6</v>
      </c>
      <c r="M14" s="22"/>
      <c r="N14" s="22"/>
      <c r="O14" s="22"/>
      <c r="P14" s="22"/>
      <c r="Q14" s="176"/>
      <c r="R14" s="154"/>
      <c r="S14" s="176"/>
      <c r="T14" s="154"/>
      <c r="U14" s="154"/>
      <c r="V14" s="154"/>
      <c r="W14" s="19"/>
      <c r="X14" s="176"/>
      <c r="Y14" s="154"/>
      <c r="Z14" s="154"/>
      <c r="AA14" s="176"/>
      <c r="AB14" s="22"/>
      <c r="AC14" s="22"/>
    </row>
    <row r="15" spans="1:36" ht="15" customHeight="1" x14ac:dyDescent="0.3">
      <c r="A15" s="101" t="s">
        <v>927</v>
      </c>
      <c r="B15" s="151">
        <v>6</v>
      </c>
      <c r="C15" s="85">
        <v>6.62</v>
      </c>
      <c r="D15" s="151">
        <v>6</v>
      </c>
      <c r="E15" s="85">
        <v>6.62</v>
      </c>
      <c r="F15" s="85">
        <v>6.62</v>
      </c>
      <c r="G15" s="85">
        <v>6.62</v>
      </c>
      <c r="H15" s="85">
        <v>6.62</v>
      </c>
      <c r="I15" s="151">
        <v>6</v>
      </c>
      <c r="J15" s="85">
        <v>6.62</v>
      </c>
      <c r="K15" s="85">
        <v>6.62</v>
      </c>
      <c r="L15" s="151">
        <v>6</v>
      </c>
      <c r="M15" s="19"/>
      <c r="N15" s="19"/>
      <c r="O15" s="19"/>
      <c r="P15" s="19"/>
      <c r="Q15" s="175">
        <f>10/60</f>
        <v>0.16666666666666666</v>
      </c>
      <c r="R15" s="176">
        <v>0</v>
      </c>
      <c r="S15" s="176">
        <v>0</v>
      </c>
      <c r="T15" s="175">
        <f>10/60</f>
        <v>0.16666666666666666</v>
      </c>
      <c r="U15" s="175">
        <f t="shared" ref="U15:AA15" si="0">10/60</f>
        <v>0.16666666666666666</v>
      </c>
      <c r="V15" s="175">
        <f t="shared" si="0"/>
        <v>0.16666666666666666</v>
      </c>
      <c r="W15" s="175">
        <f t="shared" si="0"/>
        <v>0.16666666666666666</v>
      </c>
      <c r="X15" s="175">
        <f t="shared" si="0"/>
        <v>0.16666666666666666</v>
      </c>
      <c r="Y15" s="175">
        <f t="shared" si="0"/>
        <v>0.16666666666666666</v>
      </c>
      <c r="Z15" s="175">
        <f t="shared" si="0"/>
        <v>0.16666666666666666</v>
      </c>
      <c r="AA15" s="175">
        <f t="shared" si="0"/>
        <v>0.16666666666666666</v>
      </c>
      <c r="AB15" s="19"/>
      <c r="AC15" s="19"/>
      <c r="AD15" s="485" t="s">
        <v>121</v>
      </c>
      <c r="AE15" s="485"/>
      <c r="AF15" s="485"/>
      <c r="AG15" s="485"/>
      <c r="AH15" s="485"/>
      <c r="AI15" s="485"/>
      <c r="AJ15" s="485"/>
    </row>
    <row r="16" spans="1:36" ht="15" customHeight="1" x14ac:dyDescent="0.3">
      <c r="A16" s="101" t="s">
        <v>83</v>
      </c>
      <c r="C16"/>
      <c r="O16" s="151">
        <v>6</v>
      </c>
    </row>
    <row r="17" spans="1:27" ht="15" customHeight="1" x14ac:dyDescent="0.3">
      <c r="A17" s="101" t="s">
        <v>86</v>
      </c>
      <c r="C17" s="85"/>
      <c r="D17" s="85"/>
      <c r="E17" s="85"/>
      <c r="F17" s="85"/>
      <c r="G17" s="85"/>
      <c r="H17" s="85"/>
      <c r="I17" s="85"/>
      <c r="J17" s="85"/>
      <c r="K17" s="85"/>
      <c r="L17" s="85"/>
      <c r="P17" s="85">
        <f t="shared" ref="P17" si="1">210/60</f>
        <v>3.5</v>
      </c>
      <c r="Q17" s="85"/>
      <c r="R17" s="85"/>
      <c r="S17" s="85"/>
      <c r="T17" s="85"/>
      <c r="U17" s="85"/>
      <c r="V17" s="85"/>
      <c r="W17" s="85"/>
      <c r="X17" s="85"/>
      <c r="Y17" s="85"/>
      <c r="Z17" s="85"/>
      <c r="AA17" s="85"/>
    </row>
    <row r="18" spans="1:27" ht="15" customHeight="1" x14ac:dyDescent="0.3">
      <c r="A18" s="101" t="s">
        <v>87</v>
      </c>
      <c r="C18"/>
      <c r="P18">
        <v>2</v>
      </c>
    </row>
    <row r="19" spans="1:27" ht="15" customHeight="1" x14ac:dyDescent="0.3">
      <c r="A19" s="101" t="s">
        <v>88</v>
      </c>
      <c r="C19"/>
      <c r="P19">
        <v>1</v>
      </c>
    </row>
    <row r="20" spans="1:27" ht="15" customHeight="1" x14ac:dyDescent="0.3">
      <c r="A20" s="101" t="s">
        <v>89</v>
      </c>
      <c r="C20" s="85"/>
      <c r="D20" s="85"/>
      <c r="E20" s="85"/>
      <c r="F20" s="85"/>
      <c r="G20" s="85"/>
      <c r="H20" s="85"/>
      <c r="I20" s="85"/>
      <c r="J20" s="85"/>
      <c r="K20" s="85"/>
      <c r="L20" s="85"/>
      <c r="P20" s="85">
        <f t="shared" ref="P20" si="2">210/60</f>
        <v>3.5</v>
      </c>
      <c r="Q20" s="85"/>
      <c r="R20" s="85"/>
      <c r="S20" s="85"/>
      <c r="T20" s="85"/>
      <c r="U20" s="85"/>
      <c r="V20" s="85"/>
      <c r="W20" s="85"/>
      <c r="X20" s="85"/>
      <c r="Y20" s="85"/>
      <c r="Z20" s="85"/>
      <c r="AA20" s="85"/>
    </row>
    <row r="21" spans="1:27" ht="15" customHeight="1" x14ac:dyDescent="0.3">
      <c r="A21" s="101" t="s">
        <v>95</v>
      </c>
      <c r="C21" s="41"/>
      <c r="D21" s="41"/>
      <c r="E21" s="41"/>
      <c r="F21" s="41"/>
      <c r="G21" s="41"/>
      <c r="H21" s="41"/>
      <c r="I21" s="41"/>
      <c r="J21" s="41"/>
      <c r="K21" s="41"/>
      <c r="L21" s="41"/>
      <c r="P21" s="41">
        <f t="shared" ref="P21:P24" si="3">1/60</f>
        <v>1.6666666666666666E-2</v>
      </c>
      <c r="Q21" s="41"/>
      <c r="R21" s="41"/>
      <c r="S21" s="41"/>
      <c r="T21" s="41"/>
      <c r="U21" s="41"/>
      <c r="V21" s="41"/>
      <c r="W21" s="41"/>
      <c r="X21" s="41"/>
      <c r="Y21" s="41"/>
      <c r="Z21" s="41"/>
      <c r="AA21" s="41"/>
    </row>
    <row r="22" spans="1:27" ht="15" customHeight="1" x14ac:dyDescent="0.3">
      <c r="A22" s="101" t="s">
        <v>96</v>
      </c>
      <c r="C22" s="41"/>
      <c r="D22" s="41"/>
      <c r="E22" s="41"/>
      <c r="F22" s="41"/>
      <c r="G22" s="41"/>
      <c r="H22" s="41"/>
      <c r="I22" s="41"/>
      <c r="J22" s="41"/>
      <c r="K22" s="41"/>
      <c r="L22" s="41"/>
      <c r="P22" s="41">
        <f t="shared" si="3"/>
        <v>1.6666666666666666E-2</v>
      </c>
      <c r="Q22" s="41"/>
      <c r="R22" s="41"/>
      <c r="S22" s="41"/>
      <c r="T22" s="41"/>
      <c r="U22" s="41"/>
      <c r="V22" s="41"/>
      <c r="W22" s="41"/>
      <c r="X22" s="41"/>
      <c r="Y22" s="41"/>
      <c r="Z22" s="41"/>
      <c r="AA22" s="41"/>
    </row>
    <row r="23" spans="1:27" ht="15" customHeight="1" x14ac:dyDescent="0.3">
      <c r="A23" s="101" t="s">
        <v>97</v>
      </c>
      <c r="C23" s="41"/>
      <c r="D23" s="41"/>
      <c r="E23" s="41"/>
      <c r="F23" s="41"/>
      <c r="G23" s="41"/>
      <c r="H23" s="41"/>
      <c r="I23" s="41"/>
      <c r="J23" s="41"/>
      <c r="K23" s="41"/>
      <c r="L23" s="41"/>
      <c r="P23" s="41">
        <f t="shared" si="3"/>
        <v>1.6666666666666666E-2</v>
      </c>
      <c r="Q23" s="41"/>
      <c r="R23" s="41"/>
      <c r="S23" s="41"/>
      <c r="T23" s="41"/>
      <c r="U23" s="41"/>
      <c r="V23" s="41"/>
      <c r="W23" s="41"/>
      <c r="X23" s="41"/>
      <c r="Y23" s="41"/>
      <c r="Z23" s="41"/>
      <c r="AA23" s="41"/>
    </row>
    <row r="24" spans="1:27" ht="15" customHeight="1" x14ac:dyDescent="0.3">
      <c r="A24" s="101" t="s">
        <v>98</v>
      </c>
      <c r="C24" s="41"/>
      <c r="D24" s="41"/>
      <c r="E24" s="41"/>
      <c r="F24" s="41"/>
      <c r="G24" s="41"/>
      <c r="H24" s="41"/>
      <c r="I24" s="41"/>
      <c r="J24" s="41"/>
      <c r="K24" s="41"/>
      <c r="L24" s="41"/>
      <c r="P24" s="41">
        <f t="shared" si="3"/>
        <v>1.6666666666666666E-2</v>
      </c>
      <c r="Q24" s="41"/>
      <c r="R24" s="41"/>
      <c r="S24" s="41"/>
      <c r="T24" s="41"/>
      <c r="U24" s="41"/>
      <c r="V24" s="41"/>
      <c r="W24" s="41"/>
      <c r="X24" s="41"/>
      <c r="Y24" s="41"/>
      <c r="Z24" s="41"/>
      <c r="AA24" s="41"/>
    </row>
    <row r="25" spans="1:27" ht="15" customHeight="1" x14ac:dyDescent="0.3">
      <c r="A25" t="s">
        <v>119</v>
      </c>
      <c r="D25" s="19"/>
      <c r="E25" s="19"/>
      <c r="F25" s="19"/>
      <c r="G25" s="19"/>
      <c r="H25" s="19"/>
      <c r="I25" s="19"/>
      <c r="J25" s="19"/>
      <c r="K25" s="19"/>
      <c r="L25" s="19"/>
      <c r="P25" s="19">
        <f t="shared" ref="P25" si="4">0.5/60</f>
        <v>8.3333333333333332E-3</v>
      </c>
      <c r="Q25" s="19"/>
      <c r="R25" s="19"/>
      <c r="S25" s="19"/>
      <c r="T25" s="19"/>
      <c r="U25" s="19"/>
      <c r="V25" s="19"/>
      <c r="W25" s="19"/>
      <c r="X25" s="19"/>
      <c r="Y25" s="19"/>
      <c r="Z25" s="19"/>
      <c r="AA25" s="19"/>
    </row>
    <row r="27" spans="1:27" ht="15" customHeight="1" x14ac:dyDescent="0.3">
      <c r="A27" s="100"/>
    </row>
  </sheetData>
  <mergeCells count="1">
    <mergeCell ref="AD15:AJ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AFEE-B2B5-4E68-9B63-2694A4AED77C}">
  <sheetPr>
    <tabColor theme="8" tint="0.59999389629810485"/>
  </sheetPr>
  <dimension ref="A1:AC40"/>
  <sheetViews>
    <sheetView zoomScale="95" zoomScaleNormal="100" workbookViewId="0">
      <selection activeCell="R16" sqref="R16"/>
    </sheetView>
  </sheetViews>
  <sheetFormatPr defaultRowHeight="15" customHeight="1" x14ac:dyDescent="0.3"/>
  <cols>
    <col min="1" max="1" width="22.5546875" customWidth="1"/>
    <col min="2" max="2" width="5.6640625" customWidth="1"/>
    <col min="3" max="3" width="5.6640625" style="19" customWidth="1"/>
    <col min="4" max="29" width="5.6640625" customWidth="1"/>
  </cols>
  <sheetData>
    <row r="1" spans="1:29" ht="15" customHeight="1" x14ac:dyDescent="0.3">
      <c r="G1" s="170"/>
    </row>
    <row r="2" spans="1:29" ht="21" customHeight="1" x14ac:dyDescent="0.4">
      <c r="A2" s="30" t="s">
        <v>55</v>
      </c>
      <c r="B2" s="178" t="s">
        <v>100</v>
      </c>
      <c r="C2" s="180">
        <f>MAX(B6:N25,Q6:AC25)</f>
        <v>70.484000000000009</v>
      </c>
      <c r="E2" s="178" t="s">
        <v>101</v>
      </c>
      <c r="F2" s="178"/>
      <c r="G2" s="179">
        <v>100</v>
      </c>
      <c r="L2" s="170"/>
    </row>
    <row r="3" spans="1:29" ht="15" customHeight="1" x14ac:dyDescent="0.3">
      <c r="C3"/>
    </row>
    <row r="4" spans="1:29" ht="15" customHeight="1" x14ac:dyDescent="0.3">
      <c r="B4" s="171" t="s">
        <v>46</v>
      </c>
      <c r="C4" s="171"/>
      <c r="D4" s="171"/>
      <c r="E4" s="171"/>
      <c r="F4" s="171"/>
      <c r="G4" s="171"/>
      <c r="H4" s="171"/>
      <c r="I4" s="171"/>
      <c r="J4" s="171"/>
      <c r="K4" s="171"/>
      <c r="L4" s="171"/>
      <c r="M4" s="171"/>
      <c r="N4" s="171"/>
      <c r="O4" s="171"/>
      <c r="P4" s="171"/>
      <c r="Q4" s="169" t="s">
        <v>924</v>
      </c>
      <c r="R4" s="169"/>
      <c r="S4" s="169"/>
      <c r="T4" s="169"/>
      <c r="U4" s="169"/>
      <c r="V4" s="169"/>
      <c r="W4" s="169"/>
      <c r="X4" s="169"/>
      <c r="Y4" s="169"/>
      <c r="Z4" s="169"/>
      <c r="AA4" s="169"/>
      <c r="AB4" s="169"/>
      <c r="AC4" s="169"/>
    </row>
    <row r="5" spans="1:29" ht="15" customHeight="1"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29" ht="15" customHeight="1" x14ac:dyDescent="0.3">
      <c r="A6" s="101" t="s">
        <v>59</v>
      </c>
      <c r="B6" s="85">
        <f>'Space cattle'!D165</f>
        <v>23.80960178272117</v>
      </c>
      <c r="C6" s="85">
        <f>C8</f>
        <v>15.591764705882351</v>
      </c>
      <c r="D6" s="85">
        <f t="shared" ref="D6:M6" si="0">D8</f>
        <v>26.777161125319694</v>
      </c>
      <c r="E6" s="85">
        <f t="shared" si="0"/>
        <v>22.709744245524295</v>
      </c>
      <c r="F6" s="85">
        <f t="shared" si="0"/>
        <v>25.421355498721226</v>
      </c>
      <c r="G6" s="85">
        <f t="shared" si="0"/>
        <v>16.269667519181585</v>
      </c>
      <c r="H6" s="85">
        <f t="shared" si="0"/>
        <v>32.87828644501279</v>
      </c>
      <c r="I6" s="85">
        <f t="shared" si="0"/>
        <v>21.184462915601024</v>
      </c>
      <c r="J6" s="85">
        <f t="shared" si="0"/>
        <v>29.827723785166242</v>
      </c>
      <c r="K6" s="85">
        <f t="shared" si="0"/>
        <v>11.863299232736573</v>
      </c>
      <c r="L6" s="85">
        <f t="shared" si="0"/>
        <v>13.491367980296504</v>
      </c>
      <c r="M6" s="85">
        <f t="shared" si="0"/>
        <v>13.060308219178085</v>
      </c>
      <c r="N6" s="85"/>
      <c r="O6" s="19"/>
      <c r="P6" s="19"/>
      <c r="Q6" s="85">
        <f>'Space cattle'!D182</f>
        <v>4.6222585437544232</v>
      </c>
      <c r="R6" s="85">
        <f>'Space cattle'!D183</f>
        <v>5.383875556259377</v>
      </c>
      <c r="S6" s="85">
        <f>'Space cattle'!D184</f>
        <v>8.4771567849465832</v>
      </c>
      <c r="T6" s="85">
        <f>'Space cattle'!D185</f>
        <v>5.4817642027368221</v>
      </c>
      <c r="U6" s="85">
        <f>'Space cattle'!D186</f>
        <v>7.6353144252405736</v>
      </c>
      <c r="V6" s="85">
        <f>'Space cattle'!D187</f>
        <v>7.2241821100353096</v>
      </c>
      <c r="W6" s="85">
        <f>'Space cattle'!D188</f>
        <v>7.8310917181954594</v>
      </c>
      <c r="X6" s="85">
        <f>'Space cattle'!D189</f>
        <v>9.3777323325390611</v>
      </c>
      <c r="Y6" s="85">
        <f>'Space cattle'!D190</f>
        <v>12.216503080384916</v>
      </c>
      <c r="Z6" s="85">
        <f>'Space cattle'!D191</f>
        <v>5.2859869097819336</v>
      </c>
      <c r="AA6" s="85">
        <f>'Space cattle'!D192</f>
        <v>7.2218171946038838</v>
      </c>
      <c r="AB6" s="85">
        <f>'Space cattle'!D193</f>
        <v>6.0690960816014794</v>
      </c>
      <c r="AC6" s="19"/>
    </row>
    <row r="7" spans="1:29" ht="15" customHeight="1" x14ac:dyDescent="0.3">
      <c r="A7" s="101" t="s">
        <v>60</v>
      </c>
      <c r="B7" s="85">
        <f>'Space cattle'!G87</f>
        <v>10.158585858585857</v>
      </c>
      <c r="C7" s="85">
        <f>'Space cattle'!$G$96</f>
        <v>16.784491978609626</v>
      </c>
      <c r="D7" s="85">
        <f>'Space cattle'!$G$96</f>
        <v>16.784491978609626</v>
      </c>
      <c r="E7" s="85">
        <f>'Space cattle'!$G$96</f>
        <v>16.784491978609626</v>
      </c>
      <c r="F7" s="85">
        <f>'Space cattle'!$G$96</f>
        <v>16.784491978609626</v>
      </c>
      <c r="G7" s="85">
        <f>'Space cattle'!$G$96</f>
        <v>16.784491978609626</v>
      </c>
      <c r="H7" s="85">
        <f>'Space cattle'!$G$96</f>
        <v>16.784491978609626</v>
      </c>
      <c r="I7" s="85">
        <f>'Space cattle'!$G$96</f>
        <v>16.784491978609626</v>
      </c>
      <c r="J7" s="85">
        <f>'Space cattle'!$G$96</f>
        <v>16.784491978609626</v>
      </c>
      <c r="K7" s="85">
        <f>'Space cattle'!$G$96</f>
        <v>16.784491978609626</v>
      </c>
      <c r="L7" s="85">
        <f>'Space cattle'!G77</f>
        <v>16.292185007974478</v>
      </c>
      <c r="M7" s="85">
        <f>'Space cattle'!G106</f>
        <v>13.872727272727273</v>
      </c>
      <c r="N7" s="85"/>
      <c r="O7" s="19"/>
      <c r="P7" s="19"/>
      <c r="Q7" s="19" t="s">
        <v>118</v>
      </c>
      <c r="R7" s="85"/>
      <c r="S7" s="151"/>
      <c r="T7" s="85"/>
      <c r="U7" s="85"/>
      <c r="V7" s="85"/>
      <c r="W7" s="85"/>
      <c r="X7" s="151"/>
      <c r="Y7" s="85"/>
      <c r="Z7" s="85"/>
      <c r="AA7" s="151"/>
      <c r="AB7" s="85"/>
      <c r="AC7" s="19"/>
    </row>
    <row r="8" spans="1:29" ht="15" customHeight="1" x14ac:dyDescent="0.3">
      <c r="A8" s="101" t="s">
        <v>61</v>
      </c>
      <c r="B8" s="85">
        <f>'Space cattle'!D166</f>
        <v>11.768860374058297</v>
      </c>
      <c r="C8" s="182">
        <f>'Space cattle'!D167</f>
        <v>15.591764705882351</v>
      </c>
      <c r="D8" s="85">
        <f>'Space cattle'!D168</f>
        <v>26.777161125319694</v>
      </c>
      <c r="E8" s="85">
        <f>'Space cattle'!D169</f>
        <v>22.709744245524295</v>
      </c>
      <c r="F8" s="85">
        <f>'Space cattle'!D170</f>
        <v>25.421355498721226</v>
      </c>
      <c r="G8" s="85">
        <f>'Space cattle'!D171</f>
        <v>16.269667519181585</v>
      </c>
      <c r="H8" s="85">
        <f>'Space cattle'!D172</f>
        <v>32.87828644501279</v>
      </c>
      <c r="I8" s="85">
        <f>'Space cattle'!D173</f>
        <v>21.184462915601024</v>
      </c>
      <c r="J8" s="85">
        <f>'Space cattle'!D174</f>
        <v>29.827723785166242</v>
      </c>
      <c r="K8" s="85">
        <f>'Space cattle'!D175</f>
        <v>11.863299232736573</v>
      </c>
      <c r="L8" s="85">
        <f>'Space cattle'!D176</f>
        <v>13.491367980296504</v>
      </c>
      <c r="M8" s="85">
        <f>'Space cattle'!D177</f>
        <v>13.060308219178085</v>
      </c>
      <c r="N8" s="85"/>
      <c r="Q8" s="19" t="s">
        <v>118</v>
      </c>
      <c r="R8" s="85"/>
      <c r="S8" s="151"/>
      <c r="T8" s="85"/>
      <c r="U8" s="85"/>
      <c r="V8" s="85"/>
      <c r="W8" s="85"/>
      <c r="X8" s="151"/>
      <c r="Y8" s="85"/>
      <c r="Z8" s="85"/>
      <c r="AA8" s="151"/>
      <c r="AB8" s="85"/>
      <c r="AC8" s="19"/>
    </row>
    <row r="9" spans="1:29" ht="15" customHeight="1" x14ac:dyDescent="0.3">
      <c r="A9" s="101" t="s">
        <v>62</v>
      </c>
      <c r="B9" s="85">
        <f>'Space cattle'!H57</f>
        <v>13.786645959756342</v>
      </c>
      <c r="C9" s="182">
        <f>'Space cattle'!H58</f>
        <v>8.4357678337098196</v>
      </c>
      <c r="D9" s="85">
        <f>'Space cattle'!H59</f>
        <v>21.199403364200254</v>
      </c>
      <c r="E9" s="85">
        <f>'Space cattle'!H60</f>
        <v>33.554397369526804</v>
      </c>
      <c r="F9" s="85">
        <f>'Space cattle'!H61</f>
        <v>35.177939308262872</v>
      </c>
      <c r="G9" s="85">
        <f>'Space cattle'!H62</f>
        <v>7.3967380480260045</v>
      </c>
      <c r="H9" s="85">
        <f>'Space cattle'!H63</f>
        <v>24.181333606337049</v>
      </c>
      <c r="I9" s="85">
        <f>'Space cattle'!H64</f>
        <v>14.597627702125994</v>
      </c>
      <c r="J9" s="85">
        <f>'Space cattle'!H65</f>
        <v>20.31735990777895</v>
      </c>
      <c r="K9" s="85">
        <f>'Space cattle'!H66</f>
        <v>30.926318788755655</v>
      </c>
      <c r="L9" s="85">
        <f>'Space cattle'!H67</f>
        <v>11.299396492555498</v>
      </c>
      <c r="M9" s="85"/>
      <c r="N9" s="85"/>
      <c r="O9" s="19"/>
      <c r="P9" s="19"/>
      <c r="Q9" s="151"/>
      <c r="R9" s="85"/>
      <c r="S9" s="151"/>
      <c r="T9" s="85"/>
      <c r="U9" s="85"/>
      <c r="V9" s="85"/>
      <c r="W9" s="85"/>
      <c r="X9" s="151"/>
      <c r="Y9" s="85"/>
      <c r="Z9" s="85"/>
      <c r="AA9" s="151"/>
      <c r="AB9" s="85"/>
      <c r="AC9" s="19"/>
    </row>
    <row r="10" spans="1:29" ht="15" customHeight="1" x14ac:dyDescent="0.3">
      <c r="A10" s="101" t="s">
        <v>63</v>
      </c>
      <c r="B10" s="85">
        <f>'Space horse'!E29*100</f>
        <v>8.8799999999999972</v>
      </c>
      <c r="C10" s="85">
        <f>'Space horse'!E30*100</f>
        <v>6.5999999999999979</v>
      </c>
      <c r="D10" s="85">
        <f>'Space horse'!E31*100</f>
        <v>10.391999999999999</v>
      </c>
      <c r="E10" s="85">
        <f>'Space horse'!E32*100</f>
        <v>6.7200000000000006</v>
      </c>
      <c r="F10" s="85">
        <f>'Space horse'!E33*100</f>
        <v>9.3600000000000012</v>
      </c>
      <c r="G10" s="85">
        <f>'Space horse'!E34*100</f>
        <v>8.8559999999999999</v>
      </c>
      <c r="H10" s="85">
        <f>'Space horse'!E35*100</f>
        <v>9.6</v>
      </c>
      <c r="I10" s="85">
        <f>'Space horse'!E36*100</f>
        <v>11.495999999999999</v>
      </c>
      <c r="J10" s="85">
        <f>'Space horse'!E37*100</f>
        <v>14.976000000000001</v>
      </c>
      <c r="K10" s="85">
        <f>'Space horse'!E38*100</f>
        <v>6.4799999999999986</v>
      </c>
      <c r="L10" s="85">
        <f>'Space horse'!E39*100</f>
        <v>9.4695652173913061</v>
      </c>
      <c r="M10" s="85"/>
      <c r="N10" s="85"/>
      <c r="O10" s="41"/>
      <c r="P10" s="41"/>
      <c r="Q10" s="151"/>
      <c r="R10" s="41"/>
      <c r="S10" s="151"/>
      <c r="T10" s="41"/>
      <c r="U10" s="41"/>
      <c r="V10" s="41"/>
      <c r="W10" s="41"/>
      <c r="X10" s="151"/>
      <c r="Y10" s="41"/>
      <c r="Z10" s="41"/>
      <c r="AA10" s="151"/>
      <c r="AB10" s="19"/>
      <c r="AC10" s="19"/>
    </row>
    <row r="11" spans="1:29" ht="15" customHeight="1" x14ac:dyDescent="0.3">
      <c r="A11" s="101" t="s">
        <v>64</v>
      </c>
      <c r="B11" s="85">
        <f>'Space lamb'!D23</f>
        <v>12.037897083410739</v>
      </c>
      <c r="C11" s="175">
        <f>'Space lamb'!D24</f>
        <v>11.592049043284414</v>
      </c>
      <c r="D11" s="85">
        <f>'Space lamb'!D25</f>
        <v>19.617313765558237</v>
      </c>
      <c r="E11" s="175">
        <f>'Space lamb'!D26</f>
        <v>4.4584804012632349</v>
      </c>
      <c r="F11" s="175">
        <f>'Space lamb'!D27</f>
        <v>24.521642206947799</v>
      </c>
      <c r="G11" s="175">
        <f>'Space lamb'!D28</f>
        <v>1.783392160505296</v>
      </c>
      <c r="H11" s="175">
        <f>'Space lamb'!D29</f>
        <v>4.4584804012632349</v>
      </c>
      <c r="I11" s="85">
        <f>'Space lamb'!D30</f>
        <v>4.4584804012632349</v>
      </c>
      <c r="J11" s="175">
        <f>'Space lamb'!D31</f>
        <v>26.750882407579414</v>
      </c>
      <c r="K11" s="175">
        <f>'Space lamb'!D32</f>
        <v>12.037897083410739</v>
      </c>
      <c r="L11" s="85">
        <f>'Space lamb'!D33</f>
        <v>9.257142857142858</v>
      </c>
      <c r="M11" s="175">
        <f>'Space lamb'!D34</f>
        <v>2.2292402006316201</v>
      </c>
      <c r="N11" s="175">
        <f>'Space lamb'!D35</f>
        <v>0</v>
      </c>
      <c r="O11" s="51"/>
      <c r="P11" s="51"/>
      <c r="Q11" s="85">
        <f>'Space lamb'!D57</f>
        <v>15.190481442233981</v>
      </c>
      <c r="R11" s="175">
        <f>'Space lamb'!D58</f>
        <v>10.637844570822612</v>
      </c>
      <c r="S11" s="85">
        <f>'Space lamb'!D59</f>
        <v>13.207154488351801</v>
      </c>
      <c r="T11" s="175">
        <f>'Space lamb'!D60</f>
        <v>12.711322749881257</v>
      </c>
      <c r="U11" s="175">
        <f>'Space lamb'!D61</f>
        <v>19.833269538821821</v>
      </c>
      <c r="V11" s="175">
        <f>'Space lamb'!D62</f>
        <v>12.305642236587177</v>
      </c>
      <c r="W11" s="175">
        <f>'Space lamb'!D63</f>
        <v>14.063591127528195</v>
      </c>
      <c r="X11" s="85">
        <f>'Space lamb'!D64</f>
        <v>16.137069306586845</v>
      </c>
      <c r="Y11" s="175">
        <f>'Space lamb'!D65</f>
        <v>26.459384589291837</v>
      </c>
      <c r="Z11" s="175">
        <f>'Space lamb'!D66</f>
        <v>10.953373858940234</v>
      </c>
      <c r="AA11" s="85">
        <f>'Space lamb'!D67</f>
        <v>17.331573040174973</v>
      </c>
      <c r="AB11" s="175">
        <f>'Space lamb'!D68</f>
        <v>7.4825516896464128</v>
      </c>
      <c r="AC11" s="175">
        <f>'Space lamb'!D69</f>
        <v>0</v>
      </c>
    </row>
    <row r="12" spans="1:29" ht="15" customHeight="1" x14ac:dyDescent="0.3">
      <c r="A12" s="101" t="s">
        <v>65</v>
      </c>
      <c r="B12" s="85">
        <f>'Space pig'!$I$13</f>
        <v>63.495804195804205</v>
      </c>
      <c r="C12" s="85">
        <f>'Space pig'!$I$13</f>
        <v>63.495804195804205</v>
      </c>
      <c r="D12" s="85">
        <f>'Space pig'!$I$13</f>
        <v>63.495804195804205</v>
      </c>
      <c r="E12" s="85">
        <f>'Space pig'!$I$13</f>
        <v>63.495804195804205</v>
      </c>
      <c r="F12" s="85">
        <f>'Space pig'!$I$13</f>
        <v>63.495804195804205</v>
      </c>
      <c r="G12" s="85">
        <f>'Space pig'!$I$13</f>
        <v>63.495804195804205</v>
      </c>
      <c r="H12" s="85">
        <f>'Space pig'!$I$13</f>
        <v>63.495804195804205</v>
      </c>
      <c r="I12" s="85">
        <f>'Space pig'!$I$13</f>
        <v>63.495804195804205</v>
      </c>
      <c r="J12" s="85">
        <f>'Space pig'!$I$13</f>
        <v>63.495804195804205</v>
      </c>
      <c r="K12" s="85">
        <f>'Space pig'!$I$13</f>
        <v>63.495804195804205</v>
      </c>
      <c r="L12" s="85">
        <f>'Space pig'!G24</f>
        <v>40.746079300592044</v>
      </c>
      <c r="M12" s="85"/>
      <c r="N12" s="85"/>
      <c r="O12" s="151"/>
      <c r="P12" s="151"/>
      <c r="Q12" s="85">
        <f>'Space pig'!$L$35</f>
        <v>41.906956220054894</v>
      </c>
      <c r="R12" s="85">
        <f>'Space pig'!$L$35</f>
        <v>41.906956220054894</v>
      </c>
      <c r="S12" s="85">
        <f>'Space pig'!$L$35</f>
        <v>41.906956220054894</v>
      </c>
      <c r="T12" s="85">
        <f>'Space pig'!$L$35</f>
        <v>41.906956220054894</v>
      </c>
      <c r="U12" s="85">
        <f>'Space pig'!$L$35</f>
        <v>41.906956220054894</v>
      </c>
      <c r="V12" s="85">
        <f>'Space pig'!$L$35</f>
        <v>41.906956220054894</v>
      </c>
      <c r="W12" s="85">
        <f>'Space pig'!$L$35</f>
        <v>41.906956220054894</v>
      </c>
      <c r="X12" s="85">
        <f>'Space pig'!$L$35</f>
        <v>41.906956220054894</v>
      </c>
      <c r="Y12" s="85">
        <f>'Space pig'!$L$35</f>
        <v>41.906956220054894</v>
      </c>
      <c r="Z12" s="85">
        <f>'Space pig'!$L$35</f>
        <v>41.906956220054894</v>
      </c>
      <c r="AA12" s="85">
        <f>'Space pig'!J46</f>
        <v>31.974041689842217</v>
      </c>
      <c r="AB12" s="85"/>
      <c r="AC12" s="85"/>
    </row>
    <row r="13" spans="1:29" ht="15" customHeight="1" x14ac:dyDescent="0.3">
      <c r="A13" s="101" t="s">
        <v>66</v>
      </c>
      <c r="B13" s="85">
        <f>'Space poultry'!G24</f>
        <v>61.739130434782624</v>
      </c>
      <c r="C13" s="85">
        <f>'Space poultry'!$G$14</f>
        <v>64.826086956521763</v>
      </c>
      <c r="D13" s="85">
        <f>'Space poultry'!G34</f>
        <v>60.195652173913061</v>
      </c>
      <c r="E13" s="85">
        <f>'Space poultry'!$G$14</f>
        <v>64.826086956521763</v>
      </c>
      <c r="F13" s="85">
        <f>'Space poultry'!$G$14</f>
        <v>64.826086956521763</v>
      </c>
      <c r="G13" s="85">
        <f>'Space poultry'!$G$14</f>
        <v>64.826086956521763</v>
      </c>
      <c r="H13" s="85">
        <f>'Space poultry'!$G$14</f>
        <v>64.826086956521763</v>
      </c>
      <c r="I13" s="85">
        <f>'Space poultry'!$G$14</f>
        <v>64.826086956521763</v>
      </c>
      <c r="J13" s="85">
        <f>'Space poultry'!$G$14</f>
        <v>64.826086956521763</v>
      </c>
      <c r="K13" s="85">
        <f>'Space poultry'!$G$14</f>
        <v>64.826086956521763</v>
      </c>
      <c r="L13" s="85">
        <f>'Space poultry'!G44</f>
        <v>55.565217391304351</v>
      </c>
      <c r="M13" s="85"/>
      <c r="N13" s="85"/>
      <c r="O13" s="19"/>
      <c r="P13" s="19"/>
      <c r="Q13" s="85">
        <f>'Space poultry'!$H$55</f>
        <v>38.769230769230766</v>
      </c>
      <c r="R13" s="85">
        <f>'Space poultry'!$H$55</f>
        <v>38.769230769230766</v>
      </c>
      <c r="S13" s="85">
        <f>'Space poultry'!$H$55</f>
        <v>38.769230769230766</v>
      </c>
      <c r="T13" s="85">
        <f>'Space poultry'!$H$55</f>
        <v>38.769230769230766</v>
      </c>
      <c r="U13" s="85">
        <f>'Space poultry'!$H$55</f>
        <v>38.769230769230766</v>
      </c>
      <c r="V13" s="85">
        <f>'Space poultry'!$H$55</f>
        <v>38.769230769230766</v>
      </c>
      <c r="W13" s="85">
        <f>'Space poultry'!$H$55</f>
        <v>38.769230769230766</v>
      </c>
      <c r="X13" s="85">
        <f>'Space poultry'!$H$55</f>
        <v>38.769230769230766</v>
      </c>
      <c r="Y13" s="85">
        <f>'Space poultry'!$H$55</f>
        <v>38.769230769230766</v>
      </c>
      <c r="Z13" s="85">
        <f>'Space poultry'!$H$55</f>
        <v>38.769230769230766</v>
      </c>
      <c r="AA13" s="85">
        <f>'Space poultry'!$H$55</f>
        <v>38.769230769230766</v>
      </c>
      <c r="AB13" s="85"/>
      <c r="AC13" s="85"/>
    </row>
    <row r="14" spans="1:29" ht="15" customHeight="1" x14ac:dyDescent="0.3">
      <c r="A14" s="101" t="s">
        <v>67</v>
      </c>
      <c r="B14" s="469"/>
      <c r="C14" s="175">
        <f>'Space rabbit'!$E$31</f>
        <v>33.72</v>
      </c>
      <c r="D14" s="175">
        <f>'Space rabbit'!$E$31</f>
        <v>33.72</v>
      </c>
      <c r="E14" s="175">
        <f>'Space rabbit'!$E$31</f>
        <v>33.72</v>
      </c>
      <c r="F14" s="175">
        <f>'Space rabbit'!$E$31</f>
        <v>33.72</v>
      </c>
      <c r="G14" s="175"/>
      <c r="H14" s="175">
        <f>'Space rabbit'!E13</f>
        <v>30.330909090909092</v>
      </c>
      <c r="I14" s="175">
        <f>'Space rabbit'!$E$31</f>
        <v>33.72</v>
      </c>
      <c r="J14" s="175">
        <f>'Space rabbit'!$E$31</f>
        <v>33.72</v>
      </c>
      <c r="K14" s="175">
        <f>'Space rabbit'!$E$31</f>
        <v>33.72</v>
      </c>
      <c r="L14" s="175">
        <f>'Space rabbit'!E22</f>
        <v>7.7166666666666668</v>
      </c>
      <c r="M14" s="470"/>
      <c r="N14" s="470"/>
      <c r="O14" s="22"/>
      <c r="P14" s="22"/>
      <c r="Q14" s="176"/>
      <c r="R14" s="154"/>
      <c r="S14" s="176"/>
      <c r="T14" s="154"/>
      <c r="U14" s="154"/>
      <c r="V14" s="154"/>
      <c r="W14" s="19"/>
      <c r="X14" s="176"/>
      <c r="Y14" s="154"/>
      <c r="Z14" s="154"/>
      <c r="AA14" s="176"/>
      <c r="AB14" s="22"/>
      <c r="AC14" s="22"/>
    </row>
    <row r="15" spans="1:29" ht="15" customHeight="1" x14ac:dyDescent="0.3">
      <c r="A15" s="101" t="s">
        <v>68</v>
      </c>
      <c r="B15" s="85">
        <f>'Space poultry'!B105*100</f>
        <v>41.608000000000004</v>
      </c>
      <c r="C15" s="85">
        <f>'Space poultry'!C105*100</f>
        <v>44.407999999999994</v>
      </c>
      <c r="D15" s="85">
        <f>'Space poultry'!D105*100</f>
        <v>44.725999999999999</v>
      </c>
      <c r="E15" s="85">
        <f>'Space poultry'!E105*100</f>
        <v>59.672000000000004</v>
      </c>
      <c r="F15" s="85">
        <f>'Space poultry'!F105*100</f>
        <v>68.25800000000001</v>
      </c>
      <c r="G15" s="85">
        <f>'Space poultry'!G105*100</f>
        <v>59.353999999999999</v>
      </c>
      <c r="H15" s="85">
        <f>'Space poultry'!H105*100</f>
        <v>59.672000000000004</v>
      </c>
      <c r="I15" s="85">
        <f>'Space poultry'!I105*100</f>
        <v>45.997999999999998</v>
      </c>
      <c r="J15" s="85">
        <f>'Space poultry'!J105*100</f>
        <v>70.484000000000009</v>
      </c>
      <c r="K15" s="85">
        <f>'Space poultry'!K105*100</f>
        <v>66.986000000000004</v>
      </c>
      <c r="L15" s="85">
        <f>'Space poultry'!L105*100</f>
        <v>40.304000000000002</v>
      </c>
      <c r="M15" s="85"/>
      <c r="N15" s="85"/>
      <c r="O15" s="19"/>
      <c r="P15" s="19"/>
      <c r="Q15" s="175"/>
      <c r="R15" s="175"/>
      <c r="S15" s="175"/>
      <c r="T15" s="175"/>
      <c r="U15" s="175"/>
      <c r="V15" s="175"/>
      <c r="W15" s="175"/>
      <c r="X15" s="175"/>
      <c r="Y15" s="175"/>
      <c r="Z15" s="175"/>
      <c r="AA15" s="175"/>
      <c r="AB15" s="19"/>
      <c r="AC15" s="19"/>
    </row>
    <row r="16" spans="1:29" ht="15" customHeight="1" x14ac:dyDescent="0.3">
      <c r="A16" s="101" t="s">
        <v>83</v>
      </c>
      <c r="C16" s="85"/>
      <c r="D16" s="85"/>
      <c r="E16" s="85"/>
      <c r="F16" s="85"/>
      <c r="G16" s="85"/>
      <c r="H16" s="85"/>
      <c r="I16" s="85"/>
      <c r="J16" s="85"/>
      <c r="K16" s="85"/>
      <c r="L16" s="85"/>
      <c r="O16" s="85">
        <f>'Space salmon'!E14</f>
        <v>3</v>
      </c>
    </row>
    <row r="17" spans="1:27" ht="15" customHeight="1" x14ac:dyDescent="0.3">
      <c r="A17" s="101" t="s">
        <v>86</v>
      </c>
      <c r="B17" s="19"/>
      <c r="D17" s="19"/>
      <c r="E17" s="19"/>
      <c r="F17" s="19"/>
      <c r="G17" s="19"/>
      <c r="H17" s="19"/>
      <c r="I17" s="19"/>
      <c r="J17" s="19"/>
      <c r="K17" s="19"/>
      <c r="L17" s="19"/>
      <c r="P17" s="151"/>
      <c r="Q17" s="85"/>
      <c r="R17" s="85"/>
      <c r="S17" s="85"/>
      <c r="T17" s="85"/>
      <c r="U17" s="85"/>
      <c r="V17" s="85"/>
      <c r="W17" s="85"/>
      <c r="X17" s="85"/>
      <c r="Y17" s="85"/>
      <c r="Z17" s="85"/>
      <c r="AA17" s="85"/>
    </row>
    <row r="18" spans="1:27" ht="15" customHeight="1" x14ac:dyDescent="0.3">
      <c r="A18" s="101" t="s">
        <v>87</v>
      </c>
      <c r="C18" s="151"/>
      <c r="D18" s="151"/>
      <c r="E18" s="151"/>
      <c r="F18" s="151"/>
      <c r="G18" s="151"/>
      <c r="H18" s="151"/>
      <c r="I18" s="151"/>
      <c r="J18" s="151"/>
      <c r="K18" s="151"/>
      <c r="L18" s="151"/>
      <c r="P18" s="151"/>
    </row>
    <row r="19" spans="1:27" ht="15" customHeight="1" x14ac:dyDescent="0.3">
      <c r="A19" s="101" t="s">
        <v>88</v>
      </c>
      <c r="C19" s="151"/>
      <c r="D19" s="151"/>
      <c r="E19" s="151"/>
      <c r="F19" s="151"/>
      <c r="G19" s="151"/>
      <c r="H19" s="151"/>
      <c r="I19" s="151"/>
      <c r="J19" s="151"/>
      <c r="K19" s="151"/>
      <c r="L19" s="151"/>
      <c r="P19" s="151"/>
    </row>
    <row r="20" spans="1:27" ht="15" customHeight="1" x14ac:dyDescent="0.3">
      <c r="A20" s="101" t="s">
        <v>89</v>
      </c>
      <c r="C20" s="151"/>
      <c r="D20" s="151"/>
      <c r="E20" s="151"/>
      <c r="F20" s="151"/>
      <c r="G20" s="151"/>
      <c r="H20" s="151"/>
      <c r="I20" s="151"/>
      <c r="J20" s="151"/>
      <c r="K20" s="151"/>
      <c r="L20" s="151"/>
      <c r="P20" s="151"/>
      <c r="Q20" s="85"/>
      <c r="R20" s="85"/>
      <c r="S20" s="85"/>
      <c r="T20" s="85"/>
      <c r="U20" s="85"/>
      <c r="V20" s="85"/>
      <c r="W20" s="85"/>
      <c r="X20" s="85"/>
      <c r="Y20" s="85"/>
      <c r="Z20" s="85"/>
      <c r="AA20" s="85"/>
    </row>
    <row r="21" spans="1:27" ht="15" customHeight="1" x14ac:dyDescent="0.3">
      <c r="A21" s="101" t="s">
        <v>95</v>
      </c>
      <c r="C21" s="151"/>
      <c r="D21" s="151"/>
      <c r="E21" s="151"/>
      <c r="F21" s="151"/>
      <c r="G21" s="151"/>
      <c r="H21" s="151"/>
      <c r="I21" s="151"/>
      <c r="J21" s="151"/>
      <c r="K21" s="151"/>
      <c r="L21" s="151"/>
      <c r="P21" s="151"/>
      <c r="Q21" s="41"/>
      <c r="R21" s="41"/>
      <c r="S21" s="41"/>
      <c r="T21" s="41"/>
      <c r="U21" s="41"/>
      <c r="V21" s="41"/>
      <c r="W21" s="41"/>
      <c r="X21" s="41"/>
      <c r="Y21" s="41"/>
      <c r="Z21" s="41"/>
      <c r="AA21" s="41"/>
    </row>
    <row r="22" spans="1:27" ht="15" customHeight="1" x14ac:dyDescent="0.3">
      <c r="A22" s="101" t="s">
        <v>96</v>
      </c>
      <c r="C22" s="151"/>
      <c r="D22" s="151"/>
      <c r="E22" s="151"/>
      <c r="F22" s="151"/>
      <c r="G22" s="151"/>
      <c r="H22" s="151"/>
      <c r="I22" s="151"/>
      <c r="J22" s="151"/>
      <c r="K22" s="151"/>
      <c r="L22" s="151"/>
      <c r="P22" s="151"/>
      <c r="Q22" s="41"/>
      <c r="R22" s="41"/>
      <c r="S22" s="41"/>
      <c r="T22" s="41"/>
      <c r="U22" s="41"/>
      <c r="V22" s="41"/>
      <c r="W22" s="41"/>
      <c r="X22" s="41"/>
      <c r="Y22" s="41"/>
      <c r="Z22" s="41"/>
      <c r="AA22" s="41"/>
    </row>
    <row r="23" spans="1:27" ht="15" customHeight="1" x14ac:dyDescent="0.3">
      <c r="A23" s="101" t="s">
        <v>97</v>
      </c>
      <c r="C23" s="151"/>
      <c r="D23" s="151"/>
      <c r="E23" s="151"/>
      <c r="F23" s="151"/>
      <c r="G23" s="151"/>
      <c r="H23" s="151"/>
      <c r="I23" s="151"/>
      <c r="J23" s="151"/>
      <c r="K23" s="151"/>
      <c r="L23" s="151"/>
      <c r="P23" s="151"/>
      <c r="Q23" s="41"/>
      <c r="R23" s="41"/>
      <c r="S23" s="41"/>
      <c r="T23" s="41"/>
      <c r="U23" s="41"/>
      <c r="V23" s="41"/>
      <c r="W23" s="41"/>
      <c r="X23" s="41"/>
      <c r="Y23" s="41"/>
      <c r="Z23" s="41"/>
      <c r="AA23" s="41"/>
    </row>
    <row r="24" spans="1:27" ht="15" customHeight="1" x14ac:dyDescent="0.3">
      <c r="A24" s="101" t="s">
        <v>98</v>
      </c>
      <c r="C24" s="151"/>
      <c r="D24" s="151"/>
      <c r="E24" s="151"/>
      <c r="F24" s="151"/>
      <c r="G24" s="151"/>
      <c r="H24" s="151"/>
      <c r="I24" s="151"/>
      <c r="J24" s="151"/>
      <c r="K24" s="151"/>
      <c r="L24" s="151"/>
      <c r="P24" s="151"/>
      <c r="Q24" s="41"/>
      <c r="R24" s="41"/>
      <c r="S24" s="41"/>
      <c r="T24" s="41"/>
      <c r="U24" s="41"/>
      <c r="V24" s="41"/>
      <c r="W24" s="41"/>
      <c r="X24" s="41"/>
      <c r="Y24" s="41"/>
      <c r="Z24" s="41"/>
      <c r="AA24" s="41"/>
    </row>
    <row r="25" spans="1:27" ht="15" customHeight="1" x14ac:dyDescent="0.3">
      <c r="A25" t="s">
        <v>119</v>
      </c>
      <c r="C25" s="151"/>
      <c r="D25" s="151"/>
      <c r="E25" s="151"/>
      <c r="F25" s="151"/>
      <c r="G25" s="151"/>
      <c r="H25" s="151"/>
      <c r="I25" s="151"/>
      <c r="J25" s="151"/>
      <c r="K25" s="151"/>
      <c r="L25" s="151"/>
      <c r="P25" s="151"/>
      <c r="Q25" s="19"/>
      <c r="R25" s="19"/>
      <c r="S25" s="19"/>
      <c r="T25" s="19"/>
      <c r="U25" s="19"/>
      <c r="V25" s="19"/>
      <c r="W25" s="19"/>
      <c r="X25" s="19"/>
      <c r="Y25" s="19"/>
      <c r="Z25" s="19"/>
      <c r="AA25" s="19"/>
    </row>
    <row r="29" spans="1:27" ht="15" customHeight="1" x14ac:dyDescent="0.3">
      <c r="J29" s="1"/>
    </row>
    <row r="30" spans="1:27" ht="15" customHeight="1" x14ac:dyDescent="0.3">
      <c r="J30" s="1"/>
    </row>
    <row r="31" spans="1:27" ht="15" customHeight="1" x14ac:dyDescent="0.3">
      <c r="J31" s="1"/>
    </row>
    <row r="32" spans="1:27" ht="15" customHeight="1" x14ac:dyDescent="0.3">
      <c r="J32" s="1"/>
    </row>
    <row r="33" spans="10:10" ht="15" customHeight="1" x14ac:dyDescent="0.3">
      <c r="J33" s="1"/>
    </row>
    <row r="34" spans="10:10" ht="15" customHeight="1" x14ac:dyDescent="0.3">
      <c r="J34" s="1"/>
    </row>
    <row r="35" spans="10:10" ht="15" customHeight="1" x14ac:dyDescent="0.3">
      <c r="J35" s="1"/>
    </row>
    <row r="36" spans="10:10" ht="15" customHeight="1" x14ac:dyDescent="0.3">
      <c r="J36" s="1"/>
    </row>
    <row r="37" spans="10:10" ht="15" customHeight="1" x14ac:dyDescent="0.3">
      <c r="J37" s="1"/>
    </row>
    <row r="38" spans="10:10" ht="15" customHeight="1" x14ac:dyDescent="0.3">
      <c r="J38" s="1"/>
    </row>
    <row r="39" spans="10:10" ht="15" customHeight="1" x14ac:dyDescent="0.3">
      <c r="J39" s="1"/>
    </row>
    <row r="40" spans="10:10" ht="15" customHeight="1" x14ac:dyDescent="0.3">
      <c r="J40"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EAF2-CB95-4D1D-BD0D-5DE07713AE26}">
  <sheetPr>
    <tabColor theme="8" tint="-0.249977111117893"/>
  </sheetPr>
  <dimension ref="A1:AD28"/>
  <sheetViews>
    <sheetView topLeftCell="I1" zoomScale="95" zoomScaleNormal="100" workbookViewId="0">
      <selection activeCell="Q13" sqref="Q13:AA13"/>
    </sheetView>
  </sheetViews>
  <sheetFormatPr defaultRowHeight="15" customHeight="1" x14ac:dyDescent="0.3"/>
  <cols>
    <col min="1" max="1" width="22.5546875" customWidth="1"/>
    <col min="2" max="2" width="6.6640625" customWidth="1"/>
    <col min="3" max="3" width="6.6640625" style="19" customWidth="1"/>
    <col min="4" max="16" width="6.6640625" customWidth="1"/>
    <col min="17" max="29" width="7.6640625" customWidth="1"/>
  </cols>
  <sheetData>
    <row r="1" spans="1:30" ht="15" customHeight="1" x14ac:dyDescent="0.3">
      <c r="F1" s="102"/>
      <c r="G1" s="170"/>
    </row>
    <row r="2" spans="1:30" ht="21" customHeight="1" x14ac:dyDescent="0.4">
      <c r="A2" s="30" t="s">
        <v>122</v>
      </c>
      <c r="C2" s="41"/>
      <c r="F2" s="102"/>
      <c r="G2" s="151"/>
      <c r="L2" s="170"/>
    </row>
    <row r="3" spans="1:30" ht="15" customHeight="1" x14ac:dyDescent="0.3">
      <c r="C3"/>
    </row>
    <row r="4" spans="1:30" ht="15" customHeight="1" x14ac:dyDescent="0.3">
      <c r="B4" s="171" t="s">
        <v>46</v>
      </c>
      <c r="C4" s="171"/>
      <c r="D4" s="171"/>
      <c r="E4" s="171"/>
      <c r="F4" s="171"/>
      <c r="G4" s="171"/>
      <c r="H4" s="171"/>
      <c r="I4" s="171"/>
      <c r="J4" s="171"/>
      <c r="K4" s="171"/>
      <c r="L4" s="171"/>
      <c r="M4" s="171"/>
      <c r="N4" s="171"/>
      <c r="O4" s="171"/>
      <c r="P4" s="171"/>
      <c r="Q4" s="169" t="s">
        <v>928</v>
      </c>
      <c r="R4" s="169"/>
      <c r="S4" s="169"/>
      <c r="T4" s="169"/>
      <c r="U4" s="169"/>
      <c r="V4" s="169"/>
      <c r="W4" s="169"/>
      <c r="X4" s="169"/>
      <c r="Y4" s="169"/>
      <c r="Z4" s="169"/>
      <c r="AA4" s="169"/>
      <c r="AB4" s="169"/>
      <c r="AC4" s="169"/>
    </row>
    <row r="5" spans="1:30" ht="15" customHeight="1"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30" ht="15" customHeight="1" x14ac:dyDescent="0.3">
      <c r="A6" s="101" t="s">
        <v>59</v>
      </c>
      <c r="B6" s="102">
        <v>3.5000000000000001E-3</v>
      </c>
      <c r="C6" s="102">
        <v>3.5000000000000001E-3</v>
      </c>
      <c r="D6" s="102">
        <v>3.5000000000000001E-3</v>
      </c>
      <c r="E6" s="102">
        <v>3.5000000000000001E-3</v>
      </c>
      <c r="F6" s="102">
        <v>3.5000000000000001E-3</v>
      </c>
      <c r="G6" s="102">
        <v>3.5000000000000001E-3</v>
      </c>
      <c r="H6" s="102">
        <v>3.5000000000000001E-3</v>
      </c>
      <c r="I6" s="102">
        <v>3.5000000000000001E-3</v>
      </c>
      <c r="J6" s="102">
        <v>3.5000000000000001E-3</v>
      </c>
      <c r="K6" s="102">
        <v>3.5000000000000001E-3</v>
      </c>
      <c r="L6" s="102">
        <v>3.5000000000000001E-3</v>
      </c>
      <c r="M6" s="102">
        <v>3.5000000000000001E-3</v>
      </c>
      <c r="N6" s="19"/>
      <c r="O6" s="19"/>
      <c r="P6" s="19"/>
      <c r="Q6" s="102">
        <v>8.0000000000000004E-4</v>
      </c>
      <c r="R6" s="102">
        <v>8.0000000000000004E-4</v>
      </c>
      <c r="S6" s="102">
        <v>8.0000000000000004E-4</v>
      </c>
      <c r="T6" s="102">
        <v>8.0000000000000004E-4</v>
      </c>
      <c r="U6" s="102">
        <v>8.0000000000000004E-4</v>
      </c>
      <c r="V6" s="102">
        <v>8.0000000000000004E-4</v>
      </c>
      <c r="W6" s="102">
        <v>8.0000000000000004E-4</v>
      </c>
      <c r="X6" s="102">
        <v>8.0000000000000004E-4</v>
      </c>
      <c r="Y6" s="102">
        <v>8.0000000000000004E-4</v>
      </c>
      <c r="Z6" s="102">
        <v>8.0000000000000004E-4</v>
      </c>
      <c r="AA6" s="102">
        <v>8.0000000000000004E-4</v>
      </c>
      <c r="AB6" s="102">
        <v>8.0000000000000004E-4</v>
      </c>
      <c r="AC6" s="19"/>
    </row>
    <row r="7" spans="1:30" ht="15" customHeight="1" x14ac:dyDescent="0.3">
      <c r="A7" s="101" t="s">
        <v>60</v>
      </c>
      <c r="B7" s="19">
        <v>8.9999999999999993E-3</v>
      </c>
      <c r="C7" s="19">
        <v>8.9999999999999993E-3</v>
      </c>
      <c r="D7" s="19">
        <v>8.9999999999999993E-3</v>
      </c>
      <c r="E7" s="19">
        <v>8.9999999999999993E-3</v>
      </c>
      <c r="F7" s="19">
        <v>8.9999999999999993E-3</v>
      </c>
      <c r="G7" s="19">
        <v>8.9999999999999993E-3</v>
      </c>
      <c r="H7" s="19">
        <v>8.9999999999999993E-3</v>
      </c>
      <c r="I7" s="19">
        <v>8.9999999999999993E-3</v>
      </c>
      <c r="J7" s="19">
        <v>8.9999999999999993E-3</v>
      </c>
      <c r="K7" s="19">
        <v>8.9999999999999993E-3</v>
      </c>
      <c r="L7" s="19">
        <v>8.9999999999999993E-3</v>
      </c>
      <c r="M7" s="19">
        <v>8.9999999999999993E-3</v>
      </c>
      <c r="N7" s="19"/>
      <c r="O7" s="19"/>
      <c r="P7" s="19"/>
      <c r="Q7" s="19" t="s">
        <v>118</v>
      </c>
      <c r="R7" s="85"/>
      <c r="S7" s="151"/>
      <c r="T7" s="85"/>
      <c r="U7" s="85"/>
      <c r="V7" s="85"/>
      <c r="W7" s="85"/>
      <c r="X7" s="151"/>
      <c r="Y7" s="85"/>
      <c r="Z7" s="85"/>
      <c r="AA7" s="151"/>
      <c r="AB7" s="85"/>
      <c r="AC7" s="19"/>
    </row>
    <row r="8" spans="1:30" ht="15" customHeight="1" x14ac:dyDescent="0.3">
      <c r="A8" s="101" t="s">
        <v>61</v>
      </c>
      <c r="B8" s="19">
        <v>5.0000000000000001E-3</v>
      </c>
      <c r="C8" s="19">
        <v>5.0000000000000001E-3</v>
      </c>
      <c r="D8" s="19">
        <v>5.0000000000000001E-3</v>
      </c>
      <c r="E8" s="19">
        <v>5.0000000000000001E-3</v>
      </c>
      <c r="F8" s="19">
        <v>5.0000000000000001E-3</v>
      </c>
      <c r="G8" s="19">
        <v>5.0000000000000001E-3</v>
      </c>
      <c r="H8" s="19">
        <v>5.0000000000000001E-3</v>
      </c>
      <c r="I8" s="19">
        <v>5.0000000000000001E-3</v>
      </c>
      <c r="J8" s="19">
        <v>5.0000000000000001E-3</v>
      </c>
      <c r="K8" s="19">
        <v>5.0000000000000001E-3</v>
      </c>
      <c r="L8" s="19">
        <v>5.0000000000000001E-3</v>
      </c>
      <c r="M8" s="19">
        <v>5.0000000000000001E-3</v>
      </c>
      <c r="N8" s="19"/>
      <c r="O8" s="19"/>
      <c r="P8" s="19"/>
      <c r="Q8" s="19" t="s">
        <v>118</v>
      </c>
      <c r="R8" s="85"/>
      <c r="S8" s="151"/>
      <c r="T8" s="85"/>
      <c r="U8" s="85"/>
      <c r="V8" s="85"/>
      <c r="W8" s="85"/>
      <c r="X8" s="151"/>
      <c r="Y8" s="85"/>
      <c r="Z8" s="85"/>
      <c r="AA8" s="151"/>
      <c r="AB8" s="85"/>
      <c r="AC8" s="19"/>
    </row>
    <row r="9" spans="1:30" ht="15" customHeight="1" x14ac:dyDescent="0.3">
      <c r="A9" s="101" t="s">
        <v>123</v>
      </c>
      <c r="B9" s="250">
        <v>1E-4</v>
      </c>
      <c r="C9" s="250">
        <v>1E-4</v>
      </c>
      <c r="D9" s="250">
        <v>1E-4</v>
      </c>
      <c r="E9" s="250">
        <v>1E-4</v>
      </c>
      <c r="F9" s="250">
        <v>1E-4</v>
      </c>
      <c r="G9" s="250">
        <v>1E-4</v>
      </c>
      <c r="H9" s="250">
        <v>1E-4</v>
      </c>
      <c r="I9" s="250">
        <v>1E-4</v>
      </c>
      <c r="J9" s="250">
        <v>1E-4</v>
      </c>
      <c r="K9" s="250">
        <v>1E-4</v>
      </c>
      <c r="L9" s="250">
        <v>1E-4</v>
      </c>
      <c r="M9" s="19"/>
      <c r="N9" s="19"/>
      <c r="O9" s="19"/>
      <c r="P9" s="19"/>
      <c r="Q9" s="151" t="s">
        <v>124</v>
      </c>
      <c r="R9" s="85"/>
      <c r="S9" s="151"/>
      <c r="T9" s="85"/>
      <c r="U9" s="85"/>
      <c r="V9" s="85"/>
      <c r="W9" s="85"/>
      <c r="X9" s="151"/>
      <c r="Y9" s="85"/>
      <c r="Z9" s="85"/>
      <c r="AA9" s="151"/>
      <c r="AB9" s="85"/>
      <c r="AC9" s="19"/>
    </row>
    <row r="10" spans="1:30" ht="15" customHeight="1" x14ac:dyDescent="0.3">
      <c r="A10" s="101" t="s">
        <v>63</v>
      </c>
      <c r="B10" s="19">
        <v>5.0000000000000001E-3</v>
      </c>
      <c r="C10" s="19">
        <v>5.0000000000000001E-3</v>
      </c>
      <c r="D10" s="19">
        <v>5.0000000000000001E-3</v>
      </c>
      <c r="E10" s="19">
        <v>5.0000000000000001E-3</v>
      </c>
      <c r="F10" s="19">
        <v>5.0000000000000001E-3</v>
      </c>
      <c r="G10" s="19">
        <v>5.0000000000000001E-3</v>
      </c>
      <c r="H10" s="19">
        <v>5.0000000000000001E-3</v>
      </c>
      <c r="I10" s="19">
        <v>5.0000000000000001E-3</v>
      </c>
      <c r="J10" s="19">
        <v>5.0000000000000001E-3</v>
      </c>
      <c r="K10" s="19">
        <v>5.0000000000000001E-3</v>
      </c>
      <c r="L10" s="19">
        <v>5.0000000000000001E-3</v>
      </c>
      <c r="M10" s="19"/>
      <c r="N10" s="19"/>
      <c r="O10" s="19"/>
      <c r="P10" s="19"/>
      <c r="Q10" s="151" t="s">
        <v>125</v>
      </c>
      <c r="R10" s="41"/>
      <c r="S10" s="151"/>
      <c r="T10" s="41"/>
      <c r="U10" s="41"/>
      <c r="V10" s="41"/>
      <c r="W10" s="41"/>
      <c r="X10" s="151"/>
      <c r="Y10" s="41"/>
      <c r="Z10" s="41"/>
      <c r="AA10" s="151"/>
      <c r="AB10" s="19"/>
      <c r="AC10" s="19"/>
    </row>
    <row r="11" spans="1:30" ht="15" customHeight="1" x14ac:dyDescent="0.3">
      <c r="A11" s="264" t="s">
        <v>64</v>
      </c>
      <c r="B11" s="19">
        <v>6.4000000000000001E-2</v>
      </c>
      <c r="C11" s="19">
        <v>6.4000000000000001E-2</v>
      </c>
      <c r="D11" s="19">
        <v>6.4000000000000001E-2</v>
      </c>
      <c r="E11" s="19">
        <v>6.4000000000000001E-2</v>
      </c>
      <c r="F11" s="19">
        <v>6.4000000000000001E-2</v>
      </c>
      <c r="G11" s="19">
        <v>6.4000000000000001E-2</v>
      </c>
      <c r="H11" s="19">
        <v>6.4000000000000001E-2</v>
      </c>
      <c r="I11" s="19">
        <v>6.4000000000000001E-2</v>
      </c>
      <c r="J11" s="19">
        <v>6.4000000000000001E-2</v>
      </c>
      <c r="K11" s="19">
        <v>6.4000000000000001E-2</v>
      </c>
      <c r="L11" s="19">
        <v>6.4000000000000001E-2</v>
      </c>
      <c r="M11" s="19">
        <v>6.4000000000000001E-2</v>
      </c>
      <c r="N11" s="19">
        <v>6.3E-2</v>
      </c>
      <c r="O11" s="19"/>
      <c r="P11" s="19"/>
      <c r="Q11" s="102">
        <v>1.1000000000000001E-3</v>
      </c>
      <c r="R11" s="102">
        <v>1.1000000000000001E-3</v>
      </c>
      <c r="S11" s="102">
        <v>1.1000000000000001E-3</v>
      </c>
      <c r="T11" s="102">
        <v>1.1000000000000001E-3</v>
      </c>
      <c r="U11" s="102">
        <v>1.1000000000000001E-3</v>
      </c>
      <c r="V11" s="102">
        <v>1.1000000000000001E-3</v>
      </c>
      <c r="W11" s="102">
        <v>1.1000000000000001E-3</v>
      </c>
      <c r="X11" s="102">
        <v>1.1000000000000001E-3</v>
      </c>
      <c r="Y11" s="102">
        <v>1.1000000000000001E-3</v>
      </c>
      <c r="Z11" s="102">
        <v>1.1000000000000001E-3</v>
      </c>
      <c r="AA11" s="102">
        <v>1.1000000000000001E-3</v>
      </c>
      <c r="AB11" s="102">
        <v>1.1000000000000001E-3</v>
      </c>
      <c r="AC11" s="102">
        <v>1.5E-3</v>
      </c>
    </row>
    <row r="12" spans="1:30" ht="15" customHeight="1" x14ac:dyDescent="0.3">
      <c r="A12" s="264" t="s">
        <v>65</v>
      </c>
      <c r="B12" s="102">
        <v>1.81702121013212E-2</v>
      </c>
      <c r="C12" s="102">
        <v>1.8116931359148457E-2</v>
      </c>
      <c r="D12" s="102">
        <v>1.7933552565197779E-2</v>
      </c>
      <c r="E12" s="102">
        <v>1.7964627858546044E-2</v>
      </c>
      <c r="F12" s="102">
        <v>1.7999186060066438E-2</v>
      </c>
      <c r="G12" s="102">
        <v>1.7869436145278569E-2</v>
      </c>
      <c r="H12" s="102">
        <v>1.3902907848700446E-2</v>
      </c>
      <c r="I12" s="102">
        <v>1.7888334146650121E-2</v>
      </c>
      <c r="J12" s="102">
        <v>1.7964627858546047E-2</v>
      </c>
      <c r="K12" s="102">
        <v>1.8182809885212182E-2</v>
      </c>
      <c r="L12" s="102">
        <v>1.7727546809334332E-2</v>
      </c>
      <c r="M12" s="19"/>
      <c r="N12" s="19"/>
      <c r="O12" s="19"/>
      <c r="P12" s="19"/>
      <c r="Q12" s="153">
        <v>3.1E-4</v>
      </c>
      <c r="R12" s="153">
        <v>3.5E-4</v>
      </c>
      <c r="S12" s="153">
        <v>3.4000000000000002E-4</v>
      </c>
      <c r="T12" s="153">
        <v>3.5E-4</v>
      </c>
      <c r="U12" s="153">
        <v>3.3E-4</v>
      </c>
      <c r="V12" s="153">
        <v>3.5E-4</v>
      </c>
      <c r="W12" s="153">
        <v>3.2000000000000003E-4</v>
      </c>
      <c r="X12" s="153">
        <v>3.2000000000000003E-4</v>
      </c>
      <c r="Y12" s="153">
        <v>3.5E-4</v>
      </c>
      <c r="Z12" s="153">
        <v>3.8999999999999999E-4</v>
      </c>
      <c r="AA12" s="153">
        <v>3.6999999999999999E-4</v>
      </c>
      <c r="AB12" s="151"/>
      <c r="AC12" s="151"/>
    </row>
    <row r="13" spans="1:30" ht="15" customHeight="1" x14ac:dyDescent="0.3">
      <c r="A13" s="264" t="s">
        <v>66</v>
      </c>
      <c r="B13" s="19">
        <v>0.75216903015372494</v>
      </c>
      <c r="C13" s="19">
        <v>0.75216903015372494</v>
      </c>
      <c r="D13" s="19">
        <v>0.75216903015372494</v>
      </c>
      <c r="E13" s="19">
        <v>0.75216903015372494</v>
      </c>
      <c r="F13" s="19">
        <v>0.75216903015372494</v>
      </c>
      <c r="G13" s="19">
        <v>0.75216903015372494</v>
      </c>
      <c r="H13" s="19">
        <v>0.75216903015372494</v>
      </c>
      <c r="I13" s="19">
        <v>0.75216903015372494</v>
      </c>
      <c r="J13" s="19">
        <v>0.75216903015372494</v>
      </c>
      <c r="K13" s="19">
        <v>0.75216903015372494</v>
      </c>
      <c r="L13" s="19">
        <v>0.75216903015372494</v>
      </c>
      <c r="M13" s="19"/>
      <c r="N13" s="19"/>
      <c r="O13" s="19"/>
      <c r="P13" s="19"/>
      <c r="Q13" s="150">
        <v>5.4505002185052534E-3</v>
      </c>
      <c r="R13" s="150">
        <v>5.4820184946372062E-3</v>
      </c>
      <c r="S13" s="150">
        <v>5.4505002185052534E-3</v>
      </c>
      <c r="T13" s="150">
        <v>5.4505002185052534E-3</v>
      </c>
      <c r="U13" s="150">
        <v>5.4505002185052534E-3</v>
      </c>
      <c r="V13" s="150">
        <v>5.4505002185052534E-3</v>
      </c>
      <c r="W13" s="150">
        <v>5.4505002185052534E-3</v>
      </c>
      <c r="X13" s="150">
        <v>5.4505002185052534E-3</v>
      </c>
      <c r="Y13" s="150">
        <v>5.4505002185052534E-3</v>
      </c>
      <c r="Z13" s="150">
        <v>5.4505002185052534E-3</v>
      </c>
      <c r="AA13" s="150">
        <v>5.4505002185052534E-3</v>
      </c>
      <c r="AB13" s="19"/>
      <c r="AC13" s="19"/>
    </row>
    <row r="14" spans="1:30" ht="15" customHeight="1" x14ac:dyDescent="0.3">
      <c r="A14" s="264" t="s">
        <v>67</v>
      </c>
      <c r="B14" s="243"/>
      <c r="C14" s="51">
        <v>1.24</v>
      </c>
      <c r="D14" s="51">
        <v>1.05</v>
      </c>
      <c r="E14" s="51">
        <v>1.05</v>
      </c>
      <c r="F14" s="51">
        <v>1.05</v>
      </c>
      <c r="G14" s="243"/>
      <c r="H14" s="51">
        <v>1.05</v>
      </c>
      <c r="I14" s="51">
        <v>1.05</v>
      </c>
      <c r="J14" s="51">
        <v>1.04</v>
      </c>
      <c r="K14" s="51">
        <v>1.24</v>
      </c>
      <c r="L14" s="51">
        <v>0.67</v>
      </c>
      <c r="M14" s="243"/>
      <c r="N14" s="243"/>
      <c r="O14" s="243"/>
      <c r="P14" s="243"/>
      <c r="Q14" s="176" t="s">
        <v>126</v>
      </c>
      <c r="R14" s="154"/>
      <c r="S14" s="176"/>
      <c r="T14" s="154"/>
      <c r="U14" s="154"/>
      <c r="V14" s="154"/>
      <c r="W14" s="19"/>
      <c r="X14" s="176"/>
      <c r="Y14" s="154"/>
      <c r="Z14" s="154"/>
      <c r="AA14" s="176"/>
      <c r="AB14" s="22"/>
      <c r="AC14" s="22"/>
    </row>
    <row r="15" spans="1:30" ht="15" customHeight="1" x14ac:dyDescent="0.3">
      <c r="A15" s="264" t="s">
        <v>68</v>
      </c>
      <c r="B15" s="19">
        <f>0.055</f>
        <v>5.5E-2</v>
      </c>
      <c r="C15" s="19">
        <v>5.5E-2</v>
      </c>
      <c r="D15" s="19">
        <v>5.5E-2</v>
      </c>
      <c r="E15" s="19">
        <v>7.0000000000000007E-2</v>
      </c>
      <c r="F15" s="19">
        <v>7.0000000000000007E-2</v>
      </c>
      <c r="G15" s="19">
        <v>5.1999999999999998E-2</v>
      </c>
      <c r="H15" s="19">
        <v>0.06</v>
      </c>
      <c r="I15" s="19">
        <v>6.4000000000000001E-2</v>
      </c>
      <c r="J15" s="19">
        <v>6.6000000000000003E-2</v>
      </c>
      <c r="K15" s="19">
        <v>0.06</v>
      </c>
      <c r="L15" s="19">
        <v>6.4000000000000001E-2</v>
      </c>
      <c r="M15" s="19"/>
      <c r="N15" s="19"/>
      <c r="O15" s="19"/>
      <c r="P15" s="19"/>
      <c r="Q15" s="19">
        <v>5.5E-2</v>
      </c>
      <c r="R15" s="151">
        <v>0</v>
      </c>
      <c r="S15" s="151">
        <v>0</v>
      </c>
      <c r="T15" s="19">
        <v>7.0000000000000007E-2</v>
      </c>
      <c r="U15" s="19">
        <v>7.0000000000000007E-2</v>
      </c>
      <c r="V15" s="19">
        <v>5.1999999999999998E-2</v>
      </c>
      <c r="W15" s="19">
        <v>0.06</v>
      </c>
      <c r="X15" s="19">
        <v>6.4000000000000001E-2</v>
      </c>
      <c r="Y15" s="19">
        <v>6.6000000000000003E-2</v>
      </c>
      <c r="Z15" s="19">
        <v>0.06</v>
      </c>
      <c r="AA15" s="19">
        <v>6.4000000000000001E-2</v>
      </c>
      <c r="AB15" s="19"/>
      <c r="AC15" s="19"/>
      <c r="AD15" t="s">
        <v>929</v>
      </c>
    </row>
    <row r="16" spans="1:30" ht="15" customHeight="1" x14ac:dyDescent="0.3">
      <c r="A16" s="264" t="s">
        <v>83</v>
      </c>
      <c r="D16" s="19"/>
      <c r="E16" s="19"/>
      <c r="F16" s="19"/>
      <c r="G16" s="19"/>
      <c r="H16" s="19"/>
      <c r="I16" s="19"/>
      <c r="J16" s="19"/>
      <c r="K16" s="19"/>
      <c r="L16" s="19"/>
      <c r="M16" s="19"/>
      <c r="N16" s="19"/>
      <c r="O16" s="19">
        <v>0.41000410004100041</v>
      </c>
      <c r="P16" s="19"/>
      <c r="Q16" t="s">
        <v>128</v>
      </c>
    </row>
    <row r="17" spans="1:27" ht="15" customHeight="1" x14ac:dyDescent="0.3">
      <c r="A17" s="264" t="s">
        <v>86</v>
      </c>
      <c r="D17" s="19"/>
      <c r="E17" s="19"/>
      <c r="F17" s="19"/>
      <c r="H17" s="19"/>
      <c r="I17" s="19"/>
      <c r="J17" s="19"/>
      <c r="K17" s="19"/>
      <c r="L17" s="19"/>
      <c r="M17" s="19"/>
      <c r="N17" s="19"/>
      <c r="O17" s="19"/>
      <c r="P17" s="41">
        <v>0.4</v>
      </c>
      <c r="Q17" s="85" t="s">
        <v>129</v>
      </c>
      <c r="R17" s="85"/>
      <c r="S17" s="85"/>
      <c r="T17" s="85"/>
      <c r="U17" s="85"/>
      <c r="V17" s="85"/>
      <c r="W17" s="85"/>
      <c r="X17" s="85"/>
      <c r="Y17" s="85"/>
      <c r="Z17" s="85"/>
      <c r="AA17" s="85"/>
    </row>
    <row r="18" spans="1:27" ht="15" customHeight="1" x14ac:dyDescent="0.3">
      <c r="A18" s="264" t="s">
        <v>130</v>
      </c>
      <c r="C18" s="85"/>
      <c r="D18" s="85"/>
      <c r="E18" s="85"/>
      <c r="F18" s="85"/>
      <c r="G18" s="85"/>
      <c r="H18" s="85"/>
      <c r="I18" s="85"/>
      <c r="J18" s="85"/>
      <c r="K18" s="85"/>
      <c r="L18" s="85"/>
      <c r="M18" s="19"/>
      <c r="N18" s="19"/>
      <c r="O18" s="19"/>
      <c r="P18" s="251">
        <f>85.3/10</f>
        <v>8.5299999999999994</v>
      </c>
      <c r="Q18" s="85" t="s">
        <v>129</v>
      </c>
    </row>
    <row r="19" spans="1:27" ht="15" customHeight="1" x14ac:dyDescent="0.3">
      <c r="A19" s="264" t="s">
        <v>131</v>
      </c>
      <c r="C19" s="85"/>
      <c r="D19" s="85"/>
      <c r="E19" s="85"/>
      <c r="F19" s="85"/>
      <c r="G19" s="85"/>
      <c r="H19" s="85"/>
      <c r="I19" s="85"/>
      <c r="J19" s="85"/>
      <c r="K19" s="85"/>
      <c r="L19" s="85"/>
      <c r="M19" s="19"/>
      <c r="N19" s="19"/>
      <c r="O19" s="19"/>
      <c r="P19" s="251">
        <f>160/10</f>
        <v>16</v>
      </c>
      <c r="Q19" s="85" t="s">
        <v>129</v>
      </c>
    </row>
    <row r="20" spans="1:27" ht="15" customHeight="1" x14ac:dyDescent="0.3">
      <c r="A20" s="264" t="s">
        <v>89</v>
      </c>
      <c r="D20" s="19"/>
      <c r="E20" s="19"/>
      <c r="F20" s="19"/>
      <c r="G20" s="19"/>
      <c r="H20" s="19"/>
      <c r="I20" s="19"/>
      <c r="J20" s="19"/>
      <c r="K20" s="19"/>
      <c r="L20" s="19"/>
      <c r="M20" s="19"/>
      <c r="N20" s="19"/>
      <c r="O20" s="19"/>
      <c r="P20" s="19">
        <v>0.13</v>
      </c>
      <c r="Q20" s="85" t="s">
        <v>129</v>
      </c>
      <c r="R20" s="85"/>
      <c r="S20" s="85"/>
      <c r="T20" s="85"/>
      <c r="U20" s="85"/>
      <c r="V20" s="85"/>
      <c r="W20" s="85"/>
      <c r="X20" s="85"/>
      <c r="Y20" s="85"/>
      <c r="Z20" s="85"/>
      <c r="AA20" s="85"/>
    </row>
    <row r="21" spans="1:27" ht="15" customHeight="1" x14ac:dyDescent="0.3">
      <c r="A21" s="101" t="s">
        <v>95</v>
      </c>
      <c r="D21" s="19"/>
      <c r="E21" s="19"/>
      <c r="F21" s="19"/>
      <c r="G21" s="19"/>
      <c r="H21" s="19"/>
      <c r="I21" s="19"/>
      <c r="J21" s="19"/>
      <c r="K21" s="19"/>
      <c r="L21" s="19"/>
      <c r="M21" s="19"/>
      <c r="N21" s="19"/>
      <c r="O21" s="19"/>
      <c r="P21" s="19">
        <v>0.05</v>
      </c>
      <c r="Q21" s="85" t="s">
        <v>129</v>
      </c>
      <c r="R21" s="41"/>
      <c r="S21" s="41"/>
      <c r="T21" s="41"/>
      <c r="U21" s="41"/>
      <c r="V21" s="41"/>
      <c r="W21" s="41"/>
      <c r="X21" s="41"/>
      <c r="Y21" s="41"/>
      <c r="Z21" s="41"/>
      <c r="AA21" s="41"/>
    </row>
    <row r="22" spans="1:27" ht="15" customHeight="1" x14ac:dyDescent="0.3">
      <c r="A22" s="101" t="s">
        <v>96</v>
      </c>
      <c r="D22" s="19"/>
      <c r="E22" s="19"/>
      <c r="F22" s="19"/>
      <c r="G22" s="19"/>
      <c r="H22" s="19"/>
      <c r="I22" s="19"/>
      <c r="J22" s="19"/>
      <c r="K22" s="19"/>
      <c r="L22" s="19"/>
      <c r="M22" s="19"/>
      <c r="N22" s="19"/>
      <c r="O22" s="19"/>
      <c r="P22" s="19">
        <v>3.2000000000000001E-2</v>
      </c>
      <c r="Q22" s="85" t="s">
        <v>129</v>
      </c>
      <c r="R22" s="41"/>
      <c r="S22" s="41"/>
      <c r="T22" s="41"/>
      <c r="U22" s="41"/>
      <c r="V22" s="41"/>
      <c r="W22" s="41"/>
      <c r="X22" s="41"/>
      <c r="Y22" s="41"/>
      <c r="Z22" s="41"/>
      <c r="AA22" s="41"/>
    </row>
    <row r="23" spans="1:27" ht="15" customHeight="1" x14ac:dyDescent="0.3">
      <c r="A23" s="101" t="s">
        <v>97</v>
      </c>
      <c r="D23" s="19"/>
      <c r="E23" s="19"/>
      <c r="F23" s="19"/>
      <c r="G23" s="19"/>
      <c r="H23" s="19"/>
      <c r="I23" s="19"/>
      <c r="J23" s="19"/>
      <c r="K23" s="19"/>
      <c r="L23" s="19"/>
      <c r="M23" s="19"/>
      <c r="N23" s="19"/>
      <c r="O23" s="19"/>
      <c r="P23" s="19">
        <v>0.63600000000000001</v>
      </c>
      <c r="Q23" s="85" t="s">
        <v>129</v>
      </c>
      <c r="R23" s="41"/>
      <c r="S23" s="41"/>
      <c r="T23" s="41"/>
      <c r="U23" s="41"/>
      <c r="V23" s="41"/>
      <c r="W23" s="41"/>
      <c r="X23" s="41"/>
      <c r="Y23" s="41"/>
      <c r="Z23" s="41"/>
      <c r="AA23" s="41"/>
    </row>
    <row r="24" spans="1:27" ht="15" customHeight="1" x14ac:dyDescent="0.3">
      <c r="A24" s="101" t="s">
        <v>132</v>
      </c>
      <c r="C24" s="151"/>
      <c r="D24" s="151"/>
      <c r="E24" s="151"/>
      <c r="F24" s="151"/>
      <c r="G24" s="151"/>
      <c r="H24" s="151"/>
      <c r="I24" s="151"/>
      <c r="J24" s="151"/>
      <c r="K24" s="151"/>
      <c r="L24" s="151"/>
      <c r="M24" s="151"/>
      <c r="N24" s="151"/>
      <c r="O24" s="151"/>
      <c r="P24" s="252">
        <f>10000/100</f>
        <v>100</v>
      </c>
      <c r="Q24" t="s">
        <v>128</v>
      </c>
      <c r="R24" s="41"/>
      <c r="S24" s="41"/>
      <c r="T24" s="41"/>
      <c r="U24" s="41"/>
      <c r="V24" s="41"/>
      <c r="W24" s="41"/>
      <c r="X24" s="41"/>
      <c r="Y24" s="41"/>
      <c r="Z24" s="41"/>
      <c r="AA24" s="41"/>
    </row>
    <row r="25" spans="1:27" ht="15" customHeight="1" x14ac:dyDescent="0.3">
      <c r="A25" t="s">
        <v>133</v>
      </c>
      <c r="C25" s="151"/>
      <c r="D25" s="151"/>
      <c r="E25" s="151"/>
      <c r="F25" s="151"/>
      <c r="G25" s="151"/>
      <c r="H25" s="151"/>
      <c r="I25" s="151"/>
      <c r="J25" s="151"/>
      <c r="K25" s="151"/>
      <c r="L25" s="151"/>
      <c r="M25" s="151"/>
      <c r="N25" s="151"/>
      <c r="O25" s="151"/>
      <c r="P25" s="252">
        <f>12000/100</f>
        <v>120</v>
      </c>
      <c r="Q25" t="s">
        <v>128</v>
      </c>
      <c r="R25" s="19"/>
      <c r="S25" s="19"/>
      <c r="T25" s="19"/>
      <c r="U25" s="19"/>
      <c r="V25" s="19"/>
      <c r="W25" s="19"/>
      <c r="X25" s="19"/>
      <c r="Y25" s="19"/>
      <c r="Z25" s="19"/>
      <c r="AA25" s="19"/>
    </row>
    <row r="27" spans="1:27" ht="15" customHeight="1" x14ac:dyDescent="0.3">
      <c r="A27" t="s">
        <v>134</v>
      </c>
    </row>
    <row r="28" spans="1:27" ht="15" customHeight="1" x14ac:dyDescent="0.3">
      <c r="A28" t="s">
        <v>135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39AA-EE5B-44AB-9BDF-8CBB692D567D}">
  <sheetPr>
    <tabColor theme="8" tint="-0.249977111117893"/>
  </sheetPr>
  <dimension ref="A2:F25"/>
  <sheetViews>
    <sheetView workbookViewId="0">
      <selection activeCell="D15" sqref="D15"/>
    </sheetView>
  </sheetViews>
  <sheetFormatPr defaultRowHeight="14.4" x14ac:dyDescent="0.3"/>
  <cols>
    <col min="1" max="1" width="24.33203125" customWidth="1"/>
    <col min="2" max="3" width="16.5546875" customWidth="1"/>
    <col min="4" max="4" width="16.44140625" customWidth="1"/>
    <col min="5" max="5" width="15.6640625" customWidth="1"/>
  </cols>
  <sheetData>
    <row r="2" spans="1:6" ht="21" x14ac:dyDescent="0.4">
      <c r="A2" s="30" t="s">
        <v>18</v>
      </c>
    </row>
    <row r="4" spans="1:6" x14ac:dyDescent="0.3">
      <c r="B4" s="171" t="s">
        <v>46</v>
      </c>
      <c r="C4" s="171"/>
      <c r="D4" s="169" t="s">
        <v>136</v>
      </c>
      <c r="E4" s="169"/>
      <c r="F4" s="169"/>
    </row>
    <row r="5" spans="1:6" x14ac:dyDescent="0.3">
      <c r="B5" t="s">
        <v>48</v>
      </c>
      <c r="C5" t="s">
        <v>47</v>
      </c>
      <c r="D5" t="s">
        <v>48</v>
      </c>
      <c r="E5" t="s">
        <v>47</v>
      </c>
    </row>
    <row r="6" spans="1:6" x14ac:dyDescent="0.3">
      <c r="A6" s="101" t="s">
        <v>59</v>
      </c>
      <c r="B6" s="19">
        <f>C6/$C$22</f>
        <v>0.88410303277141455</v>
      </c>
      <c r="C6" s="19">
        <v>0.17799999999999999</v>
      </c>
      <c r="D6" s="19">
        <f>E6/$C$22</f>
        <v>0.88410303277141455</v>
      </c>
      <c r="E6" s="19">
        <v>0.17799999999999999</v>
      </c>
    </row>
    <row r="7" spans="1:6" x14ac:dyDescent="0.3">
      <c r="A7" s="101" t="s">
        <v>60</v>
      </c>
      <c r="B7" s="19">
        <f t="shared" ref="B7:B25" si="0">C7/$C$22</f>
        <v>0.82044791775586834</v>
      </c>
      <c r="C7" s="19">
        <v>0.16518406107346001</v>
      </c>
      <c r="D7" s="19">
        <f>E7/$C$22</f>
        <v>0.88410303277141455</v>
      </c>
      <c r="E7" s="19">
        <v>0.17799999999999999</v>
      </c>
    </row>
    <row r="8" spans="1:6" x14ac:dyDescent="0.3">
      <c r="A8" s="101" t="s">
        <v>61</v>
      </c>
      <c r="B8" s="19">
        <f t="shared" si="0"/>
        <v>0.88410303277141455</v>
      </c>
      <c r="C8" s="19">
        <v>0.17799999999999999</v>
      </c>
      <c r="D8" s="19">
        <f>E8/$C$22</f>
        <v>0.88410303277141455</v>
      </c>
      <c r="E8" s="19">
        <v>0.17799999999999999</v>
      </c>
    </row>
    <row r="9" spans="1:6" x14ac:dyDescent="0.3">
      <c r="A9" s="101" t="s">
        <v>62</v>
      </c>
      <c r="B9" s="19">
        <f t="shared" si="0"/>
        <v>0.88410303277141455</v>
      </c>
      <c r="C9" s="19">
        <v>0.17799999999999999</v>
      </c>
    </row>
    <row r="10" spans="1:6" x14ac:dyDescent="0.3">
      <c r="A10" s="101" t="s">
        <v>63</v>
      </c>
      <c r="B10" s="19">
        <f t="shared" si="0"/>
        <v>0.87913616180078868</v>
      </c>
      <c r="C10">
        <v>0.17699999999999999</v>
      </c>
    </row>
    <row r="11" spans="1:6" x14ac:dyDescent="0.3">
      <c r="A11" s="101" t="s">
        <v>64</v>
      </c>
      <c r="B11" s="19">
        <f t="shared" si="0"/>
        <v>0.82044791775586834</v>
      </c>
      <c r="C11" s="19">
        <v>0.16518406107346001</v>
      </c>
      <c r="D11" s="19">
        <f>E11/$C$22</f>
        <v>0.88410303277141455</v>
      </c>
      <c r="E11" s="19">
        <v>0.17799999999999999</v>
      </c>
    </row>
    <row r="12" spans="1:6" x14ac:dyDescent="0.3">
      <c r="A12" s="101" t="s">
        <v>65</v>
      </c>
      <c r="B12" s="19">
        <f t="shared" si="0"/>
        <v>0.87981165625279378</v>
      </c>
      <c r="C12" s="19">
        <v>0.17713599999999999</v>
      </c>
      <c r="D12" s="19">
        <f>E12/$C$22</f>
        <v>0.94805646338919392</v>
      </c>
      <c r="E12" s="19">
        <v>0.19087599999999999</v>
      </c>
    </row>
    <row r="13" spans="1:6" x14ac:dyDescent="0.3">
      <c r="A13" s="101" t="s">
        <v>66</v>
      </c>
      <c r="B13" s="19">
        <f t="shared" si="0"/>
        <v>0.54320827892864587</v>
      </c>
      <c r="C13" s="19">
        <v>0.10936629562982</v>
      </c>
      <c r="D13" s="19">
        <f>E13/$C$22</f>
        <v>0.54320827892864587</v>
      </c>
      <c r="E13" s="19">
        <v>0.10936629562982</v>
      </c>
    </row>
    <row r="14" spans="1:6" x14ac:dyDescent="0.3">
      <c r="A14" s="101" t="s">
        <v>67</v>
      </c>
      <c r="B14" s="19">
        <f t="shared" si="0"/>
        <v>0.67196797361598137</v>
      </c>
      <c r="C14" s="19">
        <v>0.13528999999999999</v>
      </c>
    </row>
    <row r="15" spans="1:6" x14ac:dyDescent="0.3">
      <c r="A15" s="101" t="s">
        <v>68</v>
      </c>
      <c r="B15" s="19">
        <f t="shared" si="0"/>
        <v>0.58534077701729459</v>
      </c>
      <c r="C15" s="19">
        <v>0.117849</v>
      </c>
      <c r="D15" s="18">
        <f>E15/$C$22</f>
        <v>0.2556274253781865</v>
      </c>
      <c r="E15" s="18">
        <v>5.1466492061091801E-2</v>
      </c>
      <c r="F15" s="2" t="s">
        <v>926</v>
      </c>
    </row>
    <row r="16" spans="1:6" x14ac:dyDescent="0.3">
      <c r="A16" s="101" t="s">
        <v>83</v>
      </c>
      <c r="B16" s="19">
        <f t="shared" si="0"/>
        <v>0.30307199464420814</v>
      </c>
      <c r="C16" s="19">
        <v>6.1018696969697001E-2</v>
      </c>
    </row>
    <row r="17" spans="1:3" x14ac:dyDescent="0.3">
      <c r="A17" s="101" t="s">
        <v>86</v>
      </c>
      <c r="B17" s="19">
        <f t="shared" si="0"/>
        <v>0.31967774941142579</v>
      </c>
      <c r="C17" s="19">
        <v>6.4362000000000003E-2</v>
      </c>
    </row>
    <row r="18" spans="1:3" x14ac:dyDescent="0.3">
      <c r="A18" s="101" t="s">
        <v>87</v>
      </c>
      <c r="B18" s="19">
        <f t="shared" si="0"/>
        <v>4.9917805810998139E-2</v>
      </c>
      <c r="C18" s="19">
        <v>1.00501515151515E-2</v>
      </c>
    </row>
    <row r="19" spans="1:3" x14ac:dyDescent="0.3">
      <c r="A19" s="101" t="s">
        <v>88</v>
      </c>
      <c r="B19" s="19">
        <f t="shared" si="0"/>
        <v>0.1460824482519773</v>
      </c>
      <c r="C19" s="19">
        <v>2.94113636363636E-2</v>
      </c>
    </row>
    <row r="20" spans="1:3" x14ac:dyDescent="0.3">
      <c r="A20" s="101" t="s">
        <v>89</v>
      </c>
      <c r="B20" s="19">
        <f t="shared" si="0"/>
        <v>0.37054242144291522</v>
      </c>
      <c r="C20" s="19">
        <v>7.4602787878787893E-2</v>
      </c>
    </row>
    <row r="21" spans="1:3" x14ac:dyDescent="0.3">
      <c r="A21" s="101" t="s">
        <v>95</v>
      </c>
      <c r="B21" s="19">
        <f t="shared" si="0"/>
        <v>0.93252505786404671</v>
      </c>
      <c r="C21" s="19">
        <v>0.187749</v>
      </c>
    </row>
    <row r="22" spans="1:3" x14ac:dyDescent="0.3">
      <c r="A22" s="101" t="s">
        <v>96</v>
      </c>
      <c r="B22" s="19">
        <f t="shared" si="0"/>
        <v>1</v>
      </c>
      <c r="C22" s="174">
        <v>0.20133400000000001</v>
      </c>
    </row>
    <row r="23" spans="1:3" x14ac:dyDescent="0.3">
      <c r="A23" s="101" t="s">
        <v>97</v>
      </c>
      <c r="B23" s="19">
        <f t="shared" si="0"/>
        <v>0.70880725560511382</v>
      </c>
      <c r="C23" s="158">
        <v>0.142707</v>
      </c>
    </row>
    <row r="24" spans="1:3" x14ac:dyDescent="0.3">
      <c r="A24" s="101" t="s">
        <v>98</v>
      </c>
      <c r="B24" s="19">
        <f t="shared" si="0"/>
        <v>3.9541560819636078E-2</v>
      </c>
      <c r="C24" s="19">
        <v>7.9610606060606104E-3</v>
      </c>
    </row>
    <row r="25" spans="1:3" x14ac:dyDescent="0.3">
      <c r="A25" t="s">
        <v>119</v>
      </c>
      <c r="B25" s="19">
        <f t="shared" si="0"/>
        <v>8.8767767475785006E-2</v>
      </c>
      <c r="C25" s="19">
        <v>1.7871969696969699E-2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AE78-6C52-4DF9-A2C1-CF0F3964AB15}">
  <sheetPr>
    <tabColor theme="8" tint="-0.499984740745262"/>
  </sheetPr>
  <dimension ref="A1:AC25"/>
  <sheetViews>
    <sheetView zoomScale="95" zoomScaleNormal="100" workbookViewId="0">
      <selection activeCell="L23" sqref="L23"/>
    </sheetView>
  </sheetViews>
  <sheetFormatPr defaultRowHeight="15" customHeight="1" x14ac:dyDescent="0.3"/>
  <cols>
    <col min="1" max="1" width="22.5546875" customWidth="1"/>
    <col min="2" max="2" width="6.6640625" customWidth="1"/>
    <col min="3" max="3" width="6.6640625" style="19" customWidth="1"/>
    <col min="4" max="29" width="6.6640625" customWidth="1"/>
  </cols>
  <sheetData>
    <row r="1" spans="1:29" ht="15" customHeight="1" x14ac:dyDescent="0.3">
      <c r="F1" s="170"/>
      <c r="G1" s="170"/>
    </row>
    <row r="2" spans="1:29" ht="21" customHeight="1" x14ac:dyDescent="0.4">
      <c r="A2" s="30" t="s">
        <v>20</v>
      </c>
      <c r="C2" s="41"/>
      <c r="G2" s="151"/>
      <c r="L2" s="170"/>
    </row>
    <row r="3" spans="1:29" ht="15" customHeight="1" x14ac:dyDescent="0.3">
      <c r="C3"/>
    </row>
    <row r="4" spans="1:29" ht="15" customHeight="1" x14ac:dyDescent="0.3">
      <c r="B4" s="171" t="s">
        <v>46</v>
      </c>
      <c r="C4" s="171"/>
      <c r="D4" s="171"/>
      <c r="E4" s="171"/>
      <c r="F4" s="171"/>
      <c r="G4" s="171"/>
      <c r="H4" s="171"/>
      <c r="I4" s="171"/>
      <c r="J4" s="171"/>
      <c r="K4" s="171"/>
      <c r="L4" s="171"/>
      <c r="M4" s="171"/>
      <c r="N4" s="171"/>
      <c r="O4" s="171"/>
      <c r="P4" s="171"/>
      <c r="Q4" s="169" t="s">
        <v>102</v>
      </c>
      <c r="R4" s="169"/>
      <c r="S4" s="169"/>
      <c r="T4" s="169" t="s">
        <v>137</v>
      </c>
      <c r="U4" s="169"/>
      <c r="V4" s="169"/>
      <c r="W4" s="169"/>
      <c r="X4" s="169"/>
      <c r="Y4" s="169"/>
      <c r="Z4" s="169"/>
      <c r="AA4" s="169"/>
      <c r="AB4" s="169"/>
      <c r="AC4" s="169"/>
    </row>
    <row r="5" spans="1:29" ht="15" customHeight="1" x14ac:dyDescent="0.3">
      <c r="B5" s="172" t="s">
        <v>103</v>
      </c>
      <c r="C5" s="172" t="s">
        <v>104</v>
      </c>
      <c r="D5" s="172" t="s">
        <v>105</v>
      </c>
      <c r="E5" s="172" t="s">
        <v>106</v>
      </c>
      <c r="F5" s="172" t="s">
        <v>107</v>
      </c>
      <c r="G5" s="172" t="s">
        <v>108</v>
      </c>
      <c r="H5" s="172" t="s">
        <v>109</v>
      </c>
      <c r="I5" s="172" t="s">
        <v>110</v>
      </c>
      <c r="J5" s="172" t="s">
        <v>111</v>
      </c>
      <c r="K5" s="172" t="s">
        <v>112</v>
      </c>
      <c r="L5" s="172" t="s">
        <v>113</v>
      </c>
      <c r="M5" s="172" t="s">
        <v>114</v>
      </c>
      <c r="N5" s="172" t="s">
        <v>115</v>
      </c>
      <c r="O5" s="172" t="s">
        <v>116</v>
      </c>
      <c r="P5" s="172" t="s">
        <v>117</v>
      </c>
      <c r="Q5" s="173" t="s">
        <v>103</v>
      </c>
      <c r="R5" s="173" t="s">
        <v>104</v>
      </c>
      <c r="S5" s="173" t="s">
        <v>105</v>
      </c>
      <c r="T5" s="173" t="s">
        <v>106</v>
      </c>
      <c r="U5" s="173" t="s">
        <v>107</v>
      </c>
      <c r="V5" s="173" t="s">
        <v>108</v>
      </c>
      <c r="W5" s="173" t="s">
        <v>109</v>
      </c>
      <c r="X5" s="173" t="s">
        <v>110</v>
      </c>
      <c r="Y5" s="173" t="s">
        <v>111</v>
      </c>
      <c r="Z5" s="173" t="s">
        <v>112</v>
      </c>
      <c r="AA5" s="173" t="s">
        <v>113</v>
      </c>
      <c r="AB5" s="173" t="s">
        <v>114</v>
      </c>
      <c r="AC5" s="173" t="s">
        <v>115</v>
      </c>
    </row>
    <row r="6" spans="1:29" ht="15" customHeight="1" x14ac:dyDescent="0.3">
      <c r="A6" s="101" t="s">
        <v>59</v>
      </c>
      <c r="B6" s="85">
        <v>2</v>
      </c>
      <c r="C6" s="85">
        <v>2</v>
      </c>
      <c r="D6" s="85">
        <v>2</v>
      </c>
      <c r="E6" s="85">
        <v>2</v>
      </c>
      <c r="F6" s="85">
        <v>2</v>
      </c>
      <c r="G6" s="85">
        <v>2</v>
      </c>
      <c r="H6" s="85">
        <v>2</v>
      </c>
      <c r="I6" s="85">
        <v>2</v>
      </c>
      <c r="J6" s="85">
        <v>2</v>
      </c>
      <c r="K6" s="85">
        <v>2</v>
      </c>
      <c r="L6" s="85">
        <v>2</v>
      </c>
      <c r="M6" s="85">
        <v>2</v>
      </c>
      <c r="N6" s="19"/>
      <c r="O6" s="19"/>
      <c r="P6" s="19"/>
      <c r="Q6" s="85">
        <f>1+2/5.25</f>
        <v>1.3809523809523809</v>
      </c>
      <c r="R6" s="85">
        <f t="shared" ref="R6:AB6" si="0">1+2/5.25</f>
        <v>1.3809523809523809</v>
      </c>
      <c r="S6" s="85">
        <f t="shared" si="0"/>
        <v>1.3809523809523809</v>
      </c>
      <c r="T6" s="85">
        <f t="shared" si="0"/>
        <v>1.3809523809523809</v>
      </c>
      <c r="U6" s="85">
        <f t="shared" si="0"/>
        <v>1.3809523809523809</v>
      </c>
      <c r="V6" s="85">
        <f t="shared" si="0"/>
        <v>1.3809523809523809</v>
      </c>
      <c r="W6" s="85">
        <f t="shared" si="0"/>
        <v>1.3809523809523809</v>
      </c>
      <c r="X6" s="85">
        <f t="shared" si="0"/>
        <v>1.3809523809523809</v>
      </c>
      <c r="Y6" s="85">
        <f t="shared" si="0"/>
        <v>1.3809523809523809</v>
      </c>
      <c r="Z6" s="85">
        <f t="shared" si="0"/>
        <v>1.3809523809523809</v>
      </c>
      <c r="AA6" s="85">
        <f t="shared" si="0"/>
        <v>1.3809523809523809</v>
      </c>
      <c r="AB6" s="85">
        <f t="shared" si="0"/>
        <v>1.3809523809523809</v>
      </c>
      <c r="AC6" s="19"/>
    </row>
    <row r="7" spans="1:29" ht="15" customHeight="1" x14ac:dyDescent="0.3">
      <c r="A7" s="101" t="s">
        <v>60</v>
      </c>
      <c r="B7" s="41">
        <f>9/12</f>
        <v>0.75</v>
      </c>
      <c r="C7" s="41">
        <f t="shared" ref="C7:M7" si="1">9/12</f>
        <v>0.75</v>
      </c>
      <c r="D7" s="41">
        <f t="shared" si="1"/>
        <v>0.75</v>
      </c>
      <c r="E7" s="41">
        <f t="shared" si="1"/>
        <v>0.75</v>
      </c>
      <c r="F7" s="41">
        <f t="shared" si="1"/>
        <v>0.75</v>
      </c>
      <c r="G7" s="41">
        <f t="shared" si="1"/>
        <v>0.75</v>
      </c>
      <c r="H7" s="41">
        <f t="shared" si="1"/>
        <v>0.75</v>
      </c>
      <c r="I7" s="41">
        <f t="shared" si="1"/>
        <v>0.75</v>
      </c>
      <c r="J7" s="41">
        <f t="shared" si="1"/>
        <v>0.75</v>
      </c>
      <c r="K7" s="41">
        <f t="shared" si="1"/>
        <v>0.75</v>
      </c>
      <c r="L7" s="41">
        <f t="shared" si="1"/>
        <v>0.75</v>
      </c>
      <c r="M7" s="41">
        <f t="shared" si="1"/>
        <v>0.75</v>
      </c>
      <c r="N7" s="19"/>
      <c r="O7" s="19"/>
      <c r="P7" s="19"/>
      <c r="Q7" s="19" t="s">
        <v>118</v>
      </c>
      <c r="R7" s="85"/>
      <c r="S7" s="151"/>
      <c r="T7" s="85"/>
      <c r="U7" s="85"/>
      <c r="V7" s="85"/>
      <c r="W7" s="85"/>
      <c r="X7" s="151"/>
      <c r="Y7" s="85"/>
      <c r="Z7" s="85"/>
      <c r="AA7" s="151"/>
      <c r="AB7" s="85"/>
      <c r="AC7" s="19"/>
    </row>
    <row r="8" spans="1:29" ht="15" customHeight="1" x14ac:dyDescent="0.3">
      <c r="A8" s="101" t="s">
        <v>61</v>
      </c>
      <c r="B8" s="85">
        <v>2</v>
      </c>
      <c r="C8" s="85">
        <v>2</v>
      </c>
      <c r="D8" s="85">
        <v>2</v>
      </c>
      <c r="E8" s="85">
        <v>2</v>
      </c>
      <c r="F8" s="85">
        <v>2</v>
      </c>
      <c r="G8" s="85">
        <v>2</v>
      </c>
      <c r="H8" s="85">
        <v>2</v>
      </c>
      <c r="I8" s="85">
        <v>2</v>
      </c>
      <c r="J8" s="85">
        <v>2</v>
      </c>
      <c r="K8" s="85">
        <v>2</v>
      </c>
      <c r="L8" s="85">
        <v>2</v>
      </c>
      <c r="M8" s="85">
        <v>3</v>
      </c>
      <c r="N8" s="19"/>
      <c r="O8" s="19"/>
      <c r="P8" s="19"/>
      <c r="Q8" s="19" t="s">
        <v>118</v>
      </c>
      <c r="R8" s="85"/>
      <c r="S8" s="151"/>
      <c r="T8" s="85"/>
      <c r="U8" s="85"/>
      <c r="V8" s="85"/>
      <c r="W8" s="85"/>
      <c r="X8" s="151"/>
      <c r="Y8" s="85"/>
      <c r="Z8" s="85"/>
      <c r="AA8" s="151"/>
      <c r="AB8" s="85"/>
      <c r="AC8" s="19"/>
    </row>
    <row r="9" spans="1:29" ht="15" customHeight="1" x14ac:dyDescent="0.3">
      <c r="A9" s="101" t="s">
        <v>62</v>
      </c>
      <c r="B9">
        <v>7.25</v>
      </c>
      <c r="C9">
        <v>7.25</v>
      </c>
      <c r="D9">
        <v>7.25</v>
      </c>
      <c r="E9">
        <v>7.25</v>
      </c>
      <c r="F9">
        <v>7.25</v>
      </c>
      <c r="G9">
        <v>7.25</v>
      </c>
      <c r="H9">
        <v>7.25</v>
      </c>
      <c r="I9">
        <v>7.25</v>
      </c>
      <c r="J9">
        <v>7.25</v>
      </c>
      <c r="K9">
        <v>7.25</v>
      </c>
      <c r="L9">
        <v>7.25</v>
      </c>
      <c r="M9" s="19"/>
      <c r="N9" s="19"/>
      <c r="O9" s="19"/>
      <c r="P9" s="19"/>
      <c r="Q9" s="151"/>
      <c r="R9" s="85"/>
      <c r="S9" s="151"/>
      <c r="T9" s="85"/>
      <c r="U9" s="85"/>
      <c r="V9" s="85"/>
      <c r="W9" s="85"/>
      <c r="X9" s="151"/>
      <c r="Y9" s="85"/>
      <c r="Z9" s="85"/>
      <c r="AA9" s="151"/>
      <c r="AB9" s="85"/>
      <c r="AC9" s="19"/>
    </row>
    <row r="10" spans="1:29" ht="15" customHeight="1" x14ac:dyDescent="0.3">
      <c r="A10" s="101" t="s">
        <v>63</v>
      </c>
      <c r="B10" s="85">
        <v>2</v>
      </c>
      <c r="C10" s="85">
        <v>2</v>
      </c>
      <c r="D10" s="85">
        <v>2</v>
      </c>
      <c r="E10" s="85">
        <v>2</v>
      </c>
      <c r="F10" s="85">
        <v>2</v>
      </c>
      <c r="G10" s="85">
        <v>2</v>
      </c>
      <c r="H10" s="85">
        <v>2</v>
      </c>
      <c r="I10" s="85">
        <v>2</v>
      </c>
      <c r="J10" s="85">
        <v>2</v>
      </c>
      <c r="K10" s="85">
        <v>2</v>
      </c>
      <c r="L10" s="85">
        <v>2</v>
      </c>
      <c r="M10" s="19"/>
      <c r="N10" s="19"/>
      <c r="O10" s="19"/>
      <c r="P10" s="19"/>
      <c r="Q10" s="151"/>
      <c r="R10" s="41"/>
      <c r="S10" s="151"/>
      <c r="T10" s="41"/>
      <c r="U10" s="41"/>
      <c r="V10" s="41"/>
      <c r="W10" s="41"/>
      <c r="X10" s="151"/>
      <c r="Y10" s="41"/>
      <c r="Z10" s="41"/>
      <c r="AA10" s="151"/>
      <c r="AB10" s="19"/>
      <c r="AC10" s="19"/>
    </row>
    <row r="11" spans="1:29" ht="15" customHeight="1" x14ac:dyDescent="0.3">
      <c r="A11" s="101" t="s">
        <v>64</v>
      </c>
      <c r="B11" s="41">
        <v>0.5</v>
      </c>
      <c r="C11" s="41">
        <v>0.5</v>
      </c>
      <c r="D11" s="41">
        <v>0.5</v>
      </c>
      <c r="E11" s="41">
        <v>0.5</v>
      </c>
      <c r="F11" s="41">
        <v>0.5</v>
      </c>
      <c r="G11" s="41">
        <v>0.5</v>
      </c>
      <c r="H11" s="41">
        <v>0.5</v>
      </c>
      <c r="I11" s="41">
        <v>0.5</v>
      </c>
      <c r="J11" s="41">
        <v>0.5</v>
      </c>
      <c r="K11" s="41">
        <v>0.5</v>
      </c>
      <c r="L11" s="41">
        <v>0.5</v>
      </c>
      <c r="M11" s="41">
        <v>0.5</v>
      </c>
      <c r="N11" s="19"/>
      <c r="O11" s="19"/>
      <c r="P11" s="19"/>
      <c r="Q11" s="19">
        <f>1/1.93</f>
        <v>0.5181347150259068</v>
      </c>
      <c r="R11" s="19">
        <f t="shared" ref="R11:AB11" si="2">1/1.93</f>
        <v>0.5181347150259068</v>
      </c>
      <c r="S11" s="19">
        <f t="shared" si="2"/>
        <v>0.5181347150259068</v>
      </c>
      <c r="T11" s="19">
        <f t="shared" si="2"/>
        <v>0.5181347150259068</v>
      </c>
      <c r="U11" s="19">
        <f t="shared" si="2"/>
        <v>0.5181347150259068</v>
      </c>
      <c r="V11" s="19">
        <f t="shared" si="2"/>
        <v>0.5181347150259068</v>
      </c>
      <c r="W11" s="19">
        <f t="shared" si="2"/>
        <v>0.5181347150259068</v>
      </c>
      <c r="X11" s="19">
        <f t="shared" si="2"/>
        <v>0.5181347150259068</v>
      </c>
      <c r="Y11" s="19">
        <f t="shared" si="2"/>
        <v>0.5181347150259068</v>
      </c>
      <c r="Z11" s="19">
        <f t="shared" si="2"/>
        <v>0.5181347150259068</v>
      </c>
      <c r="AA11" s="19">
        <f t="shared" si="2"/>
        <v>0.5181347150259068</v>
      </c>
      <c r="AB11" s="19">
        <f t="shared" si="2"/>
        <v>0.5181347150259068</v>
      </c>
      <c r="AC11" s="19">
        <f>1/1.44</f>
        <v>0.69444444444444442</v>
      </c>
    </row>
    <row r="12" spans="1:29" ht="15" customHeight="1" x14ac:dyDescent="0.3">
      <c r="A12" s="101" t="s">
        <v>65</v>
      </c>
      <c r="B12" s="41">
        <f>6/12</f>
        <v>0.5</v>
      </c>
      <c r="C12" s="41">
        <f t="shared" ref="C12:L12" si="3">6/12</f>
        <v>0.5</v>
      </c>
      <c r="D12" s="41">
        <f t="shared" si="3"/>
        <v>0.5</v>
      </c>
      <c r="E12" s="41">
        <f t="shared" si="3"/>
        <v>0.5</v>
      </c>
      <c r="F12" s="41">
        <f t="shared" si="3"/>
        <v>0.5</v>
      </c>
      <c r="G12" s="41">
        <f t="shared" si="3"/>
        <v>0.5</v>
      </c>
      <c r="H12" s="41">
        <f>9/12</f>
        <v>0.75</v>
      </c>
      <c r="I12" s="41">
        <f t="shared" si="3"/>
        <v>0.5</v>
      </c>
      <c r="J12" s="41">
        <f t="shared" si="3"/>
        <v>0.5</v>
      </c>
      <c r="K12" s="41">
        <f t="shared" si="3"/>
        <v>0.5</v>
      </c>
      <c r="L12" s="41">
        <f t="shared" si="3"/>
        <v>0.5</v>
      </c>
      <c r="M12" s="19"/>
      <c r="N12" s="19"/>
      <c r="O12" s="19"/>
      <c r="P12" s="19"/>
      <c r="Q12" s="150">
        <f>1/40.1</f>
        <v>2.4937655860349125E-2</v>
      </c>
      <c r="R12" s="150">
        <f>1/35.3</f>
        <v>2.8328611898017001E-2</v>
      </c>
      <c r="S12" s="150">
        <f>1/35.7</f>
        <v>2.8011204481792715E-2</v>
      </c>
      <c r="T12" s="150">
        <f>1/34.5777777777778</f>
        <v>2.8920308483290472E-2</v>
      </c>
      <c r="U12" s="150">
        <f>1/34.8</f>
        <v>2.8735632183908049E-2</v>
      </c>
      <c r="V12" s="150">
        <f>1/33.3</f>
        <v>3.0030030030030033E-2</v>
      </c>
      <c r="W12" s="150">
        <f>1/29.4</f>
        <v>3.4013605442176874E-2</v>
      </c>
      <c r="X12" s="150">
        <f>1/36.5</f>
        <v>2.7397260273972601E-2</v>
      </c>
      <c r="Y12" s="150">
        <f>1/34.5777777777778</f>
        <v>2.8920308483290472E-2</v>
      </c>
      <c r="Z12" s="150">
        <f>1/32.6</f>
        <v>3.0674846625766871E-2</v>
      </c>
      <c r="AA12" s="150">
        <f>1/33.5</f>
        <v>2.9850746268656716E-2</v>
      </c>
      <c r="AB12" s="151"/>
      <c r="AC12" s="151"/>
    </row>
    <row r="13" spans="1:29" ht="15" customHeight="1" x14ac:dyDescent="0.3">
      <c r="A13" s="101" t="s">
        <v>66</v>
      </c>
      <c r="B13" s="41">
        <f>5/52</f>
        <v>9.6153846153846159E-2</v>
      </c>
      <c r="C13" s="41">
        <f t="shared" ref="C13:L13" si="4">5/52</f>
        <v>9.6153846153846159E-2</v>
      </c>
      <c r="D13" s="41">
        <f t="shared" si="4"/>
        <v>9.6153846153846159E-2</v>
      </c>
      <c r="E13" s="41">
        <f t="shared" si="4"/>
        <v>9.6153846153846159E-2</v>
      </c>
      <c r="F13" s="41">
        <f t="shared" si="4"/>
        <v>9.6153846153846159E-2</v>
      </c>
      <c r="G13" s="41">
        <f t="shared" si="4"/>
        <v>9.6153846153846159E-2</v>
      </c>
      <c r="H13" s="41">
        <f t="shared" si="4"/>
        <v>9.6153846153846159E-2</v>
      </c>
      <c r="I13" s="41">
        <f t="shared" si="4"/>
        <v>9.6153846153846159E-2</v>
      </c>
      <c r="J13" s="41">
        <f t="shared" si="4"/>
        <v>9.6153846153846159E-2</v>
      </c>
      <c r="K13" s="41">
        <f t="shared" si="4"/>
        <v>9.6153846153846159E-2</v>
      </c>
      <c r="L13" s="41">
        <f t="shared" si="4"/>
        <v>9.6153846153846159E-2</v>
      </c>
      <c r="M13" s="19"/>
      <c r="N13" s="19"/>
      <c r="O13" s="19"/>
      <c r="P13" s="19"/>
      <c r="Q13" s="102">
        <f>1/150</f>
        <v>6.6666666666666671E-3</v>
      </c>
      <c r="R13" s="102">
        <f t="shared" ref="R13:AA13" si="5">1/150</f>
        <v>6.6666666666666671E-3</v>
      </c>
      <c r="S13" s="102">
        <f t="shared" si="5"/>
        <v>6.6666666666666671E-3</v>
      </c>
      <c r="T13" s="102">
        <f t="shared" si="5"/>
        <v>6.6666666666666671E-3</v>
      </c>
      <c r="U13" s="102">
        <f t="shared" si="5"/>
        <v>6.6666666666666671E-3</v>
      </c>
      <c r="V13" s="102">
        <f t="shared" si="5"/>
        <v>6.6666666666666671E-3</v>
      </c>
      <c r="W13" s="102">
        <f t="shared" si="5"/>
        <v>6.6666666666666671E-3</v>
      </c>
      <c r="X13" s="102">
        <f t="shared" si="5"/>
        <v>6.6666666666666671E-3</v>
      </c>
      <c r="Y13" s="102">
        <f t="shared" si="5"/>
        <v>6.6666666666666671E-3</v>
      </c>
      <c r="Z13" s="102">
        <f t="shared" si="5"/>
        <v>6.6666666666666671E-3</v>
      </c>
      <c r="AA13" s="102">
        <f t="shared" si="5"/>
        <v>6.6666666666666671E-3</v>
      </c>
      <c r="AB13" s="19"/>
      <c r="AC13" s="19"/>
    </row>
    <row r="14" spans="1:29" ht="15" customHeight="1" x14ac:dyDescent="0.3">
      <c r="A14" s="101" t="s">
        <v>67</v>
      </c>
      <c r="B14" s="41">
        <f>2/12</f>
        <v>0.16666666666666666</v>
      </c>
      <c r="C14" s="41">
        <f t="shared" ref="C14:L14" si="6">2/12</f>
        <v>0.16666666666666666</v>
      </c>
      <c r="D14" s="41">
        <f t="shared" si="6"/>
        <v>0.16666666666666666</v>
      </c>
      <c r="E14" s="41">
        <f t="shared" si="6"/>
        <v>0.16666666666666666</v>
      </c>
      <c r="F14" s="41">
        <f t="shared" si="6"/>
        <v>0.16666666666666666</v>
      </c>
      <c r="G14" s="41">
        <f t="shared" si="6"/>
        <v>0.16666666666666666</v>
      </c>
      <c r="H14" s="41">
        <f t="shared" si="6"/>
        <v>0.16666666666666666</v>
      </c>
      <c r="I14" s="41">
        <f t="shared" si="6"/>
        <v>0.16666666666666666</v>
      </c>
      <c r="J14" s="41">
        <f t="shared" si="6"/>
        <v>0.16666666666666666</v>
      </c>
      <c r="K14" s="41">
        <f t="shared" si="6"/>
        <v>0.16666666666666666</v>
      </c>
      <c r="L14" s="41">
        <f t="shared" si="6"/>
        <v>0.16666666666666666</v>
      </c>
      <c r="M14" s="243"/>
      <c r="N14" s="243"/>
      <c r="O14" s="243"/>
      <c r="P14" s="243"/>
      <c r="Q14" s="176"/>
      <c r="R14" s="154"/>
      <c r="S14" s="176"/>
      <c r="T14" s="154"/>
      <c r="U14" s="154"/>
      <c r="V14" s="154"/>
      <c r="W14" s="19"/>
      <c r="X14" s="176"/>
      <c r="Y14" s="154"/>
      <c r="Z14" s="154"/>
      <c r="AA14" s="176"/>
      <c r="AB14" s="22"/>
      <c r="AC14" s="22"/>
    </row>
    <row r="15" spans="1:29" ht="15" customHeight="1" x14ac:dyDescent="0.3">
      <c r="A15" s="101" t="s">
        <v>68</v>
      </c>
      <c r="B15" s="41">
        <v>1.2</v>
      </c>
      <c r="C15" s="41">
        <v>1.2</v>
      </c>
      <c r="D15" s="41">
        <v>1.2</v>
      </c>
      <c r="E15" s="41">
        <v>1.2</v>
      </c>
      <c r="F15" s="41">
        <v>1.2</v>
      </c>
      <c r="G15" s="41">
        <v>1.2</v>
      </c>
      <c r="H15" s="41">
        <v>1.2</v>
      </c>
      <c r="I15" s="41">
        <v>1.2</v>
      </c>
      <c r="J15" s="41">
        <v>1.2</v>
      </c>
      <c r="K15" s="41">
        <v>1.2</v>
      </c>
      <c r="L15" s="41">
        <v>1.2</v>
      </c>
      <c r="M15" s="19"/>
      <c r="N15" s="19"/>
      <c r="O15" s="19"/>
      <c r="P15" s="19"/>
      <c r="Q15" s="493">
        <f>10/(365*24*60*60)</f>
        <v>3.1709791983764589E-7</v>
      </c>
      <c r="R15" s="493">
        <f t="shared" ref="R15:AA15" si="7">10/(365*24*60*60)</f>
        <v>3.1709791983764589E-7</v>
      </c>
      <c r="S15" s="493">
        <f t="shared" si="7"/>
        <v>3.1709791983764589E-7</v>
      </c>
      <c r="T15" s="493">
        <f t="shared" si="7"/>
        <v>3.1709791983764589E-7</v>
      </c>
      <c r="U15" s="493">
        <f t="shared" si="7"/>
        <v>3.1709791983764589E-7</v>
      </c>
      <c r="V15" s="493">
        <f t="shared" si="7"/>
        <v>3.1709791983764589E-7</v>
      </c>
      <c r="W15" s="493">
        <f t="shared" si="7"/>
        <v>3.1709791983764589E-7</v>
      </c>
      <c r="X15" s="493">
        <f t="shared" si="7"/>
        <v>3.1709791983764589E-7</v>
      </c>
      <c r="Y15" s="493">
        <f t="shared" si="7"/>
        <v>3.1709791983764589E-7</v>
      </c>
      <c r="Z15" s="493">
        <f t="shared" si="7"/>
        <v>3.1709791983764589E-7</v>
      </c>
      <c r="AA15" s="493">
        <f t="shared" si="7"/>
        <v>3.1709791983764589E-7</v>
      </c>
      <c r="AB15" s="19"/>
      <c r="AC15" s="19"/>
    </row>
    <row r="16" spans="1:29" ht="15" customHeight="1" x14ac:dyDescent="0.3">
      <c r="A16" s="101" t="s">
        <v>83</v>
      </c>
      <c r="C16"/>
      <c r="M16" s="19"/>
      <c r="N16" s="19"/>
      <c r="O16">
        <f>3</f>
        <v>3</v>
      </c>
      <c r="P16" s="19"/>
    </row>
    <row r="17" spans="1:27" ht="15" customHeight="1" x14ac:dyDescent="0.3">
      <c r="A17" s="101" t="s">
        <v>86</v>
      </c>
      <c r="C17"/>
      <c r="M17" s="19"/>
      <c r="N17" s="46"/>
      <c r="O17" s="46"/>
      <c r="P17">
        <f>O16</f>
        <v>3</v>
      </c>
      <c r="Q17" s="85"/>
      <c r="R17" s="85"/>
      <c r="S17" s="85"/>
      <c r="T17" s="85"/>
      <c r="U17" s="85"/>
      <c r="V17" s="85"/>
      <c r="W17" s="85"/>
      <c r="X17" s="85"/>
      <c r="Y17" s="85"/>
      <c r="Z17" s="85"/>
      <c r="AA17" s="85"/>
    </row>
    <row r="18" spans="1:27" ht="15" customHeight="1" x14ac:dyDescent="0.3">
      <c r="A18" s="101" t="s">
        <v>87</v>
      </c>
      <c r="C18"/>
      <c r="M18" s="19"/>
      <c r="N18" s="19"/>
      <c r="O18" s="19"/>
      <c r="P18">
        <v>1.5</v>
      </c>
    </row>
    <row r="19" spans="1:27" ht="15" customHeight="1" x14ac:dyDescent="0.3">
      <c r="A19" s="101" t="s">
        <v>88</v>
      </c>
      <c r="C19" s="41"/>
      <c r="D19" s="41"/>
      <c r="E19" s="41"/>
      <c r="F19" s="41"/>
      <c r="G19" s="41"/>
      <c r="H19" s="41"/>
      <c r="I19" s="41"/>
      <c r="J19" s="41"/>
      <c r="K19" s="41"/>
      <c r="L19" s="41"/>
      <c r="M19" s="19"/>
      <c r="N19" s="19"/>
      <c r="O19" s="19"/>
      <c r="P19" s="41">
        <f>10/12</f>
        <v>0.83333333333333337</v>
      </c>
    </row>
    <row r="20" spans="1:27" ht="15" customHeight="1" x14ac:dyDescent="0.3">
      <c r="A20" s="101" t="s">
        <v>89</v>
      </c>
      <c r="C20"/>
      <c r="M20" s="19"/>
      <c r="N20" s="19"/>
      <c r="O20" s="19"/>
      <c r="P20">
        <f>P17</f>
        <v>3</v>
      </c>
      <c r="Q20" s="85"/>
      <c r="R20" s="85"/>
      <c r="S20" s="85"/>
      <c r="T20" s="85"/>
      <c r="U20" s="85"/>
      <c r="V20" s="85"/>
      <c r="W20" s="85"/>
      <c r="X20" s="85"/>
      <c r="Y20" s="85"/>
      <c r="Z20" s="85"/>
      <c r="AA20" s="85"/>
    </row>
    <row r="21" spans="1:27" ht="15" customHeight="1" x14ac:dyDescent="0.3">
      <c r="A21" s="101" t="s">
        <v>95</v>
      </c>
      <c r="C21" s="85"/>
      <c r="D21" s="85"/>
      <c r="E21" s="85"/>
      <c r="F21" s="85"/>
      <c r="G21" s="85"/>
      <c r="H21" s="85"/>
      <c r="I21" s="85"/>
      <c r="J21" s="85"/>
      <c r="K21" s="85"/>
      <c r="L21" s="85"/>
      <c r="M21" s="19"/>
      <c r="N21" s="19"/>
      <c r="O21" s="19"/>
      <c r="P21" s="85">
        <v>2</v>
      </c>
      <c r="Q21" s="41"/>
      <c r="R21" s="41"/>
      <c r="S21" s="41"/>
      <c r="T21" s="41"/>
      <c r="U21" s="41"/>
      <c r="V21" s="41"/>
      <c r="W21" s="41"/>
      <c r="X21" s="41"/>
      <c r="Y21" s="41"/>
      <c r="Z21" s="41"/>
      <c r="AA21" s="41"/>
    </row>
    <row r="22" spans="1:27" ht="15" customHeight="1" x14ac:dyDescent="0.3">
      <c r="A22" s="101" t="s">
        <v>96</v>
      </c>
      <c r="C22" s="85"/>
      <c r="D22" s="85"/>
      <c r="E22" s="85"/>
      <c r="F22" s="85"/>
      <c r="G22" s="85"/>
      <c r="H22" s="85"/>
      <c r="I22" s="85"/>
      <c r="J22" s="85"/>
      <c r="K22" s="85"/>
      <c r="L22" s="85"/>
      <c r="M22" s="19"/>
      <c r="N22" s="19"/>
      <c r="O22" s="19"/>
      <c r="P22" s="85">
        <v>2</v>
      </c>
      <c r="Q22" s="41"/>
      <c r="R22" s="41"/>
      <c r="S22" s="41"/>
      <c r="T22" s="41"/>
      <c r="U22" s="41"/>
      <c r="V22" s="41"/>
      <c r="W22" s="41"/>
      <c r="X22" s="41"/>
      <c r="Y22" s="41"/>
      <c r="Z22" s="41"/>
      <c r="AA22" s="41"/>
    </row>
    <row r="23" spans="1:27" ht="15" customHeight="1" x14ac:dyDescent="0.3">
      <c r="A23" s="101" t="s">
        <v>97</v>
      </c>
      <c r="C23" s="41"/>
      <c r="D23" s="41"/>
      <c r="E23" s="41"/>
      <c r="F23" s="41"/>
      <c r="G23" s="41"/>
      <c r="H23" s="41"/>
      <c r="I23" s="41"/>
      <c r="J23" s="41"/>
      <c r="K23" s="41"/>
      <c r="L23" s="41"/>
      <c r="M23" s="19"/>
      <c r="N23" s="19"/>
      <c r="O23" s="19"/>
      <c r="P23" s="41">
        <f>B14</f>
        <v>0.16666666666666666</v>
      </c>
      <c r="Q23" s="41"/>
      <c r="R23" s="41"/>
      <c r="S23" s="41"/>
      <c r="T23" s="41"/>
      <c r="U23" s="41"/>
      <c r="V23" s="41"/>
      <c r="W23" s="41"/>
      <c r="X23" s="41"/>
      <c r="Y23" s="41"/>
      <c r="Z23" s="41"/>
      <c r="AA23" s="41"/>
    </row>
    <row r="24" spans="1:27" ht="15" customHeight="1" x14ac:dyDescent="0.3">
      <c r="A24" s="101" t="s">
        <v>98</v>
      </c>
      <c r="C24" s="41"/>
      <c r="D24" s="41"/>
      <c r="E24" s="41"/>
      <c r="F24" s="41"/>
      <c r="G24" s="41"/>
      <c r="H24" s="41"/>
      <c r="I24" s="41"/>
      <c r="J24" s="41"/>
      <c r="K24" s="41"/>
      <c r="L24" s="41"/>
      <c r="M24" s="151"/>
      <c r="N24" s="151"/>
      <c r="O24" s="151"/>
      <c r="P24" s="41">
        <f>3.5/12</f>
        <v>0.29166666666666669</v>
      </c>
      <c r="Q24" s="41"/>
      <c r="R24" s="41"/>
      <c r="S24" s="41"/>
      <c r="T24" s="41"/>
      <c r="U24" s="41"/>
      <c r="V24" s="41"/>
      <c r="W24" s="41"/>
      <c r="X24" s="41"/>
      <c r="Y24" s="41"/>
      <c r="Z24" s="41"/>
      <c r="AA24" s="41"/>
    </row>
    <row r="25" spans="1:27" ht="15" customHeight="1" x14ac:dyDescent="0.3">
      <c r="A25" t="s">
        <v>119</v>
      </c>
      <c r="C25"/>
      <c r="M25" s="151"/>
      <c r="N25" s="151"/>
      <c r="O25" s="151"/>
      <c r="P25">
        <f>3/12</f>
        <v>0.25</v>
      </c>
      <c r="Q25" s="19"/>
      <c r="R25" s="19"/>
      <c r="S25" s="19"/>
      <c r="T25" s="19"/>
      <c r="U25" s="19"/>
      <c r="V25" s="19"/>
      <c r="W25" s="19"/>
      <c r="X25" s="19"/>
      <c r="Y25" s="19"/>
      <c r="Z25" s="19"/>
      <c r="AA25" s="1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C049-CD56-48FE-AC53-AF56CDA9A527}">
  <sheetPr>
    <tabColor theme="3" tint="0.39997558519241921"/>
  </sheetPr>
  <dimension ref="A1:V196"/>
  <sheetViews>
    <sheetView zoomScaleNormal="100" workbookViewId="0">
      <selection activeCell="A2" sqref="A2:H2"/>
    </sheetView>
  </sheetViews>
  <sheetFormatPr defaultRowHeight="14.4" x14ac:dyDescent="0.3"/>
  <cols>
    <col min="1" max="1" width="48.44140625" customWidth="1"/>
    <col min="2" max="2" width="12.109375" bestFit="1" customWidth="1"/>
    <col min="8" max="8" width="10.33203125" customWidth="1"/>
    <col min="10" max="10" width="10.109375" customWidth="1"/>
    <col min="12" max="12" width="11.6640625" customWidth="1"/>
    <col min="13" max="13" width="14" customWidth="1"/>
  </cols>
  <sheetData>
    <row r="1" spans="1:18" x14ac:dyDescent="0.3">
      <c r="A1" s="328"/>
      <c r="B1" s="64"/>
      <c r="C1" s="64"/>
      <c r="D1" s="64"/>
      <c r="E1" s="64"/>
      <c r="F1" s="64"/>
      <c r="G1" s="64"/>
      <c r="H1" s="64"/>
    </row>
    <row r="2" spans="1:18" ht="21" x14ac:dyDescent="0.3">
      <c r="A2" s="399" t="s">
        <v>138</v>
      </c>
      <c r="B2" s="64"/>
      <c r="C2" s="64"/>
      <c r="D2" s="64"/>
      <c r="E2" s="64"/>
      <c r="F2" s="64"/>
      <c r="G2" s="64"/>
      <c r="H2" t="s">
        <v>139</v>
      </c>
    </row>
    <row r="3" spans="1:18" x14ac:dyDescent="0.3">
      <c r="A3" s="328"/>
      <c r="B3" s="64"/>
      <c r="C3" s="64"/>
      <c r="D3" s="64"/>
      <c r="E3" s="64"/>
      <c r="F3" s="64"/>
      <c r="G3" s="64"/>
      <c r="H3" s="64"/>
    </row>
    <row r="4" spans="1:18" s="379" customFormat="1" x14ac:dyDescent="0.3">
      <c r="A4" s="327" t="s">
        <v>140</v>
      </c>
      <c r="B4" s="328" t="s">
        <v>141</v>
      </c>
      <c r="C4" s="329" t="s">
        <v>142</v>
      </c>
      <c r="D4" s="329"/>
      <c r="E4" s="329"/>
      <c r="F4" s="329"/>
      <c r="G4" s="330"/>
      <c r="H4" s="331"/>
      <c r="I4" s="329"/>
      <c r="J4" s="329"/>
      <c r="K4" s="332"/>
      <c r="L4" s="329"/>
      <c r="M4" s="329"/>
      <c r="N4" s="329"/>
      <c r="R4" s="390"/>
    </row>
    <row r="5" spans="1:18" s="328" customFormat="1" ht="30.75" customHeight="1" x14ac:dyDescent="0.3">
      <c r="A5" s="333"/>
      <c r="G5" s="334" t="s">
        <v>143</v>
      </c>
      <c r="H5" s="335" t="s">
        <v>144</v>
      </c>
      <c r="I5" s="336" t="s">
        <v>145</v>
      </c>
      <c r="J5" s="337" t="s">
        <v>146</v>
      </c>
      <c r="K5" s="338" t="s">
        <v>147</v>
      </c>
      <c r="L5" s="328" t="s">
        <v>148</v>
      </c>
      <c r="R5" s="339"/>
    </row>
    <row r="6" spans="1:18" s="328" customFormat="1" x14ac:dyDescent="0.3">
      <c r="A6" s="328" t="s">
        <v>149</v>
      </c>
      <c r="B6" s="339">
        <v>60</v>
      </c>
      <c r="C6" s="339">
        <v>30</v>
      </c>
      <c r="D6" s="339">
        <v>60</v>
      </c>
      <c r="E6" s="339">
        <v>70</v>
      </c>
      <c r="F6" s="339">
        <v>200</v>
      </c>
      <c r="G6" s="340">
        <v>370</v>
      </c>
      <c r="H6" s="340">
        <f>(365-305)*2.5</f>
        <v>150</v>
      </c>
      <c r="I6" s="340">
        <f>305*2.5</f>
        <v>762.5</v>
      </c>
      <c r="J6" s="341">
        <f>SUM(B6:I6)</f>
        <v>1702.5</v>
      </c>
      <c r="K6" s="342"/>
      <c r="R6" s="339"/>
    </row>
    <row r="7" spans="1:18" s="328" customFormat="1" x14ac:dyDescent="0.3">
      <c r="A7" s="328" t="s">
        <v>150</v>
      </c>
      <c r="B7" s="339">
        <v>60</v>
      </c>
      <c r="C7" s="339">
        <v>65</v>
      </c>
      <c r="D7" s="339">
        <v>70</v>
      </c>
      <c r="E7" s="339">
        <v>80</v>
      </c>
      <c r="F7" s="339">
        <v>100</v>
      </c>
      <c r="G7" s="340">
        <v>160</v>
      </c>
      <c r="H7" s="340">
        <v>170</v>
      </c>
      <c r="I7" s="339">
        <v>170</v>
      </c>
      <c r="K7" s="342"/>
      <c r="R7" s="339"/>
    </row>
    <row r="8" spans="1:18" s="328" customFormat="1" x14ac:dyDescent="0.3">
      <c r="A8" s="328" t="s">
        <v>151</v>
      </c>
      <c r="B8" s="339">
        <v>30</v>
      </c>
      <c r="C8" s="339">
        <v>30</v>
      </c>
      <c r="D8" s="339">
        <v>35</v>
      </c>
      <c r="E8" s="339">
        <v>40</v>
      </c>
      <c r="F8" s="339">
        <v>50</v>
      </c>
      <c r="G8" s="340">
        <v>60</v>
      </c>
      <c r="H8" s="340">
        <v>65</v>
      </c>
      <c r="I8" s="339">
        <v>65</v>
      </c>
      <c r="K8" s="342"/>
      <c r="Q8"/>
      <c r="R8" s="339"/>
    </row>
    <row r="9" spans="1:18" s="328" customFormat="1" x14ac:dyDescent="0.3">
      <c r="A9" s="328" t="s">
        <v>152</v>
      </c>
      <c r="B9" s="340">
        <f t="shared" ref="B9:I9" si="0">B7*B8</f>
        <v>1800</v>
      </c>
      <c r="C9" s="340">
        <f t="shared" si="0"/>
        <v>1950</v>
      </c>
      <c r="D9" s="340">
        <f t="shared" si="0"/>
        <v>2450</v>
      </c>
      <c r="E9" s="340">
        <f t="shared" si="0"/>
        <v>3200</v>
      </c>
      <c r="F9" s="340">
        <f t="shared" si="0"/>
        <v>5000</v>
      </c>
      <c r="G9" s="340">
        <f t="shared" si="0"/>
        <v>9600</v>
      </c>
      <c r="H9" s="340">
        <f t="shared" si="0"/>
        <v>11050</v>
      </c>
      <c r="I9" s="340">
        <f t="shared" si="0"/>
        <v>11050</v>
      </c>
      <c r="K9" s="342"/>
      <c r="R9" s="339"/>
    </row>
    <row r="10" spans="1:18" s="328" customFormat="1" ht="14.25" customHeight="1" x14ac:dyDescent="0.3">
      <c r="A10" s="328" t="s">
        <v>153</v>
      </c>
      <c r="B10" s="339">
        <v>60</v>
      </c>
      <c r="C10" s="339">
        <v>90</v>
      </c>
      <c r="D10" s="339">
        <v>150</v>
      </c>
      <c r="E10" s="339">
        <v>250</v>
      </c>
      <c r="F10" s="339">
        <v>400</v>
      </c>
      <c r="G10" s="343">
        <v>600</v>
      </c>
      <c r="H10" s="344"/>
      <c r="I10" s="333"/>
      <c r="K10" s="342"/>
      <c r="L10" s="345"/>
      <c r="R10" s="339"/>
    </row>
    <row r="11" spans="1:18" s="328" customFormat="1" ht="17.25" customHeight="1" x14ac:dyDescent="0.3">
      <c r="A11" s="333" t="s">
        <v>154</v>
      </c>
      <c r="B11" s="346">
        <v>1.2</v>
      </c>
      <c r="C11" s="346">
        <v>1.7</v>
      </c>
      <c r="D11" s="346">
        <v>2.2000000000000002</v>
      </c>
      <c r="E11" s="346">
        <v>2.9</v>
      </c>
      <c r="F11" s="347">
        <v>3.7</v>
      </c>
      <c r="G11" s="346">
        <v>4.4000000000000004</v>
      </c>
      <c r="H11" s="346">
        <v>4.8</v>
      </c>
      <c r="I11" s="346">
        <v>8.5</v>
      </c>
      <c r="J11" s="342"/>
      <c r="K11" s="342"/>
      <c r="R11" s="339"/>
    </row>
    <row r="12" spans="1:18" s="328" customFormat="1" x14ac:dyDescent="0.3">
      <c r="A12" s="328" t="s">
        <v>155</v>
      </c>
      <c r="B12" s="339">
        <f>B11*10000</f>
        <v>12000</v>
      </c>
      <c r="C12" s="339">
        <f t="shared" ref="C12:I12" si="1">C11*10000</f>
        <v>17000</v>
      </c>
      <c r="D12" s="339">
        <f t="shared" si="1"/>
        <v>22000</v>
      </c>
      <c r="E12" s="339">
        <f t="shared" si="1"/>
        <v>29000</v>
      </c>
      <c r="F12" s="339">
        <f t="shared" si="1"/>
        <v>37000</v>
      </c>
      <c r="G12" s="340">
        <f t="shared" si="1"/>
        <v>44000</v>
      </c>
      <c r="H12" s="340">
        <f t="shared" si="1"/>
        <v>48000</v>
      </c>
      <c r="I12" s="339">
        <f t="shared" si="1"/>
        <v>85000</v>
      </c>
      <c r="K12" s="348"/>
      <c r="R12" s="339"/>
    </row>
    <row r="13" spans="1:18" s="328" customFormat="1" ht="32.25" customHeight="1" x14ac:dyDescent="0.3">
      <c r="A13" s="349" t="s">
        <v>156</v>
      </c>
      <c r="B13" s="350">
        <f t="shared" ref="B13:H13" si="2">(B9/B12)*100</f>
        <v>15</v>
      </c>
      <c r="C13" s="350">
        <f t="shared" si="2"/>
        <v>11.470588235294118</v>
      </c>
      <c r="D13" s="350">
        <f t="shared" si="2"/>
        <v>11.136363636363637</v>
      </c>
      <c r="E13" s="350">
        <f t="shared" si="2"/>
        <v>11.03448275862069</v>
      </c>
      <c r="F13" s="350">
        <f t="shared" si="2"/>
        <v>13.513513513513514</v>
      </c>
      <c r="G13" s="350">
        <f t="shared" si="2"/>
        <v>21.818181818181817</v>
      </c>
      <c r="H13" s="350">
        <f t="shared" si="2"/>
        <v>23.020833333333332</v>
      </c>
      <c r="I13" s="350">
        <f>(I9/I12)*100</f>
        <v>13</v>
      </c>
      <c r="J13" s="350">
        <f>(B6*B13)+(C6*C13)+(D6*D13)+(E6*E13)+(F6*F13)+(G6*G13)+(H6*H13)+(I6*I13)</f>
        <v>26825.768233774063</v>
      </c>
      <c r="K13" s="351">
        <f>J13/J6</f>
        <v>15.756692060953927</v>
      </c>
      <c r="L13" s="352" t="s">
        <v>157</v>
      </c>
      <c r="R13" s="339"/>
    </row>
    <row r="14" spans="1:18" s="328" customFormat="1" ht="18.75" customHeight="1" x14ac:dyDescent="0.3">
      <c r="A14" s="327" t="s">
        <v>158</v>
      </c>
      <c r="B14" s="328" t="s">
        <v>159</v>
      </c>
      <c r="C14" s="329" t="s">
        <v>160</v>
      </c>
      <c r="D14" s="329"/>
      <c r="E14" s="329"/>
      <c r="F14" s="329"/>
      <c r="G14" s="330"/>
      <c r="H14" s="331"/>
      <c r="I14" s="329"/>
      <c r="J14" s="329"/>
      <c r="K14" s="332"/>
      <c r="R14" s="339"/>
    </row>
    <row r="15" spans="1:18" s="328" customFormat="1" ht="30.75" customHeight="1" x14ac:dyDescent="0.3">
      <c r="A15" s="333"/>
      <c r="G15" s="334" t="s">
        <v>143</v>
      </c>
      <c r="H15" s="335" t="s">
        <v>144</v>
      </c>
      <c r="I15" s="336" t="s">
        <v>145</v>
      </c>
      <c r="J15" s="337" t="s">
        <v>146</v>
      </c>
      <c r="K15" s="338" t="s">
        <v>147</v>
      </c>
      <c r="L15" s="328" t="s">
        <v>161</v>
      </c>
      <c r="R15" s="339"/>
    </row>
    <row r="16" spans="1:18" s="328" customFormat="1" ht="18.75" customHeight="1" x14ac:dyDescent="0.3">
      <c r="A16" s="328" t="s">
        <v>149</v>
      </c>
      <c r="B16" s="339">
        <v>60</v>
      </c>
      <c r="C16" s="339">
        <v>30</v>
      </c>
      <c r="D16" s="339">
        <v>60</v>
      </c>
      <c r="E16" s="339">
        <v>70</v>
      </c>
      <c r="F16" s="339">
        <v>200</v>
      </c>
      <c r="G16" s="340">
        <v>370</v>
      </c>
      <c r="H16" s="340">
        <f>(365-305)*2.5</f>
        <v>150</v>
      </c>
      <c r="I16" s="340">
        <f>305*2.5</f>
        <v>762.5</v>
      </c>
      <c r="J16" s="341">
        <f>SUM(B16:I16)</f>
        <v>1702.5</v>
      </c>
      <c r="K16" s="342"/>
      <c r="R16" s="339"/>
    </row>
    <row r="17" spans="1:19" s="328" customFormat="1" ht="14.25" customHeight="1" x14ac:dyDescent="0.3">
      <c r="A17" s="328" t="s">
        <v>150</v>
      </c>
      <c r="B17" s="339">
        <v>60</v>
      </c>
      <c r="C17" s="339">
        <v>65</v>
      </c>
      <c r="D17" s="339">
        <v>70</v>
      </c>
      <c r="E17" s="339">
        <v>80</v>
      </c>
      <c r="F17" s="339">
        <v>100</v>
      </c>
      <c r="G17" s="340">
        <v>160</v>
      </c>
      <c r="H17" s="340">
        <v>170</v>
      </c>
      <c r="I17" s="339">
        <v>170</v>
      </c>
      <c r="K17" s="342"/>
      <c r="R17" s="339"/>
    </row>
    <row r="18" spans="1:19" s="328" customFormat="1" ht="12.75" customHeight="1" x14ac:dyDescent="0.3">
      <c r="A18" s="328" t="s">
        <v>151</v>
      </c>
      <c r="B18" s="339">
        <v>30</v>
      </c>
      <c r="C18" s="339">
        <v>30</v>
      </c>
      <c r="D18" s="339">
        <v>35</v>
      </c>
      <c r="E18" s="339">
        <v>40</v>
      </c>
      <c r="F18" s="339">
        <v>50</v>
      </c>
      <c r="G18" s="340">
        <v>60</v>
      </c>
      <c r="H18" s="340">
        <v>65</v>
      </c>
      <c r="I18" s="339">
        <v>65</v>
      </c>
      <c r="K18" s="342"/>
      <c r="R18" s="339"/>
    </row>
    <row r="19" spans="1:19" s="328" customFormat="1" ht="16.5" customHeight="1" x14ac:dyDescent="0.3">
      <c r="A19" s="328" t="s">
        <v>152</v>
      </c>
      <c r="B19" s="340">
        <f t="shared" ref="B19:I19" si="3">B17*B18</f>
        <v>1800</v>
      </c>
      <c r="C19" s="340">
        <f t="shared" si="3"/>
        <v>1950</v>
      </c>
      <c r="D19" s="340">
        <f t="shared" si="3"/>
        <v>2450</v>
      </c>
      <c r="E19" s="340">
        <f t="shared" si="3"/>
        <v>3200</v>
      </c>
      <c r="F19" s="340">
        <f t="shared" si="3"/>
        <v>5000</v>
      </c>
      <c r="G19" s="340">
        <f t="shared" si="3"/>
        <v>9600</v>
      </c>
      <c r="H19" s="340">
        <f t="shared" si="3"/>
        <v>11050</v>
      </c>
      <c r="I19" s="340">
        <f t="shared" si="3"/>
        <v>11050</v>
      </c>
      <c r="K19" s="342"/>
      <c r="R19" s="339"/>
    </row>
    <row r="20" spans="1:19" s="328" customFormat="1" ht="16.5" customHeight="1" x14ac:dyDescent="0.3">
      <c r="A20" s="328" t="s">
        <v>162</v>
      </c>
      <c r="B20" s="339">
        <v>60</v>
      </c>
      <c r="C20" s="339">
        <v>90</v>
      </c>
      <c r="D20" s="339">
        <v>150</v>
      </c>
      <c r="E20" s="339">
        <v>250</v>
      </c>
      <c r="F20" s="339">
        <v>400</v>
      </c>
      <c r="G20" s="343">
        <v>500</v>
      </c>
      <c r="H20" s="344"/>
      <c r="I20" s="333"/>
      <c r="K20" s="342"/>
      <c r="R20" s="339"/>
    </row>
    <row r="21" spans="1:19" s="328" customFormat="1" ht="15" customHeight="1" x14ac:dyDescent="0.3">
      <c r="A21" s="333" t="s">
        <v>154</v>
      </c>
      <c r="B21" s="348">
        <v>1.5</v>
      </c>
      <c r="C21" s="346">
        <v>2.7</v>
      </c>
      <c r="D21" s="346">
        <v>2.7</v>
      </c>
      <c r="E21" s="346">
        <v>3.4</v>
      </c>
      <c r="F21" s="347">
        <v>4.2</v>
      </c>
      <c r="G21" s="346">
        <v>4.8</v>
      </c>
      <c r="H21" s="346">
        <v>5.4</v>
      </c>
      <c r="I21" s="346">
        <v>8</v>
      </c>
      <c r="J21" s="342"/>
      <c r="K21" s="342"/>
      <c r="R21" s="339"/>
    </row>
    <row r="22" spans="1:19" s="328" customFormat="1" ht="15" customHeight="1" x14ac:dyDescent="0.3">
      <c r="A22" s="328" t="s">
        <v>155</v>
      </c>
      <c r="B22" s="339">
        <f>B21*10000</f>
        <v>15000</v>
      </c>
      <c r="C22" s="339">
        <f t="shared" ref="C22:I22" si="4">C21*10000</f>
        <v>27000</v>
      </c>
      <c r="D22" s="339">
        <f t="shared" si="4"/>
        <v>27000</v>
      </c>
      <c r="E22" s="339">
        <f t="shared" si="4"/>
        <v>34000</v>
      </c>
      <c r="F22" s="339">
        <f t="shared" si="4"/>
        <v>42000</v>
      </c>
      <c r="G22" s="340">
        <f t="shared" si="4"/>
        <v>48000</v>
      </c>
      <c r="H22" s="340">
        <f t="shared" si="4"/>
        <v>54000</v>
      </c>
      <c r="I22" s="339">
        <f t="shared" si="4"/>
        <v>80000</v>
      </c>
      <c r="K22" s="348"/>
      <c r="R22" s="339"/>
    </row>
    <row r="23" spans="1:19" s="328" customFormat="1" ht="32.25" customHeight="1" x14ac:dyDescent="0.3">
      <c r="A23" s="349" t="s">
        <v>156</v>
      </c>
      <c r="B23" s="350">
        <f t="shared" ref="B23:H23" si="5">(B19/B22)*100</f>
        <v>12</v>
      </c>
      <c r="C23" s="350">
        <f t="shared" si="5"/>
        <v>7.2222222222222214</v>
      </c>
      <c r="D23" s="350">
        <f t="shared" si="5"/>
        <v>9.0740740740740744</v>
      </c>
      <c r="E23" s="350">
        <f t="shared" si="5"/>
        <v>9.4117647058823533</v>
      </c>
      <c r="F23" s="350">
        <f t="shared" si="5"/>
        <v>11.904761904761903</v>
      </c>
      <c r="G23" s="350">
        <f t="shared" si="5"/>
        <v>20</v>
      </c>
      <c r="H23" s="350">
        <f t="shared" si="5"/>
        <v>20.462962962962962</v>
      </c>
      <c r="I23" s="350">
        <f>(I19/I22)*100</f>
        <v>13.8125</v>
      </c>
      <c r="J23" s="350">
        <f>(B16*B23)+(C16*C23)+(D16*D23)+(E16*E23)+(F16*F23)+(G16*G23)+(H16*H23)+(I16*I23)</f>
        <v>25522.362715919702</v>
      </c>
      <c r="K23" s="351">
        <f>J23/J16</f>
        <v>14.991108790554891</v>
      </c>
      <c r="L23" s="352" t="s">
        <v>157</v>
      </c>
      <c r="R23" s="339"/>
    </row>
    <row r="24" spans="1:19" s="328" customFormat="1" ht="18.75" customHeight="1" x14ac:dyDescent="0.3">
      <c r="A24" s="327" t="s">
        <v>163</v>
      </c>
      <c r="B24" s="328" t="s">
        <v>164</v>
      </c>
      <c r="C24" s="329" t="s">
        <v>142</v>
      </c>
      <c r="D24" s="329"/>
      <c r="E24" s="329"/>
      <c r="F24" s="329"/>
      <c r="G24" s="330"/>
      <c r="H24" s="331"/>
      <c r="I24" s="329"/>
      <c r="J24" s="329"/>
      <c r="K24" s="332"/>
      <c r="R24" s="339"/>
    </row>
    <row r="25" spans="1:19" s="328" customFormat="1" ht="31.5" customHeight="1" x14ac:dyDescent="0.3">
      <c r="B25" s="339"/>
      <c r="C25" s="339"/>
      <c r="D25" s="339"/>
      <c r="E25" s="339"/>
      <c r="F25" s="339"/>
      <c r="G25" s="334" t="s">
        <v>143</v>
      </c>
      <c r="H25" s="344" t="s">
        <v>144</v>
      </c>
      <c r="I25" s="333" t="s">
        <v>145</v>
      </c>
      <c r="J25" s="337" t="s">
        <v>146</v>
      </c>
      <c r="K25" s="353" t="s">
        <v>147</v>
      </c>
      <c r="L25" s="328" t="s">
        <v>165</v>
      </c>
      <c r="R25" s="339"/>
    </row>
    <row r="26" spans="1:19" s="328" customFormat="1" ht="18.75" customHeight="1" x14ac:dyDescent="0.3">
      <c r="A26" s="328" t="s">
        <v>149</v>
      </c>
      <c r="B26" s="339">
        <v>60</v>
      </c>
      <c r="C26" s="339">
        <v>30</v>
      </c>
      <c r="D26" s="339">
        <v>60</v>
      </c>
      <c r="E26" s="339">
        <v>50</v>
      </c>
      <c r="F26" s="339">
        <v>220</v>
      </c>
      <c r="G26" s="348">
        <v>370</v>
      </c>
      <c r="H26" s="340">
        <f>(365-305)*2.5</f>
        <v>150</v>
      </c>
      <c r="I26" s="340">
        <f>305*2.5</f>
        <v>762.5</v>
      </c>
      <c r="J26" s="341">
        <f>SUM(B26:I26)</f>
        <v>1702.5</v>
      </c>
      <c r="K26" s="342"/>
      <c r="R26" s="339"/>
    </row>
    <row r="27" spans="1:19" s="328" customFormat="1" ht="18.75" customHeight="1" x14ac:dyDescent="0.3">
      <c r="A27" s="328" t="s">
        <v>150</v>
      </c>
      <c r="B27" s="339">
        <v>60</v>
      </c>
      <c r="C27" s="339">
        <v>65</v>
      </c>
      <c r="D27" s="339">
        <v>70</v>
      </c>
      <c r="E27" s="339">
        <v>75</v>
      </c>
      <c r="F27" s="339">
        <v>100</v>
      </c>
      <c r="G27" s="348">
        <v>160</v>
      </c>
      <c r="H27" s="340">
        <v>170</v>
      </c>
      <c r="I27" s="339">
        <v>170</v>
      </c>
      <c r="K27" s="342"/>
      <c r="R27" s="339"/>
    </row>
    <row r="28" spans="1:19" s="328" customFormat="1" ht="18.75" customHeight="1" x14ac:dyDescent="0.3">
      <c r="A28" s="328" t="s">
        <v>151</v>
      </c>
      <c r="B28" s="339">
        <v>30</v>
      </c>
      <c r="C28" s="339">
        <v>30</v>
      </c>
      <c r="D28" s="339">
        <v>35</v>
      </c>
      <c r="E28" s="339">
        <v>38</v>
      </c>
      <c r="F28" s="339">
        <v>50</v>
      </c>
      <c r="G28" s="348">
        <v>60</v>
      </c>
      <c r="H28" s="340">
        <v>65</v>
      </c>
      <c r="I28" s="339">
        <v>65</v>
      </c>
      <c r="K28" s="342"/>
      <c r="R28" s="339"/>
    </row>
    <row r="29" spans="1:19" s="328" customFormat="1" ht="18.75" customHeight="1" x14ac:dyDescent="0.3">
      <c r="A29" s="328" t="s">
        <v>152</v>
      </c>
      <c r="B29" s="340">
        <f t="shared" ref="B29:I29" si="6">B27*B28</f>
        <v>1800</v>
      </c>
      <c r="C29" s="340">
        <f t="shared" si="6"/>
        <v>1950</v>
      </c>
      <c r="D29" s="340">
        <f t="shared" si="6"/>
        <v>2450</v>
      </c>
      <c r="E29" s="340">
        <f t="shared" si="6"/>
        <v>2850</v>
      </c>
      <c r="F29" s="340">
        <f t="shared" si="6"/>
        <v>5000</v>
      </c>
      <c r="G29" s="348">
        <f t="shared" si="6"/>
        <v>9600</v>
      </c>
      <c r="H29" s="340">
        <f t="shared" si="6"/>
        <v>11050</v>
      </c>
      <c r="I29" s="340">
        <f t="shared" si="6"/>
        <v>11050</v>
      </c>
      <c r="K29" s="342"/>
      <c r="R29" s="339"/>
    </row>
    <row r="30" spans="1:19" s="328" customFormat="1" ht="18.75" customHeight="1" x14ac:dyDescent="0.3">
      <c r="A30" s="328" t="s">
        <v>166</v>
      </c>
      <c r="B30" s="339">
        <v>60</v>
      </c>
      <c r="C30" s="339">
        <v>90</v>
      </c>
      <c r="D30" s="339" t="s">
        <v>167</v>
      </c>
      <c r="E30" s="339" t="s">
        <v>168</v>
      </c>
      <c r="F30" s="339" t="s">
        <v>169</v>
      </c>
      <c r="G30" s="334"/>
      <c r="H30" s="344"/>
      <c r="I30" s="333"/>
      <c r="K30" s="342"/>
      <c r="R30" s="339"/>
    </row>
    <row r="31" spans="1:19" s="328" customFormat="1" ht="18.75" customHeight="1" x14ac:dyDescent="0.3">
      <c r="A31" s="333" t="s">
        <v>154</v>
      </c>
      <c r="B31" s="348">
        <v>1.5</v>
      </c>
      <c r="C31" s="346">
        <v>1.5</v>
      </c>
      <c r="D31" s="346">
        <v>1.5</v>
      </c>
      <c r="E31" s="346">
        <v>1.7</v>
      </c>
      <c r="F31" s="347">
        <v>1.8</v>
      </c>
      <c r="G31" s="354">
        <v>3.3</v>
      </c>
      <c r="H31" s="354">
        <v>3.4</v>
      </c>
      <c r="I31" s="354">
        <v>5.5</v>
      </c>
      <c r="J31" s="329" t="s">
        <v>170</v>
      </c>
      <c r="K31" s="329"/>
      <c r="L31" s="329"/>
      <c r="M31" s="329"/>
      <c r="N31" s="329"/>
      <c r="O31" s="329"/>
      <c r="P31" s="329"/>
      <c r="Q31" s="329"/>
      <c r="R31" s="400"/>
      <c r="S31" s="329"/>
    </row>
    <row r="32" spans="1:19" s="328" customFormat="1" ht="18.75" customHeight="1" x14ac:dyDescent="0.3">
      <c r="A32" s="328" t="s">
        <v>155</v>
      </c>
      <c r="B32" s="339">
        <f>B31*10000</f>
        <v>15000</v>
      </c>
      <c r="C32" s="339">
        <f t="shared" ref="C32:I32" si="7">C31*10000</f>
        <v>15000</v>
      </c>
      <c r="D32" s="339">
        <f t="shared" si="7"/>
        <v>15000</v>
      </c>
      <c r="E32" s="339">
        <f t="shared" si="7"/>
        <v>17000</v>
      </c>
      <c r="F32" s="339">
        <f t="shared" si="7"/>
        <v>18000</v>
      </c>
      <c r="G32" s="340">
        <f t="shared" si="7"/>
        <v>33000</v>
      </c>
      <c r="H32" s="340">
        <f t="shared" si="7"/>
        <v>34000</v>
      </c>
      <c r="I32" s="339">
        <f t="shared" si="7"/>
        <v>55000</v>
      </c>
      <c r="K32" s="342"/>
      <c r="R32" s="339"/>
    </row>
    <row r="33" spans="1:22" s="328" customFormat="1" ht="30.75" customHeight="1" x14ac:dyDescent="0.3">
      <c r="A33" s="349" t="s">
        <v>156</v>
      </c>
      <c r="B33" s="350">
        <f t="shared" ref="B33:H33" si="8">(B29/B32)*100</f>
        <v>12</v>
      </c>
      <c r="C33" s="350">
        <f t="shared" si="8"/>
        <v>13</v>
      </c>
      <c r="D33" s="350">
        <f t="shared" si="8"/>
        <v>16.333333333333332</v>
      </c>
      <c r="E33" s="350">
        <f t="shared" si="8"/>
        <v>16.764705882352938</v>
      </c>
      <c r="F33" s="350">
        <f t="shared" si="8"/>
        <v>27.777777777777779</v>
      </c>
      <c r="G33" s="350">
        <f t="shared" si="8"/>
        <v>29.09090909090909</v>
      </c>
      <c r="H33" s="350">
        <f t="shared" si="8"/>
        <v>32.5</v>
      </c>
      <c r="I33" s="350">
        <f>(I29/I32)*100</f>
        <v>20.09090909090909</v>
      </c>
      <c r="J33" s="350">
        <f>(B26*B33)+(C26*C33)+(D26*D33)+(E26*E33)+(F26*F33)+(G26*G33)+(H26*H33)+(I26*I33)</f>
        <v>39997.300950683304</v>
      </c>
      <c r="K33" s="351">
        <f>J33/J26</f>
        <v>23.493275154586374</v>
      </c>
      <c r="L33" s="352" t="s">
        <v>157</v>
      </c>
      <c r="R33" s="339"/>
    </row>
    <row r="34" spans="1:22" s="379" customFormat="1" x14ac:dyDescent="0.3">
      <c r="A34" s="327" t="s">
        <v>171</v>
      </c>
      <c r="B34" s="328" t="s">
        <v>141</v>
      </c>
      <c r="C34" s="329" t="s">
        <v>142</v>
      </c>
      <c r="D34" s="329"/>
      <c r="E34" s="329"/>
      <c r="F34" s="329"/>
      <c r="G34" s="330"/>
      <c r="H34" s="331"/>
      <c r="I34" s="329"/>
      <c r="J34" s="329"/>
      <c r="K34" s="332"/>
      <c r="L34" s="329"/>
      <c r="M34" s="329"/>
      <c r="N34" s="329"/>
      <c r="R34" s="390"/>
    </row>
    <row r="35" spans="1:22" s="328" customFormat="1" ht="28.8" x14ac:dyDescent="0.3">
      <c r="B35" s="339"/>
      <c r="C35" s="339"/>
      <c r="D35" s="339"/>
      <c r="E35" s="339"/>
      <c r="F35" s="339"/>
      <c r="G35" s="334" t="s">
        <v>143</v>
      </c>
      <c r="H35" s="335" t="s">
        <v>144</v>
      </c>
      <c r="I35" s="336" t="s">
        <v>145</v>
      </c>
      <c r="J35" s="337" t="s">
        <v>146</v>
      </c>
      <c r="K35" s="355" t="s">
        <v>147</v>
      </c>
      <c r="L35" s="328" t="s">
        <v>148</v>
      </c>
      <c r="R35" s="339"/>
    </row>
    <row r="36" spans="1:22" s="328" customFormat="1" x14ac:dyDescent="0.3">
      <c r="A36" s="328" t="s">
        <v>149</v>
      </c>
      <c r="B36" s="339">
        <v>60</v>
      </c>
      <c r="C36" s="339">
        <v>30</v>
      </c>
      <c r="D36" s="339">
        <v>60</v>
      </c>
      <c r="E36" s="339">
        <v>70</v>
      </c>
      <c r="F36" s="339">
        <v>200</v>
      </c>
      <c r="G36" s="348">
        <v>370</v>
      </c>
      <c r="H36" s="340">
        <f>(365-305)*2.5</f>
        <v>150</v>
      </c>
      <c r="I36" s="340">
        <f>305*2.5</f>
        <v>762.5</v>
      </c>
      <c r="J36" s="341">
        <f>SUM(B36:I36)</f>
        <v>1702.5</v>
      </c>
      <c r="K36" s="342"/>
      <c r="R36" s="339"/>
    </row>
    <row r="37" spans="1:22" s="328" customFormat="1" x14ac:dyDescent="0.3">
      <c r="A37" s="328" t="s">
        <v>150</v>
      </c>
      <c r="B37" s="339">
        <v>60</v>
      </c>
      <c r="C37" s="339">
        <v>65</v>
      </c>
      <c r="D37" s="339">
        <v>70</v>
      </c>
      <c r="E37" s="339">
        <v>80</v>
      </c>
      <c r="F37" s="339">
        <v>100</v>
      </c>
      <c r="G37" s="348">
        <v>160</v>
      </c>
      <c r="H37" s="340">
        <v>170</v>
      </c>
      <c r="I37" s="339">
        <v>170</v>
      </c>
      <c r="K37" s="342"/>
      <c r="R37" s="339"/>
    </row>
    <row r="38" spans="1:22" s="328" customFormat="1" x14ac:dyDescent="0.3">
      <c r="A38" s="328" t="s">
        <v>151</v>
      </c>
      <c r="B38" s="339">
        <v>30</v>
      </c>
      <c r="C38" s="339">
        <v>30</v>
      </c>
      <c r="D38" s="339">
        <v>35</v>
      </c>
      <c r="E38" s="339">
        <v>40</v>
      </c>
      <c r="F38" s="339">
        <v>50</v>
      </c>
      <c r="G38" s="348">
        <v>60</v>
      </c>
      <c r="H38" s="340">
        <v>65</v>
      </c>
      <c r="I38" s="339">
        <v>65</v>
      </c>
      <c r="K38" s="342"/>
      <c r="R38" s="339"/>
    </row>
    <row r="39" spans="1:22" s="328" customFormat="1" x14ac:dyDescent="0.3">
      <c r="A39" s="328" t="s">
        <v>152</v>
      </c>
      <c r="B39" s="340">
        <f t="shared" ref="B39:I39" si="9">B37*B38</f>
        <v>1800</v>
      </c>
      <c r="C39" s="340">
        <f t="shared" si="9"/>
        <v>1950</v>
      </c>
      <c r="D39" s="340">
        <f t="shared" si="9"/>
        <v>2450</v>
      </c>
      <c r="E39" s="340">
        <f t="shared" si="9"/>
        <v>3200</v>
      </c>
      <c r="F39" s="340">
        <f t="shared" si="9"/>
        <v>5000</v>
      </c>
      <c r="G39" s="348">
        <f t="shared" si="9"/>
        <v>9600</v>
      </c>
      <c r="H39" s="340">
        <f t="shared" si="9"/>
        <v>11050</v>
      </c>
      <c r="I39" s="340">
        <f t="shared" si="9"/>
        <v>11050</v>
      </c>
      <c r="K39" s="342"/>
      <c r="R39" s="339"/>
    </row>
    <row r="40" spans="1:22" s="328" customFormat="1" x14ac:dyDescent="0.3">
      <c r="A40" s="328" t="s">
        <v>153</v>
      </c>
      <c r="B40" s="356">
        <v>60</v>
      </c>
      <c r="C40" s="356">
        <v>90</v>
      </c>
      <c r="D40" s="356">
        <v>150</v>
      </c>
      <c r="E40" s="356">
        <v>250</v>
      </c>
      <c r="F40" s="356">
        <v>400</v>
      </c>
      <c r="G40" s="357">
        <v>600</v>
      </c>
      <c r="H40" s="348"/>
      <c r="I40" s="340"/>
      <c r="K40" s="342"/>
      <c r="R40" s="339"/>
    </row>
    <row r="41" spans="1:22" s="328" customFormat="1" ht="18.75" customHeight="1" x14ac:dyDescent="0.3">
      <c r="A41" s="333" t="s">
        <v>154</v>
      </c>
      <c r="B41" s="346">
        <v>1.2</v>
      </c>
      <c r="C41" s="346">
        <v>1.7</v>
      </c>
      <c r="D41" s="346">
        <v>2.2000000000000002</v>
      </c>
      <c r="E41" s="346">
        <v>2.9</v>
      </c>
      <c r="F41" s="347">
        <v>3.7</v>
      </c>
      <c r="G41" s="346">
        <v>4.4000000000000004</v>
      </c>
      <c r="H41" s="346">
        <v>2</v>
      </c>
      <c r="I41" s="346">
        <v>2</v>
      </c>
      <c r="J41" s="342"/>
      <c r="K41" s="342"/>
      <c r="R41" s="339"/>
      <c r="V41" s="328">
        <f>SQRT(900)</f>
        <v>30</v>
      </c>
    </row>
    <row r="42" spans="1:22" s="328" customFormat="1" x14ac:dyDescent="0.3">
      <c r="A42" s="328" t="s">
        <v>155</v>
      </c>
      <c r="B42" s="339">
        <f>B41*10000</f>
        <v>12000</v>
      </c>
      <c r="C42" s="339">
        <f t="shared" ref="C42:I42" si="10">C41*10000</f>
        <v>17000</v>
      </c>
      <c r="D42" s="339">
        <f t="shared" si="10"/>
        <v>22000</v>
      </c>
      <c r="E42" s="339">
        <f t="shared" si="10"/>
        <v>29000</v>
      </c>
      <c r="F42" s="339">
        <f t="shared" si="10"/>
        <v>37000</v>
      </c>
      <c r="G42" s="340">
        <f t="shared" si="10"/>
        <v>44000</v>
      </c>
      <c r="H42" s="340">
        <f t="shared" si="10"/>
        <v>20000</v>
      </c>
      <c r="I42" s="339">
        <f t="shared" si="10"/>
        <v>20000</v>
      </c>
      <c r="K42" s="348"/>
      <c r="R42" s="339"/>
    </row>
    <row r="43" spans="1:22" s="328" customFormat="1" ht="29.25" customHeight="1" x14ac:dyDescent="0.3">
      <c r="A43" s="349" t="s">
        <v>156</v>
      </c>
      <c r="B43" s="350">
        <f t="shared" ref="B43:H43" si="11">(B39/B42)*100</f>
        <v>15</v>
      </c>
      <c r="C43" s="350">
        <f t="shared" si="11"/>
        <v>11.470588235294118</v>
      </c>
      <c r="D43" s="350">
        <f t="shared" si="11"/>
        <v>11.136363636363637</v>
      </c>
      <c r="E43" s="350">
        <f t="shared" si="11"/>
        <v>11.03448275862069</v>
      </c>
      <c r="F43" s="350">
        <f t="shared" si="11"/>
        <v>13.513513513513514</v>
      </c>
      <c r="G43" s="350">
        <f t="shared" si="11"/>
        <v>21.818181818181817</v>
      </c>
      <c r="H43" s="350">
        <f t="shared" si="11"/>
        <v>55.25</v>
      </c>
      <c r="I43" s="350">
        <f>(I39/I42)*100</f>
        <v>55.25</v>
      </c>
      <c r="J43" s="350">
        <f>(B36*B43)+(C36*C43)+(D36*D43)+(E36*E43)+(F36*F43)+(G36*G43)+(H36*H43)+(I36*I43)</f>
        <v>63875.768233774063</v>
      </c>
      <c r="K43" s="351">
        <f>J43/J36</f>
        <v>37.518806598398861</v>
      </c>
      <c r="L43" s="352" t="s">
        <v>157</v>
      </c>
      <c r="R43" s="339"/>
    </row>
    <row r="44" spans="1:22" x14ac:dyDescent="0.3">
      <c r="A44" s="327" t="s">
        <v>172</v>
      </c>
      <c r="B44" s="328" t="s">
        <v>164</v>
      </c>
      <c r="C44" s="329" t="s">
        <v>142</v>
      </c>
      <c r="D44" s="329"/>
      <c r="E44" s="329"/>
      <c r="F44" s="329"/>
      <c r="G44" s="330"/>
      <c r="H44" s="331"/>
      <c r="I44" s="329"/>
      <c r="J44" s="329"/>
      <c r="K44" s="332"/>
      <c r="L44" s="328"/>
    </row>
    <row r="45" spans="1:22" ht="28.8" x14ac:dyDescent="0.3">
      <c r="A45" s="328"/>
      <c r="B45" s="339"/>
      <c r="C45" s="339"/>
      <c r="D45" s="339"/>
      <c r="E45" s="339"/>
      <c r="F45" s="339"/>
      <c r="G45" s="334" t="s">
        <v>143</v>
      </c>
      <c r="H45" s="344" t="s">
        <v>144</v>
      </c>
      <c r="I45" s="333" t="s">
        <v>145</v>
      </c>
      <c r="J45" s="337" t="s">
        <v>146</v>
      </c>
      <c r="K45" s="353" t="s">
        <v>147</v>
      </c>
      <c r="L45" s="328" t="s">
        <v>165</v>
      </c>
    </row>
    <row r="46" spans="1:22" x14ac:dyDescent="0.3">
      <c r="A46" s="328" t="s">
        <v>149</v>
      </c>
      <c r="B46" s="339">
        <v>60</v>
      </c>
      <c r="C46" s="339">
        <v>30</v>
      </c>
      <c r="D46" s="339">
        <v>60</v>
      </c>
      <c r="E46" s="339">
        <v>50</v>
      </c>
      <c r="F46" s="339">
        <v>220</v>
      </c>
      <c r="G46" s="348">
        <v>370</v>
      </c>
      <c r="H46" s="340">
        <f>(365-305)*2.5</f>
        <v>150</v>
      </c>
      <c r="I46" s="340">
        <f>305*2.5</f>
        <v>762.5</v>
      </c>
      <c r="J46" s="341">
        <f>SUM(B46:I46)</f>
        <v>1702.5</v>
      </c>
      <c r="K46" s="342"/>
      <c r="L46" s="328"/>
    </row>
    <row r="47" spans="1:22" x14ac:dyDescent="0.3">
      <c r="A47" s="328" t="s">
        <v>150</v>
      </c>
      <c r="B47" s="339">
        <v>60</v>
      </c>
      <c r="C47" s="339">
        <v>65</v>
      </c>
      <c r="D47" s="339">
        <v>70</v>
      </c>
      <c r="E47" s="339">
        <v>75</v>
      </c>
      <c r="F47" s="339">
        <v>100</v>
      </c>
      <c r="G47" s="348">
        <v>160</v>
      </c>
      <c r="H47" s="340">
        <v>170</v>
      </c>
      <c r="I47" s="339">
        <v>170</v>
      </c>
      <c r="J47" s="328"/>
      <c r="K47" s="342"/>
      <c r="L47" s="328"/>
    </row>
    <row r="48" spans="1:22" x14ac:dyDescent="0.3">
      <c r="A48" s="328" t="s">
        <v>151</v>
      </c>
      <c r="B48" s="339">
        <v>30</v>
      </c>
      <c r="C48" s="339">
        <v>30</v>
      </c>
      <c r="D48" s="339">
        <v>35</v>
      </c>
      <c r="E48" s="339">
        <v>38</v>
      </c>
      <c r="F48" s="339">
        <v>50</v>
      </c>
      <c r="G48" s="348">
        <v>60</v>
      </c>
      <c r="H48" s="340">
        <v>65</v>
      </c>
      <c r="I48" s="339">
        <v>65</v>
      </c>
      <c r="J48" s="328"/>
      <c r="K48" s="342"/>
      <c r="L48" s="328"/>
    </row>
    <row r="49" spans="1:14" x14ac:dyDescent="0.3">
      <c r="A49" s="328" t="s">
        <v>152</v>
      </c>
      <c r="B49" s="340">
        <f t="shared" ref="B49:I49" si="12">B47*B48</f>
        <v>1800</v>
      </c>
      <c r="C49" s="340">
        <f t="shared" si="12"/>
        <v>1950</v>
      </c>
      <c r="D49" s="340">
        <f t="shared" si="12"/>
        <v>2450</v>
      </c>
      <c r="E49" s="340">
        <f t="shared" si="12"/>
        <v>2850</v>
      </c>
      <c r="F49" s="340">
        <f t="shared" si="12"/>
        <v>5000</v>
      </c>
      <c r="G49" s="348">
        <f t="shared" si="12"/>
        <v>9600</v>
      </c>
      <c r="H49" s="340">
        <f t="shared" si="12"/>
        <v>11050</v>
      </c>
      <c r="I49" s="340">
        <f t="shared" si="12"/>
        <v>11050</v>
      </c>
      <c r="J49" s="328"/>
      <c r="K49" s="342"/>
      <c r="L49" s="328"/>
    </row>
    <row r="50" spans="1:14" x14ac:dyDescent="0.3">
      <c r="A50" s="328" t="s">
        <v>166</v>
      </c>
      <c r="B50" s="356">
        <v>60</v>
      </c>
      <c r="C50" s="356">
        <v>90</v>
      </c>
      <c r="D50" s="356">
        <v>150</v>
      </c>
      <c r="E50" s="356">
        <v>220</v>
      </c>
      <c r="F50" s="356">
        <v>400</v>
      </c>
      <c r="G50" s="334"/>
      <c r="H50" s="344"/>
      <c r="I50" s="333"/>
      <c r="J50" s="328"/>
      <c r="K50" s="342"/>
      <c r="L50" s="328"/>
    </row>
    <row r="51" spans="1:14" x14ac:dyDescent="0.3">
      <c r="A51" s="333" t="s">
        <v>154</v>
      </c>
      <c r="B51" s="346">
        <v>1.5</v>
      </c>
      <c r="C51" s="346">
        <v>1.5</v>
      </c>
      <c r="D51" s="346">
        <v>1.5</v>
      </c>
      <c r="E51" s="346">
        <v>1.7</v>
      </c>
      <c r="F51" s="347">
        <v>1.8</v>
      </c>
      <c r="G51" s="354">
        <v>3.3</v>
      </c>
      <c r="H51" s="354">
        <v>2</v>
      </c>
      <c r="I51" s="354">
        <v>2</v>
      </c>
      <c r="J51" s="329" t="s">
        <v>173</v>
      </c>
      <c r="K51" s="329"/>
      <c r="L51" s="329"/>
      <c r="N51" s="64" t="s">
        <v>174</v>
      </c>
    </row>
    <row r="52" spans="1:14" x14ac:dyDescent="0.3">
      <c r="A52" s="328" t="s">
        <v>155</v>
      </c>
      <c r="B52" s="339">
        <f>B51*10000</f>
        <v>15000</v>
      </c>
      <c r="C52" s="339">
        <f t="shared" ref="C52:I52" si="13">C51*10000</f>
        <v>15000</v>
      </c>
      <c r="D52" s="339">
        <f t="shared" si="13"/>
        <v>15000</v>
      </c>
      <c r="E52" s="339">
        <f t="shared" si="13"/>
        <v>17000</v>
      </c>
      <c r="F52" s="339">
        <f t="shared" si="13"/>
        <v>18000</v>
      </c>
      <c r="G52" s="340">
        <f t="shared" si="13"/>
        <v>33000</v>
      </c>
      <c r="H52" s="340">
        <f t="shared" si="13"/>
        <v>20000</v>
      </c>
      <c r="I52" s="339">
        <f t="shared" si="13"/>
        <v>20000</v>
      </c>
      <c r="J52" s="328"/>
      <c r="K52" s="342"/>
      <c r="L52" s="328"/>
    </row>
    <row r="53" spans="1:14" ht="28.8" x14ac:dyDescent="0.3">
      <c r="A53" s="349" t="s">
        <v>156</v>
      </c>
      <c r="B53" s="350">
        <f t="shared" ref="B53:H53" si="14">(B49/B52)*100</f>
        <v>12</v>
      </c>
      <c r="C53" s="350">
        <f t="shared" si="14"/>
        <v>13</v>
      </c>
      <c r="D53" s="350">
        <f t="shared" si="14"/>
        <v>16.333333333333332</v>
      </c>
      <c r="E53" s="350">
        <f t="shared" si="14"/>
        <v>16.764705882352938</v>
      </c>
      <c r="F53" s="350">
        <f t="shared" si="14"/>
        <v>27.777777777777779</v>
      </c>
      <c r="G53" s="350">
        <f t="shared" si="14"/>
        <v>29.09090909090909</v>
      </c>
      <c r="H53" s="350">
        <f t="shared" si="14"/>
        <v>55.25</v>
      </c>
      <c r="I53" s="350">
        <f>(I49/I52)*100</f>
        <v>55.25</v>
      </c>
      <c r="J53" s="350">
        <f>(B46*B53)+(C46*C53)+(D46*D53)+(E46*E53)+(F46*F53)+(G46*G53)+(H46*H53)+(I46*I53)</f>
        <v>70218.607768865128</v>
      </c>
      <c r="K53" s="351">
        <f>J53/J46</f>
        <v>41.244409849553669</v>
      </c>
      <c r="L53" s="352" t="s">
        <v>157</v>
      </c>
    </row>
    <row r="54" spans="1:14" ht="17.25" customHeight="1" x14ac:dyDescent="0.3">
      <c r="A54" s="327" t="s">
        <v>175</v>
      </c>
      <c r="B54" s="358" t="s">
        <v>176</v>
      </c>
      <c r="C54" s="359"/>
      <c r="D54" s="359"/>
      <c r="E54" s="359"/>
      <c r="F54" s="332"/>
      <c r="G54" s="344"/>
      <c r="H54" s="64"/>
    </row>
    <row r="55" spans="1:14" ht="17.25" customHeight="1" x14ac:dyDescent="0.3">
      <c r="A55" s="328"/>
      <c r="B55" s="358" t="s">
        <v>177</v>
      </c>
      <c r="C55" s="359"/>
      <c r="D55" s="359"/>
      <c r="E55" s="359"/>
      <c r="F55" s="332"/>
      <c r="G55" s="344"/>
      <c r="H55" s="64"/>
    </row>
    <row r="56" spans="1:14" ht="28.5" customHeight="1" x14ac:dyDescent="0.3">
      <c r="A56" s="328" t="s">
        <v>178</v>
      </c>
      <c r="B56" s="360" t="s">
        <v>179</v>
      </c>
      <c r="C56" s="344" t="s">
        <v>180</v>
      </c>
      <c r="D56" s="282" t="s">
        <v>181</v>
      </c>
      <c r="E56" s="282" t="s">
        <v>182</v>
      </c>
      <c r="F56" s="282" t="s">
        <v>183</v>
      </c>
      <c r="G56" s="282" t="s">
        <v>184</v>
      </c>
      <c r="H56" s="282" t="s">
        <v>157</v>
      </c>
    </row>
    <row r="57" spans="1:14" ht="15" customHeight="1" x14ac:dyDescent="0.3">
      <c r="A57" s="3" t="s">
        <v>103</v>
      </c>
      <c r="B57" s="361">
        <v>0.97</v>
      </c>
      <c r="C57" s="362">
        <f>1-B57</f>
        <v>3.0000000000000027E-2</v>
      </c>
      <c r="D57" s="363">
        <f>1-E57</f>
        <v>0.75</v>
      </c>
      <c r="E57" s="364">
        <v>0.25</v>
      </c>
      <c r="F57" s="364">
        <v>6.06</v>
      </c>
      <c r="G57" s="364">
        <f>1-(F57/12)</f>
        <v>0.495</v>
      </c>
      <c r="H57" s="365">
        <f>(B57*D57*$K$23)+(B57*E57*G57*$K$23)+(C57*D57*$K$53)+(C57*E57*G57*$K$53)</f>
        <v>13.786645959756342</v>
      </c>
      <c r="I57" s="366"/>
      <c r="J57" s="366"/>
      <c r="K57" s="366"/>
      <c r="N57" s="404"/>
    </row>
    <row r="58" spans="1:14" ht="16.5" customHeight="1" x14ac:dyDescent="0.3">
      <c r="A58" s="3" t="s">
        <v>104</v>
      </c>
      <c r="B58" s="361">
        <v>0.95</v>
      </c>
      <c r="C58" s="362">
        <f t="shared" ref="C58:C67" si="15">1-B58</f>
        <v>5.0000000000000044E-2</v>
      </c>
      <c r="D58" s="363">
        <f t="shared" ref="D58:D67" si="16">1-E58</f>
        <v>9.9999999999999978E-2</v>
      </c>
      <c r="E58" s="364">
        <v>0.9</v>
      </c>
      <c r="F58" s="364">
        <v>8.7200000000000006</v>
      </c>
      <c r="G58" s="364">
        <f t="shared" ref="G58:G67" si="17">1-(F58/12)</f>
        <v>0.27333333333333332</v>
      </c>
      <c r="H58" s="365">
        <f t="shared" ref="H58:H65" si="18">(B58*D58*$K$33)+(B58*E58*G58*$K$33)+(C58*D58*$K$53)+(C58*E58*G58*$K$53)</f>
        <v>8.4357678337098196</v>
      </c>
      <c r="I58" s="366"/>
      <c r="J58" s="366"/>
      <c r="K58" s="366"/>
      <c r="N58" s="404"/>
    </row>
    <row r="59" spans="1:14" ht="16.5" customHeight="1" x14ac:dyDescent="0.3">
      <c r="A59" s="3" t="s">
        <v>105</v>
      </c>
      <c r="B59" s="361">
        <v>0.89</v>
      </c>
      <c r="C59" s="362">
        <f>1-B59</f>
        <v>0.10999999999999999</v>
      </c>
      <c r="D59" s="363">
        <f>1-E59</f>
        <v>0.69</v>
      </c>
      <c r="E59" s="364">
        <v>0.31</v>
      </c>
      <c r="F59" s="364">
        <v>6.46</v>
      </c>
      <c r="G59" s="364">
        <f>1-(F59/12)</f>
        <v>0.46166666666666667</v>
      </c>
      <c r="H59" s="365">
        <f>(B59*D59*$K$33)+(B59*E59*G59*$K$33)+(C59*D59*$K$53)+(C59*E59*G59*$K$53)</f>
        <v>21.199403364200254</v>
      </c>
      <c r="J59" s="366"/>
      <c r="K59" s="366"/>
      <c r="N59" s="404"/>
    </row>
    <row r="60" spans="1:14" ht="16.5" customHeight="1" x14ac:dyDescent="0.3">
      <c r="A60" s="3" t="s">
        <v>185</v>
      </c>
      <c r="B60" s="367">
        <v>0.30000000000000004</v>
      </c>
      <c r="C60" s="362">
        <f>1-B60</f>
        <v>0.7</v>
      </c>
      <c r="D60" s="363">
        <f>1-E60</f>
        <v>0.9</v>
      </c>
      <c r="E60" s="364">
        <v>0.1</v>
      </c>
      <c r="F60" s="364">
        <v>7.9</v>
      </c>
      <c r="G60" s="364">
        <f>1-(F60/12)</f>
        <v>0.34166666666666667</v>
      </c>
      <c r="H60" s="365">
        <f>(B60*D60*$K$33)+(B60*E60*G60*$K$33)+(C60*D60*$K$53)+(C60*E60*G60*$K$53)</f>
        <v>33.554397369526804</v>
      </c>
      <c r="J60" s="366"/>
      <c r="K60" s="366"/>
      <c r="N60" s="404"/>
    </row>
    <row r="61" spans="1:14" ht="16.5" customHeight="1" x14ac:dyDescent="0.3">
      <c r="A61" s="3" t="s">
        <v>186</v>
      </c>
      <c r="B61" s="367">
        <v>0.30000000000000004</v>
      </c>
      <c r="C61" s="362">
        <f>1-B61</f>
        <v>0.7</v>
      </c>
      <c r="D61" s="363">
        <f>1-E61</f>
        <v>0.96</v>
      </c>
      <c r="E61" s="364">
        <v>0.04</v>
      </c>
      <c r="F61" s="403">
        <v>6.19</v>
      </c>
      <c r="G61" s="364">
        <f>1-(F61/12)</f>
        <v>0.48416666666666663</v>
      </c>
      <c r="H61" s="365">
        <f>(B61*D61*$K$33)+(B61*E61*G61*$K$33)+(C61*D61*$K$53)+(C61*E61*G61*$K$53)</f>
        <v>35.177939308262872</v>
      </c>
      <c r="I61" s="404"/>
      <c r="J61" s="366"/>
      <c r="K61" s="366"/>
      <c r="N61" s="404"/>
    </row>
    <row r="62" spans="1:14" ht="16.5" customHeight="1" x14ac:dyDescent="0.3">
      <c r="A62" s="3" t="s">
        <v>187</v>
      </c>
      <c r="B62" s="361">
        <v>0.95</v>
      </c>
      <c r="C62" s="362">
        <f t="shared" si="15"/>
        <v>5.0000000000000044E-2</v>
      </c>
      <c r="D62" s="363">
        <f t="shared" si="16"/>
        <v>2.0000000000000018E-2</v>
      </c>
      <c r="E62" s="364">
        <v>0.98</v>
      </c>
      <c r="F62" s="364">
        <v>8.5299999999999994</v>
      </c>
      <c r="G62" s="364">
        <f t="shared" si="17"/>
        <v>0.28916666666666668</v>
      </c>
      <c r="H62" s="365">
        <f t="shared" si="18"/>
        <v>7.3967380480260045</v>
      </c>
      <c r="J62" s="366"/>
      <c r="K62" s="366"/>
      <c r="N62" s="404"/>
    </row>
    <row r="63" spans="1:14" ht="16.5" customHeight="1" x14ac:dyDescent="0.3">
      <c r="A63" s="3" t="s">
        <v>188</v>
      </c>
      <c r="B63" s="361">
        <v>0.79</v>
      </c>
      <c r="C63" s="362">
        <f t="shared" si="15"/>
        <v>0.20999999999999996</v>
      </c>
      <c r="D63" s="363">
        <f t="shared" si="16"/>
        <v>0.8</v>
      </c>
      <c r="E63" s="364">
        <v>0.2</v>
      </c>
      <c r="F63" s="364">
        <v>6.7</v>
      </c>
      <c r="G63" s="364">
        <f t="shared" si="17"/>
        <v>0.44166666666666665</v>
      </c>
      <c r="H63" s="365">
        <f t="shared" si="18"/>
        <v>24.181333606337049</v>
      </c>
      <c r="J63" s="366"/>
      <c r="K63" s="366"/>
      <c r="N63" s="404"/>
    </row>
    <row r="64" spans="1:14" ht="16.5" customHeight="1" x14ac:dyDescent="0.3">
      <c r="A64" s="3" t="s">
        <v>110</v>
      </c>
      <c r="B64" s="361">
        <v>0.96</v>
      </c>
      <c r="C64" s="362">
        <f t="shared" si="15"/>
        <v>4.0000000000000036E-2</v>
      </c>
      <c r="D64" s="363">
        <f t="shared" si="16"/>
        <v>0.25</v>
      </c>
      <c r="E64" s="364">
        <v>0.75</v>
      </c>
      <c r="F64" s="364">
        <v>6.35</v>
      </c>
      <c r="G64" s="364">
        <f t="shared" si="17"/>
        <v>0.47083333333333333</v>
      </c>
      <c r="H64" s="365">
        <f t="shared" si="18"/>
        <v>14.597627702125994</v>
      </c>
      <c r="J64" s="366"/>
      <c r="K64" s="366"/>
      <c r="N64" s="404"/>
    </row>
    <row r="65" spans="1:14" ht="16.5" customHeight="1" x14ac:dyDescent="0.3">
      <c r="A65" s="3" t="s">
        <v>112</v>
      </c>
      <c r="B65" s="361">
        <v>0.95</v>
      </c>
      <c r="C65" s="362">
        <f t="shared" si="15"/>
        <v>5.0000000000000044E-2</v>
      </c>
      <c r="D65" s="363">
        <f t="shared" si="16"/>
        <v>0.75</v>
      </c>
      <c r="E65" s="364">
        <v>0.25</v>
      </c>
      <c r="F65" s="364">
        <v>8</v>
      </c>
      <c r="G65" s="364">
        <f t="shared" si="17"/>
        <v>0.33333333333333337</v>
      </c>
      <c r="H65" s="365">
        <f t="shared" si="18"/>
        <v>20.31735990777895</v>
      </c>
      <c r="J65" s="366"/>
      <c r="K65" s="366"/>
      <c r="N65" s="404"/>
    </row>
    <row r="66" spans="1:14" ht="16.5" customHeight="1" x14ac:dyDescent="0.3">
      <c r="A66" s="3" t="s">
        <v>189</v>
      </c>
      <c r="B66" s="367">
        <v>0.30000000000000004</v>
      </c>
      <c r="C66" s="362">
        <f>1-B66</f>
        <v>0.7</v>
      </c>
      <c r="D66" s="363">
        <f>1-E66</f>
        <v>0.7</v>
      </c>
      <c r="E66" s="364">
        <v>0.3</v>
      </c>
      <c r="F66" s="364">
        <v>5.56</v>
      </c>
      <c r="G66" s="364">
        <f>1-(F66/12)</f>
        <v>0.53666666666666663</v>
      </c>
      <c r="H66" s="365">
        <f>(B66*D66*$K$33)+(B66*E66*G66*$K$33)+(C66*D66*$K$53)+(C66*E66*G66*$K$53)</f>
        <v>30.926318788755655</v>
      </c>
      <c r="J66" s="366"/>
      <c r="K66" s="366"/>
      <c r="N66" s="404"/>
    </row>
    <row r="67" spans="1:14" ht="16.5" customHeight="1" x14ac:dyDescent="0.3">
      <c r="A67" s="3" t="s">
        <v>113</v>
      </c>
      <c r="B67" s="361">
        <v>0.78</v>
      </c>
      <c r="C67" s="362">
        <f t="shared" si="15"/>
        <v>0.21999999999999997</v>
      </c>
      <c r="D67" s="363">
        <f t="shared" si="16"/>
        <v>0</v>
      </c>
      <c r="E67" s="364">
        <v>1</v>
      </c>
      <c r="F67" s="364">
        <v>5.4</v>
      </c>
      <c r="G67" s="364">
        <f t="shared" si="17"/>
        <v>0.55000000000000004</v>
      </c>
      <c r="H67" s="365">
        <f>(B67*D67*$K$13)+(B67*E67*G67*$K$13)+(C67*D67*$K$43)+(C67*E67*G67*$K$43)</f>
        <v>11.299396492555498</v>
      </c>
      <c r="J67" s="366"/>
      <c r="K67" s="366"/>
      <c r="N67" s="404"/>
    </row>
    <row r="68" spans="1:14" ht="16.5" customHeight="1" x14ac:dyDescent="0.3">
      <c r="I68" s="366"/>
      <c r="J68" s="366"/>
      <c r="K68" s="366"/>
      <c r="N68" s="404"/>
    </row>
    <row r="69" spans="1:14" x14ac:dyDescent="0.3">
      <c r="A69" s="327" t="s">
        <v>190</v>
      </c>
      <c r="B69" t="s">
        <v>191</v>
      </c>
      <c r="C69" s="329" t="s">
        <v>192</v>
      </c>
      <c r="D69" s="329"/>
      <c r="E69" s="329"/>
      <c r="F69" s="329"/>
      <c r="G69" s="329"/>
      <c r="H69" s="331"/>
      <c r="I69" s="338" t="s">
        <v>147</v>
      </c>
      <c r="J69" s="328" t="s">
        <v>193</v>
      </c>
      <c r="K69" s="342"/>
    </row>
    <row r="70" spans="1:14" x14ac:dyDescent="0.3">
      <c r="A70" s="328" t="s">
        <v>194</v>
      </c>
      <c r="B70" s="339">
        <v>60</v>
      </c>
      <c r="C70" s="339">
        <v>90</v>
      </c>
      <c r="D70" s="339">
        <v>150</v>
      </c>
      <c r="E70" s="339">
        <v>220</v>
      </c>
      <c r="F70" s="339">
        <v>300</v>
      </c>
      <c r="G70" s="370" t="s">
        <v>146</v>
      </c>
      <c r="H70" s="331"/>
      <c r="I70" s="371"/>
      <c r="J70" s="329"/>
      <c r="K70" s="331"/>
    </row>
    <row r="71" spans="1:14" x14ac:dyDescent="0.3">
      <c r="A71" s="328" t="s">
        <v>149</v>
      </c>
      <c r="B71" s="339">
        <v>60</v>
      </c>
      <c r="C71" s="339">
        <v>30</v>
      </c>
      <c r="D71" s="339">
        <v>60</v>
      </c>
      <c r="E71" s="339">
        <v>50</v>
      </c>
      <c r="F71" s="339">
        <v>75</v>
      </c>
      <c r="G71" s="341">
        <f>SUM(B71:F71)</f>
        <v>275</v>
      </c>
      <c r="H71" s="342"/>
      <c r="I71" s="338"/>
      <c r="J71" s="328"/>
      <c r="K71" s="342"/>
    </row>
    <row r="72" spans="1:14" x14ac:dyDescent="0.3">
      <c r="A72" s="328" t="s">
        <v>150</v>
      </c>
      <c r="B72" s="339">
        <v>60</v>
      </c>
      <c r="C72" s="339">
        <v>65</v>
      </c>
      <c r="D72" s="339">
        <v>70</v>
      </c>
      <c r="E72" s="339">
        <v>75</v>
      </c>
      <c r="F72" s="339">
        <v>90</v>
      </c>
      <c r="G72" s="342"/>
      <c r="H72" s="342"/>
      <c r="I72" s="338"/>
      <c r="J72" s="328"/>
      <c r="K72" s="342"/>
    </row>
    <row r="73" spans="1:14" x14ac:dyDescent="0.3">
      <c r="A73" s="328" t="s">
        <v>151</v>
      </c>
      <c r="B73" s="339">
        <v>30</v>
      </c>
      <c r="C73" s="339">
        <v>30</v>
      </c>
      <c r="D73" s="339">
        <v>35</v>
      </c>
      <c r="E73" s="339">
        <v>38</v>
      </c>
      <c r="F73" s="339">
        <v>45</v>
      </c>
      <c r="G73" s="342"/>
      <c r="H73" s="342"/>
      <c r="I73" s="338"/>
      <c r="J73" s="328"/>
      <c r="K73" s="342"/>
    </row>
    <row r="74" spans="1:14" x14ac:dyDescent="0.3">
      <c r="A74" s="328" t="s">
        <v>152</v>
      </c>
      <c r="B74" s="340">
        <f t="shared" ref="B74:F74" si="19">B72*B73</f>
        <v>1800</v>
      </c>
      <c r="C74" s="340">
        <f t="shared" si="19"/>
        <v>1950</v>
      </c>
      <c r="D74" s="340">
        <f t="shared" si="19"/>
        <v>2450</v>
      </c>
      <c r="E74" s="340">
        <f t="shared" si="19"/>
        <v>2850</v>
      </c>
      <c r="F74" s="340">
        <f t="shared" si="19"/>
        <v>4050</v>
      </c>
      <c r="G74" s="340"/>
      <c r="H74" s="342"/>
      <c r="I74" s="338"/>
      <c r="J74" s="328"/>
      <c r="K74" s="342"/>
    </row>
    <row r="75" spans="1:14" x14ac:dyDescent="0.3">
      <c r="A75" s="333" t="s">
        <v>195</v>
      </c>
      <c r="B75" s="346">
        <v>1.5</v>
      </c>
      <c r="C75" s="346">
        <v>1.5</v>
      </c>
      <c r="D75" s="346">
        <v>1.5</v>
      </c>
      <c r="E75" s="346">
        <v>1.8</v>
      </c>
      <c r="F75" s="347">
        <v>1.9</v>
      </c>
      <c r="G75" s="334"/>
      <c r="H75" s="342"/>
      <c r="I75" s="338"/>
      <c r="J75" s="328"/>
      <c r="K75" s="342"/>
    </row>
    <row r="76" spans="1:14" x14ac:dyDescent="0.3">
      <c r="A76" s="328" t="s">
        <v>155</v>
      </c>
      <c r="B76" s="339">
        <f>B75*10000</f>
        <v>15000</v>
      </c>
      <c r="C76" s="339">
        <f t="shared" ref="C76:F76" si="20">C75*10000</f>
        <v>15000</v>
      </c>
      <c r="D76" s="339">
        <f t="shared" si="20"/>
        <v>15000</v>
      </c>
      <c r="E76" s="339">
        <f t="shared" si="20"/>
        <v>18000</v>
      </c>
      <c r="F76" s="339">
        <f t="shared" si="20"/>
        <v>19000</v>
      </c>
      <c r="G76" s="339"/>
      <c r="H76" s="342"/>
      <c r="I76" s="338"/>
      <c r="J76" s="328"/>
      <c r="K76" s="342"/>
    </row>
    <row r="77" spans="1:14" ht="28.8" x14ac:dyDescent="0.3">
      <c r="A77" s="349" t="s">
        <v>156</v>
      </c>
      <c r="B77" s="350">
        <f>(B74/B76)*100</f>
        <v>12</v>
      </c>
      <c r="C77" s="350">
        <f>(C74/C76)*100</f>
        <v>13</v>
      </c>
      <c r="D77" s="350">
        <f>(D74/D76)*100</f>
        <v>16.333333333333332</v>
      </c>
      <c r="E77" s="350">
        <f>(E74/E76)*100</f>
        <v>15.833333333333332</v>
      </c>
      <c r="F77" s="350">
        <f>(F74/F76)*100</f>
        <v>21.315789473684209</v>
      </c>
      <c r="G77" s="372">
        <f>((B71*B77)+(C71*C77)+(D71*D77)+(E71*E77)+(F71*F77))/G71</f>
        <v>16.292185007974478</v>
      </c>
      <c r="H77" s="352" t="s">
        <v>157</v>
      </c>
      <c r="I77" s="373"/>
      <c r="J77" s="349"/>
      <c r="K77" s="372"/>
    </row>
    <row r="78" spans="1:14" x14ac:dyDescent="0.3">
      <c r="A78" s="327" t="s">
        <v>196</v>
      </c>
      <c r="B78" t="s">
        <v>197</v>
      </c>
      <c r="C78" s="329" t="s">
        <v>192</v>
      </c>
      <c r="D78" s="329"/>
      <c r="E78" s="329"/>
      <c r="F78" s="329"/>
      <c r="G78" s="329"/>
      <c r="H78" s="331"/>
      <c r="I78" s="374" t="s">
        <v>147</v>
      </c>
      <c r="J78" s="328" t="s">
        <v>198</v>
      </c>
    </row>
    <row r="79" spans="1:14" x14ac:dyDescent="0.3">
      <c r="A79" s="327"/>
      <c r="C79" s="328"/>
      <c r="D79" s="375" t="s">
        <v>199</v>
      </c>
      <c r="E79" s="486" t="s">
        <v>200</v>
      </c>
      <c r="F79" s="486"/>
      <c r="G79" s="328"/>
      <c r="H79" s="331"/>
      <c r="I79" s="374"/>
    </row>
    <row r="80" spans="1:14" x14ac:dyDescent="0.3">
      <c r="A80" s="328" t="s">
        <v>194</v>
      </c>
      <c r="B80" s="339">
        <v>60</v>
      </c>
      <c r="C80" s="339">
        <v>90</v>
      </c>
      <c r="D80" s="339">
        <v>150</v>
      </c>
      <c r="E80" s="339">
        <v>220</v>
      </c>
      <c r="F80" s="339">
        <v>300</v>
      </c>
      <c r="G80" s="370" t="s">
        <v>146</v>
      </c>
      <c r="H80" s="331"/>
      <c r="I80" s="374"/>
    </row>
    <row r="81" spans="1:10" x14ac:dyDescent="0.3">
      <c r="A81" s="328" t="s">
        <v>149</v>
      </c>
      <c r="B81" s="339">
        <v>60</v>
      </c>
      <c r="C81" s="339">
        <v>30</v>
      </c>
      <c r="D81" s="339">
        <v>60</v>
      </c>
      <c r="E81" s="339">
        <v>50</v>
      </c>
      <c r="F81" s="339">
        <v>75</v>
      </c>
      <c r="G81" s="341">
        <f>SUM(B81:F81)</f>
        <v>275</v>
      </c>
      <c r="H81" s="342"/>
      <c r="I81" s="374"/>
    </row>
    <row r="82" spans="1:10" x14ac:dyDescent="0.3">
      <c r="A82" s="328" t="s">
        <v>150</v>
      </c>
      <c r="B82" s="339">
        <v>60</v>
      </c>
      <c r="C82" s="339">
        <v>65</v>
      </c>
      <c r="D82" s="339">
        <v>70</v>
      </c>
      <c r="E82" s="339">
        <v>75</v>
      </c>
      <c r="F82" s="339">
        <v>90</v>
      </c>
      <c r="G82" s="342"/>
      <c r="H82" s="342"/>
      <c r="I82" s="374"/>
    </row>
    <row r="83" spans="1:10" x14ac:dyDescent="0.3">
      <c r="A83" s="328" t="s">
        <v>151</v>
      </c>
      <c r="B83" s="339">
        <v>30</v>
      </c>
      <c r="C83" s="339">
        <v>30</v>
      </c>
      <c r="D83" s="339">
        <v>35</v>
      </c>
      <c r="E83" s="339">
        <v>38</v>
      </c>
      <c r="F83" s="339">
        <v>45</v>
      </c>
      <c r="G83" s="342"/>
      <c r="H83" s="342"/>
      <c r="I83" s="374"/>
    </row>
    <row r="84" spans="1:10" x14ac:dyDescent="0.3">
      <c r="A84" s="328" t="s">
        <v>152</v>
      </c>
      <c r="B84" s="340">
        <f t="shared" ref="B84:F84" si="21">B82*B83</f>
        <v>1800</v>
      </c>
      <c r="C84" s="340">
        <f t="shared" si="21"/>
        <v>1950</v>
      </c>
      <c r="D84" s="340">
        <f t="shared" si="21"/>
        <v>2450</v>
      </c>
      <c r="E84" s="340">
        <f t="shared" si="21"/>
        <v>2850</v>
      </c>
      <c r="F84" s="340">
        <f t="shared" si="21"/>
        <v>4050</v>
      </c>
      <c r="G84" s="340"/>
      <c r="H84" s="342"/>
      <c r="I84" s="374"/>
    </row>
    <row r="85" spans="1:10" x14ac:dyDescent="0.3">
      <c r="A85" s="333" t="s">
        <v>201</v>
      </c>
      <c r="B85" s="348">
        <v>1.5</v>
      </c>
      <c r="C85" s="346">
        <v>2.7</v>
      </c>
      <c r="D85" s="346">
        <v>2.7</v>
      </c>
      <c r="E85" s="346">
        <v>3.4</v>
      </c>
      <c r="F85" s="347">
        <v>3.4</v>
      </c>
      <c r="G85" s="376" t="s">
        <v>202</v>
      </c>
      <c r="H85" s="342"/>
      <c r="I85" s="374"/>
    </row>
    <row r="86" spans="1:10" x14ac:dyDescent="0.3">
      <c r="A86" s="328" t="s">
        <v>155</v>
      </c>
      <c r="B86" s="339">
        <f>B85*10000</f>
        <v>15000</v>
      </c>
      <c r="C86" s="339">
        <f t="shared" ref="C86:F86" si="22">C85*10000</f>
        <v>27000</v>
      </c>
      <c r="D86" s="339">
        <f t="shared" si="22"/>
        <v>27000</v>
      </c>
      <c r="E86" s="339">
        <f t="shared" si="22"/>
        <v>34000</v>
      </c>
      <c r="F86" s="339">
        <f t="shared" si="22"/>
        <v>34000</v>
      </c>
      <c r="G86" s="339"/>
      <c r="H86" s="342"/>
      <c r="I86" s="374"/>
    </row>
    <row r="87" spans="1:10" ht="28.8" x14ac:dyDescent="0.3">
      <c r="A87" s="349" t="s">
        <v>156</v>
      </c>
      <c r="B87" s="350">
        <f>(B84/B86)*100</f>
        <v>12</v>
      </c>
      <c r="C87" s="350">
        <f>(C84/C86)*100</f>
        <v>7.2222222222222214</v>
      </c>
      <c r="D87" s="350">
        <f>(D84/D86)*100</f>
        <v>9.0740740740740744</v>
      </c>
      <c r="E87" s="350">
        <f>(E84/E86)*100</f>
        <v>8.3823529411764692</v>
      </c>
      <c r="F87" s="350">
        <f>(F84/F86)*100</f>
        <v>11.911764705882351</v>
      </c>
      <c r="G87" s="372">
        <f>((B81*B87)+(C81*C87)+(D81*D87)+(E81*E87)+(F81*F87))/G81</f>
        <v>10.158585858585857</v>
      </c>
      <c r="H87" s="352" t="s">
        <v>157</v>
      </c>
      <c r="I87" s="374"/>
    </row>
    <row r="88" spans="1:10" x14ac:dyDescent="0.3">
      <c r="A88" s="327" t="s">
        <v>203</v>
      </c>
      <c r="B88" t="s">
        <v>164</v>
      </c>
      <c r="C88" s="329" t="s">
        <v>192</v>
      </c>
      <c r="D88" s="329"/>
      <c r="E88" s="329"/>
      <c r="F88" s="329"/>
      <c r="G88" s="329"/>
      <c r="H88" s="331"/>
      <c r="I88" s="374" t="s">
        <v>147</v>
      </c>
      <c r="J88" t="s">
        <v>165</v>
      </c>
    </row>
    <row r="89" spans="1:10" x14ac:dyDescent="0.3">
      <c r="A89" s="328" t="s">
        <v>194</v>
      </c>
      <c r="B89" s="339">
        <v>60</v>
      </c>
      <c r="C89" s="339">
        <v>90</v>
      </c>
      <c r="D89" s="339">
        <v>150</v>
      </c>
      <c r="E89" s="339">
        <v>220</v>
      </c>
      <c r="F89" s="339">
        <v>300</v>
      </c>
      <c r="G89" s="370" t="s">
        <v>146</v>
      </c>
      <c r="H89" s="331"/>
      <c r="I89" s="374"/>
    </row>
    <row r="90" spans="1:10" x14ac:dyDescent="0.3">
      <c r="A90" s="328" t="s">
        <v>149</v>
      </c>
      <c r="B90" s="339">
        <v>60</v>
      </c>
      <c r="C90" s="339">
        <v>30</v>
      </c>
      <c r="D90" s="339">
        <v>60</v>
      </c>
      <c r="E90" s="339">
        <v>50</v>
      </c>
      <c r="F90" s="339">
        <v>75</v>
      </c>
      <c r="G90" s="341">
        <f>SUM(B90:F90)</f>
        <v>275</v>
      </c>
      <c r="H90" s="342"/>
      <c r="I90" s="374"/>
    </row>
    <row r="91" spans="1:10" x14ac:dyDescent="0.3">
      <c r="A91" s="328" t="s">
        <v>150</v>
      </c>
      <c r="B91" s="339">
        <v>60</v>
      </c>
      <c r="C91" s="339">
        <v>65</v>
      </c>
      <c r="D91" s="339">
        <v>70</v>
      </c>
      <c r="E91" s="339">
        <v>75</v>
      </c>
      <c r="F91" s="339">
        <v>90</v>
      </c>
      <c r="G91" s="342"/>
      <c r="H91" s="342"/>
      <c r="I91" s="374"/>
    </row>
    <row r="92" spans="1:10" x14ac:dyDescent="0.3">
      <c r="A92" s="328" t="s">
        <v>151</v>
      </c>
      <c r="B92" s="339">
        <v>30</v>
      </c>
      <c r="C92" s="339">
        <v>30</v>
      </c>
      <c r="D92" s="339">
        <v>35</v>
      </c>
      <c r="E92" s="339">
        <v>38</v>
      </c>
      <c r="F92" s="339">
        <v>45</v>
      </c>
      <c r="G92" s="342"/>
      <c r="H92" s="342"/>
      <c r="I92" s="374"/>
    </row>
    <row r="93" spans="1:10" x14ac:dyDescent="0.3">
      <c r="A93" s="328" t="s">
        <v>152</v>
      </c>
      <c r="B93" s="340">
        <f t="shared" ref="B93:F93" si="23">B91*B92</f>
        <v>1800</v>
      </c>
      <c r="C93" s="340">
        <f t="shared" si="23"/>
        <v>1950</v>
      </c>
      <c r="D93" s="340">
        <f t="shared" si="23"/>
        <v>2450</v>
      </c>
      <c r="E93" s="340">
        <f t="shared" si="23"/>
        <v>2850</v>
      </c>
      <c r="F93" s="340">
        <f t="shared" si="23"/>
        <v>4050</v>
      </c>
      <c r="G93" s="340"/>
      <c r="H93" s="342"/>
      <c r="I93" s="374"/>
    </row>
    <row r="94" spans="1:10" x14ac:dyDescent="0.3">
      <c r="A94" s="333" t="s">
        <v>204</v>
      </c>
      <c r="B94" s="348">
        <v>1.5</v>
      </c>
      <c r="C94" s="346">
        <v>1.5</v>
      </c>
      <c r="D94" s="346">
        <v>1.5</v>
      </c>
      <c r="E94" s="346">
        <v>1.7</v>
      </c>
      <c r="F94" s="347">
        <v>1.8</v>
      </c>
      <c r="G94" s="376"/>
      <c r="H94" s="342"/>
      <c r="I94" s="374"/>
    </row>
    <row r="95" spans="1:10" x14ac:dyDescent="0.3">
      <c r="A95" s="328" t="s">
        <v>155</v>
      </c>
      <c r="B95" s="339">
        <f>B94*10000</f>
        <v>15000</v>
      </c>
      <c r="C95" s="339">
        <f t="shared" ref="C95:F95" si="24">C94*10000</f>
        <v>15000</v>
      </c>
      <c r="D95" s="339">
        <f t="shared" si="24"/>
        <v>15000</v>
      </c>
      <c r="E95" s="339">
        <f t="shared" si="24"/>
        <v>17000</v>
      </c>
      <c r="F95" s="339">
        <f t="shared" si="24"/>
        <v>18000</v>
      </c>
      <c r="G95" s="339"/>
      <c r="H95" s="342"/>
      <c r="I95" s="374"/>
    </row>
    <row r="96" spans="1:10" ht="28.8" x14ac:dyDescent="0.3">
      <c r="A96" s="349" t="s">
        <v>156</v>
      </c>
      <c r="B96" s="350">
        <f>(B93/B95)*100</f>
        <v>12</v>
      </c>
      <c r="C96" s="350">
        <f>(C93/C95)*100</f>
        <v>13</v>
      </c>
      <c r="D96" s="350">
        <f>(D93/D95)*100</f>
        <v>16.333333333333332</v>
      </c>
      <c r="E96" s="350">
        <f>(E93/E95)*100</f>
        <v>16.764705882352938</v>
      </c>
      <c r="F96" s="350">
        <f>(F93/F95)*100</f>
        <v>22.5</v>
      </c>
      <c r="G96" s="372">
        <f>((B90*B96)+(C90*C96)+(D90*D96)+(E90*E96)+(F90*F96))/G90</f>
        <v>16.784491978609626</v>
      </c>
      <c r="H96" s="352" t="s">
        <v>157</v>
      </c>
      <c r="I96" s="374"/>
    </row>
    <row r="97" spans="1:12" x14ac:dyDescent="0.3">
      <c r="A97" s="327" t="s">
        <v>205</v>
      </c>
      <c r="B97" t="s">
        <v>164</v>
      </c>
      <c r="C97" s="329" t="s">
        <v>192</v>
      </c>
      <c r="D97" s="329"/>
      <c r="E97" s="329"/>
      <c r="F97" s="329"/>
      <c r="G97" s="329"/>
      <c r="H97" s="331"/>
      <c r="I97" s="374" t="s">
        <v>147</v>
      </c>
      <c r="J97" t="s">
        <v>206</v>
      </c>
    </row>
    <row r="98" spans="1:12" x14ac:dyDescent="0.3">
      <c r="A98" s="327"/>
      <c r="C98" s="329"/>
      <c r="D98" s="377" t="s">
        <v>167</v>
      </c>
      <c r="E98" s="377" t="s">
        <v>207</v>
      </c>
      <c r="F98" s="377" t="s">
        <v>208</v>
      </c>
      <c r="G98" s="329"/>
      <c r="H98" s="331"/>
      <c r="I98" s="374"/>
    </row>
    <row r="99" spans="1:12" x14ac:dyDescent="0.3">
      <c r="A99" s="328" t="s">
        <v>194</v>
      </c>
      <c r="B99" s="339">
        <v>60</v>
      </c>
      <c r="C99" s="339">
        <v>90</v>
      </c>
      <c r="D99" s="339">
        <v>150</v>
      </c>
      <c r="E99" s="339">
        <v>220</v>
      </c>
      <c r="F99" s="339">
        <v>300</v>
      </c>
      <c r="G99" s="370" t="s">
        <v>146</v>
      </c>
      <c r="H99" s="331"/>
      <c r="I99" s="374"/>
    </row>
    <row r="100" spans="1:12" x14ac:dyDescent="0.3">
      <c r="A100" s="328" t="s">
        <v>149</v>
      </c>
      <c r="B100" s="339">
        <v>60</v>
      </c>
      <c r="C100" s="339">
        <v>30</v>
      </c>
      <c r="D100" s="339">
        <v>60</v>
      </c>
      <c r="E100" s="339">
        <v>50</v>
      </c>
      <c r="F100" s="339">
        <v>75</v>
      </c>
      <c r="G100" s="341">
        <f>SUM(B100:F100)</f>
        <v>275</v>
      </c>
      <c r="H100" s="342"/>
      <c r="I100" s="374"/>
    </row>
    <row r="101" spans="1:12" x14ac:dyDescent="0.3">
      <c r="A101" s="328" t="s">
        <v>150</v>
      </c>
      <c r="B101" s="339">
        <v>60</v>
      </c>
      <c r="C101" s="339">
        <v>65</v>
      </c>
      <c r="D101" s="339">
        <v>70</v>
      </c>
      <c r="E101" s="339">
        <v>75</v>
      </c>
      <c r="F101" s="339">
        <v>90</v>
      </c>
      <c r="G101" s="342"/>
      <c r="H101" s="342"/>
      <c r="I101" s="374"/>
    </row>
    <row r="102" spans="1:12" x14ac:dyDescent="0.3">
      <c r="A102" s="328" t="s">
        <v>151</v>
      </c>
      <c r="B102" s="339">
        <v>30</v>
      </c>
      <c r="C102" s="339">
        <v>30</v>
      </c>
      <c r="D102" s="339">
        <v>35</v>
      </c>
      <c r="E102" s="339">
        <v>38</v>
      </c>
      <c r="F102" s="339">
        <v>45</v>
      </c>
      <c r="G102" s="342"/>
      <c r="H102" s="342"/>
      <c r="I102" s="374"/>
    </row>
    <row r="103" spans="1:12" x14ac:dyDescent="0.3">
      <c r="A103" s="328" t="s">
        <v>152</v>
      </c>
      <c r="B103" s="340">
        <f t="shared" ref="B103:F103" si="25">B101*B102</f>
        <v>1800</v>
      </c>
      <c r="C103" s="340">
        <f t="shared" si="25"/>
        <v>1950</v>
      </c>
      <c r="D103" s="340">
        <f t="shared" si="25"/>
        <v>2450</v>
      </c>
      <c r="E103" s="340">
        <f t="shared" si="25"/>
        <v>2850</v>
      </c>
      <c r="F103" s="340">
        <f t="shared" si="25"/>
        <v>4050</v>
      </c>
      <c r="G103" s="340"/>
      <c r="H103" s="342"/>
      <c r="I103" s="374"/>
    </row>
    <row r="104" spans="1:12" x14ac:dyDescent="0.3">
      <c r="A104" s="333" t="s">
        <v>204</v>
      </c>
      <c r="B104" s="348">
        <v>1.5</v>
      </c>
      <c r="C104" s="346">
        <v>1.5</v>
      </c>
      <c r="D104" s="346">
        <v>1.5</v>
      </c>
      <c r="E104" s="346">
        <v>2</v>
      </c>
      <c r="F104" s="347">
        <v>3</v>
      </c>
      <c r="G104" s="376"/>
      <c r="H104" s="342"/>
      <c r="I104" s="374"/>
    </row>
    <row r="105" spans="1:12" x14ac:dyDescent="0.3">
      <c r="A105" s="328" t="s">
        <v>155</v>
      </c>
      <c r="B105" s="339">
        <f>B104*10000</f>
        <v>15000</v>
      </c>
      <c r="C105" s="339">
        <f t="shared" ref="C105:F105" si="26">C104*10000</f>
        <v>15000</v>
      </c>
      <c r="D105" s="339">
        <f t="shared" si="26"/>
        <v>15000</v>
      </c>
      <c r="E105" s="339">
        <f t="shared" si="26"/>
        <v>20000</v>
      </c>
      <c r="F105" s="339">
        <f t="shared" si="26"/>
        <v>30000</v>
      </c>
      <c r="G105" s="339"/>
      <c r="H105" s="342"/>
      <c r="I105" s="374"/>
    </row>
    <row r="106" spans="1:12" ht="28.8" x14ac:dyDescent="0.3">
      <c r="A106" s="349" t="s">
        <v>156</v>
      </c>
      <c r="B106" s="350">
        <f>(B103/B105)*100</f>
        <v>12</v>
      </c>
      <c r="C106" s="350">
        <f>(C103/C105)*100</f>
        <v>13</v>
      </c>
      <c r="D106" s="350">
        <f>(D103/D105)*100</f>
        <v>16.333333333333332</v>
      </c>
      <c r="E106" s="350">
        <f>(E103/E105)*100</f>
        <v>14.249999999999998</v>
      </c>
      <c r="F106" s="350">
        <f>(F103/F105)*100</f>
        <v>13.5</v>
      </c>
      <c r="G106" s="372">
        <f>((B100*B106)+(C100*C106)+(D100*D106)+(E100*E106)+(F100*F106))/G100</f>
        <v>13.872727272727273</v>
      </c>
      <c r="H106" s="352" t="s">
        <v>157</v>
      </c>
      <c r="I106" s="374"/>
    </row>
    <row r="107" spans="1:12" x14ac:dyDescent="0.3">
      <c r="A107" s="333" t="s">
        <v>209</v>
      </c>
      <c r="B107" s="340"/>
      <c r="C107" s="340"/>
      <c r="D107" s="340"/>
      <c r="E107" s="340"/>
      <c r="F107" s="340"/>
      <c r="G107" s="340"/>
      <c r="H107" s="342"/>
      <c r="I107" s="355" t="s">
        <v>147</v>
      </c>
      <c r="J107" s="328" t="s">
        <v>148</v>
      </c>
      <c r="K107" s="328"/>
      <c r="L107" s="378"/>
    </row>
    <row r="108" spans="1:12" x14ac:dyDescent="0.3">
      <c r="A108" s="379"/>
      <c r="B108" s="339">
        <v>60</v>
      </c>
      <c r="C108" s="339">
        <v>90</v>
      </c>
      <c r="D108" s="339">
        <v>150</v>
      </c>
      <c r="E108" s="339">
        <v>220</v>
      </c>
      <c r="F108" s="339">
        <v>400</v>
      </c>
      <c r="G108" s="339">
        <v>670</v>
      </c>
      <c r="H108" s="370" t="s">
        <v>146</v>
      </c>
      <c r="I108" s="355"/>
      <c r="J108" s="328"/>
      <c r="K108" s="328"/>
      <c r="L108" s="342"/>
    </row>
    <row r="109" spans="1:12" x14ac:dyDescent="0.3">
      <c r="A109" s="328" t="s">
        <v>149</v>
      </c>
      <c r="B109" s="339">
        <v>60</v>
      </c>
      <c r="C109" s="339">
        <v>30</v>
      </c>
      <c r="D109" s="339">
        <v>60</v>
      </c>
      <c r="E109" s="339">
        <v>50</v>
      </c>
      <c r="F109" s="339">
        <v>180</v>
      </c>
      <c r="G109" s="339">
        <v>350</v>
      </c>
      <c r="H109" s="341">
        <f>SUM(B109:G109)</f>
        <v>730</v>
      </c>
      <c r="I109" s="355"/>
      <c r="J109" s="328"/>
      <c r="K109" s="328"/>
      <c r="L109" s="342"/>
    </row>
    <row r="110" spans="1:12" x14ac:dyDescent="0.3">
      <c r="A110" s="328" t="s">
        <v>150</v>
      </c>
      <c r="B110" s="339">
        <v>60</v>
      </c>
      <c r="C110" s="339">
        <v>65</v>
      </c>
      <c r="D110" s="339">
        <v>70</v>
      </c>
      <c r="E110" s="339">
        <v>75</v>
      </c>
      <c r="F110" s="339">
        <v>100</v>
      </c>
      <c r="G110" s="339">
        <v>170</v>
      </c>
      <c r="H110" s="340"/>
      <c r="I110" s="355"/>
      <c r="J110" s="328"/>
      <c r="K110" s="328"/>
      <c r="L110" s="342"/>
    </row>
    <row r="111" spans="1:12" x14ac:dyDescent="0.3">
      <c r="A111" s="328" t="s">
        <v>151</v>
      </c>
      <c r="B111" s="339">
        <v>30</v>
      </c>
      <c r="C111" s="339">
        <v>30</v>
      </c>
      <c r="D111" s="339">
        <v>35</v>
      </c>
      <c r="E111" s="339">
        <v>38</v>
      </c>
      <c r="F111" s="339">
        <v>50</v>
      </c>
      <c r="G111" s="339">
        <v>65</v>
      </c>
      <c r="H111" s="340"/>
      <c r="I111" s="355"/>
      <c r="J111" s="328"/>
      <c r="K111" s="328"/>
      <c r="L111" s="342"/>
    </row>
    <row r="112" spans="1:12" x14ac:dyDescent="0.3">
      <c r="A112" s="328" t="s">
        <v>152</v>
      </c>
      <c r="B112" s="340">
        <f t="shared" ref="B112:G112" si="27">B110*B111</f>
        <v>1800</v>
      </c>
      <c r="C112" s="340">
        <f t="shared" si="27"/>
        <v>1950</v>
      </c>
      <c r="D112" s="340">
        <f t="shared" si="27"/>
        <v>2450</v>
      </c>
      <c r="E112" s="340">
        <f t="shared" si="27"/>
        <v>2850</v>
      </c>
      <c r="F112" s="340">
        <f t="shared" si="27"/>
        <v>5000</v>
      </c>
      <c r="G112" s="340">
        <f t="shared" si="27"/>
        <v>11050</v>
      </c>
      <c r="H112" s="340"/>
      <c r="I112" s="342"/>
      <c r="J112" s="328"/>
      <c r="K112" s="328"/>
      <c r="L112" s="342"/>
    </row>
    <row r="113" spans="1:12" x14ac:dyDescent="0.3">
      <c r="A113" s="333" t="s">
        <v>210</v>
      </c>
      <c r="B113" s="380">
        <v>1.5</v>
      </c>
      <c r="C113" s="380">
        <v>1.5</v>
      </c>
      <c r="D113" s="380">
        <v>1.5</v>
      </c>
      <c r="E113" s="380">
        <v>1.8</v>
      </c>
      <c r="F113" s="381">
        <v>1.9</v>
      </c>
      <c r="G113" s="381">
        <v>2.2999999999999998</v>
      </c>
      <c r="H113" s="340"/>
      <c r="I113" s="342"/>
      <c r="J113" s="328"/>
      <c r="K113" s="328"/>
      <c r="L113" s="342"/>
    </row>
    <row r="114" spans="1:12" x14ac:dyDescent="0.3">
      <c r="A114" s="328" t="s">
        <v>155</v>
      </c>
      <c r="B114" s="339">
        <f t="shared" ref="B114:G114" si="28">B113*10000</f>
        <v>15000</v>
      </c>
      <c r="C114" s="339">
        <f t="shared" si="28"/>
        <v>15000</v>
      </c>
      <c r="D114" s="339">
        <f t="shared" si="28"/>
        <v>15000</v>
      </c>
      <c r="E114" s="339">
        <f t="shared" si="28"/>
        <v>18000</v>
      </c>
      <c r="F114" s="339">
        <f t="shared" si="28"/>
        <v>19000</v>
      </c>
      <c r="G114" s="339">
        <f t="shared" si="28"/>
        <v>23000</v>
      </c>
      <c r="H114" s="340"/>
      <c r="I114" s="342"/>
      <c r="J114" s="328"/>
      <c r="K114" s="328"/>
      <c r="L114" s="342"/>
    </row>
    <row r="115" spans="1:12" x14ac:dyDescent="0.3">
      <c r="A115" s="349" t="s">
        <v>156</v>
      </c>
      <c r="B115" s="350">
        <f t="shared" ref="B115:G115" si="29">(B112/B114)*100</f>
        <v>12</v>
      </c>
      <c r="C115" s="350">
        <f t="shared" si="29"/>
        <v>13</v>
      </c>
      <c r="D115" s="350">
        <f t="shared" si="29"/>
        <v>16.333333333333332</v>
      </c>
      <c r="E115" s="350">
        <f t="shared" si="29"/>
        <v>15.833333333333332</v>
      </c>
      <c r="F115" s="350">
        <f t="shared" si="29"/>
        <v>26.315789473684209</v>
      </c>
      <c r="G115" s="350">
        <f t="shared" si="29"/>
        <v>48.043478260869563</v>
      </c>
      <c r="H115" s="350">
        <f>(B109*B115)+(C109*C115)+(D109*D115)+(E109*E115)+(F109*F115)+(G109*G115)</f>
        <v>24433.726163234172</v>
      </c>
      <c r="I115" s="382">
        <f>H115/H109</f>
        <v>33.470857757855029</v>
      </c>
      <c r="J115" s="328"/>
    </row>
    <row r="116" spans="1:12" x14ac:dyDescent="0.3">
      <c r="A116" s="333" t="s">
        <v>211</v>
      </c>
      <c r="B116" s="340"/>
      <c r="C116" s="340"/>
      <c r="D116" s="340"/>
      <c r="E116" s="340"/>
      <c r="F116" s="340"/>
      <c r="G116" s="340"/>
      <c r="H116" s="340"/>
      <c r="I116" s="353" t="s">
        <v>147</v>
      </c>
      <c r="J116" s="328" t="s">
        <v>148</v>
      </c>
      <c r="K116" s="328"/>
      <c r="L116" s="378"/>
    </row>
    <row r="117" spans="1:12" x14ac:dyDescent="0.3">
      <c r="A117" s="379"/>
      <c r="B117" s="339">
        <v>60</v>
      </c>
      <c r="C117" s="339">
        <v>90</v>
      </c>
      <c r="D117" s="356">
        <v>150</v>
      </c>
      <c r="E117" s="356">
        <v>220</v>
      </c>
      <c r="F117" s="339">
        <v>400</v>
      </c>
      <c r="G117" s="339">
        <v>670</v>
      </c>
      <c r="H117" s="370" t="s">
        <v>146</v>
      </c>
      <c r="I117" s="353"/>
      <c r="J117" s="328"/>
      <c r="K117" s="328"/>
      <c r="L117" s="342"/>
    </row>
    <row r="118" spans="1:12" x14ac:dyDescent="0.3">
      <c r="A118" s="328" t="s">
        <v>149</v>
      </c>
      <c r="B118" s="339">
        <v>60</v>
      </c>
      <c r="C118" s="339">
        <v>30</v>
      </c>
      <c r="D118" s="339">
        <v>60</v>
      </c>
      <c r="E118" s="339">
        <v>50</v>
      </c>
      <c r="F118" s="339">
        <v>180</v>
      </c>
      <c r="G118" s="339">
        <v>350</v>
      </c>
      <c r="H118" s="341">
        <f>SUM(B118:G118)</f>
        <v>730</v>
      </c>
      <c r="I118" s="383"/>
      <c r="J118" s="328"/>
      <c r="K118" s="328"/>
      <c r="L118" s="342"/>
    </row>
    <row r="119" spans="1:12" x14ac:dyDescent="0.3">
      <c r="A119" s="328" t="s">
        <v>150</v>
      </c>
      <c r="B119" s="339">
        <v>60</v>
      </c>
      <c r="C119" s="339">
        <v>65</v>
      </c>
      <c r="D119" s="339">
        <v>70</v>
      </c>
      <c r="E119" s="339">
        <v>75</v>
      </c>
      <c r="F119" s="339">
        <v>100</v>
      </c>
      <c r="G119" s="339">
        <v>170</v>
      </c>
      <c r="H119" s="340"/>
      <c r="I119" s="383"/>
      <c r="J119" s="328"/>
      <c r="K119" s="328"/>
      <c r="L119" s="342"/>
    </row>
    <row r="120" spans="1:12" x14ac:dyDescent="0.3">
      <c r="A120" s="328" t="s">
        <v>151</v>
      </c>
      <c r="B120" s="339">
        <v>30</v>
      </c>
      <c r="C120" s="339">
        <v>30</v>
      </c>
      <c r="D120" s="339">
        <v>35</v>
      </c>
      <c r="E120" s="339">
        <v>38</v>
      </c>
      <c r="F120" s="339">
        <v>50</v>
      </c>
      <c r="G120" s="339">
        <v>65</v>
      </c>
      <c r="H120" s="340"/>
      <c r="I120" s="383"/>
      <c r="J120" s="328"/>
      <c r="K120" s="328"/>
      <c r="L120" s="342"/>
    </row>
    <row r="121" spans="1:12" x14ac:dyDescent="0.3">
      <c r="A121" s="328" t="s">
        <v>152</v>
      </c>
      <c r="B121" s="340">
        <f t="shared" ref="B121:G121" si="30">B119*B120</f>
        <v>1800</v>
      </c>
      <c r="C121" s="340">
        <f t="shared" si="30"/>
        <v>1950</v>
      </c>
      <c r="D121" s="340">
        <f t="shared" si="30"/>
        <v>2450</v>
      </c>
      <c r="E121" s="340">
        <f t="shared" si="30"/>
        <v>2850</v>
      </c>
      <c r="F121" s="340">
        <f t="shared" si="30"/>
        <v>5000</v>
      </c>
      <c r="G121" s="340">
        <f t="shared" si="30"/>
        <v>11050</v>
      </c>
      <c r="H121" s="340"/>
      <c r="I121" s="383"/>
      <c r="J121" s="328"/>
      <c r="K121" s="328"/>
      <c r="L121" s="342"/>
    </row>
    <row r="122" spans="1:12" x14ac:dyDescent="0.3">
      <c r="A122" s="333" t="s">
        <v>212</v>
      </c>
      <c r="B122" s="380">
        <v>1.5</v>
      </c>
      <c r="C122" s="380">
        <v>1.7</v>
      </c>
      <c r="D122" s="380">
        <v>2.2000000000000002</v>
      </c>
      <c r="E122" s="380">
        <v>2.9</v>
      </c>
      <c r="F122" s="381">
        <v>3.7</v>
      </c>
      <c r="G122" s="381">
        <v>4.4000000000000004</v>
      </c>
      <c r="H122" s="340"/>
      <c r="I122" s="383"/>
      <c r="J122" s="328"/>
      <c r="K122" s="328"/>
      <c r="L122" s="342"/>
    </row>
    <row r="123" spans="1:12" x14ac:dyDescent="0.3">
      <c r="A123" s="328" t="s">
        <v>155</v>
      </c>
      <c r="B123" s="339">
        <f t="shared" ref="B123:G123" si="31">B122*10000</f>
        <v>15000</v>
      </c>
      <c r="C123" s="339">
        <f t="shared" si="31"/>
        <v>17000</v>
      </c>
      <c r="D123" s="339">
        <f t="shared" si="31"/>
        <v>22000</v>
      </c>
      <c r="E123" s="339">
        <f t="shared" si="31"/>
        <v>29000</v>
      </c>
      <c r="F123" s="339">
        <f t="shared" si="31"/>
        <v>37000</v>
      </c>
      <c r="G123" s="339">
        <f t="shared" si="31"/>
        <v>44000</v>
      </c>
      <c r="H123" s="340"/>
      <c r="I123" s="383"/>
      <c r="J123" s="328"/>
      <c r="K123" s="328"/>
      <c r="L123" s="342"/>
    </row>
    <row r="124" spans="1:12" x14ac:dyDescent="0.3">
      <c r="A124" s="349" t="s">
        <v>156</v>
      </c>
      <c r="B124" s="350">
        <f t="shared" ref="B124:G124" si="32">(B121/B123)*100</f>
        <v>12</v>
      </c>
      <c r="C124" s="350">
        <f t="shared" si="32"/>
        <v>11.470588235294118</v>
      </c>
      <c r="D124" s="350">
        <f t="shared" si="32"/>
        <v>11.136363636363637</v>
      </c>
      <c r="E124" s="350">
        <f t="shared" si="32"/>
        <v>9.8275862068965516</v>
      </c>
      <c r="F124" s="350">
        <f t="shared" si="32"/>
        <v>13.513513513513514</v>
      </c>
      <c r="G124" s="350">
        <f t="shared" si="32"/>
        <v>25.113636363636367</v>
      </c>
      <c r="H124" s="350">
        <f>(B118*B124)+(C118*C124)+(D118*D124)+(E118*E124)+(F118*F124)+(G118*G124)</f>
        <v>13445.883935290629</v>
      </c>
      <c r="I124" s="382">
        <f>H124/H118</f>
        <v>18.419019089439217</v>
      </c>
      <c r="J124" s="328"/>
    </row>
    <row r="125" spans="1:12" ht="29.25" customHeight="1" x14ac:dyDescent="0.3">
      <c r="A125" s="384" t="s">
        <v>213</v>
      </c>
      <c r="B125" s="385" t="s">
        <v>214</v>
      </c>
      <c r="C125" s="350"/>
      <c r="D125" s="350"/>
      <c r="E125" s="350"/>
      <c r="F125" s="350"/>
      <c r="G125" s="350"/>
      <c r="H125" s="386"/>
      <c r="I125" s="372">
        <f>(I115+I124)/2</f>
        <v>25.944938423647123</v>
      </c>
      <c r="J125" s="352" t="s">
        <v>157</v>
      </c>
      <c r="K125" s="328"/>
      <c r="L125" s="378"/>
    </row>
    <row r="126" spans="1:12" ht="15.75" customHeight="1" x14ac:dyDescent="0.3">
      <c r="A126" s="387" t="s">
        <v>215</v>
      </c>
      <c r="B126" s="340"/>
      <c r="C126" s="340"/>
      <c r="D126" s="388" t="s">
        <v>167</v>
      </c>
      <c r="E126" s="388" t="s">
        <v>207</v>
      </c>
      <c r="F126" s="389" t="s">
        <v>208</v>
      </c>
      <c r="G126" s="340"/>
      <c r="H126" s="342"/>
      <c r="I126" s="355" t="s">
        <v>147</v>
      </c>
      <c r="J126" s="328" t="s">
        <v>198</v>
      </c>
      <c r="K126" s="328"/>
      <c r="L126" s="378"/>
    </row>
    <row r="127" spans="1:12" x14ac:dyDescent="0.3">
      <c r="A127" s="379" t="s">
        <v>216</v>
      </c>
      <c r="B127" s="339">
        <v>60</v>
      </c>
      <c r="C127" s="339">
        <v>90</v>
      </c>
      <c r="D127" s="390" t="s">
        <v>167</v>
      </c>
      <c r="E127" s="390" t="s">
        <v>168</v>
      </c>
      <c r="F127" s="339">
        <v>400</v>
      </c>
      <c r="G127" s="339">
        <v>670</v>
      </c>
      <c r="H127" s="391" t="s">
        <v>146</v>
      </c>
      <c r="I127" s="342"/>
      <c r="J127" s="328"/>
      <c r="K127" s="328"/>
      <c r="L127" s="342"/>
    </row>
    <row r="128" spans="1:12" x14ac:dyDescent="0.3">
      <c r="A128" s="328" t="s">
        <v>149</v>
      </c>
      <c r="B128" s="339">
        <v>60</v>
      </c>
      <c r="C128" s="339">
        <v>30</v>
      </c>
      <c r="D128" s="339">
        <v>60</v>
      </c>
      <c r="E128" s="339">
        <v>50</v>
      </c>
      <c r="F128" s="339">
        <v>180</v>
      </c>
      <c r="G128" s="339">
        <v>350</v>
      </c>
      <c r="H128" s="341">
        <f>SUM(B128:G128)</f>
        <v>730</v>
      </c>
      <c r="I128" s="342"/>
      <c r="J128" s="328"/>
      <c r="K128" s="328"/>
      <c r="L128" s="342"/>
    </row>
    <row r="129" spans="1:12" x14ac:dyDescent="0.3">
      <c r="A129" s="328" t="s">
        <v>150</v>
      </c>
      <c r="B129" s="339">
        <v>60</v>
      </c>
      <c r="C129" s="339">
        <v>65</v>
      </c>
      <c r="D129" s="339">
        <v>70</v>
      </c>
      <c r="E129" s="339">
        <v>75</v>
      </c>
      <c r="F129" s="339">
        <v>100</v>
      </c>
      <c r="G129" s="339">
        <v>170</v>
      </c>
      <c r="H129" s="342"/>
      <c r="I129" s="342"/>
      <c r="J129" s="328"/>
      <c r="K129" s="328"/>
      <c r="L129" s="342"/>
    </row>
    <row r="130" spans="1:12" x14ac:dyDescent="0.3">
      <c r="A130" s="328" t="s">
        <v>151</v>
      </c>
      <c r="B130" s="339">
        <v>30</v>
      </c>
      <c r="C130" s="339">
        <v>30</v>
      </c>
      <c r="D130" s="339">
        <v>35</v>
      </c>
      <c r="E130" s="339">
        <v>38</v>
      </c>
      <c r="F130" s="339">
        <v>50</v>
      </c>
      <c r="G130" s="339">
        <v>65</v>
      </c>
      <c r="H130" s="342"/>
      <c r="I130" s="342"/>
      <c r="J130" s="328"/>
      <c r="K130" s="328"/>
      <c r="L130" s="342"/>
    </row>
    <row r="131" spans="1:12" x14ac:dyDescent="0.3">
      <c r="A131" s="328" t="s">
        <v>152</v>
      </c>
      <c r="B131" s="340">
        <f t="shared" ref="B131:G131" si="33">B129*B130</f>
        <v>1800</v>
      </c>
      <c r="C131" s="340">
        <f t="shared" si="33"/>
        <v>1950</v>
      </c>
      <c r="D131" s="340">
        <f t="shared" si="33"/>
        <v>2450</v>
      </c>
      <c r="E131" s="340">
        <f t="shared" si="33"/>
        <v>2850</v>
      </c>
      <c r="F131" s="340">
        <f t="shared" si="33"/>
        <v>5000</v>
      </c>
      <c r="G131" s="340">
        <f t="shared" si="33"/>
        <v>11050</v>
      </c>
      <c r="H131" s="342"/>
      <c r="I131" s="342"/>
      <c r="J131" s="328"/>
      <c r="K131" s="328"/>
      <c r="L131" s="342"/>
    </row>
    <row r="132" spans="1:12" x14ac:dyDescent="0.3">
      <c r="A132" s="333" t="s">
        <v>217</v>
      </c>
      <c r="B132" s="348">
        <v>1.5</v>
      </c>
      <c r="C132" s="346">
        <v>1.5</v>
      </c>
      <c r="D132" s="346">
        <v>1.5</v>
      </c>
      <c r="E132" s="346">
        <v>1.7</v>
      </c>
      <c r="F132" s="347">
        <v>1.9</v>
      </c>
      <c r="G132" s="392">
        <v>2.2999999999999998</v>
      </c>
      <c r="H132" s="393" t="s">
        <v>218</v>
      </c>
      <c r="I132" s="391"/>
      <c r="J132" s="394"/>
      <c r="K132" s="328"/>
      <c r="L132" s="342"/>
    </row>
    <row r="133" spans="1:12" x14ac:dyDescent="0.3">
      <c r="A133" s="328" t="s">
        <v>155</v>
      </c>
      <c r="B133" s="339">
        <f>B132*10000</f>
        <v>15000</v>
      </c>
      <c r="C133" s="339">
        <f t="shared" ref="C133:G133" si="34">C132*10000</f>
        <v>15000</v>
      </c>
      <c r="D133" s="339">
        <f t="shared" si="34"/>
        <v>15000</v>
      </c>
      <c r="E133" s="339">
        <f t="shared" si="34"/>
        <v>17000</v>
      </c>
      <c r="F133" s="339">
        <f t="shared" si="34"/>
        <v>19000</v>
      </c>
      <c r="G133" s="339">
        <f t="shared" si="34"/>
        <v>23000</v>
      </c>
      <c r="H133" s="342"/>
      <c r="I133" s="342"/>
      <c r="J133" s="328"/>
      <c r="K133" s="328"/>
      <c r="L133" s="378"/>
    </row>
    <row r="134" spans="1:12" s="328" customFormat="1" ht="30" customHeight="1" x14ac:dyDescent="0.3">
      <c r="A134" s="349" t="s">
        <v>156</v>
      </c>
      <c r="B134" s="395">
        <f>(B131/B133)*100</f>
        <v>12</v>
      </c>
      <c r="C134" s="395">
        <f t="shared" ref="C134:G134" si="35">(C131/C133)*100</f>
        <v>13</v>
      </c>
      <c r="D134" s="350">
        <f t="shared" si="35"/>
        <v>16.333333333333332</v>
      </c>
      <c r="E134" s="350">
        <f t="shared" si="35"/>
        <v>16.764705882352938</v>
      </c>
      <c r="F134" s="350">
        <f t="shared" si="35"/>
        <v>26.315789473684209</v>
      </c>
      <c r="G134" s="350">
        <f t="shared" si="35"/>
        <v>48.043478260869563</v>
      </c>
      <c r="H134" s="350">
        <f>(B128*B134)+(C128*C134)+(D128*D134)+(E128*E134)+(F128*F134)+(G128*G134)</f>
        <v>24480.294790685151</v>
      </c>
      <c r="I134" s="372">
        <f>H134/H128</f>
        <v>33.534650398198835</v>
      </c>
      <c r="J134" s="352" t="s">
        <v>157</v>
      </c>
      <c r="L134" s="342"/>
    </row>
    <row r="135" spans="1:12" s="328" customFormat="1" ht="17.25" customHeight="1" x14ac:dyDescent="0.3">
      <c r="A135" s="387" t="s">
        <v>219</v>
      </c>
      <c r="B135" s="340"/>
      <c r="C135" s="340"/>
      <c r="D135" s="390"/>
      <c r="E135" s="390"/>
      <c r="F135" s="340"/>
      <c r="G135" s="340"/>
      <c r="H135" s="342"/>
      <c r="I135" s="355" t="s">
        <v>147</v>
      </c>
      <c r="J135" s="328" t="s">
        <v>198</v>
      </c>
      <c r="L135" s="342"/>
    </row>
    <row r="136" spans="1:12" s="328" customFormat="1" ht="15.75" customHeight="1" x14ac:dyDescent="0.3">
      <c r="A136" s="379" t="s">
        <v>216</v>
      </c>
      <c r="B136" s="339">
        <v>60</v>
      </c>
      <c r="C136" s="339">
        <v>90</v>
      </c>
      <c r="D136" s="339">
        <v>150</v>
      </c>
      <c r="E136" s="339">
        <v>220</v>
      </c>
      <c r="F136" s="339">
        <v>400</v>
      </c>
      <c r="G136" s="339">
        <v>670</v>
      </c>
      <c r="H136" s="391" t="s">
        <v>146</v>
      </c>
      <c r="I136" s="342"/>
      <c r="L136" s="342"/>
    </row>
    <row r="137" spans="1:12" s="328" customFormat="1" ht="16.5" customHeight="1" x14ac:dyDescent="0.3">
      <c r="A137" s="328" t="s">
        <v>149</v>
      </c>
      <c r="B137" s="339">
        <v>60</v>
      </c>
      <c r="C137" s="339">
        <v>30</v>
      </c>
      <c r="D137" s="339">
        <v>60</v>
      </c>
      <c r="E137" s="339">
        <v>50</v>
      </c>
      <c r="F137" s="339">
        <v>180</v>
      </c>
      <c r="G137" s="339">
        <v>350</v>
      </c>
      <c r="H137" s="341">
        <f>SUM(B137:G137)</f>
        <v>730</v>
      </c>
      <c r="I137" s="342"/>
      <c r="L137" s="342"/>
    </row>
    <row r="138" spans="1:12" s="328" customFormat="1" ht="17.25" customHeight="1" x14ac:dyDescent="0.3">
      <c r="A138" s="328" t="s">
        <v>150</v>
      </c>
      <c r="B138" s="339">
        <v>60</v>
      </c>
      <c r="C138" s="339">
        <v>65</v>
      </c>
      <c r="D138" s="339">
        <v>70</v>
      </c>
      <c r="E138" s="339">
        <v>75</v>
      </c>
      <c r="F138" s="339">
        <v>100</v>
      </c>
      <c r="G138" s="339">
        <v>170</v>
      </c>
      <c r="H138" s="342"/>
      <c r="I138" s="342"/>
      <c r="L138" s="342"/>
    </row>
    <row r="139" spans="1:12" s="328" customFormat="1" ht="17.25" customHeight="1" x14ac:dyDescent="0.3">
      <c r="A139" s="328" t="s">
        <v>151</v>
      </c>
      <c r="B139" s="339">
        <v>30</v>
      </c>
      <c r="C139" s="339">
        <v>30</v>
      </c>
      <c r="D139" s="339">
        <v>35</v>
      </c>
      <c r="E139" s="339">
        <v>38</v>
      </c>
      <c r="F139" s="339">
        <v>50</v>
      </c>
      <c r="G139" s="339">
        <v>65</v>
      </c>
      <c r="H139" s="342"/>
      <c r="I139" s="342"/>
      <c r="L139" s="342"/>
    </row>
    <row r="140" spans="1:12" s="328" customFormat="1" ht="18" customHeight="1" x14ac:dyDescent="0.3">
      <c r="A140" s="328" t="s">
        <v>152</v>
      </c>
      <c r="B140" s="340">
        <f t="shared" ref="B140:G140" si="36">B138*B139</f>
        <v>1800</v>
      </c>
      <c r="C140" s="340">
        <f t="shared" si="36"/>
        <v>1950</v>
      </c>
      <c r="D140" s="340">
        <f t="shared" si="36"/>
        <v>2450</v>
      </c>
      <c r="E140" s="340">
        <f t="shared" si="36"/>
        <v>2850</v>
      </c>
      <c r="F140" s="340">
        <f t="shared" si="36"/>
        <v>5000</v>
      </c>
      <c r="G140" s="340">
        <f t="shared" si="36"/>
        <v>11050</v>
      </c>
      <c r="H140" s="342"/>
      <c r="I140" s="342"/>
      <c r="L140" s="342"/>
    </row>
    <row r="141" spans="1:12" s="328" customFormat="1" ht="17.25" customHeight="1" x14ac:dyDescent="0.3">
      <c r="A141" s="333" t="s">
        <v>220</v>
      </c>
      <c r="B141" s="348">
        <v>1.5</v>
      </c>
      <c r="C141" s="346">
        <v>2.7</v>
      </c>
      <c r="D141" s="346">
        <v>2.7</v>
      </c>
      <c r="E141" s="346">
        <v>3.4</v>
      </c>
      <c r="F141" s="347">
        <v>4.2</v>
      </c>
      <c r="G141" s="346">
        <v>4.8</v>
      </c>
      <c r="H141" s="348"/>
      <c r="I141" s="342"/>
      <c r="L141" s="342"/>
    </row>
    <row r="142" spans="1:12" s="328" customFormat="1" ht="15.75" customHeight="1" x14ac:dyDescent="0.3">
      <c r="A142" s="328" t="s">
        <v>155</v>
      </c>
      <c r="B142" s="339">
        <f>B141*10000</f>
        <v>15000</v>
      </c>
      <c r="C142" s="339">
        <f t="shared" ref="C142:G142" si="37">C141*10000</f>
        <v>27000</v>
      </c>
      <c r="D142" s="339">
        <f t="shared" si="37"/>
        <v>27000</v>
      </c>
      <c r="E142" s="339">
        <f t="shared" si="37"/>
        <v>34000</v>
      </c>
      <c r="F142" s="339">
        <f t="shared" si="37"/>
        <v>42000</v>
      </c>
      <c r="G142" s="339">
        <f t="shared" si="37"/>
        <v>48000</v>
      </c>
      <c r="H142" s="342"/>
      <c r="I142" s="342"/>
      <c r="L142" s="342"/>
    </row>
    <row r="143" spans="1:12" s="328" customFormat="1" ht="32.4" customHeight="1" x14ac:dyDescent="0.3">
      <c r="A143" s="349" t="s">
        <v>156</v>
      </c>
      <c r="B143" s="395">
        <f>(B140/B142)*100</f>
        <v>12</v>
      </c>
      <c r="C143" s="350">
        <f t="shared" ref="C143:G143" si="38">(C140/C142)*100</f>
        <v>7.2222222222222214</v>
      </c>
      <c r="D143" s="350">
        <f t="shared" si="38"/>
        <v>9.0740740740740744</v>
      </c>
      <c r="E143" s="350">
        <f t="shared" si="38"/>
        <v>8.3823529411764692</v>
      </c>
      <c r="F143" s="350">
        <f t="shared" si="38"/>
        <v>11.904761904761903</v>
      </c>
      <c r="G143" s="350">
        <f t="shared" si="38"/>
        <v>23.020833333333332</v>
      </c>
      <c r="H143" s="350">
        <f>(B137*B143)+(C137*C143)+(D137*D143)+(E137*E143)+(F137*F143)+(G137*G143)</f>
        <v>12100.377567693744</v>
      </c>
      <c r="I143" s="372">
        <f>H143/H137</f>
        <v>16.575859681772251</v>
      </c>
      <c r="J143" s="352" t="s">
        <v>157</v>
      </c>
      <c r="L143" s="342"/>
    </row>
    <row r="144" spans="1:12" x14ac:dyDescent="0.3">
      <c r="A144" s="387" t="s">
        <v>221</v>
      </c>
      <c r="B144" s="340"/>
      <c r="C144" s="340"/>
      <c r="D144" s="340"/>
      <c r="E144" s="340"/>
      <c r="F144" s="340"/>
      <c r="G144" s="340"/>
      <c r="H144" s="342"/>
      <c r="I144" s="355" t="s">
        <v>147</v>
      </c>
      <c r="J144" s="328" t="s">
        <v>165</v>
      </c>
    </row>
    <row r="145" spans="1:10" x14ac:dyDescent="0.3">
      <c r="A145" s="379" t="s">
        <v>216</v>
      </c>
      <c r="B145" s="339">
        <v>60</v>
      </c>
      <c r="C145" s="339">
        <v>90</v>
      </c>
      <c r="D145" s="388" t="s">
        <v>167</v>
      </c>
      <c r="E145" s="388" t="s">
        <v>168</v>
      </c>
      <c r="F145" s="339">
        <v>400</v>
      </c>
      <c r="G145" s="339">
        <v>670</v>
      </c>
      <c r="H145" s="391" t="s">
        <v>146</v>
      </c>
      <c r="I145" s="342"/>
      <c r="J145" s="328"/>
    </row>
    <row r="146" spans="1:10" x14ac:dyDescent="0.3">
      <c r="A146" s="328" t="s">
        <v>149</v>
      </c>
      <c r="B146" s="339">
        <v>60</v>
      </c>
      <c r="C146" s="339">
        <v>30</v>
      </c>
      <c r="D146" s="339">
        <v>60</v>
      </c>
      <c r="E146" s="339">
        <v>50</v>
      </c>
      <c r="F146" s="339">
        <v>180</v>
      </c>
      <c r="G146" s="339">
        <v>350</v>
      </c>
      <c r="H146" s="341">
        <f>SUM(B146:G146)</f>
        <v>730</v>
      </c>
      <c r="I146" s="342"/>
      <c r="J146" s="328"/>
    </row>
    <row r="147" spans="1:10" x14ac:dyDescent="0.3">
      <c r="A147" s="328" t="s">
        <v>150</v>
      </c>
      <c r="B147" s="339">
        <v>60</v>
      </c>
      <c r="C147" s="339">
        <v>65</v>
      </c>
      <c r="D147" s="339">
        <v>70</v>
      </c>
      <c r="E147" s="339">
        <v>75</v>
      </c>
      <c r="F147" s="339">
        <v>100</v>
      </c>
      <c r="G147" s="339">
        <v>170</v>
      </c>
      <c r="H147" s="342"/>
      <c r="I147" s="342"/>
      <c r="J147" s="328"/>
    </row>
    <row r="148" spans="1:10" x14ac:dyDescent="0.3">
      <c r="A148" s="328" t="s">
        <v>151</v>
      </c>
      <c r="B148" s="339">
        <v>30</v>
      </c>
      <c r="C148" s="339">
        <v>30</v>
      </c>
      <c r="D148" s="339">
        <v>35</v>
      </c>
      <c r="E148" s="339">
        <v>38</v>
      </c>
      <c r="F148" s="339">
        <v>50</v>
      </c>
      <c r="G148" s="339">
        <v>65</v>
      </c>
      <c r="H148" s="342"/>
      <c r="I148" s="342"/>
      <c r="J148" s="328"/>
    </row>
    <row r="149" spans="1:10" x14ac:dyDescent="0.3">
      <c r="A149" s="328" t="s">
        <v>152</v>
      </c>
      <c r="B149" s="340">
        <f t="shared" ref="B149:G149" si="39">B147*B148</f>
        <v>1800</v>
      </c>
      <c r="C149" s="340">
        <f t="shared" si="39"/>
        <v>1950</v>
      </c>
      <c r="D149" s="340">
        <f t="shared" si="39"/>
        <v>2450</v>
      </c>
      <c r="E149" s="340">
        <f t="shared" si="39"/>
        <v>2850</v>
      </c>
      <c r="F149" s="340">
        <f t="shared" si="39"/>
        <v>5000</v>
      </c>
      <c r="G149" s="340">
        <f t="shared" si="39"/>
        <v>11050</v>
      </c>
      <c r="H149" s="342"/>
      <c r="I149" s="342"/>
      <c r="J149" s="328"/>
    </row>
    <row r="150" spans="1:10" x14ac:dyDescent="0.3">
      <c r="A150" s="333" t="s">
        <v>204</v>
      </c>
      <c r="B150" s="348">
        <v>1.5</v>
      </c>
      <c r="C150" s="346">
        <v>1.5</v>
      </c>
      <c r="D150" s="346">
        <v>1.5</v>
      </c>
      <c r="E150" s="346">
        <v>1.7</v>
      </c>
      <c r="F150" s="347">
        <v>1.8</v>
      </c>
      <c r="G150" s="392">
        <v>2.2999999999999998</v>
      </c>
      <c r="H150" s="393" t="s">
        <v>222</v>
      </c>
      <c r="I150" s="391"/>
      <c r="J150" s="394"/>
    </row>
    <row r="151" spans="1:10" x14ac:dyDescent="0.3">
      <c r="A151" s="328" t="s">
        <v>155</v>
      </c>
      <c r="B151" s="339">
        <f>B150*10000</f>
        <v>15000</v>
      </c>
      <c r="C151" s="339">
        <f t="shared" ref="C151:G151" si="40">C150*10000</f>
        <v>15000</v>
      </c>
      <c r="D151" s="339">
        <f t="shared" si="40"/>
        <v>15000</v>
      </c>
      <c r="E151" s="339">
        <f t="shared" si="40"/>
        <v>17000</v>
      </c>
      <c r="F151" s="339">
        <f t="shared" si="40"/>
        <v>18000</v>
      </c>
      <c r="G151" s="339">
        <f t="shared" si="40"/>
        <v>23000</v>
      </c>
      <c r="H151" s="342"/>
      <c r="I151" s="342"/>
      <c r="J151" s="328"/>
    </row>
    <row r="152" spans="1:10" ht="30" customHeight="1" x14ac:dyDescent="0.3">
      <c r="A152" s="349" t="s">
        <v>156</v>
      </c>
      <c r="B152" s="395">
        <f>(B149/B151)*100</f>
        <v>12</v>
      </c>
      <c r="C152" s="395">
        <f t="shared" ref="C152:G152" si="41">(C149/C151)*100</f>
        <v>13</v>
      </c>
      <c r="D152" s="350">
        <f t="shared" si="41"/>
        <v>16.333333333333332</v>
      </c>
      <c r="E152" s="350">
        <f t="shared" si="41"/>
        <v>16.764705882352938</v>
      </c>
      <c r="F152" s="350">
        <f t="shared" si="41"/>
        <v>27.777777777777779</v>
      </c>
      <c r="G152" s="350">
        <f t="shared" si="41"/>
        <v>48.043478260869563</v>
      </c>
      <c r="H152" s="350">
        <f>(B146*B152)+(C146*C152)+(D146*D152)+(E146*E152)+(F146*F152)+(G146*G152)</f>
        <v>24743.452685421995</v>
      </c>
      <c r="I152" s="372">
        <f>H152/H146</f>
        <v>33.895140664961637</v>
      </c>
      <c r="J152" s="352" t="s">
        <v>157</v>
      </c>
    </row>
    <row r="153" spans="1:10" ht="30" customHeight="1" x14ac:dyDescent="0.3">
      <c r="A153" s="328"/>
      <c r="B153" s="339"/>
      <c r="C153" s="339"/>
      <c r="D153" s="340"/>
      <c r="E153" s="340"/>
      <c r="F153" s="340"/>
      <c r="G153" s="340"/>
      <c r="H153" s="340"/>
      <c r="I153" s="378"/>
      <c r="J153" s="333"/>
    </row>
    <row r="154" spans="1:10" ht="18" customHeight="1" x14ac:dyDescent="0.3">
      <c r="A154" s="387" t="s">
        <v>223</v>
      </c>
      <c r="B154" s="340"/>
      <c r="C154" s="340"/>
      <c r="D154" s="389" t="s">
        <v>167</v>
      </c>
      <c r="E154" s="389" t="s">
        <v>207</v>
      </c>
      <c r="F154" s="389" t="s">
        <v>208</v>
      </c>
      <c r="G154" s="389"/>
      <c r="H154" s="342"/>
      <c r="I154" s="355" t="s">
        <v>147</v>
      </c>
      <c r="J154" s="328" t="s">
        <v>224</v>
      </c>
    </row>
    <row r="155" spans="1:10" ht="15.75" customHeight="1" x14ac:dyDescent="0.3">
      <c r="A155" s="379" t="s">
        <v>216</v>
      </c>
      <c r="B155" s="339">
        <v>60</v>
      </c>
      <c r="C155" s="339">
        <v>90</v>
      </c>
      <c r="D155" s="390" t="s">
        <v>167</v>
      </c>
      <c r="E155" s="390" t="s">
        <v>168</v>
      </c>
      <c r="F155" s="339">
        <v>400</v>
      </c>
      <c r="G155" s="339">
        <v>670</v>
      </c>
      <c r="H155" s="391" t="s">
        <v>146</v>
      </c>
      <c r="I155" s="342"/>
      <c r="J155" s="328"/>
    </row>
    <row r="156" spans="1:10" ht="16.5" customHeight="1" x14ac:dyDescent="0.3">
      <c r="A156" s="328" t="s">
        <v>149</v>
      </c>
      <c r="B156" s="339">
        <v>60</v>
      </c>
      <c r="C156" s="339">
        <v>30</v>
      </c>
      <c r="D156" s="339">
        <v>60</v>
      </c>
      <c r="E156" s="339">
        <v>50</v>
      </c>
      <c r="F156" s="339">
        <v>180</v>
      </c>
      <c r="G156" s="339">
        <v>350</v>
      </c>
      <c r="H156" s="341">
        <f>SUM(B156:G156)</f>
        <v>730</v>
      </c>
      <c r="I156" s="342"/>
      <c r="J156" s="328"/>
    </row>
    <row r="157" spans="1:10" ht="15.75" customHeight="1" x14ac:dyDescent="0.3">
      <c r="A157" s="328" t="s">
        <v>150</v>
      </c>
      <c r="B157" s="339">
        <v>60</v>
      </c>
      <c r="C157" s="339">
        <v>65</v>
      </c>
      <c r="D157" s="339">
        <v>70</v>
      </c>
      <c r="E157" s="339">
        <v>75</v>
      </c>
      <c r="F157" s="339">
        <v>100</v>
      </c>
      <c r="G157" s="339">
        <v>170</v>
      </c>
      <c r="H157" s="342"/>
      <c r="I157" s="342"/>
      <c r="J157" s="328"/>
    </row>
    <row r="158" spans="1:10" ht="14.25" customHeight="1" x14ac:dyDescent="0.3">
      <c r="A158" s="328" t="s">
        <v>151</v>
      </c>
      <c r="B158" s="339">
        <v>30</v>
      </c>
      <c r="C158" s="339">
        <v>30</v>
      </c>
      <c r="D158" s="339">
        <v>35</v>
      </c>
      <c r="E158" s="339">
        <v>38</v>
      </c>
      <c r="F158" s="339">
        <v>50</v>
      </c>
      <c r="G158" s="339">
        <v>65</v>
      </c>
      <c r="H158" s="342"/>
      <c r="I158" s="342"/>
      <c r="J158" s="328"/>
    </row>
    <row r="159" spans="1:10" ht="15" customHeight="1" x14ac:dyDescent="0.3">
      <c r="A159" s="328" t="s">
        <v>152</v>
      </c>
      <c r="B159" s="340">
        <f t="shared" ref="B159:G159" si="42">B157*B158</f>
        <v>1800</v>
      </c>
      <c r="C159" s="340">
        <f t="shared" si="42"/>
        <v>1950</v>
      </c>
      <c r="D159" s="340">
        <f t="shared" si="42"/>
        <v>2450</v>
      </c>
      <c r="E159" s="340">
        <f t="shared" si="42"/>
        <v>2850</v>
      </c>
      <c r="F159" s="340">
        <f t="shared" si="42"/>
        <v>5000</v>
      </c>
      <c r="G159" s="340">
        <f t="shared" si="42"/>
        <v>11050</v>
      </c>
      <c r="H159" s="342"/>
      <c r="I159" s="342"/>
      <c r="J159" s="328"/>
    </row>
    <row r="160" spans="1:10" ht="15" customHeight="1" x14ac:dyDescent="0.3">
      <c r="A160" s="333" t="s">
        <v>204</v>
      </c>
      <c r="B160" s="348">
        <v>1.5</v>
      </c>
      <c r="C160" s="346">
        <v>1.5</v>
      </c>
      <c r="D160" s="346">
        <v>1.5</v>
      </c>
      <c r="E160" s="346">
        <v>2</v>
      </c>
      <c r="F160" s="347">
        <v>3</v>
      </c>
      <c r="G160" s="347">
        <v>3</v>
      </c>
      <c r="H160" s="331"/>
      <c r="I160" s="342"/>
      <c r="J160" s="328"/>
    </row>
    <row r="161" spans="1:10" ht="15" customHeight="1" x14ac:dyDescent="0.3">
      <c r="A161" s="328" t="s">
        <v>155</v>
      </c>
      <c r="B161" s="339">
        <f>B160*10000</f>
        <v>15000</v>
      </c>
      <c r="C161" s="339">
        <f t="shared" ref="C161:G161" si="43">C160*10000</f>
        <v>15000</v>
      </c>
      <c r="D161" s="339">
        <f t="shared" si="43"/>
        <v>15000</v>
      </c>
      <c r="E161" s="339">
        <f t="shared" si="43"/>
        <v>20000</v>
      </c>
      <c r="F161" s="339">
        <f t="shared" si="43"/>
        <v>30000</v>
      </c>
      <c r="G161" s="339">
        <f t="shared" si="43"/>
        <v>30000</v>
      </c>
      <c r="H161" s="342"/>
      <c r="I161" s="342"/>
      <c r="J161" s="328"/>
    </row>
    <row r="162" spans="1:10" ht="31.2" customHeight="1" x14ac:dyDescent="0.3">
      <c r="A162" s="349" t="s">
        <v>156</v>
      </c>
      <c r="B162" s="395">
        <f>(B159/B161)*100</f>
        <v>12</v>
      </c>
      <c r="C162" s="395">
        <f t="shared" ref="C162:G162" si="44">(C159/C161)*100</f>
        <v>13</v>
      </c>
      <c r="D162" s="350">
        <f t="shared" si="44"/>
        <v>16.333333333333332</v>
      </c>
      <c r="E162" s="350">
        <f t="shared" si="44"/>
        <v>14.249999999999998</v>
      </c>
      <c r="F162" s="350">
        <f t="shared" si="44"/>
        <v>16.666666666666664</v>
      </c>
      <c r="G162" s="350">
        <f t="shared" si="44"/>
        <v>36.833333333333336</v>
      </c>
      <c r="H162" s="350">
        <f>(B156*B162)+(C156*C162)+(D156*D162)+(E156*E162)+(F156*F162)+(G156*G162)</f>
        <v>18694.166666666668</v>
      </c>
      <c r="I162" s="372">
        <f>H162/H156</f>
        <v>25.608447488584478</v>
      </c>
      <c r="J162" s="352" t="s">
        <v>157</v>
      </c>
    </row>
    <row r="163" spans="1:10" x14ac:dyDescent="0.3">
      <c r="A163" s="327" t="s">
        <v>225</v>
      </c>
      <c r="B163" s="358" t="s">
        <v>226</v>
      </c>
      <c r="C163" s="359"/>
      <c r="D163" s="359"/>
      <c r="E163" s="359"/>
      <c r="F163" s="332"/>
      <c r="G163" s="344"/>
      <c r="H163" s="64"/>
    </row>
    <row r="164" spans="1:10" ht="33" customHeight="1" x14ac:dyDescent="0.3">
      <c r="A164" s="328" t="s">
        <v>227</v>
      </c>
      <c r="B164" s="401" t="s">
        <v>228</v>
      </c>
      <c r="C164" s="344" t="s">
        <v>229</v>
      </c>
      <c r="D164" s="487" t="s">
        <v>230</v>
      </c>
      <c r="E164" s="487"/>
      <c r="F164" s="332"/>
      <c r="G164" s="344"/>
      <c r="H164" s="64"/>
    </row>
    <row r="165" spans="1:10" x14ac:dyDescent="0.3">
      <c r="A165" s="3" t="s">
        <v>231</v>
      </c>
      <c r="B165">
        <v>0.28999999999999998</v>
      </c>
      <c r="C165" s="362">
        <f>1-B165</f>
        <v>0.71</v>
      </c>
      <c r="D165" s="365">
        <f>C165*$I$134</f>
        <v>23.80960178272117</v>
      </c>
      <c r="E165" s="282"/>
      <c r="F165" s="282"/>
      <c r="G165" s="282"/>
      <c r="H165" s="282"/>
    </row>
    <row r="166" spans="1:10" x14ac:dyDescent="0.3">
      <c r="A166" s="3" t="s">
        <v>232</v>
      </c>
      <c r="B166">
        <v>0.28999999999999998</v>
      </c>
      <c r="C166" s="362">
        <f>1-B166</f>
        <v>0.71</v>
      </c>
      <c r="D166" s="365">
        <f>C166*$I$143</f>
        <v>11.768860374058297</v>
      </c>
      <c r="E166" s="282"/>
      <c r="F166" s="282"/>
      <c r="G166" s="282"/>
      <c r="H166" s="282"/>
    </row>
    <row r="167" spans="1:10" x14ac:dyDescent="0.3">
      <c r="A167" s="3" t="s">
        <v>104</v>
      </c>
      <c r="B167">
        <v>0.54</v>
      </c>
      <c r="C167" s="362">
        <f t="shared" ref="C167:C176" si="45">1-B167</f>
        <v>0.45999999999999996</v>
      </c>
      <c r="D167" s="365">
        <f>C167*$I$152</f>
        <v>15.591764705882351</v>
      </c>
      <c r="E167" s="364"/>
      <c r="F167" s="364"/>
      <c r="G167" s="364"/>
      <c r="H167" s="365"/>
    </row>
    <row r="168" spans="1:10" x14ac:dyDescent="0.3">
      <c r="A168" s="3" t="s">
        <v>105</v>
      </c>
      <c r="B168">
        <v>0.21</v>
      </c>
      <c r="C168" s="362">
        <f>1-B168</f>
        <v>0.79</v>
      </c>
      <c r="D168" s="365">
        <f>C168*$I$152</f>
        <v>26.777161125319694</v>
      </c>
      <c r="E168" s="364"/>
      <c r="F168" s="364"/>
      <c r="G168" s="364"/>
      <c r="H168" s="365"/>
    </row>
    <row r="169" spans="1:10" x14ac:dyDescent="0.3">
      <c r="A169" s="3" t="s">
        <v>106</v>
      </c>
      <c r="B169">
        <v>0.33</v>
      </c>
      <c r="C169" s="362">
        <f>1-B169</f>
        <v>0.66999999999999993</v>
      </c>
      <c r="D169" s="365">
        <f>C169*$I$152</f>
        <v>22.709744245524295</v>
      </c>
      <c r="E169" s="364"/>
      <c r="F169" s="364"/>
      <c r="G169" s="364"/>
      <c r="H169" s="365"/>
    </row>
    <row r="170" spans="1:10" x14ac:dyDescent="0.3">
      <c r="A170" s="3" t="s">
        <v>107</v>
      </c>
      <c r="B170">
        <v>0.25</v>
      </c>
      <c r="C170" s="362">
        <f>1-B170</f>
        <v>0.75</v>
      </c>
      <c r="D170" s="365">
        <f>C170*$I$152</f>
        <v>25.421355498721226</v>
      </c>
      <c r="E170" s="364"/>
      <c r="F170" s="364"/>
      <c r="G170" s="364"/>
      <c r="H170" s="365"/>
    </row>
    <row r="171" spans="1:10" x14ac:dyDescent="0.3">
      <c r="A171" s="3" t="s">
        <v>108</v>
      </c>
      <c r="B171">
        <v>0.52</v>
      </c>
      <c r="C171" s="362">
        <f t="shared" si="45"/>
        <v>0.48</v>
      </c>
      <c r="D171" s="365">
        <f t="shared" ref="D171:D173" si="46">C171*$I$152</f>
        <v>16.269667519181585</v>
      </c>
      <c r="E171" s="364"/>
      <c r="F171" s="364"/>
      <c r="G171" s="364"/>
      <c r="H171" s="365"/>
    </row>
    <row r="172" spans="1:10" x14ac:dyDescent="0.3">
      <c r="A172" s="3" t="s">
        <v>109</v>
      </c>
      <c r="B172">
        <v>0.03</v>
      </c>
      <c r="C172" s="362">
        <f t="shared" si="45"/>
        <v>0.97</v>
      </c>
      <c r="D172" s="365">
        <f t="shared" si="46"/>
        <v>32.87828644501279</v>
      </c>
      <c r="E172" s="364"/>
      <c r="F172" s="364"/>
      <c r="G172" s="364"/>
      <c r="H172" s="365"/>
    </row>
    <row r="173" spans="1:10" x14ac:dyDescent="0.3">
      <c r="A173" s="3" t="s">
        <v>233</v>
      </c>
      <c r="B173" s="51">
        <f>(B167+B168)/2</f>
        <v>0.375</v>
      </c>
      <c r="C173" s="362">
        <f t="shared" si="45"/>
        <v>0.625</v>
      </c>
      <c r="D173" s="365">
        <f t="shared" si="46"/>
        <v>21.184462915601024</v>
      </c>
      <c r="E173" s="364"/>
      <c r="F173" s="364"/>
      <c r="G173" s="364"/>
      <c r="H173" s="365"/>
    </row>
    <row r="174" spans="1:10" x14ac:dyDescent="0.3">
      <c r="A174" s="3" t="s">
        <v>111</v>
      </c>
      <c r="B174">
        <v>0.12</v>
      </c>
      <c r="C174" s="362">
        <f>1-B174</f>
        <v>0.88</v>
      </c>
      <c r="D174" s="365">
        <f>C174*$I$152</f>
        <v>29.827723785166242</v>
      </c>
      <c r="E174" s="364"/>
      <c r="F174" s="364"/>
      <c r="G174" s="364"/>
      <c r="H174" s="365"/>
    </row>
    <row r="175" spans="1:10" x14ac:dyDescent="0.3">
      <c r="A175" s="3" t="s">
        <v>112</v>
      </c>
      <c r="B175">
        <v>0.65</v>
      </c>
      <c r="C175" s="362">
        <f>1-B175</f>
        <v>0.35</v>
      </c>
      <c r="D175" s="365">
        <f>C175*$I$152</f>
        <v>11.863299232736573</v>
      </c>
      <c r="E175" s="364"/>
      <c r="F175" s="364"/>
      <c r="G175" s="364"/>
      <c r="H175" s="365"/>
    </row>
    <row r="176" spans="1:10" x14ac:dyDescent="0.3">
      <c r="A176" s="3" t="s">
        <v>113</v>
      </c>
      <c r="B176">
        <v>0.48</v>
      </c>
      <c r="C176" s="362">
        <f t="shared" si="45"/>
        <v>0.52</v>
      </c>
      <c r="D176" s="365">
        <f>C176*$I$125</f>
        <v>13.491367980296504</v>
      </c>
      <c r="E176" s="364"/>
      <c r="F176" s="364"/>
      <c r="G176" s="364"/>
      <c r="H176" s="365"/>
    </row>
    <row r="177" spans="1:15" x14ac:dyDescent="0.3">
      <c r="A177" s="3" t="s">
        <v>114</v>
      </c>
      <c r="B177">
        <v>0.49</v>
      </c>
      <c r="C177" s="362">
        <f>1-B177</f>
        <v>0.51</v>
      </c>
      <c r="D177" s="365">
        <f>C177*$I$162</f>
        <v>13.060308219178085</v>
      </c>
      <c r="E177" s="364"/>
      <c r="F177" s="364"/>
      <c r="G177" s="364"/>
      <c r="H177" s="365"/>
    </row>
    <row r="178" spans="1:15" x14ac:dyDescent="0.3">
      <c r="E178" s="364"/>
      <c r="F178" s="364"/>
      <c r="G178" s="364"/>
      <c r="H178" s="365"/>
    </row>
    <row r="179" spans="1:15" x14ac:dyDescent="0.3">
      <c r="A179" s="327" t="s">
        <v>234</v>
      </c>
      <c r="B179" s="358" t="s">
        <v>235</v>
      </c>
      <c r="C179" s="359"/>
      <c r="D179" s="359"/>
      <c r="E179" s="359"/>
      <c r="F179" s="332"/>
      <c r="G179" s="344"/>
      <c r="H179" s="64"/>
    </row>
    <row r="180" spans="1:15" x14ac:dyDescent="0.3">
      <c r="A180" s="328"/>
      <c r="B180" s="358" t="s">
        <v>236</v>
      </c>
      <c r="C180" s="359"/>
      <c r="D180" s="359"/>
      <c r="E180" s="359"/>
      <c r="F180" s="332"/>
      <c r="G180" s="344"/>
      <c r="H180" s="64"/>
    </row>
    <row r="181" spans="1:15" ht="30" customHeight="1" x14ac:dyDescent="0.3">
      <c r="A181" s="328" t="s">
        <v>227</v>
      </c>
      <c r="B181" s="282" t="s">
        <v>183</v>
      </c>
      <c r="C181" s="282" t="s">
        <v>184</v>
      </c>
      <c r="D181" s="488" t="s">
        <v>230</v>
      </c>
      <c r="E181" s="488"/>
      <c r="O181" s="404"/>
    </row>
    <row r="182" spans="1:15" x14ac:dyDescent="0.3">
      <c r="A182" s="3" t="s">
        <v>103</v>
      </c>
      <c r="B182">
        <v>8.3000000000000007</v>
      </c>
      <c r="C182" s="364">
        <f>1-(B182/12)</f>
        <v>0.30833333333333324</v>
      </c>
      <c r="D182" s="365">
        <f>C182*$K$23</f>
        <v>4.6222585437544232</v>
      </c>
      <c r="O182" s="404"/>
    </row>
    <row r="183" spans="1:15" x14ac:dyDescent="0.3">
      <c r="A183" s="3" t="s">
        <v>104</v>
      </c>
      <c r="B183">
        <v>9.25</v>
      </c>
      <c r="C183" s="364">
        <f t="shared" ref="C183" si="47">1-(B183/12)</f>
        <v>0.22916666666666663</v>
      </c>
      <c r="D183" s="365">
        <f>C183*$K$33</f>
        <v>5.383875556259377</v>
      </c>
      <c r="O183" s="404"/>
    </row>
    <row r="184" spans="1:15" x14ac:dyDescent="0.3">
      <c r="A184" s="3" t="s">
        <v>105</v>
      </c>
      <c r="B184">
        <v>7.67</v>
      </c>
      <c r="C184" s="364">
        <f t="shared" ref="C184:C193" si="48">1-(B184/12)</f>
        <v>0.36083333333333334</v>
      </c>
      <c r="D184" s="365">
        <f>C184*$K$33</f>
        <v>8.4771567849465832</v>
      </c>
      <c r="O184" s="404"/>
    </row>
    <row r="185" spans="1:15" x14ac:dyDescent="0.3">
      <c r="A185" s="3" t="s">
        <v>106</v>
      </c>
      <c r="B185">
        <v>9.1999999999999993</v>
      </c>
      <c r="C185" s="364">
        <f t="shared" si="48"/>
        <v>0.23333333333333339</v>
      </c>
      <c r="D185" s="365">
        <f>C185*$K$33</f>
        <v>5.4817642027368221</v>
      </c>
      <c r="O185" s="404"/>
    </row>
    <row r="186" spans="1:15" x14ac:dyDescent="0.3">
      <c r="A186" s="3" t="s">
        <v>107</v>
      </c>
      <c r="B186">
        <v>8.1</v>
      </c>
      <c r="C186" s="364">
        <f t="shared" si="48"/>
        <v>0.32500000000000007</v>
      </c>
      <c r="D186" s="365">
        <f>C186*$K$33</f>
        <v>7.6353144252405736</v>
      </c>
      <c r="O186" s="404"/>
    </row>
    <row r="187" spans="1:15" x14ac:dyDescent="0.3">
      <c r="A187" s="3" t="s">
        <v>108</v>
      </c>
      <c r="B187">
        <v>8.31</v>
      </c>
      <c r="C187" s="364">
        <f t="shared" si="48"/>
        <v>0.3075</v>
      </c>
      <c r="D187" s="365">
        <f t="shared" ref="D187:D189" si="49">C187*$K$33</f>
        <v>7.2241821100353096</v>
      </c>
      <c r="O187" s="404"/>
    </row>
    <row r="188" spans="1:15" x14ac:dyDescent="0.3">
      <c r="A188" s="3" t="s">
        <v>109</v>
      </c>
      <c r="B188">
        <v>8</v>
      </c>
      <c r="C188" s="364">
        <f t="shared" si="48"/>
        <v>0.33333333333333337</v>
      </c>
      <c r="D188" s="365">
        <f t="shared" si="49"/>
        <v>7.8310917181954594</v>
      </c>
      <c r="O188" s="404"/>
    </row>
    <row r="189" spans="1:15" x14ac:dyDescent="0.3">
      <c r="A189" s="3" t="s">
        <v>110</v>
      </c>
      <c r="B189">
        <v>7.21</v>
      </c>
      <c r="C189" s="364">
        <f t="shared" si="48"/>
        <v>0.39916666666666667</v>
      </c>
      <c r="D189" s="365">
        <f t="shared" si="49"/>
        <v>9.3777323325390611</v>
      </c>
      <c r="O189" s="404"/>
    </row>
    <row r="190" spans="1:15" x14ac:dyDescent="0.3">
      <c r="A190" s="3" t="s">
        <v>111</v>
      </c>
      <c r="B190">
        <v>5.76</v>
      </c>
      <c r="C190" s="364">
        <f t="shared" si="48"/>
        <v>0.52</v>
      </c>
      <c r="D190" s="365">
        <f>C190*$K$33</f>
        <v>12.216503080384916</v>
      </c>
      <c r="O190" s="404"/>
    </row>
    <row r="191" spans="1:15" x14ac:dyDescent="0.3">
      <c r="A191" s="3" t="s">
        <v>112</v>
      </c>
      <c r="B191">
        <v>9.3000000000000007</v>
      </c>
      <c r="C191" s="364">
        <f t="shared" si="48"/>
        <v>0.22499999999999998</v>
      </c>
      <c r="D191" s="365">
        <f>C191*$K$33</f>
        <v>5.2859869097819336</v>
      </c>
    </row>
    <row r="192" spans="1:15" x14ac:dyDescent="0.3">
      <c r="A192" s="3" t="s">
        <v>113</v>
      </c>
      <c r="B192">
        <v>6.5</v>
      </c>
      <c r="C192" s="364">
        <f t="shared" si="48"/>
        <v>0.45833333333333337</v>
      </c>
      <c r="D192" s="365">
        <f>C192*$K$13</f>
        <v>7.2218171946038838</v>
      </c>
      <c r="O192" s="404"/>
    </row>
    <row r="193" spans="1:15" x14ac:dyDescent="0.3">
      <c r="A193" s="132" t="s">
        <v>114</v>
      </c>
      <c r="B193" s="133">
        <v>8.9</v>
      </c>
      <c r="C193" s="133">
        <f t="shared" si="48"/>
        <v>0.2583333333333333</v>
      </c>
      <c r="D193" s="369">
        <f>C193*$K$33</f>
        <v>6.0690960816014794</v>
      </c>
      <c r="E193" s="133"/>
      <c r="F193" s="133"/>
      <c r="G193" s="133"/>
      <c r="H193" s="133"/>
      <c r="I193" s="133"/>
      <c r="J193" s="133"/>
      <c r="K193" s="133"/>
      <c r="O193" s="404"/>
    </row>
    <row r="196" spans="1:15" x14ac:dyDescent="0.3">
      <c r="O196" s="404"/>
    </row>
  </sheetData>
  <mergeCells count="3">
    <mergeCell ref="E79:F79"/>
    <mergeCell ref="D164:E164"/>
    <mergeCell ref="D181:E18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6FEB-D6C4-41CC-A93B-4EDBECD7BEF1}">
  <sheetPr>
    <tabColor theme="3" tint="0.39997558519241921"/>
  </sheetPr>
  <dimension ref="A2:M41"/>
  <sheetViews>
    <sheetView topLeftCell="A17" workbookViewId="0">
      <selection activeCell="F33" sqref="F33"/>
    </sheetView>
  </sheetViews>
  <sheetFormatPr defaultRowHeight="14.4" x14ac:dyDescent="0.3"/>
  <sheetData>
    <row r="2" spans="1:13" ht="21" x14ac:dyDescent="0.3">
      <c r="A2" s="399" t="s">
        <v>237</v>
      </c>
      <c r="B2" s="64"/>
      <c r="C2" s="64"/>
      <c r="D2" s="64"/>
      <c r="E2" s="64"/>
      <c r="F2" s="64"/>
      <c r="G2" s="64"/>
      <c r="H2" t="s">
        <v>139</v>
      </c>
    </row>
    <row r="4" spans="1:13" x14ac:dyDescent="0.3">
      <c r="A4" s="327" t="s">
        <v>238</v>
      </c>
      <c r="B4" s="328" t="s">
        <v>141</v>
      </c>
      <c r="C4" s="338" t="s">
        <v>147</v>
      </c>
      <c r="D4" s="328" t="s">
        <v>239</v>
      </c>
      <c r="E4" s="453"/>
      <c r="F4" s="379"/>
      <c r="G4" s="379"/>
      <c r="H4" s="454"/>
      <c r="I4" s="379"/>
      <c r="J4" s="379"/>
      <c r="K4" s="379"/>
      <c r="L4" s="379"/>
      <c r="M4" s="379"/>
    </row>
    <row r="5" spans="1:13" x14ac:dyDescent="0.3">
      <c r="A5" s="328" t="s">
        <v>150</v>
      </c>
      <c r="B5" s="339">
        <v>240</v>
      </c>
      <c r="C5" s="339"/>
      <c r="D5" s="339"/>
      <c r="E5" s="348"/>
      <c r="F5" s="339"/>
      <c r="G5" s="328"/>
      <c r="H5" s="342"/>
      <c r="I5" s="328"/>
      <c r="J5" s="328"/>
      <c r="K5" s="328"/>
      <c r="L5" s="328"/>
      <c r="M5" s="328"/>
    </row>
    <row r="6" spans="1:13" x14ac:dyDescent="0.3">
      <c r="A6" s="328" t="s">
        <v>151</v>
      </c>
      <c r="B6" s="339">
        <v>60</v>
      </c>
      <c r="C6" s="339"/>
      <c r="D6" s="339"/>
      <c r="E6" s="348"/>
      <c r="F6" s="339"/>
      <c r="G6" s="328"/>
      <c r="H6" s="342"/>
      <c r="I6" s="328"/>
      <c r="J6" s="455"/>
      <c r="K6" s="328"/>
      <c r="L6" s="328"/>
      <c r="M6" s="328"/>
    </row>
    <row r="7" spans="1:13" x14ac:dyDescent="0.3">
      <c r="A7" s="328" t="s">
        <v>152</v>
      </c>
      <c r="B7" s="340">
        <f>B5*B6</f>
        <v>14400</v>
      </c>
      <c r="C7" s="340"/>
      <c r="D7" s="340"/>
      <c r="E7" s="348"/>
      <c r="F7" s="340"/>
      <c r="G7" s="328"/>
      <c r="H7" s="342"/>
      <c r="I7" s="328"/>
      <c r="J7" s="328"/>
      <c r="K7" s="328"/>
      <c r="L7" s="328"/>
      <c r="M7" s="328"/>
    </row>
    <row r="8" spans="1:13" ht="28.8" x14ac:dyDescent="0.3">
      <c r="A8" s="333" t="s">
        <v>154</v>
      </c>
      <c r="B8" s="346">
        <v>4.5999999999999996</v>
      </c>
      <c r="C8" s="334"/>
      <c r="D8" s="348"/>
      <c r="E8" s="334"/>
      <c r="F8" s="334"/>
      <c r="G8" s="342"/>
      <c r="H8" s="342"/>
      <c r="I8" s="328"/>
      <c r="J8" s="328"/>
      <c r="K8" s="328"/>
      <c r="L8" s="328"/>
      <c r="M8" s="328"/>
    </row>
    <row r="9" spans="1:13" x14ac:dyDescent="0.3">
      <c r="A9" s="328" t="s">
        <v>240</v>
      </c>
      <c r="B9" s="339">
        <f>B8*10000</f>
        <v>46000</v>
      </c>
      <c r="C9" s="339"/>
      <c r="D9" s="339"/>
      <c r="E9" s="348"/>
      <c r="F9" s="339"/>
      <c r="G9" s="328"/>
      <c r="H9" s="348"/>
      <c r="I9" s="328"/>
      <c r="J9" s="328"/>
      <c r="K9" s="328"/>
      <c r="L9" s="328"/>
      <c r="M9" s="328"/>
    </row>
    <row r="10" spans="1:13" ht="43.2" x14ac:dyDescent="0.3">
      <c r="A10" s="352" t="s">
        <v>156</v>
      </c>
      <c r="B10" s="351">
        <f>(B7/B9)*100</f>
        <v>31.304347826086961</v>
      </c>
      <c r="C10" s="456"/>
      <c r="D10" s="456"/>
      <c r="E10" s="414"/>
      <c r="F10" s="350"/>
      <c r="G10" s="350"/>
      <c r="H10" s="351"/>
      <c r="I10" s="349"/>
      <c r="J10" s="457"/>
      <c r="K10" s="349"/>
      <c r="L10" s="328"/>
      <c r="M10" s="328"/>
    </row>
    <row r="11" spans="1:13" x14ac:dyDescent="0.3">
      <c r="A11" s="327" t="s">
        <v>241</v>
      </c>
      <c r="B11" s="328" t="s">
        <v>141</v>
      </c>
      <c r="C11" s="379"/>
      <c r="D11" s="379"/>
      <c r="E11" s="453"/>
      <c r="F11" s="379"/>
      <c r="G11" s="379"/>
      <c r="H11" s="454"/>
      <c r="I11" s="379"/>
      <c r="J11" s="458"/>
      <c r="K11" s="328"/>
      <c r="L11" s="328"/>
      <c r="M11" s="328"/>
    </row>
    <row r="12" spans="1:13" x14ac:dyDescent="0.3">
      <c r="A12" s="328" t="s">
        <v>150</v>
      </c>
      <c r="B12" s="339">
        <v>240</v>
      </c>
      <c r="C12" s="339"/>
      <c r="D12" s="339"/>
      <c r="E12" s="348"/>
      <c r="F12" s="339"/>
      <c r="G12" s="328"/>
      <c r="H12" s="342"/>
      <c r="I12" s="328"/>
      <c r="J12" s="458"/>
      <c r="K12" s="328"/>
      <c r="L12" s="328"/>
      <c r="M12" s="328"/>
    </row>
    <row r="13" spans="1:13" x14ac:dyDescent="0.3">
      <c r="A13" s="328" t="s">
        <v>151</v>
      </c>
      <c r="B13" s="339">
        <v>60</v>
      </c>
      <c r="C13" s="339"/>
      <c r="D13" s="339"/>
      <c r="E13" s="348"/>
      <c r="F13" s="339"/>
      <c r="G13" s="328"/>
      <c r="H13" s="342"/>
      <c r="I13" s="328"/>
      <c r="J13" s="458"/>
      <c r="K13" s="328"/>
      <c r="L13" s="328"/>
      <c r="M13" s="328"/>
    </row>
    <row r="14" spans="1:13" x14ac:dyDescent="0.3">
      <c r="A14" s="328" t="s">
        <v>152</v>
      </c>
      <c r="B14" s="340">
        <f>B12*B13</f>
        <v>14400</v>
      </c>
      <c r="C14" s="340"/>
      <c r="D14" s="340"/>
      <c r="E14" s="348"/>
      <c r="F14" s="340"/>
      <c r="G14" s="328"/>
      <c r="H14" s="342"/>
      <c r="I14" s="328"/>
      <c r="J14" s="458"/>
      <c r="K14" s="328"/>
      <c r="L14" s="328"/>
      <c r="M14" s="328"/>
    </row>
    <row r="15" spans="1:13" ht="28.8" x14ac:dyDescent="0.3">
      <c r="A15" s="333" t="s">
        <v>154</v>
      </c>
      <c r="B15" s="346">
        <v>8</v>
      </c>
      <c r="C15" s="334"/>
      <c r="D15" s="348"/>
      <c r="E15" s="334"/>
      <c r="F15" s="334"/>
      <c r="G15" s="342"/>
      <c r="H15" s="342"/>
      <c r="I15" s="328"/>
      <c r="J15" s="458"/>
      <c r="K15" s="328"/>
      <c r="L15" s="328"/>
      <c r="M15" s="328"/>
    </row>
    <row r="16" spans="1:13" x14ac:dyDescent="0.3">
      <c r="A16" s="328" t="s">
        <v>240</v>
      </c>
      <c r="B16" s="339">
        <f>B15*10000</f>
        <v>80000</v>
      </c>
      <c r="C16" s="339"/>
      <c r="D16" s="339"/>
      <c r="E16" s="348"/>
      <c r="F16" s="339"/>
      <c r="G16" s="328"/>
      <c r="H16" s="348"/>
      <c r="I16" s="328"/>
      <c r="J16" s="458"/>
      <c r="K16" s="328"/>
      <c r="L16" s="328"/>
      <c r="M16" s="328"/>
    </row>
    <row r="17" spans="1:13" ht="43.2" x14ac:dyDescent="0.3">
      <c r="A17" s="352" t="s">
        <v>156</v>
      </c>
      <c r="B17" s="351">
        <f>(B14/B16)*100</f>
        <v>18</v>
      </c>
      <c r="C17" s="456"/>
      <c r="D17" s="456"/>
      <c r="E17" s="414"/>
      <c r="F17" s="350"/>
      <c r="G17" s="350"/>
      <c r="H17" s="351"/>
      <c r="I17" s="349"/>
      <c r="J17" s="457"/>
      <c r="K17" s="349"/>
      <c r="L17" s="328"/>
      <c r="M17" s="328"/>
    </row>
    <row r="18" spans="1:13" ht="43.2" x14ac:dyDescent="0.3">
      <c r="A18" s="333" t="s">
        <v>242</v>
      </c>
      <c r="B18" s="412">
        <f>(0.2*B10)+(0.8*B17)</f>
        <v>20.660869565217393</v>
      </c>
      <c r="C18" s="459" t="s">
        <v>243</v>
      </c>
      <c r="D18" s="451"/>
      <c r="E18" s="330"/>
      <c r="F18" s="359"/>
      <c r="G18" s="359"/>
      <c r="H18" s="332"/>
      <c r="I18" s="329"/>
      <c r="J18" s="458"/>
      <c r="K18" s="328"/>
      <c r="L18" s="328"/>
      <c r="M18" s="328"/>
    </row>
    <row r="19" spans="1:13" x14ac:dyDescent="0.3">
      <c r="A19" s="327" t="s">
        <v>244</v>
      </c>
      <c r="B19" s="328"/>
      <c r="C19" s="331" t="s">
        <v>245</v>
      </c>
      <c r="D19" s="379"/>
      <c r="E19" s="328"/>
      <c r="F19" s="460"/>
      <c r="G19" s="460"/>
      <c r="H19" s="461"/>
      <c r="I19" s="460"/>
      <c r="J19" s="462"/>
      <c r="K19" s="329"/>
      <c r="L19" s="329"/>
      <c r="M19" s="329"/>
    </row>
    <row r="20" spans="1:13" x14ac:dyDescent="0.3">
      <c r="A20" s="328" t="s">
        <v>150</v>
      </c>
      <c r="B20" s="339">
        <v>240</v>
      </c>
      <c r="C20" s="338" t="s">
        <v>147</v>
      </c>
      <c r="D20" s="328" t="s">
        <v>246</v>
      </c>
      <c r="E20" s="348"/>
      <c r="F20" s="339"/>
      <c r="G20" s="328"/>
      <c r="H20" s="342"/>
      <c r="I20" s="328"/>
      <c r="J20" s="458"/>
      <c r="K20" s="328"/>
      <c r="L20" s="328"/>
      <c r="M20" s="328"/>
    </row>
    <row r="21" spans="1:13" x14ac:dyDescent="0.3">
      <c r="A21" s="328" t="s">
        <v>151</v>
      </c>
      <c r="B21" s="339">
        <v>60</v>
      </c>
      <c r="C21" s="339"/>
      <c r="D21" s="339"/>
      <c r="E21" s="348"/>
      <c r="F21" s="339"/>
      <c r="G21" s="328"/>
      <c r="H21" s="342"/>
      <c r="I21" s="328"/>
      <c r="J21" s="458"/>
      <c r="K21" s="328"/>
      <c r="L21" s="328"/>
      <c r="M21" s="328"/>
    </row>
    <row r="22" spans="1:13" x14ac:dyDescent="0.3">
      <c r="A22" s="328" t="s">
        <v>152</v>
      </c>
      <c r="B22" s="340">
        <f>B20*B21</f>
        <v>14400</v>
      </c>
      <c r="C22" s="340"/>
      <c r="D22" s="340"/>
      <c r="E22" s="348"/>
      <c r="F22" s="340"/>
      <c r="G22" s="328"/>
      <c r="H22" s="342"/>
      <c r="I22" s="328"/>
      <c r="J22" s="458"/>
      <c r="K22" s="328"/>
      <c r="L22" s="328"/>
      <c r="M22" s="328"/>
    </row>
    <row r="23" spans="1:13" ht="28.8" x14ac:dyDescent="0.3">
      <c r="A23" s="333" t="s">
        <v>154</v>
      </c>
      <c r="B23" s="348">
        <v>5</v>
      </c>
      <c r="C23" s="334"/>
      <c r="D23" s="348"/>
      <c r="E23" s="334"/>
      <c r="F23" s="334"/>
      <c r="G23" s="342"/>
      <c r="H23" s="342"/>
      <c r="I23" s="328"/>
      <c r="J23" s="458"/>
      <c r="K23" s="328"/>
      <c r="L23" s="328"/>
      <c r="M23" s="328"/>
    </row>
    <row r="24" spans="1:13" x14ac:dyDescent="0.3">
      <c r="A24" s="328" t="s">
        <v>240</v>
      </c>
      <c r="B24" s="339">
        <f>B23*10000</f>
        <v>50000</v>
      </c>
      <c r="C24" s="339"/>
      <c r="D24" s="339"/>
      <c r="E24" s="348"/>
      <c r="F24" s="339"/>
      <c r="G24" s="328"/>
      <c r="H24" s="348"/>
      <c r="I24" s="328"/>
      <c r="J24" s="458"/>
      <c r="K24" s="328"/>
      <c r="L24" s="328"/>
      <c r="M24" s="328"/>
    </row>
    <row r="25" spans="1:13" ht="43.2" x14ac:dyDescent="0.3">
      <c r="A25" s="352" t="s">
        <v>156</v>
      </c>
      <c r="B25" s="351">
        <f>(B22/B24)*100</f>
        <v>28.799999999999997</v>
      </c>
      <c r="C25" s="456"/>
      <c r="D25" s="456"/>
      <c r="E25" s="414"/>
      <c r="F25" s="350"/>
      <c r="G25" s="350"/>
      <c r="H25" s="351"/>
      <c r="I25" s="349"/>
      <c r="J25" s="457"/>
      <c r="K25" s="349"/>
      <c r="L25" s="328"/>
      <c r="M25" s="328"/>
    </row>
    <row r="26" spans="1:13" x14ac:dyDescent="0.3">
      <c r="A26" s="463" t="s">
        <v>247</v>
      </c>
      <c r="B26" s="329" t="s">
        <v>248</v>
      </c>
      <c r="C26" s="451"/>
      <c r="D26" s="451"/>
      <c r="E26" s="330"/>
      <c r="F26" s="359"/>
      <c r="G26" s="359"/>
      <c r="H26" s="332"/>
      <c r="I26" s="329"/>
      <c r="J26" s="462"/>
      <c r="K26" s="329"/>
      <c r="L26" s="329"/>
      <c r="M26" s="329"/>
    </row>
    <row r="27" spans="1:13" x14ac:dyDescent="0.3">
      <c r="A27" s="329"/>
      <c r="B27" s="329" t="s">
        <v>249</v>
      </c>
      <c r="C27" s="451"/>
      <c r="D27" s="451"/>
      <c r="E27" s="330"/>
      <c r="F27" s="359"/>
      <c r="G27" s="359"/>
      <c r="H27" s="332"/>
      <c r="I27" s="329"/>
      <c r="J27" s="462"/>
      <c r="K27" s="329"/>
      <c r="L27" s="329"/>
      <c r="M27" s="329"/>
    </row>
    <row r="28" spans="1:13" ht="57.6" x14ac:dyDescent="0.3">
      <c r="A28" s="333" t="s">
        <v>227</v>
      </c>
      <c r="B28" s="282" t="s">
        <v>250</v>
      </c>
      <c r="C28" t="s">
        <v>229</v>
      </c>
      <c r="D28" t="s">
        <v>251</v>
      </c>
      <c r="E28" t="s">
        <v>252</v>
      </c>
    </row>
    <row r="29" spans="1:13" x14ac:dyDescent="0.3">
      <c r="A29" t="s">
        <v>103</v>
      </c>
      <c r="B29">
        <v>8.3000000000000007</v>
      </c>
      <c r="C29">
        <f>1-(B29/12)</f>
        <v>0.30833333333333324</v>
      </c>
      <c r="D29" s="85">
        <f>$B$25</f>
        <v>28.799999999999997</v>
      </c>
      <c r="E29" s="46">
        <f t="shared" ref="E29:E30" si="0">(C29*D29)/100</f>
        <v>8.8799999999999976E-2</v>
      </c>
      <c r="F29" s="46"/>
    </row>
    <row r="30" spans="1:13" x14ac:dyDescent="0.3">
      <c r="A30" t="s">
        <v>104</v>
      </c>
      <c r="B30">
        <v>9.25</v>
      </c>
      <c r="C30">
        <f t="shared" ref="C30" si="1">1-(B30/12)</f>
        <v>0.22916666666666663</v>
      </c>
      <c r="D30" s="85">
        <f t="shared" ref="D30:D38" si="2">$B$25</f>
        <v>28.799999999999997</v>
      </c>
      <c r="E30" s="46">
        <f t="shared" si="0"/>
        <v>6.5999999999999975E-2</v>
      </c>
      <c r="F30" s="46"/>
    </row>
    <row r="31" spans="1:13" x14ac:dyDescent="0.3">
      <c r="A31" t="s">
        <v>105</v>
      </c>
      <c r="B31">
        <v>7.67</v>
      </c>
      <c r="C31">
        <f t="shared" ref="C31:C39" si="3">1-(B31/12)</f>
        <v>0.36083333333333334</v>
      </c>
      <c r="D31" s="85">
        <f t="shared" si="2"/>
        <v>28.799999999999997</v>
      </c>
      <c r="E31" s="46">
        <f t="shared" ref="E31:E39" si="4">(C31*D31)/100</f>
        <v>0.10392</v>
      </c>
    </row>
    <row r="32" spans="1:13" x14ac:dyDescent="0.3">
      <c r="A32" t="s">
        <v>106</v>
      </c>
      <c r="B32">
        <v>9.1999999999999993</v>
      </c>
      <c r="C32">
        <f t="shared" si="3"/>
        <v>0.23333333333333339</v>
      </c>
      <c r="D32" s="85">
        <f t="shared" si="2"/>
        <v>28.799999999999997</v>
      </c>
      <c r="E32" s="46">
        <f t="shared" si="4"/>
        <v>6.720000000000001E-2</v>
      </c>
    </row>
    <row r="33" spans="1:6" x14ac:dyDescent="0.3">
      <c r="A33" t="s">
        <v>107</v>
      </c>
      <c r="B33">
        <v>8.1</v>
      </c>
      <c r="C33">
        <f t="shared" si="3"/>
        <v>0.32500000000000007</v>
      </c>
      <c r="D33" s="85">
        <f t="shared" si="2"/>
        <v>28.799999999999997</v>
      </c>
      <c r="E33" s="46">
        <f t="shared" si="4"/>
        <v>9.3600000000000017E-2</v>
      </c>
    </row>
    <row r="34" spans="1:6" x14ac:dyDescent="0.3">
      <c r="A34" t="s">
        <v>108</v>
      </c>
      <c r="B34">
        <v>8.31</v>
      </c>
      <c r="C34">
        <f t="shared" si="3"/>
        <v>0.3075</v>
      </c>
      <c r="D34" s="85">
        <f t="shared" si="2"/>
        <v>28.799999999999997</v>
      </c>
      <c r="E34" s="46">
        <f t="shared" si="4"/>
        <v>8.856E-2</v>
      </c>
    </row>
    <row r="35" spans="1:6" x14ac:dyDescent="0.3">
      <c r="A35" t="s">
        <v>109</v>
      </c>
      <c r="B35">
        <v>8</v>
      </c>
      <c r="C35">
        <f t="shared" si="3"/>
        <v>0.33333333333333337</v>
      </c>
      <c r="D35" s="85">
        <f t="shared" si="2"/>
        <v>28.799999999999997</v>
      </c>
      <c r="E35" s="46">
        <f t="shared" si="4"/>
        <v>9.6000000000000002E-2</v>
      </c>
    </row>
    <row r="36" spans="1:6" x14ac:dyDescent="0.3">
      <c r="A36" t="s">
        <v>110</v>
      </c>
      <c r="B36">
        <v>7.21</v>
      </c>
      <c r="C36">
        <f t="shared" si="3"/>
        <v>0.39916666666666667</v>
      </c>
      <c r="D36" s="85">
        <f t="shared" si="2"/>
        <v>28.799999999999997</v>
      </c>
      <c r="E36" s="46">
        <f t="shared" si="4"/>
        <v>0.11495999999999999</v>
      </c>
      <c r="F36" s="46"/>
    </row>
    <row r="37" spans="1:6" x14ac:dyDescent="0.3">
      <c r="A37" t="s">
        <v>111</v>
      </c>
      <c r="B37">
        <v>5.76</v>
      </c>
      <c r="C37">
        <f t="shared" si="3"/>
        <v>0.52</v>
      </c>
      <c r="D37" s="85">
        <f t="shared" si="2"/>
        <v>28.799999999999997</v>
      </c>
      <c r="E37" s="46">
        <f t="shared" si="4"/>
        <v>0.14976</v>
      </c>
      <c r="F37" s="46"/>
    </row>
    <row r="38" spans="1:6" x14ac:dyDescent="0.3">
      <c r="A38" t="s">
        <v>112</v>
      </c>
      <c r="B38">
        <v>9.3000000000000007</v>
      </c>
      <c r="C38">
        <f t="shared" si="3"/>
        <v>0.22499999999999998</v>
      </c>
      <c r="D38" s="85">
        <f t="shared" si="2"/>
        <v>28.799999999999997</v>
      </c>
      <c r="E38" s="46">
        <f t="shared" si="4"/>
        <v>6.4799999999999983E-2</v>
      </c>
      <c r="F38" s="46"/>
    </row>
    <row r="39" spans="1:6" x14ac:dyDescent="0.3">
      <c r="A39" t="s">
        <v>113</v>
      </c>
      <c r="B39">
        <v>6.5</v>
      </c>
      <c r="C39">
        <f t="shared" si="3"/>
        <v>0.45833333333333337</v>
      </c>
      <c r="D39" s="85">
        <f>$B$18</f>
        <v>20.660869565217393</v>
      </c>
      <c r="E39" s="46">
        <f t="shared" si="4"/>
        <v>9.4695652173913056E-2</v>
      </c>
      <c r="F39" s="46"/>
    </row>
    <row r="40" spans="1:6" x14ac:dyDescent="0.3">
      <c r="F40" s="46"/>
    </row>
    <row r="41" spans="1:6" x14ac:dyDescent="0.3">
      <c r="F41" s="46"/>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B9FC-55CB-47D3-9248-F5814E2C5994}">
  <sheetPr>
    <tabColor theme="3" tint="0.39997558519241921"/>
  </sheetPr>
  <dimension ref="A2:K71"/>
  <sheetViews>
    <sheetView topLeftCell="A38" workbookViewId="0">
      <selection activeCell="E72" sqref="E72"/>
    </sheetView>
  </sheetViews>
  <sheetFormatPr defaultRowHeight="14.4" x14ac:dyDescent="0.3"/>
  <sheetData>
    <row r="2" spans="1:9" ht="21" x14ac:dyDescent="0.3">
      <c r="A2" s="399" t="s">
        <v>253</v>
      </c>
      <c r="B2" s="64"/>
      <c r="C2" s="64"/>
      <c r="D2" s="64"/>
      <c r="E2" s="64"/>
      <c r="F2" s="64"/>
      <c r="G2" s="64"/>
      <c r="H2" t="s">
        <v>139</v>
      </c>
    </row>
    <row r="3" spans="1:9" x14ac:dyDescent="0.3">
      <c r="A3" s="349"/>
      <c r="B3" s="398"/>
      <c r="C3" s="398"/>
      <c r="D3" s="398"/>
      <c r="E3" s="398"/>
      <c r="F3" s="398"/>
      <c r="G3" s="398"/>
      <c r="H3" s="64"/>
    </row>
    <row r="4" spans="1:9" x14ac:dyDescent="0.3">
      <c r="A4" s="327" t="s">
        <v>254</v>
      </c>
      <c r="B4" s="64" t="s">
        <v>141</v>
      </c>
      <c r="C4" s="64" t="s">
        <v>255</v>
      </c>
      <c r="D4" s="64"/>
      <c r="H4" s="374" t="s">
        <v>147</v>
      </c>
      <c r="I4" t="s">
        <v>256</v>
      </c>
    </row>
    <row r="5" spans="1:9" x14ac:dyDescent="0.3">
      <c r="A5" s="328" t="s">
        <v>149</v>
      </c>
      <c r="B5" s="339">
        <v>30</v>
      </c>
      <c r="C5" s="339">
        <v>30</v>
      </c>
      <c r="D5" s="339">
        <v>60</v>
      </c>
      <c r="E5" s="339">
        <v>80</v>
      </c>
      <c r="F5" s="341">
        <f>SUM(B5:E5)</f>
        <v>200</v>
      </c>
      <c r="G5" s="391" t="s">
        <v>146</v>
      </c>
    </row>
    <row r="6" spans="1:9" x14ac:dyDescent="0.3">
      <c r="A6" s="328" t="s">
        <v>150</v>
      </c>
      <c r="B6" s="339">
        <v>40</v>
      </c>
      <c r="C6" s="339">
        <v>60</v>
      </c>
      <c r="D6" s="339">
        <v>100</v>
      </c>
      <c r="E6" s="339">
        <v>120</v>
      </c>
      <c r="F6" s="348"/>
      <c r="G6" s="342"/>
    </row>
    <row r="7" spans="1:9" x14ac:dyDescent="0.3">
      <c r="A7" s="328" t="s">
        <v>151</v>
      </c>
      <c r="B7" s="339">
        <v>15</v>
      </c>
      <c r="C7" s="339">
        <v>25</v>
      </c>
      <c r="D7" s="339">
        <v>35</v>
      </c>
      <c r="E7" s="339">
        <v>45</v>
      </c>
      <c r="F7" s="348"/>
      <c r="G7" s="342"/>
    </row>
    <row r="8" spans="1:9" x14ac:dyDescent="0.3">
      <c r="A8" s="328" t="s">
        <v>152</v>
      </c>
      <c r="B8" s="340">
        <f>B7*B6</f>
        <v>600</v>
      </c>
      <c r="C8" s="340">
        <f t="shared" ref="C8:E8" si="0">C7*C6</f>
        <v>1500</v>
      </c>
      <c r="D8" s="340">
        <f t="shared" si="0"/>
        <v>3500</v>
      </c>
      <c r="E8" s="340">
        <f t="shared" si="0"/>
        <v>5400</v>
      </c>
      <c r="F8" s="348"/>
      <c r="G8" s="342"/>
    </row>
    <row r="9" spans="1:9" ht="42" x14ac:dyDescent="0.3">
      <c r="A9" s="328" t="s">
        <v>257</v>
      </c>
      <c r="B9" s="290" t="s">
        <v>258</v>
      </c>
      <c r="C9" s="445" t="s">
        <v>259</v>
      </c>
      <c r="D9" s="445" t="s">
        <v>260</v>
      </c>
      <c r="E9" s="445" t="s">
        <v>261</v>
      </c>
      <c r="F9" s="348"/>
      <c r="G9" s="342"/>
    </row>
    <row r="10" spans="1:9" x14ac:dyDescent="0.3">
      <c r="A10" s="328" t="s">
        <v>154</v>
      </c>
      <c r="B10" s="435">
        <v>0.7</v>
      </c>
      <c r="C10" s="435">
        <v>0.5</v>
      </c>
      <c r="D10" s="435">
        <v>1</v>
      </c>
      <c r="E10" s="435">
        <v>1.2</v>
      </c>
      <c r="F10" s="434"/>
      <c r="G10" s="434"/>
    </row>
    <row r="11" spans="1:9" x14ac:dyDescent="0.3">
      <c r="A11" s="328" t="s">
        <v>240</v>
      </c>
      <c r="B11" s="340">
        <f>B10*10000</f>
        <v>7000</v>
      </c>
      <c r="C11" s="340">
        <f>C10*10000</f>
        <v>5000</v>
      </c>
      <c r="D11" s="340">
        <f>D10*10000</f>
        <v>10000</v>
      </c>
      <c r="E11" s="340">
        <f>E10*10000</f>
        <v>12000</v>
      </c>
      <c r="F11" s="434"/>
      <c r="G11" s="446"/>
      <c r="H11" s="402"/>
    </row>
    <row r="12" spans="1:9" ht="28.8" x14ac:dyDescent="0.3">
      <c r="A12" s="349" t="s">
        <v>156</v>
      </c>
      <c r="B12" s="350">
        <f>(B8/B11)*100</f>
        <v>8.5714285714285712</v>
      </c>
      <c r="C12" s="395">
        <f t="shared" ref="C12:E12" si="1">(C8/C11)*100</f>
        <v>30</v>
      </c>
      <c r="D12" s="395">
        <f t="shared" si="1"/>
        <v>35</v>
      </c>
      <c r="E12" s="395">
        <f t="shared" si="1"/>
        <v>45</v>
      </c>
      <c r="F12" s="351">
        <f>((B5*B12)+(C5*C12)+(D5*D12)+(E5*E12))/F5</f>
        <v>34.285714285714285</v>
      </c>
      <c r="G12" s="410" t="s">
        <v>157</v>
      </c>
      <c r="H12" s="328"/>
    </row>
    <row r="13" spans="1:9" x14ac:dyDescent="0.3">
      <c r="A13" s="405" t="s">
        <v>262</v>
      </c>
      <c r="B13" s="396" t="s">
        <v>263</v>
      </c>
      <c r="C13" s="396" t="s">
        <v>264</v>
      </c>
      <c r="D13" s="396"/>
      <c r="E13" s="326"/>
    </row>
    <row r="14" spans="1:9" x14ac:dyDescent="0.3">
      <c r="A14" s="328" t="s">
        <v>149</v>
      </c>
      <c r="B14" s="339">
        <v>30</v>
      </c>
      <c r="C14" s="339">
        <v>30</v>
      </c>
      <c r="D14" s="339">
        <v>60</v>
      </c>
      <c r="E14" s="339">
        <v>80</v>
      </c>
      <c r="F14" s="341">
        <f>SUM(B14:E14)</f>
        <v>200</v>
      </c>
      <c r="G14" s="391" t="s">
        <v>146</v>
      </c>
    </row>
    <row r="15" spans="1:9" x14ac:dyDescent="0.3">
      <c r="A15" s="328" t="s">
        <v>150</v>
      </c>
      <c r="B15" s="339">
        <v>40</v>
      </c>
      <c r="C15" s="339">
        <v>60</v>
      </c>
      <c r="D15" s="339">
        <v>100</v>
      </c>
      <c r="E15" s="339">
        <v>120</v>
      </c>
      <c r="F15" s="348"/>
      <c r="G15" s="342"/>
    </row>
    <row r="16" spans="1:9" x14ac:dyDescent="0.3">
      <c r="A16" s="328" t="s">
        <v>151</v>
      </c>
      <c r="B16" s="339">
        <v>15</v>
      </c>
      <c r="C16" s="339">
        <v>25</v>
      </c>
      <c r="D16" s="339">
        <v>35</v>
      </c>
      <c r="E16" s="339">
        <v>45</v>
      </c>
      <c r="F16" s="348"/>
      <c r="G16" s="342"/>
    </row>
    <row r="17" spans="1:9" x14ac:dyDescent="0.3">
      <c r="A17" s="328" t="s">
        <v>152</v>
      </c>
      <c r="B17" s="340">
        <f>B16*B15</f>
        <v>600</v>
      </c>
      <c r="C17" s="340">
        <f t="shared" ref="C17:E17" si="2">C16*C15</f>
        <v>1500</v>
      </c>
      <c r="D17" s="340">
        <f t="shared" si="2"/>
        <v>3500</v>
      </c>
      <c r="E17" s="340">
        <f t="shared" si="2"/>
        <v>5400</v>
      </c>
      <c r="F17" s="348"/>
      <c r="G17" s="342"/>
    </row>
    <row r="18" spans="1:9" x14ac:dyDescent="0.3">
      <c r="A18" s="328" t="s">
        <v>154</v>
      </c>
      <c r="B18" s="362">
        <f>B10*0.769</f>
        <v>0.5383</v>
      </c>
      <c r="C18" s="362">
        <f>C10*0.769</f>
        <v>0.38450000000000001</v>
      </c>
      <c r="D18" s="362">
        <f>D10*0.769</f>
        <v>0.76900000000000002</v>
      </c>
      <c r="E18" s="362">
        <f>E10*0.769</f>
        <v>0.92279999999999995</v>
      </c>
      <c r="F18" s="434"/>
      <c r="G18" s="434"/>
    </row>
    <row r="19" spans="1:9" x14ac:dyDescent="0.3">
      <c r="A19" s="328" t="s">
        <v>240</v>
      </c>
      <c r="B19" s="340">
        <f>B18*10000</f>
        <v>5383</v>
      </c>
      <c r="C19" s="340">
        <f>C18*10000</f>
        <v>3845</v>
      </c>
      <c r="D19" s="340">
        <f>D18*10000</f>
        <v>7690</v>
      </c>
      <c r="E19" s="340">
        <f>E18*10000</f>
        <v>9228</v>
      </c>
      <c r="F19" s="434"/>
      <c r="G19" s="446"/>
    </row>
    <row r="20" spans="1:9" ht="28.8" x14ac:dyDescent="0.3">
      <c r="A20" s="349" t="s">
        <v>156</v>
      </c>
      <c r="B20" s="350">
        <f>(B17/B19)*100</f>
        <v>11.14620100315809</v>
      </c>
      <c r="C20" s="350">
        <f>(C17/C19)*100</f>
        <v>39.011703511053312</v>
      </c>
      <c r="D20" s="350">
        <f>(D17/D19)*100</f>
        <v>45.513654096228869</v>
      </c>
      <c r="E20" s="350">
        <f>(E17/E19)*100</f>
        <v>58.517555266579976</v>
      </c>
      <c r="F20" s="351">
        <f>((B14*B20)+(C14*C20)+(D14*D20)+(E14*E20))/F14</f>
        <v>44.584804012632361</v>
      </c>
      <c r="G20" s="410" t="s">
        <v>157</v>
      </c>
      <c r="H20" s="133"/>
      <c r="I20" s="133"/>
    </row>
    <row r="21" spans="1:9" x14ac:dyDescent="0.3">
      <c r="A21" s="327" t="s">
        <v>265</v>
      </c>
      <c r="B21" s="358" t="s">
        <v>266</v>
      </c>
      <c r="C21" s="359"/>
      <c r="D21" s="359"/>
      <c r="E21" s="359"/>
      <c r="F21" s="332"/>
      <c r="G21" s="344"/>
      <c r="H21" s="64" t="s">
        <v>267</v>
      </c>
    </row>
    <row r="22" spans="1:9" ht="57.6" x14ac:dyDescent="0.3">
      <c r="A22" s="333" t="s">
        <v>268</v>
      </c>
      <c r="B22" s="447" t="s">
        <v>228</v>
      </c>
      <c r="C22" s="448" t="s">
        <v>229</v>
      </c>
      <c r="D22" t="s">
        <v>230</v>
      </c>
    </row>
    <row r="23" spans="1:9" x14ac:dyDescent="0.3">
      <c r="A23" s="3" t="s">
        <v>103</v>
      </c>
      <c r="B23" s="403">
        <v>0.73</v>
      </c>
      <c r="C23" s="362">
        <f>1-B23</f>
        <v>0.27</v>
      </c>
      <c r="D23" s="365">
        <f>C23*$F$20</f>
        <v>12.037897083410739</v>
      </c>
    </row>
    <row r="24" spans="1:9" x14ac:dyDescent="0.3">
      <c r="A24" s="3" t="s">
        <v>104</v>
      </c>
      <c r="B24" s="403">
        <v>0.74</v>
      </c>
      <c r="C24" s="362">
        <f t="shared" ref="C24:C33" si="3">1-B24</f>
        <v>0.26</v>
      </c>
      <c r="D24" s="365">
        <f t="shared" ref="D24:D30" si="4">C24*$F$20</f>
        <v>11.592049043284414</v>
      </c>
    </row>
    <row r="25" spans="1:9" x14ac:dyDescent="0.3">
      <c r="A25" s="3" t="s">
        <v>105</v>
      </c>
      <c r="B25" s="403">
        <v>0.56000000000000005</v>
      </c>
      <c r="C25" s="362">
        <f>1-B25</f>
        <v>0.43999999999999995</v>
      </c>
      <c r="D25" s="365">
        <f>C25*$F$20</f>
        <v>19.617313765558237</v>
      </c>
    </row>
    <row r="26" spans="1:9" x14ac:dyDescent="0.3">
      <c r="A26" s="3" t="s">
        <v>106</v>
      </c>
      <c r="B26" s="403">
        <v>0.9</v>
      </c>
      <c r="C26" s="362">
        <f>1-B26</f>
        <v>9.9999999999999978E-2</v>
      </c>
      <c r="D26" s="365">
        <f>C26*$F$20</f>
        <v>4.4584804012632349</v>
      </c>
    </row>
    <row r="27" spans="1:9" x14ac:dyDescent="0.3">
      <c r="A27" s="3" t="s">
        <v>107</v>
      </c>
      <c r="B27" s="403">
        <v>0.45</v>
      </c>
      <c r="C27" s="362">
        <f>1-B27</f>
        <v>0.55000000000000004</v>
      </c>
      <c r="D27" s="365">
        <f>C27*$F$20</f>
        <v>24.521642206947799</v>
      </c>
    </row>
    <row r="28" spans="1:9" x14ac:dyDescent="0.3">
      <c r="A28" s="3" t="s">
        <v>108</v>
      </c>
      <c r="B28" s="403">
        <v>0.96</v>
      </c>
      <c r="C28" s="362">
        <f t="shared" si="3"/>
        <v>4.0000000000000036E-2</v>
      </c>
      <c r="D28" s="365">
        <f t="shared" si="4"/>
        <v>1.783392160505296</v>
      </c>
    </row>
    <row r="29" spans="1:9" x14ac:dyDescent="0.3">
      <c r="A29" s="3" t="s">
        <v>109</v>
      </c>
      <c r="B29" s="403">
        <v>0.9</v>
      </c>
      <c r="C29" s="362">
        <f t="shared" si="3"/>
        <v>9.9999999999999978E-2</v>
      </c>
      <c r="D29" s="365">
        <f t="shared" si="4"/>
        <v>4.4584804012632349</v>
      </c>
    </row>
    <row r="30" spans="1:9" x14ac:dyDescent="0.3">
      <c r="A30" s="3" t="s">
        <v>110</v>
      </c>
      <c r="B30" s="403">
        <v>0.9</v>
      </c>
      <c r="C30" s="362">
        <f t="shared" si="3"/>
        <v>9.9999999999999978E-2</v>
      </c>
      <c r="D30" s="365">
        <f t="shared" si="4"/>
        <v>4.4584804012632349</v>
      </c>
    </row>
    <row r="31" spans="1:9" x14ac:dyDescent="0.3">
      <c r="A31" s="3" t="s">
        <v>111</v>
      </c>
      <c r="B31" s="403">
        <v>0.4</v>
      </c>
      <c r="C31" s="362">
        <f>1-B31</f>
        <v>0.6</v>
      </c>
      <c r="D31" s="365">
        <f>C31*$F$20</f>
        <v>26.750882407579414</v>
      </c>
    </row>
    <row r="32" spans="1:9" x14ac:dyDescent="0.3">
      <c r="A32" s="3" t="s">
        <v>112</v>
      </c>
      <c r="B32" s="403">
        <v>0.73</v>
      </c>
      <c r="C32" s="362">
        <f>1-B32</f>
        <v>0.27</v>
      </c>
      <c r="D32" s="365">
        <f>C32*$F$20</f>
        <v>12.037897083410739</v>
      </c>
    </row>
    <row r="33" spans="1:11" x14ac:dyDescent="0.3">
      <c r="A33" s="3" t="s">
        <v>113</v>
      </c>
      <c r="B33" s="403">
        <v>0.73</v>
      </c>
      <c r="C33" s="362">
        <f t="shared" si="3"/>
        <v>0.27</v>
      </c>
      <c r="D33" s="365">
        <f>C33*$F$12</f>
        <v>9.257142857142858</v>
      </c>
    </row>
    <row r="34" spans="1:11" x14ac:dyDescent="0.3">
      <c r="A34" s="3" t="s">
        <v>114</v>
      </c>
      <c r="B34" s="403">
        <v>0.95</v>
      </c>
      <c r="C34" s="362">
        <f>1-B34</f>
        <v>5.0000000000000044E-2</v>
      </c>
      <c r="D34" s="365">
        <f>C34*$F$20</f>
        <v>2.2292402006316201</v>
      </c>
    </row>
    <row r="35" spans="1:11" x14ac:dyDescent="0.3">
      <c r="A35" s="3" t="s">
        <v>115</v>
      </c>
      <c r="B35" s="403">
        <v>1</v>
      </c>
      <c r="C35" s="362">
        <f>1-B35</f>
        <v>0</v>
      </c>
      <c r="D35" s="365">
        <f>C35*$F$20</f>
        <v>0</v>
      </c>
    </row>
    <row r="36" spans="1:11" x14ac:dyDescent="0.3">
      <c r="E36" s="3"/>
      <c r="F36" s="154"/>
      <c r="G36" s="449"/>
      <c r="H36" s="321"/>
      <c r="I36" s="3"/>
    </row>
    <row r="37" spans="1:11" x14ac:dyDescent="0.3">
      <c r="A37" s="405" t="s">
        <v>269</v>
      </c>
      <c r="B37" s="396" t="s">
        <v>141</v>
      </c>
      <c r="C37" s="396" t="s">
        <v>270</v>
      </c>
      <c r="D37" s="396"/>
      <c r="E37" s="326"/>
      <c r="F37" s="326"/>
      <c r="G37" s="326"/>
      <c r="H37" s="407"/>
      <c r="I37" s="406" t="s">
        <v>146</v>
      </c>
      <c r="J37" s="407" t="s">
        <v>147</v>
      </c>
      <c r="K37" s="326" t="s">
        <v>256</v>
      </c>
    </row>
    <row r="38" spans="1:11" x14ac:dyDescent="0.3">
      <c r="A38" s="328" t="s">
        <v>149</v>
      </c>
      <c r="B38" s="339">
        <v>30</v>
      </c>
      <c r="C38" s="339">
        <v>30</v>
      </c>
      <c r="D38" s="339">
        <v>60</v>
      </c>
      <c r="E38" s="339">
        <v>80</v>
      </c>
      <c r="F38" s="339">
        <v>165</v>
      </c>
      <c r="G38" s="339">
        <f>4*335</f>
        <v>1340</v>
      </c>
      <c r="H38" s="339">
        <f>30*4</f>
        <v>120</v>
      </c>
      <c r="I38" s="341">
        <f>SUM(B38:H38)</f>
        <v>1825</v>
      </c>
      <c r="J38" s="342"/>
    </row>
    <row r="39" spans="1:11" x14ac:dyDescent="0.3">
      <c r="A39" s="328" t="s">
        <v>150</v>
      </c>
      <c r="B39" s="339">
        <v>40</v>
      </c>
      <c r="C39" s="339">
        <v>60</v>
      </c>
      <c r="D39" s="339">
        <v>100</v>
      </c>
      <c r="E39" s="339">
        <v>120</v>
      </c>
      <c r="F39" s="339">
        <v>130</v>
      </c>
      <c r="G39" s="339">
        <v>140</v>
      </c>
      <c r="H39" s="339">
        <v>140</v>
      </c>
      <c r="I39" s="348"/>
      <c r="J39" s="342"/>
    </row>
    <row r="40" spans="1:11" x14ac:dyDescent="0.3">
      <c r="A40" s="328" t="s">
        <v>151</v>
      </c>
      <c r="B40" s="339">
        <v>15</v>
      </c>
      <c r="C40" s="339">
        <v>25</v>
      </c>
      <c r="D40" s="339">
        <v>35</v>
      </c>
      <c r="E40" s="339">
        <v>45</v>
      </c>
      <c r="F40" s="339">
        <v>50</v>
      </c>
      <c r="G40" s="339">
        <v>50</v>
      </c>
      <c r="H40" s="339">
        <v>50</v>
      </c>
      <c r="I40" s="348"/>
      <c r="J40" s="342"/>
    </row>
    <row r="41" spans="1:11" x14ac:dyDescent="0.3">
      <c r="A41" s="328" t="s">
        <v>152</v>
      </c>
      <c r="B41" s="340">
        <f>B40*B39</f>
        <v>600</v>
      </c>
      <c r="C41" s="340">
        <f t="shared" ref="C41:H41" si="5">C40*C39</f>
        <v>1500</v>
      </c>
      <c r="D41" s="340">
        <f t="shared" si="5"/>
        <v>3500</v>
      </c>
      <c r="E41" s="340">
        <f t="shared" si="5"/>
        <v>5400</v>
      </c>
      <c r="F41" s="340">
        <f t="shared" si="5"/>
        <v>6500</v>
      </c>
      <c r="G41" s="340">
        <f t="shared" si="5"/>
        <v>7000</v>
      </c>
      <c r="H41" s="340">
        <f t="shared" si="5"/>
        <v>7000</v>
      </c>
      <c r="I41" s="348"/>
      <c r="J41" s="342"/>
    </row>
    <row r="42" spans="1:11" ht="42" x14ac:dyDescent="0.3">
      <c r="A42" s="328" t="s">
        <v>257</v>
      </c>
      <c r="B42" s="336" t="s">
        <v>258</v>
      </c>
      <c r="C42" s="445" t="s">
        <v>259</v>
      </c>
      <c r="D42" s="445" t="s">
        <v>260</v>
      </c>
      <c r="E42" s="445" t="s">
        <v>261</v>
      </c>
      <c r="F42" s="445" t="s">
        <v>271</v>
      </c>
      <c r="G42" s="445" t="s">
        <v>272</v>
      </c>
      <c r="H42" s="445" t="s">
        <v>273</v>
      </c>
      <c r="I42" s="348"/>
      <c r="J42" s="342"/>
    </row>
    <row r="43" spans="1:11" x14ac:dyDescent="0.3">
      <c r="A43" s="328" t="s">
        <v>154</v>
      </c>
      <c r="B43" s="435">
        <v>0.7</v>
      </c>
      <c r="C43" s="435">
        <v>0.5</v>
      </c>
      <c r="D43" s="435">
        <v>1</v>
      </c>
      <c r="E43" s="435">
        <v>1.2</v>
      </c>
      <c r="F43" s="435">
        <v>1.2</v>
      </c>
      <c r="G43" s="435">
        <v>1.7</v>
      </c>
      <c r="H43" s="435">
        <v>1.7</v>
      </c>
      <c r="I43" s="434"/>
      <c r="J43" s="434"/>
    </row>
    <row r="44" spans="1:11" x14ac:dyDescent="0.3">
      <c r="A44" s="328" t="s">
        <v>240</v>
      </c>
      <c r="B44" s="340">
        <f t="shared" ref="B44:H44" si="6">B43*10000</f>
        <v>7000</v>
      </c>
      <c r="C44" s="340">
        <f t="shared" si="6"/>
        <v>5000</v>
      </c>
      <c r="D44" s="340">
        <f t="shared" si="6"/>
        <v>10000</v>
      </c>
      <c r="E44" s="340">
        <f t="shared" si="6"/>
        <v>12000</v>
      </c>
      <c r="F44" s="340">
        <f t="shared" si="6"/>
        <v>12000</v>
      </c>
      <c r="G44" s="340">
        <f t="shared" si="6"/>
        <v>17000</v>
      </c>
      <c r="H44" s="340">
        <f t="shared" si="6"/>
        <v>17000</v>
      </c>
      <c r="I44" s="434"/>
      <c r="J44" s="446"/>
      <c r="K44" s="402"/>
    </row>
    <row r="45" spans="1:11" ht="28.8" x14ac:dyDescent="0.3">
      <c r="A45" s="349" t="s">
        <v>156</v>
      </c>
      <c r="B45" s="350">
        <f>(B41/B44)*100</f>
        <v>8.5714285714285712</v>
      </c>
      <c r="C45" s="395">
        <f t="shared" ref="C45:G45" si="7">(C41/C44)*100</f>
        <v>30</v>
      </c>
      <c r="D45" s="395">
        <f t="shared" si="7"/>
        <v>35</v>
      </c>
      <c r="E45" s="395">
        <f t="shared" si="7"/>
        <v>45</v>
      </c>
      <c r="F45" s="350">
        <f t="shared" si="7"/>
        <v>54.166666666666664</v>
      </c>
      <c r="G45" s="350">
        <f t="shared" si="7"/>
        <v>41.17647058823529</v>
      </c>
      <c r="H45" s="350">
        <f>(G41/G44)*100</f>
        <v>41.17647058823529</v>
      </c>
      <c r="I45" s="351">
        <f>((B38*B45)+(C38*C45)+(D38*D45)+(E38*E45)+(F38*F45)+(G38*G45)+(H38*H45))/I38</f>
        <v>41.595775296419937</v>
      </c>
      <c r="J45" s="410" t="s">
        <v>157</v>
      </c>
      <c r="K45" s="328"/>
    </row>
    <row r="46" spans="1:11" x14ac:dyDescent="0.3">
      <c r="A46" s="405" t="s">
        <v>274</v>
      </c>
      <c r="B46" s="396" t="s">
        <v>263</v>
      </c>
      <c r="C46" s="396" t="s">
        <v>264</v>
      </c>
      <c r="D46" s="396"/>
      <c r="E46" s="326"/>
      <c r="K46" s="326"/>
    </row>
    <row r="47" spans="1:11" x14ac:dyDescent="0.3">
      <c r="A47" s="328" t="s">
        <v>149</v>
      </c>
      <c r="B47" s="339">
        <v>30</v>
      </c>
      <c r="C47" s="339">
        <v>30</v>
      </c>
      <c r="D47" s="339">
        <v>60</v>
      </c>
      <c r="E47" s="339">
        <v>80</v>
      </c>
      <c r="F47" s="339">
        <v>165</v>
      </c>
      <c r="G47" s="339">
        <f>4*335</f>
        <v>1340</v>
      </c>
      <c r="H47" s="339">
        <f>30*4</f>
        <v>120</v>
      </c>
      <c r="I47" s="341">
        <f>SUM(B47:H47)</f>
        <v>1825</v>
      </c>
      <c r="J47" s="391" t="s">
        <v>146</v>
      </c>
    </row>
    <row r="48" spans="1:11" x14ac:dyDescent="0.3">
      <c r="A48" s="328" t="s">
        <v>150</v>
      </c>
      <c r="B48" s="339">
        <v>40</v>
      </c>
      <c r="C48" s="339">
        <v>60</v>
      </c>
      <c r="D48" s="339">
        <v>100</v>
      </c>
      <c r="E48" s="339">
        <v>120</v>
      </c>
      <c r="F48" s="339">
        <v>130</v>
      </c>
      <c r="G48" s="339">
        <v>140</v>
      </c>
      <c r="H48" s="339">
        <v>140</v>
      </c>
      <c r="I48" s="348"/>
      <c r="J48" s="342"/>
    </row>
    <row r="49" spans="1:11" x14ac:dyDescent="0.3">
      <c r="A49" s="328" t="s">
        <v>151</v>
      </c>
      <c r="B49" s="339">
        <v>15</v>
      </c>
      <c r="C49" s="339">
        <v>25</v>
      </c>
      <c r="D49" s="339">
        <v>35</v>
      </c>
      <c r="E49" s="339">
        <v>45</v>
      </c>
      <c r="F49" s="339">
        <v>50</v>
      </c>
      <c r="G49" s="339">
        <v>50</v>
      </c>
      <c r="H49" s="339">
        <v>50</v>
      </c>
      <c r="I49" s="348"/>
      <c r="J49" s="342"/>
    </row>
    <row r="50" spans="1:11" x14ac:dyDescent="0.3">
      <c r="A50" s="328" t="s">
        <v>152</v>
      </c>
      <c r="B50" s="340">
        <f>B49*B48</f>
        <v>600</v>
      </c>
      <c r="C50" s="340">
        <f t="shared" ref="C50:H50" si="8">C49*C48</f>
        <v>1500</v>
      </c>
      <c r="D50" s="340">
        <f t="shared" si="8"/>
        <v>3500</v>
      </c>
      <c r="E50" s="340">
        <f t="shared" si="8"/>
        <v>5400</v>
      </c>
      <c r="F50" s="340">
        <f t="shared" si="8"/>
        <v>6500</v>
      </c>
      <c r="G50" s="340">
        <f t="shared" si="8"/>
        <v>7000</v>
      </c>
      <c r="H50" s="340">
        <f t="shared" si="8"/>
        <v>7000</v>
      </c>
      <c r="I50" s="348"/>
      <c r="J50" s="342"/>
    </row>
    <row r="51" spans="1:11" x14ac:dyDescent="0.3">
      <c r="A51" s="328" t="s">
        <v>154</v>
      </c>
      <c r="B51" s="362">
        <f>B43*0.769</f>
        <v>0.5383</v>
      </c>
      <c r="C51" s="362">
        <f t="shared" ref="C51:H51" si="9">C43*0.769</f>
        <v>0.38450000000000001</v>
      </c>
      <c r="D51" s="362">
        <f t="shared" si="9"/>
        <v>0.76900000000000002</v>
      </c>
      <c r="E51" s="362">
        <f t="shared" si="9"/>
        <v>0.92279999999999995</v>
      </c>
      <c r="F51" s="362">
        <f t="shared" si="9"/>
        <v>0.92279999999999995</v>
      </c>
      <c r="G51" s="362">
        <f t="shared" si="9"/>
        <v>1.3072999999999999</v>
      </c>
      <c r="H51" s="362">
        <f t="shared" si="9"/>
        <v>1.3072999999999999</v>
      </c>
      <c r="I51" s="434"/>
      <c r="J51" s="434"/>
    </row>
    <row r="52" spans="1:11" x14ac:dyDescent="0.3">
      <c r="A52" s="328" t="s">
        <v>240</v>
      </c>
      <c r="B52" s="340">
        <f t="shared" ref="B52:H52" si="10">B51*10000</f>
        <v>5383</v>
      </c>
      <c r="C52" s="340">
        <f t="shared" si="10"/>
        <v>3845</v>
      </c>
      <c r="D52" s="340">
        <f t="shared" si="10"/>
        <v>7690</v>
      </c>
      <c r="E52" s="340">
        <f t="shared" si="10"/>
        <v>9228</v>
      </c>
      <c r="F52" s="340">
        <f t="shared" si="10"/>
        <v>9228</v>
      </c>
      <c r="G52" s="340">
        <f t="shared" si="10"/>
        <v>13072.999999999998</v>
      </c>
      <c r="H52" s="340">
        <f t="shared" si="10"/>
        <v>13072.999999999998</v>
      </c>
      <c r="I52" s="434"/>
      <c r="J52" s="446"/>
      <c r="K52" s="402"/>
    </row>
    <row r="53" spans="1:11" ht="28.8" x14ac:dyDescent="0.3">
      <c r="A53" s="349" t="s">
        <v>156</v>
      </c>
      <c r="B53" s="350">
        <f t="shared" ref="B53:G53" si="11">(B50/B52)*100</f>
        <v>11.14620100315809</v>
      </c>
      <c r="C53" s="395">
        <f t="shared" si="11"/>
        <v>39.011703511053312</v>
      </c>
      <c r="D53" s="395">
        <f t="shared" si="11"/>
        <v>45.513654096228869</v>
      </c>
      <c r="E53" s="395">
        <f t="shared" si="11"/>
        <v>58.517555266579976</v>
      </c>
      <c r="F53" s="350">
        <f t="shared" si="11"/>
        <v>70.437798006068491</v>
      </c>
      <c r="G53" s="350">
        <f t="shared" si="11"/>
        <v>53.545475407328091</v>
      </c>
      <c r="H53" s="350">
        <f>(G50/G52)*100</f>
        <v>53.545475407328091</v>
      </c>
      <c r="I53" s="351">
        <f>((B47*B53)+(C47*C53)+(D47*D53)+(E47*E53)+(F47*F53)+(G47*G53)+(H47*H53))/I47</f>
        <v>54.090735105877691</v>
      </c>
      <c r="J53" s="410" t="s">
        <v>157</v>
      </c>
      <c r="K53" s="328"/>
    </row>
    <row r="54" spans="1:11" x14ac:dyDescent="0.3">
      <c r="A54" s="450" t="s">
        <v>275</v>
      </c>
      <c r="B54" s="329" t="s">
        <v>276</v>
      </c>
      <c r="C54" s="451"/>
      <c r="D54" s="451"/>
      <c r="E54" s="330"/>
      <c r="F54" s="359"/>
    </row>
    <row r="55" spans="1:11" ht="28.8" x14ac:dyDescent="0.3">
      <c r="A55" s="333" t="s">
        <v>277</v>
      </c>
      <c r="B55" s="329" t="s">
        <v>278</v>
      </c>
      <c r="C55" s="451"/>
      <c r="D55" s="451"/>
      <c r="E55" s="330"/>
      <c r="F55" s="359"/>
    </row>
    <row r="56" spans="1:11" x14ac:dyDescent="0.3">
      <c r="A56" s="328" t="s">
        <v>279</v>
      </c>
      <c r="B56" t="s">
        <v>250</v>
      </c>
      <c r="C56" t="s">
        <v>229</v>
      </c>
      <c r="D56" t="s">
        <v>230</v>
      </c>
      <c r="F56" s="46"/>
    </row>
    <row r="57" spans="1:11" x14ac:dyDescent="0.3">
      <c r="A57" t="s">
        <v>103</v>
      </c>
      <c r="B57" s="452">
        <v>8.6300000000000008</v>
      </c>
      <c r="C57" s="364">
        <f t="shared" ref="C57:C58" si="12">1-(B57/12)</f>
        <v>0.28083333333333327</v>
      </c>
      <c r="D57" s="365">
        <f t="shared" ref="D57:D58" si="13">($I$53*C57)</f>
        <v>15.190481442233981</v>
      </c>
      <c r="E57" s="46"/>
      <c r="F57" s="46"/>
    </row>
    <row r="58" spans="1:11" x14ac:dyDescent="0.3">
      <c r="A58" t="s">
        <v>104</v>
      </c>
      <c r="B58" s="452">
        <v>9.64</v>
      </c>
      <c r="C58" s="364">
        <f t="shared" si="12"/>
        <v>0.19666666666666666</v>
      </c>
      <c r="D58" s="365">
        <f t="shared" si="13"/>
        <v>10.637844570822612</v>
      </c>
      <c r="E58" s="46"/>
      <c r="F58" s="46"/>
    </row>
    <row r="59" spans="1:11" x14ac:dyDescent="0.3">
      <c r="A59" t="s">
        <v>105</v>
      </c>
      <c r="B59" s="452">
        <v>9.07</v>
      </c>
      <c r="C59" s="364">
        <f t="shared" ref="C59:C69" si="14">1-(B59/12)</f>
        <v>0.24416666666666664</v>
      </c>
      <c r="D59" s="365">
        <f t="shared" ref="D59:D66" si="15">($I$53*C59)</f>
        <v>13.207154488351801</v>
      </c>
    </row>
    <row r="60" spans="1:11" x14ac:dyDescent="0.3">
      <c r="A60" t="s">
        <v>106</v>
      </c>
      <c r="B60" s="452">
        <v>9.18</v>
      </c>
      <c r="C60" s="364">
        <f t="shared" si="14"/>
        <v>0.23499999999999999</v>
      </c>
      <c r="D60" s="365">
        <f t="shared" si="15"/>
        <v>12.711322749881257</v>
      </c>
    </row>
    <row r="61" spans="1:11" x14ac:dyDescent="0.3">
      <c r="A61" s="111" t="s">
        <v>107</v>
      </c>
      <c r="B61" s="364">
        <v>7.6</v>
      </c>
      <c r="C61" s="364">
        <f t="shared" si="14"/>
        <v>0.3666666666666667</v>
      </c>
      <c r="D61" s="365">
        <f t="shared" si="15"/>
        <v>19.833269538821821</v>
      </c>
    </row>
    <row r="62" spans="1:11" x14ac:dyDescent="0.3">
      <c r="A62" t="s">
        <v>108</v>
      </c>
      <c r="B62" s="452">
        <v>9.27</v>
      </c>
      <c r="C62" s="364">
        <f t="shared" si="14"/>
        <v>0.22750000000000004</v>
      </c>
      <c r="D62" s="365">
        <f t="shared" si="15"/>
        <v>12.305642236587177</v>
      </c>
    </row>
    <row r="63" spans="1:11" x14ac:dyDescent="0.3">
      <c r="A63" t="s">
        <v>109</v>
      </c>
      <c r="B63" s="452">
        <v>8.8800000000000008</v>
      </c>
      <c r="C63" s="364">
        <f t="shared" si="14"/>
        <v>0.2599999999999999</v>
      </c>
      <c r="D63" s="365">
        <f t="shared" si="15"/>
        <v>14.063591127528195</v>
      </c>
    </row>
    <row r="64" spans="1:11" x14ac:dyDescent="0.3">
      <c r="A64" t="s">
        <v>110</v>
      </c>
      <c r="B64" s="452">
        <v>8.42</v>
      </c>
      <c r="C64" s="364">
        <f t="shared" si="14"/>
        <v>0.29833333333333334</v>
      </c>
      <c r="D64" s="365">
        <f t="shared" si="15"/>
        <v>16.137069306586845</v>
      </c>
      <c r="E64" s="46"/>
      <c r="F64" s="46"/>
    </row>
    <row r="65" spans="1:11" x14ac:dyDescent="0.3">
      <c r="A65" t="s">
        <v>111</v>
      </c>
      <c r="B65" s="452">
        <v>6.13</v>
      </c>
      <c r="C65" s="364">
        <f t="shared" si="14"/>
        <v>0.48916666666666664</v>
      </c>
      <c r="D65" s="365">
        <f t="shared" si="15"/>
        <v>26.459384589291837</v>
      </c>
      <c r="E65" s="46"/>
      <c r="F65" s="46"/>
    </row>
    <row r="66" spans="1:11" x14ac:dyDescent="0.3">
      <c r="A66" t="s">
        <v>112</v>
      </c>
      <c r="B66" s="452">
        <v>9.57</v>
      </c>
      <c r="C66" s="364">
        <f t="shared" si="14"/>
        <v>0.20250000000000001</v>
      </c>
      <c r="D66" s="365">
        <f t="shared" si="15"/>
        <v>10.953373858940234</v>
      </c>
      <c r="E66" s="46"/>
      <c r="F66" s="46"/>
    </row>
    <row r="67" spans="1:11" x14ac:dyDescent="0.3">
      <c r="A67" t="s">
        <v>113</v>
      </c>
      <c r="B67" s="452">
        <v>7</v>
      </c>
      <c r="C67" s="364">
        <f t="shared" si="14"/>
        <v>0.41666666666666663</v>
      </c>
      <c r="D67" s="365">
        <f>($I$45*C67)</f>
        <v>17.331573040174973</v>
      </c>
      <c r="E67" s="46"/>
      <c r="F67" s="46"/>
    </row>
    <row r="68" spans="1:11" x14ac:dyDescent="0.3">
      <c r="A68" s="111" t="s">
        <v>114</v>
      </c>
      <c r="B68" s="364">
        <v>10.34</v>
      </c>
      <c r="C68" s="364">
        <f t="shared" si="14"/>
        <v>0.13833333333333331</v>
      </c>
      <c r="D68" s="365">
        <f>($I$53*C68)</f>
        <v>7.4825516896464128</v>
      </c>
    </row>
    <row r="69" spans="1:11" x14ac:dyDescent="0.3">
      <c r="A69" s="201" t="s">
        <v>115</v>
      </c>
      <c r="B69" s="368">
        <v>12</v>
      </c>
      <c r="C69" s="368">
        <f t="shared" si="14"/>
        <v>0</v>
      </c>
      <c r="D69" s="369">
        <f>($I$53*C69)</f>
        <v>0</v>
      </c>
      <c r="E69" s="133"/>
      <c r="F69" s="133"/>
      <c r="G69" s="133"/>
      <c r="H69" s="133"/>
      <c r="I69" s="133"/>
      <c r="J69" s="133"/>
      <c r="K69" s="133"/>
    </row>
    <row r="70" spans="1:11" x14ac:dyDescent="0.3">
      <c r="E70" s="46"/>
      <c r="F70" s="46"/>
    </row>
    <row r="71" spans="1:11" x14ac:dyDescent="0.3">
      <c r="E71" s="46"/>
      <c r="F71" s="4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444D-9E4D-4CDC-A924-116A5E2FB2BC}">
  <sheetPr>
    <tabColor theme="3" tint="0.39997558519241921"/>
  </sheetPr>
  <dimension ref="A2:R46"/>
  <sheetViews>
    <sheetView topLeftCell="A12" workbookViewId="0">
      <selection activeCell="N14" sqref="N14"/>
    </sheetView>
  </sheetViews>
  <sheetFormatPr defaultRowHeight="14.4" x14ac:dyDescent="0.3"/>
  <cols>
    <col min="1" max="1" width="17.33203125" customWidth="1"/>
    <col min="2" max="2" width="11.109375" style="64" customWidth="1"/>
    <col min="3" max="4" width="8.88671875" style="64"/>
    <col min="8" max="8" width="10" style="64" customWidth="1"/>
    <col min="9" max="9" width="9.88671875" customWidth="1"/>
    <col min="10" max="10" width="10.33203125" customWidth="1"/>
    <col min="11" max="11" width="11.109375" customWidth="1"/>
    <col min="13" max="13" width="10.5546875" customWidth="1"/>
  </cols>
  <sheetData>
    <row r="2" spans="1:11" ht="21" x14ac:dyDescent="0.3">
      <c r="A2" s="399" t="s">
        <v>280</v>
      </c>
      <c r="E2" s="64"/>
      <c r="F2" s="64"/>
      <c r="G2" s="64"/>
      <c r="H2" t="s">
        <v>139</v>
      </c>
    </row>
    <row r="3" spans="1:11" x14ac:dyDescent="0.3">
      <c r="A3" s="328"/>
      <c r="F3" s="64"/>
      <c r="J3" s="64"/>
      <c r="K3" s="64"/>
    </row>
    <row r="4" spans="1:11" x14ac:dyDescent="0.3">
      <c r="A4" s="327" t="s">
        <v>281</v>
      </c>
      <c r="B4" s="64" t="s">
        <v>282</v>
      </c>
      <c r="I4" s="337" t="s">
        <v>283</v>
      </c>
      <c r="J4" s="374" t="s">
        <v>147</v>
      </c>
      <c r="K4" t="s">
        <v>284</v>
      </c>
    </row>
    <row r="5" spans="1:11" x14ac:dyDescent="0.3">
      <c r="A5" s="328" t="s">
        <v>149</v>
      </c>
      <c r="B5" s="339">
        <v>30</v>
      </c>
      <c r="C5" s="339">
        <v>30</v>
      </c>
      <c r="D5" s="339">
        <v>30</v>
      </c>
      <c r="E5" s="339">
        <v>20</v>
      </c>
      <c r="F5" s="339">
        <v>25</v>
      </c>
      <c r="G5" s="339">
        <v>20</v>
      </c>
      <c r="H5" s="339">
        <v>5</v>
      </c>
      <c r="I5" s="341">
        <f>SUM(B5:H5)</f>
        <v>160</v>
      </c>
      <c r="J5" s="342"/>
    </row>
    <row r="6" spans="1:11" x14ac:dyDescent="0.3">
      <c r="A6" s="328" t="s">
        <v>150</v>
      </c>
      <c r="B6" s="339">
        <v>57</v>
      </c>
      <c r="C6" s="339">
        <v>75</v>
      </c>
      <c r="D6" s="339">
        <v>80</v>
      </c>
      <c r="E6" s="339">
        <v>90</v>
      </c>
      <c r="F6" s="339">
        <v>100</v>
      </c>
      <c r="G6" s="339">
        <v>115</v>
      </c>
      <c r="H6" s="339">
        <v>120</v>
      </c>
      <c r="I6" s="348"/>
      <c r="J6" s="342"/>
    </row>
    <row r="7" spans="1:11" x14ac:dyDescent="0.3">
      <c r="A7" s="328" t="s">
        <v>151</v>
      </c>
      <c r="B7" s="339">
        <v>17</v>
      </c>
      <c r="C7" s="339">
        <v>22</v>
      </c>
      <c r="D7" s="339">
        <v>25</v>
      </c>
      <c r="E7" s="339">
        <v>27</v>
      </c>
      <c r="F7" s="339">
        <v>30</v>
      </c>
      <c r="G7" s="339">
        <v>33</v>
      </c>
      <c r="H7" s="339">
        <v>35</v>
      </c>
      <c r="I7" s="348"/>
      <c r="J7" s="342"/>
    </row>
    <row r="8" spans="1:11" x14ac:dyDescent="0.3">
      <c r="A8" s="328" t="s">
        <v>152</v>
      </c>
      <c r="B8" s="339">
        <f>B6*B7</f>
        <v>969</v>
      </c>
      <c r="C8" s="339">
        <f t="shared" ref="C8:H8" si="0">C6*C7</f>
        <v>1650</v>
      </c>
      <c r="D8" s="339">
        <f t="shared" si="0"/>
        <v>2000</v>
      </c>
      <c r="E8" s="339">
        <f t="shared" si="0"/>
        <v>2430</v>
      </c>
      <c r="F8" s="339">
        <f t="shared" si="0"/>
        <v>3000</v>
      </c>
      <c r="G8" s="339">
        <f t="shared" si="0"/>
        <v>3795</v>
      </c>
      <c r="H8" s="339">
        <f t="shared" si="0"/>
        <v>4200</v>
      </c>
      <c r="I8" s="348"/>
      <c r="J8" s="342"/>
    </row>
    <row r="9" spans="1:11" x14ac:dyDescent="0.3">
      <c r="A9" s="328" t="s">
        <v>194</v>
      </c>
      <c r="B9" s="433">
        <v>10</v>
      </c>
      <c r="C9" s="356">
        <v>20</v>
      </c>
      <c r="D9" s="356">
        <v>30</v>
      </c>
      <c r="E9" s="356">
        <v>50</v>
      </c>
      <c r="F9" s="356">
        <v>85</v>
      </c>
      <c r="G9" s="424">
        <v>110</v>
      </c>
      <c r="H9" s="424">
        <v>120</v>
      </c>
      <c r="I9" s="434"/>
      <c r="J9" s="434"/>
    </row>
    <row r="10" spans="1:11" x14ac:dyDescent="0.3">
      <c r="A10" s="328" t="s">
        <v>154</v>
      </c>
      <c r="B10" s="435">
        <v>0.15</v>
      </c>
      <c r="C10" s="435">
        <v>0.2</v>
      </c>
      <c r="D10" s="435">
        <v>0.3</v>
      </c>
      <c r="E10" s="435">
        <v>0.4</v>
      </c>
      <c r="F10" s="435">
        <v>0.55000000000000004</v>
      </c>
      <c r="G10" s="435">
        <v>0.65</v>
      </c>
      <c r="H10" s="435">
        <v>1</v>
      </c>
      <c r="I10" s="434"/>
      <c r="J10" s="434"/>
      <c r="K10" s="402"/>
    </row>
    <row r="11" spans="1:11" x14ac:dyDescent="0.3">
      <c r="A11" s="328" t="s">
        <v>285</v>
      </c>
      <c r="B11" s="362">
        <f>1/B10</f>
        <v>6.666666666666667</v>
      </c>
      <c r="C11" s="362">
        <f t="shared" ref="C11:H11" si="1">1/C10</f>
        <v>5</v>
      </c>
      <c r="D11" s="362">
        <f t="shared" si="1"/>
        <v>3.3333333333333335</v>
      </c>
      <c r="E11" s="362">
        <f t="shared" si="1"/>
        <v>2.5</v>
      </c>
      <c r="F11" s="362">
        <f t="shared" si="1"/>
        <v>1.8181818181818181</v>
      </c>
      <c r="G11" s="362">
        <f t="shared" si="1"/>
        <v>1.5384615384615383</v>
      </c>
      <c r="H11" s="362">
        <f t="shared" si="1"/>
        <v>1</v>
      </c>
      <c r="I11" s="348"/>
      <c r="J11" s="342"/>
      <c r="K11" s="328"/>
    </row>
    <row r="12" spans="1:11" x14ac:dyDescent="0.3">
      <c r="A12" s="328" t="s">
        <v>240</v>
      </c>
      <c r="B12" s="340">
        <f>B10*10000</f>
        <v>1500</v>
      </c>
      <c r="C12" s="340">
        <f t="shared" ref="C12:H12" si="2">C10*10000</f>
        <v>2000</v>
      </c>
      <c r="D12" s="340">
        <f t="shared" si="2"/>
        <v>3000</v>
      </c>
      <c r="E12" s="340">
        <f t="shared" si="2"/>
        <v>4000</v>
      </c>
      <c r="F12" s="340">
        <f t="shared" si="2"/>
        <v>5500</v>
      </c>
      <c r="G12" s="340">
        <f t="shared" si="2"/>
        <v>6500</v>
      </c>
      <c r="H12" s="340">
        <f t="shared" si="2"/>
        <v>10000</v>
      </c>
      <c r="I12" s="348"/>
      <c r="J12" s="342"/>
      <c r="K12" s="328"/>
    </row>
    <row r="13" spans="1:11" ht="28.8" x14ac:dyDescent="0.3">
      <c r="A13" s="349" t="s">
        <v>156</v>
      </c>
      <c r="B13" s="350">
        <f t="shared" ref="B13:H13" si="3">(B8/B12)*100</f>
        <v>64.600000000000009</v>
      </c>
      <c r="C13" s="350">
        <f t="shared" si="3"/>
        <v>82.5</v>
      </c>
      <c r="D13" s="350">
        <f t="shared" si="3"/>
        <v>66.666666666666657</v>
      </c>
      <c r="E13" s="350">
        <f t="shared" si="3"/>
        <v>60.750000000000007</v>
      </c>
      <c r="F13" s="350">
        <f t="shared" si="3"/>
        <v>54.54545454545454</v>
      </c>
      <c r="G13" s="350">
        <f t="shared" si="3"/>
        <v>58.38461538461538</v>
      </c>
      <c r="H13" s="350">
        <f t="shared" si="3"/>
        <v>42</v>
      </c>
      <c r="I13" s="351">
        <f>(B5*B13+C5*C13+D5*D13+E5*E13+F5*F13+G5*G13)/I5</f>
        <v>63.495804195804205</v>
      </c>
      <c r="J13" s="410" t="s">
        <v>157</v>
      </c>
    </row>
    <row r="14" spans="1:11" x14ac:dyDescent="0.3">
      <c r="A14" s="405" t="s">
        <v>286</v>
      </c>
      <c r="B14" s="396" t="s">
        <v>141</v>
      </c>
      <c r="C14" s="396" t="s">
        <v>287</v>
      </c>
      <c r="D14" s="396"/>
      <c r="E14" s="326"/>
      <c r="F14" s="396"/>
      <c r="G14" s="337" t="s">
        <v>283</v>
      </c>
      <c r="I14" s="407" t="s">
        <v>147</v>
      </c>
      <c r="J14" s="326" t="s">
        <v>288</v>
      </c>
    </row>
    <row r="15" spans="1:11" x14ac:dyDescent="0.3">
      <c r="A15" s="328" t="s">
        <v>149</v>
      </c>
      <c r="B15" s="339">
        <v>30</v>
      </c>
      <c r="C15" s="339">
        <v>30</v>
      </c>
      <c r="D15" s="339">
        <v>30</v>
      </c>
      <c r="E15" s="339">
        <v>30</v>
      </c>
      <c r="F15" s="339">
        <v>40</v>
      </c>
      <c r="G15" s="341">
        <f>SUM(B15:F15)</f>
        <v>160</v>
      </c>
      <c r="H15" s="342"/>
      <c r="I15" s="348"/>
      <c r="J15" s="342"/>
    </row>
    <row r="16" spans="1:11" x14ac:dyDescent="0.3">
      <c r="A16" s="328" t="s">
        <v>150</v>
      </c>
      <c r="B16" s="339">
        <v>57</v>
      </c>
      <c r="C16" s="339">
        <v>75</v>
      </c>
      <c r="D16" s="339">
        <v>80</v>
      </c>
      <c r="E16" s="339">
        <v>95</v>
      </c>
      <c r="F16" s="339">
        <v>120</v>
      </c>
      <c r="G16" s="348"/>
      <c r="H16" s="342"/>
      <c r="I16" s="348"/>
      <c r="J16" s="342"/>
    </row>
    <row r="17" spans="1:15" x14ac:dyDescent="0.3">
      <c r="A17" s="328" t="s">
        <v>151</v>
      </c>
      <c r="B17" s="339">
        <v>17</v>
      </c>
      <c r="C17" s="339">
        <v>22</v>
      </c>
      <c r="D17" s="339">
        <v>25</v>
      </c>
      <c r="E17" s="339">
        <v>29</v>
      </c>
      <c r="F17" s="339">
        <v>35</v>
      </c>
      <c r="G17" s="348"/>
      <c r="H17" s="342"/>
      <c r="I17" s="348"/>
      <c r="J17" s="342"/>
    </row>
    <row r="18" spans="1:15" x14ac:dyDescent="0.3">
      <c r="A18" s="328" t="s">
        <v>152</v>
      </c>
      <c r="B18" s="339">
        <f>B16*B17</f>
        <v>969</v>
      </c>
      <c r="C18" s="339">
        <f>C16*C17</f>
        <v>1650</v>
      </c>
      <c r="D18" s="339">
        <f>D16*D17</f>
        <v>2000</v>
      </c>
      <c r="E18" s="339">
        <f>E16*E17</f>
        <v>2755</v>
      </c>
      <c r="F18" s="339">
        <f>F16*F17</f>
        <v>4200</v>
      </c>
      <c r="G18" s="348"/>
      <c r="H18" s="342"/>
      <c r="I18" s="348"/>
      <c r="J18" s="342"/>
    </row>
    <row r="19" spans="1:15" x14ac:dyDescent="0.3">
      <c r="A19" s="328" t="s">
        <v>257</v>
      </c>
      <c r="B19" s="436" t="s">
        <v>289</v>
      </c>
      <c r="C19" s="489" t="s">
        <v>290</v>
      </c>
      <c r="D19" s="486"/>
      <c r="E19" s="486"/>
      <c r="F19" s="490"/>
      <c r="G19" s="434"/>
      <c r="H19" s="434"/>
      <c r="I19" s="348"/>
      <c r="J19" s="342"/>
    </row>
    <row r="20" spans="1:15" x14ac:dyDescent="0.3">
      <c r="A20" s="328" t="s">
        <v>194</v>
      </c>
      <c r="B20" s="409">
        <v>10</v>
      </c>
      <c r="C20" s="437">
        <v>20</v>
      </c>
      <c r="D20" s="339">
        <v>30</v>
      </c>
      <c r="E20" s="339">
        <v>59</v>
      </c>
      <c r="F20" s="409">
        <v>120</v>
      </c>
      <c r="G20" s="434"/>
      <c r="H20" s="434"/>
      <c r="I20" s="434"/>
      <c r="J20" s="434"/>
    </row>
    <row r="21" spans="1:15" x14ac:dyDescent="0.3">
      <c r="A21" s="328" t="s">
        <v>154</v>
      </c>
      <c r="B21" s="435">
        <v>0.46</v>
      </c>
      <c r="C21" s="435">
        <f>0.17+(C20/130)</f>
        <v>0.32384615384615389</v>
      </c>
      <c r="D21" s="435">
        <f>0.17+(D20/130)</f>
        <v>0.40076923076923077</v>
      </c>
      <c r="E21" s="435">
        <f>0.17+(E20/130)</f>
        <v>0.62384615384615383</v>
      </c>
      <c r="F21" s="435">
        <f>0.17+(F20/130)</f>
        <v>1.0930769230769231</v>
      </c>
      <c r="G21" s="434"/>
      <c r="H21" s="434"/>
      <c r="I21" s="434"/>
      <c r="J21" s="434"/>
    </row>
    <row r="22" spans="1:15" x14ac:dyDescent="0.3">
      <c r="A22" s="328" t="s">
        <v>285</v>
      </c>
      <c r="B22" s="362">
        <f>1/B21</f>
        <v>2.1739130434782608</v>
      </c>
      <c r="C22" s="362">
        <f>1/C21</f>
        <v>3.0878859857482182</v>
      </c>
      <c r="D22" s="362">
        <f>1/D21</f>
        <v>2.4952015355086372</v>
      </c>
      <c r="E22" s="362">
        <f>1/E21</f>
        <v>1.6029593094944514</v>
      </c>
      <c r="F22" s="362">
        <f>1/F21</f>
        <v>0.91484869809992964</v>
      </c>
      <c r="G22" s="348"/>
      <c r="H22" s="342"/>
      <c r="I22" s="348"/>
      <c r="J22" s="342"/>
    </row>
    <row r="23" spans="1:15" x14ac:dyDescent="0.3">
      <c r="A23" s="328" t="s">
        <v>240</v>
      </c>
      <c r="B23" s="340">
        <f>10000/B22</f>
        <v>4600</v>
      </c>
      <c r="C23" s="340">
        <f>10000/C22</f>
        <v>3238.461538461539</v>
      </c>
      <c r="D23" s="340">
        <f>10000/D22</f>
        <v>4007.6923076923076</v>
      </c>
      <c r="E23" s="340">
        <f>10000/E22</f>
        <v>6238.4615384615381</v>
      </c>
      <c r="F23" s="340">
        <f>10000/F22</f>
        <v>10930.76923076923</v>
      </c>
      <c r="G23" s="348"/>
      <c r="H23" s="342"/>
      <c r="I23" s="348"/>
      <c r="J23" s="342"/>
    </row>
    <row r="24" spans="1:15" ht="28.8" x14ac:dyDescent="0.3">
      <c r="A24" s="349" t="s">
        <v>156</v>
      </c>
      <c r="B24" s="350">
        <f>(B18/B23)*100</f>
        <v>21.065217391304348</v>
      </c>
      <c r="C24" s="350">
        <f>(C18/C23)*100</f>
        <v>50.950118764845598</v>
      </c>
      <c r="D24" s="350">
        <f>(D18/D23)*100</f>
        <v>49.904030710172748</v>
      </c>
      <c r="E24" s="350">
        <f>(E18/E23)*100</f>
        <v>44.161528976572136</v>
      </c>
      <c r="F24" s="350">
        <f>(F18/F23)*100</f>
        <v>38.423645320197046</v>
      </c>
      <c r="G24" s="351">
        <f>(B15*B24+C15*C24+D15*D24+E15*E24+F15*F24)/G15</f>
        <v>40.746079300592044</v>
      </c>
      <c r="H24" s="410" t="s">
        <v>157</v>
      </c>
      <c r="I24" s="351"/>
    </row>
    <row r="25" spans="1:15" x14ac:dyDescent="0.3">
      <c r="A25" s="327" t="s">
        <v>291</v>
      </c>
      <c r="B25" s="329" t="s">
        <v>282</v>
      </c>
      <c r="C25" s="329" t="s">
        <v>292</v>
      </c>
      <c r="D25" s="328"/>
      <c r="E25" s="328"/>
      <c r="F25" s="328"/>
      <c r="G25" s="348"/>
      <c r="H25" s="342"/>
      <c r="L25" s="355" t="s">
        <v>147</v>
      </c>
      <c r="M25" s="328" t="s">
        <v>284</v>
      </c>
      <c r="N25" s="328"/>
      <c r="O25" s="328"/>
    </row>
    <row r="26" spans="1:15" x14ac:dyDescent="0.3">
      <c r="A26" s="328"/>
      <c r="B26" s="329"/>
      <c r="C26" s="329"/>
      <c r="D26" s="328"/>
      <c r="E26" s="328"/>
      <c r="F26" s="328"/>
      <c r="G26" s="348"/>
      <c r="H26" s="342"/>
      <c r="I26" s="434" t="s">
        <v>293</v>
      </c>
      <c r="J26" s="348" t="s">
        <v>294</v>
      </c>
      <c r="K26" s="434" t="s">
        <v>295</v>
      </c>
      <c r="L26" s="438" t="s">
        <v>283</v>
      </c>
      <c r="M26" s="328"/>
      <c r="N26" s="328"/>
      <c r="O26" s="328"/>
    </row>
    <row r="27" spans="1:15" x14ac:dyDescent="0.3">
      <c r="A27" s="328" t="s">
        <v>149</v>
      </c>
      <c r="B27" s="339">
        <v>30</v>
      </c>
      <c r="C27" s="339">
        <v>30</v>
      </c>
      <c r="D27" s="339">
        <v>30</v>
      </c>
      <c r="E27" s="339">
        <v>20</v>
      </c>
      <c r="F27" s="339">
        <v>25</v>
      </c>
      <c r="G27" s="339">
        <v>20</v>
      </c>
      <c r="H27" s="340">
        <v>5</v>
      </c>
      <c r="I27" s="340">
        <v>200</v>
      </c>
      <c r="J27" s="340">
        <f>4.5*35</f>
        <v>157.5</v>
      </c>
      <c r="K27" s="340">
        <v>582.5</v>
      </c>
      <c r="L27" s="439">
        <f>SUM(B27:K27)</f>
        <v>1100</v>
      </c>
      <c r="M27" s="328"/>
      <c r="N27" s="328"/>
      <c r="O27" s="342"/>
    </row>
    <row r="28" spans="1:15" x14ac:dyDescent="0.3">
      <c r="A28" s="328" t="s">
        <v>150</v>
      </c>
      <c r="B28" s="339">
        <v>57</v>
      </c>
      <c r="C28" s="339">
        <v>75</v>
      </c>
      <c r="D28" s="339">
        <v>80</v>
      </c>
      <c r="E28" s="339">
        <v>90</v>
      </c>
      <c r="F28" s="339">
        <v>100</v>
      </c>
      <c r="G28" s="339">
        <v>115</v>
      </c>
      <c r="H28" s="348">
        <v>120</v>
      </c>
      <c r="I28" s="348">
        <v>150</v>
      </c>
      <c r="J28" s="348">
        <v>170</v>
      </c>
      <c r="K28" s="348">
        <v>170</v>
      </c>
      <c r="L28" s="342"/>
      <c r="M28" s="338"/>
      <c r="N28" s="338"/>
      <c r="O28" s="342"/>
    </row>
    <row r="29" spans="1:15" x14ac:dyDescent="0.3">
      <c r="A29" s="328" t="s">
        <v>151</v>
      </c>
      <c r="B29" s="339">
        <v>17</v>
      </c>
      <c r="C29" s="339">
        <v>22</v>
      </c>
      <c r="D29" s="339">
        <v>25</v>
      </c>
      <c r="E29" s="339">
        <v>27</v>
      </c>
      <c r="F29" s="339">
        <v>30</v>
      </c>
      <c r="G29" s="339">
        <v>33</v>
      </c>
      <c r="H29" s="348">
        <v>35</v>
      </c>
      <c r="I29" s="348">
        <v>40</v>
      </c>
      <c r="J29" s="348">
        <v>45</v>
      </c>
      <c r="K29" s="348">
        <v>45</v>
      </c>
      <c r="L29" s="342"/>
      <c r="M29" s="328"/>
      <c r="N29" s="328"/>
      <c r="O29" s="342"/>
    </row>
    <row r="30" spans="1:15" x14ac:dyDescent="0.3">
      <c r="A30" s="328" t="s">
        <v>152</v>
      </c>
      <c r="B30" s="339">
        <f>B28*B29</f>
        <v>969</v>
      </c>
      <c r="C30" s="339">
        <f t="shared" ref="C30:H30" si="4">C28*C29</f>
        <v>1650</v>
      </c>
      <c r="D30" s="339">
        <f t="shared" si="4"/>
        <v>2000</v>
      </c>
      <c r="E30" s="339">
        <f t="shared" si="4"/>
        <v>2430</v>
      </c>
      <c r="F30" s="339">
        <f t="shared" si="4"/>
        <v>3000</v>
      </c>
      <c r="G30" s="339">
        <f t="shared" si="4"/>
        <v>3795</v>
      </c>
      <c r="H30" s="339">
        <f t="shared" si="4"/>
        <v>4200</v>
      </c>
      <c r="I30" s="339">
        <f>I28*I29</f>
        <v>6000</v>
      </c>
      <c r="J30" s="339">
        <f>J28*J29</f>
        <v>7650</v>
      </c>
      <c r="K30" s="339">
        <f>K28*K29</f>
        <v>7650</v>
      </c>
      <c r="L30" s="342"/>
      <c r="M30" s="328"/>
      <c r="N30" s="328"/>
      <c r="O30" s="342"/>
    </row>
    <row r="31" spans="1:15" x14ac:dyDescent="0.3">
      <c r="A31" s="328" t="s">
        <v>194</v>
      </c>
      <c r="B31" s="433">
        <v>10</v>
      </c>
      <c r="C31" s="356">
        <v>20</v>
      </c>
      <c r="D31" s="356">
        <v>30</v>
      </c>
      <c r="E31" s="356">
        <v>50</v>
      </c>
      <c r="F31" s="356">
        <v>85</v>
      </c>
      <c r="G31" s="424">
        <v>110</v>
      </c>
      <c r="H31" s="389">
        <v>120</v>
      </c>
      <c r="I31" s="348"/>
      <c r="J31" s="348"/>
      <c r="K31" s="348"/>
      <c r="L31" s="434"/>
      <c r="M31" s="345"/>
      <c r="N31" s="345"/>
      <c r="O31" s="342"/>
    </row>
    <row r="32" spans="1:15" x14ac:dyDescent="0.3">
      <c r="A32" s="328" t="s">
        <v>154</v>
      </c>
      <c r="B32" s="435">
        <v>0.15</v>
      </c>
      <c r="C32" s="435">
        <v>0.2</v>
      </c>
      <c r="D32" s="435">
        <v>0.3</v>
      </c>
      <c r="E32" s="435">
        <v>0.4</v>
      </c>
      <c r="F32" s="435">
        <v>0.55000000000000004</v>
      </c>
      <c r="G32" s="435">
        <v>0.65</v>
      </c>
      <c r="H32" s="440">
        <v>1</v>
      </c>
      <c r="I32" s="440">
        <v>1.64</v>
      </c>
      <c r="J32" s="441">
        <v>1.4</v>
      </c>
      <c r="K32" s="440">
        <v>2.25</v>
      </c>
      <c r="L32" s="442" t="s">
        <v>147</v>
      </c>
      <c r="M32" s="443" t="s">
        <v>296</v>
      </c>
      <c r="N32" s="443"/>
      <c r="O32" s="444"/>
    </row>
    <row r="33" spans="1:18" x14ac:dyDescent="0.3">
      <c r="A33" s="328" t="s">
        <v>285</v>
      </c>
      <c r="B33" s="362">
        <f>1/B32</f>
        <v>6.666666666666667</v>
      </c>
      <c r="C33" s="362">
        <f t="shared" ref="C33:I33" si="5">1/C32</f>
        <v>5</v>
      </c>
      <c r="D33" s="362">
        <f t="shared" si="5"/>
        <v>3.3333333333333335</v>
      </c>
      <c r="E33" s="362">
        <f t="shared" si="5"/>
        <v>2.5</v>
      </c>
      <c r="F33" s="362">
        <f t="shared" si="5"/>
        <v>1.8181818181818181</v>
      </c>
      <c r="G33" s="362">
        <f t="shared" si="5"/>
        <v>1.5384615384615383</v>
      </c>
      <c r="H33" s="362">
        <f t="shared" si="5"/>
        <v>1</v>
      </c>
      <c r="I33" s="362">
        <f t="shared" si="5"/>
        <v>0.6097560975609756</v>
      </c>
      <c r="J33" s="362">
        <f>1/J32</f>
        <v>0.7142857142857143</v>
      </c>
      <c r="K33" s="362">
        <f>1/K32</f>
        <v>0.44444444444444442</v>
      </c>
      <c r="L33" s="342"/>
      <c r="M33" s="328"/>
      <c r="N33" s="328"/>
      <c r="O33" s="342"/>
    </row>
    <row r="34" spans="1:18" x14ac:dyDescent="0.3">
      <c r="A34" s="328" t="s">
        <v>240</v>
      </c>
      <c r="B34" s="340">
        <f>B32*10000</f>
        <v>1500</v>
      </c>
      <c r="C34" s="340">
        <f t="shared" ref="C34:K34" si="6">C32*10000</f>
        <v>2000</v>
      </c>
      <c r="D34" s="340">
        <f t="shared" si="6"/>
        <v>3000</v>
      </c>
      <c r="E34" s="340">
        <f t="shared" si="6"/>
        <v>4000</v>
      </c>
      <c r="F34" s="340">
        <f t="shared" si="6"/>
        <v>5500</v>
      </c>
      <c r="G34" s="340">
        <f t="shared" si="6"/>
        <v>6500</v>
      </c>
      <c r="H34" s="340">
        <f t="shared" si="6"/>
        <v>10000</v>
      </c>
      <c r="I34" s="340">
        <f t="shared" si="6"/>
        <v>16400</v>
      </c>
      <c r="J34" s="340">
        <f t="shared" si="6"/>
        <v>14000</v>
      </c>
      <c r="K34" s="340">
        <f t="shared" si="6"/>
        <v>22500</v>
      </c>
      <c r="L34" s="342"/>
      <c r="M34" s="328"/>
      <c r="N34" s="328"/>
      <c r="O34" s="342"/>
    </row>
    <row r="35" spans="1:18" ht="28.8" x14ac:dyDescent="0.3">
      <c r="A35" s="349" t="s">
        <v>156</v>
      </c>
      <c r="B35" s="350">
        <f>B30/B34*100</f>
        <v>64.600000000000009</v>
      </c>
      <c r="C35" s="350">
        <f t="shared" ref="C35:H35" si="7">C30/C34*100</f>
        <v>82.5</v>
      </c>
      <c r="D35" s="350">
        <f t="shared" si="7"/>
        <v>66.666666666666657</v>
      </c>
      <c r="E35" s="350">
        <f t="shared" si="7"/>
        <v>60.750000000000007</v>
      </c>
      <c r="F35" s="350">
        <f t="shared" si="7"/>
        <v>54.54545454545454</v>
      </c>
      <c r="G35" s="350">
        <f t="shared" si="7"/>
        <v>58.38461538461538</v>
      </c>
      <c r="H35" s="350">
        <f t="shared" si="7"/>
        <v>42</v>
      </c>
      <c r="I35" s="350">
        <f>I30/I34*100</f>
        <v>36.585365853658537</v>
      </c>
      <c r="J35" s="350">
        <f>J30/J34*100</f>
        <v>54.642857142857139</v>
      </c>
      <c r="K35" s="350">
        <f>K30/K34*100</f>
        <v>34</v>
      </c>
      <c r="L35" s="351">
        <f>(B27*B35+C27*C35+D27*D35+E27*E35+F27*F35+G27*G35+H27*H35+I27*I35+J27*J35+K27*K35)/L27</f>
        <v>41.906956220054894</v>
      </c>
      <c r="M35" s="410" t="s">
        <v>157</v>
      </c>
      <c r="N35" s="328"/>
      <c r="O35" s="328"/>
    </row>
    <row r="36" spans="1:18" x14ac:dyDescent="0.3">
      <c r="A36" s="327" t="s">
        <v>297</v>
      </c>
      <c r="B36" s="329" t="s">
        <v>141</v>
      </c>
      <c r="C36" s="329" t="s">
        <v>298</v>
      </c>
      <c r="D36" s="328"/>
      <c r="E36" s="328"/>
      <c r="F36" s="328"/>
      <c r="G36" s="348"/>
      <c r="H36" s="342"/>
      <c r="I36" s="338"/>
      <c r="J36" s="338"/>
      <c r="L36" s="338" t="s">
        <v>147</v>
      </c>
      <c r="M36" t="s">
        <v>299</v>
      </c>
    </row>
    <row r="37" spans="1:18" x14ac:dyDescent="0.3">
      <c r="A37" s="328"/>
      <c r="B37" s="329"/>
      <c r="C37" s="328"/>
      <c r="D37" s="328"/>
      <c r="E37" s="328"/>
      <c r="F37" s="328"/>
      <c r="G37" s="348" t="s">
        <v>293</v>
      </c>
      <c r="H37" s="342" t="s">
        <v>300</v>
      </c>
      <c r="I37" s="338" t="s">
        <v>295</v>
      </c>
      <c r="J37" s="338"/>
    </row>
    <row r="38" spans="1:18" x14ac:dyDescent="0.3">
      <c r="A38" s="328" t="s">
        <v>149</v>
      </c>
      <c r="B38" s="339">
        <v>30</v>
      </c>
      <c r="C38" s="339">
        <v>30</v>
      </c>
      <c r="D38" s="339">
        <v>30</v>
      </c>
      <c r="E38" s="339">
        <v>30</v>
      </c>
      <c r="F38" s="339">
        <v>40</v>
      </c>
      <c r="G38" s="340">
        <v>200</v>
      </c>
      <c r="H38" s="340">
        <v>180</v>
      </c>
      <c r="I38" s="340">
        <v>560</v>
      </c>
      <c r="J38" s="339">
        <f>SUM(B38:I38)</f>
        <v>1100</v>
      </c>
    </row>
    <row r="39" spans="1:18" x14ac:dyDescent="0.3">
      <c r="A39" s="328" t="s">
        <v>150</v>
      </c>
      <c r="B39" s="339">
        <v>57</v>
      </c>
      <c r="C39" s="339">
        <v>75</v>
      </c>
      <c r="D39" s="339">
        <v>80</v>
      </c>
      <c r="E39" s="339">
        <v>95</v>
      </c>
      <c r="F39" s="339">
        <v>120</v>
      </c>
      <c r="G39" s="340">
        <v>150</v>
      </c>
      <c r="H39" s="340">
        <v>170</v>
      </c>
      <c r="I39" s="340">
        <v>170</v>
      </c>
      <c r="J39" s="339"/>
    </row>
    <row r="40" spans="1:18" x14ac:dyDescent="0.3">
      <c r="A40" s="328" t="s">
        <v>151</v>
      </c>
      <c r="B40" s="339">
        <v>17</v>
      </c>
      <c r="C40" s="339">
        <v>22</v>
      </c>
      <c r="D40" s="339">
        <v>25</v>
      </c>
      <c r="E40" s="339">
        <v>29</v>
      </c>
      <c r="F40" s="339">
        <v>35</v>
      </c>
      <c r="G40" s="340">
        <v>40</v>
      </c>
      <c r="H40" s="340">
        <v>45</v>
      </c>
      <c r="I40" s="340">
        <v>45</v>
      </c>
      <c r="J40" s="339"/>
    </row>
    <row r="41" spans="1:18" x14ac:dyDescent="0.3">
      <c r="A41" s="328" t="s">
        <v>152</v>
      </c>
      <c r="B41" s="339">
        <f>B39*B40</f>
        <v>969</v>
      </c>
      <c r="C41" s="339">
        <f t="shared" ref="C41:I41" si="8">C39*C40</f>
        <v>1650</v>
      </c>
      <c r="D41" s="339">
        <f t="shared" si="8"/>
        <v>2000</v>
      </c>
      <c r="E41" s="339">
        <f t="shared" si="8"/>
        <v>2755</v>
      </c>
      <c r="F41" s="339">
        <f t="shared" si="8"/>
        <v>4200</v>
      </c>
      <c r="G41" s="339">
        <f t="shared" si="8"/>
        <v>6000</v>
      </c>
      <c r="H41" s="339">
        <f t="shared" si="8"/>
        <v>7650</v>
      </c>
      <c r="I41" s="339">
        <f t="shared" si="8"/>
        <v>7650</v>
      </c>
      <c r="J41" s="339"/>
      <c r="R41">
        <f>180/4.5</f>
        <v>40</v>
      </c>
    </row>
    <row r="42" spans="1:18" x14ac:dyDescent="0.3">
      <c r="A42" s="328" t="s">
        <v>194</v>
      </c>
      <c r="B42" s="409">
        <v>10</v>
      </c>
      <c r="C42" s="339">
        <v>20</v>
      </c>
      <c r="D42" s="339">
        <v>30</v>
      </c>
      <c r="E42" s="339">
        <v>59</v>
      </c>
      <c r="F42" s="409">
        <v>120</v>
      </c>
      <c r="G42" s="434"/>
      <c r="H42" s="434"/>
      <c r="I42" s="345"/>
      <c r="J42" s="345"/>
    </row>
    <row r="43" spans="1:18" x14ac:dyDescent="0.3">
      <c r="A43" s="328" t="s">
        <v>154</v>
      </c>
      <c r="B43" s="435">
        <v>0.46</v>
      </c>
      <c r="C43" s="435">
        <f>0.17+(C42/130)</f>
        <v>0.32384615384615389</v>
      </c>
      <c r="D43" s="435">
        <f>0.17+(D42/130)</f>
        <v>0.40076923076923077</v>
      </c>
      <c r="E43" s="435">
        <f>0.17+(E42/130)</f>
        <v>0.62384615384615383</v>
      </c>
      <c r="F43" s="435">
        <f>0.17+(F42/130)</f>
        <v>1.0930769230769231</v>
      </c>
      <c r="G43" s="440">
        <v>1.64</v>
      </c>
      <c r="H43" s="440">
        <v>6</v>
      </c>
      <c r="I43" s="356">
        <v>2.25</v>
      </c>
      <c r="J43" s="345"/>
    </row>
    <row r="44" spans="1:18" x14ac:dyDescent="0.3">
      <c r="A44" s="328" t="s">
        <v>285</v>
      </c>
      <c r="B44" s="362">
        <f>1/B43</f>
        <v>2.1739130434782608</v>
      </c>
      <c r="C44" s="362">
        <f t="shared" ref="C44:I44" si="9">1/C43</f>
        <v>3.0878859857482182</v>
      </c>
      <c r="D44" s="362">
        <f t="shared" si="9"/>
        <v>2.4952015355086372</v>
      </c>
      <c r="E44" s="362">
        <f t="shared" si="9"/>
        <v>1.6029593094944514</v>
      </c>
      <c r="F44" s="362">
        <f t="shared" si="9"/>
        <v>0.91484869809992964</v>
      </c>
      <c r="G44" s="362">
        <f t="shared" si="9"/>
        <v>0.6097560975609756</v>
      </c>
      <c r="H44" s="362">
        <f t="shared" si="9"/>
        <v>0.16666666666666666</v>
      </c>
      <c r="I44" s="362">
        <f t="shared" si="9"/>
        <v>0.44444444444444442</v>
      </c>
      <c r="J44" s="328"/>
    </row>
    <row r="45" spans="1:18" x14ac:dyDescent="0.3">
      <c r="A45" s="328" t="s">
        <v>240</v>
      </c>
      <c r="B45" s="340">
        <f t="shared" ref="B45:I45" si="10">10000/B44</f>
        <v>4600</v>
      </c>
      <c r="C45" s="340">
        <f t="shared" si="10"/>
        <v>3238.461538461539</v>
      </c>
      <c r="D45" s="340">
        <f t="shared" si="10"/>
        <v>4007.6923076923076</v>
      </c>
      <c r="E45" s="340">
        <f t="shared" si="10"/>
        <v>6238.4615384615381</v>
      </c>
      <c r="F45" s="340">
        <f t="shared" si="10"/>
        <v>10930.76923076923</v>
      </c>
      <c r="G45" s="340">
        <f t="shared" si="10"/>
        <v>16400</v>
      </c>
      <c r="H45" s="340">
        <f t="shared" si="10"/>
        <v>60000</v>
      </c>
      <c r="I45" s="340">
        <f t="shared" si="10"/>
        <v>22500</v>
      </c>
      <c r="J45" s="328"/>
    </row>
    <row r="46" spans="1:18" ht="28.8" x14ac:dyDescent="0.3">
      <c r="A46" s="349" t="s">
        <v>156</v>
      </c>
      <c r="B46" s="350">
        <f t="shared" ref="B46:I46" si="11">(B41/B45)*100</f>
        <v>21.065217391304348</v>
      </c>
      <c r="C46" s="350">
        <f t="shared" si="11"/>
        <v>50.950118764845598</v>
      </c>
      <c r="D46" s="350">
        <f t="shared" si="11"/>
        <v>49.904030710172748</v>
      </c>
      <c r="E46" s="350">
        <f t="shared" si="11"/>
        <v>44.161528976572136</v>
      </c>
      <c r="F46" s="350">
        <f t="shared" si="11"/>
        <v>38.423645320197046</v>
      </c>
      <c r="G46" s="350">
        <f t="shared" si="11"/>
        <v>36.585365853658537</v>
      </c>
      <c r="H46" s="350">
        <f t="shared" si="11"/>
        <v>12.75</v>
      </c>
      <c r="I46" s="350">
        <f t="shared" si="11"/>
        <v>34</v>
      </c>
      <c r="J46" s="372">
        <f>(B38*B46+C38*C46+D38*D46+E38*E46+F38*F46+G38*G46+H38*H46+I38*I46)/J38</f>
        <v>31.974041689842217</v>
      </c>
      <c r="K46" s="352" t="s">
        <v>157</v>
      </c>
    </row>
  </sheetData>
  <mergeCells count="1">
    <mergeCell ref="C19:F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6E24-5866-4D25-8596-386C38CFE578}">
  <sheetPr>
    <tabColor theme="3" tint="0.39997558519241921"/>
  </sheetPr>
  <dimension ref="A1:M106"/>
  <sheetViews>
    <sheetView topLeftCell="A34" workbookViewId="0">
      <selection activeCell="B105" sqref="B105"/>
    </sheetView>
  </sheetViews>
  <sheetFormatPr defaultRowHeight="14.4" x14ac:dyDescent="0.3"/>
  <cols>
    <col min="1" max="1" width="15.109375" style="328" customWidth="1"/>
    <col min="5" max="6" width="11.5546875" bestFit="1" customWidth="1"/>
    <col min="7" max="7" width="10.44140625" customWidth="1"/>
    <col min="9" max="9" width="10.33203125" customWidth="1"/>
  </cols>
  <sheetData>
    <row r="1" spans="1:12" s="64" customFormat="1" x14ac:dyDescent="0.3">
      <c r="A1" s="328"/>
      <c r="B1"/>
      <c r="C1"/>
      <c r="D1"/>
      <c r="E1"/>
      <c r="G1"/>
      <c r="I1"/>
    </row>
    <row r="2" spans="1:12" s="64" customFormat="1" ht="21" x14ac:dyDescent="0.3">
      <c r="A2" s="399" t="s">
        <v>301</v>
      </c>
      <c r="H2" t="s">
        <v>139</v>
      </c>
      <c r="I2"/>
    </row>
    <row r="3" spans="1:12" s="64" customFormat="1" x14ac:dyDescent="0.3">
      <c r="A3" s="328"/>
      <c r="B3"/>
      <c r="C3"/>
      <c r="D3"/>
      <c r="E3"/>
      <c r="G3"/>
      <c r="I3"/>
    </row>
    <row r="4" spans="1:12" s="64" customFormat="1" x14ac:dyDescent="0.3">
      <c r="A4" s="349" t="s">
        <v>302</v>
      </c>
      <c r="B4" s="398" t="s">
        <v>303</v>
      </c>
      <c r="C4" s="398"/>
      <c r="D4" s="398"/>
      <c r="E4" s="398"/>
      <c r="F4" s="398"/>
      <c r="G4" s="398"/>
      <c r="H4" s="398"/>
      <c r="I4" s="398"/>
      <c r="J4" s="398"/>
    </row>
    <row r="5" spans="1:12" x14ac:dyDescent="0.3">
      <c r="A5" s="405" t="s">
        <v>304</v>
      </c>
      <c r="B5" s="326" t="s">
        <v>282</v>
      </c>
      <c r="C5" s="326"/>
      <c r="D5" s="326"/>
      <c r="E5" s="326"/>
      <c r="F5" s="406" t="s">
        <v>305</v>
      </c>
      <c r="G5" s="407" t="s">
        <v>147</v>
      </c>
      <c r="H5" s="326" t="s">
        <v>306</v>
      </c>
      <c r="I5" s="326"/>
      <c r="J5" s="326"/>
    </row>
    <row r="6" spans="1:12" x14ac:dyDescent="0.3">
      <c r="B6" s="5" t="s">
        <v>307</v>
      </c>
      <c r="F6" s="408">
        <v>2.2999999999999998</v>
      </c>
    </row>
    <row r="7" spans="1:12" x14ac:dyDescent="0.3">
      <c r="A7" s="328" t="s">
        <v>308</v>
      </c>
      <c r="B7" s="339">
        <v>1</v>
      </c>
      <c r="C7" s="339">
        <v>2</v>
      </c>
      <c r="D7" s="339">
        <v>3</v>
      </c>
      <c r="E7" s="339">
        <v>4</v>
      </c>
      <c r="F7" s="339">
        <v>5</v>
      </c>
      <c r="G7" s="328"/>
      <c r="H7" s="328"/>
    </row>
    <row r="8" spans="1:12" x14ac:dyDescent="0.3">
      <c r="A8" s="328" t="s">
        <v>150</v>
      </c>
      <c r="B8" s="339">
        <v>7</v>
      </c>
      <c r="C8" s="339">
        <v>15</v>
      </c>
      <c r="D8" s="339">
        <v>20</v>
      </c>
      <c r="E8" s="339">
        <v>30</v>
      </c>
      <c r="F8" s="339">
        <v>40</v>
      </c>
      <c r="G8" s="328"/>
      <c r="H8" s="328"/>
    </row>
    <row r="9" spans="1:12" x14ac:dyDescent="0.3">
      <c r="A9" s="328" t="s">
        <v>151</v>
      </c>
      <c r="B9" s="339">
        <v>5</v>
      </c>
      <c r="C9" s="339">
        <v>10</v>
      </c>
      <c r="D9" s="339">
        <v>14</v>
      </c>
      <c r="E9" s="339">
        <v>17</v>
      </c>
      <c r="F9" s="339">
        <v>20</v>
      </c>
      <c r="G9" s="328"/>
      <c r="H9" s="328"/>
    </row>
    <row r="10" spans="1:12" x14ac:dyDescent="0.3">
      <c r="A10" s="328" t="s">
        <v>152</v>
      </c>
      <c r="B10" s="339">
        <f>B8*B9</f>
        <v>35</v>
      </c>
      <c r="C10" s="339">
        <f>C8*C9</f>
        <v>150</v>
      </c>
      <c r="D10" s="339">
        <f>D8*D9</f>
        <v>280</v>
      </c>
      <c r="E10" s="339">
        <f>E8*E9</f>
        <v>510</v>
      </c>
      <c r="F10" s="339">
        <f>F8*F9</f>
        <v>800</v>
      </c>
      <c r="G10" s="328"/>
      <c r="H10" s="328"/>
    </row>
    <row r="11" spans="1:12" x14ac:dyDescent="0.3">
      <c r="A11" s="328" t="s">
        <v>309</v>
      </c>
      <c r="B11" s="345"/>
      <c r="C11" s="345"/>
      <c r="D11" s="345"/>
      <c r="E11" s="345"/>
      <c r="F11" s="409">
        <v>42</v>
      </c>
      <c r="K11" s="402"/>
      <c r="L11" s="402"/>
    </row>
    <row r="12" spans="1:12" x14ac:dyDescent="0.3">
      <c r="A12" s="328" t="s">
        <v>285</v>
      </c>
      <c r="B12" s="362">
        <f>$F$12</f>
        <v>18.260869565217394</v>
      </c>
      <c r="C12" s="362">
        <f t="shared" ref="C12:D12" si="0">$F$12</f>
        <v>18.260869565217394</v>
      </c>
      <c r="D12" s="362">
        <f t="shared" si="0"/>
        <v>18.260869565217394</v>
      </c>
      <c r="E12" s="362">
        <f>$F$12</f>
        <v>18.260869565217394</v>
      </c>
      <c r="F12" s="362">
        <f>F11/F6</f>
        <v>18.260869565217394</v>
      </c>
      <c r="K12" s="328"/>
      <c r="L12" s="328"/>
    </row>
    <row r="13" spans="1:12" x14ac:dyDescent="0.3">
      <c r="A13" s="328" t="s">
        <v>240</v>
      </c>
      <c r="B13" s="340">
        <f>10000/B12</f>
        <v>547.61904761904748</v>
      </c>
      <c r="C13" s="340">
        <f>10000/C12</f>
        <v>547.61904761904748</v>
      </c>
      <c r="D13" s="340">
        <f>10000/D12</f>
        <v>547.61904761904748</v>
      </c>
      <c r="E13" s="340">
        <f>10000/E12</f>
        <v>547.61904761904748</v>
      </c>
      <c r="F13" s="340">
        <f>10000/F12</f>
        <v>547.61904761904748</v>
      </c>
      <c r="K13" s="328"/>
      <c r="L13" s="328"/>
    </row>
    <row r="14" spans="1:12" ht="31.5" customHeight="1" x14ac:dyDescent="0.3">
      <c r="A14" s="349" t="s">
        <v>156</v>
      </c>
      <c r="B14" s="350">
        <f>(B10/B13)*100</f>
        <v>6.3913043478260896</v>
      </c>
      <c r="C14" s="350">
        <f>(C10/C13)*100</f>
        <v>27.391304347826097</v>
      </c>
      <c r="D14" s="350">
        <f>(D10/D13)*100</f>
        <v>51.130434782608717</v>
      </c>
      <c r="E14" s="350">
        <f>(E10/E13)*100</f>
        <v>93.130434782608717</v>
      </c>
      <c r="F14" s="350">
        <f>(F10/F13)*100</f>
        <v>146.08695652173918</v>
      </c>
      <c r="G14" s="351">
        <f>(SUM(B14:F14))/5</f>
        <v>64.826086956521763</v>
      </c>
      <c r="H14" s="410" t="s">
        <v>157</v>
      </c>
      <c r="I14" s="133"/>
      <c r="J14" s="133"/>
    </row>
    <row r="15" spans="1:12" x14ac:dyDescent="0.3">
      <c r="A15" s="327" t="s">
        <v>310</v>
      </c>
      <c r="B15" t="s">
        <v>159</v>
      </c>
      <c r="F15" s="337" t="s">
        <v>305</v>
      </c>
      <c r="G15" s="374" t="s">
        <v>147</v>
      </c>
      <c r="H15" t="s">
        <v>311</v>
      </c>
    </row>
    <row r="16" spans="1:12" x14ac:dyDescent="0.3">
      <c r="B16" s="5" t="s">
        <v>312</v>
      </c>
      <c r="F16" s="408">
        <v>2.2999999999999998</v>
      </c>
    </row>
    <row r="17" spans="1:10" x14ac:dyDescent="0.3">
      <c r="A17" s="328" t="s">
        <v>308</v>
      </c>
      <c r="B17" s="339">
        <v>1</v>
      </c>
      <c r="C17" s="339">
        <v>2</v>
      </c>
      <c r="D17" s="339">
        <v>3</v>
      </c>
      <c r="E17" s="339">
        <v>4</v>
      </c>
      <c r="F17" s="339">
        <v>5</v>
      </c>
      <c r="G17" s="328"/>
      <c r="H17" s="328"/>
    </row>
    <row r="18" spans="1:10" x14ac:dyDescent="0.3">
      <c r="A18" s="328" t="s">
        <v>150</v>
      </c>
      <c r="B18" s="339">
        <v>7</v>
      </c>
      <c r="C18" s="339">
        <v>15</v>
      </c>
      <c r="D18" s="339">
        <v>20</v>
      </c>
      <c r="E18" s="339">
        <v>30</v>
      </c>
      <c r="F18" s="339">
        <v>40</v>
      </c>
      <c r="G18" s="328"/>
      <c r="H18" s="328"/>
    </row>
    <row r="19" spans="1:10" x14ac:dyDescent="0.3">
      <c r="A19" s="328" t="s">
        <v>151</v>
      </c>
      <c r="B19" s="339">
        <v>5</v>
      </c>
      <c r="C19" s="339">
        <v>10</v>
      </c>
      <c r="D19" s="339">
        <v>14</v>
      </c>
      <c r="E19" s="339">
        <v>17</v>
      </c>
      <c r="F19" s="339">
        <v>20</v>
      </c>
      <c r="G19" s="328"/>
      <c r="H19" s="328"/>
    </row>
    <row r="20" spans="1:10" x14ac:dyDescent="0.3">
      <c r="A20" s="328" t="s">
        <v>152</v>
      </c>
      <c r="B20" s="339">
        <f>B18*B19</f>
        <v>35</v>
      </c>
      <c r="C20" s="339">
        <f>C18*C19</f>
        <v>150</v>
      </c>
      <c r="D20" s="339">
        <f>D18*D19</f>
        <v>280</v>
      </c>
      <c r="E20" s="339">
        <f>E18*E19</f>
        <v>510</v>
      </c>
      <c r="F20" s="339">
        <f>F18*F19</f>
        <v>800</v>
      </c>
      <c r="G20" s="328"/>
      <c r="H20" s="328"/>
    </row>
    <row r="21" spans="1:10" x14ac:dyDescent="0.3">
      <c r="A21" s="328" t="s">
        <v>309</v>
      </c>
      <c r="B21" s="345"/>
      <c r="C21" s="345"/>
      <c r="D21" s="345"/>
      <c r="E21" s="345"/>
      <c r="F21" s="411">
        <v>40</v>
      </c>
    </row>
    <row r="22" spans="1:10" x14ac:dyDescent="0.3">
      <c r="A22" s="328" t="s">
        <v>285</v>
      </c>
      <c r="B22" s="362">
        <f t="shared" ref="B22:D22" si="1">$F$22</f>
        <v>17.39130434782609</v>
      </c>
      <c r="C22" s="362">
        <f t="shared" si="1"/>
        <v>17.39130434782609</v>
      </c>
      <c r="D22" s="362">
        <f t="shared" si="1"/>
        <v>17.39130434782609</v>
      </c>
      <c r="E22" s="362">
        <f>$F$22</f>
        <v>17.39130434782609</v>
      </c>
      <c r="F22" s="362">
        <f>F21/F16</f>
        <v>17.39130434782609</v>
      </c>
    </row>
    <row r="23" spans="1:10" x14ac:dyDescent="0.3">
      <c r="A23" s="328" t="s">
        <v>240</v>
      </c>
      <c r="B23" s="340">
        <f>10000/B22</f>
        <v>574.99999999999989</v>
      </c>
      <c r="C23" s="340">
        <f>10000/C22</f>
        <v>574.99999999999989</v>
      </c>
      <c r="D23" s="340">
        <f>10000/D22</f>
        <v>574.99999999999989</v>
      </c>
      <c r="E23" s="340">
        <f>10000/E22</f>
        <v>574.99999999999989</v>
      </c>
      <c r="F23" s="340">
        <f>10000/F22</f>
        <v>574.99999999999989</v>
      </c>
    </row>
    <row r="24" spans="1:10" ht="31.5" customHeight="1" x14ac:dyDescent="0.3">
      <c r="A24" s="349" t="s">
        <v>156</v>
      </c>
      <c r="B24" s="350">
        <f>(B20/B23)*100</f>
        <v>6.0869565217391317</v>
      </c>
      <c r="C24" s="350">
        <f>(C20/C23)*100</f>
        <v>26.086956521739136</v>
      </c>
      <c r="D24" s="350">
        <f>(D20/D23)*100</f>
        <v>48.695652173913054</v>
      </c>
      <c r="E24" s="350">
        <f>(E20/E23)*100</f>
        <v>88.695652173913061</v>
      </c>
      <c r="F24" s="350">
        <f>(F20/F23)*100</f>
        <v>139.13043478260872</v>
      </c>
      <c r="G24" s="351">
        <f>(SUM(B24:F24))/5</f>
        <v>61.739130434782624</v>
      </c>
      <c r="H24" s="410" t="s">
        <v>157</v>
      </c>
      <c r="I24" s="133"/>
      <c r="J24" s="133"/>
    </row>
    <row r="25" spans="1:10" x14ac:dyDescent="0.3">
      <c r="A25" s="327" t="s">
        <v>313</v>
      </c>
      <c r="B25" t="s">
        <v>314</v>
      </c>
      <c r="F25" s="337" t="s">
        <v>305</v>
      </c>
      <c r="G25" s="374" t="s">
        <v>147</v>
      </c>
      <c r="H25" t="s">
        <v>311</v>
      </c>
    </row>
    <row r="26" spans="1:10" x14ac:dyDescent="0.3">
      <c r="B26" s="5" t="s">
        <v>315</v>
      </c>
      <c r="F26" s="408">
        <v>2.2999999999999998</v>
      </c>
    </row>
    <row r="27" spans="1:10" x14ac:dyDescent="0.3">
      <c r="A27" s="328" t="s">
        <v>308</v>
      </c>
      <c r="B27" s="339">
        <v>1</v>
      </c>
      <c r="C27" s="339">
        <v>2</v>
      </c>
      <c r="D27" s="339">
        <v>3</v>
      </c>
      <c r="E27" s="339">
        <v>4</v>
      </c>
      <c r="F27" s="339">
        <v>5</v>
      </c>
      <c r="G27" s="328"/>
      <c r="H27" s="328"/>
    </row>
    <row r="28" spans="1:10" x14ac:dyDescent="0.3">
      <c r="A28" s="328" t="s">
        <v>150</v>
      </c>
      <c r="B28" s="339">
        <v>7</v>
      </c>
      <c r="C28" s="339">
        <v>15</v>
      </c>
      <c r="D28" s="339">
        <v>20</v>
      </c>
      <c r="E28" s="339">
        <v>30</v>
      </c>
      <c r="F28" s="339">
        <v>40</v>
      </c>
      <c r="G28" s="328"/>
      <c r="H28" s="328"/>
    </row>
    <row r="29" spans="1:10" x14ac:dyDescent="0.3">
      <c r="A29" s="328" t="s">
        <v>151</v>
      </c>
      <c r="B29" s="339">
        <v>5</v>
      </c>
      <c r="C29" s="339">
        <v>10</v>
      </c>
      <c r="D29" s="339">
        <v>14</v>
      </c>
      <c r="E29" s="339">
        <v>17</v>
      </c>
      <c r="F29" s="339">
        <v>20</v>
      </c>
      <c r="G29" s="328"/>
      <c r="H29" s="328"/>
    </row>
    <row r="30" spans="1:10" x14ac:dyDescent="0.3">
      <c r="A30" s="328" t="s">
        <v>152</v>
      </c>
      <c r="B30" s="339">
        <f>B28*B29</f>
        <v>35</v>
      </c>
      <c r="C30" s="339">
        <f>C28*C29</f>
        <v>150</v>
      </c>
      <c r="D30" s="339">
        <f>D28*D29</f>
        <v>280</v>
      </c>
      <c r="E30" s="339">
        <f>E28*E29</f>
        <v>510</v>
      </c>
      <c r="F30" s="339">
        <f>F28*F29</f>
        <v>800</v>
      </c>
      <c r="G30" s="328"/>
      <c r="H30" s="328"/>
    </row>
    <row r="31" spans="1:10" x14ac:dyDescent="0.3">
      <c r="A31" s="328" t="s">
        <v>309</v>
      </c>
      <c r="B31" s="345"/>
      <c r="C31" s="345"/>
      <c r="D31" s="345"/>
      <c r="E31" s="345"/>
      <c r="F31" s="409">
        <v>39</v>
      </c>
    </row>
    <row r="32" spans="1:10" x14ac:dyDescent="0.3">
      <c r="A32" s="328" t="s">
        <v>285</v>
      </c>
      <c r="B32" s="362">
        <f t="shared" ref="B32:D32" si="2">$F$32</f>
        <v>16.956521739130437</v>
      </c>
      <c r="C32" s="362">
        <f t="shared" si="2"/>
        <v>16.956521739130437</v>
      </c>
      <c r="D32" s="362">
        <f t="shared" si="2"/>
        <v>16.956521739130437</v>
      </c>
      <c r="E32" s="362">
        <f>$F$32</f>
        <v>16.956521739130437</v>
      </c>
      <c r="F32" s="362">
        <f>F31/F26</f>
        <v>16.956521739130437</v>
      </c>
    </row>
    <row r="33" spans="1:10" x14ac:dyDescent="0.3">
      <c r="A33" s="328" t="s">
        <v>240</v>
      </c>
      <c r="B33" s="340">
        <f>10000/B32</f>
        <v>589.74358974358961</v>
      </c>
      <c r="C33" s="340">
        <f>10000/C32</f>
        <v>589.74358974358961</v>
      </c>
      <c r="D33" s="340">
        <f>10000/D32</f>
        <v>589.74358974358961</v>
      </c>
      <c r="E33" s="340">
        <f>10000/E32</f>
        <v>589.74358974358961</v>
      </c>
      <c r="F33" s="340">
        <f>10000/F32</f>
        <v>589.74358974358961</v>
      </c>
    </row>
    <row r="34" spans="1:10" ht="30" customHeight="1" x14ac:dyDescent="0.3">
      <c r="A34" s="349" t="s">
        <v>156</v>
      </c>
      <c r="B34" s="350">
        <f>(B30/B33)*100</f>
        <v>5.9347826086956541</v>
      </c>
      <c r="C34" s="350">
        <f>(C30/C33)*100</f>
        <v>25.434782608695656</v>
      </c>
      <c r="D34" s="350">
        <f>(D30/D33)*100</f>
        <v>47.478260869565233</v>
      </c>
      <c r="E34" s="350">
        <f>(E30/E33)*100</f>
        <v>86.478260869565233</v>
      </c>
      <c r="F34" s="350">
        <f>(F30/F33)*100</f>
        <v>135.65217391304353</v>
      </c>
      <c r="G34" s="351">
        <f>(SUM(B34:F34))/5</f>
        <v>60.195652173913061</v>
      </c>
      <c r="H34" s="410" t="s">
        <v>157</v>
      </c>
      <c r="I34" s="133"/>
      <c r="J34" s="133"/>
    </row>
    <row r="35" spans="1:10" x14ac:dyDescent="0.3">
      <c r="A35" s="327" t="s">
        <v>316</v>
      </c>
      <c r="B35" t="s">
        <v>141</v>
      </c>
      <c r="F35" s="408" t="s">
        <v>305</v>
      </c>
      <c r="G35" s="374" t="s">
        <v>147</v>
      </c>
      <c r="H35" t="s">
        <v>317</v>
      </c>
    </row>
    <row r="36" spans="1:10" x14ac:dyDescent="0.3">
      <c r="B36" s="5" t="s">
        <v>318</v>
      </c>
      <c r="F36" s="408">
        <v>2.2999999999999998</v>
      </c>
    </row>
    <row r="37" spans="1:10" x14ac:dyDescent="0.3">
      <c r="A37" s="328" t="s">
        <v>308</v>
      </c>
      <c r="B37" s="339">
        <v>1</v>
      </c>
      <c r="C37" s="339">
        <v>2</v>
      </c>
      <c r="D37" s="339">
        <v>3</v>
      </c>
      <c r="E37" s="339">
        <v>4</v>
      </c>
      <c r="F37" s="339">
        <v>5</v>
      </c>
      <c r="G37" s="328"/>
      <c r="H37" s="328"/>
    </row>
    <row r="38" spans="1:10" x14ac:dyDescent="0.3">
      <c r="A38" s="328" t="s">
        <v>150</v>
      </c>
      <c r="B38" s="339">
        <v>7</v>
      </c>
      <c r="C38" s="339">
        <v>15</v>
      </c>
      <c r="D38" s="339">
        <v>20</v>
      </c>
      <c r="E38" s="339">
        <v>30</v>
      </c>
      <c r="F38" s="339">
        <v>40</v>
      </c>
      <c r="G38" s="328"/>
      <c r="H38" s="328"/>
    </row>
    <row r="39" spans="1:10" x14ac:dyDescent="0.3">
      <c r="A39" s="328" t="s">
        <v>151</v>
      </c>
      <c r="B39" s="339">
        <v>5</v>
      </c>
      <c r="C39" s="339">
        <v>10</v>
      </c>
      <c r="D39" s="339">
        <v>14</v>
      </c>
      <c r="E39" s="339">
        <v>17</v>
      </c>
      <c r="F39" s="339">
        <v>20</v>
      </c>
      <c r="G39" s="328"/>
      <c r="H39" s="328"/>
    </row>
    <row r="40" spans="1:10" x14ac:dyDescent="0.3">
      <c r="A40" s="328" t="s">
        <v>152</v>
      </c>
      <c r="B40" s="339">
        <f>B38*B39</f>
        <v>35</v>
      </c>
      <c r="C40" s="339">
        <f>C38*C39</f>
        <v>150</v>
      </c>
      <c r="D40" s="339">
        <f>D38*D39</f>
        <v>280</v>
      </c>
      <c r="E40" s="339">
        <f>E38*E39</f>
        <v>510</v>
      </c>
      <c r="F40" s="339">
        <f>F38*F39</f>
        <v>800</v>
      </c>
      <c r="G40" s="328"/>
      <c r="H40" s="328"/>
    </row>
    <row r="41" spans="1:10" x14ac:dyDescent="0.3">
      <c r="A41" s="328" t="s">
        <v>257</v>
      </c>
      <c r="B41" s="345"/>
      <c r="C41" s="345"/>
      <c r="D41" s="345"/>
      <c r="E41" s="345"/>
      <c r="F41" s="411">
        <v>36</v>
      </c>
    </row>
    <row r="42" spans="1:10" x14ac:dyDescent="0.3">
      <c r="A42" s="328" t="s">
        <v>285</v>
      </c>
      <c r="B42" s="362">
        <f t="shared" ref="B42:D42" si="3">$F$42</f>
        <v>15.65217391304348</v>
      </c>
      <c r="C42" s="362">
        <f t="shared" si="3"/>
        <v>15.65217391304348</v>
      </c>
      <c r="D42" s="362">
        <f t="shared" si="3"/>
        <v>15.65217391304348</v>
      </c>
      <c r="E42" s="362">
        <f>$F$42</f>
        <v>15.65217391304348</v>
      </c>
      <c r="F42" s="362">
        <f>F41/F36</f>
        <v>15.65217391304348</v>
      </c>
    </row>
    <row r="43" spans="1:10" x14ac:dyDescent="0.3">
      <c r="A43" s="328" t="s">
        <v>240</v>
      </c>
      <c r="B43" s="340">
        <f>10000/B42</f>
        <v>638.8888888888888</v>
      </c>
      <c r="C43" s="340">
        <f>10000/C42</f>
        <v>638.8888888888888</v>
      </c>
      <c r="D43" s="340">
        <f>10000/D42</f>
        <v>638.8888888888888</v>
      </c>
      <c r="E43" s="340">
        <f>10000/E42</f>
        <v>638.8888888888888</v>
      </c>
      <c r="F43" s="340">
        <f>10000/F42</f>
        <v>638.8888888888888</v>
      </c>
    </row>
    <row r="44" spans="1:10" ht="29.25" customHeight="1" x14ac:dyDescent="0.3">
      <c r="A44" s="349" t="s">
        <v>156</v>
      </c>
      <c r="B44" s="350">
        <f>(B40/B43)*100</f>
        <v>5.4782608695652177</v>
      </c>
      <c r="C44" s="350">
        <f>(C40/C43)*100</f>
        <v>23.478260869565222</v>
      </c>
      <c r="D44" s="350">
        <f>(D40/D43)*100</f>
        <v>43.826086956521742</v>
      </c>
      <c r="E44" s="350">
        <f>(E40/E43)*100</f>
        <v>79.826086956521749</v>
      </c>
      <c r="F44" s="350">
        <f>(F40/F43)*100</f>
        <v>125.21739130434784</v>
      </c>
      <c r="G44" s="351">
        <f>(SUM(B44:F44))/5</f>
        <v>55.565217391304351</v>
      </c>
      <c r="H44" s="410" t="s">
        <v>157</v>
      </c>
      <c r="I44" s="133"/>
      <c r="J44" s="133"/>
    </row>
    <row r="45" spans="1:10" ht="16.5" customHeight="1" x14ac:dyDescent="0.3">
      <c r="A45" s="329" t="s">
        <v>319</v>
      </c>
      <c r="B45" s="358" t="s">
        <v>320</v>
      </c>
      <c r="C45" s="359"/>
      <c r="D45" s="359"/>
      <c r="E45" s="359"/>
      <c r="F45" s="359"/>
      <c r="G45" s="412"/>
      <c r="H45" s="344"/>
    </row>
    <row r="46" spans="1:10" x14ac:dyDescent="0.3">
      <c r="A46" s="405" t="s">
        <v>321</v>
      </c>
      <c r="B46" s="326"/>
      <c r="C46" s="396" t="s">
        <v>322</v>
      </c>
      <c r="D46" s="396"/>
      <c r="E46" s="396"/>
      <c r="F46" s="396"/>
      <c r="G46" s="406" t="s">
        <v>305</v>
      </c>
      <c r="H46" s="407" t="s">
        <v>147</v>
      </c>
      <c r="I46" s="326" t="s">
        <v>317</v>
      </c>
      <c r="J46" s="326"/>
    </row>
    <row r="47" spans="1:10" x14ac:dyDescent="0.3">
      <c r="G47" s="408" t="s">
        <v>323</v>
      </c>
    </row>
    <row r="48" spans="1:10" x14ac:dyDescent="0.3">
      <c r="A48" s="328" t="s">
        <v>308</v>
      </c>
      <c r="B48" s="339" t="s">
        <v>324</v>
      </c>
      <c r="C48" s="413" t="s">
        <v>325</v>
      </c>
      <c r="D48" s="413" t="s">
        <v>326</v>
      </c>
      <c r="E48" s="339" t="s">
        <v>327</v>
      </c>
      <c r="F48" s="339" t="s">
        <v>328</v>
      </c>
      <c r="G48" s="348" t="s">
        <v>329</v>
      </c>
      <c r="H48" s="344"/>
    </row>
    <row r="49" spans="1:10" x14ac:dyDescent="0.3">
      <c r="A49" s="328" t="s">
        <v>330</v>
      </c>
      <c r="B49" s="339">
        <v>3</v>
      </c>
      <c r="C49" s="339">
        <v>3</v>
      </c>
      <c r="D49" s="339">
        <v>9</v>
      </c>
      <c r="E49" s="339">
        <v>3</v>
      </c>
      <c r="F49" s="339">
        <v>3</v>
      </c>
      <c r="G49" s="340">
        <f>65-21</f>
        <v>44</v>
      </c>
      <c r="H49" s="342"/>
    </row>
    <row r="50" spans="1:10" x14ac:dyDescent="0.3">
      <c r="A50" s="328" t="s">
        <v>150</v>
      </c>
      <c r="B50" s="339">
        <v>10</v>
      </c>
      <c r="C50" s="339">
        <v>15</v>
      </c>
      <c r="D50" s="339">
        <v>20</v>
      </c>
      <c r="E50" s="339">
        <v>25</v>
      </c>
      <c r="F50" s="339">
        <v>30</v>
      </c>
      <c r="G50" s="340">
        <v>30</v>
      </c>
      <c r="H50" s="342"/>
    </row>
    <row r="51" spans="1:10" x14ac:dyDescent="0.3">
      <c r="A51" s="328" t="s">
        <v>151</v>
      </c>
      <c r="B51" s="339">
        <v>5</v>
      </c>
      <c r="C51" s="339">
        <v>10</v>
      </c>
      <c r="D51" s="339">
        <v>12</v>
      </c>
      <c r="E51" s="339">
        <v>13</v>
      </c>
      <c r="F51" s="339">
        <v>15</v>
      </c>
      <c r="G51" s="340">
        <v>15</v>
      </c>
      <c r="H51" s="342"/>
    </row>
    <row r="52" spans="1:10" x14ac:dyDescent="0.3">
      <c r="A52" s="328" t="s">
        <v>152</v>
      </c>
      <c r="B52" s="339">
        <f t="shared" ref="B52:G52" si="4">B50*B51</f>
        <v>50</v>
      </c>
      <c r="C52" s="339">
        <f t="shared" si="4"/>
        <v>150</v>
      </c>
      <c r="D52" s="339">
        <f t="shared" si="4"/>
        <v>240</v>
      </c>
      <c r="E52" s="339">
        <f t="shared" si="4"/>
        <v>325</v>
      </c>
      <c r="F52" s="339">
        <f t="shared" si="4"/>
        <v>450</v>
      </c>
      <c r="G52" s="340">
        <f t="shared" si="4"/>
        <v>450</v>
      </c>
      <c r="H52" s="342"/>
    </row>
    <row r="53" spans="1:10" x14ac:dyDescent="0.3">
      <c r="A53" s="328" t="s">
        <v>331</v>
      </c>
      <c r="B53" s="409">
        <v>55</v>
      </c>
      <c r="C53" s="409">
        <v>25</v>
      </c>
      <c r="D53" s="409">
        <v>15</v>
      </c>
      <c r="E53" s="409">
        <v>10</v>
      </c>
      <c r="F53" s="409">
        <v>9</v>
      </c>
      <c r="G53" s="343">
        <v>9</v>
      </c>
      <c r="H53" s="342"/>
    </row>
    <row r="54" spans="1:10" x14ac:dyDescent="0.3">
      <c r="A54" s="328" t="s">
        <v>240</v>
      </c>
      <c r="B54" s="340">
        <f t="shared" ref="B54:G54" si="5">10000/B53</f>
        <v>181.81818181818181</v>
      </c>
      <c r="C54" s="340">
        <f t="shared" si="5"/>
        <v>400</v>
      </c>
      <c r="D54" s="340">
        <f t="shared" si="5"/>
        <v>666.66666666666663</v>
      </c>
      <c r="E54" s="340">
        <f t="shared" si="5"/>
        <v>1000</v>
      </c>
      <c r="F54" s="340">
        <f t="shared" si="5"/>
        <v>1111.1111111111111</v>
      </c>
      <c r="G54" s="340">
        <f t="shared" si="5"/>
        <v>1111.1111111111111</v>
      </c>
      <c r="H54" s="342"/>
    </row>
    <row r="55" spans="1:10" ht="32.25" customHeight="1" x14ac:dyDescent="0.3">
      <c r="A55" s="349" t="s">
        <v>156</v>
      </c>
      <c r="B55" s="350">
        <f t="shared" ref="B55:G55" si="6">(B52/B54)*100</f>
        <v>27.500000000000004</v>
      </c>
      <c r="C55" s="350">
        <f t="shared" si="6"/>
        <v>37.5</v>
      </c>
      <c r="D55" s="350">
        <f t="shared" si="6"/>
        <v>36.000000000000007</v>
      </c>
      <c r="E55" s="350">
        <f t="shared" si="6"/>
        <v>32.5</v>
      </c>
      <c r="F55" s="350">
        <f t="shared" si="6"/>
        <v>40.5</v>
      </c>
      <c r="G55" s="414">
        <f t="shared" si="6"/>
        <v>40.5</v>
      </c>
      <c r="H55" s="351">
        <f>((B49*B55)+(C49*C55)+(D49*D55)+(E49*E55)+(F49*F55)+(G49*G55))/SUM(B49:G49)</f>
        <v>38.769230769230766</v>
      </c>
      <c r="I55" s="410" t="s">
        <v>157</v>
      </c>
      <c r="J55" s="133"/>
    </row>
    <row r="56" spans="1:10" s="64" customFormat="1" ht="16.5" customHeight="1" x14ac:dyDescent="0.3">
      <c r="A56" s="415" t="s">
        <v>332</v>
      </c>
      <c r="B56" s="416" t="s">
        <v>333</v>
      </c>
      <c r="C56" s="417"/>
      <c r="D56" s="417"/>
      <c r="E56" s="417"/>
      <c r="F56" s="417"/>
      <c r="G56" s="418"/>
      <c r="H56" s="419"/>
      <c r="I56" s="420"/>
      <c r="J56" s="397"/>
    </row>
    <row r="57" spans="1:10" ht="15" customHeight="1" x14ac:dyDescent="0.3">
      <c r="A57" s="327" t="s">
        <v>334</v>
      </c>
      <c r="B57" s="340" t="s">
        <v>282</v>
      </c>
      <c r="C57" s="358" t="s">
        <v>335</v>
      </c>
      <c r="D57" s="359"/>
      <c r="E57" s="359"/>
      <c r="F57" s="359"/>
      <c r="G57" s="330"/>
      <c r="H57" s="353" t="s">
        <v>147</v>
      </c>
      <c r="I57" s="344" t="s">
        <v>336</v>
      </c>
    </row>
    <row r="58" spans="1:10" ht="15" customHeight="1" x14ac:dyDescent="0.3">
      <c r="A58" s="327" t="s">
        <v>337</v>
      </c>
      <c r="B58" s="340"/>
      <c r="C58" s="340"/>
      <c r="D58" s="340"/>
      <c r="E58" s="340"/>
      <c r="F58" s="340"/>
      <c r="G58" s="348"/>
      <c r="H58" s="412"/>
      <c r="I58" s="344"/>
    </row>
    <row r="59" spans="1:10" x14ac:dyDescent="0.3">
      <c r="A59" s="333" t="s">
        <v>308</v>
      </c>
      <c r="B59" s="339" t="s">
        <v>324</v>
      </c>
      <c r="C59" s="413" t="s">
        <v>325</v>
      </c>
      <c r="D59" s="413" t="s">
        <v>326</v>
      </c>
      <c r="E59" s="339" t="s">
        <v>327</v>
      </c>
      <c r="F59" s="339" t="s">
        <v>328</v>
      </c>
      <c r="G59" s="348" t="s">
        <v>338</v>
      </c>
      <c r="H59" s="344"/>
      <c r="I59" s="333"/>
      <c r="J59" s="328"/>
    </row>
    <row r="60" spans="1:10" x14ac:dyDescent="0.3">
      <c r="A60" s="328" t="s">
        <v>330</v>
      </c>
      <c r="B60" s="339">
        <v>3</v>
      </c>
      <c r="C60" s="339">
        <v>3</v>
      </c>
      <c r="D60" s="339">
        <v>9</v>
      </c>
      <c r="E60" s="339">
        <v>3</v>
      </c>
      <c r="F60" s="339">
        <v>3</v>
      </c>
      <c r="G60" s="340">
        <f>75-21</f>
        <v>54</v>
      </c>
      <c r="H60" s="412"/>
      <c r="I60" s="328"/>
      <c r="J60" s="328"/>
    </row>
    <row r="61" spans="1:10" x14ac:dyDescent="0.3">
      <c r="A61" s="328" t="s">
        <v>150</v>
      </c>
      <c r="B61" s="339">
        <v>10</v>
      </c>
      <c r="C61" s="339">
        <v>15</v>
      </c>
      <c r="D61" s="339">
        <v>20</v>
      </c>
      <c r="E61" s="339">
        <v>25</v>
      </c>
      <c r="F61" s="339">
        <v>30</v>
      </c>
      <c r="G61" s="340">
        <v>30</v>
      </c>
      <c r="H61" s="412"/>
      <c r="I61" s="328"/>
      <c r="J61" s="328"/>
    </row>
    <row r="62" spans="1:10" x14ac:dyDescent="0.3">
      <c r="A62" s="328" t="s">
        <v>151</v>
      </c>
      <c r="B62" s="339">
        <v>5</v>
      </c>
      <c r="C62" s="339">
        <v>10</v>
      </c>
      <c r="D62" s="339">
        <v>12</v>
      </c>
      <c r="E62" s="339">
        <v>13</v>
      </c>
      <c r="F62" s="339">
        <v>15</v>
      </c>
      <c r="G62" s="340">
        <v>15</v>
      </c>
      <c r="H62" s="412"/>
      <c r="I62" s="328"/>
      <c r="J62" s="328"/>
    </row>
    <row r="63" spans="1:10" x14ac:dyDescent="0.3">
      <c r="A63" s="328" t="s">
        <v>152</v>
      </c>
      <c r="B63" s="339">
        <f t="shared" ref="B63:G63" si="7">B61*B62</f>
        <v>50</v>
      </c>
      <c r="C63" s="339">
        <f t="shared" si="7"/>
        <v>150</v>
      </c>
      <c r="D63" s="339">
        <f t="shared" si="7"/>
        <v>240</v>
      </c>
      <c r="E63" s="339">
        <f t="shared" si="7"/>
        <v>325</v>
      </c>
      <c r="F63" s="339">
        <f t="shared" si="7"/>
        <v>450</v>
      </c>
      <c r="G63" s="340">
        <f t="shared" si="7"/>
        <v>450</v>
      </c>
      <c r="H63" s="412"/>
      <c r="I63" s="328"/>
      <c r="J63" s="328"/>
    </row>
    <row r="64" spans="1:10" x14ac:dyDescent="0.3">
      <c r="A64" s="328" t="s">
        <v>339</v>
      </c>
      <c r="B64" s="409">
        <v>90</v>
      </c>
      <c r="C64" s="409">
        <v>60</v>
      </c>
      <c r="D64" s="334">
        <v>30</v>
      </c>
      <c r="E64" s="334">
        <v>25</v>
      </c>
      <c r="F64" s="334">
        <f t="shared" ref="F64" si="8">1/0.06</f>
        <v>16.666666666666668</v>
      </c>
      <c r="G64" s="343">
        <f>1/0.06</f>
        <v>16.666666666666668</v>
      </c>
      <c r="H64" s="421"/>
      <c r="I64" s="328"/>
      <c r="J64" s="328"/>
    </row>
    <row r="65" spans="1:10" x14ac:dyDescent="0.3">
      <c r="A65" s="328" t="s">
        <v>240</v>
      </c>
      <c r="B65" s="340">
        <f t="shared" ref="B65:F65" si="9">10000/B64</f>
        <v>111.11111111111111</v>
      </c>
      <c r="C65" s="340">
        <f t="shared" si="9"/>
        <v>166.66666666666666</v>
      </c>
      <c r="D65" s="340">
        <f t="shared" si="9"/>
        <v>333.33333333333331</v>
      </c>
      <c r="E65" s="340">
        <f t="shared" si="9"/>
        <v>400</v>
      </c>
      <c r="F65" s="340">
        <f t="shared" si="9"/>
        <v>600</v>
      </c>
      <c r="G65" s="389">
        <v>600</v>
      </c>
      <c r="H65" s="421"/>
      <c r="I65" s="422"/>
      <c r="J65" s="328"/>
    </row>
    <row r="66" spans="1:10" ht="31.5" customHeight="1" x14ac:dyDescent="0.3">
      <c r="A66" s="349" t="s">
        <v>156</v>
      </c>
      <c r="B66" s="350">
        <f t="shared" ref="B66:G66" si="10">(B63/B65)*100</f>
        <v>45</v>
      </c>
      <c r="C66" s="350">
        <f t="shared" si="10"/>
        <v>90</v>
      </c>
      <c r="D66" s="350">
        <f t="shared" si="10"/>
        <v>72.000000000000014</v>
      </c>
      <c r="E66" s="350">
        <f t="shared" si="10"/>
        <v>81.25</v>
      </c>
      <c r="F66" s="350">
        <f t="shared" si="10"/>
        <v>75</v>
      </c>
      <c r="G66" s="414">
        <f t="shared" si="10"/>
        <v>75</v>
      </c>
      <c r="H66" s="351">
        <f>((B60*B66)+(C60*C66)+(D60*D66)+(E60*E66)+(F60*F66)+(G60*G66))/SUM(B60:G60)</f>
        <v>74.290000000000006</v>
      </c>
      <c r="I66" s="352" t="s">
        <v>157</v>
      </c>
      <c r="J66" s="349"/>
    </row>
    <row r="67" spans="1:10" x14ac:dyDescent="0.3">
      <c r="A67" s="327" t="s">
        <v>340</v>
      </c>
      <c r="B67" s="340" t="s">
        <v>141</v>
      </c>
      <c r="C67" s="358" t="s">
        <v>341</v>
      </c>
      <c r="D67" s="359"/>
      <c r="E67" s="359"/>
      <c r="F67" s="359"/>
      <c r="G67" s="330"/>
      <c r="H67" s="353" t="s">
        <v>147</v>
      </c>
      <c r="I67" s="344" t="s">
        <v>317</v>
      </c>
    </row>
    <row r="68" spans="1:10" x14ac:dyDescent="0.3">
      <c r="A68" s="327" t="s">
        <v>337</v>
      </c>
      <c r="C68" s="423" t="s">
        <v>342</v>
      </c>
      <c r="D68" s="340"/>
      <c r="E68" s="340"/>
      <c r="F68" s="340"/>
      <c r="G68" s="348"/>
      <c r="H68" s="412"/>
      <c r="I68" s="344"/>
    </row>
    <row r="69" spans="1:10" x14ac:dyDescent="0.3">
      <c r="A69" s="333" t="s">
        <v>308</v>
      </c>
      <c r="B69" s="339" t="s">
        <v>324</v>
      </c>
      <c r="C69" s="413" t="s">
        <v>325</v>
      </c>
      <c r="D69" s="413" t="s">
        <v>326</v>
      </c>
      <c r="E69" s="339" t="s">
        <v>327</v>
      </c>
      <c r="F69" s="339" t="s">
        <v>328</v>
      </c>
      <c r="G69" s="348" t="s">
        <v>338</v>
      </c>
      <c r="H69" s="344"/>
      <c r="I69" s="333"/>
    </row>
    <row r="70" spans="1:10" x14ac:dyDescent="0.3">
      <c r="A70" s="328" t="s">
        <v>330</v>
      </c>
      <c r="B70" s="339">
        <v>3</v>
      </c>
      <c r="C70" s="339">
        <v>3</v>
      </c>
      <c r="D70" s="339">
        <v>9</v>
      </c>
      <c r="E70" s="339">
        <v>3</v>
      </c>
      <c r="F70" s="339">
        <v>3</v>
      </c>
      <c r="G70" s="340">
        <f>75-21</f>
        <v>54</v>
      </c>
      <c r="H70" s="412"/>
      <c r="I70" s="328"/>
    </row>
    <row r="71" spans="1:10" x14ac:dyDescent="0.3">
      <c r="A71" s="328" t="s">
        <v>150</v>
      </c>
      <c r="B71" s="339">
        <v>10</v>
      </c>
      <c r="C71" s="339">
        <v>15</v>
      </c>
      <c r="D71" s="339">
        <v>20</v>
      </c>
      <c r="E71" s="339">
        <v>25</v>
      </c>
      <c r="F71" s="339">
        <v>30</v>
      </c>
      <c r="G71" s="340">
        <v>30</v>
      </c>
      <c r="H71" s="412"/>
      <c r="I71" s="328"/>
    </row>
    <row r="72" spans="1:10" x14ac:dyDescent="0.3">
      <c r="A72" s="328" t="s">
        <v>151</v>
      </c>
      <c r="B72" s="339">
        <v>5</v>
      </c>
      <c r="C72" s="339">
        <v>10</v>
      </c>
      <c r="D72" s="339">
        <v>12</v>
      </c>
      <c r="E72" s="339">
        <v>13</v>
      </c>
      <c r="F72" s="339">
        <v>15</v>
      </c>
      <c r="G72" s="340">
        <v>15</v>
      </c>
      <c r="H72" s="412"/>
      <c r="I72" s="328"/>
    </row>
    <row r="73" spans="1:10" x14ac:dyDescent="0.3">
      <c r="A73" s="328" t="s">
        <v>152</v>
      </c>
      <c r="B73" s="339">
        <f t="shared" ref="B73:G73" si="11">B71*B72</f>
        <v>50</v>
      </c>
      <c r="C73" s="339">
        <f t="shared" si="11"/>
        <v>150</v>
      </c>
      <c r="D73" s="339">
        <f t="shared" si="11"/>
        <v>240</v>
      </c>
      <c r="E73" s="339">
        <f t="shared" si="11"/>
        <v>325</v>
      </c>
      <c r="F73" s="339">
        <f t="shared" si="11"/>
        <v>450</v>
      </c>
      <c r="G73" s="340">
        <f t="shared" si="11"/>
        <v>450</v>
      </c>
      <c r="H73" s="412"/>
      <c r="I73" s="328"/>
    </row>
    <row r="74" spans="1:10" x14ac:dyDescent="0.3">
      <c r="A74" s="328" t="s">
        <v>339</v>
      </c>
      <c r="B74" s="424">
        <v>90</v>
      </c>
      <c r="C74" s="424">
        <v>60</v>
      </c>
      <c r="D74" s="357">
        <v>30</v>
      </c>
      <c r="E74" s="357">
        <v>25</v>
      </c>
      <c r="F74" s="334">
        <f>1/0.09</f>
        <v>11.111111111111111</v>
      </c>
      <c r="G74" s="334">
        <f>1/0.09</f>
        <v>11.111111111111111</v>
      </c>
      <c r="H74" s="421"/>
      <c r="I74" s="328"/>
    </row>
    <row r="75" spans="1:10" x14ac:dyDescent="0.3">
      <c r="A75" s="328" t="s">
        <v>240</v>
      </c>
      <c r="B75" s="340">
        <f t="shared" ref="B75:E75" si="12">10000/B74</f>
        <v>111.11111111111111</v>
      </c>
      <c r="C75" s="340">
        <f t="shared" si="12"/>
        <v>166.66666666666666</v>
      </c>
      <c r="D75" s="340">
        <f t="shared" si="12"/>
        <v>333.33333333333331</v>
      </c>
      <c r="E75" s="340">
        <f t="shared" si="12"/>
        <v>400</v>
      </c>
      <c r="F75" s="389">
        <v>900</v>
      </c>
      <c r="G75" s="389">
        <v>900</v>
      </c>
      <c r="H75" s="421" t="s">
        <v>343</v>
      </c>
      <c r="I75" s="422"/>
    </row>
    <row r="76" spans="1:10" ht="31.5" customHeight="1" x14ac:dyDescent="0.3">
      <c r="A76" s="349" t="s">
        <v>156</v>
      </c>
      <c r="B76" s="350">
        <f t="shared" ref="B76:G76" si="13">(B73/B75)*100</f>
        <v>45</v>
      </c>
      <c r="C76" s="350">
        <f t="shared" si="13"/>
        <v>90</v>
      </c>
      <c r="D76" s="350">
        <f t="shared" si="13"/>
        <v>72.000000000000014</v>
      </c>
      <c r="E76" s="350">
        <f t="shared" si="13"/>
        <v>81.25</v>
      </c>
      <c r="F76" s="350">
        <f t="shared" si="13"/>
        <v>50</v>
      </c>
      <c r="G76" s="414">
        <f t="shared" si="13"/>
        <v>50</v>
      </c>
      <c r="H76" s="351">
        <f>((B70*B76)+(C70*C76)+(D70*D76)+(E70*E76)+(F70*F76)+(G70*G76))/SUM(B70:G70)</f>
        <v>55.29</v>
      </c>
      <c r="I76" s="352" t="s">
        <v>157</v>
      </c>
      <c r="J76" s="133"/>
    </row>
    <row r="77" spans="1:10" x14ac:dyDescent="0.3">
      <c r="A77" s="327" t="s">
        <v>334</v>
      </c>
      <c r="B77" s="340" t="s">
        <v>282</v>
      </c>
      <c r="C77" s="358" t="s">
        <v>344</v>
      </c>
      <c r="D77" s="359"/>
      <c r="E77" s="359"/>
      <c r="F77" s="359"/>
      <c r="G77" s="330"/>
      <c r="H77" s="353" t="s">
        <v>147</v>
      </c>
      <c r="I77" s="344" t="s">
        <v>336</v>
      </c>
    </row>
    <row r="78" spans="1:10" x14ac:dyDescent="0.3">
      <c r="A78" s="327" t="s">
        <v>345</v>
      </c>
      <c r="C78" s="358" t="s">
        <v>346</v>
      </c>
      <c r="D78" s="359"/>
      <c r="E78" s="359"/>
      <c r="F78" s="359"/>
      <c r="G78" s="348"/>
      <c r="H78" s="412"/>
      <c r="I78" s="401"/>
    </row>
    <row r="79" spans="1:10" x14ac:dyDescent="0.3">
      <c r="A79" s="333" t="s">
        <v>308</v>
      </c>
      <c r="B79" s="339" t="s">
        <v>324</v>
      </c>
      <c r="C79" s="413" t="s">
        <v>325</v>
      </c>
      <c r="D79" s="413" t="s">
        <v>326</v>
      </c>
      <c r="E79" s="339" t="s">
        <v>327</v>
      </c>
      <c r="F79" s="339" t="s">
        <v>328</v>
      </c>
      <c r="G79" s="348" t="s">
        <v>338</v>
      </c>
      <c r="H79" s="344"/>
      <c r="I79" s="333"/>
    </row>
    <row r="80" spans="1:10" x14ac:dyDescent="0.3">
      <c r="A80" s="328" t="s">
        <v>330</v>
      </c>
      <c r="B80" s="339">
        <v>3</v>
      </c>
      <c r="C80" s="339">
        <v>3</v>
      </c>
      <c r="D80" s="339">
        <v>9</v>
      </c>
      <c r="E80" s="339">
        <v>3</v>
      </c>
      <c r="F80" s="339">
        <v>3</v>
      </c>
      <c r="G80" s="340">
        <f>75-21</f>
        <v>54</v>
      </c>
      <c r="H80" s="412"/>
      <c r="I80" s="328"/>
    </row>
    <row r="81" spans="1:10" x14ac:dyDescent="0.3">
      <c r="A81" s="328" t="s">
        <v>150</v>
      </c>
      <c r="B81" s="339">
        <v>10</v>
      </c>
      <c r="C81" s="339">
        <v>15</v>
      </c>
      <c r="D81" s="339">
        <v>20</v>
      </c>
      <c r="E81" s="339">
        <v>25</v>
      </c>
      <c r="F81" s="339">
        <v>30</v>
      </c>
      <c r="G81" s="340">
        <v>30</v>
      </c>
      <c r="H81" s="412"/>
      <c r="I81" s="328"/>
    </row>
    <row r="82" spans="1:10" x14ac:dyDescent="0.3">
      <c r="A82" s="328" t="s">
        <v>151</v>
      </c>
      <c r="B82" s="339">
        <v>5</v>
      </c>
      <c r="C82" s="339">
        <v>10</v>
      </c>
      <c r="D82" s="339">
        <v>12</v>
      </c>
      <c r="E82" s="339">
        <v>13</v>
      </c>
      <c r="F82" s="339">
        <v>15</v>
      </c>
      <c r="G82" s="340">
        <v>15</v>
      </c>
      <c r="H82" s="412"/>
      <c r="I82" s="328"/>
    </row>
    <row r="83" spans="1:10" x14ac:dyDescent="0.3">
      <c r="A83" s="328" t="s">
        <v>152</v>
      </c>
      <c r="B83" s="339">
        <f t="shared" ref="B83:G83" si="14">B81*B82</f>
        <v>50</v>
      </c>
      <c r="C83" s="339">
        <f t="shared" si="14"/>
        <v>150</v>
      </c>
      <c r="D83" s="339">
        <f t="shared" si="14"/>
        <v>240</v>
      </c>
      <c r="E83" s="339">
        <f t="shared" si="14"/>
        <v>325</v>
      </c>
      <c r="F83" s="339">
        <f t="shared" si="14"/>
        <v>450</v>
      </c>
      <c r="G83" s="340">
        <f t="shared" si="14"/>
        <v>450</v>
      </c>
      <c r="H83" s="412"/>
      <c r="I83" s="328"/>
    </row>
    <row r="84" spans="1:10" x14ac:dyDescent="0.3">
      <c r="A84" s="328" t="s">
        <v>339</v>
      </c>
      <c r="B84" s="409">
        <v>55</v>
      </c>
      <c r="C84" s="409">
        <v>25</v>
      </c>
      <c r="D84" s="343">
        <v>18</v>
      </c>
      <c r="E84" s="343">
        <v>18</v>
      </c>
      <c r="F84" s="343">
        <v>18</v>
      </c>
      <c r="G84" s="357">
        <v>9</v>
      </c>
      <c r="H84" s="421"/>
      <c r="I84" s="328"/>
    </row>
    <row r="85" spans="1:10" x14ac:dyDescent="0.3">
      <c r="A85" s="328" t="s">
        <v>240</v>
      </c>
      <c r="B85" s="340">
        <f t="shared" ref="B85:G85" si="15">10000/B84</f>
        <v>181.81818181818181</v>
      </c>
      <c r="C85" s="340">
        <f t="shared" si="15"/>
        <v>400</v>
      </c>
      <c r="D85" s="340">
        <f t="shared" si="15"/>
        <v>555.55555555555554</v>
      </c>
      <c r="E85" s="340">
        <f t="shared" si="15"/>
        <v>555.55555555555554</v>
      </c>
      <c r="F85" s="340">
        <f t="shared" si="15"/>
        <v>555.55555555555554</v>
      </c>
      <c r="G85" s="340">
        <f t="shared" si="15"/>
        <v>1111.1111111111111</v>
      </c>
      <c r="H85" s="421"/>
      <c r="I85" s="422"/>
    </row>
    <row r="86" spans="1:10" ht="31.5" customHeight="1" x14ac:dyDescent="0.3">
      <c r="A86" s="349" t="s">
        <v>156</v>
      </c>
      <c r="B86" s="350">
        <f t="shared" ref="B86:G86" si="16">(B83/B85)*100</f>
        <v>27.500000000000004</v>
      </c>
      <c r="C86" s="350">
        <f t="shared" si="16"/>
        <v>37.5</v>
      </c>
      <c r="D86" s="350">
        <f t="shared" si="16"/>
        <v>43.2</v>
      </c>
      <c r="E86" s="350">
        <f t="shared" si="16"/>
        <v>58.5</v>
      </c>
      <c r="F86" s="350">
        <f t="shared" si="16"/>
        <v>81</v>
      </c>
      <c r="G86" s="414">
        <f t="shared" si="16"/>
        <v>40.5</v>
      </c>
      <c r="H86" s="351">
        <f>((B80*B86)+(C80*C86)+(D80*D86)+(E80*E86)+(F80*F86)+(G80*G86))/SUM(B80:G80)</f>
        <v>42.524000000000001</v>
      </c>
      <c r="I86" s="352" t="s">
        <v>157</v>
      </c>
      <c r="J86" s="133"/>
    </row>
    <row r="87" spans="1:10" x14ac:dyDescent="0.3">
      <c r="A87" s="327" t="s">
        <v>347</v>
      </c>
      <c r="B87" s="340" t="s">
        <v>141</v>
      </c>
      <c r="C87" s="358" t="s">
        <v>348</v>
      </c>
      <c r="D87" s="359"/>
      <c r="E87" s="359"/>
      <c r="F87" s="359"/>
      <c r="G87" s="330"/>
      <c r="H87" s="353" t="s">
        <v>147</v>
      </c>
      <c r="I87" s="344" t="s">
        <v>317</v>
      </c>
    </row>
    <row r="88" spans="1:10" x14ac:dyDescent="0.3">
      <c r="A88" s="327" t="s">
        <v>345</v>
      </c>
      <c r="C88" s="358" t="s">
        <v>349</v>
      </c>
      <c r="D88" s="359"/>
      <c r="E88" s="359"/>
      <c r="F88" s="359"/>
      <c r="G88" s="348"/>
      <c r="H88" s="412"/>
      <c r="I88" s="401"/>
    </row>
    <row r="89" spans="1:10" x14ac:dyDescent="0.3">
      <c r="A89" s="333" t="s">
        <v>308</v>
      </c>
      <c r="B89" s="339" t="s">
        <v>324</v>
      </c>
      <c r="C89" s="413" t="s">
        <v>325</v>
      </c>
      <c r="D89" s="413" t="s">
        <v>326</v>
      </c>
      <c r="E89" s="339" t="s">
        <v>327</v>
      </c>
      <c r="F89" s="339" t="s">
        <v>328</v>
      </c>
      <c r="G89" s="348" t="s">
        <v>338</v>
      </c>
      <c r="H89" s="344"/>
      <c r="I89" s="333"/>
    </row>
    <row r="90" spans="1:10" x14ac:dyDescent="0.3">
      <c r="A90" s="328" t="s">
        <v>330</v>
      </c>
      <c r="B90" s="339">
        <v>3</v>
      </c>
      <c r="C90" s="339">
        <v>3</v>
      </c>
      <c r="D90" s="339">
        <v>9</v>
      </c>
      <c r="E90" s="339">
        <v>3</v>
      </c>
      <c r="F90" s="339">
        <v>3</v>
      </c>
      <c r="G90" s="340">
        <f>75-21</f>
        <v>54</v>
      </c>
      <c r="H90" s="412"/>
      <c r="I90" s="328"/>
    </row>
    <row r="91" spans="1:10" x14ac:dyDescent="0.3">
      <c r="A91" s="328" t="s">
        <v>150</v>
      </c>
      <c r="B91" s="339">
        <v>10</v>
      </c>
      <c r="C91" s="339">
        <v>15</v>
      </c>
      <c r="D91" s="339">
        <v>20</v>
      </c>
      <c r="E91" s="339">
        <v>25</v>
      </c>
      <c r="F91" s="339">
        <v>30</v>
      </c>
      <c r="G91" s="340">
        <v>30</v>
      </c>
      <c r="H91" s="412"/>
      <c r="I91" s="328"/>
    </row>
    <row r="92" spans="1:10" x14ac:dyDescent="0.3">
      <c r="A92" s="328" t="s">
        <v>151</v>
      </c>
      <c r="B92" s="339">
        <v>5</v>
      </c>
      <c r="C92" s="339">
        <v>10</v>
      </c>
      <c r="D92" s="339">
        <v>12</v>
      </c>
      <c r="E92" s="339">
        <v>13</v>
      </c>
      <c r="F92" s="339">
        <v>15</v>
      </c>
      <c r="G92" s="340">
        <v>15</v>
      </c>
      <c r="H92" s="412"/>
      <c r="I92" s="328"/>
    </row>
    <row r="93" spans="1:10" x14ac:dyDescent="0.3">
      <c r="A93" s="328" t="s">
        <v>152</v>
      </c>
      <c r="B93" s="339">
        <f t="shared" ref="B93:G93" si="17">B91*B92</f>
        <v>50</v>
      </c>
      <c r="C93" s="339">
        <f t="shared" si="17"/>
        <v>150</v>
      </c>
      <c r="D93" s="339">
        <f t="shared" si="17"/>
        <v>240</v>
      </c>
      <c r="E93" s="339">
        <f t="shared" si="17"/>
        <v>325</v>
      </c>
      <c r="F93" s="339">
        <f t="shared" si="17"/>
        <v>450</v>
      </c>
      <c r="G93" s="340">
        <f t="shared" si="17"/>
        <v>450</v>
      </c>
      <c r="H93" s="412"/>
      <c r="I93" s="328"/>
    </row>
    <row r="94" spans="1:10" x14ac:dyDescent="0.3">
      <c r="A94" s="328" t="s">
        <v>339</v>
      </c>
      <c r="B94" s="424">
        <v>55</v>
      </c>
      <c r="C94" s="424">
        <v>25</v>
      </c>
      <c r="D94" s="357">
        <v>15</v>
      </c>
      <c r="E94" s="357">
        <v>10</v>
      </c>
      <c r="F94" s="357">
        <v>9</v>
      </c>
      <c r="G94" s="357">
        <v>9</v>
      </c>
      <c r="H94" s="421"/>
      <c r="I94" s="328"/>
    </row>
    <row r="95" spans="1:10" x14ac:dyDescent="0.3">
      <c r="A95" s="328" t="s">
        <v>240</v>
      </c>
      <c r="B95" s="340">
        <f t="shared" ref="B95:G95" si="18">10000/B94</f>
        <v>181.81818181818181</v>
      </c>
      <c r="C95" s="340">
        <f t="shared" si="18"/>
        <v>400</v>
      </c>
      <c r="D95" s="340">
        <f t="shared" si="18"/>
        <v>666.66666666666663</v>
      </c>
      <c r="E95" s="340">
        <f t="shared" si="18"/>
        <v>1000</v>
      </c>
      <c r="F95" s="340">
        <f t="shared" si="18"/>
        <v>1111.1111111111111</v>
      </c>
      <c r="G95" s="340">
        <f t="shared" si="18"/>
        <v>1111.1111111111111</v>
      </c>
      <c r="H95" s="421"/>
      <c r="I95" s="422"/>
    </row>
    <row r="96" spans="1:10" ht="32.25" customHeight="1" x14ac:dyDescent="0.3">
      <c r="A96" s="349" t="s">
        <v>156</v>
      </c>
      <c r="B96" s="350">
        <f t="shared" ref="B96:G96" si="19">(B93/B95)*100</f>
        <v>27.500000000000004</v>
      </c>
      <c r="C96" s="350">
        <f t="shared" si="19"/>
        <v>37.5</v>
      </c>
      <c r="D96" s="350">
        <f t="shared" si="19"/>
        <v>36.000000000000007</v>
      </c>
      <c r="E96" s="350">
        <f t="shared" si="19"/>
        <v>32.5</v>
      </c>
      <c r="F96" s="350">
        <f t="shared" si="19"/>
        <v>40.5</v>
      </c>
      <c r="G96" s="414">
        <f t="shared" si="19"/>
        <v>40.5</v>
      </c>
      <c r="H96" s="351">
        <f>((B90*B96)+(C90*C96)+(D90*D96)+(E90*E96)+(F90*F96)+(G90*G96))/SUM(B90:G90)</f>
        <v>39</v>
      </c>
      <c r="I96" s="352" t="s">
        <v>157</v>
      </c>
      <c r="J96" s="133"/>
    </row>
    <row r="97" spans="1:13" ht="12" customHeight="1" x14ac:dyDescent="0.3">
      <c r="B97" s="340"/>
      <c r="C97" s="340"/>
      <c r="D97" s="340"/>
      <c r="E97" s="340"/>
      <c r="F97" s="340"/>
      <c r="G97" s="348"/>
      <c r="H97" s="412"/>
      <c r="I97" s="333"/>
    </row>
    <row r="98" spans="1:13" ht="16.95" customHeight="1" x14ac:dyDescent="0.3">
      <c r="A98" s="329" t="s">
        <v>350</v>
      </c>
      <c r="B98" s="340"/>
      <c r="C98" s="340"/>
      <c r="D98" s="340"/>
      <c r="E98" s="340"/>
      <c r="F98" s="340"/>
      <c r="G98" s="348"/>
      <c r="H98" s="412"/>
      <c r="I98" s="333"/>
    </row>
    <row r="99" spans="1:13" x14ac:dyDescent="0.3">
      <c r="A99" s="338" t="s">
        <v>351</v>
      </c>
      <c r="B99" s="328" t="s">
        <v>352</v>
      </c>
      <c r="E99" s="425"/>
      <c r="F99" s="425"/>
    </row>
    <row r="100" spans="1:13" x14ac:dyDescent="0.3">
      <c r="A100" s="426"/>
      <c r="B100" s="427" t="s">
        <v>103</v>
      </c>
      <c r="C100" s="427" t="s">
        <v>104</v>
      </c>
      <c r="D100" s="427" t="s">
        <v>105</v>
      </c>
      <c r="E100" s="428" t="s">
        <v>353</v>
      </c>
      <c r="F100" s="427" t="s">
        <v>107</v>
      </c>
      <c r="G100" s="427" t="s">
        <v>108</v>
      </c>
      <c r="H100" s="427" t="s">
        <v>109</v>
      </c>
      <c r="I100" s="427" t="s">
        <v>110</v>
      </c>
      <c r="J100" s="427" t="s">
        <v>111</v>
      </c>
      <c r="K100" s="427" t="s">
        <v>112</v>
      </c>
      <c r="L100" s="427" t="s">
        <v>113</v>
      </c>
    </row>
    <row r="101" spans="1:13" x14ac:dyDescent="0.3">
      <c r="A101" s="328" t="s">
        <v>354</v>
      </c>
      <c r="B101" s="364">
        <v>0.16</v>
      </c>
      <c r="C101" s="364">
        <v>0.06</v>
      </c>
      <c r="D101" s="364">
        <v>7.0000000000000007E-2</v>
      </c>
      <c r="E101" s="429">
        <v>0.54</v>
      </c>
      <c r="F101" s="364">
        <v>0.81</v>
      </c>
      <c r="G101" s="364">
        <v>0.53</v>
      </c>
      <c r="H101" s="364">
        <v>0.54</v>
      </c>
      <c r="I101" s="364">
        <v>0.11</v>
      </c>
      <c r="J101" s="364">
        <v>0.88</v>
      </c>
      <c r="K101" s="364">
        <v>0.77</v>
      </c>
      <c r="L101" s="364">
        <v>0.08</v>
      </c>
      <c r="M101" s="430"/>
    </row>
    <row r="102" spans="1:13" x14ac:dyDescent="0.3">
      <c r="A102" s="342" t="s">
        <v>355</v>
      </c>
      <c r="B102" s="364">
        <f>1-B101</f>
        <v>0.84</v>
      </c>
      <c r="C102" s="364">
        <f t="shared" ref="C102:L102" si="20">1-C101</f>
        <v>0.94</v>
      </c>
      <c r="D102" s="364">
        <f t="shared" si="20"/>
        <v>0.92999999999999994</v>
      </c>
      <c r="E102" s="429">
        <f t="shared" si="20"/>
        <v>0.45999999999999996</v>
      </c>
      <c r="F102" s="364">
        <f t="shared" si="20"/>
        <v>0.18999999999999995</v>
      </c>
      <c r="G102" s="364">
        <f t="shared" si="20"/>
        <v>0.47</v>
      </c>
      <c r="H102" s="364">
        <f t="shared" si="20"/>
        <v>0.45999999999999996</v>
      </c>
      <c r="I102" s="364">
        <f t="shared" si="20"/>
        <v>0.89</v>
      </c>
      <c r="J102" s="364">
        <f t="shared" si="20"/>
        <v>0.12</v>
      </c>
      <c r="K102" s="364">
        <f t="shared" si="20"/>
        <v>0.22999999999999998</v>
      </c>
      <c r="L102" s="364">
        <f t="shared" si="20"/>
        <v>0.92</v>
      </c>
      <c r="M102" s="430"/>
    </row>
    <row r="103" spans="1:13" x14ac:dyDescent="0.3">
      <c r="A103" s="342" t="s">
        <v>356</v>
      </c>
      <c r="B103" s="431">
        <v>0.55300000000000005</v>
      </c>
      <c r="C103" s="431">
        <v>0.74299999999999999</v>
      </c>
      <c r="D103" s="431">
        <v>0.74299999999999999</v>
      </c>
      <c r="E103" s="431">
        <v>0.74299999999999999</v>
      </c>
      <c r="F103" s="431">
        <v>0.74299999999999999</v>
      </c>
      <c r="G103" s="431">
        <v>0.74299999999999999</v>
      </c>
      <c r="H103" s="431">
        <v>0.74299999999999999</v>
      </c>
      <c r="I103" s="431">
        <v>0.74299999999999999</v>
      </c>
      <c r="J103" s="431">
        <v>0.74299999999999999</v>
      </c>
      <c r="K103" s="431">
        <v>0.74299999999999999</v>
      </c>
      <c r="L103" s="431">
        <v>0.55300000000000005</v>
      </c>
      <c r="M103" s="328"/>
    </row>
    <row r="104" spans="1:13" x14ac:dyDescent="0.3">
      <c r="A104" s="342" t="s">
        <v>357</v>
      </c>
      <c r="B104" s="431">
        <v>0.39</v>
      </c>
      <c r="C104" s="431">
        <v>0.42499999999999999</v>
      </c>
      <c r="D104" s="431">
        <v>0.42499999999999999</v>
      </c>
      <c r="E104" s="431">
        <v>0.42499999999999999</v>
      </c>
      <c r="F104" s="431">
        <v>0.42499999999999999</v>
      </c>
      <c r="G104" s="431">
        <v>0.42499999999999999</v>
      </c>
      <c r="H104" s="431">
        <v>0.42499999999999999</v>
      </c>
      <c r="I104" s="431">
        <v>0.42499999999999999</v>
      </c>
      <c r="J104" s="431">
        <v>0.42499999999999999</v>
      </c>
      <c r="K104" s="431">
        <v>0.42499999999999999</v>
      </c>
      <c r="L104" s="431">
        <v>0.39</v>
      </c>
      <c r="M104" s="328"/>
    </row>
    <row r="105" spans="1:13" x14ac:dyDescent="0.3">
      <c r="A105" s="386" t="s">
        <v>157</v>
      </c>
      <c r="B105" s="432">
        <f>(B101*B103)+(B102*B104)</f>
        <v>0.41608000000000001</v>
      </c>
      <c r="C105" s="432">
        <f t="shared" ref="C105:L105" si="21">(C101*C103)+(C102*C104)</f>
        <v>0.44407999999999997</v>
      </c>
      <c r="D105" s="432">
        <f t="shared" si="21"/>
        <v>0.44725999999999999</v>
      </c>
      <c r="E105" s="432">
        <f t="shared" si="21"/>
        <v>0.59672000000000003</v>
      </c>
      <c r="F105" s="432">
        <f t="shared" si="21"/>
        <v>0.68258000000000008</v>
      </c>
      <c r="G105" s="432">
        <f t="shared" si="21"/>
        <v>0.59353999999999996</v>
      </c>
      <c r="H105" s="432">
        <f t="shared" si="21"/>
        <v>0.59672000000000003</v>
      </c>
      <c r="I105" s="432">
        <f t="shared" si="21"/>
        <v>0.45997999999999994</v>
      </c>
      <c r="J105" s="432">
        <f t="shared" si="21"/>
        <v>0.70484000000000002</v>
      </c>
      <c r="K105" s="432">
        <f t="shared" si="21"/>
        <v>0.66986000000000001</v>
      </c>
      <c r="L105" s="432">
        <f t="shared" si="21"/>
        <v>0.40304000000000001</v>
      </c>
      <c r="M105" s="328"/>
    </row>
    <row r="106" spans="1:13" x14ac:dyDescent="0.3">
      <c r="E106" s="425" t="s">
        <v>358</v>
      </c>
      <c r="F106" s="425"/>
      <c r="G106" s="42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E536-0A38-44BB-8373-88AB100C04A8}">
  <sheetPr>
    <tabColor theme="3" tint="0.39997558519241921"/>
  </sheetPr>
  <dimension ref="A2:K31"/>
  <sheetViews>
    <sheetView workbookViewId="0">
      <selection activeCell="J22" sqref="J22"/>
    </sheetView>
  </sheetViews>
  <sheetFormatPr defaultRowHeight="14.4" x14ac:dyDescent="0.3"/>
  <sheetData>
    <row r="2" spans="1:11" ht="21" x14ac:dyDescent="0.3">
      <c r="A2" s="399" t="s">
        <v>359</v>
      </c>
      <c r="B2" s="64"/>
      <c r="C2" s="64"/>
      <c r="D2" s="64"/>
      <c r="E2" s="64"/>
      <c r="F2" s="64"/>
      <c r="G2" s="64"/>
      <c r="H2" t="s">
        <v>139</v>
      </c>
    </row>
    <row r="4" spans="1:11" x14ac:dyDescent="0.3">
      <c r="A4" s="133"/>
      <c r="B4" s="398" t="s">
        <v>360</v>
      </c>
      <c r="C4" s="398"/>
      <c r="D4" s="398"/>
      <c r="E4" s="398"/>
      <c r="F4" s="398"/>
      <c r="G4" s="398"/>
      <c r="H4" s="398"/>
      <c r="I4" s="398"/>
      <c r="J4" s="133"/>
      <c r="K4" s="398"/>
    </row>
    <row r="5" spans="1:11" x14ac:dyDescent="0.3">
      <c r="A5" s="450" t="s">
        <v>361</v>
      </c>
      <c r="B5" s="64" t="s">
        <v>362</v>
      </c>
      <c r="C5" s="64"/>
      <c r="D5" s="465" t="s">
        <v>305</v>
      </c>
      <c r="E5" s="338" t="s">
        <v>147</v>
      </c>
      <c r="F5" t="s">
        <v>363</v>
      </c>
      <c r="G5" s="64"/>
      <c r="J5" s="64"/>
      <c r="K5" s="64"/>
    </row>
    <row r="6" spans="1:11" x14ac:dyDescent="0.3">
      <c r="B6" s="466" t="s">
        <v>364</v>
      </c>
      <c r="C6" s="466" t="s">
        <v>365</v>
      </c>
      <c r="D6" s="465">
        <v>2.5</v>
      </c>
      <c r="E6" s="338"/>
      <c r="G6" s="64"/>
      <c r="I6" s="64"/>
      <c r="J6" s="64"/>
      <c r="K6" s="64"/>
    </row>
    <row r="7" spans="1:11" x14ac:dyDescent="0.3">
      <c r="A7" t="s">
        <v>149</v>
      </c>
      <c r="B7">
        <v>30</v>
      </c>
      <c r="C7">
        <v>30</v>
      </c>
      <c r="D7">
        <v>15</v>
      </c>
    </row>
    <row r="8" spans="1:11" x14ac:dyDescent="0.3">
      <c r="A8" t="s">
        <v>150</v>
      </c>
      <c r="B8">
        <v>15</v>
      </c>
      <c r="C8">
        <v>25</v>
      </c>
      <c r="D8">
        <v>35</v>
      </c>
    </row>
    <row r="9" spans="1:11" x14ac:dyDescent="0.3">
      <c r="A9" t="s">
        <v>151</v>
      </c>
      <c r="B9">
        <v>5</v>
      </c>
      <c r="C9">
        <v>8</v>
      </c>
      <c r="D9">
        <v>12</v>
      </c>
    </row>
    <row r="10" spans="1:11" x14ac:dyDescent="0.3">
      <c r="A10" t="s">
        <v>152</v>
      </c>
      <c r="B10">
        <f>B8*B9</f>
        <v>75</v>
      </c>
      <c r="C10">
        <f t="shared" ref="C10:D10" si="0">C8*C9</f>
        <v>200</v>
      </c>
      <c r="D10">
        <f t="shared" si="0"/>
        <v>420</v>
      </c>
    </row>
    <row r="11" spans="1:11" x14ac:dyDescent="0.3">
      <c r="A11" t="s">
        <v>285</v>
      </c>
      <c r="B11" s="151">
        <f>1/(0.44/6)</f>
        <v>13.636363636363637</v>
      </c>
      <c r="C11" s="151">
        <f>D11</f>
        <v>16</v>
      </c>
      <c r="D11" s="151">
        <f>40/D6</f>
        <v>16</v>
      </c>
    </row>
    <row r="12" spans="1:11" x14ac:dyDescent="0.3">
      <c r="A12" t="s">
        <v>240</v>
      </c>
      <c r="B12" s="151">
        <f>B11*B10</f>
        <v>1022.7272727272727</v>
      </c>
      <c r="C12" s="151">
        <f>C11*C10</f>
        <v>3200</v>
      </c>
      <c r="D12" s="151">
        <f>D11*D10</f>
        <v>6720</v>
      </c>
    </row>
    <row r="13" spans="1:11" ht="28.8" x14ac:dyDescent="0.3">
      <c r="A13" s="349" t="s">
        <v>156</v>
      </c>
      <c r="B13" s="386">
        <f t="shared" ref="B13:D13" si="1">(B12/(100*100))*100</f>
        <v>10.227272727272728</v>
      </c>
      <c r="C13" s="386">
        <f t="shared" si="1"/>
        <v>32</v>
      </c>
      <c r="D13" s="386">
        <f t="shared" si="1"/>
        <v>67.2</v>
      </c>
      <c r="E13" s="372">
        <f>((B13*B7)+(C13*C7)+(D13*D7))/(B7+C7+D7)</f>
        <v>30.330909090909092</v>
      </c>
      <c r="F13" s="410" t="s">
        <v>157</v>
      </c>
      <c r="G13" s="349"/>
      <c r="H13" s="349"/>
      <c r="I13" s="349"/>
      <c r="J13" s="349"/>
      <c r="K13" s="349"/>
    </row>
    <row r="14" spans="1:11" x14ac:dyDescent="0.3">
      <c r="A14" s="450" t="s">
        <v>366</v>
      </c>
      <c r="B14" t="s">
        <v>141</v>
      </c>
      <c r="D14" s="408" t="s">
        <v>305</v>
      </c>
      <c r="E14" s="338" t="s">
        <v>147</v>
      </c>
      <c r="F14" s="328" t="s">
        <v>367</v>
      </c>
      <c r="G14" s="328"/>
      <c r="H14" s="328"/>
      <c r="I14" s="328"/>
      <c r="J14" s="328"/>
      <c r="K14" s="328"/>
    </row>
    <row r="15" spans="1:11" x14ac:dyDescent="0.3">
      <c r="A15" s="328"/>
      <c r="B15" s="375" t="s">
        <v>368</v>
      </c>
      <c r="C15" s="375" t="s">
        <v>369</v>
      </c>
      <c r="D15" s="408">
        <v>2.5</v>
      </c>
      <c r="E15" s="338"/>
      <c r="F15" s="328"/>
      <c r="G15" s="328"/>
      <c r="H15" s="328"/>
      <c r="I15" s="328"/>
      <c r="J15" s="328"/>
      <c r="K15" s="328"/>
    </row>
    <row r="16" spans="1:11" x14ac:dyDescent="0.3">
      <c r="A16" t="s">
        <v>149</v>
      </c>
      <c r="B16">
        <v>30</v>
      </c>
      <c r="C16">
        <v>30</v>
      </c>
      <c r="D16">
        <v>15</v>
      </c>
      <c r="G16" s="328"/>
      <c r="H16" s="328"/>
      <c r="I16" s="328"/>
      <c r="J16" s="328"/>
      <c r="K16" s="328"/>
    </row>
    <row r="17" spans="1:11" x14ac:dyDescent="0.3">
      <c r="A17" t="s">
        <v>150</v>
      </c>
      <c r="B17">
        <v>15</v>
      </c>
      <c r="C17">
        <v>25</v>
      </c>
      <c r="D17">
        <v>35</v>
      </c>
      <c r="G17" s="328"/>
      <c r="H17" s="328"/>
      <c r="I17" s="328"/>
      <c r="J17" s="328"/>
      <c r="K17" s="328"/>
    </row>
    <row r="18" spans="1:11" x14ac:dyDescent="0.3">
      <c r="A18" t="s">
        <v>151</v>
      </c>
      <c r="B18">
        <v>5</v>
      </c>
      <c r="C18">
        <v>8</v>
      </c>
      <c r="D18">
        <v>12</v>
      </c>
      <c r="G18" s="328"/>
      <c r="H18" s="328"/>
      <c r="I18" s="328"/>
      <c r="J18" s="328"/>
      <c r="K18" s="328"/>
    </row>
    <row r="19" spans="1:11" x14ac:dyDescent="0.3">
      <c r="A19" t="s">
        <v>152</v>
      </c>
      <c r="B19">
        <f>B17*B18</f>
        <v>75</v>
      </c>
      <c r="C19">
        <f t="shared" ref="C19:D19" si="2">C17*C18</f>
        <v>200</v>
      </c>
      <c r="D19">
        <f t="shared" si="2"/>
        <v>420</v>
      </c>
      <c r="G19" s="328"/>
      <c r="H19" s="328"/>
      <c r="I19" s="328"/>
      <c r="J19" s="328"/>
      <c r="K19" s="328"/>
    </row>
    <row r="20" spans="1:11" x14ac:dyDescent="0.3">
      <c r="A20" t="s">
        <v>285</v>
      </c>
      <c r="B20" s="41">
        <f>1/(0.8/6)</f>
        <v>7.5</v>
      </c>
      <c r="C20" s="41">
        <f>D20</f>
        <v>3.3333333333333335</v>
      </c>
      <c r="D20" s="41">
        <f>1/0.3</f>
        <v>3.3333333333333335</v>
      </c>
      <c r="G20" s="328"/>
      <c r="H20" s="328"/>
      <c r="I20" s="328"/>
      <c r="J20" s="328"/>
      <c r="K20" s="328"/>
    </row>
    <row r="21" spans="1:11" x14ac:dyDescent="0.3">
      <c r="A21" t="s">
        <v>240</v>
      </c>
      <c r="B21" s="151">
        <f t="shared" ref="B21:C21" si="3">B20*B19</f>
        <v>562.5</v>
      </c>
      <c r="C21" s="151">
        <f t="shared" si="3"/>
        <v>666.66666666666674</v>
      </c>
      <c r="D21" s="151">
        <f>D20*D19</f>
        <v>1400</v>
      </c>
      <c r="G21" s="328"/>
      <c r="H21" s="328"/>
      <c r="I21" s="328"/>
      <c r="J21" s="328"/>
      <c r="K21" s="328"/>
    </row>
    <row r="22" spans="1:11" ht="28.8" x14ac:dyDescent="0.3">
      <c r="A22" s="349" t="s">
        <v>156</v>
      </c>
      <c r="B22" s="386">
        <f>(B21/(100*100))*100</f>
        <v>5.625</v>
      </c>
      <c r="C22" s="386">
        <f t="shared" ref="C22:D22" si="4">(C21/(100*100))*100</f>
        <v>6.6666666666666679</v>
      </c>
      <c r="D22" s="386">
        <f t="shared" si="4"/>
        <v>14.000000000000002</v>
      </c>
      <c r="E22" s="372">
        <f>((B22*B16)+(C22*C16)+(D22*D16))/(B16+C16+D16)</f>
        <v>7.7166666666666668</v>
      </c>
      <c r="F22" s="410" t="s">
        <v>157</v>
      </c>
      <c r="G22" s="328"/>
      <c r="H22" s="328"/>
      <c r="I22" s="328"/>
      <c r="J22" s="328"/>
      <c r="K22" s="328"/>
    </row>
    <row r="23" spans="1:11" x14ac:dyDescent="0.3">
      <c r="A23" s="405" t="s">
        <v>370</v>
      </c>
      <c r="B23" s="467" t="s">
        <v>263</v>
      </c>
      <c r="C23" s="467"/>
      <c r="D23" s="468" t="s">
        <v>305</v>
      </c>
      <c r="E23" s="464" t="s">
        <v>147</v>
      </c>
      <c r="F23" s="325" t="s">
        <v>371</v>
      </c>
      <c r="G23" s="325"/>
      <c r="H23" s="325"/>
      <c r="I23" s="325"/>
      <c r="J23" s="325"/>
      <c r="K23" s="325"/>
    </row>
    <row r="24" spans="1:11" x14ac:dyDescent="0.3">
      <c r="A24" s="327" t="s">
        <v>372</v>
      </c>
      <c r="B24" t="s">
        <v>364</v>
      </c>
      <c r="C24" s="328" t="s">
        <v>373</v>
      </c>
      <c r="D24" s="465">
        <v>2.5</v>
      </c>
      <c r="E24" s="338"/>
      <c r="F24" s="328" t="s">
        <v>374</v>
      </c>
      <c r="G24" s="328"/>
      <c r="H24" s="328"/>
      <c r="I24" s="328"/>
      <c r="J24" s="328"/>
      <c r="K24" s="328"/>
    </row>
    <row r="25" spans="1:11" x14ac:dyDescent="0.3">
      <c r="A25" t="s">
        <v>149</v>
      </c>
      <c r="B25">
        <v>30</v>
      </c>
      <c r="C25">
        <v>30</v>
      </c>
      <c r="D25">
        <v>15</v>
      </c>
    </row>
    <row r="26" spans="1:11" x14ac:dyDescent="0.3">
      <c r="A26" t="s">
        <v>150</v>
      </c>
      <c r="B26">
        <v>15</v>
      </c>
      <c r="C26">
        <v>25</v>
      </c>
      <c r="D26">
        <v>35</v>
      </c>
    </row>
    <row r="27" spans="1:11" x14ac:dyDescent="0.3">
      <c r="A27" t="s">
        <v>151</v>
      </c>
      <c r="B27">
        <v>5</v>
      </c>
      <c r="C27">
        <v>8</v>
      </c>
      <c r="D27">
        <v>12</v>
      </c>
    </row>
    <row r="28" spans="1:11" x14ac:dyDescent="0.3">
      <c r="A28" t="s">
        <v>152</v>
      </c>
      <c r="B28">
        <f>B26*B27</f>
        <v>75</v>
      </c>
      <c r="C28">
        <f t="shared" ref="C28:D28" si="5">C26*C27</f>
        <v>200</v>
      </c>
      <c r="D28">
        <f t="shared" si="5"/>
        <v>420</v>
      </c>
    </row>
    <row r="29" spans="1:11" x14ac:dyDescent="0.3">
      <c r="A29" t="s">
        <v>285</v>
      </c>
      <c r="B29" s="151">
        <v>14</v>
      </c>
      <c r="C29" s="151">
        <f>D29</f>
        <v>18</v>
      </c>
      <c r="D29" s="151">
        <f>45/D24</f>
        <v>18</v>
      </c>
    </row>
    <row r="30" spans="1:11" x14ac:dyDescent="0.3">
      <c r="A30" t="s">
        <v>240</v>
      </c>
      <c r="B30">
        <f>B29*B28</f>
        <v>1050</v>
      </c>
      <c r="C30">
        <f>C29*C28</f>
        <v>3600</v>
      </c>
      <c r="D30">
        <f>D29*D28</f>
        <v>7560</v>
      </c>
    </row>
    <row r="31" spans="1:11" ht="28.8" x14ac:dyDescent="0.3">
      <c r="A31" s="349" t="s">
        <v>156</v>
      </c>
      <c r="B31" s="386">
        <f>(B30/(100*100))*100</f>
        <v>10.5</v>
      </c>
      <c r="C31" s="386">
        <f t="shared" ref="C31:D31" si="6">(C30/(100*100))*100</f>
        <v>36</v>
      </c>
      <c r="D31" s="386">
        <f t="shared" si="6"/>
        <v>75.599999999999994</v>
      </c>
      <c r="E31" s="372">
        <f>((B31*B25)+(C31*C25)+(D31*D25))/(B25+C25+D25)</f>
        <v>33.72</v>
      </c>
      <c r="F31" s="410" t="s">
        <v>157</v>
      </c>
      <c r="G31" s="133"/>
      <c r="H31" s="133"/>
      <c r="I31" s="133"/>
      <c r="J31" s="133"/>
      <c r="K31" s="133"/>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3E0F-8E65-4507-9963-9A6AF051B8D4}">
  <sheetPr>
    <tabColor theme="3" tint="0.39997558519241921"/>
  </sheetPr>
  <dimension ref="A2:J15"/>
  <sheetViews>
    <sheetView workbookViewId="0">
      <selection activeCell="I29" sqref="I29"/>
    </sheetView>
  </sheetViews>
  <sheetFormatPr defaultRowHeight="14.4" x14ac:dyDescent="0.3"/>
  <sheetData>
    <row r="2" spans="1:10" ht="21" x14ac:dyDescent="0.3">
      <c r="A2" s="399" t="s">
        <v>375</v>
      </c>
      <c r="B2" s="64"/>
      <c r="C2" s="64"/>
      <c r="D2" s="64"/>
      <c r="E2" s="64"/>
      <c r="F2" s="64"/>
      <c r="G2" s="64"/>
      <c r="H2" t="s">
        <v>139</v>
      </c>
    </row>
    <row r="4" spans="1:10" x14ac:dyDescent="0.3">
      <c r="A4" s="133"/>
      <c r="B4" s="398" t="s">
        <v>376</v>
      </c>
      <c r="C4" s="398"/>
      <c r="D4" s="398"/>
      <c r="E4" s="398"/>
      <c r="F4" s="398"/>
      <c r="G4" s="398"/>
      <c r="H4" s="398"/>
      <c r="I4" s="398"/>
      <c r="J4" s="398"/>
    </row>
    <row r="5" spans="1:10" x14ac:dyDescent="0.3">
      <c r="A5" s="387" t="s">
        <v>377</v>
      </c>
      <c r="B5" s="328" t="s">
        <v>378</v>
      </c>
      <c r="C5" s="328"/>
      <c r="D5" s="328"/>
      <c r="E5" s="328"/>
      <c r="F5" s="338" t="s">
        <v>147</v>
      </c>
      <c r="G5" s="328" t="s">
        <v>379</v>
      </c>
      <c r="H5" s="328"/>
      <c r="I5" s="328"/>
      <c r="J5" s="328"/>
    </row>
    <row r="6" spans="1:10" x14ac:dyDescent="0.3">
      <c r="B6" s="5" t="s">
        <v>380</v>
      </c>
    </row>
    <row r="7" spans="1:10" x14ac:dyDescent="0.3">
      <c r="A7" t="s">
        <v>381</v>
      </c>
      <c r="B7">
        <v>1</v>
      </c>
      <c r="C7">
        <v>1</v>
      </c>
      <c r="D7">
        <v>1</v>
      </c>
    </row>
    <row r="8" spans="1:10" x14ac:dyDescent="0.3">
      <c r="A8" t="s">
        <v>305</v>
      </c>
      <c r="B8">
        <v>1</v>
      </c>
      <c r="C8">
        <v>3</v>
      </c>
      <c r="D8">
        <v>5</v>
      </c>
    </row>
    <row r="9" spans="1:10" x14ac:dyDescent="0.3">
      <c r="A9" t="s">
        <v>382</v>
      </c>
      <c r="B9">
        <v>40</v>
      </c>
      <c r="C9">
        <v>60</v>
      </c>
      <c r="D9">
        <v>80</v>
      </c>
    </row>
    <row r="10" spans="1:10" x14ac:dyDescent="0.3">
      <c r="A10" t="s">
        <v>383</v>
      </c>
      <c r="B10">
        <v>25</v>
      </c>
      <c r="C10">
        <v>50</v>
      </c>
      <c r="D10">
        <v>100</v>
      </c>
    </row>
    <row r="11" spans="1:10" x14ac:dyDescent="0.3">
      <c r="A11" t="s">
        <v>384</v>
      </c>
      <c r="B11">
        <f>B9*B10</f>
        <v>1000</v>
      </c>
      <c r="C11">
        <f>C9*C10</f>
        <v>3000</v>
      </c>
      <c r="D11">
        <f>D9*D10</f>
        <v>8000</v>
      </c>
    </row>
    <row r="12" spans="1:10" x14ac:dyDescent="0.3">
      <c r="A12" t="s">
        <v>385</v>
      </c>
      <c r="B12" s="41">
        <f t="shared" ref="B12:C12" si="0">25/B8</f>
        <v>25</v>
      </c>
      <c r="C12" s="41">
        <f t="shared" si="0"/>
        <v>8.3333333333333339</v>
      </c>
      <c r="D12" s="41">
        <f>25/D8</f>
        <v>5</v>
      </c>
    </row>
    <row r="13" spans="1:10" x14ac:dyDescent="0.3">
      <c r="A13" t="s">
        <v>386</v>
      </c>
      <c r="B13">
        <f>B11*B12</f>
        <v>25000</v>
      </c>
      <c r="C13">
        <f>C11*C12</f>
        <v>25000</v>
      </c>
      <c r="D13">
        <f t="shared" ref="D13" si="1">D11*D12</f>
        <v>40000</v>
      </c>
    </row>
    <row r="14" spans="1:10" ht="28.8" x14ac:dyDescent="0.3">
      <c r="A14" s="349" t="s">
        <v>387</v>
      </c>
      <c r="B14" s="349">
        <f>(B13/(100*100*100))*100</f>
        <v>2.5</v>
      </c>
      <c r="C14" s="349">
        <f t="shared" ref="C14:D14" si="2">(C13/(100*100*100))*100</f>
        <v>2.5</v>
      </c>
      <c r="D14" s="349">
        <f t="shared" si="2"/>
        <v>4</v>
      </c>
      <c r="E14" s="471">
        <f>((B7*B14)+(C7*C14)+(D7*D14))/3</f>
        <v>3</v>
      </c>
      <c r="F14" s="352" t="s">
        <v>388</v>
      </c>
      <c r="G14" s="349"/>
      <c r="H14" s="349"/>
      <c r="I14" s="349"/>
      <c r="J14" s="349"/>
    </row>
    <row r="15" spans="1:10" x14ac:dyDescent="0.3">
      <c r="A15" s="282"/>
      <c r="F15" s="338"/>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DFE5-FA58-44AB-86A6-50E29D0BDA89}">
  <sheetPr>
    <tabColor theme="6" tint="0.39997558519241921"/>
  </sheetPr>
  <dimension ref="A1:N28"/>
  <sheetViews>
    <sheetView tabSelected="1" zoomScaleNormal="100" workbookViewId="0">
      <selection activeCell="N13" sqref="N13"/>
    </sheetView>
  </sheetViews>
  <sheetFormatPr defaultRowHeight="14.4" x14ac:dyDescent="0.3"/>
  <cols>
    <col min="1" max="1" width="24" customWidth="1"/>
  </cols>
  <sheetData>
    <row r="1" spans="1:14" ht="18" x14ac:dyDescent="0.35">
      <c r="A1" s="231" t="s">
        <v>389</v>
      </c>
    </row>
    <row r="3" spans="1:14" x14ac:dyDescent="0.3">
      <c r="B3" t="s">
        <v>18</v>
      </c>
      <c r="C3" t="s">
        <v>52</v>
      </c>
    </row>
    <row r="4" spans="1:14" x14ac:dyDescent="0.3">
      <c r="A4" t="str">
        <f>DE!A22</f>
        <v>Cattle suckler herds</v>
      </c>
      <c r="B4" s="41">
        <f>DE!C22</f>
        <v>0.88410303277141455</v>
      </c>
      <c r="C4" s="41">
        <f>DE!E22</f>
        <v>0.16225308732188529</v>
      </c>
      <c r="D4" s="41">
        <v>1</v>
      </c>
      <c r="E4" t="s">
        <v>390</v>
      </c>
    </row>
    <row r="5" spans="1:14" x14ac:dyDescent="0.3">
      <c r="A5" t="str">
        <f>DE!A23</f>
        <v>Meat cattle dairy intensive</v>
      </c>
      <c r="B5" s="41">
        <f>DE!C23</f>
        <v>0.82044791775586834</v>
      </c>
      <c r="C5" s="41">
        <f>DE!E23</f>
        <v>0.18969213139801377</v>
      </c>
      <c r="D5" s="41">
        <v>1</v>
      </c>
      <c r="E5" s="248"/>
      <c r="F5" s="248"/>
      <c r="G5" s="248"/>
      <c r="H5" s="248"/>
      <c r="I5" s="248"/>
      <c r="J5" s="248"/>
      <c r="K5" s="248"/>
      <c r="L5" s="248"/>
      <c r="M5" s="248"/>
      <c r="N5" s="248"/>
    </row>
    <row r="6" spans="1:14" x14ac:dyDescent="0.3">
      <c r="A6" t="str">
        <f>DE!A24</f>
        <v>Meat cattle dairy extensive</v>
      </c>
      <c r="B6" s="41">
        <f>DE!C24</f>
        <v>0.88410303277141455</v>
      </c>
      <c r="C6" s="41">
        <f>DE!E24</f>
        <v>0.18111023017902814</v>
      </c>
      <c r="D6" s="41">
        <v>1</v>
      </c>
      <c r="E6" s="248"/>
      <c r="F6" s="248"/>
      <c r="G6" s="249"/>
      <c r="H6" s="281" t="s">
        <v>391</v>
      </c>
      <c r="I6" s="279"/>
      <c r="J6" s="279"/>
      <c r="K6" s="279"/>
      <c r="L6" s="279" t="s">
        <v>392</v>
      </c>
      <c r="M6" s="280"/>
      <c r="N6" s="248"/>
    </row>
    <row r="7" spans="1:14" x14ac:dyDescent="0.3">
      <c r="A7" t="str">
        <f>DE!A25</f>
        <v>Dairy cows</v>
      </c>
      <c r="B7" s="41">
        <f>DE!C25</f>
        <v>0.88410303277141455</v>
      </c>
      <c r="C7" s="41">
        <f>DE!E25</f>
        <v>0.22742771909171466</v>
      </c>
      <c r="D7" s="41">
        <v>1</v>
      </c>
    </row>
    <row r="8" spans="1:14" x14ac:dyDescent="0.3">
      <c r="A8" t="str">
        <f>DE!A26</f>
        <v>Horse</v>
      </c>
      <c r="B8" s="41">
        <f>DE!C26</f>
        <v>0.87913616180078868</v>
      </c>
      <c r="C8" s="41">
        <f>DE!E26</f>
        <v>0.18913142857142856</v>
      </c>
      <c r="D8" s="41">
        <v>1</v>
      </c>
    </row>
    <row r="9" spans="1:14" x14ac:dyDescent="0.3">
      <c r="A9" t="str">
        <f>DE!A27</f>
        <v>Lamb</v>
      </c>
      <c r="B9" s="41">
        <f>DE!C27</f>
        <v>0.82044791775586834</v>
      </c>
      <c r="C9" s="41">
        <f>DE!E27</f>
        <v>0.17945330537936893</v>
      </c>
      <c r="D9" s="41">
        <v>1</v>
      </c>
    </row>
    <row r="10" spans="1:14" x14ac:dyDescent="0.3">
      <c r="A10" t="str">
        <f>DE!A28</f>
        <v>Pig</v>
      </c>
      <c r="B10" s="41">
        <f>DE!C28</f>
        <v>0.87981165625279378</v>
      </c>
      <c r="C10" s="41">
        <f>DE!E28</f>
        <v>0.36613686313686317</v>
      </c>
      <c r="D10" s="41">
        <v>1</v>
      </c>
    </row>
    <row r="11" spans="1:14" x14ac:dyDescent="0.3">
      <c r="A11" t="str">
        <f>DE!A29</f>
        <v>Chicken</v>
      </c>
      <c r="B11" s="41">
        <f>DE!C29</f>
        <v>0.54320827892864587</v>
      </c>
      <c r="C11" s="41">
        <f>DE!E29</f>
        <v>0.21246997929606626</v>
      </c>
      <c r="D11" s="41">
        <v>1</v>
      </c>
    </row>
    <row r="12" spans="1:14" x14ac:dyDescent="0.3">
      <c r="A12" t="str">
        <f>DE!A30</f>
        <v>Rabbit</v>
      </c>
      <c r="B12" s="41">
        <f>DE!C30</f>
        <v>0.67196797361598137</v>
      </c>
      <c r="C12" s="41">
        <f>DE!E30</f>
        <v>0.26817142857142856</v>
      </c>
      <c r="D12" s="41">
        <v>1</v>
      </c>
    </row>
    <row r="13" spans="1:14" x14ac:dyDescent="0.3">
      <c r="A13" t="str">
        <f>DE!A31</f>
        <v>Laying hen</v>
      </c>
      <c r="B13" s="41">
        <f>DE!C31</f>
        <v>0.58534077701729459</v>
      </c>
      <c r="C13" s="41">
        <f>DE!E31</f>
        <v>0.42103714285714283</v>
      </c>
      <c r="D13" s="41">
        <v>1</v>
      </c>
    </row>
    <row r="14" spans="1:14" x14ac:dyDescent="0.3">
      <c r="A14" t="str">
        <f>NO!A13</f>
        <v>Farmed salmon</v>
      </c>
      <c r="B14" s="41">
        <f>NO!C13</f>
        <v>0.30307199464420814</v>
      </c>
      <c r="C14" s="41">
        <f>NO!E13</f>
        <v>0.25057142857142856</v>
      </c>
      <c r="D14" s="41">
        <v>1</v>
      </c>
    </row>
    <row r="15" spans="1:14" x14ac:dyDescent="0.3">
      <c r="A15" t="str">
        <f>Wild!A21</f>
        <v>Wild fish</v>
      </c>
      <c r="B15" s="41">
        <f>Wild!C21</f>
        <v>0.31967774941142579</v>
      </c>
      <c r="C15" s="41">
        <f>Wild!E21</f>
        <v>4.1666666666666671E-2</v>
      </c>
      <c r="D15" s="41">
        <v>1</v>
      </c>
    </row>
    <row r="16" spans="1:14" x14ac:dyDescent="0.3">
      <c r="A16" t="str">
        <f>Wild!A22</f>
        <v>Mussels</v>
      </c>
      <c r="B16" s="41">
        <f>Wild!C22</f>
        <v>4.9917805810998139E-2</v>
      </c>
      <c r="C16" s="41">
        <f>Wild!E22</f>
        <v>2.3809523809523808E-2</v>
      </c>
      <c r="D16" s="41">
        <v>1</v>
      </c>
    </row>
    <row r="17" spans="1:4" x14ac:dyDescent="0.3">
      <c r="A17" t="str">
        <f>Wild!A23</f>
        <v>Shrimp</v>
      </c>
      <c r="B17" s="41">
        <f>Wild!C23</f>
        <v>0.1460824482519773</v>
      </c>
      <c r="C17" s="41">
        <f>Wild!E23</f>
        <v>1.1904761904761904E-2</v>
      </c>
      <c r="D17" s="41">
        <v>1</v>
      </c>
    </row>
    <row r="18" spans="1:4" x14ac:dyDescent="0.3">
      <c r="A18" t="str">
        <f>Wild!A24</f>
        <v>Octopus</v>
      </c>
      <c r="B18" s="41">
        <f>Wild!C24</f>
        <v>0.37054242144291522</v>
      </c>
      <c r="C18" s="41">
        <f>Wild!E24</f>
        <v>4.1666666666666671E-2</v>
      </c>
      <c r="D18" s="41">
        <v>1</v>
      </c>
    </row>
    <row r="19" spans="1:4" x14ac:dyDescent="0.3">
      <c r="A19" t="str">
        <f>Wild!A25</f>
        <v>Wild ruminants</v>
      </c>
      <c r="B19" s="41">
        <f>Wild!C25</f>
        <v>0.93252505786404671</v>
      </c>
      <c r="C19" s="41">
        <f>Wild!E25</f>
        <v>1.9841269841269841E-4</v>
      </c>
      <c r="D19" s="41">
        <v>1</v>
      </c>
    </row>
    <row r="20" spans="1:4" x14ac:dyDescent="0.3">
      <c r="A20" t="str">
        <f>Wild!A26</f>
        <v>Wild boar</v>
      </c>
      <c r="B20" s="41">
        <f>Wild!C26</f>
        <v>1</v>
      </c>
      <c r="C20" s="41">
        <f>Wild!E26</f>
        <v>1.9841269841269841E-4</v>
      </c>
      <c r="D20" s="41">
        <v>1</v>
      </c>
    </row>
    <row r="21" spans="1:4" x14ac:dyDescent="0.3">
      <c r="A21" t="str">
        <f>Wild!A27</f>
        <v>Wild rabbit</v>
      </c>
      <c r="B21" s="41">
        <f>Wild!C27</f>
        <v>0.70880725560511382</v>
      </c>
      <c r="C21" s="41">
        <f>Wild!E27</f>
        <v>1.9841269841269841E-4</v>
      </c>
      <c r="D21" s="41">
        <v>1</v>
      </c>
    </row>
    <row r="22" spans="1:4" x14ac:dyDescent="0.3">
      <c r="A22" t="str">
        <f>Wild!A28</f>
        <v>Mealworm</v>
      </c>
      <c r="B22" s="41">
        <f>Wild!C28</f>
        <v>3.9541560819636078E-2</v>
      </c>
      <c r="C22" s="41">
        <f>Wild!E28</f>
        <v>1.9841269841269841E-4</v>
      </c>
      <c r="D22" s="41">
        <v>1</v>
      </c>
    </row>
    <row r="23" spans="1:4" x14ac:dyDescent="0.3">
      <c r="A23" t="str">
        <f>Wild!A29</f>
        <v>Honeybee</v>
      </c>
      <c r="B23" s="41">
        <f>Wild!C29</f>
        <v>8.8767767475785006E-2</v>
      </c>
      <c r="C23" s="41">
        <f>Wild!E29</f>
        <v>9.9206349206349206E-5</v>
      </c>
      <c r="D23" s="41">
        <v>1</v>
      </c>
    </row>
    <row r="25" spans="1:4" x14ac:dyDescent="0.3">
      <c r="A25" t="s">
        <v>393</v>
      </c>
      <c r="B25" s="41">
        <f>DE!R22</f>
        <v>0.88410303277141455</v>
      </c>
      <c r="C25" s="41">
        <f>DE!T22</f>
        <v>9.9934733671275949E-2</v>
      </c>
      <c r="D25" s="41">
        <v>1</v>
      </c>
    </row>
    <row r="26" spans="1:4" x14ac:dyDescent="0.3">
      <c r="A26" t="s">
        <v>394</v>
      </c>
      <c r="B26" s="41">
        <f>DE!R27</f>
        <v>0.88410303277141455</v>
      </c>
      <c r="C26" s="41">
        <f>DE!T27</f>
        <v>0.13630615568100515</v>
      </c>
      <c r="D26" s="41">
        <v>1</v>
      </c>
    </row>
    <row r="27" spans="1:4" x14ac:dyDescent="0.3">
      <c r="A27" t="s">
        <v>395</v>
      </c>
      <c r="B27" s="41">
        <f>DE!R28</f>
        <v>0.94805646338919392</v>
      </c>
      <c r="C27" s="41">
        <f>DE!T28</f>
        <v>0.26059130348587112</v>
      </c>
      <c r="D27" s="41">
        <v>1</v>
      </c>
    </row>
    <row r="28" spans="1:4" x14ac:dyDescent="0.3">
      <c r="A28" t="s">
        <v>396</v>
      </c>
      <c r="B28" s="41">
        <f>DE!R29</f>
        <v>0.54320827892864587</v>
      </c>
      <c r="C28" s="41">
        <f>DE!T29</f>
        <v>0.43172161172161172</v>
      </c>
      <c r="D28" s="41">
        <v>1</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3AF3-9C8A-43DB-98BF-C3D286F48519}">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s="100" t="s">
        <v>397</v>
      </c>
      <c r="B2" s="100" t="s">
        <v>398</v>
      </c>
    </row>
    <row r="3" spans="1:2" x14ac:dyDescent="0.3">
      <c r="A3" s="101" t="s">
        <v>43</v>
      </c>
      <c r="B3" s="151">
        <f>DE!B15</f>
        <v>101.91200681454696</v>
      </c>
    </row>
    <row r="4" spans="1:2" x14ac:dyDescent="0.3">
      <c r="A4" s="101" t="s">
        <v>42</v>
      </c>
      <c r="B4" s="151">
        <f>DE!B14</f>
        <v>67.86352278164415</v>
      </c>
    </row>
    <row r="5" spans="1:2" x14ac:dyDescent="0.3">
      <c r="A5" s="101" t="s">
        <v>83</v>
      </c>
      <c r="B5" s="151">
        <f>NO!B7</f>
        <v>11.456842109961455</v>
      </c>
    </row>
    <row r="6" spans="1:2" x14ac:dyDescent="0.3">
      <c r="A6" s="101" t="s">
        <v>88</v>
      </c>
      <c r="B6" s="151">
        <f>Wild!B9</f>
        <v>9.7388298834651525</v>
      </c>
    </row>
    <row r="7" spans="1:2" x14ac:dyDescent="0.3">
      <c r="A7" s="101" t="s">
        <v>44</v>
      </c>
      <c r="B7" s="151">
        <f>DE!B16</f>
        <v>6.904012517210206</v>
      </c>
    </row>
    <row r="8" spans="1:2" x14ac:dyDescent="0.3">
      <c r="A8" s="101" t="s">
        <v>40</v>
      </c>
      <c r="B8" s="151">
        <f>DE!B12</f>
        <v>4.9145137131217602</v>
      </c>
    </row>
    <row r="9" spans="1:2" x14ac:dyDescent="0.3">
      <c r="A9" s="101" t="s">
        <v>41</v>
      </c>
      <c r="B9" s="151">
        <f>DE!B13</f>
        <v>3.571643061507237</v>
      </c>
    </row>
    <row r="10" spans="1:2" x14ac:dyDescent="0.3">
      <c r="A10" s="101" t="s">
        <v>87</v>
      </c>
      <c r="B10" s="151">
        <f>Wild!B8</f>
        <v>3.5483240297317837</v>
      </c>
    </row>
    <row r="11" spans="1:2" x14ac:dyDescent="0.3">
      <c r="A11" s="101" t="s">
        <v>86</v>
      </c>
      <c r="B11" s="151">
        <f>Wild!B7</f>
        <v>1.8647868715666507</v>
      </c>
    </row>
    <row r="12" spans="1:2" x14ac:dyDescent="0.3">
      <c r="A12" t="s">
        <v>89</v>
      </c>
      <c r="B12" s="151">
        <f>Wild!B10</f>
        <v>0.70248667398552689</v>
      </c>
    </row>
    <row r="13" spans="1:2" x14ac:dyDescent="0.3">
      <c r="A13" t="s">
        <v>36</v>
      </c>
      <c r="B13" s="151">
        <f>DE!B8</f>
        <v>0.6761482399684895</v>
      </c>
    </row>
    <row r="14" spans="1:2" x14ac:dyDescent="0.3">
      <c r="A14" s="101" t="s">
        <v>37</v>
      </c>
      <c r="B14" s="151">
        <f>DE!B9</f>
        <v>0.45776345179189332</v>
      </c>
    </row>
    <row r="15" spans="1:2" x14ac:dyDescent="0.3">
      <c r="A15" s="101" t="s">
        <v>99</v>
      </c>
      <c r="B15" s="151">
        <f>Wild!B15</f>
        <v>0.36986569781577089</v>
      </c>
    </row>
    <row r="16" spans="1:2" x14ac:dyDescent="0.3">
      <c r="A16" s="101" t="s">
        <v>39</v>
      </c>
      <c r="B16" s="151">
        <f>DE!B11</f>
        <v>0.35949635928357854</v>
      </c>
    </row>
    <row r="17" spans="1:2" x14ac:dyDescent="0.3">
      <c r="A17" s="101" t="s">
        <v>35</v>
      </c>
      <c r="B17" s="151">
        <f>DE!B7</f>
        <v>0.33958713885633385</v>
      </c>
    </row>
    <row r="18" spans="1:2" x14ac:dyDescent="0.3">
      <c r="A18" s="101" t="s">
        <v>98</v>
      </c>
      <c r="B18" s="151">
        <f>Wild!B14</f>
        <v>0.27459417235858385</v>
      </c>
    </row>
    <row r="19" spans="1:2" x14ac:dyDescent="0.3">
      <c r="A19" s="101" t="s">
        <v>97</v>
      </c>
      <c r="B19" s="151">
        <f>Wild!B13</f>
        <v>3.1305653789225861E-2</v>
      </c>
    </row>
    <row r="20" spans="1:2" x14ac:dyDescent="0.3">
      <c r="A20" s="101" t="s">
        <v>38</v>
      </c>
      <c r="B20" s="151">
        <f>DE!B10</f>
        <v>9.8488022875695535E-3</v>
      </c>
    </row>
    <row r="21" spans="1:2" x14ac:dyDescent="0.3">
      <c r="A21" s="101" t="s">
        <v>95</v>
      </c>
      <c r="B21" s="151">
        <f>Wild!B11</f>
        <v>3.2379342286946071E-3</v>
      </c>
    </row>
    <row r="22" spans="1:2" x14ac:dyDescent="0.3">
      <c r="A22" t="s">
        <v>96</v>
      </c>
      <c r="B22" s="151">
        <f>Wild!B12</f>
        <v>2.2222222222222222E-3</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F06A-EF06-41AC-9071-AAC97D6990CE}">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s="100" t="s">
        <v>397</v>
      </c>
      <c r="B2" s="100" t="s">
        <v>399</v>
      </c>
    </row>
    <row r="3" spans="1:2" x14ac:dyDescent="0.3">
      <c r="A3" s="101" t="s">
        <v>43</v>
      </c>
      <c r="B3" s="85">
        <f>DE!H15</f>
        <v>5.0517018264840181E-2</v>
      </c>
    </row>
    <row r="4" spans="1:2" x14ac:dyDescent="0.3">
      <c r="A4" s="101" t="s">
        <v>42</v>
      </c>
      <c r="B4" s="85">
        <f>DE!H14</f>
        <v>2.1427299692198299E-2</v>
      </c>
    </row>
    <row r="5" spans="1:2" x14ac:dyDescent="0.3">
      <c r="A5" s="101" t="s">
        <v>83</v>
      </c>
      <c r="B5" s="85">
        <f>NO!H7</f>
        <v>0.26344336046100186</v>
      </c>
    </row>
    <row r="6" spans="1:2" x14ac:dyDescent="0.3">
      <c r="A6" s="101" t="s">
        <v>88</v>
      </c>
      <c r="B6" s="85">
        <f>Wild!H9</f>
        <v>1.8264840182648401E-3</v>
      </c>
    </row>
    <row r="7" spans="1:2" x14ac:dyDescent="0.3">
      <c r="A7" s="101" t="s">
        <v>44</v>
      </c>
      <c r="B7" s="85">
        <f>DE!H16</f>
        <v>3.185921787671233E-2</v>
      </c>
    </row>
    <row r="8" spans="1:2" x14ac:dyDescent="0.3">
      <c r="A8" s="101" t="s">
        <v>40</v>
      </c>
      <c r="B8" s="85">
        <f>DE!H12</f>
        <v>5.1836104881324355E-3</v>
      </c>
    </row>
    <row r="9" spans="1:2" x14ac:dyDescent="0.3">
      <c r="A9" s="101" t="s">
        <v>41</v>
      </c>
      <c r="B9" s="85">
        <f>DE!H13</f>
        <v>4.0413654623646629E-3</v>
      </c>
    </row>
    <row r="10" spans="1:2" x14ac:dyDescent="0.3">
      <c r="A10" s="101" t="s">
        <v>87</v>
      </c>
      <c r="B10" s="85">
        <f>Wild!H8</f>
        <v>1.9474885844748856E-3</v>
      </c>
    </row>
    <row r="11" spans="1:2" x14ac:dyDescent="0.3">
      <c r="A11" s="101" t="s">
        <v>86</v>
      </c>
      <c r="B11" s="85">
        <f>Wild!H7</f>
        <v>1.5981735159817354E-4</v>
      </c>
    </row>
    <row r="12" spans="1:2" x14ac:dyDescent="0.3">
      <c r="A12" t="s">
        <v>89</v>
      </c>
      <c r="B12" s="85">
        <f>Wild!H10</f>
        <v>5.19406392694064E-5</v>
      </c>
    </row>
    <row r="13" spans="1:2" x14ac:dyDescent="0.3">
      <c r="A13" t="s">
        <v>36</v>
      </c>
      <c r="B13" s="85">
        <f>DE!H8</f>
        <v>1.125292484067101E-3</v>
      </c>
    </row>
    <row r="14" spans="1:2" x14ac:dyDescent="0.3">
      <c r="A14" s="101" t="s">
        <v>37</v>
      </c>
      <c r="B14" s="85">
        <f>DE!H9</f>
        <v>1.7287389648950708E-3</v>
      </c>
    </row>
    <row r="15" spans="1:2" x14ac:dyDescent="0.3">
      <c r="A15" s="101" t="s">
        <v>99</v>
      </c>
      <c r="B15" s="85">
        <f>Wild!H15</f>
        <v>1.1415525114155251E-4</v>
      </c>
    </row>
    <row r="16" spans="1:2" x14ac:dyDescent="0.3">
      <c r="A16" s="101" t="s">
        <v>39</v>
      </c>
      <c r="B16" s="85">
        <f>DE!H11</f>
        <v>1.5492950684931508E-3</v>
      </c>
    </row>
    <row r="17" spans="1:2" x14ac:dyDescent="0.3">
      <c r="A17" s="101" t="s">
        <v>35</v>
      </c>
      <c r="B17" s="85">
        <f>DE!H7</f>
        <v>1.1394499280016446E-3</v>
      </c>
    </row>
    <row r="18" spans="1:2" x14ac:dyDescent="0.3">
      <c r="A18" s="101" t="s">
        <v>98</v>
      </c>
      <c r="B18" s="85">
        <f>Wild!H14</f>
        <v>1.9025875190258751E-4</v>
      </c>
    </row>
    <row r="19" spans="1:2" x14ac:dyDescent="0.3">
      <c r="A19" s="101" t="s">
        <v>97</v>
      </c>
      <c r="B19" s="85">
        <f>Wild!H13</f>
        <v>1.2100456621004565E-6</v>
      </c>
    </row>
    <row r="20" spans="1:2" x14ac:dyDescent="0.3">
      <c r="A20" s="101" t="s">
        <v>38</v>
      </c>
      <c r="B20" s="85">
        <f>DE!H10</f>
        <v>1.5761883223897158E-4</v>
      </c>
    </row>
    <row r="21" spans="1:2" x14ac:dyDescent="0.3">
      <c r="A21" s="101" t="s">
        <v>95</v>
      </c>
      <c r="B21" s="85">
        <f>Wild!H11</f>
        <v>9.5129375951293758E-8</v>
      </c>
    </row>
    <row r="22" spans="1:2" x14ac:dyDescent="0.3">
      <c r="A22" t="s">
        <v>96</v>
      </c>
      <c r="B22" s="85">
        <f>Wild!H12</f>
        <v>6.0882800608828005E-8</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C272-5088-44E7-A6B6-319CAE9032C9}">
  <sheetPr>
    <tabColor theme="6" tint="-0.249977111117893"/>
  </sheetPr>
  <dimension ref="A2:B22"/>
  <sheetViews>
    <sheetView workbookViewId="0">
      <selection activeCell="N13" sqref="N13"/>
    </sheetView>
  </sheetViews>
  <sheetFormatPr defaultRowHeight="14.4" x14ac:dyDescent="0.3"/>
  <cols>
    <col min="1" max="1" width="17.6640625" customWidth="1"/>
  </cols>
  <sheetData>
    <row r="2" spans="1:2" x14ac:dyDescent="0.3">
      <c r="A2" t="s">
        <v>397</v>
      </c>
      <c r="B2" t="s">
        <v>398</v>
      </c>
    </row>
    <row r="3" spans="1:2" x14ac:dyDescent="0.3">
      <c r="A3" s="101" t="s">
        <v>43</v>
      </c>
      <c r="B3" s="41">
        <f>DE!K15</f>
        <v>3.3945818396546174E-2</v>
      </c>
    </row>
    <row r="4" spans="1:2" x14ac:dyDescent="0.3">
      <c r="A4" s="101" t="s">
        <v>42</v>
      </c>
      <c r="B4" s="41">
        <f>DE!K14</f>
        <v>1.163948658788734E-2</v>
      </c>
    </row>
    <row r="5" spans="1:2" x14ac:dyDescent="0.3">
      <c r="A5" s="101" t="s">
        <v>83</v>
      </c>
      <c r="B5" s="41">
        <f>NO!K7</f>
        <v>7.9842304730688957E-2</v>
      </c>
    </row>
    <row r="6" spans="1:2" x14ac:dyDescent="0.3">
      <c r="A6" s="101" t="s">
        <v>88</v>
      </c>
      <c r="B6" s="41">
        <f>Wild!K9</f>
        <v>2.6681725708123708E-4</v>
      </c>
    </row>
    <row r="7" spans="1:2" x14ac:dyDescent="0.3">
      <c r="A7" s="101" t="s">
        <v>44</v>
      </c>
      <c r="B7" s="41">
        <f>DE!K16</f>
        <v>1.8648499347118076E-2</v>
      </c>
    </row>
    <row r="8" spans="1:2" x14ac:dyDescent="0.3">
      <c r="A8" s="101" t="s">
        <v>40</v>
      </c>
      <c r="B8" s="41">
        <f>DE!K12</f>
        <v>4.2571824947300321E-3</v>
      </c>
    </row>
    <row r="9" spans="1:2" x14ac:dyDescent="0.3">
      <c r="A9" s="101" t="s">
        <v>41</v>
      </c>
      <c r="B9" s="41">
        <f>DE!K13</f>
        <v>3.5558226828214783E-3</v>
      </c>
    </row>
    <row r="10" spans="1:2" x14ac:dyDescent="0.3">
      <c r="A10" s="101" t="s">
        <v>87</v>
      </c>
      <c r="B10" s="41">
        <f>Wild!K8</f>
        <v>9.7214356978952984E-5</v>
      </c>
    </row>
    <row r="11" spans="1:2" x14ac:dyDescent="0.3">
      <c r="A11" s="101" t="s">
        <v>86</v>
      </c>
      <c r="B11" s="41">
        <f>Wild!K7</f>
        <v>5.1090051275798644E-5</v>
      </c>
    </row>
    <row r="12" spans="1:2" x14ac:dyDescent="0.3">
      <c r="A12" t="s">
        <v>89</v>
      </c>
      <c r="B12" s="41">
        <f>Wild!K10</f>
        <v>1.9246210246178816E-5</v>
      </c>
    </row>
    <row r="13" spans="1:2" x14ac:dyDescent="0.3">
      <c r="A13" t="s">
        <v>36</v>
      </c>
      <c r="B13" s="41">
        <f>DE!K8</f>
        <v>9.2324387541918172E-4</v>
      </c>
    </row>
    <row r="14" spans="1:2" x14ac:dyDescent="0.3">
      <c r="A14" s="101" t="s">
        <v>37</v>
      </c>
      <c r="B14" s="41">
        <f>DE!K9</f>
        <v>1.5283833617338481E-3</v>
      </c>
    </row>
    <row r="15" spans="1:2" x14ac:dyDescent="0.3">
      <c r="A15" s="101" t="s">
        <v>99</v>
      </c>
      <c r="B15" s="41">
        <f>Wild!K15</f>
        <v>1.0133306789473174E-5</v>
      </c>
    </row>
    <row r="16" spans="1:2" x14ac:dyDescent="0.3">
      <c r="A16" s="101" t="s">
        <v>39</v>
      </c>
      <c r="B16" s="41">
        <f>DE!K11</f>
        <v>1.3620413200119588E-3</v>
      </c>
    </row>
    <row r="17" spans="1:2" x14ac:dyDescent="0.3">
      <c r="A17" s="101" t="s">
        <v>35</v>
      </c>
      <c r="B17" s="41">
        <f>DE!K7</f>
        <v>1.007391137037424E-3</v>
      </c>
    </row>
    <row r="18" spans="1:2" x14ac:dyDescent="0.3">
      <c r="A18" s="101" t="s">
        <v>98</v>
      </c>
      <c r="B18" s="41">
        <f>Wild!K14</f>
        <v>7.523128009824215E-6</v>
      </c>
    </row>
    <row r="19" spans="1:2" x14ac:dyDescent="0.3">
      <c r="A19" s="101" t="s">
        <v>97</v>
      </c>
      <c r="B19" s="41">
        <f>Wild!K13</f>
        <v>8.5768914491029749E-7</v>
      </c>
    </row>
    <row r="20" spans="1:2" x14ac:dyDescent="0.3">
      <c r="A20" s="101" t="s">
        <v>38</v>
      </c>
      <c r="B20" s="41">
        <f>DE!K10</f>
        <v>1.3935128760436357E-4</v>
      </c>
    </row>
    <row r="21" spans="1:2" x14ac:dyDescent="0.3">
      <c r="A21" s="101" t="s">
        <v>95</v>
      </c>
      <c r="B21" s="41">
        <f>Wild!K11</f>
        <v>8.8710526813550867E-8</v>
      </c>
    </row>
    <row r="22" spans="1:2" x14ac:dyDescent="0.3">
      <c r="A22" t="s">
        <v>96</v>
      </c>
      <c r="B22" s="41">
        <f>Wild!K12</f>
        <v>6.0882800608828005E-8</v>
      </c>
    </row>
  </sheetData>
  <autoFilter ref="A2:B2" xr:uid="{AECA3AF3-9C8A-43DB-98BF-C3D286F48519}">
    <sortState xmlns:xlrd2="http://schemas.microsoft.com/office/spreadsheetml/2017/richdata2" ref="A3:B22">
      <sortCondition descending="1" ref="B2"/>
    </sortState>
  </autoFilter>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F377-5885-4F7A-9ABE-EC90DB48C7B3}">
  <sheetPr>
    <tabColor theme="6" tint="-0.499984740745262"/>
  </sheetPr>
  <dimension ref="A2:N31"/>
  <sheetViews>
    <sheetView topLeftCell="G1" zoomScaleNormal="100" workbookViewId="0">
      <selection activeCell="AA16" sqref="AA16"/>
    </sheetView>
  </sheetViews>
  <sheetFormatPr defaultRowHeight="14.4" x14ac:dyDescent="0.3"/>
  <cols>
    <col min="1" max="1" width="14.6640625" customWidth="1"/>
    <col min="2" max="8" width="7.33203125" customWidth="1"/>
    <col min="9" max="9" width="8.6640625" customWidth="1"/>
    <col min="10" max="10" width="8.109375" customWidth="1"/>
    <col min="11" max="11" width="8.5546875" customWidth="1"/>
    <col min="12" max="14" width="7.6640625" customWidth="1"/>
    <col min="15" max="15" width="9" customWidth="1"/>
    <col min="16" max="16" width="7.6640625" customWidth="1"/>
  </cols>
  <sheetData>
    <row r="2" spans="1:11" x14ac:dyDescent="0.3">
      <c r="A2" s="266"/>
      <c r="B2" s="266"/>
      <c r="C2" s="266"/>
      <c r="D2" s="266"/>
      <c r="E2" s="266"/>
      <c r="F2" s="266"/>
      <c r="G2" s="266"/>
      <c r="K2" s="266"/>
    </row>
    <row r="3" spans="1:11" ht="39.6" x14ac:dyDescent="0.3">
      <c r="A3" s="267"/>
      <c r="B3" s="278" t="s">
        <v>35</v>
      </c>
      <c r="C3" s="278" t="s">
        <v>400</v>
      </c>
      <c r="D3" s="278" t="s">
        <v>37</v>
      </c>
      <c r="E3" s="278" t="s">
        <v>38</v>
      </c>
      <c r="F3" s="278" t="s">
        <v>39</v>
      </c>
      <c r="G3" s="278" t="s">
        <v>40</v>
      </c>
      <c r="H3" s="278" t="s">
        <v>41</v>
      </c>
      <c r="I3" s="278" t="s">
        <v>42</v>
      </c>
      <c r="J3" s="278" t="s">
        <v>43</v>
      </c>
      <c r="K3" s="278" t="s">
        <v>44</v>
      </c>
    </row>
    <row r="4" spans="1:11" x14ac:dyDescent="0.3">
      <c r="A4" s="269" t="s">
        <v>28</v>
      </c>
      <c r="B4" s="268"/>
      <c r="C4" s="268"/>
      <c r="D4" s="268"/>
      <c r="E4" s="268"/>
      <c r="F4" s="268"/>
      <c r="G4" s="268"/>
      <c r="H4" s="268"/>
      <c r="I4" s="268"/>
      <c r="J4" s="268"/>
      <c r="K4" s="268"/>
    </row>
    <row r="5" spans="1:11" x14ac:dyDescent="0.3">
      <c r="A5" s="270" t="s">
        <v>27</v>
      </c>
      <c r="B5" s="271">
        <f>DK!B7</f>
        <v>0.31576873779158926</v>
      </c>
      <c r="C5" s="271">
        <f>DK!B8</f>
        <v>0.57829644413894088</v>
      </c>
      <c r="D5" s="271">
        <f>DK!B9</f>
        <v>0.32507460968253632</v>
      </c>
      <c r="E5" s="272">
        <f>DK!B10</f>
        <v>8.5380740270760303E-3</v>
      </c>
      <c r="F5" s="271">
        <f>DK!B11</f>
        <v>0.3462038205171506</v>
      </c>
      <c r="G5" s="271">
        <f>DK!B12</f>
        <v>4.122401207708533</v>
      </c>
      <c r="H5" s="271">
        <f>DK!B13</f>
        <v>3.681157952250719</v>
      </c>
      <c r="I5" s="271">
        <f>DK!B14</f>
        <v>70.338715502387515</v>
      </c>
      <c r="J5" s="273"/>
      <c r="K5" s="271">
        <f>DK!B16</f>
        <v>6.7130158850058992</v>
      </c>
    </row>
    <row r="6" spans="1:11" x14ac:dyDescent="0.3">
      <c r="A6" s="270" t="s">
        <v>69</v>
      </c>
      <c r="B6" s="271">
        <f>FR!B7</f>
        <v>0.30083658621305265</v>
      </c>
      <c r="C6" s="271">
        <f>FR!B8</f>
        <v>0.74383519318334856</v>
      </c>
      <c r="D6" s="271">
        <f>FR!B9</f>
        <v>0.39939441182216567</v>
      </c>
      <c r="E6" s="272">
        <f>FR!B10</f>
        <v>8.4023562912709029E-3</v>
      </c>
      <c r="F6" s="271">
        <f>FR!B11</f>
        <v>0.41846881301717542</v>
      </c>
      <c r="G6" s="271">
        <f>FR!B12</f>
        <v>4.5747956459451755</v>
      </c>
      <c r="H6" s="271">
        <f>FR!B13</f>
        <v>3.7605990113536159</v>
      </c>
      <c r="I6" s="271">
        <f>FR!B14</f>
        <v>76.379314647983435</v>
      </c>
      <c r="J6" s="273">
        <f>FR!B15</f>
        <v>121.28923368465666</v>
      </c>
      <c r="K6" s="271">
        <f>FR!B16</f>
        <v>6.8057357518849253</v>
      </c>
    </row>
    <row r="7" spans="1:11" x14ac:dyDescent="0.3">
      <c r="A7" s="270" t="s">
        <v>70</v>
      </c>
      <c r="B7" s="271">
        <f>DE!B7</f>
        <v>0.33958713885633385</v>
      </c>
      <c r="C7" s="271">
        <f>DE!B8</f>
        <v>0.6761482399684895</v>
      </c>
      <c r="D7" s="271">
        <f>DE!B9</f>
        <v>0.45776345179189332</v>
      </c>
      <c r="E7" s="272">
        <f>DE!B10</f>
        <v>9.8488022875695535E-3</v>
      </c>
      <c r="F7" s="271">
        <f>DE!B11</f>
        <v>0.35949635928357854</v>
      </c>
      <c r="G7" s="271">
        <f>DE!B12</f>
        <v>4.9145137131217602</v>
      </c>
      <c r="H7" s="271">
        <f>DE!B13</f>
        <v>3.571643061507237</v>
      </c>
      <c r="I7" s="271">
        <f>DE!B14</f>
        <v>67.86352278164415</v>
      </c>
      <c r="J7" s="273">
        <f>DE!B15</f>
        <v>101.91200681454696</v>
      </c>
      <c r="K7" s="271">
        <f>DE!B16</f>
        <v>6.904012517210206</v>
      </c>
    </row>
    <row r="8" spans="1:11" x14ac:dyDescent="0.3">
      <c r="A8" s="270" t="s">
        <v>71</v>
      </c>
      <c r="B8" s="271">
        <f>GR!B7</f>
        <v>0.34502624713922819</v>
      </c>
      <c r="C8" s="271">
        <f>GR!B8</f>
        <v>0.74383519318334856</v>
      </c>
      <c r="D8" s="271">
        <f>GR!B9</f>
        <v>0.46232468480418876</v>
      </c>
      <c r="E8" s="272">
        <f>GR!B10</f>
        <v>1.2843847601606386E-2</v>
      </c>
      <c r="F8" s="271">
        <f>GR!B11</f>
        <v>0.41952377641133637</v>
      </c>
      <c r="G8" s="271">
        <f>GR!B12</f>
        <v>3.829680259377557</v>
      </c>
      <c r="H8" s="271">
        <f>GR!B13</f>
        <v>3.6851588734859804</v>
      </c>
      <c r="I8" s="271">
        <f>GR!B14</f>
        <v>76.375945434990129</v>
      </c>
      <c r="J8" s="273">
        <f>GR!B15</f>
        <v>102.70459303942701</v>
      </c>
      <c r="K8" s="271">
        <f>GR!B16</f>
        <v>9.9251216624319838</v>
      </c>
    </row>
    <row r="9" spans="1:11" x14ac:dyDescent="0.3">
      <c r="A9" s="270" t="s">
        <v>72</v>
      </c>
      <c r="B9" s="271">
        <f>HU!B7</f>
        <v>0.36485398972047356</v>
      </c>
      <c r="C9" s="271">
        <f>HU!B8</f>
        <v>0.74383519318334856</v>
      </c>
      <c r="D9" s="271">
        <f>HU!B9</f>
        <v>0.48629812213067392</v>
      </c>
      <c r="E9" s="272">
        <f>HU!B10</f>
        <v>1.3130923271980016E-2</v>
      </c>
      <c r="F9" s="271">
        <f>HU!B11</f>
        <v>0.44273297108287724</v>
      </c>
      <c r="G9" s="271">
        <f>HU!B12</f>
        <v>5.9505123897046435</v>
      </c>
      <c r="H9" s="271">
        <f>HU!B13</f>
        <v>3.5752122260616277</v>
      </c>
      <c r="I9" s="271">
        <f>HU!B14</f>
        <v>76.364102407618148</v>
      </c>
      <c r="J9" s="273">
        <f>HU!B15</f>
        <v>102.70459303942701</v>
      </c>
      <c r="K9" s="273">
        <f>HU!B16</f>
        <v>10.4238554180818</v>
      </c>
    </row>
    <row r="10" spans="1:11" x14ac:dyDescent="0.3">
      <c r="A10" s="270" t="s">
        <v>73</v>
      </c>
      <c r="B10" s="271">
        <f>IE!B7</f>
        <v>0.30763517071386332</v>
      </c>
      <c r="C10" s="271">
        <f>IE!B8</f>
        <v>0.74383519318334856</v>
      </c>
      <c r="D10" s="271">
        <f>IE!B9</f>
        <v>0.40538777115378694</v>
      </c>
      <c r="E10" s="272">
        <f>IE!B10</f>
        <v>8.2186344143383248E-3</v>
      </c>
      <c r="F10" s="271">
        <f>IE!B11</f>
        <v>0.43830212482740122</v>
      </c>
      <c r="G10" s="271">
        <f>IE!B12</f>
        <v>3.5479605661101381</v>
      </c>
      <c r="H10" s="271">
        <f>IE!B13</f>
        <v>3.5621390083309037</v>
      </c>
      <c r="I10" s="271">
        <f>IE!B14</f>
        <v>76.375945434990129</v>
      </c>
      <c r="J10" s="273"/>
      <c r="K10" s="271">
        <f>IE!B16</f>
        <v>7.3535891304862409</v>
      </c>
    </row>
    <row r="11" spans="1:11" x14ac:dyDescent="0.3">
      <c r="A11" s="270" t="s">
        <v>74</v>
      </c>
      <c r="B11" s="271">
        <f>IT!B7</f>
        <v>0.41127979625147598</v>
      </c>
      <c r="C11" s="271">
        <f>IT!B8</f>
        <v>0.74383519318334856</v>
      </c>
      <c r="D11" s="271">
        <f>IT!B9</f>
        <v>0.5522250747785078</v>
      </c>
      <c r="E11" s="272">
        <f>IT!B10</f>
        <v>1.1186496781727206E-2</v>
      </c>
      <c r="F11" s="271">
        <f>IT!B11</f>
        <v>0.44484289787119907</v>
      </c>
      <c r="G11" s="271">
        <f>IT!B12</f>
        <v>3.8323104574399136</v>
      </c>
      <c r="H11" s="271">
        <f>IT!B13</f>
        <v>2.8469004569656313</v>
      </c>
      <c r="I11" s="271">
        <f>IT!B14</f>
        <v>76.375945434990129</v>
      </c>
      <c r="J11" s="273">
        <f>IT!B15</f>
        <v>97.636675488412735</v>
      </c>
      <c r="K11" s="271">
        <f>IT!B16</f>
        <v>8.5072471392274132</v>
      </c>
    </row>
    <row r="12" spans="1:11" ht="13.5" customHeight="1" x14ac:dyDescent="0.3">
      <c r="A12" s="274" t="s">
        <v>75</v>
      </c>
      <c r="B12" s="271">
        <f>NL!B7</f>
        <v>0.30624941123280713</v>
      </c>
      <c r="C12" s="271">
        <f>NL!B8</f>
        <v>0.6761482399684895</v>
      </c>
      <c r="D12" s="271">
        <f>NL!B9</f>
        <v>0.40831823730601785</v>
      </c>
      <c r="E12" s="272">
        <f>NL!B10</f>
        <v>8.68147231066628E-3</v>
      </c>
      <c r="F12" s="271">
        <f>NL!B11</f>
        <v>0.36920202250985923</v>
      </c>
      <c r="G12" s="271">
        <f>NL!B12</f>
        <v>3.328272217114165</v>
      </c>
      <c r="H12" s="271">
        <f>NL!B13</f>
        <v>3.4403831412221062</v>
      </c>
      <c r="I12" s="271">
        <f>NL!B14</f>
        <v>75.324630025990174</v>
      </c>
      <c r="J12" s="273">
        <f>NL!B15</f>
        <v>101.91200681454696</v>
      </c>
      <c r="K12" s="271">
        <f>NL!B16</f>
        <v>8.140424082882971</v>
      </c>
    </row>
    <row r="13" spans="1:11" x14ac:dyDescent="0.3">
      <c r="A13" s="270" t="s">
        <v>77</v>
      </c>
      <c r="B13" s="271">
        <f>PL!B7</f>
        <v>0.39860416313328806</v>
      </c>
      <c r="C13" s="271">
        <f>PL!B8</f>
        <v>0.74383519318334856</v>
      </c>
      <c r="D13" s="271">
        <f>PL!B9</f>
        <v>0.52525495778621201</v>
      </c>
      <c r="E13" s="272">
        <f>PL!B10</f>
        <v>1.0503266608638366E-2</v>
      </c>
      <c r="F13" s="271">
        <f>PL!B11</f>
        <v>0.49210525792960952</v>
      </c>
      <c r="G13" s="271">
        <f>PL!B12</f>
        <v>6.1975092217507841</v>
      </c>
      <c r="H13" s="271">
        <f>PL!B13</f>
        <v>3.6851588734859804</v>
      </c>
      <c r="I13" s="271">
        <f>PL!B14</f>
        <v>76.364102407618148</v>
      </c>
      <c r="J13" s="273">
        <f>PL!B15</f>
        <v>101.72645405809915</v>
      </c>
      <c r="K13" s="271">
        <f>PL!B16</f>
        <v>10.000198388241101</v>
      </c>
    </row>
    <row r="14" spans="1:11" x14ac:dyDescent="0.3">
      <c r="A14" s="270" t="s">
        <v>401</v>
      </c>
      <c r="B14" s="271">
        <f>ES!B7</f>
        <v>0.27762368294755141</v>
      </c>
      <c r="C14" s="271">
        <f>ES!B8</f>
        <v>0.74383519318334856</v>
      </c>
      <c r="D14" s="271">
        <f>ES!B9</f>
        <v>0.36643093549824873</v>
      </c>
      <c r="E14" s="272">
        <f>ES!B10</f>
        <v>1.2379149152882114E-2</v>
      </c>
      <c r="F14" s="271">
        <f>ES!B11</f>
        <v>0.41741384962301448</v>
      </c>
      <c r="G14" s="271">
        <f>ES!B12</f>
        <v>4.6222311311345115</v>
      </c>
      <c r="H14" s="271">
        <f>ES!B13</f>
        <v>3.8727111368711289</v>
      </c>
      <c r="I14" s="271">
        <f>ES!B14</f>
        <v>76.364102407618148</v>
      </c>
      <c r="J14" s="273">
        <f>ES!B15</f>
        <v>121.28923368465666</v>
      </c>
      <c r="K14" s="271">
        <f>ES!B16</f>
        <v>8.8453867992947615</v>
      </c>
    </row>
    <row r="15" spans="1:11" x14ac:dyDescent="0.3">
      <c r="A15" s="270" t="s">
        <v>79</v>
      </c>
      <c r="B15" s="271">
        <f>SE!B7</f>
        <v>0.25558930950794517</v>
      </c>
      <c r="C15" s="271">
        <f>SE!B8</f>
        <v>0.66887781984731198</v>
      </c>
      <c r="D15" s="271">
        <f>SE!B9</f>
        <v>0.34030335166900655</v>
      </c>
      <c r="E15" s="272">
        <f>SE!B10</f>
        <v>8.0982770676337607E-3</v>
      </c>
      <c r="F15" s="271">
        <f>SE!B11</f>
        <v>0.35138690154063701</v>
      </c>
      <c r="G15" s="271">
        <f>SE!B12</f>
        <v>3.8345382940881954</v>
      </c>
      <c r="H15" s="271">
        <f>SE!B13</f>
        <v>2.8155572654515386</v>
      </c>
      <c r="I15" s="271">
        <f>SE!B14</f>
        <v>60.40241553729814</v>
      </c>
      <c r="J15" s="273">
        <f>SE!B15</f>
        <v>41.615200595362268</v>
      </c>
      <c r="K15" s="271">
        <f>SE!B16</f>
        <v>7.7138089936879002</v>
      </c>
    </row>
    <row r="16" spans="1:11" x14ac:dyDescent="0.3">
      <c r="A16" s="274" t="s">
        <v>80</v>
      </c>
      <c r="B16" s="271">
        <f>UK!B7</f>
        <v>0.28613939658379933</v>
      </c>
      <c r="C16" s="271">
        <f>UK!B8</f>
        <v>0.70083406996449682</v>
      </c>
      <c r="D16" s="271">
        <f>UK!B9</f>
        <v>0.37701372824992452</v>
      </c>
      <c r="E16" s="272"/>
      <c r="F16" s="271"/>
      <c r="G16" s="271">
        <f>UK!B12</f>
        <v>3.5854012986625179</v>
      </c>
      <c r="H16" s="271"/>
      <c r="I16" s="271"/>
      <c r="J16" s="271"/>
      <c r="K16" s="271"/>
    </row>
    <row r="17" spans="1:14" x14ac:dyDescent="0.3">
      <c r="A17" s="274" t="s">
        <v>81</v>
      </c>
      <c r="B17" s="271"/>
      <c r="C17" s="271"/>
      <c r="D17" s="271"/>
      <c r="E17" s="271"/>
      <c r="F17" s="271"/>
      <c r="G17" s="271">
        <f>NZ!B12</f>
        <v>3.0615509041071465</v>
      </c>
      <c r="H17" s="271"/>
      <c r="I17" s="271"/>
      <c r="J17" s="271"/>
      <c r="K17" s="271"/>
    </row>
    <row r="18" spans="1:14" x14ac:dyDescent="0.3">
      <c r="A18" s="269" t="s">
        <v>402</v>
      </c>
      <c r="B18" s="266"/>
      <c r="C18" s="266"/>
      <c r="D18" s="266"/>
      <c r="E18" s="275"/>
      <c r="F18" s="275"/>
      <c r="G18" s="275"/>
      <c r="H18" s="275"/>
      <c r="I18" s="275"/>
      <c r="J18" s="275"/>
      <c r="K18" s="275"/>
    </row>
    <row r="19" spans="1:14" x14ac:dyDescent="0.3">
      <c r="A19" s="270" t="s">
        <v>27</v>
      </c>
      <c r="B19" s="276">
        <f>DK!$K$7</f>
        <v>9.3364977156304397E-4</v>
      </c>
      <c r="C19" s="276">
        <f>DK!$K$8</f>
        <v>8.0104083359552186E-4</v>
      </c>
      <c r="D19" s="276">
        <f>DK!$K$9</f>
        <v>1.0862386926502713E-3</v>
      </c>
      <c r="E19" s="276">
        <f>DK!$K$10</f>
        <v>1.2351481738853771E-4</v>
      </c>
      <c r="F19" s="276">
        <f>DK!$K$11</f>
        <v>1.3177480315882107E-3</v>
      </c>
      <c r="G19" s="276">
        <f>DK!$K$12</f>
        <v>3.5981095730867863E-3</v>
      </c>
      <c r="H19" s="276">
        <f>DK!$K$13</f>
        <v>3.7140044528418156E-3</v>
      </c>
      <c r="I19" s="473">
        <f>DK!$K$14</f>
        <v>1.2231414123130238E-2</v>
      </c>
      <c r="J19" s="276"/>
      <c r="K19" s="473">
        <f>DK!$K$16</f>
        <v>1.8247475660454596E-2</v>
      </c>
    </row>
    <row r="20" spans="1:14" x14ac:dyDescent="0.3">
      <c r="A20" s="270" t="s">
        <v>69</v>
      </c>
      <c r="B20" s="276">
        <f>FR!$K$7</f>
        <v>7.6751510739834561E-4</v>
      </c>
      <c r="C20" s="276">
        <f>FR!$K$8</f>
        <v>9.2479057180138065E-4</v>
      </c>
      <c r="D20" s="276">
        <f>FR!$K$9</f>
        <v>1.1998214489398684E-3</v>
      </c>
      <c r="E20" s="276">
        <f>FR!$K$10</f>
        <v>1.1210162845563548E-4</v>
      </c>
      <c r="F20" s="276">
        <f>FR!$K$11</f>
        <v>1.2531264656521822E-3</v>
      </c>
      <c r="G20" s="276">
        <f>FR!$K$12</f>
        <v>3.5635967698894292E-3</v>
      </c>
      <c r="H20" s="276">
        <f>FR!$K$13</f>
        <v>3.6208347757220303E-3</v>
      </c>
      <c r="I20" s="473">
        <f>FR!$K$14</f>
        <v>1.3435071021210427E-2</v>
      </c>
      <c r="J20" s="473">
        <f>FR!$K$15</f>
        <v>4.0106711724711933E-2</v>
      </c>
      <c r="K20" s="473">
        <f>FR!$K$16</f>
        <v>1.7965284658036922E-2</v>
      </c>
      <c r="L20" s="265"/>
      <c r="M20" s="265"/>
      <c r="N20" s="265"/>
    </row>
    <row r="21" spans="1:14" x14ac:dyDescent="0.3">
      <c r="A21" s="270" t="s">
        <v>70</v>
      </c>
      <c r="B21" s="276">
        <f>DE!$K$7</f>
        <v>1.007391137037424E-3</v>
      </c>
      <c r="C21" s="276">
        <f>DE!$K$8</f>
        <v>9.2324387541918172E-4</v>
      </c>
      <c r="D21" s="276">
        <f>DE!$K$9</f>
        <v>1.5283833617338481E-3</v>
      </c>
      <c r="E21" s="276">
        <f>DE!$K$10</f>
        <v>1.3935128760436357E-4</v>
      </c>
      <c r="F21" s="276">
        <f>DE!$K$11</f>
        <v>1.3620413200119588E-3</v>
      </c>
      <c r="G21" s="276">
        <f>DE!$K$12</f>
        <v>4.2571824947300321E-3</v>
      </c>
      <c r="H21" s="276">
        <f>DE!$K$13</f>
        <v>3.5558226828214783E-3</v>
      </c>
      <c r="I21" s="473">
        <f>DE!$K$14</f>
        <v>1.163948658788734E-2</v>
      </c>
      <c r="J21" s="473">
        <f>DE!$K$15</f>
        <v>3.3945818396546174E-2</v>
      </c>
      <c r="K21" s="473">
        <f>DE!$K$16</f>
        <v>1.8648499347118076E-2</v>
      </c>
    </row>
    <row r="22" spans="1:14" x14ac:dyDescent="0.3">
      <c r="A22" s="270" t="s">
        <v>71</v>
      </c>
      <c r="B22" s="276">
        <f>GR!$K$7</f>
        <v>9.1460217019378228E-4</v>
      </c>
      <c r="C22" s="276">
        <f>GR!$K$8</f>
        <v>9.2479057180138065E-4</v>
      </c>
      <c r="D22" s="276">
        <f>GR!$K$9</f>
        <v>1.4094908466580178E-3</v>
      </c>
      <c r="E22" s="276">
        <f>GR!$K$10</f>
        <v>1.657627191882576E-4</v>
      </c>
      <c r="F22" s="276">
        <f>GR!$K$11</f>
        <v>1.2566407943945391E-3</v>
      </c>
      <c r="G22" s="276">
        <f>GR!$K$12</f>
        <v>2.9439629876071398E-3</v>
      </c>
      <c r="H22" s="276">
        <f>GR!$K$13</f>
        <v>3.51684541766944E-3</v>
      </c>
      <c r="I22" s="473">
        <f>GR!$K$14</f>
        <v>1.3435013371368128E-2</v>
      </c>
      <c r="J22" s="473">
        <f>GR!$K$15</f>
        <v>3.3961328476570588E-2</v>
      </c>
      <c r="K22" s="473">
        <f>GR!$K$16</f>
        <v>2.5365372386246629E-2</v>
      </c>
    </row>
    <row r="23" spans="1:14" x14ac:dyDescent="0.3">
      <c r="A23" s="270" t="s">
        <v>72</v>
      </c>
      <c r="B23" s="276">
        <f>HU!$K$7</f>
        <v>9.7752066622539381E-4</v>
      </c>
      <c r="C23" s="276">
        <f>HU!$K$8</f>
        <v>9.2479057180138065E-4</v>
      </c>
      <c r="D23" s="276">
        <f>HU!$K$9</f>
        <v>1.4893649029315984E-3</v>
      </c>
      <c r="E23" s="276">
        <f>HU!$K$10</f>
        <v>1.6923110233227053E-4</v>
      </c>
      <c r="F23" s="276">
        <f>HU!$K$11</f>
        <v>1.3339560267263927E-3</v>
      </c>
      <c r="G23" s="276">
        <f>HU!$K$12</f>
        <v>4.7084007407946831E-3</v>
      </c>
      <c r="H23" s="276">
        <f>HU!$K$13</f>
        <v>3.3337499969002269E-3</v>
      </c>
      <c r="I23" s="473">
        <f>HU!$K$14</f>
        <v>1.3434771012916048E-2</v>
      </c>
      <c r="J23" s="473">
        <f>HU!$K$15</f>
        <v>3.3961328476570588E-2</v>
      </c>
      <c r="K23" s="473">
        <f>HU!$K$16</f>
        <v>2.5952731227515045E-2</v>
      </c>
    </row>
    <row r="24" spans="1:14" x14ac:dyDescent="0.3">
      <c r="A24" s="270" t="s">
        <v>73</v>
      </c>
      <c r="B24" s="276">
        <f>IE!$K$7</f>
        <v>7.8748057382958456E-4</v>
      </c>
      <c r="C24" s="276">
        <f>IE!$K$8</f>
        <v>9.2479057180138065E-4</v>
      </c>
      <c r="D24" s="276">
        <f>IE!$K$9</f>
        <v>1.2197899630082634E-3</v>
      </c>
      <c r="E24" s="276">
        <f>IE!$K$10</f>
        <v>1.0988194240453248E-4</v>
      </c>
      <c r="F24" s="276">
        <f>IE!$K$11</f>
        <v>1.3191958460084933E-3</v>
      </c>
      <c r="G24" s="276">
        <f>IE!$K$12</f>
        <v>2.7096165326010403E-3</v>
      </c>
      <c r="H24" s="276">
        <f>IE!$K$13</f>
        <v>3.3256980939212351E-3</v>
      </c>
      <c r="I24" s="473">
        <f>IE!$K$14</f>
        <v>1.3435013371368128E-2</v>
      </c>
      <c r="J24" s="473"/>
      <c r="K24" s="473">
        <f>IE!$K$16</f>
        <v>1.8804155660142485E-2</v>
      </c>
    </row>
    <row r="25" spans="1:14" x14ac:dyDescent="0.3">
      <c r="A25" s="270" t="s">
        <v>74</v>
      </c>
      <c r="B25" s="276">
        <f>IT!$K$7</f>
        <v>1.131915193337501E-3</v>
      </c>
      <c r="C25" s="276">
        <f>IT!$K$8</f>
        <v>9.2479057180138065E-4</v>
      </c>
      <c r="D25" s="276">
        <f>IT!$K$9</f>
        <v>1.7090185576839458E-3</v>
      </c>
      <c r="E25" s="276">
        <f>IT!$K$10</f>
        <v>1.4573898245047147E-4</v>
      </c>
      <c r="F25" s="276">
        <f>IT!$K$11</f>
        <v>1.3409846842111065E-3</v>
      </c>
      <c r="G25" s="276">
        <f>IT!$K$12</f>
        <v>2.946230172350274E-3</v>
      </c>
      <c r="H25" s="276">
        <f>IT!$K$13</f>
        <v>4.0486336625849247E-3</v>
      </c>
      <c r="I25" s="473">
        <f>IT!$K$14</f>
        <v>1.3435013371368128E-2</v>
      </c>
      <c r="J25" s="473">
        <f>IT!$K$15</f>
        <v>3.2632898379744445E-2</v>
      </c>
      <c r="K25" s="473">
        <f>IT!$K$16</f>
        <v>2.1741747759639961E-2</v>
      </c>
    </row>
    <row r="26" spans="1:14" ht="15" customHeight="1" x14ac:dyDescent="0.3">
      <c r="A26" s="274" t="s">
        <v>75</v>
      </c>
      <c r="B26" s="276">
        <f>NL!$K$7</f>
        <v>8.9498907055778878E-4</v>
      </c>
      <c r="C26" s="276">
        <f>NL!$K$8</f>
        <v>9.2324387541918172E-4</v>
      </c>
      <c r="D26" s="276">
        <f>NL!$K$9</f>
        <v>1.3636224244230372E-3</v>
      </c>
      <c r="E26" s="276">
        <f>NL!$K$10</f>
        <v>1.2524738295191583E-4</v>
      </c>
      <c r="F26" s="276">
        <f>NL!$K$11</f>
        <v>1.3943824512419967E-3</v>
      </c>
      <c r="G26" s="276">
        <f>NL!$K$12</f>
        <v>2.9372976017427903E-3</v>
      </c>
      <c r="H26" s="276">
        <f>NL!$K$13</f>
        <v>3.3475859388535918E-3</v>
      </c>
      <c r="I26" s="473">
        <f>NL!$K$14</f>
        <v>1.3416004651023614E-2</v>
      </c>
      <c r="J26" s="473">
        <f>NL!$K$15</f>
        <v>3.3945818396546174E-2</v>
      </c>
      <c r="K26" s="473">
        <f>NL!$K$16</f>
        <v>2.1890880128527811E-2</v>
      </c>
    </row>
    <row r="27" spans="1:14" x14ac:dyDescent="0.3">
      <c r="A27" s="270" t="s">
        <v>77</v>
      </c>
      <c r="B27" s="276">
        <f>PL!$K$7</f>
        <v>1.0832824748164516E-3</v>
      </c>
      <c r="C27" s="276">
        <f>PL!$K$8</f>
        <v>9.2479057180138065E-4</v>
      </c>
      <c r="D27" s="276">
        <f>PL!$K$9</f>
        <v>1.6191602443761677E-3</v>
      </c>
      <c r="E27" s="276">
        <f>PL!$K$10</f>
        <v>1.3748435044791196E-4</v>
      </c>
      <c r="F27" s="276">
        <f>PL!$K$11</f>
        <v>1.4984266118686987E-3</v>
      </c>
      <c r="G27" s="276">
        <f>PL!$K$12</f>
        <v>4.914231862355338E-3</v>
      </c>
      <c r="H27" s="276">
        <f>PL!$K$13</f>
        <v>3.51684541766944E-3</v>
      </c>
      <c r="I27" s="473">
        <f>PL!$K$14</f>
        <v>1.3434771012916048E-2</v>
      </c>
      <c r="J27" s="473">
        <f>PL!$K$15</f>
        <v>3.3637887252984201E-2</v>
      </c>
      <c r="K27" s="473">
        <f>PL!$K$16</f>
        <v>2.4813485090937535E-2</v>
      </c>
    </row>
    <row r="28" spans="1:14" x14ac:dyDescent="0.3">
      <c r="A28" s="270" t="s">
        <v>401</v>
      </c>
      <c r="B28" s="276">
        <f>ES!$K$7</f>
        <v>6.9031784384229213E-4</v>
      </c>
      <c r="C28" s="276">
        <f>ES!$K$8</f>
        <v>9.2479057180138065E-4</v>
      </c>
      <c r="D28" s="276">
        <f>ES!$K$9</f>
        <v>1.089994621563695E-3</v>
      </c>
      <c r="E28" s="276">
        <f>ES!$K$10</f>
        <v>1.6014833791900356E-4</v>
      </c>
      <c r="F28" s="276">
        <f>ES!$K$11</f>
        <v>1.249612136909825E-3</v>
      </c>
      <c r="G28" s="276">
        <f>ES!$K$12</f>
        <v>3.6030701629266877E-3</v>
      </c>
      <c r="H28" s="276">
        <f>ES!$K$13</f>
        <v>3.7888859560134191E-3</v>
      </c>
      <c r="I28" s="473">
        <f>ES!$K$14</f>
        <v>1.3434771012916048E-2</v>
      </c>
      <c r="J28" s="473">
        <f>ES!$K$15</f>
        <v>4.0106711724711933E-2</v>
      </c>
      <c r="K28" s="473">
        <f>ES!$K$16</f>
        <v>2.2066617895572183E-2</v>
      </c>
    </row>
    <row r="29" spans="1:14" x14ac:dyDescent="0.3">
      <c r="A29" s="270" t="s">
        <v>79</v>
      </c>
      <c r="B29" s="276">
        <f>SE!$K$7</f>
        <v>7.2932639304812538E-4</v>
      </c>
      <c r="C29" s="276">
        <f>SE!$K$8</f>
        <v>9.1416414983405833E-4</v>
      </c>
      <c r="D29" s="276">
        <f>SE!$K$9</f>
        <v>1.1369837815298454E-3</v>
      </c>
      <c r="E29" s="276">
        <f>SE!$K$10</f>
        <v>1.1820110617993383E-4</v>
      </c>
      <c r="F29" s="276">
        <f>SE!$K$11</f>
        <v>1.3350190515740061E-3</v>
      </c>
      <c r="G29" s="276">
        <f>SE!$K$12</f>
        <v>3.3586782918065649E-3</v>
      </c>
      <c r="H29" s="276">
        <f>SE!$K$13</f>
        <v>2.9193022289322767E-3</v>
      </c>
      <c r="I29" s="473">
        <f>SE!$K$14</f>
        <v>9.8629685247510705E-3</v>
      </c>
      <c r="J29" s="473">
        <f>SE!$K$15</f>
        <v>1.5183403339521178E-2</v>
      </c>
      <c r="K29" s="473">
        <f>SE!$K$16</f>
        <v>2.1038136953664154E-2</v>
      </c>
    </row>
    <row r="30" spans="1:14" x14ac:dyDescent="0.3">
      <c r="A30" s="274" t="s">
        <v>80</v>
      </c>
      <c r="B30" s="276">
        <f>UK!$K$7</f>
        <v>7.1754734475967287E-4</v>
      </c>
      <c r="C30" s="276">
        <f>UK!$K$8</f>
        <v>8.7110625476609512E-4</v>
      </c>
      <c r="D30" s="276">
        <f>UK!$K$9</f>
        <v>1.6860746523704707E-3</v>
      </c>
      <c r="E30" s="277"/>
      <c r="F30" s="277"/>
      <c r="G30" s="276">
        <f>UK!$K$12</f>
        <v>2.740474623614389E-3</v>
      </c>
      <c r="H30" s="277"/>
      <c r="I30" s="277"/>
      <c r="J30" s="277"/>
      <c r="K30" s="277"/>
    </row>
    <row r="31" spans="1:14" x14ac:dyDescent="0.3">
      <c r="A31" s="274" t="s">
        <v>81</v>
      </c>
      <c r="B31" s="277"/>
      <c r="C31" s="277"/>
      <c r="D31" s="277"/>
      <c r="E31" s="277"/>
      <c r="F31" s="277"/>
      <c r="G31" s="276">
        <f>NZ!$K$12</f>
        <v>8.783330504173403E-5</v>
      </c>
      <c r="H31" s="277"/>
      <c r="I31" s="277"/>
      <c r="J31" s="277"/>
      <c r="K31" s="277"/>
    </row>
  </sheetData>
  <conditionalFormatting sqref="B5:B16 C5">
    <cfRule type="colorScale" priority="13">
      <colorScale>
        <cfvo type="min"/>
        <cfvo type="percentile" val="50"/>
        <cfvo type="max"/>
        <color rgb="FF63BE7B"/>
        <color rgb="FFFCFCFF"/>
        <color rgb="FFF8696B"/>
      </colorScale>
    </cfRule>
  </conditionalFormatting>
  <conditionalFormatting sqref="B5:B17 C5">
    <cfRule type="colorScale" priority="27">
      <colorScale>
        <cfvo type="min"/>
        <cfvo type="max"/>
        <color rgb="FFFCFCFF"/>
        <color rgb="FFF8696B"/>
      </colorScale>
    </cfRule>
  </conditionalFormatting>
  <conditionalFormatting sqref="B19:B30">
    <cfRule type="colorScale" priority="10">
      <colorScale>
        <cfvo type="min"/>
        <cfvo type="percentile" val="50"/>
        <cfvo type="max"/>
        <color rgb="FF63BE7B"/>
        <color rgb="FFFCFCFF"/>
        <color rgb="FFF8696B"/>
      </colorScale>
    </cfRule>
  </conditionalFormatting>
  <conditionalFormatting sqref="C6:C16">
    <cfRule type="colorScale" priority="14">
      <colorScale>
        <cfvo type="min"/>
        <cfvo type="percentile" val="50"/>
        <cfvo type="max"/>
        <color rgb="FF63BE7B"/>
        <color rgb="FFFCFCFF"/>
        <color rgb="FFF8696B"/>
      </colorScale>
    </cfRule>
    <cfRule type="colorScale" priority="26">
      <colorScale>
        <cfvo type="min"/>
        <cfvo type="max"/>
        <color rgb="FFFCFCFF"/>
        <color rgb="FFF8696B"/>
      </colorScale>
    </cfRule>
  </conditionalFormatting>
  <conditionalFormatting sqref="C19:C30">
    <cfRule type="colorScale" priority="9">
      <colorScale>
        <cfvo type="min"/>
        <cfvo type="percentile" val="50"/>
        <cfvo type="max"/>
        <color rgb="FF63BE7B"/>
        <color rgb="FFFCFCFF"/>
        <color rgb="FFF8696B"/>
      </colorScale>
    </cfRule>
  </conditionalFormatting>
  <conditionalFormatting sqref="D5:D16">
    <cfRule type="colorScale" priority="15">
      <colorScale>
        <cfvo type="min"/>
        <cfvo type="percentile" val="50"/>
        <cfvo type="max"/>
        <color rgb="FF63BE7B"/>
        <color rgb="FFFCFCFF"/>
        <color rgb="FFF8696B"/>
      </colorScale>
    </cfRule>
    <cfRule type="colorScale" priority="25">
      <colorScale>
        <cfvo type="min"/>
        <cfvo type="max"/>
        <color rgb="FFFCFCFF"/>
        <color rgb="FFF8696B"/>
      </colorScale>
    </cfRule>
  </conditionalFormatting>
  <conditionalFormatting sqref="D19:D30">
    <cfRule type="colorScale" priority="8">
      <colorScale>
        <cfvo type="min"/>
        <cfvo type="percentile" val="50"/>
        <cfvo type="max"/>
        <color rgb="FF63BE7B"/>
        <color rgb="FFFCFCFF"/>
        <color rgb="FFF8696B"/>
      </colorScale>
    </cfRule>
  </conditionalFormatting>
  <conditionalFormatting sqref="E5:E15">
    <cfRule type="colorScale" priority="16">
      <colorScale>
        <cfvo type="min"/>
        <cfvo type="percentile" val="50"/>
        <cfvo type="max"/>
        <color rgb="FF63BE7B"/>
        <color rgb="FFFCFCFF"/>
        <color rgb="FFF8696B"/>
      </colorScale>
    </cfRule>
    <cfRule type="colorScale" priority="24">
      <colorScale>
        <cfvo type="min"/>
        <cfvo type="max"/>
        <color rgb="FFFCFCFF"/>
        <color rgb="FFF8696B"/>
      </colorScale>
    </cfRule>
  </conditionalFormatting>
  <conditionalFormatting sqref="E19:E29">
    <cfRule type="colorScale" priority="7">
      <colorScale>
        <cfvo type="min"/>
        <cfvo type="percentile" val="50"/>
        <cfvo type="max"/>
        <color rgb="FF63BE7B"/>
        <color rgb="FFFCFCFF"/>
        <color rgb="FFF8696B"/>
      </colorScale>
    </cfRule>
  </conditionalFormatting>
  <conditionalFormatting sqref="F5:F15">
    <cfRule type="colorScale" priority="23">
      <colorScale>
        <cfvo type="min"/>
        <cfvo type="max"/>
        <color rgb="FFFCFCFF"/>
        <color rgb="FFF8696B"/>
      </colorScale>
    </cfRule>
  </conditionalFormatting>
  <conditionalFormatting sqref="F5:F16">
    <cfRule type="colorScale" priority="17">
      <colorScale>
        <cfvo type="min"/>
        <cfvo type="percentile" val="50"/>
        <cfvo type="max"/>
        <color rgb="FF63BE7B"/>
        <color rgb="FFFCFCFF"/>
        <color rgb="FFF8696B"/>
      </colorScale>
    </cfRule>
  </conditionalFormatting>
  <conditionalFormatting sqref="F19:F29">
    <cfRule type="colorScale" priority="6">
      <colorScale>
        <cfvo type="min"/>
        <cfvo type="percentile" val="50"/>
        <cfvo type="max"/>
        <color rgb="FF63BE7B"/>
        <color rgb="FFFCFCFF"/>
        <color rgb="FFF8696B"/>
      </colorScale>
    </cfRule>
  </conditionalFormatting>
  <conditionalFormatting sqref="G5:G17">
    <cfRule type="colorScale" priority="18">
      <colorScale>
        <cfvo type="min"/>
        <cfvo type="percentile" val="50"/>
        <cfvo type="max"/>
        <color rgb="FF63BE7B"/>
        <color rgb="FFFCFCFF"/>
        <color rgb="FFF8696B"/>
      </colorScale>
    </cfRule>
    <cfRule type="colorScale" priority="22">
      <colorScale>
        <cfvo type="min"/>
        <cfvo type="max"/>
        <color rgb="FFFCFCFF"/>
        <color rgb="FFF8696B"/>
      </colorScale>
    </cfRule>
  </conditionalFormatting>
  <conditionalFormatting sqref="G19:G31">
    <cfRule type="colorScale" priority="5">
      <colorScale>
        <cfvo type="min"/>
        <cfvo type="percentile" val="50"/>
        <cfvo type="max"/>
        <color rgb="FF63BE7B"/>
        <color rgb="FFFCFCFF"/>
        <color rgb="FFF8696B"/>
      </colorScale>
    </cfRule>
  </conditionalFormatting>
  <conditionalFormatting sqref="H5:H15">
    <cfRule type="colorScale" priority="19">
      <colorScale>
        <cfvo type="min"/>
        <cfvo type="percentile" val="50"/>
        <cfvo type="max"/>
        <color rgb="FF63BE7B"/>
        <color rgb="FFFCFCFF"/>
        <color rgb="FFF8696B"/>
      </colorScale>
    </cfRule>
    <cfRule type="colorScale" priority="21">
      <colorScale>
        <cfvo type="min"/>
        <cfvo type="max"/>
        <color rgb="FFFCFCFF"/>
        <color rgb="FFF8696B"/>
      </colorScale>
    </cfRule>
  </conditionalFormatting>
  <conditionalFormatting sqref="H19:H29">
    <cfRule type="colorScale" priority="4">
      <colorScale>
        <cfvo type="min"/>
        <cfvo type="percentile" val="50"/>
        <cfvo type="max"/>
        <color rgb="FF63BE7B"/>
        <color rgb="FFFCFCFF"/>
        <color rgb="FFF8696B"/>
      </colorScale>
    </cfRule>
  </conditionalFormatting>
  <conditionalFormatting sqref="I5:I15">
    <cfRule type="colorScale" priority="20">
      <colorScale>
        <cfvo type="min"/>
        <cfvo type="percentile" val="50"/>
        <cfvo type="max"/>
        <color rgb="FF63BE7B"/>
        <color rgb="FFFCFCFF"/>
        <color rgb="FFF8696B"/>
      </colorScale>
    </cfRule>
  </conditionalFormatting>
  <conditionalFormatting sqref="I19:I29">
    <cfRule type="colorScale" priority="3">
      <colorScale>
        <cfvo type="min"/>
        <cfvo type="percentile" val="50"/>
        <cfvo type="max"/>
        <color rgb="FF63BE7B"/>
        <color rgb="FFFCFCFF"/>
        <color rgb="FFF8696B"/>
      </colorScale>
    </cfRule>
  </conditionalFormatting>
  <conditionalFormatting sqref="J6:J15">
    <cfRule type="colorScale" priority="12">
      <colorScale>
        <cfvo type="min"/>
        <cfvo type="percentile" val="50"/>
        <cfvo type="max"/>
        <color rgb="FF63BE7B"/>
        <color rgb="FFFCFCFF"/>
        <color rgb="FFF8696B"/>
      </colorScale>
    </cfRule>
  </conditionalFormatting>
  <conditionalFormatting sqref="J19:J29">
    <cfRule type="colorScale" priority="2">
      <colorScale>
        <cfvo type="min"/>
        <cfvo type="percentile" val="50"/>
        <cfvo type="max"/>
        <color rgb="FF63BE7B"/>
        <color rgb="FFFCFCFF"/>
        <color rgb="FFF8696B"/>
      </colorScale>
    </cfRule>
  </conditionalFormatting>
  <conditionalFormatting sqref="K5:K15">
    <cfRule type="colorScale" priority="11">
      <colorScale>
        <cfvo type="min"/>
        <cfvo type="percentile" val="50"/>
        <cfvo type="max"/>
        <color rgb="FF63BE7B"/>
        <color rgb="FFFCFCFF"/>
        <color rgb="FFF8696B"/>
      </colorScale>
    </cfRule>
  </conditionalFormatting>
  <conditionalFormatting sqref="K19:K29">
    <cfRule type="colorScale" priority="1">
      <colorScale>
        <cfvo type="min"/>
        <cfvo type="percentile" val="50"/>
        <cfvo type="max"/>
        <color rgb="FF63BE7B"/>
        <color rgb="FFFCFCFF"/>
        <color rgb="FFF8696B"/>
      </colorScale>
    </cfRule>
  </conditionalFormatting>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75833-470D-4F76-A1E0-09669ACA56D3}">
  <dimension ref="A1"/>
  <sheetViews>
    <sheetView workbookViewId="0">
      <selection activeCell="G31" sqref="G31"/>
    </sheetView>
  </sheetViews>
  <sheetFormatPr defaultRowHeight="14.4" x14ac:dyDescent="0.3"/>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F033-D4E9-4CE6-9EEA-D153D3E0AEAA}">
  <dimension ref="A2:N34"/>
  <sheetViews>
    <sheetView workbookViewId="0">
      <selection activeCell="N13" sqref="N13"/>
    </sheetView>
  </sheetViews>
  <sheetFormatPr defaultRowHeight="14.4" x14ac:dyDescent="0.3"/>
  <cols>
    <col min="3" max="3" width="17.109375" customWidth="1"/>
    <col min="4" max="4" width="17.88671875" customWidth="1"/>
    <col min="5" max="5" width="13.33203125" customWidth="1"/>
  </cols>
  <sheetData>
    <row r="2" spans="1:14" x14ac:dyDescent="0.3">
      <c r="A2" t="s">
        <v>403</v>
      </c>
    </row>
    <row r="3" spans="1:14" x14ac:dyDescent="0.3">
      <c r="B3" t="s">
        <v>404</v>
      </c>
      <c r="C3" t="s">
        <v>405</v>
      </c>
      <c r="D3" t="s">
        <v>406</v>
      </c>
      <c r="E3" t="s">
        <v>407</v>
      </c>
      <c r="F3" t="s">
        <v>408</v>
      </c>
      <c r="H3" t="s">
        <v>409</v>
      </c>
      <c r="N3" t="s">
        <v>410</v>
      </c>
    </row>
    <row r="4" spans="1:14" x14ac:dyDescent="0.3">
      <c r="A4" t="s">
        <v>103</v>
      </c>
      <c r="B4" s="41">
        <f>4.93/100</f>
        <v>4.9299999999999997E-2</v>
      </c>
      <c r="C4" s="41">
        <f>28.81/100</f>
        <v>0.28809999999999997</v>
      </c>
      <c r="D4" s="41"/>
      <c r="E4" s="41"/>
      <c r="F4" s="41">
        <f>72.6/100</f>
        <v>0.72599999999999998</v>
      </c>
      <c r="N4" t="s">
        <v>411</v>
      </c>
    </row>
    <row r="5" spans="1:14" x14ac:dyDescent="0.3">
      <c r="A5" t="s">
        <v>104</v>
      </c>
      <c r="B5" s="41">
        <f>39.89/100</f>
        <v>0.39890000000000003</v>
      </c>
      <c r="C5" s="41">
        <f>53.59/100</f>
        <v>0.53590000000000004</v>
      </c>
      <c r="D5" s="41"/>
      <c r="E5" s="41"/>
      <c r="F5" s="41">
        <f>73.89/100</f>
        <v>0.7389</v>
      </c>
      <c r="N5" s="91" t="s">
        <v>412</v>
      </c>
    </row>
    <row r="6" spans="1:14" x14ac:dyDescent="0.3">
      <c r="A6" t="s">
        <v>108</v>
      </c>
      <c r="B6" s="41">
        <f>68.87/100</f>
        <v>0.68870000000000009</v>
      </c>
      <c r="C6" s="41">
        <f>51.87/100</f>
        <v>0.51869999999999994</v>
      </c>
      <c r="D6" s="41"/>
      <c r="E6" s="41"/>
      <c r="F6" s="41">
        <f>(92.33+98.74)/2/100</f>
        <v>0.95534999999999992</v>
      </c>
      <c r="H6" t="s">
        <v>413</v>
      </c>
      <c r="N6" t="s">
        <v>414</v>
      </c>
    </row>
    <row r="7" spans="1:14" x14ac:dyDescent="0.3">
      <c r="A7" t="s">
        <v>109</v>
      </c>
      <c r="B7" s="41">
        <f>(3.88+1.12)/100</f>
        <v>0.05</v>
      </c>
      <c r="C7" s="41">
        <f>2.75/100</f>
        <v>2.75E-2</v>
      </c>
      <c r="D7" s="41"/>
      <c r="E7" s="41"/>
      <c r="F7" s="41">
        <f>(17.73+72.27)/100</f>
        <v>0.9</v>
      </c>
    </row>
    <row r="8" spans="1:14" x14ac:dyDescent="0.3">
      <c r="A8" t="s">
        <v>110</v>
      </c>
      <c r="B8" s="41">
        <f>11.2/100</f>
        <v>0.11199999999999999</v>
      </c>
      <c r="C8" s="41"/>
      <c r="D8" s="41">
        <f>54.8/100</f>
        <v>0.54799999999999993</v>
      </c>
      <c r="E8" s="41">
        <f>11.61/100</f>
        <v>0.11609999999999999</v>
      </c>
      <c r="F8" s="41">
        <f>90.4/100</f>
        <v>0.90400000000000003</v>
      </c>
      <c r="H8" t="s">
        <v>415</v>
      </c>
    </row>
    <row r="9" spans="1:14" x14ac:dyDescent="0.3">
      <c r="A9" t="s">
        <v>112</v>
      </c>
      <c r="B9" s="41">
        <v>0</v>
      </c>
      <c r="C9" s="41">
        <f>65.16/100</f>
        <v>0.65159999999999996</v>
      </c>
      <c r="D9" s="41"/>
      <c r="E9" s="41"/>
      <c r="F9" s="41">
        <f>72.5/100</f>
        <v>0.72499999999999998</v>
      </c>
    </row>
    <row r="10" spans="1:14" x14ac:dyDescent="0.3">
      <c r="A10" t="s">
        <v>114</v>
      </c>
      <c r="B10" s="41">
        <f>20.28/100</f>
        <v>0.20280000000000001</v>
      </c>
      <c r="C10" s="41">
        <f>48.69/100</f>
        <v>0.4869</v>
      </c>
      <c r="D10" s="41"/>
      <c r="E10" s="41"/>
      <c r="F10" s="41">
        <f>94.84/100</f>
        <v>0.94840000000000002</v>
      </c>
    </row>
    <row r="11" spans="1:14" x14ac:dyDescent="0.3">
      <c r="A11" t="s">
        <v>105</v>
      </c>
      <c r="B11" s="41">
        <f>7.34/100</f>
        <v>7.3399999999999993E-2</v>
      </c>
      <c r="C11" s="41">
        <f>20.92/100</f>
        <v>0.20920000000000002</v>
      </c>
      <c r="D11" s="41"/>
      <c r="E11" s="41"/>
      <c r="F11" s="41">
        <f>55.54/100</f>
        <v>0.5554</v>
      </c>
    </row>
    <row r="12" spans="1:14" x14ac:dyDescent="0.3">
      <c r="A12" t="s">
        <v>113</v>
      </c>
      <c r="B12" s="41">
        <f>25.32/100</f>
        <v>0.25319999999999998</v>
      </c>
      <c r="C12" s="41">
        <f>47.57/100</f>
        <v>0.47570000000000001</v>
      </c>
      <c r="D12" s="41"/>
      <c r="E12" s="41"/>
      <c r="F12" s="41">
        <f>F4</f>
        <v>0.72599999999999998</v>
      </c>
      <c r="H12" t="s">
        <v>416</v>
      </c>
    </row>
    <row r="13" spans="1:14" x14ac:dyDescent="0.3">
      <c r="A13" t="s">
        <v>111</v>
      </c>
      <c r="B13" s="41">
        <f>10.3/100</f>
        <v>0.10300000000000001</v>
      </c>
      <c r="C13" s="41">
        <f>12/100</f>
        <v>0.12</v>
      </c>
      <c r="D13" s="41"/>
      <c r="E13" s="41"/>
      <c r="F13" s="41">
        <f>40.49/100</f>
        <v>0.40490000000000004</v>
      </c>
    </row>
    <row r="14" spans="1:14" x14ac:dyDescent="0.3">
      <c r="A14" t="s">
        <v>106</v>
      </c>
      <c r="B14" s="41">
        <f>8/100</f>
        <v>0.08</v>
      </c>
      <c r="C14" s="41">
        <f>33/100</f>
        <v>0.33</v>
      </c>
      <c r="D14" s="41"/>
      <c r="E14" s="41"/>
      <c r="F14" s="41">
        <f>90/100</f>
        <v>0.9</v>
      </c>
    </row>
    <row r="15" spans="1:14" x14ac:dyDescent="0.3">
      <c r="A15" t="s">
        <v>107</v>
      </c>
      <c r="B15" s="41">
        <f>4.73/100</f>
        <v>4.7300000000000002E-2</v>
      </c>
      <c r="C15" s="41">
        <f>24.72/100</f>
        <v>0.24719999999999998</v>
      </c>
      <c r="D15" s="41">
        <v>9</v>
      </c>
      <c r="E15" s="41"/>
      <c r="F15" s="41">
        <f>44.71/100</f>
        <v>0.4471</v>
      </c>
    </row>
    <row r="16" spans="1:14" x14ac:dyDescent="0.3">
      <c r="A16" t="s">
        <v>115</v>
      </c>
      <c r="B16" s="41"/>
      <c r="C16" s="41"/>
      <c r="D16" s="41"/>
      <c r="E16" s="41"/>
      <c r="F16" s="41">
        <v>1</v>
      </c>
    </row>
    <row r="17" spans="1:4" x14ac:dyDescent="0.3">
      <c r="B17" t="s">
        <v>417</v>
      </c>
    </row>
    <row r="20" spans="1:4" x14ac:dyDescent="0.3">
      <c r="A20" t="s">
        <v>418</v>
      </c>
    </row>
    <row r="21" spans="1:4" x14ac:dyDescent="0.3">
      <c r="B21" t="s">
        <v>419</v>
      </c>
      <c r="C21" t="s">
        <v>420</v>
      </c>
      <c r="D21" t="s">
        <v>421</v>
      </c>
    </row>
    <row r="22" spans="1:4" x14ac:dyDescent="0.3">
      <c r="A22" t="s">
        <v>103</v>
      </c>
      <c r="B22">
        <v>8.3000000000000007</v>
      </c>
      <c r="C22">
        <v>6.06</v>
      </c>
      <c r="D22">
        <v>8.6300000000000008</v>
      </c>
    </row>
    <row r="23" spans="1:4" x14ac:dyDescent="0.3">
      <c r="A23" t="s">
        <v>104</v>
      </c>
      <c r="B23">
        <v>9.25</v>
      </c>
      <c r="C23">
        <v>8.7200000000000006</v>
      </c>
      <c r="D23">
        <v>9.64</v>
      </c>
    </row>
    <row r="24" spans="1:4" x14ac:dyDescent="0.3">
      <c r="A24" t="s">
        <v>108</v>
      </c>
      <c r="B24">
        <v>8.31</v>
      </c>
      <c r="C24">
        <v>8.5299999999999994</v>
      </c>
      <c r="D24">
        <v>9.27</v>
      </c>
    </row>
    <row r="25" spans="1:4" x14ac:dyDescent="0.3">
      <c r="A25" t="s">
        <v>109</v>
      </c>
      <c r="B25">
        <v>8</v>
      </c>
      <c r="C25">
        <v>6.7</v>
      </c>
      <c r="D25">
        <v>8.8800000000000008</v>
      </c>
    </row>
    <row r="26" spans="1:4" x14ac:dyDescent="0.3">
      <c r="A26" t="s">
        <v>110</v>
      </c>
      <c r="B26">
        <v>7.21</v>
      </c>
      <c r="C26">
        <v>6.35</v>
      </c>
      <c r="D26">
        <v>8.42</v>
      </c>
    </row>
    <row r="27" spans="1:4" x14ac:dyDescent="0.3">
      <c r="A27" t="s">
        <v>112</v>
      </c>
      <c r="B27">
        <v>9.3000000000000007</v>
      </c>
      <c r="C27">
        <v>8</v>
      </c>
      <c r="D27">
        <v>9.57</v>
      </c>
    </row>
    <row r="28" spans="1:4" x14ac:dyDescent="0.3">
      <c r="A28" t="s">
        <v>114</v>
      </c>
      <c r="B28">
        <v>8.9</v>
      </c>
      <c r="C28">
        <v>8.0399999999999991</v>
      </c>
      <c r="D28">
        <v>10.34</v>
      </c>
    </row>
    <row r="29" spans="1:4" x14ac:dyDescent="0.3">
      <c r="A29" t="s">
        <v>105</v>
      </c>
      <c r="B29">
        <v>7.67</v>
      </c>
      <c r="C29">
        <v>6.46</v>
      </c>
      <c r="D29">
        <v>9.07</v>
      </c>
    </row>
    <row r="30" spans="1:4" x14ac:dyDescent="0.3">
      <c r="A30" t="s">
        <v>113</v>
      </c>
      <c r="B30">
        <v>6.5</v>
      </c>
      <c r="C30">
        <v>5.4</v>
      </c>
      <c r="D30">
        <v>7</v>
      </c>
    </row>
    <row r="31" spans="1:4" x14ac:dyDescent="0.3">
      <c r="A31" t="s">
        <v>111</v>
      </c>
      <c r="B31">
        <v>5.76</v>
      </c>
      <c r="C31">
        <v>5.56</v>
      </c>
      <c r="D31">
        <v>6.13</v>
      </c>
    </row>
    <row r="32" spans="1:4" x14ac:dyDescent="0.3">
      <c r="A32" t="s">
        <v>106</v>
      </c>
      <c r="B32">
        <v>9.1999999999999993</v>
      </c>
      <c r="C32">
        <v>7.9</v>
      </c>
      <c r="D32">
        <v>9.18</v>
      </c>
    </row>
    <row r="33" spans="1:4" x14ac:dyDescent="0.3">
      <c r="A33" t="s">
        <v>107</v>
      </c>
      <c r="B33">
        <v>8.1</v>
      </c>
      <c r="C33">
        <v>6.19</v>
      </c>
      <c r="D33">
        <v>7.6</v>
      </c>
    </row>
    <row r="34" spans="1:4" x14ac:dyDescent="0.3">
      <c r="A34" t="s">
        <v>115</v>
      </c>
      <c r="D34">
        <v>12</v>
      </c>
    </row>
  </sheetData>
  <hyperlinks>
    <hyperlink ref="N5" r:id="rId1" xr:uid="{ED4FDD09-02D5-4DC1-A55F-65010EF2003E}"/>
  </hyperlinks>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84132-E81D-4402-A331-6D8BD4B84806}">
  <dimension ref="A3:L13"/>
  <sheetViews>
    <sheetView workbookViewId="0">
      <selection activeCell="J25" sqref="J25"/>
    </sheetView>
  </sheetViews>
  <sheetFormatPr defaultRowHeight="14.4" x14ac:dyDescent="0.3"/>
  <cols>
    <col min="1" max="1" width="35.6640625" customWidth="1"/>
  </cols>
  <sheetData>
    <row r="3" spans="1:12" ht="21" x14ac:dyDescent="0.4">
      <c r="A3" s="30" t="s">
        <v>8</v>
      </c>
      <c r="B3" s="65" t="s">
        <v>422</v>
      </c>
    </row>
    <row r="5" spans="1:12" x14ac:dyDescent="0.3">
      <c r="B5" t="s">
        <v>103</v>
      </c>
      <c r="C5" t="s">
        <v>104</v>
      </c>
      <c r="D5" t="s">
        <v>105</v>
      </c>
      <c r="E5" t="s">
        <v>106</v>
      </c>
      <c r="F5" t="s">
        <v>107</v>
      </c>
      <c r="G5" t="s">
        <v>108</v>
      </c>
      <c r="H5" t="s">
        <v>109</v>
      </c>
      <c r="I5" t="s">
        <v>110</v>
      </c>
      <c r="J5" t="s">
        <v>111</v>
      </c>
      <c r="K5" t="s">
        <v>112</v>
      </c>
      <c r="L5" s="66" t="s">
        <v>113</v>
      </c>
    </row>
    <row r="6" spans="1:12" x14ac:dyDescent="0.3">
      <c r="B6" s="67" t="s">
        <v>423</v>
      </c>
      <c r="C6" s="67" t="s">
        <v>69</v>
      </c>
      <c r="D6" s="67" t="s">
        <v>70</v>
      </c>
      <c r="E6" s="67" t="s">
        <v>424</v>
      </c>
      <c r="F6" s="67" t="s">
        <v>425</v>
      </c>
      <c r="G6" s="67" t="s">
        <v>73</v>
      </c>
      <c r="H6" s="67" t="s">
        <v>74</v>
      </c>
      <c r="I6" s="67" t="s">
        <v>426</v>
      </c>
      <c r="J6" s="67" t="s">
        <v>427</v>
      </c>
      <c r="K6" s="67" t="s">
        <v>78</v>
      </c>
      <c r="L6" s="67" t="s">
        <v>79</v>
      </c>
    </row>
    <row r="7" spans="1:12" x14ac:dyDescent="0.3">
      <c r="A7" s="68" t="s">
        <v>428</v>
      </c>
      <c r="B7" s="85">
        <v>40.1</v>
      </c>
      <c r="C7" s="85">
        <v>35.299999999999997</v>
      </c>
      <c r="D7" s="85">
        <v>35.700000000000003</v>
      </c>
      <c r="E7" s="69">
        <f>(B7+C7+D7+F7+G7+H7+I7+K7+L7)/9</f>
        <v>34.577777777777776</v>
      </c>
      <c r="F7" s="85">
        <v>34.799999999999997</v>
      </c>
      <c r="G7" s="85">
        <v>33.299999999999997</v>
      </c>
      <c r="H7" s="85">
        <v>29.4</v>
      </c>
      <c r="I7" s="85">
        <v>36.5</v>
      </c>
      <c r="J7" s="69">
        <f>E7</f>
        <v>34.577777777777776</v>
      </c>
      <c r="K7" s="85">
        <v>32.6</v>
      </c>
      <c r="L7" s="85">
        <v>33.5</v>
      </c>
    </row>
    <row r="8" spans="1:12" ht="15" customHeight="1" x14ac:dyDescent="0.3">
      <c r="A8" s="68" t="s">
        <v>429</v>
      </c>
      <c r="B8" s="85">
        <v>15.3</v>
      </c>
      <c r="C8" s="85">
        <v>14.8</v>
      </c>
      <c r="D8" s="85">
        <v>15.2</v>
      </c>
      <c r="E8" s="85">
        <f>(B8+C8+D8+F8+G8+H8+I8+K8+L8)/9</f>
        <v>13.600000000000001</v>
      </c>
      <c r="F8" s="85">
        <v>11.2</v>
      </c>
      <c r="G8" s="85">
        <v>11.1</v>
      </c>
      <c r="H8" s="85">
        <v>11.4</v>
      </c>
      <c r="I8" s="85">
        <v>12</v>
      </c>
      <c r="J8" s="85">
        <f>E8</f>
        <v>13.600000000000001</v>
      </c>
      <c r="K8" s="85">
        <v>14.5</v>
      </c>
      <c r="L8" s="85">
        <v>16.899999999999999</v>
      </c>
    </row>
    <row r="9" spans="1:12" ht="17.25" customHeight="1" x14ac:dyDescent="0.3">
      <c r="A9" s="68" t="s">
        <v>430</v>
      </c>
      <c r="B9" s="85">
        <v>3.9</v>
      </c>
      <c r="C9" s="85">
        <v>2.7</v>
      </c>
      <c r="D9" s="85">
        <v>2.8</v>
      </c>
      <c r="E9" s="85">
        <f>(B9+C9+D9+F9+G9+H9+I9+K9+L9)/9</f>
        <v>3.244444444444444</v>
      </c>
      <c r="F9" s="85">
        <v>1.9</v>
      </c>
      <c r="G9" s="85">
        <v>2.8</v>
      </c>
      <c r="H9" s="85">
        <v>5.2</v>
      </c>
      <c r="I9" s="85">
        <v>2.5</v>
      </c>
      <c r="J9" s="85">
        <f>E9</f>
        <v>3.244444444444444</v>
      </c>
      <c r="K9" s="85">
        <v>5.4</v>
      </c>
      <c r="L9" s="85">
        <v>2</v>
      </c>
    </row>
    <row r="10" spans="1:12" ht="20.25" customHeight="1" x14ac:dyDescent="0.3">
      <c r="A10" s="68" t="s">
        <v>431</v>
      </c>
      <c r="B10" s="85">
        <v>3.6</v>
      </c>
      <c r="C10" s="85">
        <v>3.7</v>
      </c>
      <c r="D10" s="85">
        <v>2.7</v>
      </c>
      <c r="E10" s="85">
        <f>(B10+C10+D10+F10+G10+H10+I10+K10+L10)/9</f>
        <v>2.9666666666666663</v>
      </c>
      <c r="F10" s="85">
        <v>3.1</v>
      </c>
      <c r="G10" s="85">
        <v>2.6</v>
      </c>
      <c r="H10" s="85">
        <v>2.7</v>
      </c>
      <c r="I10" s="85">
        <v>2.4</v>
      </c>
      <c r="J10" s="85">
        <f>E10</f>
        <v>2.9666666666666663</v>
      </c>
      <c r="K10" s="85">
        <v>4.2</v>
      </c>
      <c r="L10" s="85">
        <v>1.7</v>
      </c>
    </row>
    <row r="11" spans="1:12" x14ac:dyDescent="0.3">
      <c r="A11" t="s">
        <v>432</v>
      </c>
      <c r="B11" s="85">
        <f>SUM(B8:B10)</f>
        <v>22.8</v>
      </c>
      <c r="C11" s="85">
        <f t="shared" ref="C11:L11" si="0">SUM(C8:C10)</f>
        <v>21.2</v>
      </c>
      <c r="D11" s="85">
        <f t="shared" si="0"/>
        <v>20.7</v>
      </c>
      <c r="E11" s="85">
        <f t="shared" si="0"/>
        <v>19.81111111111111</v>
      </c>
      <c r="F11" s="85">
        <f t="shared" si="0"/>
        <v>16.2</v>
      </c>
      <c r="G11" s="85">
        <f t="shared" si="0"/>
        <v>16.5</v>
      </c>
      <c r="H11" s="85">
        <f t="shared" si="0"/>
        <v>19.3</v>
      </c>
      <c r="I11" s="85">
        <f t="shared" si="0"/>
        <v>16.899999999999999</v>
      </c>
      <c r="J11" s="85">
        <f t="shared" si="0"/>
        <v>19.81111111111111</v>
      </c>
      <c r="K11" s="85">
        <f t="shared" si="0"/>
        <v>24.099999999999998</v>
      </c>
      <c r="L11" s="85">
        <f t="shared" si="0"/>
        <v>20.599999999999998</v>
      </c>
    </row>
    <row r="12" spans="1:12" x14ac:dyDescent="0.3">
      <c r="A12" s="70" t="s">
        <v>433</v>
      </c>
    </row>
    <row r="13" spans="1:12" x14ac:dyDescent="0.3">
      <c r="B13" s="19"/>
      <c r="C13" s="19"/>
      <c r="D13" s="19"/>
      <c r="E13" s="19"/>
      <c r="F13" s="19"/>
      <c r="G13" s="19"/>
      <c r="H13" s="19"/>
      <c r="I13" s="19"/>
      <c r="J13" s="19"/>
      <c r="K13" s="19"/>
      <c r="L13" s="19"/>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A7919-A436-41D8-A57C-4445B66B8577}">
  <dimension ref="A2:L25"/>
  <sheetViews>
    <sheetView topLeftCell="A5" workbookViewId="0">
      <selection activeCell="C18" sqref="C18"/>
    </sheetView>
  </sheetViews>
  <sheetFormatPr defaultRowHeight="14.4" x14ac:dyDescent="0.3"/>
  <cols>
    <col min="1" max="1" width="23.6640625" customWidth="1"/>
    <col min="2" max="2" width="13.33203125" customWidth="1"/>
    <col min="8" max="8" width="22.33203125" customWidth="1"/>
    <col min="9" max="10" width="16.5546875" customWidth="1"/>
    <col min="11" max="11" width="14.33203125" customWidth="1"/>
    <col min="12" max="12" width="15.6640625" customWidth="1"/>
  </cols>
  <sheetData>
    <row r="2" spans="1:12" ht="21" x14ac:dyDescent="0.4">
      <c r="A2" s="30" t="s">
        <v>18</v>
      </c>
    </row>
    <row r="3" spans="1:12" x14ac:dyDescent="0.3">
      <c r="I3" s="171" t="s">
        <v>46</v>
      </c>
      <c r="J3" s="171"/>
      <c r="K3" s="169" t="s">
        <v>102</v>
      </c>
      <c r="L3" s="169"/>
    </row>
    <row r="4" spans="1:12" x14ac:dyDescent="0.3">
      <c r="A4" s="74" t="s">
        <v>434</v>
      </c>
      <c r="B4" s="67" t="s">
        <v>435</v>
      </c>
      <c r="C4" t="s">
        <v>47</v>
      </c>
      <c r="I4" t="s">
        <v>48</v>
      </c>
      <c r="J4" t="s">
        <v>47</v>
      </c>
      <c r="K4" t="s">
        <v>48</v>
      </c>
      <c r="L4" t="s">
        <v>47</v>
      </c>
    </row>
    <row r="5" spans="1:12" x14ac:dyDescent="0.3">
      <c r="A5" s="44" t="s">
        <v>436</v>
      </c>
      <c r="B5" s="19">
        <f>C5/$C$18</f>
        <v>0.88410303277141455</v>
      </c>
      <c r="C5" s="19">
        <v>0.17799999999999999</v>
      </c>
      <c r="H5" t="s">
        <v>437</v>
      </c>
      <c r="I5" s="19">
        <f>J5/$C$18</f>
        <v>0.82044791775586834</v>
      </c>
      <c r="J5" s="19">
        <v>0.16518406107346001</v>
      </c>
      <c r="K5" s="19">
        <f>L5/$C$18</f>
        <v>0.88410303277141455</v>
      </c>
      <c r="L5" s="19">
        <v>0.17799999999999999</v>
      </c>
    </row>
    <row r="6" spans="1:12" x14ac:dyDescent="0.3">
      <c r="A6" s="64" t="s">
        <v>438</v>
      </c>
      <c r="B6" s="19">
        <f>C6/$C$18</f>
        <v>0.82044791775586834</v>
      </c>
      <c r="C6" s="19">
        <v>0.16518406107346001</v>
      </c>
      <c r="H6" t="s">
        <v>439</v>
      </c>
      <c r="I6" s="19">
        <f>J6/$C$18</f>
        <v>0.82044791775586834</v>
      </c>
      <c r="J6" s="19">
        <v>0.16518406107346001</v>
      </c>
      <c r="K6" s="19">
        <f>L6/$C$18</f>
        <v>0.88410303277141455</v>
      </c>
      <c r="L6" s="19">
        <v>0.17799999999999999</v>
      </c>
    </row>
    <row r="7" spans="1:12" x14ac:dyDescent="0.3">
      <c r="A7" s="44" t="s">
        <v>440</v>
      </c>
      <c r="B7" s="19">
        <f t="shared" ref="B7:B25" si="0">C7/$C$18</f>
        <v>0.2556274253781865</v>
      </c>
      <c r="C7" s="19">
        <v>5.1466492061091801E-2</v>
      </c>
      <c r="H7" t="s">
        <v>441</v>
      </c>
      <c r="I7" s="19">
        <f>J7/$C$18</f>
        <v>0.82044791775586834</v>
      </c>
      <c r="J7" s="19">
        <v>0.16518406107346001</v>
      </c>
      <c r="K7" s="19">
        <f>L7/$C$18</f>
        <v>0.88410303277141455</v>
      </c>
      <c r="L7" s="19">
        <v>0.17799999999999999</v>
      </c>
    </row>
    <row r="8" spans="1:12" x14ac:dyDescent="0.3">
      <c r="A8" s="44" t="s">
        <v>332</v>
      </c>
      <c r="B8" s="19">
        <f t="shared" si="0"/>
        <v>0.58534077701729459</v>
      </c>
      <c r="C8" s="19">
        <v>0.117849</v>
      </c>
      <c r="H8" t="s">
        <v>442</v>
      </c>
      <c r="I8" s="19">
        <f>J8/$C$18</f>
        <v>0.82044791775586834</v>
      </c>
      <c r="J8" s="19">
        <v>0.16518406107346001</v>
      </c>
    </row>
    <row r="9" spans="1:12" x14ac:dyDescent="0.3">
      <c r="A9" s="44" t="s">
        <v>66</v>
      </c>
      <c r="B9" s="19">
        <f t="shared" si="0"/>
        <v>0.54320827892864587</v>
      </c>
      <c r="C9" s="19">
        <v>0.10936629562982</v>
      </c>
      <c r="H9" t="s">
        <v>63</v>
      </c>
      <c r="I9" s="19">
        <f t="shared" ref="I9:I14" si="1">J9/$C$18</f>
        <v>0.87913616180078868</v>
      </c>
      <c r="J9">
        <v>0.17699999999999999</v>
      </c>
    </row>
    <row r="10" spans="1:12" x14ac:dyDescent="0.3">
      <c r="A10" s="44" t="s">
        <v>443</v>
      </c>
      <c r="B10" s="19">
        <f t="shared" si="0"/>
        <v>0.87981165625279378</v>
      </c>
      <c r="C10" s="19">
        <v>0.17713599999999999</v>
      </c>
      <c r="H10" t="s">
        <v>40</v>
      </c>
      <c r="I10" s="19">
        <f t="shared" si="1"/>
        <v>0.82044791775586834</v>
      </c>
      <c r="J10" s="19">
        <v>0.16518406107346001</v>
      </c>
      <c r="K10" s="19">
        <f t="shared" ref="K10:K11" si="2">L10/$C$18</f>
        <v>0.88410303277141455</v>
      </c>
      <c r="L10" s="19">
        <v>0.17799999999999999</v>
      </c>
    </row>
    <row r="11" spans="1:12" x14ac:dyDescent="0.3">
      <c r="A11" s="44" t="s">
        <v>444</v>
      </c>
      <c r="B11" s="19">
        <f t="shared" si="0"/>
        <v>0.94805646338919392</v>
      </c>
      <c r="C11" s="19">
        <v>0.19087599999999999</v>
      </c>
      <c r="H11" t="s">
        <v>41</v>
      </c>
      <c r="I11" s="19">
        <f t="shared" si="1"/>
        <v>0.87981165625279378</v>
      </c>
      <c r="J11" s="19">
        <v>0.17713599999999999</v>
      </c>
      <c r="K11" s="19">
        <f t="shared" si="2"/>
        <v>0.94805646338919392</v>
      </c>
      <c r="L11" s="19">
        <v>0.19087599999999999</v>
      </c>
    </row>
    <row r="12" spans="1:12" x14ac:dyDescent="0.3">
      <c r="A12" s="44" t="s">
        <v>445</v>
      </c>
      <c r="B12" s="19">
        <f t="shared" si="0"/>
        <v>0.82044791775586834</v>
      </c>
      <c r="C12" s="19">
        <v>0.16518406107346001</v>
      </c>
      <c r="H12" t="s">
        <v>42</v>
      </c>
      <c r="I12" s="19">
        <f t="shared" si="1"/>
        <v>0.54320827892864587</v>
      </c>
      <c r="J12" s="19">
        <v>0.10936629562982</v>
      </c>
      <c r="K12" s="19">
        <f>L12/$C$18</f>
        <v>0.54320827892864587</v>
      </c>
      <c r="L12" s="19">
        <v>0.10936629562982</v>
      </c>
    </row>
    <row r="13" spans="1:12" x14ac:dyDescent="0.3">
      <c r="A13" s="44" t="s">
        <v>446</v>
      </c>
      <c r="B13" s="19">
        <f t="shared" si="0"/>
        <v>0.88410303277141455</v>
      </c>
      <c r="C13" s="19">
        <v>0.17799999999999999</v>
      </c>
      <c r="H13" t="s">
        <v>67</v>
      </c>
      <c r="I13" s="19">
        <f t="shared" si="1"/>
        <v>0.67196797361598137</v>
      </c>
      <c r="J13" s="19">
        <v>0.13528999999999999</v>
      </c>
    </row>
    <row r="14" spans="1:12" x14ac:dyDescent="0.3">
      <c r="A14" s="63" t="s">
        <v>67</v>
      </c>
      <c r="B14" s="19">
        <f t="shared" si="0"/>
        <v>0.67196797361598137</v>
      </c>
      <c r="C14" s="19">
        <v>0.13528999999999999</v>
      </c>
      <c r="H14" t="s">
        <v>447</v>
      </c>
      <c r="I14" s="19">
        <f t="shared" si="1"/>
        <v>0.58534077701729459</v>
      </c>
      <c r="J14" s="19">
        <v>0.117849</v>
      </c>
      <c r="K14" s="19">
        <f t="shared" ref="K14" si="3">L14/$C$18</f>
        <v>0.2556274253781865</v>
      </c>
      <c r="L14" s="19">
        <v>5.1466492061091801E-2</v>
      </c>
    </row>
    <row r="15" spans="1:12" x14ac:dyDescent="0.3">
      <c r="A15" s="44" t="s">
        <v>448</v>
      </c>
      <c r="B15" s="19">
        <f t="shared" si="0"/>
        <v>0.30307199464420814</v>
      </c>
      <c r="C15" s="19">
        <v>6.1018696969697001E-2</v>
      </c>
      <c r="H15" t="s">
        <v>449</v>
      </c>
      <c r="I15" s="19">
        <f t="shared" ref="I15:I24" si="4">J15/$C$18</f>
        <v>0.30307199464420814</v>
      </c>
      <c r="J15" s="19">
        <v>6.1018696969697001E-2</v>
      </c>
    </row>
    <row r="16" spans="1:12" x14ac:dyDescent="0.3">
      <c r="A16" s="44" t="s">
        <v>86</v>
      </c>
      <c r="B16" s="19">
        <f t="shared" si="0"/>
        <v>0.31967774941142579</v>
      </c>
      <c r="C16" s="19">
        <v>6.4362000000000003E-2</v>
      </c>
      <c r="H16" t="s">
        <v>86</v>
      </c>
      <c r="I16" s="19">
        <f t="shared" si="4"/>
        <v>0.31967774941142579</v>
      </c>
      <c r="J16" s="19">
        <v>6.4362000000000003E-2</v>
      </c>
    </row>
    <row r="17" spans="1:10" x14ac:dyDescent="0.3">
      <c r="A17" s="120" t="s">
        <v>450</v>
      </c>
      <c r="B17" s="19">
        <f t="shared" si="0"/>
        <v>0.93252505786404671</v>
      </c>
      <c r="C17" s="75">
        <v>0.187749</v>
      </c>
      <c r="H17" t="s">
        <v>87</v>
      </c>
      <c r="I17" s="19">
        <f t="shared" si="4"/>
        <v>4.9917805810998139E-2</v>
      </c>
      <c r="J17" s="19">
        <v>1.00501515151515E-2</v>
      </c>
    </row>
    <row r="18" spans="1:10" x14ac:dyDescent="0.3">
      <c r="A18" s="120" t="s">
        <v>451</v>
      </c>
      <c r="B18" s="19">
        <f t="shared" si="0"/>
        <v>1</v>
      </c>
      <c r="C18" s="81">
        <v>0.20133400000000001</v>
      </c>
      <c r="H18" t="s">
        <v>88</v>
      </c>
      <c r="I18" s="19">
        <f t="shared" si="4"/>
        <v>0.1460824482519773</v>
      </c>
      <c r="J18" s="19">
        <v>2.94113636363636E-2</v>
      </c>
    </row>
    <row r="19" spans="1:10" x14ac:dyDescent="0.3">
      <c r="A19" s="120" t="s">
        <v>452</v>
      </c>
      <c r="B19" s="19">
        <f t="shared" si="0"/>
        <v>0.70880725560511382</v>
      </c>
      <c r="C19" s="81">
        <v>0.142707</v>
      </c>
      <c r="H19" t="s">
        <v>89</v>
      </c>
      <c r="I19" s="19">
        <f t="shared" si="4"/>
        <v>0.37054242144291522</v>
      </c>
      <c r="J19" s="19">
        <v>7.4602787878787893E-2</v>
      </c>
    </row>
    <row r="20" spans="1:10" x14ac:dyDescent="0.3">
      <c r="A20" s="43" t="s">
        <v>98</v>
      </c>
      <c r="B20" s="19">
        <f t="shared" si="0"/>
        <v>3.9541560819636078E-2</v>
      </c>
      <c r="C20" s="19">
        <v>7.9610606060606104E-3</v>
      </c>
      <c r="H20" t="s">
        <v>95</v>
      </c>
      <c r="I20" s="19">
        <f t="shared" si="4"/>
        <v>0.93252505786404671</v>
      </c>
      <c r="J20">
        <v>0.187749</v>
      </c>
    </row>
    <row r="21" spans="1:10" x14ac:dyDescent="0.3">
      <c r="A21" s="43" t="s">
        <v>453</v>
      </c>
      <c r="B21" s="19">
        <f t="shared" si="0"/>
        <v>8.8767767475785006E-2</v>
      </c>
      <c r="C21" s="19">
        <v>1.7871969696969699E-2</v>
      </c>
      <c r="H21" t="s">
        <v>96</v>
      </c>
      <c r="I21" s="19">
        <f t="shared" si="4"/>
        <v>1</v>
      </c>
      <c r="J21" s="96">
        <v>0.20133400000000001</v>
      </c>
    </row>
    <row r="22" spans="1:10" x14ac:dyDescent="0.3">
      <c r="A22" s="44" t="s">
        <v>87</v>
      </c>
      <c r="B22" s="19">
        <f t="shared" si="0"/>
        <v>4.9917805810998139E-2</v>
      </c>
      <c r="C22" s="19">
        <v>1.00501515151515E-2</v>
      </c>
      <c r="D22" s="1" t="s">
        <v>454</v>
      </c>
      <c r="H22" t="s">
        <v>97</v>
      </c>
      <c r="I22" s="19">
        <f t="shared" si="4"/>
        <v>0.70880725560511382</v>
      </c>
      <c r="J22" s="96">
        <v>0.142707</v>
      </c>
    </row>
    <row r="23" spans="1:10" x14ac:dyDescent="0.3">
      <c r="A23" s="44" t="s">
        <v>455</v>
      </c>
      <c r="B23" s="19">
        <f t="shared" si="0"/>
        <v>0.1460824482519773</v>
      </c>
      <c r="C23" s="19">
        <v>2.94113636363636E-2</v>
      </c>
      <c r="D23" t="s">
        <v>456</v>
      </c>
      <c r="H23" t="s">
        <v>98</v>
      </c>
      <c r="I23" s="19">
        <f t="shared" si="4"/>
        <v>3.9541560819636078E-2</v>
      </c>
      <c r="J23" s="19">
        <v>7.9610606060606104E-3</v>
      </c>
    </row>
    <row r="24" spans="1:10" x14ac:dyDescent="0.3">
      <c r="A24" s="44" t="s">
        <v>457</v>
      </c>
      <c r="B24" s="19">
        <f t="shared" si="0"/>
        <v>0.37054242144291522</v>
      </c>
      <c r="C24" s="19">
        <v>7.4602787878787893E-2</v>
      </c>
      <c r="H24" t="s">
        <v>119</v>
      </c>
      <c r="I24" s="19">
        <f t="shared" si="4"/>
        <v>8.8767767475785006E-2</v>
      </c>
      <c r="J24" s="19">
        <v>1.7871969696969699E-2</v>
      </c>
    </row>
    <row r="25" spans="1:10" x14ac:dyDescent="0.3">
      <c r="A25" s="75" t="s">
        <v>63</v>
      </c>
      <c r="B25" s="19">
        <f t="shared" si="0"/>
        <v>0.87913616180078868</v>
      </c>
      <c r="C25" s="75">
        <v>0.17699999999999999</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7BA6-5EFC-43A8-90D8-3C6689920323}">
  <dimension ref="A2:G9"/>
  <sheetViews>
    <sheetView workbookViewId="0">
      <selection activeCell="B6" sqref="B6"/>
    </sheetView>
  </sheetViews>
  <sheetFormatPr defaultRowHeight="14.4" x14ac:dyDescent="0.3"/>
  <cols>
    <col min="2" max="2" width="18" customWidth="1"/>
    <col min="3" max="3" width="14" customWidth="1"/>
    <col min="4" max="4" width="16.33203125" customWidth="1"/>
    <col min="5" max="5" width="15.33203125" customWidth="1"/>
  </cols>
  <sheetData>
    <row r="2" spans="1:7" ht="21" x14ac:dyDescent="0.4">
      <c r="A2" s="30" t="s">
        <v>458</v>
      </c>
    </row>
    <row r="5" spans="1:7" x14ac:dyDescent="0.3">
      <c r="B5" t="s">
        <v>459</v>
      </c>
      <c r="C5" t="s">
        <v>460</v>
      </c>
      <c r="D5" t="s">
        <v>461</v>
      </c>
      <c r="E5" t="s">
        <v>462</v>
      </c>
    </row>
    <row r="6" spans="1:7" x14ac:dyDescent="0.3">
      <c r="A6" s="2" t="s">
        <v>463</v>
      </c>
      <c r="B6" s="41">
        <v>0.23248149663559756</v>
      </c>
      <c r="C6" s="41">
        <v>0.31773732915722552</v>
      </c>
      <c r="D6" s="41">
        <v>0.30209765186239967</v>
      </c>
      <c r="E6" s="41">
        <v>0.14768352234477725</v>
      </c>
      <c r="G6" t="s">
        <v>464</v>
      </c>
    </row>
    <row r="7" spans="1:7" x14ac:dyDescent="0.3">
      <c r="A7" t="s">
        <v>465</v>
      </c>
      <c r="B7">
        <v>0</v>
      </c>
      <c r="C7">
        <f>'Animal welfare index'!O3</f>
        <v>3.3131844661466825E-4</v>
      </c>
      <c r="D7">
        <f>'Animal welfare index'!O28</f>
        <v>2.7257405905510579E-4</v>
      </c>
      <c r="E7">
        <f>'Animal welfare index'!O20</f>
        <v>4.9226875065352103E-4</v>
      </c>
      <c r="G7" t="s">
        <v>466</v>
      </c>
    </row>
    <row r="9" spans="1:7" x14ac:dyDescent="0.3">
      <c r="A9" t="s">
        <v>467</v>
      </c>
      <c r="B9">
        <f>SUMPRODUCT(B6:E6,B7:E7)</f>
        <v>2.6031620456379084E-4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AC2F0-F7FC-472A-9359-78692A9DB485}">
  <dimension ref="A2:AF37"/>
  <sheetViews>
    <sheetView topLeftCell="A2" workbookViewId="0">
      <selection activeCell="B7" sqref="B7"/>
    </sheetView>
  </sheetViews>
  <sheetFormatPr defaultRowHeight="15" customHeight="1" x14ac:dyDescent="0.3"/>
  <cols>
    <col min="1" max="1" width="22.5546875" customWidth="1"/>
    <col min="3" max="3" width="11.109375" style="19" customWidth="1"/>
    <col min="5" max="5" width="11" customWidth="1"/>
    <col min="7" max="7" width="13.5546875" customWidth="1"/>
  </cols>
  <sheetData>
    <row r="2" spans="1:32" ht="21" x14ac:dyDescent="0.4">
      <c r="A2" s="30" t="s">
        <v>468</v>
      </c>
      <c r="C2" s="46"/>
    </row>
    <row r="4" spans="1:32" ht="57.6" x14ac:dyDescent="0.3">
      <c r="A4" s="97" t="s">
        <v>469</v>
      </c>
      <c r="B4" s="4" t="s">
        <v>470</v>
      </c>
      <c r="C4" s="40" t="s">
        <v>471</v>
      </c>
      <c r="D4" s="4" t="s">
        <v>104</v>
      </c>
      <c r="E4" s="4" t="s">
        <v>472</v>
      </c>
      <c r="F4" s="4" t="s">
        <v>473</v>
      </c>
      <c r="G4" s="4" t="s">
        <v>474</v>
      </c>
      <c r="H4" s="4" t="s">
        <v>106</v>
      </c>
      <c r="I4" s="4" t="s">
        <v>475</v>
      </c>
      <c r="J4" s="4" t="s">
        <v>107</v>
      </c>
      <c r="K4" s="4" t="s">
        <v>476</v>
      </c>
      <c r="L4" s="4" t="s">
        <v>108</v>
      </c>
      <c r="M4" s="4" t="s">
        <v>477</v>
      </c>
      <c r="N4" s="4" t="s">
        <v>109</v>
      </c>
      <c r="O4" s="4" t="s">
        <v>478</v>
      </c>
      <c r="P4" s="4" t="s">
        <v>479</v>
      </c>
      <c r="Q4" s="4" t="s">
        <v>480</v>
      </c>
      <c r="R4" s="4" t="s">
        <v>111</v>
      </c>
      <c r="S4" s="4" t="s">
        <v>481</v>
      </c>
      <c r="T4" s="4" t="s">
        <v>112</v>
      </c>
      <c r="U4" s="4" t="s">
        <v>482</v>
      </c>
      <c r="V4" s="4" t="s">
        <v>483</v>
      </c>
      <c r="W4" s="3" t="s">
        <v>484</v>
      </c>
      <c r="X4" s="3" t="s">
        <v>114</v>
      </c>
      <c r="Y4" s="3" t="s">
        <v>485</v>
      </c>
      <c r="Z4" s="3" t="s">
        <v>115</v>
      </c>
      <c r="AA4" s="3" t="s">
        <v>486</v>
      </c>
      <c r="AB4" s="3"/>
      <c r="AC4" s="3"/>
      <c r="AD4" s="3"/>
      <c r="AE4" s="3"/>
    </row>
    <row r="5" spans="1:32" s="41" customFormat="1" ht="14.4" x14ac:dyDescent="0.3">
      <c r="A5" s="44" t="s">
        <v>63</v>
      </c>
      <c r="B5" s="19">
        <v>6</v>
      </c>
      <c r="C5" s="42">
        <f>B5/24</f>
        <v>0.25</v>
      </c>
      <c r="D5" s="19">
        <v>11.04</v>
      </c>
      <c r="E5" s="42">
        <f>D5/24</f>
        <v>0.45999999999999996</v>
      </c>
      <c r="F5" s="19">
        <v>6</v>
      </c>
      <c r="G5" s="42">
        <f>F5/24</f>
        <v>0.25</v>
      </c>
      <c r="H5" s="19">
        <v>11.04</v>
      </c>
      <c r="I5" s="42">
        <f>H5/24</f>
        <v>0.45999999999999996</v>
      </c>
      <c r="J5" s="19">
        <v>11.04</v>
      </c>
      <c r="K5" s="42">
        <f>J5/24</f>
        <v>0.45999999999999996</v>
      </c>
      <c r="L5" s="19">
        <v>11.04</v>
      </c>
      <c r="M5" s="42">
        <f>L5/24</f>
        <v>0.45999999999999996</v>
      </c>
      <c r="N5" s="19">
        <v>11.04</v>
      </c>
      <c r="O5" s="42">
        <f>N5/24</f>
        <v>0.45999999999999996</v>
      </c>
      <c r="P5" s="19">
        <v>6</v>
      </c>
      <c r="Q5" s="42">
        <f>P5/24</f>
        <v>0.25</v>
      </c>
      <c r="R5" s="19">
        <v>11.04</v>
      </c>
      <c r="S5" s="42">
        <f>R5/24</f>
        <v>0.45999999999999996</v>
      </c>
      <c r="T5" s="19">
        <v>11.04</v>
      </c>
      <c r="U5" s="42">
        <f>T5/24</f>
        <v>0.45999999999999996</v>
      </c>
      <c r="V5" s="19">
        <v>6</v>
      </c>
      <c r="W5" s="42">
        <f>V5/24</f>
        <v>0.25</v>
      </c>
      <c r="X5" s="19"/>
      <c r="Y5" s="42"/>
      <c r="Z5" s="19"/>
      <c r="AA5" s="42"/>
      <c r="AB5" s="52"/>
    </row>
    <row r="6" spans="1:32" s="41" customFormat="1" ht="14.4" x14ac:dyDescent="0.3">
      <c r="A6" s="44" t="s">
        <v>487</v>
      </c>
      <c r="B6" s="19">
        <v>6</v>
      </c>
      <c r="C6" s="42">
        <f t="shared" ref="C6" si="0">B6/24</f>
        <v>0.25</v>
      </c>
      <c r="D6" s="19">
        <v>8.1999999999999993</v>
      </c>
      <c r="E6" s="42">
        <f t="shared" ref="E6" si="1">D6/24</f>
        <v>0.34166666666666662</v>
      </c>
      <c r="F6" s="19">
        <v>6</v>
      </c>
      <c r="G6" s="42">
        <f t="shared" ref="G6" si="2">F6/24</f>
        <v>0.25</v>
      </c>
      <c r="H6" s="19">
        <v>8.1999999999999993</v>
      </c>
      <c r="I6" s="42">
        <f t="shared" ref="I6" si="3">H6/24</f>
        <v>0.34166666666666662</v>
      </c>
      <c r="J6" s="19">
        <v>8.1999999999999993</v>
      </c>
      <c r="K6" s="42">
        <f t="shared" ref="K6" si="4">J6/24</f>
        <v>0.34166666666666662</v>
      </c>
      <c r="L6" s="19">
        <v>8.1999999999999993</v>
      </c>
      <c r="M6" s="42">
        <f t="shared" ref="M6" si="5">L6/24</f>
        <v>0.34166666666666662</v>
      </c>
      <c r="N6" s="19">
        <v>8.1999999999999993</v>
      </c>
      <c r="O6" s="42">
        <f t="shared" ref="O6" si="6">N6/24</f>
        <v>0.34166666666666662</v>
      </c>
      <c r="P6" s="19">
        <v>6</v>
      </c>
      <c r="Q6" s="42">
        <f t="shared" ref="Q6" si="7">P6/24</f>
        <v>0.25</v>
      </c>
      <c r="R6" s="19">
        <v>8.1999999999999993</v>
      </c>
      <c r="S6" s="42">
        <f t="shared" ref="S6" si="8">R6/24</f>
        <v>0.34166666666666662</v>
      </c>
      <c r="T6" s="19">
        <v>8.1999999999999993</v>
      </c>
      <c r="U6" s="42">
        <f t="shared" ref="U6" si="9">T6/24</f>
        <v>0.34166666666666662</v>
      </c>
      <c r="V6" s="19">
        <v>6</v>
      </c>
      <c r="W6" s="42">
        <f t="shared" ref="W6" si="10">V6/24</f>
        <v>0.25</v>
      </c>
      <c r="X6" s="19">
        <v>8.1999999999999993</v>
      </c>
      <c r="Y6" s="42">
        <f>X6/24</f>
        <v>0.34166666666666662</v>
      </c>
      <c r="Z6" s="19"/>
      <c r="AA6" s="42"/>
    </row>
    <row r="7" spans="1:32" s="41" customFormat="1" ht="14.4" x14ac:dyDescent="0.3">
      <c r="A7" s="44" t="s">
        <v>440</v>
      </c>
      <c r="B7" s="19">
        <f>10/60</f>
        <v>0.16666666666666666</v>
      </c>
      <c r="C7" s="42">
        <f>B7/24</f>
        <v>6.9444444444444441E-3</v>
      </c>
      <c r="D7" s="19">
        <f t="shared" ref="D7:V7" si="11">10/60</f>
        <v>0.16666666666666666</v>
      </c>
      <c r="E7" s="42">
        <f>D7/24</f>
        <v>6.9444444444444441E-3</v>
      </c>
      <c r="F7" s="19">
        <f t="shared" si="11"/>
        <v>0.16666666666666666</v>
      </c>
      <c r="G7" s="42">
        <f>F7/24</f>
        <v>6.9444444444444441E-3</v>
      </c>
      <c r="H7" s="19">
        <f t="shared" si="11"/>
        <v>0.16666666666666666</v>
      </c>
      <c r="I7" s="42">
        <f>H7/24</f>
        <v>6.9444444444444441E-3</v>
      </c>
      <c r="J7" s="19">
        <f t="shared" si="11"/>
        <v>0.16666666666666666</v>
      </c>
      <c r="K7" s="42">
        <f>J7/24</f>
        <v>6.9444444444444441E-3</v>
      </c>
      <c r="L7" s="19">
        <f t="shared" si="11"/>
        <v>0.16666666666666666</v>
      </c>
      <c r="M7" s="42">
        <f>L7/24</f>
        <v>6.9444444444444441E-3</v>
      </c>
      <c r="N7" s="19">
        <f t="shared" si="11"/>
        <v>0.16666666666666666</v>
      </c>
      <c r="O7" s="42">
        <f>N7/24</f>
        <v>6.9444444444444441E-3</v>
      </c>
      <c r="P7" s="19">
        <f t="shared" si="11"/>
        <v>0.16666666666666666</v>
      </c>
      <c r="Q7" s="42">
        <f>P7/24</f>
        <v>6.9444444444444441E-3</v>
      </c>
      <c r="R7" s="19">
        <f t="shared" si="11"/>
        <v>0.16666666666666666</v>
      </c>
      <c r="S7" s="42">
        <f>R7/24</f>
        <v>6.9444444444444441E-3</v>
      </c>
      <c r="T7" s="19">
        <f t="shared" si="11"/>
        <v>0.16666666666666666</v>
      </c>
      <c r="U7" s="42">
        <f>T7/24</f>
        <v>6.9444444444444441E-3</v>
      </c>
      <c r="V7" s="19">
        <f t="shared" si="11"/>
        <v>0.16666666666666666</v>
      </c>
      <c r="W7" s="42">
        <f>V7/24</f>
        <v>6.9444444444444441E-3</v>
      </c>
      <c r="X7" s="19"/>
      <c r="Y7" s="42"/>
      <c r="Z7" s="19"/>
      <c r="AA7" s="42"/>
    </row>
    <row r="8" spans="1:32" s="41" customFormat="1" ht="14.4" x14ac:dyDescent="0.3">
      <c r="A8" s="44" t="s">
        <v>488</v>
      </c>
      <c r="B8" s="19">
        <v>6</v>
      </c>
      <c r="C8" s="42">
        <f>B8/24</f>
        <v>0.25</v>
      </c>
      <c r="D8" s="19">
        <v>6.62</v>
      </c>
      <c r="E8" s="42">
        <f t="shared" ref="E8:E10" si="12">D8/24</f>
        <v>0.27583333333333332</v>
      </c>
      <c r="F8" s="19">
        <v>6</v>
      </c>
      <c r="G8" s="42">
        <f>F8/24</f>
        <v>0.25</v>
      </c>
      <c r="H8" s="19">
        <v>6.62</v>
      </c>
      <c r="I8" s="42">
        <f>H8/24</f>
        <v>0.27583333333333332</v>
      </c>
      <c r="J8" s="19">
        <v>6.62</v>
      </c>
      <c r="K8" s="42">
        <f>J8/24</f>
        <v>0.27583333333333332</v>
      </c>
      <c r="L8" s="19">
        <v>6.62</v>
      </c>
      <c r="M8" s="42">
        <f>L8/24</f>
        <v>0.27583333333333332</v>
      </c>
      <c r="N8" s="19">
        <v>6.62</v>
      </c>
      <c r="O8" s="42">
        <f>N8/24</f>
        <v>0.27583333333333332</v>
      </c>
      <c r="P8" s="19">
        <v>6</v>
      </c>
      <c r="Q8" s="42">
        <f>P8/24</f>
        <v>0.25</v>
      </c>
      <c r="R8" s="19">
        <v>6.62</v>
      </c>
      <c r="S8" s="42">
        <f>R8/24</f>
        <v>0.27583333333333332</v>
      </c>
      <c r="T8" s="19">
        <v>6.62</v>
      </c>
      <c r="U8" s="42">
        <f>T8/24</f>
        <v>0.27583333333333332</v>
      </c>
      <c r="V8" s="19">
        <v>6</v>
      </c>
      <c r="W8" s="42">
        <f>V8/24</f>
        <v>0.25</v>
      </c>
      <c r="X8" s="19"/>
      <c r="Y8" s="42"/>
      <c r="Z8" s="19"/>
      <c r="AA8" s="42"/>
      <c r="AB8" s="52" t="s">
        <v>489</v>
      </c>
      <c r="AE8" s="143" t="s">
        <v>490</v>
      </c>
      <c r="AF8" s="143"/>
    </row>
    <row r="9" spans="1:32" s="41" customFormat="1" ht="14.4" x14ac:dyDescent="0.3">
      <c r="A9" s="44" t="s">
        <v>65</v>
      </c>
      <c r="B9" s="19">
        <v>6</v>
      </c>
      <c r="C9" s="42">
        <f>B9/24</f>
        <v>0.25</v>
      </c>
      <c r="D9" s="19">
        <v>8</v>
      </c>
      <c r="E9" s="42">
        <f t="shared" si="12"/>
        <v>0.33333333333333331</v>
      </c>
      <c r="F9" s="19">
        <v>6</v>
      </c>
      <c r="G9" s="42">
        <f t="shared" ref="G9:G10" si="13">F9/24</f>
        <v>0.25</v>
      </c>
      <c r="H9" s="19">
        <v>8</v>
      </c>
      <c r="I9" s="42">
        <f t="shared" ref="I9:I10" si="14">H9/24</f>
        <v>0.33333333333333331</v>
      </c>
      <c r="J9" s="19">
        <v>8</v>
      </c>
      <c r="K9" s="42">
        <f t="shared" ref="K9:K10" si="15">J9/24</f>
        <v>0.33333333333333331</v>
      </c>
      <c r="L9" s="19">
        <v>8</v>
      </c>
      <c r="M9" s="42">
        <f t="shared" ref="M9:M10" si="16">L9/24</f>
        <v>0.33333333333333331</v>
      </c>
      <c r="N9" s="19">
        <v>8</v>
      </c>
      <c r="O9" s="42">
        <f t="shared" ref="O9:O10" si="17">N9/24</f>
        <v>0.33333333333333331</v>
      </c>
      <c r="P9" s="19">
        <v>6</v>
      </c>
      <c r="Q9" s="42">
        <f t="shared" ref="Q9:Q10" si="18">P9/24</f>
        <v>0.25</v>
      </c>
      <c r="R9" s="19">
        <v>8</v>
      </c>
      <c r="S9" s="42">
        <f t="shared" ref="S9:S10" si="19">R9/24</f>
        <v>0.33333333333333331</v>
      </c>
      <c r="T9" s="19">
        <v>8</v>
      </c>
      <c r="U9" s="42">
        <f t="shared" ref="U9:U10" si="20">T9/24</f>
        <v>0.33333333333333331</v>
      </c>
      <c r="V9" s="19">
        <v>6</v>
      </c>
      <c r="W9" s="42">
        <f t="shared" ref="W9:W10" si="21">V9/24</f>
        <v>0.25</v>
      </c>
      <c r="X9" s="19"/>
      <c r="Y9" s="42"/>
      <c r="Z9" s="19"/>
      <c r="AA9" s="42"/>
    </row>
    <row r="10" spans="1:32" s="41" customFormat="1" ht="14.4" x14ac:dyDescent="0.3">
      <c r="A10" s="44" t="s">
        <v>491</v>
      </c>
      <c r="B10" s="19">
        <v>6</v>
      </c>
      <c r="C10" s="42">
        <f t="shared" ref="C10" si="22">B10/24</f>
        <v>0.25</v>
      </c>
      <c r="D10" s="19">
        <v>8.2799999999999994</v>
      </c>
      <c r="E10" s="42">
        <f t="shared" si="12"/>
        <v>0.34499999999999997</v>
      </c>
      <c r="F10" s="19">
        <v>6</v>
      </c>
      <c r="G10" s="42">
        <f t="shared" si="13"/>
        <v>0.25</v>
      </c>
      <c r="H10" s="19">
        <v>8.2799999999999994</v>
      </c>
      <c r="I10" s="42">
        <f t="shared" si="14"/>
        <v>0.34499999999999997</v>
      </c>
      <c r="J10" s="19">
        <v>8.2799999999999994</v>
      </c>
      <c r="K10" s="42">
        <f t="shared" si="15"/>
        <v>0.34499999999999997</v>
      </c>
      <c r="L10" s="19">
        <v>8.2799999999999994</v>
      </c>
      <c r="M10" s="42">
        <f t="shared" si="16"/>
        <v>0.34499999999999997</v>
      </c>
      <c r="N10" s="19">
        <v>8.2799999999999994</v>
      </c>
      <c r="O10" s="42">
        <f t="shared" si="17"/>
        <v>0.34499999999999997</v>
      </c>
      <c r="P10" s="19">
        <v>6</v>
      </c>
      <c r="Q10" s="42">
        <f t="shared" si="18"/>
        <v>0.25</v>
      </c>
      <c r="R10" s="19">
        <v>8.2799999999999994</v>
      </c>
      <c r="S10" s="42">
        <f t="shared" si="19"/>
        <v>0.34499999999999997</v>
      </c>
      <c r="T10" s="19">
        <v>8.2799999999999994</v>
      </c>
      <c r="U10" s="42">
        <f t="shared" si="20"/>
        <v>0.34499999999999997</v>
      </c>
      <c r="V10" s="19">
        <v>6</v>
      </c>
      <c r="W10" s="42">
        <f t="shared" si="21"/>
        <v>0.25</v>
      </c>
      <c r="X10" s="19">
        <v>8.2799999999999994</v>
      </c>
      <c r="Y10" s="42">
        <f>X10/24</f>
        <v>0.34499999999999997</v>
      </c>
      <c r="Z10" s="19">
        <v>4</v>
      </c>
      <c r="AA10" s="42">
        <f>Z10/24</f>
        <v>0.16666666666666666</v>
      </c>
    </row>
    <row r="11" spans="1:32" s="41" customFormat="1" ht="14.4" x14ac:dyDescent="0.3">
      <c r="A11" s="44" t="s">
        <v>67</v>
      </c>
      <c r="B11" s="19">
        <v>6</v>
      </c>
      <c r="C11" s="42">
        <f t="shared" ref="C11:C21" si="23">B11/24</f>
        <v>0.25</v>
      </c>
      <c r="D11" s="19">
        <v>6.2695999999999996</v>
      </c>
      <c r="E11" s="42">
        <f t="shared" ref="E11:E20" si="24">D11/24</f>
        <v>0.26123333333333332</v>
      </c>
      <c r="F11" s="19">
        <v>6</v>
      </c>
      <c r="G11" s="42">
        <f t="shared" ref="G11:G20" si="25">F11/24</f>
        <v>0.25</v>
      </c>
      <c r="H11" s="19">
        <v>6.2695999999999996</v>
      </c>
      <c r="I11" s="42">
        <f t="shared" ref="I11:I20" si="26">H11/24</f>
        <v>0.26123333333333332</v>
      </c>
      <c r="J11" s="19">
        <v>6.2695999999999996</v>
      </c>
      <c r="K11" s="42">
        <f t="shared" ref="K11:K20" si="27">J11/24</f>
        <v>0.26123333333333332</v>
      </c>
      <c r="L11" s="19">
        <v>6.2695999999999996</v>
      </c>
      <c r="M11" s="42">
        <f t="shared" ref="M11:M20" si="28">L11/24</f>
        <v>0.26123333333333332</v>
      </c>
      <c r="N11" s="19">
        <v>6.1725000000000003</v>
      </c>
      <c r="O11" s="42">
        <f t="shared" ref="O11:O20" si="29">N11/24</f>
        <v>0.25718750000000001</v>
      </c>
      <c r="P11" s="19">
        <v>6</v>
      </c>
      <c r="Q11" s="42">
        <f t="shared" ref="Q11:Q20" si="30">P11/24</f>
        <v>0.25</v>
      </c>
      <c r="R11" s="19">
        <v>6.2695999999999996</v>
      </c>
      <c r="S11" s="42">
        <f t="shared" ref="S11:S20" si="31">R11/24</f>
        <v>0.26123333333333332</v>
      </c>
      <c r="T11" s="87">
        <v>6.37</v>
      </c>
      <c r="U11" s="42">
        <f t="shared" ref="U11:U20" si="32">T11/24</f>
        <v>0.26541666666666669</v>
      </c>
      <c r="V11" s="19">
        <v>6</v>
      </c>
      <c r="W11" s="42">
        <f t="shared" ref="W11:W20" si="33">V11/24</f>
        <v>0.25</v>
      </c>
      <c r="X11" s="19"/>
      <c r="Y11" s="42"/>
      <c r="Z11" s="19"/>
      <c r="AA11" s="42"/>
      <c r="AB11" s="76" t="s">
        <v>492</v>
      </c>
    </row>
    <row r="12" spans="1:32" s="41" customFormat="1" ht="14.4" x14ac:dyDescent="0.3">
      <c r="A12" s="44" t="s">
        <v>448</v>
      </c>
      <c r="B12" s="19">
        <v>5</v>
      </c>
      <c r="C12" s="42">
        <f t="shared" si="23"/>
        <v>0.20833333333333334</v>
      </c>
      <c r="D12" s="19">
        <v>5</v>
      </c>
      <c r="E12" s="42">
        <f>D12/24</f>
        <v>0.20833333333333334</v>
      </c>
      <c r="F12" s="19">
        <v>5</v>
      </c>
      <c r="G12" s="42">
        <f>F12/24</f>
        <v>0.20833333333333334</v>
      </c>
      <c r="H12" s="19">
        <v>5</v>
      </c>
      <c r="I12" s="42">
        <f>H12/24</f>
        <v>0.20833333333333334</v>
      </c>
      <c r="J12" s="19">
        <v>5</v>
      </c>
      <c r="K12" s="42">
        <f>J12/24</f>
        <v>0.20833333333333334</v>
      </c>
      <c r="L12" s="19">
        <v>5</v>
      </c>
      <c r="M12" s="42">
        <f>L12/24</f>
        <v>0.20833333333333334</v>
      </c>
      <c r="N12" s="19">
        <v>5</v>
      </c>
      <c r="O12" s="42">
        <f>N12/24</f>
        <v>0.20833333333333334</v>
      </c>
      <c r="P12" s="19">
        <v>5</v>
      </c>
      <c r="Q12" s="42">
        <f>P12/24</f>
        <v>0.20833333333333334</v>
      </c>
      <c r="R12" s="19">
        <v>5</v>
      </c>
      <c r="S12" s="42">
        <f>R12/24</f>
        <v>0.20833333333333334</v>
      </c>
      <c r="T12" s="19">
        <v>5</v>
      </c>
      <c r="U12" s="42">
        <f>T12/24</f>
        <v>0.20833333333333334</v>
      </c>
      <c r="V12" s="19">
        <v>5</v>
      </c>
      <c r="W12" s="42">
        <f>V12/24</f>
        <v>0.20833333333333334</v>
      </c>
      <c r="X12" s="19"/>
      <c r="Y12" s="42"/>
      <c r="Z12" s="19"/>
      <c r="AA12" s="42"/>
    </row>
    <row r="13" spans="1:32" s="41" customFormat="1" ht="14.4" x14ac:dyDescent="0.3">
      <c r="A13" s="44" t="s">
        <v>86</v>
      </c>
      <c r="B13" s="19">
        <f>210/60</f>
        <v>3.5</v>
      </c>
      <c r="C13" s="42">
        <f t="shared" si="23"/>
        <v>0.14583333333333334</v>
      </c>
      <c r="D13" s="19">
        <f t="shared" ref="D13:V13" si="34">210/60</f>
        <v>3.5</v>
      </c>
      <c r="E13" s="42">
        <f t="shared" si="24"/>
        <v>0.14583333333333334</v>
      </c>
      <c r="F13" s="19">
        <f t="shared" si="34"/>
        <v>3.5</v>
      </c>
      <c r="G13" s="42">
        <f t="shared" si="25"/>
        <v>0.14583333333333334</v>
      </c>
      <c r="H13" s="19">
        <f t="shared" si="34"/>
        <v>3.5</v>
      </c>
      <c r="I13" s="42">
        <f t="shared" si="26"/>
        <v>0.14583333333333334</v>
      </c>
      <c r="J13" s="19">
        <f t="shared" si="34"/>
        <v>3.5</v>
      </c>
      <c r="K13" s="42">
        <f t="shared" si="27"/>
        <v>0.14583333333333334</v>
      </c>
      <c r="L13" s="19">
        <f t="shared" si="34"/>
        <v>3.5</v>
      </c>
      <c r="M13" s="42">
        <f t="shared" si="28"/>
        <v>0.14583333333333334</v>
      </c>
      <c r="N13" s="19">
        <f t="shared" si="34"/>
        <v>3.5</v>
      </c>
      <c r="O13" s="42">
        <f t="shared" si="29"/>
        <v>0.14583333333333334</v>
      </c>
      <c r="P13" s="19">
        <f t="shared" si="34"/>
        <v>3.5</v>
      </c>
      <c r="Q13" s="42">
        <f t="shared" si="30"/>
        <v>0.14583333333333334</v>
      </c>
      <c r="R13" s="19">
        <f t="shared" si="34"/>
        <v>3.5</v>
      </c>
      <c r="S13" s="42">
        <f t="shared" si="31"/>
        <v>0.14583333333333334</v>
      </c>
      <c r="T13" s="19">
        <f t="shared" si="34"/>
        <v>3.5</v>
      </c>
      <c r="U13" s="42">
        <f t="shared" si="32"/>
        <v>0.14583333333333334</v>
      </c>
      <c r="V13" s="19">
        <f t="shared" si="34"/>
        <v>3.5</v>
      </c>
      <c r="W13" s="42">
        <f t="shared" si="33"/>
        <v>0.14583333333333334</v>
      </c>
      <c r="X13" s="19"/>
      <c r="Y13" s="42"/>
      <c r="Z13" s="19"/>
      <c r="AA13" s="42"/>
    </row>
    <row r="14" spans="1:32" s="19" customFormat="1" ht="14.4" x14ac:dyDescent="0.3">
      <c r="A14" s="43" t="s">
        <v>493</v>
      </c>
      <c r="B14" s="19">
        <f>1/60</f>
        <v>1.6666666666666666E-2</v>
      </c>
      <c r="C14" s="42">
        <f t="shared" si="23"/>
        <v>6.9444444444444447E-4</v>
      </c>
      <c r="D14" s="19">
        <f t="shared" ref="D14:V14" si="35">1/60</f>
        <v>1.6666666666666666E-2</v>
      </c>
      <c r="E14" s="42">
        <f t="shared" si="24"/>
        <v>6.9444444444444447E-4</v>
      </c>
      <c r="F14" s="19">
        <f t="shared" si="35"/>
        <v>1.6666666666666666E-2</v>
      </c>
      <c r="G14" s="42">
        <f t="shared" si="25"/>
        <v>6.9444444444444447E-4</v>
      </c>
      <c r="H14" s="19">
        <f t="shared" si="35"/>
        <v>1.6666666666666666E-2</v>
      </c>
      <c r="I14" s="42">
        <f t="shared" si="26"/>
        <v>6.9444444444444447E-4</v>
      </c>
      <c r="J14" s="19">
        <f t="shared" si="35"/>
        <v>1.6666666666666666E-2</v>
      </c>
      <c r="K14" s="42">
        <f t="shared" si="27"/>
        <v>6.9444444444444447E-4</v>
      </c>
      <c r="L14" s="19">
        <f t="shared" si="35"/>
        <v>1.6666666666666666E-2</v>
      </c>
      <c r="M14" s="42">
        <f t="shared" si="28"/>
        <v>6.9444444444444447E-4</v>
      </c>
      <c r="N14" s="19">
        <f t="shared" si="35"/>
        <v>1.6666666666666666E-2</v>
      </c>
      <c r="O14" s="42">
        <f t="shared" si="29"/>
        <v>6.9444444444444447E-4</v>
      </c>
      <c r="P14" s="19">
        <f t="shared" si="35"/>
        <v>1.6666666666666666E-2</v>
      </c>
      <c r="Q14" s="42">
        <f t="shared" si="30"/>
        <v>6.9444444444444447E-4</v>
      </c>
      <c r="R14" s="19">
        <f t="shared" si="35"/>
        <v>1.6666666666666666E-2</v>
      </c>
      <c r="S14" s="42">
        <f t="shared" si="31"/>
        <v>6.9444444444444447E-4</v>
      </c>
      <c r="T14" s="19">
        <f t="shared" si="35"/>
        <v>1.6666666666666666E-2</v>
      </c>
      <c r="U14" s="42">
        <f t="shared" si="32"/>
        <v>6.9444444444444447E-4</v>
      </c>
      <c r="V14" s="19">
        <f t="shared" si="35"/>
        <v>1.6666666666666666E-2</v>
      </c>
      <c r="W14" s="42">
        <f t="shared" si="33"/>
        <v>6.9444444444444447E-4</v>
      </c>
      <c r="Y14" s="42"/>
      <c r="AA14" s="42"/>
    </row>
    <row r="15" spans="1:32" s="19" customFormat="1" ht="14.4" x14ac:dyDescent="0.3">
      <c r="A15" s="43" t="s">
        <v>98</v>
      </c>
      <c r="B15" s="19">
        <f>1/60</f>
        <v>1.6666666666666666E-2</v>
      </c>
      <c r="C15" s="42">
        <f t="shared" si="23"/>
        <v>6.9444444444444447E-4</v>
      </c>
      <c r="D15" s="19">
        <f>1/60</f>
        <v>1.6666666666666666E-2</v>
      </c>
      <c r="E15" s="42">
        <f t="shared" si="24"/>
        <v>6.9444444444444447E-4</v>
      </c>
      <c r="F15" s="19">
        <f>1/60</f>
        <v>1.6666666666666666E-2</v>
      </c>
      <c r="G15" s="42">
        <f t="shared" si="25"/>
        <v>6.9444444444444447E-4</v>
      </c>
      <c r="H15" s="19">
        <f>1/60</f>
        <v>1.6666666666666666E-2</v>
      </c>
      <c r="I15" s="42">
        <f t="shared" si="26"/>
        <v>6.9444444444444447E-4</v>
      </c>
      <c r="J15" s="19">
        <f>1/60</f>
        <v>1.6666666666666666E-2</v>
      </c>
      <c r="K15" s="42">
        <f t="shared" si="27"/>
        <v>6.9444444444444447E-4</v>
      </c>
      <c r="L15" s="19">
        <f>1/60</f>
        <v>1.6666666666666666E-2</v>
      </c>
      <c r="M15" s="42">
        <f t="shared" si="28"/>
        <v>6.9444444444444447E-4</v>
      </c>
      <c r="N15" s="19">
        <f>1/60</f>
        <v>1.6666666666666666E-2</v>
      </c>
      <c r="O15" s="42">
        <f t="shared" si="29"/>
        <v>6.9444444444444447E-4</v>
      </c>
      <c r="P15" s="19">
        <f>1/60</f>
        <v>1.6666666666666666E-2</v>
      </c>
      <c r="Q15" s="42">
        <f t="shared" si="30"/>
        <v>6.9444444444444447E-4</v>
      </c>
      <c r="R15" s="19">
        <f>1/60</f>
        <v>1.6666666666666666E-2</v>
      </c>
      <c r="S15" s="42">
        <f t="shared" si="31"/>
        <v>6.9444444444444447E-4</v>
      </c>
      <c r="T15" s="19">
        <f>1/60</f>
        <v>1.6666666666666666E-2</v>
      </c>
      <c r="U15" s="42">
        <f t="shared" si="32"/>
        <v>6.9444444444444447E-4</v>
      </c>
      <c r="V15" s="19">
        <f>1/60</f>
        <v>1.6666666666666666E-2</v>
      </c>
      <c r="W15" s="42">
        <f t="shared" si="33"/>
        <v>6.9444444444444447E-4</v>
      </c>
      <c r="Y15" s="42"/>
      <c r="AA15" s="42"/>
      <c r="AB15" s="19" t="s">
        <v>494</v>
      </c>
    </row>
    <row r="16" spans="1:32" s="19" customFormat="1" ht="14.4" x14ac:dyDescent="0.3">
      <c r="A16" s="43" t="s">
        <v>453</v>
      </c>
      <c r="B16" s="19">
        <f>0.5/60</f>
        <v>8.3333333333333332E-3</v>
      </c>
      <c r="C16" s="42">
        <f t="shared" si="23"/>
        <v>3.4722222222222224E-4</v>
      </c>
      <c r="D16" s="19">
        <v>8.3333333333333332E-3</v>
      </c>
      <c r="E16" s="42">
        <f t="shared" si="24"/>
        <v>3.4722222222222224E-4</v>
      </c>
      <c r="F16" s="19">
        <v>8.3333333333333332E-3</v>
      </c>
      <c r="G16" s="42">
        <f t="shared" si="25"/>
        <v>3.4722222222222224E-4</v>
      </c>
      <c r="H16" s="19">
        <v>8.3333333333333332E-3</v>
      </c>
      <c r="I16" s="42">
        <f t="shared" si="26"/>
        <v>3.4722222222222224E-4</v>
      </c>
      <c r="J16" s="19">
        <v>8.3333333333333332E-3</v>
      </c>
      <c r="K16" s="42">
        <f t="shared" si="27"/>
        <v>3.4722222222222224E-4</v>
      </c>
      <c r="L16" s="19">
        <v>8.3333333333333332E-3</v>
      </c>
      <c r="M16" s="42">
        <f t="shared" si="28"/>
        <v>3.4722222222222224E-4</v>
      </c>
      <c r="N16" s="19">
        <v>8.3333333333333332E-3</v>
      </c>
      <c r="O16" s="42">
        <f t="shared" si="29"/>
        <v>3.4722222222222224E-4</v>
      </c>
      <c r="P16" s="19">
        <v>8.3333333333333332E-3</v>
      </c>
      <c r="Q16" s="42">
        <f t="shared" si="30"/>
        <v>3.4722222222222224E-4</v>
      </c>
      <c r="R16" s="19">
        <v>8.3333333333333332E-3</v>
      </c>
      <c r="S16" s="42">
        <f t="shared" si="31"/>
        <v>3.4722222222222224E-4</v>
      </c>
      <c r="T16" s="19">
        <v>8.3333333333333332E-3</v>
      </c>
      <c r="U16" s="42">
        <f t="shared" si="32"/>
        <v>3.4722222222222224E-4</v>
      </c>
      <c r="V16" s="19">
        <v>8.3333333333333332E-3</v>
      </c>
      <c r="W16" s="42">
        <f t="shared" si="33"/>
        <v>3.4722222222222224E-4</v>
      </c>
      <c r="Y16" s="42"/>
      <c r="AA16" s="42"/>
      <c r="AB16" s="19" t="s">
        <v>494</v>
      </c>
    </row>
    <row r="17" spans="1:31" s="41" customFormat="1" ht="14.4" x14ac:dyDescent="0.3">
      <c r="A17" s="44" t="s">
        <v>87</v>
      </c>
      <c r="B17" s="19">
        <v>2</v>
      </c>
      <c r="C17" s="42">
        <f t="shared" si="23"/>
        <v>8.3333333333333329E-2</v>
      </c>
      <c r="D17" s="19">
        <v>2</v>
      </c>
      <c r="E17" s="42">
        <f t="shared" si="24"/>
        <v>8.3333333333333329E-2</v>
      </c>
      <c r="F17" s="19">
        <v>2</v>
      </c>
      <c r="G17" s="42">
        <f t="shared" si="25"/>
        <v>8.3333333333333329E-2</v>
      </c>
      <c r="H17" s="19">
        <v>2</v>
      </c>
      <c r="I17" s="42">
        <f t="shared" si="26"/>
        <v>8.3333333333333329E-2</v>
      </c>
      <c r="J17" s="19">
        <v>2</v>
      </c>
      <c r="K17" s="42">
        <f t="shared" si="27"/>
        <v>8.3333333333333329E-2</v>
      </c>
      <c r="L17" s="19">
        <v>2</v>
      </c>
      <c r="M17" s="42">
        <f t="shared" si="28"/>
        <v>8.3333333333333329E-2</v>
      </c>
      <c r="N17" s="19">
        <v>2</v>
      </c>
      <c r="O17" s="42">
        <f t="shared" si="29"/>
        <v>8.3333333333333329E-2</v>
      </c>
      <c r="P17" s="19">
        <v>2</v>
      </c>
      <c r="Q17" s="42">
        <f t="shared" si="30"/>
        <v>8.3333333333333329E-2</v>
      </c>
      <c r="R17" s="19">
        <v>2</v>
      </c>
      <c r="S17" s="42">
        <f t="shared" si="31"/>
        <v>8.3333333333333329E-2</v>
      </c>
      <c r="T17" s="19">
        <v>2</v>
      </c>
      <c r="U17" s="42">
        <f t="shared" si="32"/>
        <v>8.3333333333333329E-2</v>
      </c>
      <c r="V17" s="19">
        <v>2</v>
      </c>
      <c r="W17" s="42">
        <f t="shared" si="33"/>
        <v>8.3333333333333329E-2</v>
      </c>
      <c r="X17" s="19"/>
      <c r="Y17" s="42"/>
      <c r="Z17" s="19"/>
      <c r="AA17" s="42"/>
      <c r="AB17" s="19" t="s">
        <v>494</v>
      </c>
    </row>
    <row r="18" spans="1:31" s="41" customFormat="1" ht="14.4" x14ac:dyDescent="0.3">
      <c r="A18" s="44" t="s">
        <v>455</v>
      </c>
      <c r="B18" s="19">
        <v>1</v>
      </c>
      <c r="C18" s="42">
        <f t="shared" si="23"/>
        <v>4.1666666666666664E-2</v>
      </c>
      <c r="D18" s="19">
        <v>1</v>
      </c>
      <c r="E18" s="42">
        <f t="shared" si="24"/>
        <v>4.1666666666666664E-2</v>
      </c>
      <c r="F18" s="19">
        <v>1</v>
      </c>
      <c r="G18" s="42">
        <f t="shared" si="25"/>
        <v>4.1666666666666664E-2</v>
      </c>
      <c r="H18" s="19">
        <v>1</v>
      </c>
      <c r="I18" s="42">
        <f t="shared" si="26"/>
        <v>4.1666666666666664E-2</v>
      </c>
      <c r="J18" s="19">
        <v>1</v>
      </c>
      <c r="K18" s="42">
        <f t="shared" si="27"/>
        <v>4.1666666666666664E-2</v>
      </c>
      <c r="L18" s="19">
        <v>1</v>
      </c>
      <c r="M18" s="42">
        <f t="shared" si="28"/>
        <v>4.1666666666666664E-2</v>
      </c>
      <c r="N18" s="19">
        <v>1</v>
      </c>
      <c r="O18" s="42">
        <f t="shared" si="29"/>
        <v>4.1666666666666664E-2</v>
      </c>
      <c r="P18" s="19">
        <v>1</v>
      </c>
      <c r="Q18" s="42">
        <f t="shared" si="30"/>
        <v>4.1666666666666664E-2</v>
      </c>
      <c r="R18" s="19">
        <v>1</v>
      </c>
      <c r="S18" s="42">
        <f t="shared" si="31"/>
        <v>4.1666666666666664E-2</v>
      </c>
      <c r="T18" s="19">
        <v>1</v>
      </c>
      <c r="U18" s="42">
        <f t="shared" si="32"/>
        <v>4.1666666666666664E-2</v>
      </c>
      <c r="V18" s="19">
        <v>1</v>
      </c>
      <c r="W18" s="42">
        <f t="shared" si="33"/>
        <v>4.1666666666666664E-2</v>
      </c>
      <c r="X18" s="19"/>
      <c r="Y18" s="42"/>
      <c r="Z18" s="19"/>
      <c r="AA18" s="42"/>
    </row>
    <row r="19" spans="1:31" s="41" customFormat="1" ht="14.4" x14ac:dyDescent="0.3">
      <c r="A19" s="44" t="s">
        <v>457</v>
      </c>
      <c r="B19" s="19">
        <v>3.5</v>
      </c>
      <c r="C19" s="42">
        <f t="shared" si="23"/>
        <v>0.14583333333333334</v>
      </c>
      <c r="D19" s="19">
        <v>3.5</v>
      </c>
      <c r="E19" s="42">
        <f t="shared" si="24"/>
        <v>0.14583333333333334</v>
      </c>
      <c r="F19" s="19">
        <v>3.5</v>
      </c>
      <c r="G19" s="42">
        <f t="shared" si="25"/>
        <v>0.14583333333333334</v>
      </c>
      <c r="H19" s="19">
        <v>3.5</v>
      </c>
      <c r="I19" s="42">
        <f t="shared" si="26"/>
        <v>0.14583333333333334</v>
      </c>
      <c r="J19" s="19">
        <v>3.5</v>
      </c>
      <c r="K19" s="42">
        <f t="shared" si="27"/>
        <v>0.14583333333333334</v>
      </c>
      <c r="L19" s="19">
        <v>3.5</v>
      </c>
      <c r="M19" s="42">
        <f t="shared" si="28"/>
        <v>0.14583333333333334</v>
      </c>
      <c r="N19" s="19">
        <v>3.5</v>
      </c>
      <c r="O19" s="42">
        <f t="shared" si="29"/>
        <v>0.14583333333333334</v>
      </c>
      <c r="P19" s="19">
        <v>3.5</v>
      </c>
      <c r="Q19" s="42">
        <f t="shared" si="30"/>
        <v>0.14583333333333334</v>
      </c>
      <c r="R19" s="19">
        <v>3.5</v>
      </c>
      <c r="S19" s="42">
        <f t="shared" si="31"/>
        <v>0.14583333333333334</v>
      </c>
      <c r="T19" s="19">
        <v>3.5</v>
      </c>
      <c r="U19" s="42">
        <f t="shared" si="32"/>
        <v>0.14583333333333334</v>
      </c>
      <c r="V19" s="19">
        <v>3.5</v>
      </c>
      <c r="W19" s="42">
        <f t="shared" si="33"/>
        <v>0.14583333333333334</v>
      </c>
      <c r="X19" s="19"/>
      <c r="Y19" s="42"/>
      <c r="Z19" s="19"/>
      <c r="AA19" s="42"/>
    </row>
    <row r="20" spans="1:31" s="41" customFormat="1" ht="14.4" x14ac:dyDescent="0.3">
      <c r="A20" s="94" t="s">
        <v>495</v>
      </c>
      <c r="B20" s="92">
        <f>B8-2</f>
        <v>4</v>
      </c>
      <c r="C20" s="92">
        <f t="shared" si="23"/>
        <v>0.16666666666666666</v>
      </c>
      <c r="D20" s="92">
        <f t="shared" ref="D20:V20" si="36">D8-2</f>
        <v>4.62</v>
      </c>
      <c r="E20" s="92">
        <f t="shared" si="24"/>
        <v>0.1925</v>
      </c>
      <c r="F20" s="92">
        <f t="shared" si="36"/>
        <v>4</v>
      </c>
      <c r="G20" s="92">
        <f t="shared" si="25"/>
        <v>0.16666666666666666</v>
      </c>
      <c r="H20" s="92">
        <f t="shared" si="36"/>
        <v>4.62</v>
      </c>
      <c r="I20" s="92">
        <f t="shared" si="26"/>
        <v>0.1925</v>
      </c>
      <c r="J20" s="92">
        <f t="shared" si="36"/>
        <v>4.62</v>
      </c>
      <c r="K20" s="92">
        <f t="shared" si="27"/>
        <v>0.1925</v>
      </c>
      <c r="L20" s="92">
        <f t="shared" si="36"/>
        <v>4.62</v>
      </c>
      <c r="M20" s="92">
        <f t="shared" si="28"/>
        <v>0.1925</v>
      </c>
      <c r="N20" s="92">
        <f t="shared" si="36"/>
        <v>4.62</v>
      </c>
      <c r="O20" s="92">
        <f t="shared" si="29"/>
        <v>0.1925</v>
      </c>
      <c r="P20" s="92">
        <f t="shared" si="36"/>
        <v>4</v>
      </c>
      <c r="Q20" s="92">
        <f t="shared" si="30"/>
        <v>0.16666666666666666</v>
      </c>
      <c r="R20" s="92">
        <f t="shared" si="36"/>
        <v>4.62</v>
      </c>
      <c r="S20" s="92">
        <f t="shared" si="31"/>
        <v>0.1925</v>
      </c>
      <c r="T20" s="92">
        <f t="shared" si="36"/>
        <v>4.62</v>
      </c>
      <c r="U20" s="92">
        <f t="shared" si="32"/>
        <v>0.1925</v>
      </c>
      <c r="V20" s="92">
        <f t="shared" si="36"/>
        <v>4</v>
      </c>
      <c r="W20" s="92">
        <f t="shared" si="33"/>
        <v>0.16666666666666666</v>
      </c>
      <c r="X20" s="19"/>
      <c r="Y20" s="92"/>
      <c r="Z20" s="19"/>
      <c r="AA20" s="92"/>
    </row>
    <row r="21" spans="1:31" ht="15" customHeight="1" x14ac:dyDescent="0.3">
      <c r="A21" t="s">
        <v>101</v>
      </c>
      <c r="B21">
        <v>24</v>
      </c>
      <c r="C21" s="19">
        <f t="shared" si="23"/>
        <v>1</v>
      </c>
    </row>
    <row r="22" spans="1:31" ht="14.4" x14ac:dyDescent="0.3">
      <c r="A22" s="96" t="s">
        <v>496</v>
      </c>
      <c r="B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row>
    <row r="23" spans="1:31" ht="14.25" customHeight="1" x14ac:dyDescent="0.3">
      <c r="A23" s="96" t="s">
        <v>497</v>
      </c>
      <c r="B23" s="96"/>
      <c r="C23" s="96"/>
      <c r="D23" s="96"/>
      <c r="E23" s="96"/>
      <c r="F23" s="96"/>
      <c r="G23" s="96"/>
      <c r="H23" s="96"/>
      <c r="I23" s="96"/>
      <c r="J23" s="96"/>
      <c r="K23" s="96"/>
      <c r="L23" s="96"/>
      <c r="M23" s="96"/>
      <c r="N23" s="96"/>
      <c r="O23" s="96"/>
      <c r="P23" s="96"/>
      <c r="Q23" s="96"/>
      <c r="R23" s="96"/>
      <c r="S23" s="96"/>
      <c r="T23" s="96"/>
      <c r="U23" s="96"/>
      <c r="V23" s="96"/>
      <c r="W23" s="96"/>
      <c r="X23" s="96"/>
      <c r="Y23" s="96"/>
      <c r="Z23" s="96"/>
      <c r="AA23" s="96"/>
      <c r="AB23" s="96"/>
      <c r="AC23" s="96"/>
      <c r="AD23" s="96"/>
      <c r="AE23" s="96"/>
    </row>
    <row r="24" spans="1:31" ht="16.5" customHeight="1" x14ac:dyDescent="0.3">
      <c r="A24" s="96" t="s">
        <v>498</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96"/>
    </row>
    <row r="25" spans="1:31" ht="16.5" customHeight="1" x14ac:dyDescent="0.3">
      <c r="A25" s="96" t="s">
        <v>499</v>
      </c>
      <c r="B25" s="96"/>
      <c r="C25" s="96"/>
      <c r="D25" s="96"/>
      <c r="E25" s="96"/>
      <c r="F25" s="96"/>
      <c r="G25" s="96"/>
      <c r="H25" s="96"/>
      <c r="I25" s="96"/>
      <c r="J25" s="96"/>
      <c r="K25" s="96"/>
      <c r="L25" s="96"/>
      <c r="M25" s="96" t="s">
        <v>500</v>
      </c>
      <c r="N25" s="96"/>
      <c r="O25" s="96"/>
      <c r="P25" s="96"/>
      <c r="Q25" s="96"/>
      <c r="R25" s="96"/>
      <c r="S25" s="96"/>
      <c r="T25" s="96"/>
      <c r="U25" s="96"/>
      <c r="V25" s="96"/>
      <c r="W25" s="96"/>
      <c r="X25" s="96"/>
      <c r="Y25" s="96"/>
      <c r="Z25" s="96"/>
      <c r="AA25" s="96"/>
      <c r="AB25" s="96"/>
      <c r="AC25" s="96"/>
      <c r="AD25" s="96"/>
      <c r="AE25" s="96"/>
    </row>
    <row r="26" spans="1:31" ht="16.5" customHeight="1" x14ac:dyDescent="0.3">
      <c r="A26" s="96" t="s">
        <v>501</v>
      </c>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row>
    <row r="27" spans="1:31" ht="14.4" x14ac:dyDescent="0.3">
      <c r="A27" s="96" t="s">
        <v>502</v>
      </c>
      <c r="B27" s="96"/>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row>
    <row r="28" spans="1:31" ht="14.4" x14ac:dyDescent="0.3">
      <c r="A28" t="s">
        <v>503</v>
      </c>
    </row>
    <row r="29" spans="1:31" ht="14.4" x14ac:dyDescent="0.3">
      <c r="A29" t="s">
        <v>504</v>
      </c>
    </row>
    <row r="30" spans="1:31" ht="14.4" x14ac:dyDescent="0.3"/>
    <row r="31" spans="1:31" ht="15.6" x14ac:dyDescent="0.3">
      <c r="A31" s="45"/>
      <c r="B31" s="96" t="s">
        <v>505</v>
      </c>
      <c r="C31" s="96" t="s">
        <v>506</v>
      </c>
      <c r="D31" s="96"/>
      <c r="E31" s="96"/>
      <c r="F31" s="96"/>
      <c r="G31" s="96"/>
      <c r="H31" s="96"/>
    </row>
    <row r="32" spans="1:31" ht="15.6" x14ac:dyDescent="0.3">
      <c r="A32" s="45"/>
      <c r="B32" s="98" t="s">
        <v>434</v>
      </c>
      <c r="C32" s="98" t="s">
        <v>507</v>
      </c>
      <c r="D32" s="98" t="s">
        <v>508</v>
      </c>
      <c r="E32" s="98" t="s">
        <v>509</v>
      </c>
      <c r="F32" s="96"/>
      <c r="G32" t="s">
        <v>510</v>
      </c>
    </row>
    <row r="33" spans="1:7" ht="15.6" x14ac:dyDescent="0.3">
      <c r="A33" s="45"/>
      <c r="B33" s="96" t="s">
        <v>511</v>
      </c>
      <c r="C33" s="96">
        <v>0.86499999999999999</v>
      </c>
      <c r="D33" s="96">
        <v>0.13</v>
      </c>
      <c r="E33" s="96">
        <v>5.0000000000000001E-3</v>
      </c>
      <c r="F33">
        <f>((C33*6)+(D33*10)+(E33*26))</f>
        <v>6.6199999999999992</v>
      </c>
      <c r="G33">
        <f>F33-2</f>
        <v>4.6199999999999992</v>
      </c>
    </row>
    <row r="34" spans="1:7" ht="15.6" x14ac:dyDescent="0.3">
      <c r="A34" s="45"/>
      <c r="B34" s="96" t="s">
        <v>512</v>
      </c>
      <c r="C34" s="96">
        <v>0.62</v>
      </c>
      <c r="D34" s="96">
        <v>0.35</v>
      </c>
      <c r="E34" s="96">
        <v>0.03</v>
      </c>
      <c r="F34">
        <f t="shared" ref="F34:F37" si="37">((C34*6)+(D34*10)+(E34*26))</f>
        <v>8</v>
      </c>
    </row>
    <row r="35" spans="1:7" ht="15.6" x14ac:dyDescent="0.3">
      <c r="A35" s="45"/>
      <c r="B35" s="96" t="s">
        <v>513</v>
      </c>
      <c r="C35" s="96">
        <v>0.55000000000000004</v>
      </c>
      <c r="D35" s="96">
        <v>0.42</v>
      </c>
      <c r="E35" s="96">
        <v>0.03</v>
      </c>
      <c r="F35">
        <f t="shared" si="37"/>
        <v>8.2799999999999994</v>
      </c>
    </row>
    <row r="36" spans="1:7" ht="14.4" x14ac:dyDescent="0.3">
      <c r="B36" s="96" t="s">
        <v>514</v>
      </c>
      <c r="C36" s="96">
        <v>0.56999999999999995</v>
      </c>
      <c r="D36" s="96">
        <v>0.4</v>
      </c>
      <c r="E36" s="96">
        <v>0.03</v>
      </c>
      <c r="F36">
        <f t="shared" si="37"/>
        <v>8.1999999999999993</v>
      </c>
    </row>
    <row r="37" spans="1:7" ht="14.4" x14ac:dyDescent="0.3">
      <c r="B37" s="96" t="s">
        <v>515</v>
      </c>
      <c r="C37" s="96">
        <v>0.38</v>
      </c>
      <c r="D37" s="96">
        <v>0.46</v>
      </c>
      <c r="E37" s="96">
        <v>0.16</v>
      </c>
      <c r="F37">
        <f t="shared" si="37"/>
        <v>11.040000000000001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27"/>
  <sheetViews>
    <sheetView zoomScale="90" zoomScaleNormal="90" workbookViewId="0">
      <pane xSplit="1" topLeftCell="K1" activePane="topRight" state="frozen"/>
      <selection pane="topRight" activeCell="R74" sqref="R74"/>
    </sheetView>
  </sheetViews>
  <sheetFormatPr defaultRowHeight="15" customHeight="1" x14ac:dyDescent="0.3"/>
  <cols>
    <col min="1" max="1" width="34.5546875" customWidth="1"/>
    <col min="2" max="2" width="8.5546875" style="2" customWidth="1"/>
    <col min="3" max="3" width="7.88671875" style="2" customWidth="1"/>
    <col min="4" max="4" width="8" style="2" customWidth="1"/>
    <col min="5" max="5" width="8.6640625" style="2" customWidth="1"/>
    <col min="6" max="6" width="8.44140625" style="2" customWidth="1"/>
    <col min="7" max="7" width="8.88671875" style="2" customWidth="1"/>
    <col min="8" max="8" width="8.44140625" style="2" customWidth="1"/>
    <col min="9" max="9" width="8" style="2" customWidth="1"/>
    <col min="10" max="10" width="8.33203125" style="2" customWidth="1"/>
    <col min="11" max="11" width="11" style="2" customWidth="1"/>
    <col min="12" max="12" width="7.44140625" style="2" customWidth="1"/>
    <col min="13" max="13" width="8.44140625" style="2" customWidth="1"/>
    <col min="14" max="14" width="9.109375" style="2" customWidth="1"/>
    <col min="15" max="15" width="7.88671875" style="2" customWidth="1"/>
    <col min="16" max="16" width="12.33203125" style="2" customWidth="1"/>
    <col min="17" max="17" width="39.44140625" style="282" customWidth="1"/>
    <col min="18" max="18" width="38.33203125" style="282" customWidth="1"/>
    <col min="19" max="19" width="21.109375" style="282" customWidth="1"/>
    <col min="20" max="20" width="14.88671875" style="282" customWidth="1"/>
    <col min="21" max="21" width="18.33203125" customWidth="1"/>
    <col min="22" max="22" width="18.5546875" customWidth="1"/>
    <col min="23" max="23" width="10.33203125" bestFit="1" customWidth="1"/>
    <col min="24" max="24" width="9.33203125" bestFit="1" customWidth="1"/>
    <col min="25" max="25" width="14" bestFit="1" customWidth="1"/>
    <col min="27" max="27" width="9.33203125" bestFit="1" customWidth="1"/>
    <col min="28" max="28" width="14.5546875" customWidth="1"/>
  </cols>
  <sheetData>
    <row r="1" spans="1:70" ht="20.25" customHeight="1" x14ac:dyDescent="0.4">
      <c r="A1" s="30" t="s">
        <v>516</v>
      </c>
      <c r="H1" s="36" t="s">
        <v>517</v>
      </c>
      <c r="K1" s="2" t="s">
        <v>518</v>
      </c>
    </row>
    <row r="2" spans="1:70" ht="100.8" x14ac:dyDescent="0.3">
      <c r="A2" s="73"/>
      <c r="B2" s="86" t="s">
        <v>103</v>
      </c>
      <c r="C2" s="86" t="s">
        <v>104</v>
      </c>
      <c r="D2" s="86" t="s">
        <v>105</v>
      </c>
      <c r="E2" s="86" t="s">
        <v>106</v>
      </c>
      <c r="F2" s="86" t="s">
        <v>107</v>
      </c>
      <c r="G2" s="86" t="s">
        <v>108</v>
      </c>
      <c r="H2" s="86" t="s">
        <v>109</v>
      </c>
      <c r="I2" s="86" t="s">
        <v>110</v>
      </c>
      <c r="J2" s="86" t="s">
        <v>111</v>
      </c>
      <c r="K2" s="86" t="s">
        <v>112</v>
      </c>
      <c r="L2" s="86" t="s">
        <v>113</v>
      </c>
      <c r="M2" s="145" t="s">
        <v>114</v>
      </c>
      <c r="N2" s="145" t="s">
        <v>115</v>
      </c>
      <c r="O2" s="145" t="s">
        <v>466</v>
      </c>
      <c r="P2" s="145" t="s">
        <v>101</v>
      </c>
      <c r="Q2" s="283" t="s">
        <v>519</v>
      </c>
      <c r="R2" s="283" t="s">
        <v>410</v>
      </c>
      <c r="S2" s="303" t="s">
        <v>520</v>
      </c>
      <c r="T2" s="301"/>
      <c r="U2" s="3"/>
      <c r="V2" s="3"/>
      <c r="Y2" s="82"/>
    </row>
    <row r="3" spans="1:70" s="5" customFormat="1" ht="28.8" x14ac:dyDescent="0.3">
      <c r="A3" s="32" t="s">
        <v>521</v>
      </c>
      <c r="B3" s="33">
        <f>B12+B4</f>
        <v>0.27635718854385533</v>
      </c>
      <c r="C3" s="33">
        <f t="shared" ref="C3:P3" si="0">C12+C4</f>
        <v>0.26296581066611557</v>
      </c>
      <c r="D3" s="33">
        <f t="shared" si="0"/>
        <v>0.29729369431680758</v>
      </c>
      <c r="E3" s="33">
        <f t="shared" si="0"/>
        <v>0.30178881582705974</v>
      </c>
      <c r="F3" s="33">
        <f t="shared" si="0"/>
        <v>0.31897507929353702</v>
      </c>
      <c r="G3" s="33">
        <f t="shared" si="0"/>
        <v>0.26889664544503128</v>
      </c>
      <c r="H3" s="33">
        <f t="shared" si="0"/>
        <v>0.36009616570204117</v>
      </c>
      <c r="I3" s="33">
        <f t="shared" si="0"/>
        <v>0.26782279867870784</v>
      </c>
      <c r="J3" s="33">
        <f t="shared" si="0"/>
        <v>0.34836608014586606</v>
      </c>
      <c r="K3" s="33">
        <f t="shared" si="0"/>
        <v>0.24267784152091862</v>
      </c>
      <c r="L3" s="33">
        <f t="shared" si="0"/>
        <v>0.2232616405316008</v>
      </c>
      <c r="M3" s="33">
        <f t="shared" si="0"/>
        <v>0.25015952913919415</v>
      </c>
      <c r="N3" s="33"/>
      <c r="O3" s="146">
        <f t="shared" si="0"/>
        <v>3.3131844661466825E-4</v>
      </c>
      <c r="P3" s="33">
        <f t="shared" si="0"/>
        <v>1.6565922330733409</v>
      </c>
      <c r="Q3" s="324"/>
      <c r="R3" s="283"/>
      <c r="S3" s="304" t="s">
        <v>522</v>
      </c>
      <c r="T3" s="309" t="s">
        <v>523</v>
      </c>
      <c r="U3" s="37" t="s">
        <v>524</v>
      </c>
      <c r="V3" s="37" t="s">
        <v>525</v>
      </c>
      <c r="W3" s="37"/>
      <c r="X3"/>
      <c r="Y3" s="82"/>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row>
    <row r="4" spans="1:70" ht="15.75" customHeight="1" x14ac:dyDescent="0.3">
      <c r="A4" s="26" t="s">
        <v>526</v>
      </c>
      <c r="B4" s="25">
        <f>B7*B6*B5*100</f>
        <v>2.8314794803709093E-2</v>
      </c>
      <c r="C4" s="25">
        <f t="shared" ref="C4:P4" si="1">C7*C6*C5*100</f>
        <v>3.4639607197621977E-2</v>
      </c>
      <c r="D4" s="25">
        <f t="shared" si="1"/>
        <v>3.2896857033354966E-2</v>
      </c>
      <c r="E4" s="25">
        <f t="shared" si="1"/>
        <v>3.4757095972741098E-2</v>
      </c>
      <c r="F4" s="25">
        <f t="shared" si="1"/>
        <v>3.7224360250242727E-2</v>
      </c>
      <c r="G4" s="25">
        <f t="shared" si="1"/>
        <v>3.6754405149766224E-2</v>
      </c>
      <c r="H4" s="25">
        <f t="shared" si="1"/>
        <v>3.7459337800480975E-2</v>
      </c>
      <c r="I4" s="25">
        <f t="shared" si="1"/>
        <v>3.3954256009427093E-2</v>
      </c>
      <c r="J4" s="25">
        <f t="shared" si="1"/>
        <v>4.2628843905722476E-2</v>
      </c>
      <c r="K4" s="25">
        <f t="shared" si="1"/>
        <v>3.452211842250285E-2</v>
      </c>
      <c r="L4" s="25">
        <f t="shared" si="1"/>
        <v>3.1369502956806336E-2</v>
      </c>
      <c r="M4" s="25">
        <f t="shared" si="1"/>
        <v>3.5462028623455849E-2</v>
      </c>
      <c r="N4" s="25"/>
      <c r="O4" s="161">
        <f t="shared" si="1"/>
        <v>5.8744387559562437E-5</v>
      </c>
      <c r="P4" s="25">
        <f t="shared" si="1"/>
        <v>0.29372193779781214</v>
      </c>
      <c r="Q4" s="283"/>
      <c r="R4" s="283"/>
      <c r="S4" s="305" t="s">
        <v>527</v>
      </c>
      <c r="T4" s="283">
        <v>1</v>
      </c>
      <c r="U4">
        <v>400</v>
      </c>
      <c r="V4">
        <f>T4*U4*0.7</f>
        <v>280</v>
      </c>
      <c r="W4">
        <f>T4/V6</f>
        <v>6.6445182724252495E-4</v>
      </c>
      <c r="Y4" s="82"/>
      <c r="AA4" s="27"/>
      <c r="AB4" s="27"/>
    </row>
    <row r="5" spans="1:70" ht="14.4" x14ac:dyDescent="0.3">
      <c r="A5" s="20" t="s">
        <v>528</v>
      </c>
      <c r="B5" s="18">
        <f>(2*(B8+B9+B11))+B10</f>
        <v>0.48199999999999998</v>
      </c>
      <c r="C5" s="18">
        <f t="shared" ref="C5:P5" si="2">(2*(C8+C9+C11))+C10</f>
        <v>0.58966666666666656</v>
      </c>
      <c r="D5" s="18">
        <f t="shared" si="2"/>
        <v>0.56000000000000005</v>
      </c>
      <c r="E5" s="18">
        <f t="shared" si="2"/>
        <v>0.59166666666666656</v>
      </c>
      <c r="F5" s="18">
        <f t="shared" si="2"/>
        <v>0.6336666666666666</v>
      </c>
      <c r="G5" s="18">
        <f t="shared" si="2"/>
        <v>0.62566666666666659</v>
      </c>
      <c r="H5" s="18">
        <f t="shared" si="2"/>
        <v>0.6376666666666666</v>
      </c>
      <c r="I5" s="18">
        <f t="shared" si="2"/>
        <v>0.57800000000000007</v>
      </c>
      <c r="J5" s="18">
        <f t="shared" si="2"/>
        <v>0.72566666666666668</v>
      </c>
      <c r="K5" s="18">
        <f t="shared" si="2"/>
        <v>0.58766666666666656</v>
      </c>
      <c r="L5" s="18">
        <f t="shared" si="2"/>
        <v>0.53400000000000003</v>
      </c>
      <c r="M5" s="18">
        <f t="shared" si="2"/>
        <v>0.60366666666666657</v>
      </c>
      <c r="N5" s="18"/>
      <c r="O5" s="18">
        <f t="shared" si="2"/>
        <v>1E-3</v>
      </c>
      <c r="P5" s="18">
        <f t="shared" si="2"/>
        <v>5</v>
      </c>
      <c r="Q5" s="283"/>
      <c r="R5" s="283"/>
      <c r="S5" s="305" t="s">
        <v>529</v>
      </c>
      <c r="T5" s="283">
        <v>5</v>
      </c>
      <c r="U5">
        <v>350</v>
      </c>
      <c r="V5">
        <f>T5*U5*0.7</f>
        <v>1225</v>
      </c>
      <c r="W5">
        <f>T5/V6</f>
        <v>3.3222591362126247E-3</v>
      </c>
      <c r="Y5" s="82"/>
      <c r="AA5" s="27"/>
      <c r="AB5" s="27"/>
    </row>
    <row r="6" spans="1:70" ht="14.4" x14ac:dyDescent="0.3">
      <c r="A6" s="20" t="s">
        <v>530</v>
      </c>
      <c r="B6" s="19">
        <f>'Ability OLD'!$B$5</f>
        <v>0.88410303277141455</v>
      </c>
      <c r="C6" s="19">
        <f>'Ability OLD'!$B$5</f>
        <v>0.88410303277141455</v>
      </c>
      <c r="D6" s="19">
        <f>'Ability OLD'!$B$5</f>
        <v>0.88410303277141455</v>
      </c>
      <c r="E6" s="19">
        <f>'Ability OLD'!$B$5</f>
        <v>0.88410303277141455</v>
      </c>
      <c r="F6" s="19">
        <f>'Ability OLD'!$B$5</f>
        <v>0.88410303277141455</v>
      </c>
      <c r="G6" s="19">
        <f>'Ability OLD'!$B$5</f>
        <v>0.88410303277141455</v>
      </c>
      <c r="H6" s="19">
        <f>'Ability OLD'!$B$5</f>
        <v>0.88410303277141455</v>
      </c>
      <c r="I6" s="19">
        <f>'Ability OLD'!$B$5</f>
        <v>0.88410303277141455</v>
      </c>
      <c r="J6" s="19">
        <f>'Ability OLD'!$B$5</f>
        <v>0.88410303277141455</v>
      </c>
      <c r="K6" s="19">
        <f>'Ability OLD'!$B$5</f>
        <v>0.88410303277141455</v>
      </c>
      <c r="L6" s="19">
        <f>'Ability OLD'!$B$5</f>
        <v>0.88410303277141455</v>
      </c>
      <c r="M6" s="19">
        <f>'Ability OLD'!$B$5</f>
        <v>0.88410303277141455</v>
      </c>
      <c r="N6" s="19"/>
      <c r="O6" s="19">
        <f>'Ability OLD'!$B$5</f>
        <v>0.88410303277141455</v>
      </c>
      <c r="P6" s="19">
        <f>'Ability OLD'!$B$5</f>
        <v>0.88410303277141455</v>
      </c>
      <c r="Q6" s="284" t="s">
        <v>531</v>
      </c>
      <c r="R6" s="283"/>
      <c r="S6" s="306" t="s">
        <v>532</v>
      </c>
      <c r="T6" s="310"/>
      <c r="U6" s="83"/>
      <c r="V6" s="83">
        <f>V4+V5</f>
        <v>1505</v>
      </c>
      <c r="W6" s="83" t="s">
        <v>533</v>
      </c>
      <c r="X6" s="83"/>
      <c r="Y6" s="84"/>
      <c r="AA6" s="27"/>
      <c r="AB6" s="27"/>
    </row>
    <row r="7" spans="1:70" ht="43.2" x14ac:dyDescent="0.3">
      <c r="A7" s="20" t="s">
        <v>534</v>
      </c>
      <c r="B7" s="153">
        <f>$W$4</f>
        <v>6.6445182724252495E-4</v>
      </c>
      <c r="C7" s="153">
        <f t="shared" ref="C7:P7" si="3">$W$4</f>
        <v>6.6445182724252495E-4</v>
      </c>
      <c r="D7" s="153">
        <f t="shared" si="3"/>
        <v>6.6445182724252495E-4</v>
      </c>
      <c r="E7" s="153">
        <f t="shared" si="3"/>
        <v>6.6445182724252495E-4</v>
      </c>
      <c r="F7" s="153">
        <f t="shared" si="3"/>
        <v>6.6445182724252495E-4</v>
      </c>
      <c r="G7" s="153">
        <f t="shared" si="3"/>
        <v>6.6445182724252495E-4</v>
      </c>
      <c r="H7" s="153">
        <f t="shared" si="3"/>
        <v>6.6445182724252495E-4</v>
      </c>
      <c r="I7" s="153">
        <f t="shared" si="3"/>
        <v>6.6445182724252495E-4</v>
      </c>
      <c r="J7" s="153">
        <f t="shared" si="3"/>
        <v>6.6445182724252495E-4</v>
      </c>
      <c r="K7" s="153">
        <f t="shared" si="3"/>
        <v>6.6445182724252495E-4</v>
      </c>
      <c r="L7" s="153">
        <f t="shared" si="3"/>
        <v>6.6445182724252495E-4</v>
      </c>
      <c r="M7" s="153">
        <f t="shared" si="3"/>
        <v>6.6445182724252495E-4</v>
      </c>
      <c r="N7" s="153"/>
      <c r="O7" s="153">
        <f t="shared" si="3"/>
        <v>6.6445182724252495E-4</v>
      </c>
      <c r="P7" s="153">
        <f t="shared" si="3"/>
        <v>6.6445182724252495E-4</v>
      </c>
      <c r="Q7" s="285" t="s">
        <v>535</v>
      </c>
      <c r="R7" s="283" t="s">
        <v>536</v>
      </c>
      <c r="S7" s="307"/>
      <c r="T7" s="311"/>
      <c r="U7" s="3"/>
      <c r="V7" s="28"/>
      <c r="W7" s="27"/>
      <c r="X7" s="31"/>
      <c r="Y7" s="27"/>
      <c r="Z7" s="27"/>
      <c r="AA7" s="27"/>
      <c r="AB7" s="27"/>
    </row>
    <row r="8" spans="1:70" ht="43.2" x14ac:dyDescent="0.3">
      <c r="A8" s="20" t="s">
        <v>537</v>
      </c>
      <c r="B8" s="159">
        <v>0.03</v>
      </c>
      <c r="C8" s="159">
        <v>0.03</v>
      </c>
      <c r="D8" s="159">
        <v>0.03</v>
      </c>
      <c r="E8" s="159">
        <v>0.03</v>
      </c>
      <c r="F8" s="159">
        <v>0.03</v>
      </c>
      <c r="G8" s="159">
        <v>0.03</v>
      </c>
      <c r="H8" s="159">
        <v>0.03</v>
      </c>
      <c r="I8" s="159">
        <v>0.03</v>
      </c>
      <c r="J8" s="159">
        <v>0.03</v>
      </c>
      <c r="K8" s="159">
        <v>0.03</v>
      </c>
      <c r="L8" s="159">
        <v>0.03</v>
      </c>
      <c r="M8" s="159">
        <v>0.03</v>
      </c>
      <c r="N8" s="77"/>
      <c r="O8" s="77">
        <v>0</v>
      </c>
      <c r="P8" s="77">
        <v>0.5</v>
      </c>
      <c r="Q8" s="286" t="s">
        <v>538</v>
      </c>
      <c r="R8" s="288" t="s">
        <v>539</v>
      </c>
      <c r="S8" s="307"/>
      <c r="T8" s="311"/>
      <c r="U8" s="3"/>
      <c r="V8" s="28"/>
      <c r="W8" s="27"/>
      <c r="X8" s="27"/>
      <c r="Y8" s="27"/>
      <c r="Z8" s="27"/>
      <c r="AA8" s="27"/>
      <c r="AB8" s="27"/>
    </row>
    <row r="9" spans="1:70" ht="100.8" x14ac:dyDescent="0.3">
      <c r="A9" s="20" t="s">
        <v>540</v>
      </c>
      <c r="B9" s="77">
        <v>0.04</v>
      </c>
      <c r="C9" s="77">
        <v>0.04</v>
      </c>
      <c r="D9" s="77">
        <v>0.04</v>
      </c>
      <c r="E9" s="77">
        <v>0.04</v>
      </c>
      <c r="F9" s="77">
        <v>0.04</v>
      </c>
      <c r="G9" s="77">
        <v>0.04</v>
      </c>
      <c r="H9" s="77">
        <v>0.04</v>
      </c>
      <c r="I9" s="77">
        <v>0.04</v>
      </c>
      <c r="J9" s="77">
        <v>0.04</v>
      </c>
      <c r="K9" s="77">
        <v>0.04</v>
      </c>
      <c r="L9" s="77">
        <v>0.04</v>
      </c>
      <c r="M9" s="77">
        <v>0.04</v>
      </c>
      <c r="N9" s="77"/>
      <c r="O9" s="77">
        <v>0</v>
      </c>
      <c r="P9" s="77">
        <v>0.5</v>
      </c>
      <c r="Q9" s="287" t="s">
        <v>541</v>
      </c>
      <c r="R9" s="287" t="s">
        <v>539</v>
      </c>
      <c r="S9" s="288" t="s">
        <v>542</v>
      </c>
      <c r="T9" s="311"/>
      <c r="U9" s="3"/>
      <c r="V9" s="28"/>
      <c r="W9" s="27"/>
      <c r="X9" s="27"/>
      <c r="Y9" s="27"/>
      <c r="Z9" s="27"/>
      <c r="AA9" s="27"/>
      <c r="AB9" s="27"/>
    </row>
    <row r="10" spans="1:70" ht="14.4" x14ac:dyDescent="0.3">
      <c r="A10" s="20" t="s">
        <v>543</v>
      </c>
      <c r="B10" s="2">
        <f>Slaughter_OLD!$C$6</f>
        <v>0.25</v>
      </c>
      <c r="C10" s="51">
        <f>Slaughter_OLD!$E$6</f>
        <v>0.34166666666666662</v>
      </c>
      <c r="D10" s="51">
        <f>Slaughter_OLD!$G$6</f>
        <v>0.25</v>
      </c>
      <c r="E10" s="51">
        <f>Slaughter_OLD!$I$6</f>
        <v>0.34166666666666662</v>
      </c>
      <c r="F10" s="51">
        <f>Slaughter_OLD!$K$6</f>
        <v>0.34166666666666662</v>
      </c>
      <c r="G10" s="51">
        <f>Slaughter_OLD!$M$6</f>
        <v>0.34166666666666662</v>
      </c>
      <c r="H10" s="51">
        <f>Slaughter_OLD!$O$6</f>
        <v>0.34166666666666662</v>
      </c>
      <c r="I10" s="51">
        <f>Slaughter_OLD!$Q$6</f>
        <v>0.25</v>
      </c>
      <c r="J10" s="51">
        <f>Slaughter_OLD!$S$6</f>
        <v>0.34166666666666662</v>
      </c>
      <c r="K10" s="51">
        <f>Slaughter_OLD!$U$6</f>
        <v>0.34166666666666662</v>
      </c>
      <c r="L10" s="51">
        <f>Slaughter_OLD!$W$6</f>
        <v>0.25</v>
      </c>
      <c r="M10" s="51">
        <f>Slaughter_OLD!$Y$6</f>
        <v>0.34166666666666662</v>
      </c>
      <c r="N10" s="51"/>
      <c r="O10" s="18">
        <v>1E-3</v>
      </c>
      <c r="P10" s="51">
        <v>1</v>
      </c>
      <c r="R10" s="282" t="s">
        <v>544</v>
      </c>
      <c r="S10" s="307" t="s">
        <v>545</v>
      </c>
      <c r="T10" s="311"/>
      <c r="U10" s="3"/>
      <c r="V10" s="28"/>
      <c r="W10" s="27"/>
      <c r="X10" s="27"/>
      <c r="Y10" s="29"/>
      <c r="Z10" s="27"/>
      <c r="AA10" s="27"/>
      <c r="AB10" s="27"/>
    </row>
    <row r="11" spans="1:70" ht="43.2" x14ac:dyDescent="0.3">
      <c r="A11" s="21" t="s">
        <v>546</v>
      </c>
      <c r="B11" s="77">
        <v>4.5999999999999999E-2</v>
      </c>
      <c r="C11" s="77">
        <v>5.3999999999999999E-2</v>
      </c>
      <c r="D11" s="77">
        <v>8.5000000000000006E-2</v>
      </c>
      <c r="E11" s="77">
        <v>5.5E-2</v>
      </c>
      <c r="F11" s="77">
        <v>7.5999999999999998E-2</v>
      </c>
      <c r="G11" s="77">
        <v>7.1999999999999995E-2</v>
      </c>
      <c r="H11" s="77">
        <v>7.8E-2</v>
      </c>
      <c r="I11" s="77">
        <v>9.4E-2</v>
      </c>
      <c r="J11" s="77">
        <v>0.122</v>
      </c>
      <c r="K11" s="77">
        <v>5.2999999999999999E-2</v>
      </c>
      <c r="L11" s="77">
        <v>7.1999999999999995E-2</v>
      </c>
      <c r="M11" s="77">
        <v>6.0999999999999999E-2</v>
      </c>
      <c r="N11" s="77"/>
      <c r="O11" s="77">
        <v>0</v>
      </c>
      <c r="P11" s="77">
        <v>1</v>
      </c>
      <c r="Q11" s="283" t="s">
        <v>547</v>
      </c>
      <c r="R11" s="285"/>
      <c r="S11" s="307"/>
      <c r="T11" s="311"/>
      <c r="U11" s="3"/>
      <c r="V11" s="28"/>
      <c r="W11" s="27"/>
      <c r="X11" s="27"/>
      <c r="Y11" s="27"/>
      <c r="Z11" s="27"/>
      <c r="AA11" s="27"/>
      <c r="AB11" s="27"/>
    </row>
    <row r="12" spans="1:70" ht="14.4" x14ac:dyDescent="0.3">
      <c r="A12" s="26" t="s">
        <v>548</v>
      </c>
      <c r="B12" s="25">
        <f>B15*B14*B13*100</f>
        <v>0.24804239374014622</v>
      </c>
      <c r="C12" s="25">
        <f t="shared" ref="C12:P12" si="4">C15*C14*C13*100</f>
        <v>0.22832620346849358</v>
      </c>
      <c r="D12" s="25">
        <f t="shared" si="4"/>
        <v>0.26439683728345259</v>
      </c>
      <c r="E12" s="25">
        <f t="shared" si="4"/>
        <v>0.26703171985431862</v>
      </c>
      <c r="F12" s="25">
        <f t="shared" si="4"/>
        <v>0.2817507190432943</v>
      </c>
      <c r="G12" s="25">
        <f t="shared" si="4"/>
        <v>0.23214224029526503</v>
      </c>
      <c r="H12" s="25">
        <f t="shared" si="4"/>
        <v>0.32263682790156017</v>
      </c>
      <c r="I12" s="25">
        <f t="shared" si="4"/>
        <v>0.23386854266928075</v>
      </c>
      <c r="J12" s="25">
        <f t="shared" si="4"/>
        <v>0.3057372362401436</v>
      </c>
      <c r="K12" s="25">
        <f t="shared" si="4"/>
        <v>0.20815572309841576</v>
      </c>
      <c r="L12" s="25">
        <f t="shared" si="4"/>
        <v>0.19189213757479445</v>
      </c>
      <c r="M12" s="25">
        <f t="shared" si="4"/>
        <v>0.2146975005157383</v>
      </c>
      <c r="N12" s="25"/>
      <c r="O12" s="161">
        <f t="shared" si="4"/>
        <v>2.7257405905510579E-4</v>
      </c>
      <c r="P12" s="25">
        <f t="shared" si="4"/>
        <v>1.3628702952755287</v>
      </c>
      <c r="Q12" s="283"/>
      <c r="R12" s="283"/>
      <c r="S12" s="283"/>
      <c r="T12" s="283"/>
      <c r="U12" s="3"/>
      <c r="V12" s="3"/>
    </row>
    <row r="13" spans="1:70" ht="14.4" x14ac:dyDescent="0.3">
      <c r="A13" s="20" t="s">
        <v>549</v>
      </c>
      <c r="B13" s="18">
        <f>(2*(B16+B17+B19))+B18</f>
        <v>0.90999999999999992</v>
      </c>
      <c r="C13" s="18">
        <f t="shared" ref="C13:P13" si="5">(2*(C16+C17+C19))+C18</f>
        <v>0.83766666666666656</v>
      </c>
      <c r="D13" s="18">
        <f t="shared" si="5"/>
        <v>0.97</v>
      </c>
      <c r="E13" s="18">
        <f t="shared" si="5"/>
        <v>0.97966666666666669</v>
      </c>
      <c r="F13" s="18">
        <f t="shared" si="5"/>
        <v>1.0336666666666665</v>
      </c>
      <c r="G13" s="18">
        <f t="shared" si="5"/>
        <v>0.85166666666666657</v>
      </c>
      <c r="H13" s="18">
        <f t="shared" si="5"/>
        <v>1.1836666666666666</v>
      </c>
      <c r="I13" s="18">
        <f t="shared" si="5"/>
        <v>0.85799999999999998</v>
      </c>
      <c r="J13" s="18">
        <f t="shared" si="5"/>
        <v>1.1216666666666666</v>
      </c>
      <c r="K13" s="18">
        <f t="shared" si="5"/>
        <v>0.7636666666666666</v>
      </c>
      <c r="L13" s="18">
        <f t="shared" si="5"/>
        <v>0.70399999999999996</v>
      </c>
      <c r="M13" s="18">
        <f t="shared" si="5"/>
        <v>0.78766666666666663</v>
      </c>
      <c r="N13" s="18"/>
      <c r="O13" s="18">
        <f t="shared" si="5"/>
        <v>1E-3</v>
      </c>
      <c r="P13" s="18">
        <f t="shared" si="5"/>
        <v>5</v>
      </c>
      <c r="Q13" s="283"/>
      <c r="R13" s="283"/>
      <c r="S13" s="283"/>
      <c r="T13" s="283"/>
    </row>
    <row r="14" spans="1:70" ht="14.4" x14ac:dyDescent="0.3">
      <c r="A14" s="20" t="s">
        <v>550</v>
      </c>
      <c r="B14" s="19">
        <f>'Ability OLD'!$B$6</f>
        <v>0.82044791775586834</v>
      </c>
      <c r="C14" s="19">
        <f>'Ability OLD'!$B$6</f>
        <v>0.82044791775586834</v>
      </c>
      <c r="D14" s="19">
        <f>'Ability OLD'!$B$6</f>
        <v>0.82044791775586834</v>
      </c>
      <c r="E14" s="19">
        <f>'Ability OLD'!$B$6</f>
        <v>0.82044791775586834</v>
      </c>
      <c r="F14" s="19">
        <f>'Ability OLD'!$B$6</f>
        <v>0.82044791775586834</v>
      </c>
      <c r="G14" s="19">
        <f>'Ability OLD'!$B$6</f>
        <v>0.82044791775586834</v>
      </c>
      <c r="H14" s="19">
        <f>'Ability OLD'!$B$6</f>
        <v>0.82044791775586834</v>
      </c>
      <c r="I14" s="19">
        <f>'Ability OLD'!$B$6</f>
        <v>0.82044791775586834</v>
      </c>
      <c r="J14" s="19">
        <f>'Ability OLD'!$B$6</f>
        <v>0.82044791775586834</v>
      </c>
      <c r="K14" s="19">
        <f>'Ability OLD'!$B$6</f>
        <v>0.82044791775586834</v>
      </c>
      <c r="L14" s="19">
        <f>'Ability OLD'!$B$6</f>
        <v>0.82044791775586834</v>
      </c>
      <c r="M14" s="19">
        <f>'Ability OLD'!$B$6</f>
        <v>0.82044791775586834</v>
      </c>
      <c r="N14" s="18"/>
      <c r="O14" s="18">
        <f>'Ability OLD'!$B$6</f>
        <v>0.82044791775586834</v>
      </c>
      <c r="P14" s="18">
        <f>'Ability OLD'!$B$6</f>
        <v>0.82044791775586834</v>
      </c>
      <c r="Q14" s="283"/>
      <c r="R14" s="283"/>
      <c r="S14" s="283"/>
      <c r="T14" s="283"/>
    </row>
    <row r="15" spans="1:70" ht="14.4" x14ac:dyDescent="0.3">
      <c r="A15" s="20" t="s">
        <v>551</v>
      </c>
      <c r="B15" s="39">
        <f>$W$5</f>
        <v>3.3222591362126247E-3</v>
      </c>
      <c r="C15" s="39">
        <f t="shared" ref="C15:P15" si="6">$W$5</f>
        <v>3.3222591362126247E-3</v>
      </c>
      <c r="D15" s="39">
        <f t="shared" si="6"/>
        <v>3.3222591362126247E-3</v>
      </c>
      <c r="E15" s="39">
        <f t="shared" si="6"/>
        <v>3.3222591362126247E-3</v>
      </c>
      <c r="F15" s="39">
        <f t="shared" si="6"/>
        <v>3.3222591362126247E-3</v>
      </c>
      <c r="G15" s="39">
        <f t="shared" si="6"/>
        <v>3.3222591362126247E-3</v>
      </c>
      <c r="H15" s="39">
        <f t="shared" si="6"/>
        <v>3.3222591362126247E-3</v>
      </c>
      <c r="I15" s="39">
        <f t="shared" si="6"/>
        <v>3.3222591362126247E-3</v>
      </c>
      <c r="J15" s="39">
        <f t="shared" si="6"/>
        <v>3.3222591362126247E-3</v>
      </c>
      <c r="K15" s="39">
        <f t="shared" si="6"/>
        <v>3.3222591362126247E-3</v>
      </c>
      <c r="L15" s="39">
        <f t="shared" si="6"/>
        <v>3.3222591362126247E-3</v>
      </c>
      <c r="M15" s="39">
        <f t="shared" si="6"/>
        <v>3.3222591362126247E-3</v>
      </c>
      <c r="N15" s="39"/>
      <c r="O15" s="39">
        <f t="shared" si="6"/>
        <v>3.3222591362126247E-3</v>
      </c>
      <c r="P15" s="39">
        <f t="shared" si="6"/>
        <v>3.3222591362126247E-3</v>
      </c>
      <c r="Q15" s="285"/>
      <c r="R15" s="285"/>
      <c r="S15" s="307"/>
      <c r="T15" s="311"/>
    </row>
    <row r="16" spans="1:70" ht="158.4" x14ac:dyDescent="0.3">
      <c r="A16" s="20" t="s">
        <v>552</v>
      </c>
      <c r="B16" s="77">
        <v>4.2000000000000003E-2</v>
      </c>
      <c r="C16" s="77">
        <v>4.2000000000000003E-2</v>
      </c>
      <c r="D16" s="77">
        <v>4.2000000000000003E-2</v>
      </c>
      <c r="E16" s="77">
        <v>4.2000000000000003E-2</v>
      </c>
      <c r="F16" s="77">
        <v>4.2000000000000003E-2</v>
      </c>
      <c r="G16" s="77">
        <v>4.2000000000000003E-2</v>
      </c>
      <c r="H16" s="77">
        <v>4.2000000000000003E-2</v>
      </c>
      <c r="I16" s="77">
        <v>4.2000000000000003E-2</v>
      </c>
      <c r="J16" s="77">
        <v>4.2000000000000003E-2</v>
      </c>
      <c r="K16" s="77">
        <v>4.2000000000000003E-2</v>
      </c>
      <c r="L16" s="77">
        <v>4.2000000000000003E-2</v>
      </c>
      <c r="M16" s="77">
        <v>4.2000000000000003E-2</v>
      </c>
      <c r="N16" s="77"/>
      <c r="O16" s="77">
        <v>0</v>
      </c>
      <c r="P16" s="77">
        <v>0.5</v>
      </c>
      <c r="Q16" s="287" t="s">
        <v>553</v>
      </c>
      <c r="R16" s="287" t="s">
        <v>554</v>
      </c>
      <c r="S16" s="288" t="s">
        <v>555</v>
      </c>
      <c r="T16" s="311"/>
    </row>
    <row r="17" spans="1:70" ht="72" x14ac:dyDescent="0.3">
      <c r="A17" s="20" t="s">
        <v>556</v>
      </c>
      <c r="B17" s="36">
        <v>0.05</v>
      </c>
      <c r="C17" s="36">
        <v>0.05</v>
      </c>
      <c r="D17" s="36">
        <v>0.05</v>
      </c>
      <c r="E17" s="36">
        <v>0.05</v>
      </c>
      <c r="F17" s="36">
        <v>0.05</v>
      </c>
      <c r="G17" s="36">
        <v>0.05</v>
      </c>
      <c r="H17" s="36">
        <v>0.05</v>
      </c>
      <c r="I17" s="36">
        <v>0.05</v>
      </c>
      <c r="J17" s="36">
        <v>0.05</v>
      </c>
      <c r="K17" s="36">
        <v>0.05</v>
      </c>
      <c r="L17" s="36">
        <v>0.05</v>
      </c>
      <c r="M17" s="36">
        <v>0.05</v>
      </c>
      <c r="N17" s="36"/>
      <c r="O17" s="36">
        <v>0</v>
      </c>
      <c r="P17" s="36">
        <v>0.5</v>
      </c>
      <c r="Q17" s="288" t="s">
        <v>557</v>
      </c>
      <c r="R17" s="287" t="s">
        <v>558</v>
      </c>
      <c r="S17" s="307"/>
      <c r="T17" s="311"/>
      <c r="U17" s="3"/>
      <c r="V17" s="3"/>
    </row>
    <row r="18" spans="1:70" ht="14.4" x14ac:dyDescent="0.3">
      <c r="A18" s="20" t="s">
        <v>559</v>
      </c>
      <c r="B18" s="2">
        <f>Slaughter_OLD!$C$6</f>
        <v>0.25</v>
      </c>
      <c r="C18" s="51">
        <f>Slaughter_OLD!$E$6</f>
        <v>0.34166666666666662</v>
      </c>
      <c r="D18" s="51">
        <f>Slaughter_OLD!$G$6</f>
        <v>0.25</v>
      </c>
      <c r="E18" s="51">
        <f>Slaughter_OLD!$I$6</f>
        <v>0.34166666666666662</v>
      </c>
      <c r="F18" s="51">
        <f>Slaughter_OLD!$K$6</f>
        <v>0.34166666666666662</v>
      </c>
      <c r="G18" s="51">
        <f>Slaughter_OLD!$M$6</f>
        <v>0.34166666666666662</v>
      </c>
      <c r="H18" s="51">
        <f>Slaughter_OLD!$O$6</f>
        <v>0.34166666666666662</v>
      </c>
      <c r="I18" s="51">
        <f>Slaughter_OLD!$Q$6</f>
        <v>0.25</v>
      </c>
      <c r="J18" s="51">
        <f>Slaughter_OLD!$S$6</f>
        <v>0.34166666666666662</v>
      </c>
      <c r="K18" s="51">
        <f>Slaughter_OLD!$U$6</f>
        <v>0.34166666666666662</v>
      </c>
      <c r="L18" s="51">
        <f>Slaughter_OLD!$W$6</f>
        <v>0.25</v>
      </c>
      <c r="M18" s="51">
        <f>Slaughter_OLD!$Y$6</f>
        <v>0.34166666666666662</v>
      </c>
      <c r="N18" s="51"/>
      <c r="O18" s="18">
        <v>1E-3</v>
      </c>
      <c r="P18" s="51">
        <v>1</v>
      </c>
      <c r="Q18" s="283"/>
      <c r="R18" s="282" t="s">
        <v>544</v>
      </c>
      <c r="S18" s="307"/>
      <c r="T18" s="311"/>
      <c r="U18" s="3"/>
      <c r="V18" s="3"/>
    </row>
    <row r="19" spans="1:70" ht="14.4" x14ac:dyDescent="0.3">
      <c r="A19" s="21" t="s">
        <v>560</v>
      </c>
      <c r="B19" s="127">
        <v>0.23799999999999999</v>
      </c>
      <c r="C19" s="127">
        <v>0.156</v>
      </c>
      <c r="D19" s="127">
        <v>0.26800000000000002</v>
      </c>
      <c r="E19" s="127">
        <v>0.22700000000000001</v>
      </c>
      <c r="F19" s="127">
        <v>0.254</v>
      </c>
      <c r="G19" s="127">
        <v>0.16300000000000001</v>
      </c>
      <c r="H19" s="127">
        <v>0.32900000000000001</v>
      </c>
      <c r="I19" s="127">
        <v>0.21199999999999999</v>
      </c>
      <c r="J19" s="127">
        <v>0.29799999999999999</v>
      </c>
      <c r="K19" s="127">
        <v>0.11899999999999999</v>
      </c>
      <c r="L19" s="127">
        <v>0.13500000000000001</v>
      </c>
      <c r="M19" s="77">
        <v>0.13100000000000001</v>
      </c>
      <c r="N19" s="77"/>
      <c r="O19" s="77">
        <v>0</v>
      </c>
      <c r="P19" s="77">
        <v>1</v>
      </c>
      <c r="Q19" s="283"/>
      <c r="R19" s="285"/>
      <c r="S19" s="307"/>
      <c r="T19" s="311"/>
      <c r="U19" s="3"/>
      <c r="V19" s="3"/>
    </row>
    <row r="20" spans="1:70" s="5" customFormat="1" ht="28.8" x14ac:dyDescent="0.3">
      <c r="A20" s="34" t="s">
        <v>561</v>
      </c>
      <c r="B20" s="35">
        <f>B23*B22*B21*100</f>
        <v>0.38593870051236046</v>
      </c>
      <c r="C20" s="35">
        <f t="shared" ref="C20:P20" si="7">C23*C22*C21*100</f>
        <v>0.49604281107519799</v>
      </c>
      <c r="D20" s="35">
        <f t="shared" si="7"/>
        <v>0.45091817559862518</v>
      </c>
      <c r="E20" s="35">
        <f t="shared" si="7"/>
        <v>0.49604281107519799</v>
      </c>
      <c r="F20" s="35">
        <f t="shared" si="7"/>
        <v>0.49604281107519799</v>
      </c>
      <c r="G20" s="35">
        <f t="shared" si="7"/>
        <v>0.49604281107519799</v>
      </c>
      <c r="H20" s="35">
        <f t="shared" si="7"/>
        <v>0.49604281107519799</v>
      </c>
      <c r="I20" s="35">
        <f t="shared" si="7"/>
        <v>0.45091817559862518</v>
      </c>
      <c r="J20" s="35">
        <f t="shared" si="7"/>
        <v>0.49604281107519799</v>
      </c>
      <c r="K20" s="35">
        <f t="shared" si="7"/>
        <v>0.49604281107519799</v>
      </c>
      <c r="L20" s="35">
        <f t="shared" si="7"/>
        <v>0.44599548809209</v>
      </c>
      <c r="M20" s="35">
        <f t="shared" si="7"/>
        <v>0.46749122353729378</v>
      </c>
      <c r="N20" s="35"/>
      <c r="O20" s="99">
        <f t="shared" si="7"/>
        <v>4.9226875065352103E-4</v>
      </c>
      <c r="P20" s="35">
        <f t="shared" si="7"/>
        <v>2.461343753267605</v>
      </c>
      <c r="Q20" s="288" t="s">
        <v>562</v>
      </c>
      <c r="R20" s="283"/>
      <c r="S20" s="307"/>
      <c r="T20" s="311"/>
      <c r="U20" s="3"/>
      <c r="V20" s="3"/>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row>
    <row r="21" spans="1:70" ht="14.4" x14ac:dyDescent="0.3">
      <c r="A21" s="20" t="s">
        <v>563</v>
      </c>
      <c r="B21" s="18">
        <f>(2*(B24+B25+B27))+B26</f>
        <v>0.78400000000000003</v>
      </c>
      <c r="C21" s="18">
        <f t="shared" ref="C21:P21" si="8">(2*(C24+C25+C27))+C26</f>
        <v>1.0076666666666667</v>
      </c>
      <c r="D21" s="18">
        <f t="shared" si="8"/>
        <v>0.91600000000000004</v>
      </c>
      <c r="E21" s="18">
        <f t="shared" si="8"/>
        <v>1.0076666666666667</v>
      </c>
      <c r="F21" s="18">
        <f t="shared" si="8"/>
        <v>1.0076666666666667</v>
      </c>
      <c r="G21" s="18">
        <f t="shared" si="8"/>
        <v>1.0076666666666667</v>
      </c>
      <c r="H21" s="18">
        <f t="shared" si="8"/>
        <v>1.0076666666666667</v>
      </c>
      <c r="I21" s="18">
        <f t="shared" si="8"/>
        <v>0.91600000000000004</v>
      </c>
      <c r="J21" s="18">
        <f t="shared" si="8"/>
        <v>1.0076666666666667</v>
      </c>
      <c r="K21" s="18">
        <f t="shared" si="8"/>
        <v>1.0076666666666667</v>
      </c>
      <c r="L21" s="18">
        <f t="shared" si="8"/>
        <v>0.90600000000000003</v>
      </c>
      <c r="M21" s="18">
        <f t="shared" si="8"/>
        <v>0.94966666666666666</v>
      </c>
      <c r="N21" s="18"/>
      <c r="O21" s="18">
        <f t="shared" si="8"/>
        <v>1E-3</v>
      </c>
      <c r="P21" s="18">
        <f t="shared" si="8"/>
        <v>5</v>
      </c>
      <c r="Q21" s="283"/>
      <c r="R21" s="283"/>
      <c r="S21" s="307"/>
      <c r="T21" s="311"/>
      <c r="U21" s="3"/>
      <c r="V21" s="3"/>
    </row>
    <row r="22" spans="1:70" ht="14.4" x14ac:dyDescent="0.3">
      <c r="A22" s="20" t="s">
        <v>564</v>
      </c>
      <c r="B22" s="18">
        <f>'Ability OLD'!$B$6</f>
        <v>0.82044791775586834</v>
      </c>
      <c r="C22" s="18">
        <f>'Ability OLD'!$B$6</f>
        <v>0.82044791775586834</v>
      </c>
      <c r="D22" s="18">
        <f>'Ability OLD'!$B$6</f>
        <v>0.82044791775586834</v>
      </c>
      <c r="E22" s="18">
        <f>'Ability OLD'!$B$6</f>
        <v>0.82044791775586834</v>
      </c>
      <c r="F22" s="18">
        <f>'Ability OLD'!$B$6</f>
        <v>0.82044791775586834</v>
      </c>
      <c r="G22" s="18">
        <f>'Ability OLD'!$B$6</f>
        <v>0.82044791775586834</v>
      </c>
      <c r="H22" s="18">
        <f>'Ability OLD'!$B$6</f>
        <v>0.82044791775586834</v>
      </c>
      <c r="I22" s="18">
        <f>'Ability OLD'!$B$6</f>
        <v>0.82044791775586834</v>
      </c>
      <c r="J22" s="18">
        <f>'Ability OLD'!$B$6</f>
        <v>0.82044791775586834</v>
      </c>
      <c r="K22" s="18">
        <f>'Ability OLD'!$B$6</f>
        <v>0.82044791775586834</v>
      </c>
      <c r="L22" s="18">
        <f>'Ability OLD'!$B$6</f>
        <v>0.82044791775586834</v>
      </c>
      <c r="M22" s="18">
        <f>'Ability OLD'!$B$6</f>
        <v>0.82044791775586834</v>
      </c>
      <c r="N22" s="18"/>
      <c r="O22" s="18">
        <f>'Ability OLD'!$B$6</f>
        <v>0.82044791775586834</v>
      </c>
      <c r="P22" s="18">
        <f>'Ability OLD'!$B$6</f>
        <v>0.82044791775586834</v>
      </c>
      <c r="Q22" s="285" t="s">
        <v>565</v>
      </c>
      <c r="R22" s="283"/>
      <c r="S22" s="307"/>
      <c r="T22" s="311">
        <f>(1+6.5/100)/(170*0.695)</f>
        <v>9.0139652983495556E-3</v>
      </c>
      <c r="U22" s="3"/>
      <c r="V22" s="3"/>
    </row>
    <row r="23" spans="1:70" ht="43.2" x14ac:dyDescent="0.3">
      <c r="A23" s="20" t="s">
        <v>566</v>
      </c>
      <c r="B23" s="38">
        <v>6.0000000000000001E-3</v>
      </c>
      <c r="C23" s="38">
        <v>6.0000000000000001E-3</v>
      </c>
      <c r="D23" s="38">
        <v>6.0000000000000001E-3</v>
      </c>
      <c r="E23" s="38">
        <v>6.0000000000000001E-3</v>
      </c>
      <c r="F23" s="38">
        <v>6.0000000000000001E-3</v>
      </c>
      <c r="G23" s="38">
        <v>6.0000000000000001E-3</v>
      </c>
      <c r="H23" s="38">
        <v>6.0000000000000001E-3</v>
      </c>
      <c r="I23" s="38">
        <v>6.0000000000000001E-3</v>
      </c>
      <c r="J23" s="38">
        <v>6.0000000000000001E-3</v>
      </c>
      <c r="K23" s="38">
        <v>6.0000000000000001E-3</v>
      </c>
      <c r="L23" s="38">
        <v>6.0000000000000001E-3</v>
      </c>
      <c r="M23" s="38">
        <v>6.0000000000000001E-3</v>
      </c>
      <c r="N23" s="38"/>
      <c r="O23" s="38">
        <v>6.0000000000000001E-3</v>
      </c>
      <c r="P23" s="38">
        <v>6.0000000000000001E-3</v>
      </c>
      <c r="Q23" s="283" t="s">
        <v>567</v>
      </c>
      <c r="R23" s="283"/>
      <c r="T23" s="283">
        <f>1/(240*0.7)</f>
        <v>5.9523809523809521E-3</v>
      </c>
      <c r="U23" s="3"/>
      <c r="V23" s="3"/>
    </row>
    <row r="24" spans="1:70" ht="144" x14ac:dyDescent="0.3">
      <c r="A24" s="20" t="s">
        <v>568</v>
      </c>
      <c r="B24" s="77">
        <v>6.5000000000000002E-2</v>
      </c>
      <c r="C24" s="77">
        <v>6.5000000000000002E-2</v>
      </c>
      <c r="D24" s="77">
        <v>6.5000000000000002E-2</v>
      </c>
      <c r="E24" s="77">
        <v>6.5000000000000002E-2</v>
      </c>
      <c r="F24" s="77">
        <v>6.5000000000000002E-2</v>
      </c>
      <c r="G24" s="77">
        <v>6.5000000000000002E-2</v>
      </c>
      <c r="H24" s="77">
        <v>6.5000000000000002E-2</v>
      </c>
      <c r="I24" s="77">
        <v>6.5000000000000002E-2</v>
      </c>
      <c r="J24" s="77">
        <v>6.5000000000000002E-2</v>
      </c>
      <c r="K24" s="77">
        <v>6.5000000000000002E-2</v>
      </c>
      <c r="L24" s="77">
        <v>6.5000000000000002E-2</v>
      </c>
      <c r="M24" s="77">
        <v>6.5000000000000002E-2</v>
      </c>
      <c r="N24" s="77"/>
      <c r="O24" s="77">
        <v>0</v>
      </c>
      <c r="P24" s="77">
        <v>0.5</v>
      </c>
      <c r="Q24" s="287" t="s">
        <v>569</v>
      </c>
      <c r="R24" s="287" t="s">
        <v>570</v>
      </c>
      <c r="S24" s="288" t="s">
        <v>571</v>
      </c>
      <c r="T24" s="311"/>
      <c r="U24" s="3"/>
      <c r="V24" s="3"/>
    </row>
    <row r="25" spans="1:70" ht="57.6" x14ac:dyDescent="0.3">
      <c r="A25" s="20" t="s">
        <v>572</v>
      </c>
      <c r="B25" s="36">
        <v>0.1</v>
      </c>
      <c r="C25" s="36">
        <v>0.1</v>
      </c>
      <c r="D25" s="36">
        <v>0.1</v>
      </c>
      <c r="E25" s="36">
        <v>0.1</v>
      </c>
      <c r="F25" s="36">
        <v>0.1</v>
      </c>
      <c r="G25" s="36">
        <v>0.1</v>
      </c>
      <c r="H25" s="36">
        <v>0.1</v>
      </c>
      <c r="I25" s="36">
        <v>0.1</v>
      </c>
      <c r="J25" s="36">
        <v>0.1</v>
      </c>
      <c r="K25" s="36">
        <v>0.1</v>
      </c>
      <c r="L25" s="36">
        <v>0.1</v>
      </c>
      <c r="M25" s="36">
        <v>0.1</v>
      </c>
      <c r="N25" s="36"/>
      <c r="O25" s="36">
        <v>0</v>
      </c>
      <c r="P25" s="36">
        <v>0.5</v>
      </c>
      <c r="Q25" s="288" t="s">
        <v>573</v>
      </c>
      <c r="R25" s="288" t="s">
        <v>574</v>
      </c>
      <c r="S25" s="307"/>
      <c r="T25" s="311"/>
      <c r="U25" s="3"/>
      <c r="V25" s="3"/>
    </row>
    <row r="26" spans="1:70" ht="14.4" x14ac:dyDescent="0.3">
      <c r="A26" s="20" t="s">
        <v>575</v>
      </c>
      <c r="B26" s="2">
        <f>Slaughter_OLD!$C$6</f>
        <v>0.25</v>
      </c>
      <c r="C26" s="51">
        <f>Slaughter_OLD!$E$6</f>
        <v>0.34166666666666662</v>
      </c>
      <c r="D26" s="51">
        <f>Slaughter_OLD!$G$6</f>
        <v>0.25</v>
      </c>
      <c r="E26" s="51">
        <f>Slaughter_OLD!$I$6</f>
        <v>0.34166666666666662</v>
      </c>
      <c r="F26" s="51">
        <f>Slaughter_OLD!$K$6</f>
        <v>0.34166666666666662</v>
      </c>
      <c r="G26" s="51">
        <f>Slaughter_OLD!$M$6</f>
        <v>0.34166666666666662</v>
      </c>
      <c r="H26" s="51">
        <f>Slaughter_OLD!$O$6</f>
        <v>0.34166666666666662</v>
      </c>
      <c r="I26" s="51">
        <f>Slaughter_OLD!$Q$6</f>
        <v>0.25</v>
      </c>
      <c r="J26" s="51">
        <f>Slaughter_OLD!$S$6</f>
        <v>0.34166666666666662</v>
      </c>
      <c r="K26" s="51">
        <f>Slaughter_OLD!$U$6</f>
        <v>0.34166666666666662</v>
      </c>
      <c r="L26" s="51">
        <f>Slaughter_OLD!$W$6</f>
        <v>0.25</v>
      </c>
      <c r="M26" s="51">
        <f>Slaughter_OLD!$Y$6</f>
        <v>0.34166666666666662</v>
      </c>
      <c r="N26" s="51"/>
      <c r="O26" s="18">
        <v>1E-3</v>
      </c>
      <c r="P26" s="51">
        <v>1</v>
      </c>
      <c r="Q26" s="283"/>
      <c r="R26" s="282" t="s">
        <v>544</v>
      </c>
      <c r="S26" s="307"/>
      <c r="T26" s="311"/>
      <c r="U26" s="3"/>
      <c r="V26" s="3"/>
    </row>
    <row r="27" spans="1:70" ht="14.4" x14ac:dyDescent="0.3">
      <c r="A27" s="21" t="s">
        <v>576</v>
      </c>
      <c r="B27" s="126">
        <v>0.10199999999999999</v>
      </c>
      <c r="C27" s="47">
        <v>0.16800000000000001</v>
      </c>
      <c r="D27" s="47">
        <v>0.16800000000000001</v>
      </c>
      <c r="E27" s="47">
        <v>0.16800000000000001</v>
      </c>
      <c r="F27" s="47">
        <v>0.16800000000000001</v>
      </c>
      <c r="G27" s="47">
        <v>0.16800000000000001</v>
      </c>
      <c r="H27" s="47">
        <v>0.16800000000000001</v>
      </c>
      <c r="I27" s="47">
        <v>0.16800000000000001</v>
      </c>
      <c r="J27" s="47">
        <v>0.16800000000000001</v>
      </c>
      <c r="K27" s="47">
        <v>0.16800000000000001</v>
      </c>
      <c r="L27" s="126">
        <v>0.16300000000000001</v>
      </c>
      <c r="M27" s="77">
        <v>0.13900000000000001</v>
      </c>
      <c r="N27" s="77"/>
      <c r="O27" s="77">
        <v>0</v>
      </c>
      <c r="P27" s="77">
        <v>1</v>
      </c>
      <c r="Q27" s="283" t="s">
        <v>577</v>
      </c>
      <c r="R27" s="285"/>
      <c r="S27" s="307"/>
      <c r="T27" s="311"/>
      <c r="U27" s="3"/>
      <c r="V27" s="3"/>
    </row>
    <row r="28" spans="1:70" s="5" customFormat="1" ht="28.8" x14ac:dyDescent="0.3">
      <c r="A28" s="34" t="s">
        <v>578</v>
      </c>
      <c r="B28" s="35">
        <f>B31*B30*B29*100</f>
        <v>0.20061450746455783</v>
      </c>
      <c r="C28" s="35">
        <f t="shared" ref="C28:P28" si="9">C31*C30*C29*100</f>
        <v>0.24631609136613059</v>
      </c>
      <c r="D28" s="35">
        <f t="shared" si="9"/>
        <v>0.28238672518108959</v>
      </c>
      <c r="E28" s="35">
        <f t="shared" si="9"/>
        <v>0.28502160775195556</v>
      </c>
      <c r="F28" s="35">
        <f t="shared" si="9"/>
        <v>0.2997406069409313</v>
      </c>
      <c r="G28" s="35">
        <f t="shared" si="9"/>
        <v>0.25013212819290204</v>
      </c>
      <c r="H28" s="35">
        <f t="shared" si="9"/>
        <v>0.34062671579919718</v>
      </c>
      <c r="I28" s="35">
        <f t="shared" si="9"/>
        <v>0.2518584305669177</v>
      </c>
      <c r="J28" s="35">
        <f t="shared" si="9"/>
        <v>0.3237271241377806</v>
      </c>
      <c r="K28" s="35">
        <f t="shared" si="9"/>
        <v>0.22614561099605271</v>
      </c>
      <c r="L28" s="35">
        <f t="shared" si="9"/>
        <v>0.20988202547243145</v>
      </c>
      <c r="M28" s="35">
        <f t="shared" si="9"/>
        <v>0.23268738841337525</v>
      </c>
      <c r="N28" s="35"/>
      <c r="O28" s="99">
        <f t="shared" si="9"/>
        <v>2.7257405905510579E-4</v>
      </c>
      <c r="P28" s="35">
        <f t="shared" si="9"/>
        <v>1.3628702952755287</v>
      </c>
      <c r="Q28" s="288" t="s">
        <v>562</v>
      </c>
      <c r="R28" s="283"/>
      <c r="S28" s="307"/>
      <c r="T28" s="311"/>
      <c r="U28" s="3"/>
      <c r="V28" s="3"/>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row>
    <row r="29" spans="1:70" ht="14.4" x14ac:dyDescent="0.3">
      <c r="A29" s="20" t="s">
        <v>579</v>
      </c>
      <c r="B29" s="18">
        <f>(2*(B32+B33+B35))+B34</f>
        <v>0.73599999999999999</v>
      </c>
      <c r="C29" s="18">
        <f t="shared" ref="C29:P29" si="10">(2*(C32+C33+C35))+C34</f>
        <v>0.90366666666666662</v>
      </c>
      <c r="D29" s="18">
        <f t="shared" si="10"/>
        <v>1.036</v>
      </c>
      <c r="E29" s="18">
        <f t="shared" si="10"/>
        <v>1.0456666666666665</v>
      </c>
      <c r="F29" s="18">
        <f t="shared" si="10"/>
        <v>1.0996666666666666</v>
      </c>
      <c r="G29" s="18">
        <f t="shared" si="10"/>
        <v>0.91766666666666663</v>
      </c>
      <c r="H29" s="18">
        <f t="shared" si="10"/>
        <v>1.2496666666666667</v>
      </c>
      <c r="I29" s="18">
        <f t="shared" si="10"/>
        <v>0.92399999999999993</v>
      </c>
      <c r="J29" s="18">
        <f t="shared" si="10"/>
        <v>1.1876666666666666</v>
      </c>
      <c r="K29" s="18">
        <f t="shared" si="10"/>
        <v>0.82966666666666655</v>
      </c>
      <c r="L29" s="18">
        <f t="shared" si="10"/>
        <v>0.77</v>
      </c>
      <c r="M29" s="18">
        <f t="shared" si="10"/>
        <v>0.85366666666666657</v>
      </c>
      <c r="N29" s="18"/>
      <c r="O29" s="18">
        <f t="shared" si="10"/>
        <v>1E-3</v>
      </c>
      <c r="P29" s="18">
        <f t="shared" si="10"/>
        <v>5</v>
      </c>
      <c r="Q29" s="283"/>
      <c r="S29" s="283"/>
      <c r="T29" s="283"/>
      <c r="U29" s="3"/>
      <c r="V29" s="3"/>
    </row>
    <row r="30" spans="1:70" ht="43.2" x14ac:dyDescent="0.3">
      <c r="A30" s="20" t="s">
        <v>580</v>
      </c>
      <c r="B30" s="18">
        <f>'Ability OLD'!$B$6</f>
        <v>0.82044791775586834</v>
      </c>
      <c r="C30" s="18">
        <f>'Ability OLD'!$B$6</f>
        <v>0.82044791775586834</v>
      </c>
      <c r="D30" s="18">
        <f>'Ability OLD'!$B$6</f>
        <v>0.82044791775586834</v>
      </c>
      <c r="E30" s="18">
        <f>'Ability OLD'!$B$6</f>
        <v>0.82044791775586834</v>
      </c>
      <c r="F30" s="18">
        <f>'Ability OLD'!$B$6</f>
        <v>0.82044791775586834</v>
      </c>
      <c r="G30" s="18">
        <f>'Ability OLD'!$B$6</f>
        <v>0.82044791775586834</v>
      </c>
      <c r="H30" s="18">
        <f>'Ability OLD'!$B$6</f>
        <v>0.82044791775586834</v>
      </c>
      <c r="I30" s="18">
        <f>'Ability OLD'!$B$6</f>
        <v>0.82044791775586834</v>
      </c>
      <c r="J30" s="18">
        <f>'Ability OLD'!$B$6</f>
        <v>0.82044791775586834</v>
      </c>
      <c r="K30" s="18">
        <f>'Ability OLD'!$B$6</f>
        <v>0.82044791775586834</v>
      </c>
      <c r="L30" s="18">
        <f>'Ability OLD'!$B$6</f>
        <v>0.82044791775586834</v>
      </c>
      <c r="M30" s="18">
        <f>'Ability OLD'!$B$6</f>
        <v>0.82044791775586834</v>
      </c>
      <c r="N30" s="18"/>
      <c r="O30" s="18">
        <f>'Ability OLD'!$B$6</f>
        <v>0.82044791775586834</v>
      </c>
      <c r="P30" s="18">
        <f>'Ability OLD'!$B$6</f>
        <v>0.82044791775586834</v>
      </c>
      <c r="Q30" s="285" t="s">
        <v>581</v>
      </c>
      <c r="S30" s="283"/>
      <c r="T30" s="283"/>
      <c r="U30" s="3"/>
      <c r="V30" s="3"/>
    </row>
    <row r="31" spans="1:70" ht="43.2" x14ac:dyDescent="0.3">
      <c r="A31" s="20" t="s">
        <v>582</v>
      </c>
      <c r="B31" s="39">
        <f t="shared" ref="B31:P31" si="11">$W$5</f>
        <v>3.3222591362126247E-3</v>
      </c>
      <c r="C31" s="39">
        <f t="shared" si="11"/>
        <v>3.3222591362126247E-3</v>
      </c>
      <c r="D31" s="39">
        <f t="shared" si="11"/>
        <v>3.3222591362126247E-3</v>
      </c>
      <c r="E31" s="39">
        <f t="shared" si="11"/>
        <v>3.3222591362126247E-3</v>
      </c>
      <c r="F31" s="39">
        <f t="shared" si="11"/>
        <v>3.3222591362126247E-3</v>
      </c>
      <c r="G31" s="39">
        <f t="shared" si="11"/>
        <v>3.3222591362126247E-3</v>
      </c>
      <c r="H31" s="39">
        <f t="shared" si="11"/>
        <v>3.3222591362126247E-3</v>
      </c>
      <c r="I31" s="39">
        <f t="shared" si="11"/>
        <v>3.3222591362126247E-3</v>
      </c>
      <c r="J31" s="39">
        <f t="shared" si="11"/>
        <v>3.3222591362126247E-3</v>
      </c>
      <c r="K31" s="39">
        <f t="shared" si="11"/>
        <v>3.3222591362126247E-3</v>
      </c>
      <c r="L31" s="39">
        <f t="shared" si="11"/>
        <v>3.3222591362126247E-3</v>
      </c>
      <c r="M31" s="39">
        <f t="shared" si="11"/>
        <v>3.3222591362126247E-3</v>
      </c>
      <c r="N31" s="39"/>
      <c r="O31" s="39">
        <f t="shared" si="11"/>
        <v>3.3222591362126247E-3</v>
      </c>
      <c r="P31" s="39">
        <f t="shared" si="11"/>
        <v>3.3222591362126247E-3</v>
      </c>
      <c r="Q31" s="283" t="s">
        <v>583</v>
      </c>
      <c r="T31" s="311"/>
      <c r="U31" s="3"/>
      <c r="V31" s="3"/>
    </row>
    <row r="32" spans="1:70" ht="144" x14ac:dyDescent="0.3">
      <c r="A32" s="20" t="s">
        <v>584</v>
      </c>
      <c r="B32" s="77">
        <v>7.4999999999999997E-2</v>
      </c>
      <c r="C32" s="77">
        <v>7.4999999999999997E-2</v>
      </c>
      <c r="D32" s="77">
        <v>7.4999999999999997E-2</v>
      </c>
      <c r="E32" s="77">
        <v>7.4999999999999997E-2</v>
      </c>
      <c r="F32" s="77">
        <v>7.4999999999999997E-2</v>
      </c>
      <c r="G32" s="77">
        <v>7.4999999999999997E-2</v>
      </c>
      <c r="H32" s="77">
        <v>7.4999999999999997E-2</v>
      </c>
      <c r="I32" s="77">
        <v>7.4999999999999997E-2</v>
      </c>
      <c r="J32" s="77">
        <v>7.4999999999999997E-2</v>
      </c>
      <c r="K32" s="77">
        <v>7.4999999999999997E-2</v>
      </c>
      <c r="L32" s="77">
        <v>7.4999999999999997E-2</v>
      </c>
      <c r="M32" s="77">
        <v>7.4999999999999997E-2</v>
      </c>
      <c r="N32" s="77"/>
      <c r="O32" s="77">
        <v>0</v>
      </c>
      <c r="P32" s="77">
        <v>0.5</v>
      </c>
      <c r="Q32" s="287" t="s">
        <v>569</v>
      </c>
      <c r="R32" s="287" t="s">
        <v>570</v>
      </c>
      <c r="S32" s="288" t="s">
        <v>585</v>
      </c>
      <c r="T32" s="311"/>
      <c r="U32" s="3"/>
      <c r="V32" s="3"/>
    </row>
    <row r="33" spans="1:70" ht="72" x14ac:dyDescent="0.3">
      <c r="A33" s="20" t="s">
        <v>586</v>
      </c>
      <c r="B33" s="36">
        <v>0.05</v>
      </c>
      <c r="C33" s="36">
        <v>0.05</v>
      </c>
      <c r="D33" s="36">
        <v>0.05</v>
      </c>
      <c r="E33" s="36">
        <v>0.05</v>
      </c>
      <c r="F33" s="36">
        <v>0.05</v>
      </c>
      <c r="G33" s="36">
        <v>0.05</v>
      </c>
      <c r="H33" s="36">
        <v>0.05</v>
      </c>
      <c r="I33" s="36">
        <v>0.05</v>
      </c>
      <c r="J33" s="36">
        <v>0.05</v>
      </c>
      <c r="K33" s="36">
        <v>0.05</v>
      </c>
      <c r="L33" s="36">
        <v>0.05</v>
      </c>
      <c r="M33" s="36">
        <v>0.05</v>
      </c>
      <c r="N33" s="36"/>
      <c r="O33" s="36">
        <v>0</v>
      </c>
      <c r="P33" s="36">
        <v>0.5</v>
      </c>
      <c r="Q33" s="288" t="s">
        <v>587</v>
      </c>
      <c r="R33" s="288" t="s">
        <v>574</v>
      </c>
      <c r="S33" s="307"/>
      <c r="T33" s="311"/>
      <c r="U33" s="3"/>
      <c r="V33" s="3"/>
    </row>
    <row r="34" spans="1:70" ht="14.4" x14ac:dyDescent="0.3">
      <c r="A34" s="20" t="s">
        <v>588</v>
      </c>
      <c r="B34" s="2">
        <f>Slaughter_OLD!$C$6</f>
        <v>0.25</v>
      </c>
      <c r="C34" s="51">
        <f>Slaughter_OLD!$E$6</f>
        <v>0.34166666666666662</v>
      </c>
      <c r="D34" s="51">
        <f>Slaughter_OLD!$G$6</f>
        <v>0.25</v>
      </c>
      <c r="E34" s="51">
        <f>Slaughter_OLD!$I$6</f>
        <v>0.34166666666666662</v>
      </c>
      <c r="F34" s="51">
        <f>Slaughter_OLD!$K$6</f>
        <v>0.34166666666666662</v>
      </c>
      <c r="G34" s="51">
        <f>Slaughter_OLD!$M$6</f>
        <v>0.34166666666666662</v>
      </c>
      <c r="H34" s="51">
        <f>Slaughter_OLD!$O$6</f>
        <v>0.34166666666666662</v>
      </c>
      <c r="I34" s="51">
        <f>Slaughter_OLD!$Q$6</f>
        <v>0.25</v>
      </c>
      <c r="J34" s="51">
        <f>Slaughter_OLD!$S$6</f>
        <v>0.34166666666666662</v>
      </c>
      <c r="K34" s="51">
        <f>Slaughter_OLD!$U$6</f>
        <v>0.34166666666666662</v>
      </c>
      <c r="L34" s="51">
        <f>Slaughter_OLD!$W$6</f>
        <v>0.25</v>
      </c>
      <c r="M34" s="51">
        <f>Slaughter_OLD!$Y$6</f>
        <v>0.34166666666666662</v>
      </c>
      <c r="N34" s="51"/>
      <c r="O34" s="18">
        <v>1E-3</v>
      </c>
      <c r="P34" s="51">
        <v>1</v>
      </c>
      <c r="Q34" s="283"/>
      <c r="R34" s="282" t="s">
        <v>544</v>
      </c>
      <c r="S34" s="307"/>
      <c r="T34" s="311"/>
      <c r="U34" s="3"/>
      <c r="V34" s="3"/>
    </row>
    <row r="35" spans="1:70" ht="14.4" x14ac:dyDescent="0.3">
      <c r="A35" s="20" t="s">
        <v>589</v>
      </c>
      <c r="B35" s="127">
        <v>0.11799999999999999</v>
      </c>
      <c r="C35" s="127">
        <v>0.156</v>
      </c>
      <c r="D35" s="127">
        <v>0.26800000000000002</v>
      </c>
      <c r="E35" s="127">
        <v>0.22700000000000001</v>
      </c>
      <c r="F35" s="127">
        <v>0.254</v>
      </c>
      <c r="G35" s="127">
        <v>0.16300000000000001</v>
      </c>
      <c r="H35" s="127">
        <v>0.32900000000000001</v>
      </c>
      <c r="I35" s="127">
        <v>0.21199999999999999</v>
      </c>
      <c r="J35" s="127">
        <v>0.29799999999999999</v>
      </c>
      <c r="K35" s="127">
        <v>0.11899999999999999</v>
      </c>
      <c r="L35" s="127">
        <v>0.13500000000000001</v>
      </c>
      <c r="M35" s="77">
        <v>0.13100000000000001</v>
      </c>
      <c r="N35" s="77"/>
      <c r="O35" s="77">
        <v>0</v>
      </c>
      <c r="P35" s="77">
        <v>1</v>
      </c>
      <c r="Q35" s="283"/>
      <c r="R35" s="285"/>
      <c r="S35" s="307"/>
      <c r="T35" s="311"/>
      <c r="U35" s="3"/>
      <c r="V35" s="3"/>
    </row>
    <row r="36" spans="1:70" s="5" customFormat="1" ht="86.4" x14ac:dyDescent="0.3">
      <c r="A36" s="34" t="s">
        <v>590</v>
      </c>
      <c r="B36" s="99">
        <f>B39*B38*B37*100</f>
        <v>8.5404352965718633E-3</v>
      </c>
      <c r="C36" s="99">
        <f t="shared" ref="C36:P36" si="12">C39*C38*C37*100</f>
        <v>8.3960318012192003E-3</v>
      </c>
      <c r="D36" s="99">
        <f t="shared" si="12"/>
        <v>9.848907785073557E-3</v>
      </c>
      <c r="E36" s="99">
        <f t="shared" si="12"/>
        <v>1.2851911086387129E-2</v>
      </c>
      <c r="F36" s="99">
        <f t="shared" si="12"/>
        <v>1.3134824056873981E-2</v>
      </c>
      <c r="G36" s="99">
        <f t="shared" si="12"/>
        <v>8.2192111946649167E-3</v>
      </c>
      <c r="H36" s="99">
        <f t="shared" si="12"/>
        <v>1.1189797384776868E-2</v>
      </c>
      <c r="I36" s="99">
        <f t="shared" si="12"/>
        <v>8.6818917818152902E-3</v>
      </c>
      <c r="J36" s="99">
        <f t="shared" si="12"/>
        <v>1.2374495448690565E-2</v>
      </c>
      <c r="K36" s="99">
        <f t="shared" si="12"/>
        <v>1.0500197019215167E-2</v>
      </c>
      <c r="L36" s="99">
        <f t="shared" si="12"/>
        <v>8.0983837801861577E-3</v>
      </c>
      <c r="M36" s="99"/>
      <c r="N36" s="99"/>
      <c r="O36" s="99">
        <f t="shared" si="12"/>
        <v>8.8410303277141463E-6</v>
      </c>
      <c r="P36" s="99">
        <f t="shared" si="12"/>
        <v>4.4205151638570722E-2</v>
      </c>
      <c r="Q36" s="288" t="s">
        <v>591</v>
      </c>
      <c r="R36" s="297" t="s">
        <v>592</v>
      </c>
      <c r="S36" s="285" t="s">
        <v>593</v>
      </c>
      <c r="T36" s="311"/>
      <c r="U36" s="3"/>
      <c r="V36" s="3"/>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row>
    <row r="37" spans="1:70" ht="14.4" x14ac:dyDescent="0.3">
      <c r="A37" s="20" t="s">
        <v>594</v>
      </c>
      <c r="B37" s="18">
        <f>(2*(B40+B41+B43))+B42</f>
        <v>0.96599999999999997</v>
      </c>
      <c r="C37" s="18">
        <f t="shared" ref="C37:P37" si="13">(2*(C40+C41+C43))+C42</f>
        <v>0.94966666666666666</v>
      </c>
      <c r="D37" s="18">
        <f t="shared" si="13"/>
        <v>1.1139999999999999</v>
      </c>
      <c r="E37" s="18">
        <f t="shared" si="13"/>
        <v>1.4536666666666667</v>
      </c>
      <c r="F37" s="18">
        <f t="shared" si="13"/>
        <v>1.4856666666666665</v>
      </c>
      <c r="G37" s="18">
        <f t="shared" si="13"/>
        <v>0.92966666666666664</v>
      </c>
      <c r="H37" s="18">
        <f t="shared" si="13"/>
        <v>1.2656666666666665</v>
      </c>
      <c r="I37" s="18">
        <f t="shared" si="13"/>
        <v>0.98199999999999998</v>
      </c>
      <c r="J37" s="18">
        <f t="shared" si="13"/>
        <v>1.3996666666666666</v>
      </c>
      <c r="K37" s="18">
        <f t="shared" si="13"/>
        <v>1.1876666666666666</v>
      </c>
      <c r="L37" s="18">
        <f t="shared" si="13"/>
        <v>0.91600000000000004</v>
      </c>
      <c r="M37" s="18"/>
      <c r="N37" s="18"/>
      <c r="O37" s="18">
        <f t="shared" si="13"/>
        <v>1E-3</v>
      </c>
      <c r="P37" s="18">
        <f t="shared" si="13"/>
        <v>5</v>
      </c>
      <c r="Q37" s="283"/>
      <c r="R37" s="283"/>
      <c r="S37" s="307"/>
      <c r="T37" s="311"/>
      <c r="U37" s="3"/>
      <c r="V37" s="3"/>
    </row>
    <row r="38" spans="1:70" ht="60.6" x14ac:dyDescent="0.3">
      <c r="A38" s="20" t="s">
        <v>595</v>
      </c>
      <c r="B38" s="19">
        <f>'Ability OLD'!$B$5</f>
        <v>0.88410303277141455</v>
      </c>
      <c r="C38" s="19">
        <f>'Ability OLD'!$B$5</f>
        <v>0.88410303277141455</v>
      </c>
      <c r="D38" s="19">
        <f>'Ability OLD'!$B$5</f>
        <v>0.88410303277141455</v>
      </c>
      <c r="E38" s="19">
        <f>'Ability OLD'!$B$5</f>
        <v>0.88410303277141455</v>
      </c>
      <c r="F38" s="19">
        <f>'Ability OLD'!$B$5</f>
        <v>0.88410303277141455</v>
      </c>
      <c r="G38" s="19">
        <f>'Ability OLD'!$B$5</f>
        <v>0.88410303277141455</v>
      </c>
      <c r="H38" s="19">
        <f>'Ability OLD'!$B$5</f>
        <v>0.88410303277141455</v>
      </c>
      <c r="I38" s="19">
        <f>'Ability OLD'!$B$5</f>
        <v>0.88410303277141455</v>
      </c>
      <c r="J38" s="19">
        <f>'Ability OLD'!$B$5</f>
        <v>0.88410303277141455</v>
      </c>
      <c r="K38" s="19">
        <f>'Ability OLD'!$B$5</f>
        <v>0.88410303277141455</v>
      </c>
      <c r="L38" s="19">
        <f>'Ability OLD'!$B$5</f>
        <v>0.88410303277141455</v>
      </c>
      <c r="M38" s="19"/>
      <c r="N38" s="19"/>
      <c r="O38" s="19">
        <f>'Ability OLD'!$B$5</f>
        <v>0.88410303277141455</v>
      </c>
      <c r="P38" s="19">
        <f>'Ability OLD'!$B$5</f>
        <v>0.88410303277141455</v>
      </c>
      <c r="S38" s="307" t="s">
        <v>596</v>
      </c>
      <c r="T38" s="311" t="s">
        <v>597</v>
      </c>
      <c r="U38" s="3"/>
      <c r="V38" s="3"/>
    </row>
    <row r="39" spans="1:70" ht="28.8" x14ac:dyDescent="0.3">
      <c r="A39" s="20" t="s">
        <v>598</v>
      </c>
      <c r="B39" s="152">
        <v>1E-4</v>
      </c>
      <c r="C39" s="152">
        <v>1E-4</v>
      </c>
      <c r="D39" s="152">
        <v>1E-4</v>
      </c>
      <c r="E39" s="152">
        <v>1E-4</v>
      </c>
      <c r="F39" s="152">
        <v>1E-4</v>
      </c>
      <c r="G39" s="152">
        <v>1E-4</v>
      </c>
      <c r="H39" s="152">
        <v>1E-4</v>
      </c>
      <c r="I39" s="152">
        <v>1E-4</v>
      </c>
      <c r="J39" s="152">
        <v>1E-4</v>
      </c>
      <c r="K39" s="152">
        <v>1E-4</v>
      </c>
      <c r="L39" s="152">
        <v>1E-4</v>
      </c>
      <c r="M39" s="152"/>
      <c r="N39" s="152"/>
      <c r="O39" s="152">
        <v>1E-4</v>
      </c>
      <c r="P39" s="152">
        <v>1E-4</v>
      </c>
      <c r="Q39" s="289" t="s">
        <v>599</v>
      </c>
      <c r="R39" s="284" t="s">
        <v>600</v>
      </c>
      <c r="S39" s="285"/>
      <c r="T39" s="283"/>
      <c r="U39" s="3"/>
      <c r="V39" s="3"/>
    </row>
    <row r="40" spans="1:70" ht="14.4" x14ac:dyDescent="0.3">
      <c r="A40" s="20" t="s">
        <v>601</v>
      </c>
      <c r="B40" s="77">
        <v>0.06</v>
      </c>
      <c r="C40" s="77">
        <v>0.06</v>
      </c>
      <c r="D40" s="77">
        <v>0.06</v>
      </c>
      <c r="E40" s="77">
        <v>0.06</v>
      </c>
      <c r="F40" s="77">
        <v>0.06</v>
      </c>
      <c r="G40" s="77">
        <v>0.06</v>
      </c>
      <c r="H40" s="77">
        <v>0.06</v>
      </c>
      <c r="I40" s="77">
        <v>0.06</v>
      </c>
      <c r="J40" s="77">
        <v>0.06</v>
      </c>
      <c r="K40" s="77">
        <v>0.06</v>
      </c>
      <c r="L40" s="77">
        <v>0.06</v>
      </c>
      <c r="M40" s="77"/>
      <c r="N40" s="77"/>
      <c r="O40" s="77">
        <v>0</v>
      </c>
      <c r="P40" s="77">
        <v>0.5</v>
      </c>
      <c r="Q40" s="283" t="s">
        <v>602</v>
      </c>
      <c r="R40" s="288" t="s">
        <v>603</v>
      </c>
      <c r="S40" s="307" t="s">
        <v>604</v>
      </c>
      <c r="T40" s="311"/>
      <c r="U40" s="3"/>
      <c r="V40" s="3"/>
    </row>
    <row r="41" spans="1:70" ht="57.6" x14ac:dyDescent="0.3">
      <c r="A41" s="20" t="s">
        <v>605</v>
      </c>
      <c r="B41" s="77">
        <v>0.16</v>
      </c>
      <c r="C41" s="77">
        <v>0.16</v>
      </c>
      <c r="D41" s="77">
        <v>0.16</v>
      </c>
      <c r="E41" s="77">
        <v>0.16</v>
      </c>
      <c r="F41" s="77">
        <v>0.16</v>
      </c>
      <c r="G41" s="77">
        <v>0.16</v>
      </c>
      <c r="H41" s="77">
        <v>0.16</v>
      </c>
      <c r="I41" s="77">
        <v>0.16</v>
      </c>
      <c r="J41" s="77">
        <v>0.16</v>
      </c>
      <c r="K41" s="77">
        <v>0.16</v>
      </c>
      <c r="L41" s="77">
        <v>0.16</v>
      </c>
      <c r="M41" s="77"/>
      <c r="N41" s="77"/>
      <c r="O41" s="77">
        <v>0</v>
      </c>
      <c r="P41" s="77">
        <v>0.5</v>
      </c>
      <c r="Q41" s="287" t="s">
        <v>606</v>
      </c>
      <c r="R41" s="287" t="s">
        <v>607</v>
      </c>
      <c r="S41" s="288" t="s">
        <v>608</v>
      </c>
      <c r="T41" s="311"/>
      <c r="U41" s="3"/>
      <c r="V41" s="3"/>
    </row>
    <row r="42" spans="1:70" ht="14.4" x14ac:dyDescent="0.3">
      <c r="A42" s="20" t="s">
        <v>609</v>
      </c>
      <c r="B42" s="2">
        <f>Slaughter_OLD!$C$6</f>
        <v>0.25</v>
      </c>
      <c r="C42" s="51">
        <f>Slaughter_OLD!$E$6</f>
        <v>0.34166666666666662</v>
      </c>
      <c r="D42" s="51">
        <f>Slaughter_OLD!$G$6</f>
        <v>0.25</v>
      </c>
      <c r="E42" s="51">
        <f>Slaughter_OLD!$I$6</f>
        <v>0.34166666666666662</v>
      </c>
      <c r="F42" s="51">
        <f>Slaughter_OLD!$K$6</f>
        <v>0.34166666666666662</v>
      </c>
      <c r="G42" s="51">
        <f>Slaughter_OLD!$M$6</f>
        <v>0.34166666666666662</v>
      </c>
      <c r="H42" s="51">
        <f>Slaughter_OLD!$O$6</f>
        <v>0.34166666666666662</v>
      </c>
      <c r="I42" s="51">
        <f>Slaughter_OLD!$Q$6</f>
        <v>0.25</v>
      </c>
      <c r="J42" s="51">
        <f>Slaughter_OLD!$S$6</f>
        <v>0.34166666666666662</v>
      </c>
      <c r="K42" s="51">
        <f>Slaughter_OLD!$U$6</f>
        <v>0.34166666666666662</v>
      </c>
      <c r="L42" s="51">
        <f>Slaughter_OLD!$W$6</f>
        <v>0.25</v>
      </c>
      <c r="M42" s="51"/>
      <c r="N42" s="51"/>
      <c r="O42" s="18">
        <v>1E-3</v>
      </c>
      <c r="P42" s="51">
        <v>1</v>
      </c>
      <c r="Q42" s="283"/>
      <c r="R42" s="282" t="s">
        <v>544</v>
      </c>
      <c r="S42" s="307"/>
      <c r="T42" s="311"/>
      <c r="U42" s="3"/>
      <c r="V42" s="3"/>
    </row>
    <row r="43" spans="1:70" ht="14.4" x14ac:dyDescent="0.3">
      <c r="A43" s="21" t="s">
        <v>610</v>
      </c>
      <c r="B43" s="126">
        <v>0.13800000000000001</v>
      </c>
      <c r="C43" s="126">
        <v>8.4000000000000005E-2</v>
      </c>
      <c r="D43" s="126">
        <v>0.21199999999999999</v>
      </c>
      <c r="E43" s="126">
        <v>0.33600000000000002</v>
      </c>
      <c r="F43" s="126">
        <v>0.35199999999999998</v>
      </c>
      <c r="G43" s="126">
        <v>7.3999999999999996E-2</v>
      </c>
      <c r="H43" s="126">
        <v>0.24199999999999999</v>
      </c>
      <c r="I43" s="126">
        <v>0.14599999999999999</v>
      </c>
      <c r="J43" s="126">
        <v>0.309</v>
      </c>
      <c r="K43" s="126">
        <v>0.20300000000000001</v>
      </c>
      <c r="L43" s="126">
        <v>0.113</v>
      </c>
      <c r="M43" s="77"/>
      <c r="N43" s="77"/>
      <c r="O43" s="77">
        <v>0</v>
      </c>
      <c r="P43" s="77">
        <v>1</v>
      </c>
      <c r="Q43" s="283" t="s">
        <v>611</v>
      </c>
      <c r="R43" s="285"/>
      <c r="S43" s="307"/>
      <c r="T43" s="311"/>
      <c r="U43" s="3"/>
      <c r="V43" s="3"/>
    </row>
    <row r="44" spans="1:70" s="5" customFormat="1" ht="43.2" x14ac:dyDescent="0.3">
      <c r="A44" s="129" t="s">
        <v>612</v>
      </c>
      <c r="B44" s="130">
        <f>B45+B53</f>
        <v>6.7125007851221232</v>
      </c>
      <c r="C44" s="130">
        <f t="shared" ref="C44:P44" si="14">C45+C53</f>
        <v>6.8052206520011511</v>
      </c>
      <c r="D44" s="130">
        <f t="shared" si="14"/>
        <v>6.9023384425879382</v>
      </c>
      <c r="E44" s="130">
        <f t="shared" si="14"/>
        <v>9.9274161982778928</v>
      </c>
      <c r="F44" s="130">
        <f t="shared" si="14"/>
        <v>10.42729722185066</v>
      </c>
      <c r="G44" s="130">
        <f t="shared" si="14"/>
        <v>7.3563894007634918</v>
      </c>
      <c r="H44" s="130">
        <f t="shared" si="14"/>
        <v>8.509213884238191</v>
      </c>
      <c r="I44" s="130">
        <f t="shared" si="14"/>
        <v>8.1405739301218869</v>
      </c>
      <c r="J44" s="130">
        <f t="shared" si="14"/>
        <v>10.001434627962157</v>
      </c>
      <c r="K44" s="130">
        <f t="shared" si="14"/>
        <v>8.8463701718001548</v>
      </c>
      <c r="L44" s="130">
        <f t="shared" si="14"/>
        <v>7.7135092992100676</v>
      </c>
      <c r="M44" s="130"/>
      <c r="N44" s="130"/>
      <c r="O44" s="130">
        <f t="shared" si="14"/>
        <v>4.5741996280995092E-3</v>
      </c>
      <c r="P44" s="130">
        <f t="shared" si="14"/>
        <v>21.8417525501097</v>
      </c>
      <c r="Q44" s="288" t="s">
        <v>127</v>
      </c>
      <c r="R44" s="283"/>
      <c r="S44" s="307"/>
      <c r="T44" s="311"/>
      <c r="U44" s="3"/>
      <c r="V44" s="3"/>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row>
    <row r="45" spans="1:70" ht="14.4" x14ac:dyDescent="0.3">
      <c r="A45" s="3" t="s">
        <v>613</v>
      </c>
      <c r="B45" s="18">
        <f>B48*B47*B46*100</f>
        <v>9.7635474970835124E-3</v>
      </c>
      <c r="C45" s="18">
        <f t="shared" ref="C45:P45" si="15">C48*C47*C46*100</f>
        <v>0</v>
      </c>
      <c r="D45" s="18">
        <f t="shared" si="15"/>
        <v>0</v>
      </c>
      <c r="E45" s="18">
        <f t="shared" si="15"/>
        <v>1.2426333178106288E-2</v>
      </c>
      <c r="F45" s="18">
        <f t="shared" si="15"/>
        <v>1.2426333178106288E-2</v>
      </c>
      <c r="G45" s="18">
        <f t="shared" si="15"/>
        <v>9.2309903608789566E-3</v>
      </c>
      <c r="H45" s="18">
        <f t="shared" si="15"/>
        <v>1.0651142724091104E-2</v>
      </c>
      <c r="I45" s="18">
        <f t="shared" si="15"/>
        <v>1.1361218905697178E-2</v>
      </c>
      <c r="J45" s="18">
        <f t="shared" si="15"/>
        <v>1.1716256996500213E-2</v>
      </c>
      <c r="K45" s="18">
        <f t="shared" si="15"/>
        <v>1.0651142724091104E-2</v>
      </c>
      <c r="L45" s="18">
        <f t="shared" si="15"/>
        <v>1.1361218905697178E-2</v>
      </c>
      <c r="M45" s="18"/>
      <c r="N45" s="18"/>
      <c r="O45" s="18">
        <f t="shared" si="15"/>
        <v>1.3548253545043886E-3</v>
      </c>
      <c r="P45" s="18">
        <f t="shared" si="15"/>
        <v>1.3548253545043885</v>
      </c>
      <c r="Q45" s="283"/>
      <c r="R45" s="283"/>
      <c r="S45" s="307"/>
      <c r="T45" s="311"/>
      <c r="U45" s="3"/>
      <c r="V45" s="3"/>
    </row>
    <row r="46" spans="1:70" ht="14.4" x14ac:dyDescent="0.3">
      <c r="A46" s="3" t="s">
        <v>614</v>
      </c>
      <c r="B46" s="18">
        <f>(2*(B49+B50+B52))+B51</f>
        <v>6.9444444444444441E-3</v>
      </c>
      <c r="C46" s="18">
        <f t="shared" ref="C46:P46" si="16">(2*(C49+C50+C52))+C51</f>
        <v>6.9444444444444441E-3</v>
      </c>
      <c r="D46" s="18">
        <f t="shared" si="16"/>
        <v>6.9444444444444441E-3</v>
      </c>
      <c r="E46" s="18">
        <f t="shared" si="16"/>
        <v>6.9444444444444441E-3</v>
      </c>
      <c r="F46" s="18">
        <f t="shared" si="16"/>
        <v>6.9444444444444441E-3</v>
      </c>
      <c r="G46" s="18">
        <f t="shared" si="16"/>
        <v>6.9444444444444441E-3</v>
      </c>
      <c r="H46" s="18">
        <f t="shared" si="16"/>
        <v>6.9444444444444441E-3</v>
      </c>
      <c r="I46" s="18">
        <f t="shared" si="16"/>
        <v>6.9444444444444441E-3</v>
      </c>
      <c r="J46" s="18">
        <f t="shared" si="16"/>
        <v>6.9444444444444441E-3</v>
      </c>
      <c r="K46" s="18">
        <f t="shared" si="16"/>
        <v>6.9444444444444441E-3</v>
      </c>
      <c r="L46" s="18">
        <f>(2*(L49+L50+L52))+L51</f>
        <v>6.9444444444444441E-3</v>
      </c>
      <c r="M46" s="18"/>
      <c r="N46" s="18"/>
      <c r="O46" s="18">
        <f t="shared" si="16"/>
        <v>1E-3</v>
      </c>
      <c r="P46" s="18">
        <f t="shared" si="16"/>
        <v>1</v>
      </c>
      <c r="Q46" s="283"/>
      <c r="R46" s="283"/>
      <c r="S46" s="307"/>
      <c r="T46" s="311"/>
      <c r="U46" s="3"/>
      <c r="V46" s="3"/>
    </row>
    <row r="47" spans="1:70" ht="14.4" x14ac:dyDescent="0.3">
      <c r="A47" s="3" t="s">
        <v>615</v>
      </c>
      <c r="B47" s="19">
        <f>'Ability OLD'!$B$7</f>
        <v>0.2556274253781865</v>
      </c>
      <c r="C47" s="19">
        <f>'Ability OLD'!$B$7</f>
        <v>0.2556274253781865</v>
      </c>
      <c r="D47" s="19">
        <f>'Ability OLD'!$B$7</f>
        <v>0.2556274253781865</v>
      </c>
      <c r="E47" s="19">
        <f>'Ability OLD'!$B$7</f>
        <v>0.2556274253781865</v>
      </c>
      <c r="F47" s="19">
        <f>'Ability OLD'!$B$7</f>
        <v>0.2556274253781865</v>
      </c>
      <c r="G47" s="19">
        <f>'Ability OLD'!$B$7</f>
        <v>0.2556274253781865</v>
      </c>
      <c r="H47" s="19">
        <f>'Ability OLD'!$B$7</f>
        <v>0.2556274253781865</v>
      </c>
      <c r="I47" s="19">
        <f>'Ability OLD'!$B$7</f>
        <v>0.2556274253781865</v>
      </c>
      <c r="J47" s="19">
        <f>'Ability OLD'!$B$7</f>
        <v>0.2556274253781865</v>
      </c>
      <c r="K47" s="19">
        <f>'Ability OLD'!$B$7</f>
        <v>0.2556274253781865</v>
      </c>
      <c r="L47" s="19">
        <f>'Ability OLD'!$B$7</f>
        <v>0.2556274253781865</v>
      </c>
      <c r="M47" s="19"/>
      <c r="N47" s="19"/>
      <c r="O47" s="19">
        <f>'Ability OLD'!$B$7</f>
        <v>0.2556274253781865</v>
      </c>
      <c r="P47" s="19">
        <f>'Ability OLD'!$B$7</f>
        <v>0.2556274253781865</v>
      </c>
      <c r="Q47" s="283"/>
      <c r="R47" s="283"/>
      <c r="S47" s="307"/>
      <c r="T47" s="311"/>
      <c r="U47" s="3"/>
      <c r="V47" s="3"/>
    </row>
    <row r="48" spans="1:70" ht="43.2" x14ac:dyDescent="0.3">
      <c r="A48" s="3" t="s">
        <v>616</v>
      </c>
      <c r="B48" s="160">
        <f>B56</f>
        <v>5.5E-2</v>
      </c>
      <c r="C48" s="75">
        <v>0</v>
      </c>
      <c r="D48" s="78">
        <v>0</v>
      </c>
      <c r="E48" s="147">
        <f>E56</f>
        <v>7.0000000000000007E-2</v>
      </c>
      <c r="F48" s="147">
        <f t="shared" ref="F48:L48" si="17">F56</f>
        <v>7.0000000000000007E-2</v>
      </c>
      <c r="G48" s="147">
        <f t="shared" si="17"/>
        <v>5.1999999999999998E-2</v>
      </c>
      <c r="H48" s="147">
        <f t="shared" si="17"/>
        <v>0.06</v>
      </c>
      <c r="I48" s="147">
        <f t="shared" si="17"/>
        <v>6.4000000000000001E-2</v>
      </c>
      <c r="J48" s="147">
        <f t="shared" si="17"/>
        <v>6.6000000000000003E-2</v>
      </c>
      <c r="K48" s="147">
        <f t="shared" si="17"/>
        <v>0.06</v>
      </c>
      <c r="L48" s="147">
        <f t="shared" si="17"/>
        <v>6.4000000000000001E-2</v>
      </c>
      <c r="M48" s="24"/>
      <c r="N48" s="24"/>
      <c r="O48" s="24">
        <v>5.2999999999999999E-2</v>
      </c>
      <c r="P48" s="24">
        <v>5.2999999999999999E-2</v>
      </c>
      <c r="Q48" s="288" t="s">
        <v>617</v>
      </c>
      <c r="R48" s="283"/>
      <c r="S48" s="307"/>
      <c r="T48" s="311"/>
      <c r="U48" s="3"/>
      <c r="V48" s="3"/>
    </row>
    <row r="49" spans="1:70" ht="14.4" x14ac:dyDescent="0.3">
      <c r="A49" s="3" t="s">
        <v>618</v>
      </c>
      <c r="B49" s="36">
        <v>0</v>
      </c>
      <c r="C49" s="36">
        <v>0</v>
      </c>
      <c r="D49" s="36">
        <v>0</v>
      </c>
      <c r="E49" s="36">
        <v>0</v>
      </c>
      <c r="F49" s="36">
        <v>0</v>
      </c>
      <c r="G49" s="36">
        <v>0</v>
      </c>
      <c r="H49" s="36">
        <v>0</v>
      </c>
      <c r="I49" s="36">
        <v>0</v>
      </c>
      <c r="J49" s="36">
        <v>0</v>
      </c>
      <c r="K49" s="36">
        <v>0</v>
      </c>
      <c r="L49" s="36">
        <v>0</v>
      </c>
      <c r="M49" s="36"/>
      <c r="N49" s="36"/>
      <c r="O49" s="36">
        <v>0</v>
      </c>
      <c r="P49" s="36">
        <v>0</v>
      </c>
      <c r="Q49" s="283"/>
      <c r="R49" s="283"/>
      <c r="S49" s="307"/>
      <c r="T49" s="311"/>
      <c r="U49" s="3"/>
      <c r="V49" s="3"/>
    </row>
    <row r="50" spans="1:70" ht="14.4" x14ac:dyDescent="0.3">
      <c r="A50" s="3" t="s">
        <v>619</v>
      </c>
      <c r="B50" s="36">
        <v>0</v>
      </c>
      <c r="C50" s="36">
        <v>0</v>
      </c>
      <c r="D50" s="36">
        <v>0</v>
      </c>
      <c r="E50" s="36">
        <v>0</v>
      </c>
      <c r="F50" s="36">
        <v>0</v>
      </c>
      <c r="G50" s="36">
        <v>0</v>
      </c>
      <c r="H50" s="36">
        <v>0</v>
      </c>
      <c r="I50" s="36">
        <v>0</v>
      </c>
      <c r="J50" s="36">
        <v>0</v>
      </c>
      <c r="K50" s="36">
        <v>0</v>
      </c>
      <c r="L50" s="36">
        <v>0</v>
      </c>
      <c r="M50" s="36"/>
      <c r="N50" s="36"/>
      <c r="O50" s="36">
        <v>0</v>
      </c>
      <c r="P50" s="36">
        <v>0</v>
      </c>
      <c r="Q50" s="283"/>
      <c r="R50" s="283"/>
      <c r="S50" s="307"/>
      <c r="T50" s="311"/>
      <c r="U50" s="3"/>
      <c r="V50" s="3"/>
    </row>
    <row r="51" spans="1:70" ht="14.4" x14ac:dyDescent="0.3">
      <c r="A51" s="3" t="s">
        <v>620</v>
      </c>
      <c r="B51" s="51">
        <f>Slaughter_OLD!$C$7</f>
        <v>6.9444444444444441E-3</v>
      </c>
      <c r="C51" s="51">
        <f>Slaughter_OLD!$E$7</f>
        <v>6.9444444444444441E-3</v>
      </c>
      <c r="D51" s="51">
        <f>Slaughter_OLD!$G$7</f>
        <v>6.9444444444444441E-3</v>
      </c>
      <c r="E51" s="51">
        <f>Slaughter_OLD!$I$7</f>
        <v>6.9444444444444441E-3</v>
      </c>
      <c r="F51" s="51">
        <f>Slaughter_OLD!$K$7</f>
        <v>6.9444444444444441E-3</v>
      </c>
      <c r="G51" s="51">
        <f>Slaughter_OLD!$M$7</f>
        <v>6.9444444444444441E-3</v>
      </c>
      <c r="H51" s="51">
        <f>Slaughter_OLD!$O$7</f>
        <v>6.9444444444444441E-3</v>
      </c>
      <c r="I51" s="51">
        <f>Slaughter_OLD!$Q$7</f>
        <v>6.9444444444444441E-3</v>
      </c>
      <c r="J51" s="51">
        <f>Slaughter_OLD!$S$7</f>
        <v>6.9444444444444441E-3</v>
      </c>
      <c r="K51" s="51">
        <f>Slaughter_OLD!$U$7</f>
        <v>6.9444444444444441E-3</v>
      </c>
      <c r="L51" s="51">
        <f>Slaughter_OLD!$W$7</f>
        <v>6.9444444444444441E-3</v>
      </c>
      <c r="M51" s="51"/>
      <c r="N51" s="51"/>
      <c r="O51" s="51">
        <v>1E-3</v>
      </c>
      <c r="P51" s="51">
        <v>1</v>
      </c>
      <c r="Q51" s="283"/>
      <c r="R51" s="283"/>
      <c r="S51" s="307"/>
      <c r="T51" s="311"/>
      <c r="U51" s="3"/>
      <c r="V51" s="3"/>
    </row>
    <row r="52" spans="1:70" ht="14.4" x14ac:dyDescent="0.3">
      <c r="A52" s="132" t="s">
        <v>621</v>
      </c>
      <c r="B52" s="47">
        <v>0</v>
      </c>
      <c r="C52" s="47">
        <v>0</v>
      </c>
      <c r="D52" s="47">
        <v>0</v>
      </c>
      <c r="E52" s="47">
        <v>0</v>
      </c>
      <c r="F52" s="47">
        <v>0</v>
      </c>
      <c r="G52" s="47">
        <v>0</v>
      </c>
      <c r="H52" s="47">
        <v>0</v>
      </c>
      <c r="I52" s="47">
        <v>0</v>
      </c>
      <c r="J52" s="47">
        <v>0</v>
      </c>
      <c r="K52" s="47">
        <v>0</v>
      </c>
      <c r="L52" s="47">
        <v>0</v>
      </c>
      <c r="M52" s="36"/>
      <c r="N52" s="36"/>
      <c r="O52" s="36">
        <v>0</v>
      </c>
      <c r="P52" s="36">
        <v>0</v>
      </c>
      <c r="Q52" s="283"/>
      <c r="R52" s="283"/>
      <c r="S52" s="307"/>
      <c r="T52" s="311"/>
      <c r="U52" s="3"/>
      <c r="V52" s="3"/>
    </row>
    <row r="53" spans="1:70" ht="57.6" x14ac:dyDescent="0.3">
      <c r="A53" s="3" t="s">
        <v>622</v>
      </c>
      <c r="B53" s="18">
        <f>B56*B55*B54*100</f>
        <v>6.7027372376250396</v>
      </c>
      <c r="C53" s="18">
        <f t="shared" ref="C53:P53" si="18">C56*C55*C54*100</f>
        <v>6.8052206520011511</v>
      </c>
      <c r="D53" s="18">
        <f t="shared" si="18"/>
        <v>6.9023384425879382</v>
      </c>
      <c r="E53" s="18">
        <f t="shared" si="18"/>
        <v>9.9149898650997859</v>
      </c>
      <c r="F53" s="18">
        <f t="shared" si="18"/>
        <v>10.414870888672553</v>
      </c>
      <c r="G53" s="18">
        <f t="shared" si="18"/>
        <v>7.3471584104026126</v>
      </c>
      <c r="H53" s="18">
        <f t="shared" si="18"/>
        <v>8.4985627415140996</v>
      </c>
      <c r="I53" s="18">
        <f t="shared" si="18"/>
        <v>8.1292127112161889</v>
      </c>
      <c r="J53" s="18">
        <f t="shared" si="18"/>
        <v>9.9897183709656563</v>
      </c>
      <c r="K53" s="18">
        <f t="shared" si="18"/>
        <v>8.8357190290760634</v>
      </c>
      <c r="L53" s="18">
        <f t="shared" si="18"/>
        <v>7.7021480803043705</v>
      </c>
      <c r="M53" s="18"/>
      <c r="N53" s="18"/>
      <c r="O53" s="18">
        <f t="shared" si="18"/>
        <v>3.2193742735951202E-3</v>
      </c>
      <c r="P53" s="18">
        <f t="shared" si="18"/>
        <v>20.486927195605311</v>
      </c>
      <c r="Q53" s="288" t="s">
        <v>623</v>
      </c>
      <c r="R53" s="283"/>
      <c r="S53" s="307"/>
      <c r="T53" s="311"/>
      <c r="U53" s="3"/>
      <c r="V53" s="3"/>
    </row>
    <row r="54" spans="1:70" ht="14.4" x14ac:dyDescent="0.3">
      <c r="A54" s="3" t="s">
        <v>624</v>
      </c>
      <c r="B54" s="18">
        <f>(2*(B57+B58+B60))+B59</f>
        <v>2.0819999999999999</v>
      </c>
      <c r="C54" s="18">
        <f t="shared" ref="C54:P54" si="19">(2*(C57+C58+C60))+C59</f>
        <v>2.1138333333333335</v>
      </c>
      <c r="D54" s="18">
        <f t="shared" si="19"/>
        <v>2.1440000000000001</v>
      </c>
      <c r="E54" s="18">
        <f t="shared" si="19"/>
        <v>2.4198333333333335</v>
      </c>
      <c r="F54" s="18">
        <f t="shared" si="19"/>
        <v>2.5418333333333334</v>
      </c>
      <c r="G54" s="18">
        <f t="shared" si="19"/>
        <v>2.4138333333333333</v>
      </c>
      <c r="H54" s="18">
        <f t="shared" si="19"/>
        <v>2.4198333333333335</v>
      </c>
      <c r="I54" s="18">
        <f t="shared" si="19"/>
        <v>2.17</v>
      </c>
      <c r="J54" s="18">
        <f t="shared" si="19"/>
        <v>2.585833333333333</v>
      </c>
      <c r="K54" s="18">
        <f t="shared" si="19"/>
        <v>2.5158333333333336</v>
      </c>
      <c r="L54" s="18">
        <f t="shared" si="19"/>
        <v>2.056</v>
      </c>
      <c r="M54" s="18"/>
      <c r="N54" s="18"/>
      <c r="O54" s="153">
        <f t="shared" si="19"/>
        <v>1E-3</v>
      </c>
      <c r="P54" s="18">
        <f t="shared" si="19"/>
        <v>5</v>
      </c>
      <c r="Q54" s="283"/>
      <c r="R54" s="283"/>
      <c r="S54" s="307"/>
      <c r="T54" s="311"/>
      <c r="U54" s="3"/>
      <c r="V54" s="3"/>
    </row>
    <row r="55" spans="1:70" ht="14.4" x14ac:dyDescent="0.3">
      <c r="A55" s="3" t="s">
        <v>625</v>
      </c>
      <c r="B55" s="18">
        <f>'Ability OLD'!$B$8</f>
        <v>0.58534077701729459</v>
      </c>
      <c r="C55" s="18">
        <f>'Ability OLD'!$B$8</f>
        <v>0.58534077701729459</v>
      </c>
      <c r="D55" s="18">
        <f>'Ability OLD'!$B$8</f>
        <v>0.58534077701729459</v>
      </c>
      <c r="E55" s="18">
        <f>'Ability OLD'!$B$8</f>
        <v>0.58534077701729459</v>
      </c>
      <c r="F55" s="18">
        <f>'Ability OLD'!$B$8</f>
        <v>0.58534077701729459</v>
      </c>
      <c r="G55" s="18">
        <f>'Ability OLD'!$B$8</f>
        <v>0.58534077701729459</v>
      </c>
      <c r="H55" s="18">
        <f>'Ability OLD'!$B$8</f>
        <v>0.58534077701729459</v>
      </c>
      <c r="I55" s="18">
        <f>'Ability OLD'!$B$8</f>
        <v>0.58534077701729459</v>
      </c>
      <c r="J55" s="18">
        <f>'Ability OLD'!$B$8</f>
        <v>0.58534077701729459</v>
      </c>
      <c r="K55" s="18">
        <f>'Ability OLD'!$B$8</f>
        <v>0.58534077701729459</v>
      </c>
      <c r="L55" s="18">
        <f>'Ability OLD'!$B$8</f>
        <v>0.58534077701729459</v>
      </c>
      <c r="M55" s="18"/>
      <c r="N55" s="18"/>
      <c r="O55" s="18">
        <f>'Ability OLD'!$B$8</f>
        <v>0.58534077701729459</v>
      </c>
      <c r="P55" s="18">
        <f>'Ability OLD'!$B$8</f>
        <v>0.58534077701729459</v>
      </c>
      <c r="Q55" s="283"/>
      <c r="R55" s="283"/>
      <c r="S55" s="307"/>
      <c r="T55" s="311"/>
      <c r="U55" s="3"/>
      <c r="V55" s="3"/>
    </row>
    <row r="56" spans="1:70" ht="28.8" x14ac:dyDescent="0.3">
      <c r="A56" s="3" t="s">
        <v>626</v>
      </c>
      <c r="B56" s="2">
        <f>D56</f>
        <v>5.5E-2</v>
      </c>
      <c r="C56" s="2">
        <v>5.5E-2</v>
      </c>
      <c r="D56" s="2">
        <v>5.5E-2</v>
      </c>
      <c r="E56" s="18">
        <f>F56</f>
        <v>7.0000000000000007E-2</v>
      </c>
      <c r="F56" s="18">
        <v>7.0000000000000007E-2</v>
      </c>
      <c r="G56" s="2">
        <v>5.1999999999999998E-2</v>
      </c>
      <c r="H56" s="18">
        <f>K56</f>
        <v>0.06</v>
      </c>
      <c r="I56" s="2">
        <f>L56</f>
        <v>6.4000000000000001E-2</v>
      </c>
      <c r="J56" s="2">
        <v>6.6000000000000003E-2</v>
      </c>
      <c r="K56" s="18">
        <v>0.06</v>
      </c>
      <c r="L56" s="2">
        <v>6.4000000000000001E-2</v>
      </c>
      <c r="O56" s="2">
        <v>5.5E-2</v>
      </c>
      <c r="P56" s="2">
        <v>7.0000000000000007E-2</v>
      </c>
      <c r="Q56" s="287" t="s">
        <v>627</v>
      </c>
      <c r="R56" s="282" t="s">
        <v>628</v>
      </c>
    </row>
    <row r="57" spans="1:70" ht="43.2" x14ac:dyDescent="0.3">
      <c r="A57" t="s">
        <v>629</v>
      </c>
      <c r="B57" s="77">
        <v>0.04</v>
      </c>
      <c r="C57" s="77">
        <v>3.5000000000000003E-2</v>
      </c>
      <c r="D57" s="77">
        <v>0.04</v>
      </c>
      <c r="E57" s="77">
        <v>3.5000000000000003E-2</v>
      </c>
      <c r="F57" s="77">
        <v>0.03</v>
      </c>
      <c r="G57" s="77">
        <v>3.5000000000000003E-2</v>
      </c>
      <c r="H57" s="77">
        <v>3.5000000000000003E-2</v>
      </c>
      <c r="I57" s="77">
        <v>0.04</v>
      </c>
      <c r="J57" s="77">
        <v>0.03</v>
      </c>
      <c r="K57" s="77">
        <v>0.03</v>
      </c>
      <c r="L57" s="77">
        <v>0.04</v>
      </c>
      <c r="M57" s="77"/>
      <c r="N57" s="77"/>
      <c r="O57" s="77">
        <v>0</v>
      </c>
      <c r="P57" s="77">
        <v>0.5</v>
      </c>
      <c r="Q57" s="287" t="s">
        <v>630</v>
      </c>
      <c r="R57" s="288" t="s">
        <v>631</v>
      </c>
    </row>
    <row r="58" spans="1:70" ht="144" x14ac:dyDescent="0.3">
      <c r="A58" t="s">
        <v>632</v>
      </c>
      <c r="B58" s="77">
        <v>0.46</v>
      </c>
      <c r="C58" s="77">
        <v>0.44</v>
      </c>
      <c r="D58" s="77">
        <v>0.46</v>
      </c>
      <c r="E58" s="77">
        <v>0.44</v>
      </c>
      <c r="F58" s="77">
        <v>0.42</v>
      </c>
      <c r="G58" s="77">
        <v>0.44</v>
      </c>
      <c r="H58" s="77">
        <v>0.44</v>
      </c>
      <c r="I58" s="77">
        <v>0.46</v>
      </c>
      <c r="J58" s="77">
        <v>0.42</v>
      </c>
      <c r="K58" s="77">
        <v>0.42</v>
      </c>
      <c r="L58" s="77">
        <v>0.46</v>
      </c>
      <c r="M58" s="77"/>
      <c r="N58" s="77"/>
      <c r="O58" s="77">
        <v>0</v>
      </c>
      <c r="P58" s="77">
        <v>0.5</v>
      </c>
      <c r="Q58" s="287" t="s">
        <v>633</v>
      </c>
      <c r="R58" s="287" t="s">
        <v>634</v>
      </c>
    </row>
    <row r="59" spans="1:70" ht="14.4" x14ac:dyDescent="0.3">
      <c r="A59" t="s">
        <v>635</v>
      </c>
      <c r="B59" s="51">
        <f>Slaughter_OLD!$C$8</f>
        <v>0.25</v>
      </c>
      <c r="C59" s="51">
        <f>Slaughter_OLD!$E$8</f>
        <v>0.27583333333333332</v>
      </c>
      <c r="D59" s="51">
        <f>Slaughter_OLD!$G$8</f>
        <v>0.25</v>
      </c>
      <c r="E59" s="51">
        <f>Slaughter_OLD!$I$8</f>
        <v>0.27583333333333332</v>
      </c>
      <c r="F59" s="51">
        <f>Slaughter_OLD!$K$8</f>
        <v>0.27583333333333332</v>
      </c>
      <c r="G59" s="51">
        <f>Slaughter_OLD!$M$8</f>
        <v>0.27583333333333332</v>
      </c>
      <c r="H59" s="51">
        <f>Slaughter_OLD!$O$8</f>
        <v>0.27583333333333332</v>
      </c>
      <c r="I59" s="51">
        <f>Slaughter_OLD!$Q$8</f>
        <v>0.25</v>
      </c>
      <c r="J59" s="51">
        <f>Slaughter_OLD!$S$8</f>
        <v>0.27583333333333332</v>
      </c>
      <c r="K59" s="51">
        <f>Slaughter_OLD!$U$8</f>
        <v>0.27583333333333332</v>
      </c>
      <c r="L59" s="51">
        <f>Slaughter_OLD!$W$8</f>
        <v>0.25</v>
      </c>
      <c r="M59" s="51"/>
      <c r="N59" s="51"/>
      <c r="O59" s="18">
        <v>1E-3</v>
      </c>
      <c r="P59" s="51">
        <v>1</v>
      </c>
      <c r="R59" s="282" t="s">
        <v>544</v>
      </c>
    </row>
    <row r="60" spans="1:70" ht="14.4" x14ac:dyDescent="0.3">
      <c r="A60" s="133" t="s">
        <v>636</v>
      </c>
      <c r="B60" s="126">
        <v>0.41599999999999998</v>
      </c>
      <c r="C60" s="126">
        <v>0.44400000000000001</v>
      </c>
      <c r="D60" s="126">
        <v>0.44700000000000001</v>
      </c>
      <c r="E60" s="126">
        <v>0.59699999999999998</v>
      </c>
      <c r="F60" s="126">
        <v>0.68300000000000005</v>
      </c>
      <c r="G60" s="126">
        <v>0.59399999999999997</v>
      </c>
      <c r="H60" s="126">
        <v>0.59699999999999998</v>
      </c>
      <c r="I60" s="126">
        <v>0.46</v>
      </c>
      <c r="J60" s="126">
        <v>0.70499999999999996</v>
      </c>
      <c r="K60" s="126">
        <v>0.67</v>
      </c>
      <c r="L60" s="126">
        <v>0.40300000000000002</v>
      </c>
      <c r="M60" s="77"/>
      <c r="N60" s="77"/>
      <c r="O60" s="77">
        <v>0</v>
      </c>
      <c r="P60" s="77">
        <v>1</v>
      </c>
      <c r="R60" s="285"/>
    </row>
    <row r="61" spans="1:70" s="5" customFormat="1" ht="14.4" x14ac:dyDescent="0.3">
      <c r="A61" s="131" t="s">
        <v>637</v>
      </c>
      <c r="B61" s="130">
        <f>B62+B70</f>
        <v>70.378120212897656</v>
      </c>
      <c r="C61" s="130">
        <f t="shared" ref="C61:P61" si="20">C62+C70</f>
        <v>76.868549579077296</v>
      </c>
      <c r="D61" s="130">
        <f t="shared" si="20"/>
        <v>67.939375147030404</v>
      </c>
      <c r="E61" s="130">
        <f t="shared" si="20"/>
        <v>76.426602115042613</v>
      </c>
      <c r="F61" s="130">
        <f t="shared" si="20"/>
        <v>76.41384051491049</v>
      </c>
      <c r="G61" s="130">
        <f t="shared" si="20"/>
        <v>76.426602115042613</v>
      </c>
      <c r="H61" s="130">
        <f t="shared" si="20"/>
        <v>76.426602115042613</v>
      </c>
      <c r="I61" s="130">
        <f t="shared" si="20"/>
        <v>75.375612033895237</v>
      </c>
      <c r="J61" s="130">
        <f t="shared" si="20"/>
        <v>76.41384051491049</v>
      </c>
      <c r="K61" s="130">
        <f t="shared" si="20"/>
        <v>76.41384051491049</v>
      </c>
      <c r="L61" s="130">
        <f t="shared" si="20"/>
        <v>60.503138260165535</v>
      </c>
      <c r="M61" s="130"/>
      <c r="N61" s="130"/>
      <c r="O61" s="130">
        <f t="shared" si="20"/>
        <v>4.1177484436626645E-2</v>
      </c>
      <c r="P61" s="130">
        <f t="shared" si="20"/>
        <v>205.88742218313325</v>
      </c>
      <c r="Q61" s="282"/>
      <c r="R61" s="282"/>
      <c r="S61" s="282"/>
      <c r="T61" s="282"/>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row>
    <row r="62" spans="1:70" ht="15.75" customHeight="1" x14ac:dyDescent="0.3">
      <c r="A62" t="s">
        <v>638</v>
      </c>
      <c r="B62" s="18">
        <f>B65*B64*B63*100</f>
        <v>69.731745166205215</v>
      </c>
      <c r="C62" s="18">
        <f t="shared" ref="C62:P62" si="21">C65*C64*C63*100</f>
        <v>76.21014725221913</v>
      </c>
      <c r="D62" s="18">
        <f t="shared" si="21"/>
        <v>67.280238500205826</v>
      </c>
      <c r="E62" s="18">
        <f t="shared" si="21"/>
        <v>75.77198520159817</v>
      </c>
      <c r="F62" s="18">
        <f t="shared" si="21"/>
        <v>75.77198520159817</v>
      </c>
      <c r="G62" s="18">
        <f t="shared" si="21"/>
        <v>75.77198520159817</v>
      </c>
      <c r="H62" s="18">
        <f t="shared" si="21"/>
        <v>75.77198520159817</v>
      </c>
      <c r="I62" s="18">
        <f t="shared" si="21"/>
        <v>74.716475387070659</v>
      </c>
      <c r="J62" s="18">
        <f t="shared" si="21"/>
        <v>75.77198520159817</v>
      </c>
      <c r="K62" s="18">
        <f>K65*K64*K63*100</f>
        <v>75.77198520159817</v>
      </c>
      <c r="L62" s="18">
        <f>L65*L64*L63*100</f>
        <v>59.844001613340957</v>
      </c>
      <c r="M62" s="18"/>
      <c r="N62" s="18"/>
      <c r="O62" s="18">
        <f>O65*O64*O63*100</f>
        <v>4.0858444433323364E-2</v>
      </c>
      <c r="P62" s="18">
        <f t="shared" si="21"/>
        <v>204.29222216661685</v>
      </c>
    </row>
    <row r="63" spans="1:70" ht="14.4" x14ac:dyDescent="0.3">
      <c r="A63" t="s">
        <v>639</v>
      </c>
      <c r="B63" s="18">
        <f>(2*(B66+B67+B69))+B68</f>
        <v>1.7066666666666668</v>
      </c>
      <c r="C63" s="18">
        <f t="shared" ref="C63:P63" si="22">(2*(C66+C67+C69))+C68</f>
        <v>1.8544999999999998</v>
      </c>
      <c r="D63" s="18">
        <f t="shared" si="22"/>
        <v>1.6466666666666667</v>
      </c>
      <c r="E63" s="18">
        <f t="shared" si="22"/>
        <v>1.8544999999999998</v>
      </c>
      <c r="F63" s="18">
        <f t="shared" si="22"/>
        <v>1.8544999999999998</v>
      </c>
      <c r="G63" s="18">
        <f t="shared" si="22"/>
        <v>1.8544999999999998</v>
      </c>
      <c r="H63" s="18">
        <f t="shared" si="22"/>
        <v>1.8544999999999998</v>
      </c>
      <c r="I63" s="18">
        <f t="shared" si="22"/>
        <v>1.8286666666666667</v>
      </c>
      <c r="J63" s="18">
        <f t="shared" si="22"/>
        <v>1.8544999999999998</v>
      </c>
      <c r="K63" s="18">
        <f t="shared" si="22"/>
        <v>1.8544999999999998</v>
      </c>
      <c r="L63" s="18">
        <f t="shared" si="22"/>
        <v>1.4646666666666668</v>
      </c>
      <c r="M63" s="18"/>
      <c r="N63" s="18"/>
      <c r="O63" s="18">
        <f t="shared" si="22"/>
        <v>1E-3</v>
      </c>
      <c r="P63" s="18">
        <f t="shared" si="22"/>
        <v>5</v>
      </c>
    </row>
    <row r="64" spans="1:70" ht="14.4" x14ac:dyDescent="0.3">
      <c r="A64" t="s">
        <v>640</v>
      </c>
      <c r="B64" s="18">
        <f>'Ability OLD'!$B$9</f>
        <v>0.54320827892864587</v>
      </c>
      <c r="C64" s="18">
        <f>'Ability OLD'!$B$9</f>
        <v>0.54320827892864587</v>
      </c>
      <c r="D64" s="18">
        <f>'Ability OLD'!$B$9</f>
        <v>0.54320827892864587</v>
      </c>
      <c r="E64" s="18">
        <f>'Ability OLD'!$B$9</f>
        <v>0.54320827892864587</v>
      </c>
      <c r="F64" s="18">
        <f>'Ability OLD'!$B$9</f>
        <v>0.54320827892864587</v>
      </c>
      <c r="G64" s="18">
        <f>'Ability OLD'!$B$9</f>
        <v>0.54320827892864587</v>
      </c>
      <c r="H64" s="18">
        <f>'Ability OLD'!$B$9</f>
        <v>0.54320827892864587</v>
      </c>
      <c r="I64" s="18">
        <f>'Ability OLD'!$B$9</f>
        <v>0.54320827892864587</v>
      </c>
      <c r="J64" s="18">
        <f>'Ability OLD'!$B$9</f>
        <v>0.54320827892864587</v>
      </c>
      <c r="K64" s="18">
        <f>'Ability OLD'!$B$9</f>
        <v>0.54320827892864587</v>
      </c>
      <c r="L64" s="18">
        <f>'Ability OLD'!$B$9</f>
        <v>0.54320827892864587</v>
      </c>
      <c r="M64" s="18"/>
      <c r="N64" s="18"/>
      <c r="O64" s="18">
        <f>'Ability OLD'!$B$9</f>
        <v>0.54320827892864587</v>
      </c>
      <c r="P64" s="18">
        <f>'Ability OLD'!$B$9</f>
        <v>0.54320827892864587</v>
      </c>
    </row>
    <row r="65" spans="1:70" ht="14.4" x14ac:dyDescent="0.3">
      <c r="A65" s="3" t="s">
        <v>641</v>
      </c>
      <c r="B65" s="48">
        <v>0.75216903015372494</v>
      </c>
      <c r="C65" s="49">
        <v>0.75651855225993447</v>
      </c>
      <c r="D65" s="48">
        <v>0.75216903015372505</v>
      </c>
      <c r="E65" s="48">
        <v>0.75216903015372494</v>
      </c>
      <c r="F65" s="48">
        <v>0.75216903015372494</v>
      </c>
      <c r="G65" s="48">
        <v>0.75216903015372494</v>
      </c>
      <c r="H65" s="48">
        <v>0.75216903015372494</v>
      </c>
      <c r="I65" s="48">
        <v>0.75216903015372494</v>
      </c>
      <c r="J65" s="48">
        <v>0.75216903015372494</v>
      </c>
      <c r="K65" s="48">
        <v>0.75216903015372494</v>
      </c>
      <c r="L65" s="48">
        <v>0.75216903015372494</v>
      </c>
      <c r="M65" s="48"/>
      <c r="N65" s="48"/>
      <c r="O65" s="48">
        <v>0.75216903015372494</v>
      </c>
      <c r="P65" s="48">
        <v>0.75216903015372494</v>
      </c>
      <c r="R65" s="282" t="s">
        <v>642</v>
      </c>
      <c r="S65" s="307"/>
      <c r="T65" s="311"/>
      <c r="U65" s="3"/>
      <c r="V65" s="3"/>
    </row>
    <row r="66" spans="1:70" ht="43.2" x14ac:dyDescent="0.3">
      <c r="A66" t="s">
        <v>643</v>
      </c>
      <c r="B66" s="80">
        <v>3.7999999999999999E-2</v>
      </c>
      <c r="C66" s="80">
        <v>3.7999999999999999E-2</v>
      </c>
      <c r="D66" s="80">
        <v>3.7999999999999999E-2</v>
      </c>
      <c r="E66" s="80">
        <v>3.7999999999999999E-2</v>
      </c>
      <c r="F66" s="80">
        <v>3.7999999999999999E-2</v>
      </c>
      <c r="G66" s="80">
        <v>3.7999999999999999E-2</v>
      </c>
      <c r="H66" s="80">
        <v>3.7999999999999999E-2</v>
      </c>
      <c r="I66" s="80">
        <v>3.7999999999999999E-2</v>
      </c>
      <c r="J66" s="80">
        <v>3.7999999999999999E-2</v>
      </c>
      <c r="K66" s="80">
        <v>3.7999999999999999E-2</v>
      </c>
      <c r="L66" s="80">
        <v>3.7999999999999999E-2</v>
      </c>
      <c r="M66" s="80"/>
      <c r="N66" s="80"/>
      <c r="O66" s="80">
        <v>0</v>
      </c>
      <c r="P66" s="80">
        <v>0.5</v>
      </c>
      <c r="Q66" s="287" t="s">
        <v>644</v>
      </c>
      <c r="R66" s="298" t="s">
        <v>645</v>
      </c>
      <c r="S66" s="285" t="s">
        <v>646</v>
      </c>
    </row>
    <row r="67" spans="1:70" ht="144" x14ac:dyDescent="0.3">
      <c r="A67" t="s">
        <v>647</v>
      </c>
      <c r="B67" s="77">
        <v>0.115</v>
      </c>
      <c r="C67" s="77">
        <v>0.14499999999999999</v>
      </c>
      <c r="D67" s="77">
        <v>0.1</v>
      </c>
      <c r="E67" s="77">
        <v>0.14499999999999999</v>
      </c>
      <c r="F67" s="77">
        <v>0.14499999999999999</v>
      </c>
      <c r="G67" s="77">
        <v>0.14499999999999999</v>
      </c>
      <c r="H67" s="77">
        <v>0.14499999999999999</v>
      </c>
      <c r="I67" s="77">
        <v>0.14499999999999999</v>
      </c>
      <c r="J67" s="77">
        <v>0.14499999999999999</v>
      </c>
      <c r="K67" s="77">
        <v>0.14499999999999999</v>
      </c>
      <c r="L67" s="77">
        <v>5.5E-2</v>
      </c>
      <c r="M67" s="77"/>
      <c r="N67" s="77"/>
      <c r="O67" s="77">
        <v>0</v>
      </c>
      <c r="P67" s="77">
        <v>0.5</v>
      </c>
      <c r="Q67" s="288" t="s">
        <v>648</v>
      </c>
      <c r="R67" s="287" t="s">
        <v>649</v>
      </c>
    </row>
    <row r="68" spans="1:70" ht="14.4" x14ac:dyDescent="0.3">
      <c r="A68" t="s">
        <v>650</v>
      </c>
      <c r="B68" s="144">
        <f>Slaughter_OLD!$C$20</f>
        <v>0.16666666666666666</v>
      </c>
      <c r="C68" s="144">
        <f>Slaughter_OLD!$E$20</f>
        <v>0.1925</v>
      </c>
      <c r="D68" s="144">
        <f>Slaughter_OLD!$G$20</f>
        <v>0.16666666666666666</v>
      </c>
      <c r="E68" s="144">
        <f>Slaughter_OLD!$I$20</f>
        <v>0.1925</v>
      </c>
      <c r="F68" s="144">
        <f>Slaughter_OLD!$K$20</f>
        <v>0.1925</v>
      </c>
      <c r="G68" s="144">
        <f>Slaughter_OLD!$M$20</f>
        <v>0.1925</v>
      </c>
      <c r="H68" s="144">
        <f>Slaughter_OLD!$O$20</f>
        <v>0.1925</v>
      </c>
      <c r="I68" s="144">
        <f>Slaughter_OLD!$Q$20</f>
        <v>0.16666666666666666</v>
      </c>
      <c r="J68" s="144">
        <f>Slaughter_OLD!$S$20</f>
        <v>0.1925</v>
      </c>
      <c r="K68" s="144">
        <f>Slaughter_OLD!$U$20</f>
        <v>0.1925</v>
      </c>
      <c r="L68" s="144">
        <f>Slaughter_OLD!$W$20</f>
        <v>0.16666666666666666</v>
      </c>
      <c r="M68" s="144"/>
      <c r="N68" s="144"/>
      <c r="O68" s="162">
        <v>1E-3</v>
      </c>
      <c r="P68" s="144">
        <v>1</v>
      </c>
      <c r="Q68" s="290" t="s">
        <v>651</v>
      </c>
    </row>
    <row r="69" spans="1:70" ht="14.4" x14ac:dyDescent="0.3">
      <c r="A69" s="133" t="s">
        <v>652</v>
      </c>
      <c r="B69" s="126">
        <v>0.61699999999999999</v>
      </c>
      <c r="C69" s="126">
        <v>0.64800000000000002</v>
      </c>
      <c r="D69" s="126">
        <v>0.60199999999999998</v>
      </c>
      <c r="E69" s="126">
        <v>0.64800000000000002</v>
      </c>
      <c r="F69" s="126">
        <v>0.64800000000000002</v>
      </c>
      <c r="G69" s="126">
        <v>0.64800000000000002</v>
      </c>
      <c r="H69" s="126">
        <v>0.64800000000000002</v>
      </c>
      <c r="I69" s="126">
        <v>0.64800000000000002</v>
      </c>
      <c r="J69" s="126">
        <v>0.64800000000000002</v>
      </c>
      <c r="K69" s="126">
        <v>0.64800000000000002</v>
      </c>
      <c r="L69" s="126">
        <v>0.55600000000000005</v>
      </c>
      <c r="M69" s="77"/>
      <c r="N69" s="77"/>
      <c r="O69" s="77">
        <v>0</v>
      </c>
      <c r="P69" s="77">
        <v>1</v>
      </c>
    </row>
    <row r="70" spans="1:70" ht="14.4" x14ac:dyDescent="0.3">
      <c r="A70" t="s">
        <v>653</v>
      </c>
      <c r="B70" s="18">
        <f>B73*B72*B71*100</f>
        <v>0.64637504669244505</v>
      </c>
      <c r="C70" s="18">
        <f t="shared" ref="C70:P70" si="23">C73*C72*C71*100</f>
        <v>0.6584023268581618</v>
      </c>
      <c r="D70" s="18">
        <f t="shared" si="23"/>
        <v>0.65913664682457618</v>
      </c>
      <c r="E70" s="18">
        <f t="shared" si="23"/>
        <v>0.65461691344444639</v>
      </c>
      <c r="F70" s="18">
        <f t="shared" si="23"/>
        <v>0.64185531331231527</v>
      </c>
      <c r="G70" s="18">
        <f t="shared" si="23"/>
        <v>0.65461691344444639</v>
      </c>
      <c r="H70" s="18">
        <f t="shared" si="23"/>
        <v>0.65461691344444639</v>
      </c>
      <c r="I70" s="18">
        <f t="shared" si="23"/>
        <v>0.65913664682457618</v>
      </c>
      <c r="J70" s="18">
        <f t="shared" si="23"/>
        <v>0.64185531331231527</v>
      </c>
      <c r="K70" s="18">
        <f t="shared" si="23"/>
        <v>0.64185531331231527</v>
      </c>
      <c r="L70" s="18">
        <f t="shared" si="23"/>
        <v>0.65913664682457618</v>
      </c>
      <c r="M70" s="18"/>
      <c r="N70" s="18"/>
      <c r="O70" s="153">
        <f t="shared" si="23"/>
        <v>3.1904000330327994E-4</v>
      </c>
      <c r="P70" s="18">
        <f t="shared" si="23"/>
        <v>1.5952000165163995</v>
      </c>
    </row>
    <row r="71" spans="1:70" ht="14.4" x14ac:dyDescent="0.3">
      <c r="A71" t="s">
        <v>654</v>
      </c>
      <c r="B71" s="18">
        <f>(2*(B74+B75+B77))+B76</f>
        <v>2.0259999999999998</v>
      </c>
      <c r="C71" s="18">
        <f t="shared" ref="C71:P71" si="24">(2*(C74+C75+C77))+C76</f>
        <v>2.0518333333333332</v>
      </c>
      <c r="D71" s="18">
        <f t="shared" si="24"/>
        <v>2.0659999999999998</v>
      </c>
      <c r="E71" s="18">
        <f t="shared" si="24"/>
        <v>2.0518333333333332</v>
      </c>
      <c r="F71" s="18">
        <f t="shared" si="24"/>
        <v>2.0118333333333331</v>
      </c>
      <c r="G71" s="18">
        <f t="shared" si="24"/>
        <v>2.0518333333333332</v>
      </c>
      <c r="H71" s="18">
        <f t="shared" si="24"/>
        <v>2.0518333333333332</v>
      </c>
      <c r="I71" s="18">
        <f t="shared" si="24"/>
        <v>2.0659999999999998</v>
      </c>
      <c r="J71" s="18">
        <f t="shared" si="24"/>
        <v>2.0118333333333331</v>
      </c>
      <c r="K71" s="18">
        <f t="shared" si="24"/>
        <v>2.0118333333333331</v>
      </c>
      <c r="L71" s="18">
        <f t="shared" si="24"/>
        <v>2.0659999999999998</v>
      </c>
      <c r="M71" s="18"/>
      <c r="N71" s="18"/>
      <c r="O71" s="18">
        <f t="shared" si="24"/>
        <v>1E-3</v>
      </c>
      <c r="P71" s="18">
        <f t="shared" si="24"/>
        <v>5</v>
      </c>
    </row>
    <row r="72" spans="1:70" ht="14.4" x14ac:dyDescent="0.3">
      <c r="A72" t="s">
        <v>655</v>
      </c>
      <c r="B72" s="18">
        <f>'Ability OLD'!$B$8</f>
        <v>0.58534077701729459</v>
      </c>
      <c r="C72" s="18">
        <f>'Ability OLD'!$B$8</f>
        <v>0.58534077701729459</v>
      </c>
      <c r="D72" s="18">
        <f>'Ability OLD'!$B$8</f>
        <v>0.58534077701729459</v>
      </c>
      <c r="E72" s="18">
        <f>'Ability OLD'!$B$8</f>
        <v>0.58534077701729459</v>
      </c>
      <c r="F72" s="18">
        <f>'Ability OLD'!$B$8</f>
        <v>0.58534077701729459</v>
      </c>
      <c r="G72" s="18">
        <f>'Ability OLD'!$B$8</f>
        <v>0.58534077701729459</v>
      </c>
      <c r="H72" s="18">
        <f>'Ability OLD'!$B$8</f>
        <v>0.58534077701729459</v>
      </c>
      <c r="I72" s="18">
        <f>'Ability OLD'!$B$8</f>
        <v>0.58534077701729459</v>
      </c>
      <c r="J72" s="18">
        <f>'Ability OLD'!$B$8</f>
        <v>0.58534077701729459</v>
      </c>
      <c r="K72" s="18">
        <f>'Ability OLD'!$B$8</f>
        <v>0.58534077701729459</v>
      </c>
      <c r="L72" s="18">
        <f>'Ability OLD'!$B$8</f>
        <v>0.58534077701729459</v>
      </c>
      <c r="M72" s="18"/>
      <c r="N72" s="18"/>
      <c r="O72" s="18">
        <f>'Ability OLD'!$B$8</f>
        <v>0.58534077701729459</v>
      </c>
      <c r="P72" s="18">
        <f>'Ability OLD'!$B$8</f>
        <v>0.58534077701729459</v>
      </c>
    </row>
    <row r="73" spans="1:70" ht="14.4" x14ac:dyDescent="0.3">
      <c r="A73" s="3" t="s">
        <v>656</v>
      </c>
      <c r="B73" s="48">
        <v>5.4505002185052534E-3</v>
      </c>
      <c r="C73" s="48">
        <v>5.4820184946372062E-3</v>
      </c>
      <c r="D73" s="48">
        <v>5.4505002185052534E-3</v>
      </c>
      <c r="E73" s="48">
        <v>5.4505002185052534E-3</v>
      </c>
      <c r="F73" s="48">
        <v>5.4505002185052534E-3</v>
      </c>
      <c r="G73" s="48">
        <v>5.4505002185052534E-3</v>
      </c>
      <c r="H73" s="48">
        <v>5.4505002185052534E-3</v>
      </c>
      <c r="I73" s="48">
        <v>5.4505002185052534E-3</v>
      </c>
      <c r="J73" s="48">
        <v>5.4505002185052534E-3</v>
      </c>
      <c r="K73" s="48">
        <v>5.4505002185052534E-3</v>
      </c>
      <c r="L73" s="48">
        <v>5.4505002185052534E-3</v>
      </c>
      <c r="M73" s="48"/>
      <c r="N73" s="48"/>
      <c r="O73" s="48">
        <v>5.4505002185052534E-3</v>
      </c>
      <c r="P73" s="48">
        <v>5.4505002185052534E-3</v>
      </c>
      <c r="R73" s="282" t="s">
        <v>642</v>
      </c>
    </row>
    <row r="74" spans="1:70" ht="14.4" x14ac:dyDescent="0.3">
      <c r="A74" t="s">
        <v>657</v>
      </c>
      <c r="B74" s="77">
        <v>0.06</v>
      </c>
      <c r="C74" s="77">
        <v>0.06</v>
      </c>
      <c r="D74" s="77">
        <v>0.06</v>
      </c>
      <c r="E74" s="77">
        <v>0.06</v>
      </c>
      <c r="F74" s="77">
        <v>0.06</v>
      </c>
      <c r="G74" s="77">
        <v>0.06</v>
      </c>
      <c r="H74" s="77">
        <v>0.06</v>
      </c>
      <c r="I74" s="77">
        <v>0.06</v>
      </c>
      <c r="J74" s="77">
        <v>0.06</v>
      </c>
      <c r="K74" s="77">
        <v>0.06</v>
      </c>
      <c r="L74" s="77">
        <v>0.06</v>
      </c>
      <c r="M74" s="77"/>
      <c r="N74" s="77"/>
      <c r="O74" s="77">
        <v>0</v>
      </c>
      <c r="P74" s="77">
        <v>0.5</v>
      </c>
      <c r="Q74" s="287" t="s">
        <v>658</v>
      </c>
      <c r="R74" s="299" t="s">
        <v>659</v>
      </c>
    </row>
    <row r="75" spans="1:70" ht="86.4" x14ac:dyDescent="0.3">
      <c r="A75" t="s">
        <v>660</v>
      </c>
      <c r="B75" s="77">
        <v>0.44</v>
      </c>
      <c r="C75" s="77">
        <v>0.44</v>
      </c>
      <c r="D75" s="77">
        <v>0.46</v>
      </c>
      <c r="E75" s="79">
        <v>0.44</v>
      </c>
      <c r="F75" s="77">
        <v>0.42</v>
      </c>
      <c r="G75" s="77">
        <v>0.44</v>
      </c>
      <c r="H75" s="77">
        <v>0.44</v>
      </c>
      <c r="I75" s="77">
        <v>0.46</v>
      </c>
      <c r="J75" s="77">
        <v>0.42</v>
      </c>
      <c r="K75" s="77">
        <v>0.42</v>
      </c>
      <c r="L75" s="77">
        <v>0.46</v>
      </c>
      <c r="M75" s="77"/>
      <c r="N75" s="77"/>
      <c r="O75" s="77">
        <v>0</v>
      </c>
      <c r="P75" s="77">
        <v>0.5</v>
      </c>
      <c r="Q75" s="287" t="s">
        <v>661</v>
      </c>
      <c r="R75" s="287" t="s">
        <v>539</v>
      </c>
    </row>
    <row r="76" spans="1:70" ht="14.4" x14ac:dyDescent="0.3">
      <c r="A76" t="s">
        <v>662</v>
      </c>
      <c r="B76" s="51">
        <f>Slaughter_OLD!$C$8</f>
        <v>0.25</v>
      </c>
      <c r="C76" s="51">
        <f>Slaughter_OLD!$E$8</f>
        <v>0.27583333333333332</v>
      </c>
      <c r="D76" s="51">
        <f>Slaughter_OLD!$G$8</f>
        <v>0.25</v>
      </c>
      <c r="E76" s="51">
        <f>Slaughter_OLD!$I$8</f>
        <v>0.27583333333333332</v>
      </c>
      <c r="F76" s="51">
        <f>Slaughter_OLD!$K$8</f>
        <v>0.27583333333333332</v>
      </c>
      <c r="G76" s="51">
        <f>Slaughter_OLD!$M$8</f>
        <v>0.27583333333333332</v>
      </c>
      <c r="H76" s="51">
        <f>Slaughter_OLD!$O$8</f>
        <v>0.27583333333333332</v>
      </c>
      <c r="I76" s="51">
        <f>Slaughter_OLD!$Q$8</f>
        <v>0.25</v>
      </c>
      <c r="J76" s="51">
        <f>Slaughter_OLD!$S$8</f>
        <v>0.27583333333333332</v>
      </c>
      <c r="K76" s="51">
        <f>Slaughter_OLD!$U$8</f>
        <v>0.27583333333333332</v>
      </c>
      <c r="L76" s="51">
        <f>Slaughter_OLD!$W$8</f>
        <v>0.25</v>
      </c>
      <c r="M76" s="51"/>
      <c r="N76" s="51"/>
      <c r="O76" s="18">
        <v>1E-3</v>
      </c>
      <c r="P76" s="51">
        <v>1</v>
      </c>
    </row>
    <row r="77" spans="1:70" ht="14.4" x14ac:dyDescent="0.3">
      <c r="A77" s="133" t="s">
        <v>663</v>
      </c>
      <c r="B77" s="126">
        <v>0.38800000000000001</v>
      </c>
      <c r="C77" s="126">
        <v>0.38800000000000001</v>
      </c>
      <c r="D77" s="126">
        <v>0.38800000000000001</v>
      </c>
      <c r="E77" s="126">
        <v>0.38800000000000001</v>
      </c>
      <c r="F77" s="126">
        <v>0.38800000000000001</v>
      </c>
      <c r="G77" s="126">
        <v>0.38800000000000001</v>
      </c>
      <c r="H77" s="126">
        <v>0.38800000000000001</v>
      </c>
      <c r="I77" s="126">
        <v>0.38800000000000001</v>
      </c>
      <c r="J77" s="126">
        <v>0.38800000000000001</v>
      </c>
      <c r="K77" s="126">
        <v>0.38800000000000001</v>
      </c>
      <c r="L77" s="126">
        <v>0.38800000000000001</v>
      </c>
      <c r="M77" s="77"/>
      <c r="N77" s="77"/>
      <c r="O77" s="77">
        <v>0</v>
      </c>
      <c r="P77" s="77">
        <v>1</v>
      </c>
    </row>
    <row r="78" spans="1:70" s="5" customFormat="1" ht="14.4" x14ac:dyDescent="0.3">
      <c r="A78" s="163" t="s">
        <v>664</v>
      </c>
      <c r="B78" s="164">
        <f>B79+B87</f>
        <v>3.7603024624306398</v>
      </c>
      <c r="C78" s="164">
        <f t="shared" ref="C78:P78" si="25">C79+C87</f>
        <v>3.8528813937224173</v>
      </c>
      <c r="D78" s="164">
        <f t="shared" si="25"/>
        <v>3.658512280664648</v>
      </c>
      <c r="E78" s="164">
        <f t="shared" si="25"/>
        <v>3.7782569595637128</v>
      </c>
      <c r="F78" s="164">
        <f t="shared" si="25"/>
        <v>3.6643868424530748</v>
      </c>
      <c r="G78" s="164">
        <f t="shared" si="25"/>
        <v>3.6547804586127444</v>
      </c>
      <c r="H78" s="164">
        <f t="shared" si="25"/>
        <v>2.9314832390092738</v>
      </c>
      <c r="I78" s="164">
        <f t="shared" si="25"/>
        <v>3.521250969971935</v>
      </c>
      <c r="J78" s="164">
        <f t="shared" si="25"/>
        <v>3.7782569595637128</v>
      </c>
      <c r="K78" s="164">
        <f t="shared" si="25"/>
        <v>3.9766058701166638</v>
      </c>
      <c r="L78" s="164">
        <f t="shared" si="25"/>
        <v>2.8930738532209359</v>
      </c>
      <c r="M78" s="164"/>
      <c r="N78" s="164"/>
      <c r="O78" s="164">
        <f t="shared" si="25"/>
        <v>1.6425917132724729E-3</v>
      </c>
      <c r="P78" s="164">
        <f t="shared" si="25"/>
        <v>8.5277171267644807</v>
      </c>
      <c r="Q78" s="282"/>
      <c r="R78" s="282"/>
      <c r="S78" s="282"/>
      <c r="T78" s="282"/>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row>
    <row r="79" spans="1:70" ht="14.4" x14ac:dyDescent="0.3">
      <c r="A79" s="3" t="s">
        <v>665</v>
      </c>
      <c r="B79" s="18">
        <f>B82*B81*B80*100</f>
        <v>3.6384965381974435</v>
      </c>
      <c r="C79" s="18">
        <f t="shared" ref="C79:P79" si="26">C82*C81*C80*100</f>
        <v>3.709650030807949</v>
      </c>
      <c r="D79" s="18">
        <f t="shared" si="26"/>
        <v>3.5248383938629058</v>
      </c>
      <c r="E79" s="18">
        <f t="shared" si="26"/>
        <v>3.6342087684782567</v>
      </c>
      <c r="F79" s="18">
        <f t="shared" si="26"/>
        <v>3.5271813898258411</v>
      </c>
      <c r="G79" s="18">
        <f t="shared" si="26"/>
        <v>3.5111882005194412</v>
      </c>
      <c r="H79" s="18">
        <f t="shared" si="26"/>
        <v>2.800298884578706</v>
      </c>
      <c r="I79" s="18">
        <f t="shared" si="26"/>
        <v>3.3963391439455788</v>
      </c>
      <c r="J79" s="18">
        <f t="shared" si="26"/>
        <v>3.6342087684782567</v>
      </c>
      <c r="K79" s="18">
        <f t="shared" si="26"/>
        <v>3.8159246154538597</v>
      </c>
      <c r="L79" s="18">
        <f t="shared" si="26"/>
        <v>2.7700098519643994</v>
      </c>
      <c r="M79" s="18"/>
      <c r="N79" s="18"/>
      <c r="O79" s="18">
        <f t="shared" si="26"/>
        <v>1.5572666315674453E-3</v>
      </c>
      <c r="P79" s="18">
        <f t="shared" si="26"/>
        <v>8.0062860719004245</v>
      </c>
    </row>
    <row r="80" spans="1:70" ht="14.4" x14ac:dyDescent="0.3">
      <c r="A80" s="87" t="s">
        <v>666</v>
      </c>
      <c r="B80" s="18">
        <f>(2*(B83+B84+B86))+B85</f>
        <v>2.2759999999999998</v>
      </c>
      <c r="C80" s="18">
        <f t="shared" ref="C80:P80" si="27">(2*(C83+C84+C86))+C85</f>
        <v>2.3273333333333333</v>
      </c>
      <c r="D80" s="18">
        <f t="shared" si="27"/>
        <v>2.234</v>
      </c>
      <c r="E80" s="18">
        <f t="shared" si="27"/>
        <v>2.2993333333333332</v>
      </c>
      <c r="F80" s="18">
        <f t="shared" si="27"/>
        <v>2.2273333333333336</v>
      </c>
      <c r="G80" s="18">
        <f t="shared" si="27"/>
        <v>2.2333333333333334</v>
      </c>
      <c r="H80" s="18">
        <f t="shared" si="27"/>
        <v>2.2893333333333334</v>
      </c>
      <c r="I80" s="18">
        <f t="shared" si="27"/>
        <v>2.1579999999999999</v>
      </c>
      <c r="J80" s="18">
        <f t="shared" si="27"/>
        <v>2.2993333333333332</v>
      </c>
      <c r="K80" s="18">
        <f t="shared" si="27"/>
        <v>2.3853333333333335</v>
      </c>
      <c r="L80" s="18">
        <f t="shared" si="27"/>
        <v>1.7759999999999998</v>
      </c>
      <c r="M80" s="18"/>
      <c r="N80" s="18"/>
      <c r="O80" s="18">
        <f t="shared" si="27"/>
        <v>1E-3</v>
      </c>
      <c r="P80" s="18">
        <f t="shared" si="27"/>
        <v>5</v>
      </c>
    </row>
    <row r="81" spans="1:70" ht="14.4" x14ac:dyDescent="0.3">
      <c r="A81" t="s">
        <v>667</v>
      </c>
      <c r="B81" s="18">
        <f>'Ability OLD'!$B$10</f>
        <v>0.87981165625279378</v>
      </c>
      <c r="C81" s="18">
        <f>'Ability OLD'!$B$10</f>
        <v>0.87981165625279378</v>
      </c>
      <c r="D81" s="18">
        <f>'Ability OLD'!$B$10</f>
        <v>0.87981165625279378</v>
      </c>
      <c r="E81" s="18">
        <f>'Ability OLD'!$B$10</f>
        <v>0.87981165625279378</v>
      </c>
      <c r="F81" s="18">
        <f>'Ability OLD'!$B$10</f>
        <v>0.87981165625279378</v>
      </c>
      <c r="G81" s="18">
        <f>'Ability OLD'!$B$10</f>
        <v>0.87981165625279378</v>
      </c>
      <c r="H81" s="18">
        <f>'Ability OLD'!$B$10</f>
        <v>0.87981165625279378</v>
      </c>
      <c r="I81" s="18">
        <f>'Ability OLD'!$B$10</f>
        <v>0.87981165625279378</v>
      </c>
      <c r="J81" s="18">
        <f>'Ability OLD'!$B$10</f>
        <v>0.87981165625279378</v>
      </c>
      <c r="K81" s="18">
        <f>'Ability OLD'!$B$10</f>
        <v>0.87981165625279378</v>
      </c>
      <c r="L81" s="18">
        <f>'Ability OLD'!$B$10</f>
        <v>0.87981165625279378</v>
      </c>
      <c r="M81" s="18"/>
      <c r="N81" s="18"/>
      <c r="O81" s="18">
        <f>'Ability OLD'!$B$10</f>
        <v>0.87981165625279378</v>
      </c>
      <c r="P81" s="18">
        <f>'Ability OLD'!$B$10</f>
        <v>0.87981165625279378</v>
      </c>
    </row>
    <row r="82" spans="1:70" ht="14.4" x14ac:dyDescent="0.3">
      <c r="A82" s="3" t="s">
        <v>668</v>
      </c>
      <c r="B82" s="53">
        <v>1.81702121013212E-2</v>
      </c>
      <c r="C82" s="53">
        <v>1.8116931359148457E-2</v>
      </c>
      <c r="D82" s="53">
        <v>1.7933552565197779E-2</v>
      </c>
      <c r="E82" s="53">
        <v>1.7964627858546044E-2</v>
      </c>
      <c r="F82" s="53">
        <v>1.7999186060066438E-2</v>
      </c>
      <c r="G82" s="53">
        <v>1.7869436145278569E-2</v>
      </c>
      <c r="H82" s="53">
        <v>1.3902907848700446E-2</v>
      </c>
      <c r="I82" s="53">
        <v>1.7888334146650121E-2</v>
      </c>
      <c r="J82" s="53">
        <v>1.7964627858546047E-2</v>
      </c>
      <c r="K82" s="53">
        <v>1.8182809885212182E-2</v>
      </c>
      <c r="L82" s="53">
        <v>1.7727546809334332E-2</v>
      </c>
      <c r="M82" s="53"/>
      <c r="N82" s="53"/>
      <c r="O82" s="53">
        <v>1.77E-2</v>
      </c>
      <c r="P82" s="53">
        <v>1.8200000000000001E-2</v>
      </c>
      <c r="R82" s="282" t="s">
        <v>669</v>
      </c>
    </row>
    <row r="83" spans="1:70" ht="158.4" x14ac:dyDescent="0.3">
      <c r="A83" s="3" t="s">
        <v>670</v>
      </c>
      <c r="B83" s="78">
        <v>0.22800000000000001</v>
      </c>
      <c r="C83" s="78">
        <v>0.21199999999999999</v>
      </c>
      <c r="D83" s="78">
        <v>0.20699999999999999</v>
      </c>
      <c r="E83" s="76">
        <v>0.19800000000000001</v>
      </c>
      <c r="F83" s="76">
        <v>0.16200000000000001</v>
      </c>
      <c r="G83" s="78">
        <v>0.16500000000000001</v>
      </c>
      <c r="H83" s="78">
        <v>0.193</v>
      </c>
      <c r="I83" s="76">
        <v>0.16900000000000001</v>
      </c>
      <c r="J83" s="76">
        <v>0.19800000000000001</v>
      </c>
      <c r="K83" s="78">
        <v>0.24099999999999999</v>
      </c>
      <c r="L83" s="78">
        <v>0.20599999999999999</v>
      </c>
      <c r="M83" s="78"/>
      <c r="N83" s="78"/>
      <c r="O83" s="78">
        <v>0</v>
      </c>
      <c r="P83" s="78">
        <v>0.5</v>
      </c>
      <c r="Q83" s="287" t="s">
        <v>671</v>
      </c>
      <c r="R83" s="282" t="s">
        <v>672</v>
      </c>
      <c r="S83" s="285" t="s">
        <v>673</v>
      </c>
    </row>
    <row r="84" spans="1:70" ht="43.2" x14ac:dyDescent="0.3">
      <c r="A84" s="3" t="s">
        <v>674</v>
      </c>
      <c r="B84" s="77">
        <v>0.15</v>
      </c>
      <c r="C84" s="77">
        <v>0.15</v>
      </c>
      <c r="D84" s="77">
        <v>0.15</v>
      </c>
      <c r="E84" s="77">
        <v>0.15</v>
      </c>
      <c r="F84" s="77">
        <v>0.15</v>
      </c>
      <c r="G84" s="77">
        <v>0.15</v>
      </c>
      <c r="H84" s="77">
        <v>0.15</v>
      </c>
      <c r="I84" s="77">
        <v>0.15</v>
      </c>
      <c r="J84" s="77">
        <v>0.15</v>
      </c>
      <c r="K84" s="77">
        <v>0.15</v>
      </c>
      <c r="L84" s="77">
        <v>0.15</v>
      </c>
      <c r="M84" s="77"/>
      <c r="N84" s="77"/>
      <c r="O84" s="77">
        <v>0</v>
      </c>
      <c r="P84" s="77">
        <v>0.5</v>
      </c>
      <c r="Q84" s="288" t="s">
        <v>675</v>
      </c>
      <c r="W84" s="1"/>
    </row>
    <row r="85" spans="1:70" ht="14.4" x14ac:dyDescent="0.3">
      <c r="A85" s="3" t="s">
        <v>676</v>
      </c>
      <c r="B85" s="51">
        <f>Slaughter_OLD!$C$9</f>
        <v>0.25</v>
      </c>
      <c r="C85" s="51">
        <f>Slaughter_OLD!$E$9</f>
        <v>0.33333333333333331</v>
      </c>
      <c r="D85" s="51">
        <f>Slaughter_OLD!$G$9</f>
        <v>0.25</v>
      </c>
      <c r="E85" s="51">
        <f>Slaughter_OLD!$I$9</f>
        <v>0.33333333333333331</v>
      </c>
      <c r="F85" s="51">
        <f>Slaughter_OLD!$K$9</f>
        <v>0.33333333333333331</v>
      </c>
      <c r="G85" s="51">
        <f>Slaughter_OLD!$M$9</f>
        <v>0.33333333333333331</v>
      </c>
      <c r="H85" s="51">
        <f>Slaughter_OLD!$O$9</f>
        <v>0.33333333333333331</v>
      </c>
      <c r="I85" s="51">
        <f>Slaughter_OLD!$Q$9</f>
        <v>0.25</v>
      </c>
      <c r="J85" s="51">
        <f>Slaughter_OLD!$S$9</f>
        <v>0.33333333333333331</v>
      </c>
      <c r="K85" s="51">
        <f>Slaughter_OLD!$U$9</f>
        <v>0.33333333333333331</v>
      </c>
      <c r="L85" s="51">
        <f>Slaughter_OLD!$W$9</f>
        <v>0.25</v>
      </c>
      <c r="M85" s="51"/>
      <c r="N85" s="51"/>
      <c r="O85" s="18">
        <v>1E-3</v>
      </c>
      <c r="P85" s="51">
        <v>1</v>
      </c>
      <c r="Q85" s="285"/>
      <c r="R85" s="285"/>
      <c r="S85" s="285"/>
    </row>
    <row r="86" spans="1:70" ht="14.4" x14ac:dyDescent="0.3">
      <c r="A86" s="132" t="s">
        <v>677</v>
      </c>
      <c r="B86" s="47">
        <v>0.63500000000000001</v>
      </c>
      <c r="C86" s="47">
        <v>0.63500000000000001</v>
      </c>
      <c r="D86" s="47">
        <v>0.63500000000000001</v>
      </c>
      <c r="E86" s="47">
        <v>0.63500000000000001</v>
      </c>
      <c r="F86" s="47">
        <v>0.63500000000000001</v>
      </c>
      <c r="G86" s="47">
        <v>0.63500000000000001</v>
      </c>
      <c r="H86" s="47">
        <v>0.63500000000000001</v>
      </c>
      <c r="I86" s="47">
        <v>0.63500000000000001</v>
      </c>
      <c r="J86" s="47">
        <v>0.63500000000000001</v>
      </c>
      <c r="K86" s="47">
        <v>0.63500000000000001</v>
      </c>
      <c r="L86" s="47">
        <v>0.40699999999999997</v>
      </c>
      <c r="M86" s="36"/>
      <c r="N86" s="36"/>
      <c r="O86" s="36">
        <v>0</v>
      </c>
      <c r="P86" s="36">
        <v>1</v>
      </c>
    </row>
    <row r="87" spans="1:70" ht="14.4" x14ac:dyDescent="0.3">
      <c r="A87" s="3" t="s">
        <v>678</v>
      </c>
      <c r="B87" s="18">
        <f>B90*B89*B88*100</f>
        <v>0.12180592423319622</v>
      </c>
      <c r="C87" s="18">
        <f t="shared" ref="C87:P87" si="28">C90*C89*C88*100</f>
        <v>0.14323136291446853</v>
      </c>
      <c r="D87" s="18">
        <f t="shared" si="28"/>
        <v>0.13367388680174225</v>
      </c>
      <c r="E87" s="18">
        <f t="shared" si="28"/>
        <v>0.14404819108545602</v>
      </c>
      <c r="F87" s="18">
        <f t="shared" si="28"/>
        <v>0.13720545262723349</v>
      </c>
      <c r="G87" s="18">
        <f t="shared" si="28"/>
        <v>0.14359225809330295</v>
      </c>
      <c r="H87" s="18">
        <f t="shared" si="28"/>
        <v>0.13118435443056772</v>
      </c>
      <c r="I87" s="18">
        <f t="shared" si="28"/>
        <v>0.12491182602635634</v>
      </c>
      <c r="J87" s="18">
        <f t="shared" si="28"/>
        <v>0.14404819108545602</v>
      </c>
      <c r="K87" s="18">
        <f t="shared" si="28"/>
        <v>0.16068125466280392</v>
      </c>
      <c r="L87" s="18">
        <f t="shared" si="28"/>
        <v>0.12306400125653631</v>
      </c>
      <c r="M87" s="18"/>
      <c r="N87" s="18"/>
      <c r="O87" s="18">
        <f t="shared" si="28"/>
        <v>8.5325081705027456E-5</v>
      </c>
      <c r="P87" s="18">
        <f t="shared" si="28"/>
        <v>0.52143105486405672</v>
      </c>
    </row>
    <row r="88" spans="1:70" ht="14.4" x14ac:dyDescent="0.3">
      <c r="A88" s="87" t="s">
        <v>679</v>
      </c>
      <c r="B88" s="18">
        <f>(2*(B91+B92+B94))+B93</f>
        <v>1.456</v>
      </c>
      <c r="C88" s="18">
        <f t="shared" ref="C88:P88" si="29">(2*(C91+C92+C94))+C93</f>
        <v>1.5393333333333332</v>
      </c>
      <c r="D88" s="18">
        <f t="shared" si="29"/>
        <v>1.456</v>
      </c>
      <c r="E88" s="18">
        <f t="shared" si="29"/>
        <v>1.5393333333333332</v>
      </c>
      <c r="F88" s="18">
        <f t="shared" si="29"/>
        <v>1.5393333333333332</v>
      </c>
      <c r="G88" s="18">
        <f t="shared" si="29"/>
        <v>1.5393333333333332</v>
      </c>
      <c r="H88" s="18">
        <f t="shared" si="29"/>
        <v>1.5393333333333332</v>
      </c>
      <c r="I88" s="18">
        <f t="shared" si="29"/>
        <v>1.456</v>
      </c>
      <c r="J88" s="18">
        <f t="shared" si="29"/>
        <v>1.5393333333333332</v>
      </c>
      <c r="K88" s="18">
        <f t="shared" si="29"/>
        <v>1.5393333333333332</v>
      </c>
      <c r="L88" s="18">
        <f t="shared" si="29"/>
        <v>1.258</v>
      </c>
      <c r="M88" s="18"/>
      <c r="N88" s="18"/>
      <c r="O88" s="18">
        <f>(2*(O91+O92+O94))+O93</f>
        <v>1E-3</v>
      </c>
      <c r="P88" s="18">
        <f t="shared" si="29"/>
        <v>5</v>
      </c>
    </row>
    <row r="89" spans="1:70" s="19" customFormat="1" ht="14.4" x14ac:dyDescent="0.3">
      <c r="A89" s="87" t="s">
        <v>680</v>
      </c>
      <c r="B89" s="18">
        <f>'Ability OLD'!$B$11</f>
        <v>0.94805646338919392</v>
      </c>
      <c r="C89" s="18">
        <f>'Ability OLD'!$B$11</f>
        <v>0.94805646338919392</v>
      </c>
      <c r="D89" s="18">
        <f>'Ability OLD'!$B$11</f>
        <v>0.94805646338919392</v>
      </c>
      <c r="E89" s="18">
        <f>'Ability OLD'!$B$11</f>
        <v>0.94805646338919392</v>
      </c>
      <c r="F89" s="18">
        <f>'Ability OLD'!$B$11</f>
        <v>0.94805646338919392</v>
      </c>
      <c r="G89" s="18">
        <f>'Ability OLD'!$B$11</f>
        <v>0.94805646338919392</v>
      </c>
      <c r="H89" s="18">
        <f>'Ability OLD'!$B$11</f>
        <v>0.94805646338919392</v>
      </c>
      <c r="I89" s="18">
        <f>'Ability OLD'!$B$11</f>
        <v>0.94805646338919392</v>
      </c>
      <c r="J89" s="18">
        <f>'Ability OLD'!$B$11</f>
        <v>0.94805646338919392</v>
      </c>
      <c r="K89" s="18">
        <f>'Ability OLD'!$B$11</f>
        <v>0.94805646338919392</v>
      </c>
      <c r="L89" s="18">
        <f>'Ability OLD'!$B$11</f>
        <v>0.94805646338919392</v>
      </c>
      <c r="M89" s="18"/>
      <c r="N89" s="18"/>
      <c r="O89" s="18">
        <f>'Ability OLD'!$B$11</f>
        <v>0.94805646338919392</v>
      </c>
      <c r="P89" s="18">
        <f>'Ability OLD'!$B$11</f>
        <v>0.94805646338919392</v>
      </c>
      <c r="Q89" s="291"/>
      <c r="R89" s="291"/>
      <c r="S89" s="291"/>
      <c r="T89" s="291"/>
    </row>
    <row r="90" spans="1:70" ht="14.4" x14ac:dyDescent="0.3">
      <c r="A90" t="s">
        <v>681</v>
      </c>
      <c r="B90" s="150">
        <v>8.824149006511655E-4</v>
      </c>
      <c r="C90" s="150">
        <v>9.8145693300868107E-4</v>
      </c>
      <c r="D90" s="150">
        <v>9.6839156456782237E-4</v>
      </c>
      <c r="E90" s="150">
        <v>9.8705404285375897E-4</v>
      </c>
      <c r="F90" s="150">
        <v>9.4016589654324684E-4</v>
      </c>
      <c r="G90" s="150">
        <v>9.8392987656063173E-4</v>
      </c>
      <c r="H90" s="150">
        <v>8.9890783371958621E-4</v>
      </c>
      <c r="I90" s="150">
        <v>9.0491539920652803E-4</v>
      </c>
      <c r="J90" s="150">
        <v>9.8705404285375875E-4</v>
      </c>
      <c r="K90" s="150">
        <v>1.1010279326010108E-3</v>
      </c>
      <c r="L90" s="150">
        <v>1.0318490935234677E-3</v>
      </c>
      <c r="M90" s="53"/>
      <c r="N90" s="53"/>
      <c r="O90" s="53">
        <v>8.9999999999999998E-4</v>
      </c>
      <c r="P90" s="53">
        <v>1.1000000000000001E-3</v>
      </c>
      <c r="R90" s="282" t="s">
        <v>669</v>
      </c>
    </row>
    <row r="91" spans="1:70" ht="43.2" x14ac:dyDescent="0.3">
      <c r="A91" s="3" t="s">
        <v>682</v>
      </c>
      <c r="B91" s="36">
        <v>3.4000000000000002E-2</v>
      </c>
      <c r="C91" s="36">
        <v>3.4000000000000002E-2</v>
      </c>
      <c r="D91" s="36">
        <v>3.4000000000000002E-2</v>
      </c>
      <c r="E91" s="36">
        <v>3.4000000000000002E-2</v>
      </c>
      <c r="F91" s="36">
        <v>3.4000000000000002E-2</v>
      </c>
      <c r="G91" s="36">
        <v>3.4000000000000002E-2</v>
      </c>
      <c r="H91" s="36">
        <v>3.4000000000000002E-2</v>
      </c>
      <c r="I91" s="36">
        <v>3.4000000000000002E-2</v>
      </c>
      <c r="J91" s="36">
        <v>3.4000000000000002E-2</v>
      </c>
      <c r="K91" s="36">
        <v>3.4000000000000002E-2</v>
      </c>
      <c r="L91" s="36">
        <v>3.4000000000000002E-2</v>
      </c>
      <c r="M91" s="36"/>
      <c r="N91" s="36"/>
      <c r="O91" s="36">
        <v>0</v>
      </c>
      <c r="P91" s="36">
        <v>0.5</v>
      </c>
      <c r="Q91" s="287" t="s">
        <v>683</v>
      </c>
      <c r="R91" s="287" t="s">
        <v>684</v>
      </c>
      <c r="S91" s="282" t="s">
        <v>685</v>
      </c>
    </row>
    <row r="92" spans="1:70" ht="100.8" x14ac:dyDescent="0.3">
      <c r="A92" s="3" t="s">
        <v>686</v>
      </c>
      <c r="B92" s="77">
        <v>0.15</v>
      </c>
      <c r="C92" s="77">
        <v>0.15</v>
      </c>
      <c r="D92" s="77">
        <v>0.15</v>
      </c>
      <c r="E92" s="77">
        <v>0.15</v>
      </c>
      <c r="F92" s="77">
        <v>0.15</v>
      </c>
      <c r="G92" s="77">
        <v>0.15</v>
      </c>
      <c r="H92" s="77">
        <v>0.15</v>
      </c>
      <c r="I92" s="77">
        <v>0.15</v>
      </c>
      <c r="J92" s="77">
        <v>0.15</v>
      </c>
      <c r="K92" s="77">
        <v>0.15</v>
      </c>
      <c r="L92" s="77">
        <v>0.15</v>
      </c>
      <c r="M92" s="77"/>
      <c r="N92" s="77"/>
      <c r="O92" s="77">
        <v>0</v>
      </c>
      <c r="P92" s="77">
        <v>0.5</v>
      </c>
      <c r="Q92" s="287" t="s">
        <v>687</v>
      </c>
      <c r="R92" s="287" t="s">
        <v>688</v>
      </c>
    </row>
    <row r="93" spans="1:70" ht="14.4" x14ac:dyDescent="0.3">
      <c r="A93" s="3" t="s">
        <v>689</v>
      </c>
      <c r="B93" s="51">
        <f>Slaughter_OLD!$C$9</f>
        <v>0.25</v>
      </c>
      <c r="C93" s="51">
        <f>Slaughter_OLD!$E$9</f>
        <v>0.33333333333333331</v>
      </c>
      <c r="D93" s="51">
        <f>Slaughter_OLD!$G$9</f>
        <v>0.25</v>
      </c>
      <c r="E93" s="51">
        <f>Slaughter_OLD!$I$9</f>
        <v>0.33333333333333331</v>
      </c>
      <c r="F93" s="51">
        <f>Slaughter_OLD!$K$9</f>
        <v>0.33333333333333331</v>
      </c>
      <c r="G93" s="51">
        <f>Slaughter_OLD!$M$9</f>
        <v>0.33333333333333331</v>
      </c>
      <c r="H93" s="51">
        <f>Slaughter_OLD!$O$9</f>
        <v>0.33333333333333331</v>
      </c>
      <c r="I93" s="51">
        <f>Slaughter_OLD!$Q$9</f>
        <v>0.25</v>
      </c>
      <c r="J93" s="51">
        <f>Slaughter_OLD!$S$9</f>
        <v>0.33333333333333331</v>
      </c>
      <c r="K93" s="51">
        <f>Slaughter_OLD!$U$9</f>
        <v>0.33333333333333331</v>
      </c>
      <c r="L93" s="51">
        <f>Slaughter_OLD!$W$9</f>
        <v>0.25</v>
      </c>
      <c r="M93" s="51"/>
      <c r="N93" s="51"/>
      <c r="O93" s="18">
        <v>1E-3</v>
      </c>
      <c r="P93" s="51">
        <v>1</v>
      </c>
    </row>
    <row r="94" spans="1:70" ht="14.4" x14ac:dyDescent="0.3">
      <c r="A94" s="132" t="s">
        <v>690</v>
      </c>
      <c r="B94" s="47">
        <v>0.41899999999999998</v>
      </c>
      <c r="C94" s="47">
        <v>0.41899999999999998</v>
      </c>
      <c r="D94" s="47">
        <v>0.41899999999999998</v>
      </c>
      <c r="E94" s="47">
        <v>0.41899999999999998</v>
      </c>
      <c r="F94" s="47">
        <v>0.41899999999999998</v>
      </c>
      <c r="G94" s="47">
        <v>0.41899999999999998</v>
      </c>
      <c r="H94" s="47">
        <v>0.41899999999999998</v>
      </c>
      <c r="I94" s="47">
        <v>0.41899999999999998</v>
      </c>
      <c r="J94" s="47">
        <v>0.41899999999999998</v>
      </c>
      <c r="K94" s="47">
        <v>0.41899999999999998</v>
      </c>
      <c r="L94" s="47">
        <v>0.32</v>
      </c>
      <c r="M94" s="36"/>
      <c r="N94" s="36"/>
      <c r="O94" s="36">
        <v>0</v>
      </c>
      <c r="P94" s="36">
        <v>1</v>
      </c>
    </row>
    <row r="95" spans="1:70" s="5" customFormat="1" ht="14.4" x14ac:dyDescent="0.3">
      <c r="A95" s="54" t="s">
        <v>691</v>
      </c>
      <c r="B95" s="55">
        <f>B96+B104</f>
        <v>3.0059866098436268</v>
      </c>
      <c r="C95" s="55">
        <f t="shared" ref="C95:P95" si="30">C96+C104</f>
        <v>3.2933591015914891</v>
      </c>
      <c r="D95" s="55">
        <f t="shared" si="30"/>
        <v>3.4800640589215956</v>
      </c>
      <c r="E95" s="55">
        <f t="shared" si="30"/>
        <v>2.8533373134696354</v>
      </c>
      <c r="F95" s="55">
        <f t="shared" si="30"/>
        <v>4.2539338233365038</v>
      </c>
      <c r="G95" s="55">
        <f t="shared" si="30"/>
        <v>2.6711695862508478</v>
      </c>
      <c r="H95" s="55">
        <f t="shared" si="30"/>
        <v>2.8706657329119549</v>
      </c>
      <c r="I95" s="55">
        <f t="shared" si="30"/>
        <v>2.5248575574030254</v>
      </c>
      <c r="J95" s="55">
        <f t="shared" si="30"/>
        <v>4.4878251046775421</v>
      </c>
      <c r="K95" s="55">
        <f t="shared" si="30"/>
        <v>3.324564411943197</v>
      </c>
      <c r="L95" s="55">
        <f t="shared" si="30"/>
        <v>2.854762488771839</v>
      </c>
      <c r="M95" s="55">
        <f t="shared" si="30"/>
        <v>2.1955186279147041</v>
      </c>
      <c r="N95" s="55">
        <f t="shared" si="30"/>
        <v>1.9253177803337711</v>
      </c>
      <c r="O95" s="55">
        <f t="shared" si="30"/>
        <v>3.9006637939634635E-3</v>
      </c>
      <c r="P95" s="55">
        <f t="shared" si="30"/>
        <v>19.503318969817318</v>
      </c>
      <c r="Q95" s="282"/>
      <c r="R95" s="282"/>
      <c r="S95" s="282"/>
      <c r="T95" s="282"/>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row>
    <row r="96" spans="1:70" ht="14.4" x14ac:dyDescent="0.3">
      <c r="A96" s="2" t="s">
        <v>692</v>
      </c>
      <c r="B96" s="18">
        <f>B99*B98*B97*100</f>
        <v>2.5269795866880744</v>
      </c>
      <c r="C96" s="18">
        <f t="shared" ref="C96:P96" si="31">C99*C98*C97*100</f>
        <v>2.8124954620671168</v>
      </c>
      <c r="D96" s="18">
        <f t="shared" si="31"/>
        <v>3.0258119206836427</v>
      </c>
      <c r="E96" s="18">
        <f t="shared" si="31"/>
        <v>2.3464810447817834</v>
      </c>
      <c r="F96" s="18">
        <f t="shared" si="31"/>
        <v>3.659197713191173</v>
      </c>
      <c r="G96" s="18">
        <f t="shared" si="31"/>
        <v>2.1692642945465157</v>
      </c>
      <c r="H96" s="18">
        <f t="shared" si="31"/>
        <v>2.3464810447817834</v>
      </c>
      <c r="I96" s="18">
        <f t="shared" si="31"/>
        <v>2.0347108360345532</v>
      </c>
      <c r="J96" s="18">
        <f t="shared" si="31"/>
        <v>3.8101601300582528</v>
      </c>
      <c r="K96" s="18">
        <f t="shared" si="31"/>
        <v>2.8387497954353047</v>
      </c>
      <c r="L96" s="18">
        <f t="shared" si="31"/>
        <v>2.3497628364528071</v>
      </c>
      <c r="M96" s="18">
        <f t="shared" si="31"/>
        <v>2.1955186279147041</v>
      </c>
      <c r="N96" s="18">
        <f t="shared" si="31"/>
        <v>1.9253177803337711</v>
      </c>
      <c r="O96" s="18">
        <f t="shared" si="31"/>
        <v>3.2817916710234734E-3</v>
      </c>
      <c r="P96" s="18">
        <f t="shared" si="31"/>
        <v>16.408958355117367</v>
      </c>
    </row>
    <row r="97" spans="1:70" ht="14.4" x14ac:dyDescent="0.3">
      <c r="A97" s="87" t="s">
        <v>693</v>
      </c>
      <c r="B97" s="18">
        <f>(2*(B100+B101+B103))+B102</f>
        <v>0.77</v>
      </c>
      <c r="C97" s="18">
        <f t="shared" ref="C97:P97" si="32">(2*(C100+C101+C103))+C102</f>
        <v>0.85699999999999998</v>
      </c>
      <c r="D97" s="18">
        <f t="shared" si="32"/>
        <v>0.92200000000000004</v>
      </c>
      <c r="E97" s="18">
        <f t="shared" si="32"/>
        <v>0.71499999999999997</v>
      </c>
      <c r="F97" s="18">
        <f t="shared" si="32"/>
        <v>1.115</v>
      </c>
      <c r="G97" s="18">
        <f t="shared" si="32"/>
        <v>0.66100000000000003</v>
      </c>
      <c r="H97" s="18">
        <f t="shared" si="32"/>
        <v>0.71499999999999997</v>
      </c>
      <c r="I97" s="18">
        <f t="shared" si="32"/>
        <v>0.62</v>
      </c>
      <c r="J97" s="18">
        <f t="shared" si="32"/>
        <v>1.161</v>
      </c>
      <c r="K97" s="18">
        <f t="shared" si="32"/>
        <v>0.86499999999999999</v>
      </c>
      <c r="L97" s="18">
        <f t="shared" si="32"/>
        <v>0.71599999999999997</v>
      </c>
      <c r="M97" s="18">
        <f t="shared" si="32"/>
        <v>0.66900000000000004</v>
      </c>
      <c r="N97" s="18">
        <f t="shared" si="32"/>
        <v>0.58666666666666667</v>
      </c>
      <c r="O97" s="18">
        <f t="shared" si="32"/>
        <v>1E-3</v>
      </c>
      <c r="P97" s="18">
        <f t="shared" si="32"/>
        <v>5</v>
      </c>
    </row>
    <row r="98" spans="1:70" s="19" customFormat="1" ht="14.4" x14ac:dyDescent="0.3">
      <c r="A98" s="87" t="s">
        <v>694</v>
      </c>
      <c r="B98" s="18">
        <f>'Ability OLD'!$B$12</f>
        <v>0.82044791775586834</v>
      </c>
      <c r="C98" s="18">
        <f>'Ability OLD'!$B$12</f>
        <v>0.82044791775586834</v>
      </c>
      <c r="D98" s="18">
        <f>'Ability OLD'!$B$12</f>
        <v>0.82044791775586834</v>
      </c>
      <c r="E98" s="18">
        <f>'Ability OLD'!$B$12</f>
        <v>0.82044791775586834</v>
      </c>
      <c r="F98" s="18">
        <f>'Ability OLD'!$B$12</f>
        <v>0.82044791775586834</v>
      </c>
      <c r="G98" s="18">
        <f>'Ability OLD'!$B$12</f>
        <v>0.82044791775586834</v>
      </c>
      <c r="H98" s="18">
        <f>'Ability OLD'!$B$12</f>
        <v>0.82044791775586834</v>
      </c>
      <c r="I98" s="18">
        <f>'Ability OLD'!$B$12</f>
        <v>0.82044791775586834</v>
      </c>
      <c r="J98" s="18">
        <f>'Ability OLD'!$B$12</f>
        <v>0.82044791775586834</v>
      </c>
      <c r="K98" s="18">
        <f>'Ability OLD'!$B$12</f>
        <v>0.82044791775586834</v>
      </c>
      <c r="L98" s="18">
        <f>'Ability OLD'!$B$12</f>
        <v>0.82044791775586834</v>
      </c>
      <c r="M98" s="18">
        <f>'Ability OLD'!$B$12</f>
        <v>0.82044791775586834</v>
      </c>
      <c r="N98" s="18">
        <f>'Ability OLD'!$B$12</f>
        <v>0.82044791775586834</v>
      </c>
      <c r="O98" s="18">
        <f>'Ability OLD'!$B$12</f>
        <v>0.82044791775586834</v>
      </c>
      <c r="P98" s="18">
        <f>'Ability OLD'!$B$12</f>
        <v>0.82044791775586834</v>
      </c>
      <c r="Q98" s="291"/>
      <c r="R98" s="291"/>
      <c r="S98" s="291"/>
      <c r="T98" s="291"/>
    </row>
    <row r="99" spans="1:70" ht="14.4" x14ac:dyDescent="0.3">
      <c r="A99" s="3" t="s">
        <v>695</v>
      </c>
      <c r="B99" s="56">
        <v>0.04</v>
      </c>
      <c r="C99" s="56">
        <v>0.04</v>
      </c>
      <c r="D99" s="56">
        <v>0.04</v>
      </c>
      <c r="E99" s="56">
        <v>0.04</v>
      </c>
      <c r="F99" s="56">
        <v>0.04</v>
      </c>
      <c r="G99" s="56">
        <v>0.04</v>
      </c>
      <c r="H99" s="56">
        <v>0.04</v>
      </c>
      <c r="I99" s="56">
        <v>0.04</v>
      </c>
      <c r="J99" s="56">
        <v>0.04</v>
      </c>
      <c r="K99" s="56">
        <v>0.04</v>
      </c>
      <c r="L99" s="56">
        <v>0.04</v>
      </c>
      <c r="M99" s="56">
        <v>0.04</v>
      </c>
      <c r="N99" s="56">
        <v>0.04</v>
      </c>
      <c r="O99" s="56">
        <v>0.04</v>
      </c>
      <c r="P99" s="56">
        <v>0.04</v>
      </c>
    </row>
    <row r="100" spans="1:70" ht="115.2" x14ac:dyDescent="0.3">
      <c r="A100" s="3" t="s">
        <v>696</v>
      </c>
      <c r="B100" s="2">
        <v>0.08</v>
      </c>
      <c r="C100" s="2">
        <v>0.08</v>
      </c>
      <c r="D100" s="2">
        <v>0.08</v>
      </c>
      <c r="E100" s="2">
        <v>0.08</v>
      </c>
      <c r="F100" s="2">
        <v>0.08</v>
      </c>
      <c r="G100" s="2">
        <v>0.08</v>
      </c>
      <c r="H100" s="2">
        <v>0.08</v>
      </c>
      <c r="I100" s="2">
        <v>0.08</v>
      </c>
      <c r="J100" s="2">
        <v>0.08</v>
      </c>
      <c r="K100" s="2">
        <v>0.08</v>
      </c>
      <c r="L100" s="2">
        <v>0.08</v>
      </c>
      <c r="M100" s="2">
        <v>0.08</v>
      </c>
      <c r="N100" s="2">
        <v>0.15</v>
      </c>
      <c r="O100" s="2">
        <v>0</v>
      </c>
      <c r="P100" s="2">
        <v>0.5</v>
      </c>
      <c r="Q100" s="287" t="s">
        <v>697</v>
      </c>
      <c r="R100" s="287" t="s">
        <v>698</v>
      </c>
    </row>
    <row r="101" spans="1:70" ht="72" x14ac:dyDescent="0.3">
      <c r="A101" s="3" t="s">
        <v>699</v>
      </c>
      <c r="B101" s="2">
        <v>0.06</v>
      </c>
      <c r="C101" s="2">
        <v>0.06</v>
      </c>
      <c r="D101" s="2">
        <v>0.06</v>
      </c>
      <c r="E101" s="2">
        <v>0.06</v>
      </c>
      <c r="F101" s="2">
        <v>0.06</v>
      </c>
      <c r="G101" s="2">
        <v>0.06</v>
      </c>
      <c r="H101" s="2">
        <v>0.06</v>
      </c>
      <c r="I101" s="2">
        <v>0.06</v>
      </c>
      <c r="J101" s="2">
        <v>0.06</v>
      </c>
      <c r="K101" s="2">
        <v>0.06</v>
      </c>
      <c r="L101" s="2">
        <v>0.06</v>
      </c>
      <c r="M101" s="2">
        <v>0.06</v>
      </c>
      <c r="N101" s="2">
        <v>0.06</v>
      </c>
      <c r="O101" s="2">
        <v>0</v>
      </c>
      <c r="P101" s="2">
        <v>0.5</v>
      </c>
      <c r="Q101" s="287" t="s">
        <v>700</v>
      </c>
      <c r="R101" s="282" t="s">
        <v>701</v>
      </c>
    </row>
    <row r="102" spans="1:70" ht="14.4" x14ac:dyDescent="0.3">
      <c r="A102" s="3" t="s">
        <v>702</v>
      </c>
      <c r="B102" s="51">
        <f>Slaughter_OLD!$C$10</f>
        <v>0.25</v>
      </c>
      <c r="C102" s="51">
        <f>Slaughter_OLD!$E$10</f>
        <v>0.34499999999999997</v>
      </c>
      <c r="D102" s="51">
        <f>Slaughter_OLD!$G$10</f>
        <v>0.25</v>
      </c>
      <c r="E102" s="51">
        <f>Slaughter_OLD!$I$10</f>
        <v>0.34499999999999997</v>
      </c>
      <c r="F102" s="51">
        <f>Slaughter_OLD!$K$10</f>
        <v>0.34499999999999997</v>
      </c>
      <c r="G102" s="51">
        <f>Slaughter_OLD!$M$10</f>
        <v>0.34499999999999997</v>
      </c>
      <c r="H102" s="51">
        <f>Slaughter_OLD!$O$10</f>
        <v>0.34499999999999997</v>
      </c>
      <c r="I102" s="51">
        <f>Slaughter_OLD!$Q$10</f>
        <v>0.25</v>
      </c>
      <c r="J102" s="51">
        <f>Slaughter_OLD!$S$10</f>
        <v>0.34499999999999997</v>
      </c>
      <c r="K102" s="51">
        <f>Slaughter_OLD!$U$10</f>
        <v>0.34499999999999997</v>
      </c>
      <c r="L102" s="51">
        <f>Slaughter_OLD!$W$10</f>
        <v>0.25</v>
      </c>
      <c r="M102" s="51">
        <f>Slaughter_OLD!$Y$10</f>
        <v>0.34499999999999997</v>
      </c>
      <c r="N102" s="51">
        <f>Slaughter_OLD!$AA$10</f>
        <v>0.16666666666666666</v>
      </c>
      <c r="O102" s="18">
        <v>1E-3</v>
      </c>
      <c r="P102" s="51">
        <v>1</v>
      </c>
    </row>
    <row r="103" spans="1:70" ht="14.4" x14ac:dyDescent="0.3">
      <c r="A103" s="132" t="s">
        <v>703</v>
      </c>
      <c r="B103" s="128">
        <v>0.12</v>
      </c>
      <c r="C103" s="128">
        <v>0.11600000000000001</v>
      </c>
      <c r="D103" s="128">
        <v>0.19600000000000001</v>
      </c>
      <c r="E103" s="128">
        <v>4.4999999999999998E-2</v>
      </c>
      <c r="F103" s="128">
        <v>0.245</v>
      </c>
      <c r="G103" s="128">
        <v>1.7999999999999999E-2</v>
      </c>
      <c r="H103" s="128">
        <v>4.4999999999999998E-2</v>
      </c>
      <c r="I103" s="128">
        <v>4.4999999999999998E-2</v>
      </c>
      <c r="J103" s="128">
        <v>0.26800000000000002</v>
      </c>
      <c r="K103" s="128">
        <v>0.12</v>
      </c>
      <c r="L103" s="128">
        <v>9.2999999999999999E-2</v>
      </c>
      <c r="M103" s="149">
        <v>2.1999999999999999E-2</v>
      </c>
      <c r="N103" s="149">
        <v>0</v>
      </c>
      <c r="O103" s="78">
        <v>0</v>
      </c>
      <c r="P103" s="78">
        <v>1</v>
      </c>
    </row>
    <row r="104" spans="1:70" ht="14.4" x14ac:dyDescent="0.3">
      <c r="A104" s="2" t="s">
        <v>704</v>
      </c>
      <c r="B104" s="18">
        <f>B107*B106*B105*100</f>
        <v>0.47900702315555244</v>
      </c>
      <c r="C104" s="18">
        <f t="shared" ref="C104:P104" si="33">C107*C106*C105*100</f>
        <v>0.48086363952437239</v>
      </c>
      <c r="D104" s="18">
        <f t="shared" si="33"/>
        <v>0.4542521382379528</v>
      </c>
      <c r="E104" s="18">
        <f t="shared" si="33"/>
        <v>0.50685626868785194</v>
      </c>
      <c r="F104" s="18">
        <f t="shared" si="33"/>
        <v>0.59473611014533057</v>
      </c>
      <c r="G104" s="18">
        <f t="shared" si="33"/>
        <v>0.50190529170433207</v>
      </c>
      <c r="H104" s="18">
        <f t="shared" si="33"/>
        <v>0.52418468813017172</v>
      </c>
      <c r="I104" s="18">
        <f t="shared" si="33"/>
        <v>0.49014672136847226</v>
      </c>
      <c r="J104" s="18">
        <f t="shared" si="33"/>
        <v>0.67766497461928932</v>
      </c>
      <c r="K104" s="18">
        <f t="shared" si="33"/>
        <v>0.48581461650789226</v>
      </c>
      <c r="L104" s="18">
        <f t="shared" si="33"/>
        <v>0.50499965231903199</v>
      </c>
      <c r="M104" s="18">
        <f t="shared" si="33"/>
        <v>0</v>
      </c>
      <c r="N104" s="18">
        <f t="shared" si="33"/>
        <v>0</v>
      </c>
      <c r="O104" s="18">
        <f t="shared" si="33"/>
        <v>6.1887212293999024E-4</v>
      </c>
      <c r="P104" s="18">
        <f t="shared" si="33"/>
        <v>3.0943606146999514</v>
      </c>
    </row>
    <row r="105" spans="1:70" ht="14.4" x14ac:dyDescent="0.3">
      <c r="A105" s="87" t="s">
        <v>705</v>
      </c>
      <c r="B105" s="18">
        <f>(2*(B108+B109+B111))+B110</f>
        <v>0.77400000000000002</v>
      </c>
      <c r="C105" s="18">
        <f t="shared" ref="C105:P105" si="34">(2*(C108+C109+C111))+C110</f>
        <v>0.77699999999999991</v>
      </c>
      <c r="D105" s="18">
        <f t="shared" si="34"/>
        <v>0.73399999999999999</v>
      </c>
      <c r="E105" s="18">
        <f t="shared" si="34"/>
        <v>0.81899999999999995</v>
      </c>
      <c r="F105" s="18">
        <f t="shared" si="34"/>
        <v>0.96099999999999997</v>
      </c>
      <c r="G105" s="18">
        <f t="shared" si="34"/>
        <v>0.81099999999999994</v>
      </c>
      <c r="H105" s="18">
        <f t="shared" si="34"/>
        <v>0.84699999999999998</v>
      </c>
      <c r="I105" s="18">
        <f t="shared" si="34"/>
        <v>0.79200000000000004</v>
      </c>
      <c r="J105" s="18">
        <f t="shared" si="34"/>
        <v>1.095</v>
      </c>
      <c r="K105" s="18">
        <f t="shared" si="34"/>
        <v>0.78499999999999992</v>
      </c>
      <c r="L105" s="18">
        <f t="shared" si="34"/>
        <v>0.81599999999999995</v>
      </c>
      <c r="M105" s="18">
        <f t="shared" si="34"/>
        <v>0.71499999999999997</v>
      </c>
      <c r="N105" s="18">
        <f t="shared" si="34"/>
        <v>0.38666666666666666</v>
      </c>
      <c r="O105" s="18">
        <f t="shared" si="34"/>
        <v>1E-3</v>
      </c>
      <c r="P105" s="18">
        <f t="shared" si="34"/>
        <v>5</v>
      </c>
    </row>
    <row r="106" spans="1:70" ht="14.4" x14ac:dyDescent="0.3">
      <c r="A106" s="3" t="s">
        <v>706</v>
      </c>
      <c r="B106" s="87">
        <f>B38</f>
        <v>0.88410303277141455</v>
      </c>
      <c r="C106" s="87">
        <f t="shared" ref="C106:P106" si="35">C38</f>
        <v>0.88410303277141455</v>
      </c>
      <c r="D106" s="87">
        <f t="shared" si="35"/>
        <v>0.88410303277141455</v>
      </c>
      <c r="E106" s="87">
        <f t="shared" si="35"/>
        <v>0.88410303277141455</v>
      </c>
      <c r="F106" s="87">
        <f t="shared" si="35"/>
        <v>0.88410303277141455</v>
      </c>
      <c r="G106" s="87">
        <f t="shared" si="35"/>
        <v>0.88410303277141455</v>
      </c>
      <c r="H106" s="87">
        <f t="shared" si="35"/>
        <v>0.88410303277141455</v>
      </c>
      <c r="I106" s="87">
        <f t="shared" si="35"/>
        <v>0.88410303277141455</v>
      </c>
      <c r="J106" s="87">
        <f t="shared" si="35"/>
        <v>0.88410303277141455</v>
      </c>
      <c r="K106" s="87">
        <f t="shared" si="35"/>
        <v>0.88410303277141455</v>
      </c>
      <c r="L106" s="87">
        <f t="shared" si="35"/>
        <v>0.88410303277141455</v>
      </c>
      <c r="M106" s="87">
        <f t="shared" si="35"/>
        <v>0</v>
      </c>
      <c r="N106" s="87">
        <f t="shared" si="35"/>
        <v>0</v>
      </c>
      <c r="O106" s="87">
        <f t="shared" si="35"/>
        <v>0.88410303277141455</v>
      </c>
      <c r="P106" s="87">
        <f t="shared" si="35"/>
        <v>0.88410303277141455</v>
      </c>
      <c r="Q106" s="284" t="s">
        <v>531</v>
      </c>
      <c r="S106" s="285"/>
    </row>
    <row r="107" spans="1:70" ht="14.4" x14ac:dyDescent="0.3">
      <c r="A107" s="3" t="s">
        <v>707</v>
      </c>
      <c r="B107" s="56">
        <v>7.0000000000000001E-3</v>
      </c>
      <c r="C107" s="56">
        <v>7.0000000000000001E-3</v>
      </c>
      <c r="D107" s="56">
        <v>7.0000000000000001E-3</v>
      </c>
      <c r="E107" s="56">
        <v>7.0000000000000001E-3</v>
      </c>
      <c r="F107" s="56">
        <v>7.0000000000000001E-3</v>
      </c>
      <c r="G107" s="56">
        <v>7.0000000000000001E-3</v>
      </c>
      <c r="H107" s="56">
        <v>7.0000000000000001E-3</v>
      </c>
      <c r="I107" s="56">
        <v>7.0000000000000001E-3</v>
      </c>
      <c r="J107" s="56">
        <v>7.0000000000000001E-3</v>
      </c>
      <c r="K107" s="56">
        <v>7.0000000000000001E-3</v>
      </c>
      <c r="L107" s="56">
        <v>7.0000000000000001E-3</v>
      </c>
      <c r="M107" s="56">
        <v>7.0000000000000001E-3</v>
      </c>
      <c r="N107" s="56">
        <v>7.0000000000000001E-3</v>
      </c>
      <c r="O107" s="56">
        <v>7.0000000000000001E-3</v>
      </c>
      <c r="P107" s="56">
        <v>7.0000000000000001E-3</v>
      </c>
    </row>
    <row r="108" spans="1:70" ht="72" x14ac:dyDescent="0.3">
      <c r="A108" s="3" t="s">
        <v>708</v>
      </c>
      <c r="B108" s="160">
        <v>0.06</v>
      </c>
      <c r="C108" s="160">
        <v>0.06</v>
      </c>
      <c r="D108" s="160">
        <v>0.06</v>
      </c>
      <c r="E108" s="160">
        <v>0.06</v>
      </c>
      <c r="F108" s="160">
        <v>0.06</v>
      </c>
      <c r="G108" s="160">
        <v>0.06</v>
      </c>
      <c r="H108" s="160">
        <v>0.06</v>
      </c>
      <c r="I108" s="160">
        <v>0.06</v>
      </c>
      <c r="J108" s="160">
        <v>0.06</v>
      </c>
      <c r="K108" s="160">
        <v>0.06</v>
      </c>
      <c r="L108" s="160">
        <v>0.06</v>
      </c>
      <c r="M108" s="160">
        <v>0.06</v>
      </c>
      <c r="N108" s="160">
        <v>0.06</v>
      </c>
      <c r="O108" s="160">
        <v>0</v>
      </c>
      <c r="P108" s="160">
        <v>0.5</v>
      </c>
      <c r="Q108" s="292" t="s">
        <v>709</v>
      </c>
      <c r="R108" s="282" t="s">
        <v>710</v>
      </c>
    </row>
    <row r="109" spans="1:70" ht="86.4" x14ac:dyDescent="0.3">
      <c r="A109" s="3" t="s">
        <v>711</v>
      </c>
      <c r="B109" s="2">
        <v>0.05</v>
      </c>
      <c r="C109" s="2">
        <v>0.05</v>
      </c>
      <c r="D109" s="2">
        <v>0.05</v>
      </c>
      <c r="E109" s="2">
        <v>0.05</v>
      </c>
      <c r="F109" s="2">
        <v>0.05</v>
      </c>
      <c r="G109" s="2">
        <v>0.05</v>
      </c>
      <c r="H109" s="2">
        <v>0.05</v>
      </c>
      <c r="I109" s="2">
        <v>0.05</v>
      </c>
      <c r="J109" s="2">
        <v>0.05</v>
      </c>
      <c r="K109" s="2">
        <v>0.05</v>
      </c>
      <c r="L109" s="2">
        <v>0.05</v>
      </c>
      <c r="M109" s="2">
        <v>0.05</v>
      </c>
      <c r="N109" s="2">
        <v>0.05</v>
      </c>
      <c r="O109" s="2">
        <v>0</v>
      </c>
      <c r="P109" s="2">
        <v>0.5</v>
      </c>
      <c r="Q109" s="287" t="s">
        <v>712</v>
      </c>
      <c r="R109" s="282" t="s">
        <v>713</v>
      </c>
    </row>
    <row r="110" spans="1:70" ht="14.4" x14ac:dyDescent="0.3">
      <c r="A110" s="3" t="s">
        <v>714</v>
      </c>
      <c r="B110" s="51">
        <f>Slaughter_OLD!$C$10</f>
        <v>0.25</v>
      </c>
      <c r="C110" s="51">
        <f>Slaughter_OLD!$E$10</f>
        <v>0.34499999999999997</v>
      </c>
      <c r="D110" s="51">
        <f>Slaughter_OLD!$G$10</f>
        <v>0.25</v>
      </c>
      <c r="E110" s="51">
        <f>Slaughter_OLD!$I$10</f>
        <v>0.34499999999999997</v>
      </c>
      <c r="F110" s="51">
        <f>Slaughter_OLD!$K$10</f>
        <v>0.34499999999999997</v>
      </c>
      <c r="G110" s="51">
        <f>Slaughter_OLD!$M$10</f>
        <v>0.34499999999999997</v>
      </c>
      <c r="H110" s="51">
        <f>Slaughter_OLD!$O$10</f>
        <v>0.34499999999999997</v>
      </c>
      <c r="I110" s="51">
        <f>Slaughter_OLD!$Q$10</f>
        <v>0.25</v>
      </c>
      <c r="J110" s="51">
        <f>Slaughter_OLD!$S$10</f>
        <v>0.34499999999999997</v>
      </c>
      <c r="K110" s="51">
        <f>Slaughter_OLD!$U$10</f>
        <v>0.34499999999999997</v>
      </c>
      <c r="L110" s="51">
        <f>Slaughter_OLD!$W$10</f>
        <v>0.25</v>
      </c>
      <c r="M110" s="51">
        <f>Slaughter_OLD!$Y$10</f>
        <v>0.34499999999999997</v>
      </c>
      <c r="N110" s="51">
        <f>Slaughter_OLD!$AA$10</f>
        <v>0.16666666666666666</v>
      </c>
      <c r="O110" s="18">
        <v>1E-3</v>
      </c>
      <c r="P110" s="51">
        <v>1</v>
      </c>
    </row>
    <row r="111" spans="1:70" ht="14.4" x14ac:dyDescent="0.3">
      <c r="A111" s="132" t="s">
        <v>715</v>
      </c>
      <c r="B111" s="128">
        <v>0.152</v>
      </c>
      <c r="C111" s="128">
        <v>0.106</v>
      </c>
      <c r="D111" s="128">
        <v>0.13200000000000001</v>
      </c>
      <c r="E111" s="128">
        <v>0.127</v>
      </c>
      <c r="F111" s="128">
        <v>0.19800000000000001</v>
      </c>
      <c r="G111" s="128">
        <v>0.123</v>
      </c>
      <c r="H111" s="128">
        <v>0.14099999999999999</v>
      </c>
      <c r="I111" s="128">
        <v>0.161</v>
      </c>
      <c r="J111" s="128">
        <v>0.26500000000000001</v>
      </c>
      <c r="K111" s="128">
        <v>0.11</v>
      </c>
      <c r="L111" s="128">
        <v>0.17299999999999999</v>
      </c>
      <c r="M111" s="149">
        <v>7.4999999999999997E-2</v>
      </c>
      <c r="N111" s="149">
        <v>0</v>
      </c>
      <c r="O111" s="78">
        <v>0</v>
      </c>
      <c r="P111" s="78">
        <v>1</v>
      </c>
      <c r="Q111" s="282" t="s">
        <v>716</v>
      </c>
    </row>
    <row r="112" spans="1:70" s="5" customFormat="1" ht="57.6" x14ac:dyDescent="0.3">
      <c r="A112" s="34" t="s">
        <v>717</v>
      </c>
      <c r="B112" s="156">
        <f>B115*B114*B113*100</f>
        <v>72.094906314879751</v>
      </c>
      <c r="C112" s="157">
        <f t="shared" ref="C112:P112" si="36">C115*C114*C113*100</f>
        <v>72.655755424485335</v>
      </c>
      <c r="D112" s="156">
        <f t="shared" si="36"/>
        <v>72.094906314879751</v>
      </c>
      <c r="E112" s="156">
        <f t="shared" si="36"/>
        <v>72.655755424485335</v>
      </c>
      <c r="F112" s="157">
        <f t="shared" si="36"/>
        <v>72.655755424485335</v>
      </c>
      <c r="G112" s="156">
        <f t="shared" si="36"/>
        <v>72.655755424485335</v>
      </c>
      <c r="H112" s="157">
        <f t="shared" si="36"/>
        <v>69.058707221892462</v>
      </c>
      <c r="I112" s="156">
        <f t="shared" si="36"/>
        <v>72.094906314879751</v>
      </c>
      <c r="J112" s="156">
        <f t="shared" si="36"/>
        <v>72.655755424485335</v>
      </c>
      <c r="K112" s="157">
        <f t="shared" si="36"/>
        <v>72.864617629991272</v>
      </c>
      <c r="L112" s="156">
        <f t="shared" si="36"/>
        <v>46.132751686252696</v>
      </c>
      <c r="M112" s="156"/>
      <c r="N112" s="156"/>
      <c r="O112" s="95">
        <f t="shared" si="36"/>
        <v>4.9927220439667408E-2</v>
      </c>
      <c r="P112" s="165">
        <f t="shared" si="36"/>
        <v>249.63610219833706</v>
      </c>
      <c r="Q112" s="288" t="s">
        <v>718</v>
      </c>
      <c r="R112" s="282"/>
      <c r="S112" s="282"/>
      <c r="T112" s="28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row>
    <row r="113" spans="1:70" s="19" customFormat="1" ht="14.4" x14ac:dyDescent="0.3">
      <c r="A113" s="87" t="s">
        <v>719</v>
      </c>
      <c r="B113" s="22">
        <f>(2*(B116+B117+B119))+B118</f>
        <v>1.444</v>
      </c>
      <c r="C113" s="87">
        <f t="shared" ref="C113:P113" si="37">(2*(C116+C117+C119))+C118</f>
        <v>1.4552333333333332</v>
      </c>
      <c r="D113" s="22">
        <f t="shared" si="37"/>
        <v>1.444</v>
      </c>
      <c r="E113" s="22">
        <f t="shared" si="37"/>
        <v>1.4552333333333332</v>
      </c>
      <c r="F113" s="87">
        <f t="shared" si="37"/>
        <v>1.4552333333333332</v>
      </c>
      <c r="G113" s="22">
        <f t="shared" si="37"/>
        <v>1.4552333333333332</v>
      </c>
      <c r="H113" s="87">
        <f t="shared" si="37"/>
        <v>1.3831875</v>
      </c>
      <c r="I113" s="22">
        <f t="shared" si="37"/>
        <v>1.444</v>
      </c>
      <c r="J113" s="22">
        <f t="shared" si="37"/>
        <v>1.4552333333333332</v>
      </c>
      <c r="K113" s="87">
        <f t="shared" si="37"/>
        <v>1.4594166666666666</v>
      </c>
      <c r="L113" s="22">
        <f t="shared" si="37"/>
        <v>0.92400000000000004</v>
      </c>
      <c r="M113" s="22"/>
      <c r="N113" s="22"/>
      <c r="O113" s="87">
        <f t="shared" si="37"/>
        <v>1E-3</v>
      </c>
      <c r="P113" s="87">
        <f t="shared" si="37"/>
        <v>5</v>
      </c>
      <c r="Q113" s="291"/>
      <c r="R113" s="291"/>
      <c r="S113" s="291"/>
      <c r="T113" s="291"/>
    </row>
    <row r="114" spans="1:70" ht="34.5" customHeight="1" x14ac:dyDescent="0.3">
      <c r="A114" s="3" t="s">
        <v>720</v>
      </c>
      <c r="B114" s="22">
        <f>'Ability OLD'!$B$14</f>
        <v>0.67196797361598137</v>
      </c>
      <c r="C114" s="87">
        <f>'Ability OLD'!$B$14</f>
        <v>0.67196797361598137</v>
      </c>
      <c r="D114" s="22">
        <f>'Ability OLD'!$B$14</f>
        <v>0.67196797361598137</v>
      </c>
      <c r="E114" s="22">
        <f>'Ability OLD'!$B$14</f>
        <v>0.67196797361598137</v>
      </c>
      <c r="F114" s="87">
        <f>'Ability OLD'!$B$14</f>
        <v>0.67196797361598137</v>
      </c>
      <c r="G114" s="22">
        <f>'Ability OLD'!$B$14</f>
        <v>0.67196797361598137</v>
      </c>
      <c r="H114" s="87">
        <f>'Ability OLD'!$B$14</f>
        <v>0.67196797361598137</v>
      </c>
      <c r="I114" s="22">
        <f>'Ability OLD'!$B$14</f>
        <v>0.67196797361598137</v>
      </c>
      <c r="J114" s="22">
        <f>'Ability OLD'!$B$14</f>
        <v>0.67196797361598137</v>
      </c>
      <c r="K114" s="87">
        <f>'Ability OLD'!$B$14</f>
        <v>0.67196797361598137</v>
      </c>
      <c r="L114" s="22">
        <f>'Ability OLD'!$B$14</f>
        <v>0.67196797361598137</v>
      </c>
      <c r="M114" s="22"/>
      <c r="N114" s="22"/>
      <c r="O114" s="87">
        <f>'Ability OLD'!$B$14</f>
        <v>0.67196797361598137</v>
      </c>
      <c r="P114" s="87">
        <f>'Ability OLD'!$B$14</f>
        <v>0.67196797361598137</v>
      </c>
    </row>
    <row r="115" spans="1:70" ht="16.5" customHeight="1" x14ac:dyDescent="0.3">
      <c r="A115" s="3" t="s">
        <v>721</v>
      </c>
      <c r="B115" s="90">
        <v>0.74299999999999999</v>
      </c>
      <c r="C115" s="90">
        <v>0.74299999999999999</v>
      </c>
      <c r="D115" s="90">
        <v>0.74299999999999999</v>
      </c>
      <c r="E115" s="90">
        <v>0.74299999999999999</v>
      </c>
      <c r="F115" s="90">
        <v>0.74299999999999999</v>
      </c>
      <c r="G115" s="90">
        <v>0.74299999999999999</v>
      </c>
      <c r="H115" s="90">
        <v>0.74299999999999999</v>
      </c>
      <c r="I115" s="90">
        <v>0.74299999999999999</v>
      </c>
      <c r="J115" s="90">
        <v>0.74299999999999999</v>
      </c>
      <c r="K115" s="90">
        <v>0.74299999999999999</v>
      </c>
      <c r="L115" s="90">
        <v>0.74299999999999999</v>
      </c>
      <c r="M115" s="90"/>
      <c r="N115" s="90"/>
      <c r="O115" s="88">
        <v>0.74299999999999999</v>
      </c>
      <c r="P115" s="88">
        <v>0.74299999999999999</v>
      </c>
      <c r="Q115" s="287" t="s">
        <v>722</v>
      </c>
      <c r="S115" s="282" t="s">
        <v>723</v>
      </c>
    </row>
    <row r="116" spans="1:70" ht="97.5" customHeight="1" x14ac:dyDescent="0.3">
      <c r="A116" s="3" t="s">
        <v>724</v>
      </c>
      <c r="B116" s="23">
        <v>0.15</v>
      </c>
      <c r="C116" s="3">
        <v>0.15</v>
      </c>
      <c r="D116" s="23">
        <v>0.15</v>
      </c>
      <c r="E116" s="23">
        <v>0.15</v>
      </c>
      <c r="F116" s="3">
        <v>0.15</v>
      </c>
      <c r="G116" s="23">
        <v>0.15</v>
      </c>
      <c r="H116" s="3">
        <v>0.15</v>
      </c>
      <c r="I116" s="23">
        <v>0.15</v>
      </c>
      <c r="J116" s="23">
        <v>0.15</v>
      </c>
      <c r="K116" s="3">
        <v>0.15</v>
      </c>
      <c r="L116" s="23">
        <v>0.15</v>
      </c>
      <c r="M116" s="23"/>
      <c r="N116" s="23"/>
      <c r="O116" s="3">
        <v>0</v>
      </c>
      <c r="P116" s="3">
        <v>0.5</v>
      </c>
      <c r="Q116" s="293" t="s">
        <v>725</v>
      </c>
      <c r="R116" s="287" t="s">
        <v>726</v>
      </c>
    </row>
    <row r="117" spans="1:70" ht="86.4" x14ac:dyDescent="0.3">
      <c r="A117" s="3" t="s">
        <v>727</v>
      </c>
      <c r="B117" s="23">
        <v>0.11</v>
      </c>
      <c r="C117" s="3">
        <v>0.11</v>
      </c>
      <c r="D117" s="23">
        <v>0.11</v>
      </c>
      <c r="E117" s="23">
        <v>0.11</v>
      </c>
      <c r="F117" s="3">
        <v>0.11</v>
      </c>
      <c r="G117" s="23">
        <v>0.11</v>
      </c>
      <c r="H117" s="3">
        <v>0.11</v>
      </c>
      <c r="I117" s="23">
        <v>0.11</v>
      </c>
      <c r="J117" s="23">
        <v>0.11</v>
      </c>
      <c r="K117" s="3">
        <v>0.11</v>
      </c>
      <c r="L117" s="23">
        <v>0.11</v>
      </c>
      <c r="M117" s="23"/>
      <c r="N117" s="23"/>
      <c r="O117" s="3">
        <v>0</v>
      </c>
      <c r="P117" s="3">
        <v>0.5</v>
      </c>
      <c r="Q117" s="287" t="s">
        <v>728</v>
      </c>
    </row>
    <row r="118" spans="1:70" ht="57.6" x14ac:dyDescent="0.3">
      <c r="A118" s="3" t="s">
        <v>729</v>
      </c>
      <c r="B118" s="23">
        <f>Slaughter_OLD!C11</f>
        <v>0.25</v>
      </c>
      <c r="C118" s="154">
        <f>Slaughter_OLD!E11</f>
        <v>0.26123333333333332</v>
      </c>
      <c r="D118" s="155">
        <f>Slaughter_OLD!G11</f>
        <v>0.25</v>
      </c>
      <c r="E118" s="155">
        <f>Slaughter_OLD!I11</f>
        <v>0.26123333333333332</v>
      </c>
      <c r="F118" s="154">
        <f>Slaughter_OLD!K11</f>
        <v>0.26123333333333332</v>
      </c>
      <c r="G118" s="155">
        <f>Slaughter_OLD!M11</f>
        <v>0.26123333333333332</v>
      </c>
      <c r="H118" s="154">
        <f>Slaughter_OLD!O11</f>
        <v>0.25718750000000001</v>
      </c>
      <c r="I118" s="155">
        <f>Slaughter_OLD!Q11</f>
        <v>0.25</v>
      </c>
      <c r="J118" s="155">
        <f>Slaughter_OLD!S11</f>
        <v>0.26123333333333332</v>
      </c>
      <c r="K118" s="154">
        <f>Slaughter_OLD!U11</f>
        <v>0.26541666666666669</v>
      </c>
      <c r="L118" s="23">
        <f>Slaughter_OLD!W11</f>
        <v>0.25</v>
      </c>
      <c r="M118" s="23"/>
      <c r="N118" s="23"/>
      <c r="O118" s="3">
        <v>1E-3</v>
      </c>
      <c r="P118" s="3">
        <v>1</v>
      </c>
      <c r="Q118" s="288" t="s">
        <v>730</v>
      </c>
      <c r="R118" s="288" t="s">
        <v>731</v>
      </c>
      <c r="S118" s="285"/>
    </row>
    <row r="119" spans="1:70" ht="14.4" x14ac:dyDescent="0.3">
      <c r="A119" s="132" t="s">
        <v>732</v>
      </c>
      <c r="B119" s="134">
        <v>0.33700000000000002</v>
      </c>
      <c r="C119" s="135">
        <v>0.33700000000000002</v>
      </c>
      <c r="D119" s="134">
        <v>0.33700000000000002</v>
      </c>
      <c r="E119" s="134">
        <v>0.33700000000000002</v>
      </c>
      <c r="F119" s="135">
        <v>0.33700000000000002</v>
      </c>
      <c r="G119" s="134">
        <v>0.33700000000000002</v>
      </c>
      <c r="H119" s="135">
        <v>0.30299999999999999</v>
      </c>
      <c r="I119" s="134">
        <v>0.33700000000000002</v>
      </c>
      <c r="J119" s="134">
        <v>0.33700000000000002</v>
      </c>
      <c r="K119" s="135">
        <v>0.33700000000000002</v>
      </c>
      <c r="L119" s="134">
        <v>7.6999999999999999E-2</v>
      </c>
      <c r="M119" s="148"/>
      <c r="N119" s="148"/>
      <c r="O119" s="76">
        <v>0</v>
      </c>
      <c r="P119" s="76">
        <v>1</v>
      </c>
    </row>
    <row r="120" spans="1:70" s="5" customFormat="1" ht="43.2" x14ac:dyDescent="0.3">
      <c r="A120" s="57" t="s">
        <v>733</v>
      </c>
      <c r="B120" s="58">
        <f>B123*B122*B121*100</f>
        <v>10.939088941579248</v>
      </c>
      <c r="C120" s="58">
        <f t="shared" ref="C120:P120" si="38">C123*C122*C121*100</f>
        <v>10.939088941579248</v>
      </c>
      <c r="D120" s="58">
        <f t="shared" si="38"/>
        <v>10.939088941579248</v>
      </c>
      <c r="E120" s="58">
        <f t="shared" si="38"/>
        <v>10.939088941579248</v>
      </c>
      <c r="F120" s="58">
        <f t="shared" si="38"/>
        <v>10.939088941579248</v>
      </c>
      <c r="G120" s="58">
        <f t="shared" si="38"/>
        <v>10.939088941579248</v>
      </c>
      <c r="H120" s="58">
        <f t="shared" si="38"/>
        <v>10.939088941579248</v>
      </c>
      <c r="I120" s="58">
        <f t="shared" si="38"/>
        <v>10.939088941579248</v>
      </c>
      <c r="J120" s="58">
        <f t="shared" si="38"/>
        <v>10.939088941579248</v>
      </c>
      <c r="K120" s="58">
        <f t="shared" si="38"/>
        <v>10.939088941579248</v>
      </c>
      <c r="L120" s="58">
        <f t="shared" si="38"/>
        <v>10.939088941579248</v>
      </c>
      <c r="M120" s="58"/>
      <c r="N120" s="58"/>
      <c r="O120" s="58">
        <f t="shared" si="38"/>
        <v>1.2426076041172946E-2</v>
      </c>
      <c r="P120" s="58">
        <f t="shared" si="38"/>
        <v>62.130380205864725</v>
      </c>
      <c r="Q120" s="288" t="s">
        <v>734</v>
      </c>
      <c r="R120" s="282"/>
      <c r="S120" s="282"/>
      <c r="T120" s="282"/>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row>
    <row r="121" spans="1:70" s="19" customFormat="1" ht="14.4" x14ac:dyDescent="0.3">
      <c r="A121" s="87" t="s">
        <v>735</v>
      </c>
      <c r="B121" s="18">
        <f>(2*(B124+B125+B127))+B126</f>
        <v>0.8803333333333333</v>
      </c>
      <c r="C121" s="18">
        <f t="shared" ref="C121:P121" si="39">(2*(C124+C125+C127))+C126</f>
        <v>0.8803333333333333</v>
      </c>
      <c r="D121" s="18">
        <f t="shared" si="39"/>
        <v>0.8803333333333333</v>
      </c>
      <c r="E121" s="18">
        <f t="shared" si="39"/>
        <v>0.8803333333333333</v>
      </c>
      <c r="F121" s="18">
        <f t="shared" si="39"/>
        <v>0.8803333333333333</v>
      </c>
      <c r="G121" s="18">
        <f t="shared" si="39"/>
        <v>0.8803333333333333</v>
      </c>
      <c r="H121" s="18">
        <f t="shared" si="39"/>
        <v>0.8803333333333333</v>
      </c>
      <c r="I121" s="18">
        <f t="shared" si="39"/>
        <v>0.8803333333333333</v>
      </c>
      <c r="J121" s="18">
        <f t="shared" si="39"/>
        <v>0.8803333333333333</v>
      </c>
      <c r="K121" s="18">
        <f t="shared" si="39"/>
        <v>0.8803333333333333</v>
      </c>
      <c r="L121" s="18">
        <f t="shared" si="39"/>
        <v>0.8803333333333333</v>
      </c>
      <c r="M121" s="18"/>
      <c r="N121" s="18"/>
      <c r="O121" s="18">
        <f t="shared" si="39"/>
        <v>1E-3</v>
      </c>
      <c r="P121" s="18">
        <f t="shared" si="39"/>
        <v>5</v>
      </c>
      <c r="Q121" s="291"/>
      <c r="R121" s="291"/>
      <c r="S121" s="291"/>
      <c r="T121" s="291"/>
    </row>
    <row r="122" spans="1:70" ht="14.4" x14ac:dyDescent="0.3">
      <c r="A122" s="3" t="s">
        <v>736</v>
      </c>
      <c r="B122" s="18">
        <f>'Ability OLD'!$B$15</f>
        <v>0.30307199464420814</v>
      </c>
      <c r="C122" s="18">
        <f>'Ability OLD'!$B$15</f>
        <v>0.30307199464420814</v>
      </c>
      <c r="D122" s="18">
        <f>'Ability OLD'!$B$15</f>
        <v>0.30307199464420814</v>
      </c>
      <c r="E122" s="18">
        <f>'Ability OLD'!$B$15</f>
        <v>0.30307199464420814</v>
      </c>
      <c r="F122" s="18">
        <f>'Ability OLD'!$B$15</f>
        <v>0.30307199464420814</v>
      </c>
      <c r="G122" s="18">
        <f>'Ability OLD'!$B$15</f>
        <v>0.30307199464420814</v>
      </c>
      <c r="H122" s="18">
        <f>'Ability OLD'!$B$15</f>
        <v>0.30307199464420814</v>
      </c>
      <c r="I122" s="18">
        <f>'Ability OLD'!$B$15</f>
        <v>0.30307199464420814</v>
      </c>
      <c r="J122" s="18">
        <f>'Ability OLD'!$B$15</f>
        <v>0.30307199464420814</v>
      </c>
      <c r="K122" s="18">
        <f>'Ability OLD'!$B$15</f>
        <v>0.30307199464420814</v>
      </c>
      <c r="L122" s="18">
        <f>'Ability OLD'!$B$15</f>
        <v>0.30307199464420814</v>
      </c>
      <c r="M122" s="18"/>
      <c r="N122" s="18"/>
      <c r="O122" s="18">
        <f>'Ability OLD'!$B$15</f>
        <v>0.30307199464420814</v>
      </c>
      <c r="P122" s="18">
        <f>'Ability OLD'!$B$15</f>
        <v>0.30307199464420814</v>
      </c>
    </row>
    <row r="123" spans="1:70" ht="14.4" x14ac:dyDescent="0.3">
      <c r="A123" s="3" t="s">
        <v>737</v>
      </c>
      <c r="B123" s="168">
        <v>0.41000410004100041</v>
      </c>
      <c r="C123" s="168">
        <v>0.41000410004100041</v>
      </c>
      <c r="D123" s="168">
        <v>0.41000410004100041</v>
      </c>
      <c r="E123" s="168">
        <v>0.41000410004100041</v>
      </c>
      <c r="F123" s="168">
        <v>0.41000410004100041</v>
      </c>
      <c r="G123" s="168">
        <v>0.41000410004100041</v>
      </c>
      <c r="H123" s="168">
        <v>0.41000410004100041</v>
      </c>
      <c r="I123" s="168">
        <v>0.41000410004100041</v>
      </c>
      <c r="J123" s="168">
        <v>0.41000410004100041</v>
      </c>
      <c r="K123" s="168">
        <v>0.41000410004100041</v>
      </c>
      <c r="L123" s="168">
        <v>0.41000410004100041</v>
      </c>
      <c r="M123" s="24"/>
      <c r="N123" s="24"/>
      <c r="O123" s="168">
        <v>0.41000410004100041</v>
      </c>
      <c r="P123" s="168">
        <v>0.41000410004100041</v>
      </c>
      <c r="Q123" s="282" t="s">
        <v>738</v>
      </c>
    </row>
    <row r="124" spans="1:70" ht="28.8" x14ac:dyDescent="0.3">
      <c r="A124" s="3" t="s">
        <v>739</v>
      </c>
      <c r="B124" s="77">
        <v>0.161</v>
      </c>
      <c r="C124" s="77">
        <v>0.161</v>
      </c>
      <c r="D124" s="77">
        <v>0.161</v>
      </c>
      <c r="E124" s="77">
        <v>0.161</v>
      </c>
      <c r="F124" s="77">
        <v>0.161</v>
      </c>
      <c r="G124" s="77">
        <v>0.161</v>
      </c>
      <c r="H124" s="77">
        <v>0.161</v>
      </c>
      <c r="I124" s="77">
        <v>0.161</v>
      </c>
      <c r="J124" s="77">
        <v>0.161</v>
      </c>
      <c r="K124" s="77">
        <v>0.161</v>
      </c>
      <c r="L124" s="77">
        <v>0.161</v>
      </c>
      <c r="M124" s="77"/>
      <c r="N124" s="77"/>
      <c r="O124" s="77">
        <v>0</v>
      </c>
      <c r="P124" s="77">
        <v>0.5</v>
      </c>
      <c r="Q124" s="287" t="s">
        <v>740</v>
      </c>
      <c r="R124" s="287" t="s">
        <v>741</v>
      </c>
    </row>
    <row r="125" spans="1:70" ht="172.8" x14ac:dyDescent="0.3">
      <c r="A125" s="3" t="s">
        <v>742</v>
      </c>
      <c r="B125" s="93">
        <v>0.14499999999999999</v>
      </c>
      <c r="C125" s="93">
        <v>0.14499999999999999</v>
      </c>
      <c r="D125" s="93">
        <v>0.14499999999999999</v>
      </c>
      <c r="E125" s="93">
        <v>0.14499999999999999</v>
      </c>
      <c r="F125" s="93">
        <v>0.14499999999999999</v>
      </c>
      <c r="G125" s="93">
        <v>0.14499999999999999</v>
      </c>
      <c r="H125" s="93">
        <v>0.14499999999999999</v>
      </c>
      <c r="I125" s="93">
        <v>0.14499999999999999</v>
      </c>
      <c r="J125" s="93">
        <v>0.14499999999999999</v>
      </c>
      <c r="K125" s="93">
        <v>0.14499999999999999</v>
      </c>
      <c r="L125" s="93">
        <v>0.14499999999999999</v>
      </c>
      <c r="M125" s="93"/>
      <c r="N125" s="93"/>
      <c r="O125" s="93">
        <v>0</v>
      </c>
      <c r="P125" s="93">
        <v>0.5</v>
      </c>
      <c r="Q125" s="287" t="s">
        <v>743</v>
      </c>
      <c r="R125" s="287" t="s">
        <v>741</v>
      </c>
    </row>
    <row r="126" spans="1:70" ht="14.4" x14ac:dyDescent="0.3">
      <c r="A126" s="3" t="s">
        <v>744</v>
      </c>
      <c r="B126" s="50">
        <f>Slaughter_OLD!C12</f>
        <v>0.20833333333333334</v>
      </c>
      <c r="C126" s="50">
        <f>Slaughter_OLD!E12</f>
        <v>0.20833333333333334</v>
      </c>
      <c r="D126" s="50">
        <f>Slaughter_OLD!E12</f>
        <v>0.20833333333333334</v>
      </c>
      <c r="E126" s="50">
        <f>Slaughter_OLD!I12</f>
        <v>0.20833333333333334</v>
      </c>
      <c r="F126" s="50">
        <f>Slaughter_OLD!K12</f>
        <v>0.20833333333333334</v>
      </c>
      <c r="G126" s="50">
        <f>Slaughter_OLD!M12</f>
        <v>0.20833333333333334</v>
      </c>
      <c r="H126" s="50">
        <f>Slaughter_OLD!O12</f>
        <v>0.20833333333333334</v>
      </c>
      <c r="I126" s="50">
        <f>Slaughter_OLD!Q12</f>
        <v>0.20833333333333334</v>
      </c>
      <c r="J126" s="50">
        <f>Slaughter_OLD!S12</f>
        <v>0.20833333333333334</v>
      </c>
      <c r="K126" s="50">
        <f>Slaughter_OLD!U12</f>
        <v>0.20833333333333334</v>
      </c>
      <c r="L126" s="50">
        <f>Slaughter_OLD!W12</f>
        <v>0.20833333333333334</v>
      </c>
      <c r="M126" s="50"/>
      <c r="N126" s="50"/>
      <c r="O126" s="50">
        <v>1E-3</v>
      </c>
      <c r="P126" s="50">
        <v>1</v>
      </c>
      <c r="Q126" s="286" t="s">
        <v>745</v>
      </c>
    </row>
    <row r="127" spans="1:70" ht="14.4" x14ac:dyDescent="0.3">
      <c r="A127" s="132" t="s">
        <v>746</v>
      </c>
      <c r="B127" s="47">
        <v>0.03</v>
      </c>
      <c r="C127" s="47">
        <v>0.03</v>
      </c>
      <c r="D127" s="47">
        <v>0.03</v>
      </c>
      <c r="E127" s="47">
        <v>0.03</v>
      </c>
      <c r="F127" s="47">
        <v>0.03</v>
      </c>
      <c r="G127" s="47">
        <v>0.03</v>
      </c>
      <c r="H127" s="47">
        <v>0.03</v>
      </c>
      <c r="I127" s="47">
        <v>0.03</v>
      </c>
      <c r="J127" s="47">
        <v>0.03</v>
      </c>
      <c r="K127" s="47">
        <v>0.03</v>
      </c>
      <c r="L127" s="47">
        <v>0.03</v>
      </c>
      <c r="M127" s="36"/>
      <c r="N127" s="36"/>
      <c r="O127" s="36">
        <v>0</v>
      </c>
      <c r="P127" s="36">
        <v>1</v>
      </c>
    </row>
    <row r="128" spans="1:70" s="5" customFormat="1" ht="14.4" x14ac:dyDescent="0.3">
      <c r="A128" s="59" t="s">
        <v>747</v>
      </c>
      <c r="B128" s="60">
        <f>B131*B130*B129*100</f>
        <v>1.8647868715666507</v>
      </c>
      <c r="C128" s="60">
        <f t="shared" ref="C128:P128" si="40">C131*C130*C129*100</f>
        <v>1.8647868715666507</v>
      </c>
      <c r="D128" s="60">
        <f t="shared" si="40"/>
        <v>1.8647868715666507</v>
      </c>
      <c r="E128" s="60">
        <f t="shared" si="40"/>
        <v>1.8647868715666507</v>
      </c>
      <c r="F128" s="60">
        <f t="shared" si="40"/>
        <v>1.8647868715666507</v>
      </c>
      <c r="G128" s="60">
        <f t="shared" si="40"/>
        <v>1.8647868715666507</v>
      </c>
      <c r="H128" s="60">
        <f t="shared" si="40"/>
        <v>1.8647868715666507</v>
      </c>
      <c r="I128" s="60">
        <f t="shared" si="40"/>
        <v>1.8647868715666507</v>
      </c>
      <c r="J128" s="60">
        <f t="shared" si="40"/>
        <v>1.8647868715666507</v>
      </c>
      <c r="K128" s="60">
        <f t="shared" si="40"/>
        <v>1.8647868715666507</v>
      </c>
      <c r="L128" s="60">
        <f t="shared" si="40"/>
        <v>1.8647868715666507</v>
      </c>
      <c r="M128" s="60"/>
      <c r="N128" s="60"/>
      <c r="O128" s="60">
        <f t="shared" si="40"/>
        <v>5.7541994894056647E-2</v>
      </c>
      <c r="P128" s="60">
        <f t="shared" si="40"/>
        <v>3.1967774941142579</v>
      </c>
      <c r="Q128" s="282"/>
      <c r="R128" s="282"/>
      <c r="S128" s="282"/>
      <c r="T128" s="282"/>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row>
    <row r="129" spans="1:70" s="19" customFormat="1" ht="14.4" x14ac:dyDescent="0.3">
      <c r="A129" s="87" t="s">
        <v>748</v>
      </c>
      <c r="B129" s="18">
        <f>(2*(B132+B133+B135))+B134</f>
        <v>0.14583333333333334</v>
      </c>
      <c r="C129" s="18">
        <f t="shared" ref="C129:P129" si="41">(2*(C132+C133+C135))+C134</f>
        <v>0.14583333333333334</v>
      </c>
      <c r="D129" s="18">
        <f t="shared" si="41"/>
        <v>0.14583333333333334</v>
      </c>
      <c r="E129" s="18">
        <f t="shared" si="41"/>
        <v>0.14583333333333334</v>
      </c>
      <c r="F129" s="18">
        <f t="shared" si="41"/>
        <v>0.14583333333333334</v>
      </c>
      <c r="G129" s="18">
        <f t="shared" si="41"/>
        <v>0.14583333333333334</v>
      </c>
      <c r="H129" s="18">
        <f t="shared" si="41"/>
        <v>0.14583333333333334</v>
      </c>
      <c r="I129" s="18">
        <f t="shared" si="41"/>
        <v>0.14583333333333334</v>
      </c>
      <c r="J129" s="18">
        <f t="shared" si="41"/>
        <v>0.14583333333333334</v>
      </c>
      <c r="K129" s="18">
        <f t="shared" si="41"/>
        <v>0.14583333333333334</v>
      </c>
      <c r="L129" s="18">
        <f t="shared" si="41"/>
        <v>0.14583333333333334</v>
      </c>
      <c r="M129" s="18"/>
      <c r="N129" s="18"/>
      <c r="O129" s="18">
        <f t="shared" si="41"/>
        <v>1E-3</v>
      </c>
      <c r="P129" s="18">
        <f t="shared" si="41"/>
        <v>0.25</v>
      </c>
      <c r="Q129" s="291"/>
      <c r="R129" s="291"/>
      <c r="S129" s="291"/>
      <c r="T129" s="291"/>
    </row>
    <row r="130" spans="1:70" ht="14.4" x14ac:dyDescent="0.3">
      <c r="A130" s="3" t="s">
        <v>749</v>
      </c>
      <c r="B130" s="18">
        <f>'Ability OLD'!$B$16</f>
        <v>0.31967774941142579</v>
      </c>
      <c r="C130" s="18">
        <f>'Ability OLD'!$B$16</f>
        <v>0.31967774941142579</v>
      </c>
      <c r="D130" s="18">
        <f>'Ability OLD'!$B$16</f>
        <v>0.31967774941142579</v>
      </c>
      <c r="E130" s="18">
        <f>'Ability OLD'!$B$16</f>
        <v>0.31967774941142579</v>
      </c>
      <c r="F130" s="18">
        <f>'Ability OLD'!$B$16</f>
        <v>0.31967774941142579</v>
      </c>
      <c r="G130" s="18">
        <f>'Ability OLD'!$B$16</f>
        <v>0.31967774941142579</v>
      </c>
      <c r="H130" s="18">
        <f>'Ability OLD'!$B$16</f>
        <v>0.31967774941142579</v>
      </c>
      <c r="I130" s="18">
        <f>'Ability OLD'!$B$16</f>
        <v>0.31967774941142579</v>
      </c>
      <c r="J130" s="18">
        <f>'Ability OLD'!$B$16</f>
        <v>0.31967774941142579</v>
      </c>
      <c r="K130" s="18">
        <f>'Ability OLD'!$B$16</f>
        <v>0.31967774941142579</v>
      </c>
      <c r="L130" s="18">
        <f>'Ability OLD'!$B$16</f>
        <v>0.31967774941142579</v>
      </c>
      <c r="M130" s="18"/>
      <c r="N130" s="18"/>
      <c r="O130" s="18">
        <f>'Ability OLD'!$B$16</f>
        <v>0.31967774941142579</v>
      </c>
      <c r="P130" s="18">
        <f>'Ability OLD'!$B$16</f>
        <v>0.31967774941142579</v>
      </c>
    </row>
    <row r="131" spans="1:70" ht="28.8" x14ac:dyDescent="0.3">
      <c r="A131" s="3" t="s">
        <v>750</v>
      </c>
      <c r="B131" s="24">
        <v>0.4</v>
      </c>
      <c r="C131" s="24">
        <v>0.4</v>
      </c>
      <c r="D131" s="24">
        <v>0.4</v>
      </c>
      <c r="E131" s="24">
        <v>0.4</v>
      </c>
      <c r="F131" s="24">
        <v>0.4</v>
      </c>
      <c r="G131" s="24">
        <v>0.4</v>
      </c>
      <c r="H131" s="24">
        <v>0.4</v>
      </c>
      <c r="I131" s="24">
        <v>0.4</v>
      </c>
      <c r="J131" s="24">
        <v>0.4</v>
      </c>
      <c r="K131" s="24">
        <v>0.4</v>
      </c>
      <c r="L131" s="24">
        <v>0.4</v>
      </c>
      <c r="M131" s="24"/>
      <c r="N131" s="24"/>
      <c r="O131" s="24">
        <v>1.8</v>
      </c>
      <c r="P131" s="24">
        <v>0.4</v>
      </c>
      <c r="Q131" s="290" t="s">
        <v>751</v>
      </c>
    </row>
    <row r="132" spans="1:70" ht="14.4" x14ac:dyDescent="0.3">
      <c r="A132" s="3" t="s">
        <v>752</v>
      </c>
      <c r="B132" s="36">
        <v>0</v>
      </c>
      <c r="C132" s="36">
        <v>0</v>
      </c>
      <c r="D132" s="36">
        <v>0</v>
      </c>
      <c r="E132" s="36">
        <v>0</v>
      </c>
      <c r="F132" s="36">
        <v>0</v>
      </c>
      <c r="G132" s="36">
        <v>0</v>
      </c>
      <c r="H132" s="36">
        <v>0</v>
      </c>
      <c r="I132" s="36">
        <v>0</v>
      </c>
      <c r="J132" s="36">
        <v>0</v>
      </c>
      <c r="K132" s="36">
        <v>0</v>
      </c>
      <c r="L132" s="36">
        <v>0</v>
      </c>
      <c r="M132" s="36"/>
      <c r="N132" s="36"/>
      <c r="O132" s="36">
        <v>0</v>
      </c>
      <c r="P132" s="36">
        <v>0</v>
      </c>
    </row>
    <row r="133" spans="1:70" ht="14.4" x14ac:dyDescent="0.3">
      <c r="A133" s="3" t="s">
        <v>753</v>
      </c>
      <c r="B133" s="36">
        <v>0</v>
      </c>
      <c r="C133" s="36">
        <v>0</v>
      </c>
      <c r="D133" s="36">
        <v>0</v>
      </c>
      <c r="E133" s="36">
        <v>0</v>
      </c>
      <c r="F133" s="36">
        <v>0</v>
      </c>
      <c r="G133" s="36">
        <v>0</v>
      </c>
      <c r="H133" s="36">
        <v>0</v>
      </c>
      <c r="I133" s="36">
        <v>0</v>
      </c>
      <c r="J133" s="36">
        <v>0</v>
      </c>
      <c r="K133" s="36">
        <v>0</v>
      </c>
      <c r="L133" s="36">
        <v>0</v>
      </c>
      <c r="M133" s="36"/>
      <c r="N133" s="36"/>
      <c r="O133" s="36">
        <v>0</v>
      </c>
      <c r="P133" s="36">
        <v>0</v>
      </c>
    </row>
    <row r="134" spans="1:70" s="19" customFormat="1" ht="14.4" x14ac:dyDescent="0.3">
      <c r="A134" s="87" t="s">
        <v>754</v>
      </c>
      <c r="B134" s="51">
        <f>Slaughter_OLD!$C$13</f>
        <v>0.14583333333333334</v>
      </c>
      <c r="C134" s="51">
        <f>Slaughter_OLD!$E$13</f>
        <v>0.14583333333333334</v>
      </c>
      <c r="D134" s="51">
        <f>Slaughter_OLD!$G$13</f>
        <v>0.14583333333333334</v>
      </c>
      <c r="E134" s="51">
        <f>Slaughter_OLD!$I$13</f>
        <v>0.14583333333333334</v>
      </c>
      <c r="F134" s="51">
        <f>Slaughter_OLD!$K$13</f>
        <v>0.14583333333333334</v>
      </c>
      <c r="G134" s="51">
        <f>Slaughter_OLD!$M$13</f>
        <v>0.14583333333333334</v>
      </c>
      <c r="H134" s="51">
        <f>Slaughter_OLD!$O$13</f>
        <v>0.14583333333333334</v>
      </c>
      <c r="I134" s="51">
        <f>Slaughter_OLD!$Q$13</f>
        <v>0.14583333333333334</v>
      </c>
      <c r="J134" s="51">
        <f>Slaughter_OLD!$S$13</f>
        <v>0.14583333333333334</v>
      </c>
      <c r="K134" s="51">
        <f>Slaughter_OLD!$U$13</f>
        <v>0.14583333333333334</v>
      </c>
      <c r="L134" s="51">
        <f>Slaughter_OLD!$W$13</f>
        <v>0.14583333333333334</v>
      </c>
      <c r="M134" s="51"/>
      <c r="N134" s="51"/>
      <c r="O134" s="18">
        <v>1E-3</v>
      </c>
      <c r="P134" s="51">
        <v>0.25</v>
      </c>
      <c r="Q134" s="291" t="s">
        <v>755</v>
      </c>
      <c r="R134" s="291"/>
      <c r="S134" s="291"/>
      <c r="T134" s="291"/>
    </row>
    <row r="135" spans="1:70" ht="14.4" x14ac:dyDescent="0.3">
      <c r="A135" s="132" t="s">
        <v>756</v>
      </c>
      <c r="B135" s="47">
        <v>0</v>
      </c>
      <c r="C135" s="47">
        <v>0</v>
      </c>
      <c r="D135" s="47">
        <v>0</v>
      </c>
      <c r="E135" s="47">
        <v>0</v>
      </c>
      <c r="F135" s="47">
        <v>0</v>
      </c>
      <c r="G135" s="47">
        <v>0</v>
      </c>
      <c r="H135" s="47">
        <v>0</v>
      </c>
      <c r="I135" s="47">
        <v>0</v>
      </c>
      <c r="J135" s="47">
        <v>0</v>
      </c>
      <c r="K135" s="47">
        <v>0</v>
      </c>
      <c r="L135" s="47">
        <v>0</v>
      </c>
      <c r="M135" s="36"/>
      <c r="N135" s="36"/>
      <c r="O135" s="36">
        <v>0</v>
      </c>
      <c r="P135" s="36">
        <v>0</v>
      </c>
    </row>
    <row r="136" spans="1:70" s="5" customFormat="1" ht="14.4" x14ac:dyDescent="0.3">
      <c r="A136" s="61" t="s">
        <v>757</v>
      </c>
      <c r="B136" s="62">
        <f>B139*B138*B137*100</f>
        <v>4.4035905510246658E-3</v>
      </c>
      <c r="C136" s="62">
        <f t="shared" ref="C136:P136" si="42">C139*C138*C137*100</f>
        <v>5.9577989807980767E-3</v>
      </c>
      <c r="D136" s="62">
        <f t="shared" si="42"/>
        <v>4.416542287939443E-3</v>
      </c>
      <c r="E136" s="62">
        <f t="shared" si="42"/>
        <v>3.0954651226320442E-3</v>
      </c>
      <c r="F136" s="62">
        <f t="shared" si="42"/>
        <v>2.214747012427111E-3</v>
      </c>
      <c r="G136" s="62">
        <f t="shared" si="42"/>
        <v>3.3739274662997801E-3</v>
      </c>
      <c r="H136" s="62">
        <f t="shared" si="42"/>
        <v>3.0954651226320442E-3</v>
      </c>
      <c r="I136" s="62">
        <f t="shared" si="42"/>
        <v>4.4100664194820539E-3</v>
      </c>
      <c r="J136" s="62">
        <f t="shared" si="42"/>
        <v>2.214747012427111E-3</v>
      </c>
      <c r="K136" s="62">
        <f t="shared" si="42"/>
        <v>1.1786080592448367E-3</v>
      </c>
      <c r="L136" s="62">
        <f t="shared" si="42"/>
        <v>5.6987642425025079E-4</v>
      </c>
      <c r="M136" s="62"/>
      <c r="N136" s="62"/>
      <c r="O136" s="62">
        <f t="shared" si="42"/>
        <v>8.2062205092036115E-4</v>
      </c>
      <c r="P136" s="62">
        <f t="shared" si="42"/>
        <v>3.446612613865517E-2</v>
      </c>
      <c r="Q136" s="282" t="s">
        <v>758</v>
      </c>
      <c r="R136" s="282"/>
      <c r="S136" s="282"/>
      <c r="T136" s="282"/>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row>
    <row r="137" spans="1:70" s="19" customFormat="1" ht="14.4" x14ac:dyDescent="0.3">
      <c r="A137" s="87" t="s">
        <v>759</v>
      </c>
      <c r="B137" s="18">
        <f>(2*(B140+B141+B143))+B142</f>
        <v>6.9444444444444447E-4</v>
      </c>
      <c r="C137" s="18">
        <f t="shared" ref="C137:P137" si="43">(2*(C140+C141+C143))+C142</f>
        <v>6.9444444444444447E-4</v>
      </c>
      <c r="D137" s="18">
        <f t="shared" si="43"/>
        <v>6.9444444444444447E-4</v>
      </c>
      <c r="E137" s="18">
        <f t="shared" si="43"/>
        <v>6.9444444444444447E-4</v>
      </c>
      <c r="F137" s="18">
        <f t="shared" si="43"/>
        <v>6.9444444444444447E-4</v>
      </c>
      <c r="G137" s="18">
        <f t="shared" si="43"/>
        <v>6.9444444444444447E-4</v>
      </c>
      <c r="H137" s="18">
        <f t="shared" si="43"/>
        <v>6.9444444444444447E-4</v>
      </c>
      <c r="I137" s="18">
        <f t="shared" si="43"/>
        <v>6.9444444444444447E-4</v>
      </c>
      <c r="J137" s="18">
        <f t="shared" si="43"/>
        <v>6.9444444444444447E-4</v>
      </c>
      <c r="K137" s="18">
        <f t="shared" si="43"/>
        <v>6.9444444444444447E-4</v>
      </c>
      <c r="L137" s="18">
        <f t="shared" si="43"/>
        <v>6.9444444444444447E-4</v>
      </c>
      <c r="M137" s="18"/>
      <c r="N137" s="18"/>
      <c r="O137" s="18">
        <f t="shared" si="43"/>
        <v>1E-3</v>
      </c>
      <c r="P137" s="18">
        <f t="shared" si="43"/>
        <v>4.2000000000000003E-2</v>
      </c>
      <c r="Q137" s="291"/>
      <c r="R137" s="291"/>
      <c r="S137" s="291"/>
      <c r="T137" s="291"/>
    </row>
    <row r="138" spans="1:70" ht="14.4" x14ac:dyDescent="0.3">
      <c r="A138" s="3" t="s">
        <v>760</v>
      </c>
      <c r="B138" s="93">
        <f>'Ability OLD'!$B$17</f>
        <v>0.93252505786404671</v>
      </c>
      <c r="C138" s="93">
        <f>'Ability OLD'!$B$17</f>
        <v>0.93252505786404671</v>
      </c>
      <c r="D138" s="93">
        <f>'Ability OLD'!$B$17</f>
        <v>0.93252505786404671</v>
      </c>
      <c r="E138" s="93">
        <f>'Ability OLD'!$B$17</f>
        <v>0.93252505786404671</v>
      </c>
      <c r="F138" s="93">
        <f>'Ability OLD'!$B$17</f>
        <v>0.93252505786404671</v>
      </c>
      <c r="G138" s="93">
        <f>'Ability OLD'!$B$17</f>
        <v>0.93252505786404671</v>
      </c>
      <c r="H138" s="93">
        <f>'Ability OLD'!$B$17</f>
        <v>0.93252505786404671</v>
      </c>
      <c r="I138" s="93">
        <f>'Ability OLD'!$B$17</f>
        <v>0.93252505786404671</v>
      </c>
      <c r="J138" s="93">
        <f>'Ability OLD'!$B$17</f>
        <v>0.93252505786404671</v>
      </c>
      <c r="K138" s="93">
        <f>'Ability OLD'!$B$17</f>
        <v>0.93252505786404671</v>
      </c>
      <c r="L138" s="93">
        <f>'Ability OLD'!$B$17</f>
        <v>0.93252505786404671</v>
      </c>
      <c r="M138" s="93"/>
      <c r="N138" s="93"/>
      <c r="O138" s="93">
        <f>'Ability OLD'!$B$17</f>
        <v>0.93252505786404671</v>
      </c>
      <c r="P138" s="93">
        <f>'Ability OLD'!$B$17</f>
        <v>0.93252505786404671</v>
      </c>
    </row>
    <row r="139" spans="1:70" ht="14.4" x14ac:dyDescent="0.3">
      <c r="A139" s="88" t="s">
        <v>761</v>
      </c>
      <c r="B139" s="92">
        <v>6.8000000000000005E-2</v>
      </c>
      <c r="C139" s="92">
        <v>9.1999999999999998E-2</v>
      </c>
      <c r="D139" s="92">
        <v>6.8199999999999997E-2</v>
      </c>
      <c r="E139" s="92">
        <v>4.7800000000000002E-2</v>
      </c>
      <c r="F139" s="92">
        <v>3.4200000000000001E-2</v>
      </c>
      <c r="G139" s="92">
        <v>5.21E-2</v>
      </c>
      <c r="H139" s="92">
        <v>4.7800000000000002E-2</v>
      </c>
      <c r="I139" s="92">
        <v>6.8099999999999994E-2</v>
      </c>
      <c r="J139" s="92">
        <v>3.4200000000000001E-2</v>
      </c>
      <c r="K139" s="92">
        <v>1.8200000000000001E-2</v>
      </c>
      <c r="L139" s="92">
        <v>8.8000000000000005E-3</v>
      </c>
      <c r="M139" s="92"/>
      <c r="N139" s="92"/>
      <c r="O139" s="92">
        <v>8.8000000000000005E-3</v>
      </c>
      <c r="P139" s="92">
        <v>8.8000000000000005E-3</v>
      </c>
    </row>
    <row r="140" spans="1:70" ht="14.4" x14ac:dyDescent="0.3">
      <c r="A140" s="3" t="s">
        <v>762</v>
      </c>
      <c r="B140" s="36">
        <v>0</v>
      </c>
      <c r="C140" s="36">
        <v>0</v>
      </c>
      <c r="D140" s="36">
        <v>0</v>
      </c>
      <c r="E140" s="36">
        <v>0</v>
      </c>
      <c r="F140" s="36">
        <v>0</v>
      </c>
      <c r="G140" s="36">
        <v>0</v>
      </c>
      <c r="H140" s="36">
        <v>0</v>
      </c>
      <c r="I140" s="36">
        <v>0</v>
      </c>
      <c r="J140" s="36">
        <v>0</v>
      </c>
      <c r="K140" s="36">
        <v>0</v>
      </c>
      <c r="L140" s="36">
        <v>0</v>
      </c>
      <c r="M140" s="36"/>
      <c r="N140" s="36"/>
      <c r="O140" s="36">
        <v>0</v>
      </c>
      <c r="P140" s="36">
        <v>0</v>
      </c>
    </row>
    <row r="141" spans="1:70" ht="14.4" x14ac:dyDescent="0.3">
      <c r="A141" s="3" t="s">
        <v>763</v>
      </c>
      <c r="B141" s="36">
        <v>0</v>
      </c>
      <c r="C141" s="36">
        <v>0</v>
      </c>
      <c r="D141" s="36">
        <v>0</v>
      </c>
      <c r="E141" s="36">
        <v>0</v>
      </c>
      <c r="F141" s="36">
        <v>0</v>
      </c>
      <c r="G141" s="36">
        <v>0</v>
      </c>
      <c r="H141" s="36">
        <v>0</v>
      </c>
      <c r="I141" s="36">
        <v>0</v>
      </c>
      <c r="J141" s="36">
        <v>0</v>
      </c>
      <c r="K141" s="36">
        <v>0</v>
      </c>
      <c r="L141" s="36">
        <v>0</v>
      </c>
      <c r="M141" s="36"/>
      <c r="N141" s="36"/>
      <c r="O141" s="36">
        <v>0</v>
      </c>
      <c r="P141" s="36">
        <v>0</v>
      </c>
    </row>
    <row r="142" spans="1:70" ht="14.4" x14ac:dyDescent="0.3">
      <c r="A142" s="3" t="s">
        <v>764</v>
      </c>
      <c r="B142" s="18">
        <f>Slaughter_OLD!$C$14</f>
        <v>6.9444444444444447E-4</v>
      </c>
      <c r="C142" s="18">
        <f>Slaughter_OLD!$E$14</f>
        <v>6.9444444444444447E-4</v>
      </c>
      <c r="D142" s="18">
        <f>Slaughter_OLD!$G$14</f>
        <v>6.9444444444444447E-4</v>
      </c>
      <c r="E142" s="18">
        <f>Slaughter_OLD!$I$14</f>
        <v>6.9444444444444447E-4</v>
      </c>
      <c r="F142" s="18">
        <f>Slaughter_OLD!$K$14</f>
        <v>6.9444444444444447E-4</v>
      </c>
      <c r="G142" s="18">
        <f>Slaughter_OLD!$M$14</f>
        <v>6.9444444444444447E-4</v>
      </c>
      <c r="H142" s="18">
        <f>Slaughter_OLD!$O$14</f>
        <v>6.9444444444444447E-4</v>
      </c>
      <c r="I142" s="18">
        <f>Slaughter_OLD!$Q$14</f>
        <v>6.9444444444444447E-4</v>
      </c>
      <c r="J142" s="18">
        <f>Slaughter_OLD!$S$14</f>
        <v>6.9444444444444447E-4</v>
      </c>
      <c r="K142" s="18">
        <f>Slaughter_OLD!$U$14</f>
        <v>6.9444444444444447E-4</v>
      </c>
      <c r="L142" s="18">
        <f>Slaughter_OLD!$W$14</f>
        <v>6.9444444444444447E-4</v>
      </c>
      <c r="M142" s="18"/>
      <c r="N142" s="18"/>
      <c r="O142" s="18">
        <v>1E-3</v>
      </c>
      <c r="P142" s="147">
        <v>4.2000000000000003E-2</v>
      </c>
      <c r="Q142" s="286" t="s">
        <v>765</v>
      </c>
    </row>
    <row r="143" spans="1:70" ht="14.4" x14ac:dyDescent="0.3">
      <c r="A143" s="142" t="s">
        <v>766</v>
      </c>
      <c r="B143" s="122">
        <v>0</v>
      </c>
      <c r="C143" s="122">
        <v>0</v>
      </c>
      <c r="D143" s="122">
        <v>0</v>
      </c>
      <c r="E143" s="122">
        <v>0</v>
      </c>
      <c r="F143" s="122">
        <v>0</v>
      </c>
      <c r="G143" s="122">
        <v>0</v>
      </c>
      <c r="H143" s="122">
        <v>0</v>
      </c>
      <c r="I143" s="122">
        <v>0</v>
      </c>
      <c r="J143" s="122">
        <v>0</v>
      </c>
      <c r="K143" s="122">
        <v>0</v>
      </c>
      <c r="L143" s="122">
        <v>0</v>
      </c>
      <c r="M143" s="36"/>
      <c r="N143" s="36"/>
      <c r="O143" s="36">
        <v>0</v>
      </c>
      <c r="P143" s="36">
        <v>0</v>
      </c>
    </row>
    <row r="144" spans="1:70" s="5" customFormat="1" ht="14.4" x14ac:dyDescent="0.3">
      <c r="A144" s="61" t="s">
        <v>767</v>
      </c>
      <c r="B144" s="62">
        <f>B147*B146*B145*100</f>
        <v>2.2222222222222222E-3</v>
      </c>
      <c r="C144" s="62">
        <f t="shared" ref="C144:P144" si="44">C147*C146*C145*100</f>
        <v>2.2222222222222222E-3</v>
      </c>
      <c r="D144" s="62">
        <f t="shared" si="44"/>
        <v>2.2222222222222222E-3</v>
      </c>
      <c r="E144" s="62">
        <f t="shared" si="44"/>
        <v>2.2222222222222222E-3</v>
      </c>
      <c r="F144" s="62">
        <f t="shared" si="44"/>
        <v>2.2222222222222222E-3</v>
      </c>
      <c r="G144" s="62">
        <f t="shared" si="44"/>
        <v>2.2222222222222222E-3</v>
      </c>
      <c r="H144" s="62">
        <f t="shared" si="44"/>
        <v>2.2222222222222222E-3</v>
      </c>
      <c r="I144" s="62">
        <f t="shared" si="44"/>
        <v>2.2222222222222222E-3</v>
      </c>
      <c r="J144" s="62">
        <f t="shared" si="44"/>
        <v>2.2222222222222222E-3</v>
      </c>
      <c r="K144" s="62">
        <f t="shared" si="44"/>
        <v>2.2222222222222222E-3</v>
      </c>
      <c r="L144" s="62">
        <f t="shared" si="44"/>
        <v>2.2222222222222222E-3</v>
      </c>
      <c r="M144" s="62">
        <v>0</v>
      </c>
      <c r="N144" s="62">
        <v>0</v>
      </c>
      <c r="O144" s="62">
        <f t="shared" si="44"/>
        <v>3.1999999999999997E-3</v>
      </c>
      <c r="P144" s="62">
        <f t="shared" si="44"/>
        <v>0.13440000000000002</v>
      </c>
      <c r="Q144" s="282" t="s">
        <v>768</v>
      </c>
      <c r="R144" s="282"/>
      <c r="S144" s="282"/>
      <c r="T144" s="282"/>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row>
    <row r="145" spans="1:70" s="19" customFormat="1" ht="14.4" x14ac:dyDescent="0.3">
      <c r="A145" s="87" t="s">
        <v>769</v>
      </c>
      <c r="B145" s="18">
        <f>(2*(B148+B149+B151))+B150</f>
        <v>6.9444444444444447E-4</v>
      </c>
      <c r="C145" s="18">
        <f t="shared" ref="C145:P145" si="45">(2*(C148+C149+C151))+C150</f>
        <v>6.9444444444444447E-4</v>
      </c>
      <c r="D145" s="18">
        <f t="shared" si="45"/>
        <v>6.9444444444444447E-4</v>
      </c>
      <c r="E145" s="18">
        <f t="shared" si="45"/>
        <v>6.9444444444444447E-4</v>
      </c>
      <c r="F145" s="18">
        <f t="shared" si="45"/>
        <v>6.9444444444444447E-4</v>
      </c>
      <c r="G145" s="18">
        <f t="shared" si="45"/>
        <v>6.9444444444444447E-4</v>
      </c>
      <c r="H145" s="18">
        <f t="shared" si="45"/>
        <v>6.9444444444444447E-4</v>
      </c>
      <c r="I145" s="18">
        <f t="shared" si="45"/>
        <v>6.9444444444444447E-4</v>
      </c>
      <c r="J145" s="18">
        <f t="shared" si="45"/>
        <v>6.9444444444444447E-4</v>
      </c>
      <c r="K145" s="18">
        <f t="shared" si="45"/>
        <v>6.9444444444444447E-4</v>
      </c>
      <c r="L145" s="18">
        <f t="shared" si="45"/>
        <v>6.9444444444444447E-4</v>
      </c>
      <c r="M145" s="18">
        <v>0</v>
      </c>
      <c r="N145" s="18">
        <v>0</v>
      </c>
      <c r="O145" s="18">
        <f t="shared" si="45"/>
        <v>1E-3</v>
      </c>
      <c r="P145" s="18">
        <f t="shared" si="45"/>
        <v>4.2000000000000003E-2</v>
      </c>
      <c r="Q145" s="291"/>
      <c r="R145" s="291"/>
      <c r="S145" s="291"/>
      <c r="T145" s="291"/>
    </row>
    <row r="146" spans="1:70" ht="14.4" x14ac:dyDescent="0.3">
      <c r="A146" s="3" t="s">
        <v>770</v>
      </c>
      <c r="B146" s="93">
        <f>'Ability OLD'!$B$18</f>
        <v>1</v>
      </c>
      <c r="C146" s="93">
        <f>'Ability OLD'!$B$18</f>
        <v>1</v>
      </c>
      <c r="D146" s="93">
        <f>'Ability OLD'!$B$18</f>
        <v>1</v>
      </c>
      <c r="E146" s="93">
        <f>'Ability OLD'!$B$18</f>
        <v>1</v>
      </c>
      <c r="F146" s="93">
        <f>'Ability OLD'!$B$18</f>
        <v>1</v>
      </c>
      <c r="G146" s="93">
        <f>'Ability OLD'!$B$18</f>
        <v>1</v>
      </c>
      <c r="H146" s="93">
        <f>'Ability OLD'!$B$18</f>
        <v>1</v>
      </c>
      <c r="I146" s="93">
        <f>'Ability OLD'!$B$18</f>
        <v>1</v>
      </c>
      <c r="J146" s="93">
        <f>'Ability OLD'!$B$18</f>
        <v>1</v>
      </c>
      <c r="K146" s="93">
        <f>'Ability OLD'!$B$18</f>
        <v>1</v>
      </c>
      <c r="L146" s="93">
        <f>'Ability OLD'!$B$18</f>
        <v>1</v>
      </c>
      <c r="M146" s="93">
        <v>0</v>
      </c>
      <c r="N146" s="93">
        <v>0</v>
      </c>
      <c r="O146" s="93">
        <f>'Ability OLD'!$B$18</f>
        <v>1</v>
      </c>
      <c r="P146" s="93">
        <f>'Ability OLD'!$B$18</f>
        <v>1</v>
      </c>
    </row>
    <row r="147" spans="1:70" ht="14.4" x14ac:dyDescent="0.3">
      <c r="A147" s="88" t="s">
        <v>771</v>
      </c>
      <c r="B147" s="92">
        <v>3.2000000000000001E-2</v>
      </c>
      <c r="C147" s="92">
        <v>3.2000000000000001E-2</v>
      </c>
      <c r="D147" s="92">
        <v>3.2000000000000001E-2</v>
      </c>
      <c r="E147" s="92">
        <v>3.2000000000000001E-2</v>
      </c>
      <c r="F147" s="92">
        <v>3.2000000000000001E-2</v>
      </c>
      <c r="G147" s="92">
        <v>3.2000000000000001E-2</v>
      </c>
      <c r="H147" s="92">
        <v>3.2000000000000001E-2</v>
      </c>
      <c r="I147" s="92">
        <v>3.2000000000000001E-2</v>
      </c>
      <c r="J147" s="92">
        <v>3.2000000000000001E-2</v>
      </c>
      <c r="K147" s="92">
        <v>3.2000000000000001E-2</v>
      </c>
      <c r="L147" s="92">
        <v>3.2000000000000001E-2</v>
      </c>
      <c r="M147" s="92">
        <v>0</v>
      </c>
      <c r="N147" s="92">
        <v>0</v>
      </c>
      <c r="O147" s="92">
        <v>3.2000000000000001E-2</v>
      </c>
      <c r="P147" s="92">
        <v>3.2000000000000001E-2</v>
      </c>
    </row>
    <row r="148" spans="1:70" ht="14.4" x14ac:dyDescent="0.3">
      <c r="A148" s="3" t="s">
        <v>772</v>
      </c>
      <c r="B148" s="36">
        <v>0</v>
      </c>
      <c r="C148" s="36">
        <v>0</v>
      </c>
      <c r="D148" s="36">
        <v>0</v>
      </c>
      <c r="E148" s="36">
        <v>0</v>
      </c>
      <c r="F148" s="36">
        <v>0</v>
      </c>
      <c r="G148" s="36">
        <v>0</v>
      </c>
      <c r="H148" s="36">
        <v>0</v>
      </c>
      <c r="I148" s="36">
        <v>0</v>
      </c>
      <c r="J148" s="36">
        <v>0</v>
      </c>
      <c r="K148" s="36">
        <v>0</v>
      </c>
      <c r="L148" s="36">
        <v>0</v>
      </c>
      <c r="M148" s="36"/>
      <c r="N148" s="36"/>
      <c r="O148" s="36">
        <v>0</v>
      </c>
      <c r="P148" s="36">
        <v>0</v>
      </c>
    </row>
    <row r="149" spans="1:70" ht="14.4" x14ac:dyDescent="0.3">
      <c r="A149" s="3" t="s">
        <v>773</v>
      </c>
      <c r="B149" s="36">
        <v>0</v>
      </c>
      <c r="C149" s="36">
        <v>0</v>
      </c>
      <c r="D149" s="36">
        <v>0</v>
      </c>
      <c r="E149" s="36">
        <v>0</v>
      </c>
      <c r="F149" s="36">
        <v>0</v>
      </c>
      <c r="G149" s="36">
        <v>0</v>
      </c>
      <c r="H149" s="36">
        <v>0</v>
      </c>
      <c r="I149" s="36">
        <v>0</v>
      </c>
      <c r="J149" s="36">
        <v>0</v>
      </c>
      <c r="K149" s="36">
        <v>0</v>
      </c>
      <c r="L149" s="36">
        <v>0</v>
      </c>
      <c r="M149" s="36"/>
      <c r="N149" s="36"/>
      <c r="O149" s="36">
        <v>0</v>
      </c>
      <c r="P149" s="36">
        <v>0</v>
      </c>
    </row>
    <row r="150" spans="1:70" ht="14.4" x14ac:dyDescent="0.3">
      <c r="A150" s="3" t="s">
        <v>774</v>
      </c>
      <c r="B150" s="18">
        <f>Slaughter_OLD!$C$14</f>
        <v>6.9444444444444447E-4</v>
      </c>
      <c r="C150" s="18">
        <f>Slaughter_OLD!$E$14</f>
        <v>6.9444444444444447E-4</v>
      </c>
      <c r="D150" s="18">
        <f>Slaughter_OLD!$G$14</f>
        <v>6.9444444444444447E-4</v>
      </c>
      <c r="E150" s="18">
        <f>Slaughter_OLD!$I$14</f>
        <v>6.9444444444444447E-4</v>
      </c>
      <c r="F150" s="18">
        <f>Slaughter_OLD!$K$14</f>
        <v>6.9444444444444447E-4</v>
      </c>
      <c r="G150" s="18">
        <f>Slaughter_OLD!$M$14</f>
        <v>6.9444444444444447E-4</v>
      </c>
      <c r="H150" s="18">
        <f>Slaughter_OLD!$O$14</f>
        <v>6.9444444444444447E-4</v>
      </c>
      <c r="I150" s="18">
        <f>Slaughter_OLD!$Q$14</f>
        <v>6.9444444444444447E-4</v>
      </c>
      <c r="J150" s="18">
        <f>Slaughter_OLD!$S$14</f>
        <v>6.9444444444444447E-4</v>
      </c>
      <c r="K150" s="18">
        <f>Slaughter_OLD!$U$14</f>
        <v>6.9444444444444447E-4</v>
      </c>
      <c r="L150" s="18">
        <f>Slaughter_OLD!$W$14</f>
        <v>6.9444444444444447E-4</v>
      </c>
      <c r="M150" s="18"/>
      <c r="N150" s="18"/>
      <c r="O150" s="18">
        <v>1E-3</v>
      </c>
      <c r="P150" s="18">
        <v>4.2000000000000003E-2</v>
      </c>
    </row>
    <row r="151" spans="1:70" ht="14.4" x14ac:dyDescent="0.3">
      <c r="A151" s="142" t="s">
        <v>775</v>
      </c>
      <c r="B151" s="122">
        <v>0</v>
      </c>
      <c r="C151" s="122">
        <v>0</v>
      </c>
      <c r="D151" s="122">
        <v>0</v>
      </c>
      <c r="E151" s="122">
        <v>0</v>
      </c>
      <c r="F151" s="122">
        <v>0</v>
      </c>
      <c r="G151" s="122">
        <v>0</v>
      </c>
      <c r="H151" s="122">
        <v>0</v>
      </c>
      <c r="I151" s="122">
        <v>0</v>
      </c>
      <c r="J151" s="122">
        <v>0</v>
      </c>
      <c r="K151" s="122">
        <v>0</v>
      </c>
      <c r="L151" s="122">
        <v>0</v>
      </c>
      <c r="M151" s="36"/>
      <c r="N151" s="36"/>
      <c r="O151" s="36">
        <v>0</v>
      </c>
      <c r="P151" s="36">
        <v>0</v>
      </c>
    </row>
    <row r="152" spans="1:70" s="5" customFormat="1" ht="14.4" x14ac:dyDescent="0.3">
      <c r="A152" s="61" t="s">
        <v>776</v>
      </c>
      <c r="B152" s="62">
        <f>B155*B154*B153*100</f>
        <v>3.1305653789225861E-2</v>
      </c>
      <c r="C152" s="62">
        <f t="shared" ref="C152:P152" si="46">C155*C154*C153*100</f>
        <v>3.1305653789225861E-2</v>
      </c>
      <c r="D152" s="62">
        <f t="shared" si="46"/>
        <v>3.1305653789225861E-2</v>
      </c>
      <c r="E152" s="62">
        <f t="shared" si="46"/>
        <v>2.5497372111350624E-2</v>
      </c>
      <c r="F152" s="62">
        <f t="shared" si="46"/>
        <v>3.1305653789225861E-2</v>
      </c>
      <c r="G152" s="62">
        <f t="shared" si="46"/>
        <v>4.1002530827712484E-2</v>
      </c>
      <c r="H152" s="62">
        <f t="shared" si="46"/>
        <v>2.5497372111350624E-2</v>
      </c>
      <c r="I152" s="62">
        <f t="shared" si="46"/>
        <v>3.1305653789225861E-2</v>
      </c>
      <c r="J152" s="62">
        <f t="shared" si="46"/>
        <v>3.1305653789225861E-2</v>
      </c>
      <c r="K152" s="62">
        <f t="shared" si="46"/>
        <v>3.7409271823603235E-2</v>
      </c>
      <c r="L152" s="62">
        <f t="shared" si="46"/>
        <v>3.1305653789225861E-2</v>
      </c>
      <c r="M152" s="62"/>
      <c r="N152" s="62"/>
      <c r="O152" s="62">
        <f t="shared" si="46"/>
        <v>4.5080141456485243E-2</v>
      </c>
      <c r="P152" s="62">
        <f t="shared" si="46"/>
        <v>1.8933659411723802</v>
      </c>
      <c r="Q152" s="282" t="s">
        <v>777</v>
      </c>
      <c r="R152" s="282"/>
      <c r="S152" s="282"/>
      <c r="T152" s="28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row>
    <row r="153" spans="1:70" s="19" customFormat="1" ht="14.4" x14ac:dyDescent="0.3">
      <c r="A153" s="87" t="s">
        <v>778</v>
      </c>
      <c r="B153" s="18">
        <f>(2*(B156+B157+B159))+B158</f>
        <v>6.9444444444444447E-4</v>
      </c>
      <c r="C153" s="18">
        <f t="shared" ref="C153:P153" si="47">(2*(C156+C157+C159))+C158</f>
        <v>6.9444444444444447E-4</v>
      </c>
      <c r="D153" s="18">
        <f t="shared" si="47"/>
        <v>6.9444444444444447E-4</v>
      </c>
      <c r="E153" s="18">
        <f t="shared" si="47"/>
        <v>6.9444444444444447E-4</v>
      </c>
      <c r="F153" s="18">
        <f t="shared" si="47"/>
        <v>6.9444444444444447E-4</v>
      </c>
      <c r="G153" s="18">
        <f t="shared" si="47"/>
        <v>6.9444444444444447E-4</v>
      </c>
      <c r="H153" s="18">
        <f t="shared" si="47"/>
        <v>6.9444444444444447E-4</v>
      </c>
      <c r="I153" s="18">
        <f t="shared" si="47"/>
        <v>6.9444444444444447E-4</v>
      </c>
      <c r="J153" s="18">
        <f t="shared" si="47"/>
        <v>6.9444444444444447E-4</v>
      </c>
      <c r="K153" s="18">
        <f t="shared" si="47"/>
        <v>6.9444444444444447E-4</v>
      </c>
      <c r="L153" s="18">
        <f t="shared" si="47"/>
        <v>6.9444444444444447E-4</v>
      </c>
      <c r="M153" s="18"/>
      <c r="N153" s="18"/>
      <c r="O153" s="18">
        <f t="shared" si="47"/>
        <v>1E-3</v>
      </c>
      <c r="P153" s="18">
        <f t="shared" si="47"/>
        <v>4.2000000000000003E-2</v>
      </c>
      <c r="Q153" s="291"/>
      <c r="R153" s="291"/>
      <c r="S153" s="291"/>
      <c r="T153" s="291"/>
    </row>
    <row r="154" spans="1:70" ht="14.4" x14ac:dyDescent="0.3">
      <c r="A154" s="3" t="s">
        <v>779</v>
      </c>
      <c r="B154" s="93">
        <f>'Ability OLD'!$B$19</f>
        <v>0.70880725560511382</v>
      </c>
      <c r="C154" s="93">
        <f>'Ability OLD'!$B$19</f>
        <v>0.70880725560511382</v>
      </c>
      <c r="D154" s="93">
        <f>'Ability OLD'!$B$19</f>
        <v>0.70880725560511382</v>
      </c>
      <c r="E154" s="93">
        <f>'Ability OLD'!$B$19</f>
        <v>0.70880725560511382</v>
      </c>
      <c r="F154" s="93">
        <f>'Ability OLD'!$B$19</f>
        <v>0.70880725560511382</v>
      </c>
      <c r="G154" s="93">
        <f>'Ability OLD'!$B$19</f>
        <v>0.70880725560511382</v>
      </c>
      <c r="H154" s="93">
        <f>'Ability OLD'!$B$19</f>
        <v>0.70880725560511382</v>
      </c>
      <c r="I154" s="93">
        <f>'Ability OLD'!$B$19</f>
        <v>0.70880725560511382</v>
      </c>
      <c r="J154" s="93">
        <f>'Ability OLD'!$B$19</f>
        <v>0.70880725560511382</v>
      </c>
      <c r="K154" s="93">
        <f>'Ability OLD'!$B$19</f>
        <v>0.70880725560511382</v>
      </c>
      <c r="L154" s="93">
        <f>'Ability OLD'!$B$19</f>
        <v>0.70880725560511382</v>
      </c>
      <c r="M154" s="93"/>
      <c r="N154" s="93"/>
      <c r="O154" s="93">
        <f>'Ability OLD'!$B$19</f>
        <v>0.70880725560511382</v>
      </c>
      <c r="P154" s="93">
        <f>'Ability OLD'!$B$19</f>
        <v>0.70880725560511382</v>
      </c>
    </row>
    <row r="155" spans="1:70" ht="14.4" x14ac:dyDescent="0.3">
      <c r="A155" s="88" t="s">
        <v>780</v>
      </c>
      <c r="B155" s="92">
        <v>0.63600000000000001</v>
      </c>
      <c r="C155" s="92">
        <v>0.63600000000000001</v>
      </c>
      <c r="D155" s="92">
        <v>0.63600000000000001</v>
      </c>
      <c r="E155" s="92">
        <v>0.51800000000000002</v>
      </c>
      <c r="F155" s="92">
        <v>0.63600000000000001</v>
      </c>
      <c r="G155" s="92">
        <v>0.83299999999999996</v>
      </c>
      <c r="H155" s="92">
        <v>0.51800000000000002</v>
      </c>
      <c r="I155" s="92">
        <v>0.63600000000000001</v>
      </c>
      <c r="J155" s="92">
        <v>0.63600000000000001</v>
      </c>
      <c r="K155" s="92">
        <v>0.76</v>
      </c>
      <c r="L155" s="92">
        <v>0.63600000000000001</v>
      </c>
      <c r="M155" s="92"/>
      <c r="N155" s="92"/>
      <c r="O155" s="92">
        <v>0.63600000000000001</v>
      </c>
      <c r="P155" s="92">
        <v>0.63600000000000001</v>
      </c>
    </row>
    <row r="156" spans="1:70" ht="14.4" x14ac:dyDescent="0.3">
      <c r="A156" s="3" t="s">
        <v>781</v>
      </c>
      <c r="B156" s="36">
        <v>0</v>
      </c>
      <c r="C156" s="36">
        <v>0</v>
      </c>
      <c r="D156" s="36">
        <v>0</v>
      </c>
      <c r="E156" s="36">
        <v>0</v>
      </c>
      <c r="F156" s="36">
        <v>0</v>
      </c>
      <c r="G156" s="36">
        <v>0</v>
      </c>
      <c r="H156" s="36">
        <v>0</v>
      </c>
      <c r="I156" s="36">
        <v>0</v>
      </c>
      <c r="J156" s="36">
        <v>0</v>
      </c>
      <c r="K156" s="36">
        <v>0</v>
      </c>
      <c r="L156" s="36">
        <v>0</v>
      </c>
      <c r="M156" s="36"/>
      <c r="N156" s="36"/>
      <c r="O156" s="36">
        <v>0</v>
      </c>
      <c r="P156" s="36">
        <v>0</v>
      </c>
    </row>
    <row r="157" spans="1:70" ht="14.4" x14ac:dyDescent="0.3">
      <c r="A157" s="3" t="s">
        <v>782</v>
      </c>
      <c r="B157" s="36">
        <v>0</v>
      </c>
      <c r="C157" s="36">
        <v>0</v>
      </c>
      <c r="D157" s="36">
        <v>0</v>
      </c>
      <c r="E157" s="36">
        <v>0</v>
      </c>
      <c r="F157" s="36">
        <v>0</v>
      </c>
      <c r="G157" s="36">
        <v>0</v>
      </c>
      <c r="H157" s="36">
        <v>0</v>
      </c>
      <c r="I157" s="36">
        <v>0</v>
      </c>
      <c r="J157" s="36">
        <v>0</v>
      </c>
      <c r="K157" s="36">
        <v>0</v>
      </c>
      <c r="L157" s="36">
        <v>0</v>
      </c>
      <c r="M157" s="36"/>
      <c r="N157" s="36"/>
      <c r="O157" s="36">
        <v>0</v>
      </c>
      <c r="P157" s="36">
        <v>0</v>
      </c>
    </row>
    <row r="158" spans="1:70" ht="14.4" x14ac:dyDescent="0.3">
      <c r="A158" s="3" t="s">
        <v>783</v>
      </c>
      <c r="B158" s="18">
        <f>Slaughter_OLD!$C$14</f>
        <v>6.9444444444444447E-4</v>
      </c>
      <c r="C158" s="18">
        <f>Slaughter_OLD!$E$14</f>
        <v>6.9444444444444447E-4</v>
      </c>
      <c r="D158" s="18">
        <f>Slaughter_OLD!$G$14</f>
        <v>6.9444444444444447E-4</v>
      </c>
      <c r="E158" s="18">
        <f>Slaughter_OLD!$I$14</f>
        <v>6.9444444444444447E-4</v>
      </c>
      <c r="F158" s="18">
        <f>Slaughter_OLD!$K$14</f>
        <v>6.9444444444444447E-4</v>
      </c>
      <c r="G158" s="18">
        <f>Slaughter_OLD!$M$14</f>
        <v>6.9444444444444447E-4</v>
      </c>
      <c r="H158" s="18">
        <f>Slaughter_OLD!$O$14</f>
        <v>6.9444444444444447E-4</v>
      </c>
      <c r="I158" s="18">
        <f>Slaughter_OLD!$Q$14</f>
        <v>6.9444444444444447E-4</v>
      </c>
      <c r="J158" s="18">
        <f>Slaughter_OLD!$S$14</f>
        <v>6.9444444444444447E-4</v>
      </c>
      <c r="K158" s="18">
        <f>Slaughter_OLD!$U$14</f>
        <v>6.9444444444444447E-4</v>
      </c>
      <c r="L158" s="18">
        <f>Slaughter_OLD!$W$14</f>
        <v>6.9444444444444447E-4</v>
      </c>
      <c r="M158" s="18"/>
      <c r="N158" s="18"/>
      <c r="O158" s="18">
        <v>1E-3</v>
      </c>
      <c r="P158" s="18">
        <v>4.2000000000000003E-2</v>
      </c>
    </row>
    <row r="159" spans="1:70" ht="14.4" x14ac:dyDescent="0.3">
      <c r="A159" s="142" t="s">
        <v>784</v>
      </c>
      <c r="B159" s="122">
        <v>0</v>
      </c>
      <c r="C159" s="122">
        <v>0</v>
      </c>
      <c r="D159" s="122">
        <v>0</v>
      </c>
      <c r="E159" s="122">
        <v>0</v>
      </c>
      <c r="F159" s="122">
        <v>0</v>
      </c>
      <c r="G159" s="122">
        <v>0</v>
      </c>
      <c r="H159" s="122">
        <v>0</v>
      </c>
      <c r="I159" s="122">
        <v>0</v>
      </c>
      <c r="J159" s="122">
        <v>0</v>
      </c>
      <c r="K159" s="122">
        <v>0</v>
      </c>
      <c r="L159" s="122">
        <v>0</v>
      </c>
      <c r="M159" s="36"/>
      <c r="N159" s="36"/>
      <c r="O159" s="36">
        <v>0</v>
      </c>
      <c r="P159" s="36">
        <v>0</v>
      </c>
    </row>
    <row r="160" spans="1:70" s="5" customFormat="1" ht="14.4" x14ac:dyDescent="0.3">
      <c r="A160" s="138" t="s">
        <v>785</v>
      </c>
      <c r="B160" s="139">
        <f>B163*B162*B161*100</f>
        <v>0.27459417235858385</v>
      </c>
      <c r="C160" s="139">
        <f t="shared" ref="C160:P160" si="48">C163*C162*C161*100</f>
        <v>0.27459417235858385</v>
      </c>
      <c r="D160" s="139">
        <f t="shared" si="48"/>
        <v>0.27459417235858385</v>
      </c>
      <c r="E160" s="139">
        <f t="shared" si="48"/>
        <v>0.27459417235858385</v>
      </c>
      <c r="F160" s="139">
        <f t="shared" si="48"/>
        <v>0.27459417235858385</v>
      </c>
      <c r="G160" s="139">
        <f t="shared" si="48"/>
        <v>0.27459417235858385</v>
      </c>
      <c r="H160" s="139">
        <f t="shared" si="48"/>
        <v>0.27459417235858385</v>
      </c>
      <c r="I160" s="139">
        <f t="shared" si="48"/>
        <v>0.27459417235858385</v>
      </c>
      <c r="J160" s="139">
        <f t="shared" si="48"/>
        <v>0.27459417235858385</v>
      </c>
      <c r="K160" s="139">
        <f t="shared" si="48"/>
        <v>0.27459417235858385</v>
      </c>
      <c r="L160" s="139">
        <f t="shared" si="48"/>
        <v>0.27459417235858385</v>
      </c>
      <c r="M160" s="139"/>
      <c r="N160" s="139"/>
      <c r="O160" s="139">
        <f t="shared" si="48"/>
        <v>0.39541560819636079</v>
      </c>
      <c r="P160" s="139">
        <f t="shared" si="48"/>
        <v>16.607455544247156</v>
      </c>
      <c r="Q160" s="282"/>
      <c r="R160" s="282"/>
      <c r="S160" s="282"/>
      <c r="T160" s="282"/>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row>
    <row r="161" spans="1:70" s="19" customFormat="1" ht="14.4" x14ac:dyDescent="0.3">
      <c r="A161" s="87" t="s">
        <v>786</v>
      </c>
      <c r="B161" s="18">
        <f>(2*(B164+B165+B167))+B166</f>
        <v>6.9444444444444447E-4</v>
      </c>
      <c r="C161" s="18">
        <f t="shared" ref="C161:P161" si="49">(2*(C164+C165+C167))+C166</f>
        <v>6.9444444444444447E-4</v>
      </c>
      <c r="D161" s="18">
        <f t="shared" si="49"/>
        <v>6.9444444444444447E-4</v>
      </c>
      <c r="E161" s="18">
        <f t="shared" si="49"/>
        <v>6.9444444444444447E-4</v>
      </c>
      <c r="F161" s="18">
        <f t="shared" si="49"/>
        <v>6.9444444444444447E-4</v>
      </c>
      <c r="G161" s="18">
        <f t="shared" si="49"/>
        <v>6.9444444444444447E-4</v>
      </c>
      <c r="H161" s="18">
        <f t="shared" si="49"/>
        <v>6.9444444444444447E-4</v>
      </c>
      <c r="I161" s="18">
        <f t="shared" si="49"/>
        <v>6.9444444444444447E-4</v>
      </c>
      <c r="J161" s="18">
        <f t="shared" si="49"/>
        <v>6.9444444444444447E-4</v>
      </c>
      <c r="K161" s="18">
        <f t="shared" si="49"/>
        <v>6.9444444444444447E-4</v>
      </c>
      <c r="L161" s="18">
        <f t="shared" si="49"/>
        <v>6.9444444444444447E-4</v>
      </c>
      <c r="M161" s="18"/>
      <c r="N161" s="18"/>
      <c r="O161" s="18">
        <f t="shared" si="49"/>
        <v>1E-3</v>
      </c>
      <c r="P161" s="18">
        <f t="shared" si="49"/>
        <v>4.2000000000000003E-2</v>
      </c>
      <c r="Q161" s="291"/>
      <c r="R161" s="291"/>
      <c r="S161" s="291"/>
      <c r="T161" s="291"/>
    </row>
    <row r="162" spans="1:70" ht="14.4" x14ac:dyDescent="0.3">
      <c r="A162" s="3" t="s">
        <v>787</v>
      </c>
      <c r="B162" s="18">
        <f>'Ability OLD'!$B$20</f>
        <v>3.9541560819636078E-2</v>
      </c>
      <c r="C162" s="18">
        <f>'Ability OLD'!$B$20</f>
        <v>3.9541560819636078E-2</v>
      </c>
      <c r="D162" s="18">
        <f>'Ability OLD'!$B$20</f>
        <v>3.9541560819636078E-2</v>
      </c>
      <c r="E162" s="18">
        <f>'Ability OLD'!$B$20</f>
        <v>3.9541560819636078E-2</v>
      </c>
      <c r="F162" s="18">
        <f>'Ability OLD'!$B$20</f>
        <v>3.9541560819636078E-2</v>
      </c>
      <c r="G162" s="18">
        <f>'Ability OLD'!$B$20</f>
        <v>3.9541560819636078E-2</v>
      </c>
      <c r="H162" s="18">
        <f>'Ability OLD'!$B$20</f>
        <v>3.9541560819636078E-2</v>
      </c>
      <c r="I162" s="18">
        <f>'Ability OLD'!$B$20</f>
        <v>3.9541560819636078E-2</v>
      </c>
      <c r="J162" s="18">
        <f>'Ability OLD'!$B$20</f>
        <v>3.9541560819636078E-2</v>
      </c>
      <c r="K162" s="18">
        <f>'Ability OLD'!$B$20</f>
        <v>3.9541560819636078E-2</v>
      </c>
      <c r="L162" s="18">
        <f>'Ability OLD'!$B$20</f>
        <v>3.9541560819636078E-2</v>
      </c>
      <c r="M162" s="18"/>
      <c r="N162" s="18"/>
      <c r="O162" s="18">
        <f>'Ability OLD'!$B$20</f>
        <v>3.9541560819636078E-2</v>
      </c>
      <c r="P162" s="18">
        <f>'Ability OLD'!$B$20</f>
        <v>3.9541560819636078E-2</v>
      </c>
    </row>
    <row r="163" spans="1:70" ht="14.4" x14ac:dyDescent="0.3">
      <c r="A163" s="3" t="s">
        <v>788</v>
      </c>
      <c r="B163" s="24">
        <f>10000/100</f>
        <v>100</v>
      </c>
      <c r="C163" s="24">
        <f t="shared" ref="C163:P163" si="50">10000/100</f>
        <v>100</v>
      </c>
      <c r="D163" s="24">
        <f t="shared" si="50"/>
        <v>100</v>
      </c>
      <c r="E163" s="24">
        <f t="shared" si="50"/>
        <v>100</v>
      </c>
      <c r="F163" s="24">
        <f t="shared" si="50"/>
        <v>100</v>
      </c>
      <c r="G163" s="24">
        <f t="shared" si="50"/>
        <v>100</v>
      </c>
      <c r="H163" s="24">
        <f t="shared" si="50"/>
        <v>100</v>
      </c>
      <c r="I163" s="24">
        <f t="shared" si="50"/>
        <v>100</v>
      </c>
      <c r="J163" s="24">
        <f t="shared" si="50"/>
        <v>100</v>
      </c>
      <c r="K163" s="24">
        <f t="shared" si="50"/>
        <v>100</v>
      </c>
      <c r="L163" s="24">
        <f t="shared" si="50"/>
        <v>100</v>
      </c>
      <c r="M163" s="24"/>
      <c r="N163" s="24"/>
      <c r="O163" s="24">
        <f t="shared" si="50"/>
        <v>100</v>
      </c>
      <c r="P163" s="24">
        <f t="shared" si="50"/>
        <v>100</v>
      </c>
      <c r="Q163" s="282" t="s">
        <v>789</v>
      </c>
    </row>
    <row r="164" spans="1:70" ht="14.4" x14ac:dyDescent="0.3">
      <c r="A164" s="3" t="s">
        <v>790</v>
      </c>
      <c r="B164" s="36">
        <v>0</v>
      </c>
      <c r="C164" s="36">
        <v>0</v>
      </c>
      <c r="D164" s="36">
        <v>0</v>
      </c>
      <c r="E164" s="36">
        <v>0</v>
      </c>
      <c r="F164" s="36">
        <v>0</v>
      </c>
      <c r="G164" s="36">
        <v>0</v>
      </c>
      <c r="H164" s="36">
        <v>0</v>
      </c>
      <c r="I164" s="36">
        <v>0</v>
      </c>
      <c r="J164" s="36">
        <v>0</v>
      </c>
      <c r="K164" s="36">
        <v>0</v>
      </c>
      <c r="L164" s="36">
        <v>0</v>
      </c>
      <c r="M164" s="36"/>
      <c r="N164" s="36"/>
      <c r="O164" s="36">
        <v>0</v>
      </c>
      <c r="P164" s="36">
        <v>0</v>
      </c>
    </row>
    <row r="165" spans="1:70" ht="14.4" x14ac:dyDescent="0.3">
      <c r="A165" s="3" t="s">
        <v>791</v>
      </c>
      <c r="B165" s="36">
        <v>0</v>
      </c>
      <c r="C165" s="36">
        <v>0</v>
      </c>
      <c r="D165" s="36">
        <v>0</v>
      </c>
      <c r="E165" s="36">
        <v>0</v>
      </c>
      <c r="F165" s="36">
        <v>0</v>
      </c>
      <c r="G165" s="36">
        <v>0</v>
      </c>
      <c r="H165" s="36">
        <v>0</v>
      </c>
      <c r="I165" s="36">
        <v>0</v>
      </c>
      <c r="J165" s="36">
        <v>0</v>
      </c>
      <c r="K165" s="36">
        <v>0</v>
      </c>
      <c r="L165" s="36">
        <v>0</v>
      </c>
      <c r="M165" s="36"/>
      <c r="N165" s="36"/>
      <c r="O165" s="36">
        <v>0</v>
      </c>
      <c r="P165" s="36">
        <v>0</v>
      </c>
    </row>
    <row r="166" spans="1:70" ht="86.4" x14ac:dyDescent="0.3">
      <c r="A166" s="3" t="s">
        <v>792</v>
      </c>
      <c r="B166" s="93">
        <f>Slaughter_OLD!$C$15</f>
        <v>6.9444444444444447E-4</v>
      </c>
      <c r="C166" s="93">
        <f>Slaughter_OLD!$E$15</f>
        <v>6.9444444444444447E-4</v>
      </c>
      <c r="D166" s="93">
        <f>Slaughter_OLD!$G$15</f>
        <v>6.9444444444444447E-4</v>
      </c>
      <c r="E166" s="93">
        <f>Slaughter_OLD!$I$15</f>
        <v>6.9444444444444447E-4</v>
      </c>
      <c r="F166" s="93">
        <f>Slaughter_OLD!$K$15</f>
        <v>6.9444444444444447E-4</v>
      </c>
      <c r="G166" s="93">
        <f>Slaughter_OLD!$M$15</f>
        <v>6.9444444444444447E-4</v>
      </c>
      <c r="H166" s="93">
        <f>Slaughter_OLD!$O$15</f>
        <v>6.9444444444444447E-4</v>
      </c>
      <c r="I166" s="93">
        <f>Slaughter_OLD!$Q$15</f>
        <v>6.9444444444444447E-4</v>
      </c>
      <c r="J166" s="93">
        <f>Slaughter_OLD!$S$15</f>
        <v>6.9444444444444447E-4</v>
      </c>
      <c r="K166" s="93">
        <f>Slaughter_OLD!$U$15</f>
        <v>6.9444444444444447E-4</v>
      </c>
      <c r="L166" s="93">
        <f>Slaughter_OLD!$W$15</f>
        <v>6.9444444444444447E-4</v>
      </c>
      <c r="M166" s="93"/>
      <c r="N166" s="93"/>
      <c r="O166" s="93">
        <v>1E-3</v>
      </c>
      <c r="P166" s="147">
        <v>4.2000000000000003E-2</v>
      </c>
      <c r="Q166" s="287" t="s">
        <v>793</v>
      </c>
      <c r="R166" s="282" t="s">
        <v>794</v>
      </c>
      <c r="S166" s="286" t="s">
        <v>795</v>
      </c>
    </row>
    <row r="167" spans="1:70" ht="28.8" x14ac:dyDescent="0.3">
      <c r="A167" s="132" t="s">
        <v>796</v>
      </c>
      <c r="B167" s="47">
        <v>0</v>
      </c>
      <c r="C167" s="47">
        <v>0</v>
      </c>
      <c r="D167" s="47">
        <v>0</v>
      </c>
      <c r="E167" s="47">
        <v>0</v>
      </c>
      <c r="F167" s="47">
        <v>0</v>
      </c>
      <c r="G167" s="47">
        <v>0</v>
      </c>
      <c r="H167" s="47">
        <v>0</v>
      </c>
      <c r="I167" s="47">
        <v>0</v>
      </c>
      <c r="J167" s="47">
        <v>0</v>
      </c>
      <c r="K167" s="47">
        <v>0</v>
      </c>
      <c r="L167" s="47">
        <v>0</v>
      </c>
      <c r="M167" s="36"/>
      <c r="N167" s="36"/>
      <c r="O167" s="36">
        <v>0</v>
      </c>
      <c r="P167" s="36">
        <v>0</v>
      </c>
      <c r="Q167" s="287" t="s">
        <v>797</v>
      </c>
    </row>
    <row r="168" spans="1:70" s="5" customFormat="1" ht="14.4" x14ac:dyDescent="0.3">
      <c r="A168" s="136" t="s">
        <v>798</v>
      </c>
      <c r="B168" s="137">
        <f>B171*B170*B169*100</f>
        <v>0.36986569781577089</v>
      </c>
      <c r="C168" s="137">
        <f t="shared" ref="C168:P168" si="51">C171*C170*C169*100</f>
        <v>0.36986569781577089</v>
      </c>
      <c r="D168" s="137">
        <f t="shared" si="51"/>
        <v>0.36986569781577089</v>
      </c>
      <c r="E168" s="137">
        <f t="shared" si="51"/>
        <v>0.36986569781577089</v>
      </c>
      <c r="F168" s="137">
        <f t="shared" si="51"/>
        <v>0.36986569781577089</v>
      </c>
      <c r="G168" s="137">
        <f t="shared" si="51"/>
        <v>0.36986569781577089</v>
      </c>
      <c r="H168" s="137">
        <f t="shared" si="51"/>
        <v>0.36986569781577089</v>
      </c>
      <c r="I168" s="137">
        <f t="shared" si="51"/>
        <v>0.36986569781577089</v>
      </c>
      <c r="J168" s="137">
        <f t="shared" si="51"/>
        <v>0.36986569781577089</v>
      </c>
      <c r="K168" s="137">
        <f t="shared" si="51"/>
        <v>0.36986569781577089</v>
      </c>
      <c r="L168" s="137">
        <f t="shared" si="51"/>
        <v>0.36986569781577089</v>
      </c>
      <c r="M168" s="137"/>
      <c r="N168" s="137"/>
      <c r="O168" s="137">
        <f t="shared" si="51"/>
        <v>0.36986569781577089</v>
      </c>
      <c r="P168" s="137">
        <f t="shared" si="51"/>
        <v>0.36986569781577089</v>
      </c>
      <c r="Q168" s="282"/>
      <c r="R168" s="282"/>
      <c r="S168" s="282"/>
      <c r="T168" s="282"/>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row>
    <row r="169" spans="1:70" s="19" customFormat="1" ht="14.4" x14ac:dyDescent="0.3">
      <c r="A169" s="87" t="s">
        <v>799</v>
      </c>
      <c r="B169" s="153">
        <f>(2*(B172+B173+B175))+B174</f>
        <v>3.4722222222222224E-4</v>
      </c>
      <c r="C169" s="153">
        <f t="shared" ref="C169:P169" si="52">(2*(C172+C173+C175))+C174</f>
        <v>3.4722222222222224E-4</v>
      </c>
      <c r="D169" s="153">
        <f t="shared" si="52"/>
        <v>3.4722222222222224E-4</v>
      </c>
      <c r="E169" s="153">
        <f t="shared" si="52"/>
        <v>3.4722222222222224E-4</v>
      </c>
      <c r="F169" s="153">
        <f t="shared" si="52"/>
        <v>3.4722222222222224E-4</v>
      </c>
      <c r="G169" s="153">
        <f t="shared" si="52"/>
        <v>3.4722222222222224E-4</v>
      </c>
      <c r="H169" s="153">
        <f t="shared" si="52"/>
        <v>3.4722222222222224E-4</v>
      </c>
      <c r="I169" s="153">
        <f t="shared" si="52"/>
        <v>3.4722222222222224E-4</v>
      </c>
      <c r="J169" s="153">
        <f t="shared" si="52"/>
        <v>3.4722222222222224E-4</v>
      </c>
      <c r="K169" s="153">
        <f t="shared" si="52"/>
        <v>3.4722222222222224E-4</v>
      </c>
      <c r="L169" s="153">
        <f t="shared" si="52"/>
        <v>3.4722222222222224E-4</v>
      </c>
      <c r="M169" s="153"/>
      <c r="N169" s="153"/>
      <c r="O169" s="153">
        <f t="shared" si="52"/>
        <v>3.4722222222222224E-4</v>
      </c>
      <c r="P169" s="153">
        <f t="shared" si="52"/>
        <v>3.4722222222222224E-4</v>
      </c>
      <c r="Q169" s="291"/>
      <c r="R169" s="291"/>
      <c r="S169" s="291"/>
      <c r="T169" s="291"/>
    </row>
    <row r="170" spans="1:70" ht="14.4" x14ac:dyDescent="0.3">
      <c r="A170" s="3" t="s">
        <v>800</v>
      </c>
      <c r="B170" s="18">
        <f>'Ability OLD'!$B$21</f>
        <v>8.8767767475785006E-2</v>
      </c>
      <c r="C170" s="18">
        <f>'Ability OLD'!$B$21</f>
        <v>8.8767767475785006E-2</v>
      </c>
      <c r="D170" s="18">
        <f>'Ability OLD'!$B$21</f>
        <v>8.8767767475785006E-2</v>
      </c>
      <c r="E170" s="18">
        <f>'Ability OLD'!$B$21</f>
        <v>8.8767767475785006E-2</v>
      </c>
      <c r="F170" s="18">
        <f>'Ability OLD'!$B$21</f>
        <v>8.8767767475785006E-2</v>
      </c>
      <c r="G170" s="18">
        <f>'Ability OLD'!$B$21</f>
        <v>8.8767767475785006E-2</v>
      </c>
      <c r="H170" s="18">
        <f>'Ability OLD'!$B$21</f>
        <v>8.8767767475785006E-2</v>
      </c>
      <c r="I170" s="18">
        <f>'Ability OLD'!$B$21</f>
        <v>8.8767767475785006E-2</v>
      </c>
      <c r="J170" s="18">
        <f>'Ability OLD'!$B$21</f>
        <v>8.8767767475785006E-2</v>
      </c>
      <c r="K170" s="18">
        <f>'Ability OLD'!$B$21</f>
        <v>8.8767767475785006E-2</v>
      </c>
      <c r="L170" s="18">
        <f>'Ability OLD'!$B$21</f>
        <v>8.8767767475785006E-2</v>
      </c>
      <c r="M170" s="18"/>
      <c r="N170" s="18"/>
      <c r="O170" s="18">
        <f>'Ability OLD'!$B$21</f>
        <v>8.8767767475785006E-2</v>
      </c>
      <c r="P170" s="18">
        <f>'Ability OLD'!$B$21</f>
        <v>8.8767767475785006E-2</v>
      </c>
    </row>
    <row r="171" spans="1:70" ht="28.8" x14ac:dyDescent="0.3">
      <c r="A171" s="3" t="s">
        <v>801</v>
      </c>
      <c r="B171" s="24">
        <f>12000/100</f>
        <v>120</v>
      </c>
      <c r="C171" s="24">
        <f t="shared" ref="C171:P171" si="53">12000/100</f>
        <v>120</v>
      </c>
      <c r="D171" s="24">
        <f t="shared" si="53"/>
        <v>120</v>
      </c>
      <c r="E171" s="24">
        <f t="shared" si="53"/>
        <v>120</v>
      </c>
      <c r="F171" s="24">
        <f t="shared" si="53"/>
        <v>120</v>
      </c>
      <c r="G171" s="24">
        <f t="shared" si="53"/>
        <v>120</v>
      </c>
      <c r="H171" s="24">
        <f t="shared" si="53"/>
        <v>120</v>
      </c>
      <c r="I171" s="24">
        <f t="shared" si="53"/>
        <v>120</v>
      </c>
      <c r="J171" s="24">
        <f t="shared" si="53"/>
        <v>120</v>
      </c>
      <c r="K171" s="24">
        <f t="shared" si="53"/>
        <v>120</v>
      </c>
      <c r="L171" s="24">
        <f t="shared" si="53"/>
        <v>120</v>
      </c>
      <c r="M171" s="24"/>
      <c r="N171" s="24"/>
      <c r="O171" s="24">
        <f t="shared" si="53"/>
        <v>120</v>
      </c>
      <c r="P171" s="24">
        <f t="shared" si="53"/>
        <v>120</v>
      </c>
      <c r="Q171" s="282" t="s">
        <v>802</v>
      </c>
    </row>
    <row r="172" spans="1:70" ht="14.4" x14ac:dyDescent="0.3">
      <c r="A172" s="3" t="s">
        <v>803</v>
      </c>
      <c r="B172" s="36">
        <v>0</v>
      </c>
      <c r="C172" s="36">
        <v>0</v>
      </c>
      <c r="D172" s="36">
        <v>0</v>
      </c>
      <c r="E172" s="36">
        <v>0</v>
      </c>
      <c r="F172" s="36">
        <v>0</v>
      </c>
      <c r="G172" s="36">
        <v>0</v>
      </c>
      <c r="H172" s="36">
        <v>0</v>
      </c>
      <c r="I172" s="36">
        <v>0</v>
      </c>
      <c r="J172" s="36">
        <v>0</v>
      </c>
      <c r="K172" s="36">
        <v>0</v>
      </c>
      <c r="L172" s="36">
        <v>0</v>
      </c>
      <c r="M172" s="36"/>
      <c r="N172" s="36"/>
      <c r="O172" s="36">
        <v>0</v>
      </c>
      <c r="P172" s="36">
        <v>0</v>
      </c>
    </row>
    <row r="173" spans="1:70" ht="14.4" x14ac:dyDescent="0.3">
      <c r="A173" s="3" t="s">
        <v>804</v>
      </c>
      <c r="B173" s="36">
        <v>0</v>
      </c>
      <c r="C173" s="36">
        <v>0</v>
      </c>
      <c r="D173" s="36">
        <v>0</v>
      </c>
      <c r="E173" s="36">
        <v>0</v>
      </c>
      <c r="F173" s="36">
        <v>0</v>
      </c>
      <c r="G173" s="36">
        <v>0</v>
      </c>
      <c r="H173" s="36">
        <v>0</v>
      </c>
      <c r="I173" s="36">
        <v>0</v>
      </c>
      <c r="J173" s="36">
        <v>0</v>
      </c>
      <c r="K173" s="36">
        <v>0</v>
      </c>
      <c r="L173" s="36">
        <v>0</v>
      </c>
      <c r="M173" s="36"/>
      <c r="N173" s="36"/>
      <c r="O173" s="36">
        <v>0</v>
      </c>
      <c r="P173" s="36">
        <v>0</v>
      </c>
    </row>
    <row r="174" spans="1:70" ht="28.8" x14ac:dyDescent="0.3">
      <c r="A174" s="3" t="s">
        <v>805</v>
      </c>
      <c r="B174" s="93">
        <f>Slaughter_OLD!$C$16</f>
        <v>3.4722222222222224E-4</v>
      </c>
      <c r="C174" s="93">
        <f>Slaughter_OLD!$E$16</f>
        <v>3.4722222222222224E-4</v>
      </c>
      <c r="D174" s="93">
        <f>Slaughter_OLD!$G$16</f>
        <v>3.4722222222222224E-4</v>
      </c>
      <c r="E174" s="93">
        <f>Slaughter_OLD!$I$16</f>
        <v>3.4722222222222224E-4</v>
      </c>
      <c r="F174" s="93">
        <f>Slaughter_OLD!$K$16</f>
        <v>3.4722222222222224E-4</v>
      </c>
      <c r="G174" s="93">
        <f>Slaughter_OLD!$M$16</f>
        <v>3.4722222222222224E-4</v>
      </c>
      <c r="H174" s="93">
        <f>Slaughter_OLD!$O$16</f>
        <v>3.4722222222222224E-4</v>
      </c>
      <c r="I174" s="93">
        <f>Slaughter_OLD!$Q$16</f>
        <v>3.4722222222222224E-4</v>
      </c>
      <c r="J174" s="93">
        <f>Slaughter_OLD!$S$16</f>
        <v>3.4722222222222224E-4</v>
      </c>
      <c r="K174" s="93">
        <f>Slaughter_OLD!$U$16</f>
        <v>3.4722222222222224E-4</v>
      </c>
      <c r="L174" s="93">
        <f>Slaughter_OLD!$W$16</f>
        <v>3.4722222222222224E-4</v>
      </c>
      <c r="M174" s="93"/>
      <c r="N174" s="93"/>
      <c r="O174" s="166">
        <f>Slaughter_OLD!$W$16</f>
        <v>3.4722222222222224E-4</v>
      </c>
      <c r="P174" s="166">
        <f>Slaughter_OLD!$W$16</f>
        <v>3.4722222222222224E-4</v>
      </c>
      <c r="Q174" s="287" t="s">
        <v>806</v>
      </c>
    </row>
    <row r="175" spans="1:70" ht="28.8" x14ac:dyDescent="0.3">
      <c r="A175" s="132" t="s">
        <v>807</v>
      </c>
      <c r="B175" s="47">
        <v>0</v>
      </c>
      <c r="C175" s="47">
        <v>0</v>
      </c>
      <c r="D175" s="47">
        <v>0</v>
      </c>
      <c r="E175" s="47">
        <v>0</v>
      </c>
      <c r="F175" s="47">
        <v>0</v>
      </c>
      <c r="G175" s="47">
        <v>0</v>
      </c>
      <c r="H175" s="47">
        <v>0</v>
      </c>
      <c r="I175" s="47">
        <v>0</v>
      </c>
      <c r="J175" s="47">
        <v>0</v>
      </c>
      <c r="K175" s="47">
        <v>0</v>
      </c>
      <c r="L175" s="47">
        <v>0</v>
      </c>
      <c r="M175" s="36"/>
      <c r="N175" s="36"/>
      <c r="O175" s="36">
        <v>0</v>
      </c>
      <c r="P175" s="36">
        <v>0</v>
      </c>
      <c r="Q175" s="287" t="s">
        <v>808</v>
      </c>
    </row>
    <row r="176" spans="1:70" s="5" customFormat="1" ht="230.4" x14ac:dyDescent="0.3">
      <c r="A176" s="71" t="s">
        <v>809</v>
      </c>
      <c r="B176" s="140">
        <f>B179*B178*B177*100</f>
        <v>5.5325568107189609</v>
      </c>
      <c r="C176" s="140">
        <f t="shared" ref="C176:P176" si="54">C179*C178*C177*100</f>
        <v>5.5325568107189609</v>
      </c>
      <c r="D176" s="140">
        <f t="shared" si="54"/>
        <v>5.5325568107189609</v>
      </c>
      <c r="E176" s="140">
        <f t="shared" si="54"/>
        <v>5.5325568107189609</v>
      </c>
      <c r="F176" s="140">
        <f t="shared" si="54"/>
        <v>5.5325568107189609</v>
      </c>
      <c r="G176" s="140">
        <f t="shared" si="54"/>
        <v>5.5325568107189609</v>
      </c>
      <c r="H176" s="140">
        <f t="shared" si="54"/>
        <v>5.5325568107189609</v>
      </c>
      <c r="I176" s="140">
        <f t="shared" si="54"/>
        <v>5.5325568107189609</v>
      </c>
      <c r="J176" s="140">
        <f t="shared" si="54"/>
        <v>5.5325568107189609</v>
      </c>
      <c r="K176" s="140">
        <f t="shared" si="54"/>
        <v>5.5325568107189609</v>
      </c>
      <c r="L176" s="140">
        <f t="shared" si="54"/>
        <v>5.5325568107189609</v>
      </c>
      <c r="M176" s="140"/>
      <c r="N176" s="140"/>
      <c r="O176" s="140">
        <f t="shared" si="54"/>
        <v>6.639068172862754E-2</v>
      </c>
      <c r="P176" s="140">
        <f t="shared" si="54"/>
        <v>5.5325568107189609</v>
      </c>
      <c r="Q176" s="282"/>
      <c r="R176" s="282"/>
      <c r="S176" s="282" t="s">
        <v>810</v>
      </c>
      <c r="T176" s="282"/>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row>
    <row r="177" spans="1:70" s="19" customFormat="1" ht="14.4" x14ac:dyDescent="0.3">
      <c r="A177" s="87" t="s">
        <v>811</v>
      </c>
      <c r="B177" s="18">
        <f>(2*(B180+B181+B183))+B182</f>
        <v>8.3333333333333329E-2</v>
      </c>
      <c r="C177" s="18">
        <f t="shared" ref="C177:P177" si="55">(2*(C180+C181+C183))+C182</f>
        <v>8.3333333333333329E-2</v>
      </c>
      <c r="D177" s="18">
        <f t="shared" si="55"/>
        <v>8.3333333333333329E-2</v>
      </c>
      <c r="E177" s="18">
        <f t="shared" si="55"/>
        <v>8.3333333333333329E-2</v>
      </c>
      <c r="F177" s="18">
        <f t="shared" si="55"/>
        <v>8.3333333333333329E-2</v>
      </c>
      <c r="G177" s="18">
        <f t="shared" si="55"/>
        <v>8.3333333333333329E-2</v>
      </c>
      <c r="H177" s="18">
        <f t="shared" si="55"/>
        <v>8.3333333333333329E-2</v>
      </c>
      <c r="I177" s="18">
        <f t="shared" si="55"/>
        <v>8.3333333333333329E-2</v>
      </c>
      <c r="J177" s="18">
        <f t="shared" si="55"/>
        <v>8.3333333333333329E-2</v>
      </c>
      <c r="K177" s="18">
        <f t="shared" si="55"/>
        <v>8.3333333333333329E-2</v>
      </c>
      <c r="L177" s="18">
        <f t="shared" si="55"/>
        <v>8.3333333333333329E-2</v>
      </c>
      <c r="M177" s="18"/>
      <c r="N177" s="18"/>
      <c r="O177" s="18">
        <f t="shared" si="55"/>
        <v>1E-3</v>
      </c>
      <c r="P177" s="18">
        <f t="shared" si="55"/>
        <v>8.3333333333333329E-2</v>
      </c>
      <c r="Q177" s="291"/>
      <c r="R177" s="291"/>
      <c r="S177" s="291"/>
      <c r="T177" s="291"/>
    </row>
    <row r="178" spans="1:70" ht="14.4" x14ac:dyDescent="0.3">
      <c r="A178" s="3" t="s">
        <v>812</v>
      </c>
      <c r="B178" s="18">
        <f>'Ability OLD'!$B$22</f>
        <v>4.9917805810998139E-2</v>
      </c>
      <c r="C178" s="18">
        <f>'Ability OLD'!$B$22</f>
        <v>4.9917805810998139E-2</v>
      </c>
      <c r="D178" s="18">
        <f>'Ability OLD'!$B$22</f>
        <v>4.9917805810998139E-2</v>
      </c>
      <c r="E178" s="18">
        <f>'Ability OLD'!$B$22</f>
        <v>4.9917805810998139E-2</v>
      </c>
      <c r="F178" s="18">
        <f>'Ability OLD'!$B$22</f>
        <v>4.9917805810998139E-2</v>
      </c>
      <c r="G178" s="18">
        <f>'Ability OLD'!$B$22</f>
        <v>4.9917805810998139E-2</v>
      </c>
      <c r="H178" s="18">
        <f>'Ability OLD'!$B$22</f>
        <v>4.9917805810998139E-2</v>
      </c>
      <c r="I178" s="18">
        <f>'Ability OLD'!$B$22</f>
        <v>4.9917805810998139E-2</v>
      </c>
      <c r="J178" s="18">
        <f>'Ability OLD'!$B$22</f>
        <v>4.9917805810998139E-2</v>
      </c>
      <c r="K178" s="18">
        <f>'Ability OLD'!$B$22</f>
        <v>4.9917805810998139E-2</v>
      </c>
      <c r="L178" s="18">
        <f>'Ability OLD'!$B$22</f>
        <v>4.9917805810998139E-2</v>
      </c>
      <c r="M178" s="18"/>
      <c r="N178" s="18"/>
      <c r="O178" s="18">
        <f>'Ability OLD'!$B$22</f>
        <v>4.9917805810998139E-2</v>
      </c>
      <c r="P178" s="18">
        <f>'Ability OLD'!$B$22</f>
        <v>4.9917805810998139E-2</v>
      </c>
    </row>
    <row r="179" spans="1:70" ht="43.2" x14ac:dyDescent="0.3">
      <c r="A179" s="88" t="s">
        <v>813</v>
      </c>
      <c r="B179" s="89">
        <f>133/10</f>
        <v>13.3</v>
      </c>
      <c r="C179" s="89">
        <f t="shared" ref="C179:P179" si="56">133/10</f>
        <v>13.3</v>
      </c>
      <c r="D179" s="89">
        <f t="shared" si="56"/>
        <v>13.3</v>
      </c>
      <c r="E179" s="89">
        <f t="shared" si="56"/>
        <v>13.3</v>
      </c>
      <c r="F179" s="89">
        <f t="shared" si="56"/>
        <v>13.3</v>
      </c>
      <c r="G179" s="89">
        <f t="shared" si="56"/>
        <v>13.3</v>
      </c>
      <c r="H179" s="89">
        <f t="shared" si="56"/>
        <v>13.3</v>
      </c>
      <c r="I179" s="89">
        <f t="shared" si="56"/>
        <v>13.3</v>
      </c>
      <c r="J179" s="89">
        <f t="shared" si="56"/>
        <v>13.3</v>
      </c>
      <c r="K179" s="89">
        <f t="shared" si="56"/>
        <v>13.3</v>
      </c>
      <c r="L179" s="89">
        <f t="shared" si="56"/>
        <v>13.3</v>
      </c>
      <c r="M179" s="89"/>
      <c r="N179" s="89"/>
      <c r="O179" s="89">
        <f t="shared" si="56"/>
        <v>13.3</v>
      </c>
      <c r="P179" s="89">
        <f t="shared" si="56"/>
        <v>13.3</v>
      </c>
      <c r="Q179" s="287" t="s">
        <v>814</v>
      </c>
      <c r="R179" s="300" t="s">
        <v>815</v>
      </c>
      <c r="S179" s="282" t="s">
        <v>816</v>
      </c>
    </row>
    <row r="180" spans="1:70" ht="14.4" x14ac:dyDescent="0.3">
      <c r="A180" s="3" t="s">
        <v>817</v>
      </c>
      <c r="B180" s="36">
        <v>0</v>
      </c>
      <c r="C180" s="36">
        <v>0</v>
      </c>
      <c r="D180" s="36">
        <v>0</v>
      </c>
      <c r="E180" s="36">
        <v>0</v>
      </c>
      <c r="F180" s="36">
        <v>0</v>
      </c>
      <c r="G180" s="36">
        <v>0</v>
      </c>
      <c r="H180" s="36">
        <v>0</v>
      </c>
      <c r="I180" s="36">
        <v>0</v>
      </c>
      <c r="J180" s="36">
        <v>0</v>
      </c>
      <c r="K180" s="36">
        <v>0</v>
      </c>
      <c r="L180" s="36">
        <v>0</v>
      </c>
      <c r="M180" s="36"/>
      <c r="N180" s="36"/>
      <c r="O180" s="36">
        <v>0</v>
      </c>
      <c r="P180" s="36">
        <v>0</v>
      </c>
    </row>
    <row r="181" spans="1:70" ht="14.4" x14ac:dyDescent="0.3">
      <c r="A181" s="3" t="s">
        <v>818</v>
      </c>
      <c r="B181" s="36">
        <v>0</v>
      </c>
      <c r="C181" s="36">
        <v>0</v>
      </c>
      <c r="D181" s="36">
        <v>0</v>
      </c>
      <c r="E181" s="36">
        <v>0</v>
      </c>
      <c r="F181" s="36">
        <v>0</v>
      </c>
      <c r="G181" s="36">
        <v>0</v>
      </c>
      <c r="H181" s="36">
        <v>0</v>
      </c>
      <c r="I181" s="36">
        <v>0</v>
      </c>
      <c r="J181" s="36">
        <v>0</v>
      </c>
      <c r="K181" s="36">
        <v>0</v>
      </c>
      <c r="L181" s="36">
        <v>0</v>
      </c>
      <c r="M181" s="36"/>
      <c r="N181" s="36"/>
      <c r="O181" s="36">
        <v>0</v>
      </c>
      <c r="P181" s="36">
        <v>0</v>
      </c>
    </row>
    <row r="182" spans="1:70" ht="72" x14ac:dyDescent="0.3">
      <c r="A182" s="3" t="s">
        <v>819</v>
      </c>
      <c r="B182" s="93">
        <f>Slaughter_OLD!$C$17</f>
        <v>8.3333333333333329E-2</v>
      </c>
      <c r="C182" s="93">
        <f>Slaughter_OLD!$E$17</f>
        <v>8.3333333333333329E-2</v>
      </c>
      <c r="D182" s="93">
        <f>Slaughter_OLD!$G$17</f>
        <v>8.3333333333333329E-2</v>
      </c>
      <c r="E182" s="93">
        <f>Slaughter_OLD!$I$17</f>
        <v>8.3333333333333329E-2</v>
      </c>
      <c r="F182" s="93">
        <f>Slaughter_OLD!$K$17</f>
        <v>8.3333333333333329E-2</v>
      </c>
      <c r="G182" s="93">
        <f>Slaughter_OLD!$M$17</f>
        <v>8.3333333333333329E-2</v>
      </c>
      <c r="H182" s="93">
        <f>Slaughter_OLD!$O$17</f>
        <v>8.3333333333333329E-2</v>
      </c>
      <c r="I182" s="93">
        <f>Slaughter_OLD!$Q$17</f>
        <v>8.3333333333333329E-2</v>
      </c>
      <c r="J182" s="93">
        <f>Slaughter_OLD!$S$17</f>
        <v>8.3333333333333329E-2</v>
      </c>
      <c r="K182" s="93">
        <f>Slaughter_OLD!$U$17</f>
        <v>8.3333333333333329E-2</v>
      </c>
      <c r="L182" s="93">
        <f>Slaughter_OLD!$W$17</f>
        <v>8.3333333333333329E-2</v>
      </c>
      <c r="M182" s="93"/>
      <c r="N182" s="93"/>
      <c r="O182" s="93">
        <v>1E-3</v>
      </c>
      <c r="P182" s="93">
        <f>Slaughter_OLD!$W$17</f>
        <v>8.3333333333333329E-2</v>
      </c>
      <c r="Q182" s="287" t="s">
        <v>820</v>
      </c>
    </row>
    <row r="183" spans="1:70" ht="28.8" x14ac:dyDescent="0.3">
      <c r="A183" s="132" t="s">
        <v>821</v>
      </c>
      <c r="B183" s="47">
        <v>0</v>
      </c>
      <c r="C183" s="47">
        <v>0</v>
      </c>
      <c r="D183" s="47">
        <v>0</v>
      </c>
      <c r="E183" s="47">
        <v>0</v>
      </c>
      <c r="F183" s="47">
        <v>0</v>
      </c>
      <c r="G183" s="47">
        <v>0</v>
      </c>
      <c r="H183" s="47">
        <v>0</v>
      </c>
      <c r="I183" s="47">
        <v>0</v>
      </c>
      <c r="J183" s="47">
        <v>0</v>
      </c>
      <c r="K183" s="47">
        <v>0</v>
      </c>
      <c r="L183" s="47">
        <v>0</v>
      </c>
      <c r="M183" s="36"/>
      <c r="N183" s="36"/>
      <c r="O183" s="36">
        <v>0</v>
      </c>
      <c r="P183" s="36">
        <v>0</v>
      </c>
      <c r="Q183" s="287" t="s">
        <v>822</v>
      </c>
    </row>
    <row r="184" spans="1:70" s="5" customFormat="1" ht="14.4" x14ac:dyDescent="0.3">
      <c r="A184" s="71" t="s">
        <v>823</v>
      </c>
      <c r="B184" s="72">
        <f>B187*B186*B185*100</f>
        <v>7.6084608464571506</v>
      </c>
      <c r="C184" s="72">
        <f t="shared" ref="C184:P184" si="57">C187*C186*C185*100</f>
        <v>7.6084608464571506</v>
      </c>
      <c r="D184" s="72">
        <f t="shared" si="57"/>
        <v>7.6084608464571506</v>
      </c>
      <c r="E184" s="72">
        <f t="shared" si="57"/>
        <v>7.6084608464571506</v>
      </c>
      <c r="F184" s="72">
        <f t="shared" si="57"/>
        <v>7.6084608464571506</v>
      </c>
      <c r="G184" s="72">
        <f t="shared" si="57"/>
        <v>7.6084608464571506</v>
      </c>
      <c r="H184" s="72">
        <f t="shared" si="57"/>
        <v>7.6084608464571506</v>
      </c>
      <c r="I184" s="72">
        <f t="shared" si="57"/>
        <v>7.6084608464571506</v>
      </c>
      <c r="J184" s="72">
        <f t="shared" si="57"/>
        <v>7.6084608464571506</v>
      </c>
      <c r="K184" s="72">
        <f t="shared" si="57"/>
        <v>7.6084608464571506</v>
      </c>
      <c r="L184" s="72">
        <f t="shared" si="57"/>
        <v>7.6084608464571506</v>
      </c>
      <c r="M184" s="72"/>
      <c r="N184" s="72"/>
      <c r="O184" s="72">
        <f t="shared" si="57"/>
        <v>0.18260306031497164</v>
      </c>
      <c r="P184" s="72">
        <f t="shared" si="57"/>
        <v>7.6084608464571506</v>
      </c>
      <c r="Q184" s="282"/>
      <c r="R184" s="282"/>
      <c r="S184" s="282"/>
      <c r="T184" s="282"/>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row>
    <row r="185" spans="1:70" s="19" customFormat="1" ht="14.4" x14ac:dyDescent="0.3">
      <c r="A185" s="87" t="s">
        <v>824</v>
      </c>
      <c r="B185" s="18">
        <f>(2*(B188+B189+B191))+B190</f>
        <v>4.1666666666666664E-2</v>
      </c>
      <c r="C185" s="18">
        <f t="shared" ref="C185:P185" si="58">(2*(C188+C189+C191))+C190</f>
        <v>4.1666666666666664E-2</v>
      </c>
      <c r="D185" s="18">
        <f t="shared" si="58"/>
        <v>4.1666666666666664E-2</v>
      </c>
      <c r="E185" s="18">
        <f t="shared" si="58"/>
        <v>4.1666666666666664E-2</v>
      </c>
      <c r="F185" s="18">
        <f t="shared" si="58"/>
        <v>4.1666666666666664E-2</v>
      </c>
      <c r="G185" s="18">
        <f t="shared" si="58"/>
        <v>4.1666666666666664E-2</v>
      </c>
      <c r="H185" s="18">
        <f t="shared" si="58"/>
        <v>4.1666666666666664E-2</v>
      </c>
      <c r="I185" s="18">
        <f t="shared" si="58"/>
        <v>4.1666666666666664E-2</v>
      </c>
      <c r="J185" s="18">
        <f t="shared" si="58"/>
        <v>4.1666666666666664E-2</v>
      </c>
      <c r="K185" s="18">
        <f t="shared" si="58"/>
        <v>4.1666666666666664E-2</v>
      </c>
      <c r="L185" s="18">
        <f t="shared" si="58"/>
        <v>4.1666666666666664E-2</v>
      </c>
      <c r="M185" s="18"/>
      <c r="N185" s="18"/>
      <c r="O185" s="18">
        <f t="shared" si="58"/>
        <v>1E-3</v>
      </c>
      <c r="P185" s="18">
        <f t="shared" si="58"/>
        <v>4.1666666666666664E-2</v>
      </c>
      <c r="Q185" s="291"/>
      <c r="R185" s="291"/>
      <c r="S185" s="291"/>
      <c r="T185" s="291"/>
    </row>
    <row r="186" spans="1:70" ht="14.4" x14ac:dyDescent="0.3">
      <c r="A186" s="3" t="s">
        <v>825</v>
      </c>
      <c r="B186" s="18">
        <f>'Ability OLD'!$B$23</f>
        <v>0.1460824482519773</v>
      </c>
      <c r="C186" s="18">
        <f>'Ability OLD'!$B$23</f>
        <v>0.1460824482519773</v>
      </c>
      <c r="D186" s="18">
        <f>'Ability OLD'!$B$23</f>
        <v>0.1460824482519773</v>
      </c>
      <c r="E186" s="18">
        <f>'Ability OLD'!$B$23</f>
        <v>0.1460824482519773</v>
      </c>
      <c r="F186" s="18">
        <f>'Ability OLD'!$B$23</f>
        <v>0.1460824482519773</v>
      </c>
      <c r="G186" s="18">
        <f>'Ability OLD'!$B$23</f>
        <v>0.1460824482519773</v>
      </c>
      <c r="H186" s="18">
        <f>'Ability OLD'!$B$23</f>
        <v>0.1460824482519773</v>
      </c>
      <c r="I186" s="18">
        <f>'Ability OLD'!$B$23</f>
        <v>0.1460824482519773</v>
      </c>
      <c r="J186" s="18">
        <f>'Ability OLD'!$B$23</f>
        <v>0.1460824482519773</v>
      </c>
      <c r="K186" s="18">
        <f>'Ability OLD'!$B$23</f>
        <v>0.1460824482519773</v>
      </c>
      <c r="L186" s="18">
        <f>'Ability OLD'!$B$23</f>
        <v>0.1460824482519773</v>
      </c>
      <c r="M186" s="18"/>
      <c r="N186" s="18"/>
      <c r="O186" s="18">
        <f>'Ability OLD'!$B$23</f>
        <v>0.1460824482519773</v>
      </c>
      <c r="P186" s="18">
        <f>'Ability OLD'!$B$23</f>
        <v>0.1460824482519773</v>
      </c>
    </row>
    <row r="187" spans="1:70" ht="43.2" x14ac:dyDescent="0.3">
      <c r="A187" s="88" t="s">
        <v>826</v>
      </c>
      <c r="B187" s="89">
        <f>125/10</f>
        <v>12.5</v>
      </c>
      <c r="C187" s="89">
        <f t="shared" ref="C187:P187" si="59">125/10</f>
        <v>12.5</v>
      </c>
      <c r="D187" s="89">
        <f t="shared" si="59"/>
        <v>12.5</v>
      </c>
      <c r="E187" s="89">
        <f t="shared" si="59"/>
        <v>12.5</v>
      </c>
      <c r="F187" s="89">
        <f t="shared" si="59"/>
        <v>12.5</v>
      </c>
      <c r="G187" s="89">
        <f t="shared" si="59"/>
        <v>12.5</v>
      </c>
      <c r="H187" s="89">
        <f t="shared" si="59"/>
        <v>12.5</v>
      </c>
      <c r="I187" s="89">
        <f t="shared" si="59"/>
        <v>12.5</v>
      </c>
      <c r="J187" s="89">
        <f t="shared" si="59"/>
        <v>12.5</v>
      </c>
      <c r="K187" s="89">
        <f t="shared" si="59"/>
        <v>12.5</v>
      </c>
      <c r="L187" s="89">
        <f t="shared" si="59"/>
        <v>12.5</v>
      </c>
      <c r="M187" s="89"/>
      <c r="N187" s="89"/>
      <c r="O187" s="89">
        <f t="shared" si="59"/>
        <v>12.5</v>
      </c>
      <c r="P187" s="89">
        <f t="shared" si="59"/>
        <v>12.5</v>
      </c>
      <c r="Q187" s="287" t="s">
        <v>827</v>
      </c>
      <c r="R187" s="300" t="s">
        <v>828</v>
      </c>
      <c r="S187" s="282" t="s">
        <v>829</v>
      </c>
    </row>
    <row r="188" spans="1:70" ht="14.4" x14ac:dyDescent="0.3">
      <c r="A188" s="3" t="s">
        <v>830</v>
      </c>
      <c r="B188" s="36">
        <v>0</v>
      </c>
      <c r="C188" s="36">
        <v>0</v>
      </c>
      <c r="D188" s="36">
        <v>0</v>
      </c>
      <c r="E188" s="36">
        <v>0</v>
      </c>
      <c r="F188" s="36">
        <v>0</v>
      </c>
      <c r="G188" s="36">
        <v>0</v>
      </c>
      <c r="H188" s="36">
        <v>0</v>
      </c>
      <c r="I188" s="36">
        <v>0</v>
      </c>
      <c r="J188" s="36">
        <v>0</v>
      </c>
      <c r="K188" s="36">
        <v>0</v>
      </c>
      <c r="L188" s="36">
        <v>0</v>
      </c>
      <c r="M188" s="36"/>
      <c r="N188" s="36"/>
      <c r="O188" s="36">
        <v>0</v>
      </c>
      <c r="P188" s="36">
        <v>0</v>
      </c>
    </row>
    <row r="189" spans="1:70" ht="14.4" x14ac:dyDescent="0.3">
      <c r="A189" s="3" t="s">
        <v>831</v>
      </c>
      <c r="B189" s="36">
        <v>0</v>
      </c>
      <c r="C189" s="36">
        <v>0</v>
      </c>
      <c r="D189" s="36">
        <v>0</v>
      </c>
      <c r="E189" s="36">
        <v>0</v>
      </c>
      <c r="F189" s="36">
        <v>0</v>
      </c>
      <c r="G189" s="36">
        <v>0</v>
      </c>
      <c r="H189" s="36">
        <v>0</v>
      </c>
      <c r="I189" s="36">
        <v>0</v>
      </c>
      <c r="J189" s="36">
        <v>0</v>
      </c>
      <c r="K189" s="36">
        <v>0</v>
      </c>
      <c r="L189" s="36">
        <v>0</v>
      </c>
      <c r="M189" s="36"/>
      <c r="N189" s="36"/>
      <c r="O189" s="36">
        <v>0</v>
      </c>
      <c r="P189" s="36">
        <v>0</v>
      </c>
    </row>
    <row r="190" spans="1:70" ht="14.4" x14ac:dyDescent="0.3">
      <c r="A190" s="3" t="s">
        <v>832</v>
      </c>
      <c r="B190" s="18">
        <f>Slaughter_OLD!$C$18</f>
        <v>4.1666666666666664E-2</v>
      </c>
      <c r="C190" s="18">
        <f>Slaughter_OLD!$E$18</f>
        <v>4.1666666666666664E-2</v>
      </c>
      <c r="D190" s="18">
        <f>Slaughter_OLD!$G$18</f>
        <v>4.1666666666666664E-2</v>
      </c>
      <c r="E190" s="18">
        <f>Slaughter_OLD!$I$18</f>
        <v>4.1666666666666664E-2</v>
      </c>
      <c r="F190" s="18">
        <f>Slaughter_OLD!$K$18</f>
        <v>4.1666666666666664E-2</v>
      </c>
      <c r="G190" s="18">
        <f>Slaughter_OLD!$M$18</f>
        <v>4.1666666666666664E-2</v>
      </c>
      <c r="H190" s="18">
        <f>Slaughter_OLD!$O$18</f>
        <v>4.1666666666666664E-2</v>
      </c>
      <c r="I190" s="18">
        <f>Slaughter_OLD!$Q$18</f>
        <v>4.1666666666666664E-2</v>
      </c>
      <c r="J190" s="18">
        <f>Slaughter_OLD!$S$18</f>
        <v>4.1666666666666664E-2</v>
      </c>
      <c r="K190" s="18">
        <f>Slaughter_OLD!$U$18</f>
        <v>4.1666666666666664E-2</v>
      </c>
      <c r="L190" s="18">
        <f>Slaughter_OLD!$W$18</f>
        <v>4.1666666666666664E-2</v>
      </c>
      <c r="M190" s="18"/>
      <c r="N190" s="18"/>
      <c r="O190" s="18">
        <v>1E-3</v>
      </c>
      <c r="P190" s="18">
        <f>Slaughter_OLD!$W$18</f>
        <v>4.1666666666666664E-2</v>
      </c>
      <c r="Q190" s="286" t="s">
        <v>833</v>
      </c>
    </row>
    <row r="191" spans="1:70" ht="14.4" x14ac:dyDescent="0.3">
      <c r="A191" s="132" t="s">
        <v>834</v>
      </c>
      <c r="B191" s="47">
        <v>0</v>
      </c>
      <c r="C191" s="47">
        <v>0</v>
      </c>
      <c r="D191" s="47">
        <v>0</v>
      </c>
      <c r="E191" s="47">
        <v>0</v>
      </c>
      <c r="F191" s="47">
        <v>0</v>
      </c>
      <c r="G191" s="47">
        <v>0</v>
      </c>
      <c r="H191" s="47">
        <v>0</v>
      </c>
      <c r="I191" s="47">
        <v>0</v>
      </c>
      <c r="J191" s="47">
        <v>0</v>
      </c>
      <c r="K191" s="47">
        <v>0</v>
      </c>
      <c r="L191" s="47">
        <v>0</v>
      </c>
      <c r="M191" s="36"/>
      <c r="N191" s="36"/>
      <c r="O191" s="36">
        <v>0</v>
      </c>
      <c r="P191" s="36">
        <v>0</v>
      </c>
    </row>
    <row r="192" spans="1:70" s="5" customFormat="1" ht="14.4" x14ac:dyDescent="0.3">
      <c r="A192" s="71" t="s">
        <v>835</v>
      </c>
      <c r="B192" s="72">
        <f>B195*B194*B193*100</f>
        <v>0.70248667398552689</v>
      </c>
      <c r="C192" s="72">
        <f t="shared" ref="C192:P192" si="60">C195*C194*C193*100</f>
        <v>0.70248667398552689</v>
      </c>
      <c r="D192" s="72">
        <f t="shared" si="60"/>
        <v>0.70248667398552689</v>
      </c>
      <c r="E192" s="72">
        <f t="shared" si="60"/>
        <v>0.70248667398552689</v>
      </c>
      <c r="F192" s="72">
        <f t="shared" si="60"/>
        <v>0.70248667398552689</v>
      </c>
      <c r="G192" s="72">
        <f t="shared" si="60"/>
        <v>0.70248667398552689</v>
      </c>
      <c r="H192" s="72">
        <f t="shared" si="60"/>
        <v>0.70248667398552689</v>
      </c>
      <c r="I192" s="72">
        <f t="shared" si="60"/>
        <v>0.70248667398552689</v>
      </c>
      <c r="J192" s="72">
        <f t="shared" si="60"/>
        <v>0.70248667398552689</v>
      </c>
      <c r="K192" s="72">
        <f t="shared" si="60"/>
        <v>0.70248667398552689</v>
      </c>
      <c r="L192" s="72">
        <f t="shared" si="60"/>
        <v>0.70248667398552689</v>
      </c>
      <c r="M192" s="72"/>
      <c r="N192" s="72"/>
      <c r="O192" s="72">
        <f t="shared" si="60"/>
        <v>4.8170514787578981E-3</v>
      </c>
      <c r="P192" s="72">
        <f t="shared" si="60"/>
        <v>0.70248667398552689</v>
      </c>
      <c r="Q192" s="282"/>
      <c r="R192" s="282"/>
      <c r="S192" s="282"/>
      <c r="T192" s="28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row>
    <row r="193" spans="1:70" s="19" customFormat="1" ht="14.4" x14ac:dyDescent="0.3">
      <c r="A193" s="87" t="s">
        <v>836</v>
      </c>
      <c r="B193" s="18">
        <f>(2*(B196+B197+B199))+B198</f>
        <v>0.14583333333333334</v>
      </c>
      <c r="C193" s="18">
        <f t="shared" ref="C193:P193" si="61">(2*(C196+C197+C199))+C198</f>
        <v>0.14583333333333334</v>
      </c>
      <c r="D193" s="18">
        <f t="shared" si="61"/>
        <v>0.14583333333333334</v>
      </c>
      <c r="E193" s="18">
        <f t="shared" si="61"/>
        <v>0.14583333333333334</v>
      </c>
      <c r="F193" s="18">
        <f t="shared" si="61"/>
        <v>0.14583333333333334</v>
      </c>
      <c r="G193" s="18">
        <f t="shared" si="61"/>
        <v>0.14583333333333334</v>
      </c>
      <c r="H193" s="18">
        <f t="shared" si="61"/>
        <v>0.14583333333333334</v>
      </c>
      <c r="I193" s="18">
        <f t="shared" si="61"/>
        <v>0.14583333333333334</v>
      </c>
      <c r="J193" s="18">
        <f t="shared" si="61"/>
        <v>0.14583333333333334</v>
      </c>
      <c r="K193" s="18">
        <f t="shared" si="61"/>
        <v>0.14583333333333334</v>
      </c>
      <c r="L193" s="18">
        <f t="shared" si="61"/>
        <v>0.14583333333333334</v>
      </c>
      <c r="M193" s="18"/>
      <c r="N193" s="18"/>
      <c r="O193" s="18">
        <f t="shared" si="61"/>
        <v>1E-3</v>
      </c>
      <c r="P193" s="18">
        <f t="shared" si="61"/>
        <v>0.14583333333333334</v>
      </c>
      <c r="Q193" s="291"/>
      <c r="R193" s="291"/>
      <c r="S193" s="291"/>
      <c r="T193" s="291"/>
    </row>
    <row r="194" spans="1:70" ht="14.4" x14ac:dyDescent="0.3">
      <c r="A194" s="3" t="s">
        <v>837</v>
      </c>
      <c r="B194" s="18">
        <f>'Ability OLD'!$B$24</f>
        <v>0.37054242144291522</v>
      </c>
      <c r="C194" s="18">
        <f>'Ability OLD'!$B$24</f>
        <v>0.37054242144291522</v>
      </c>
      <c r="D194" s="18">
        <f>'Ability OLD'!$B$24</f>
        <v>0.37054242144291522</v>
      </c>
      <c r="E194" s="18">
        <f>'Ability OLD'!$B$24</f>
        <v>0.37054242144291522</v>
      </c>
      <c r="F194" s="18">
        <f>'Ability OLD'!$B$24</f>
        <v>0.37054242144291522</v>
      </c>
      <c r="G194" s="18">
        <f>'Ability OLD'!$B$24</f>
        <v>0.37054242144291522</v>
      </c>
      <c r="H194" s="18">
        <f>'Ability OLD'!$B$24</f>
        <v>0.37054242144291522</v>
      </c>
      <c r="I194" s="18">
        <f>'Ability OLD'!$B$24</f>
        <v>0.37054242144291522</v>
      </c>
      <c r="J194" s="18">
        <f>'Ability OLD'!$B$24</f>
        <v>0.37054242144291522</v>
      </c>
      <c r="K194" s="18">
        <f>'Ability OLD'!$B$24</f>
        <v>0.37054242144291522</v>
      </c>
      <c r="L194" s="18">
        <f>'Ability OLD'!$B$24</f>
        <v>0.37054242144291522</v>
      </c>
      <c r="M194" s="18"/>
      <c r="N194" s="18"/>
      <c r="O194" s="18">
        <f>'Ability OLD'!$B$24</f>
        <v>0.37054242144291522</v>
      </c>
      <c r="P194" s="18">
        <f>'Ability OLD'!$B$24</f>
        <v>0.37054242144291522</v>
      </c>
    </row>
    <row r="195" spans="1:70" ht="28.8" x14ac:dyDescent="0.3">
      <c r="A195" s="3" t="s">
        <v>838</v>
      </c>
      <c r="B195" s="24">
        <v>0.13</v>
      </c>
      <c r="C195" s="24">
        <v>0.13</v>
      </c>
      <c r="D195" s="24">
        <v>0.13</v>
      </c>
      <c r="E195" s="24">
        <v>0.13</v>
      </c>
      <c r="F195" s="24">
        <v>0.13</v>
      </c>
      <c r="G195" s="24">
        <v>0.13</v>
      </c>
      <c r="H195" s="24">
        <v>0.13</v>
      </c>
      <c r="I195" s="24">
        <v>0.13</v>
      </c>
      <c r="J195" s="24">
        <v>0.13</v>
      </c>
      <c r="K195" s="24">
        <v>0.13</v>
      </c>
      <c r="L195" s="24">
        <v>0.13</v>
      </c>
      <c r="M195" s="24"/>
      <c r="N195" s="24"/>
      <c r="O195" s="24">
        <v>0.13</v>
      </c>
      <c r="P195" s="24">
        <v>0.13</v>
      </c>
      <c r="Q195" s="287" t="s">
        <v>839</v>
      </c>
      <c r="S195" s="282" t="s">
        <v>840</v>
      </c>
    </row>
    <row r="196" spans="1:70" ht="14.4" x14ac:dyDescent="0.3">
      <c r="A196" s="3" t="s">
        <v>841</v>
      </c>
      <c r="B196" s="36">
        <v>0</v>
      </c>
      <c r="C196" s="36">
        <v>0</v>
      </c>
      <c r="D196" s="36">
        <v>0</v>
      </c>
      <c r="E196" s="36">
        <v>0</v>
      </c>
      <c r="F196" s="36">
        <v>0</v>
      </c>
      <c r="G196" s="36">
        <v>0</v>
      </c>
      <c r="H196" s="36">
        <v>0</v>
      </c>
      <c r="I196" s="36">
        <v>0</v>
      </c>
      <c r="J196" s="36">
        <v>0</v>
      </c>
      <c r="K196" s="36">
        <v>0</v>
      </c>
      <c r="L196" s="36">
        <v>0</v>
      </c>
      <c r="M196" s="36"/>
      <c r="N196" s="36"/>
      <c r="O196" s="36">
        <v>0</v>
      </c>
      <c r="P196" s="36">
        <v>0</v>
      </c>
    </row>
    <row r="197" spans="1:70" ht="14.4" x14ac:dyDescent="0.3">
      <c r="A197" s="3" t="s">
        <v>842</v>
      </c>
      <c r="B197" s="36">
        <v>0</v>
      </c>
      <c r="C197" s="36">
        <v>0</v>
      </c>
      <c r="D197" s="36">
        <v>0</v>
      </c>
      <c r="E197" s="36">
        <v>0</v>
      </c>
      <c r="F197" s="36">
        <v>0</v>
      </c>
      <c r="G197" s="36">
        <v>0</v>
      </c>
      <c r="H197" s="36">
        <v>0</v>
      </c>
      <c r="I197" s="36">
        <v>0</v>
      </c>
      <c r="J197" s="36">
        <v>0</v>
      </c>
      <c r="K197" s="36">
        <v>0</v>
      </c>
      <c r="L197" s="36">
        <v>0</v>
      </c>
      <c r="M197" s="36"/>
      <c r="N197" s="36"/>
      <c r="O197" s="36">
        <v>0</v>
      </c>
      <c r="P197" s="36">
        <v>0</v>
      </c>
    </row>
    <row r="198" spans="1:70" ht="14.4" x14ac:dyDescent="0.3">
      <c r="A198" s="3" t="s">
        <v>843</v>
      </c>
      <c r="B198" s="18">
        <f>Slaughter_OLD!$C$19</f>
        <v>0.14583333333333334</v>
      </c>
      <c r="C198" s="18">
        <f>Slaughter_OLD!$E$19</f>
        <v>0.14583333333333334</v>
      </c>
      <c r="D198" s="18">
        <f>Slaughter_OLD!$G$19</f>
        <v>0.14583333333333334</v>
      </c>
      <c r="E198" s="18">
        <f>Slaughter_OLD!$I$19</f>
        <v>0.14583333333333334</v>
      </c>
      <c r="F198" s="18">
        <f>Slaughter_OLD!$K$19</f>
        <v>0.14583333333333334</v>
      </c>
      <c r="G198" s="18">
        <f>Slaughter_OLD!$M$19</f>
        <v>0.14583333333333334</v>
      </c>
      <c r="H198" s="18">
        <f>Slaughter_OLD!$O$19</f>
        <v>0.14583333333333334</v>
      </c>
      <c r="I198" s="18">
        <f>Slaughter_OLD!$Q$19</f>
        <v>0.14583333333333334</v>
      </c>
      <c r="J198" s="18">
        <f>Slaughter_OLD!$S$19</f>
        <v>0.14583333333333334</v>
      </c>
      <c r="K198" s="18">
        <f>Slaughter_OLD!$U$19</f>
        <v>0.14583333333333334</v>
      </c>
      <c r="L198" s="18">
        <f>Slaughter_OLD!$W$19</f>
        <v>0.14583333333333334</v>
      </c>
      <c r="M198" s="18"/>
      <c r="N198" s="18"/>
      <c r="O198" s="18">
        <v>1E-3</v>
      </c>
      <c r="P198" s="18">
        <f>Slaughter_OLD!$W$19</f>
        <v>0.14583333333333334</v>
      </c>
      <c r="Q198" s="286" t="s">
        <v>844</v>
      </c>
    </row>
    <row r="199" spans="1:70" ht="14.4" x14ac:dyDescent="0.3">
      <c r="A199" s="132" t="s">
        <v>845</v>
      </c>
      <c r="B199" s="47">
        <v>0</v>
      </c>
      <c r="C199" s="47">
        <v>0</v>
      </c>
      <c r="D199" s="47">
        <v>0</v>
      </c>
      <c r="E199" s="47">
        <v>0</v>
      </c>
      <c r="F199" s="47">
        <v>0</v>
      </c>
      <c r="G199" s="47">
        <v>0</v>
      </c>
      <c r="H199" s="47">
        <v>0</v>
      </c>
      <c r="I199" s="47">
        <v>0</v>
      </c>
      <c r="J199" s="47">
        <v>0</v>
      </c>
      <c r="K199" s="47">
        <v>0</v>
      </c>
      <c r="L199" s="47">
        <v>0</v>
      </c>
      <c r="M199" s="36"/>
      <c r="N199" s="36"/>
      <c r="O199" s="36">
        <v>0</v>
      </c>
      <c r="P199" s="36">
        <v>0</v>
      </c>
    </row>
    <row r="200" spans="1:70" s="88" customFormat="1" ht="86.4" x14ac:dyDescent="0.3">
      <c r="A200" s="34" t="s">
        <v>846</v>
      </c>
      <c r="B200" s="95">
        <f>B203*B202*B201*100</f>
        <v>0.34637964774951074</v>
      </c>
      <c r="C200" s="95">
        <f t="shared" ref="C200:P200" si="62">C203*C202*C201*100</f>
        <v>0.41846881301717542</v>
      </c>
      <c r="D200" s="95">
        <f t="shared" si="62"/>
        <v>0.3595666901765226</v>
      </c>
      <c r="E200" s="95">
        <f t="shared" si="62"/>
        <v>0.41934794917897616</v>
      </c>
      <c r="F200" s="95">
        <f t="shared" si="62"/>
        <v>0.44308462554759748</v>
      </c>
      <c r="G200" s="95">
        <f t="shared" si="62"/>
        <v>0.43868894473859354</v>
      </c>
      <c r="H200" s="95">
        <f t="shared" si="62"/>
        <v>0.44484289787119907</v>
      </c>
      <c r="I200" s="95">
        <f t="shared" si="62"/>
        <v>0.36923718795633126</v>
      </c>
      <c r="J200" s="95">
        <f t="shared" si="62"/>
        <v>0.49231625060844164</v>
      </c>
      <c r="K200" s="95">
        <f t="shared" si="62"/>
        <v>0.41758967685537457</v>
      </c>
      <c r="L200" s="95">
        <f t="shared" si="62"/>
        <v>0.35165446472031553</v>
      </c>
      <c r="M200" s="95"/>
      <c r="N200" s="95"/>
      <c r="O200" s="167">
        <f t="shared" si="62"/>
        <v>8.8499999999999996E-5</v>
      </c>
      <c r="P200" s="95">
        <f t="shared" si="62"/>
        <v>0.4425</v>
      </c>
      <c r="Q200" s="288" t="s">
        <v>847</v>
      </c>
      <c r="R200" s="288"/>
      <c r="S200" s="283"/>
      <c r="T200" s="28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row>
    <row r="201" spans="1:70" s="87" customFormat="1" ht="14.4" x14ac:dyDescent="0.3">
      <c r="A201" s="87" t="s">
        <v>848</v>
      </c>
      <c r="B201" s="141">
        <f>(2*(B204+B205+B207))+B206</f>
        <v>0.78800000000000003</v>
      </c>
      <c r="C201" s="141">
        <f t="shared" ref="C201:P201" si="63">(2*(C204+C205+C207))+C206</f>
        <v>0.95199999999999996</v>
      </c>
      <c r="D201" s="141">
        <f t="shared" si="63"/>
        <v>0.81799999999999995</v>
      </c>
      <c r="E201" s="141">
        <f t="shared" si="63"/>
        <v>0.95399999999999996</v>
      </c>
      <c r="F201" s="141">
        <f t="shared" si="63"/>
        <v>1.008</v>
      </c>
      <c r="G201" s="141">
        <f t="shared" si="63"/>
        <v>0.998</v>
      </c>
      <c r="H201" s="141">
        <f t="shared" si="63"/>
        <v>1.012</v>
      </c>
      <c r="I201" s="141">
        <f t="shared" si="63"/>
        <v>0.84</v>
      </c>
      <c r="J201" s="141">
        <f t="shared" si="63"/>
        <v>1.1199999999999999</v>
      </c>
      <c r="K201" s="141">
        <f t="shared" si="63"/>
        <v>0.95</v>
      </c>
      <c r="L201" s="141">
        <f t="shared" si="63"/>
        <v>0.8</v>
      </c>
      <c r="M201" s="141"/>
      <c r="N201" s="141"/>
      <c r="O201" s="141">
        <f t="shared" si="63"/>
        <v>1E-3</v>
      </c>
      <c r="P201" s="141">
        <f t="shared" si="63"/>
        <v>5</v>
      </c>
      <c r="Q201" s="294"/>
      <c r="R201" s="294"/>
      <c r="S201" s="308"/>
      <c r="T201" s="308"/>
    </row>
    <row r="202" spans="1:70" ht="14.4" x14ac:dyDescent="0.3">
      <c r="A202" s="3" t="s">
        <v>849</v>
      </c>
      <c r="B202" s="141">
        <f>'Ability OLD'!$B$25</f>
        <v>0.87913616180078868</v>
      </c>
      <c r="C202" s="141">
        <f>'Ability OLD'!$B$25</f>
        <v>0.87913616180078868</v>
      </c>
      <c r="D202" s="141">
        <f>'Ability OLD'!$B$25</f>
        <v>0.87913616180078868</v>
      </c>
      <c r="E202" s="141">
        <f>'Ability OLD'!$B$25</f>
        <v>0.87913616180078868</v>
      </c>
      <c r="F202" s="141">
        <f>'Ability OLD'!$B$25</f>
        <v>0.87913616180078868</v>
      </c>
      <c r="G202" s="141">
        <f>'Ability OLD'!$B$25</f>
        <v>0.87913616180078868</v>
      </c>
      <c r="H202" s="141">
        <f>'Ability OLD'!$B$25</f>
        <v>0.87913616180078868</v>
      </c>
      <c r="I202" s="141">
        <f>'Ability OLD'!$B$25</f>
        <v>0.87913616180078868</v>
      </c>
      <c r="J202" s="141">
        <f>'Ability OLD'!$B$25</f>
        <v>0.87913616180078868</v>
      </c>
      <c r="K202" s="141">
        <f>'Ability OLD'!$B$25</f>
        <v>0.87913616180078868</v>
      </c>
      <c r="L202" s="141">
        <f>'Ability OLD'!$B$25</f>
        <v>0.87913616180078868</v>
      </c>
      <c r="M202" s="141"/>
      <c r="N202" s="141"/>
      <c r="O202" s="141">
        <v>0.17699999999999999</v>
      </c>
      <c r="P202" s="141">
        <v>0.17699999999999999</v>
      </c>
      <c r="Q202" s="295"/>
      <c r="R202" s="295"/>
    </row>
    <row r="203" spans="1:70" s="3" customFormat="1" ht="28.8" x14ac:dyDescent="0.3">
      <c r="A203" s="88" t="s">
        <v>850</v>
      </c>
      <c r="B203" s="88">
        <v>5.0000000000000001E-3</v>
      </c>
      <c r="C203" s="88">
        <v>5.0000000000000001E-3</v>
      </c>
      <c r="D203" s="88">
        <v>5.0000000000000001E-3</v>
      </c>
      <c r="E203" s="88">
        <v>5.0000000000000001E-3</v>
      </c>
      <c r="F203" s="88">
        <v>5.0000000000000001E-3</v>
      </c>
      <c r="G203" s="88">
        <v>5.0000000000000001E-3</v>
      </c>
      <c r="H203" s="88">
        <v>5.0000000000000001E-3</v>
      </c>
      <c r="I203" s="88">
        <v>5.0000000000000001E-3</v>
      </c>
      <c r="J203" s="88">
        <v>5.0000000000000001E-3</v>
      </c>
      <c r="K203" s="88">
        <v>5.0000000000000001E-3</v>
      </c>
      <c r="L203" s="88">
        <v>5.0000000000000001E-3</v>
      </c>
      <c r="M203" s="88"/>
      <c r="N203" s="88"/>
      <c r="O203" s="88">
        <v>5.0000000000000001E-3</v>
      </c>
      <c r="P203" s="88">
        <v>5.0000000000000001E-3</v>
      </c>
      <c r="Q203" s="296" t="s">
        <v>851</v>
      </c>
      <c r="R203" s="301"/>
      <c r="S203" s="283"/>
      <c r="T203" s="283"/>
    </row>
    <row r="204" spans="1:70" ht="43.5" customHeight="1" x14ac:dyDescent="0.3">
      <c r="A204" s="3" t="s">
        <v>852</v>
      </c>
      <c r="B204" s="76">
        <v>0.03</v>
      </c>
      <c r="C204" s="76">
        <v>0.03</v>
      </c>
      <c r="D204" s="76">
        <v>0.03</v>
      </c>
      <c r="E204" s="76">
        <v>0.03</v>
      </c>
      <c r="F204" s="76">
        <v>0.03</v>
      </c>
      <c r="G204" s="76">
        <v>0.03</v>
      </c>
      <c r="H204" s="76">
        <v>0.03</v>
      </c>
      <c r="I204" s="76">
        <v>0.03</v>
      </c>
      <c r="J204" s="76">
        <v>0.03</v>
      </c>
      <c r="K204" s="76">
        <v>0.03</v>
      </c>
      <c r="L204" s="76">
        <v>0.03</v>
      </c>
      <c r="M204" s="76"/>
      <c r="N204" s="76"/>
      <c r="O204" s="76">
        <v>0</v>
      </c>
      <c r="P204" s="76">
        <v>0.5</v>
      </c>
      <c r="Q204" s="293" t="s">
        <v>853</v>
      </c>
      <c r="R204" s="287"/>
    </row>
    <row r="205" spans="1:70" ht="57.6" x14ac:dyDescent="0.3">
      <c r="A205" s="3" t="s">
        <v>854</v>
      </c>
      <c r="B205" s="76">
        <v>0.15</v>
      </c>
      <c r="C205" s="76">
        <v>0.15</v>
      </c>
      <c r="D205" s="76">
        <v>0.15</v>
      </c>
      <c r="E205" s="76">
        <v>0.15</v>
      </c>
      <c r="F205" s="76">
        <v>0.15</v>
      </c>
      <c r="G205" s="76">
        <v>0.15</v>
      </c>
      <c r="H205" s="76">
        <v>0.15</v>
      </c>
      <c r="I205" s="76">
        <v>0.15</v>
      </c>
      <c r="J205" s="76">
        <v>0.15</v>
      </c>
      <c r="K205" s="76">
        <v>0.15</v>
      </c>
      <c r="L205" s="76">
        <v>0.15</v>
      </c>
      <c r="M205" s="76"/>
      <c r="N205" s="76"/>
      <c r="O205" s="76">
        <v>0</v>
      </c>
      <c r="P205" s="76">
        <v>0.5</v>
      </c>
      <c r="Q205" s="287" t="s">
        <v>855</v>
      </c>
      <c r="R205" s="302" t="s">
        <v>856</v>
      </c>
    </row>
    <row r="206" spans="1:70" ht="14.4" x14ac:dyDescent="0.3">
      <c r="A206" s="3" t="s">
        <v>857</v>
      </c>
      <c r="B206" s="76">
        <v>0.25</v>
      </c>
      <c r="C206" s="76">
        <v>0.46</v>
      </c>
      <c r="D206" s="76">
        <v>0.25</v>
      </c>
      <c r="E206" s="76">
        <v>0.46</v>
      </c>
      <c r="F206" s="76">
        <v>0.46</v>
      </c>
      <c r="G206" s="76">
        <v>0.46</v>
      </c>
      <c r="H206" s="76">
        <v>0.46</v>
      </c>
      <c r="I206" s="76">
        <v>0.25</v>
      </c>
      <c r="J206" s="76">
        <v>0.46</v>
      </c>
      <c r="K206" s="76">
        <v>0.46</v>
      </c>
      <c r="L206" s="76">
        <v>0.25</v>
      </c>
      <c r="M206" s="76"/>
      <c r="N206" s="76"/>
      <c r="O206" s="76">
        <v>1E-3</v>
      </c>
      <c r="P206" s="76">
        <v>1</v>
      </c>
      <c r="Q206" s="288"/>
      <c r="R206" s="288"/>
      <c r="S206" s="285"/>
    </row>
    <row r="207" spans="1:70" s="3" customFormat="1" ht="14.4" x14ac:dyDescent="0.3">
      <c r="A207" s="132" t="s">
        <v>858</v>
      </c>
      <c r="B207" s="135">
        <v>8.8999999999999996E-2</v>
      </c>
      <c r="C207" s="135">
        <v>6.6000000000000003E-2</v>
      </c>
      <c r="D207" s="135">
        <v>0.104</v>
      </c>
      <c r="E207" s="135">
        <v>6.7000000000000004E-2</v>
      </c>
      <c r="F207" s="135">
        <v>9.4E-2</v>
      </c>
      <c r="G207" s="135">
        <v>8.8999999999999996E-2</v>
      </c>
      <c r="H207" s="135">
        <v>9.6000000000000002E-2</v>
      </c>
      <c r="I207" s="135">
        <v>0.115</v>
      </c>
      <c r="J207" s="135">
        <v>0.15</v>
      </c>
      <c r="K207" s="135">
        <v>6.5000000000000002E-2</v>
      </c>
      <c r="L207" s="135">
        <v>9.5000000000000001E-2</v>
      </c>
      <c r="M207" s="76"/>
      <c r="N207" s="76"/>
      <c r="O207" s="76">
        <v>0</v>
      </c>
      <c r="P207" s="76">
        <v>1</v>
      </c>
      <c r="Q207" s="288"/>
      <c r="R207" s="288"/>
      <c r="S207" s="283"/>
      <c r="T207" s="283"/>
    </row>
    <row r="209" ht="14.4" x14ac:dyDescent="0.3"/>
    <row r="210"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sheetData>
  <hyperlinks>
    <hyperlink ref="R187" r:id="rId1" xr:uid="{29349C94-059A-4783-9CAC-AAA3DA402C8D}"/>
    <hyperlink ref="R179" r:id="rId2" xr:uid="{34037550-7B79-4E25-8049-5E133CD98705}"/>
    <hyperlink ref="R205" r:id="rId3" xr:uid="{378D70D9-47C5-4DA3-8251-AE7D3D0DF850}"/>
  </hyperlinks>
  <pageMargins left="0.7" right="0.7" top="0.75" bottom="0.75" header="0.3" footer="0.3"/>
  <pageSetup paperSize="9" orientation="landscape" r:id="rId4"/>
  <legacyDrawing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A51F-C169-445F-A02E-CEE4EED45593}">
  <dimension ref="A1"/>
  <sheetViews>
    <sheetView topLeftCell="A2" workbookViewId="0">
      <selection activeCell="I20" sqref="I20"/>
    </sheetView>
  </sheetViews>
  <sheetFormatPr defaultRowHeight="14.4" x14ac:dyDescent="0.3"/>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2:I21"/>
  <sheetViews>
    <sheetView workbookViewId="0">
      <selection activeCell="H10" sqref="H10"/>
    </sheetView>
  </sheetViews>
  <sheetFormatPr defaultColWidth="11.6640625" defaultRowHeight="12" x14ac:dyDescent="0.25"/>
  <cols>
    <col min="1" max="16384" width="11.6640625" style="6"/>
  </cols>
  <sheetData>
    <row r="2" spans="1:9" ht="21" x14ac:dyDescent="0.4">
      <c r="A2" s="30" t="s">
        <v>859</v>
      </c>
    </row>
    <row r="4" spans="1:9" ht="12.6" thickBot="1" x14ac:dyDescent="0.3">
      <c r="B4" s="6" t="s">
        <v>860</v>
      </c>
      <c r="C4" s="6" t="s">
        <v>861</v>
      </c>
      <c r="D4" s="6" t="s">
        <v>862</v>
      </c>
      <c r="E4" s="6" t="s">
        <v>863</v>
      </c>
      <c r="F4" s="6" t="s">
        <v>864</v>
      </c>
      <c r="G4" s="6" t="s">
        <v>865</v>
      </c>
      <c r="I4" s="6" t="s">
        <v>866</v>
      </c>
    </row>
    <row r="5" spans="1:9" ht="12.6" thickBot="1" x14ac:dyDescent="0.3">
      <c r="A5" s="7" t="s">
        <v>867</v>
      </c>
      <c r="B5" s="7">
        <v>300</v>
      </c>
      <c r="C5" s="7">
        <v>1.5</v>
      </c>
      <c r="D5" s="7">
        <v>3.0000000000000001E-3</v>
      </c>
      <c r="E5" s="7">
        <v>0.17799999999999999</v>
      </c>
      <c r="F5" s="6">
        <f>(C5*(0.25*D5)*E5)*100</f>
        <v>2.0025000000000001E-2</v>
      </c>
      <c r="G5" s="6">
        <f>(F5/1000)*B5</f>
        <v>6.0075000000000007E-3</v>
      </c>
      <c r="I5" s="6">
        <f>(B5*52)/1000</f>
        <v>15.6</v>
      </c>
    </row>
    <row r="6" spans="1:9" ht="13.2" thickTop="1" thickBot="1" x14ac:dyDescent="0.3">
      <c r="A6" s="8" t="s">
        <v>38</v>
      </c>
      <c r="B6" s="8">
        <v>350</v>
      </c>
      <c r="C6" s="8">
        <v>1.52</v>
      </c>
      <c r="D6" s="8">
        <v>1E-3</v>
      </c>
      <c r="E6" s="8">
        <v>0.17799999999999999</v>
      </c>
      <c r="F6" s="6">
        <f t="shared" ref="F6:F10" si="0">(C6*(0.25*D6)*E6)*100</f>
        <v>6.7639999999999992E-3</v>
      </c>
      <c r="G6" s="6">
        <f>(F6/1000)*B6</f>
        <v>2.3673999999999995E-3</v>
      </c>
      <c r="I6" s="6">
        <f t="shared" ref="I6:I10" si="1">(B6*52)/1000</f>
        <v>18.2</v>
      </c>
    </row>
    <row r="7" spans="1:9" ht="12.6" thickBot="1" x14ac:dyDescent="0.3">
      <c r="A7" s="9" t="s">
        <v>66</v>
      </c>
      <c r="B7" s="9">
        <v>200</v>
      </c>
      <c r="C7" s="9">
        <v>1.88</v>
      </c>
      <c r="D7" s="9">
        <v>0.75</v>
      </c>
      <c r="E7" s="9">
        <v>0.11899999999999999</v>
      </c>
      <c r="F7" s="6">
        <f t="shared" si="0"/>
        <v>4.19475</v>
      </c>
      <c r="G7" s="6">
        <f>(F7/1000)*B7</f>
        <v>0.83894999999999997</v>
      </c>
      <c r="I7" s="6">
        <f t="shared" si="1"/>
        <v>10.4</v>
      </c>
    </row>
    <row r="8" spans="1:9" ht="12.6" thickBot="1" x14ac:dyDescent="0.3">
      <c r="A8" s="10" t="s">
        <v>44</v>
      </c>
      <c r="B8" s="10">
        <v>150</v>
      </c>
      <c r="C8" s="10">
        <v>2.16</v>
      </c>
      <c r="D8" s="10">
        <v>5.2999999999999999E-2</v>
      </c>
      <c r="E8" s="10">
        <v>0.11899999999999999</v>
      </c>
      <c r="F8" s="6">
        <f t="shared" si="0"/>
        <v>0.34057799999999999</v>
      </c>
      <c r="G8" s="6">
        <f>(F8/1000)*B8</f>
        <v>5.1086700000000006E-2</v>
      </c>
      <c r="I8" s="6">
        <f t="shared" si="1"/>
        <v>7.8</v>
      </c>
    </row>
    <row r="9" spans="1:9" ht="12.6" thickBot="1" x14ac:dyDescent="0.3">
      <c r="A9" s="9" t="s">
        <v>868</v>
      </c>
      <c r="B9" s="9">
        <v>400</v>
      </c>
      <c r="C9" s="9">
        <v>2.36</v>
      </c>
      <c r="D9" s="9">
        <v>1.7999999999999999E-2</v>
      </c>
      <c r="E9" s="9">
        <v>0.192</v>
      </c>
      <c r="F9" s="6">
        <f t="shared" si="0"/>
        <v>0.20390399999999997</v>
      </c>
      <c r="G9" s="6">
        <f t="shared" ref="G9:G10" si="2">(F9/1000)*B9</f>
        <v>8.1561599999999984E-2</v>
      </c>
      <c r="I9" s="6">
        <f t="shared" si="1"/>
        <v>20.8</v>
      </c>
    </row>
    <row r="10" spans="1:9" ht="12.6" thickBot="1" x14ac:dyDescent="0.3">
      <c r="A10" s="9" t="s">
        <v>449</v>
      </c>
      <c r="B10" s="9">
        <v>100</v>
      </c>
      <c r="C10" s="9">
        <v>1.2</v>
      </c>
      <c r="D10" s="9">
        <v>0.4</v>
      </c>
      <c r="E10" s="9">
        <v>0.06</v>
      </c>
      <c r="F10" s="6">
        <f t="shared" si="0"/>
        <v>0.72</v>
      </c>
      <c r="G10" s="6">
        <f t="shared" si="2"/>
        <v>7.1999999999999995E-2</v>
      </c>
      <c r="I10" s="6">
        <f t="shared" si="1"/>
        <v>5.2</v>
      </c>
    </row>
    <row r="11" spans="1:9" ht="12.6" thickBot="1" x14ac:dyDescent="0.3"/>
    <row r="12" spans="1:9" ht="36.6" thickBot="1" x14ac:dyDescent="0.3">
      <c r="A12" s="11" t="s">
        <v>434</v>
      </c>
      <c r="B12" s="11" t="s">
        <v>869</v>
      </c>
      <c r="C12" s="11" t="s">
        <v>870</v>
      </c>
      <c r="D12" s="11" t="s">
        <v>871</v>
      </c>
      <c r="E12" s="11" t="s">
        <v>872</v>
      </c>
      <c r="F12" s="11" t="s">
        <v>873</v>
      </c>
    </row>
    <row r="13" spans="1:9" ht="13.2" thickTop="1" thickBot="1" x14ac:dyDescent="0.3">
      <c r="A13" s="12" t="s">
        <v>874</v>
      </c>
      <c r="B13" s="12">
        <v>0.2</v>
      </c>
      <c r="C13" s="12">
        <v>0.1</v>
      </c>
      <c r="D13" s="12">
        <v>0.05</v>
      </c>
      <c r="E13" s="12">
        <v>0.8</v>
      </c>
      <c r="F13" s="12">
        <f>2*(B13+C13+D13)+(E13)</f>
        <v>1.5</v>
      </c>
    </row>
    <row r="14" spans="1:9" ht="13.2" thickTop="1" thickBot="1" x14ac:dyDescent="0.3">
      <c r="A14" s="13" t="s">
        <v>875</v>
      </c>
      <c r="B14" s="14">
        <v>0.19</v>
      </c>
      <c r="C14" s="14">
        <v>0.12</v>
      </c>
      <c r="D14" s="14">
        <v>0.05</v>
      </c>
      <c r="E14" s="14">
        <v>0.8</v>
      </c>
      <c r="F14" s="12">
        <f t="shared" ref="F14:F19" si="3">2*(B14+C14+D14)+(E14)</f>
        <v>1.52</v>
      </c>
    </row>
    <row r="15" spans="1:9" ht="13.2" thickTop="1" thickBot="1" x14ac:dyDescent="0.3">
      <c r="A15" s="15" t="s">
        <v>66</v>
      </c>
      <c r="B15" s="16">
        <v>0.63</v>
      </c>
      <c r="C15" s="16">
        <v>0.03</v>
      </c>
      <c r="D15" s="16">
        <v>0.03</v>
      </c>
      <c r="E15" s="16">
        <v>0.5</v>
      </c>
      <c r="F15" s="12">
        <f t="shared" si="3"/>
        <v>1.8800000000000001</v>
      </c>
    </row>
    <row r="16" spans="1:9" ht="13.2" thickTop="1" thickBot="1" x14ac:dyDescent="0.3">
      <c r="A16" s="13" t="s">
        <v>876</v>
      </c>
      <c r="B16" s="14">
        <v>0.64</v>
      </c>
      <c r="C16" s="14">
        <v>0.15</v>
      </c>
      <c r="D16" s="14">
        <v>0.08</v>
      </c>
      <c r="E16" s="14">
        <v>0.5</v>
      </c>
      <c r="F16" s="17">
        <f t="shared" si="3"/>
        <v>2.2400000000000002</v>
      </c>
    </row>
    <row r="17" spans="1:6" ht="13.2" thickTop="1" thickBot="1" x14ac:dyDescent="0.3">
      <c r="A17" s="15" t="s">
        <v>68</v>
      </c>
      <c r="B17" s="16">
        <v>0.55000000000000004</v>
      </c>
      <c r="C17" s="16">
        <v>0.25</v>
      </c>
      <c r="D17" s="16">
        <v>0.03</v>
      </c>
      <c r="E17" s="16">
        <v>0.5</v>
      </c>
      <c r="F17" s="12">
        <f t="shared" si="3"/>
        <v>2.16</v>
      </c>
    </row>
    <row r="18" spans="1:6" ht="13.2" thickTop="1" thickBot="1" x14ac:dyDescent="0.3">
      <c r="A18" s="13" t="s">
        <v>65</v>
      </c>
      <c r="B18" s="14">
        <v>0.63</v>
      </c>
      <c r="C18" s="14">
        <v>0.1</v>
      </c>
      <c r="D18" s="14">
        <v>0.2</v>
      </c>
      <c r="E18" s="14">
        <v>0.5</v>
      </c>
      <c r="F18" s="12">
        <f t="shared" si="3"/>
        <v>2.36</v>
      </c>
    </row>
    <row r="19" spans="1:6" ht="13.2" thickTop="1" thickBot="1" x14ac:dyDescent="0.3">
      <c r="A19" s="13" t="s">
        <v>449</v>
      </c>
      <c r="B19" s="14">
        <v>0.1</v>
      </c>
      <c r="C19" s="14">
        <v>0.1</v>
      </c>
      <c r="D19" s="14">
        <v>0.15</v>
      </c>
      <c r="E19" s="14">
        <v>0.5</v>
      </c>
      <c r="F19" s="12">
        <f t="shared" si="3"/>
        <v>1.2</v>
      </c>
    </row>
    <row r="21" spans="1:6" x14ac:dyDescent="0.25">
      <c r="A21" s="6" t="s">
        <v>877</v>
      </c>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D72E-944D-47B6-83F5-36552DC32909}">
  <dimension ref="B1:AA35"/>
  <sheetViews>
    <sheetView workbookViewId="0">
      <selection activeCell="F19" sqref="F19"/>
    </sheetView>
  </sheetViews>
  <sheetFormatPr defaultRowHeight="14.4" x14ac:dyDescent="0.3"/>
  <sheetData>
    <row r="1" spans="2:27" x14ac:dyDescent="0.3">
      <c r="C1" s="100" t="s">
        <v>878</v>
      </c>
      <c r="E1" s="100"/>
      <c r="J1" t="s">
        <v>879</v>
      </c>
      <c r="K1" t="s">
        <v>879</v>
      </c>
    </row>
    <row r="2" spans="2:27" ht="15" thickBot="1" x14ac:dyDescent="0.35">
      <c r="B2" s="107" t="s">
        <v>880</v>
      </c>
      <c r="C2" s="108" t="s">
        <v>881</v>
      </c>
      <c r="D2" s="108"/>
      <c r="E2" s="108" t="s">
        <v>882</v>
      </c>
      <c r="F2" s="108" t="s">
        <v>883</v>
      </c>
      <c r="G2" s="108" t="s">
        <v>884</v>
      </c>
      <c r="H2" s="108" t="s">
        <v>885</v>
      </c>
      <c r="I2" s="108" t="s">
        <v>96</v>
      </c>
      <c r="J2" s="108" t="s">
        <v>886</v>
      </c>
      <c r="K2" s="109" t="s">
        <v>67</v>
      </c>
      <c r="L2" t="s">
        <v>887</v>
      </c>
      <c r="Q2" t="s">
        <v>888</v>
      </c>
    </row>
    <row r="3" spans="2:27" x14ac:dyDescent="0.3">
      <c r="B3" s="101" t="s">
        <v>27</v>
      </c>
      <c r="C3" s="19">
        <f>SUM(E3:K3)</f>
        <v>5.987669540574668E-2</v>
      </c>
      <c r="D3" s="121"/>
      <c r="E3" s="102">
        <f>E19*E$35</f>
        <v>0</v>
      </c>
      <c r="F3" s="102">
        <f t="shared" ref="F3:K3" si="0">F19*F$35</f>
        <v>3.0175564029234186E-2</v>
      </c>
      <c r="G3" s="102">
        <f t="shared" si="0"/>
        <v>2.0947564606165502E-3</v>
      </c>
      <c r="H3" s="102">
        <f t="shared" si="0"/>
        <v>1.7611241446505021E-3</v>
      </c>
      <c r="I3" s="102">
        <f t="shared" si="0"/>
        <v>1.531819167662828E-2</v>
      </c>
      <c r="J3" s="102">
        <f t="shared" si="0"/>
        <v>5.3192774330700172E-3</v>
      </c>
      <c r="K3" s="119">
        <f t="shared" si="0"/>
        <v>5.207781661547152E-3</v>
      </c>
      <c r="L3" s="121"/>
      <c r="Q3" s="1" t="s">
        <v>889</v>
      </c>
      <c r="R3" s="1"/>
      <c r="S3" s="1"/>
      <c r="T3" s="1"/>
      <c r="U3" s="1"/>
    </row>
    <row r="4" spans="2:27" x14ac:dyDescent="0.3">
      <c r="B4" s="101" t="s">
        <v>69</v>
      </c>
      <c r="C4" s="19">
        <f>SUM(E4:K4)</f>
        <v>6.5022407020207201E-2</v>
      </c>
      <c r="D4" s="121"/>
      <c r="E4" s="102">
        <f t="shared" ref="E4:K9" si="1">E18*E$35</f>
        <v>0</v>
      </c>
      <c r="F4" s="102">
        <f t="shared" si="1"/>
        <v>4.5918992316211125E-2</v>
      </c>
      <c r="G4" s="102">
        <f t="shared" si="1"/>
        <v>6.7424580939191294E-4</v>
      </c>
      <c r="H4" s="102">
        <f t="shared" si="1"/>
        <v>3.1263238304494948E-5</v>
      </c>
      <c r="I4" s="102">
        <f>I18*I$35</f>
        <v>1.5490957937954294E-2</v>
      </c>
      <c r="J4" s="102">
        <f t="shared" si="1"/>
        <v>8.7093671110877993E-4</v>
      </c>
      <c r="K4" s="103">
        <f t="shared" si="1"/>
        <v>2.0360110072365888E-3</v>
      </c>
      <c r="L4" s="121"/>
      <c r="Q4" t="s">
        <v>890</v>
      </c>
    </row>
    <row r="5" spans="2:27" x14ac:dyDescent="0.3">
      <c r="B5" s="101" t="s">
        <v>70</v>
      </c>
      <c r="C5" s="19">
        <f t="shared" ref="C5:C13" si="2">SUM(E5:K5)</f>
        <v>5.987669540574668E-2</v>
      </c>
      <c r="D5" s="121"/>
      <c r="E5" s="102">
        <f t="shared" si="1"/>
        <v>0</v>
      </c>
      <c r="F5" s="102">
        <f t="shared" si="1"/>
        <v>3.0175564029234186E-2</v>
      </c>
      <c r="G5" s="102">
        <f t="shared" si="1"/>
        <v>2.0947564606165502E-3</v>
      </c>
      <c r="H5" s="102">
        <f t="shared" si="1"/>
        <v>1.7611241446505021E-3</v>
      </c>
      <c r="I5" s="102">
        <f t="shared" si="1"/>
        <v>1.531819167662828E-2</v>
      </c>
      <c r="J5" s="102">
        <f t="shared" si="1"/>
        <v>5.3192774330700172E-3</v>
      </c>
      <c r="K5" s="103">
        <f t="shared" si="1"/>
        <v>5.207781661547152E-3</v>
      </c>
      <c r="L5" s="121"/>
      <c r="Q5" t="s">
        <v>891</v>
      </c>
    </row>
    <row r="6" spans="2:27" x14ac:dyDescent="0.3">
      <c r="B6" s="101" t="s">
        <v>71</v>
      </c>
      <c r="C6" s="19">
        <f t="shared" si="2"/>
        <v>6.3129969495057447E-2</v>
      </c>
      <c r="D6" s="121"/>
      <c r="E6" s="102">
        <f t="shared" si="1"/>
        <v>0</v>
      </c>
      <c r="F6" s="102">
        <f t="shared" si="1"/>
        <v>8.9482166631630576E-3</v>
      </c>
      <c r="G6" s="102">
        <f t="shared" si="1"/>
        <v>1.8894638782910936E-3</v>
      </c>
      <c r="H6" s="102">
        <f t="shared" si="1"/>
        <v>5.3175337973999741E-4</v>
      </c>
      <c r="I6" s="102">
        <f t="shared" si="1"/>
        <v>2.2505402787092926E-2</v>
      </c>
      <c r="J6" s="102">
        <f t="shared" si="1"/>
        <v>1.6934108798729357E-2</v>
      </c>
      <c r="K6" s="103">
        <f t="shared" si="1"/>
        <v>1.2321023988041014E-2</v>
      </c>
      <c r="L6" s="121"/>
      <c r="Q6" t="s">
        <v>892</v>
      </c>
    </row>
    <row r="7" spans="2:27" x14ac:dyDescent="0.3">
      <c r="B7" s="101" t="s">
        <v>72</v>
      </c>
      <c r="C7" s="19">
        <f t="shared" si="2"/>
        <v>3.3373386514077411E-2</v>
      </c>
      <c r="D7" s="121"/>
      <c r="E7" s="102">
        <f t="shared" si="1"/>
        <v>0</v>
      </c>
      <c r="F7" s="102">
        <f t="shared" si="1"/>
        <v>9.676114323790487E-3</v>
      </c>
      <c r="G7" s="102">
        <f t="shared" si="1"/>
        <v>4.515135205109367E-3</v>
      </c>
      <c r="H7" s="102">
        <f t="shared" si="1"/>
        <v>4.9283024816534665E-4</v>
      </c>
      <c r="I7" s="102">
        <f t="shared" si="1"/>
        <v>1.8083928557263318E-2</v>
      </c>
      <c r="J7" s="102">
        <f t="shared" si="1"/>
        <v>6.0537817974889042E-4</v>
      </c>
      <c r="K7" s="103">
        <f t="shared" si="1"/>
        <v>0</v>
      </c>
      <c r="L7" s="121"/>
      <c r="Q7" t="s">
        <v>893</v>
      </c>
    </row>
    <row r="8" spans="2:27" x14ac:dyDescent="0.3">
      <c r="B8" s="101" t="s">
        <v>73</v>
      </c>
      <c r="C8" s="19">
        <f t="shared" si="2"/>
        <v>6.0421749408983455E-2</v>
      </c>
      <c r="D8" s="121"/>
      <c r="E8" s="102">
        <f t="shared" si="1"/>
        <v>0</v>
      </c>
      <c r="F8" s="102">
        <f t="shared" si="1"/>
        <v>3.9466666666666671E-2</v>
      </c>
      <c r="G8" s="102">
        <f t="shared" si="1"/>
        <v>6.0141843971631206E-3</v>
      </c>
      <c r="H8" s="102">
        <f t="shared" si="1"/>
        <v>6.0520094562647748E-3</v>
      </c>
      <c r="I8" s="102">
        <f t="shared" si="1"/>
        <v>0</v>
      </c>
      <c r="J8" s="102">
        <f t="shared" si="1"/>
        <v>0</v>
      </c>
      <c r="K8" s="103">
        <f t="shared" si="1"/>
        <v>8.8888888888888871E-3</v>
      </c>
      <c r="L8" s="121"/>
    </row>
    <row r="9" spans="2:27" x14ac:dyDescent="0.3">
      <c r="B9" s="101" t="s">
        <v>74</v>
      </c>
      <c r="C9" s="19">
        <f t="shared" si="2"/>
        <v>6.3129969495057447E-2</v>
      </c>
      <c r="D9" s="121"/>
      <c r="E9" s="102">
        <f t="shared" si="1"/>
        <v>0</v>
      </c>
      <c r="F9" s="102">
        <f t="shared" si="1"/>
        <v>8.9482166631630576E-3</v>
      </c>
      <c r="G9" s="102">
        <f t="shared" si="1"/>
        <v>1.8894638782910936E-3</v>
      </c>
      <c r="H9" s="102">
        <f t="shared" si="1"/>
        <v>5.3175337973999741E-4</v>
      </c>
      <c r="I9" s="102">
        <f t="shared" si="1"/>
        <v>2.2505402787092926E-2</v>
      </c>
      <c r="J9" s="102">
        <f t="shared" si="1"/>
        <v>1.6934108798729357E-2</v>
      </c>
      <c r="K9" s="103">
        <f t="shared" si="1"/>
        <v>1.2321023988041014E-2</v>
      </c>
      <c r="L9" s="121"/>
      <c r="Q9" t="s">
        <v>894</v>
      </c>
      <c r="R9" t="s">
        <v>895</v>
      </c>
      <c r="S9" t="s">
        <v>896</v>
      </c>
    </row>
    <row r="10" spans="2:27" x14ac:dyDescent="0.3">
      <c r="B10" s="101" t="s">
        <v>897</v>
      </c>
      <c r="C10" s="19">
        <f>SUM(E10:K10)</f>
        <v>5.987669540574668E-2</v>
      </c>
      <c r="D10" s="121"/>
      <c r="E10" s="102">
        <f t="shared" ref="E10:K10" si="3">E19*E$35</f>
        <v>0</v>
      </c>
      <c r="F10" s="102">
        <f t="shared" si="3"/>
        <v>3.0175564029234186E-2</v>
      </c>
      <c r="G10" s="102">
        <f t="shared" si="3"/>
        <v>2.0947564606165502E-3</v>
      </c>
      <c r="H10" s="102">
        <f t="shared" si="3"/>
        <v>1.7611241446505021E-3</v>
      </c>
      <c r="I10" s="102">
        <f t="shared" si="3"/>
        <v>1.531819167662828E-2</v>
      </c>
      <c r="J10" s="102">
        <f t="shared" si="3"/>
        <v>5.3192774330700172E-3</v>
      </c>
      <c r="K10" s="103">
        <f t="shared" si="3"/>
        <v>5.207781661547152E-3</v>
      </c>
      <c r="L10" s="121"/>
      <c r="N10" s="43"/>
      <c r="R10" t="s">
        <v>898</v>
      </c>
      <c r="S10" t="s">
        <v>899</v>
      </c>
    </row>
    <row r="11" spans="2:27" x14ac:dyDescent="0.3">
      <c r="B11" s="101" t="s">
        <v>77</v>
      </c>
      <c r="C11" s="19">
        <f t="shared" si="2"/>
        <v>3.3373386514077404E-2</v>
      </c>
      <c r="D11" s="121"/>
      <c r="E11" s="102">
        <f t="shared" ref="E11:K13" si="4">E25*E$35</f>
        <v>0</v>
      </c>
      <c r="F11" s="102">
        <f t="shared" si="4"/>
        <v>9.676114323790487E-3</v>
      </c>
      <c r="G11" s="102">
        <f t="shared" si="4"/>
        <v>4.515135205109367E-3</v>
      </c>
      <c r="H11" s="102">
        <f t="shared" si="4"/>
        <v>4.9283024816534665E-4</v>
      </c>
      <c r="I11" s="102">
        <f t="shared" si="4"/>
        <v>1.8083928557263318E-2</v>
      </c>
      <c r="J11" s="102">
        <f t="shared" si="4"/>
        <v>6.0537817974888933E-4</v>
      </c>
      <c r="K11" s="103">
        <f t="shared" si="4"/>
        <v>0</v>
      </c>
      <c r="L11" s="121"/>
      <c r="N11" s="43"/>
      <c r="O11" s="96"/>
      <c r="R11" t="s">
        <v>900</v>
      </c>
      <c r="S11" t="s">
        <v>901</v>
      </c>
      <c r="AA11" s="1" t="s">
        <v>902</v>
      </c>
    </row>
    <row r="12" spans="2:27" x14ac:dyDescent="0.3">
      <c r="B12" s="101" t="s">
        <v>78</v>
      </c>
      <c r="C12" s="19">
        <f t="shared" si="2"/>
        <v>0.22309901182679487</v>
      </c>
      <c r="D12" s="121"/>
      <c r="E12" s="102">
        <f t="shared" si="4"/>
        <v>0</v>
      </c>
      <c r="F12" s="102">
        <f t="shared" si="4"/>
        <v>1.4677258140880639E-3</v>
      </c>
      <c r="G12" s="102">
        <f t="shared" si="4"/>
        <v>5.193757293266708E-3</v>
      </c>
      <c r="H12" s="102">
        <f t="shared" si="4"/>
        <v>6.0566060098196618E-4</v>
      </c>
      <c r="I12" s="102">
        <f t="shared" si="4"/>
        <v>1.0469003682744542E-2</v>
      </c>
      <c r="J12" s="102">
        <f t="shared" si="4"/>
        <v>2.3957565191495934E-2</v>
      </c>
      <c r="K12" s="103">
        <f t="shared" si="4"/>
        <v>0.18140529924421767</v>
      </c>
      <c r="L12" s="121"/>
      <c r="N12" s="43"/>
      <c r="O12" s="96"/>
    </row>
    <row r="13" spans="2:27" x14ac:dyDescent="0.3">
      <c r="B13" s="104" t="s">
        <v>79</v>
      </c>
      <c r="C13" s="113">
        <f t="shared" si="2"/>
        <v>1.2948822988932159E-2</v>
      </c>
      <c r="D13" s="121"/>
      <c r="E13" s="105">
        <f>E27*E$35</f>
        <v>3.0324503334986101E-3</v>
      </c>
      <c r="F13" s="105">
        <f t="shared" si="4"/>
        <v>3.2001593440337283E-3</v>
      </c>
      <c r="G13" s="105">
        <f t="shared" si="4"/>
        <v>2.596874544943646E-4</v>
      </c>
      <c r="H13" s="105">
        <f t="shared" si="4"/>
        <v>1.2878425893782183E-3</v>
      </c>
      <c r="I13" s="105">
        <f t="shared" si="4"/>
        <v>3.5889292781752158E-3</v>
      </c>
      <c r="J13" s="105">
        <f t="shared" si="4"/>
        <v>1.5797539893520217E-3</v>
      </c>
      <c r="K13" s="106">
        <f t="shared" si="4"/>
        <v>0</v>
      </c>
      <c r="L13" s="121"/>
    </row>
    <row r="15" spans="2:27" x14ac:dyDescent="0.3">
      <c r="E15" s="100" t="s">
        <v>903</v>
      </c>
      <c r="Q15" s="121"/>
      <c r="R15" s="19"/>
      <c r="S15" s="19"/>
      <c r="T15" s="19"/>
      <c r="U15" s="19"/>
      <c r="V15" s="121"/>
      <c r="W15" s="19"/>
      <c r="X15" s="19"/>
      <c r="Y15" s="121"/>
    </row>
    <row r="16" spans="2:27" ht="15" thickBot="1" x14ac:dyDescent="0.35">
      <c r="B16" t="s">
        <v>904</v>
      </c>
      <c r="C16" t="s">
        <v>905</v>
      </c>
      <c r="D16" s="107"/>
      <c r="E16" s="108" t="s">
        <v>882</v>
      </c>
      <c r="F16" s="108" t="s">
        <v>883</v>
      </c>
      <c r="G16" s="108" t="s">
        <v>884</v>
      </c>
      <c r="H16" s="108" t="s">
        <v>885</v>
      </c>
      <c r="I16" s="108" t="s">
        <v>96</v>
      </c>
      <c r="J16" s="108" t="s">
        <v>906</v>
      </c>
      <c r="K16" s="109" t="s">
        <v>907</v>
      </c>
      <c r="L16" t="s">
        <v>887</v>
      </c>
      <c r="Q16" s="121"/>
      <c r="R16" s="19"/>
      <c r="S16" s="19"/>
      <c r="T16" s="19"/>
      <c r="U16" s="19"/>
      <c r="V16" s="121"/>
      <c r="W16" s="19"/>
      <c r="X16" s="19"/>
      <c r="Y16" s="121"/>
    </row>
    <row r="17" spans="2:25" x14ac:dyDescent="0.3">
      <c r="B17" s="41">
        <f>SUM(E17:H17)</f>
        <v>0.49909967164495284</v>
      </c>
      <c r="C17">
        <f>((E17/B17)*E$35)+((F17/B17)*F$35)+((G17/B17)*G$35)+((H17/B17)*H$35)</f>
        <v>6.8185668250069248E-2</v>
      </c>
      <c r="D17" s="101" t="s">
        <v>27</v>
      </c>
      <c r="E17" s="41">
        <v>0</v>
      </c>
      <c r="F17" s="41">
        <v>0.30175564029234186</v>
      </c>
      <c r="G17" s="41">
        <v>0.14768033047346679</v>
      </c>
      <c r="H17" s="41">
        <v>4.9663700879144151E-2</v>
      </c>
      <c r="I17" s="41">
        <v>0.48252303781379086</v>
      </c>
      <c r="J17" s="124">
        <v>1.2127952547399639E-2</v>
      </c>
      <c r="K17" s="125">
        <v>6.2493379938565819E-3</v>
      </c>
      <c r="L17" t="s">
        <v>908</v>
      </c>
      <c r="Q17" s="121"/>
      <c r="R17" s="19"/>
      <c r="S17" s="19"/>
      <c r="T17" s="19"/>
      <c r="U17" s="19"/>
      <c r="V17" s="121"/>
      <c r="W17" s="19"/>
      <c r="X17" s="19"/>
      <c r="Y17" s="121"/>
    </row>
    <row r="18" spans="2:25" x14ac:dyDescent="0.3">
      <c r="B18" s="41">
        <f t="shared" ref="B18:B27" si="5">SUM(E18:H18)</f>
        <v>0.50760587604442775</v>
      </c>
      <c r="C18">
        <f t="shared" ref="C18:C27" si="6">((E18/B18)*E$35)+((F18/B18)*F$35)+((G18/B18)*G$35)+((H18/B18)*H$35)</f>
        <v>9.1851776278150818E-2</v>
      </c>
      <c r="D18" s="101" t="s">
        <v>69</v>
      </c>
      <c r="E18" s="41">
        <v>0</v>
      </c>
      <c r="F18" s="41">
        <v>0.45918992316211121</v>
      </c>
      <c r="G18" s="41">
        <v>4.7534329562129864E-2</v>
      </c>
      <c r="H18" s="41">
        <v>8.8162332018675753E-4</v>
      </c>
      <c r="I18" s="41">
        <v>0.48796517504556031</v>
      </c>
      <c r="J18" s="124">
        <v>1.985735701328018E-3</v>
      </c>
      <c r="K18" s="125">
        <v>2.4432132086839066E-3</v>
      </c>
      <c r="Q18" s="121"/>
      <c r="R18" s="19"/>
      <c r="S18" s="19"/>
      <c r="T18" s="19"/>
      <c r="U18" s="19"/>
      <c r="V18" s="121"/>
      <c r="W18" s="19"/>
      <c r="X18" s="19"/>
      <c r="Y18" s="121"/>
    </row>
    <row r="19" spans="2:25" x14ac:dyDescent="0.3">
      <c r="B19" s="41">
        <f t="shared" si="5"/>
        <v>0.49909967164495284</v>
      </c>
      <c r="C19">
        <f t="shared" si="6"/>
        <v>6.8185668250069248E-2</v>
      </c>
      <c r="D19" s="101" t="s">
        <v>70</v>
      </c>
      <c r="E19" s="41">
        <v>0</v>
      </c>
      <c r="F19" s="41">
        <v>0.30175564029234186</v>
      </c>
      <c r="G19" s="41">
        <v>0.14768033047346679</v>
      </c>
      <c r="H19" s="41">
        <v>4.9663700879144151E-2</v>
      </c>
      <c r="I19" s="41">
        <v>0.48252303781379086</v>
      </c>
      <c r="J19" s="124">
        <v>1.2127952547399639E-2</v>
      </c>
      <c r="K19" s="125">
        <v>6.2493379938565819E-3</v>
      </c>
      <c r="Q19" s="121"/>
      <c r="R19" s="19"/>
      <c r="S19" s="19"/>
      <c r="T19" s="19"/>
      <c r="U19" s="19"/>
      <c r="V19" s="121"/>
      <c r="W19" s="19"/>
      <c r="X19" s="19"/>
      <c r="Y19" s="121"/>
    </row>
    <row r="20" spans="2:25" x14ac:dyDescent="0.3">
      <c r="B20" s="41">
        <f t="shared" si="5"/>
        <v>0.23768481535982061</v>
      </c>
      <c r="C20">
        <f t="shared" si="6"/>
        <v>4.7834077679646723E-2</v>
      </c>
      <c r="D20" s="101" t="s">
        <v>71</v>
      </c>
      <c r="E20" s="41">
        <v>0</v>
      </c>
      <c r="F20" s="41">
        <v>8.9482166631630569E-2</v>
      </c>
      <c r="G20" s="41">
        <v>0.13320720341952211</v>
      </c>
      <c r="H20" s="41">
        <v>1.4995445308667926E-2</v>
      </c>
      <c r="I20" s="41">
        <v>0.70892018779342725</v>
      </c>
      <c r="J20" s="41">
        <v>3.8609768061102931E-2</v>
      </c>
      <c r="K20" s="110">
        <v>1.4785228785649217E-2</v>
      </c>
      <c r="L20" t="s">
        <v>909</v>
      </c>
      <c r="Q20" s="121"/>
      <c r="R20" s="19"/>
      <c r="S20" s="19"/>
      <c r="T20" s="19"/>
      <c r="U20" s="19"/>
      <c r="V20" s="121"/>
      <c r="W20" s="19"/>
      <c r="X20" s="19"/>
      <c r="Y20" s="121"/>
    </row>
    <row r="21" spans="2:25" x14ac:dyDescent="0.3">
      <c r="B21" s="41">
        <f t="shared" si="5"/>
        <v>0.428975988196378</v>
      </c>
      <c r="C21">
        <f t="shared" si="6"/>
        <v>3.4230540126043311E-2</v>
      </c>
      <c r="D21" s="101" t="s">
        <v>72</v>
      </c>
      <c r="E21" s="41">
        <v>0</v>
      </c>
      <c r="F21" s="41">
        <v>9.6761143237904856E-2</v>
      </c>
      <c r="G21" s="41">
        <v>0.31831703196021038</v>
      </c>
      <c r="H21" s="41">
        <v>1.3897812998262775E-2</v>
      </c>
      <c r="I21" s="41">
        <v>0.5696437495537946</v>
      </c>
      <c r="J21" s="124">
        <v>1.3802622498274701E-3</v>
      </c>
      <c r="K21" s="125">
        <v>0</v>
      </c>
      <c r="L21" t="s">
        <v>910</v>
      </c>
      <c r="Q21" s="121"/>
      <c r="R21" s="19"/>
      <c r="S21" s="19"/>
      <c r="T21" s="19"/>
      <c r="U21" s="19"/>
      <c r="V21" s="121"/>
      <c r="W21" s="19"/>
      <c r="X21" s="19"/>
      <c r="Y21" s="121"/>
    </row>
    <row r="22" spans="2:25" x14ac:dyDescent="0.3">
      <c r="B22" s="41">
        <f t="shared" si="5"/>
        <v>0.98933333333333329</v>
      </c>
      <c r="C22">
        <f t="shared" si="6"/>
        <v>5.2088470876106373E-2</v>
      </c>
      <c r="D22" s="101" t="s">
        <v>73</v>
      </c>
      <c r="E22" s="41">
        <v>0</v>
      </c>
      <c r="F22" s="41">
        <v>0.39466666666666667</v>
      </c>
      <c r="G22" s="41">
        <v>0.42399999999999999</v>
      </c>
      <c r="H22" s="41">
        <v>0.17066666666666663</v>
      </c>
      <c r="I22" s="41">
        <v>0</v>
      </c>
      <c r="J22" s="41">
        <v>0</v>
      </c>
      <c r="K22" s="110">
        <v>1.0666666666666665E-2</v>
      </c>
      <c r="Q22" s="121"/>
      <c r="R22" s="19"/>
      <c r="S22" s="19"/>
      <c r="T22" s="19"/>
      <c r="U22" s="19"/>
      <c r="V22" s="121"/>
      <c r="W22" s="19"/>
      <c r="X22" s="19"/>
      <c r="Y22" s="121"/>
    </row>
    <row r="23" spans="2:25" x14ac:dyDescent="0.3">
      <c r="B23" s="41">
        <f t="shared" si="5"/>
        <v>0.23768481535982061</v>
      </c>
      <c r="C23">
        <f t="shared" si="6"/>
        <v>4.7834077679646723E-2</v>
      </c>
      <c r="D23" s="101" t="s">
        <v>74</v>
      </c>
      <c r="E23" s="41">
        <v>0</v>
      </c>
      <c r="F23" s="41">
        <v>8.9482166631630569E-2</v>
      </c>
      <c r="G23" s="41">
        <v>0.13320720341952211</v>
      </c>
      <c r="H23" s="41">
        <v>1.4995445308667926E-2</v>
      </c>
      <c r="I23" s="41">
        <v>0.70892018779342725</v>
      </c>
      <c r="J23" s="41">
        <v>3.8609768061102931E-2</v>
      </c>
      <c r="K23" s="110">
        <v>1.4785228785649217E-2</v>
      </c>
      <c r="Q23" s="121"/>
      <c r="R23" s="19"/>
      <c r="S23" s="19"/>
      <c r="T23" s="19"/>
      <c r="U23" s="19"/>
      <c r="V23" s="121"/>
      <c r="W23" s="19"/>
      <c r="X23" s="19"/>
      <c r="Y23" s="121"/>
    </row>
    <row r="24" spans="2:25" x14ac:dyDescent="0.3">
      <c r="B24" s="41">
        <f t="shared" si="5"/>
        <v>0.49909967164495284</v>
      </c>
      <c r="C24">
        <f t="shared" si="6"/>
        <v>6.8185668250069248E-2</v>
      </c>
      <c r="D24" s="101" t="s">
        <v>426</v>
      </c>
      <c r="E24" s="41">
        <v>0</v>
      </c>
      <c r="F24" s="41">
        <v>0.30175564029234186</v>
      </c>
      <c r="G24" s="41">
        <v>0.14768033047346679</v>
      </c>
      <c r="H24" s="41">
        <v>4.9663700879144151E-2</v>
      </c>
      <c r="I24" s="41">
        <v>0.48252303781379086</v>
      </c>
      <c r="J24" s="124">
        <v>1.2127952547399639E-2</v>
      </c>
      <c r="K24" s="125">
        <v>6.2493379938565819E-3</v>
      </c>
      <c r="L24" t="s">
        <v>908</v>
      </c>
      <c r="Q24" s="121"/>
      <c r="R24" s="19"/>
      <c r="S24" s="19"/>
      <c r="T24" s="19"/>
      <c r="U24" s="19"/>
      <c r="V24" s="121"/>
      <c r="W24" s="19"/>
      <c r="X24" s="19"/>
      <c r="Y24" s="121"/>
    </row>
    <row r="25" spans="2:25" x14ac:dyDescent="0.3">
      <c r="B25" s="41">
        <f t="shared" si="5"/>
        <v>0.428975988196378</v>
      </c>
      <c r="C25">
        <f t="shared" si="6"/>
        <v>3.4230540126043311E-2</v>
      </c>
      <c r="D25" s="101" t="s">
        <v>77</v>
      </c>
      <c r="E25" s="41">
        <v>0</v>
      </c>
      <c r="F25" s="41">
        <v>9.6761143237904856E-2</v>
      </c>
      <c r="G25" s="41">
        <v>0.31831703196021038</v>
      </c>
      <c r="H25" s="41">
        <v>1.3897812998262775E-2</v>
      </c>
      <c r="I25" s="41">
        <v>0.5696437495537946</v>
      </c>
      <c r="J25" s="124">
        <v>1.3802622498274675E-3</v>
      </c>
      <c r="K25" s="125">
        <v>0</v>
      </c>
      <c r="Q25" s="121"/>
      <c r="R25" s="19"/>
      <c r="S25" s="19"/>
      <c r="T25" s="19"/>
      <c r="U25" s="19"/>
      <c r="V25" s="121"/>
      <c r="W25" s="19"/>
      <c r="X25" s="19"/>
      <c r="Y25" s="121"/>
    </row>
    <row r="26" spans="2:25" x14ac:dyDescent="0.3">
      <c r="B26" s="41">
        <f t="shared" si="5"/>
        <v>0.397916776263875</v>
      </c>
      <c r="C26">
        <f t="shared" si="6"/>
        <v>1.8262973922762174E-2</v>
      </c>
      <c r="D26" s="101" t="s">
        <v>78</v>
      </c>
      <c r="E26" s="41">
        <v>0</v>
      </c>
      <c r="F26" s="41">
        <v>1.4677258140880637E-2</v>
      </c>
      <c r="G26" s="41">
        <v>0.36615988917530295</v>
      </c>
      <c r="H26" s="41">
        <v>1.7079628947691446E-2</v>
      </c>
      <c r="I26" s="41">
        <v>0.32977361600645311</v>
      </c>
      <c r="J26" s="41">
        <v>5.4623248636610729E-2</v>
      </c>
      <c r="K26" s="110">
        <v>0.21768635909306119</v>
      </c>
    </row>
    <row r="27" spans="2:25" x14ac:dyDescent="0.3">
      <c r="B27" s="41">
        <f t="shared" si="5"/>
        <v>0.88334688864175803</v>
      </c>
      <c r="C27">
        <f t="shared" si="6"/>
        <v>8.8075701872542198E-3</v>
      </c>
      <c r="D27" s="101" t="s">
        <v>79</v>
      </c>
      <c r="E27" s="41">
        <v>0.79672016863910233</v>
      </c>
      <c r="F27" s="41">
        <v>3.2001593440337282E-2</v>
      </c>
      <c r="G27" s="41">
        <v>1.8307965541852704E-2</v>
      </c>
      <c r="H27" s="41">
        <v>3.6317161020465755E-2</v>
      </c>
      <c r="I27" s="41">
        <v>0.11305127226251931</v>
      </c>
      <c r="J27" s="124">
        <v>3.601839095722609E-3</v>
      </c>
      <c r="K27" s="125">
        <v>0</v>
      </c>
    </row>
    <row r="28" spans="2:25" x14ac:dyDescent="0.3">
      <c r="D28" s="101"/>
      <c r="K28" s="111"/>
    </row>
    <row r="29" spans="2:25" ht="15" thickBot="1" x14ac:dyDescent="0.35">
      <c r="D29" s="115"/>
      <c r="E29" s="116" t="s">
        <v>911</v>
      </c>
      <c r="F29" s="117"/>
      <c r="G29" s="117"/>
      <c r="H29" s="117"/>
      <c r="I29" s="117"/>
      <c r="J29" s="117"/>
      <c r="K29" s="118"/>
    </row>
    <row r="30" spans="2:25" x14ac:dyDescent="0.3">
      <c r="D30" s="101" t="s">
        <v>912</v>
      </c>
      <c r="E30">
        <v>500</v>
      </c>
      <c r="F30">
        <v>20</v>
      </c>
      <c r="G30">
        <v>150</v>
      </c>
      <c r="H30">
        <v>60</v>
      </c>
      <c r="I30">
        <v>70</v>
      </c>
      <c r="J30">
        <v>3.8</v>
      </c>
      <c r="K30" s="111">
        <v>2</v>
      </c>
      <c r="N30" t="s">
        <v>913</v>
      </c>
      <c r="O30" t="s">
        <v>914</v>
      </c>
      <c r="P30" t="s">
        <v>915</v>
      </c>
    </row>
    <row r="31" spans="2:25" x14ac:dyDescent="0.3">
      <c r="D31" s="101" t="s">
        <v>916</v>
      </c>
      <c r="E31" s="41">
        <f>227/432</f>
        <v>0.52546296296296291</v>
      </c>
      <c r="F31" s="41">
        <v>0.5</v>
      </c>
      <c r="G31" s="41">
        <v>0.47</v>
      </c>
      <c r="H31" s="41">
        <v>0.47</v>
      </c>
      <c r="I31" s="41">
        <v>0.45</v>
      </c>
      <c r="J31" s="41">
        <v>0.6</v>
      </c>
      <c r="K31" s="110">
        <v>0.6</v>
      </c>
      <c r="N31" t="s">
        <v>882</v>
      </c>
      <c r="O31" s="41">
        <f>227/432</f>
        <v>0.52546296296296291</v>
      </c>
      <c r="P31" t="s">
        <v>901</v>
      </c>
    </row>
    <row r="32" spans="2:25" x14ac:dyDescent="0.3">
      <c r="D32" s="101"/>
      <c r="K32" s="111"/>
      <c r="N32" t="s">
        <v>917</v>
      </c>
      <c r="O32" s="41">
        <v>0.5</v>
      </c>
      <c r="P32" t="s">
        <v>899</v>
      </c>
    </row>
    <row r="33" spans="4:17" x14ac:dyDescent="0.3">
      <c r="D33" s="101" t="s">
        <v>918</v>
      </c>
      <c r="E33" s="85">
        <f t="shared" ref="E33:K33" si="7">E30*E31</f>
        <v>262.73148148148147</v>
      </c>
      <c r="F33" s="85">
        <f t="shared" si="7"/>
        <v>10</v>
      </c>
      <c r="G33" s="85">
        <f t="shared" si="7"/>
        <v>70.5</v>
      </c>
      <c r="H33" s="85">
        <f t="shared" si="7"/>
        <v>28.2</v>
      </c>
      <c r="I33" s="85">
        <f t="shared" si="7"/>
        <v>31.5</v>
      </c>
      <c r="J33" s="85">
        <f t="shared" si="7"/>
        <v>2.2799999999999998</v>
      </c>
      <c r="K33" s="112">
        <f t="shared" si="7"/>
        <v>1.2</v>
      </c>
      <c r="N33" t="s">
        <v>919</v>
      </c>
      <c r="O33" s="41">
        <v>0.47</v>
      </c>
      <c r="P33" t="s">
        <v>920</v>
      </c>
    </row>
    <row r="34" spans="4:17" x14ac:dyDescent="0.3">
      <c r="D34" s="101"/>
      <c r="K34" s="111"/>
      <c r="N34" t="s">
        <v>96</v>
      </c>
      <c r="O34" s="41">
        <v>0.45</v>
      </c>
      <c r="P34" t="s">
        <v>921</v>
      </c>
    </row>
    <row r="35" spans="4:17" x14ac:dyDescent="0.3">
      <c r="D35" s="104" t="s">
        <v>922</v>
      </c>
      <c r="E35" s="113">
        <f t="shared" ref="E35:K35" si="8">1/E33</f>
        <v>3.8061674008810576E-3</v>
      </c>
      <c r="F35" s="113">
        <f t="shared" si="8"/>
        <v>0.1</v>
      </c>
      <c r="G35" s="113">
        <f t="shared" si="8"/>
        <v>1.4184397163120567E-2</v>
      </c>
      <c r="H35" s="113">
        <f t="shared" si="8"/>
        <v>3.5460992907801421E-2</v>
      </c>
      <c r="I35" s="123">
        <f t="shared" si="8"/>
        <v>3.1746031746031744E-2</v>
      </c>
      <c r="J35" s="113">
        <f t="shared" si="8"/>
        <v>0.43859649122807021</v>
      </c>
      <c r="K35" s="114">
        <f t="shared" si="8"/>
        <v>0.83333333333333337</v>
      </c>
      <c r="N35" t="s">
        <v>886</v>
      </c>
      <c r="O35" s="41">
        <v>0.6</v>
      </c>
      <c r="P35" t="s">
        <v>923</v>
      </c>
      <c r="Q35" t="s">
        <v>896</v>
      </c>
    </row>
  </sheetData>
  <phoneticPr fontId="2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README</vt:lpstr>
      <vt:lpstr>DK</vt:lpstr>
      <vt:lpstr>FR</vt:lpstr>
      <vt:lpstr>DE</vt:lpstr>
      <vt:lpstr>GR</vt:lpstr>
      <vt:lpstr>HU</vt:lpstr>
      <vt:lpstr>IE</vt:lpstr>
      <vt:lpstr>IT</vt:lpstr>
      <vt:lpstr>NL</vt:lpstr>
      <vt:lpstr>PL</vt:lpstr>
      <vt:lpstr>ES</vt:lpstr>
      <vt:lpstr>SE</vt:lpstr>
      <vt:lpstr>UK</vt:lpstr>
      <vt:lpstr>NZ</vt:lpstr>
      <vt:lpstr>NO</vt:lpstr>
      <vt:lpstr>Wild</vt:lpstr>
      <vt:lpstr>Mortality</vt:lpstr>
      <vt:lpstr>Disease</vt:lpstr>
      <vt:lpstr>Slaughter</vt:lpstr>
      <vt:lpstr>Space</vt:lpstr>
      <vt:lpstr>No affected</vt:lpstr>
      <vt:lpstr>Ability</vt:lpstr>
      <vt:lpstr>Life duration</vt:lpstr>
      <vt:lpstr>Space cattle</vt:lpstr>
      <vt:lpstr>Space horse</vt:lpstr>
      <vt:lpstr>Space lamb</vt:lpstr>
      <vt:lpstr>Space pig</vt:lpstr>
      <vt:lpstr>Space poultry</vt:lpstr>
      <vt:lpstr>Space rabbit</vt:lpstr>
      <vt:lpstr>Space salmon</vt:lpstr>
      <vt:lpstr>Fig.1</vt:lpstr>
      <vt:lpstr>Fig. 2a</vt:lpstr>
      <vt:lpstr>Fig. 2b</vt:lpstr>
      <vt:lpstr>Fig. 2c</vt:lpstr>
      <vt:lpstr>Fig. 3</vt:lpstr>
      <vt:lpstr>GAMMALT--&gt;</vt:lpstr>
      <vt:lpstr>Pasture</vt:lpstr>
      <vt:lpstr>Mortality pigs</vt:lpstr>
      <vt:lpstr>Ability OLD</vt:lpstr>
      <vt:lpstr>Europe Utopia</vt:lpstr>
      <vt:lpstr>Slaughter_OLD</vt:lpstr>
      <vt:lpstr>Animal welfare index</vt:lpstr>
      <vt:lpstr>Ingrids tabell</vt:lpstr>
      <vt:lpstr>Prel, EAAP</vt:lpstr>
      <vt:lpstr>Wild game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2022-04-26T11:38:16Z</dcterms:created>
  <dcterms:modified xsi:type="dcterms:W3CDTF">2024-11-14T11:43:34Z</dcterms:modified>
  <cp:category/>
  <cp:contentStatus/>
</cp:coreProperties>
</file>