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slotta\Documents\Planeat\"/>
    </mc:Choice>
  </mc:AlternateContent>
  <bookViews>
    <workbookView xWindow="0" yWindow="0" windowWidth="26730" windowHeight="11475"/>
  </bookViews>
  <sheets>
    <sheet name="planeat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5" i="2" l="1"/>
  <c r="N6" i="2"/>
  <c r="O6" i="2" s="1"/>
  <c r="N7" i="2"/>
  <c r="O7" i="2" s="1"/>
  <c r="Q7" i="2" s="1"/>
  <c r="N8" i="2"/>
  <c r="N9" i="2"/>
  <c r="N10" i="2"/>
  <c r="O10" i="2" s="1"/>
  <c r="Q10" i="2" s="1"/>
  <c r="N11" i="2"/>
  <c r="N12" i="2"/>
  <c r="N13" i="2"/>
  <c r="N14" i="2"/>
  <c r="N15" i="2"/>
  <c r="O15" i="2" s="1"/>
  <c r="Q15" i="2" s="1"/>
  <c r="N16" i="2"/>
  <c r="N4" i="2"/>
  <c r="O5" i="2"/>
  <c r="O8" i="2"/>
  <c r="Q8" i="2" s="1"/>
  <c r="O13" i="2"/>
  <c r="Q13" i="2" s="1"/>
  <c r="O14" i="2"/>
  <c r="Q14" i="2" s="1"/>
  <c r="O16" i="2"/>
  <c r="Q16" i="2" s="1"/>
  <c r="O9" i="2"/>
  <c r="Q9" i="2" s="1"/>
  <c r="O11" i="2"/>
  <c r="Q11" i="2" s="1"/>
  <c r="O12" i="2"/>
  <c r="Q12" i="2" s="1"/>
  <c r="D12" i="2"/>
  <c r="C12" i="2"/>
  <c r="G17" i="2"/>
  <c r="H8" i="2" s="1"/>
  <c r="C14" i="2"/>
  <c r="D14" i="2" s="1"/>
  <c r="E14" i="2" s="1"/>
  <c r="C5" i="2"/>
  <c r="D5" i="2" s="1"/>
  <c r="C6" i="2"/>
  <c r="C7" i="2"/>
  <c r="E7" i="2" s="1"/>
  <c r="C8" i="2"/>
  <c r="E8" i="2" s="1"/>
  <c r="C9" i="2"/>
  <c r="E9" i="2" s="1"/>
  <c r="C13" i="2"/>
  <c r="E13" i="2" s="1"/>
  <c r="C11" i="2"/>
  <c r="E11" i="2" s="1"/>
  <c r="C10" i="2"/>
  <c r="E10" i="2" s="1"/>
  <c r="C15" i="2"/>
  <c r="C16" i="2"/>
  <c r="E16" i="2" s="1"/>
  <c r="C4" i="2"/>
  <c r="E4" i="2" s="1"/>
  <c r="H6" i="2" l="1"/>
  <c r="H5" i="2"/>
  <c r="P5" i="2" s="1"/>
  <c r="Q5" i="2" s="1"/>
  <c r="E12" i="2"/>
  <c r="E5" i="2"/>
  <c r="E6" i="2" s="1"/>
  <c r="H7" i="2"/>
  <c r="H10" i="2"/>
  <c r="H15" i="2"/>
  <c r="H4" i="2"/>
  <c r="O4" i="2" s="1"/>
  <c r="Q4" i="2" s="1"/>
  <c r="H14" i="2"/>
  <c r="H13" i="2"/>
  <c r="H9" i="2"/>
  <c r="H12" i="2"/>
  <c r="H11" i="2"/>
  <c r="H16" i="2"/>
</calcChain>
</file>

<file path=xl/sharedStrings.xml><?xml version="1.0" encoding="utf-8"?>
<sst xmlns="http://schemas.openxmlformats.org/spreadsheetml/2006/main" count="78" uniqueCount="59">
  <si>
    <t>Shrimp</t>
  </si>
  <si>
    <t xml:space="preserve">Chicken </t>
  </si>
  <si>
    <t>Pig</t>
  </si>
  <si>
    <t>number animals involved per kg</t>
  </si>
  <si>
    <t>fish, aqua</t>
  </si>
  <si>
    <t>fish, wild</t>
  </si>
  <si>
    <t>egg</t>
  </si>
  <si>
    <t>sheep</t>
  </si>
  <si>
    <t>Bluemussels</t>
  </si>
  <si>
    <t>egg, hens</t>
  </si>
  <si>
    <t>egg, male chickens</t>
  </si>
  <si>
    <t xml:space="preserve">number of animals involved for total pop </t>
  </si>
  <si>
    <t>diary cows milk</t>
  </si>
  <si>
    <t>ta bort antal mjölkkor fr beef</t>
  </si>
  <si>
    <t xml:space="preserve">beef </t>
  </si>
  <si>
    <t>tot kg consumed per  year in Sweden</t>
  </si>
  <si>
    <t>honey</t>
  </si>
  <si>
    <t>inga extra kor för grädde smör, men ost?</t>
  </si>
  <si>
    <t>bin lever 2 mån, 5% av bisamhällen vinterdödlighet</t>
  </si>
  <si>
    <t>beef 1 eller 2 år vid slakt</t>
  </si>
  <si>
    <t>barren env (ratio of animals)</t>
  </si>
  <si>
    <t>mastit</t>
  </si>
  <si>
    <t xml:space="preserve">Diseases, indicator </t>
  </si>
  <si>
    <t>no</t>
  </si>
  <si>
    <t>winterloss</t>
  </si>
  <si>
    <t>diarrhea</t>
  </si>
  <si>
    <t>lung infect</t>
  </si>
  <si>
    <t>vet ej</t>
  </si>
  <si>
    <t>feet health</t>
  </si>
  <si>
    <t>osteoporos</t>
  </si>
  <si>
    <t>laxlus?</t>
  </si>
  <si>
    <t>Between 11 minutes and 1 hour = 0.5</t>
  </si>
  <si>
    <t>Less than 11minutes = 0.1</t>
  </si>
  <si>
    <t>More than 8 hours = 2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</si>
  <si>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Times New Roman"/>
        <family val="1"/>
      </rPr>
      <t>Between 1 and 8 hours = 1</t>
    </r>
  </si>
  <si>
    <t>Average time for slaughter process</t>
  </si>
  <si>
    <t>slaughter duration class (0,01-2)</t>
  </si>
  <si>
    <t xml:space="preserve">Diseases (ratio of animals) </t>
  </si>
  <si>
    <t xml:space="preserve">Mortality (ratio of animals) </t>
  </si>
  <si>
    <t>animal welfare index per kg</t>
  </si>
  <si>
    <t>ability to perceive handling (fr 0 to 1)</t>
  </si>
  <si>
    <t>animal welfare in prod system</t>
  </si>
  <si>
    <t>Example with current consumption, assuming all animal production was in Sweden. Higher value is worse</t>
  </si>
  <si>
    <t>animal welfare judgement of production system</t>
  </si>
  <si>
    <t>Organic production system</t>
  </si>
  <si>
    <t>Wild animal</t>
  </si>
  <si>
    <t>On pasture more than 40% of total life time</t>
  </si>
  <si>
    <t>Not barren env if either of these:</t>
  </si>
  <si>
    <t>"No time" = 0.01</t>
  </si>
  <si>
    <t>animal welfare index per diet</t>
  </si>
  <si>
    <t>x 2</t>
  </si>
  <si>
    <t>x 1</t>
  </si>
  <si>
    <t>kvigan ingår i ko-liv</t>
  </si>
  <si>
    <t>moral value  Scherer</t>
  </si>
  <si>
    <t>godtyckligt</t>
  </si>
  <si>
    <t>summerat</t>
  </si>
  <si>
    <t>multiplic.</t>
  </si>
  <si>
    <t xml:space="preserve">kg consumed per capita and year </t>
  </si>
  <si>
    <t xml:space="preserve">Game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</si>
</sst>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0.000"/>
  </numFmts>
  <fonts count="8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2"/>
      <color theme="1"/>
      <name val="Times New Roman"/>
      <family val="1"/>
    </font>
    <font>
      <sz val="7"/>
      <color theme="1"/>
      <name val="Times New Roman"/>
      <family val="1"/>
    </font>
    <font>
      <sz val="11"/>
      <color rgb="FFC0000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0" fillId="0" borderId="1" xfId="0" applyBorder="1"/>
    <xf numFmtId="0" fontId="0" fillId="0" borderId="0" xfId="0" applyFill="1" applyBorder="1"/>
    <xf numFmtId="0" fontId="0" fillId="0" borderId="4" xfId="0" applyBorder="1"/>
    <xf numFmtId="0" fontId="0" fillId="0" borderId="0" xfId="0" applyBorder="1"/>
    <xf numFmtId="0" fontId="0" fillId="0" borderId="0" xfId="0" applyFill="1"/>
    <xf numFmtId="0" fontId="0" fillId="0" borderId="1" xfId="0" applyFill="1" applyBorder="1"/>
    <xf numFmtId="0" fontId="0" fillId="0" borderId="2" xfId="0" applyBorder="1" applyAlignment="1">
      <alignment vertical="top" wrapText="1"/>
    </xf>
    <xf numFmtId="0" fontId="0" fillId="0" borderId="0" xfId="0" applyAlignment="1">
      <alignment vertical="top"/>
    </xf>
    <xf numFmtId="0" fontId="0" fillId="2" borderId="2" xfId="0" applyFill="1" applyBorder="1" applyAlignment="1">
      <alignment vertical="top" wrapText="1"/>
    </xf>
    <xf numFmtId="0" fontId="0" fillId="2" borderId="3" xfId="0" applyFill="1" applyBorder="1" applyAlignment="1">
      <alignment vertical="top" wrapText="1"/>
    </xf>
    <xf numFmtId="0" fontId="0" fillId="2" borderId="1" xfId="0" applyFill="1" applyBorder="1"/>
    <xf numFmtId="0" fontId="0" fillId="2" borderId="2" xfId="0" applyFill="1" applyBorder="1"/>
    <xf numFmtId="0" fontId="0" fillId="2" borderId="5" xfId="0" applyFill="1" applyBorder="1"/>
    <xf numFmtId="0" fontId="0" fillId="0" borderId="0" xfId="0" applyAlignment="1">
      <alignment horizontal="center"/>
    </xf>
    <xf numFmtId="1" fontId="0" fillId="0" borderId="0" xfId="0" applyNumberFormat="1"/>
    <xf numFmtId="0" fontId="0" fillId="0" borderId="0" xfId="0" applyAlignment="1">
      <alignment vertical="top" wrapText="1"/>
    </xf>
    <xf numFmtId="0" fontId="0" fillId="0" borderId="0" xfId="0" applyFill="1" applyBorder="1" applyAlignment="1">
      <alignment vertical="top"/>
    </xf>
    <xf numFmtId="0" fontId="0" fillId="0" borderId="0" xfId="0" applyFill="1" applyBorder="1" applyAlignment="1">
      <alignment horizontal="center" vertical="top"/>
    </xf>
    <xf numFmtId="0" fontId="0" fillId="0" borderId="0" xfId="0" applyAlignment="1">
      <alignment wrapText="1"/>
    </xf>
    <xf numFmtId="0" fontId="0" fillId="2" borderId="6" xfId="0" applyFill="1" applyBorder="1" applyAlignment="1">
      <alignment vertical="top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 wrapText="1"/>
    </xf>
    <xf numFmtId="0" fontId="0" fillId="0" borderId="1" xfId="0" applyBorder="1" applyAlignment="1">
      <alignment wrapText="1"/>
    </xf>
    <xf numFmtId="0" fontId="2" fillId="0" borderId="1" xfId="0" applyFont="1" applyBorder="1"/>
    <xf numFmtId="0" fontId="2" fillId="0" borderId="1" xfId="0" applyFont="1" applyFill="1" applyBorder="1"/>
    <xf numFmtId="0" fontId="2" fillId="0" borderId="0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3" fillId="0" borderId="0" xfId="0" applyFont="1" applyAlignment="1">
      <alignment horizontal="left" vertical="center" indent="5"/>
    </xf>
    <xf numFmtId="0" fontId="0" fillId="3" borderId="0" xfId="0" applyFill="1" applyBorder="1"/>
    <xf numFmtId="0" fontId="0" fillId="4" borderId="2" xfId="0" applyFill="1" applyBorder="1" applyAlignment="1">
      <alignment vertical="top" wrapText="1"/>
    </xf>
    <xf numFmtId="0" fontId="0" fillId="4" borderId="1" xfId="0" applyFill="1" applyBorder="1"/>
    <xf numFmtId="0" fontId="0" fillId="4" borderId="0" xfId="0" applyFill="1" applyBorder="1"/>
    <xf numFmtId="0" fontId="0" fillId="4" borderId="0" xfId="0" applyFill="1"/>
    <xf numFmtId="0" fontId="0" fillId="2" borderId="0" xfId="0" applyFill="1" applyAlignment="1">
      <alignment horizontal="center" wrapText="1"/>
    </xf>
    <xf numFmtId="0" fontId="5" fillId="0" borderId="1" xfId="0" applyFont="1" applyBorder="1"/>
    <xf numFmtId="0" fontId="0" fillId="0" borderId="0" xfId="0" applyBorder="1" applyAlignment="1">
      <alignment vertical="top"/>
    </xf>
    <xf numFmtId="0" fontId="0" fillId="0" borderId="0" xfId="0" applyBorder="1" applyAlignment="1">
      <alignment wrapText="1"/>
    </xf>
    <xf numFmtId="0" fontId="6" fillId="0" borderId="0" xfId="0" applyFont="1"/>
    <xf numFmtId="0" fontId="5" fillId="0" borderId="1" xfId="0" applyFont="1" applyFill="1" applyBorder="1"/>
    <xf numFmtId="0" fontId="0" fillId="0" borderId="1" xfId="0" applyFont="1" applyBorder="1"/>
    <xf numFmtId="3" fontId="0" fillId="0" borderId="1" xfId="0" applyNumberFormat="1" applyFont="1" applyBorder="1"/>
    <xf numFmtId="165" fontId="0" fillId="0" borderId="1" xfId="0" applyNumberFormat="1" applyFont="1" applyBorder="1"/>
    <xf numFmtId="0" fontId="0" fillId="0" borderId="0" xfId="0" applyFont="1" applyBorder="1"/>
    <xf numFmtId="3" fontId="0" fillId="0" borderId="0" xfId="0" applyNumberFormat="1" applyFont="1" applyBorder="1"/>
    <xf numFmtId="0" fontId="0" fillId="0" borderId="0" xfId="0" applyFont="1" applyFill="1" applyBorder="1"/>
    <xf numFmtId="3" fontId="0" fillId="0" borderId="0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Font="1" applyBorder="1" applyAlignment="1">
      <alignment horizontal="center"/>
    </xf>
    <xf numFmtId="2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tabSelected="1" workbookViewId="0">
      <selection activeCell="D24" sqref="D24"/>
    </sheetView>
  </sheetViews>
  <sheetFormatPr defaultRowHeight="15" x14ac:dyDescent="0.25"/>
  <cols>
    <col min="1" max="1" width="23.42578125" customWidth="1"/>
    <col min="2" max="2" width="16" customWidth="1"/>
    <col min="3" max="4" width="18.7109375" customWidth="1"/>
    <col min="5" max="5" width="15.5703125" customWidth="1"/>
    <col min="6" max="6" width="10" bestFit="1" customWidth="1"/>
    <col min="7" max="7" width="10" customWidth="1"/>
    <col min="10" max="10" width="10.42578125" customWidth="1"/>
    <col min="13" max="13" width="12.28515625" customWidth="1"/>
    <col min="14" max="14" width="11.7109375" customWidth="1"/>
    <col min="15" max="15" width="10.85546875" customWidth="1"/>
    <col min="16" max="16" width="9.140625" style="5"/>
    <col min="17" max="17" width="10.5703125" customWidth="1"/>
    <col min="19" max="19" width="12" bestFit="1" customWidth="1"/>
  </cols>
  <sheetData>
    <row r="1" spans="1:20" ht="31.5" customHeight="1" x14ac:dyDescent="0.25">
      <c r="A1" s="22" t="s">
        <v>42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</row>
    <row r="2" spans="1:20" ht="31.5" customHeight="1" x14ac:dyDescent="0.25">
      <c r="A2" s="21"/>
      <c r="B2" s="21"/>
      <c r="C2" s="21"/>
      <c r="D2" s="21"/>
      <c r="E2" s="21"/>
      <c r="F2" s="21"/>
      <c r="G2" s="21"/>
      <c r="H2" s="21"/>
      <c r="I2" s="35" t="s">
        <v>43</v>
      </c>
      <c r="J2" s="35"/>
      <c r="K2" s="35"/>
      <c r="L2" s="35"/>
      <c r="M2" s="35"/>
      <c r="N2" s="21"/>
      <c r="O2" s="21"/>
      <c r="P2" s="21"/>
    </row>
    <row r="3" spans="1:20" s="8" customFormat="1" ht="63" customHeight="1" x14ac:dyDescent="0.25">
      <c r="A3" s="7"/>
      <c r="B3" s="7" t="s">
        <v>57</v>
      </c>
      <c r="C3" s="7" t="s">
        <v>15</v>
      </c>
      <c r="D3" s="7" t="s">
        <v>11</v>
      </c>
      <c r="E3" s="7" t="s">
        <v>3</v>
      </c>
      <c r="F3" s="31" t="s">
        <v>3</v>
      </c>
      <c r="G3" s="7" t="s">
        <v>53</v>
      </c>
      <c r="H3" s="31" t="s">
        <v>40</v>
      </c>
      <c r="I3" s="9" t="s">
        <v>38</v>
      </c>
      <c r="J3" s="9" t="s">
        <v>22</v>
      </c>
      <c r="K3" s="9" t="s">
        <v>37</v>
      </c>
      <c r="L3" s="9" t="s">
        <v>20</v>
      </c>
      <c r="M3" s="20" t="s">
        <v>36</v>
      </c>
      <c r="N3" s="10" t="s">
        <v>41</v>
      </c>
      <c r="O3" s="16" t="s">
        <v>39</v>
      </c>
      <c r="Q3" s="16" t="s">
        <v>49</v>
      </c>
      <c r="R3" s="17"/>
      <c r="S3" s="37"/>
      <c r="T3" s="37"/>
    </row>
    <row r="4" spans="1:20" x14ac:dyDescent="0.25">
      <c r="A4" s="1" t="s">
        <v>1</v>
      </c>
      <c r="B4" s="41">
        <v>12</v>
      </c>
      <c r="C4" s="42">
        <f>B4*10000000</f>
        <v>120000000</v>
      </c>
      <c r="D4" s="42">
        <v>120000000</v>
      </c>
      <c r="E4" s="43">
        <f>D4/C4</f>
        <v>1</v>
      </c>
      <c r="F4" s="32">
        <v>1</v>
      </c>
      <c r="G4" s="24">
        <v>3.8E-3</v>
      </c>
      <c r="H4" s="32">
        <f>G4/$G$17</f>
        <v>2.2247671737242816E-2</v>
      </c>
      <c r="I4" s="11">
        <v>0.05</v>
      </c>
      <c r="J4" s="11" t="s">
        <v>28</v>
      </c>
      <c r="K4" s="11">
        <v>0.03</v>
      </c>
      <c r="L4" s="11">
        <v>0.98</v>
      </c>
      <c r="M4" s="11">
        <v>1</v>
      </c>
      <c r="N4" s="33">
        <f>(I4*2)+(K4*2)+L4+M4</f>
        <v>2.1399999999999997</v>
      </c>
      <c r="O4" s="14">
        <f>(F4*H4*N4)*100</f>
        <v>4.7610017517699621</v>
      </c>
      <c r="P4" s="4"/>
      <c r="Q4" s="50">
        <f>B4*O4</f>
        <v>57.132021021239545</v>
      </c>
      <c r="R4" s="4" t="s">
        <v>1</v>
      </c>
      <c r="S4" s="4"/>
      <c r="T4" s="4"/>
    </row>
    <row r="5" spans="1:20" x14ac:dyDescent="0.25">
      <c r="A5" s="1" t="s">
        <v>9</v>
      </c>
      <c r="B5" s="41">
        <v>11</v>
      </c>
      <c r="C5" s="42">
        <f t="shared" ref="C5:C16" si="0">B5*10000000</f>
        <v>110000000</v>
      </c>
      <c r="D5" s="42">
        <f>C5/22</f>
        <v>5000000</v>
      </c>
      <c r="E5" s="43">
        <f>D5/C5</f>
        <v>4.5454545454545456E-2</v>
      </c>
      <c r="F5" s="32">
        <v>0.05</v>
      </c>
      <c r="G5" s="24">
        <v>3.8E-3</v>
      </c>
      <c r="H5" s="32">
        <f>G5/$G$17</f>
        <v>2.2247671737242816E-2</v>
      </c>
      <c r="I5" s="11">
        <v>0.05</v>
      </c>
      <c r="J5" s="11" t="s">
        <v>29</v>
      </c>
      <c r="K5" s="27">
        <v>0.15</v>
      </c>
      <c r="L5" s="11">
        <v>0.94</v>
      </c>
      <c r="M5" s="11">
        <v>1</v>
      </c>
      <c r="N5" s="33">
        <f t="shared" ref="N5:N16" si="1">(I5*2)+(K5*2)+L5+M5</f>
        <v>2.34</v>
      </c>
      <c r="O5" s="14">
        <f t="shared" ref="O5:O16" si="2">(F5*H5*N5)*100</f>
        <v>0.26029775932574095</v>
      </c>
      <c r="P5" s="30">
        <f>O5+O6</f>
        <v>0.27142159519436238</v>
      </c>
      <c r="Q5" s="50">
        <f>B5*P5</f>
        <v>2.9856375471379861</v>
      </c>
      <c r="R5" s="4" t="s">
        <v>6</v>
      </c>
      <c r="S5" s="4"/>
      <c r="T5" s="4"/>
    </row>
    <row r="6" spans="1:20" x14ac:dyDescent="0.25">
      <c r="A6" s="1" t="s">
        <v>10</v>
      </c>
      <c r="B6" s="41"/>
      <c r="C6" s="42">
        <f t="shared" si="0"/>
        <v>0</v>
      </c>
      <c r="D6" s="42">
        <v>10000000</v>
      </c>
      <c r="E6" s="43">
        <f>E5</f>
        <v>4.5454545454545456E-2</v>
      </c>
      <c r="F6" s="32">
        <v>0.05</v>
      </c>
      <c r="G6" s="36">
        <v>3.8E-3</v>
      </c>
      <c r="H6" s="32">
        <f>G6/$G$17</f>
        <v>2.2247671737242816E-2</v>
      </c>
      <c r="I6" s="11">
        <v>0</v>
      </c>
      <c r="J6" s="11" t="s">
        <v>23</v>
      </c>
      <c r="K6" s="11">
        <v>0</v>
      </c>
      <c r="L6" s="11">
        <v>0</v>
      </c>
      <c r="M6" s="11">
        <v>0.1</v>
      </c>
      <c r="N6" s="33">
        <f t="shared" si="1"/>
        <v>0.1</v>
      </c>
      <c r="O6" s="14">
        <f t="shared" si="2"/>
        <v>1.1123835868621409E-2</v>
      </c>
      <c r="P6" s="4"/>
      <c r="Q6" s="50"/>
      <c r="R6" s="4"/>
      <c r="S6" s="4"/>
      <c r="T6" s="4"/>
    </row>
    <row r="7" spans="1:20" x14ac:dyDescent="0.25">
      <c r="A7" s="1" t="s">
        <v>2</v>
      </c>
      <c r="B7" s="41">
        <v>20</v>
      </c>
      <c r="C7" s="42">
        <f t="shared" si="0"/>
        <v>200000000</v>
      </c>
      <c r="D7" s="42">
        <v>4000000</v>
      </c>
      <c r="E7" s="43">
        <f t="shared" ref="E7:E16" si="3">D7/C7</f>
        <v>0.02</v>
      </c>
      <c r="F7" s="32">
        <v>0.02</v>
      </c>
      <c r="G7" s="24">
        <v>2.7E-2</v>
      </c>
      <c r="H7" s="32">
        <f>G7/$G$17</f>
        <v>0.15807556234356737</v>
      </c>
      <c r="I7" s="11">
        <v>0.2</v>
      </c>
      <c r="J7" s="11" t="s">
        <v>26</v>
      </c>
      <c r="K7" s="11">
        <v>0.05</v>
      </c>
      <c r="L7" s="11">
        <v>0.97</v>
      </c>
      <c r="M7" s="11">
        <v>1</v>
      </c>
      <c r="N7" s="33">
        <f t="shared" si="1"/>
        <v>2.4699999999999998</v>
      </c>
      <c r="O7" s="14">
        <f t="shared" si="2"/>
        <v>0.78089327797722274</v>
      </c>
      <c r="P7" s="4"/>
      <c r="Q7" s="50">
        <f t="shared" ref="Q5:Q16" si="4">B7*O7</f>
        <v>15.617865559544455</v>
      </c>
      <c r="R7" s="4" t="s">
        <v>2</v>
      </c>
      <c r="S7" s="4"/>
      <c r="T7" s="4"/>
    </row>
    <row r="8" spans="1:20" x14ac:dyDescent="0.25">
      <c r="A8" s="1" t="s">
        <v>7</v>
      </c>
      <c r="B8" s="44">
        <v>2</v>
      </c>
      <c r="C8" s="42">
        <f t="shared" si="0"/>
        <v>20000000</v>
      </c>
      <c r="D8" s="45">
        <v>400000</v>
      </c>
      <c r="E8" s="43">
        <f t="shared" si="3"/>
        <v>0.02</v>
      </c>
      <c r="F8" s="32">
        <v>0.02</v>
      </c>
      <c r="G8" s="40">
        <v>0.03</v>
      </c>
      <c r="H8" s="32">
        <f>G8/$G$17</f>
        <v>0.17563951371507486</v>
      </c>
      <c r="I8" s="11">
        <v>0.08</v>
      </c>
      <c r="J8" s="27" t="s">
        <v>27</v>
      </c>
      <c r="K8" s="27">
        <v>0.05</v>
      </c>
      <c r="L8" s="11">
        <v>0</v>
      </c>
      <c r="M8" s="11">
        <v>1</v>
      </c>
      <c r="N8" s="33">
        <f t="shared" si="1"/>
        <v>1.26</v>
      </c>
      <c r="O8" s="14">
        <f t="shared" si="2"/>
        <v>0.44261157456198863</v>
      </c>
      <c r="P8" s="4"/>
      <c r="Q8" s="50">
        <f t="shared" si="4"/>
        <v>0.88522314912397726</v>
      </c>
      <c r="R8" s="4" t="s">
        <v>7</v>
      </c>
      <c r="S8" s="4"/>
      <c r="T8" s="4"/>
    </row>
    <row r="9" spans="1:20" x14ac:dyDescent="0.25">
      <c r="A9" s="1" t="s">
        <v>12</v>
      </c>
      <c r="B9" s="44">
        <v>110</v>
      </c>
      <c r="C9" s="42">
        <f t="shared" si="0"/>
        <v>1100000000</v>
      </c>
      <c r="D9" s="45">
        <v>600000</v>
      </c>
      <c r="E9" s="43">
        <f t="shared" si="3"/>
        <v>5.4545454545454548E-4</v>
      </c>
      <c r="F9" s="32">
        <v>1E-3</v>
      </c>
      <c r="G9" s="25">
        <v>3.5000000000000003E-2</v>
      </c>
      <c r="H9" s="32">
        <f>G9/$G$17</f>
        <v>0.20491276600092068</v>
      </c>
      <c r="I9" s="11">
        <v>0.04</v>
      </c>
      <c r="J9" s="11" t="s">
        <v>21</v>
      </c>
      <c r="K9" s="11">
        <v>0.08</v>
      </c>
      <c r="L9" s="11">
        <v>0</v>
      </c>
      <c r="M9" s="11">
        <v>1</v>
      </c>
      <c r="N9" s="33">
        <f t="shared" si="1"/>
        <v>1.24</v>
      </c>
      <c r="O9" s="14">
        <f t="shared" si="2"/>
        <v>2.5409182984114161E-2</v>
      </c>
      <c r="P9" s="4"/>
      <c r="Q9" s="50">
        <f t="shared" si="4"/>
        <v>2.7950101282525575</v>
      </c>
      <c r="R9" s="4" t="s">
        <v>12</v>
      </c>
      <c r="S9" s="4"/>
      <c r="T9" s="4"/>
    </row>
    <row r="10" spans="1:20" x14ac:dyDescent="0.25">
      <c r="A10" s="23" t="s">
        <v>14</v>
      </c>
      <c r="B10" s="41">
        <v>18</v>
      </c>
      <c r="C10" s="42">
        <f>B10*10000000</f>
        <v>180000000</v>
      </c>
      <c r="D10" s="42">
        <v>500000</v>
      </c>
      <c r="E10" s="43">
        <f>D10/C10</f>
        <v>2.7777777777777779E-3</v>
      </c>
      <c r="F10" s="32">
        <v>3.0000000000000001E-3</v>
      </c>
      <c r="G10" s="24">
        <v>3.5000000000000003E-2</v>
      </c>
      <c r="H10" s="32">
        <f>G10/$G$17</f>
        <v>0.20491276600092068</v>
      </c>
      <c r="I10" s="11">
        <v>0.1</v>
      </c>
      <c r="J10" s="11" t="s">
        <v>25</v>
      </c>
      <c r="K10" s="11">
        <v>0.1</v>
      </c>
      <c r="L10" s="11">
        <v>0.3</v>
      </c>
      <c r="M10" s="11">
        <v>1</v>
      </c>
      <c r="N10" s="33">
        <f t="shared" si="1"/>
        <v>1.7</v>
      </c>
      <c r="O10" s="14">
        <f t="shared" si="2"/>
        <v>0.10450551066046954</v>
      </c>
      <c r="P10" s="4"/>
      <c r="Q10" s="50">
        <f t="shared" si="4"/>
        <v>1.8810991918884516</v>
      </c>
      <c r="R10" s="38" t="s">
        <v>14</v>
      </c>
      <c r="S10" s="4"/>
      <c r="T10" s="4"/>
    </row>
    <row r="11" spans="1:20" x14ac:dyDescent="0.25">
      <c r="A11" s="1" t="s">
        <v>58</v>
      </c>
      <c r="B11" s="41">
        <v>2</v>
      </c>
      <c r="C11" s="42">
        <f>B11*10000000</f>
        <v>20000000</v>
      </c>
      <c r="D11" s="42">
        <v>400000</v>
      </c>
      <c r="E11" s="43">
        <f>D11/C11</f>
        <v>0.02</v>
      </c>
      <c r="F11" s="32">
        <v>0.02</v>
      </c>
      <c r="G11" s="36">
        <v>0.03</v>
      </c>
      <c r="H11" s="32">
        <f>G11/$G$17</f>
        <v>0.17563951371507486</v>
      </c>
      <c r="I11" s="11">
        <v>0</v>
      </c>
      <c r="J11" s="11" t="s">
        <v>23</v>
      </c>
      <c r="K11" s="11">
        <v>0</v>
      </c>
      <c r="L11" s="11">
        <v>0</v>
      </c>
      <c r="M11" s="11">
        <v>0.01</v>
      </c>
      <c r="N11" s="33">
        <f t="shared" si="1"/>
        <v>0.01</v>
      </c>
      <c r="O11" s="14">
        <f t="shared" si="2"/>
        <v>3.5127902743014973E-3</v>
      </c>
      <c r="P11" s="4"/>
      <c r="Q11" s="50">
        <f t="shared" si="4"/>
        <v>7.0255805486029946E-3</v>
      </c>
      <c r="R11" s="4" t="s">
        <v>58</v>
      </c>
      <c r="S11" s="4"/>
      <c r="T11" s="4"/>
    </row>
    <row r="12" spans="1:20" x14ac:dyDescent="0.25">
      <c r="A12" s="23" t="s">
        <v>16</v>
      </c>
      <c r="B12" s="44">
        <v>0.7</v>
      </c>
      <c r="C12" s="42">
        <f>B12*10000000</f>
        <v>7000000</v>
      </c>
      <c r="D12" s="45">
        <f>14000000000*6</f>
        <v>84000000000</v>
      </c>
      <c r="E12" s="43">
        <f>D12/C12</f>
        <v>12000</v>
      </c>
      <c r="F12" s="33">
        <v>12000</v>
      </c>
      <c r="G12" s="24">
        <v>2.9000000000000002E-6</v>
      </c>
      <c r="H12" s="32">
        <f>G12/$G$17</f>
        <v>1.6978486325790571E-5</v>
      </c>
      <c r="I12" s="11">
        <v>0.05</v>
      </c>
      <c r="J12" s="11" t="s">
        <v>24</v>
      </c>
      <c r="K12" s="11">
        <v>0</v>
      </c>
      <c r="L12" s="11">
        <v>0</v>
      </c>
      <c r="M12" s="27">
        <v>0</v>
      </c>
      <c r="N12" s="33">
        <f t="shared" si="1"/>
        <v>0.1</v>
      </c>
      <c r="O12" s="14">
        <f t="shared" si="2"/>
        <v>2.0374183590948687</v>
      </c>
      <c r="P12" s="4"/>
      <c r="Q12" s="50">
        <f t="shared" si="4"/>
        <v>1.4261928513664079</v>
      </c>
      <c r="R12" s="38" t="s">
        <v>16</v>
      </c>
      <c r="S12" s="4"/>
      <c r="T12" s="4"/>
    </row>
    <row r="13" spans="1:20" x14ac:dyDescent="0.25">
      <c r="A13" s="1" t="s">
        <v>0</v>
      </c>
      <c r="B13" s="46">
        <v>6</v>
      </c>
      <c r="C13" s="42">
        <f t="shared" si="0"/>
        <v>60000000</v>
      </c>
      <c r="D13" s="47">
        <v>2500000000</v>
      </c>
      <c r="E13" s="43">
        <f t="shared" si="3"/>
        <v>41.666666666666664</v>
      </c>
      <c r="F13" s="33">
        <v>40</v>
      </c>
      <c r="G13" s="25">
        <v>1.1999999999999999E-6</v>
      </c>
      <c r="H13" s="32">
        <f>G13/$G$17</f>
        <v>7.0255805486029937E-6</v>
      </c>
      <c r="I13" s="11">
        <v>0</v>
      </c>
      <c r="J13" s="11" t="s">
        <v>23</v>
      </c>
      <c r="K13" s="11">
        <v>0</v>
      </c>
      <c r="L13" s="11">
        <v>0</v>
      </c>
      <c r="M13" s="27">
        <v>0.5</v>
      </c>
      <c r="N13" s="33">
        <f t="shared" si="1"/>
        <v>0.5</v>
      </c>
      <c r="O13" s="14">
        <f t="shared" si="2"/>
        <v>1.4051161097205988E-2</v>
      </c>
      <c r="P13" s="4"/>
      <c r="Q13" s="50">
        <f t="shared" si="4"/>
        <v>8.4306966583235929E-2</v>
      </c>
      <c r="R13" s="4" t="s">
        <v>0</v>
      </c>
      <c r="S13" s="4"/>
      <c r="T13" s="4"/>
    </row>
    <row r="14" spans="1:20" x14ac:dyDescent="0.25">
      <c r="A14" s="1" t="s">
        <v>8</v>
      </c>
      <c r="B14" s="46">
        <v>1</v>
      </c>
      <c r="C14" s="42">
        <f t="shared" si="0"/>
        <v>10000000</v>
      </c>
      <c r="D14" s="45">
        <f>C14/0.03</f>
        <v>333333333.33333337</v>
      </c>
      <c r="E14" s="43">
        <f t="shared" si="3"/>
        <v>33.333333333333336</v>
      </c>
      <c r="F14" s="33">
        <v>30</v>
      </c>
      <c r="G14" s="40">
        <v>2.8999999999999998E-7</v>
      </c>
      <c r="H14" s="32">
        <f>G14/$G$17</f>
        <v>1.6978486325790568E-6</v>
      </c>
      <c r="I14" s="11">
        <v>0</v>
      </c>
      <c r="J14" s="11" t="s">
        <v>23</v>
      </c>
      <c r="K14" s="11">
        <v>0</v>
      </c>
      <c r="L14" s="11">
        <v>0</v>
      </c>
      <c r="M14" s="11">
        <v>2</v>
      </c>
      <c r="N14" s="33">
        <f t="shared" si="1"/>
        <v>2</v>
      </c>
      <c r="O14" s="14">
        <f t="shared" si="2"/>
        <v>1.0187091795474341E-2</v>
      </c>
      <c r="P14" s="4"/>
      <c r="Q14" s="50">
        <f t="shared" si="4"/>
        <v>1.0187091795474341E-2</v>
      </c>
      <c r="R14" s="4" t="s">
        <v>8</v>
      </c>
      <c r="S14" s="4"/>
      <c r="T14" s="4"/>
    </row>
    <row r="15" spans="1:20" x14ac:dyDescent="0.25">
      <c r="A15" s="1" t="s">
        <v>5</v>
      </c>
      <c r="B15" s="46">
        <v>10</v>
      </c>
      <c r="C15" s="42">
        <f t="shared" si="0"/>
        <v>100000000</v>
      </c>
      <c r="D15" s="47">
        <v>33000000</v>
      </c>
      <c r="E15" s="43">
        <v>0.3</v>
      </c>
      <c r="F15" s="33">
        <v>0.3</v>
      </c>
      <c r="G15" s="25">
        <v>1.1999999999999999E-3</v>
      </c>
      <c r="H15" s="32">
        <f>G15/$G$17</f>
        <v>7.0255805486029938E-3</v>
      </c>
      <c r="I15" s="11">
        <v>0</v>
      </c>
      <c r="J15" s="11" t="s">
        <v>23</v>
      </c>
      <c r="K15" s="11">
        <v>0</v>
      </c>
      <c r="L15" s="11">
        <v>0</v>
      </c>
      <c r="M15" s="11">
        <v>0.5</v>
      </c>
      <c r="N15" s="33">
        <f t="shared" si="1"/>
        <v>0.5</v>
      </c>
      <c r="O15" s="14">
        <f t="shared" si="2"/>
        <v>0.10538370822904489</v>
      </c>
      <c r="P15" s="4"/>
      <c r="Q15" s="50">
        <f t="shared" si="4"/>
        <v>1.0538370822904488</v>
      </c>
      <c r="R15" s="4" t="s">
        <v>5</v>
      </c>
      <c r="S15" s="4"/>
      <c r="T15" s="4"/>
    </row>
    <row r="16" spans="1:20" x14ac:dyDescent="0.25">
      <c r="A16" s="1" t="s">
        <v>4</v>
      </c>
      <c r="B16" s="46">
        <v>11</v>
      </c>
      <c r="C16" s="42">
        <f t="shared" si="0"/>
        <v>110000000</v>
      </c>
      <c r="D16" s="47">
        <v>33000000</v>
      </c>
      <c r="E16" s="43">
        <f t="shared" si="3"/>
        <v>0.3</v>
      </c>
      <c r="F16" s="34">
        <v>0.3</v>
      </c>
      <c r="G16" s="25">
        <v>1.1999999999999999E-3</v>
      </c>
      <c r="H16" s="32">
        <f>G16/$G$17</f>
        <v>7.0255805486029938E-3</v>
      </c>
      <c r="I16" s="12">
        <v>0.1</v>
      </c>
      <c r="J16" s="28" t="s">
        <v>30</v>
      </c>
      <c r="K16" s="28">
        <v>0.1</v>
      </c>
      <c r="L16" s="12">
        <v>0.99</v>
      </c>
      <c r="M16" s="13">
        <v>0.1</v>
      </c>
      <c r="N16" s="33">
        <f t="shared" si="1"/>
        <v>1.4900000000000002</v>
      </c>
      <c r="O16" s="14">
        <f t="shared" si="2"/>
        <v>0.31404345052255384</v>
      </c>
      <c r="P16" s="4"/>
      <c r="Q16" s="50">
        <f t="shared" si="4"/>
        <v>3.454477955748092</v>
      </c>
      <c r="R16" s="4" t="s">
        <v>4</v>
      </c>
      <c r="S16" s="4"/>
      <c r="T16" s="4"/>
    </row>
    <row r="17" spans="1:21" x14ac:dyDescent="0.25">
      <c r="A17" s="3"/>
      <c r="B17" s="4"/>
      <c r="C17" s="4"/>
      <c r="D17" s="4"/>
      <c r="E17" s="4"/>
      <c r="F17" s="4"/>
      <c r="G17" s="26">
        <f>SUM(G4:G16)</f>
        <v>0.17080439000000003</v>
      </c>
      <c r="H17" s="4"/>
      <c r="I17" s="48" t="s">
        <v>50</v>
      </c>
      <c r="J17" s="14"/>
      <c r="K17" s="48" t="s">
        <v>50</v>
      </c>
      <c r="L17" s="48" t="s">
        <v>51</v>
      </c>
      <c r="M17" s="48" t="s">
        <v>51</v>
      </c>
      <c r="N17" s="14" t="s">
        <v>55</v>
      </c>
      <c r="O17" s="49" t="s">
        <v>56</v>
      </c>
      <c r="P17" s="2"/>
      <c r="T17" s="6"/>
    </row>
    <row r="18" spans="1:21" x14ac:dyDescent="0.25">
      <c r="A18" s="6" t="s">
        <v>17</v>
      </c>
      <c r="I18" s="48" t="s">
        <v>54</v>
      </c>
      <c r="J18" s="14"/>
      <c r="K18" s="48" t="s">
        <v>54</v>
      </c>
      <c r="L18" s="14"/>
      <c r="M18" s="14"/>
      <c r="N18" s="14"/>
      <c r="O18" s="15"/>
      <c r="T18" s="18"/>
    </row>
    <row r="19" spans="1:21" x14ac:dyDescent="0.25">
      <c r="A19" t="s">
        <v>52</v>
      </c>
      <c r="T19" s="18"/>
      <c r="U19" s="2"/>
    </row>
    <row r="20" spans="1:21" ht="30" x14ac:dyDescent="0.25">
      <c r="A20" s="19" t="s">
        <v>13</v>
      </c>
      <c r="E20" s="39" t="s">
        <v>35</v>
      </c>
      <c r="F20" s="39"/>
      <c r="G20" s="39"/>
      <c r="J20" s="39" t="s">
        <v>47</v>
      </c>
      <c r="T20" s="18"/>
      <c r="U20" s="2"/>
    </row>
    <row r="21" spans="1:21" ht="15.75" x14ac:dyDescent="0.25">
      <c r="A21" t="s">
        <v>19</v>
      </c>
      <c r="E21" s="29" t="s">
        <v>33</v>
      </c>
      <c r="J21" t="s">
        <v>44</v>
      </c>
      <c r="T21" s="18"/>
      <c r="U21" s="2"/>
    </row>
    <row r="22" spans="1:21" ht="15.75" x14ac:dyDescent="0.25">
      <c r="A22" t="s">
        <v>18</v>
      </c>
      <c r="E22" s="29" t="s">
        <v>34</v>
      </c>
      <c r="J22" t="s">
        <v>46</v>
      </c>
      <c r="T22" s="2"/>
    </row>
    <row r="23" spans="1:21" ht="15.75" x14ac:dyDescent="0.25">
      <c r="E23" s="29" t="s">
        <v>31</v>
      </c>
      <c r="J23" t="s">
        <v>45</v>
      </c>
      <c r="T23" s="2"/>
    </row>
    <row r="24" spans="1:21" ht="15.75" x14ac:dyDescent="0.25">
      <c r="E24" s="29" t="s">
        <v>32</v>
      </c>
      <c r="T24" s="2"/>
    </row>
    <row r="25" spans="1:21" ht="15.75" x14ac:dyDescent="0.25">
      <c r="E25" s="29" t="s">
        <v>48</v>
      </c>
    </row>
  </sheetData>
  <mergeCells count="2">
    <mergeCell ref="A1:P1"/>
    <mergeCell ref="I2:M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planeat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Lotta Rydhmer</dc:creator>
  <cp:lastModifiedBy>Lotta Rydhmer</cp:lastModifiedBy>
  <dcterms:created xsi:type="dcterms:W3CDTF">2022-04-26T11:38:16Z</dcterms:created>
  <dcterms:modified xsi:type="dcterms:W3CDTF">2023-02-24T15:20:10Z</dcterms:modified>
</cp:coreProperties>
</file>