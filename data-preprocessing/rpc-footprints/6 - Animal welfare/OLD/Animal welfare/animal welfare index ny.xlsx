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31"/>
  <workbookPr/>
  <mc:AlternateContent xmlns:mc="http://schemas.openxmlformats.org/markup-compatibility/2006">
    <mc:Choice Requires="x15">
      <x15ac:absPath xmlns:x15ac="http://schemas.microsoft.com/office/spreadsheetml/2010/11/ac" url="C:\Users\fslotta\Documents\Planeat\"/>
    </mc:Choice>
  </mc:AlternateContent>
  <xr:revisionPtr revIDLastSave="0" documentId="11_F3BE62D1F81AFD2F0DC5A351A180229357781533" xr6:coauthVersionLast="47" xr6:coauthVersionMax="47" xr10:uidLastSave="{00000000-0000-0000-0000-000000000000}"/>
  <bookViews>
    <workbookView xWindow="0" yWindow="0" windowWidth="26730" windowHeight="11475" firstSheet="1" activeTab="1" xr2:uid="{00000000-000D-0000-FFFF-FFFF00000000}"/>
  </bookViews>
  <sheets>
    <sheet name=" gammal" sheetId="2" r:id="rId1"/>
    <sheet name="våra vikt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5" l="1"/>
  <c r="J16" i="5" s="1"/>
  <c r="K16" i="5" s="1"/>
  <c r="N16" i="5" s="1"/>
  <c r="I15" i="5"/>
  <c r="J15" i="5" s="1"/>
  <c r="K15" i="5" s="1"/>
  <c r="N15" i="5" s="1"/>
  <c r="I14" i="5"/>
  <c r="J14" i="5" s="1"/>
  <c r="K14" i="5" s="1"/>
  <c r="N14" i="5" s="1"/>
  <c r="I13" i="5"/>
  <c r="J13" i="5" s="1"/>
  <c r="K13" i="5" s="1"/>
  <c r="N13" i="5" s="1"/>
  <c r="I12" i="5"/>
  <c r="J12" i="5" s="1"/>
  <c r="K12" i="5" s="1"/>
  <c r="N12" i="5" s="1"/>
  <c r="I11" i="5"/>
  <c r="J11" i="5" s="1"/>
  <c r="K11" i="5" s="1"/>
  <c r="N11" i="5" s="1"/>
  <c r="I10" i="5"/>
  <c r="I9" i="5"/>
  <c r="J9" i="5" s="1"/>
  <c r="K9" i="5" s="1"/>
  <c r="N9" i="5" s="1"/>
  <c r="I8" i="5"/>
  <c r="J8" i="5" s="1"/>
  <c r="K8" i="5" s="1"/>
  <c r="N8" i="5" s="1"/>
  <c r="I7" i="5"/>
  <c r="J7" i="5" s="1"/>
  <c r="K7" i="5" s="1"/>
  <c r="N7" i="5" s="1"/>
  <c r="I6" i="5"/>
  <c r="J6" i="5" s="1"/>
  <c r="I5" i="5"/>
  <c r="J5" i="5" s="1"/>
  <c r="I4" i="5"/>
  <c r="J4" i="5" s="1"/>
  <c r="K4" i="5" s="1"/>
  <c r="N4" i="5" s="1"/>
  <c r="J10" i="5"/>
  <c r="K10" i="5" s="1"/>
  <c r="N10" i="5" s="1"/>
  <c r="K5" i="5" l="1"/>
  <c r="N5" i="5" s="1"/>
  <c r="N5" i="2" l="1"/>
  <c r="O5" i="2" s="1"/>
  <c r="N6" i="2"/>
  <c r="O6" i="2" s="1"/>
  <c r="N7" i="2"/>
  <c r="O7" i="2" s="1"/>
  <c r="Q7" i="2" s="1"/>
  <c r="N8" i="2"/>
  <c r="N9" i="2"/>
  <c r="N10" i="2"/>
  <c r="O10" i="2" s="1"/>
  <c r="Q10" i="2" s="1"/>
  <c r="N11" i="2"/>
  <c r="N12" i="2"/>
  <c r="N13" i="2"/>
  <c r="N14" i="2"/>
  <c r="N15" i="2"/>
  <c r="O15" i="2" s="1"/>
  <c r="Q15" i="2" s="1"/>
  <c r="N16" i="2"/>
  <c r="O16" i="2" s="1"/>
  <c r="Q16" i="2" s="1"/>
  <c r="N4" i="2"/>
  <c r="O8" i="2"/>
  <c r="Q8" i="2" s="1"/>
  <c r="O13" i="2"/>
  <c r="Q13" i="2" s="1"/>
  <c r="O14" i="2"/>
  <c r="Q14" i="2" s="1"/>
  <c r="O9" i="2"/>
  <c r="Q9" i="2" s="1"/>
  <c r="O11" i="2"/>
  <c r="Q11" i="2" s="1"/>
  <c r="O12" i="2"/>
  <c r="Q12" i="2" s="1"/>
  <c r="D12" i="2"/>
  <c r="C12" i="2"/>
  <c r="G17" i="2"/>
  <c r="H8" i="2" s="1"/>
  <c r="C14" i="2"/>
  <c r="D14" i="2" s="1"/>
  <c r="E14" i="2" s="1"/>
  <c r="C5" i="2"/>
  <c r="D5" i="2" s="1"/>
  <c r="C6" i="2"/>
  <c r="C7" i="2"/>
  <c r="E7" i="2" s="1"/>
  <c r="C8" i="2"/>
  <c r="E8" i="2" s="1"/>
  <c r="C9" i="2"/>
  <c r="E9" i="2" s="1"/>
  <c r="C13" i="2"/>
  <c r="E13" i="2" s="1"/>
  <c r="C11" i="2"/>
  <c r="E11" i="2" s="1"/>
  <c r="C10" i="2"/>
  <c r="E10" i="2" s="1"/>
  <c r="C15" i="2"/>
  <c r="C16" i="2"/>
  <c r="E16" i="2" s="1"/>
  <c r="C4" i="2"/>
  <c r="E4" i="2" s="1"/>
  <c r="H6" i="2" l="1"/>
  <c r="H5" i="2"/>
  <c r="P5" i="2" s="1"/>
  <c r="Q5" i="2" s="1"/>
  <c r="E12" i="2"/>
  <c r="E5" i="2"/>
  <c r="E6" i="2" s="1"/>
  <c r="H7" i="2"/>
  <c r="H10" i="2"/>
  <c r="H15" i="2"/>
  <c r="H4" i="2"/>
  <c r="O4" i="2" s="1"/>
  <c r="Q4" i="2" s="1"/>
  <c r="H14" i="2"/>
  <c r="H13" i="2"/>
  <c r="H9" i="2"/>
  <c r="H12" i="2"/>
  <c r="H11" i="2"/>
  <c r="H16" i="2"/>
</calcChain>
</file>

<file path=xl/sharedStrings.xml><?xml version="1.0" encoding="utf-8"?>
<sst xmlns="http://schemas.openxmlformats.org/spreadsheetml/2006/main" count="152" uniqueCount="71">
  <si>
    <t>Example with current consumption, assuming all animal production was in Sweden. Higher value is worse</t>
  </si>
  <si>
    <t>animal welfare judgement of production system</t>
  </si>
  <si>
    <t xml:space="preserve">kg consumed per capita and year </t>
  </si>
  <si>
    <t>tot kg consumed per  year in Sweden</t>
  </si>
  <si>
    <t xml:space="preserve">number of animals involved for total pop </t>
  </si>
  <si>
    <t>number animals involved per kg</t>
  </si>
  <si>
    <t>moral value  Scherer</t>
  </si>
  <si>
    <t>ability to perceive handling (fr 0 to 1)</t>
  </si>
  <si>
    <t xml:space="preserve">Mortality (ratio of animals) </t>
  </si>
  <si>
    <t xml:space="preserve">Diseases, indicator </t>
  </si>
  <si>
    <t xml:space="preserve">Diseases (ratio of animals) </t>
  </si>
  <si>
    <t>barren env (ratio of animals)</t>
  </si>
  <si>
    <t>slaughter duration class (0,01-2)</t>
  </si>
  <si>
    <t>animal welfare in prod system</t>
  </si>
  <si>
    <t>animal welfare index per kg</t>
  </si>
  <si>
    <t>animal welfare index per diet</t>
  </si>
  <si>
    <t xml:space="preserve">Chicken </t>
  </si>
  <si>
    <t>feet health</t>
  </si>
  <si>
    <t>egg, hens</t>
  </si>
  <si>
    <t>osteoporos</t>
  </si>
  <si>
    <t>egg</t>
  </si>
  <si>
    <t>egg, male chickens</t>
  </si>
  <si>
    <t>no</t>
  </si>
  <si>
    <t>Pig</t>
  </si>
  <si>
    <t>lung infect</t>
  </si>
  <si>
    <t>sheep</t>
  </si>
  <si>
    <t>vet ej</t>
  </si>
  <si>
    <t>diary cows milk</t>
  </si>
  <si>
    <t>mastit</t>
  </si>
  <si>
    <t xml:space="preserve">beef </t>
  </si>
  <si>
    <t>diarrhea</t>
  </si>
  <si>
    <t xml:space="preserve">Game </t>
  </si>
  <si>
    <t>honey</t>
  </si>
  <si>
    <t>winterloss</t>
  </si>
  <si>
    <t>Shrimp</t>
  </si>
  <si>
    <t>Bluemussels</t>
  </si>
  <si>
    <t>fish, wild</t>
  </si>
  <si>
    <t>fish, aqua</t>
  </si>
  <si>
    <t>laxlus?</t>
  </si>
  <si>
    <t>x 2</t>
  </si>
  <si>
    <t>x 1</t>
  </si>
  <si>
    <t>summerat</t>
  </si>
  <si>
    <t>multiplic.</t>
  </si>
  <si>
    <t>inga extra kor för grädde smör, men ost?</t>
  </si>
  <si>
    <t>kvigan ingår i ko-liv</t>
  </si>
  <si>
    <t>ta bort antal mjölkkor fr beef</t>
  </si>
  <si>
    <t>Average time for slaughter process</t>
  </si>
  <si>
    <t>Barren or enriched env</t>
  </si>
  <si>
    <t>beef 1 eller 2 år vid slakt</t>
  </si>
  <si>
    <t>More than 8 hours = 2</t>
  </si>
  <si>
    <t>Organic production system</t>
  </si>
  <si>
    <t>bin lever 2 mån, 5% av bisamhällen vinterdödlighet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</si>
  <si>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Between 1 and 8 hours = 1</t>
    </r>
  </si>
  <si>
    <t>On pasture more than 40% of total life time</t>
  </si>
  <si>
    <t>Between 11 minutes and 1 hour = 0.5</t>
  </si>
  <si>
    <t>Wild animal</t>
  </si>
  <si>
    <t>Less than 11minutes = 0.1</t>
  </si>
  <si>
    <t>"No time" = 0.01</t>
  </si>
  <si>
    <t>Diseased % of all animals at least once</t>
  </si>
  <si>
    <t>kg</t>
  </si>
  <si>
    <t>diet</t>
  </si>
  <si>
    <t>lägg till fiskmjöl och bifångst?</t>
  </si>
  <si>
    <t>x</t>
  </si>
  <si>
    <t>x 0,25</t>
  </si>
  <si>
    <t>ta bort N mjölkkor fr beef</t>
  </si>
  <si>
    <t>?</t>
  </si>
  <si>
    <t>bin lever 2 mån o ind dödlighet räknas ej</t>
  </si>
  <si>
    <t>men kan inte sätta 0 (multiplic)</t>
  </si>
  <si>
    <t>"Wild" animal</t>
  </si>
  <si>
    <t>Konstruerat motiv: Alla etiska "skolor" räknar inte liv</t>
  </si>
  <si>
    <t>men jakten kan stressa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</si>
</sst>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2" xfId="0" applyBorder="1" applyAlignment="1">
      <alignment vertical="top" wrapText="1"/>
    </xf>
    <xf numFmtId="0" fontId="0" fillId="0" borderId="0" xfId="0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/>
    <xf numFmtId="0" fontId="0" fillId="2" borderId="2" xfId="0" applyFill="1" applyBorder="1"/>
    <xf numFmtId="0" fontId="0" fillId="2" borderId="5" xfId="0" applyFill="1" applyBorder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2" borderId="6" xfId="0" applyFill="1" applyBorder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3" fillId="0" borderId="0" xfId="0" applyFont="1" applyAlignment="1">
      <alignment horizontal="left" vertical="center" indent="5"/>
    </xf>
    <xf numFmtId="0" fontId="0" fillId="3" borderId="0" xfId="0" applyFill="1"/>
    <xf numFmtId="0" fontId="0" fillId="4" borderId="2" xfId="0" applyFill="1" applyBorder="1" applyAlignment="1">
      <alignment vertical="top" wrapText="1"/>
    </xf>
    <xf numFmtId="0" fontId="0" fillId="4" borderId="1" xfId="0" applyFill="1" applyBorder="1"/>
    <xf numFmtId="0" fontId="0" fillId="4" borderId="0" xfId="0" applyFill="1"/>
    <xf numFmtId="0" fontId="5" fillId="0" borderId="1" xfId="0" applyFont="1" applyBorder="1"/>
    <xf numFmtId="0" fontId="6" fillId="0" borderId="0" xfId="0" applyFont="1"/>
    <xf numFmtId="164" fontId="0" fillId="0" borderId="1" xfId="0" applyNumberFormat="1" applyBorder="1"/>
    <xf numFmtId="0" fontId="7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2" fontId="0" fillId="0" borderId="0" xfId="0" applyNumberFormat="1"/>
    <xf numFmtId="2" fontId="0" fillId="3" borderId="0" xfId="0" applyNumberFormat="1" applyFill="1"/>
    <xf numFmtId="0" fontId="0" fillId="2" borderId="2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6" borderId="0" xfId="0" applyFill="1"/>
    <xf numFmtId="0" fontId="8" fillId="7" borderId="0" xfId="0" applyFont="1" applyFill="1" applyAlignment="1">
      <alignment horizontal="center"/>
    </xf>
    <xf numFmtId="0" fontId="0" fillId="7" borderId="0" xfId="0" applyFill="1"/>
    <xf numFmtId="0" fontId="9" fillId="0" borderId="0" xfId="0" applyFont="1"/>
    <xf numFmtId="0" fontId="0" fillId="4" borderId="7" xfId="0" applyFill="1" applyBorder="1"/>
    <xf numFmtId="0" fontId="0" fillId="4" borderId="5" xfId="0" applyFill="1" applyBorder="1"/>
    <xf numFmtId="0" fontId="0" fillId="4" borderId="2" xfId="0" applyFill="1" applyBorder="1"/>
    <xf numFmtId="2" fontId="0" fillId="0" borderId="7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vertical="top"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5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workbookViewId="0">
      <selection activeCell="E20" sqref="E20:E25"/>
    </sheetView>
  </sheetViews>
  <sheetFormatPr defaultRowHeight="15"/>
  <cols>
    <col min="1" max="1" width="23.42578125" customWidth="1"/>
    <col min="2" max="2" width="16" customWidth="1"/>
    <col min="3" max="4" width="18.7109375" customWidth="1"/>
    <col min="5" max="5" width="15.5703125" customWidth="1"/>
    <col min="6" max="6" width="10" bestFit="1" customWidth="1"/>
    <col min="7" max="7" width="10" customWidth="1"/>
    <col min="10" max="10" width="10.42578125" customWidth="1"/>
    <col min="13" max="13" width="12.28515625" customWidth="1"/>
    <col min="14" max="14" width="11.7109375" customWidth="1"/>
    <col min="15" max="15" width="10.85546875" customWidth="1"/>
    <col min="17" max="17" width="10.5703125" customWidth="1"/>
    <col min="19" max="19" width="12" bestFit="1" customWidth="1"/>
  </cols>
  <sheetData>
    <row r="1" spans="1:18" ht="31.5" customHeight="1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8" ht="31.5" customHeight="1">
      <c r="A2" s="16"/>
      <c r="B2" s="16"/>
      <c r="C2" s="16"/>
      <c r="D2" s="16"/>
      <c r="E2" s="16"/>
      <c r="F2" s="16"/>
      <c r="G2" s="16"/>
      <c r="H2" s="16"/>
      <c r="I2" s="60" t="s">
        <v>1</v>
      </c>
      <c r="J2" s="60"/>
      <c r="K2" s="60"/>
      <c r="L2" s="60"/>
      <c r="M2" s="60"/>
      <c r="N2" s="16"/>
      <c r="O2" s="16"/>
      <c r="P2" s="16"/>
    </row>
    <row r="3" spans="1:18" s="4" customFormat="1" ht="63" customHeight="1">
      <c r="A3" s="3"/>
      <c r="B3" s="3" t="s">
        <v>2</v>
      </c>
      <c r="C3" s="3" t="s">
        <v>3</v>
      </c>
      <c r="D3" s="3" t="s">
        <v>4</v>
      </c>
      <c r="E3" s="3" t="s">
        <v>5</v>
      </c>
      <c r="F3" s="24" t="s">
        <v>5</v>
      </c>
      <c r="G3" s="3" t="s">
        <v>6</v>
      </c>
      <c r="H3" s="24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15" t="s">
        <v>12</v>
      </c>
      <c r="N3" s="6" t="s">
        <v>13</v>
      </c>
      <c r="O3" s="12" t="s">
        <v>14</v>
      </c>
      <c r="Q3" s="12" t="s">
        <v>15</v>
      </c>
    </row>
    <row r="4" spans="1:18">
      <c r="A4" s="1" t="s">
        <v>16</v>
      </c>
      <c r="B4" s="1">
        <v>12</v>
      </c>
      <c r="C4" s="55">
        <f>B4*10000000</f>
        <v>120000000</v>
      </c>
      <c r="D4" s="55">
        <v>120000000</v>
      </c>
      <c r="E4" s="29">
        <f>D4/C4</f>
        <v>1</v>
      </c>
      <c r="F4" s="25">
        <v>1</v>
      </c>
      <c r="G4" s="18">
        <v>3.8E-3</v>
      </c>
      <c r="H4" s="25">
        <f t="shared" ref="H4:H16" si="0">G4/$G$17</f>
        <v>2.2247671737242816E-2</v>
      </c>
      <c r="I4" s="7">
        <v>0.05</v>
      </c>
      <c r="J4" s="7" t="s">
        <v>17</v>
      </c>
      <c r="K4" s="7">
        <v>0.03</v>
      </c>
      <c r="L4" s="7">
        <v>1</v>
      </c>
      <c r="M4" s="7">
        <v>1</v>
      </c>
      <c r="N4" s="26">
        <f>(I4*2)+(K4*2)+L4+M4</f>
        <v>2.16</v>
      </c>
      <c r="O4" s="10">
        <f>(F4*H4*N4)*100</f>
        <v>4.8054970952444487</v>
      </c>
      <c r="Q4" s="31">
        <f>B4*O4</f>
        <v>57.665965142933388</v>
      </c>
      <c r="R4" t="s">
        <v>16</v>
      </c>
    </row>
    <row r="5" spans="1:18">
      <c r="A5" s="1" t="s">
        <v>18</v>
      </c>
      <c r="B5" s="1">
        <v>11</v>
      </c>
      <c r="C5" s="55">
        <f t="shared" ref="C5:C16" si="1">B5*10000000</f>
        <v>110000000</v>
      </c>
      <c r="D5" s="55">
        <f>C5/22</f>
        <v>5000000</v>
      </c>
      <c r="E5" s="29">
        <f>D5/C5</f>
        <v>4.5454545454545456E-2</v>
      </c>
      <c r="F5" s="25">
        <v>0.05</v>
      </c>
      <c r="G5" s="18">
        <v>3.8E-3</v>
      </c>
      <c r="H5" s="25">
        <f t="shared" si="0"/>
        <v>2.2247671737242816E-2</v>
      </c>
      <c r="I5" s="7">
        <v>0.05</v>
      </c>
      <c r="J5" s="7" t="s">
        <v>19</v>
      </c>
      <c r="K5" s="20">
        <v>0.15</v>
      </c>
      <c r="L5" s="7">
        <v>1</v>
      </c>
      <c r="M5" s="7">
        <v>1</v>
      </c>
      <c r="N5" s="26">
        <f t="shared" ref="N5:N16" si="2">(I5*2)+(K5*2)+L5+M5</f>
        <v>2.4</v>
      </c>
      <c r="O5" s="32">
        <f t="shared" ref="O5:O16" si="3">(F5*H5*N5)*100</f>
        <v>0.26697206084691377</v>
      </c>
      <c r="P5" s="23">
        <f>O5+O6</f>
        <v>0.2780958967155352</v>
      </c>
      <c r="Q5" s="31">
        <f>B5*P5</f>
        <v>3.059054863870887</v>
      </c>
      <c r="R5" t="s">
        <v>20</v>
      </c>
    </row>
    <row r="6" spans="1:18">
      <c r="A6" s="1" t="s">
        <v>21</v>
      </c>
      <c r="B6" s="1"/>
      <c r="C6" s="55">
        <f t="shared" si="1"/>
        <v>0</v>
      </c>
      <c r="D6" s="55">
        <v>10000000</v>
      </c>
      <c r="E6" s="29">
        <f>E5</f>
        <v>4.5454545454545456E-2</v>
      </c>
      <c r="F6" s="25">
        <v>0.05</v>
      </c>
      <c r="G6" s="27">
        <v>3.8E-3</v>
      </c>
      <c r="H6" s="25">
        <f t="shared" si="0"/>
        <v>2.2247671737242816E-2</v>
      </c>
      <c r="I6" s="7">
        <v>0</v>
      </c>
      <c r="J6" s="7" t="s">
        <v>22</v>
      </c>
      <c r="K6" s="7">
        <v>0</v>
      </c>
      <c r="L6" s="7">
        <v>0</v>
      </c>
      <c r="M6" s="7">
        <v>0.1</v>
      </c>
      <c r="N6" s="26">
        <f t="shared" si="2"/>
        <v>0.1</v>
      </c>
      <c r="O6" s="32">
        <f t="shared" si="3"/>
        <v>1.1123835868621409E-2</v>
      </c>
      <c r="Q6" s="31"/>
    </row>
    <row r="7" spans="1:18">
      <c r="A7" s="1" t="s">
        <v>23</v>
      </c>
      <c r="B7" s="1">
        <v>20</v>
      </c>
      <c r="C7" s="55">
        <f t="shared" si="1"/>
        <v>200000000</v>
      </c>
      <c r="D7" s="55">
        <v>4000000</v>
      </c>
      <c r="E7" s="29">
        <f t="shared" ref="E7:E16" si="4">D7/C7</f>
        <v>0.02</v>
      </c>
      <c r="F7" s="25">
        <v>0.02</v>
      </c>
      <c r="G7" s="18">
        <v>2.7E-2</v>
      </c>
      <c r="H7" s="25">
        <f t="shared" si="0"/>
        <v>0.15807556234356737</v>
      </c>
      <c r="I7" s="7">
        <v>0.05</v>
      </c>
      <c r="J7" s="7" t="s">
        <v>24</v>
      </c>
      <c r="K7" s="7">
        <v>0.05</v>
      </c>
      <c r="L7" s="7">
        <v>1</v>
      </c>
      <c r="M7" s="7">
        <v>1</v>
      </c>
      <c r="N7" s="26">
        <f t="shared" si="2"/>
        <v>2.2000000000000002</v>
      </c>
      <c r="O7" s="10">
        <f t="shared" si="3"/>
        <v>0.69553247431169651</v>
      </c>
      <c r="Q7" s="31">
        <f t="shared" ref="Q7:Q16" si="5">B7*O7</f>
        <v>13.910649486233931</v>
      </c>
      <c r="R7" t="s">
        <v>23</v>
      </c>
    </row>
    <row r="8" spans="1:18">
      <c r="A8" s="1" t="s">
        <v>25</v>
      </c>
      <c r="B8">
        <v>2</v>
      </c>
      <c r="C8" s="55">
        <f t="shared" si="1"/>
        <v>20000000</v>
      </c>
      <c r="D8" s="11">
        <v>400000</v>
      </c>
      <c r="E8" s="29">
        <f t="shared" si="4"/>
        <v>0.02</v>
      </c>
      <c r="F8" s="25">
        <v>0.02</v>
      </c>
      <c r="G8" s="27">
        <v>0.03</v>
      </c>
      <c r="H8" s="25">
        <f t="shared" si="0"/>
        <v>0.17563951371507486</v>
      </c>
      <c r="I8" s="7">
        <v>0.08</v>
      </c>
      <c r="J8" s="20" t="s">
        <v>26</v>
      </c>
      <c r="K8" s="20">
        <v>0.05</v>
      </c>
      <c r="L8" s="7">
        <v>0</v>
      </c>
      <c r="M8" s="7">
        <v>1</v>
      </c>
      <c r="N8" s="26">
        <f t="shared" si="2"/>
        <v>1.26</v>
      </c>
      <c r="O8" s="10">
        <f t="shared" si="3"/>
        <v>0.44261157456198863</v>
      </c>
      <c r="Q8" s="31">
        <f t="shared" si="5"/>
        <v>0.88522314912397726</v>
      </c>
      <c r="R8" t="s">
        <v>25</v>
      </c>
    </row>
    <row r="9" spans="1:18">
      <c r="A9" s="1" t="s">
        <v>27</v>
      </c>
      <c r="B9">
        <v>110</v>
      </c>
      <c r="C9" s="55">
        <f t="shared" si="1"/>
        <v>1100000000</v>
      </c>
      <c r="D9" s="11">
        <v>600000</v>
      </c>
      <c r="E9" s="29">
        <f t="shared" si="4"/>
        <v>5.4545454545454548E-4</v>
      </c>
      <c r="F9" s="25">
        <v>1E-3</v>
      </c>
      <c r="G9" s="18">
        <v>3.5000000000000003E-2</v>
      </c>
      <c r="H9" s="25">
        <f t="shared" si="0"/>
        <v>0.20491276600092068</v>
      </c>
      <c r="I9" s="7">
        <v>0.04</v>
      </c>
      <c r="J9" s="7" t="s">
        <v>28</v>
      </c>
      <c r="K9" s="7">
        <v>0.08</v>
      </c>
      <c r="L9" s="7">
        <v>0</v>
      </c>
      <c r="M9" s="7">
        <v>1</v>
      </c>
      <c r="N9" s="26">
        <f t="shared" si="2"/>
        <v>1.24</v>
      </c>
      <c r="O9" s="10">
        <f t="shared" si="3"/>
        <v>2.5409182984114161E-2</v>
      </c>
      <c r="Q9" s="31">
        <f t="shared" si="5"/>
        <v>2.7950101282525575</v>
      </c>
      <c r="R9" t="s">
        <v>27</v>
      </c>
    </row>
    <row r="10" spans="1:18">
      <c r="A10" s="17" t="s">
        <v>29</v>
      </c>
      <c r="B10" s="1">
        <v>18</v>
      </c>
      <c r="C10" s="55">
        <f>B10*10000000</f>
        <v>180000000</v>
      </c>
      <c r="D10" s="55">
        <v>500000</v>
      </c>
      <c r="E10" s="29">
        <f>D10/C10</f>
        <v>2.7777777777777779E-3</v>
      </c>
      <c r="F10" s="25">
        <v>3.0000000000000001E-3</v>
      </c>
      <c r="G10" s="18">
        <v>3.5000000000000003E-2</v>
      </c>
      <c r="H10" s="25">
        <f t="shared" si="0"/>
        <v>0.20491276600092068</v>
      </c>
      <c r="I10" s="7">
        <v>0.05</v>
      </c>
      <c r="J10" s="7" t="s">
        <v>30</v>
      </c>
      <c r="K10" s="7">
        <v>0.1</v>
      </c>
      <c r="L10" s="7">
        <v>0.3</v>
      </c>
      <c r="M10" s="7">
        <v>1</v>
      </c>
      <c r="N10" s="26">
        <f t="shared" si="2"/>
        <v>1.6</v>
      </c>
      <c r="O10" s="10">
        <f t="shared" si="3"/>
        <v>9.8358127680441929E-2</v>
      </c>
      <c r="Q10" s="31">
        <f t="shared" si="5"/>
        <v>1.7704462982479547</v>
      </c>
      <c r="R10" s="14" t="s">
        <v>29</v>
      </c>
    </row>
    <row r="11" spans="1:18">
      <c r="A11" s="1" t="s">
        <v>31</v>
      </c>
      <c r="B11" s="1">
        <v>2</v>
      </c>
      <c r="C11" s="55">
        <f>B11*10000000</f>
        <v>20000000</v>
      </c>
      <c r="D11" s="55">
        <v>400000</v>
      </c>
      <c r="E11" s="29">
        <f>D11/C11</f>
        <v>0.02</v>
      </c>
      <c r="F11" s="25">
        <v>0.02</v>
      </c>
      <c r="G11" s="27">
        <v>0.03</v>
      </c>
      <c r="H11" s="25">
        <f t="shared" si="0"/>
        <v>0.17563951371507486</v>
      </c>
      <c r="I11" s="7">
        <v>0</v>
      </c>
      <c r="J11" s="7" t="s">
        <v>22</v>
      </c>
      <c r="K11" s="7">
        <v>0</v>
      </c>
      <c r="L11" s="7">
        <v>0</v>
      </c>
      <c r="M11" s="7">
        <v>0.01</v>
      </c>
      <c r="N11" s="26">
        <f t="shared" si="2"/>
        <v>0.01</v>
      </c>
      <c r="O11" s="10">
        <f t="shared" si="3"/>
        <v>3.5127902743014973E-3</v>
      </c>
      <c r="Q11" s="31">
        <f t="shared" si="5"/>
        <v>7.0255805486029946E-3</v>
      </c>
      <c r="R11" t="s">
        <v>31</v>
      </c>
    </row>
    <row r="12" spans="1:18">
      <c r="A12" s="17" t="s">
        <v>32</v>
      </c>
      <c r="B12">
        <v>0.7</v>
      </c>
      <c r="C12" s="55">
        <f>B12*10000000</f>
        <v>7000000</v>
      </c>
      <c r="D12" s="11">
        <f>14000000000*6</f>
        <v>84000000000</v>
      </c>
      <c r="E12" s="29">
        <f>D12/C12</f>
        <v>12000</v>
      </c>
      <c r="F12" s="26">
        <v>12000</v>
      </c>
      <c r="G12" s="18">
        <v>2.9000000000000002E-6</v>
      </c>
      <c r="H12" s="25">
        <f t="shared" si="0"/>
        <v>1.6978486325790571E-5</v>
      </c>
      <c r="I12" s="7">
        <v>0.05</v>
      </c>
      <c r="J12" s="7" t="s">
        <v>33</v>
      </c>
      <c r="K12" s="7">
        <v>0</v>
      </c>
      <c r="L12" s="7">
        <v>0</v>
      </c>
      <c r="M12" s="20">
        <v>0</v>
      </c>
      <c r="N12" s="26">
        <f t="shared" si="2"/>
        <v>0.1</v>
      </c>
      <c r="O12" s="10">
        <f t="shared" si="3"/>
        <v>2.0374183590948687</v>
      </c>
      <c r="Q12" s="31">
        <f t="shared" si="5"/>
        <v>1.4261928513664079</v>
      </c>
      <c r="R12" s="14" t="s">
        <v>32</v>
      </c>
    </row>
    <row r="13" spans="1:18">
      <c r="A13" s="1" t="s">
        <v>34</v>
      </c>
      <c r="B13">
        <v>6</v>
      </c>
      <c r="C13" s="55">
        <f t="shared" si="1"/>
        <v>60000000</v>
      </c>
      <c r="D13" s="11">
        <v>2500000000</v>
      </c>
      <c r="E13" s="29">
        <f t="shared" si="4"/>
        <v>41.666666666666664</v>
      </c>
      <c r="F13" s="26">
        <v>40</v>
      </c>
      <c r="G13" s="18">
        <v>1.1999999999999999E-6</v>
      </c>
      <c r="H13" s="25">
        <f t="shared" si="0"/>
        <v>7.0255805486029937E-6</v>
      </c>
      <c r="I13" s="7">
        <v>0</v>
      </c>
      <c r="J13" s="7" t="s">
        <v>22</v>
      </c>
      <c r="K13" s="7">
        <v>0</v>
      </c>
      <c r="L13" s="7">
        <v>0</v>
      </c>
      <c r="M13" s="20">
        <v>0.5</v>
      </c>
      <c r="N13" s="26">
        <f t="shared" si="2"/>
        <v>0.5</v>
      </c>
      <c r="O13" s="10">
        <f t="shared" si="3"/>
        <v>1.4051161097205988E-2</v>
      </c>
      <c r="Q13" s="31">
        <f t="shared" si="5"/>
        <v>8.4306966583235929E-2</v>
      </c>
      <c r="R13" t="s">
        <v>34</v>
      </c>
    </row>
    <row r="14" spans="1:18">
      <c r="A14" s="1" t="s">
        <v>35</v>
      </c>
      <c r="B14">
        <v>1</v>
      </c>
      <c r="C14" s="55">
        <f t="shared" si="1"/>
        <v>10000000</v>
      </c>
      <c r="D14" s="11">
        <f>C14/0.03</f>
        <v>333333333.33333337</v>
      </c>
      <c r="E14" s="29">
        <f t="shared" si="4"/>
        <v>33.333333333333336</v>
      </c>
      <c r="F14" s="26">
        <v>30</v>
      </c>
      <c r="G14" s="27">
        <v>2.8999999999999998E-7</v>
      </c>
      <c r="H14" s="25">
        <f t="shared" si="0"/>
        <v>1.6978486325790568E-6</v>
      </c>
      <c r="I14" s="7">
        <v>0</v>
      </c>
      <c r="J14" s="7" t="s">
        <v>22</v>
      </c>
      <c r="K14" s="7">
        <v>0</v>
      </c>
      <c r="L14" s="7">
        <v>0</v>
      </c>
      <c r="M14" s="7">
        <v>2</v>
      </c>
      <c r="N14" s="26">
        <f t="shared" si="2"/>
        <v>2</v>
      </c>
      <c r="O14" s="10">
        <f t="shared" si="3"/>
        <v>1.0187091795474341E-2</v>
      </c>
      <c r="Q14" s="31">
        <f t="shared" si="5"/>
        <v>1.0187091795474341E-2</v>
      </c>
      <c r="R14" t="s">
        <v>35</v>
      </c>
    </row>
    <row r="15" spans="1:18">
      <c r="A15" s="1" t="s">
        <v>36</v>
      </c>
      <c r="B15">
        <v>10</v>
      </c>
      <c r="C15" s="55">
        <f t="shared" si="1"/>
        <v>100000000</v>
      </c>
      <c r="D15" s="11">
        <v>33000000</v>
      </c>
      <c r="E15" s="29">
        <v>0.3</v>
      </c>
      <c r="F15" s="26">
        <v>0.3</v>
      </c>
      <c r="G15" s="18">
        <v>1.1999999999999999E-3</v>
      </c>
      <c r="H15" s="25">
        <f t="shared" si="0"/>
        <v>7.0255805486029938E-3</v>
      </c>
      <c r="I15" s="7">
        <v>0</v>
      </c>
      <c r="J15" s="7" t="s">
        <v>22</v>
      </c>
      <c r="K15" s="7">
        <v>0</v>
      </c>
      <c r="L15" s="7">
        <v>0</v>
      </c>
      <c r="M15" s="7">
        <v>0.5</v>
      </c>
      <c r="N15" s="26">
        <f t="shared" si="2"/>
        <v>0.5</v>
      </c>
      <c r="O15" s="10">
        <f t="shared" si="3"/>
        <v>0.10538370822904489</v>
      </c>
      <c r="Q15" s="31">
        <f t="shared" si="5"/>
        <v>1.0538370822904488</v>
      </c>
      <c r="R15" t="s">
        <v>36</v>
      </c>
    </row>
    <row r="16" spans="1:18">
      <c r="A16" s="1" t="s">
        <v>37</v>
      </c>
      <c r="B16">
        <v>11</v>
      </c>
      <c r="C16" s="55">
        <f t="shared" si="1"/>
        <v>110000000</v>
      </c>
      <c r="D16" s="11">
        <v>33000000</v>
      </c>
      <c r="E16" s="29">
        <f t="shared" si="4"/>
        <v>0.3</v>
      </c>
      <c r="F16" s="26">
        <v>0.3</v>
      </c>
      <c r="G16" s="18">
        <v>1.1999999999999999E-3</v>
      </c>
      <c r="H16" s="25">
        <f t="shared" si="0"/>
        <v>7.0255805486029938E-3</v>
      </c>
      <c r="I16" s="8">
        <v>0.1</v>
      </c>
      <c r="J16" s="21" t="s">
        <v>38</v>
      </c>
      <c r="K16" s="21">
        <v>0.1</v>
      </c>
      <c r="L16" s="8">
        <v>1</v>
      </c>
      <c r="M16" s="9">
        <v>0.1</v>
      </c>
      <c r="N16" s="26">
        <f t="shared" si="2"/>
        <v>1.5</v>
      </c>
      <c r="O16" s="10">
        <f t="shared" si="3"/>
        <v>0.31615112468713469</v>
      </c>
      <c r="Q16" s="31">
        <f t="shared" si="5"/>
        <v>3.4776623715584813</v>
      </c>
      <c r="R16" t="s">
        <v>37</v>
      </c>
    </row>
    <row r="17" spans="1:20">
      <c r="A17" s="2"/>
      <c r="G17" s="19">
        <f>SUM(G4:G16)</f>
        <v>0.17080439000000003</v>
      </c>
      <c r="I17" s="30" t="s">
        <v>39</v>
      </c>
      <c r="J17" s="10"/>
      <c r="K17" s="30" t="s">
        <v>39</v>
      </c>
      <c r="L17" s="30" t="s">
        <v>40</v>
      </c>
      <c r="M17" s="30" t="s">
        <v>40</v>
      </c>
      <c r="N17" s="10" t="s">
        <v>41</v>
      </c>
      <c r="O17" s="10" t="s">
        <v>42</v>
      </c>
      <c r="T17" s="1"/>
    </row>
    <row r="18" spans="1:20">
      <c r="A18" s="1" t="s">
        <v>43</v>
      </c>
      <c r="I18" s="30"/>
      <c r="J18" s="10"/>
      <c r="K18" s="30"/>
      <c r="L18" s="10"/>
      <c r="M18" s="10"/>
      <c r="N18" s="10"/>
      <c r="O18" s="11"/>
      <c r="T18" s="13"/>
    </row>
    <row r="19" spans="1:20">
      <c r="A19" t="s">
        <v>44</v>
      </c>
      <c r="T19" s="13"/>
    </row>
    <row r="20" spans="1:20" ht="30">
      <c r="A20" s="14" t="s">
        <v>45</v>
      </c>
      <c r="E20" s="28" t="s">
        <v>46</v>
      </c>
      <c r="F20" s="28"/>
      <c r="G20" s="28"/>
      <c r="J20" s="28" t="s">
        <v>47</v>
      </c>
      <c r="T20" s="13"/>
    </row>
    <row r="21" spans="1:20" ht="15.75">
      <c r="A21" t="s">
        <v>48</v>
      </c>
      <c r="E21" s="22" t="s">
        <v>49</v>
      </c>
      <c r="J21" t="s">
        <v>50</v>
      </c>
      <c r="T21" s="13"/>
    </row>
    <row r="22" spans="1:20" ht="15.75">
      <c r="A22" t="s">
        <v>51</v>
      </c>
      <c r="E22" s="22" t="s">
        <v>52</v>
      </c>
      <c r="J22" t="s">
        <v>53</v>
      </c>
    </row>
    <row r="23" spans="1:20" ht="15.75">
      <c r="E23" s="22" t="s">
        <v>54</v>
      </c>
      <c r="J23" t="s">
        <v>55</v>
      </c>
    </row>
    <row r="24" spans="1:20" ht="15.75">
      <c r="E24" s="22" t="s">
        <v>56</v>
      </c>
    </row>
    <row r="25" spans="1:20" ht="15.75">
      <c r="E25" s="22" t="s">
        <v>57</v>
      </c>
    </row>
  </sheetData>
  <mergeCells count="2">
    <mergeCell ref="A1:P1"/>
    <mergeCell ref="I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abSelected="1" workbookViewId="0">
      <selection activeCell="V29" sqref="V29"/>
    </sheetView>
  </sheetViews>
  <sheetFormatPr defaultRowHeight="15"/>
  <cols>
    <col min="1" max="1" width="23.42578125" customWidth="1"/>
    <col min="2" max="2" width="10" bestFit="1" customWidth="1"/>
    <col min="5" max="5" width="10.42578125" customWidth="1"/>
    <col min="8" max="8" width="12.28515625" customWidth="1"/>
    <col min="9" max="9" width="11.7109375" customWidth="1"/>
    <col min="10" max="10" width="14.140625" customWidth="1"/>
    <col min="11" max="11" width="5.7109375" customWidth="1"/>
    <col min="12" max="12" width="14.5703125" customWidth="1"/>
    <col min="13" max="13" width="13.7109375" customWidth="1"/>
    <col min="14" max="14" width="10" bestFit="1" customWidth="1"/>
    <col min="15" max="15" width="9.140625" style="10"/>
  </cols>
  <sheetData>
    <row r="1" spans="1:15" ht="31.5" customHeight="1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5" ht="31.5" customHeight="1">
      <c r="A2" s="16"/>
      <c r="B2" s="16"/>
      <c r="C2" s="16"/>
      <c r="D2" s="60" t="s">
        <v>1</v>
      </c>
      <c r="E2" s="60"/>
      <c r="F2" s="60"/>
      <c r="G2" s="60"/>
      <c r="H2" s="60"/>
      <c r="I2" s="16"/>
      <c r="J2" s="16"/>
      <c r="K2" s="16"/>
    </row>
    <row r="3" spans="1:15" s="4" customFormat="1" ht="63" customHeight="1">
      <c r="A3" s="3"/>
      <c r="B3" s="24" t="s">
        <v>5</v>
      </c>
      <c r="C3" s="24" t="s">
        <v>7</v>
      </c>
      <c r="D3" s="35" t="s">
        <v>8</v>
      </c>
      <c r="E3" s="35" t="s">
        <v>58</v>
      </c>
      <c r="F3" s="35" t="s">
        <v>10</v>
      </c>
      <c r="G3" s="35" t="s">
        <v>11</v>
      </c>
      <c r="H3" s="36" t="s">
        <v>12</v>
      </c>
      <c r="I3" s="37" t="s">
        <v>13</v>
      </c>
      <c r="J3" s="54" t="s">
        <v>14</v>
      </c>
      <c r="M3" s="13" t="s">
        <v>59</v>
      </c>
      <c r="N3" s="13" t="s">
        <v>60</v>
      </c>
      <c r="O3" s="57" t="s">
        <v>61</v>
      </c>
    </row>
    <row r="4" spans="1:15">
      <c r="A4" s="1" t="s">
        <v>16</v>
      </c>
      <c r="B4" s="25">
        <v>1</v>
      </c>
      <c r="C4" s="25">
        <v>0.12197272727272727</v>
      </c>
      <c r="D4" s="38">
        <v>0.05</v>
      </c>
      <c r="E4" s="38"/>
      <c r="F4" s="38">
        <v>0.05</v>
      </c>
      <c r="G4" s="38">
        <v>1</v>
      </c>
      <c r="H4" s="38">
        <v>1</v>
      </c>
      <c r="I4" s="39">
        <f>(D4*2)+(F4*2)+(G4)+H4</f>
        <v>2.2000000000000002</v>
      </c>
      <c r="J4" s="51">
        <f>((B4/4)*C4*I4)*100</f>
        <v>6.7085000000000008</v>
      </c>
      <c r="K4" s="33">
        <f>J4</f>
        <v>6.7085000000000008</v>
      </c>
      <c r="L4" t="s">
        <v>16</v>
      </c>
      <c r="M4" s="56">
        <v>12</v>
      </c>
      <c r="N4" s="31">
        <f>K4*M4</f>
        <v>80.50200000000001</v>
      </c>
      <c r="O4" s="10" t="s">
        <v>62</v>
      </c>
    </row>
    <row r="5" spans="1:15">
      <c r="A5" s="1" t="s">
        <v>18</v>
      </c>
      <c r="B5" s="25">
        <v>0.05</v>
      </c>
      <c r="C5" s="25">
        <v>0.12197272727272727</v>
      </c>
      <c r="D5" s="38">
        <v>0.05</v>
      </c>
      <c r="E5" s="38"/>
      <c r="F5" s="38">
        <v>0.3</v>
      </c>
      <c r="G5" s="38">
        <v>1</v>
      </c>
      <c r="H5" s="38">
        <v>1</v>
      </c>
      <c r="I5" s="39">
        <f t="shared" ref="I5:I16" si="0">(D5*2)+(F5*2)+(G5)+H5</f>
        <v>2.7</v>
      </c>
      <c r="J5" s="51">
        <f t="shared" ref="J5:J16" si="1">((B5/4)*C5*I5)*100</f>
        <v>0.41165795454545467</v>
      </c>
      <c r="K5" s="34">
        <f>J5+J6</f>
        <v>0.41674015151515165</v>
      </c>
      <c r="L5" t="s">
        <v>20</v>
      </c>
      <c r="M5" s="56">
        <v>11</v>
      </c>
      <c r="N5" s="31">
        <f>K5*M5</f>
        <v>4.5841416666666683</v>
      </c>
    </row>
    <row r="6" spans="1:15">
      <c r="A6" s="1" t="s">
        <v>21</v>
      </c>
      <c r="B6" s="25">
        <v>0.05</v>
      </c>
      <c r="C6" s="25">
        <v>4.0657575757575753E-2</v>
      </c>
      <c r="D6" s="38">
        <v>0</v>
      </c>
      <c r="E6" s="38" t="s">
        <v>22</v>
      </c>
      <c r="F6" s="38">
        <v>0</v>
      </c>
      <c r="G6" s="38">
        <v>0</v>
      </c>
      <c r="H6" s="38">
        <v>0.1</v>
      </c>
      <c r="I6" s="39">
        <f t="shared" si="0"/>
        <v>0.1</v>
      </c>
      <c r="J6" s="51">
        <f>((B6/4)*C6*I6)*100</f>
        <v>5.0821969696969701E-3</v>
      </c>
      <c r="K6" s="33"/>
      <c r="M6" s="56"/>
      <c r="N6" s="31"/>
    </row>
    <row r="7" spans="1:15">
      <c r="A7" s="1" t="s">
        <v>23</v>
      </c>
      <c r="B7" s="25">
        <v>0.02</v>
      </c>
      <c r="C7" s="25">
        <v>0.16918181818181818</v>
      </c>
      <c r="D7" s="38">
        <v>0.05</v>
      </c>
      <c r="E7" s="38"/>
      <c r="F7" s="38">
        <v>0.05</v>
      </c>
      <c r="G7" s="38">
        <v>1</v>
      </c>
      <c r="H7" s="38">
        <v>1</v>
      </c>
      <c r="I7" s="39">
        <f t="shared" si="0"/>
        <v>2.2000000000000002</v>
      </c>
      <c r="J7" s="51">
        <f t="shared" si="1"/>
        <v>0.18610000000000002</v>
      </c>
      <c r="K7" s="33">
        <f t="shared" ref="K7:K16" si="2">J7</f>
        <v>0.18610000000000002</v>
      </c>
      <c r="L7" t="s">
        <v>23</v>
      </c>
      <c r="M7" s="56">
        <v>20</v>
      </c>
      <c r="N7" s="31">
        <f t="shared" ref="N7:N16" si="3">K7*M7</f>
        <v>3.7220000000000004</v>
      </c>
      <c r="O7" s="10" t="s">
        <v>62</v>
      </c>
    </row>
    <row r="8" spans="1:15">
      <c r="A8" s="1" t="s">
        <v>25</v>
      </c>
      <c r="B8" s="25">
        <v>0.02</v>
      </c>
      <c r="C8" s="25">
        <v>0.16418181818181818</v>
      </c>
      <c r="D8" s="38">
        <v>0.08</v>
      </c>
      <c r="E8" s="40"/>
      <c r="F8" s="38">
        <v>0.05</v>
      </c>
      <c r="G8" s="38">
        <v>1</v>
      </c>
      <c r="H8" s="38">
        <v>1</v>
      </c>
      <c r="I8" s="39">
        <f t="shared" si="0"/>
        <v>2.2599999999999998</v>
      </c>
      <c r="J8" s="51">
        <f t="shared" si="1"/>
        <v>0.18552545454545452</v>
      </c>
      <c r="K8" s="33">
        <f t="shared" si="2"/>
        <v>0.18552545454545452</v>
      </c>
      <c r="L8" t="s">
        <v>25</v>
      </c>
      <c r="M8" s="56">
        <v>2</v>
      </c>
      <c r="N8" s="31">
        <f t="shared" si="3"/>
        <v>0.37105090909090904</v>
      </c>
    </row>
    <row r="9" spans="1:15">
      <c r="A9" s="1" t="s">
        <v>27</v>
      </c>
      <c r="B9" s="25">
        <v>1E-3</v>
      </c>
      <c r="C9" s="25">
        <v>0.16418181818181818</v>
      </c>
      <c r="D9" s="38">
        <v>0.04</v>
      </c>
      <c r="E9" s="38"/>
      <c r="F9" s="38">
        <v>0.2</v>
      </c>
      <c r="G9" s="38">
        <v>1</v>
      </c>
      <c r="H9" s="38">
        <v>1</v>
      </c>
      <c r="I9" s="39">
        <f t="shared" si="0"/>
        <v>2.48</v>
      </c>
      <c r="J9" s="51">
        <f t="shared" si="1"/>
        <v>1.0179272727272726E-2</v>
      </c>
      <c r="K9" s="33">
        <f t="shared" si="2"/>
        <v>1.0179272727272726E-2</v>
      </c>
      <c r="L9" t="s">
        <v>27</v>
      </c>
      <c r="M9" s="56">
        <v>110</v>
      </c>
      <c r="N9" s="31">
        <f t="shared" si="3"/>
        <v>1.1197199999999998</v>
      </c>
    </row>
    <row r="10" spans="1:15">
      <c r="A10" s="17" t="s">
        <v>29</v>
      </c>
      <c r="B10" s="25">
        <v>3.0000000000000001E-3</v>
      </c>
      <c r="C10" s="25">
        <v>0.16418181818181818</v>
      </c>
      <c r="D10" s="38">
        <v>0.05</v>
      </c>
      <c r="E10" s="38"/>
      <c r="F10" s="38">
        <v>0.1</v>
      </c>
      <c r="G10" s="38">
        <v>1</v>
      </c>
      <c r="H10" s="38">
        <v>1</v>
      </c>
      <c r="I10" s="39">
        <f t="shared" si="0"/>
        <v>2.2999999999999998</v>
      </c>
      <c r="J10" s="51">
        <f>((B10/4)*C10*I10)*100</f>
        <v>2.8321363636363631E-2</v>
      </c>
      <c r="K10" s="33">
        <f t="shared" si="2"/>
        <v>2.8321363636363631E-2</v>
      </c>
      <c r="L10" s="14" t="s">
        <v>29</v>
      </c>
      <c r="M10" s="56">
        <v>18</v>
      </c>
      <c r="N10" s="31">
        <f t="shared" si="3"/>
        <v>0.50978454545454532</v>
      </c>
    </row>
    <row r="11" spans="1:15">
      <c r="A11" s="1" t="s">
        <v>31</v>
      </c>
      <c r="B11" s="25">
        <v>0.02</v>
      </c>
      <c r="C11" s="25">
        <v>0.16418181818181818</v>
      </c>
      <c r="D11" s="38">
        <v>0</v>
      </c>
      <c r="E11" s="38" t="s">
        <v>22</v>
      </c>
      <c r="F11" s="38">
        <v>0</v>
      </c>
      <c r="G11" s="38">
        <v>0</v>
      </c>
      <c r="H11" s="38">
        <v>0.1</v>
      </c>
      <c r="I11" s="39">
        <f t="shared" si="0"/>
        <v>0.1</v>
      </c>
      <c r="J11" s="51">
        <f>((B11/4)*C11*I11)*100</f>
        <v>8.2090909090909107E-3</v>
      </c>
      <c r="K11" s="33">
        <f t="shared" si="2"/>
        <v>8.2090909090909107E-3</v>
      </c>
      <c r="L11" t="s">
        <v>31</v>
      </c>
      <c r="M11" s="56">
        <v>2</v>
      </c>
      <c r="N11" s="31">
        <f t="shared" si="3"/>
        <v>1.6418181818181821E-2</v>
      </c>
    </row>
    <row r="12" spans="1:15">
      <c r="A12" s="17" t="s">
        <v>32</v>
      </c>
      <c r="B12" s="48">
        <v>12000</v>
      </c>
      <c r="C12" s="25">
        <v>2.7163636363636362E-2</v>
      </c>
      <c r="D12" s="38">
        <v>1E-3</v>
      </c>
      <c r="E12" s="38" t="s">
        <v>22</v>
      </c>
      <c r="F12" s="38">
        <v>0</v>
      </c>
      <c r="G12" s="38">
        <v>0</v>
      </c>
      <c r="H12" s="38">
        <v>0</v>
      </c>
      <c r="I12" s="39">
        <f t="shared" si="0"/>
        <v>2E-3</v>
      </c>
      <c r="J12" s="51">
        <f>((B12/4)*C12*I12)*100</f>
        <v>16.298181818181817</v>
      </c>
      <c r="K12" s="33">
        <f t="shared" si="2"/>
        <v>16.298181818181817</v>
      </c>
      <c r="L12" s="14" t="s">
        <v>32</v>
      </c>
      <c r="M12" s="56">
        <v>0.7</v>
      </c>
      <c r="N12" s="31">
        <f t="shared" si="3"/>
        <v>11.408727272727271</v>
      </c>
    </row>
    <row r="13" spans="1:15">
      <c r="A13" s="1" t="s">
        <v>34</v>
      </c>
      <c r="B13" s="48">
        <v>40</v>
      </c>
      <c r="C13" s="25">
        <v>3.2981818181818182E-2</v>
      </c>
      <c r="D13" s="38">
        <v>0</v>
      </c>
      <c r="E13" s="38" t="s">
        <v>22</v>
      </c>
      <c r="F13" s="38">
        <v>0</v>
      </c>
      <c r="G13" s="38">
        <v>0</v>
      </c>
      <c r="H13" s="38">
        <v>0.1</v>
      </c>
      <c r="I13" s="39">
        <f t="shared" si="0"/>
        <v>0.1</v>
      </c>
      <c r="J13" s="51">
        <f t="shared" si="1"/>
        <v>3.2981818181818183</v>
      </c>
      <c r="K13" s="33">
        <f t="shared" si="2"/>
        <v>3.2981818181818183</v>
      </c>
      <c r="L13" t="s">
        <v>34</v>
      </c>
      <c r="M13" s="56">
        <v>6</v>
      </c>
      <c r="N13" s="31">
        <f t="shared" si="3"/>
        <v>19.789090909090909</v>
      </c>
    </row>
    <row r="14" spans="1:15">
      <c r="A14" s="1" t="s">
        <v>35</v>
      </c>
      <c r="B14" s="48">
        <v>30</v>
      </c>
      <c r="C14" s="25">
        <v>1.0536363636363637E-2</v>
      </c>
      <c r="D14" s="38">
        <v>0</v>
      </c>
      <c r="E14" s="38" t="s">
        <v>22</v>
      </c>
      <c r="F14" s="38">
        <v>0</v>
      </c>
      <c r="G14" s="38">
        <v>0</v>
      </c>
      <c r="H14" s="38">
        <v>2</v>
      </c>
      <c r="I14" s="39">
        <f t="shared" si="0"/>
        <v>2</v>
      </c>
      <c r="J14" s="51">
        <f t="shared" si="1"/>
        <v>15.804545454545455</v>
      </c>
      <c r="K14" s="33">
        <f t="shared" si="2"/>
        <v>15.804545454545455</v>
      </c>
      <c r="L14" t="s">
        <v>35</v>
      </c>
      <c r="M14" s="56">
        <v>1</v>
      </c>
      <c r="N14" s="31">
        <f t="shared" si="3"/>
        <v>15.804545454545455</v>
      </c>
    </row>
    <row r="15" spans="1:15">
      <c r="A15" s="1" t="s">
        <v>36</v>
      </c>
      <c r="B15" s="48">
        <v>0.3</v>
      </c>
      <c r="C15" s="25">
        <v>6.8027272727272728E-2</v>
      </c>
      <c r="D15" s="38">
        <v>0</v>
      </c>
      <c r="E15" s="38" t="s">
        <v>22</v>
      </c>
      <c r="F15" s="38">
        <v>0</v>
      </c>
      <c r="G15" s="38">
        <v>0</v>
      </c>
      <c r="H15" s="38">
        <v>1</v>
      </c>
      <c r="I15" s="39">
        <f t="shared" si="0"/>
        <v>1</v>
      </c>
      <c r="J15" s="51">
        <f t="shared" si="1"/>
        <v>0.51020454545454541</v>
      </c>
      <c r="K15" s="33">
        <f t="shared" si="2"/>
        <v>0.51020454545454541</v>
      </c>
      <c r="L15" t="s">
        <v>36</v>
      </c>
      <c r="M15" s="56">
        <v>10</v>
      </c>
      <c r="N15" s="31">
        <f t="shared" si="3"/>
        <v>5.1020454545454541</v>
      </c>
      <c r="O15" s="10" t="s">
        <v>62</v>
      </c>
    </row>
    <row r="16" spans="1:15">
      <c r="A16" s="1" t="s">
        <v>37</v>
      </c>
      <c r="B16" s="49">
        <v>0.3</v>
      </c>
      <c r="C16" s="50">
        <v>6.8027272727272728E-2</v>
      </c>
      <c r="D16" s="41">
        <v>0.1</v>
      </c>
      <c r="E16" s="42"/>
      <c r="F16" s="41">
        <v>0.1</v>
      </c>
      <c r="G16" s="41">
        <v>1</v>
      </c>
      <c r="H16" s="43">
        <v>0.1</v>
      </c>
      <c r="I16" s="58">
        <f t="shared" si="0"/>
        <v>1.5</v>
      </c>
      <c r="J16" s="53">
        <f t="shared" si="1"/>
        <v>0.76530681818181823</v>
      </c>
      <c r="K16" s="33">
        <f t="shared" si="2"/>
        <v>0.76530681818181823</v>
      </c>
      <c r="L16" t="s">
        <v>37</v>
      </c>
      <c r="M16" s="56">
        <v>11</v>
      </c>
      <c r="N16" s="31">
        <f t="shared" si="3"/>
        <v>8.4183750000000011</v>
      </c>
      <c r="O16" s="10" t="s">
        <v>62</v>
      </c>
    </row>
    <row r="17" spans="1:13">
      <c r="A17" s="2"/>
      <c r="B17" s="45" t="s">
        <v>63</v>
      </c>
      <c r="D17" s="30" t="s">
        <v>39</v>
      </c>
      <c r="E17" s="10"/>
      <c r="F17" s="30" t="s">
        <v>39</v>
      </c>
      <c r="G17" s="30" t="s">
        <v>40</v>
      </c>
      <c r="H17" s="30" t="s">
        <v>40</v>
      </c>
      <c r="I17" s="10" t="s">
        <v>41</v>
      </c>
      <c r="J17" s="52" t="s">
        <v>42</v>
      </c>
      <c r="M17" s="1"/>
    </row>
    <row r="18" spans="1:13">
      <c r="A18" s="1" t="s">
        <v>43</v>
      </c>
      <c r="D18" s="30"/>
      <c r="E18" s="10"/>
      <c r="F18" s="30"/>
      <c r="G18" s="10"/>
      <c r="H18" s="10"/>
      <c r="I18" s="10"/>
      <c r="J18" s="11"/>
      <c r="M18" s="13"/>
    </row>
    <row r="19" spans="1:13">
      <c r="A19" t="s">
        <v>44</v>
      </c>
      <c r="M19" s="13"/>
    </row>
    <row r="20" spans="1:13" ht="14.25" customHeight="1">
      <c r="A20" s="14" t="s">
        <v>64</v>
      </c>
      <c r="B20" s="28"/>
      <c r="E20" s="28" t="s">
        <v>47</v>
      </c>
      <c r="M20" s="13"/>
    </row>
    <row r="21" spans="1:13">
      <c r="A21" t="s">
        <v>48</v>
      </c>
      <c r="E21" s="47" t="s">
        <v>50</v>
      </c>
      <c r="F21" s="47"/>
      <c r="G21" s="47"/>
      <c r="H21" t="s">
        <v>65</v>
      </c>
      <c r="M21" s="13"/>
    </row>
    <row r="22" spans="1:13">
      <c r="A22" s="44" t="s">
        <v>66</v>
      </c>
      <c r="B22" s="44"/>
      <c r="C22" s="44"/>
      <c r="E22" s="47" t="s">
        <v>53</v>
      </c>
      <c r="F22" s="47"/>
      <c r="G22" s="47"/>
      <c r="H22" s="47"/>
      <c r="I22" t="s">
        <v>65</v>
      </c>
    </row>
    <row r="23" spans="1:13">
      <c r="A23" s="44" t="s">
        <v>67</v>
      </c>
      <c r="B23" s="44"/>
      <c r="E23" t="s">
        <v>68</v>
      </c>
    </row>
    <row r="25" spans="1:13">
      <c r="A25" s="46" t="s">
        <v>69</v>
      </c>
      <c r="B25" s="46"/>
      <c r="C25" s="46"/>
      <c r="D25" s="46"/>
    </row>
    <row r="26" spans="1:13">
      <c r="H26" s="28" t="s">
        <v>46</v>
      </c>
    </row>
    <row r="27" spans="1:13" ht="15.75">
      <c r="H27" s="22" t="s">
        <v>49</v>
      </c>
    </row>
    <row r="28" spans="1:13" ht="15.75">
      <c r="H28" s="22" t="s">
        <v>52</v>
      </c>
    </row>
    <row r="29" spans="1:13" ht="15.75">
      <c r="H29" s="22" t="s">
        <v>54</v>
      </c>
    </row>
    <row r="30" spans="1:13" ht="15.75">
      <c r="H30" s="22" t="s">
        <v>56</v>
      </c>
    </row>
    <row r="31" spans="1:13" ht="15.75">
      <c r="H31" s="22" t="s">
        <v>57</v>
      </c>
      <c r="J31" t="s">
        <v>70</v>
      </c>
    </row>
  </sheetData>
  <mergeCells count="2">
    <mergeCell ref="A1:K1"/>
    <mergeCell ref="D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Lotta Rydhmer</dc:creator>
  <cp:keywords/>
  <dc:description/>
  <cp:lastModifiedBy>Gästanvändare</cp:lastModifiedBy>
  <cp:revision/>
  <dcterms:created xsi:type="dcterms:W3CDTF">2022-04-26T11:38:16Z</dcterms:created>
  <dcterms:modified xsi:type="dcterms:W3CDTF">2023-06-07T12:52:42Z</dcterms:modified>
  <cp:category/>
  <cp:contentStatus/>
</cp:coreProperties>
</file>