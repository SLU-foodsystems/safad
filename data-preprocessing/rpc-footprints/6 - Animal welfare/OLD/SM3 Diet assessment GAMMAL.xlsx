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ml.chartshapes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ml.chartshapes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5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/>
  <mc:AlternateContent xmlns:mc="http://schemas.openxmlformats.org/markup-compatibility/2006">
    <mc:Choice Requires="x15">
      <x15ac:absPath xmlns:x15ac="http://schemas.microsoft.com/office/spreadsheetml/2010/11/ac" url="https://svelantbruksuniversitet-my.sharepoint.com/personal/elin_roos_slu_se/Documents/Dokument/SLU/Projekt 42 - Plan'eat/WP3/6 - Animal welfare/Paper/"/>
    </mc:Choice>
  </mc:AlternateContent>
  <xr:revisionPtr revIDLastSave="643" documentId="13_ncr:40009_{84B82693-B8E4-474E-806C-D5C544A2ED0C}" xr6:coauthVersionLast="47" xr6:coauthVersionMax="47" xr10:uidLastSave="{B78BFC5F-9ACB-4F36-84C4-67594ACA6B21}"/>
  <bookViews>
    <workbookView xWindow="-108" yWindow="-108" windowWidth="23256" windowHeight="12576" xr2:uid="{00000000-000D-0000-FFFF-FFFF00000000}"/>
  </bookViews>
  <sheets>
    <sheet name="AW and CC calc" sheetId="6" r:id="rId1"/>
    <sheet name="Summary consumption" sheetId="3" r:id="rId2"/>
    <sheet name="Footprints Ireland" sheetId="5" r:id="rId3"/>
    <sheet name="Footprints Italy" sheetId="7" r:id="rId4"/>
    <sheet name="Footprints Poland" sheetId="8" r:id="rId5"/>
    <sheet name="Footprints Utopia" sheetId="11" r:id="rId6"/>
    <sheet name="French diet survey" sheetId="9" r:id="rId7"/>
    <sheet name="Pivot" sheetId="2" r:id="rId8"/>
    <sheet name="FAOSTAT_data_en_3-15-2024" sheetId="1" r:id="rId9"/>
  </sheets>
  <definedNames>
    <definedName name="_xlnm._FilterDatabase" localSheetId="8" hidden="1">'FAOSTAT_data_en_3-15-2024'!$A$1:$N$896</definedName>
  </definedNames>
  <calcPr calcId="191028"/>
  <pivotCaches>
    <pivotCache cacheId="1" r:id="rId1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30" i="6" l="1"/>
  <c r="AH30" i="6"/>
  <c r="AG30" i="6"/>
  <c r="AJ8" i="6"/>
  <c r="AJ9" i="6"/>
  <c r="AJ10" i="6"/>
  <c r="AJ11" i="6"/>
  <c r="AJ12" i="6"/>
  <c r="AJ13" i="6"/>
  <c r="AJ14" i="6"/>
  <c r="AJ15" i="6"/>
  <c r="AJ16" i="6"/>
  <c r="AJ17" i="6"/>
  <c r="AJ18" i="6"/>
  <c r="AJ19" i="6"/>
  <c r="AJ20" i="6"/>
  <c r="AJ21" i="6"/>
  <c r="AJ22" i="6"/>
  <c r="AJ23" i="6"/>
  <c r="AJ24" i="6"/>
  <c r="AJ25" i="6"/>
  <c r="AJ26" i="6"/>
  <c r="AJ27" i="6"/>
  <c r="AJ28" i="6"/>
  <c r="AJ29" i="6"/>
  <c r="AJ7" i="6"/>
  <c r="Z8" i="6"/>
  <c r="Z9" i="6"/>
  <c r="Z10" i="6"/>
  <c r="Z11" i="6"/>
  <c r="Z12" i="6"/>
  <c r="Z13" i="6"/>
  <c r="Z14" i="6"/>
  <c r="Z15" i="6"/>
  <c r="Z16" i="6"/>
  <c r="Z17" i="6"/>
  <c r="Z18" i="6"/>
  <c r="Z19" i="6"/>
  <c r="Z20" i="6"/>
  <c r="Z21" i="6"/>
  <c r="Z22" i="6"/>
  <c r="Z23" i="6"/>
  <c r="Z24" i="6"/>
  <c r="Z25" i="6"/>
  <c r="Z26" i="6"/>
  <c r="Z27" i="6"/>
  <c r="Z28" i="6"/>
  <c r="Z29" i="6"/>
  <c r="Z7" i="6"/>
  <c r="Z30" i="6" s="1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7" i="6"/>
  <c r="F6" i="11"/>
  <c r="F7" i="11"/>
  <c r="F8" i="11"/>
  <c r="F9" i="11"/>
  <c r="F10" i="11"/>
  <c r="F11" i="11"/>
  <c r="F12" i="11"/>
  <c r="F16" i="11"/>
  <c r="F17" i="11"/>
  <c r="F19" i="11"/>
  <c r="F20" i="11"/>
  <c r="F21" i="11"/>
  <c r="F22" i="11"/>
  <c r="F23" i="11"/>
  <c r="F24" i="11"/>
  <c r="F25" i="11"/>
  <c r="E25" i="11"/>
  <c r="E24" i="11"/>
  <c r="E23" i="11"/>
  <c r="E22" i="11"/>
  <c r="E20" i="11"/>
  <c r="E21" i="11"/>
  <c r="E19" i="11"/>
  <c r="E17" i="11"/>
  <c r="E16" i="11"/>
  <c r="E12" i="11"/>
  <c r="E11" i="11"/>
  <c r="E10" i="11"/>
  <c r="E9" i="11"/>
  <c r="E8" i="11"/>
  <c r="E7" i="11"/>
  <c r="E6" i="11"/>
  <c r="AJ30" i="6" l="1"/>
  <c r="I30" i="6"/>
  <c r="P10" i="3" l="1"/>
  <c r="P9" i="3"/>
  <c r="O9" i="3"/>
  <c r="P8" i="3"/>
  <c r="P7" i="3"/>
  <c r="O7" i="3"/>
  <c r="K33" i="3"/>
  <c r="K32" i="3"/>
  <c r="K31" i="3"/>
  <c r="K30" i="3"/>
  <c r="K29" i="3"/>
  <c r="K28" i="3"/>
  <c r="K27" i="3"/>
  <c r="K35" i="3" s="1"/>
  <c r="AC39" i="6" l="1"/>
  <c r="AB38" i="6"/>
  <c r="N28" i="6"/>
  <c r="AM28" i="6" s="1"/>
  <c r="F27" i="6" l="1"/>
  <c r="G27" i="6" s="1"/>
  <c r="F26" i="6"/>
  <c r="G26" i="6" s="1"/>
  <c r="F25" i="6"/>
  <c r="G25" i="6" s="1"/>
  <c r="F23" i="6"/>
  <c r="G23" i="6" s="1"/>
  <c r="F22" i="6"/>
  <c r="G22" i="6" s="1"/>
  <c r="F19" i="6"/>
  <c r="F18" i="6"/>
  <c r="G18" i="6" s="1"/>
  <c r="F13" i="6"/>
  <c r="G13" i="6" s="1"/>
  <c r="F12" i="6"/>
  <c r="G12" i="6" s="1"/>
  <c r="F10" i="6"/>
  <c r="G10" i="6" s="1"/>
  <c r="F8" i="6"/>
  <c r="G8" i="6" s="1"/>
  <c r="D27" i="6"/>
  <c r="D26" i="6"/>
  <c r="D25" i="6"/>
  <c r="D23" i="6"/>
  <c r="D22" i="6"/>
  <c r="D19" i="6"/>
  <c r="D18" i="6"/>
  <c r="D13" i="6"/>
  <c r="D12" i="6"/>
  <c r="D10" i="6"/>
  <c r="D8" i="6"/>
  <c r="B27" i="6"/>
  <c r="W27" i="6" s="1"/>
  <c r="W34" i="6" s="1"/>
  <c r="B26" i="6"/>
  <c r="W26" i="6" s="1"/>
  <c r="W33" i="6" s="1"/>
  <c r="B25" i="6"/>
  <c r="W25" i="6" s="1"/>
  <c r="B23" i="6"/>
  <c r="W23" i="6" s="1"/>
  <c r="B22" i="6"/>
  <c r="W22" i="6" s="1"/>
  <c r="C55" i="6"/>
  <c r="C46" i="6"/>
  <c r="B20" i="6" s="1"/>
  <c r="W20" i="6" s="1"/>
  <c r="B19" i="6"/>
  <c r="W19" i="6" s="1"/>
  <c r="B18" i="6"/>
  <c r="W18" i="6" s="1"/>
  <c r="B13" i="6"/>
  <c r="W13" i="6" s="1"/>
  <c r="B12" i="6"/>
  <c r="W12" i="6" s="1"/>
  <c r="B10" i="6"/>
  <c r="W10" i="6" s="1"/>
  <c r="B7" i="6" l="1"/>
  <c r="F7" i="6"/>
  <c r="G7" i="6" s="1"/>
  <c r="Y19" i="6"/>
  <c r="G19" i="6"/>
  <c r="W37" i="6"/>
  <c r="AG7" i="6"/>
  <c r="W7" i="6"/>
  <c r="C7" i="6"/>
  <c r="AH12" i="6"/>
  <c r="X12" i="6"/>
  <c r="AH27" i="6"/>
  <c r="X27" i="6"/>
  <c r="X34" i="6" s="1"/>
  <c r="AI23" i="6"/>
  <c r="Y23" i="6"/>
  <c r="AH18" i="6"/>
  <c r="X18" i="6"/>
  <c r="AH19" i="6"/>
  <c r="X19" i="6"/>
  <c r="AI12" i="6"/>
  <c r="Y12" i="6"/>
  <c r="AI27" i="6"/>
  <c r="Y27" i="6"/>
  <c r="Y34" i="6" s="1"/>
  <c r="AH8" i="6"/>
  <c r="X8" i="6"/>
  <c r="AH25" i="6"/>
  <c r="X25" i="6"/>
  <c r="AI8" i="6"/>
  <c r="Y8" i="6"/>
  <c r="AI26" i="6"/>
  <c r="Y26" i="6"/>
  <c r="Y33" i="6" s="1"/>
  <c r="AH22" i="6"/>
  <c r="X22" i="6"/>
  <c r="AI13" i="6"/>
  <c r="Y13" i="6"/>
  <c r="AI19" i="6"/>
  <c r="J10" i="6"/>
  <c r="X10" i="6"/>
  <c r="AH26" i="6"/>
  <c r="X26" i="6"/>
  <c r="X33" i="6" s="1"/>
  <c r="AI22" i="6"/>
  <c r="Y22" i="6"/>
  <c r="AH13" i="6"/>
  <c r="X13" i="6"/>
  <c r="AI25" i="6"/>
  <c r="Y25" i="6"/>
  <c r="AI10" i="6"/>
  <c r="Y10" i="6"/>
  <c r="AH23" i="6"/>
  <c r="X23" i="6"/>
  <c r="AI18" i="6"/>
  <c r="Y18" i="6"/>
  <c r="J23" i="6"/>
  <c r="J8" i="6"/>
  <c r="AH10" i="6"/>
  <c r="AG22" i="6"/>
  <c r="L22" i="6"/>
  <c r="AB22" i="6" s="1"/>
  <c r="N22" i="6"/>
  <c r="J13" i="6"/>
  <c r="L7" i="6"/>
  <c r="N7" i="6"/>
  <c r="AG10" i="6"/>
  <c r="N10" i="6"/>
  <c r="L10" i="6"/>
  <c r="AG23" i="6"/>
  <c r="L23" i="6"/>
  <c r="AB23" i="6" s="1"/>
  <c r="N23" i="6"/>
  <c r="J12" i="6"/>
  <c r="AG20" i="6"/>
  <c r="N20" i="6"/>
  <c r="L20" i="6"/>
  <c r="AB20" i="6" s="1"/>
  <c r="J22" i="6"/>
  <c r="AG12" i="6"/>
  <c r="N12" i="6"/>
  <c r="L12" i="6"/>
  <c r="AB12" i="6" s="1"/>
  <c r="AG25" i="6"/>
  <c r="N25" i="6"/>
  <c r="L25" i="6"/>
  <c r="AB25" i="6" s="1"/>
  <c r="J27" i="6"/>
  <c r="J19" i="6"/>
  <c r="J26" i="6"/>
  <c r="J18" i="6"/>
  <c r="AG13" i="6"/>
  <c r="L13" i="6"/>
  <c r="AB13" i="6" s="1"/>
  <c r="N13" i="6"/>
  <c r="AG18" i="6"/>
  <c r="N18" i="6"/>
  <c r="L18" i="6"/>
  <c r="AB18" i="6" s="1"/>
  <c r="AG27" i="6"/>
  <c r="N27" i="6"/>
  <c r="J25" i="6"/>
  <c r="AG26" i="6"/>
  <c r="N26" i="6"/>
  <c r="L26" i="6"/>
  <c r="AB26" i="6" s="1"/>
  <c r="AB33" i="6" s="1"/>
  <c r="AG19" i="6"/>
  <c r="N19" i="6"/>
  <c r="L19" i="6"/>
  <c r="AB19" i="6" s="1"/>
  <c r="D7" i="6"/>
  <c r="X7" i="6" s="1"/>
  <c r="F20" i="6"/>
  <c r="G20" i="6" s="1"/>
  <c r="D20" i="6"/>
  <c r="X20" i="6" s="1"/>
  <c r="X37" i="6" l="1"/>
  <c r="Y32" i="6"/>
  <c r="AK8" i="6"/>
  <c r="AA8" i="6"/>
  <c r="AM26" i="6"/>
  <c r="AM33" i="6" s="1"/>
  <c r="O26" i="6"/>
  <c r="O33" i="6" s="1"/>
  <c r="AC26" i="6"/>
  <c r="AC33" i="6" s="1"/>
  <c r="AM13" i="6"/>
  <c r="AC13" i="6"/>
  <c r="O13" i="6"/>
  <c r="AM25" i="6"/>
  <c r="O25" i="6"/>
  <c r="AC25" i="6"/>
  <c r="AC7" i="6"/>
  <c r="AM7" i="6"/>
  <c r="O7" i="6"/>
  <c r="AK23" i="6"/>
  <c r="AA23" i="6"/>
  <c r="AK10" i="6"/>
  <c r="AA10" i="6"/>
  <c r="AK25" i="6"/>
  <c r="AA25" i="6"/>
  <c r="AK13" i="6"/>
  <c r="AA13" i="6"/>
  <c r="AI7" i="6"/>
  <c r="Y7" i="6"/>
  <c r="AC27" i="6"/>
  <c r="AC34" i="6" s="1"/>
  <c r="AM27" i="6"/>
  <c r="AM34" i="6" s="1"/>
  <c r="O27" i="6"/>
  <c r="O34" i="6" s="1"/>
  <c r="AK18" i="6"/>
  <c r="AA18" i="6"/>
  <c r="AM12" i="6"/>
  <c r="O12" i="6"/>
  <c r="AC12" i="6"/>
  <c r="AC22" i="6"/>
  <c r="O22" i="6"/>
  <c r="AM22" i="6"/>
  <c r="AK12" i="6"/>
  <c r="AA12" i="6"/>
  <c r="X32" i="6"/>
  <c r="O20" i="6"/>
  <c r="AM20" i="6"/>
  <c r="AC20" i="6"/>
  <c r="O23" i="6"/>
  <c r="AC23" i="6"/>
  <c r="AM23" i="6"/>
  <c r="AK26" i="6"/>
  <c r="AK33" i="6" s="1"/>
  <c r="AA26" i="6"/>
  <c r="AA33" i="6" s="1"/>
  <c r="AK19" i="6"/>
  <c r="AA19" i="6"/>
  <c r="AK22" i="6"/>
  <c r="AA22" i="6"/>
  <c r="AB10" i="6"/>
  <c r="AB37" i="6" s="1"/>
  <c r="AL10" i="6"/>
  <c r="Y37" i="6"/>
  <c r="AB7" i="6"/>
  <c r="AL7" i="6"/>
  <c r="AI20" i="6"/>
  <c r="Y20" i="6"/>
  <c r="AC19" i="6"/>
  <c r="AM19" i="6"/>
  <c r="O19" i="6"/>
  <c r="AM18" i="6"/>
  <c r="O18" i="6"/>
  <c r="AC18" i="6"/>
  <c r="AK27" i="6"/>
  <c r="AK34" i="6" s="1"/>
  <c r="AA27" i="6"/>
  <c r="AA34" i="6" s="1"/>
  <c r="AM10" i="6"/>
  <c r="O10" i="6"/>
  <c r="AC10" i="6"/>
  <c r="J7" i="6"/>
  <c r="AA7" i="6" s="1"/>
  <c r="AH7" i="6"/>
  <c r="AL18" i="6"/>
  <c r="M18" i="6"/>
  <c r="M7" i="6"/>
  <c r="M23" i="6"/>
  <c r="AL23" i="6"/>
  <c r="AL26" i="6"/>
  <c r="M26" i="6"/>
  <c r="M33" i="6" s="1"/>
  <c r="M10" i="6"/>
  <c r="AL19" i="6"/>
  <c r="M19" i="6"/>
  <c r="AL12" i="6"/>
  <c r="M12" i="6"/>
  <c r="AH20" i="6"/>
  <c r="J20" i="6"/>
  <c r="AL20" i="6"/>
  <c r="M20" i="6"/>
  <c r="M22" i="6"/>
  <c r="AL22" i="6"/>
  <c r="AL25" i="6"/>
  <c r="M25" i="6"/>
  <c r="M13" i="6"/>
  <c r="AL13" i="6"/>
  <c r="AK37" i="6" l="1"/>
  <c r="AK32" i="6"/>
  <c r="AM37" i="6"/>
  <c r="AK20" i="6"/>
  <c r="AA20" i="6"/>
  <c r="AC37" i="6"/>
  <c r="O37" i="6"/>
  <c r="AA37" i="6"/>
  <c r="AA32" i="6"/>
  <c r="M37" i="6"/>
  <c r="AK7" i="6"/>
  <c r="K7" i="6"/>
  <c r="C35" i="3" l="1"/>
  <c r="B8" i="6" l="1"/>
  <c r="B9" i="6"/>
  <c r="W9" i="6" s="1"/>
  <c r="B11" i="6"/>
  <c r="W11" i="6" s="1"/>
  <c r="B14" i="6"/>
  <c r="W14" i="6" s="1"/>
  <c r="W35" i="6" s="1"/>
  <c r="B15" i="6"/>
  <c r="W15" i="6" s="1"/>
  <c r="B16" i="6"/>
  <c r="W16" i="6" s="1"/>
  <c r="B17" i="6"/>
  <c r="W17" i="6" s="1"/>
  <c r="C20" i="6"/>
  <c r="B21" i="6"/>
  <c r="W21" i="6" s="1"/>
  <c r="B24" i="6"/>
  <c r="W24" i="6" s="1"/>
  <c r="F19" i="9"/>
  <c r="F16" i="9"/>
  <c r="F9" i="6"/>
  <c r="G9" i="6" s="1"/>
  <c r="F11" i="6"/>
  <c r="G11" i="6" s="1"/>
  <c r="F14" i="6"/>
  <c r="G14" i="6" s="1"/>
  <c r="F15" i="6"/>
  <c r="F16" i="6"/>
  <c r="F17" i="6"/>
  <c r="F21" i="6"/>
  <c r="G21" i="6" s="1"/>
  <c r="F24" i="6"/>
  <c r="G24" i="6" s="1"/>
  <c r="BI25" i="8"/>
  <c r="BH25" i="8"/>
  <c r="BG25" i="8"/>
  <c r="BF25" i="8"/>
  <c r="BE25" i="8"/>
  <c r="BD25" i="8"/>
  <c r="BC25" i="8"/>
  <c r="BB25" i="8"/>
  <c r="BA25" i="8"/>
  <c r="AZ25" i="8"/>
  <c r="AY25" i="8"/>
  <c r="AX25" i="8"/>
  <c r="AW25" i="8"/>
  <c r="AV25" i="8"/>
  <c r="AU25" i="8"/>
  <c r="AT25" i="8"/>
  <c r="AS25" i="8"/>
  <c r="AR25" i="8"/>
  <c r="AQ25" i="8"/>
  <c r="AP25" i="8"/>
  <c r="AO25" i="8"/>
  <c r="AN25" i="8"/>
  <c r="AM25" i="8"/>
  <c r="AL25" i="8"/>
  <c r="AK25" i="8"/>
  <c r="AJ25" i="8"/>
  <c r="AI25" i="8"/>
  <c r="AH25" i="8"/>
  <c r="AG25" i="8"/>
  <c r="AF25" i="8"/>
  <c r="AE25" i="8"/>
  <c r="AD25" i="8"/>
  <c r="AC25" i="8"/>
  <c r="AB25" i="8"/>
  <c r="AA25" i="8"/>
  <c r="Z25" i="8"/>
  <c r="Y25" i="8"/>
  <c r="X25" i="8"/>
  <c r="W25" i="8"/>
  <c r="V25" i="8"/>
  <c r="U25" i="8"/>
  <c r="T25" i="8"/>
  <c r="S25" i="8"/>
  <c r="R25" i="8"/>
  <c r="Q25" i="8"/>
  <c r="P25" i="8"/>
  <c r="O25" i="8"/>
  <c r="N25" i="8"/>
  <c r="M25" i="8"/>
  <c r="L25" i="8"/>
  <c r="K25" i="8"/>
  <c r="J25" i="8"/>
  <c r="I25" i="8"/>
  <c r="H25" i="8"/>
  <c r="G25" i="8"/>
  <c r="F25" i="8"/>
  <c r="E25" i="8"/>
  <c r="D25" i="8"/>
  <c r="C25" i="8"/>
  <c r="B25" i="8"/>
  <c r="BI24" i="8"/>
  <c r="BH24" i="8"/>
  <c r="BG24" i="8"/>
  <c r="BF24" i="8"/>
  <c r="BE24" i="8"/>
  <c r="BD24" i="8"/>
  <c r="BC24" i="8"/>
  <c r="BB24" i="8"/>
  <c r="BA24" i="8"/>
  <c r="AZ24" i="8"/>
  <c r="AY24" i="8"/>
  <c r="AX24" i="8"/>
  <c r="AW24" i="8"/>
  <c r="AV24" i="8"/>
  <c r="AU24" i="8"/>
  <c r="AT24" i="8"/>
  <c r="AS24" i="8"/>
  <c r="AR24" i="8"/>
  <c r="AQ24" i="8"/>
  <c r="AP24" i="8"/>
  <c r="AO24" i="8"/>
  <c r="AN24" i="8"/>
  <c r="AM24" i="8"/>
  <c r="AL24" i="8"/>
  <c r="AK24" i="8"/>
  <c r="AJ24" i="8"/>
  <c r="AI24" i="8"/>
  <c r="AH24" i="8"/>
  <c r="AG24" i="8"/>
  <c r="AF24" i="8"/>
  <c r="AE24" i="8"/>
  <c r="AD24" i="8"/>
  <c r="AC24" i="8"/>
  <c r="AB24" i="8"/>
  <c r="AA24" i="8"/>
  <c r="Z24" i="8"/>
  <c r="Y24" i="8"/>
  <c r="X24" i="8"/>
  <c r="W24" i="8"/>
  <c r="V24" i="8"/>
  <c r="U24" i="8"/>
  <c r="T24" i="8"/>
  <c r="S24" i="8"/>
  <c r="R24" i="8"/>
  <c r="Q24" i="8"/>
  <c r="P24" i="8"/>
  <c r="O24" i="8"/>
  <c r="N24" i="8"/>
  <c r="M24" i="8"/>
  <c r="L24" i="8"/>
  <c r="K24" i="8"/>
  <c r="J24" i="8"/>
  <c r="I24" i="8"/>
  <c r="H24" i="8"/>
  <c r="G24" i="8"/>
  <c r="F24" i="8"/>
  <c r="E24" i="8"/>
  <c r="D24" i="8"/>
  <c r="C24" i="8"/>
  <c r="B24" i="8"/>
  <c r="BI23" i="8"/>
  <c r="BH23" i="8"/>
  <c r="BG23" i="8"/>
  <c r="BF23" i="8"/>
  <c r="BE23" i="8"/>
  <c r="BD23" i="8"/>
  <c r="BC23" i="8"/>
  <c r="BB23" i="8"/>
  <c r="BA23" i="8"/>
  <c r="AZ23" i="8"/>
  <c r="AY23" i="8"/>
  <c r="AX23" i="8"/>
  <c r="AW23" i="8"/>
  <c r="AV23" i="8"/>
  <c r="AU23" i="8"/>
  <c r="AT23" i="8"/>
  <c r="AS23" i="8"/>
  <c r="AR23" i="8"/>
  <c r="AQ23" i="8"/>
  <c r="AP23" i="8"/>
  <c r="AO23" i="8"/>
  <c r="AN23" i="8"/>
  <c r="AM23" i="8"/>
  <c r="AL23" i="8"/>
  <c r="AK23" i="8"/>
  <c r="AJ23" i="8"/>
  <c r="AI23" i="8"/>
  <c r="AH23" i="8"/>
  <c r="AG23" i="8"/>
  <c r="AF23" i="8"/>
  <c r="AE23" i="8"/>
  <c r="AD23" i="8"/>
  <c r="AC23" i="8"/>
  <c r="AB23" i="8"/>
  <c r="AA23" i="8"/>
  <c r="Z23" i="8"/>
  <c r="Y23" i="8"/>
  <c r="X23" i="8"/>
  <c r="W23" i="8"/>
  <c r="V23" i="8"/>
  <c r="U23" i="8"/>
  <c r="T23" i="8"/>
  <c r="S23" i="8"/>
  <c r="R23" i="8"/>
  <c r="Q23" i="8"/>
  <c r="P23" i="8"/>
  <c r="O23" i="8"/>
  <c r="N23" i="8"/>
  <c r="M23" i="8"/>
  <c r="L23" i="8"/>
  <c r="K23" i="8"/>
  <c r="J23" i="8"/>
  <c r="I23" i="8"/>
  <c r="H23" i="8"/>
  <c r="G23" i="8"/>
  <c r="F23" i="8"/>
  <c r="E23" i="8"/>
  <c r="D23" i="8"/>
  <c r="C23" i="8"/>
  <c r="B23" i="8"/>
  <c r="BI22" i="8"/>
  <c r="BH22" i="8"/>
  <c r="BG22" i="8"/>
  <c r="BF22" i="8"/>
  <c r="BE22" i="8"/>
  <c r="BD22" i="8"/>
  <c r="BC22" i="8"/>
  <c r="BB22" i="8"/>
  <c r="BA22" i="8"/>
  <c r="AZ22" i="8"/>
  <c r="AY22" i="8"/>
  <c r="AX22" i="8"/>
  <c r="AW22" i="8"/>
  <c r="AV22" i="8"/>
  <c r="AU22" i="8"/>
  <c r="AT22" i="8"/>
  <c r="AS22" i="8"/>
  <c r="AR22" i="8"/>
  <c r="AQ22" i="8"/>
  <c r="AP22" i="8"/>
  <c r="AO22" i="8"/>
  <c r="AN22" i="8"/>
  <c r="AM22" i="8"/>
  <c r="AL22" i="8"/>
  <c r="AK22" i="8"/>
  <c r="AJ22" i="8"/>
  <c r="AI22" i="8"/>
  <c r="AH22" i="8"/>
  <c r="AG22" i="8"/>
  <c r="AF22" i="8"/>
  <c r="AE22" i="8"/>
  <c r="AD22" i="8"/>
  <c r="AC22" i="8"/>
  <c r="AB22" i="8"/>
  <c r="AA22" i="8"/>
  <c r="Z22" i="8"/>
  <c r="Y22" i="8"/>
  <c r="X22" i="8"/>
  <c r="W22" i="8"/>
  <c r="V22" i="8"/>
  <c r="U22" i="8"/>
  <c r="T22" i="8"/>
  <c r="S22" i="8"/>
  <c r="R22" i="8"/>
  <c r="Q22" i="8"/>
  <c r="P22" i="8"/>
  <c r="O22" i="8"/>
  <c r="N22" i="8"/>
  <c r="M22" i="8"/>
  <c r="L22" i="8"/>
  <c r="K22" i="8"/>
  <c r="J22" i="8"/>
  <c r="I22" i="8"/>
  <c r="H22" i="8"/>
  <c r="G22" i="8"/>
  <c r="F22" i="8"/>
  <c r="E22" i="8"/>
  <c r="D22" i="8"/>
  <c r="C22" i="8"/>
  <c r="B22" i="8"/>
  <c r="BI21" i="8"/>
  <c r="BH21" i="8"/>
  <c r="BG21" i="8"/>
  <c r="BF21" i="8"/>
  <c r="BE21" i="8"/>
  <c r="BD21" i="8"/>
  <c r="BC21" i="8"/>
  <c r="BB21" i="8"/>
  <c r="BA21" i="8"/>
  <c r="AZ21" i="8"/>
  <c r="AY21" i="8"/>
  <c r="AX21" i="8"/>
  <c r="AW21" i="8"/>
  <c r="AV21" i="8"/>
  <c r="AU21" i="8"/>
  <c r="AT21" i="8"/>
  <c r="AS21" i="8"/>
  <c r="AR21" i="8"/>
  <c r="AQ21" i="8"/>
  <c r="AP21" i="8"/>
  <c r="AO21" i="8"/>
  <c r="AN21" i="8"/>
  <c r="AM21" i="8"/>
  <c r="AL21" i="8"/>
  <c r="AK21" i="8"/>
  <c r="AJ21" i="8"/>
  <c r="AI21" i="8"/>
  <c r="AH21" i="8"/>
  <c r="AG21" i="8"/>
  <c r="AF21" i="8"/>
  <c r="AE21" i="8"/>
  <c r="AD21" i="8"/>
  <c r="AC21" i="8"/>
  <c r="AB21" i="8"/>
  <c r="AA21" i="8"/>
  <c r="Z21" i="8"/>
  <c r="Y21" i="8"/>
  <c r="X21" i="8"/>
  <c r="W21" i="8"/>
  <c r="V21" i="8"/>
  <c r="U21" i="8"/>
  <c r="T21" i="8"/>
  <c r="S21" i="8"/>
  <c r="R21" i="8"/>
  <c r="Q21" i="8"/>
  <c r="P21" i="8"/>
  <c r="O21" i="8"/>
  <c r="N21" i="8"/>
  <c r="M21" i="8"/>
  <c r="L21" i="8"/>
  <c r="K21" i="8"/>
  <c r="J21" i="8"/>
  <c r="I21" i="8"/>
  <c r="H21" i="8"/>
  <c r="G21" i="8"/>
  <c r="F21" i="8"/>
  <c r="E21" i="8"/>
  <c r="D21" i="8"/>
  <c r="C21" i="8"/>
  <c r="B21" i="8"/>
  <c r="BI20" i="8"/>
  <c r="BH20" i="8"/>
  <c r="BG20" i="8"/>
  <c r="BF20" i="8"/>
  <c r="BE20" i="8"/>
  <c r="BD20" i="8"/>
  <c r="BC20" i="8"/>
  <c r="BB20" i="8"/>
  <c r="BA20" i="8"/>
  <c r="AZ20" i="8"/>
  <c r="AY20" i="8"/>
  <c r="AX20" i="8"/>
  <c r="AW20" i="8"/>
  <c r="AV20" i="8"/>
  <c r="AU20" i="8"/>
  <c r="AT20" i="8"/>
  <c r="AS20" i="8"/>
  <c r="AR20" i="8"/>
  <c r="AQ20" i="8"/>
  <c r="AP20" i="8"/>
  <c r="AO20" i="8"/>
  <c r="AN20" i="8"/>
  <c r="AM20" i="8"/>
  <c r="AL20" i="8"/>
  <c r="AK20" i="8"/>
  <c r="AJ20" i="8"/>
  <c r="AI20" i="8"/>
  <c r="AH20" i="8"/>
  <c r="AG20" i="8"/>
  <c r="AF20" i="8"/>
  <c r="AE20" i="8"/>
  <c r="AD20" i="8"/>
  <c r="AC20" i="8"/>
  <c r="AB20" i="8"/>
  <c r="AA20" i="8"/>
  <c r="Z20" i="8"/>
  <c r="Y20" i="8"/>
  <c r="X20" i="8"/>
  <c r="W20" i="8"/>
  <c r="V20" i="8"/>
  <c r="U20" i="8"/>
  <c r="T20" i="8"/>
  <c r="S20" i="8"/>
  <c r="R20" i="8"/>
  <c r="Q20" i="8"/>
  <c r="P20" i="8"/>
  <c r="O20" i="8"/>
  <c r="N20" i="8"/>
  <c r="M20" i="8"/>
  <c r="L20" i="8"/>
  <c r="K20" i="8"/>
  <c r="J20" i="8"/>
  <c r="I20" i="8"/>
  <c r="H20" i="8"/>
  <c r="G20" i="8"/>
  <c r="F20" i="8"/>
  <c r="E20" i="8"/>
  <c r="D20" i="8"/>
  <c r="C20" i="8"/>
  <c r="B20" i="8"/>
  <c r="BI19" i="8"/>
  <c r="BH19" i="8"/>
  <c r="BG19" i="8"/>
  <c r="BF19" i="8"/>
  <c r="BE19" i="8"/>
  <c r="BD19" i="8"/>
  <c r="BC19" i="8"/>
  <c r="BB19" i="8"/>
  <c r="BA19" i="8"/>
  <c r="AZ19" i="8"/>
  <c r="AY19" i="8"/>
  <c r="AX19" i="8"/>
  <c r="AW19" i="8"/>
  <c r="AV19" i="8"/>
  <c r="AU19" i="8"/>
  <c r="AT19" i="8"/>
  <c r="AS19" i="8"/>
  <c r="AR19" i="8"/>
  <c r="AQ19" i="8"/>
  <c r="AP19" i="8"/>
  <c r="AO19" i="8"/>
  <c r="AN19" i="8"/>
  <c r="AM19" i="8"/>
  <c r="AL19" i="8"/>
  <c r="AK19" i="8"/>
  <c r="AJ19" i="8"/>
  <c r="AI19" i="8"/>
  <c r="AH19" i="8"/>
  <c r="AG19" i="8"/>
  <c r="AF19" i="8"/>
  <c r="AE19" i="8"/>
  <c r="AD19" i="8"/>
  <c r="AC19" i="8"/>
  <c r="AB19" i="8"/>
  <c r="AA19" i="8"/>
  <c r="Z19" i="8"/>
  <c r="Y19" i="8"/>
  <c r="W19" i="8"/>
  <c r="V19" i="8"/>
  <c r="U19" i="8"/>
  <c r="T19" i="8"/>
  <c r="S19" i="8"/>
  <c r="R19" i="8"/>
  <c r="Q19" i="8"/>
  <c r="P19" i="8"/>
  <c r="O19" i="8"/>
  <c r="N19" i="8"/>
  <c r="M19" i="8"/>
  <c r="L19" i="8"/>
  <c r="K19" i="8"/>
  <c r="J19" i="8"/>
  <c r="I19" i="8"/>
  <c r="H19" i="8"/>
  <c r="G19" i="8"/>
  <c r="F19" i="8"/>
  <c r="E19" i="8"/>
  <c r="D19" i="8"/>
  <c r="C19" i="8"/>
  <c r="B19" i="8"/>
  <c r="BI17" i="8"/>
  <c r="BH17" i="8"/>
  <c r="BG17" i="8"/>
  <c r="BF17" i="8"/>
  <c r="BE17" i="8"/>
  <c r="BD17" i="8"/>
  <c r="BC17" i="8"/>
  <c r="BB17" i="8"/>
  <c r="BA17" i="8"/>
  <c r="AZ17" i="8"/>
  <c r="AY17" i="8"/>
  <c r="AX17" i="8"/>
  <c r="AW17" i="8"/>
  <c r="AV17" i="8"/>
  <c r="AU17" i="8"/>
  <c r="AT17" i="8"/>
  <c r="AS17" i="8"/>
  <c r="AR17" i="8"/>
  <c r="AQ17" i="8"/>
  <c r="AP17" i="8"/>
  <c r="AO17" i="8"/>
  <c r="AN17" i="8"/>
  <c r="AM17" i="8"/>
  <c r="AL17" i="8"/>
  <c r="AK17" i="8"/>
  <c r="AJ17" i="8"/>
  <c r="AI17" i="8"/>
  <c r="AH17" i="8"/>
  <c r="AG17" i="8"/>
  <c r="AF17" i="8"/>
  <c r="AE17" i="8"/>
  <c r="AD17" i="8"/>
  <c r="AC17" i="8"/>
  <c r="AB17" i="8"/>
  <c r="AA17" i="8"/>
  <c r="Z17" i="8"/>
  <c r="Y17" i="8"/>
  <c r="X17" i="8"/>
  <c r="W17" i="8"/>
  <c r="V17" i="8"/>
  <c r="U17" i="8"/>
  <c r="T17" i="8"/>
  <c r="S17" i="8"/>
  <c r="R17" i="8"/>
  <c r="Q17" i="8"/>
  <c r="P17" i="8"/>
  <c r="O17" i="8"/>
  <c r="N17" i="8"/>
  <c r="M17" i="8"/>
  <c r="L17" i="8"/>
  <c r="K17" i="8"/>
  <c r="J17" i="8"/>
  <c r="I17" i="8"/>
  <c r="H17" i="8"/>
  <c r="G17" i="8"/>
  <c r="F17" i="8"/>
  <c r="E17" i="8"/>
  <c r="D17" i="8"/>
  <c r="C17" i="8"/>
  <c r="B17" i="8"/>
  <c r="BI16" i="8"/>
  <c r="BH16" i="8"/>
  <c r="BG16" i="8"/>
  <c r="BF16" i="8"/>
  <c r="BE16" i="8"/>
  <c r="BD16" i="8"/>
  <c r="BC16" i="8"/>
  <c r="BB16" i="8"/>
  <c r="BA16" i="8"/>
  <c r="AZ16" i="8"/>
  <c r="AY16" i="8"/>
  <c r="AX16" i="8"/>
  <c r="AW16" i="8"/>
  <c r="AV16" i="8"/>
  <c r="AU16" i="8"/>
  <c r="AT16" i="8"/>
  <c r="AS16" i="8"/>
  <c r="AR16" i="8"/>
  <c r="AQ16" i="8"/>
  <c r="AP16" i="8"/>
  <c r="AO16" i="8"/>
  <c r="AN16" i="8"/>
  <c r="AM16" i="8"/>
  <c r="AL16" i="8"/>
  <c r="AK16" i="8"/>
  <c r="AJ16" i="8"/>
  <c r="AI16" i="8"/>
  <c r="AH16" i="8"/>
  <c r="AG16" i="8"/>
  <c r="AF16" i="8"/>
  <c r="AE16" i="8"/>
  <c r="AD16" i="8"/>
  <c r="AC16" i="8"/>
  <c r="AB16" i="8"/>
  <c r="AA16" i="8"/>
  <c r="Z16" i="8"/>
  <c r="Y16" i="8"/>
  <c r="X16" i="8"/>
  <c r="W16" i="8"/>
  <c r="V16" i="8"/>
  <c r="U16" i="8"/>
  <c r="T16" i="8"/>
  <c r="S16" i="8"/>
  <c r="R16" i="8"/>
  <c r="Q16" i="8"/>
  <c r="P16" i="8"/>
  <c r="O16" i="8"/>
  <c r="N16" i="8"/>
  <c r="M16" i="8"/>
  <c r="L16" i="8"/>
  <c r="K16" i="8"/>
  <c r="J16" i="8"/>
  <c r="I16" i="8"/>
  <c r="H16" i="8"/>
  <c r="G16" i="8"/>
  <c r="F16" i="8"/>
  <c r="E16" i="8"/>
  <c r="D16" i="8"/>
  <c r="C16" i="8"/>
  <c r="B16" i="8"/>
  <c r="BI12" i="8"/>
  <c r="BH12" i="8"/>
  <c r="BG12" i="8"/>
  <c r="BF12" i="8"/>
  <c r="BE12" i="8"/>
  <c r="BD12" i="8"/>
  <c r="BC12" i="8"/>
  <c r="BB12" i="8"/>
  <c r="BA12" i="8"/>
  <c r="AZ12" i="8"/>
  <c r="AY12" i="8"/>
  <c r="AX12" i="8"/>
  <c r="AW12" i="8"/>
  <c r="AV12" i="8"/>
  <c r="AU12" i="8"/>
  <c r="AT12" i="8"/>
  <c r="AS12" i="8"/>
  <c r="AR12" i="8"/>
  <c r="AQ12" i="8"/>
  <c r="AP12" i="8"/>
  <c r="AO12" i="8"/>
  <c r="AN12" i="8"/>
  <c r="AM12" i="8"/>
  <c r="AL12" i="8"/>
  <c r="AK12" i="8"/>
  <c r="AJ12" i="8"/>
  <c r="AI12" i="8"/>
  <c r="AH12" i="8"/>
  <c r="AG12" i="8"/>
  <c r="AF12" i="8"/>
  <c r="AE12" i="8"/>
  <c r="AD12" i="8"/>
  <c r="AC12" i="8"/>
  <c r="AB12" i="8"/>
  <c r="AA12" i="8"/>
  <c r="Z12" i="8"/>
  <c r="Y12" i="8"/>
  <c r="X12" i="8"/>
  <c r="W12" i="8"/>
  <c r="V12" i="8"/>
  <c r="U12" i="8"/>
  <c r="T12" i="8"/>
  <c r="S12" i="8"/>
  <c r="R12" i="8"/>
  <c r="Q12" i="8"/>
  <c r="P12" i="8"/>
  <c r="O12" i="8"/>
  <c r="N12" i="8"/>
  <c r="M12" i="8"/>
  <c r="L12" i="8"/>
  <c r="K12" i="8"/>
  <c r="J12" i="8"/>
  <c r="I12" i="8"/>
  <c r="H12" i="8"/>
  <c r="G12" i="8"/>
  <c r="F12" i="8"/>
  <c r="E12" i="8"/>
  <c r="D12" i="8"/>
  <c r="C12" i="8"/>
  <c r="B12" i="8"/>
  <c r="BI11" i="8"/>
  <c r="BH11" i="8"/>
  <c r="BG11" i="8"/>
  <c r="BF11" i="8"/>
  <c r="BE11" i="8"/>
  <c r="BD11" i="8"/>
  <c r="BC11" i="8"/>
  <c r="BB11" i="8"/>
  <c r="BA11" i="8"/>
  <c r="AZ11" i="8"/>
  <c r="AY11" i="8"/>
  <c r="AX11" i="8"/>
  <c r="AW11" i="8"/>
  <c r="AV11" i="8"/>
  <c r="AU11" i="8"/>
  <c r="AT11" i="8"/>
  <c r="AS11" i="8"/>
  <c r="AR11" i="8"/>
  <c r="AQ11" i="8"/>
  <c r="AP11" i="8"/>
  <c r="AO11" i="8"/>
  <c r="AN11" i="8"/>
  <c r="AM11" i="8"/>
  <c r="AL11" i="8"/>
  <c r="AK11" i="8"/>
  <c r="AJ11" i="8"/>
  <c r="AI11" i="8"/>
  <c r="AH11" i="8"/>
  <c r="AG11" i="8"/>
  <c r="AF11" i="8"/>
  <c r="AE11" i="8"/>
  <c r="AD11" i="8"/>
  <c r="AC11" i="8"/>
  <c r="AB11" i="8"/>
  <c r="AA11" i="8"/>
  <c r="Z11" i="8"/>
  <c r="Y11" i="8"/>
  <c r="X11" i="8"/>
  <c r="W11" i="8"/>
  <c r="V11" i="8"/>
  <c r="U11" i="8"/>
  <c r="T11" i="8"/>
  <c r="S11" i="8"/>
  <c r="R11" i="8"/>
  <c r="Q11" i="8"/>
  <c r="P11" i="8"/>
  <c r="O11" i="8"/>
  <c r="N11" i="8"/>
  <c r="M11" i="8"/>
  <c r="L11" i="8"/>
  <c r="K11" i="8"/>
  <c r="J11" i="8"/>
  <c r="I11" i="8"/>
  <c r="H11" i="8"/>
  <c r="G11" i="8"/>
  <c r="F11" i="8"/>
  <c r="E11" i="8"/>
  <c r="D11" i="8"/>
  <c r="C11" i="8"/>
  <c r="B11" i="8"/>
  <c r="BI10" i="8"/>
  <c r="BH10" i="8"/>
  <c r="BG10" i="8"/>
  <c r="BF10" i="8"/>
  <c r="BE10" i="8"/>
  <c r="BD10" i="8"/>
  <c r="BC10" i="8"/>
  <c r="BB10" i="8"/>
  <c r="BA10" i="8"/>
  <c r="AZ10" i="8"/>
  <c r="AY10" i="8"/>
  <c r="AX10" i="8"/>
  <c r="AW10" i="8"/>
  <c r="AV10" i="8"/>
  <c r="AU10" i="8"/>
  <c r="AT10" i="8"/>
  <c r="AS10" i="8"/>
  <c r="AR10" i="8"/>
  <c r="AQ10" i="8"/>
  <c r="AP10" i="8"/>
  <c r="AO10" i="8"/>
  <c r="AN10" i="8"/>
  <c r="AM10" i="8"/>
  <c r="AL10" i="8"/>
  <c r="AK10" i="8"/>
  <c r="AJ10" i="8"/>
  <c r="AI10" i="8"/>
  <c r="AH10" i="8"/>
  <c r="AG10" i="8"/>
  <c r="AF10" i="8"/>
  <c r="AE10" i="8"/>
  <c r="AD10" i="8"/>
  <c r="AC10" i="8"/>
  <c r="AB10" i="8"/>
  <c r="AA10" i="8"/>
  <c r="Z10" i="8"/>
  <c r="Y10" i="8"/>
  <c r="X10" i="8"/>
  <c r="W10" i="8"/>
  <c r="V10" i="8"/>
  <c r="U10" i="8"/>
  <c r="T10" i="8"/>
  <c r="S10" i="8"/>
  <c r="R10" i="8"/>
  <c r="Q10" i="8"/>
  <c r="P10" i="8"/>
  <c r="O10" i="8"/>
  <c r="N10" i="8"/>
  <c r="M10" i="8"/>
  <c r="L10" i="8"/>
  <c r="K10" i="8"/>
  <c r="J10" i="8"/>
  <c r="I10" i="8"/>
  <c r="H10" i="8"/>
  <c r="G10" i="8"/>
  <c r="F10" i="8"/>
  <c r="E10" i="8"/>
  <c r="D10" i="8"/>
  <c r="C10" i="8"/>
  <c r="B10" i="8"/>
  <c r="BI9" i="8"/>
  <c r="BH9" i="8"/>
  <c r="BG9" i="8"/>
  <c r="BF9" i="8"/>
  <c r="BE9" i="8"/>
  <c r="BD9" i="8"/>
  <c r="BC9" i="8"/>
  <c r="BB9" i="8"/>
  <c r="BA9" i="8"/>
  <c r="AZ9" i="8"/>
  <c r="AY9" i="8"/>
  <c r="AX9" i="8"/>
  <c r="AW9" i="8"/>
  <c r="AV9" i="8"/>
  <c r="AU9" i="8"/>
  <c r="AT9" i="8"/>
  <c r="AS9" i="8"/>
  <c r="AR9" i="8"/>
  <c r="AQ9" i="8"/>
  <c r="AP9" i="8"/>
  <c r="AO9" i="8"/>
  <c r="AN9" i="8"/>
  <c r="AM9" i="8"/>
  <c r="AL9" i="8"/>
  <c r="AK9" i="8"/>
  <c r="AJ9" i="8"/>
  <c r="AI9" i="8"/>
  <c r="AH9" i="8"/>
  <c r="AG9" i="8"/>
  <c r="AF9" i="8"/>
  <c r="AE9" i="8"/>
  <c r="AD9" i="8"/>
  <c r="AC9" i="8"/>
  <c r="AB9" i="8"/>
  <c r="AA9" i="8"/>
  <c r="Z9" i="8"/>
  <c r="Y9" i="8"/>
  <c r="X9" i="8"/>
  <c r="W9" i="8"/>
  <c r="V9" i="8"/>
  <c r="U9" i="8"/>
  <c r="T9" i="8"/>
  <c r="S9" i="8"/>
  <c r="R9" i="8"/>
  <c r="Q9" i="8"/>
  <c r="P9" i="8"/>
  <c r="O9" i="8"/>
  <c r="N9" i="8"/>
  <c r="M9" i="8"/>
  <c r="L9" i="8"/>
  <c r="K9" i="8"/>
  <c r="J9" i="8"/>
  <c r="I9" i="8"/>
  <c r="H9" i="8"/>
  <c r="G9" i="8"/>
  <c r="F9" i="8"/>
  <c r="E9" i="8"/>
  <c r="D9" i="8"/>
  <c r="C9" i="8"/>
  <c r="B9" i="8"/>
  <c r="BI8" i="8"/>
  <c r="BH8" i="8"/>
  <c r="BG8" i="8"/>
  <c r="BF8" i="8"/>
  <c r="BE8" i="8"/>
  <c r="BD8" i="8"/>
  <c r="BC8" i="8"/>
  <c r="BB8" i="8"/>
  <c r="BA8" i="8"/>
  <c r="AZ8" i="8"/>
  <c r="AY8" i="8"/>
  <c r="AX8" i="8"/>
  <c r="AW8" i="8"/>
  <c r="AV8" i="8"/>
  <c r="AU8" i="8"/>
  <c r="AT8" i="8"/>
  <c r="AS8" i="8"/>
  <c r="AR8" i="8"/>
  <c r="AQ8" i="8"/>
  <c r="AP8" i="8"/>
  <c r="AO8" i="8"/>
  <c r="AN8" i="8"/>
  <c r="AM8" i="8"/>
  <c r="AL8" i="8"/>
  <c r="AK8" i="8"/>
  <c r="AJ8" i="8"/>
  <c r="AI8" i="8"/>
  <c r="AH8" i="8"/>
  <c r="AG8" i="8"/>
  <c r="AF8" i="8"/>
  <c r="AE8" i="8"/>
  <c r="AD8" i="8"/>
  <c r="AC8" i="8"/>
  <c r="AB8" i="8"/>
  <c r="AA8" i="8"/>
  <c r="Z8" i="8"/>
  <c r="Y8" i="8"/>
  <c r="X8" i="8"/>
  <c r="W8" i="8"/>
  <c r="V8" i="8"/>
  <c r="U8" i="8"/>
  <c r="T8" i="8"/>
  <c r="S8" i="8"/>
  <c r="R8" i="8"/>
  <c r="Q8" i="8"/>
  <c r="P8" i="8"/>
  <c r="O8" i="8"/>
  <c r="N8" i="8"/>
  <c r="M8" i="8"/>
  <c r="L8" i="8"/>
  <c r="K8" i="8"/>
  <c r="J8" i="8"/>
  <c r="I8" i="8"/>
  <c r="H8" i="8"/>
  <c r="G8" i="8"/>
  <c r="F8" i="8"/>
  <c r="E8" i="8"/>
  <c r="D8" i="8"/>
  <c r="C8" i="8"/>
  <c r="B8" i="8"/>
  <c r="BI7" i="8"/>
  <c r="BH7" i="8"/>
  <c r="BG7" i="8"/>
  <c r="BF7" i="8"/>
  <c r="BE7" i="8"/>
  <c r="BD7" i="8"/>
  <c r="BC7" i="8"/>
  <c r="BB7" i="8"/>
  <c r="BA7" i="8"/>
  <c r="AZ7" i="8"/>
  <c r="AY7" i="8"/>
  <c r="AX7" i="8"/>
  <c r="AW7" i="8"/>
  <c r="AV7" i="8"/>
  <c r="AU7" i="8"/>
  <c r="AT7" i="8"/>
  <c r="AS7" i="8"/>
  <c r="AR7" i="8"/>
  <c r="AQ7" i="8"/>
  <c r="AP7" i="8"/>
  <c r="AO7" i="8"/>
  <c r="AN7" i="8"/>
  <c r="AM7" i="8"/>
  <c r="AL7" i="8"/>
  <c r="AK7" i="8"/>
  <c r="AJ7" i="8"/>
  <c r="AI7" i="8"/>
  <c r="AH7" i="8"/>
  <c r="AG7" i="8"/>
  <c r="AF7" i="8"/>
  <c r="AE7" i="8"/>
  <c r="AD7" i="8"/>
  <c r="AC7" i="8"/>
  <c r="AB7" i="8"/>
  <c r="AA7" i="8"/>
  <c r="Z7" i="8"/>
  <c r="Y7" i="8"/>
  <c r="X7" i="8"/>
  <c r="W7" i="8"/>
  <c r="V7" i="8"/>
  <c r="U7" i="8"/>
  <c r="T7" i="8"/>
  <c r="S7" i="8"/>
  <c r="R7" i="8"/>
  <c r="Q7" i="8"/>
  <c r="P7" i="8"/>
  <c r="O7" i="8"/>
  <c r="N7" i="8"/>
  <c r="M7" i="8"/>
  <c r="L7" i="8"/>
  <c r="K7" i="8"/>
  <c r="J7" i="8"/>
  <c r="I7" i="8"/>
  <c r="H7" i="8"/>
  <c r="G7" i="8"/>
  <c r="F7" i="8"/>
  <c r="E7" i="8"/>
  <c r="D7" i="8"/>
  <c r="C7" i="8"/>
  <c r="B7" i="8"/>
  <c r="BI6" i="8"/>
  <c r="BH6" i="8"/>
  <c r="BG6" i="8"/>
  <c r="BF6" i="8"/>
  <c r="BE6" i="8"/>
  <c r="BD6" i="8"/>
  <c r="BC6" i="8"/>
  <c r="BB6" i="8"/>
  <c r="BA6" i="8"/>
  <c r="AZ6" i="8"/>
  <c r="AY6" i="8"/>
  <c r="AX6" i="8"/>
  <c r="AW6" i="8"/>
  <c r="AV6" i="8"/>
  <c r="AU6" i="8"/>
  <c r="AT6" i="8"/>
  <c r="AS6" i="8"/>
  <c r="AR6" i="8"/>
  <c r="AQ6" i="8"/>
  <c r="AP6" i="8"/>
  <c r="AO6" i="8"/>
  <c r="AN6" i="8"/>
  <c r="AM6" i="8"/>
  <c r="AL6" i="8"/>
  <c r="AK6" i="8"/>
  <c r="AJ6" i="8"/>
  <c r="AI6" i="8"/>
  <c r="AH6" i="8"/>
  <c r="AG6" i="8"/>
  <c r="AF6" i="8"/>
  <c r="AE6" i="8"/>
  <c r="AD6" i="8"/>
  <c r="AC6" i="8"/>
  <c r="AB6" i="8"/>
  <c r="AA6" i="8"/>
  <c r="Z6" i="8"/>
  <c r="Y6" i="8"/>
  <c r="X6" i="8"/>
  <c r="W6" i="8"/>
  <c r="V6" i="8"/>
  <c r="U6" i="8"/>
  <c r="T6" i="8"/>
  <c r="S6" i="8"/>
  <c r="R6" i="8"/>
  <c r="Q6" i="8"/>
  <c r="P6" i="8"/>
  <c r="O6" i="8"/>
  <c r="N6" i="8"/>
  <c r="M6" i="8"/>
  <c r="L6" i="8"/>
  <c r="K6" i="8"/>
  <c r="J6" i="8"/>
  <c r="I6" i="8"/>
  <c r="H6" i="8"/>
  <c r="G6" i="8"/>
  <c r="F6" i="8"/>
  <c r="E6" i="8"/>
  <c r="D6" i="8"/>
  <c r="C6" i="8"/>
  <c r="B6" i="8"/>
  <c r="D9" i="6"/>
  <c r="X9" i="6" s="1"/>
  <c r="D11" i="6"/>
  <c r="X11" i="6" s="1"/>
  <c r="D14" i="6"/>
  <c r="X14" i="6" s="1"/>
  <c r="X35" i="6" s="1"/>
  <c r="D15" i="6"/>
  <c r="X15" i="6" s="1"/>
  <c r="D16" i="6"/>
  <c r="X16" i="6" s="1"/>
  <c r="D17" i="6"/>
  <c r="X17" i="6" s="1"/>
  <c r="D21" i="6"/>
  <c r="X21" i="6" s="1"/>
  <c r="D24" i="6"/>
  <c r="X24" i="6" s="1"/>
  <c r="BI25" i="7"/>
  <c r="BH25" i="7"/>
  <c r="BG25" i="7"/>
  <c r="BF25" i="7"/>
  <c r="BE25" i="7"/>
  <c r="BD25" i="7"/>
  <c r="BC25" i="7"/>
  <c r="BB25" i="7"/>
  <c r="BA25" i="7"/>
  <c r="AZ25" i="7"/>
  <c r="AY25" i="7"/>
  <c r="AX25" i="7"/>
  <c r="AW25" i="7"/>
  <c r="AV25" i="7"/>
  <c r="AU25" i="7"/>
  <c r="AT25" i="7"/>
  <c r="AS25" i="7"/>
  <c r="AR25" i="7"/>
  <c r="AQ25" i="7"/>
  <c r="AP25" i="7"/>
  <c r="AO25" i="7"/>
  <c r="AN25" i="7"/>
  <c r="AM25" i="7"/>
  <c r="AL25" i="7"/>
  <c r="AK25" i="7"/>
  <c r="AJ25" i="7"/>
  <c r="AI25" i="7"/>
  <c r="AH25" i="7"/>
  <c r="AG25" i="7"/>
  <c r="AF25" i="7"/>
  <c r="AE25" i="7"/>
  <c r="AD25" i="7"/>
  <c r="AC25" i="7"/>
  <c r="AB25" i="7"/>
  <c r="AA25" i="7"/>
  <c r="Z25" i="7"/>
  <c r="Y25" i="7"/>
  <c r="X25" i="7"/>
  <c r="W25" i="7"/>
  <c r="V25" i="7"/>
  <c r="U25" i="7"/>
  <c r="T25" i="7"/>
  <c r="S25" i="7"/>
  <c r="R25" i="7"/>
  <c r="Q25" i="7"/>
  <c r="P25" i="7"/>
  <c r="O25" i="7"/>
  <c r="N25" i="7"/>
  <c r="M25" i="7"/>
  <c r="L25" i="7"/>
  <c r="K25" i="7"/>
  <c r="J25" i="7"/>
  <c r="I25" i="7"/>
  <c r="H25" i="7"/>
  <c r="G25" i="7"/>
  <c r="F25" i="7"/>
  <c r="E25" i="7"/>
  <c r="D25" i="7"/>
  <c r="C25" i="7"/>
  <c r="B25" i="7"/>
  <c r="BI24" i="7"/>
  <c r="BH24" i="7"/>
  <c r="BG24" i="7"/>
  <c r="BF24" i="7"/>
  <c r="BE24" i="7"/>
  <c r="BD24" i="7"/>
  <c r="BC24" i="7"/>
  <c r="BB24" i="7"/>
  <c r="BA24" i="7"/>
  <c r="AZ24" i="7"/>
  <c r="AY24" i="7"/>
  <c r="AX24" i="7"/>
  <c r="AW24" i="7"/>
  <c r="AV24" i="7"/>
  <c r="AU24" i="7"/>
  <c r="AT24" i="7"/>
  <c r="AS24" i="7"/>
  <c r="AR24" i="7"/>
  <c r="AQ24" i="7"/>
  <c r="AP24" i="7"/>
  <c r="AO24" i="7"/>
  <c r="AN24" i="7"/>
  <c r="AM24" i="7"/>
  <c r="AL24" i="7"/>
  <c r="AK24" i="7"/>
  <c r="AJ24" i="7"/>
  <c r="AI24" i="7"/>
  <c r="AH24" i="7"/>
  <c r="AG24" i="7"/>
  <c r="AF24" i="7"/>
  <c r="AE24" i="7"/>
  <c r="AD24" i="7"/>
  <c r="AC24" i="7"/>
  <c r="AB24" i="7"/>
  <c r="AA24" i="7"/>
  <c r="Z24" i="7"/>
  <c r="Y24" i="7"/>
  <c r="X24" i="7"/>
  <c r="W24" i="7"/>
  <c r="V24" i="7"/>
  <c r="U24" i="7"/>
  <c r="T24" i="7"/>
  <c r="S24" i="7"/>
  <c r="R24" i="7"/>
  <c r="Q24" i="7"/>
  <c r="P24" i="7"/>
  <c r="O24" i="7"/>
  <c r="N24" i="7"/>
  <c r="M24" i="7"/>
  <c r="L24" i="7"/>
  <c r="K24" i="7"/>
  <c r="J24" i="7"/>
  <c r="I24" i="7"/>
  <c r="H24" i="7"/>
  <c r="G24" i="7"/>
  <c r="F24" i="7"/>
  <c r="E24" i="7"/>
  <c r="D24" i="7"/>
  <c r="C24" i="7"/>
  <c r="B24" i="7"/>
  <c r="BI23" i="7"/>
  <c r="BH23" i="7"/>
  <c r="BG23" i="7"/>
  <c r="BF23" i="7"/>
  <c r="BE23" i="7"/>
  <c r="BD23" i="7"/>
  <c r="BC23" i="7"/>
  <c r="BB23" i="7"/>
  <c r="BA23" i="7"/>
  <c r="AZ23" i="7"/>
  <c r="AY23" i="7"/>
  <c r="AX23" i="7"/>
  <c r="AW23" i="7"/>
  <c r="AV23" i="7"/>
  <c r="AU23" i="7"/>
  <c r="AT23" i="7"/>
  <c r="AS23" i="7"/>
  <c r="AR23" i="7"/>
  <c r="AQ23" i="7"/>
  <c r="AP23" i="7"/>
  <c r="AO23" i="7"/>
  <c r="AN23" i="7"/>
  <c r="AM23" i="7"/>
  <c r="AL23" i="7"/>
  <c r="AK23" i="7"/>
  <c r="AJ23" i="7"/>
  <c r="AI23" i="7"/>
  <c r="AH23" i="7"/>
  <c r="AG23" i="7"/>
  <c r="AF23" i="7"/>
  <c r="AE23" i="7"/>
  <c r="AD23" i="7"/>
  <c r="AC23" i="7"/>
  <c r="AB23" i="7"/>
  <c r="AA23" i="7"/>
  <c r="Z23" i="7"/>
  <c r="Y23" i="7"/>
  <c r="X23" i="7"/>
  <c r="W23" i="7"/>
  <c r="V23" i="7"/>
  <c r="U23" i="7"/>
  <c r="T23" i="7"/>
  <c r="S23" i="7"/>
  <c r="R23" i="7"/>
  <c r="Q23" i="7"/>
  <c r="P23" i="7"/>
  <c r="O23" i="7"/>
  <c r="N23" i="7"/>
  <c r="M23" i="7"/>
  <c r="L23" i="7"/>
  <c r="K23" i="7"/>
  <c r="J23" i="7"/>
  <c r="I23" i="7"/>
  <c r="H23" i="7"/>
  <c r="G23" i="7"/>
  <c r="F23" i="7"/>
  <c r="E23" i="7"/>
  <c r="D23" i="7"/>
  <c r="C23" i="7"/>
  <c r="B23" i="7"/>
  <c r="BI22" i="7"/>
  <c r="BH22" i="7"/>
  <c r="BG22" i="7"/>
  <c r="BF22" i="7"/>
  <c r="BE22" i="7"/>
  <c r="BD22" i="7"/>
  <c r="BC22" i="7"/>
  <c r="BB22" i="7"/>
  <c r="BA22" i="7"/>
  <c r="AZ22" i="7"/>
  <c r="AY22" i="7"/>
  <c r="AX22" i="7"/>
  <c r="AW22" i="7"/>
  <c r="AV22" i="7"/>
  <c r="AU22" i="7"/>
  <c r="AT22" i="7"/>
  <c r="AS22" i="7"/>
  <c r="AR22" i="7"/>
  <c r="AQ22" i="7"/>
  <c r="AP22" i="7"/>
  <c r="AO22" i="7"/>
  <c r="AN22" i="7"/>
  <c r="AM22" i="7"/>
  <c r="AL22" i="7"/>
  <c r="AK22" i="7"/>
  <c r="AJ22" i="7"/>
  <c r="AI22" i="7"/>
  <c r="AH22" i="7"/>
  <c r="AG22" i="7"/>
  <c r="AF22" i="7"/>
  <c r="AE22" i="7"/>
  <c r="AD22" i="7"/>
  <c r="AC22" i="7"/>
  <c r="AB22" i="7"/>
  <c r="AA22" i="7"/>
  <c r="Z22" i="7"/>
  <c r="Y22" i="7"/>
  <c r="X22" i="7"/>
  <c r="W22" i="7"/>
  <c r="V22" i="7"/>
  <c r="U22" i="7"/>
  <c r="T22" i="7"/>
  <c r="S22" i="7"/>
  <c r="R22" i="7"/>
  <c r="Q22" i="7"/>
  <c r="P22" i="7"/>
  <c r="O22" i="7"/>
  <c r="N22" i="7"/>
  <c r="M22" i="7"/>
  <c r="L22" i="7"/>
  <c r="K22" i="7"/>
  <c r="J22" i="7"/>
  <c r="I22" i="7"/>
  <c r="H22" i="7"/>
  <c r="G22" i="7"/>
  <c r="F22" i="7"/>
  <c r="E22" i="7"/>
  <c r="D22" i="7"/>
  <c r="C22" i="7"/>
  <c r="B22" i="7"/>
  <c r="BI21" i="7"/>
  <c r="BH21" i="7"/>
  <c r="BG21" i="7"/>
  <c r="BF21" i="7"/>
  <c r="BE21" i="7"/>
  <c r="BD21" i="7"/>
  <c r="BC21" i="7"/>
  <c r="BB21" i="7"/>
  <c r="BA21" i="7"/>
  <c r="AZ21" i="7"/>
  <c r="AY21" i="7"/>
  <c r="AX21" i="7"/>
  <c r="AW21" i="7"/>
  <c r="AV21" i="7"/>
  <c r="AU21" i="7"/>
  <c r="AT21" i="7"/>
  <c r="AS21" i="7"/>
  <c r="AR21" i="7"/>
  <c r="AQ21" i="7"/>
  <c r="AP21" i="7"/>
  <c r="AO21" i="7"/>
  <c r="AN21" i="7"/>
  <c r="AM21" i="7"/>
  <c r="AL21" i="7"/>
  <c r="AK21" i="7"/>
  <c r="AJ21" i="7"/>
  <c r="AI21" i="7"/>
  <c r="AH21" i="7"/>
  <c r="AG21" i="7"/>
  <c r="AF21" i="7"/>
  <c r="AE21" i="7"/>
  <c r="AD21" i="7"/>
  <c r="AC21" i="7"/>
  <c r="AB21" i="7"/>
  <c r="AA21" i="7"/>
  <c r="Z21" i="7"/>
  <c r="Y21" i="7"/>
  <c r="X21" i="7"/>
  <c r="W21" i="7"/>
  <c r="V21" i="7"/>
  <c r="U21" i="7"/>
  <c r="T21" i="7"/>
  <c r="S21" i="7"/>
  <c r="R21" i="7"/>
  <c r="Q21" i="7"/>
  <c r="P21" i="7"/>
  <c r="O21" i="7"/>
  <c r="N21" i="7"/>
  <c r="M21" i="7"/>
  <c r="L21" i="7"/>
  <c r="K21" i="7"/>
  <c r="J21" i="7"/>
  <c r="I21" i="7"/>
  <c r="H21" i="7"/>
  <c r="G21" i="7"/>
  <c r="F21" i="7"/>
  <c r="E21" i="7"/>
  <c r="D21" i="7"/>
  <c r="C21" i="7"/>
  <c r="B21" i="7"/>
  <c r="BI20" i="7"/>
  <c r="BH20" i="7"/>
  <c r="BG20" i="7"/>
  <c r="BF20" i="7"/>
  <c r="BE20" i="7"/>
  <c r="BD20" i="7"/>
  <c r="BC20" i="7"/>
  <c r="BB20" i="7"/>
  <c r="BA20" i="7"/>
  <c r="AZ20" i="7"/>
  <c r="AY20" i="7"/>
  <c r="AX20" i="7"/>
  <c r="AW20" i="7"/>
  <c r="AV20" i="7"/>
  <c r="AU20" i="7"/>
  <c r="AT20" i="7"/>
  <c r="AS20" i="7"/>
  <c r="AR20" i="7"/>
  <c r="AQ20" i="7"/>
  <c r="AP20" i="7"/>
  <c r="AO20" i="7"/>
  <c r="AN20" i="7"/>
  <c r="AM20" i="7"/>
  <c r="AL20" i="7"/>
  <c r="AK20" i="7"/>
  <c r="AJ20" i="7"/>
  <c r="AI20" i="7"/>
  <c r="AH20" i="7"/>
  <c r="AG20" i="7"/>
  <c r="AF20" i="7"/>
  <c r="AE20" i="7"/>
  <c r="AD20" i="7"/>
  <c r="AC20" i="7"/>
  <c r="AB20" i="7"/>
  <c r="AA20" i="7"/>
  <c r="Z20" i="7"/>
  <c r="Y20" i="7"/>
  <c r="X20" i="7"/>
  <c r="W20" i="7"/>
  <c r="V20" i="7"/>
  <c r="U20" i="7"/>
  <c r="T20" i="7"/>
  <c r="S20" i="7"/>
  <c r="R20" i="7"/>
  <c r="Q20" i="7"/>
  <c r="P20" i="7"/>
  <c r="O20" i="7"/>
  <c r="N20" i="7"/>
  <c r="M20" i="7"/>
  <c r="L20" i="7"/>
  <c r="K20" i="7"/>
  <c r="J20" i="7"/>
  <c r="I20" i="7"/>
  <c r="H20" i="7"/>
  <c r="G20" i="7"/>
  <c r="F20" i="7"/>
  <c r="E20" i="7"/>
  <c r="D20" i="7"/>
  <c r="C20" i="7"/>
  <c r="B20" i="7"/>
  <c r="BI19" i="7"/>
  <c r="BH19" i="7"/>
  <c r="BG19" i="7"/>
  <c r="BF19" i="7"/>
  <c r="BE19" i="7"/>
  <c r="BD19" i="7"/>
  <c r="BC19" i="7"/>
  <c r="BB19" i="7"/>
  <c r="BA19" i="7"/>
  <c r="AZ19" i="7"/>
  <c r="AY19" i="7"/>
  <c r="AX19" i="7"/>
  <c r="AW19" i="7"/>
  <c r="AV19" i="7"/>
  <c r="AU19" i="7"/>
  <c r="AT19" i="7"/>
  <c r="AS19" i="7"/>
  <c r="AR19" i="7"/>
  <c r="AQ19" i="7"/>
  <c r="AP19" i="7"/>
  <c r="AO19" i="7"/>
  <c r="AN19" i="7"/>
  <c r="AM19" i="7"/>
  <c r="AL19" i="7"/>
  <c r="AK19" i="7"/>
  <c r="AJ19" i="7"/>
  <c r="AI19" i="7"/>
  <c r="AH19" i="7"/>
  <c r="AG19" i="7"/>
  <c r="AF19" i="7"/>
  <c r="AE19" i="7"/>
  <c r="AD19" i="7"/>
  <c r="AC19" i="7"/>
  <c r="AB19" i="7"/>
  <c r="AA19" i="7"/>
  <c r="Z19" i="7"/>
  <c r="Y19" i="7"/>
  <c r="W19" i="7"/>
  <c r="V19" i="7"/>
  <c r="U19" i="7"/>
  <c r="T19" i="7"/>
  <c r="S19" i="7"/>
  <c r="R19" i="7"/>
  <c r="Q19" i="7"/>
  <c r="P19" i="7"/>
  <c r="O19" i="7"/>
  <c r="N19" i="7"/>
  <c r="M19" i="7"/>
  <c r="L19" i="7"/>
  <c r="K19" i="7"/>
  <c r="J19" i="7"/>
  <c r="I19" i="7"/>
  <c r="H19" i="7"/>
  <c r="G19" i="7"/>
  <c r="F19" i="7"/>
  <c r="E19" i="7"/>
  <c r="D19" i="7"/>
  <c r="C19" i="7"/>
  <c r="B19" i="7"/>
  <c r="BI17" i="7"/>
  <c r="BH17" i="7"/>
  <c r="BG17" i="7"/>
  <c r="BF17" i="7"/>
  <c r="BE17" i="7"/>
  <c r="BD17" i="7"/>
  <c r="BC17" i="7"/>
  <c r="BB17" i="7"/>
  <c r="BA17" i="7"/>
  <c r="AZ17" i="7"/>
  <c r="AY17" i="7"/>
  <c r="AX17" i="7"/>
  <c r="AW17" i="7"/>
  <c r="AV17" i="7"/>
  <c r="AU17" i="7"/>
  <c r="AT17" i="7"/>
  <c r="AS17" i="7"/>
  <c r="AR17" i="7"/>
  <c r="AQ17" i="7"/>
  <c r="AP17" i="7"/>
  <c r="AO17" i="7"/>
  <c r="AN17" i="7"/>
  <c r="AM17" i="7"/>
  <c r="AL17" i="7"/>
  <c r="AK17" i="7"/>
  <c r="AJ17" i="7"/>
  <c r="AI17" i="7"/>
  <c r="AH17" i="7"/>
  <c r="AG17" i="7"/>
  <c r="AF17" i="7"/>
  <c r="AE17" i="7"/>
  <c r="AD17" i="7"/>
  <c r="AC17" i="7"/>
  <c r="AB17" i="7"/>
  <c r="AA17" i="7"/>
  <c r="Z17" i="7"/>
  <c r="Y17" i="7"/>
  <c r="X17" i="7"/>
  <c r="W17" i="7"/>
  <c r="V17" i="7"/>
  <c r="U17" i="7"/>
  <c r="T17" i="7"/>
  <c r="S17" i="7"/>
  <c r="R17" i="7"/>
  <c r="Q17" i="7"/>
  <c r="P17" i="7"/>
  <c r="O17" i="7"/>
  <c r="N17" i="7"/>
  <c r="M17" i="7"/>
  <c r="L17" i="7"/>
  <c r="K17" i="7"/>
  <c r="J17" i="7"/>
  <c r="I17" i="7"/>
  <c r="H17" i="7"/>
  <c r="G17" i="7"/>
  <c r="F17" i="7"/>
  <c r="E17" i="7"/>
  <c r="D17" i="7"/>
  <c r="C17" i="7"/>
  <c r="B17" i="7"/>
  <c r="BI16" i="7"/>
  <c r="BH16" i="7"/>
  <c r="BG16" i="7"/>
  <c r="BF16" i="7"/>
  <c r="BE16" i="7"/>
  <c r="BD16" i="7"/>
  <c r="BC16" i="7"/>
  <c r="BB16" i="7"/>
  <c r="BA16" i="7"/>
  <c r="AZ16" i="7"/>
  <c r="AY16" i="7"/>
  <c r="AX16" i="7"/>
  <c r="AW16" i="7"/>
  <c r="AV16" i="7"/>
  <c r="AU16" i="7"/>
  <c r="AT16" i="7"/>
  <c r="AS16" i="7"/>
  <c r="AR16" i="7"/>
  <c r="AQ16" i="7"/>
  <c r="AP16" i="7"/>
  <c r="AO16" i="7"/>
  <c r="AN16" i="7"/>
  <c r="AM16" i="7"/>
  <c r="AL16" i="7"/>
  <c r="AK16" i="7"/>
  <c r="AJ16" i="7"/>
  <c r="AI16" i="7"/>
  <c r="AH16" i="7"/>
  <c r="AG16" i="7"/>
  <c r="AF16" i="7"/>
  <c r="AE16" i="7"/>
  <c r="AD16" i="7"/>
  <c r="AC16" i="7"/>
  <c r="AB16" i="7"/>
  <c r="AA16" i="7"/>
  <c r="Z16" i="7"/>
  <c r="Y16" i="7"/>
  <c r="X16" i="7"/>
  <c r="W16" i="7"/>
  <c r="V16" i="7"/>
  <c r="U16" i="7"/>
  <c r="T16" i="7"/>
  <c r="S16" i="7"/>
  <c r="R16" i="7"/>
  <c r="Q16" i="7"/>
  <c r="P16" i="7"/>
  <c r="O16" i="7"/>
  <c r="N16" i="7"/>
  <c r="M16" i="7"/>
  <c r="L16" i="7"/>
  <c r="K16" i="7"/>
  <c r="J16" i="7"/>
  <c r="I16" i="7"/>
  <c r="H16" i="7"/>
  <c r="G16" i="7"/>
  <c r="F16" i="7"/>
  <c r="E16" i="7"/>
  <c r="D16" i="7"/>
  <c r="C16" i="7"/>
  <c r="B16" i="7"/>
  <c r="BI12" i="7"/>
  <c r="BH12" i="7"/>
  <c r="BG12" i="7"/>
  <c r="BF12" i="7"/>
  <c r="BE12" i="7"/>
  <c r="BD12" i="7"/>
  <c r="BC12" i="7"/>
  <c r="BB12" i="7"/>
  <c r="BA12" i="7"/>
  <c r="AZ12" i="7"/>
  <c r="AY12" i="7"/>
  <c r="AX12" i="7"/>
  <c r="AW12" i="7"/>
  <c r="AV12" i="7"/>
  <c r="AU12" i="7"/>
  <c r="AT12" i="7"/>
  <c r="AS12" i="7"/>
  <c r="AR12" i="7"/>
  <c r="AQ12" i="7"/>
  <c r="AP12" i="7"/>
  <c r="AO12" i="7"/>
  <c r="AN12" i="7"/>
  <c r="AM12" i="7"/>
  <c r="AL12" i="7"/>
  <c r="AK12" i="7"/>
  <c r="AJ12" i="7"/>
  <c r="AI12" i="7"/>
  <c r="AH12" i="7"/>
  <c r="AG12" i="7"/>
  <c r="AF12" i="7"/>
  <c r="AE12" i="7"/>
  <c r="AD12" i="7"/>
  <c r="AC12" i="7"/>
  <c r="AB12" i="7"/>
  <c r="AA12" i="7"/>
  <c r="Z12" i="7"/>
  <c r="Y12" i="7"/>
  <c r="X12" i="7"/>
  <c r="W12" i="7"/>
  <c r="V12" i="7"/>
  <c r="U12" i="7"/>
  <c r="T12" i="7"/>
  <c r="S12" i="7"/>
  <c r="R12" i="7"/>
  <c r="Q12" i="7"/>
  <c r="P12" i="7"/>
  <c r="O12" i="7"/>
  <c r="N12" i="7"/>
  <c r="M12" i="7"/>
  <c r="L12" i="7"/>
  <c r="K12" i="7"/>
  <c r="J12" i="7"/>
  <c r="I12" i="7"/>
  <c r="H12" i="7"/>
  <c r="G12" i="7"/>
  <c r="F12" i="7"/>
  <c r="E12" i="7"/>
  <c r="D12" i="7"/>
  <c r="C12" i="7"/>
  <c r="B12" i="7"/>
  <c r="BI11" i="7"/>
  <c r="BH11" i="7"/>
  <c r="BG11" i="7"/>
  <c r="BF11" i="7"/>
  <c r="BE11" i="7"/>
  <c r="BD11" i="7"/>
  <c r="BC11" i="7"/>
  <c r="BB11" i="7"/>
  <c r="BA11" i="7"/>
  <c r="AZ11" i="7"/>
  <c r="AY11" i="7"/>
  <c r="AX11" i="7"/>
  <c r="AW11" i="7"/>
  <c r="AV11" i="7"/>
  <c r="AU11" i="7"/>
  <c r="AT11" i="7"/>
  <c r="AS11" i="7"/>
  <c r="AR11" i="7"/>
  <c r="AQ11" i="7"/>
  <c r="AP11" i="7"/>
  <c r="AO11" i="7"/>
  <c r="AN11" i="7"/>
  <c r="AM11" i="7"/>
  <c r="AL11" i="7"/>
  <c r="AK11" i="7"/>
  <c r="AJ11" i="7"/>
  <c r="AI11" i="7"/>
  <c r="AH11" i="7"/>
  <c r="AG11" i="7"/>
  <c r="AF11" i="7"/>
  <c r="AE11" i="7"/>
  <c r="AD11" i="7"/>
  <c r="AC11" i="7"/>
  <c r="AB11" i="7"/>
  <c r="AA11" i="7"/>
  <c r="Z11" i="7"/>
  <c r="Y11" i="7"/>
  <c r="X11" i="7"/>
  <c r="W11" i="7"/>
  <c r="V11" i="7"/>
  <c r="U11" i="7"/>
  <c r="T11" i="7"/>
  <c r="S11" i="7"/>
  <c r="R11" i="7"/>
  <c r="Q11" i="7"/>
  <c r="P11" i="7"/>
  <c r="O11" i="7"/>
  <c r="N11" i="7"/>
  <c r="M11" i="7"/>
  <c r="L11" i="7"/>
  <c r="K11" i="7"/>
  <c r="J11" i="7"/>
  <c r="I11" i="7"/>
  <c r="H11" i="7"/>
  <c r="G11" i="7"/>
  <c r="F11" i="7"/>
  <c r="E11" i="7"/>
  <c r="D11" i="7"/>
  <c r="C11" i="7"/>
  <c r="B11" i="7"/>
  <c r="BI10" i="7"/>
  <c r="BH10" i="7"/>
  <c r="BG10" i="7"/>
  <c r="BF10" i="7"/>
  <c r="BE10" i="7"/>
  <c r="BD10" i="7"/>
  <c r="BC10" i="7"/>
  <c r="BB10" i="7"/>
  <c r="BA10" i="7"/>
  <c r="AZ10" i="7"/>
  <c r="AY10" i="7"/>
  <c r="AX10" i="7"/>
  <c r="AW10" i="7"/>
  <c r="AV10" i="7"/>
  <c r="AU10" i="7"/>
  <c r="AT10" i="7"/>
  <c r="AS10" i="7"/>
  <c r="AR10" i="7"/>
  <c r="AQ10" i="7"/>
  <c r="AP10" i="7"/>
  <c r="AO10" i="7"/>
  <c r="AN10" i="7"/>
  <c r="AM10" i="7"/>
  <c r="AL10" i="7"/>
  <c r="AK10" i="7"/>
  <c r="AJ10" i="7"/>
  <c r="AI10" i="7"/>
  <c r="AH10" i="7"/>
  <c r="AG10" i="7"/>
  <c r="AF10" i="7"/>
  <c r="AE10" i="7"/>
  <c r="AD10" i="7"/>
  <c r="AC10" i="7"/>
  <c r="AB10" i="7"/>
  <c r="AA10" i="7"/>
  <c r="Z10" i="7"/>
  <c r="Y10" i="7"/>
  <c r="X10" i="7"/>
  <c r="W10" i="7"/>
  <c r="V10" i="7"/>
  <c r="U10" i="7"/>
  <c r="T10" i="7"/>
  <c r="S10" i="7"/>
  <c r="R10" i="7"/>
  <c r="Q10" i="7"/>
  <c r="P10" i="7"/>
  <c r="O10" i="7"/>
  <c r="N10" i="7"/>
  <c r="M10" i="7"/>
  <c r="L10" i="7"/>
  <c r="K10" i="7"/>
  <c r="J10" i="7"/>
  <c r="I10" i="7"/>
  <c r="H10" i="7"/>
  <c r="G10" i="7"/>
  <c r="F10" i="7"/>
  <c r="E10" i="7"/>
  <c r="D10" i="7"/>
  <c r="C10" i="7"/>
  <c r="B10" i="7"/>
  <c r="BI9" i="7"/>
  <c r="BH9" i="7"/>
  <c r="BG9" i="7"/>
  <c r="BF9" i="7"/>
  <c r="BE9" i="7"/>
  <c r="BD9" i="7"/>
  <c r="BC9" i="7"/>
  <c r="BB9" i="7"/>
  <c r="BA9" i="7"/>
  <c r="AZ9" i="7"/>
  <c r="AY9" i="7"/>
  <c r="AX9" i="7"/>
  <c r="AW9" i="7"/>
  <c r="AV9" i="7"/>
  <c r="AU9" i="7"/>
  <c r="AT9" i="7"/>
  <c r="AS9" i="7"/>
  <c r="AR9" i="7"/>
  <c r="AQ9" i="7"/>
  <c r="AP9" i="7"/>
  <c r="AO9" i="7"/>
  <c r="AN9" i="7"/>
  <c r="AM9" i="7"/>
  <c r="AL9" i="7"/>
  <c r="AK9" i="7"/>
  <c r="AJ9" i="7"/>
  <c r="AI9" i="7"/>
  <c r="AH9" i="7"/>
  <c r="AG9" i="7"/>
  <c r="AF9" i="7"/>
  <c r="AE9" i="7"/>
  <c r="AD9" i="7"/>
  <c r="AC9" i="7"/>
  <c r="AB9" i="7"/>
  <c r="AA9" i="7"/>
  <c r="Z9" i="7"/>
  <c r="Y9" i="7"/>
  <c r="X9" i="7"/>
  <c r="W9" i="7"/>
  <c r="V9" i="7"/>
  <c r="U9" i="7"/>
  <c r="T9" i="7"/>
  <c r="S9" i="7"/>
  <c r="R9" i="7"/>
  <c r="Q9" i="7"/>
  <c r="P9" i="7"/>
  <c r="O9" i="7"/>
  <c r="N9" i="7"/>
  <c r="M9" i="7"/>
  <c r="L9" i="7"/>
  <c r="K9" i="7"/>
  <c r="J9" i="7"/>
  <c r="I9" i="7"/>
  <c r="H9" i="7"/>
  <c r="G9" i="7"/>
  <c r="F9" i="7"/>
  <c r="E9" i="7"/>
  <c r="D9" i="7"/>
  <c r="C9" i="7"/>
  <c r="B9" i="7"/>
  <c r="BI8" i="7"/>
  <c r="BH8" i="7"/>
  <c r="BG8" i="7"/>
  <c r="BF8" i="7"/>
  <c r="BE8" i="7"/>
  <c r="BD8" i="7"/>
  <c r="BC8" i="7"/>
  <c r="BB8" i="7"/>
  <c r="BA8" i="7"/>
  <c r="AZ8" i="7"/>
  <c r="AY8" i="7"/>
  <c r="AX8" i="7"/>
  <c r="AW8" i="7"/>
  <c r="AV8" i="7"/>
  <c r="AU8" i="7"/>
  <c r="AT8" i="7"/>
  <c r="AS8" i="7"/>
  <c r="AR8" i="7"/>
  <c r="AQ8" i="7"/>
  <c r="AP8" i="7"/>
  <c r="AO8" i="7"/>
  <c r="AN8" i="7"/>
  <c r="AM8" i="7"/>
  <c r="AL8" i="7"/>
  <c r="AK8" i="7"/>
  <c r="AJ8" i="7"/>
  <c r="AI8" i="7"/>
  <c r="AH8" i="7"/>
  <c r="AG8" i="7"/>
  <c r="AF8" i="7"/>
  <c r="AE8" i="7"/>
  <c r="AD8" i="7"/>
  <c r="AC8" i="7"/>
  <c r="AB8" i="7"/>
  <c r="AA8" i="7"/>
  <c r="Z8" i="7"/>
  <c r="Y8" i="7"/>
  <c r="X8" i="7"/>
  <c r="W8" i="7"/>
  <c r="V8" i="7"/>
  <c r="U8" i="7"/>
  <c r="T8" i="7"/>
  <c r="S8" i="7"/>
  <c r="R8" i="7"/>
  <c r="Q8" i="7"/>
  <c r="P8" i="7"/>
  <c r="O8" i="7"/>
  <c r="N8" i="7"/>
  <c r="M8" i="7"/>
  <c r="L8" i="7"/>
  <c r="K8" i="7"/>
  <c r="J8" i="7"/>
  <c r="I8" i="7"/>
  <c r="H8" i="7"/>
  <c r="G8" i="7"/>
  <c r="F8" i="7"/>
  <c r="E8" i="7"/>
  <c r="D8" i="7"/>
  <c r="C8" i="7"/>
  <c r="B8" i="7"/>
  <c r="BI7" i="7"/>
  <c r="BH7" i="7"/>
  <c r="BG7" i="7"/>
  <c r="BF7" i="7"/>
  <c r="BE7" i="7"/>
  <c r="BD7" i="7"/>
  <c r="BC7" i="7"/>
  <c r="BB7" i="7"/>
  <c r="BA7" i="7"/>
  <c r="AZ7" i="7"/>
  <c r="AY7" i="7"/>
  <c r="AX7" i="7"/>
  <c r="AW7" i="7"/>
  <c r="AV7" i="7"/>
  <c r="AU7" i="7"/>
  <c r="AT7" i="7"/>
  <c r="AS7" i="7"/>
  <c r="AR7" i="7"/>
  <c r="AQ7" i="7"/>
  <c r="AP7" i="7"/>
  <c r="AO7" i="7"/>
  <c r="AN7" i="7"/>
  <c r="AM7" i="7"/>
  <c r="AL7" i="7"/>
  <c r="AK7" i="7"/>
  <c r="AJ7" i="7"/>
  <c r="AI7" i="7"/>
  <c r="AH7" i="7"/>
  <c r="AG7" i="7"/>
  <c r="AF7" i="7"/>
  <c r="AE7" i="7"/>
  <c r="AD7" i="7"/>
  <c r="AC7" i="7"/>
  <c r="AB7" i="7"/>
  <c r="AA7" i="7"/>
  <c r="Z7" i="7"/>
  <c r="Y7" i="7"/>
  <c r="X7" i="7"/>
  <c r="W7" i="7"/>
  <c r="V7" i="7"/>
  <c r="U7" i="7"/>
  <c r="T7" i="7"/>
  <c r="S7" i="7"/>
  <c r="R7" i="7"/>
  <c r="Q7" i="7"/>
  <c r="P7" i="7"/>
  <c r="O7" i="7"/>
  <c r="N7" i="7"/>
  <c r="M7" i="7"/>
  <c r="L7" i="7"/>
  <c r="K7" i="7"/>
  <c r="J7" i="7"/>
  <c r="I7" i="7"/>
  <c r="H7" i="7"/>
  <c r="G7" i="7"/>
  <c r="F7" i="7"/>
  <c r="E7" i="7"/>
  <c r="D7" i="7"/>
  <c r="C7" i="7"/>
  <c r="B7" i="7"/>
  <c r="BI6" i="7"/>
  <c r="BH6" i="7"/>
  <c r="BG6" i="7"/>
  <c r="BF6" i="7"/>
  <c r="BE6" i="7"/>
  <c r="BD6" i="7"/>
  <c r="BC6" i="7"/>
  <c r="BB6" i="7"/>
  <c r="BA6" i="7"/>
  <c r="AZ6" i="7"/>
  <c r="AY6" i="7"/>
  <c r="AX6" i="7"/>
  <c r="AW6" i="7"/>
  <c r="AV6" i="7"/>
  <c r="AU6" i="7"/>
  <c r="AT6" i="7"/>
  <c r="AS6" i="7"/>
  <c r="AR6" i="7"/>
  <c r="AQ6" i="7"/>
  <c r="AP6" i="7"/>
  <c r="AO6" i="7"/>
  <c r="AN6" i="7"/>
  <c r="AM6" i="7"/>
  <c r="AL6" i="7"/>
  <c r="AK6" i="7"/>
  <c r="AJ6" i="7"/>
  <c r="AI6" i="7"/>
  <c r="AH6" i="7"/>
  <c r="AG6" i="7"/>
  <c r="AF6" i="7"/>
  <c r="AE6" i="7"/>
  <c r="AD6" i="7"/>
  <c r="AC6" i="7"/>
  <c r="AB6" i="7"/>
  <c r="AA6" i="7"/>
  <c r="Z6" i="7"/>
  <c r="Y6" i="7"/>
  <c r="X6" i="7"/>
  <c r="W6" i="7"/>
  <c r="V6" i="7"/>
  <c r="U6" i="7"/>
  <c r="T6" i="7"/>
  <c r="S6" i="7"/>
  <c r="R6" i="7"/>
  <c r="Q6" i="7"/>
  <c r="P6" i="7"/>
  <c r="O6" i="7"/>
  <c r="N6" i="7"/>
  <c r="M6" i="7"/>
  <c r="L6" i="7"/>
  <c r="K6" i="7"/>
  <c r="J6" i="7"/>
  <c r="I6" i="7"/>
  <c r="H6" i="7"/>
  <c r="G6" i="7"/>
  <c r="F6" i="7"/>
  <c r="E6" i="7"/>
  <c r="D6" i="7"/>
  <c r="C6" i="7"/>
  <c r="B6" i="7"/>
  <c r="C6" i="5"/>
  <c r="D6" i="5"/>
  <c r="E6" i="5"/>
  <c r="F6" i="5"/>
  <c r="G6" i="5"/>
  <c r="H6" i="5"/>
  <c r="I6" i="5"/>
  <c r="J6" i="5"/>
  <c r="K6" i="5"/>
  <c r="L6" i="5"/>
  <c r="M6" i="5"/>
  <c r="N6" i="5"/>
  <c r="O6" i="5"/>
  <c r="P6" i="5"/>
  <c r="Q6" i="5"/>
  <c r="R6" i="5"/>
  <c r="S6" i="5"/>
  <c r="T6" i="5"/>
  <c r="U6" i="5"/>
  <c r="V6" i="5"/>
  <c r="W6" i="5"/>
  <c r="X6" i="5"/>
  <c r="Y6" i="5"/>
  <c r="Z6" i="5"/>
  <c r="AA6" i="5"/>
  <c r="AB6" i="5"/>
  <c r="AC6" i="5"/>
  <c r="AD6" i="5"/>
  <c r="AE6" i="5"/>
  <c r="AF6" i="5"/>
  <c r="AG6" i="5"/>
  <c r="AH6" i="5"/>
  <c r="AI6" i="5"/>
  <c r="AJ6" i="5"/>
  <c r="AK6" i="5"/>
  <c r="AL6" i="5"/>
  <c r="AM6" i="5"/>
  <c r="AN6" i="5"/>
  <c r="AO6" i="5"/>
  <c r="AP6" i="5"/>
  <c r="AQ6" i="5"/>
  <c r="AR6" i="5"/>
  <c r="AS6" i="5"/>
  <c r="AT6" i="5"/>
  <c r="AU6" i="5"/>
  <c r="AV6" i="5"/>
  <c r="AW6" i="5"/>
  <c r="AX6" i="5"/>
  <c r="AY6" i="5"/>
  <c r="AZ6" i="5"/>
  <c r="BA6" i="5"/>
  <c r="BB6" i="5"/>
  <c r="BC6" i="5"/>
  <c r="BD6" i="5"/>
  <c r="BE6" i="5"/>
  <c r="BF6" i="5"/>
  <c r="BG6" i="5"/>
  <c r="BH6" i="5"/>
  <c r="BI6" i="5"/>
  <c r="C7" i="5"/>
  <c r="D7" i="5"/>
  <c r="E7" i="5"/>
  <c r="F7" i="5"/>
  <c r="G7" i="5"/>
  <c r="H7" i="5"/>
  <c r="I7" i="5"/>
  <c r="J7" i="5"/>
  <c r="K7" i="5"/>
  <c r="L7" i="5"/>
  <c r="M7" i="5"/>
  <c r="N7" i="5"/>
  <c r="O7" i="5"/>
  <c r="P7" i="5"/>
  <c r="Q7" i="5"/>
  <c r="R7" i="5"/>
  <c r="S7" i="5"/>
  <c r="T7" i="5"/>
  <c r="U7" i="5"/>
  <c r="V7" i="5"/>
  <c r="W7" i="5"/>
  <c r="X7" i="5"/>
  <c r="Y7" i="5"/>
  <c r="Z7" i="5"/>
  <c r="AA7" i="5"/>
  <c r="AB7" i="5"/>
  <c r="AC7" i="5"/>
  <c r="AD7" i="5"/>
  <c r="AE7" i="5"/>
  <c r="AF7" i="5"/>
  <c r="AG7" i="5"/>
  <c r="AH7" i="5"/>
  <c r="AI7" i="5"/>
  <c r="AJ7" i="5"/>
  <c r="AK7" i="5"/>
  <c r="AL7" i="5"/>
  <c r="AM7" i="5"/>
  <c r="AN7" i="5"/>
  <c r="AO7" i="5"/>
  <c r="AP7" i="5"/>
  <c r="AQ7" i="5"/>
  <c r="AR7" i="5"/>
  <c r="AS7" i="5"/>
  <c r="AT7" i="5"/>
  <c r="AU7" i="5"/>
  <c r="AV7" i="5"/>
  <c r="AW7" i="5"/>
  <c r="AX7" i="5"/>
  <c r="AY7" i="5"/>
  <c r="AZ7" i="5"/>
  <c r="BA7" i="5"/>
  <c r="BB7" i="5"/>
  <c r="BC7" i="5"/>
  <c r="BD7" i="5"/>
  <c r="BE7" i="5"/>
  <c r="BF7" i="5"/>
  <c r="BG7" i="5"/>
  <c r="BH7" i="5"/>
  <c r="BI7" i="5"/>
  <c r="C8" i="5"/>
  <c r="D8" i="5"/>
  <c r="E8" i="5"/>
  <c r="F8" i="5"/>
  <c r="G8" i="5"/>
  <c r="H8" i="5"/>
  <c r="I8" i="5"/>
  <c r="J8" i="5"/>
  <c r="K8" i="5"/>
  <c r="L8" i="5"/>
  <c r="M8" i="5"/>
  <c r="N8" i="5"/>
  <c r="O8" i="5"/>
  <c r="P8" i="5"/>
  <c r="Q8" i="5"/>
  <c r="R8" i="5"/>
  <c r="S8" i="5"/>
  <c r="T8" i="5"/>
  <c r="U8" i="5"/>
  <c r="V8" i="5"/>
  <c r="W8" i="5"/>
  <c r="X8" i="5"/>
  <c r="Y8" i="5"/>
  <c r="Z8" i="5"/>
  <c r="AA8" i="5"/>
  <c r="AB8" i="5"/>
  <c r="AC8" i="5"/>
  <c r="AD8" i="5"/>
  <c r="AE8" i="5"/>
  <c r="AF8" i="5"/>
  <c r="AG8" i="5"/>
  <c r="AH8" i="5"/>
  <c r="AI8" i="5"/>
  <c r="AJ8" i="5"/>
  <c r="AK8" i="5"/>
  <c r="AL8" i="5"/>
  <c r="AM8" i="5"/>
  <c r="AN8" i="5"/>
  <c r="AO8" i="5"/>
  <c r="AP8" i="5"/>
  <c r="AQ8" i="5"/>
  <c r="AR8" i="5"/>
  <c r="AS8" i="5"/>
  <c r="AT8" i="5"/>
  <c r="AU8" i="5"/>
  <c r="AV8" i="5"/>
  <c r="AW8" i="5"/>
  <c r="AX8" i="5"/>
  <c r="AY8" i="5"/>
  <c r="AZ8" i="5"/>
  <c r="BA8" i="5"/>
  <c r="BB8" i="5"/>
  <c r="BC8" i="5"/>
  <c r="BD8" i="5"/>
  <c r="BE8" i="5"/>
  <c r="BF8" i="5"/>
  <c r="BG8" i="5"/>
  <c r="BH8" i="5"/>
  <c r="BI8" i="5"/>
  <c r="C9" i="5"/>
  <c r="D9" i="5"/>
  <c r="E9" i="5"/>
  <c r="F9" i="5"/>
  <c r="G9" i="5"/>
  <c r="H9" i="5"/>
  <c r="I9" i="5"/>
  <c r="J9" i="5"/>
  <c r="K9" i="5"/>
  <c r="L9" i="5"/>
  <c r="M9" i="5"/>
  <c r="N9" i="5"/>
  <c r="O9" i="5"/>
  <c r="P9" i="5"/>
  <c r="Q9" i="5"/>
  <c r="R9" i="5"/>
  <c r="S9" i="5"/>
  <c r="T9" i="5"/>
  <c r="U9" i="5"/>
  <c r="V9" i="5"/>
  <c r="W9" i="5"/>
  <c r="X9" i="5"/>
  <c r="Y9" i="5"/>
  <c r="Z9" i="5"/>
  <c r="AA9" i="5"/>
  <c r="AB9" i="5"/>
  <c r="AC9" i="5"/>
  <c r="AD9" i="5"/>
  <c r="AE9" i="5"/>
  <c r="AF9" i="5"/>
  <c r="AG9" i="5"/>
  <c r="AH9" i="5"/>
  <c r="AI9" i="5"/>
  <c r="AJ9" i="5"/>
  <c r="AK9" i="5"/>
  <c r="AL9" i="5"/>
  <c r="AM9" i="5"/>
  <c r="AN9" i="5"/>
  <c r="AO9" i="5"/>
  <c r="AP9" i="5"/>
  <c r="AQ9" i="5"/>
  <c r="AR9" i="5"/>
  <c r="AS9" i="5"/>
  <c r="AT9" i="5"/>
  <c r="AU9" i="5"/>
  <c r="AV9" i="5"/>
  <c r="AW9" i="5"/>
  <c r="AX9" i="5"/>
  <c r="AY9" i="5"/>
  <c r="AZ9" i="5"/>
  <c r="BA9" i="5"/>
  <c r="BB9" i="5"/>
  <c r="BC9" i="5"/>
  <c r="BD9" i="5"/>
  <c r="BE9" i="5"/>
  <c r="BF9" i="5"/>
  <c r="BG9" i="5"/>
  <c r="BH9" i="5"/>
  <c r="BI9" i="5"/>
  <c r="C10" i="5"/>
  <c r="D10" i="5"/>
  <c r="E10" i="5"/>
  <c r="F10" i="5"/>
  <c r="G10" i="5"/>
  <c r="H10" i="5"/>
  <c r="I10" i="5"/>
  <c r="J10" i="5"/>
  <c r="K10" i="5"/>
  <c r="L10" i="5"/>
  <c r="M10" i="5"/>
  <c r="N10" i="5"/>
  <c r="O10" i="5"/>
  <c r="P10" i="5"/>
  <c r="Q10" i="5"/>
  <c r="R10" i="5"/>
  <c r="S10" i="5"/>
  <c r="T10" i="5"/>
  <c r="U10" i="5"/>
  <c r="V10" i="5"/>
  <c r="W10" i="5"/>
  <c r="X10" i="5"/>
  <c r="Y10" i="5"/>
  <c r="Z10" i="5"/>
  <c r="AA10" i="5"/>
  <c r="AB10" i="5"/>
  <c r="AC10" i="5"/>
  <c r="AD10" i="5"/>
  <c r="AE10" i="5"/>
  <c r="AF10" i="5"/>
  <c r="AG10" i="5"/>
  <c r="AH10" i="5"/>
  <c r="AI10" i="5"/>
  <c r="AJ10" i="5"/>
  <c r="AK10" i="5"/>
  <c r="AL10" i="5"/>
  <c r="AM10" i="5"/>
  <c r="AN10" i="5"/>
  <c r="AO10" i="5"/>
  <c r="AP10" i="5"/>
  <c r="AQ10" i="5"/>
  <c r="AR10" i="5"/>
  <c r="AS10" i="5"/>
  <c r="AT10" i="5"/>
  <c r="AU10" i="5"/>
  <c r="AV10" i="5"/>
  <c r="AW10" i="5"/>
  <c r="AX10" i="5"/>
  <c r="AY10" i="5"/>
  <c r="AZ10" i="5"/>
  <c r="BA10" i="5"/>
  <c r="BB10" i="5"/>
  <c r="BC10" i="5"/>
  <c r="BD10" i="5"/>
  <c r="BE10" i="5"/>
  <c r="BF10" i="5"/>
  <c r="BG10" i="5"/>
  <c r="BH10" i="5"/>
  <c r="BI10" i="5"/>
  <c r="C11" i="5"/>
  <c r="D11" i="5"/>
  <c r="E11" i="5"/>
  <c r="F11" i="5"/>
  <c r="G11" i="5"/>
  <c r="H11" i="5"/>
  <c r="I11" i="5"/>
  <c r="J11" i="5"/>
  <c r="K11" i="5"/>
  <c r="L11" i="5"/>
  <c r="M11" i="5"/>
  <c r="N11" i="5"/>
  <c r="O11" i="5"/>
  <c r="P11" i="5"/>
  <c r="Q11" i="5"/>
  <c r="R11" i="5"/>
  <c r="S11" i="5"/>
  <c r="T11" i="5"/>
  <c r="U11" i="5"/>
  <c r="V11" i="5"/>
  <c r="W11" i="5"/>
  <c r="X11" i="5"/>
  <c r="Y11" i="5"/>
  <c r="Z11" i="5"/>
  <c r="AA11" i="5"/>
  <c r="AB11" i="5"/>
  <c r="AC11" i="5"/>
  <c r="AD11" i="5"/>
  <c r="AE11" i="5"/>
  <c r="AF11" i="5"/>
  <c r="AG11" i="5"/>
  <c r="AH11" i="5"/>
  <c r="AI11" i="5"/>
  <c r="AJ11" i="5"/>
  <c r="AK11" i="5"/>
  <c r="AL11" i="5"/>
  <c r="AM11" i="5"/>
  <c r="AN11" i="5"/>
  <c r="AO11" i="5"/>
  <c r="AP11" i="5"/>
  <c r="AQ11" i="5"/>
  <c r="AR11" i="5"/>
  <c r="AS11" i="5"/>
  <c r="AT11" i="5"/>
  <c r="AU11" i="5"/>
  <c r="AV11" i="5"/>
  <c r="AW11" i="5"/>
  <c r="AX11" i="5"/>
  <c r="AY11" i="5"/>
  <c r="AZ11" i="5"/>
  <c r="BA11" i="5"/>
  <c r="BB11" i="5"/>
  <c r="BC11" i="5"/>
  <c r="BD11" i="5"/>
  <c r="BE11" i="5"/>
  <c r="BF11" i="5"/>
  <c r="BG11" i="5"/>
  <c r="BH11" i="5"/>
  <c r="BI11" i="5"/>
  <c r="C12" i="5"/>
  <c r="D12" i="5"/>
  <c r="E12" i="5"/>
  <c r="F12" i="5"/>
  <c r="G12" i="5"/>
  <c r="H12" i="5"/>
  <c r="I12" i="5"/>
  <c r="J12" i="5"/>
  <c r="K12" i="5"/>
  <c r="L12" i="5"/>
  <c r="M12" i="5"/>
  <c r="N12" i="5"/>
  <c r="O12" i="5"/>
  <c r="P12" i="5"/>
  <c r="Q12" i="5"/>
  <c r="R12" i="5"/>
  <c r="S12" i="5"/>
  <c r="T12" i="5"/>
  <c r="U12" i="5"/>
  <c r="V12" i="5"/>
  <c r="W12" i="5"/>
  <c r="X12" i="5"/>
  <c r="Y12" i="5"/>
  <c r="Z12" i="5"/>
  <c r="AA12" i="5"/>
  <c r="AB12" i="5"/>
  <c r="AC12" i="5"/>
  <c r="AD12" i="5"/>
  <c r="AE12" i="5"/>
  <c r="AF12" i="5"/>
  <c r="AG12" i="5"/>
  <c r="AH12" i="5"/>
  <c r="AI12" i="5"/>
  <c r="AJ12" i="5"/>
  <c r="AK12" i="5"/>
  <c r="AL12" i="5"/>
  <c r="AM12" i="5"/>
  <c r="AN12" i="5"/>
  <c r="AO12" i="5"/>
  <c r="AP12" i="5"/>
  <c r="AQ12" i="5"/>
  <c r="AR12" i="5"/>
  <c r="AS12" i="5"/>
  <c r="AT12" i="5"/>
  <c r="AU12" i="5"/>
  <c r="AV12" i="5"/>
  <c r="AW12" i="5"/>
  <c r="AX12" i="5"/>
  <c r="AY12" i="5"/>
  <c r="AZ12" i="5"/>
  <c r="BA12" i="5"/>
  <c r="BB12" i="5"/>
  <c r="BC12" i="5"/>
  <c r="BD12" i="5"/>
  <c r="BE12" i="5"/>
  <c r="BF12" i="5"/>
  <c r="BG12" i="5"/>
  <c r="BH12" i="5"/>
  <c r="BI12" i="5"/>
  <c r="C16" i="5"/>
  <c r="D16" i="5"/>
  <c r="E16" i="5"/>
  <c r="F16" i="5"/>
  <c r="G16" i="5"/>
  <c r="H16" i="5"/>
  <c r="I16" i="5"/>
  <c r="J16" i="5"/>
  <c r="K16" i="5"/>
  <c r="L16" i="5"/>
  <c r="M16" i="5"/>
  <c r="N16" i="5"/>
  <c r="O16" i="5"/>
  <c r="P16" i="5"/>
  <c r="Q16" i="5"/>
  <c r="R16" i="5"/>
  <c r="S16" i="5"/>
  <c r="T16" i="5"/>
  <c r="U16" i="5"/>
  <c r="V16" i="5"/>
  <c r="W16" i="5"/>
  <c r="X16" i="5"/>
  <c r="Y16" i="5"/>
  <c r="Z16" i="5"/>
  <c r="AA16" i="5"/>
  <c r="AB16" i="5"/>
  <c r="AC16" i="5"/>
  <c r="AD16" i="5"/>
  <c r="AE16" i="5"/>
  <c r="AF16" i="5"/>
  <c r="AG16" i="5"/>
  <c r="AH16" i="5"/>
  <c r="AI16" i="5"/>
  <c r="AJ16" i="5"/>
  <c r="AK16" i="5"/>
  <c r="AL16" i="5"/>
  <c r="AM16" i="5"/>
  <c r="AN16" i="5"/>
  <c r="AO16" i="5"/>
  <c r="AP16" i="5"/>
  <c r="AQ16" i="5"/>
  <c r="AR16" i="5"/>
  <c r="AS16" i="5"/>
  <c r="AT16" i="5"/>
  <c r="AU16" i="5"/>
  <c r="AV16" i="5"/>
  <c r="AW16" i="5"/>
  <c r="AX16" i="5"/>
  <c r="AY16" i="5"/>
  <c r="AZ16" i="5"/>
  <c r="BA16" i="5"/>
  <c r="BB16" i="5"/>
  <c r="BC16" i="5"/>
  <c r="BD16" i="5"/>
  <c r="BE16" i="5"/>
  <c r="BF16" i="5"/>
  <c r="BG16" i="5"/>
  <c r="BH16" i="5"/>
  <c r="BI16" i="5"/>
  <c r="C17" i="5"/>
  <c r="D17" i="5"/>
  <c r="E17" i="5"/>
  <c r="F17" i="5"/>
  <c r="G17" i="5"/>
  <c r="H17" i="5"/>
  <c r="I17" i="5"/>
  <c r="J17" i="5"/>
  <c r="K17" i="5"/>
  <c r="L17" i="5"/>
  <c r="M17" i="5"/>
  <c r="N17" i="5"/>
  <c r="O17" i="5"/>
  <c r="P17" i="5"/>
  <c r="Q17" i="5"/>
  <c r="R17" i="5"/>
  <c r="S17" i="5"/>
  <c r="T17" i="5"/>
  <c r="U17" i="5"/>
  <c r="V17" i="5"/>
  <c r="W17" i="5"/>
  <c r="X17" i="5"/>
  <c r="Y17" i="5"/>
  <c r="Z17" i="5"/>
  <c r="AA17" i="5"/>
  <c r="AB17" i="5"/>
  <c r="AC17" i="5"/>
  <c r="AD17" i="5"/>
  <c r="AE17" i="5"/>
  <c r="AF17" i="5"/>
  <c r="AG17" i="5"/>
  <c r="AH17" i="5"/>
  <c r="AI17" i="5"/>
  <c r="AJ17" i="5"/>
  <c r="AK17" i="5"/>
  <c r="AL17" i="5"/>
  <c r="AM17" i="5"/>
  <c r="AN17" i="5"/>
  <c r="AO17" i="5"/>
  <c r="AP17" i="5"/>
  <c r="AQ17" i="5"/>
  <c r="AR17" i="5"/>
  <c r="AS17" i="5"/>
  <c r="AT17" i="5"/>
  <c r="AU17" i="5"/>
  <c r="AV17" i="5"/>
  <c r="AW17" i="5"/>
  <c r="AX17" i="5"/>
  <c r="AY17" i="5"/>
  <c r="AZ17" i="5"/>
  <c r="BA17" i="5"/>
  <c r="BB17" i="5"/>
  <c r="BC17" i="5"/>
  <c r="BD17" i="5"/>
  <c r="BE17" i="5"/>
  <c r="BF17" i="5"/>
  <c r="BG17" i="5"/>
  <c r="BH17" i="5"/>
  <c r="BI17" i="5"/>
  <c r="C19" i="5"/>
  <c r="D19" i="5"/>
  <c r="E19" i="5"/>
  <c r="F19" i="5"/>
  <c r="G19" i="5"/>
  <c r="H19" i="5"/>
  <c r="I19" i="5"/>
  <c r="J19" i="5"/>
  <c r="K19" i="5"/>
  <c r="L19" i="5"/>
  <c r="M19" i="5"/>
  <c r="N19" i="5"/>
  <c r="O19" i="5"/>
  <c r="P19" i="5"/>
  <c r="Q19" i="5"/>
  <c r="R19" i="5"/>
  <c r="S19" i="5"/>
  <c r="T19" i="5"/>
  <c r="U19" i="5"/>
  <c r="V19" i="5"/>
  <c r="W19" i="5"/>
  <c r="Y19" i="5"/>
  <c r="Z19" i="5"/>
  <c r="AA19" i="5"/>
  <c r="AB19" i="5"/>
  <c r="AC19" i="5"/>
  <c r="AD19" i="5"/>
  <c r="AE19" i="5"/>
  <c r="AF19" i="5"/>
  <c r="AG19" i="5"/>
  <c r="AH19" i="5"/>
  <c r="AI19" i="5"/>
  <c r="AJ19" i="5"/>
  <c r="AK19" i="5"/>
  <c r="AL19" i="5"/>
  <c r="AM19" i="5"/>
  <c r="AN19" i="5"/>
  <c r="AO19" i="5"/>
  <c r="AP19" i="5"/>
  <c r="AQ19" i="5"/>
  <c r="AR19" i="5"/>
  <c r="AS19" i="5"/>
  <c r="AT19" i="5"/>
  <c r="AU19" i="5"/>
  <c r="AV19" i="5"/>
  <c r="AW19" i="5"/>
  <c r="AX19" i="5"/>
  <c r="AY19" i="5"/>
  <c r="AZ19" i="5"/>
  <c r="BA19" i="5"/>
  <c r="BB19" i="5"/>
  <c r="BC19" i="5"/>
  <c r="BD19" i="5"/>
  <c r="BE19" i="5"/>
  <c r="BF19" i="5"/>
  <c r="BG19" i="5"/>
  <c r="BH19" i="5"/>
  <c r="BI19" i="5"/>
  <c r="C20" i="5"/>
  <c r="D20" i="5"/>
  <c r="E20" i="5"/>
  <c r="F20" i="5"/>
  <c r="G20" i="5"/>
  <c r="H20" i="5"/>
  <c r="I20" i="5"/>
  <c r="J20" i="5"/>
  <c r="K20" i="5"/>
  <c r="L20" i="5"/>
  <c r="M20" i="5"/>
  <c r="N20" i="5"/>
  <c r="O20" i="5"/>
  <c r="P20" i="5"/>
  <c r="Q20" i="5"/>
  <c r="R20" i="5"/>
  <c r="S20" i="5"/>
  <c r="T20" i="5"/>
  <c r="U20" i="5"/>
  <c r="V20" i="5"/>
  <c r="W20" i="5"/>
  <c r="X20" i="5"/>
  <c r="Y20" i="5"/>
  <c r="Z20" i="5"/>
  <c r="AA20" i="5"/>
  <c r="AB20" i="5"/>
  <c r="AC20" i="5"/>
  <c r="AD20" i="5"/>
  <c r="AE20" i="5"/>
  <c r="AF20" i="5"/>
  <c r="AG20" i="5"/>
  <c r="AH20" i="5"/>
  <c r="AI20" i="5"/>
  <c r="AJ20" i="5"/>
  <c r="AK20" i="5"/>
  <c r="AL20" i="5"/>
  <c r="AM20" i="5"/>
  <c r="AN20" i="5"/>
  <c r="AO20" i="5"/>
  <c r="AP20" i="5"/>
  <c r="AQ20" i="5"/>
  <c r="AR20" i="5"/>
  <c r="AS20" i="5"/>
  <c r="AT20" i="5"/>
  <c r="AU20" i="5"/>
  <c r="AV20" i="5"/>
  <c r="AW20" i="5"/>
  <c r="AX20" i="5"/>
  <c r="AY20" i="5"/>
  <c r="AZ20" i="5"/>
  <c r="BA20" i="5"/>
  <c r="BB20" i="5"/>
  <c r="BC20" i="5"/>
  <c r="BD20" i="5"/>
  <c r="BE20" i="5"/>
  <c r="BF20" i="5"/>
  <c r="BG20" i="5"/>
  <c r="BH20" i="5"/>
  <c r="BI20" i="5"/>
  <c r="C21" i="5"/>
  <c r="D21" i="5"/>
  <c r="E21" i="5"/>
  <c r="F21" i="5"/>
  <c r="G21" i="5"/>
  <c r="H21" i="5"/>
  <c r="I21" i="5"/>
  <c r="J21" i="5"/>
  <c r="K21" i="5"/>
  <c r="L21" i="5"/>
  <c r="M21" i="5"/>
  <c r="N21" i="5"/>
  <c r="O21" i="5"/>
  <c r="P21" i="5"/>
  <c r="Q21" i="5"/>
  <c r="R21" i="5"/>
  <c r="S21" i="5"/>
  <c r="T21" i="5"/>
  <c r="U21" i="5"/>
  <c r="V21" i="5"/>
  <c r="W21" i="5"/>
  <c r="X21" i="5"/>
  <c r="Y21" i="5"/>
  <c r="Z21" i="5"/>
  <c r="AA21" i="5"/>
  <c r="AB21" i="5"/>
  <c r="AC21" i="5"/>
  <c r="AD21" i="5"/>
  <c r="AE21" i="5"/>
  <c r="AF21" i="5"/>
  <c r="AG21" i="5"/>
  <c r="AH21" i="5"/>
  <c r="AI21" i="5"/>
  <c r="AJ21" i="5"/>
  <c r="AK21" i="5"/>
  <c r="AL21" i="5"/>
  <c r="AM21" i="5"/>
  <c r="AN21" i="5"/>
  <c r="AO21" i="5"/>
  <c r="AP21" i="5"/>
  <c r="AQ21" i="5"/>
  <c r="AR21" i="5"/>
  <c r="AS21" i="5"/>
  <c r="AT21" i="5"/>
  <c r="AU21" i="5"/>
  <c r="AV21" i="5"/>
  <c r="AW21" i="5"/>
  <c r="AX21" i="5"/>
  <c r="AY21" i="5"/>
  <c r="AZ21" i="5"/>
  <c r="BA21" i="5"/>
  <c r="BB21" i="5"/>
  <c r="BC21" i="5"/>
  <c r="BD21" i="5"/>
  <c r="BE21" i="5"/>
  <c r="BF21" i="5"/>
  <c r="BG21" i="5"/>
  <c r="BH21" i="5"/>
  <c r="BI21" i="5"/>
  <c r="C22" i="5"/>
  <c r="D22" i="5"/>
  <c r="E22" i="5"/>
  <c r="F22" i="5"/>
  <c r="G22" i="5"/>
  <c r="H22" i="5"/>
  <c r="I22" i="5"/>
  <c r="J22" i="5"/>
  <c r="K22" i="5"/>
  <c r="L22" i="5"/>
  <c r="M22" i="5"/>
  <c r="N22" i="5"/>
  <c r="O22" i="5"/>
  <c r="P22" i="5"/>
  <c r="Q22" i="5"/>
  <c r="R22" i="5"/>
  <c r="S22" i="5"/>
  <c r="T22" i="5"/>
  <c r="U22" i="5"/>
  <c r="V22" i="5"/>
  <c r="W22" i="5"/>
  <c r="X22" i="5"/>
  <c r="Y22" i="5"/>
  <c r="Z22" i="5"/>
  <c r="AA22" i="5"/>
  <c r="AB22" i="5"/>
  <c r="AC22" i="5"/>
  <c r="AD22" i="5"/>
  <c r="AE22" i="5"/>
  <c r="AF22" i="5"/>
  <c r="AG22" i="5"/>
  <c r="AH22" i="5"/>
  <c r="AI22" i="5"/>
  <c r="AJ22" i="5"/>
  <c r="AK22" i="5"/>
  <c r="AL22" i="5"/>
  <c r="AM22" i="5"/>
  <c r="AN22" i="5"/>
  <c r="AO22" i="5"/>
  <c r="AP22" i="5"/>
  <c r="AQ22" i="5"/>
  <c r="AR22" i="5"/>
  <c r="AS22" i="5"/>
  <c r="AT22" i="5"/>
  <c r="AU22" i="5"/>
  <c r="AV22" i="5"/>
  <c r="AW22" i="5"/>
  <c r="AX22" i="5"/>
  <c r="AY22" i="5"/>
  <c r="AZ22" i="5"/>
  <c r="BA22" i="5"/>
  <c r="BB22" i="5"/>
  <c r="BC22" i="5"/>
  <c r="BD22" i="5"/>
  <c r="BE22" i="5"/>
  <c r="BF22" i="5"/>
  <c r="BG22" i="5"/>
  <c r="BH22" i="5"/>
  <c r="BI22" i="5"/>
  <c r="C23" i="5"/>
  <c r="D23" i="5"/>
  <c r="E23" i="5"/>
  <c r="F23" i="5"/>
  <c r="G23" i="5"/>
  <c r="H23" i="5"/>
  <c r="I23" i="5"/>
  <c r="J23" i="5"/>
  <c r="K23" i="5"/>
  <c r="L23" i="5"/>
  <c r="M23" i="5"/>
  <c r="N23" i="5"/>
  <c r="O23" i="5"/>
  <c r="P23" i="5"/>
  <c r="Q23" i="5"/>
  <c r="R23" i="5"/>
  <c r="S23" i="5"/>
  <c r="T23" i="5"/>
  <c r="U23" i="5"/>
  <c r="V23" i="5"/>
  <c r="W23" i="5"/>
  <c r="X23" i="5"/>
  <c r="Y23" i="5"/>
  <c r="Z23" i="5"/>
  <c r="AA23" i="5"/>
  <c r="AB23" i="5"/>
  <c r="AC23" i="5"/>
  <c r="AD23" i="5"/>
  <c r="AE23" i="5"/>
  <c r="AF23" i="5"/>
  <c r="AG23" i="5"/>
  <c r="AH23" i="5"/>
  <c r="AI23" i="5"/>
  <c r="AJ23" i="5"/>
  <c r="AK23" i="5"/>
  <c r="AL23" i="5"/>
  <c r="AM23" i="5"/>
  <c r="AN23" i="5"/>
  <c r="AO23" i="5"/>
  <c r="AP23" i="5"/>
  <c r="AQ23" i="5"/>
  <c r="AR23" i="5"/>
  <c r="AS23" i="5"/>
  <c r="AT23" i="5"/>
  <c r="AU23" i="5"/>
  <c r="AV23" i="5"/>
  <c r="AW23" i="5"/>
  <c r="AX23" i="5"/>
  <c r="AY23" i="5"/>
  <c r="AZ23" i="5"/>
  <c r="BA23" i="5"/>
  <c r="BB23" i="5"/>
  <c r="BC23" i="5"/>
  <c r="BD23" i="5"/>
  <c r="BE23" i="5"/>
  <c r="BF23" i="5"/>
  <c r="BG23" i="5"/>
  <c r="BH23" i="5"/>
  <c r="BI23" i="5"/>
  <c r="C24" i="5"/>
  <c r="D24" i="5"/>
  <c r="E24" i="5"/>
  <c r="F24" i="5"/>
  <c r="G24" i="5"/>
  <c r="H24" i="5"/>
  <c r="I24" i="5"/>
  <c r="J24" i="5"/>
  <c r="K24" i="5"/>
  <c r="L24" i="5"/>
  <c r="M24" i="5"/>
  <c r="N24" i="5"/>
  <c r="O24" i="5"/>
  <c r="P24" i="5"/>
  <c r="Q24" i="5"/>
  <c r="R24" i="5"/>
  <c r="S24" i="5"/>
  <c r="T24" i="5"/>
  <c r="U24" i="5"/>
  <c r="V24" i="5"/>
  <c r="W24" i="5"/>
  <c r="X24" i="5"/>
  <c r="Y24" i="5"/>
  <c r="Z24" i="5"/>
  <c r="AA24" i="5"/>
  <c r="AB24" i="5"/>
  <c r="AC24" i="5"/>
  <c r="AD24" i="5"/>
  <c r="AE24" i="5"/>
  <c r="AF24" i="5"/>
  <c r="AG24" i="5"/>
  <c r="AH24" i="5"/>
  <c r="AI24" i="5"/>
  <c r="AJ24" i="5"/>
  <c r="AK24" i="5"/>
  <c r="AL24" i="5"/>
  <c r="AM24" i="5"/>
  <c r="AN24" i="5"/>
  <c r="AO24" i="5"/>
  <c r="AP24" i="5"/>
  <c r="AQ24" i="5"/>
  <c r="AR24" i="5"/>
  <c r="AS24" i="5"/>
  <c r="AT24" i="5"/>
  <c r="AU24" i="5"/>
  <c r="AV24" i="5"/>
  <c r="AW24" i="5"/>
  <c r="AX24" i="5"/>
  <c r="AY24" i="5"/>
  <c r="AZ24" i="5"/>
  <c r="BA24" i="5"/>
  <c r="BB24" i="5"/>
  <c r="BC24" i="5"/>
  <c r="BD24" i="5"/>
  <c r="BE24" i="5"/>
  <c r="BF24" i="5"/>
  <c r="BG24" i="5"/>
  <c r="BH24" i="5"/>
  <c r="BI24" i="5"/>
  <c r="C25" i="5"/>
  <c r="D25" i="5"/>
  <c r="E25" i="5"/>
  <c r="F25" i="5"/>
  <c r="G25" i="5"/>
  <c r="H25" i="5"/>
  <c r="I25" i="5"/>
  <c r="J25" i="5"/>
  <c r="K25" i="5"/>
  <c r="L25" i="5"/>
  <c r="M25" i="5"/>
  <c r="N25" i="5"/>
  <c r="O25" i="5"/>
  <c r="P25" i="5"/>
  <c r="Q25" i="5"/>
  <c r="R25" i="5"/>
  <c r="S25" i="5"/>
  <c r="T25" i="5"/>
  <c r="U25" i="5"/>
  <c r="V25" i="5"/>
  <c r="W25" i="5"/>
  <c r="X25" i="5"/>
  <c r="Y25" i="5"/>
  <c r="Z25" i="5"/>
  <c r="AA25" i="5"/>
  <c r="AB25" i="5"/>
  <c r="AC25" i="5"/>
  <c r="AD25" i="5"/>
  <c r="AE25" i="5"/>
  <c r="AF25" i="5"/>
  <c r="AG25" i="5"/>
  <c r="AH25" i="5"/>
  <c r="AI25" i="5"/>
  <c r="AJ25" i="5"/>
  <c r="AK25" i="5"/>
  <c r="AL25" i="5"/>
  <c r="AM25" i="5"/>
  <c r="AN25" i="5"/>
  <c r="AO25" i="5"/>
  <c r="AP25" i="5"/>
  <c r="AQ25" i="5"/>
  <c r="AR25" i="5"/>
  <c r="AS25" i="5"/>
  <c r="AT25" i="5"/>
  <c r="AU25" i="5"/>
  <c r="AV25" i="5"/>
  <c r="AW25" i="5"/>
  <c r="AX25" i="5"/>
  <c r="AY25" i="5"/>
  <c r="AZ25" i="5"/>
  <c r="BA25" i="5"/>
  <c r="BB25" i="5"/>
  <c r="BC25" i="5"/>
  <c r="BD25" i="5"/>
  <c r="BE25" i="5"/>
  <c r="BF25" i="5"/>
  <c r="BG25" i="5"/>
  <c r="BH25" i="5"/>
  <c r="BI25" i="5"/>
  <c r="B25" i="5"/>
  <c r="B24" i="5"/>
  <c r="B23" i="5"/>
  <c r="B22" i="5"/>
  <c r="B21" i="5"/>
  <c r="B19" i="5"/>
  <c r="B20" i="5"/>
  <c r="B17" i="5"/>
  <c r="B16" i="5"/>
  <c r="B12" i="5"/>
  <c r="B11" i="5"/>
  <c r="B10" i="5"/>
  <c r="B9" i="5"/>
  <c r="B8" i="5"/>
  <c r="B7" i="5"/>
  <c r="B6" i="5"/>
  <c r="N6" i="3"/>
  <c r="O6" i="3"/>
  <c r="M6" i="3"/>
  <c r="L8" i="3"/>
  <c r="L9" i="3"/>
  <c r="L10" i="3"/>
  <c r="L7" i="3"/>
  <c r="J27" i="3"/>
  <c r="J28" i="3"/>
  <c r="J29" i="3"/>
  <c r="J30" i="3"/>
  <c r="J31" i="3"/>
  <c r="J32" i="3"/>
  <c r="J33" i="3"/>
  <c r="I27" i="3"/>
  <c r="I28" i="3"/>
  <c r="I29" i="3"/>
  <c r="I30" i="3"/>
  <c r="I31" i="3"/>
  <c r="I32" i="3"/>
  <c r="I33" i="3"/>
  <c r="C27" i="3"/>
  <c r="D27" i="3"/>
  <c r="E27" i="3"/>
  <c r="F27" i="3"/>
  <c r="M7" i="3" s="1"/>
  <c r="G27" i="3"/>
  <c r="N7" i="3" s="1"/>
  <c r="H27" i="3"/>
  <c r="C28" i="3"/>
  <c r="D28" i="3"/>
  <c r="E28" i="3"/>
  <c r="F28" i="3"/>
  <c r="M8" i="3" s="1"/>
  <c r="G28" i="3"/>
  <c r="N8" i="3" s="1"/>
  <c r="H28" i="3"/>
  <c r="O8" i="3" s="1"/>
  <c r="B28" i="3"/>
  <c r="B27" i="3"/>
  <c r="C29" i="3"/>
  <c r="D29" i="3"/>
  <c r="E29" i="3"/>
  <c r="F29" i="3"/>
  <c r="M9" i="3" s="1"/>
  <c r="G29" i="3"/>
  <c r="N9" i="3" s="1"/>
  <c r="H29" i="3"/>
  <c r="B29" i="3"/>
  <c r="G30" i="3"/>
  <c r="N10" i="3" s="1"/>
  <c r="H30" i="3"/>
  <c r="O10" i="3" s="1"/>
  <c r="G31" i="3"/>
  <c r="H31" i="3"/>
  <c r="G32" i="3"/>
  <c r="H32" i="3"/>
  <c r="G33" i="3"/>
  <c r="H33" i="3"/>
  <c r="C30" i="3"/>
  <c r="D30" i="3"/>
  <c r="E30" i="3"/>
  <c r="F30" i="3"/>
  <c r="M10" i="3" s="1"/>
  <c r="C31" i="3"/>
  <c r="D31" i="3"/>
  <c r="E31" i="3"/>
  <c r="F31" i="3"/>
  <c r="C32" i="3"/>
  <c r="D32" i="3"/>
  <c r="E32" i="3"/>
  <c r="F32" i="3"/>
  <c r="C33" i="3"/>
  <c r="D33" i="3"/>
  <c r="E33" i="3"/>
  <c r="F33" i="3"/>
  <c r="B33" i="3"/>
  <c r="B32" i="3"/>
  <c r="B31" i="3"/>
  <c r="B30" i="3"/>
  <c r="X30" i="6" l="1"/>
  <c r="Y15" i="6"/>
  <c r="G15" i="6"/>
  <c r="G30" i="6" s="1"/>
  <c r="Y17" i="6"/>
  <c r="G17" i="6"/>
  <c r="Y16" i="6"/>
  <c r="G16" i="6"/>
  <c r="W36" i="6"/>
  <c r="X36" i="6"/>
  <c r="X41" i="6" s="1"/>
  <c r="AI14" i="6"/>
  <c r="AI35" i="6" s="1"/>
  <c r="Y14" i="6"/>
  <c r="Y35" i="6" s="1"/>
  <c r="AI24" i="6"/>
  <c r="Y24" i="6"/>
  <c r="AI9" i="6"/>
  <c r="Y9" i="6"/>
  <c r="Y30" i="6" s="1"/>
  <c r="AI11" i="6"/>
  <c r="Y11" i="6"/>
  <c r="AI21" i="6"/>
  <c r="Y21" i="6"/>
  <c r="N8" i="6"/>
  <c r="W8" i="6"/>
  <c r="AH14" i="6"/>
  <c r="AH35" i="6" s="1"/>
  <c r="J14" i="6"/>
  <c r="AH11" i="6"/>
  <c r="J11" i="6"/>
  <c r="K11" i="6" s="1"/>
  <c r="N17" i="6"/>
  <c r="L17" i="6"/>
  <c r="AB17" i="6" s="1"/>
  <c r="N16" i="6"/>
  <c r="L16" i="6"/>
  <c r="AB16" i="6" s="1"/>
  <c r="AH24" i="6"/>
  <c r="J24" i="6"/>
  <c r="L15" i="6"/>
  <c r="AB15" i="6" s="1"/>
  <c r="N15" i="6"/>
  <c r="AH21" i="6"/>
  <c r="J21" i="6"/>
  <c r="AG14" i="6"/>
  <c r="AG35" i="6" s="1"/>
  <c r="L14" i="6"/>
  <c r="AB14" i="6" s="1"/>
  <c r="AB35" i="6" s="1"/>
  <c r="N14" i="6"/>
  <c r="AH17" i="6"/>
  <c r="J17" i="6"/>
  <c r="K17" i="6" s="1"/>
  <c r="AG11" i="6"/>
  <c r="N11" i="6"/>
  <c r="L11" i="6"/>
  <c r="AB11" i="6" s="1"/>
  <c r="AH9" i="6"/>
  <c r="J9" i="6"/>
  <c r="AH16" i="6"/>
  <c r="J16" i="6"/>
  <c r="AG24" i="6"/>
  <c r="N24" i="6"/>
  <c r="L24" i="6"/>
  <c r="AB24" i="6" s="1"/>
  <c r="AG9" i="6"/>
  <c r="N9" i="6"/>
  <c r="L9" i="6"/>
  <c r="AH15" i="6"/>
  <c r="J15" i="6"/>
  <c r="AG21" i="6"/>
  <c r="L21" i="6"/>
  <c r="AB21" i="6" s="1"/>
  <c r="N21" i="6"/>
  <c r="AG8" i="6"/>
  <c r="AG32" i="6" s="1"/>
  <c r="L8" i="6"/>
  <c r="C16" i="6"/>
  <c r="AG16" i="6"/>
  <c r="C17" i="6"/>
  <c r="AG17" i="6"/>
  <c r="C15" i="6"/>
  <c r="AG15" i="6"/>
  <c r="AI17" i="6"/>
  <c r="AI16" i="6"/>
  <c r="AI15" i="6"/>
  <c r="E35" i="3"/>
  <c r="D35" i="3"/>
  <c r="E7" i="6"/>
  <c r="E27" i="6"/>
  <c r="E34" i="6" s="1"/>
  <c r="K27" i="6"/>
  <c r="K34" i="6" s="1"/>
  <c r="E26" i="6"/>
  <c r="E33" i="6" s="1"/>
  <c r="K26" i="6"/>
  <c r="K33" i="6" s="1"/>
  <c r="E25" i="6"/>
  <c r="K25" i="6"/>
  <c r="E24" i="6"/>
  <c r="E23" i="6"/>
  <c r="K23" i="6"/>
  <c r="E22" i="6"/>
  <c r="K22" i="6"/>
  <c r="E21" i="6"/>
  <c r="E20" i="6"/>
  <c r="K20" i="6"/>
  <c r="E19" i="6"/>
  <c r="K19" i="6"/>
  <c r="E18" i="6"/>
  <c r="K18" i="6"/>
  <c r="E17" i="6"/>
  <c r="E16" i="6"/>
  <c r="E15" i="6"/>
  <c r="E14" i="6"/>
  <c r="E35" i="6" s="1"/>
  <c r="E13" i="6"/>
  <c r="K13" i="6"/>
  <c r="E12" i="6"/>
  <c r="K12" i="6"/>
  <c r="E11" i="6"/>
  <c r="E10" i="6"/>
  <c r="K10" i="6"/>
  <c r="E9" i="6"/>
  <c r="E8" i="6"/>
  <c r="G34" i="6"/>
  <c r="G33" i="6"/>
  <c r="G35" i="6"/>
  <c r="AI34" i="6"/>
  <c r="AH34" i="6"/>
  <c r="AI33" i="6"/>
  <c r="AH33" i="6"/>
  <c r="AH32" i="6"/>
  <c r="AH37" i="6"/>
  <c r="C26" i="6"/>
  <c r="C33" i="6" s="1"/>
  <c r="C24" i="6"/>
  <c r="C19" i="6"/>
  <c r="C9" i="6"/>
  <c r="AG33" i="6"/>
  <c r="C23" i="6"/>
  <c r="C8" i="6"/>
  <c r="C22" i="6"/>
  <c r="AG37" i="6"/>
  <c r="C21" i="6"/>
  <c r="C14" i="6"/>
  <c r="C35" i="6" s="1"/>
  <c r="C13" i="6"/>
  <c r="AL38" i="6"/>
  <c r="AG34" i="6"/>
  <c r="C27" i="6"/>
  <c r="C34" i="6" s="1"/>
  <c r="C12" i="6"/>
  <c r="C11" i="6"/>
  <c r="C25" i="6"/>
  <c r="C18" i="6"/>
  <c r="C10" i="6"/>
  <c r="AL33" i="6"/>
  <c r="I35" i="3"/>
  <c r="J35" i="3"/>
  <c r="B35" i="3"/>
  <c r="F35" i="3"/>
  <c r="G35" i="3"/>
  <c r="H35" i="3"/>
  <c r="W32" i="6" l="1"/>
  <c r="W30" i="6"/>
  <c r="C32" i="6"/>
  <c r="C30" i="6"/>
  <c r="E30" i="6"/>
  <c r="W41" i="6"/>
  <c r="G32" i="6"/>
  <c r="AK16" i="6"/>
  <c r="AA16" i="6"/>
  <c r="AK24" i="6"/>
  <c r="AA24" i="6"/>
  <c r="AB8" i="6"/>
  <c r="AB32" i="6" s="1"/>
  <c r="AL8" i="6"/>
  <c r="AL32" i="6" s="1"/>
  <c r="O9" i="6"/>
  <c r="AC9" i="6"/>
  <c r="AM9" i="6"/>
  <c r="O16" i="6"/>
  <c r="AC16" i="6"/>
  <c r="AM16" i="6"/>
  <c r="N29" i="6"/>
  <c r="O8" i="6"/>
  <c r="O32" i="6" s="1"/>
  <c r="AM8" i="6"/>
  <c r="AM32" i="6" s="1"/>
  <c r="AC8" i="6"/>
  <c r="AC32" i="6" s="1"/>
  <c r="AC14" i="6"/>
  <c r="AC35" i="6" s="1"/>
  <c r="O14" i="6"/>
  <c r="O35" i="6" s="1"/>
  <c r="AM14" i="6"/>
  <c r="AM35" i="6" s="1"/>
  <c r="AL9" i="6"/>
  <c r="AB9" i="6"/>
  <c r="AB36" i="6" s="1"/>
  <c r="K24" i="6"/>
  <c r="AK15" i="6"/>
  <c r="AA15" i="6"/>
  <c r="AK14" i="6"/>
  <c r="AK35" i="6" s="1"/>
  <c r="AA14" i="6"/>
  <c r="AA35" i="6" s="1"/>
  <c r="K14" i="6"/>
  <c r="K35" i="6" s="1"/>
  <c r="AK9" i="6"/>
  <c r="AA9" i="6"/>
  <c r="K16" i="6"/>
  <c r="AK21" i="6"/>
  <c r="AA21" i="6"/>
  <c r="O21" i="6"/>
  <c r="AC21" i="6"/>
  <c r="AM21" i="6"/>
  <c r="AC11" i="6"/>
  <c r="AM11" i="6"/>
  <c r="O11" i="6"/>
  <c r="O17" i="6"/>
  <c r="AC17" i="6"/>
  <c r="AM17" i="6"/>
  <c r="K21" i="6"/>
  <c r="O24" i="6"/>
  <c r="AC24" i="6"/>
  <c r="AM24" i="6"/>
  <c r="O15" i="6"/>
  <c r="AM15" i="6"/>
  <c r="AC15" i="6"/>
  <c r="AK11" i="6"/>
  <c r="AA11" i="6"/>
  <c r="Y36" i="6"/>
  <c r="Y41" i="6" s="1"/>
  <c r="AK17" i="6"/>
  <c r="AA17" i="6"/>
  <c r="AL11" i="6"/>
  <c r="M11" i="6"/>
  <c r="AL17" i="6"/>
  <c r="M17" i="6"/>
  <c r="M8" i="6"/>
  <c r="M32" i="6" s="1"/>
  <c r="L27" i="6"/>
  <c r="AB27" i="6" s="1"/>
  <c r="AB34" i="6" s="1"/>
  <c r="M14" i="6"/>
  <c r="M35" i="6" s="1"/>
  <c r="AL14" i="6"/>
  <c r="AL35" i="6" s="1"/>
  <c r="K9" i="6"/>
  <c r="AL24" i="6"/>
  <c r="M24" i="6"/>
  <c r="M21" i="6"/>
  <c r="AL21" i="6"/>
  <c r="M16" i="6"/>
  <c r="AL16" i="6"/>
  <c r="M15" i="6"/>
  <c r="AL15" i="6"/>
  <c r="M9" i="6"/>
  <c r="K15" i="6"/>
  <c r="G37" i="6"/>
  <c r="E32" i="6"/>
  <c r="K37" i="6"/>
  <c r="E37" i="6"/>
  <c r="AI36" i="6"/>
  <c r="AH36" i="6"/>
  <c r="AH41" i="6" s="1"/>
  <c r="AI32" i="6"/>
  <c r="AI37" i="6"/>
  <c r="G36" i="6"/>
  <c r="E36" i="6"/>
  <c r="C36" i="6"/>
  <c r="AL37" i="6"/>
  <c r="C37" i="6"/>
  <c r="AG36" i="6"/>
  <c r="AG41" i="6" s="1"/>
  <c r="K8" i="6"/>
  <c r="K32" i="6" s="1"/>
  <c r="J28" i="6"/>
  <c r="AA28" i="6" s="1"/>
  <c r="AA38" i="6" s="1"/>
  <c r="AK36" i="6" l="1"/>
  <c r="K36" i="6"/>
  <c r="AL36" i="6"/>
  <c r="O36" i="6"/>
  <c r="AM36" i="6"/>
  <c r="O29" i="6"/>
  <c r="O39" i="6" s="1"/>
  <c r="AM29" i="6"/>
  <c r="AM39" i="6" s="1"/>
  <c r="AB41" i="6"/>
  <c r="AA36" i="6"/>
  <c r="AA41" i="6" s="1"/>
  <c r="AC36" i="6"/>
  <c r="AC41" i="6" s="1"/>
  <c r="AI41" i="6"/>
  <c r="AK28" i="6"/>
  <c r="AK38" i="6" s="1"/>
  <c r="K28" i="6"/>
  <c r="K38" i="6" s="1"/>
  <c r="AL27" i="6"/>
  <c r="AL34" i="6" s="1"/>
  <c r="M27" i="6"/>
  <c r="M34" i="6" s="1"/>
  <c r="M36" i="6"/>
  <c r="AK41" i="6" l="1"/>
  <c r="AL41" i="6"/>
  <c r="AM41" i="6"/>
</calcChain>
</file>

<file path=xl/sharedStrings.xml><?xml version="1.0" encoding="utf-8"?>
<sst xmlns="http://schemas.openxmlformats.org/spreadsheetml/2006/main" count="10215" uniqueCount="299">
  <si>
    <t>Animal welfare and climate change calculations</t>
  </si>
  <si>
    <t>Animal welfare</t>
  </si>
  <si>
    <t>Antibiotics</t>
  </si>
  <si>
    <t>Climate change</t>
  </si>
  <si>
    <t>Baseline</t>
  </si>
  <si>
    <t>Scenarios</t>
  </si>
  <si>
    <t>Ireland, cons</t>
  </si>
  <si>
    <t>Ireland, AW</t>
  </si>
  <si>
    <t>Italy, cons</t>
  </si>
  <si>
    <t>Italy, AW</t>
  </si>
  <si>
    <t>Poland, cons</t>
  </si>
  <si>
    <t>Poland, AW</t>
  </si>
  <si>
    <t>Europe, cons</t>
  </si>
  <si>
    <t>Europe, AW, Utopia</t>
  </si>
  <si>
    <t>Italy, beef-&gt;rabbit, cons</t>
  </si>
  <si>
    <t>Italy, beef-&gt;rabbit, AW</t>
  </si>
  <si>
    <t>Ireland, beef-&gt;chicken</t>
  </si>
  <si>
    <t>Ireland, beef-&gt;mussels</t>
  </si>
  <si>
    <t>Ireland</t>
  </si>
  <si>
    <t>Italy</t>
  </si>
  <si>
    <t>Poland</t>
  </si>
  <si>
    <t>Europe Utopia</t>
  </si>
  <si>
    <t>Italy, beef-&gt;rabbit</t>
  </si>
  <si>
    <t>Aquatic Animals, Others</t>
  </si>
  <si>
    <t>Bovine Meat</t>
  </si>
  <si>
    <t>Butter, Ghee</t>
  </si>
  <si>
    <t>Cephalopods</t>
  </si>
  <si>
    <t>Cream</t>
  </si>
  <si>
    <t>Crustaceans</t>
  </si>
  <si>
    <t>Demersal Fish</t>
  </si>
  <si>
    <t>Eggs</t>
  </si>
  <si>
    <t>Fats, Animals, Raw</t>
  </si>
  <si>
    <t>Fish, Body Oil</t>
  </si>
  <si>
    <t>Fish, Liver Oil</t>
  </si>
  <si>
    <t>Freshwater Fish</t>
  </si>
  <si>
    <t>Marine Fish, Other</t>
  </si>
  <si>
    <t>Meat, Other</t>
  </si>
  <si>
    <t>Milk - Excluding Butter</t>
  </si>
  <si>
    <t>Molluscs, Other</t>
  </si>
  <si>
    <t>Mutton &amp; Goat Meat</t>
  </si>
  <si>
    <t>Offals, Edible</t>
  </si>
  <si>
    <t>Pelagic Fish</t>
  </si>
  <si>
    <t>Pigmeat</t>
  </si>
  <si>
    <t>Poultry Meat</t>
  </si>
  <si>
    <t>Rabbit</t>
  </si>
  <si>
    <t>Mussels</t>
  </si>
  <si>
    <t>Sum AW</t>
  </si>
  <si>
    <t>Sum</t>
  </si>
  <si>
    <t>Ruminant meat</t>
  </si>
  <si>
    <t>Poultry meat</t>
  </si>
  <si>
    <t>Egg</t>
  </si>
  <si>
    <t>Dairy</t>
  </si>
  <si>
    <t>Blue food</t>
  </si>
  <si>
    <t>Conversion to bonefree meat-fish</t>
  </si>
  <si>
    <t>Summa</t>
  </si>
  <si>
    <t>CW-&gt;bonefree</t>
  </si>
  <si>
    <t>Ruminant</t>
  </si>
  <si>
    <t>Pig</t>
  </si>
  <si>
    <t>Poultry</t>
  </si>
  <si>
    <t>Meat, other</t>
  </si>
  <si>
    <t>Live weight-&gt;edible weight</t>
  </si>
  <si>
    <t>From Blue food.xlsx, tab Animal welfare</t>
  </si>
  <si>
    <t>Octopus</t>
  </si>
  <si>
    <t>Crab</t>
  </si>
  <si>
    <t>BYT UT MOT MUSSLOR</t>
  </si>
  <si>
    <t>Salmon</t>
  </si>
  <si>
    <t>Perch</t>
  </si>
  <si>
    <t>Cod</t>
  </si>
  <si>
    <t>Snail</t>
  </si>
  <si>
    <t>Herring</t>
  </si>
  <si>
    <t>Aquatic animals, other</t>
  </si>
  <si>
    <t>FAOSTAT Food Balance Sheets gives supply in carcass weight for meat and liveweight for fish</t>
  </si>
  <si>
    <t>https://www.fao.org/economic/the-statistics-division-ess/publications-studies/publications/food-balance-sheets/en/</t>
  </si>
  <si>
    <t>Values for rabbit</t>
  </si>
  <si>
    <t xml:space="preserve">Animal welfare </t>
  </si>
  <si>
    <t>Carbon footprint</t>
  </si>
  <si>
    <t>kg CO2e per kg bonefree</t>
  </si>
  <si>
    <t xml:space="preserve">Summary consumption </t>
  </si>
  <si>
    <t>France</t>
  </si>
  <si>
    <t>Germany</t>
  </si>
  <si>
    <t>Greece</t>
  </si>
  <si>
    <t>Hungary</t>
  </si>
  <si>
    <t>Polen</t>
  </si>
  <si>
    <t>Spain</t>
  </si>
  <si>
    <t>Sweden</t>
  </si>
  <si>
    <t>Europé</t>
  </si>
  <si>
    <t xml:space="preserve">We pick Ireland, Italy and Poland because they have similar total consumption but </t>
  </si>
  <si>
    <t>Europe</t>
  </si>
  <si>
    <t>Kyckling alldeles för lågt för Sverige</t>
  </si>
  <si>
    <t>Total ruminant meat</t>
  </si>
  <si>
    <t>Total poultry meat</t>
  </si>
  <si>
    <t>Total blue food</t>
  </si>
  <si>
    <t>Total milk</t>
  </si>
  <si>
    <t>Butter</t>
  </si>
  <si>
    <t>Total meat and seafood</t>
  </si>
  <si>
    <t>Footprints Ireland</t>
  </si>
  <si>
    <t>FAOSTAT name</t>
  </si>
  <si>
    <t>Code</t>
  </si>
  <si>
    <t>Name</t>
  </si>
  <si>
    <t>L1 Category</t>
  </si>
  <si>
    <t>L2 Category</t>
  </si>
  <si>
    <t>Amount (g)</t>
  </si>
  <si>
    <t>Carbon footprint, total (kg CO2e)</t>
  </si>
  <si>
    <t>Carbon dioxide, total (kg CO2)</t>
  </si>
  <si>
    <t>Methane, fossil, total (kg CH4)</t>
  </si>
  <si>
    <t>Methane, biogenic, total (kg CH4)</t>
  </si>
  <si>
    <t>Nitrous oxide, total (kg N2O)</t>
  </si>
  <si>
    <t>Carbon footprint, primary production (kg CO2e)</t>
  </si>
  <si>
    <t>Carbon dioxide, primary production (kg CO2)</t>
  </si>
  <si>
    <t>Methane, fossil, primary production (kg CH4)</t>
  </si>
  <si>
    <t>Methane, biogenic, primary production (kg CH4)</t>
  </si>
  <si>
    <t>Nitrous oxide, primary production (kg N2O)</t>
  </si>
  <si>
    <t>Cropland (m2*year/kg)</t>
  </si>
  <si>
    <t>New N input (kg N/kg)</t>
  </si>
  <si>
    <t>New P input (kg P/kg)</t>
  </si>
  <si>
    <t>Water (m3/kg)</t>
  </si>
  <si>
    <t>Pesticides (g a.i/kg)</t>
  </si>
  <si>
    <t>Biodiversity (E/MSY/kg)</t>
  </si>
  <si>
    <t>Ammonia (kg NH3/kg)</t>
  </si>
  <si>
    <t>Animal welfare (index)</t>
  </si>
  <si>
    <t>Antibiotics (index)</t>
  </si>
  <si>
    <t>Mineral fertiliser production (kg CO2e)</t>
  </si>
  <si>
    <t>Capital goods (kg CO2e)</t>
  </si>
  <si>
    <t>Soil emissions (kg CO2e)</t>
  </si>
  <si>
    <t>Energy primary production (kg CO2e)</t>
  </si>
  <si>
    <t>Land use change (kg CO2e)</t>
  </si>
  <si>
    <t>Enteric fermentation (kg CO2e)</t>
  </si>
  <si>
    <t>Manure management (kg CO2e)</t>
  </si>
  <si>
    <t>Mineral fertiliser production (kg CO2)</t>
  </si>
  <si>
    <t>Capital goods (kg CO2)</t>
  </si>
  <si>
    <t>Energy primary production (kg CO2)</t>
  </si>
  <si>
    <t>Land use change (kg CO2)</t>
  </si>
  <si>
    <t>Mineral fertiliser production (kg CH4, fossil)</t>
  </si>
  <si>
    <t>Capital goods (kg CH4, fossil)</t>
  </si>
  <si>
    <t>Energy primary production (kg CH4, fossil)</t>
  </si>
  <si>
    <t>Soil emissions (kg CH4, biogenic)</t>
  </si>
  <si>
    <t>Enteric fermentation (kg CH4, biogenic)</t>
  </si>
  <si>
    <t>Manure management (kg CH4, biogenic)</t>
  </si>
  <si>
    <t>Mineral fertiliser production (kg N2O)</t>
  </si>
  <si>
    <t>Capital goods (kg N2O)</t>
  </si>
  <si>
    <t>Soil emissions (kg N2O)</t>
  </si>
  <si>
    <t>Energy primary production (kg N2O)</t>
  </si>
  <si>
    <t>Manure management (kg N2O)</t>
  </si>
  <si>
    <t>Processing (kg CO2e)</t>
  </si>
  <si>
    <t>Processing (kg CO2)</t>
  </si>
  <si>
    <t>Processing (kg CH4, fossil)</t>
  </si>
  <si>
    <t>Processing (kg N2O)</t>
  </si>
  <si>
    <t>Packaging (kg CO2e)</t>
  </si>
  <si>
    <t>Packaging (kg CO2)</t>
  </si>
  <si>
    <t>Packaging (kg CH4, fossil)</t>
  </si>
  <si>
    <t>Packaging (kg CH4, biogenic)</t>
  </si>
  <si>
    <t>Packaging (kg N2O)</t>
  </si>
  <si>
    <t>Transports (kg CO2e)</t>
  </si>
  <si>
    <t>Transports (kg CO2)</t>
  </si>
  <si>
    <t>Transports (kg CH4, fossil)</t>
  </si>
  <si>
    <t>Transports (kg N2O)</t>
  </si>
  <si>
    <t>Processes</t>
  </si>
  <si>
    <t>Packaging</t>
  </si>
  <si>
    <t>RPCs with missing data</t>
  </si>
  <si>
    <t>P8</t>
  </si>
  <si>
    <t>Footprint data extract generated with R-script (Extract_Data_To_AW_Paper.r), in folder WP3/R-scripts</t>
  </si>
  <si>
    <t>A.06.01.001</t>
  </si>
  <si>
    <t>Beef meat (Bos spp.)</t>
  </si>
  <si>
    <t>Meat and meat products (including edible offal)</t>
  </si>
  <si>
    <t>Livestock meat</t>
  </si>
  <si>
    <t>P9</t>
  </si>
  <si>
    <t>A.06.01.003</t>
  </si>
  <si>
    <t>Pork / piglet meat (Sus scrofa)</t>
  </si>
  <si>
    <t>A.06.01.004</t>
  </si>
  <si>
    <t>Mutton / lamb meat (Ovis aries)</t>
  </si>
  <si>
    <t>A.06.02.001</t>
  </si>
  <si>
    <t>Chicken meat (Gallus domesticus)</t>
  </si>
  <si>
    <t>A.06.06.003</t>
  </si>
  <si>
    <t>Pork liver</t>
  </si>
  <si>
    <t>Edible offal, farmed animals</t>
  </si>
  <si>
    <t>A.07.01.001</t>
  </si>
  <si>
    <t>Herring (Clupea)</t>
  </si>
  <si>
    <t>Fish and other seafood (including amphibians, reptiles, snails and insects)</t>
  </si>
  <si>
    <t>Fish meat</t>
  </si>
  <si>
    <t>P1</t>
  </si>
  <si>
    <t>A.07.01.010</t>
  </si>
  <si>
    <t>Perch (Perca)</t>
  </si>
  <si>
    <t>A.07.04.001</t>
  </si>
  <si>
    <t>Crab (Cancer spp.)</t>
  </si>
  <si>
    <t>P2</t>
  </si>
  <si>
    <t>A.07.05.002</t>
  </si>
  <si>
    <t>Octopus (Octopus vulgaris)</t>
  </si>
  <si>
    <t>Water molluscs</t>
  </si>
  <si>
    <t>A.07.06.004</t>
  </si>
  <si>
    <t>Snail (Helix sp.)</t>
  </si>
  <si>
    <t>Amphibians, reptiles, snails, insects</t>
  </si>
  <si>
    <t>A.08.01.001.003</t>
  </si>
  <si>
    <t>Cow milk, 1 - 2.9% fat (semi-skimmed milk)</t>
  </si>
  <si>
    <t>Milk and dairy products</t>
  </si>
  <si>
    <t>Liquid milk</t>
  </si>
  <si>
    <t>F28.A0EKQ</t>
  </si>
  <si>
    <t>A.08.05.001.004</t>
  </si>
  <si>
    <t>Cream 40 % fat</t>
  </si>
  <si>
    <t>Cream and cream products</t>
  </si>
  <si>
    <t>A.09.01.001</t>
  </si>
  <si>
    <t>Whole egg, chicken</t>
  </si>
  <si>
    <t>Eggs and egg products</t>
  </si>
  <si>
    <t>Eggs, fresh</t>
  </si>
  <si>
    <t>P3</t>
  </si>
  <si>
    <t>A.11.01.001</t>
  </si>
  <si>
    <t>Animal and vegetable fats and oils</t>
  </si>
  <si>
    <t>Animal fat</t>
  </si>
  <si>
    <t>F28.A07MH$F28.A0EKQ</t>
  </si>
  <si>
    <t>I.07.01.006.001</t>
  </si>
  <si>
    <t>Salmon (Salmo salar)</t>
  </si>
  <si>
    <t>I.07.01.017.001</t>
  </si>
  <si>
    <t>Cod (Gadus morhua)</t>
  </si>
  <si>
    <t>Footprints Italy</t>
  </si>
  <si>
    <t>Footprints Poland</t>
  </si>
  <si>
    <t>Footprints Utopia</t>
  </si>
  <si>
    <t>French adolescense dietary survey</t>
  </si>
  <si>
    <t>Amount</t>
  </si>
  <si>
    <t>Adults</t>
  </si>
  <si>
    <t>kg/year</t>
  </si>
  <si>
    <t>A.06.06.001</t>
  </si>
  <si>
    <t>Bovine other slaughtering products</t>
  </si>
  <si>
    <t>Poultry fresh meat (muscle meat)</t>
  </si>
  <si>
    <t>Cow, ox or bull fresh meat</t>
  </si>
  <si>
    <t>A.06.06.021</t>
  </si>
  <si>
    <t>Bovine marrowbone</t>
  </si>
  <si>
    <t>A.06.08.003</t>
  </si>
  <si>
    <t>Bovine meat, dried</t>
  </si>
  <si>
    <t>A.06.08.001</t>
  </si>
  <si>
    <t>Raw cured (or seasoned) meat</t>
  </si>
  <si>
    <t>A.06.08.006</t>
  </si>
  <si>
    <t>Cured seasoned poultry meat</t>
  </si>
  <si>
    <t>A.06.03.003</t>
  </si>
  <si>
    <t>Wapiti elk meat</t>
  </si>
  <si>
    <t>A.06.02.003</t>
  </si>
  <si>
    <t>Duck fresh meat</t>
  </si>
  <si>
    <t>A.07.06.001</t>
  </si>
  <si>
    <t>Frogs meat</t>
  </si>
  <si>
    <t>A.06.02.006</t>
  </si>
  <si>
    <t>Guinea-fowl fresh meat</t>
  </si>
  <si>
    <t>A.06.01.006</t>
  </si>
  <si>
    <t>Horse meat, dried</t>
  </si>
  <si>
    <t>Lamb fresh meat</t>
  </si>
  <si>
    <t>I.06.11.001.002</t>
  </si>
  <si>
    <t>Meat spread</t>
  </si>
  <si>
    <t>A.06.01.007</t>
  </si>
  <si>
    <t>Rabbit, other slaughtering products</t>
  </si>
  <si>
    <t>A.06.12.001</t>
  </si>
  <si>
    <t>Soyabean-based meat imitates</t>
  </si>
  <si>
    <t>A.16.04.011</t>
  </si>
  <si>
    <t>Stock cubes or granulate, meat</t>
  </si>
  <si>
    <t>A.06.02.002</t>
  </si>
  <si>
    <t>Turkey meat, dried</t>
  </si>
  <si>
    <t>A.06.03.001</t>
  </si>
  <si>
    <t>Wild boar fresh meat</t>
  </si>
  <si>
    <t>Area</t>
  </si>
  <si>
    <t>Average of Value</t>
  </si>
  <si>
    <t>Column Labels</t>
  </si>
  <si>
    <t>Row Labels</t>
  </si>
  <si>
    <t>Grand Total</t>
  </si>
  <si>
    <t>Domain Code</t>
  </si>
  <si>
    <t>Domain</t>
  </si>
  <si>
    <t>Area Code (M49)</t>
  </si>
  <si>
    <t>Element Code</t>
  </si>
  <si>
    <t>Element</t>
  </si>
  <si>
    <t>Item Code (FBS)</t>
  </si>
  <si>
    <t>Item</t>
  </si>
  <si>
    <t>Year Code</t>
  </si>
  <si>
    <t>Year</t>
  </si>
  <si>
    <t>Unit</t>
  </si>
  <si>
    <t>Value</t>
  </si>
  <si>
    <t>Flag</t>
  </si>
  <si>
    <t>Flag Description</t>
  </si>
  <si>
    <t>FBS</t>
  </si>
  <si>
    <t>Food Balances (2010-)</t>
  </si>
  <si>
    <t>Food supply quantity (kg/capita/yr)</t>
  </si>
  <si>
    <t>S2731</t>
  </si>
  <si>
    <t>kg</t>
  </si>
  <si>
    <t>E</t>
  </si>
  <si>
    <t>Estimated value</t>
  </si>
  <si>
    <t>S2732</t>
  </si>
  <si>
    <t>S2733</t>
  </si>
  <si>
    <t>S2734</t>
  </si>
  <si>
    <t>S2735</t>
  </si>
  <si>
    <t>S2736</t>
  </si>
  <si>
    <t>S2740</t>
  </si>
  <si>
    <t>S2743</t>
  </si>
  <si>
    <t>S2737</t>
  </si>
  <si>
    <t>S2781</t>
  </si>
  <si>
    <t>S2782</t>
  </si>
  <si>
    <t>S2744</t>
  </si>
  <si>
    <t>S2848</t>
  </si>
  <si>
    <t>S2761</t>
  </si>
  <si>
    <t>S2762</t>
  </si>
  <si>
    <t>S2763</t>
  </si>
  <si>
    <t>S2764</t>
  </si>
  <si>
    <t>S2765</t>
  </si>
  <si>
    <t>S2766</t>
  </si>
  <si>
    <t>S2767</t>
  </si>
  <si>
    <t>S2769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</si>
</sst>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00"/>
    <numFmt numFmtId="166" formatCode="0.000"/>
  </numFmts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11"/>
      <color rgb="FF000000"/>
      <name val="Calibri"/>
      <family val="2"/>
    </font>
    <font>
      <sz val="11"/>
      <color rgb="FF000000"/>
      <name val="Aptos Narrow"/>
      <family val="2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9" fillId="0" borderId="0" applyBorder="0"/>
  </cellStyleXfs>
  <cellXfs count="39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2" fontId="0" fillId="0" borderId="0" xfId="0" applyNumberFormat="1"/>
    <xf numFmtId="1" fontId="0" fillId="0" borderId="0" xfId="0" applyNumberFormat="1"/>
    <xf numFmtId="0" fontId="14" fillId="0" borderId="0" xfId="0" applyFont="1"/>
    <xf numFmtId="0" fontId="18" fillId="0" borderId="0" xfId="0" applyFont="1"/>
    <xf numFmtId="0" fontId="0" fillId="33" borderId="10" xfId="0" applyFill="1" applyBorder="1"/>
    <xf numFmtId="0" fontId="0" fillId="33" borderId="11" xfId="0" applyFill="1" applyBorder="1"/>
    <xf numFmtId="0" fontId="0" fillId="33" borderId="12" xfId="0" applyFill="1" applyBorder="1"/>
    <xf numFmtId="0" fontId="0" fillId="33" borderId="13" xfId="0" applyFill="1" applyBorder="1"/>
    <xf numFmtId="0" fontId="0" fillId="33" borderId="0" xfId="0" applyFill="1"/>
    <xf numFmtId="0" fontId="0" fillId="33" borderId="14" xfId="0" applyFill="1" applyBorder="1"/>
    <xf numFmtId="1" fontId="0" fillId="33" borderId="13" xfId="0" applyNumberFormat="1" applyFill="1" applyBorder="1"/>
    <xf numFmtId="1" fontId="0" fillId="33" borderId="0" xfId="0" applyNumberFormat="1" applyFill="1"/>
    <xf numFmtId="1" fontId="0" fillId="33" borderId="14" xfId="0" applyNumberFormat="1" applyFill="1" applyBorder="1"/>
    <xf numFmtId="1" fontId="0" fillId="33" borderId="15" xfId="0" applyNumberFormat="1" applyFill="1" applyBorder="1"/>
    <xf numFmtId="1" fontId="0" fillId="33" borderId="16" xfId="0" applyNumberFormat="1" applyFill="1" applyBorder="1"/>
    <xf numFmtId="1" fontId="0" fillId="33" borderId="17" xfId="0" applyNumberFormat="1" applyFill="1" applyBorder="1"/>
    <xf numFmtId="11" fontId="0" fillId="0" borderId="0" xfId="0" applyNumberFormat="1"/>
    <xf numFmtId="0" fontId="0" fillId="34" borderId="0" xfId="0" applyFill="1"/>
    <xf numFmtId="0" fontId="16" fillId="0" borderId="0" xfId="0" applyFont="1"/>
    <xf numFmtId="0" fontId="0" fillId="35" borderId="0" xfId="0" applyFill="1"/>
    <xf numFmtId="0" fontId="0" fillId="0" borderId="0" xfId="0" applyAlignment="1">
      <alignment vertical="top" wrapText="1"/>
    </xf>
    <xf numFmtId="0" fontId="0" fillId="0" borderId="0" xfId="0" applyAlignment="1">
      <alignment vertical="top"/>
    </xf>
    <xf numFmtId="0" fontId="0" fillId="36" borderId="0" xfId="0" applyFill="1"/>
    <xf numFmtId="0" fontId="20" fillId="0" borderId="0" xfId="0" applyFont="1"/>
    <xf numFmtId="2" fontId="14" fillId="0" borderId="0" xfId="0" applyNumberFormat="1" applyFont="1"/>
    <xf numFmtId="0" fontId="16" fillId="0" borderId="0" xfId="0" applyFont="1" applyAlignment="1">
      <alignment horizontal="left"/>
    </xf>
    <xf numFmtId="0" fontId="0" fillId="37" borderId="0" xfId="0" applyFill="1"/>
    <xf numFmtId="164" fontId="0" fillId="0" borderId="0" xfId="0" applyNumberFormat="1"/>
    <xf numFmtId="1" fontId="16" fillId="0" borderId="0" xfId="0" applyNumberFormat="1" applyFont="1"/>
    <xf numFmtId="0" fontId="0" fillId="38" borderId="0" xfId="0" applyFill="1"/>
    <xf numFmtId="165" fontId="0" fillId="0" borderId="0" xfId="0" applyNumberFormat="1"/>
    <xf numFmtId="166" fontId="0" fillId="0" borderId="0" xfId="0" applyNumberFormat="1"/>
    <xf numFmtId="0" fontId="0" fillId="39" borderId="0" xfId="0" applyFill="1"/>
    <xf numFmtId="1" fontId="0" fillId="39" borderId="0" xfId="0" applyNumberFormat="1" applyFill="1"/>
    <xf numFmtId="0" fontId="0" fillId="33" borderId="0" xfId="0" applyFill="1" applyAlignment="1">
      <alignment vertical="top" wrapText="1"/>
    </xf>
    <xf numFmtId="1" fontId="0" fillId="34" borderId="0" xfId="0" applyNumberFormat="1" applyFill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3" xfId="42" xr:uid="{00000000-0005-0000-0000-000025000000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sv-SE"/>
              <a:t>Animal welfare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v-SE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'AW and CC calc'!$A$32:$B$32</c:f>
              <c:strCache>
                <c:ptCount val="2"/>
                <c:pt idx="0">
                  <c:v>Ruminant meat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'AW and CC calc'!$C$31:$G$31</c15:sqref>
                  </c15:fullRef>
                </c:ext>
              </c:extLst>
              <c:f>('AW and CC calc'!$C$31,'AW and CC calc'!$E$31,'AW and CC calc'!$G$31)</c:f>
              <c:strCache>
                <c:ptCount val="3"/>
                <c:pt idx="0">
                  <c:v>Ireland</c:v>
                </c:pt>
                <c:pt idx="1">
                  <c:v>Italy</c:v>
                </c:pt>
                <c:pt idx="2">
                  <c:v>Poland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'AW and CC calc'!$C$32:$G$32</c15:sqref>
                  </c15:fullRef>
                </c:ext>
              </c:extLst>
              <c:f>('AW and CC calc'!$C$32,'AW and CC calc'!$E$32,'AW and CC calc'!$G$32)</c:f>
              <c:numCache>
                <c:formatCode>General</c:formatCode>
                <c:ptCount val="3"/>
                <c:pt idx="0">
                  <c:v>13.502457288314293</c:v>
                </c:pt>
                <c:pt idx="1">
                  <c:v>6.1255084566381974</c:v>
                </c:pt>
                <c:pt idx="2">
                  <c:v>0.2978874254013491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59D-4644-BD53-2B6F9EB86FD3}"/>
            </c:ext>
          </c:extLst>
        </c:ser>
        <c:ser>
          <c:idx val="1"/>
          <c:order val="1"/>
          <c:tx>
            <c:strRef>
              <c:f>'AW and CC calc'!$A$33:$B$33</c:f>
              <c:strCache>
                <c:ptCount val="2"/>
                <c:pt idx="0">
                  <c:v>Pigmeat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'AW and CC calc'!$C$31:$G$31</c15:sqref>
                  </c15:fullRef>
                </c:ext>
              </c:extLst>
              <c:f>('AW and CC calc'!$C$31,'AW and CC calc'!$E$31,'AW and CC calc'!$G$31)</c:f>
              <c:strCache>
                <c:ptCount val="3"/>
                <c:pt idx="0">
                  <c:v>Ireland</c:v>
                </c:pt>
                <c:pt idx="1">
                  <c:v>Italy</c:v>
                </c:pt>
                <c:pt idx="2">
                  <c:v>Poland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'AW and CC calc'!$C$33:$G$33</c15:sqref>
                  </c15:fullRef>
                </c:ext>
              </c:extLst>
              <c:f>('AW and CC calc'!$C$33,'AW and CC calc'!$E$33,'AW and CC calc'!$G$33)</c:f>
              <c:numCache>
                <c:formatCode>General</c:formatCode>
                <c:ptCount val="3"/>
                <c:pt idx="0">
                  <c:v>77.772886900258612</c:v>
                </c:pt>
                <c:pt idx="1">
                  <c:v>87.472925977022456</c:v>
                </c:pt>
                <c:pt idx="2">
                  <c:v>145.32504574137081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59D-4644-BD53-2B6F9EB86FD3}"/>
            </c:ext>
          </c:extLst>
        </c:ser>
        <c:ser>
          <c:idx val="2"/>
          <c:order val="2"/>
          <c:tx>
            <c:strRef>
              <c:f>'AW and CC calc'!$A$34:$B$34</c:f>
              <c:strCache>
                <c:ptCount val="2"/>
                <c:pt idx="0">
                  <c:v>Poultry meat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'AW and CC calc'!$C$31:$G$31</c15:sqref>
                  </c15:fullRef>
                </c:ext>
              </c:extLst>
              <c:f>('AW and CC calc'!$C$31,'AW and CC calc'!$E$31,'AW and CC calc'!$G$31)</c:f>
              <c:strCache>
                <c:ptCount val="3"/>
                <c:pt idx="0">
                  <c:v>Ireland</c:v>
                </c:pt>
                <c:pt idx="1">
                  <c:v>Italy</c:v>
                </c:pt>
                <c:pt idx="2">
                  <c:v>Poland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'AW and CC calc'!$C$34:$G$34</c15:sqref>
                  </c15:fullRef>
                </c:ext>
              </c:extLst>
              <c:f>('AW and CC calc'!$C$34,'AW and CC calc'!$E$34,'AW and CC calc'!$G$34)</c:f>
              <c:numCache>
                <c:formatCode>General</c:formatCode>
                <c:ptCount val="3"/>
                <c:pt idx="0">
                  <c:v>1909.057645129747</c:v>
                </c:pt>
                <c:pt idx="1">
                  <c:v>1447.169076787445</c:v>
                </c:pt>
                <c:pt idx="2">
                  <c:v>2208.7764653260519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59D-4644-BD53-2B6F9EB86FD3}"/>
            </c:ext>
          </c:extLst>
        </c:ser>
        <c:ser>
          <c:idx val="3"/>
          <c:order val="3"/>
          <c:tx>
            <c:strRef>
              <c:f>'AW and CC calc'!$A$35:$B$35</c:f>
              <c:strCache>
                <c:ptCount val="2"/>
                <c:pt idx="0">
                  <c:v>Egg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'AW and CC calc'!$C$31:$G$31</c15:sqref>
                  </c15:fullRef>
                </c:ext>
              </c:extLst>
              <c:f>('AW and CC calc'!$C$31,'AW and CC calc'!$E$31,'AW and CC calc'!$G$31)</c:f>
              <c:strCache>
                <c:ptCount val="3"/>
                <c:pt idx="0">
                  <c:v>Ireland</c:v>
                </c:pt>
                <c:pt idx="1">
                  <c:v>Italy</c:v>
                </c:pt>
                <c:pt idx="2">
                  <c:v>Poland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'AW and CC calc'!$C$35:$G$35</c15:sqref>
                  </c15:fullRef>
                </c:ext>
              </c:extLst>
              <c:f>('AW and CC calc'!$C$35,'AW and CC calc'!$E$35,'AW and CC calc'!$G$35)</c:f>
              <c:numCache>
                <c:formatCode>General</c:formatCode>
                <c:ptCount val="3"/>
                <c:pt idx="0">
                  <c:v>94.217208627554356</c:v>
                </c:pt>
                <c:pt idx="1">
                  <c:v>108.70737631671624</c:v>
                </c:pt>
                <c:pt idx="2">
                  <c:v>78.970126200373286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59D-4644-BD53-2B6F9EB86FD3}"/>
            </c:ext>
          </c:extLst>
        </c:ser>
        <c:ser>
          <c:idx val="4"/>
          <c:order val="4"/>
          <c:tx>
            <c:strRef>
              <c:f>'AW and CC calc'!$A$36:$B$36</c:f>
              <c:strCache>
                <c:ptCount val="2"/>
                <c:pt idx="0">
                  <c:v>Dairy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'AW and CC calc'!$C$31:$G$31</c15:sqref>
                  </c15:fullRef>
                </c:ext>
              </c:extLst>
              <c:f>('AW and CC calc'!$C$31,'AW and CC calc'!$E$31,'AW and CC calc'!$G$31)</c:f>
              <c:strCache>
                <c:ptCount val="3"/>
                <c:pt idx="0">
                  <c:v>Ireland</c:v>
                </c:pt>
                <c:pt idx="1">
                  <c:v>Italy</c:v>
                </c:pt>
                <c:pt idx="2">
                  <c:v>Poland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'AW and CC calc'!$C$36:$G$36</c15:sqref>
                  </c15:fullRef>
                </c:ext>
              </c:extLst>
              <c:f>('AW and CC calc'!$C$36,'AW and CC calc'!$E$36,'AW and CC calc'!$G$36)</c:f>
              <c:numCache>
                <c:formatCode>General</c:formatCode>
                <c:ptCount val="3"/>
                <c:pt idx="0">
                  <c:v>3.0633204802639651</c:v>
                </c:pt>
                <c:pt idx="1">
                  <c:v>2.4931811907488113</c:v>
                </c:pt>
                <c:pt idx="2">
                  <c:v>2.2820246055007551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59D-4644-BD53-2B6F9EB86FD3}"/>
            </c:ext>
          </c:extLst>
        </c:ser>
        <c:ser>
          <c:idx val="5"/>
          <c:order val="5"/>
          <c:tx>
            <c:strRef>
              <c:f>'AW and CC calc'!$A$37:$B$37</c:f>
              <c:strCache>
                <c:ptCount val="2"/>
                <c:pt idx="0">
                  <c:v>Blue food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'AW and CC calc'!$C$31:$G$31</c15:sqref>
                  </c15:fullRef>
                </c:ext>
              </c:extLst>
              <c:f>('AW and CC calc'!$C$31,'AW and CC calc'!$E$31,'AW and CC calc'!$G$31)</c:f>
              <c:strCache>
                <c:ptCount val="3"/>
                <c:pt idx="0">
                  <c:v>Ireland</c:v>
                </c:pt>
                <c:pt idx="1">
                  <c:v>Italy</c:v>
                </c:pt>
                <c:pt idx="2">
                  <c:v>Poland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'AW and CC calc'!$C$37:$G$37</c15:sqref>
                  </c15:fullRef>
                </c:ext>
              </c:extLst>
              <c:f>('AW and CC calc'!$C$37,'AW and CC calc'!$E$37,'AW and CC calc'!$G$37)</c:f>
              <c:numCache>
                <c:formatCode>General</c:formatCode>
                <c:ptCount val="3"/>
                <c:pt idx="0">
                  <c:v>129.402827193235</c:v>
                </c:pt>
                <c:pt idx="1">
                  <c:v>125.53197109441429</c:v>
                </c:pt>
                <c:pt idx="2">
                  <c:v>73.862768665651998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59D-4644-BD53-2B6F9EB86F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433607344"/>
        <c:axId val="1433602064"/>
      </c:barChart>
      <c:catAx>
        <c:axId val="14336073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1433602064"/>
        <c:crosses val="autoZero"/>
        <c:auto val="1"/>
        <c:lblAlgn val="ctr"/>
        <c:lblOffset val="100"/>
        <c:noMultiLvlLbl val="0"/>
      </c:catAx>
      <c:valAx>
        <c:axId val="1433602064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14336073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v-S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v-SE"/>
    </a:p>
  </c:txPr>
  <c:printSettings>
    <c:headerFooter/>
    <c:pageMargins b="0.75" l="0.7" r="0.7" t="0.75" header="0.3" footer="0.3"/>
    <c:pageSetup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sv-SE"/>
              <a:t>Carbon</a:t>
            </a:r>
            <a:r>
              <a:rPr lang="sv-SE" baseline="0"/>
              <a:t> footprint</a:t>
            </a:r>
            <a:endParaRPr lang="sv-SE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v-SE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'AW and CC calc'!$AE$32:$AF$32</c:f>
              <c:strCache>
                <c:ptCount val="2"/>
                <c:pt idx="0">
                  <c:v>Ruminant meat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'AW and CC calc'!$AG$31:$AI$31</c:f>
              <c:strCache>
                <c:ptCount val="3"/>
                <c:pt idx="0">
                  <c:v>Ireland</c:v>
                </c:pt>
                <c:pt idx="1">
                  <c:v>Italy</c:v>
                </c:pt>
                <c:pt idx="2">
                  <c:v>Poland</c:v>
                </c:pt>
              </c:strCache>
            </c:strRef>
          </c:cat>
          <c:val>
            <c:numRef>
              <c:f>'AW and CC calc'!$AG$32:$AI$32</c:f>
              <c:numCache>
                <c:formatCode>General</c:formatCode>
                <c:ptCount val="3"/>
                <c:pt idx="0">
                  <c:v>753.18599603662869</c:v>
                </c:pt>
                <c:pt idx="1">
                  <c:v>385.62317169529013</c:v>
                </c:pt>
                <c:pt idx="2">
                  <c:v>23.547636623429188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C02-49FD-8413-D4B64097D38D}"/>
            </c:ext>
          </c:extLst>
        </c:ser>
        <c:ser>
          <c:idx val="1"/>
          <c:order val="1"/>
          <c:tx>
            <c:strRef>
              <c:f>'AW and CC calc'!$AE$33:$AF$33</c:f>
              <c:strCache>
                <c:ptCount val="2"/>
                <c:pt idx="0">
                  <c:v>Pigmeat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'AW and CC calc'!$AG$31:$AI$31</c:f>
              <c:strCache>
                <c:ptCount val="3"/>
                <c:pt idx="0">
                  <c:v>Ireland</c:v>
                </c:pt>
                <c:pt idx="1">
                  <c:v>Italy</c:v>
                </c:pt>
                <c:pt idx="2">
                  <c:v>Poland</c:v>
                </c:pt>
              </c:strCache>
            </c:strRef>
          </c:cat>
          <c:val>
            <c:numRef>
              <c:f>'AW and CC calc'!$AG$33:$AI$33</c:f>
              <c:numCache>
                <c:formatCode>General</c:formatCode>
                <c:ptCount val="3"/>
                <c:pt idx="0">
                  <c:v>104.11140705107606</c:v>
                </c:pt>
                <c:pt idx="1">
                  <c:v>168.59508019491025</c:v>
                </c:pt>
                <c:pt idx="2">
                  <c:v>232.12157467801669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C02-49FD-8413-D4B64097D38D}"/>
            </c:ext>
          </c:extLst>
        </c:ser>
        <c:ser>
          <c:idx val="2"/>
          <c:order val="2"/>
          <c:tx>
            <c:strRef>
              <c:f>'AW and CC calc'!$AE$34:$AF$34</c:f>
              <c:strCache>
                <c:ptCount val="2"/>
                <c:pt idx="0">
                  <c:v>Poultry meat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'AW and CC calc'!$AG$31:$AI$31</c:f>
              <c:strCache>
                <c:ptCount val="3"/>
                <c:pt idx="0">
                  <c:v>Ireland</c:v>
                </c:pt>
                <c:pt idx="1">
                  <c:v>Italy</c:v>
                </c:pt>
                <c:pt idx="2">
                  <c:v>Poland</c:v>
                </c:pt>
              </c:strCache>
            </c:strRef>
          </c:cat>
          <c:val>
            <c:numRef>
              <c:f>'AW and CC calc'!$AG$34:$AI$34</c:f>
              <c:numCache>
                <c:formatCode>General</c:formatCode>
                <c:ptCount val="3"/>
                <c:pt idx="0">
                  <c:v>44.27205928643388</c:v>
                </c:pt>
                <c:pt idx="1">
                  <c:v>28.297499989926703</c:v>
                </c:pt>
                <c:pt idx="2">
                  <c:v>52.006043417423442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C02-49FD-8413-D4B64097D38D}"/>
            </c:ext>
          </c:extLst>
        </c:ser>
        <c:ser>
          <c:idx val="3"/>
          <c:order val="3"/>
          <c:tx>
            <c:strRef>
              <c:f>'AW and CC calc'!$AE$35:$AF$35</c:f>
              <c:strCache>
                <c:ptCount val="2"/>
                <c:pt idx="0">
                  <c:v>Egg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'AW and CC calc'!$AG$31:$AI$31</c:f>
              <c:strCache>
                <c:ptCount val="3"/>
                <c:pt idx="0">
                  <c:v>Ireland</c:v>
                </c:pt>
                <c:pt idx="1">
                  <c:v>Italy</c:v>
                </c:pt>
                <c:pt idx="2">
                  <c:v>Poland</c:v>
                </c:pt>
              </c:strCache>
            </c:strRef>
          </c:cat>
          <c:val>
            <c:numRef>
              <c:f>'AW and CC calc'!$AG$35:$AI$35</c:f>
              <c:numCache>
                <c:formatCode>General</c:formatCode>
                <c:ptCount val="3"/>
                <c:pt idx="0">
                  <c:v>11.847870238654171</c:v>
                </c:pt>
                <c:pt idx="1">
                  <c:v>12.245557843197664</c:v>
                </c:pt>
                <c:pt idx="2">
                  <c:v>9.6963713411294332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C02-49FD-8413-D4B64097D38D}"/>
            </c:ext>
          </c:extLst>
        </c:ser>
        <c:ser>
          <c:idx val="4"/>
          <c:order val="4"/>
          <c:tx>
            <c:strRef>
              <c:f>'AW and CC calc'!$AE$36:$AF$36</c:f>
              <c:strCache>
                <c:ptCount val="2"/>
                <c:pt idx="0">
                  <c:v>Dairy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'AW and CC calc'!$AG$31:$AI$31</c:f>
              <c:strCache>
                <c:ptCount val="3"/>
                <c:pt idx="0">
                  <c:v>Ireland</c:v>
                </c:pt>
                <c:pt idx="1">
                  <c:v>Italy</c:v>
                </c:pt>
                <c:pt idx="2">
                  <c:v>Poland</c:v>
                </c:pt>
              </c:strCache>
            </c:strRef>
          </c:cat>
          <c:val>
            <c:numRef>
              <c:f>'AW and CC calc'!$AG$36:$AI$36</c:f>
              <c:numCache>
                <c:formatCode>General</c:formatCode>
                <c:ptCount val="3"/>
                <c:pt idx="0">
                  <c:v>290.66727876359073</c:v>
                </c:pt>
                <c:pt idx="1">
                  <c:v>282.62861720947973</c:v>
                </c:pt>
                <c:pt idx="2">
                  <c:v>244.58300449900887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C02-49FD-8413-D4B64097D38D}"/>
            </c:ext>
          </c:extLst>
        </c:ser>
        <c:ser>
          <c:idx val="5"/>
          <c:order val="5"/>
          <c:tx>
            <c:strRef>
              <c:f>'AW and CC calc'!$AE$37:$AF$37</c:f>
              <c:strCache>
                <c:ptCount val="2"/>
                <c:pt idx="0">
                  <c:v>Blue food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'AW and CC calc'!$AG$31:$AI$31</c:f>
              <c:strCache>
                <c:ptCount val="3"/>
                <c:pt idx="0">
                  <c:v>Ireland</c:v>
                </c:pt>
                <c:pt idx="1">
                  <c:v>Italy</c:v>
                </c:pt>
                <c:pt idx="2">
                  <c:v>Poland</c:v>
                </c:pt>
              </c:strCache>
            </c:strRef>
          </c:cat>
          <c:val>
            <c:numRef>
              <c:f>'AW and CC calc'!$AG$37:$AI$37</c:f>
              <c:numCache>
                <c:formatCode>General</c:formatCode>
                <c:ptCount val="3"/>
                <c:pt idx="0">
                  <c:v>73.241011929867824</c:v>
                </c:pt>
                <c:pt idx="1">
                  <c:v>109.3169543065351</c:v>
                </c:pt>
                <c:pt idx="2">
                  <c:v>38.479584548718819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C02-49FD-8413-D4B64097D3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433607344"/>
        <c:axId val="1433602064"/>
      </c:barChart>
      <c:catAx>
        <c:axId val="14336073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1433602064"/>
        <c:crosses val="autoZero"/>
        <c:auto val="1"/>
        <c:lblAlgn val="ctr"/>
        <c:lblOffset val="100"/>
        <c:noMultiLvlLbl val="0"/>
      </c:catAx>
      <c:valAx>
        <c:axId val="1433602064"/>
        <c:scaling>
          <c:orientation val="minMax"/>
          <c:max val="1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14336073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v-S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v-SE"/>
    </a:p>
  </c:txPr>
  <c:printSettings>
    <c:headerFooter/>
    <c:pageMargins b="0.75" l="0.7" r="0.7" t="0.75" header="0.3" footer="0.3"/>
    <c:pageSetup/>
  </c:printSettings>
  <c:userShapes r:id="rId3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sv-SE"/>
              <a:t>Antibiotics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v-SE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'AW and CC calc'!$U$32:$V$32</c:f>
              <c:strCache>
                <c:ptCount val="2"/>
                <c:pt idx="0">
                  <c:v>Ruminant meat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'AW and CC calc'!$W$31:$Y$31</c:f>
              <c:strCache>
                <c:ptCount val="3"/>
                <c:pt idx="0">
                  <c:v>Ireland</c:v>
                </c:pt>
                <c:pt idx="1">
                  <c:v>Italy</c:v>
                </c:pt>
                <c:pt idx="2">
                  <c:v>Poland</c:v>
                </c:pt>
              </c:strCache>
            </c:strRef>
          </c:cat>
          <c:val>
            <c:numRef>
              <c:f>'AW and CC calc'!$W$32:$Y$32</c:f>
              <c:numCache>
                <c:formatCode>General</c:formatCode>
                <c:ptCount val="3"/>
                <c:pt idx="0">
                  <c:v>808.88798963829333</c:v>
                </c:pt>
                <c:pt idx="1">
                  <c:v>1091.8458740513586</c:v>
                </c:pt>
                <c:pt idx="2">
                  <c:v>39.661557607454398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15-4152-8977-6C580595BDC4}"/>
            </c:ext>
          </c:extLst>
        </c:ser>
        <c:ser>
          <c:idx val="1"/>
          <c:order val="1"/>
          <c:tx>
            <c:strRef>
              <c:f>'AW and CC calc'!$U$33:$V$33</c:f>
              <c:strCache>
                <c:ptCount val="2"/>
                <c:pt idx="0">
                  <c:v>Pigmeat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'AW and CC calc'!$W$31:$Y$31</c:f>
              <c:strCache>
                <c:ptCount val="3"/>
                <c:pt idx="0">
                  <c:v>Ireland</c:v>
                </c:pt>
                <c:pt idx="1">
                  <c:v>Italy</c:v>
                </c:pt>
                <c:pt idx="2">
                  <c:v>Poland</c:v>
                </c:pt>
              </c:strCache>
            </c:strRef>
          </c:cat>
          <c:val>
            <c:numRef>
              <c:f>'AW and CC calc'!$W$33:$Y$33</c:f>
              <c:numCache>
                <c:formatCode>General</c:formatCode>
                <c:ptCount val="3"/>
                <c:pt idx="0">
                  <c:v>1864.9513351659682</c:v>
                </c:pt>
                <c:pt idx="1">
                  <c:v>5512.375106213306</c:v>
                </c:pt>
                <c:pt idx="2">
                  <c:v>5200.070588442476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115-4152-8977-6C580595BDC4}"/>
            </c:ext>
          </c:extLst>
        </c:ser>
        <c:ser>
          <c:idx val="2"/>
          <c:order val="2"/>
          <c:tx>
            <c:strRef>
              <c:f>'AW and CC calc'!$U$34:$V$34</c:f>
              <c:strCache>
                <c:ptCount val="2"/>
                <c:pt idx="0">
                  <c:v>Poultry meat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'AW and CC calc'!$W$31:$Y$31</c:f>
              <c:strCache>
                <c:ptCount val="3"/>
                <c:pt idx="0">
                  <c:v>Ireland</c:v>
                </c:pt>
                <c:pt idx="1">
                  <c:v>Italy</c:v>
                </c:pt>
                <c:pt idx="2">
                  <c:v>Poland</c:v>
                </c:pt>
              </c:strCache>
            </c:strRef>
          </c:cat>
          <c:val>
            <c:numRef>
              <c:f>'AW and CC calc'!$W$34:$Y$34</c:f>
              <c:numCache>
                <c:formatCode>General</c:formatCode>
                <c:ptCount val="3"/>
                <c:pt idx="0">
                  <c:v>1069.4821206127535</c:v>
                </c:pt>
                <c:pt idx="1">
                  <c:v>2350.3431327770927</c:v>
                </c:pt>
                <c:pt idx="2">
                  <c:v>1974.9534371702639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115-4152-8977-6C580595BDC4}"/>
            </c:ext>
          </c:extLst>
        </c:ser>
        <c:ser>
          <c:idx val="3"/>
          <c:order val="3"/>
          <c:tx>
            <c:strRef>
              <c:f>'AW and CC calc'!$U$35:$V$35</c:f>
              <c:strCache>
                <c:ptCount val="2"/>
                <c:pt idx="0">
                  <c:v>Egg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'AW and CC calc'!$W$31:$Y$31</c:f>
              <c:strCache>
                <c:ptCount val="3"/>
                <c:pt idx="0">
                  <c:v>Ireland</c:v>
                </c:pt>
                <c:pt idx="1">
                  <c:v>Italy</c:v>
                </c:pt>
                <c:pt idx="2">
                  <c:v>Poland</c:v>
                </c:pt>
              </c:strCache>
            </c:strRef>
          </c:cat>
          <c:val>
            <c:numRef>
              <c:f>'AW and CC calc'!$W$35:$Y$35</c:f>
              <c:numCache>
                <c:formatCode>General</c:formatCode>
                <c:ptCount val="3"/>
                <c:pt idx="0">
                  <c:v>6.6744591279849512</c:v>
                </c:pt>
                <c:pt idx="1">
                  <c:v>20.173326778853063</c:v>
                </c:pt>
                <c:pt idx="2">
                  <c:v>9.2353145883056857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115-4152-8977-6C580595BDC4}"/>
            </c:ext>
          </c:extLst>
        </c:ser>
        <c:ser>
          <c:idx val="4"/>
          <c:order val="4"/>
          <c:tx>
            <c:strRef>
              <c:f>'AW and CC calc'!$U$36:$V$36</c:f>
              <c:strCache>
                <c:ptCount val="2"/>
                <c:pt idx="0">
                  <c:v>Dairy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'AW and CC calc'!$W$31:$Y$31</c:f>
              <c:strCache>
                <c:ptCount val="3"/>
                <c:pt idx="0">
                  <c:v>Ireland</c:v>
                </c:pt>
                <c:pt idx="1">
                  <c:v>Italy</c:v>
                </c:pt>
                <c:pt idx="2">
                  <c:v>Poland</c:v>
                </c:pt>
              </c:strCache>
            </c:strRef>
          </c:cat>
          <c:val>
            <c:numRef>
              <c:f>'AW and CC calc'!$W$36:$Y$36</c:f>
              <c:numCache>
                <c:formatCode>General</c:formatCode>
                <c:ptCount val="3"/>
                <c:pt idx="0">
                  <c:v>1075.8255011548003</c:v>
                </c:pt>
                <c:pt idx="1">
                  <c:v>1980.933310132104</c:v>
                </c:pt>
                <c:pt idx="2">
                  <c:v>1248.8101897392169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115-4152-8977-6C580595BDC4}"/>
            </c:ext>
          </c:extLst>
        </c:ser>
        <c:ser>
          <c:idx val="5"/>
          <c:order val="5"/>
          <c:tx>
            <c:strRef>
              <c:f>'AW and CC calc'!$U$37:$V$37</c:f>
              <c:strCache>
                <c:ptCount val="2"/>
                <c:pt idx="0">
                  <c:v>Blue food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'AW and CC calc'!$W$31:$Y$31</c:f>
              <c:strCache>
                <c:ptCount val="3"/>
                <c:pt idx="0">
                  <c:v>Ireland</c:v>
                </c:pt>
                <c:pt idx="1">
                  <c:v>Italy</c:v>
                </c:pt>
                <c:pt idx="2">
                  <c:v>Poland</c:v>
                </c:pt>
              </c:strCache>
            </c:strRef>
          </c:cat>
          <c:val>
            <c:numRef>
              <c:f>'AW and CC calc'!$W$37:$Y$37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115-4152-8977-6C580595BD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57899376"/>
        <c:axId val="657890256"/>
      </c:barChart>
      <c:catAx>
        <c:axId val="657899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657890256"/>
        <c:crosses val="autoZero"/>
        <c:auto val="1"/>
        <c:lblAlgn val="ctr"/>
        <c:lblOffset val="100"/>
        <c:noMultiLvlLbl val="0"/>
      </c:catAx>
      <c:valAx>
        <c:axId val="657890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6578993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v-S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v-SE"/>
    </a:p>
  </c:txPr>
  <c:printSettings>
    <c:headerFooter/>
    <c:pageMargins b="0.75" l="0.7" r="0.7" t="0.75" header="0.3" footer="0.3"/>
    <c:pageSetup/>
  </c:printSettings>
  <c:userShapes r:id="rId3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sv-SE"/>
              <a:t>Carbon</a:t>
            </a:r>
            <a:r>
              <a:rPr lang="sv-SE" baseline="0"/>
              <a:t> footprint</a:t>
            </a:r>
            <a:endParaRPr lang="sv-SE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v-SE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'AW and CC calc'!$AE$32:$AF$32</c:f>
              <c:strCache>
                <c:ptCount val="2"/>
                <c:pt idx="0">
                  <c:v>Ruminant meat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'AW and CC calc'!$AG$31:$AI$31</c:f>
              <c:strCache>
                <c:ptCount val="3"/>
                <c:pt idx="0">
                  <c:v>Ireland</c:v>
                </c:pt>
                <c:pt idx="1">
                  <c:v>Italy</c:v>
                </c:pt>
                <c:pt idx="2">
                  <c:v>Poland</c:v>
                </c:pt>
              </c:strCache>
            </c:strRef>
          </c:cat>
          <c:val>
            <c:numRef>
              <c:f>'AW and CC calc'!$AG$32:$AI$32</c:f>
              <c:numCache>
                <c:formatCode>General</c:formatCode>
                <c:ptCount val="3"/>
                <c:pt idx="0">
                  <c:v>753.18599603662869</c:v>
                </c:pt>
                <c:pt idx="1">
                  <c:v>385.62317169529013</c:v>
                </c:pt>
                <c:pt idx="2">
                  <c:v>23.547636623429188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22-47C0-ACB3-DAFCF6990DFE}"/>
            </c:ext>
          </c:extLst>
        </c:ser>
        <c:ser>
          <c:idx val="1"/>
          <c:order val="1"/>
          <c:tx>
            <c:strRef>
              <c:f>'AW and CC calc'!$AE$33:$AF$33</c:f>
              <c:strCache>
                <c:ptCount val="2"/>
                <c:pt idx="0">
                  <c:v>Pigmeat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'AW and CC calc'!$AG$31:$AI$31</c:f>
              <c:strCache>
                <c:ptCount val="3"/>
                <c:pt idx="0">
                  <c:v>Ireland</c:v>
                </c:pt>
                <c:pt idx="1">
                  <c:v>Italy</c:v>
                </c:pt>
                <c:pt idx="2">
                  <c:v>Poland</c:v>
                </c:pt>
              </c:strCache>
            </c:strRef>
          </c:cat>
          <c:val>
            <c:numRef>
              <c:f>'AW and CC calc'!$AG$33:$AI$33</c:f>
              <c:numCache>
                <c:formatCode>General</c:formatCode>
                <c:ptCount val="3"/>
                <c:pt idx="0">
                  <c:v>104.11140705107606</c:v>
                </c:pt>
                <c:pt idx="1">
                  <c:v>168.59508019491025</c:v>
                </c:pt>
                <c:pt idx="2">
                  <c:v>232.12157467801669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422-47C0-ACB3-DAFCF6990DFE}"/>
            </c:ext>
          </c:extLst>
        </c:ser>
        <c:ser>
          <c:idx val="2"/>
          <c:order val="2"/>
          <c:tx>
            <c:strRef>
              <c:f>'AW and CC calc'!$AE$34:$AF$34</c:f>
              <c:strCache>
                <c:ptCount val="2"/>
                <c:pt idx="0">
                  <c:v>Poultry meat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'AW and CC calc'!$AG$31:$AI$31</c:f>
              <c:strCache>
                <c:ptCount val="3"/>
                <c:pt idx="0">
                  <c:v>Ireland</c:v>
                </c:pt>
                <c:pt idx="1">
                  <c:v>Italy</c:v>
                </c:pt>
                <c:pt idx="2">
                  <c:v>Poland</c:v>
                </c:pt>
              </c:strCache>
            </c:strRef>
          </c:cat>
          <c:val>
            <c:numRef>
              <c:f>'AW and CC calc'!$AG$34:$AI$34</c:f>
              <c:numCache>
                <c:formatCode>General</c:formatCode>
                <c:ptCount val="3"/>
                <c:pt idx="0">
                  <c:v>44.27205928643388</c:v>
                </c:pt>
                <c:pt idx="1">
                  <c:v>28.297499989926703</c:v>
                </c:pt>
                <c:pt idx="2">
                  <c:v>52.006043417423442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422-47C0-ACB3-DAFCF6990DFE}"/>
            </c:ext>
          </c:extLst>
        </c:ser>
        <c:ser>
          <c:idx val="3"/>
          <c:order val="3"/>
          <c:tx>
            <c:strRef>
              <c:f>'AW and CC calc'!$AE$35:$AF$35</c:f>
              <c:strCache>
                <c:ptCount val="2"/>
                <c:pt idx="0">
                  <c:v>Egg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'AW and CC calc'!$AG$31:$AI$31</c:f>
              <c:strCache>
                <c:ptCount val="3"/>
                <c:pt idx="0">
                  <c:v>Ireland</c:v>
                </c:pt>
                <c:pt idx="1">
                  <c:v>Italy</c:v>
                </c:pt>
                <c:pt idx="2">
                  <c:v>Poland</c:v>
                </c:pt>
              </c:strCache>
            </c:strRef>
          </c:cat>
          <c:val>
            <c:numRef>
              <c:f>'AW and CC calc'!$AG$35:$AI$35</c:f>
              <c:numCache>
                <c:formatCode>General</c:formatCode>
                <c:ptCount val="3"/>
                <c:pt idx="0">
                  <c:v>11.847870238654171</c:v>
                </c:pt>
                <c:pt idx="1">
                  <c:v>12.245557843197664</c:v>
                </c:pt>
                <c:pt idx="2">
                  <c:v>9.6963713411294332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422-47C0-ACB3-DAFCF6990DFE}"/>
            </c:ext>
          </c:extLst>
        </c:ser>
        <c:ser>
          <c:idx val="4"/>
          <c:order val="4"/>
          <c:tx>
            <c:strRef>
              <c:f>'AW and CC calc'!$AE$36:$AF$36</c:f>
              <c:strCache>
                <c:ptCount val="2"/>
                <c:pt idx="0">
                  <c:v>Dairy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'AW and CC calc'!$AG$31:$AI$31</c:f>
              <c:strCache>
                <c:ptCount val="3"/>
                <c:pt idx="0">
                  <c:v>Ireland</c:v>
                </c:pt>
                <c:pt idx="1">
                  <c:v>Italy</c:v>
                </c:pt>
                <c:pt idx="2">
                  <c:v>Poland</c:v>
                </c:pt>
              </c:strCache>
            </c:strRef>
          </c:cat>
          <c:val>
            <c:numRef>
              <c:f>'AW and CC calc'!$AG$36:$AI$36</c:f>
              <c:numCache>
                <c:formatCode>General</c:formatCode>
                <c:ptCount val="3"/>
                <c:pt idx="0">
                  <c:v>290.66727876359073</c:v>
                </c:pt>
                <c:pt idx="1">
                  <c:v>282.62861720947973</c:v>
                </c:pt>
                <c:pt idx="2">
                  <c:v>244.58300449900887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422-47C0-ACB3-DAFCF6990DFE}"/>
            </c:ext>
          </c:extLst>
        </c:ser>
        <c:ser>
          <c:idx val="5"/>
          <c:order val="5"/>
          <c:tx>
            <c:strRef>
              <c:f>'AW and CC calc'!$AE$37:$AF$37</c:f>
              <c:strCache>
                <c:ptCount val="2"/>
                <c:pt idx="0">
                  <c:v>Blue food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'AW and CC calc'!$AG$31:$AI$31</c:f>
              <c:strCache>
                <c:ptCount val="3"/>
                <c:pt idx="0">
                  <c:v>Ireland</c:v>
                </c:pt>
                <c:pt idx="1">
                  <c:v>Italy</c:v>
                </c:pt>
                <c:pt idx="2">
                  <c:v>Poland</c:v>
                </c:pt>
              </c:strCache>
            </c:strRef>
          </c:cat>
          <c:val>
            <c:numRef>
              <c:f>'AW and CC calc'!$AG$37:$AI$37</c:f>
              <c:numCache>
                <c:formatCode>General</c:formatCode>
                <c:ptCount val="3"/>
                <c:pt idx="0">
                  <c:v>73.241011929867824</c:v>
                </c:pt>
                <c:pt idx="1">
                  <c:v>109.3169543065351</c:v>
                </c:pt>
                <c:pt idx="2">
                  <c:v>38.479584548718819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422-47C0-ACB3-DAFCF6990D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433607344"/>
        <c:axId val="1433602064"/>
      </c:barChart>
      <c:catAx>
        <c:axId val="14336073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1433602064"/>
        <c:crosses val="autoZero"/>
        <c:auto val="1"/>
        <c:lblAlgn val="ctr"/>
        <c:lblOffset val="100"/>
        <c:noMultiLvlLbl val="0"/>
      </c:catAx>
      <c:valAx>
        <c:axId val="1433602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14336073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v-S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v-SE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sv-SE"/>
              <a:t>Animal welfare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v-SE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'AW and CC calc'!$A$32:$B$32</c:f>
              <c:strCache>
                <c:ptCount val="2"/>
                <c:pt idx="0">
                  <c:v>Ruminant meat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'AW and CC calc'!$C$31:$G$31</c15:sqref>
                  </c15:fullRef>
                </c:ext>
              </c:extLst>
              <c:f>('AW and CC calc'!$C$31,'AW and CC calc'!$E$31,'AW and CC calc'!$G$31)</c:f>
              <c:strCache>
                <c:ptCount val="3"/>
                <c:pt idx="0">
                  <c:v>Ireland</c:v>
                </c:pt>
                <c:pt idx="1">
                  <c:v>Italy</c:v>
                </c:pt>
                <c:pt idx="2">
                  <c:v>Poland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'AW and CC calc'!$C$32:$G$32</c15:sqref>
                  </c15:fullRef>
                </c:ext>
              </c:extLst>
              <c:f>('AW and CC calc'!$C$32,'AW and CC calc'!$E$32,'AW and CC calc'!$G$32)</c:f>
              <c:numCache>
                <c:formatCode>General</c:formatCode>
                <c:ptCount val="3"/>
                <c:pt idx="0">
                  <c:v>13.502457288314293</c:v>
                </c:pt>
                <c:pt idx="1">
                  <c:v>6.1255084566381974</c:v>
                </c:pt>
                <c:pt idx="2">
                  <c:v>0.2978874254013491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F69-45F6-94BD-BED28CF3C272}"/>
            </c:ext>
          </c:extLst>
        </c:ser>
        <c:ser>
          <c:idx val="1"/>
          <c:order val="1"/>
          <c:tx>
            <c:strRef>
              <c:f>'AW and CC calc'!$A$33:$B$33</c:f>
              <c:strCache>
                <c:ptCount val="2"/>
                <c:pt idx="0">
                  <c:v>Pigmeat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'AW and CC calc'!$C$31:$G$31</c15:sqref>
                  </c15:fullRef>
                </c:ext>
              </c:extLst>
              <c:f>('AW and CC calc'!$C$31,'AW and CC calc'!$E$31,'AW and CC calc'!$G$31)</c:f>
              <c:strCache>
                <c:ptCount val="3"/>
                <c:pt idx="0">
                  <c:v>Ireland</c:v>
                </c:pt>
                <c:pt idx="1">
                  <c:v>Italy</c:v>
                </c:pt>
                <c:pt idx="2">
                  <c:v>Poland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'AW and CC calc'!$C$33:$G$33</c15:sqref>
                  </c15:fullRef>
                </c:ext>
              </c:extLst>
              <c:f>('AW and CC calc'!$C$33,'AW and CC calc'!$E$33,'AW and CC calc'!$G$33)</c:f>
              <c:numCache>
                <c:formatCode>General</c:formatCode>
                <c:ptCount val="3"/>
                <c:pt idx="0">
                  <c:v>77.772886900258612</c:v>
                </c:pt>
                <c:pt idx="1">
                  <c:v>87.472925977022456</c:v>
                </c:pt>
                <c:pt idx="2">
                  <c:v>145.32504574137081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F69-45F6-94BD-BED28CF3C272}"/>
            </c:ext>
          </c:extLst>
        </c:ser>
        <c:ser>
          <c:idx val="2"/>
          <c:order val="2"/>
          <c:tx>
            <c:strRef>
              <c:f>'AW and CC calc'!$A$34:$B$34</c:f>
              <c:strCache>
                <c:ptCount val="2"/>
                <c:pt idx="0">
                  <c:v>Poultry meat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'AW and CC calc'!$C$31:$G$31</c15:sqref>
                  </c15:fullRef>
                </c:ext>
              </c:extLst>
              <c:f>('AW and CC calc'!$C$31,'AW and CC calc'!$E$31,'AW and CC calc'!$G$31)</c:f>
              <c:strCache>
                <c:ptCount val="3"/>
                <c:pt idx="0">
                  <c:v>Ireland</c:v>
                </c:pt>
                <c:pt idx="1">
                  <c:v>Italy</c:v>
                </c:pt>
                <c:pt idx="2">
                  <c:v>Poland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'AW and CC calc'!$C$34:$G$34</c15:sqref>
                  </c15:fullRef>
                </c:ext>
              </c:extLst>
              <c:f>('AW and CC calc'!$C$34,'AW and CC calc'!$E$34,'AW and CC calc'!$G$34)</c:f>
              <c:numCache>
                <c:formatCode>General</c:formatCode>
                <c:ptCount val="3"/>
                <c:pt idx="0">
                  <c:v>1909.057645129747</c:v>
                </c:pt>
                <c:pt idx="1">
                  <c:v>1447.169076787445</c:v>
                </c:pt>
                <c:pt idx="2">
                  <c:v>2208.7764653260519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F69-45F6-94BD-BED28CF3C272}"/>
            </c:ext>
          </c:extLst>
        </c:ser>
        <c:ser>
          <c:idx val="3"/>
          <c:order val="3"/>
          <c:tx>
            <c:strRef>
              <c:f>'AW and CC calc'!$A$35:$B$35</c:f>
              <c:strCache>
                <c:ptCount val="2"/>
                <c:pt idx="0">
                  <c:v>Egg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'AW and CC calc'!$C$31:$G$31</c15:sqref>
                  </c15:fullRef>
                </c:ext>
              </c:extLst>
              <c:f>('AW and CC calc'!$C$31,'AW and CC calc'!$E$31,'AW and CC calc'!$G$31)</c:f>
              <c:strCache>
                <c:ptCount val="3"/>
                <c:pt idx="0">
                  <c:v>Ireland</c:v>
                </c:pt>
                <c:pt idx="1">
                  <c:v>Italy</c:v>
                </c:pt>
                <c:pt idx="2">
                  <c:v>Poland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'AW and CC calc'!$C$35:$G$35</c15:sqref>
                  </c15:fullRef>
                </c:ext>
              </c:extLst>
              <c:f>('AW and CC calc'!$C$35,'AW and CC calc'!$E$35,'AW and CC calc'!$G$35)</c:f>
              <c:numCache>
                <c:formatCode>General</c:formatCode>
                <c:ptCount val="3"/>
                <c:pt idx="0">
                  <c:v>94.217208627554356</c:v>
                </c:pt>
                <c:pt idx="1">
                  <c:v>108.70737631671624</c:v>
                </c:pt>
                <c:pt idx="2">
                  <c:v>78.970126200373286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F69-45F6-94BD-BED28CF3C272}"/>
            </c:ext>
          </c:extLst>
        </c:ser>
        <c:ser>
          <c:idx val="4"/>
          <c:order val="4"/>
          <c:tx>
            <c:strRef>
              <c:f>'AW and CC calc'!$A$36:$B$36</c:f>
              <c:strCache>
                <c:ptCount val="2"/>
                <c:pt idx="0">
                  <c:v>Dairy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'AW and CC calc'!$C$31:$G$31</c15:sqref>
                  </c15:fullRef>
                </c:ext>
              </c:extLst>
              <c:f>('AW and CC calc'!$C$31,'AW and CC calc'!$E$31,'AW and CC calc'!$G$31)</c:f>
              <c:strCache>
                <c:ptCount val="3"/>
                <c:pt idx="0">
                  <c:v>Ireland</c:v>
                </c:pt>
                <c:pt idx="1">
                  <c:v>Italy</c:v>
                </c:pt>
                <c:pt idx="2">
                  <c:v>Poland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'AW and CC calc'!$C$36:$G$36</c15:sqref>
                  </c15:fullRef>
                </c:ext>
              </c:extLst>
              <c:f>('AW and CC calc'!$C$36,'AW and CC calc'!$E$36,'AW and CC calc'!$G$36)</c:f>
              <c:numCache>
                <c:formatCode>General</c:formatCode>
                <c:ptCount val="3"/>
                <c:pt idx="0">
                  <c:v>3.0633204802639651</c:v>
                </c:pt>
                <c:pt idx="1">
                  <c:v>2.4931811907488113</c:v>
                </c:pt>
                <c:pt idx="2">
                  <c:v>2.2820246055007551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F69-45F6-94BD-BED28CF3C272}"/>
            </c:ext>
          </c:extLst>
        </c:ser>
        <c:ser>
          <c:idx val="5"/>
          <c:order val="5"/>
          <c:tx>
            <c:strRef>
              <c:f>'AW and CC calc'!$A$37:$B$37</c:f>
              <c:strCache>
                <c:ptCount val="2"/>
                <c:pt idx="0">
                  <c:v>Blue food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'AW and CC calc'!$C$31:$G$31</c15:sqref>
                  </c15:fullRef>
                </c:ext>
              </c:extLst>
              <c:f>('AW and CC calc'!$C$31,'AW and CC calc'!$E$31,'AW and CC calc'!$G$31)</c:f>
              <c:strCache>
                <c:ptCount val="3"/>
                <c:pt idx="0">
                  <c:v>Ireland</c:v>
                </c:pt>
                <c:pt idx="1">
                  <c:v>Italy</c:v>
                </c:pt>
                <c:pt idx="2">
                  <c:v>Poland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'AW and CC calc'!$C$37:$G$37</c15:sqref>
                  </c15:fullRef>
                </c:ext>
              </c:extLst>
              <c:f>('AW and CC calc'!$C$37,'AW and CC calc'!$E$37,'AW and CC calc'!$G$37)</c:f>
              <c:numCache>
                <c:formatCode>General</c:formatCode>
                <c:ptCount val="3"/>
                <c:pt idx="0">
                  <c:v>129.402827193235</c:v>
                </c:pt>
                <c:pt idx="1">
                  <c:v>125.53197109441429</c:v>
                </c:pt>
                <c:pt idx="2">
                  <c:v>73.862768665651998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F69-45F6-94BD-BED28CF3C2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433607344"/>
        <c:axId val="1433602064"/>
      </c:barChart>
      <c:catAx>
        <c:axId val="14336073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1433602064"/>
        <c:crosses val="autoZero"/>
        <c:auto val="1"/>
        <c:lblAlgn val="ctr"/>
        <c:lblOffset val="100"/>
        <c:noMultiLvlLbl val="0"/>
      </c:catAx>
      <c:valAx>
        <c:axId val="1433602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14336073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v-S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v-SE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sv-SE"/>
              <a:t>Antibiotics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v-SE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'AW and CC calc'!$U$32:$V$32</c:f>
              <c:strCache>
                <c:ptCount val="2"/>
                <c:pt idx="0">
                  <c:v>Ruminant meat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'AW and CC calc'!$W$31:$Y$31</c:f>
              <c:strCache>
                <c:ptCount val="3"/>
                <c:pt idx="0">
                  <c:v>Ireland</c:v>
                </c:pt>
                <c:pt idx="1">
                  <c:v>Italy</c:v>
                </c:pt>
                <c:pt idx="2">
                  <c:v>Poland</c:v>
                </c:pt>
              </c:strCache>
            </c:strRef>
          </c:cat>
          <c:val>
            <c:numRef>
              <c:f>'AW and CC calc'!$W$32:$Y$32</c:f>
              <c:numCache>
                <c:formatCode>General</c:formatCode>
                <c:ptCount val="3"/>
                <c:pt idx="0">
                  <c:v>808.88798963829333</c:v>
                </c:pt>
                <c:pt idx="1">
                  <c:v>1091.8458740513586</c:v>
                </c:pt>
                <c:pt idx="2">
                  <c:v>39.661557607454398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68C-4FCE-AD6F-0A6C3CA6C695}"/>
            </c:ext>
          </c:extLst>
        </c:ser>
        <c:ser>
          <c:idx val="1"/>
          <c:order val="1"/>
          <c:tx>
            <c:strRef>
              <c:f>'AW and CC calc'!$U$33:$V$33</c:f>
              <c:strCache>
                <c:ptCount val="2"/>
                <c:pt idx="0">
                  <c:v>Pigmeat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'AW and CC calc'!$W$31:$Y$31</c:f>
              <c:strCache>
                <c:ptCount val="3"/>
                <c:pt idx="0">
                  <c:v>Ireland</c:v>
                </c:pt>
                <c:pt idx="1">
                  <c:v>Italy</c:v>
                </c:pt>
                <c:pt idx="2">
                  <c:v>Poland</c:v>
                </c:pt>
              </c:strCache>
            </c:strRef>
          </c:cat>
          <c:val>
            <c:numRef>
              <c:f>'AW and CC calc'!$W$33:$Y$33</c:f>
              <c:numCache>
                <c:formatCode>General</c:formatCode>
                <c:ptCount val="3"/>
                <c:pt idx="0">
                  <c:v>1864.9513351659682</c:v>
                </c:pt>
                <c:pt idx="1">
                  <c:v>5512.375106213306</c:v>
                </c:pt>
                <c:pt idx="2">
                  <c:v>5200.070588442476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68C-4FCE-AD6F-0A6C3CA6C695}"/>
            </c:ext>
          </c:extLst>
        </c:ser>
        <c:ser>
          <c:idx val="2"/>
          <c:order val="2"/>
          <c:tx>
            <c:strRef>
              <c:f>'AW and CC calc'!$U$34:$V$34</c:f>
              <c:strCache>
                <c:ptCount val="2"/>
                <c:pt idx="0">
                  <c:v>Poultry meat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'AW and CC calc'!$W$31:$Y$31</c:f>
              <c:strCache>
                <c:ptCount val="3"/>
                <c:pt idx="0">
                  <c:v>Ireland</c:v>
                </c:pt>
                <c:pt idx="1">
                  <c:v>Italy</c:v>
                </c:pt>
                <c:pt idx="2">
                  <c:v>Poland</c:v>
                </c:pt>
              </c:strCache>
            </c:strRef>
          </c:cat>
          <c:val>
            <c:numRef>
              <c:f>'AW and CC calc'!$W$34:$Y$34</c:f>
              <c:numCache>
                <c:formatCode>General</c:formatCode>
                <c:ptCount val="3"/>
                <c:pt idx="0">
                  <c:v>1069.4821206127535</c:v>
                </c:pt>
                <c:pt idx="1">
                  <c:v>2350.3431327770927</c:v>
                </c:pt>
                <c:pt idx="2">
                  <c:v>1974.9534371702639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68C-4FCE-AD6F-0A6C3CA6C695}"/>
            </c:ext>
          </c:extLst>
        </c:ser>
        <c:ser>
          <c:idx val="3"/>
          <c:order val="3"/>
          <c:tx>
            <c:strRef>
              <c:f>'AW and CC calc'!$U$35:$V$35</c:f>
              <c:strCache>
                <c:ptCount val="2"/>
                <c:pt idx="0">
                  <c:v>Egg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'AW and CC calc'!$W$31:$Y$31</c:f>
              <c:strCache>
                <c:ptCount val="3"/>
                <c:pt idx="0">
                  <c:v>Ireland</c:v>
                </c:pt>
                <c:pt idx="1">
                  <c:v>Italy</c:v>
                </c:pt>
                <c:pt idx="2">
                  <c:v>Poland</c:v>
                </c:pt>
              </c:strCache>
            </c:strRef>
          </c:cat>
          <c:val>
            <c:numRef>
              <c:f>'AW and CC calc'!$W$35:$Y$35</c:f>
              <c:numCache>
                <c:formatCode>General</c:formatCode>
                <c:ptCount val="3"/>
                <c:pt idx="0">
                  <c:v>6.6744591279849512</c:v>
                </c:pt>
                <c:pt idx="1">
                  <c:v>20.173326778853063</c:v>
                </c:pt>
                <c:pt idx="2">
                  <c:v>9.2353145883056857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68C-4FCE-AD6F-0A6C3CA6C695}"/>
            </c:ext>
          </c:extLst>
        </c:ser>
        <c:ser>
          <c:idx val="4"/>
          <c:order val="4"/>
          <c:tx>
            <c:strRef>
              <c:f>'AW and CC calc'!$U$36:$V$36</c:f>
              <c:strCache>
                <c:ptCount val="2"/>
                <c:pt idx="0">
                  <c:v>Dairy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'AW and CC calc'!$W$31:$Y$31</c:f>
              <c:strCache>
                <c:ptCount val="3"/>
                <c:pt idx="0">
                  <c:v>Ireland</c:v>
                </c:pt>
                <c:pt idx="1">
                  <c:v>Italy</c:v>
                </c:pt>
                <c:pt idx="2">
                  <c:v>Poland</c:v>
                </c:pt>
              </c:strCache>
            </c:strRef>
          </c:cat>
          <c:val>
            <c:numRef>
              <c:f>'AW and CC calc'!$W$36:$Y$36</c:f>
              <c:numCache>
                <c:formatCode>General</c:formatCode>
                <c:ptCount val="3"/>
                <c:pt idx="0">
                  <c:v>1075.8255011548003</c:v>
                </c:pt>
                <c:pt idx="1">
                  <c:v>1980.933310132104</c:v>
                </c:pt>
                <c:pt idx="2">
                  <c:v>1248.8101897392169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68C-4FCE-AD6F-0A6C3CA6C695}"/>
            </c:ext>
          </c:extLst>
        </c:ser>
        <c:ser>
          <c:idx val="5"/>
          <c:order val="5"/>
          <c:tx>
            <c:strRef>
              <c:f>'AW and CC calc'!$U$37:$V$37</c:f>
              <c:strCache>
                <c:ptCount val="2"/>
                <c:pt idx="0">
                  <c:v>Blue food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'AW and CC calc'!$W$31:$Y$31</c:f>
              <c:strCache>
                <c:ptCount val="3"/>
                <c:pt idx="0">
                  <c:v>Ireland</c:v>
                </c:pt>
                <c:pt idx="1">
                  <c:v>Italy</c:v>
                </c:pt>
                <c:pt idx="2">
                  <c:v>Poland</c:v>
                </c:pt>
              </c:strCache>
            </c:strRef>
          </c:cat>
          <c:val>
            <c:numRef>
              <c:f>'AW and CC calc'!$W$37:$Y$37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68C-4FCE-AD6F-0A6C3CA6C6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57899376"/>
        <c:axId val="657890256"/>
      </c:barChart>
      <c:catAx>
        <c:axId val="657899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657890256"/>
        <c:crosses val="autoZero"/>
        <c:auto val="1"/>
        <c:lblAlgn val="ctr"/>
        <c:lblOffset val="100"/>
        <c:noMultiLvlLbl val="0"/>
      </c:catAx>
      <c:valAx>
        <c:axId val="657890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6578993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v-S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v-SE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'Summary consumption'!$L$7</c:f>
              <c:strCache>
                <c:ptCount val="1"/>
                <c:pt idx="0">
                  <c:v>Total ruminant meat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'Summary consumption'!$M$6:$P$6</c:f>
              <c:strCache>
                <c:ptCount val="4"/>
                <c:pt idx="0">
                  <c:v>Ireland</c:v>
                </c:pt>
                <c:pt idx="1">
                  <c:v>Italy</c:v>
                </c:pt>
                <c:pt idx="2">
                  <c:v>Polen</c:v>
                </c:pt>
                <c:pt idx="3">
                  <c:v>Europe</c:v>
                </c:pt>
              </c:strCache>
            </c:strRef>
          </c:cat>
          <c:val>
            <c:numRef>
              <c:f>'Summary consumption'!$M$7:$P$7</c:f>
              <c:numCache>
                <c:formatCode>0</c:formatCode>
                <c:ptCount val="4"/>
                <c:pt idx="0">
                  <c:v>23.990000000000002</c:v>
                </c:pt>
                <c:pt idx="1">
                  <c:v>17.48</c:v>
                </c:pt>
                <c:pt idx="2">
                  <c:v>1.0760000000000001</c:v>
                </c:pt>
                <c:pt idx="3">
                  <c:v>15.824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FA-44E5-BB8B-EA4B3E506614}"/>
            </c:ext>
          </c:extLst>
        </c:ser>
        <c:ser>
          <c:idx val="1"/>
          <c:order val="1"/>
          <c:tx>
            <c:strRef>
              <c:f>'Summary consumption'!$L$8</c:f>
              <c:strCache>
                <c:ptCount val="1"/>
                <c:pt idx="0">
                  <c:v>Pigmeat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'Summary consumption'!$M$6:$P$6</c:f>
              <c:strCache>
                <c:ptCount val="4"/>
                <c:pt idx="0">
                  <c:v>Ireland</c:v>
                </c:pt>
                <c:pt idx="1">
                  <c:v>Italy</c:v>
                </c:pt>
                <c:pt idx="2">
                  <c:v>Polen</c:v>
                </c:pt>
                <c:pt idx="3">
                  <c:v>Europe</c:v>
                </c:pt>
              </c:strCache>
            </c:strRef>
          </c:cat>
          <c:val>
            <c:numRef>
              <c:f>'Summary consumption'!$M$8:$P$8</c:f>
              <c:numCache>
                <c:formatCode>0</c:formatCode>
                <c:ptCount val="4"/>
                <c:pt idx="0">
                  <c:v>29.056000000000001</c:v>
                </c:pt>
                <c:pt idx="1">
                  <c:v>36.989999999999995</c:v>
                </c:pt>
                <c:pt idx="2">
                  <c:v>55.036000000000001</c:v>
                </c:pt>
                <c:pt idx="3">
                  <c:v>34.833999999999996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FA-44E5-BB8B-EA4B3E506614}"/>
            </c:ext>
          </c:extLst>
        </c:ser>
        <c:ser>
          <c:idx val="2"/>
          <c:order val="2"/>
          <c:tx>
            <c:strRef>
              <c:f>'Summary consumption'!$L$9</c:f>
              <c:strCache>
                <c:ptCount val="1"/>
                <c:pt idx="0">
                  <c:v>Total poultry meat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'Summary consumption'!$M$6:$P$6</c:f>
              <c:strCache>
                <c:ptCount val="4"/>
                <c:pt idx="0">
                  <c:v>Ireland</c:v>
                </c:pt>
                <c:pt idx="1">
                  <c:v>Italy</c:v>
                </c:pt>
                <c:pt idx="2">
                  <c:v>Polen</c:v>
                </c:pt>
                <c:pt idx="3">
                  <c:v>Europe</c:v>
                </c:pt>
              </c:strCache>
            </c:strRef>
          </c:cat>
          <c:val>
            <c:numRef>
              <c:f>'Summary consumption'!$M$9:$P$9</c:f>
              <c:numCache>
                <c:formatCode>0</c:formatCode>
                <c:ptCount val="4"/>
                <c:pt idx="0">
                  <c:v>26.413999999999998</c:v>
                </c:pt>
                <c:pt idx="1">
                  <c:v>19.875999999999998</c:v>
                </c:pt>
                <c:pt idx="2">
                  <c:v>31.306000000000001</c:v>
                </c:pt>
                <c:pt idx="3">
                  <c:v>25.529999999999998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4FA-44E5-BB8B-EA4B3E506614}"/>
            </c:ext>
          </c:extLst>
        </c:ser>
        <c:ser>
          <c:idx val="3"/>
          <c:order val="3"/>
          <c:tx>
            <c:strRef>
              <c:f>'Summary consumption'!$L$10</c:f>
              <c:strCache>
                <c:ptCount val="1"/>
                <c:pt idx="0">
                  <c:v>Total blue food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'Summary consumption'!$M$6:$P$6</c:f>
              <c:strCache>
                <c:ptCount val="4"/>
                <c:pt idx="0">
                  <c:v>Ireland</c:v>
                </c:pt>
                <c:pt idx="1">
                  <c:v>Italy</c:v>
                </c:pt>
                <c:pt idx="2">
                  <c:v>Polen</c:v>
                </c:pt>
                <c:pt idx="3">
                  <c:v>Europe</c:v>
                </c:pt>
              </c:strCache>
            </c:strRef>
          </c:cat>
          <c:val>
            <c:numRef>
              <c:f>'Summary consumption'!$M$10:$P$10</c:f>
              <c:numCache>
                <c:formatCode>0</c:formatCode>
                <c:ptCount val="4"/>
                <c:pt idx="0">
                  <c:v>20.622</c:v>
                </c:pt>
                <c:pt idx="1">
                  <c:v>29.599999999999998</c:v>
                </c:pt>
                <c:pt idx="2">
                  <c:v>11.48</c:v>
                </c:pt>
                <c:pt idx="3">
                  <c:v>21.684000000000001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4FA-44E5-BB8B-EA4B3E5066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427139648"/>
        <c:axId val="1427138208"/>
      </c:barChart>
      <c:catAx>
        <c:axId val="1427139648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v-S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1427138208"/>
        <c:crosses val="autoZero"/>
        <c:auto val="1"/>
        <c:lblAlgn val="ctr"/>
        <c:lblOffset val="100"/>
        <c:noMultiLvlLbl val="0"/>
      </c:catAx>
      <c:valAx>
        <c:axId val="1427138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sv-SE"/>
                  <a:t>kg per</a:t>
                </a:r>
                <a:r>
                  <a:rPr lang="sv-SE" baseline="0"/>
                  <a:t> person and year</a:t>
                </a:r>
                <a:endParaRPr lang="sv-SE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v-SE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14271396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v-S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v-S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7" Type="http://schemas.openxmlformats.org/officeDocument/2006/relationships/chart" Target="../charts/chart6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5.xml"/><Relationship Id="rId5" Type="http://schemas.openxmlformats.org/officeDocument/2006/relationships/chart" Target="../charts/chart4.xml"/><Relationship Id="rId4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158115</xdr:colOff>
      <xdr:row>43</xdr:row>
      <xdr:rowOff>140968</xdr:rowOff>
    </xdr:from>
    <xdr:to>
      <xdr:col>21</xdr:col>
      <xdr:colOff>314325</xdr:colOff>
      <xdr:row>85</xdr:row>
      <xdr:rowOff>0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FC4E13DA-D379-39BD-8E03-43C2CE4B40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40004</xdr:colOff>
      <xdr:row>43</xdr:row>
      <xdr:rowOff>161924</xdr:rowOff>
    </xdr:from>
    <xdr:to>
      <xdr:col>15</xdr:col>
      <xdr:colOff>609599</xdr:colOff>
      <xdr:row>85</xdr:row>
      <xdr:rowOff>57149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C0A1121-CAB9-44D7-8599-FEFEA71C68D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28575</xdr:colOff>
      <xdr:row>59</xdr:row>
      <xdr:rowOff>103781</xdr:rowOff>
    </xdr:from>
    <xdr:to>
      <xdr:col>8</xdr:col>
      <xdr:colOff>385682</xdr:colOff>
      <xdr:row>63</xdr:row>
      <xdr:rowOff>34478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F16D897-0CCC-5592-A6A6-D13531BF3E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8575" y="10505081"/>
          <a:ext cx="5122146" cy="639357"/>
        </a:xfrm>
        <a:prstGeom prst="rect">
          <a:avLst/>
        </a:prstGeom>
      </xdr:spPr>
    </xdr:pic>
    <xdr:clientData/>
  </xdr:twoCellAnchor>
  <xdr:twoCellAnchor>
    <xdr:from>
      <xdr:col>21</xdr:col>
      <xdr:colOff>415449</xdr:colOff>
      <xdr:row>43</xdr:row>
      <xdr:rowOff>143775</xdr:rowOff>
    </xdr:from>
    <xdr:to>
      <xdr:col>25</xdr:col>
      <xdr:colOff>609600</xdr:colOff>
      <xdr:row>85</xdr:row>
      <xdr:rowOff>28575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DBA03C7D-E475-0363-9693-7F579C0A21A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152399</xdr:colOff>
      <xdr:row>86</xdr:row>
      <xdr:rowOff>180976</xdr:rowOff>
    </xdr:from>
    <xdr:to>
      <xdr:col>15</xdr:col>
      <xdr:colOff>588644</xdr:colOff>
      <xdr:row>108</xdr:row>
      <xdr:rowOff>123826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DAF224C5-DB24-4678-AA5A-809F8E91E7E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16</xdr:col>
      <xdr:colOff>161926</xdr:colOff>
      <xdr:row>86</xdr:row>
      <xdr:rowOff>171450</xdr:rowOff>
    </xdr:from>
    <xdr:to>
      <xdr:col>20</xdr:col>
      <xdr:colOff>333376</xdr:colOff>
      <xdr:row>108</xdr:row>
      <xdr:rowOff>114301</xdr:rowOff>
    </xdr:to>
    <xdr:graphicFrame macro="">
      <xdr:nvGraphicFramePr>
        <xdr:cNvPr id="12" name="Chart 2">
          <a:extLst>
            <a:ext uri="{FF2B5EF4-FFF2-40B4-BE49-F238E27FC236}">
              <a16:creationId xmlns:a16="http://schemas.microsoft.com/office/drawing/2014/main" id="{81EEC7E4-4260-463D-B7F1-0169ECB6C7B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20</xdr:col>
      <xdr:colOff>600075</xdr:colOff>
      <xdr:row>87</xdr:row>
      <xdr:rowOff>9526</xdr:rowOff>
    </xdr:from>
    <xdr:to>
      <xdr:col>24</xdr:col>
      <xdr:colOff>409575</xdr:colOff>
      <xdr:row>108</xdr:row>
      <xdr:rowOff>85726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875246D0-C270-4F9D-B3D6-5F5182C60E2B}"/>
            </a:ext>
            <a:ext uri="{147F2762-F138-4A5C-976F-8EAC2B608ADB}">
              <a16:predDERef xmlns:a16="http://schemas.microsoft.com/office/drawing/2014/main" pred="{81EEC7E4-4260-463D-B7F1-0169ECB6C7B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0.0985</cdr:x>
      <cdr:y>0.91784</cdr:y>
    </cdr:from>
    <cdr:to>
      <cdr:x>0.6522</cdr:x>
      <cdr:y>0.92168</cdr:y>
    </cdr:to>
    <cdr:cxnSp macro="">
      <cdr:nvCxnSpPr>
        <cdr:cNvPr id="3" name="Straight Connector 2">
          <a:extLst xmlns:a="http://schemas.openxmlformats.org/drawingml/2006/main">
            <a:ext uri="{FF2B5EF4-FFF2-40B4-BE49-F238E27FC236}">
              <a16:creationId xmlns:a16="http://schemas.microsoft.com/office/drawing/2014/main" id="{F416CEEE-78F4-2211-052D-7982E08ECE39}"/>
            </a:ext>
          </a:extLst>
        </cdr:cNvPr>
        <cdr:cNvCxnSpPr/>
      </cdr:nvCxnSpPr>
      <cdr:spPr>
        <a:xfrm xmlns:a="http://schemas.openxmlformats.org/drawingml/2006/main">
          <a:off x="315624" y="7214273"/>
          <a:ext cx="1774161" cy="30140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chemeClr val="tx1"/>
          </a:solidFill>
          <a:prstDash val="sysDash"/>
        </a:ln>
      </cdr:spPr>
      <cdr:style>
        <a:lnRef xmlns:a="http://schemas.openxmlformats.org/drawingml/2006/main" idx="2">
          <a:schemeClr val="dk1"/>
        </a:lnRef>
        <a:fillRef xmlns:a="http://schemas.openxmlformats.org/drawingml/2006/main" idx="0">
          <a:schemeClr val="dk1"/>
        </a:fillRef>
        <a:effectRef xmlns:a="http://schemas.openxmlformats.org/drawingml/2006/main" idx="1">
          <a:schemeClr val="dk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0.15455</cdr:x>
      <cdr:y>0.92441</cdr:y>
    </cdr:from>
    <cdr:to>
      <cdr:x>0.69491</cdr:x>
      <cdr:y>0.92561</cdr:y>
    </cdr:to>
    <cdr:cxnSp macro="">
      <cdr:nvCxnSpPr>
        <cdr:cNvPr id="2" name="Straight Connector 1">
          <a:extLst xmlns:a="http://schemas.openxmlformats.org/drawingml/2006/main">
            <a:ext uri="{FF2B5EF4-FFF2-40B4-BE49-F238E27FC236}">
              <a16:creationId xmlns:a16="http://schemas.microsoft.com/office/drawing/2014/main" id="{F416CEEE-78F4-2211-052D-7982E08ECE39}"/>
            </a:ext>
          </a:extLst>
        </cdr:cNvPr>
        <cdr:cNvCxnSpPr/>
      </cdr:nvCxnSpPr>
      <cdr:spPr>
        <a:xfrm xmlns:a="http://schemas.openxmlformats.org/drawingml/2006/main">
          <a:off x="441325" y="7299325"/>
          <a:ext cx="1543050" cy="9525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chemeClr val="tx1"/>
          </a:solidFill>
          <a:prstDash val="sysDash"/>
        </a:ln>
      </cdr:spPr>
      <cdr:style>
        <a:lnRef xmlns:a="http://schemas.openxmlformats.org/drawingml/2006/main" idx="2">
          <a:schemeClr val="dk1"/>
        </a:lnRef>
        <a:fillRef xmlns:a="http://schemas.openxmlformats.org/drawingml/2006/main" idx="0">
          <a:schemeClr val="dk1"/>
        </a:fillRef>
        <a:effectRef xmlns:a="http://schemas.openxmlformats.org/drawingml/2006/main" idx="1">
          <a:schemeClr val="dk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0.14127</cdr:x>
      <cdr:y>0.92152</cdr:y>
    </cdr:from>
    <cdr:to>
      <cdr:x>0.6331</cdr:x>
      <cdr:y>0.92273</cdr:y>
    </cdr:to>
    <cdr:cxnSp macro="">
      <cdr:nvCxnSpPr>
        <cdr:cNvPr id="2" name="Straight Connector 1">
          <a:extLst xmlns:a="http://schemas.openxmlformats.org/drawingml/2006/main">
            <a:ext uri="{FF2B5EF4-FFF2-40B4-BE49-F238E27FC236}">
              <a16:creationId xmlns:a16="http://schemas.microsoft.com/office/drawing/2014/main" id="{F416CEEE-78F4-2211-052D-7982E08ECE39}"/>
            </a:ext>
          </a:extLst>
        </cdr:cNvPr>
        <cdr:cNvCxnSpPr/>
      </cdr:nvCxnSpPr>
      <cdr:spPr>
        <a:xfrm xmlns:a="http://schemas.openxmlformats.org/drawingml/2006/main">
          <a:off x="442947" y="7266931"/>
          <a:ext cx="1542119" cy="9542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chemeClr val="tx1"/>
          </a:solidFill>
          <a:prstDash val="sysDash"/>
        </a:ln>
      </cdr:spPr>
      <cdr:style>
        <a:lnRef xmlns:a="http://schemas.openxmlformats.org/drawingml/2006/main" idx="2">
          <a:schemeClr val="dk1"/>
        </a:lnRef>
        <a:fillRef xmlns:a="http://schemas.openxmlformats.org/drawingml/2006/main" idx="0">
          <a:schemeClr val="dk1"/>
        </a:fillRef>
        <a:effectRef xmlns:a="http://schemas.openxmlformats.org/drawingml/2006/main" idx="1">
          <a:schemeClr val="dk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451485</xdr:colOff>
      <xdr:row>10</xdr:row>
      <xdr:rowOff>160020</xdr:rowOff>
    </xdr:from>
    <xdr:to>
      <xdr:col>20</xdr:col>
      <xdr:colOff>116205</xdr:colOff>
      <xdr:row>25</xdr:row>
      <xdr:rowOff>160020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3C32878-C4E3-3FC6-BE97-6A4E6E3383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lin Röös" refreshedDate="45442.462128356485" createdVersion="8" refreshedVersion="8" minRefreshableVersion="3" recordCount="1000" xr:uid="{D1CA7962-275A-465E-B117-640BC030CF46}">
  <cacheSource type="worksheet">
    <worksheetSource ref="A1:N1001" sheet="FAOSTAT_data_en_3-15-2024"/>
  </cacheSource>
  <cacheFields count="14">
    <cacheField name="Domain Code" numFmtId="0">
      <sharedItems/>
    </cacheField>
    <cacheField name="Domain" numFmtId="0">
      <sharedItems/>
    </cacheField>
    <cacheField name="Area Code (M49)" numFmtId="0">
      <sharedItems containsSemiMixedTypes="0" containsString="0" containsNumber="1" containsInteger="1" minValue="150" maxValue="752"/>
    </cacheField>
    <cacheField name="Area" numFmtId="0">
      <sharedItems count="10">
        <s v="France"/>
        <s v="Germany"/>
        <s v="Greece"/>
        <s v="Hungary"/>
        <s v="Ireland"/>
        <s v="Italy"/>
        <s v="Poland"/>
        <s v="Spain"/>
        <s v="Sweden"/>
        <s v="Europe"/>
      </sharedItems>
    </cacheField>
    <cacheField name="Element Code" numFmtId="0">
      <sharedItems containsSemiMixedTypes="0" containsString="0" containsNumber="1" containsInteger="1" minValue="645" maxValue="645"/>
    </cacheField>
    <cacheField name="Element" numFmtId="0">
      <sharedItems/>
    </cacheField>
    <cacheField name="Item Code (FBS)" numFmtId="0">
      <sharedItems/>
    </cacheField>
    <cacheField name="Item" numFmtId="0">
      <sharedItems count="21">
        <s v="Bovine Meat"/>
        <s v="Mutton &amp; Goat Meat"/>
        <s v="Pigmeat"/>
        <s v="Poultry Meat"/>
        <s v="Meat, Other"/>
        <s v="Offals, Edible"/>
        <s v="Butter, Ghee"/>
        <s v="Cream"/>
        <s v="Fats, Animals, Raw"/>
        <s v="Fish, Body Oil"/>
        <s v="Fish, Liver Oil"/>
        <s v="Eggs"/>
        <s v="Milk - Excluding Butter"/>
        <s v="Freshwater Fish"/>
        <s v="Demersal Fish"/>
        <s v="Pelagic Fish"/>
        <s v="Marine Fish, Other"/>
        <s v="Crustaceans"/>
        <s v="Cephalopods"/>
        <s v="Molluscs, Other"/>
        <s v="Aquatic Animals, Others"/>
      </sharedItems>
    </cacheField>
    <cacheField name="Year Code" numFmtId="0">
      <sharedItems containsSemiMixedTypes="0" containsString="0" containsNumber="1" containsInteger="1" minValue="2017" maxValue="2021"/>
    </cacheField>
    <cacheField name="Year" numFmtId="0">
      <sharedItems containsSemiMixedTypes="0" containsString="0" containsNumber="1" containsInteger="1" minValue="2017" maxValue="2021" count="5">
        <n v="2017"/>
        <n v="2018"/>
        <n v="2019"/>
        <n v="2020"/>
        <n v="2021"/>
      </sharedItems>
    </cacheField>
    <cacheField name="Unit" numFmtId="0">
      <sharedItems/>
    </cacheField>
    <cacheField name="Value" numFmtId="0">
      <sharedItems containsSemiMixedTypes="0" containsString="0" containsNumber="1" minValue="0" maxValue="332.92"/>
    </cacheField>
    <cacheField name="Flag" numFmtId="0">
      <sharedItems/>
    </cacheField>
    <cacheField name="Flag Descriptio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s v="FBS"/>
    <s v="Food Balances (2010-)"/>
    <n v="250"/>
    <x v="0"/>
    <n v="645"/>
    <s v="Food supply quantity (kg/capita/yr)"/>
    <s v="S2731"/>
    <x v="0"/>
    <n v="2017"/>
    <x v="0"/>
    <s v="kg"/>
    <n v="23.4"/>
    <s v="E"/>
    <s v="Estimated value"/>
  </r>
  <r>
    <s v="FBS"/>
    <s v="Food Balances (2010-)"/>
    <n v="250"/>
    <x v="0"/>
    <n v="645"/>
    <s v="Food supply quantity (kg/capita/yr)"/>
    <s v="S2731"/>
    <x v="0"/>
    <n v="2018"/>
    <x v="1"/>
    <s v="kg"/>
    <n v="23.55"/>
    <s v="E"/>
    <s v="Estimated value"/>
  </r>
  <r>
    <s v="FBS"/>
    <s v="Food Balances (2010-)"/>
    <n v="250"/>
    <x v="0"/>
    <n v="645"/>
    <s v="Food supply quantity (kg/capita/yr)"/>
    <s v="S2731"/>
    <x v="0"/>
    <n v="2019"/>
    <x v="2"/>
    <s v="kg"/>
    <n v="23.68"/>
    <s v="E"/>
    <s v="Estimated value"/>
  </r>
  <r>
    <s v="FBS"/>
    <s v="Food Balances (2010-)"/>
    <n v="250"/>
    <x v="0"/>
    <n v="645"/>
    <s v="Food supply quantity (kg/capita/yr)"/>
    <s v="S2731"/>
    <x v="0"/>
    <n v="2020"/>
    <x v="3"/>
    <s v="kg"/>
    <n v="23.03"/>
    <s v="E"/>
    <s v="Estimated value"/>
  </r>
  <r>
    <s v="FBS"/>
    <s v="Food Balances (2010-)"/>
    <n v="250"/>
    <x v="0"/>
    <n v="645"/>
    <s v="Food supply quantity (kg/capita/yr)"/>
    <s v="S2731"/>
    <x v="0"/>
    <n v="2021"/>
    <x v="4"/>
    <s v="kg"/>
    <n v="23.01"/>
    <s v="E"/>
    <s v="Estimated value"/>
  </r>
  <r>
    <s v="FBS"/>
    <s v="Food Balances (2010-)"/>
    <n v="250"/>
    <x v="0"/>
    <n v="645"/>
    <s v="Food supply quantity (kg/capita/yr)"/>
    <s v="S2732"/>
    <x v="1"/>
    <n v="2017"/>
    <x v="0"/>
    <s v="kg"/>
    <n v="2.97"/>
    <s v="E"/>
    <s v="Estimated value"/>
  </r>
  <r>
    <s v="FBS"/>
    <s v="Food Balances (2010-)"/>
    <n v="250"/>
    <x v="0"/>
    <n v="645"/>
    <s v="Food supply quantity (kg/capita/yr)"/>
    <s v="S2732"/>
    <x v="1"/>
    <n v="2018"/>
    <x v="1"/>
    <s v="kg"/>
    <n v="2.97"/>
    <s v="E"/>
    <s v="Estimated value"/>
  </r>
  <r>
    <s v="FBS"/>
    <s v="Food Balances (2010-)"/>
    <n v="250"/>
    <x v="0"/>
    <n v="645"/>
    <s v="Food supply quantity (kg/capita/yr)"/>
    <s v="S2732"/>
    <x v="1"/>
    <n v="2019"/>
    <x v="2"/>
    <s v="kg"/>
    <n v="2.57"/>
    <s v="E"/>
    <s v="Estimated value"/>
  </r>
  <r>
    <s v="FBS"/>
    <s v="Food Balances (2010-)"/>
    <n v="250"/>
    <x v="0"/>
    <n v="645"/>
    <s v="Food supply quantity (kg/capita/yr)"/>
    <s v="S2732"/>
    <x v="1"/>
    <n v="2020"/>
    <x v="3"/>
    <s v="kg"/>
    <n v="2.4500000000000002"/>
    <s v="E"/>
    <s v="Estimated value"/>
  </r>
  <r>
    <s v="FBS"/>
    <s v="Food Balances (2010-)"/>
    <n v="250"/>
    <x v="0"/>
    <n v="645"/>
    <s v="Food supply quantity (kg/capita/yr)"/>
    <s v="S2732"/>
    <x v="1"/>
    <n v="2021"/>
    <x v="4"/>
    <s v="kg"/>
    <n v="2.4"/>
    <s v="E"/>
    <s v="Estimated value"/>
  </r>
  <r>
    <s v="FBS"/>
    <s v="Food Balances (2010-)"/>
    <n v="250"/>
    <x v="0"/>
    <n v="645"/>
    <s v="Food supply quantity (kg/capita/yr)"/>
    <s v="S2733"/>
    <x v="2"/>
    <n v="2017"/>
    <x v="0"/>
    <s v="kg"/>
    <n v="33.51"/>
    <s v="E"/>
    <s v="Estimated value"/>
  </r>
  <r>
    <s v="FBS"/>
    <s v="Food Balances (2010-)"/>
    <n v="250"/>
    <x v="0"/>
    <n v="645"/>
    <s v="Food supply quantity (kg/capita/yr)"/>
    <s v="S2733"/>
    <x v="2"/>
    <n v="2018"/>
    <x v="1"/>
    <s v="kg"/>
    <n v="34.21"/>
    <s v="E"/>
    <s v="Estimated value"/>
  </r>
  <r>
    <s v="FBS"/>
    <s v="Food Balances (2010-)"/>
    <n v="250"/>
    <x v="0"/>
    <n v="645"/>
    <s v="Food supply quantity (kg/capita/yr)"/>
    <s v="S2733"/>
    <x v="2"/>
    <n v="2019"/>
    <x v="2"/>
    <s v="kg"/>
    <n v="33.44"/>
    <s v="E"/>
    <s v="Estimated value"/>
  </r>
  <r>
    <s v="FBS"/>
    <s v="Food Balances (2010-)"/>
    <n v="250"/>
    <x v="0"/>
    <n v="645"/>
    <s v="Food supply quantity (kg/capita/yr)"/>
    <s v="S2733"/>
    <x v="2"/>
    <n v="2020"/>
    <x v="3"/>
    <s v="kg"/>
    <n v="33.04"/>
    <s v="E"/>
    <s v="Estimated value"/>
  </r>
  <r>
    <s v="FBS"/>
    <s v="Food Balances (2010-)"/>
    <n v="250"/>
    <x v="0"/>
    <n v="645"/>
    <s v="Food supply quantity (kg/capita/yr)"/>
    <s v="S2733"/>
    <x v="2"/>
    <n v="2021"/>
    <x v="4"/>
    <s v="kg"/>
    <n v="33.479999999999997"/>
    <s v="E"/>
    <s v="Estimated value"/>
  </r>
  <r>
    <s v="FBS"/>
    <s v="Food Balances (2010-)"/>
    <n v="250"/>
    <x v="0"/>
    <n v="645"/>
    <s v="Food supply quantity (kg/capita/yr)"/>
    <s v="S2734"/>
    <x v="3"/>
    <n v="2017"/>
    <x v="0"/>
    <s v="kg"/>
    <n v="25.99"/>
    <s v="E"/>
    <s v="Estimated value"/>
  </r>
  <r>
    <s v="FBS"/>
    <s v="Food Balances (2010-)"/>
    <n v="250"/>
    <x v="0"/>
    <n v="645"/>
    <s v="Food supply quantity (kg/capita/yr)"/>
    <s v="S2734"/>
    <x v="3"/>
    <n v="2018"/>
    <x v="1"/>
    <s v="kg"/>
    <n v="27.27"/>
    <s v="E"/>
    <s v="Estimated value"/>
  </r>
  <r>
    <s v="FBS"/>
    <s v="Food Balances (2010-)"/>
    <n v="250"/>
    <x v="0"/>
    <n v="645"/>
    <s v="Food supply quantity (kg/capita/yr)"/>
    <s v="S2734"/>
    <x v="3"/>
    <n v="2019"/>
    <x v="2"/>
    <s v="kg"/>
    <n v="26.03"/>
    <s v="E"/>
    <s v="Estimated value"/>
  </r>
  <r>
    <s v="FBS"/>
    <s v="Food Balances (2010-)"/>
    <n v="250"/>
    <x v="0"/>
    <n v="645"/>
    <s v="Food supply quantity (kg/capita/yr)"/>
    <s v="S2734"/>
    <x v="3"/>
    <n v="2020"/>
    <x v="3"/>
    <s v="kg"/>
    <n v="26.29"/>
    <s v="E"/>
    <s v="Estimated value"/>
  </r>
  <r>
    <s v="FBS"/>
    <s v="Food Balances (2010-)"/>
    <n v="250"/>
    <x v="0"/>
    <n v="645"/>
    <s v="Food supply quantity (kg/capita/yr)"/>
    <s v="S2734"/>
    <x v="3"/>
    <n v="2021"/>
    <x v="4"/>
    <s v="kg"/>
    <n v="26.57"/>
    <s v="E"/>
    <s v="Estimated value"/>
  </r>
  <r>
    <s v="FBS"/>
    <s v="Food Balances (2010-)"/>
    <n v="250"/>
    <x v="0"/>
    <n v="645"/>
    <s v="Food supply quantity (kg/capita/yr)"/>
    <s v="S2735"/>
    <x v="4"/>
    <n v="2017"/>
    <x v="0"/>
    <s v="kg"/>
    <n v="1.42"/>
    <s v="E"/>
    <s v="Estimated value"/>
  </r>
  <r>
    <s v="FBS"/>
    <s v="Food Balances (2010-)"/>
    <n v="250"/>
    <x v="0"/>
    <n v="645"/>
    <s v="Food supply quantity (kg/capita/yr)"/>
    <s v="S2735"/>
    <x v="4"/>
    <n v="2018"/>
    <x v="1"/>
    <s v="kg"/>
    <n v="1.1499999999999999"/>
    <s v="E"/>
    <s v="Estimated value"/>
  </r>
  <r>
    <s v="FBS"/>
    <s v="Food Balances (2010-)"/>
    <n v="250"/>
    <x v="0"/>
    <n v="645"/>
    <s v="Food supply quantity (kg/capita/yr)"/>
    <s v="S2735"/>
    <x v="4"/>
    <n v="2019"/>
    <x v="2"/>
    <s v="kg"/>
    <n v="1.23"/>
    <s v="E"/>
    <s v="Estimated value"/>
  </r>
  <r>
    <s v="FBS"/>
    <s v="Food Balances (2010-)"/>
    <n v="250"/>
    <x v="0"/>
    <n v="645"/>
    <s v="Food supply quantity (kg/capita/yr)"/>
    <s v="S2735"/>
    <x v="4"/>
    <n v="2020"/>
    <x v="3"/>
    <s v="kg"/>
    <n v="0.87"/>
    <s v="E"/>
    <s v="Estimated value"/>
  </r>
  <r>
    <s v="FBS"/>
    <s v="Food Balances (2010-)"/>
    <n v="250"/>
    <x v="0"/>
    <n v="645"/>
    <s v="Food supply quantity (kg/capita/yr)"/>
    <s v="S2735"/>
    <x v="4"/>
    <n v="2021"/>
    <x v="4"/>
    <s v="kg"/>
    <n v="0.59"/>
    <s v="E"/>
    <s v="Estimated value"/>
  </r>
  <r>
    <s v="FBS"/>
    <s v="Food Balances (2010-)"/>
    <n v="250"/>
    <x v="0"/>
    <n v="645"/>
    <s v="Food supply quantity (kg/capita/yr)"/>
    <s v="S2736"/>
    <x v="5"/>
    <n v="2017"/>
    <x v="0"/>
    <s v="kg"/>
    <n v="5.95"/>
    <s v="E"/>
    <s v="Estimated value"/>
  </r>
  <r>
    <s v="FBS"/>
    <s v="Food Balances (2010-)"/>
    <n v="250"/>
    <x v="0"/>
    <n v="645"/>
    <s v="Food supply quantity (kg/capita/yr)"/>
    <s v="S2736"/>
    <x v="5"/>
    <n v="2018"/>
    <x v="1"/>
    <s v="kg"/>
    <n v="5.97"/>
    <s v="E"/>
    <s v="Estimated value"/>
  </r>
  <r>
    <s v="FBS"/>
    <s v="Food Balances (2010-)"/>
    <n v="250"/>
    <x v="0"/>
    <n v="645"/>
    <s v="Food supply quantity (kg/capita/yr)"/>
    <s v="S2736"/>
    <x v="5"/>
    <n v="2019"/>
    <x v="2"/>
    <s v="kg"/>
    <n v="5.66"/>
    <s v="E"/>
    <s v="Estimated value"/>
  </r>
  <r>
    <s v="FBS"/>
    <s v="Food Balances (2010-)"/>
    <n v="250"/>
    <x v="0"/>
    <n v="645"/>
    <s v="Food supply quantity (kg/capita/yr)"/>
    <s v="S2736"/>
    <x v="5"/>
    <n v="2020"/>
    <x v="3"/>
    <s v="kg"/>
    <n v="5.65"/>
    <s v="E"/>
    <s v="Estimated value"/>
  </r>
  <r>
    <s v="FBS"/>
    <s v="Food Balances (2010-)"/>
    <n v="250"/>
    <x v="0"/>
    <n v="645"/>
    <s v="Food supply quantity (kg/capita/yr)"/>
    <s v="S2736"/>
    <x v="5"/>
    <n v="2021"/>
    <x v="4"/>
    <s v="kg"/>
    <n v="5.55"/>
    <s v="E"/>
    <s v="Estimated value"/>
  </r>
  <r>
    <s v="FBS"/>
    <s v="Food Balances (2010-)"/>
    <n v="250"/>
    <x v="0"/>
    <n v="645"/>
    <s v="Food supply quantity (kg/capita/yr)"/>
    <s v="S2740"/>
    <x v="6"/>
    <n v="2017"/>
    <x v="0"/>
    <s v="kg"/>
    <n v="7.51"/>
    <s v="E"/>
    <s v="Estimated value"/>
  </r>
  <r>
    <s v="FBS"/>
    <s v="Food Balances (2010-)"/>
    <n v="250"/>
    <x v="0"/>
    <n v="645"/>
    <s v="Food supply quantity (kg/capita/yr)"/>
    <s v="S2740"/>
    <x v="6"/>
    <n v="2018"/>
    <x v="1"/>
    <s v="kg"/>
    <n v="7.49"/>
    <s v="E"/>
    <s v="Estimated value"/>
  </r>
  <r>
    <s v="FBS"/>
    <s v="Food Balances (2010-)"/>
    <n v="250"/>
    <x v="0"/>
    <n v="645"/>
    <s v="Food supply quantity (kg/capita/yr)"/>
    <s v="S2740"/>
    <x v="6"/>
    <n v="2019"/>
    <x v="2"/>
    <s v="kg"/>
    <n v="8.4700000000000006"/>
    <s v="E"/>
    <s v="Estimated value"/>
  </r>
  <r>
    <s v="FBS"/>
    <s v="Food Balances (2010-)"/>
    <n v="250"/>
    <x v="0"/>
    <n v="645"/>
    <s v="Food supply quantity (kg/capita/yr)"/>
    <s v="S2740"/>
    <x v="6"/>
    <n v="2020"/>
    <x v="3"/>
    <s v="kg"/>
    <n v="8.15"/>
    <s v="E"/>
    <s v="Estimated value"/>
  </r>
  <r>
    <s v="FBS"/>
    <s v="Food Balances (2010-)"/>
    <n v="250"/>
    <x v="0"/>
    <n v="645"/>
    <s v="Food supply quantity (kg/capita/yr)"/>
    <s v="S2740"/>
    <x v="6"/>
    <n v="2021"/>
    <x v="4"/>
    <s v="kg"/>
    <n v="8.1199999999999992"/>
    <s v="E"/>
    <s v="Estimated value"/>
  </r>
  <r>
    <s v="FBS"/>
    <s v="Food Balances (2010-)"/>
    <n v="250"/>
    <x v="0"/>
    <n v="645"/>
    <s v="Food supply quantity (kg/capita/yr)"/>
    <s v="S2743"/>
    <x v="7"/>
    <n v="2017"/>
    <x v="0"/>
    <s v="kg"/>
    <n v="4.9800000000000004"/>
    <s v="E"/>
    <s v="Estimated value"/>
  </r>
  <r>
    <s v="FBS"/>
    <s v="Food Balances (2010-)"/>
    <n v="250"/>
    <x v="0"/>
    <n v="645"/>
    <s v="Food supply quantity (kg/capita/yr)"/>
    <s v="S2743"/>
    <x v="7"/>
    <n v="2018"/>
    <x v="1"/>
    <s v="kg"/>
    <n v="5.19"/>
    <s v="E"/>
    <s v="Estimated value"/>
  </r>
  <r>
    <s v="FBS"/>
    <s v="Food Balances (2010-)"/>
    <n v="250"/>
    <x v="0"/>
    <n v="645"/>
    <s v="Food supply quantity (kg/capita/yr)"/>
    <s v="S2743"/>
    <x v="7"/>
    <n v="2019"/>
    <x v="2"/>
    <s v="kg"/>
    <n v="7.71"/>
    <s v="E"/>
    <s v="Estimated value"/>
  </r>
  <r>
    <s v="FBS"/>
    <s v="Food Balances (2010-)"/>
    <n v="250"/>
    <x v="0"/>
    <n v="645"/>
    <s v="Food supply quantity (kg/capita/yr)"/>
    <s v="S2743"/>
    <x v="7"/>
    <n v="2020"/>
    <x v="3"/>
    <s v="kg"/>
    <n v="6.98"/>
    <s v="E"/>
    <s v="Estimated value"/>
  </r>
  <r>
    <s v="FBS"/>
    <s v="Food Balances (2010-)"/>
    <n v="250"/>
    <x v="0"/>
    <n v="645"/>
    <s v="Food supply quantity (kg/capita/yr)"/>
    <s v="S2743"/>
    <x v="7"/>
    <n v="2021"/>
    <x v="4"/>
    <s v="kg"/>
    <n v="6.88"/>
    <s v="E"/>
    <s v="Estimated value"/>
  </r>
  <r>
    <s v="FBS"/>
    <s v="Food Balances (2010-)"/>
    <n v="250"/>
    <x v="0"/>
    <n v="645"/>
    <s v="Food supply quantity (kg/capita/yr)"/>
    <s v="S2737"/>
    <x v="8"/>
    <n v="2017"/>
    <x v="0"/>
    <s v="kg"/>
    <n v="3.22"/>
    <s v="E"/>
    <s v="Estimated value"/>
  </r>
  <r>
    <s v="FBS"/>
    <s v="Food Balances (2010-)"/>
    <n v="250"/>
    <x v="0"/>
    <n v="645"/>
    <s v="Food supply quantity (kg/capita/yr)"/>
    <s v="S2737"/>
    <x v="8"/>
    <n v="2018"/>
    <x v="1"/>
    <s v="kg"/>
    <n v="3.07"/>
    <s v="E"/>
    <s v="Estimated value"/>
  </r>
  <r>
    <s v="FBS"/>
    <s v="Food Balances (2010-)"/>
    <n v="250"/>
    <x v="0"/>
    <n v="645"/>
    <s v="Food supply quantity (kg/capita/yr)"/>
    <s v="S2737"/>
    <x v="8"/>
    <n v="2019"/>
    <x v="2"/>
    <s v="kg"/>
    <n v="2.54"/>
    <s v="E"/>
    <s v="Estimated value"/>
  </r>
  <r>
    <s v="FBS"/>
    <s v="Food Balances (2010-)"/>
    <n v="250"/>
    <x v="0"/>
    <n v="645"/>
    <s v="Food supply quantity (kg/capita/yr)"/>
    <s v="S2737"/>
    <x v="8"/>
    <n v="2020"/>
    <x v="3"/>
    <s v="kg"/>
    <n v="2.77"/>
    <s v="E"/>
    <s v="Estimated value"/>
  </r>
  <r>
    <s v="FBS"/>
    <s v="Food Balances (2010-)"/>
    <n v="250"/>
    <x v="0"/>
    <n v="645"/>
    <s v="Food supply quantity (kg/capita/yr)"/>
    <s v="S2737"/>
    <x v="8"/>
    <n v="2021"/>
    <x v="4"/>
    <s v="kg"/>
    <n v="3.44"/>
    <s v="E"/>
    <s v="Estimated value"/>
  </r>
  <r>
    <s v="FBS"/>
    <s v="Food Balances (2010-)"/>
    <n v="250"/>
    <x v="0"/>
    <n v="645"/>
    <s v="Food supply quantity (kg/capita/yr)"/>
    <s v="S2781"/>
    <x v="9"/>
    <n v="2017"/>
    <x v="0"/>
    <s v="kg"/>
    <n v="0.31"/>
    <s v="E"/>
    <s v="Estimated value"/>
  </r>
  <r>
    <s v="FBS"/>
    <s v="Food Balances (2010-)"/>
    <n v="250"/>
    <x v="0"/>
    <n v="645"/>
    <s v="Food supply quantity (kg/capita/yr)"/>
    <s v="S2781"/>
    <x v="9"/>
    <n v="2018"/>
    <x v="1"/>
    <s v="kg"/>
    <n v="0.31"/>
    <s v="E"/>
    <s v="Estimated value"/>
  </r>
  <r>
    <s v="FBS"/>
    <s v="Food Balances (2010-)"/>
    <n v="250"/>
    <x v="0"/>
    <n v="645"/>
    <s v="Food supply quantity (kg/capita/yr)"/>
    <s v="S2781"/>
    <x v="9"/>
    <n v="2019"/>
    <x v="2"/>
    <s v="kg"/>
    <n v="0.27"/>
    <s v="E"/>
    <s v="Estimated value"/>
  </r>
  <r>
    <s v="FBS"/>
    <s v="Food Balances (2010-)"/>
    <n v="250"/>
    <x v="0"/>
    <n v="645"/>
    <s v="Food supply quantity (kg/capita/yr)"/>
    <s v="S2781"/>
    <x v="9"/>
    <n v="2020"/>
    <x v="3"/>
    <s v="kg"/>
    <n v="0.27"/>
    <s v="E"/>
    <s v="Estimated value"/>
  </r>
  <r>
    <s v="FBS"/>
    <s v="Food Balances (2010-)"/>
    <n v="250"/>
    <x v="0"/>
    <n v="645"/>
    <s v="Food supply quantity (kg/capita/yr)"/>
    <s v="S2781"/>
    <x v="9"/>
    <n v="2021"/>
    <x v="4"/>
    <s v="kg"/>
    <n v="0.27"/>
    <s v="E"/>
    <s v="Estimated value"/>
  </r>
  <r>
    <s v="FBS"/>
    <s v="Food Balances (2010-)"/>
    <n v="250"/>
    <x v="0"/>
    <n v="645"/>
    <s v="Food supply quantity (kg/capita/yr)"/>
    <s v="S2782"/>
    <x v="10"/>
    <n v="2017"/>
    <x v="0"/>
    <s v="kg"/>
    <n v="0.02"/>
    <s v="E"/>
    <s v="Estimated value"/>
  </r>
  <r>
    <s v="FBS"/>
    <s v="Food Balances (2010-)"/>
    <n v="250"/>
    <x v="0"/>
    <n v="645"/>
    <s v="Food supply quantity (kg/capita/yr)"/>
    <s v="S2782"/>
    <x v="10"/>
    <n v="2018"/>
    <x v="1"/>
    <s v="kg"/>
    <n v="0.06"/>
    <s v="E"/>
    <s v="Estimated value"/>
  </r>
  <r>
    <s v="FBS"/>
    <s v="Food Balances (2010-)"/>
    <n v="250"/>
    <x v="0"/>
    <n v="645"/>
    <s v="Food supply quantity (kg/capita/yr)"/>
    <s v="S2782"/>
    <x v="10"/>
    <n v="2019"/>
    <x v="2"/>
    <s v="kg"/>
    <n v="0.06"/>
    <s v="E"/>
    <s v="Estimated value"/>
  </r>
  <r>
    <s v="FBS"/>
    <s v="Food Balances (2010-)"/>
    <n v="250"/>
    <x v="0"/>
    <n v="645"/>
    <s v="Food supply quantity (kg/capita/yr)"/>
    <s v="S2782"/>
    <x v="10"/>
    <n v="2020"/>
    <x v="3"/>
    <s v="kg"/>
    <n v="0.06"/>
    <s v="E"/>
    <s v="Estimated value"/>
  </r>
  <r>
    <s v="FBS"/>
    <s v="Food Balances (2010-)"/>
    <n v="250"/>
    <x v="0"/>
    <n v="645"/>
    <s v="Food supply quantity (kg/capita/yr)"/>
    <s v="S2782"/>
    <x v="10"/>
    <n v="2021"/>
    <x v="4"/>
    <s v="kg"/>
    <n v="0.06"/>
    <s v="E"/>
    <s v="Estimated value"/>
  </r>
  <r>
    <s v="FBS"/>
    <s v="Food Balances (2010-)"/>
    <n v="250"/>
    <x v="0"/>
    <n v="645"/>
    <s v="Food supply quantity (kg/capita/yr)"/>
    <s v="S2744"/>
    <x v="11"/>
    <n v="2017"/>
    <x v="0"/>
    <s v="kg"/>
    <n v="12.59"/>
    <s v="E"/>
    <s v="Estimated value"/>
  </r>
  <r>
    <s v="FBS"/>
    <s v="Food Balances (2010-)"/>
    <n v="250"/>
    <x v="0"/>
    <n v="645"/>
    <s v="Food supply quantity (kg/capita/yr)"/>
    <s v="S2744"/>
    <x v="11"/>
    <n v="2018"/>
    <x v="1"/>
    <s v="kg"/>
    <n v="12.23"/>
    <s v="E"/>
    <s v="Estimated value"/>
  </r>
  <r>
    <s v="FBS"/>
    <s v="Food Balances (2010-)"/>
    <n v="250"/>
    <x v="0"/>
    <n v="645"/>
    <s v="Food supply quantity (kg/capita/yr)"/>
    <s v="S2744"/>
    <x v="11"/>
    <n v="2019"/>
    <x v="2"/>
    <s v="kg"/>
    <n v="13.59"/>
    <s v="E"/>
    <s v="Estimated value"/>
  </r>
  <r>
    <s v="FBS"/>
    <s v="Food Balances (2010-)"/>
    <n v="250"/>
    <x v="0"/>
    <n v="645"/>
    <s v="Food supply quantity (kg/capita/yr)"/>
    <s v="S2744"/>
    <x v="11"/>
    <n v="2020"/>
    <x v="3"/>
    <s v="kg"/>
    <n v="14.04"/>
    <s v="E"/>
    <s v="Estimated value"/>
  </r>
  <r>
    <s v="FBS"/>
    <s v="Food Balances (2010-)"/>
    <n v="250"/>
    <x v="0"/>
    <n v="645"/>
    <s v="Food supply quantity (kg/capita/yr)"/>
    <s v="S2744"/>
    <x v="11"/>
    <n v="2021"/>
    <x v="4"/>
    <s v="kg"/>
    <n v="13.84"/>
    <s v="E"/>
    <s v="Estimated value"/>
  </r>
  <r>
    <s v="FBS"/>
    <s v="Food Balances (2010-)"/>
    <n v="250"/>
    <x v="0"/>
    <n v="645"/>
    <s v="Food supply quantity (kg/capita/yr)"/>
    <s v="S2848"/>
    <x v="12"/>
    <n v="2017"/>
    <x v="0"/>
    <s v="kg"/>
    <n v="192.11"/>
    <s v="E"/>
    <s v="Estimated value"/>
  </r>
  <r>
    <s v="FBS"/>
    <s v="Food Balances (2010-)"/>
    <n v="250"/>
    <x v="0"/>
    <n v="645"/>
    <s v="Food supply quantity (kg/capita/yr)"/>
    <s v="S2848"/>
    <x v="12"/>
    <n v="2018"/>
    <x v="1"/>
    <s v="kg"/>
    <n v="188.33"/>
    <s v="E"/>
    <s v="Estimated value"/>
  </r>
  <r>
    <s v="FBS"/>
    <s v="Food Balances (2010-)"/>
    <n v="250"/>
    <x v="0"/>
    <n v="645"/>
    <s v="Food supply quantity (kg/capita/yr)"/>
    <s v="S2848"/>
    <x v="12"/>
    <n v="2019"/>
    <x v="2"/>
    <s v="kg"/>
    <n v="251.52"/>
    <s v="E"/>
    <s v="Estimated value"/>
  </r>
  <r>
    <s v="FBS"/>
    <s v="Food Balances (2010-)"/>
    <n v="250"/>
    <x v="0"/>
    <n v="645"/>
    <s v="Food supply quantity (kg/capita/yr)"/>
    <s v="S2848"/>
    <x v="12"/>
    <n v="2020"/>
    <x v="3"/>
    <s v="kg"/>
    <n v="253.82"/>
    <s v="E"/>
    <s v="Estimated value"/>
  </r>
  <r>
    <s v="FBS"/>
    <s v="Food Balances (2010-)"/>
    <n v="250"/>
    <x v="0"/>
    <n v="645"/>
    <s v="Food supply quantity (kg/capita/yr)"/>
    <s v="S2848"/>
    <x v="12"/>
    <n v="2021"/>
    <x v="4"/>
    <s v="kg"/>
    <n v="271.02999999999997"/>
    <s v="E"/>
    <s v="Estimated value"/>
  </r>
  <r>
    <s v="FBS"/>
    <s v="Food Balances (2010-)"/>
    <n v="250"/>
    <x v="0"/>
    <n v="645"/>
    <s v="Food supply quantity (kg/capita/yr)"/>
    <s v="S2761"/>
    <x v="13"/>
    <n v="2017"/>
    <x v="0"/>
    <s v="kg"/>
    <n v="4.13"/>
    <s v="E"/>
    <s v="Estimated value"/>
  </r>
  <r>
    <s v="FBS"/>
    <s v="Food Balances (2010-)"/>
    <n v="250"/>
    <x v="0"/>
    <n v="645"/>
    <s v="Food supply quantity (kg/capita/yr)"/>
    <s v="S2761"/>
    <x v="13"/>
    <n v="2018"/>
    <x v="1"/>
    <s v="kg"/>
    <n v="4.2"/>
    <s v="E"/>
    <s v="Estimated value"/>
  </r>
  <r>
    <s v="FBS"/>
    <s v="Food Balances (2010-)"/>
    <n v="250"/>
    <x v="0"/>
    <n v="645"/>
    <s v="Food supply quantity (kg/capita/yr)"/>
    <s v="S2761"/>
    <x v="13"/>
    <n v="2019"/>
    <x v="2"/>
    <s v="kg"/>
    <n v="4.34"/>
    <s v="E"/>
    <s v="Estimated value"/>
  </r>
  <r>
    <s v="FBS"/>
    <s v="Food Balances (2010-)"/>
    <n v="250"/>
    <x v="0"/>
    <n v="645"/>
    <s v="Food supply quantity (kg/capita/yr)"/>
    <s v="S2761"/>
    <x v="13"/>
    <n v="2020"/>
    <x v="3"/>
    <s v="kg"/>
    <n v="4.34"/>
    <s v="E"/>
    <s v="Estimated value"/>
  </r>
  <r>
    <s v="FBS"/>
    <s v="Food Balances (2010-)"/>
    <n v="250"/>
    <x v="0"/>
    <n v="645"/>
    <s v="Food supply quantity (kg/capita/yr)"/>
    <s v="S2761"/>
    <x v="13"/>
    <n v="2021"/>
    <x v="4"/>
    <s v="kg"/>
    <n v="4.33"/>
    <s v="E"/>
    <s v="Estimated value"/>
  </r>
  <r>
    <s v="FBS"/>
    <s v="Food Balances (2010-)"/>
    <n v="250"/>
    <x v="0"/>
    <n v="645"/>
    <s v="Food supply quantity (kg/capita/yr)"/>
    <s v="S2762"/>
    <x v="14"/>
    <n v="2017"/>
    <x v="0"/>
    <s v="kg"/>
    <n v="12.93"/>
    <s v="E"/>
    <s v="Estimated value"/>
  </r>
  <r>
    <s v="FBS"/>
    <s v="Food Balances (2010-)"/>
    <n v="250"/>
    <x v="0"/>
    <n v="645"/>
    <s v="Food supply quantity (kg/capita/yr)"/>
    <s v="S2762"/>
    <x v="14"/>
    <n v="2018"/>
    <x v="1"/>
    <s v="kg"/>
    <n v="12.75"/>
    <s v="E"/>
    <s v="Estimated value"/>
  </r>
  <r>
    <s v="FBS"/>
    <s v="Food Balances (2010-)"/>
    <n v="250"/>
    <x v="0"/>
    <n v="645"/>
    <s v="Food supply quantity (kg/capita/yr)"/>
    <s v="S2762"/>
    <x v="14"/>
    <n v="2019"/>
    <x v="2"/>
    <s v="kg"/>
    <n v="11.99"/>
    <s v="E"/>
    <s v="Estimated value"/>
  </r>
  <r>
    <s v="FBS"/>
    <s v="Food Balances (2010-)"/>
    <n v="250"/>
    <x v="0"/>
    <n v="645"/>
    <s v="Food supply quantity (kg/capita/yr)"/>
    <s v="S2762"/>
    <x v="14"/>
    <n v="2020"/>
    <x v="3"/>
    <s v="kg"/>
    <n v="11.98"/>
    <s v="E"/>
    <s v="Estimated value"/>
  </r>
  <r>
    <s v="FBS"/>
    <s v="Food Balances (2010-)"/>
    <n v="250"/>
    <x v="0"/>
    <n v="645"/>
    <s v="Food supply quantity (kg/capita/yr)"/>
    <s v="S2762"/>
    <x v="14"/>
    <n v="2021"/>
    <x v="4"/>
    <s v="kg"/>
    <n v="11.97"/>
    <s v="E"/>
    <s v="Estimated value"/>
  </r>
  <r>
    <s v="FBS"/>
    <s v="Food Balances (2010-)"/>
    <n v="250"/>
    <x v="0"/>
    <n v="645"/>
    <s v="Food supply quantity (kg/capita/yr)"/>
    <s v="S2763"/>
    <x v="15"/>
    <n v="2017"/>
    <x v="0"/>
    <s v="kg"/>
    <n v="7.62"/>
    <s v="E"/>
    <s v="Estimated value"/>
  </r>
  <r>
    <s v="FBS"/>
    <s v="Food Balances (2010-)"/>
    <n v="250"/>
    <x v="0"/>
    <n v="645"/>
    <s v="Food supply quantity (kg/capita/yr)"/>
    <s v="S2763"/>
    <x v="15"/>
    <n v="2018"/>
    <x v="1"/>
    <s v="kg"/>
    <n v="7.57"/>
    <s v="E"/>
    <s v="Estimated value"/>
  </r>
  <r>
    <s v="FBS"/>
    <s v="Food Balances (2010-)"/>
    <n v="250"/>
    <x v="0"/>
    <n v="645"/>
    <s v="Food supply quantity (kg/capita/yr)"/>
    <s v="S2763"/>
    <x v="15"/>
    <n v="2019"/>
    <x v="2"/>
    <s v="kg"/>
    <n v="7.32"/>
    <s v="E"/>
    <s v="Estimated value"/>
  </r>
  <r>
    <s v="FBS"/>
    <s v="Food Balances (2010-)"/>
    <n v="250"/>
    <x v="0"/>
    <n v="645"/>
    <s v="Food supply quantity (kg/capita/yr)"/>
    <s v="S2763"/>
    <x v="15"/>
    <n v="2020"/>
    <x v="3"/>
    <s v="kg"/>
    <n v="7.31"/>
    <s v="E"/>
    <s v="Estimated value"/>
  </r>
  <r>
    <s v="FBS"/>
    <s v="Food Balances (2010-)"/>
    <n v="250"/>
    <x v="0"/>
    <n v="645"/>
    <s v="Food supply quantity (kg/capita/yr)"/>
    <s v="S2763"/>
    <x v="15"/>
    <n v="2021"/>
    <x v="4"/>
    <s v="kg"/>
    <n v="7.3"/>
    <s v="E"/>
    <s v="Estimated value"/>
  </r>
  <r>
    <s v="FBS"/>
    <s v="Food Balances (2010-)"/>
    <n v="250"/>
    <x v="0"/>
    <n v="645"/>
    <s v="Food supply quantity (kg/capita/yr)"/>
    <s v="S2764"/>
    <x v="16"/>
    <n v="2017"/>
    <x v="0"/>
    <s v="kg"/>
    <n v="0.14000000000000001"/>
    <s v="E"/>
    <s v="Estimated value"/>
  </r>
  <r>
    <s v="FBS"/>
    <s v="Food Balances (2010-)"/>
    <n v="250"/>
    <x v="0"/>
    <n v="645"/>
    <s v="Food supply quantity (kg/capita/yr)"/>
    <s v="S2764"/>
    <x v="16"/>
    <n v="2018"/>
    <x v="1"/>
    <s v="kg"/>
    <n v="0.11"/>
    <s v="E"/>
    <s v="Estimated value"/>
  </r>
  <r>
    <s v="FBS"/>
    <s v="Food Balances (2010-)"/>
    <n v="250"/>
    <x v="0"/>
    <n v="645"/>
    <s v="Food supply quantity (kg/capita/yr)"/>
    <s v="S2764"/>
    <x v="16"/>
    <n v="2019"/>
    <x v="2"/>
    <s v="kg"/>
    <n v="0.12"/>
    <s v="E"/>
    <s v="Estimated value"/>
  </r>
  <r>
    <s v="FBS"/>
    <s v="Food Balances (2010-)"/>
    <n v="250"/>
    <x v="0"/>
    <n v="645"/>
    <s v="Food supply quantity (kg/capita/yr)"/>
    <s v="S2764"/>
    <x v="16"/>
    <n v="2020"/>
    <x v="3"/>
    <s v="kg"/>
    <n v="0.12"/>
    <s v="E"/>
    <s v="Estimated value"/>
  </r>
  <r>
    <s v="FBS"/>
    <s v="Food Balances (2010-)"/>
    <n v="250"/>
    <x v="0"/>
    <n v="645"/>
    <s v="Food supply quantity (kg/capita/yr)"/>
    <s v="S2764"/>
    <x v="16"/>
    <n v="2021"/>
    <x v="4"/>
    <s v="kg"/>
    <n v="0.12"/>
    <s v="E"/>
    <s v="Estimated value"/>
  </r>
  <r>
    <s v="FBS"/>
    <s v="Food Balances (2010-)"/>
    <n v="250"/>
    <x v="0"/>
    <n v="645"/>
    <s v="Food supply quantity (kg/capita/yr)"/>
    <s v="S2765"/>
    <x v="17"/>
    <n v="2017"/>
    <x v="0"/>
    <s v="kg"/>
    <n v="3.83"/>
    <s v="E"/>
    <s v="Estimated value"/>
  </r>
  <r>
    <s v="FBS"/>
    <s v="Food Balances (2010-)"/>
    <n v="250"/>
    <x v="0"/>
    <n v="645"/>
    <s v="Food supply quantity (kg/capita/yr)"/>
    <s v="S2765"/>
    <x v="17"/>
    <n v="2018"/>
    <x v="1"/>
    <s v="kg"/>
    <n v="3.68"/>
    <s v="E"/>
    <s v="Estimated value"/>
  </r>
  <r>
    <s v="FBS"/>
    <s v="Food Balances (2010-)"/>
    <n v="250"/>
    <x v="0"/>
    <n v="645"/>
    <s v="Food supply quantity (kg/capita/yr)"/>
    <s v="S2765"/>
    <x v="17"/>
    <n v="2019"/>
    <x v="2"/>
    <s v="kg"/>
    <n v="3.51"/>
    <s v="E"/>
    <s v="Estimated value"/>
  </r>
  <r>
    <s v="FBS"/>
    <s v="Food Balances (2010-)"/>
    <n v="250"/>
    <x v="0"/>
    <n v="645"/>
    <s v="Food supply quantity (kg/capita/yr)"/>
    <s v="S2765"/>
    <x v="17"/>
    <n v="2020"/>
    <x v="3"/>
    <s v="kg"/>
    <n v="3.51"/>
    <s v="E"/>
    <s v="Estimated value"/>
  </r>
  <r>
    <s v="FBS"/>
    <s v="Food Balances (2010-)"/>
    <n v="250"/>
    <x v="0"/>
    <n v="645"/>
    <s v="Food supply quantity (kg/capita/yr)"/>
    <s v="S2765"/>
    <x v="17"/>
    <n v="2021"/>
    <x v="4"/>
    <s v="kg"/>
    <n v="3.51"/>
    <s v="E"/>
    <s v="Estimated value"/>
  </r>
  <r>
    <s v="FBS"/>
    <s v="Food Balances (2010-)"/>
    <n v="250"/>
    <x v="0"/>
    <n v="645"/>
    <s v="Food supply quantity (kg/capita/yr)"/>
    <s v="S2766"/>
    <x v="18"/>
    <n v="2017"/>
    <x v="0"/>
    <s v="kg"/>
    <n v="0.93"/>
    <s v="E"/>
    <s v="Estimated value"/>
  </r>
  <r>
    <s v="FBS"/>
    <s v="Food Balances (2010-)"/>
    <n v="250"/>
    <x v="0"/>
    <n v="645"/>
    <s v="Food supply quantity (kg/capita/yr)"/>
    <s v="S2766"/>
    <x v="18"/>
    <n v="2018"/>
    <x v="1"/>
    <s v="kg"/>
    <n v="0.91"/>
    <s v="E"/>
    <s v="Estimated value"/>
  </r>
  <r>
    <s v="FBS"/>
    <s v="Food Balances (2010-)"/>
    <n v="250"/>
    <x v="0"/>
    <n v="645"/>
    <s v="Food supply quantity (kg/capita/yr)"/>
    <s v="S2766"/>
    <x v="18"/>
    <n v="2019"/>
    <x v="2"/>
    <s v="kg"/>
    <n v="0.88"/>
    <s v="E"/>
    <s v="Estimated value"/>
  </r>
  <r>
    <s v="FBS"/>
    <s v="Food Balances (2010-)"/>
    <n v="250"/>
    <x v="0"/>
    <n v="645"/>
    <s v="Food supply quantity (kg/capita/yr)"/>
    <s v="S2766"/>
    <x v="18"/>
    <n v="2020"/>
    <x v="3"/>
    <s v="kg"/>
    <n v="0.87"/>
    <s v="E"/>
    <s v="Estimated value"/>
  </r>
  <r>
    <s v="FBS"/>
    <s v="Food Balances (2010-)"/>
    <n v="250"/>
    <x v="0"/>
    <n v="645"/>
    <s v="Food supply quantity (kg/capita/yr)"/>
    <s v="S2766"/>
    <x v="18"/>
    <n v="2021"/>
    <x v="4"/>
    <s v="kg"/>
    <n v="0.87"/>
    <s v="E"/>
    <s v="Estimated value"/>
  </r>
  <r>
    <s v="FBS"/>
    <s v="Food Balances (2010-)"/>
    <n v="250"/>
    <x v="0"/>
    <n v="645"/>
    <s v="Food supply quantity (kg/capita/yr)"/>
    <s v="S2767"/>
    <x v="19"/>
    <n v="2017"/>
    <x v="0"/>
    <s v="kg"/>
    <n v="5.68"/>
    <s v="E"/>
    <s v="Estimated value"/>
  </r>
  <r>
    <s v="FBS"/>
    <s v="Food Balances (2010-)"/>
    <n v="250"/>
    <x v="0"/>
    <n v="645"/>
    <s v="Food supply quantity (kg/capita/yr)"/>
    <s v="S2767"/>
    <x v="19"/>
    <n v="2018"/>
    <x v="1"/>
    <s v="kg"/>
    <n v="6.01"/>
    <s v="E"/>
    <s v="Estimated value"/>
  </r>
  <r>
    <s v="FBS"/>
    <s v="Food Balances (2010-)"/>
    <n v="250"/>
    <x v="0"/>
    <n v="645"/>
    <s v="Food supply quantity (kg/capita/yr)"/>
    <s v="S2767"/>
    <x v="19"/>
    <n v="2019"/>
    <x v="2"/>
    <s v="kg"/>
    <n v="5.5"/>
    <s v="E"/>
    <s v="Estimated value"/>
  </r>
  <r>
    <s v="FBS"/>
    <s v="Food Balances (2010-)"/>
    <n v="250"/>
    <x v="0"/>
    <n v="645"/>
    <s v="Food supply quantity (kg/capita/yr)"/>
    <s v="S2767"/>
    <x v="19"/>
    <n v="2020"/>
    <x v="3"/>
    <s v="kg"/>
    <n v="5.49"/>
    <s v="E"/>
    <s v="Estimated value"/>
  </r>
  <r>
    <s v="FBS"/>
    <s v="Food Balances (2010-)"/>
    <n v="250"/>
    <x v="0"/>
    <n v="645"/>
    <s v="Food supply quantity (kg/capita/yr)"/>
    <s v="S2767"/>
    <x v="19"/>
    <n v="2021"/>
    <x v="4"/>
    <s v="kg"/>
    <n v="5.49"/>
    <s v="E"/>
    <s v="Estimated value"/>
  </r>
  <r>
    <s v="FBS"/>
    <s v="Food Balances (2010-)"/>
    <n v="250"/>
    <x v="0"/>
    <n v="645"/>
    <s v="Food supply quantity (kg/capita/yr)"/>
    <s v="S2769"/>
    <x v="20"/>
    <n v="2017"/>
    <x v="0"/>
    <s v="kg"/>
    <n v="0.02"/>
    <s v="E"/>
    <s v="Estimated value"/>
  </r>
  <r>
    <s v="FBS"/>
    <s v="Food Balances (2010-)"/>
    <n v="250"/>
    <x v="0"/>
    <n v="645"/>
    <s v="Food supply quantity (kg/capita/yr)"/>
    <s v="S2769"/>
    <x v="20"/>
    <n v="2018"/>
    <x v="1"/>
    <s v="kg"/>
    <n v="0.02"/>
    <s v="E"/>
    <s v="Estimated value"/>
  </r>
  <r>
    <s v="FBS"/>
    <s v="Food Balances (2010-)"/>
    <n v="250"/>
    <x v="0"/>
    <n v="645"/>
    <s v="Food supply quantity (kg/capita/yr)"/>
    <s v="S2769"/>
    <x v="20"/>
    <n v="2019"/>
    <x v="2"/>
    <s v="kg"/>
    <n v="0.01"/>
    <s v="E"/>
    <s v="Estimated value"/>
  </r>
  <r>
    <s v="FBS"/>
    <s v="Food Balances (2010-)"/>
    <n v="250"/>
    <x v="0"/>
    <n v="645"/>
    <s v="Food supply quantity (kg/capita/yr)"/>
    <s v="S2769"/>
    <x v="20"/>
    <n v="2020"/>
    <x v="3"/>
    <s v="kg"/>
    <n v="0.01"/>
    <s v="E"/>
    <s v="Estimated value"/>
  </r>
  <r>
    <s v="FBS"/>
    <s v="Food Balances (2010-)"/>
    <n v="250"/>
    <x v="0"/>
    <n v="645"/>
    <s v="Food supply quantity (kg/capita/yr)"/>
    <s v="S2769"/>
    <x v="20"/>
    <n v="2021"/>
    <x v="4"/>
    <s v="kg"/>
    <n v="0.01"/>
    <s v="E"/>
    <s v="Estimated value"/>
  </r>
  <r>
    <s v="FBS"/>
    <s v="Food Balances (2010-)"/>
    <n v="276"/>
    <x v="1"/>
    <n v="645"/>
    <s v="Food supply quantity (kg/capita/yr)"/>
    <s v="S2731"/>
    <x v="0"/>
    <n v="2017"/>
    <x v="0"/>
    <s v="kg"/>
    <n v="14.96"/>
    <s v="E"/>
    <s v="Estimated value"/>
  </r>
  <r>
    <s v="FBS"/>
    <s v="Food Balances (2010-)"/>
    <n v="276"/>
    <x v="1"/>
    <n v="645"/>
    <s v="Food supply quantity (kg/capita/yr)"/>
    <s v="S2731"/>
    <x v="0"/>
    <n v="2018"/>
    <x v="1"/>
    <s v="kg"/>
    <n v="14.89"/>
    <s v="E"/>
    <s v="Estimated value"/>
  </r>
  <r>
    <s v="FBS"/>
    <s v="Food Balances (2010-)"/>
    <n v="276"/>
    <x v="1"/>
    <n v="645"/>
    <s v="Food supply quantity (kg/capita/yr)"/>
    <s v="S2731"/>
    <x v="0"/>
    <n v="2019"/>
    <x v="2"/>
    <s v="kg"/>
    <n v="14.49"/>
    <s v="E"/>
    <s v="Estimated value"/>
  </r>
  <r>
    <s v="FBS"/>
    <s v="Food Balances (2010-)"/>
    <n v="276"/>
    <x v="1"/>
    <n v="645"/>
    <s v="Food supply quantity (kg/capita/yr)"/>
    <s v="S2731"/>
    <x v="0"/>
    <n v="2020"/>
    <x v="3"/>
    <s v="kg"/>
    <n v="14.73"/>
    <s v="E"/>
    <s v="Estimated value"/>
  </r>
  <r>
    <s v="FBS"/>
    <s v="Food Balances (2010-)"/>
    <n v="276"/>
    <x v="1"/>
    <n v="645"/>
    <s v="Food supply quantity (kg/capita/yr)"/>
    <s v="S2731"/>
    <x v="0"/>
    <n v="2021"/>
    <x v="4"/>
    <s v="kg"/>
    <n v="14.04"/>
    <s v="E"/>
    <s v="Estimated value"/>
  </r>
  <r>
    <s v="FBS"/>
    <s v="Food Balances (2010-)"/>
    <n v="276"/>
    <x v="1"/>
    <n v="645"/>
    <s v="Food supply quantity (kg/capita/yr)"/>
    <s v="S2732"/>
    <x v="1"/>
    <n v="2017"/>
    <x v="0"/>
    <s v="kg"/>
    <n v="0.82"/>
    <s v="E"/>
    <s v="Estimated value"/>
  </r>
  <r>
    <s v="FBS"/>
    <s v="Food Balances (2010-)"/>
    <n v="276"/>
    <x v="1"/>
    <n v="645"/>
    <s v="Food supply quantity (kg/capita/yr)"/>
    <s v="S2732"/>
    <x v="1"/>
    <n v="2018"/>
    <x v="1"/>
    <s v="kg"/>
    <n v="0.82"/>
    <s v="E"/>
    <s v="Estimated value"/>
  </r>
  <r>
    <s v="FBS"/>
    <s v="Food Balances (2010-)"/>
    <n v="276"/>
    <x v="1"/>
    <n v="645"/>
    <s v="Food supply quantity (kg/capita/yr)"/>
    <s v="S2732"/>
    <x v="1"/>
    <n v="2019"/>
    <x v="2"/>
    <s v="kg"/>
    <n v="0.84"/>
    <s v="E"/>
    <s v="Estimated value"/>
  </r>
  <r>
    <s v="FBS"/>
    <s v="Food Balances (2010-)"/>
    <n v="276"/>
    <x v="1"/>
    <n v="645"/>
    <s v="Food supply quantity (kg/capita/yr)"/>
    <s v="S2732"/>
    <x v="1"/>
    <n v="2020"/>
    <x v="3"/>
    <s v="kg"/>
    <n v="0.95"/>
    <s v="E"/>
    <s v="Estimated value"/>
  </r>
  <r>
    <s v="FBS"/>
    <s v="Food Balances (2010-)"/>
    <n v="276"/>
    <x v="1"/>
    <n v="645"/>
    <s v="Food supply quantity (kg/capita/yr)"/>
    <s v="S2732"/>
    <x v="1"/>
    <n v="2021"/>
    <x v="4"/>
    <s v="kg"/>
    <n v="0.71"/>
    <s v="E"/>
    <s v="Estimated value"/>
  </r>
  <r>
    <s v="FBS"/>
    <s v="Food Balances (2010-)"/>
    <n v="276"/>
    <x v="1"/>
    <n v="645"/>
    <s v="Food supply quantity (kg/capita/yr)"/>
    <s v="S2733"/>
    <x v="2"/>
    <n v="2017"/>
    <x v="0"/>
    <s v="kg"/>
    <n v="44.68"/>
    <s v="E"/>
    <s v="Estimated value"/>
  </r>
  <r>
    <s v="FBS"/>
    <s v="Food Balances (2010-)"/>
    <n v="276"/>
    <x v="1"/>
    <n v="645"/>
    <s v="Food supply quantity (kg/capita/yr)"/>
    <s v="S2733"/>
    <x v="2"/>
    <n v="2018"/>
    <x v="1"/>
    <s v="kg"/>
    <n v="45.6"/>
    <s v="E"/>
    <s v="Estimated value"/>
  </r>
  <r>
    <s v="FBS"/>
    <s v="Food Balances (2010-)"/>
    <n v="276"/>
    <x v="1"/>
    <n v="645"/>
    <s v="Food supply quantity (kg/capita/yr)"/>
    <s v="S2733"/>
    <x v="2"/>
    <n v="2019"/>
    <x v="2"/>
    <s v="kg"/>
    <n v="46.72"/>
    <s v="E"/>
    <s v="Estimated value"/>
  </r>
  <r>
    <s v="FBS"/>
    <s v="Food Balances (2010-)"/>
    <n v="276"/>
    <x v="1"/>
    <n v="645"/>
    <s v="Food supply quantity (kg/capita/yr)"/>
    <s v="S2733"/>
    <x v="2"/>
    <n v="2020"/>
    <x v="3"/>
    <s v="kg"/>
    <n v="44.06"/>
    <s v="E"/>
    <s v="Estimated value"/>
  </r>
  <r>
    <s v="FBS"/>
    <s v="Food Balances (2010-)"/>
    <n v="276"/>
    <x v="1"/>
    <n v="645"/>
    <s v="Food supply quantity (kg/capita/yr)"/>
    <s v="S2733"/>
    <x v="2"/>
    <n v="2021"/>
    <x v="4"/>
    <s v="kg"/>
    <n v="43.26"/>
    <s v="E"/>
    <s v="Estimated value"/>
  </r>
  <r>
    <s v="FBS"/>
    <s v="Food Balances (2010-)"/>
    <n v="276"/>
    <x v="1"/>
    <n v="645"/>
    <s v="Food supply quantity (kg/capita/yr)"/>
    <s v="S2734"/>
    <x v="3"/>
    <n v="2017"/>
    <x v="0"/>
    <s v="kg"/>
    <n v="18.059999999999999"/>
    <s v="E"/>
    <s v="Estimated value"/>
  </r>
  <r>
    <s v="FBS"/>
    <s v="Food Balances (2010-)"/>
    <n v="276"/>
    <x v="1"/>
    <n v="645"/>
    <s v="Food supply quantity (kg/capita/yr)"/>
    <s v="S2734"/>
    <x v="3"/>
    <n v="2018"/>
    <x v="1"/>
    <s v="kg"/>
    <n v="18.21"/>
    <s v="E"/>
    <s v="Estimated value"/>
  </r>
  <r>
    <s v="FBS"/>
    <s v="Food Balances (2010-)"/>
    <n v="276"/>
    <x v="1"/>
    <n v="645"/>
    <s v="Food supply quantity (kg/capita/yr)"/>
    <s v="S2734"/>
    <x v="3"/>
    <n v="2019"/>
    <x v="2"/>
    <s v="kg"/>
    <n v="17.38"/>
    <s v="E"/>
    <s v="Estimated value"/>
  </r>
  <r>
    <s v="FBS"/>
    <s v="Food Balances (2010-)"/>
    <n v="276"/>
    <x v="1"/>
    <n v="645"/>
    <s v="Food supply quantity (kg/capita/yr)"/>
    <s v="S2734"/>
    <x v="3"/>
    <n v="2020"/>
    <x v="3"/>
    <s v="kg"/>
    <n v="18.11"/>
    <s v="E"/>
    <s v="Estimated value"/>
  </r>
  <r>
    <s v="FBS"/>
    <s v="Food Balances (2010-)"/>
    <n v="276"/>
    <x v="1"/>
    <n v="645"/>
    <s v="Food supply quantity (kg/capita/yr)"/>
    <s v="S2734"/>
    <x v="3"/>
    <n v="2021"/>
    <x v="4"/>
    <s v="kg"/>
    <n v="17.63"/>
    <s v="E"/>
    <s v="Estimated value"/>
  </r>
  <r>
    <s v="FBS"/>
    <s v="Food Balances (2010-)"/>
    <n v="276"/>
    <x v="1"/>
    <n v="645"/>
    <s v="Food supply quantity (kg/capita/yr)"/>
    <s v="S2735"/>
    <x v="4"/>
    <n v="2017"/>
    <x v="0"/>
    <s v="kg"/>
    <n v="2.06"/>
    <s v="E"/>
    <s v="Estimated value"/>
  </r>
  <r>
    <s v="FBS"/>
    <s v="Food Balances (2010-)"/>
    <n v="276"/>
    <x v="1"/>
    <n v="645"/>
    <s v="Food supply quantity (kg/capita/yr)"/>
    <s v="S2735"/>
    <x v="4"/>
    <n v="2018"/>
    <x v="1"/>
    <s v="kg"/>
    <n v="1.79"/>
    <s v="E"/>
    <s v="Estimated value"/>
  </r>
  <r>
    <s v="FBS"/>
    <s v="Food Balances (2010-)"/>
    <n v="276"/>
    <x v="1"/>
    <n v="645"/>
    <s v="Food supply quantity (kg/capita/yr)"/>
    <s v="S2735"/>
    <x v="4"/>
    <n v="2019"/>
    <x v="2"/>
    <s v="kg"/>
    <n v="0.78"/>
    <s v="E"/>
    <s v="Estimated value"/>
  </r>
  <r>
    <s v="FBS"/>
    <s v="Food Balances (2010-)"/>
    <n v="276"/>
    <x v="1"/>
    <n v="645"/>
    <s v="Food supply quantity (kg/capita/yr)"/>
    <s v="S2735"/>
    <x v="4"/>
    <n v="2020"/>
    <x v="3"/>
    <s v="kg"/>
    <n v="0.83"/>
    <s v="E"/>
    <s v="Estimated value"/>
  </r>
  <r>
    <s v="FBS"/>
    <s v="Food Balances (2010-)"/>
    <n v="276"/>
    <x v="1"/>
    <n v="645"/>
    <s v="Food supply quantity (kg/capita/yr)"/>
    <s v="S2735"/>
    <x v="4"/>
    <n v="2021"/>
    <x v="4"/>
    <s v="kg"/>
    <n v="0.95"/>
    <s v="E"/>
    <s v="Estimated value"/>
  </r>
  <r>
    <s v="FBS"/>
    <s v="Food Balances (2010-)"/>
    <n v="276"/>
    <x v="1"/>
    <n v="645"/>
    <s v="Food supply quantity (kg/capita/yr)"/>
    <s v="S2736"/>
    <x v="5"/>
    <n v="2017"/>
    <x v="0"/>
    <s v="kg"/>
    <n v="1.08"/>
    <s v="E"/>
    <s v="Estimated value"/>
  </r>
  <r>
    <s v="FBS"/>
    <s v="Food Balances (2010-)"/>
    <n v="276"/>
    <x v="1"/>
    <n v="645"/>
    <s v="Food supply quantity (kg/capita/yr)"/>
    <s v="S2736"/>
    <x v="5"/>
    <n v="2018"/>
    <x v="1"/>
    <s v="kg"/>
    <n v="1.77"/>
    <s v="E"/>
    <s v="Estimated value"/>
  </r>
  <r>
    <s v="FBS"/>
    <s v="Food Balances (2010-)"/>
    <n v="276"/>
    <x v="1"/>
    <n v="645"/>
    <s v="Food supply quantity (kg/capita/yr)"/>
    <s v="S2736"/>
    <x v="5"/>
    <n v="2019"/>
    <x v="2"/>
    <s v="kg"/>
    <n v="1.08"/>
    <s v="E"/>
    <s v="Estimated value"/>
  </r>
  <r>
    <s v="FBS"/>
    <s v="Food Balances (2010-)"/>
    <n v="276"/>
    <x v="1"/>
    <n v="645"/>
    <s v="Food supply quantity (kg/capita/yr)"/>
    <s v="S2736"/>
    <x v="5"/>
    <n v="2020"/>
    <x v="3"/>
    <s v="kg"/>
    <n v="1.87"/>
    <s v="E"/>
    <s v="Estimated value"/>
  </r>
  <r>
    <s v="FBS"/>
    <s v="Food Balances (2010-)"/>
    <n v="276"/>
    <x v="1"/>
    <n v="645"/>
    <s v="Food supply quantity (kg/capita/yr)"/>
    <s v="S2736"/>
    <x v="5"/>
    <n v="2021"/>
    <x v="4"/>
    <s v="kg"/>
    <n v="2.72"/>
    <s v="E"/>
    <s v="Estimated value"/>
  </r>
  <r>
    <s v="FBS"/>
    <s v="Food Balances (2010-)"/>
    <n v="276"/>
    <x v="1"/>
    <n v="645"/>
    <s v="Food supply quantity (kg/capita/yr)"/>
    <s v="S2740"/>
    <x v="6"/>
    <n v="2017"/>
    <x v="0"/>
    <s v="kg"/>
    <n v="5.49"/>
    <s v="E"/>
    <s v="Estimated value"/>
  </r>
  <r>
    <s v="FBS"/>
    <s v="Food Balances (2010-)"/>
    <n v="276"/>
    <x v="1"/>
    <n v="645"/>
    <s v="Food supply quantity (kg/capita/yr)"/>
    <s v="S2740"/>
    <x v="6"/>
    <n v="2018"/>
    <x v="1"/>
    <s v="kg"/>
    <n v="6.13"/>
    <s v="E"/>
    <s v="Estimated value"/>
  </r>
  <r>
    <s v="FBS"/>
    <s v="Food Balances (2010-)"/>
    <n v="276"/>
    <x v="1"/>
    <n v="645"/>
    <s v="Food supply quantity (kg/capita/yr)"/>
    <s v="S2740"/>
    <x v="6"/>
    <n v="2019"/>
    <x v="2"/>
    <s v="kg"/>
    <n v="6"/>
    <s v="E"/>
    <s v="Estimated value"/>
  </r>
  <r>
    <s v="FBS"/>
    <s v="Food Balances (2010-)"/>
    <n v="276"/>
    <x v="1"/>
    <n v="645"/>
    <s v="Food supply quantity (kg/capita/yr)"/>
    <s v="S2740"/>
    <x v="6"/>
    <n v="2020"/>
    <x v="3"/>
    <s v="kg"/>
    <n v="6.4"/>
    <s v="E"/>
    <s v="Estimated value"/>
  </r>
  <r>
    <s v="FBS"/>
    <s v="Food Balances (2010-)"/>
    <n v="276"/>
    <x v="1"/>
    <n v="645"/>
    <s v="Food supply quantity (kg/capita/yr)"/>
    <s v="S2740"/>
    <x v="6"/>
    <n v="2021"/>
    <x v="4"/>
    <s v="kg"/>
    <n v="6.16"/>
    <s v="E"/>
    <s v="Estimated value"/>
  </r>
  <r>
    <s v="FBS"/>
    <s v="Food Balances (2010-)"/>
    <n v="276"/>
    <x v="1"/>
    <n v="645"/>
    <s v="Food supply quantity (kg/capita/yr)"/>
    <s v="S2743"/>
    <x v="7"/>
    <n v="2017"/>
    <x v="0"/>
    <s v="kg"/>
    <n v="6.62"/>
    <s v="E"/>
    <s v="Estimated value"/>
  </r>
  <r>
    <s v="FBS"/>
    <s v="Food Balances (2010-)"/>
    <n v="276"/>
    <x v="1"/>
    <n v="645"/>
    <s v="Food supply quantity (kg/capita/yr)"/>
    <s v="S2743"/>
    <x v="7"/>
    <n v="2018"/>
    <x v="1"/>
    <s v="kg"/>
    <n v="6.73"/>
    <s v="E"/>
    <s v="Estimated value"/>
  </r>
  <r>
    <s v="FBS"/>
    <s v="Food Balances (2010-)"/>
    <n v="276"/>
    <x v="1"/>
    <n v="645"/>
    <s v="Food supply quantity (kg/capita/yr)"/>
    <s v="S2743"/>
    <x v="7"/>
    <n v="2019"/>
    <x v="2"/>
    <s v="kg"/>
    <n v="6.25"/>
    <s v="E"/>
    <s v="Estimated value"/>
  </r>
  <r>
    <s v="FBS"/>
    <s v="Food Balances (2010-)"/>
    <n v="276"/>
    <x v="1"/>
    <n v="645"/>
    <s v="Food supply quantity (kg/capita/yr)"/>
    <s v="S2743"/>
    <x v="7"/>
    <n v="2020"/>
    <x v="3"/>
    <s v="kg"/>
    <n v="6.04"/>
    <s v="E"/>
    <s v="Estimated value"/>
  </r>
  <r>
    <s v="FBS"/>
    <s v="Food Balances (2010-)"/>
    <n v="276"/>
    <x v="1"/>
    <n v="645"/>
    <s v="Food supply quantity (kg/capita/yr)"/>
    <s v="S2743"/>
    <x v="7"/>
    <n v="2021"/>
    <x v="4"/>
    <s v="kg"/>
    <n v="6.07"/>
    <s v="E"/>
    <s v="Estimated value"/>
  </r>
  <r>
    <s v="FBS"/>
    <s v="Food Balances (2010-)"/>
    <n v="276"/>
    <x v="1"/>
    <n v="645"/>
    <s v="Food supply quantity (kg/capita/yr)"/>
    <s v="S2737"/>
    <x v="8"/>
    <n v="2017"/>
    <x v="0"/>
    <s v="kg"/>
    <n v="0.63"/>
    <s v="E"/>
    <s v="Estimated value"/>
  </r>
  <r>
    <s v="FBS"/>
    <s v="Food Balances (2010-)"/>
    <n v="276"/>
    <x v="1"/>
    <n v="645"/>
    <s v="Food supply quantity (kg/capita/yr)"/>
    <s v="S2737"/>
    <x v="8"/>
    <n v="2018"/>
    <x v="1"/>
    <s v="kg"/>
    <n v="0.65"/>
    <s v="E"/>
    <s v="Estimated value"/>
  </r>
  <r>
    <s v="FBS"/>
    <s v="Food Balances (2010-)"/>
    <n v="276"/>
    <x v="1"/>
    <n v="645"/>
    <s v="Food supply quantity (kg/capita/yr)"/>
    <s v="S2737"/>
    <x v="8"/>
    <n v="2019"/>
    <x v="2"/>
    <s v="kg"/>
    <n v="0.41"/>
    <s v="E"/>
    <s v="Estimated value"/>
  </r>
  <r>
    <s v="FBS"/>
    <s v="Food Balances (2010-)"/>
    <n v="276"/>
    <x v="1"/>
    <n v="645"/>
    <s v="Food supply quantity (kg/capita/yr)"/>
    <s v="S2737"/>
    <x v="8"/>
    <n v="2020"/>
    <x v="3"/>
    <s v="kg"/>
    <n v="0.5"/>
    <s v="E"/>
    <s v="Estimated value"/>
  </r>
  <r>
    <s v="FBS"/>
    <s v="Food Balances (2010-)"/>
    <n v="276"/>
    <x v="1"/>
    <n v="645"/>
    <s v="Food supply quantity (kg/capita/yr)"/>
    <s v="S2737"/>
    <x v="8"/>
    <n v="2021"/>
    <x v="4"/>
    <s v="kg"/>
    <n v="0.9"/>
    <s v="E"/>
    <s v="Estimated value"/>
  </r>
  <r>
    <s v="FBS"/>
    <s v="Food Balances (2010-)"/>
    <n v="276"/>
    <x v="1"/>
    <n v="645"/>
    <s v="Food supply quantity (kg/capita/yr)"/>
    <s v="S2782"/>
    <x v="10"/>
    <n v="2017"/>
    <x v="0"/>
    <s v="kg"/>
    <n v="0"/>
    <s v="E"/>
    <s v="Estimated value"/>
  </r>
  <r>
    <s v="FBS"/>
    <s v="Food Balances (2010-)"/>
    <n v="276"/>
    <x v="1"/>
    <n v="645"/>
    <s v="Food supply quantity (kg/capita/yr)"/>
    <s v="S2782"/>
    <x v="10"/>
    <n v="2018"/>
    <x v="1"/>
    <s v="kg"/>
    <n v="0"/>
    <s v="E"/>
    <s v="Estimated value"/>
  </r>
  <r>
    <s v="FBS"/>
    <s v="Food Balances (2010-)"/>
    <n v="276"/>
    <x v="1"/>
    <n v="645"/>
    <s v="Food supply quantity (kg/capita/yr)"/>
    <s v="S2782"/>
    <x v="10"/>
    <n v="2019"/>
    <x v="2"/>
    <s v="kg"/>
    <n v="0"/>
    <s v="E"/>
    <s v="Estimated value"/>
  </r>
  <r>
    <s v="FBS"/>
    <s v="Food Balances (2010-)"/>
    <n v="276"/>
    <x v="1"/>
    <n v="645"/>
    <s v="Food supply quantity (kg/capita/yr)"/>
    <s v="S2782"/>
    <x v="10"/>
    <n v="2020"/>
    <x v="3"/>
    <s v="kg"/>
    <n v="0"/>
    <s v="E"/>
    <s v="Estimated value"/>
  </r>
  <r>
    <s v="FBS"/>
    <s v="Food Balances (2010-)"/>
    <n v="276"/>
    <x v="1"/>
    <n v="645"/>
    <s v="Food supply quantity (kg/capita/yr)"/>
    <s v="S2782"/>
    <x v="10"/>
    <n v="2021"/>
    <x v="4"/>
    <s v="kg"/>
    <n v="0"/>
    <s v="E"/>
    <s v="Estimated value"/>
  </r>
  <r>
    <s v="FBS"/>
    <s v="Food Balances (2010-)"/>
    <n v="276"/>
    <x v="1"/>
    <n v="645"/>
    <s v="Food supply quantity (kg/capita/yr)"/>
    <s v="S2744"/>
    <x v="11"/>
    <n v="2017"/>
    <x v="0"/>
    <s v="kg"/>
    <n v="14.42"/>
    <s v="E"/>
    <s v="Estimated value"/>
  </r>
  <r>
    <s v="FBS"/>
    <s v="Food Balances (2010-)"/>
    <n v="276"/>
    <x v="1"/>
    <n v="645"/>
    <s v="Food supply quantity (kg/capita/yr)"/>
    <s v="S2744"/>
    <x v="11"/>
    <n v="2018"/>
    <x v="1"/>
    <s v="kg"/>
    <n v="14.91"/>
    <s v="E"/>
    <s v="Estimated value"/>
  </r>
  <r>
    <s v="FBS"/>
    <s v="Food Balances (2010-)"/>
    <n v="276"/>
    <x v="1"/>
    <n v="645"/>
    <s v="Food supply quantity (kg/capita/yr)"/>
    <s v="S2744"/>
    <x v="11"/>
    <n v="2019"/>
    <x v="2"/>
    <s v="kg"/>
    <n v="17.46"/>
    <s v="E"/>
    <s v="Estimated value"/>
  </r>
  <r>
    <s v="FBS"/>
    <s v="Food Balances (2010-)"/>
    <n v="276"/>
    <x v="1"/>
    <n v="645"/>
    <s v="Food supply quantity (kg/capita/yr)"/>
    <s v="S2744"/>
    <x v="11"/>
    <n v="2020"/>
    <x v="3"/>
    <s v="kg"/>
    <n v="16.53"/>
    <s v="E"/>
    <s v="Estimated value"/>
  </r>
  <r>
    <s v="FBS"/>
    <s v="Food Balances (2010-)"/>
    <n v="276"/>
    <x v="1"/>
    <n v="645"/>
    <s v="Food supply quantity (kg/capita/yr)"/>
    <s v="S2744"/>
    <x v="11"/>
    <n v="2021"/>
    <x v="4"/>
    <s v="kg"/>
    <n v="15.96"/>
    <s v="E"/>
    <s v="Estimated value"/>
  </r>
  <r>
    <s v="FBS"/>
    <s v="Food Balances (2010-)"/>
    <n v="276"/>
    <x v="1"/>
    <n v="645"/>
    <s v="Food supply quantity (kg/capita/yr)"/>
    <s v="S2848"/>
    <x v="12"/>
    <n v="2017"/>
    <x v="0"/>
    <s v="kg"/>
    <n v="174.68"/>
    <s v="E"/>
    <s v="Estimated value"/>
  </r>
  <r>
    <s v="FBS"/>
    <s v="Food Balances (2010-)"/>
    <n v="276"/>
    <x v="1"/>
    <n v="645"/>
    <s v="Food supply quantity (kg/capita/yr)"/>
    <s v="S2848"/>
    <x v="12"/>
    <n v="2018"/>
    <x v="1"/>
    <s v="kg"/>
    <n v="173.26"/>
    <s v="E"/>
    <s v="Estimated value"/>
  </r>
  <r>
    <s v="FBS"/>
    <s v="Food Balances (2010-)"/>
    <n v="276"/>
    <x v="1"/>
    <n v="645"/>
    <s v="Food supply quantity (kg/capita/yr)"/>
    <s v="S2848"/>
    <x v="12"/>
    <n v="2019"/>
    <x v="2"/>
    <s v="kg"/>
    <n v="209.86"/>
    <s v="E"/>
    <s v="Estimated value"/>
  </r>
  <r>
    <s v="FBS"/>
    <s v="Food Balances (2010-)"/>
    <n v="276"/>
    <x v="1"/>
    <n v="645"/>
    <s v="Food supply quantity (kg/capita/yr)"/>
    <s v="S2848"/>
    <x v="12"/>
    <n v="2020"/>
    <x v="3"/>
    <s v="kg"/>
    <n v="213.53"/>
    <s v="E"/>
    <s v="Estimated value"/>
  </r>
  <r>
    <s v="FBS"/>
    <s v="Food Balances (2010-)"/>
    <n v="276"/>
    <x v="1"/>
    <n v="645"/>
    <s v="Food supply quantity (kg/capita/yr)"/>
    <s v="S2848"/>
    <x v="12"/>
    <n v="2021"/>
    <x v="4"/>
    <s v="kg"/>
    <n v="208.39"/>
    <s v="E"/>
    <s v="Estimated value"/>
  </r>
  <r>
    <s v="FBS"/>
    <s v="Food Balances (2010-)"/>
    <n v="276"/>
    <x v="1"/>
    <n v="645"/>
    <s v="Food supply quantity (kg/capita/yr)"/>
    <s v="S2761"/>
    <x v="13"/>
    <n v="2017"/>
    <x v="0"/>
    <s v="kg"/>
    <n v="4.42"/>
    <s v="E"/>
    <s v="Estimated value"/>
  </r>
  <r>
    <s v="FBS"/>
    <s v="Food Balances (2010-)"/>
    <n v="276"/>
    <x v="1"/>
    <n v="645"/>
    <s v="Food supply quantity (kg/capita/yr)"/>
    <s v="S2761"/>
    <x v="13"/>
    <n v="2018"/>
    <x v="1"/>
    <s v="kg"/>
    <n v="4.47"/>
    <s v="E"/>
    <s v="Estimated value"/>
  </r>
  <r>
    <s v="FBS"/>
    <s v="Food Balances (2010-)"/>
    <n v="276"/>
    <x v="1"/>
    <n v="645"/>
    <s v="Food supply quantity (kg/capita/yr)"/>
    <s v="S2761"/>
    <x v="13"/>
    <n v="2019"/>
    <x v="2"/>
    <s v="kg"/>
    <n v="4.7300000000000004"/>
    <s v="E"/>
    <s v="Estimated value"/>
  </r>
  <r>
    <s v="FBS"/>
    <s v="Food Balances (2010-)"/>
    <n v="276"/>
    <x v="1"/>
    <n v="645"/>
    <s v="Food supply quantity (kg/capita/yr)"/>
    <s v="S2761"/>
    <x v="13"/>
    <n v="2020"/>
    <x v="3"/>
    <s v="kg"/>
    <n v="4.72"/>
    <s v="E"/>
    <s v="Estimated value"/>
  </r>
  <r>
    <s v="FBS"/>
    <s v="Food Balances (2010-)"/>
    <n v="276"/>
    <x v="1"/>
    <n v="645"/>
    <s v="Food supply quantity (kg/capita/yr)"/>
    <s v="S2761"/>
    <x v="13"/>
    <n v="2021"/>
    <x v="4"/>
    <s v="kg"/>
    <n v="4.72"/>
    <s v="E"/>
    <s v="Estimated value"/>
  </r>
  <r>
    <s v="FBS"/>
    <s v="Food Balances (2010-)"/>
    <n v="276"/>
    <x v="1"/>
    <n v="645"/>
    <s v="Food supply quantity (kg/capita/yr)"/>
    <s v="S2762"/>
    <x v="14"/>
    <n v="2017"/>
    <x v="0"/>
    <s v="kg"/>
    <n v="3.95"/>
    <s v="E"/>
    <s v="Estimated value"/>
  </r>
  <r>
    <s v="FBS"/>
    <s v="Food Balances (2010-)"/>
    <n v="276"/>
    <x v="1"/>
    <n v="645"/>
    <s v="Food supply quantity (kg/capita/yr)"/>
    <s v="S2762"/>
    <x v="14"/>
    <n v="2018"/>
    <x v="1"/>
    <s v="kg"/>
    <n v="3.97"/>
    <s v="E"/>
    <s v="Estimated value"/>
  </r>
  <r>
    <s v="FBS"/>
    <s v="Food Balances (2010-)"/>
    <n v="276"/>
    <x v="1"/>
    <n v="645"/>
    <s v="Food supply quantity (kg/capita/yr)"/>
    <s v="S2762"/>
    <x v="14"/>
    <n v="2019"/>
    <x v="2"/>
    <s v="kg"/>
    <n v="4.05"/>
    <s v="E"/>
    <s v="Estimated value"/>
  </r>
  <r>
    <s v="FBS"/>
    <s v="Food Balances (2010-)"/>
    <n v="276"/>
    <x v="1"/>
    <n v="645"/>
    <s v="Food supply quantity (kg/capita/yr)"/>
    <s v="S2762"/>
    <x v="14"/>
    <n v="2020"/>
    <x v="3"/>
    <s v="kg"/>
    <n v="4.05"/>
    <s v="E"/>
    <s v="Estimated value"/>
  </r>
  <r>
    <s v="FBS"/>
    <s v="Food Balances (2010-)"/>
    <n v="276"/>
    <x v="1"/>
    <n v="645"/>
    <s v="Food supply quantity (kg/capita/yr)"/>
    <s v="S2762"/>
    <x v="14"/>
    <n v="2021"/>
    <x v="4"/>
    <s v="kg"/>
    <n v="4.04"/>
    <s v="E"/>
    <s v="Estimated value"/>
  </r>
  <r>
    <s v="FBS"/>
    <s v="Food Balances (2010-)"/>
    <n v="276"/>
    <x v="1"/>
    <n v="645"/>
    <s v="Food supply quantity (kg/capita/yr)"/>
    <s v="S2763"/>
    <x v="15"/>
    <n v="2017"/>
    <x v="0"/>
    <s v="kg"/>
    <n v="2.4900000000000002"/>
    <s v="E"/>
    <s v="Estimated value"/>
  </r>
  <r>
    <s v="FBS"/>
    <s v="Food Balances (2010-)"/>
    <n v="276"/>
    <x v="1"/>
    <n v="645"/>
    <s v="Food supply quantity (kg/capita/yr)"/>
    <s v="S2763"/>
    <x v="15"/>
    <n v="2018"/>
    <x v="1"/>
    <s v="kg"/>
    <n v="2.74"/>
    <s v="E"/>
    <s v="Estimated value"/>
  </r>
  <r>
    <s v="FBS"/>
    <s v="Food Balances (2010-)"/>
    <n v="276"/>
    <x v="1"/>
    <n v="645"/>
    <s v="Food supply quantity (kg/capita/yr)"/>
    <s v="S2763"/>
    <x v="15"/>
    <n v="2019"/>
    <x v="2"/>
    <s v="kg"/>
    <n v="2.48"/>
    <s v="E"/>
    <s v="Estimated value"/>
  </r>
  <r>
    <s v="FBS"/>
    <s v="Food Balances (2010-)"/>
    <n v="276"/>
    <x v="1"/>
    <n v="645"/>
    <s v="Food supply quantity (kg/capita/yr)"/>
    <s v="S2763"/>
    <x v="15"/>
    <n v="2020"/>
    <x v="3"/>
    <s v="kg"/>
    <n v="2.48"/>
    <s v="E"/>
    <s v="Estimated value"/>
  </r>
  <r>
    <s v="FBS"/>
    <s v="Food Balances (2010-)"/>
    <n v="276"/>
    <x v="1"/>
    <n v="645"/>
    <s v="Food supply quantity (kg/capita/yr)"/>
    <s v="S2763"/>
    <x v="15"/>
    <n v="2021"/>
    <x v="4"/>
    <s v="kg"/>
    <n v="2.48"/>
    <s v="E"/>
    <s v="Estimated value"/>
  </r>
  <r>
    <s v="FBS"/>
    <s v="Food Balances (2010-)"/>
    <n v="276"/>
    <x v="1"/>
    <n v="645"/>
    <s v="Food supply quantity (kg/capita/yr)"/>
    <s v="S2764"/>
    <x v="16"/>
    <n v="2017"/>
    <x v="0"/>
    <s v="kg"/>
    <n v="0.36"/>
    <s v="E"/>
    <s v="Estimated value"/>
  </r>
  <r>
    <s v="FBS"/>
    <s v="Food Balances (2010-)"/>
    <n v="276"/>
    <x v="1"/>
    <n v="645"/>
    <s v="Food supply quantity (kg/capita/yr)"/>
    <s v="S2764"/>
    <x v="16"/>
    <n v="2018"/>
    <x v="1"/>
    <s v="kg"/>
    <n v="0.35"/>
    <s v="E"/>
    <s v="Estimated value"/>
  </r>
  <r>
    <s v="FBS"/>
    <s v="Food Balances (2010-)"/>
    <n v="276"/>
    <x v="1"/>
    <n v="645"/>
    <s v="Food supply quantity (kg/capita/yr)"/>
    <s v="S2764"/>
    <x v="16"/>
    <n v="2019"/>
    <x v="2"/>
    <s v="kg"/>
    <n v="0.38"/>
    <s v="E"/>
    <s v="Estimated value"/>
  </r>
  <r>
    <s v="FBS"/>
    <s v="Food Balances (2010-)"/>
    <n v="276"/>
    <x v="1"/>
    <n v="645"/>
    <s v="Food supply quantity (kg/capita/yr)"/>
    <s v="S2764"/>
    <x v="16"/>
    <n v="2020"/>
    <x v="3"/>
    <s v="kg"/>
    <n v="0.37"/>
    <s v="E"/>
    <s v="Estimated value"/>
  </r>
  <r>
    <s v="FBS"/>
    <s v="Food Balances (2010-)"/>
    <n v="276"/>
    <x v="1"/>
    <n v="645"/>
    <s v="Food supply quantity (kg/capita/yr)"/>
    <s v="S2764"/>
    <x v="16"/>
    <n v="2021"/>
    <x v="4"/>
    <s v="kg"/>
    <n v="0.37"/>
    <s v="E"/>
    <s v="Estimated value"/>
  </r>
  <r>
    <s v="FBS"/>
    <s v="Food Balances (2010-)"/>
    <n v="276"/>
    <x v="1"/>
    <n v="645"/>
    <s v="Food supply quantity (kg/capita/yr)"/>
    <s v="S2765"/>
    <x v="17"/>
    <n v="2017"/>
    <x v="0"/>
    <s v="kg"/>
    <n v="0.88"/>
    <s v="E"/>
    <s v="Estimated value"/>
  </r>
  <r>
    <s v="FBS"/>
    <s v="Food Balances (2010-)"/>
    <n v="276"/>
    <x v="1"/>
    <n v="645"/>
    <s v="Food supply quantity (kg/capita/yr)"/>
    <s v="S2765"/>
    <x v="17"/>
    <n v="2018"/>
    <x v="1"/>
    <s v="kg"/>
    <n v="0.84"/>
    <s v="E"/>
    <s v="Estimated value"/>
  </r>
  <r>
    <s v="FBS"/>
    <s v="Food Balances (2010-)"/>
    <n v="276"/>
    <x v="1"/>
    <n v="645"/>
    <s v="Food supply quantity (kg/capita/yr)"/>
    <s v="S2765"/>
    <x v="17"/>
    <n v="2019"/>
    <x v="2"/>
    <s v="kg"/>
    <n v="0.96"/>
    <s v="E"/>
    <s v="Estimated value"/>
  </r>
  <r>
    <s v="FBS"/>
    <s v="Food Balances (2010-)"/>
    <n v="276"/>
    <x v="1"/>
    <n v="645"/>
    <s v="Food supply quantity (kg/capita/yr)"/>
    <s v="S2765"/>
    <x v="17"/>
    <n v="2020"/>
    <x v="3"/>
    <s v="kg"/>
    <n v="0.95"/>
    <s v="E"/>
    <s v="Estimated value"/>
  </r>
  <r>
    <s v="FBS"/>
    <s v="Food Balances (2010-)"/>
    <n v="276"/>
    <x v="1"/>
    <n v="645"/>
    <s v="Food supply quantity (kg/capita/yr)"/>
    <s v="S2765"/>
    <x v="17"/>
    <n v="2021"/>
    <x v="4"/>
    <s v="kg"/>
    <n v="0.95"/>
    <s v="E"/>
    <s v="Estimated value"/>
  </r>
  <r>
    <s v="FBS"/>
    <s v="Food Balances (2010-)"/>
    <n v="276"/>
    <x v="1"/>
    <n v="645"/>
    <s v="Food supply quantity (kg/capita/yr)"/>
    <s v="S2766"/>
    <x v="18"/>
    <n v="2017"/>
    <x v="0"/>
    <s v="kg"/>
    <n v="0.26"/>
    <s v="E"/>
    <s v="Estimated value"/>
  </r>
  <r>
    <s v="FBS"/>
    <s v="Food Balances (2010-)"/>
    <n v="276"/>
    <x v="1"/>
    <n v="645"/>
    <s v="Food supply quantity (kg/capita/yr)"/>
    <s v="S2766"/>
    <x v="18"/>
    <n v="2018"/>
    <x v="1"/>
    <s v="kg"/>
    <n v="0.24"/>
    <s v="E"/>
    <s v="Estimated value"/>
  </r>
  <r>
    <s v="FBS"/>
    <s v="Food Balances (2010-)"/>
    <n v="276"/>
    <x v="1"/>
    <n v="645"/>
    <s v="Food supply quantity (kg/capita/yr)"/>
    <s v="S2766"/>
    <x v="18"/>
    <n v="2019"/>
    <x v="2"/>
    <s v="kg"/>
    <n v="0.26"/>
    <s v="E"/>
    <s v="Estimated value"/>
  </r>
  <r>
    <s v="FBS"/>
    <s v="Food Balances (2010-)"/>
    <n v="276"/>
    <x v="1"/>
    <n v="645"/>
    <s v="Food supply quantity (kg/capita/yr)"/>
    <s v="S2766"/>
    <x v="18"/>
    <n v="2020"/>
    <x v="3"/>
    <s v="kg"/>
    <n v="0.26"/>
    <s v="E"/>
    <s v="Estimated value"/>
  </r>
  <r>
    <s v="FBS"/>
    <s v="Food Balances (2010-)"/>
    <n v="276"/>
    <x v="1"/>
    <n v="645"/>
    <s v="Food supply quantity (kg/capita/yr)"/>
    <s v="S2766"/>
    <x v="18"/>
    <n v="2021"/>
    <x v="4"/>
    <s v="kg"/>
    <n v="0.26"/>
    <s v="E"/>
    <s v="Estimated value"/>
  </r>
  <r>
    <s v="FBS"/>
    <s v="Food Balances (2010-)"/>
    <n v="276"/>
    <x v="1"/>
    <n v="645"/>
    <s v="Food supply quantity (kg/capita/yr)"/>
    <s v="S2767"/>
    <x v="19"/>
    <n v="2017"/>
    <x v="0"/>
    <s v="kg"/>
    <n v="0.38"/>
    <s v="E"/>
    <s v="Estimated value"/>
  </r>
  <r>
    <s v="FBS"/>
    <s v="Food Balances (2010-)"/>
    <n v="276"/>
    <x v="1"/>
    <n v="645"/>
    <s v="Food supply quantity (kg/capita/yr)"/>
    <s v="S2767"/>
    <x v="19"/>
    <n v="2018"/>
    <x v="1"/>
    <s v="kg"/>
    <n v="0.39"/>
    <s v="E"/>
    <s v="Estimated value"/>
  </r>
  <r>
    <s v="FBS"/>
    <s v="Food Balances (2010-)"/>
    <n v="276"/>
    <x v="1"/>
    <n v="645"/>
    <s v="Food supply quantity (kg/capita/yr)"/>
    <s v="S2767"/>
    <x v="19"/>
    <n v="2019"/>
    <x v="2"/>
    <s v="kg"/>
    <n v="0.32"/>
    <s v="E"/>
    <s v="Estimated value"/>
  </r>
  <r>
    <s v="FBS"/>
    <s v="Food Balances (2010-)"/>
    <n v="276"/>
    <x v="1"/>
    <n v="645"/>
    <s v="Food supply quantity (kg/capita/yr)"/>
    <s v="S2767"/>
    <x v="19"/>
    <n v="2020"/>
    <x v="3"/>
    <s v="kg"/>
    <n v="0.32"/>
    <s v="E"/>
    <s v="Estimated value"/>
  </r>
  <r>
    <s v="FBS"/>
    <s v="Food Balances (2010-)"/>
    <n v="276"/>
    <x v="1"/>
    <n v="645"/>
    <s v="Food supply quantity (kg/capita/yr)"/>
    <s v="S2767"/>
    <x v="19"/>
    <n v="2021"/>
    <x v="4"/>
    <s v="kg"/>
    <n v="0.32"/>
    <s v="E"/>
    <s v="Estimated value"/>
  </r>
  <r>
    <s v="FBS"/>
    <s v="Food Balances (2010-)"/>
    <n v="276"/>
    <x v="1"/>
    <n v="645"/>
    <s v="Food supply quantity (kg/capita/yr)"/>
    <s v="S2769"/>
    <x v="20"/>
    <n v="2017"/>
    <x v="0"/>
    <s v="kg"/>
    <n v="0.02"/>
    <s v="E"/>
    <s v="Estimated value"/>
  </r>
  <r>
    <s v="FBS"/>
    <s v="Food Balances (2010-)"/>
    <n v="276"/>
    <x v="1"/>
    <n v="645"/>
    <s v="Food supply quantity (kg/capita/yr)"/>
    <s v="S2769"/>
    <x v="20"/>
    <n v="2018"/>
    <x v="1"/>
    <s v="kg"/>
    <n v="0.01"/>
    <s v="E"/>
    <s v="Estimated value"/>
  </r>
  <r>
    <s v="FBS"/>
    <s v="Food Balances (2010-)"/>
    <n v="276"/>
    <x v="1"/>
    <n v="645"/>
    <s v="Food supply quantity (kg/capita/yr)"/>
    <s v="S2769"/>
    <x v="20"/>
    <n v="2019"/>
    <x v="2"/>
    <s v="kg"/>
    <n v="0.01"/>
    <s v="E"/>
    <s v="Estimated value"/>
  </r>
  <r>
    <s v="FBS"/>
    <s v="Food Balances (2010-)"/>
    <n v="276"/>
    <x v="1"/>
    <n v="645"/>
    <s v="Food supply quantity (kg/capita/yr)"/>
    <s v="S2769"/>
    <x v="20"/>
    <n v="2020"/>
    <x v="3"/>
    <s v="kg"/>
    <n v="0.01"/>
    <s v="E"/>
    <s v="Estimated value"/>
  </r>
  <r>
    <s v="FBS"/>
    <s v="Food Balances (2010-)"/>
    <n v="276"/>
    <x v="1"/>
    <n v="645"/>
    <s v="Food supply quantity (kg/capita/yr)"/>
    <s v="S2769"/>
    <x v="20"/>
    <n v="2021"/>
    <x v="4"/>
    <s v="kg"/>
    <n v="0.01"/>
    <s v="E"/>
    <s v="Estimated value"/>
  </r>
  <r>
    <s v="FBS"/>
    <s v="Food Balances (2010-)"/>
    <n v="300"/>
    <x v="2"/>
    <n v="645"/>
    <s v="Food supply quantity (kg/capita/yr)"/>
    <s v="S2731"/>
    <x v="0"/>
    <n v="2017"/>
    <x v="0"/>
    <s v="kg"/>
    <n v="15.3"/>
    <s v="E"/>
    <s v="Estimated value"/>
  </r>
  <r>
    <s v="FBS"/>
    <s v="Food Balances (2010-)"/>
    <n v="300"/>
    <x v="2"/>
    <n v="645"/>
    <s v="Food supply quantity (kg/capita/yr)"/>
    <s v="S2731"/>
    <x v="0"/>
    <n v="2018"/>
    <x v="1"/>
    <s v="kg"/>
    <n v="15.51"/>
    <s v="E"/>
    <s v="Estimated value"/>
  </r>
  <r>
    <s v="FBS"/>
    <s v="Food Balances (2010-)"/>
    <n v="300"/>
    <x v="2"/>
    <n v="645"/>
    <s v="Food supply quantity (kg/capita/yr)"/>
    <s v="S2731"/>
    <x v="0"/>
    <n v="2019"/>
    <x v="2"/>
    <s v="kg"/>
    <n v="14.94"/>
    <s v="E"/>
    <s v="Estimated value"/>
  </r>
  <r>
    <s v="FBS"/>
    <s v="Food Balances (2010-)"/>
    <n v="300"/>
    <x v="2"/>
    <n v="645"/>
    <s v="Food supply quantity (kg/capita/yr)"/>
    <s v="S2731"/>
    <x v="0"/>
    <n v="2020"/>
    <x v="3"/>
    <s v="kg"/>
    <n v="14.46"/>
    <s v="E"/>
    <s v="Estimated value"/>
  </r>
  <r>
    <s v="FBS"/>
    <s v="Food Balances (2010-)"/>
    <n v="300"/>
    <x v="2"/>
    <n v="645"/>
    <s v="Food supply quantity (kg/capita/yr)"/>
    <s v="S2731"/>
    <x v="0"/>
    <n v="2021"/>
    <x v="4"/>
    <s v="kg"/>
    <n v="14.51"/>
    <s v="E"/>
    <s v="Estimated value"/>
  </r>
  <r>
    <s v="FBS"/>
    <s v="Food Balances (2010-)"/>
    <n v="300"/>
    <x v="2"/>
    <n v="645"/>
    <s v="Food supply quantity (kg/capita/yr)"/>
    <s v="S2732"/>
    <x v="1"/>
    <n v="2017"/>
    <x v="0"/>
    <s v="kg"/>
    <n v="7"/>
    <s v="E"/>
    <s v="Estimated value"/>
  </r>
  <r>
    <s v="FBS"/>
    <s v="Food Balances (2010-)"/>
    <n v="300"/>
    <x v="2"/>
    <n v="645"/>
    <s v="Food supply quantity (kg/capita/yr)"/>
    <s v="S2732"/>
    <x v="1"/>
    <n v="2018"/>
    <x v="1"/>
    <s v="kg"/>
    <n v="6.78"/>
    <s v="E"/>
    <s v="Estimated value"/>
  </r>
  <r>
    <s v="FBS"/>
    <s v="Food Balances (2010-)"/>
    <n v="300"/>
    <x v="2"/>
    <n v="645"/>
    <s v="Food supply quantity (kg/capita/yr)"/>
    <s v="S2732"/>
    <x v="1"/>
    <n v="2019"/>
    <x v="2"/>
    <s v="kg"/>
    <n v="8.36"/>
    <s v="E"/>
    <s v="Estimated value"/>
  </r>
  <r>
    <s v="FBS"/>
    <s v="Food Balances (2010-)"/>
    <n v="300"/>
    <x v="2"/>
    <n v="645"/>
    <s v="Food supply quantity (kg/capita/yr)"/>
    <s v="S2732"/>
    <x v="1"/>
    <n v="2020"/>
    <x v="3"/>
    <s v="kg"/>
    <n v="7.56"/>
    <s v="E"/>
    <s v="Estimated value"/>
  </r>
  <r>
    <s v="FBS"/>
    <s v="Food Balances (2010-)"/>
    <n v="300"/>
    <x v="2"/>
    <n v="645"/>
    <s v="Food supply quantity (kg/capita/yr)"/>
    <s v="S2732"/>
    <x v="1"/>
    <n v="2021"/>
    <x v="4"/>
    <s v="kg"/>
    <n v="7.58"/>
    <s v="E"/>
    <s v="Estimated value"/>
  </r>
  <r>
    <s v="FBS"/>
    <s v="Food Balances (2010-)"/>
    <n v="300"/>
    <x v="2"/>
    <n v="645"/>
    <s v="Food supply quantity (kg/capita/yr)"/>
    <s v="S2733"/>
    <x v="2"/>
    <n v="2017"/>
    <x v="0"/>
    <s v="kg"/>
    <n v="28.29"/>
    <s v="E"/>
    <s v="Estimated value"/>
  </r>
  <r>
    <s v="FBS"/>
    <s v="Food Balances (2010-)"/>
    <n v="300"/>
    <x v="2"/>
    <n v="645"/>
    <s v="Food supply quantity (kg/capita/yr)"/>
    <s v="S2733"/>
    <x v="2"/>
    <n v="2018"/>
    <x v="1"/>
    <s v="kg"/>
    <n v="28.8"/>
    <s v="E"/>
    <s v="Estimated value"/>
  </r>
  <r>
    <s v="FBS"/>
    <s v="Food Balances (2010-)"/>
    <n v="300"/>
    <x v="2"/>
    <n v="645"/>
    <s v="Food supply quantity (kg/capita/yr)"/>
    <s v="S2733"/>
    <x v="2"/>
    <n v="2019"/>
    <x v="2"/>
    <s v="kg"/>
    <n v="28.59"/>
    <s v="E"/>
    <s v="Estimated value"/>
  </r>
  <r>
    <s v="FBS"/>
    <s v="Food Balances (2010-)"/>
    <n v="300"/>
    <x v="2"/>
    <n v="645"/>
    <s v="Food supply quantity (kg/capita/yr)"/>
    <s v="S2733"/>
    <x v="2"/>
    <n v="2020"/>
    <x v="3"/>
    <s v="kg"/>
    <n v="24.82"/>
    <s v="E"/>
    <s v="Estimated value"/>
  </r>
  <r>
    <s v="FBS"/>
    <s v="Food Balances (2010-)"/>
    <n v="300"/>
    <x v="2"/>
    <n v="645"/>
    <s v="Food supply quantity (kg/capita/yr)"/>
    <s v="S2733"/>
    <x v="2"/>
    <n v="2021"/>
    <x v="4"/>
    <s v="kg"/>
    <n v="26.6"/>
    <s v="E"/>
    <s v="Estimated value"/>
  </r>
  <r>
    <s v="FBS"/>
    <s v="Food Balances (2010-)"/>
    <n v="300"/>
    <x v="2"/>
    <n v="645"/>
    <s v="Food supply quantity (kg/capita/yr)"/>
    <s v="S2734"/>
    <x v="3"/>
    <n v="2017"/>
    <x v="0"/>
    <s v="kg"/>
    <n v="15.14"/>
    <s v="E"/>
    <s v="Estimated value"/>
  </r>
  <r>
    <s v="FBS"/>
    <s v="Food Balances (2010-)"/>
    <n v="300"/>
    <x v="2"/>
    <n v="645"/>
    <s v="Food supply quantity (kg/capita/yr)"/>
    <s v="S2734"/>
    <x v="3"/>
    <n v="2018"/>
    <x v="1"/>
    <s v="kg"/>
    <n v="27.62"/>
    <s v="E"/>
    <s v="Estimated value"/>
  </r>
  <r>
    <s v="FBS"/>
    <s v="Food Balances (2010-)"/>
    <n v="300"/>
    <x v="2"/>
    <n v="645"/>
    <s v="Food supply quantity (kg/capita/yr)"/>
    <s v="S2734"/>
    <x v="3"/>
    <n v="2019"/>
    <x v="2"/>
    <s v="kg"/>
    <n v="25.66"/>
    <s v="E"/>
    <s v="Estimated value"/>
  </r>
  <r>
    <s v="FBS"/>
    <s v="Food Balances (2010-)"/>
    <n v="300"/>
    <x v="2"/>
    <n v="645"/>
    <s v="Food supply quantity (kg/capita/yr)"/>
    <s v="S2734"/>
    <x v="3"/>
    <n v="2020"/>
    <x v="3"/>
    <s v="kg"/>
    <n v="23"/>
    <s v="E"/>
    <s v="Estimated value"/>
  </r>
  <r>
    <s v="FBS"/>
    <s v="Food Balances (2010-)"/>
    <n v="300"/>
    <x v="2"/>
    <n v="645"/>
    <s v="Food supply quantity (kg/capita/yr)"/>
    <s v="S2734"/>
    <x v="3"/>
    <n v="2021"/>
    <x v="4"/>
    <s v="kg"/>
    <n v="26.09"/>
    <s v="E"/>
    <s v="Estimated value"/>
  </r>
  <r>
    <s v="FBS"/>
    <s v="Food Balances (2010-)"/>
    <n v="300"/>
    <x v="2"/>
    <n v="645"/>
    <s v="Food supply quantity (kg/capita/yr)"/>
    <s v="S2735"/>
    <x v="4"/>
    <n v="2017"/>
    <x v="0"/>
    <s v="kg"/>
    <n v="2.17"/>
    <s v="E"/>
    <s v="Estimated value"/>
  </r>
  <r>
    <s v="FBS"/>
    <s v="Food Balances (2010-)"/>
    <n v="300"/>
    <x v="2"/>
    <n v="645"/>
    <s v="Food supply quantity (kg/capita/yr)"/>
    <s v="S2735"/>
    <x v="4"/>
    <n v="2018"/>
    <x v="1"/>
    <s v="kg"/>
    <n v="1.78"/>
    <s v="E"/>
    <s v="Estimated value"/>
  </r>
  <r>
    <s v="FBS"/>
    <s v="Food Balances (2010-)"/>
    <n v="300"/>
    <x v="2"/>
    <n v="645"/>
    <s v="Food supply quantity (kg/capita/yr)"/>
    <s v="S2735"/>
    <x v="4"/>
    <n v="2019"/>
    <x v="2"/>
    <s v="kg"/>
    <n v="2.0099999999999998"/>
    <s v="E"/>
    <s v="Estimated value"/>
  </r>
  <r>
    <s v="FBS"/>
    <s v="Food Balances (2010-)"/>
    <n v="300"/>
    <x v="2"/>
    <n v="645"/>
    <s v="Food supply quantity (kg/capita/yr)"/>
    <s v="S2735"/>
    <x v="4"/>
    <n v="2020"/>
    <x v="3"/>
    <s v="kg"/>
    <n v="1.73"/>
    <s v="E"/>
    <s v="Estimated value"/>
  </r>
  <r>
    <s v="FBS"/>
    <s v="Food Balances (2010-)"/>
    <n v="300"/>
    <x v="2"/>
    <n v="645"/>
    <s v="Food supply quantity (kg/capita/yr)"/>
    <s v="S2735"/>
    <x v="4"/>
    <n v="2021"/>
    <x v="4"/>
    <s v="kg"/>
    <n v="2.0099999999999998"/>
    <s v="E"/>
    <s v="Estimated value"/>
  </r>
  <r>
    <s v="FBS"/>
    <s v="Food Balances (2010-)"/>
    <n v="300"/>
    <x v="2"/>
    <n v="645"/>
    <s v="Food supply quantity (kg/capita/yr)"/>
    <s v="S2736"/>
    <x v="5"/>
    <n v="2017"/>
    <x v="0"/>
    <s v="kg"/>
    <n v="3.24"/>
    <s v="E"/>
    <s v="Estimated value"/>
  </r>
  <r>
    <s v="FBS"/>
    <s v="Food Balances (2010-)"/>
    <n v="300"/>
    <x v="2"/>
    <n v="645"/>
    <s v="Food supply quantity (kg/capita/yr)"/>
    <s v="S2736"/>
    <x v="5"/>
    <n v="2018"/>
    <x v="1"/>
    <s v="kg"/>
    <n v="3.06"/>
    <s v="E"/>
    <s v="Estimated value"/>
  </r>
  <r>
    <s v="FBS"/>
    <s v="Food Balances (2010-)"/>
    <n v="300"/>
    <x v="2"/>
    <n v="645"/>
    <s v="Food supply quantity (kg/capita/yr)"/>
    <s v="S2736"/>
    <x v="5"/>
    <n v="2019"/>
    <x v="2"/>
    <s v="kg"/>
    <n v="3.31"/>
    <s v="E"/>
    <s v="Estimated value"/>
  </r>
  <r>
    <s v="FBS"/>
    <s v="Food Balances (2010-)"/>
    <n v="300"/>
    <x v="2"/>
    <n v="645"/>
    <s v="Food supply quantity (kg/capita/yr)"/>
    <s v="S2736"/>
    <x v="5"/>
    <n v="2020"/>
    <x v="3"/>
    <s v="kg"/>
    <n v="3.04"/>
    <s v="E"/>
    <s v="Estimated value"/>
  </r>
  <r>
    <s v="FBS"/>
    <s v="Food Balances (2010-)"/>
    <n v="300"/>
    <x v="2"/>
    <n v="645"/>
    <s v="Food supply quantity (kg/capita/yr)"/>
    <s v="S2736"/>
    <x v="5"/>
    <n v="2021"/>
    <x v="4"/>
    <s v="kg"/>
    <n v="2.93"/>
    <s v="E"/>
    <s v="Estimated value"/>
  </r>
  <r>
    <s v="FBS"/>
    <s v="Food Balances (2010-)"/>
    <n v="300"/>
    <x v="2"/>
    <n v="645"/>
    <s v="Food supply quantity (kg/capita/yr)"/>
    <s v="S2740"/>
    <x v="6"/>
    <n v="2017"/>
    <x v="0"/>
    <s v="kg"/>
    <n v="1.03"/>
    <s v="E"/>
    <s v="Estimated value"/>
  </r>
  <r>
    <s v="FBS"/>
    <s v="Food Balances (2010-)"/>
    <n v="300"/>
    <x v="2"/>
    <n v="645"/>
    <s v="Food supply quantity (kg/capita/yr)"/>
    <s v="S2740"/>
    <x v="6"/>
    <n v="2018"/>
    <x v="1"/>
    <s v="kg"/>
    <n v="0.88"/>
    <s v="E"/>
    <s v="Estimated value"/>
  </r>
  <r>
    <s v="FBS"/>
    <s v="Food Balances (2010-)"/>
    <n v="300"/>
    <x v="2"/>
    <n v="645"/>
    <s v="Food supply quantity (kg/capita/yr)"/>
    <s v="S2740"/>
    <x v="6"/>
    <n v="2019"/>
    <x v="2"/>
    <s v="kg"/>
    <n v="1.1000000000000001"/>
    <s v="E"/>
    <s v="Estimated value"/>
  </r>
  <r>
    <s v="FBS"/>
    <s v="Food Balances (2010-)"/>
    <n v="300"/>
    <x v="2"/>
    <n v="645"/>
    <s v="Food supply quantity (kg/capita/yr)"/>
    <s v="S2740"/>
    <x v="6"/>
    <n v="2020"/>
    <x v="3"/>
    <s v="kg"/>
    <n v="1.02"/>
    <s v="E"/>
    <s v="Estimated value"/>
  </r>
  <r>
    <s v="FBS"/>
    <s v="Food Balances (2010-)"/>
    <n v="300"/>
    <x v="2"/>
    <n v="645"/>
    <s v="Food supply quantity (kg/capita/yr)"/>
    <s v="S2740"/>
    <x v="6"/>
    <n v="2021"/>
    <x v="4"/>
    <s v="kg"/>
    <n v="1.1000000000000001"/>
    <s v="E"/>
    <s v="Estimated value"/>
  </r>
  <r>
    <s v="FBS"/>
    <s v="Food Balances (2010-)"/>
    <n v="300"/>
    <x v="2"/>
    <n v="645"/>
    <s v="Food supply quantity (kg/capita/yr)"/>
    <s v="S2743"/>
    <x v="7"/>
    <n v="2017"/>
    <x v="0"/>
    <s v="kg"/>
    <n v="2.67"/>
    <s v="E"/>
    <s v="Estimated value"/>
  </r>
  <r>
    <s v="FBS"/>
    <s v="Food Balances (2010-)"/>
    <n v="300"/>
    <x v="2"/>
    <n v="645"/>
    <s v="Food supply quantity (kg/capita/yr)"/>
    <s v="S2743"/>
    <x v="7"/>
    <n v="2018"/>
    <x v="1"/>
    <s v="kg"/>
    <n v="1.64"/>
    <s v="E"/>
    <s v="Estimated value"/>
  </r>
  <r>
    <s v="FBS"/>
    <s v="Food Balances (2010-)"/>
    <n v="300"/>
    <x v="2"/>
    <n v="645"/>
    <s v="Food supply quantity (kg/capita/yr)"/>
    <s v="S2743"/>
    <x v="7"/>
    <n v="2019"/>
    <x v="2"/>
    <s v="kg"/>
    <n v="2.4900000000000002"/>
    <s v="E"/>
    <s v="Estimated value"/>
  </r>
  <r>
    <s v="FBS"/>
    <s v="Food Balances (2010-)"/>
    <n v="300"/>
    <x v="2"/>
    <n v="645"/>
    <s v="Food supply quantity (kg/capita/yr)"/>
    <s v="S2743"/>
    <x v="7"/>
    <n v="2020"/>
    <x v="3"/>
    <s v="kg"/>
    <n v="2.4300000000000002"/>
    <s v="E"/>
    <s v="Estimated value"/>
  </r>
  <r>
    <s v="FBS"/>
    <s v="Food Balances (2010-)"/>
    <n v="300"/>
    <x v="2"/>
    <n v="645"/>
    <s v="Food supply quantity (kg/capita/yr)"/>
    <s v="S2743"/>
    <x v="7"/>
    <n v="2021"/>
    <x v="4"/>
    <s v="kg"/>
    <n v="3.18"/>
    <s v="E"/>
    <s v="Estimated value"/>
  </r>
  <r>
    <s v="FBS"/>
    <s v="Food Balances (2010-)"/>
    <n v="300"/>
    <x v="2"/>
    <n v="645"/>
    <s v="Food supply quantity (kg/capita/yr)"/>
    <s v="S2737"/>
    <x v="8"/>
    <n v="2017"/>
    <x v="0"/>
    <s v="kg"/>
    <n v="0.51"/>
    <s v="E"/>
    <s v="Estimated value"/>
  </r>
  <r>
    <s v="FBS"/>
    <s v="Food Balances (2010-)"/>
    <n v="300"/>
    <x v="2"/>
    <n v="645"/>
    <s v="Food supply quantity (kg/capita/yr)"/>
    <s v="S2737"/>
    <x v="8"/>
    <n v="2018"/>
    <x v="1"/>
    <s v="kg"/>
    <n v="0.83"/>
    <s v="E"/>
    <s v="Estimated value"/>
  </r>
  <r>
    <s v="FBS"/>
    <s v="Food Balances (2010-)"/>
    <n v="300"/>
    <x v="2"/>
    <n v="645"/>
    <s v="Food supply quantity (kg/capita/yr)"/>
    <s v="S2737"/>
    <x v="8"/>
    <n v="2019"/>
    <x v="2"/>
    <s v="kg"/>
    <n v="1.71"/>
    <s v="E"/>
    <s v="Estimated value"/>
  </r>
  <r>
    <s v="FBS"/>
    <s v="Food Balances (2010-)"/>
    <n v="300"/>
    <x v="2"/>
    <n v="645"/>
    <s v="Food supply quantity (kg/capita/yr)"/>
    <s v="S2737"/>
    <x v="8"/>
    <n v="2020"/>
    <x v="3"/>
    <s v="kg"/>
    <n v="1.36"/>
    <s v="E"/>
    <s v="Estimated value"/>
  </r>
  <r>
    <s v="FBS"/>
    <s v="Food Balances (2010-)"/>
    <n v="300"/>
    <x v="2"/>
    <n v="645"/>
    <s v="Food supply quantity (kg/capita/yr)"/>
    <s v="S2737"/>
    <x v="8"/>
    <n v="2021"/>
    <x v="4"/>
    <s v="kg"/>
    <n v="0.95"/>
    <s v="E"/>
    <s v="Estimated value"/>
  </r>
  <r>
    <s v="FBS"/>
    <s v="Food Balances (2010-)"/>
    <n v="300"/>
    <x v="2"/>
    <n v="645"/>
    <s v="Food supply quantity (kg/capita/yr)"/>
    <s v="S2744"/>
    <x v="11"/>
    <n v="2017"/>
    <x v="0"/>
    <s v="kg"/>
    <n v="9.18"/>
    <s v="E"/>
    <s v="Estimated value"/>
  </r>
  <r>
    <s v="FBS"/>
    <s v="Food Balances (2010-)"/>
    <n v="300"/>
    <x v="2"/>
    <n v="645"/>
    <s v="Food supply quantity (kg/capita/yr)"/>
    <s v="S2744"/>
    <x v="11"/>
    <n v="2018"/>
    <x v="1"/>
    <s v="kg"/>
    <n v="9.6"/>
    <s v="E"/>
    <s v="Estimated value"/>
  </r>
  <r>
    <s v="FBS"/>
    <s v="Food Balances (2010-)"/>
    <n v="300"/>
    <x v="2"/>
    <n v="645"/>
    <s v="Food supply quantity (kg/capita/yr)"/>
    <s v="S2744"/>
    <x v="11"/>
    <n v="2019"/>
    <x v="2"/>
    <s v="kg"/>
    <n v="8.9499999999999993"/>
    <s v="E"/>
    <s v="Estimated value"/>
  </r>
  <r>
    <s v="FBS"/>
    <s v="Food Balances (2010-)"/>
    <n v="300"/>
    <x v="2"/>
    <n v="645"/>
    <s v="Food supply quantity (kg/capita/yr)"/>
    <s v="S2744"/>
    <x v="11"/>
    <n v="2020"/>
    <x v="3"/>
    <s v="kg"/>
    <n v="8.66"/>
    <s v="E"/>
    <s v="Estimated value"/>
  </r>
  <r>
    <s v="FBS"/>
    <s v="Food Balances (2010-)"/>
    <n v="300"/>
    <x v="2"/>
    <n v="645"/>
    <s v="Food supply quantity (kg/capita/yr)"/>
    <s v="S2744"/>
    <x v="11"/>
    <n v="2021"/>
    <x v="4"/>
    <s v="kg"/>
    <n v="8.7899999999999991"/>
    <s v="E"/>
    <s v="Estimated value"/>
  </r>
  <r>
    <s v="FBS"/>
    <s v="Food Balances (2010-)"/>
    <n v="300"/>
    <x v="2"/>
    <n v="645"/>
    <s v="Food supply quantity (kg/capita/yr)"/>
    <s v="S2848"/>
    <x v="12"/>
    <n v="2017"/>
    <x v="0"/>
    <s v="kg"/>
    <n v="252.01"/>
    <s v="E"/>
    <s v="Estimated value"/>
  </r>
  <r>
    <s v="FBS"/>
    <s v="Food Balances (2010-)"/>
    <n v="300"/>
    <x v="2"/>
    <n v="645"/>
    <s v="Food supply quantity (kg/capita/yr)"/>
    <s v="S2848"/>
    <x v="12"/>
    <n v="2018"/>
    <x v="1"/>
    <s v="kg"/>
    <n v="267.51"/>
    <s v="E"/>
    <s v="Estimated value"/>
  </r>
  <r>
    <s v="FBS"/>
    <s v="Food Balances (2010-)"/>
    <n v="300"/>
    <x v="2"/>
    <n v="645"/>
    <s v="Food supply quantity (kg/capita/yr)"/>
    <s v="S2848"/>
    <x v="12"/>
    <n v="2019"/>
    <x v="2"/>
    <s v="kg"/>
    <n v="236.79"/>
    <s v="E"/>
    <s v="Estimated value"/>
  </r>
  <r>
    <s v="FBS"/>
    <s v="Food Balances (2010-)"/>
    <n v="300"/>
    <x v="2"/>
    <n v="645"/>
    <s v="Food supply quantity (kg/capita/yr)"/>
    <s v="S2848"/>
    <x v="12"/>
    <n v="2020"/>
    <x v="3"/>
    <s v="kg"/>
    <n v="225.97"/>
    <s v="E"/>
    <s v="Estimated value"/>
  </r>
  <r>
    <s v="FBS"/>
    <s v="Food Balances (2010-)"/>
    <n v="300"/>
    <x v="2"/>
    <n v="645"/>
    <s v="Food supply quantity (kg/capita/yr)"/>
    <s v="S2848"/>
    <x v="12"/>
    <n v="2021"/>
    <x v="4"/>
    <s v="kg"/>
    <n v="233.27"/>
    <s v="E"/>
    <s v="Estimated value"/>
  </r>
  <r>
    <s v="FBS"/>
    <s v="Food Balances (2010-)"/>
    <n v="300"/>
    <x v="2"/>
    <n v="645"/>
    <s v="Food supply quantity (kg/capita/yr)"/>
    <s v="S2761"/>
    <x v="13"/>
    <n v="2017"/>
    <x v="0"/>
    <s v="kg"/>
    <n v="1.95"/>
    <s v="E"/>
    <s v="Estimated value"/>
  </r>
  <r>
    <s v="FBS"/>
    <s v="Food Balances (2010-)"/>
    <n v="300"/>
    <x v="2"/>
    <n v="645"/>
    <s v="Food supply quantity (kg/capita/yr)"/>
    <s v="S2761"/>
    <x v="13"/>
    <n v="2018"/>
    <x v="1"/>
    <s v="kg"/>
    <n v="2.0099999999999998"/>
    <s v="E"/>
    <s v="Estimated value"/>
  </r>
  <r>
    <s v="FBS"/>
    <s v="Food Balances (2010-)"/>
    <n v="300"/>
    <x v="2"/>
    <n v="645"/>
    <s v="Food supply quantity (kg/capita/yr)"/>
    <s v="S2761"/>
    <x v="13"/>
    <n v="2019"/>
    <x v="2"/>
    <s v="kg"/>
    <n v="2.54"/>
    <s v="E"/>
    <s v="Estimated value"/>
  </r>
  <r>
    <s v="FBS"/>
    <s v="Food Balances (2010-)"/>
    <n v="300"/>
    <x v="2"/>
    <n v="645"/>
    <s v="Food supply quantity (kg/capita/yr)"/>
    <s v="S2761"/>
    <x v="13"/>
    <n v="2020"/>
    <x v="3"/>
    <s v="kg"/>
    <n v="2.56"/>
    <s v="E"/>
    <s v="Estimated value"/>
  </r>
  <r>
    <s v="FBS"/>
    <s v="Food Balances (2010-)"/>
    <n v="300"/>
    <x v="2"/>
    <n v="645"/>
    <s v="Food supply quantity (kg/capita/yr)"/>
    <s v="S2761"/>
    <x v="13"/>
    <n v="2021"/>
    <x v="4"/>
    <s v="kg"/>
    <n v="2.57"/>
    <s v="E"/>
    <s v="Estimated value"/>
  </r>
  <r>
    <s v="FBS"/>
    <s v="Food Balances (2010-)"/>
    <n v="300"/>
    <x v="2"/>
    <n v="645"/>
    <s v="Food supply quantity (kg/capita/yr)"/>
    <s v="S2762"/>
    <x v="14"/>
    <n v="2017"/>
    <x v="0"/>
    <s v="kg"/>
    <n v="6.67"/>
    <s v="E"/>
    <s v="Estimated value"/>
  </r>
  <r>
    <s v="FBS"/>
    <s v="Food Balances (2010-)"/>
    <n v="300"/>
    <x v="2"/>
    <n v="645"/>
    <s v="Food supply quantity (kg/capita/yr)"/>
    <s v="S2762"/>
    <x v="14"/>
    <n v="2018"/>
    <x v="1"/>
    <s v="kg"/>
    <n v="6.97"/>
    <s v="E"/>
    <s v="Estimated value"/>
  </r>
  <r>
    <s v="FBS"/>
    <s v="Food Balances (2010-)"/>
    <n v="300"/>
    <x v="2"/>
    <n v="645"/>
    <s v="Food supply quantity (kg/capita/yr)"/>
    <s v="S2762"/>
    <x v="14"/>
    <n v="2019"/>
    <x v="2"/>
    <s v="kg"/>
    <n v="6.87"/>
    <s v="E"/>
    <s v="Estimated value"/>
  </r>
  <r>
    <s v="FBS"/>
    <s v="Food Balances (2010-)"/>
    <n v="300"/>
    <x v="2"/>
    <n v="645"/>
    <s v="Food supply quantity (kg/capita/yr)"/>
    <s v="S2762"/>
    <x v="14"/>
    <n v="2020"/>
    <x v="3"/>
    <s v="kg"/>
    <n v="6.91"/>
    <s v="E"/>
    <s v="Estimated value"/>
  </r>
  <r>
    <s v="FBS"/>
    <s v="Food Balances (2010-)"/>
    <n v="300"/>
    <x v="2"/>
    <n v="645"/>
    <s v="Food supply quantity (kg/capita/yr)"/>
    <s v="S2762"/>
    <x v="14"/>
    <n v="2021"/>
    <x v="4"/>
    <s v="kg"/>
    <n v="6.96"/>
    <s v="E"/>
    <s v="Estimated value"/>
  </r>
  <r>
    <s v="FBS"/>
    <s v="Food Balances (2010-)"/>
    <n v="300"/>
    <x v="2"/>
    <n v="645"/>
    <s v="Food supply quantity (kg/capita/yr)"/>
    <s v="S2763"/>
    <x v="15"/>
    <n v="2017"/>
    <x v="0"/>
    <s v="kg"/>
    <n v="4.3"/>
    <s v="E"/>
    <s v="Estimated value"/>
  </r>
  <r>
    <s v="FBS"/>
    <s v="Food Balances (2010-)"/>
    <n v="300"/>
    <x v="2"/>
    <n v="645"/>
    <s v="Food supply quantity (kg/capita/yr)"/>
    <s v="S2763"/>
    <x v="15"/>
    <n v="2018"/>
    <x v="1"/>
    <s v="kg"/>
    <n v="4.29"/>
    <s v="E"/>
    <s v="Estimated value"/>
  </r>
  <r>
    <s v="FBS"/>
    <s v="Food Balances (2010-)"/>
    <n v="300"/>
    <x v="2"/>
    <n v="645"/>
    <s v="Food supply quantity (kg/capita/yr)"/>
    <s v="S2763"/>
    <x v="15"/>
    <n v="2019"/>
    <x v="2"/>
    <s v="kg"/>
    <n v="5.04"/>
    <s v="E"/>
    <s v="Estimated value"/>
  </r>
  <r>
    <s v="FBS"/>
    <s v="Food Balances (2010-)"/>
    <n v="300"/>
    <x v="2"/>
    <n v="645"/>
    <s v="Food supply quantity (kg/capita/yr)"/>
    <s v="S2763"/>
    <x v="15"/>
    <n v="2020"/>
    <x v="3"/>
    <s v="kg"/>
    <n v="5.07"/>
    <s v="E"/>
    <s v="Estimated value"/>
  </r>
  <r>
    <s v="FBS"/>
    <s v="Food Balances (2010-)"/>
    <n v="300"/>
    <x v="2"/>
    <n v="645"/>
    <s v="Food supply quantity (kg/capita/yr)"/>
    <s v="S2763"/>
    <x v="15"/>
    <n v="2021"/>
    <x v="4"/>
    <s v="kg"/>
    <n v="5.0999999999999996"/>
    <s v="E"/>
    <s v="Estimated value"/>
  </r>
  <r>
    <s v="FBS"/>
    <s v="Food Balances (2010-)"/>
    <n v="300"/>
    <x v="2"/>
    <n v="645"/>
    <s v="Food supply quantity (kg/capita/yr)"/>
    <s v="S2764"/>
    <x v="16"/>
    <n v="2017"/>
    <x v="0"/>
    <s v="kg"/>
    <n v="0.49"/>
    <s v="E"/>
    <s v="Estimated value"/>
  </r>
  <r>
    <s v="FBS"/>
    <s v="Food Balances (2010-)"/>
    <n v="300"/>
    <x v="2"/>
    <n v="645"/>
    <s v="Food supply quantity (kg/capita/yr)"/>
    <s v="S2764"/>
    <x v="16"/>
    <n v="2018"/>
    <x v="1"/>
    <s v="kg"/>
    <n v="0.71"/>
    <s v="E"/>
    <s v="Estimated value"/>
  </r>
  <r>
    <s v="FBS"/>
    <s v="Food Balances (2010-)"/>
    <n v="300"/>
    <x v="2"/>
    <n v="645"/>
    <s v="Food supply quantity (kg/capita/yr)"/>
    <s v="S2764"/>
    <x v="16"/>
    <n v="2019"/>
    <x v="2"/>
    <s v="kg"/>
    <n v="0.96"/>
    <s v="E"/>
    <s v="Estimated value"/>
  </r>
  <r>
    <s v="FBS"/>
    <s v="Food Balances (2010-)"/>
    <n v="300"/>
    <x v="2"/>
    <n v="645"/>
    <s v="Food supply quantity (kg/capita/yr)"/>
    <s v="S2764"/>
    <x v="16"/>
    <n v="2020"/>
    <x v="3"/>
    <s v="kg"/>
    <n v="0.97"/>
    <s v="E"/>
    <s v="Estimated value"/>
  </r>
  <r>
    <s v="FBS"/>
    <s v="Food Balances (2010-)"/>
    <n v="300"/>
    <x v="2"/>
    <n v="645"/>
    <s v="Food supply quantity (kg/capita/yr)"/>
    <s v="S2764"/>
    <x v="16"/>
    <n v="2021"/>
    <x v="4"/>
    <s v="kg"/>
    <n v="0.98"/>
    <s v="E"/>
    <s v="Estimated value"/>
  </r>
  <r>
    <s v="FBS"/>
    <s v="Food Balances (2010-)"/>
    <n v="300"/>
    <x v="2"/>
    <n v="645"/>
    <s v="Food supply quantity (kg/capita/yr)"/>
    <s v="S2765"/>
    <x v="17"/>
    <n v="2017"/>
    <x v="0"/>
    <s v="kg"/>
    <n v="1.62"/>
    <s v="E"/>
    <s v="Estimated value"/>
  </r>
  <r>
    <s v="FBS"/>
    <s v="Food Balances (2010-)"/>
    <n v="300"/>
    <x v="2"/>
    <n v="645"/>
    <s v="Food supply quantity (kg/capita/yr)"/>
    <s v="S2765"/>
    <x v="17"/>
    <n v="2018"/>
    <x v="1"/>
    <s v="kg"/>
    <n v="1.67"/>
    <s v="E"/>
    <s v="Estimated value"/>
  </r>
  <r>
    <s v="FBS"/>
    <s v="Food Balances (2010-)"/>
    <n v="300"/>
    <x v="2"/>
    <n v="645"/>
    <s v="Food supply quantity (kg/capita/yr)"/>
    <s v="S2765"/>
    <x v="17"/>
    <n v="2019"/>
    <x v="2"/>
    <s v="kg"/>
    <n v="1.68"/>
    <s v="E"/>
    <s v="Estimated value"/>
  </r>
  <r>
    <s v="FBS"/>
    <s v="Food Balances (2010-)"/>
    <n v="300"/>
    <x v="2"/>
    <n v="645"/>
    <s v="Food supply quantity (kg/capita/yr)"/>
    <s v="S2765"/>
    <x v="17"/>
    <n v="2020"/>
    <x v="3"/>
    <s v="kg"/>
    <n v="1.69"/>
    <s v="E"/>
    <s v="Estimated value"/>
  </r>
  <r>
    <s v="FBS"/>
    <s v="Food Balances (2010-)"/>
    <n v="300"/>
    <x v="2"/>
    <n v="645"/>
    <s v="Food supply quantity (kg/capita/yr)"/>
    <s v="S2765"/>
    <x v="17"/>
    <n v="2021"/>
    <x v="4"/>
    <s v="kg"/>
    <n v="1.7"/>
    <s v="E"/>
    <s v="Estimated value"/>
  </r>
  <r>
    <s v="FBS"/>
    <s v="Food Balances (2010-)"/>
    <n v="300"/>
    <x v="2"/>
    <n v="645"/>
    <s v="Food supply quantity (kg/capita/yr)"/>
    <s v="S2766"/>
    <x v="18"/>
    <n v="2017"/>
    <x v="0"/>
    <s v="kg"/>
    <n v="3.6"/>
    <s v="E"/>
    <s v="Estimated value"/>
  </r>
  <r>
    <s v="FBS"/>
    <s v="Food Balances (2010-)"/>
    <n v="300"/>
    <x v="2"/>
    <n v="645"/>
    <s v="Food supply quantity (kg/capita/yr)"/>
    <s v="S2766"/>
    <x v="18"/>
    <n v="2018"/>
    <x v="1"/>
    <s v="kg"/>
    <n v="3.35"/>
    <s v="E"/>
    <s v="Estimated value"/>
  </r>
  <r>
    <s v="FBS"/>
    <s v="Food Balances (2010-)"/>
    <n v="300"/>
    <x v="2"/>
    <n v="645"/>
    <s v="Food supply quantity (kg/capita/yr)"/>
    <s v="S2766"/>
    <x v="18"/>
    <n v="2019"/>
    <x v="2"/>
    <s v="kg"/>
    <n v="3.39"/>
    <s v="E"/>
    <s v="Estimated value"/>
  </r>
  <r>
    <s v="FBS"/>
    <s v="Food Balances (2010-)"/>
    <n v="300"/>
    <x v="2"/>
    <n v="645"/>
    <s v="Food supply quantity (kg/capita/yr)"/>
    <s v="S2766"/>
    <x v="18"/>
    <n v="2020"/>
    <x v="3"/>
    <s v="kg"/>
    <n v="3.41"/>
    <s v="E"/>
    <s v="Estimated value"/>
  </r>
  <r>
    <s v="FBS"/>
    <s v="Food Balances (2010-)"/>
    <n v="300"/>
    <x v="2"/>
    <n v="645"/>
    <s v="Food supply quantity (kg/capita/yr)"/>
    <s v="S2766"/>
    <x v="18"/>
    <n v="2021"/>
    <x v="4"/>
    <s v="kg"/>
    <n v="3.43"/>
    <s v="E"/>
    <s v="Estimated value"/>
  </r>
  <r>
    <s v="FBS"/>
    <s v="Food Balances (2010-)"/>
    <n v="300"/>
    <x v="2"/>
    <n v="645"/>
    <s v="Food supply quantity (kg/capita/yr)"/>
    <s v="S2767"/>
    <x v="19"/>
    <n v="2017"/>
    <x v="0"/>
    <s v="kg"/>
    <n v="0.59"/>
    <s v="E"/>
    <s v="Estimated value"/>
  </r>
  <r>
    <s v="FBS"/>
    <s v="Food Balances (2010-)"/>
    <n v="300"/>
    <x v="2"/>
    <n v="645"/>
    <s v="Food supply quantity (kg/capita/yr)"/>
    <s v="S2767"/>
    <x v="19"/>
    <n v="2018"/>
    <x v="1"/>
    <s v="kg"/>
    <n v="0.7"/>
    <s v="E"/>
    <s v="Estimated value"/>
  </r>
  <r>
    <s v="FBS"/>
    <s v="Food Balances (2010-)"/>
    <n v="300"/>
    <x v="2"/>
    <n v="645"/>
    <s v="Food supply quantity (kg/capita/yr)"/>
    <s v="S2767"/>
    <x v="19"/>
    <n v="2019"/>
    <x v="2"/>
    <s v="kg"/>
    <n v="0.91"/>
    <s v="E"/>
    <s v="Estimated value"/>
  </r>
  <r>
    <s v="FBS"/>
    <s v="Food Balances (2010-)"/>
    <n v="300"/>
    <x v="2"/>
    <n v="645"/>
    <s v="Food supply quantity (kg/capita/yr)"/>
    <s v="S2767"/>
    <x v="19"/>
    <n v="2020"/>
    <x v="3"/>
    <s v="kg"/>
    <n v="0.91"/>
    <s v="E"/>
    <s v="Estimated value"/>
  </r>
  <r>
    <s v="FBS"/>
    <s v="Food Balances (2010-)"/>
    <n v="300"/>
    <x v="2"/>
    <n v="645"/>
    <s v="Food supply quantity (kg/capita/yr)"/>
    <s v="S2767"/>
    <x v="19"/>
    <n v="2021"/>
    <x v="4"/>
    <s v="kg"/>
    <n v="0.92"/>
    <s v="E"/>
    <s v="Estimated value"/>
  </r>
  <r>
    <s v="FBS"/>
    <s v="Food Balances (2010-)"/>
    <n v="300"/>
    <x v="2"/>
    <n v="645"/>
    <s v="Food supply quantity (kg/capita/yr)"/>
    <s v="S2769"/>
    <x v="20"/>
    <n v="2017"/>
    <x v="0"/>
    <s v="kg"/>
    <n v="0.01"/>
    <s v="E"/>
    <s v="Estimated value"/>
  </r>
  <r>
    <s v="FBS"/>
    <s v="Food Balances (2010-)"/>
    <n v="300"/>
    <x v="2"/>
    <n v="645"/>
    <s v="Food supply quantity (kg/capita/yr)"/>
    <s v="S2769"/>
    <x v="20"/>
    <n v="2018"/>
    <x v="1"/>
    <s v="kg"/>
    <n v="0.01"/>
    <s v="E"/>
    <s v="Estimated value"/>
  </r>
  <r>
    <s v="FBS"/>
    <s v="Food Balances (2010-)"/>
    <n v="300"/>
    <x v="2"/>
    <n v="645"/>
    <s v="Food supply quantity (kg/capita/yr)"/>
    <s v="S2769"/>
    <x v="20"/>
    <n v="2019"/>
    <x v="2"/>
    <s v="kg"/>
    <n v="0.01"/>
    <s v="E"/>
    <s v="Estimated value"/>
  </r>
  <r>
    <s v="FBS"/>
    <s v="Food Balances (2010-)"/>
    <n v="300"/>
    <x v="2"/>
    <n v="645"/>
    <s v="Food supply quantity (kg/capita/yr)"/>
    <s v="S2769"/>
    <x v="20"/>
    <n v="2020"/>
    <x v="3"/>
    <s v="kg"/>
    <n v="0.01"/>
    <s v="E"/>
    <s v="Estimated value"/>
  </r>
  <r>
    <s v="FBS"/>
    <s v="Food Balances (2010-)"/>
    <n v="300"/>
    <x v="2"/>
    <n v="645"/>
    <s v="Food supply quantity (kg/capita/yr)"/>
    <s v="S2769"/>
    <x v="20"/>
    <n v="2021"/>
    <x v="4"/>
    <s v="kg"/>
    <n v="0.01"/>
    <s v="E"/>
    <s v="Estimated value"/>
  </r>
  <r>
    <s v="FBS"/>
    <s v="Food Balances (2010-)"/>
    <n v="348"/>
    <x v="3"/>
    <n v="645"/>
    <s v="Food supply quantity (kg/capita/yr)"/>
    <s v="S2731"/>
    <x v="0"/>
    <n v="2017"/>
    <x v="0"/>
    <s v="kg"/>
    <n v="5.49"/>
    <s v="E"/>
    <s v="Estimated value"/>
  </r>
  <r>
    <s v="FBS"/>
    <s v="Food Balances (2010-)"/>
    <n v="348"/>
    <x v="3"/>
    <n v="645"/>
    <s v="Food supply quantity (kg/capita/yr)"/>
    <s v="S2731"/>
    <x v="0"/>
    <n v="2018"/>
    <x v="1"/>
    <s v="kg"/>
    <n v="5.81"/>
    <s v="E"/>
    <s v="Estimated value"/>
  </r>
  <r>
    <s v="FBS"/>
    <s v="Food Balances (2010-)"/>
    <n v="348"/>
    <x v="3"/>
    <n v="645"/>
    <s v="Food supply quantity (kg/capita/yr)"/>
    <s v="S2731"/>
    <x v="0"/>
    <n v="2019"/>
    <x v="2"/>
    <s v="kg"/>
    <n v="6.11"/>
    <s v="E"/>
    <s v="Estimated value"/>
  </r>
  <r>
    <s v="FBS"/>
    <s v="Food Balances (2010-)"/>
    <n v="348"/>
    <x v="3"/>
    <n v="645"/>
    <s v="Food supply quantity (kg/capita/yr)"/>
    <s v="S2731"/>
    <x v="0"/>
    <n v="2020"/>
    <x v="3"/>
    <s v="kg"/>
    <n v="5.77"/>
    <s v="E"/>
    <s v="Estimated value"/>
  </r>
  <r>
    <s v="FBS"/>
    <s v="Food Balances (2010-)"/>
    <n v="348"/>
    <x v="3"/>
    <n v="645"/>
    <s v="Food supply quantity (kg/capita/yr)"/>
    <s v="S2731"/>
    <x v="0"/>
    <n v="2021"/>
    <x v="4"/>
    <s v="kg"/>
    <n v="5.77"/>
    <s v="E"/>
    <s v="Estimated value"/>
  </r>
  <r>
    <s v="FBS"/>
    <s v="Food Balances (2010-)"/>
    <n v="348"/>
    <x v="3"/>
    <n v="645"/>
    <s v="Food supply quantity (kg/capita/yr)"/>
    <s v="S2732"/>
    <x v="1"/>
    <n v="2017"/>
    <x v="0"/>
    <s v="kg"/>
    <n v="0.14000000000000001"/>
    <s v="E"/>
    <s v="Estimated value"/>
  </r>
  <r>
    <s v="FBS"/>
    <s v="Food Balances (2010-)"/>
    <n v="348"/>
    <x v="3"/>
    <n v="645"/>
    <s v="Food supply quantity (kg/capita/yr)"/>
    <s v="S2732"/>
    <x v="1"/>
    <n v="2018"/>
    <x v="1"/>
    <s v="kg"/>
    <n v="0.15"/>
    <s v="E"/>
    <s v="Estimated value"/>
  </r>
  <r>
    <s v="FBS"/>
    <s v="Food Balances (2010-)"/>
    <n v="348"/>
    <x v="3"/>
    <n v="645"/>
    <s v="Food supply quantity (kg/capita/yr)"/>
    <s v="S2732"/>
    <x v="1"/>
    <n v="2019"/>
    <x v="2"/>
    <s v="kg"/>
    <n v="0.16"/>
    <s v="E"/>
    <s v="Estimated value"/>
  </r>
  <r>
    <s v="FBS"/>
    <s v="Food Balances (2010-)"/>
    <n v="348"/>
    <x v="3"/>
    <n v="645"/>
    <s v="Food supply quantity (kg/capita/yr)"/>
    <s v="S2732"/>
    <x v="1"/>
    <n v="2020"/>
    <x v="3"/>
    <s v="kg"/>
    <n v="0.08"/>
    <s v="E"/>
    <s v="Estimated value"/>
  </r>
  <r>
    <s v="FBS"/>
    <s v="Food Balances (2010-)"/>
    <n v="348"/>
    <x v="3"/>
    <n v="645"/>
    <s v="Food supply quantity (kg/capita/yr)"/>
    <s v="S2732"/>
    <x v="1"/>
    <n v="2021"/>
    <x v="4"/>
    <s v="kg"/>
    <n v="0.1"/>
    <s v="E"/>
    <s v="Estimated value"/>
  </r>
  <r>
    <s v="FBS"/>
    <s v="Food Balances (2010-)"/>
    <n v="348"/>
    <x v="3"/>
    <n v="645"/>
    <s v="Food supply quantity (kg/capita/yr)"/>
    <s v="S2733"/>
    <x v="2"/>
    <n v="2017"/>
    <x v="0"/>
    <s v="kg"/>
    <n v="49.52"/>
    <s v="E"/>
    <s v="Estimated value"/>
  </r>
  <r>
    <s v="FBS"/>
    <s v="Food Balances (2010-)"/>
    <n v="348"/>
    <x v="3"/>
    <n v="645"/>
    <s v="Food supply quantity (kg/capita/yr)"/>
    <s v="S2733"/>
    <x v="2"/>
    <n v="2018"/>
    <x v="1"/>
    <s v="kg"/>
    <n v="53.93"/>
    <s v="E"/>
    <s v="Estimated value"/>
  </r>
  <r>
    <s v="FBS"/>
    <s v="Food Balances (2010-)"/>
    <n v="348"/>
    <x v="3"/>
    <n v="645"/>
    <s v="Food supply quantity (kg/capita/yr)"/>
    <s v="S2733"/>
    <x v="2"/>
    <n v="2019"/>
    <x v="2"/>
    <s v="kg"/>
    <n v="51.4"/>
    <s v="E"/>
    <s v="Estimated value"/>
  </r>
  <r>
    <s v="FBS"/>
    <s v="Food Balances (2010-)"/>
    <n v="348"/>
    <x v="3"/>
    <n v="645"/>
    <s v="Food supply quantity (kg/capita/yr)"/>
    <s v="S2733"/>
    <x v="2"/>
    <n v="2020"/>
    <x v="3"/>
    <s v="kg"/>
    <n v="47.86"/>
    <s v="E"/>
    <s v="Estimated value"/>
  </r>
  <r>
    <s v="FBS"/>
    <s v="Food Balances (2010-)"/>
    <n v="348"/>
    <x v="3"/>
    <n v="645"/>
    <s v="Food supply quantity (kg/capita/yr)"/>
    <s v="S2733"/>
    <x v="2"/>
    <n v="2021"/>
    <x v="4"/>
    <s v="kg"/>
    <n v="49.99"/>
    <s v="E"/>
    <s v="Estimated value"/>
  </r>
  <r>
    <s v="FBS"/>
    <s v="Food Balances (2010-)"/>
    <n v="348"/>
    <x v="3"/>
    <n v="645"/>
    <s v="Food supply quantity (kg/capita/yr)"/>
    <s v="S2734"/>
    <x v="3"/>
    <n v="2017"/>
    <x v="0"/>
    <s v="kg"/>
    <n v="25.14"/>
    <s v="E"/>
    <s v="Estimated value"/>
  </r>
  <r>
    <s v="FBS"/>
    <s v="Food Balances (2010-)"/>
    <n v="348"/>
    <x v="3"/>
    <n v="645"/>
    <s v="Food supply quantity (kg/capita/yr)"/>
    <s v="S2734"/>
    <x v="3"/>
    <n v="2018"/>
    <x v="1"/>
    <s v="kg"/>
    <n v="26.51"/>
    <s v="E"/>
    <s v="Estimated value"/>
  </r>
  <r>
    <s v="FBS"/>
    <s v="Food Balances (2010-)"/>
    <n v="348"/>
    <x v="3"/>
    <n v="645"/>
    <s v="Food supply quantity (kg/capita/yr)"/>
    <s v="S2734"/>
    <x v="3"/>
    <n v="2019"/>
    <x v="2"/>
    <s v="kg"/>
    <n v="27.33"/>
    <s v="E"/>
    <s v="Estimated value"/>
  </r>
  <r>
    <s v="FBS"/>
    <s v="Food Balances (2010-)"/>
    <n v="348"/>
    <x v="3"/>
    <n v="645"/>
    <s v="Food supply quantity (kg/capita/yr)"/>
    <s v="S2734"/>
    <x v="3"/>
    <n v="2020"/>
    <x v="3"/>
    <s v="kg"/>
    <n v="27.48"/>
    <s v="E"/>
    <s v="Estimated value"/>
  </r>
  <r>
    <s v="FBS"/>
    <s v="Food Balances (2010-)"/>
    <n v="348"/>
    <x v="3"/>
    <n v="645"/>
    <s v="Food supply quantity (kg/capita/yr)"/>
    <s v="S2734"/>
    <x v="3"/>
    <n v="2021"/>
    <x v="4"/>
    <s v="kg"/>
    <n v="25.73"/>
    <s v="E"/>
    <s v="Estimated value"/>
  </r>
  <r>
    <s v="FBS"/>
    <s v="Food Balances (2010-)"/>
    <n v="348"/>
    <x v="3"/>
    <n v="645"/>
    <s v="Food supply quantity (kg/capita/yr)"/>
    <s v="S2735"/>
    <x v="4"/>
    <n v="2017"/>
    <x v="0"/>
    <s v="kg"/>
    <n v="0.28999999999999998"/>
    <s v="E"/>
    <s v="Estimated value"/>
  </r>
  <r>
    <s v="FBS"/>
    <s v="Food Balances (2010-)"/>
    <n v="348"/>
    <x v="3"/>
    <n v="645"/>
    <s v="Food supply quantity (kg/capita/yr)"/>
    <s v="S2735"/>
    <x v="4"/>
    <n v="2018"/>
    <x v="1"/>
    <s v="kg"/>
    <n v="0.32"/>
    <s v="E"/>
    <s v="Estimated value"/>
  </r>
  <r>
    <s v="FBS"/>
    <s v="Food Balances (2010-)"/>
    <n v="348"/>
    <x v="3"/>
    <n v="645"/>
    <s v="Food supply quantity (kg/capita/yr)"/>
    <s v="S2735"/>
    <x v="4"/>
    <n v="2019"/>
    <x v="2"/>
    <s v="kg"/>
    <n v="0.16"/>
    <s v="E"/>
    <s v="Estimated value"/>
  </r>
  <r>
    <s v="FBS"/>
    <s v="Food Balances (2010-)"/>
    <n v="348"/>
    <x v="3"/>
    <n v="645"/>
    <s v="Food supply quantity (kg/capita/yr)"/>
    <s v="S2735"/>
    <x v="4"/>
    <n v="2020"/>
    <x v="3"/>
    <s v="kg"/>
    <n v="0.23"/>
    <s v="E"/>
    <s v="Estimated value"/>
  </r>
  <r>
    <s v="FBS"/>
    <s v="Food Balances (2010-)"/>
    <n v="348"/>
    <x v="3"/>
    <n v="645"/>
    <s v="Food supply quantity (kg/capita/yr)"/>
    <s v="S2735"/>
    <x v="4"/>
    <n v="2021"/>
    <x v="4"/>
    <s v="kg"/>
    <n v="0.49"/>
    <s v="E"/>
    <s v="Estimated value"/>
  </r>
  <r>
    <s v="FBS"/>
    <s v="Food Balances (2010-)"/>
    <n v="348"/>
    <x v="3"/>
    <n v="645"/>
    <s v="Food supply quantity (kg/capita/yr)"/>
    <s v="S2736"/>
    <x v="5"/>
    <n v="2017"/>
    <x v="0"/>
    <s v="kg"/>
    <n v="7.0000000000000007E-2"/>
    <s v="E"/>
    <s v="Estimated value"/>
  </r>
  <r>
    <s v="FBS"/>
    <s v="Food Balances (2010-)"/>
    <n v="348"/>
    <x v="3"/>
    <n v="645"/>
    <s v="Food supply quantity (kg/capita/yr)"/>
    <s v="S2736"/>
    <x v="5"/>
    <n v="2018"/>
    <x v="1"/>
    <s v="kg"/>
    <n v="0.26"/>
    <s v="E"/>
    <s v="Estimated value"/>
  </r>
  <r>
    <s v="FBS"/>
    <s v="Food Balances (2010-)"/>
    <n v="348"/>
    <x v="3"/>
    <n v="645"/>
    <s v="Food supply quantity (kg/capita/yr)"/>
    <s v="S2736"/>
    <x v="5"/>
    <n v="2019"/>
    <x v="2"/>
    <s v="kg"/>
    <n v="0.43"/>
    <s v="E"/>
    <s v="Estimated value"/>
  </r>
  <r>
    <s v="FBS"/>
    <s v="Food Balances (2010-)"/>
    <n v="348"/>
    <x v="3"/>
    <n v="645"/>
    <s v="Food supply quantity (kg/capita/yr)"/>
    <s v="S2736"/>
    <x v="5"/>
    <n v="2020"/>
    <x v="3"/>
    <s v="kg"/>
    <n v="0.4"/>
    <s v="E"/>
    <s v="Estimated value"/>
  </r>
  <r>
    <s v="FBS"/>
    <s v="Food Balances (2010-)"/>
    <n v="348"/>
    <x v="3"/>
    <n v="645"/>
    <s v="Food supply quantity (kg/capita/yr)"/>
    <s v="S2736"/>
    <x v="5"/>
    <n v="2021"/>
    <x v="4"/>
    <s v="kg"/>
    <n v="0.6"/>
    <s v="E"/>
    <s v="Estimated value"/>
  </r>
  <r>
    <s v="FBS"/>
    <s v="Food Balances (2010-)"/>
    <n v="348"/>
    <x v="3"/>
    <n v="645"/>
    <s v="Food supply quantity (kg/capita/yr)"/>
    <s v="S2740"/>
    <x v="6"/>
    <n v="2017"/>
    <x v="0"/>
    <s v="kg"/>
    <n v="1.08"/>
    <s v="E"/>
    <s v="Estimated value"/>
  </r>
  <r>
    <s v="FBS"/>
    <s v="Food Balances (2010-)"/>
    <n v="348"/>
    <x v="3"/>
    <n v="645"/>
    <s v="Food supply quantity (kg/capita/yr)"/>
    <s v="S2740"/>
    <x v="6"/>
    <n v="2018"/>
    <x v="1"/>
    <s v="kg"/>
    <n v="1.17"/>
    <s v="E"/>
    <s v="Estimated value"/>
  </r>
  <r>
    <s v="FBS"/>
    <s v="Food Balances (2010-)"/>
    <n v="348"/>
    <x v="3"/>
    <n v="645"/>
    <s v="Food supply quantity (kg/capita/yr)"/>
    <s v="S2740"/>
    <x v="6"/>
    <n v="2019"/>
    <x v="2"/>
    <s v="kg"/>
    <n v="1.47"/>
    <s v="E"/>
    <s v="Estimated value"/>
  </r>
  <r>
    <s v="FBS"/>
    <s v="Food Balances (2010-)"/>
    <n v="348"/>
    <x v="3"/>
    <n v="645"/>
    <s v="Food supply quantity (kg/capita/yr)"/>
    <s v="S2740"/>
    <x v="6"/>
    <n v="2020"/>
    <x v="3"/>
    <s v="kg"/>
    <n v="1.49"/>
    <s v="E"/>
    <s v="Estimated value"/>
  </r>
  <r>
    <s v="FBS"/>
    <s v="Food Balances (2010-)"/>
    <n v="348"/>
    <x v="3"/>
    <n v="645"/>
    <s v="Food supply quantity (kg/capita/yr)"/>
    <s v="S2740"/>
    <x v="6"/>
    <n v="2021"/>
    <x v="4"/>
    <s v="kg"/>
    <n v="1.54"/>
    <s v="E"/>
    <s v="Estimated value"/>
  </r>
  <r>
    <s v="FBS"/>
    <s v="Food Balances (2010-)"/>
    <n v="348"/>
    <x v="3"/>
    <n v="645"/>
    <s v="Food supply quantity (kg/capita/yr)"/>
    <s v="S2743"/>
    <x v="7"/>
    <n v="2017"/>
    <x v="0"/>
    <s v="kg"/>
    <n v="8.0399999999999991"/>
    <s v="E"/>
    <s v="Estimated value"/>
  </r>
  <r>
    <s v="FBS"/>
    <s v="Food Balances (2010-)"/>
    <n v="348"/>
    <x v="3"/>
    <n v="645"/>
    <s v="Food supply quantity (kg/capita/yr)"/>
    <s v="S2743"/>
    <x v="7"/>
    <n v="2018"/>
    <x v="1"/>
    <s v="kg"/>
    <n v="10.3"/>
    <s v="E"/>
    <s v="Estimated value"/>
  </r>
  <r>
    <s v="FBS"/>
    <s v="Food Balances (2010-)"/>
    <n v="348"/>
    <x v="3"/>
    <n v="645"/>
    <s v="Food supply quantity (kg/capita/yr)"/>
    <s v="S2743"/>
    <x v="7"/>
    <n v="2019"/>
    <x v="2"/>
    <s v="kg"/>
    <n v="1.22"/>
    <s v="E"/>
    <s v="Estimated value"/>
  </r>
  <r>
    <s v="FBS"/>
    <s v="Food Balances (2010-)"/>
    <n v="348"/>
    <x v="3"/>
    <n v="645"/>
    <s v="Food supply quantity (kg/capita/yr)"/>
    <s v="S2743"/>
    <x v="7"/>
    <n v="2020"/>
    <x v="3"/>
    <s v="kg"/>
    <n v="1.78"/>
    <s v="E"/>
    <s v="Estimated value"/>
  </r>
  <r>
    <s v="FBS"/>
    <s v="Food Balances (2010-)"/>
    <n v="348"/>
    <x v="3"/>
    <n v="645"/>
    <s v="Food supply quantity (kg/capita/yr)"/>
    <s v="S2743"/>
    <x v="7"/>
    <n v="2021"/>
    <x v="4"/>
    <s v="kg"/>
    <n v="1.19"/>
    <s v="E"/>
    <s v="Estimated value"/>
  </r>
  <r>
    <s v="FBS"/>
    <s v="Food Balances (2010-)"/>
    <n v="348"/>
    <x v="3"/>
    <n v="645"/>
    <s v="Food supply quantity (kg/capita/yr)"/>
    <s v="S2737"/>
    <x v="8"/>
    <n v="2017"/>
    <x v="0"/>
    <s v="kg"/>
    <n v="3.73"/>
    <s v="E"/>
    <s v="Estimated value"/>
  </r>
  <r>
    <s v="FBS"/>
    <s v="Food Balances (2010-)"/>
    <n v="348"/>
    <x v="3"/>
    <n v="645"/>
    <s v="Food supply quantity (kg/capita/yr)"/>
    <s v="S2737"/>
    <x v="8"/>
    <n v="2018"/>
    <x v="1"/>
    <s v="kg"/>
    <n v="4.76"/>
    <s v="E"/>
    <s v="Estimated value"/>
  </r>
  <r>
    <s v="FBS"/>
    <s v="Food Balances (2010-)"/>
    <n v="348"/>
    <x v="3"/>
    <n v="645"/>
    <s v="Food supply quantity (kg/capita/yr)"/>
    <s v="S2737"/>
    <x v="8"/>
    <n v="2019"/>
    <x v="2"/>
    <s v="kg"/>
    <n v="4.8600000000000003"/>
    <s v="E"/>
    <s v="Estimated value"/>
  </r>
  <r>
    <s v="FBS"/>
    <s v="Food Balances (2010-)"/>
    <n v="348"/>
    <x v="3"/>
    <n v="645"/>
    <s v="Food supply quantity (kg/capita/yr)"/>
    <s v="S2737"/>
    <x v="8"/>
    <n v="2020"/>
    <x v="3"/>
    <s v="kg"/>
    <n v="4"/>
    <s v="E"/>
    <s v="Estimated value"/>
  </r>
  <r>
    <s v="FBS"/>
    <s v="Food Balances (2010-)"/>
    <n v="348"/>
    <x v="3"/>
    <n v="645"/>
    <s v="Food supply quantity (kg/capita/yr)"/>
    <s v="S2737"/>
    <x v="8"/>
    <n v="2021"/>
    <x v="4"/>
    <s v="kg"/>
    <n v="4.33"/>
    <s v="E"/>
    <s v="Estimated value"/>
  </r>
  <r>
    <s v="FBS"/>
    <s v="Food Balances (2010-)"/>
    <n v="348"/>
    <x v="3"/>
    <n v="645"/>
    <s v="Food supply quantity (kg/capita/yr)"/>
    <s v="S2782"/>
    <x v="10"/>
    <n v="2017"/>
    <x v="0"/>
    <s v="kg"/>
    <n v="0"/>
    <s v="E"/>
    <s v="Estimated value"/>
  </r>
  <r>
    <s v="FBS"/>
    <s v="Food Balances (2010-)"/>
    <n v="348"/>
    <x v="3"/>
    <n v="645"/>
    <s v="Food supply quantity (kg/capita/yr)"/>
    <s v="S2782"/>
    <x v="10"/>
    <n v="2018"/>
    <x v="1"/>
    <s v="kg"/>
    <n v="0"/>
    <s v="E"/>
    <s v="Estimated value"/>
  </r>
  <r>
    <s v="FBS"/>
    <s v="Food Balances (2010-)"/>
    <n v="348"/>
    <x v="3"/>
    <n v="645"/>
    <s v="Food supply quantity (kg/capita/yr)"/>
    <s v="S2782"/>
    <x v="10"/>
    <n v="2019"/>
    <x v="2"/>
    <s v="kg"/>
    <n v="0"/>
    <s v="E"/>
    <s v="Estimated value"/>
  </r>
  <r>
    <s v="FBS"/>
    <s v="Food Balances (2010-)"/>
    <n v="348"/>
    <x v="3"/>
    <n v="645"/>
    <s v="Food supply quantity (kg/capita/yr)"/>
    <s v="S2782"/>
    <x v="10"/>
    <n v="2020"/>
    <x v="3"/>
    <s v="kg"/>
    <n v="0"/>
    <s v="E"/>
    <s v="Estimated value"/>
  </r>
  <r>
    <s v="FBS"/>
    <s v="Food Balances (2010-)"/>
    <n v="348"/>
    <x v="3"/>
    <n v="645"/>
    <s v="Food supply quantity (kg/capita/yr)"/>
    <s v="S2782"/>
    <x v="10"/>
    <n v="2021"/>
    <x v="4"/>
    <s v="kg"/>
    <n v="0"/>
    <s v="E"/>
    <s v="Estimated value"/>
  </r>
  <r>
    <s v="FBS"/>
    <s v="Food Balances (2010-)"/>
    <n v="348"/>
    <x v="3"/>
    <n v="645"/>
    <s v="Food supply quantity (kg/capita/yr)"/>
    <s v="S2744"/>
    <x v="11"/>
    <n v="2017"/>
    <x v="0"/>
    <s v="kg"/>
    <n v="13.82"/>
    <s v="E"/>
    <s v="Estimated value"/>
  </r>
  <r>
    <s v="FBS"/>
    <s v="Food Balances (2010-)"/>
    <n v="348"/>
    <x v="3"/>
    <n v="645"/>
    <s v="Food supply quantity (kg/capita/yr)"/>
    <s v="S2744"/>
    <x v="11"/>
    <n v="2018"/>
    <x v="1"/>
    <s v="kg"/>
    <n v="13.69"/>
    <s v="E"/>
    <s v="Estimated value"/>
  </r>
  <r>
    <s v="FBS"/>
    <s v="Food Balances (2010-)"/>
    <n v="348"/>
    <x v="3"/>
    <n v="645"/>
    <s v="Food supply quantity (kg/capita/yr)"/>
    <s v="S2744"/>
    <x v="11"/>
    <n v="2019"/>
    <x v="2"/>
    <s v="kg"/>
    <n v="14.04"/>
    <s v="E"/>
    <s v="Estimated value"/>
  </r>
  <r>
    <s v="FBS"/>
    <s v="Food Balances (2010-)"/>
    <n v="348"/>
    <x v="3"/>
    <n v="645"/>
    <s v="Food supply quantity (kg/capita/yr)"/>
    <s v="S2744"/>
    <x v="11"/>
    <n v="2020"/>
    <x v="3"/>
    <s v="kg"/>
    <n v="14.55"/>
    <s v="E"/>
    <s v="Estimated value"/>
  </r>
  <r>
    <s v="FBS"/>
    <s v="Food Balances (2010-)"/>
    <n v="348"/>
    <x v="3"/>
    <n v="645"/>
    <s v="Food supply quantity (kg/capita/yr)"/>
    <s v="S2744"/>
    <x v="11"/>
    <n v="2021"/>
    <x v="4"/>
    <s v="kg"/>
    <n v="13.85"/>
    <s v="E"/>
    <s v="Estimated value"/>
  </r>
  <r>
    <s v="FBS"/>
    <s v="Food Balances (2010-)"/>
    <n v="348"/>
    <x v="3"/>
    <n v="645"/>
    <s v="Food supply quantity (kg/capita/yr)"/>
    <s v="S2848"/>
    <x v="12"/>
    <n v="2017"/>
    <x v="0"/>
    <s v="kg"/>
    <n v="172.86"/>
    <s v="E"/>
    <s v="Estimated value"/>
  </r>
  <r>
    <s v="FBS"/>
    <s v="Food Balances (2010-)"/>
    <n v="348"/>
    <x v="3"/>
    <n v="645"/>
    <s v="Food supply quantity (kg/capita/yr)"/>
    <s v="S2848"/>
    <x v="12"/>
    <n v="2018"/>
    <x v="1"/>
    <s v="kg"/>
    <n v="167.41"/>
    <s v="E"/>
    <s v="Estimated value"/>
  </r>
  <r>
    <s v="FBS"/>
    <s v="Food Balances (2010-)"/>
    <n v="348"/>
    <x v="3"/>
    <n v="645"/>
    <s v="Food supply quantity (kg/capita/yr)"/>
    <s v="S2848"/>
    <x v="12"/>
    <n v="2019"/>
    <x v="2"/>
    <s v="kg"/>
    <n v="181.86"/>
    <s v="E"/>
    <s v="Estimated value"/>
  </r>
  <r>
    <s v="FBS"/>
    <s v="Food Balances (2010-)"/>
    <n v="348"/>
    <x v="3"/>
    <n v="645"/>
    <s v="Food supply quantity (kg/capita/yr)"/>
    <s v="S2848"/>
    <x v="12"/>
    <n v="2020"/>
    <x v="3"/>
    <s v="kg"/>
    <n v="181.42"/>
    <s v="E"/>
    <s v="Estimated value"/>
  </r>
  <r>
    <s v="FBS"/>
    <s v="Food Balances (2010-)"/>
    <n v="348"/>
    <x v="3"/>
    <n v="645"/>
    <s v="Food supply quantity (kg/capita/yr)"/>
    <s v="S2848"/>
    <x v="12"/>
    <n v="2021"/>
    <x v="4"/>
    <s v="kg"/>
    <n v="181.72"/>
    <s v="E"/>
    <s v="Estimated value"/>
  </r>
  <r>
    <s v="FBS"/>
    <s v="Food Balances (2010-)"/>
    <n v="348"/>
    <x v="3"/>
    <n v="645"/>
    <s v="Food supply quantity (kg/capita/yr)"/>
    <s v="S2761"/>
    <x v="13"/>
    <n v="2017"/>
    <x v="0"/>
    <s v="kg"/>
    <n v="3.08"/>
    <s v="E"/>
    <s v="Estimated value"/>
  </r>
  <r>
    <s v="FBS"/>
    <s v="Food Balances (2010-)"/>
    <n v="348"/>
    <x v="3"/>
    <n v="645"/>
    <s v="Food supply quantity (kg/capita/yr)"/>
    <s v="S2761"/>
    <x v="13"/>
    <n v="2018"/>
    <x v="1"/>
    <s v="kg"/>
    <n v="3.13"/>
    <s v="E"/>
    <s v="Estimated value"/>
  </r>
  <r>
    <s v="FBS"/>
    <s v="Food Balances (2010-)"/>
    <n v="348"/>
    <x v="3"/>
    <n v="645"/>
    <s v="Food supply quantity (kg/capita/yr)"/>
    <s v="S2761"/>
    <x v="13"/>
    <n v="2019"/>
    <x v="2"/>
    <s v="kg"/>
    <n v="2.99"/>
    <s v="E"/>
    <s v="Estimated value"/>
  </r>
  <r>
    <s v="FBS"/>
    <s v="Food Balances (2010-)"/>
    <n v="348"/>
    <x v="3"/>
    <n v="645"/>
    <s v="Food supply quantity (kg/capita/yr)"/>
    <s v="S2761"/>
    <x v="13"/>
    <n v="2020"/>
    <x v="3"/>
    <s v="kg"/>
    <n v="2.99"/>
    <s v="E"/>
    <s v="Estimated value"/>
  </r>
  <r>
    <s v="FBS"/>
    <s v="Food Balances (2010-)"/>
    <n v="348"/>
    <x v="3"/>
    <n v="645"/>
    <s v="Food supply quantity (kg/capita/yr)"/>
    <s v="S2761"/>
    <x v="13"/>
    <n v="2021"/>
    <x v="4"/>
    <s v="kg"/>
    <n v="3.01"/>
    <s v="E"/>
    <s v="Estimated value"/>
  </r>
  <r>
    <s v="FBS"/>
    <s v="Food Balances (2010-)"/>
    <n v="348"/>
    <x v="3"/>
    <n v="645"/>
    <s v="Food supply quantity (kg/capita/yr)"/>
    <s v="S2762"/>
    <x v="14"/>
    <n v="2017"/>
    <x v="0"/>
    <s v="kg"/>
    <n v="1.27"/>
    <s v="E"/>
    <s v="Estimated value"/>
  </r>
  <r>
    <s v="FBS"/>
    <s v="Food Balances (2010-)"/>
    <n v="348"/>
    <x v="3"/>
    <n v="645"/>
    <s v="Food supply quantity (kg/capita/yr)"/>
    <s v="S2762"/>
    <x v="14"/>
    <n v="2018"/>
    <x v="1"/>
    <s v="kg"/>
    <n v="1.41"/>
    <s v="E"/>
    <s v="Estimated value"/>
  </r>
  <r>
    <s v="FBS"/>
    <s v="Food Balances (2010-)"/>
    <n v="348"/>
    <x v="3"/>
    <n v="645"/>
    <s v="Food supply quantity (kg/capita/yr)"/>
    <s v="S2762"/>
    <x v="14"/>
    <n v="2019"/>
    <x v="2"/>
    <s v="kg"/>
    <n v="1.39"/>
    <s v="E"/>
    <s v="Estimated value"/>
  </r>
  <r>
    <s v="FBS"/>
    <s v="Food Balances (2010-)"/>
    <n v="348"/>
    <x v="3"/>
    <n v="645"/>
    <s v="Food supply quantity (kg/capita/yr)"/>
    <s v="S2762"/>
    <x v="14"/>
    <n v="2020"/>
    <x v="3"/>
    <s v="kg"/>
    <n v="1.39"/>
    <s v="E"/>
    <s v="Estimated value"/>
  </r>
  <r>
    <s v="FBS"/>
    <s v="Food Balances (2010-)"/>
    <n v="348"/>
    <x v="3"/>
    <n v="645"/>
    <s v="Food supply quantity (kg/capita/yr)"/>
    <s v="S2762"/>
    <x v="14"/>
    <n v="2021"/>
    <x v="4"/>
    <s v="kg"/>
    <n v="1.4"/>
    <s v="E"/>
    <s v="Estimated value"/>
  </r>
  <r>
    <s v="FBS"/>
    <s v="Food Balances (2010-)"/>
    <n v="348"/>
    <x v="3"/>
    <n v="645"/>
    <s v="Food supply quantity (kg/capita/yr)"/>
    <s v="S2763"/>
    <x v="15"/>
    <n v="2017"/>
    <x v="0"/>
    <s v="kg"/>
    <n v="1.4"/>
    <s v="E"/>
    <s v="Estimated value"/>
  </r>
  <r>
    <s v="FBS"/>
    <s v="Food Balances (2010-)"/>
    <n v="348"/>
    <x v="3"/>
    <n v="645"/>
    <s v="Food supply quantity (kg/capita/yr)"/>
    <s v="S2763"/>
    <x v="15"/>
    <n v="2018"/>
    <x v="1"/>
    <s v="kg"/>
    <n v="1.41"/>
    <s v="E"/>
    <s v="Estimated value"/>
  </r>
  <r>
    <s v="FBS"/>
    <s v="Food Balances (2010-)"/>
    <n v="348"/>
    <x v="3"/>
    <n v="645"/>
    <s v="Food supply quantity (kg/capita/yr)"/>
    <s v="S2763"/>
    <x v="15"/>
    <n v="2019"/>
    <x v="2"/>
    <s v="kg"/>
    <n v="1.38"/>
    <s v="E"/>
    <s v="Estimated value"/>
  </r>
  <r>
    <s v="FBS"/>
    <s v="Food Balances (2010-)"/>
    <n v="348"/>
    <x v="3"/>
    <n v="645"/>
    <s v="Food supply quantity (kg/capita/yr)"/>
    <s v="S2763"/>
    <x v="15"/>
    <n v="2020"/>
    <x v="3"/>
    <s v="kg"/>
    <n v="1.38"/>
    <s v="E"/>
    <s v="Estimated value"/>
  </r>
  <r>
    <s v="FBS"/>
    <s v="Food Balances (2010-)"/>
    <n v="348"/>
    <x v="3"/>
    <n v="645"/>
    <s v="Food supply quantity (kg/capita/yr)"/>
    <s v="S2763"/>
    <x v="15"/>
    <n v="2021"/>
    <x v="4"/>
    <s v="kg"/>
    <n v="1.39"/>
    <s v="E"/>
    <s v="Estimated value"/>
  </r>
  <r>
    <s v="FBS"/>
    <s v="Food Balances (2010-)"/>
    <n v="348"/>
    <x v="3"/>
    <n v="645"/>
    <s v="Food supply quantity (kg/capita/yr)"/>
    <s v="S2764"/>
    <x v="16"/>
    <n v="2017"/>
    <x v="0"/>
    <s v="kg"/>
    <n v="0.18"/>
    <s v="E"/>
    <s v="Estimated value"/>
  </r>
  <r>
    <s v="FBS"/>
    <s v="Food Balances (2010-)"/>
    <n v="348"/>
    <x v="3"/>
    <n v="645"/>
    <s v="Food supply quantity (kg/capita/yr)"/>
    <s v="S2764"/>
    <x v="16"/>
    <n v="2018"/>
    <x v="1"/>
    <s v="kg"/>
    <n v="0.2"/>
    <s v="E"/>
    <s v="Estimated value"/>
  </r>
  <r>
    <s v="FBS"/>
    <s v="Food Balances (2010-)"/>
    <n v="348"/>
    <x v="3"/>
    <n v="645"/>
    <s v="Food supply quantity (kg/capita/yr)"/>
    <s v="S2764"/>
    <x v="16"/>
    <n v="2019"/>
    <x v="2"/>
    <s v="kg"/>
    <n v="0.19"/>
    <s v="E"/>
    <s v="Estimated value"/>
  </r>
  <r>
    <s v="FBS"/>
    <s v="Food Balances (2010-)"/>
    <n v="348"/>
    <x v="3"/>
    <n v="645"/>
    <s v="Food supply quantity (kg/capita/yr)"/>
    <s v="S2764"/>
    <x v="16"/>
    <n v="2020"/>
    <x v="3"/>
    <s v="kg"/>
    <n v="0.19"/>
    <s v="E"/>
    <s v="Estimated value"/>
  </r>
  <r>
    <s v="FBS"/>
    <s v="Food Balances (2010-)"/>
    <n v="348"/>
    <x v="3"/>
    <n v="645"/>
    <s v="Food supply quantity (kg/capita/yr)"/>
    <s v="S2764"/>
    <x v="16"/>
    <n v="2021"/>
    <x v="4"/>
    <s v="kg"/>
    <n v="0.19"/>
    <s v="E"/>
    <s v="Estimated value"/>
  </r>
  <r>
    <s v="FBS"/>
    <s v="Food Balances (2010-)"/>
    <n v="348"/>
    <x v="3"/>
    <n v="645"/>
    <s v="Food supply quantity (kg/capita/yr)"/>
    <s v="S2765"/>
    <x v="17"/>
    <n v="2017"/>
    <x v="0"/>
    <s v="kg"/>
    <n v="0.15"/>
    <s v="E"/>
    <s v="Estimated value"/>
  </r>
  <r>
    <s v="FBS"/>
    <s v="Food Balances (2010-)"/>
    <n v="348"/>
    <x v="3"/>
    <n v="645"/>
    <s v="Food supply quantity (kg/capita/yr)"/>
    <s v="S2765"/>
    <x v="17"/>
    <n v="2018"/>
    <x v="1"/>
    <s v="kg"/>
    <n v="0.17"/>
    <s v="E"/>
    <s v="Estimated value"/>
  </r>
  <r>
    <s v="FBS"/>
    <s v="Food Balances (2010-)"/>
    <n v="348"/>
    <x v="3"/>
    <n v="645"/>
    <s v="Food supply quantity (kg/capita/yr)"/>
    <s v="S2765"/>
    <x v="17"/>
    <n v="2019"/>
    <x v="2"/>
    <s v="kg"/>
    <n v="0.16"/>
    <s v="E"/>
    <s v="Estimated value"/>
  </r>
  <r>
    <s v="FBS"/>
    <s v="Food Balances (2010-)"/>
    <n v="348"/>
    <x v="3"/>
    <n v="645"/>
    <s v="Food supply quantity (kg/capita/yr)"/>
    <s v="S2765"/>
    <x v="17"/>
    <n v="2020"/>
    <x v="3"/>
    <s v="kg"/>
    <n v="0.17"/>
    <s v="E"/>
    <s v="Estimated value"/>
  </r>
  <r>
    <s v="FBS"/>
    <s v="Food Balances (2010-)"/>
    <n v="348"/>
    <x v="3"/>
    <n v="645"/>
    <s v="Food supply quantity (kg/capita/yr)"/>
    <s v="S2765"/>
    <x v="17"/>
    <n v="2021"/>
    <x v="4"/>
    <s v="kg"/>
    <n v="0.17"/>
    <s v="E"/>
    <s v="Estimated value"/>
  </r>
  <r>
    <s v="FBS"/>
    <s v="Food Balances (2010-)"/>
    <n v="348"/>
    <x v="3"/>
    <n v="645"/>
    <s v="Food supply quantity (kg/capita/yr)"/>
    <s v="S2766"/>
    <x v="18"/>
    <n v="2017"/>
    <x v="0"/>
    <s v="kg"/>
    <n v="0.05"/>
    <s v="E"/>
    <s v="Estimated value"/>
  </r>
  <r>
    <s v="FBS"/>
    <s v="Food Balances (2010-)"/>
    <n v="348"/>
    <x v="3"/>
    <n v="645"/>
    <s v="Food supply quantity (kg/capita/yr)"/>
    <s v="S2766"/>
    <x v="18"/>
    <n v="2018"/>
    <x v="1"/>
    <s v="kg"/>
    <n v="0.05"/>
    <s v="E"/>
    <s v="Estimated value"/>
  </r>
  <r>
    <s v="FBS"/>
    <s v="Food Balances (2010-)"/>
    <n v="348"/>
    <x v="3"/>
    <n v="645"/>
    <s v="Food supply quantity (kg/capita/yr)"/>
    <s v="S2766"/>
    <x v="18"/>
    <n v="2019"/>
    <x v="2"/>
    <s v="kg"/>
    <n v="0.04"/>
    <s v="E"/>
    <s v="Estimated value"/>
  </r>
  <r>
    <s v="FBS"/>
    <s v="Food Balances (2010-)"/>
    <n v="348"/>
    <x v="3"/>
    <n v="645"/>
    <s v="Food supply quantity (kg/capita/yr)"/>
    <s v="S2766"/>
    <x v="18"/>
    <n v="2020"/>
    <x v="3"/>
    <s v="kg"/>
    <n v="0.04"/>
    <s v="E"/>
    <s v="Estimated value"/>
  </r>
  <r>
    <s v="FBS"/>
    <s v="Food Balances (2010-)"/>
    <n v="348"/>
    <x v="3"/>
    <n v="645"/>
    <s v="Food supply quantity (kg/capita/yr)"/>
    <s v="S2766"/>
    <x v="18"/>
    <n v="2021"/>
    <x v="4"/>
    <s v="kg"/>
    <n v="0.04"/>
    <s v="E"/>
    <s v="Estimated value"/>
  </r>
  <r>
    <s v="FBS"/>
    <s v="Food Balances (2010-)"/>
    <n v="348"/>
    <x v="3"/>
    <n v="645"/>
    <s v="Food supply quantity (kg/capita/yr)"/>
    <s v="S2767"/>
    <x v="19"/>
    <n v="2017"/>
    <x v="0"/>
    <s v="kg"/>
    <n v="0.13"/>
    <s v="E"/>
    <s v="Estimated value"/>
  </r>
  <r>
    <s v="FBS"/>
    <s v="Food Balances (2010-)"/>
    <n v="348"/>
    <x v="3"/>
    <n v="645"/>
    <s v="Food supply quantity (kg/capita/yr)"/>
    <s v="S2767"/>
    <x v="19"/>
    <n v="2018"/>
    <x v="1"/>
    <s v="kg"/>
    <n v="0.09"/>
    <s v="E"/>
    <s v="Estimated value"/>
  </r>
  <r>
    <s v="FBS"/>
    <s v="Food Balances (2010-)"/>
    <n v="348"/>
    <x v="3"/>
    <n v="645"/>
    <s v="Food supply quantity (kg/capita/yr)"/>
    <s v="S2767"/>
    <x v="19"/>
    <n v="2019"/>
    <x v="2"/>
    <s v="kg"/>
    <n v="0.13"/>
    <s v="E"/>
    <s v="Estimated value"/>
  </r>
  <r>
    <s v="FBS"/>
    <s v="Food Balances (2010-)"/>
    <n v="348"/>
    <x v="3"/>
    <n v="645"/>
    <s v="Food supply quantity (kg/capita/yr)"/>
    <s v="S2767"/>
    <x v="19"/>
    <n v="2020"/>
    <x v="3"/>
    <s v="kg"/>
    <n v="0.13"/>
    <s v="E"/>
    <s v="Estimated value"/>
  </r>
  <r>
    <s v="FBS"/>
    <s v="Food Balances (2010-)"/>
    <n v="348"/>
    <x v="3"/>
    <n v="645"/>
    <s v="Food supply quantity (kg/capita/yr)"/>
    <s v="S2767"/>
    <x v="19"/>
    <n v="2021"/>
    <x v="4"/>
    <s v="kg"/>
    <n v="0.13"/>
    <s v="E"/>
    <s v="Estimated value"/>
  </r>
  <r>
    <s v="FBS"/>
    <s v="Food Balances (2010-)"/>
    <n v="348"/>
    <x v="3"/>
    <n v="645"/>
    <s v="Food supply quantity (kg/capita/yr)"/>
    <s v="S2769"/>
    <x v="20"/>
    <n v="2017"/>
    <x v="0"/>
    <s v="kg"/>
    <n v="0.01"/>
    <s v="E"/>
    <s v="Estimated value"/>
  </r>
  <r>
    <s v="FBS"/>
    <s v="Food Balances (2010-)"/>
    <n v="348"/>
    <x v="3"/>
    <n v="645"/>
    <s v="Food supply quantity (kg/capita/yr)"/>
    <s v="S2769"/>
    <x v="20"/>
    <n v="2018"/>
    <x v="1"/>
    <s v="kg"/>
    <n v="0.01"/>
    <s v="E"/>
    <s v="Estimated value"/>
  </r>
  <r>
    <s v="FBS"/>
    <s v="Food Balances (2010-)"/>
    <n v="348"/>
    <x v="3"/>
    <n v="645"/>
    <s v="Food supply quantity (kg/capita/yr)"/>
    <s v="S2769"/>
    <x v="20"/>
    <n v="2019"/>
    <x v="2"/>
    <s v="kg"/>
    <n v="0"/>
    <s v="E"/>
    <s v="Estimated value"/>
  </r>
  <r>
    <s v="FBS"/>
    <s v="Food Balances (2010-)"/>
    <n v="348"/>
    <x v="3"/>
    <n v="645"/>
    <s v="Food supply quantity (kg/capita/yr)"/>
    <s v="S2769"/>
    <x v="20"/>
    <n v="2020"/>
    <x v="3"/>
    <s v="kg"/>
    <n v="0"/>
    <s v="E"/>
    <s v="Estimated value"/>
  </r>
  <r>
    <s v="FBS"/>
    <s v="Food Balances (2010-)"/>
    <n v="348"/>
    <x v="3"/>
    <n v="645"/>
    <s v="Food supply quantity (kg/capita/yr)"/>
    <s v="S2769"/>
    <x v="20"/>
    <n v="2021"/>
    <x v="4"/>
    <s v="kg"/>
    <n v="0"/>
    <s v="E"/>
    <s v="Estimated value"/>
  </r>
  <r>
    <s v="FBS"/>
    <s v="Food Balances (2010-)"/>
    <n v="372"/>
    <x v="4"/>
    <n v="645"/>
    <s v="Food supply quantity (kg/capita/yr)"/>
    <s v="S2731"/>
    <x v="0"/>
    <n v="2017"/>
    <x v="0"/>
    <s v="kg"/>
    <n v="20.2"/>
    <s v="E"/>
    <s v="Estimated value"/>
  </r>
  <r>
    <s v="FBS"/>
    <s v="Food Balances (2010-)"/>
    <n v="372"/>
    <x v="4"/>
    <n v="645"/>
    <s v="Food supply quantity (kg/capita/yr)"/>
    <s v="S2731"/>
    <x v="0"/>
    <n v="2018"/>
    <x v="1"/>
    <s v="kg"/>
    <n v="23.58"/>
    <s v="E"/>
    <s v="Estimated value"/>
  </r>
  <r>
    <s v="FBS"/>
    <s v="Food Balances (2010-)"/>
    <n v="372"/>
    <x v="4"/>
    <n v="645"/>
    <s v="Food supply quantity (kg/capita/yr)"/>
    <s v="S2731"/>
    <x v="0"/>
    <n v="2019"/>
    <x v="2"/>
    <s v="kg"/>
    <n v="19.43"/>
    <s v="E"/>
    <s v="Estimated value"/>
  </r>
  <r>
    <s v="FBS"/>
    <s v="Food Balances (2010-)"/>
    <n v="372"/>
    <x v="4"/>
    <n v="645"/>
    <s v="Food supply quantity (kg/capita/yr)"/>
    <s v="S2731"/>
    <x v="0"/>
    <n v="2020"/>
    <x v="3"/>
    <s v="kg"/>
    <n v="20.399999999999999"/>
    <s v="E"/>
    <s v="Estimated value"/>
  </r>
  <r>
    <s v="FBS"/>
    <s v="Food Balances (2010-)"/>
    <n v="372"/>
    <x v="4"/>
    <n v="645"/>
    <s v="Food supply quantity (kg/capita/yr)"/>
    <s v="S2731"/>
    <x v="0"/>
    <n v="2021"/>
    <x v="4"/>
    <s v="kg"/>
    <n v="19.45"/>
    <s v="E"/>
    <s v="Estimated value"/>
  </r>
  <r>
    <s v="FBS"/>
    <s v="Food Balances (2010-)"/>
    <n v="372"/>
    <x v="4"/>
    <n v="645"/>
    <s v="Food supply quantity (kg/capita/yr)"/>
    <s v="S2732"/>
    <x v="1"/>
    <n v="2017"/>
    <x v="0"/>
    <s v="kg"/>
    <n v="3.4"/>
    <s v="E"/>
    <s v="Estimated value"/>
  </r>
  <r>
    <s v="FBS"/>
    <s v="Food Balances (2010-)"/>
    <n v="372"/>
    <x v="4"/>
    <n v="645"/>
    <s v="Food supply quantity (kg/capita/yr)"/>
    <s v="S2732"/>
    <x v="1"/>
    <n v="2018"/>
    <x v="1"/>
    <s v="kg"/>
    <n v="3.41"/>
    <s v="E"/>
    <s v="Estimated value"/>
  </r>
  <r>
    <s v="FBS"/>
    <s v="Food Balances (2010-)"/>
    <n v="372"/>
    <x v="4"/>
    <n v="645"/>
    <s v="Food supply quantity (kg/capita/yr)"/>
    <s v="S2732"/>
    <x v="1"/>
    <n v="2019"/>
    <x v="2"/>
    <s v="kg"/>
    <n v="3.59"/>
    <s v="E"/>
    <s v="Estimated value"/>
  </r>
  <r>
    <s v="FBS"/>
    <s v="Food Balances (2010-)"/>
    <n v="372"/>
    <x v="4"/>
    <n v="645"/>
    <s v="Food supply quantity (kg/capita/yr)"/>
    <s v="S2732"/>
    <x v="1"/>
    <n v="2020"/>
    <x v="3"/>
    <s v="kg"/>
    <n v="2.92"/>
    <s v="E"/>
    <s v="Estimated value"/>
  </r>
  <r>
    <s v="FBS"/>
    <s v="Food Balances (2010-)"/>
    <n v="372"/>
    <x v="4"/>
    <n v="645"/>
    <s v="Food supply quantity (kg/capita/yr)"/>
    <s v="S2732"/>
    <x v="1"/>
    <n v="2021"/>
    <x v="4"/>
    <s v="kg"/>
    <n v="3.57"/>
    <s v="E"/>
    <s v="Estimated value"/>
  </r>
  <r>
    <s v="FBS"/>
    <s v="Food Balances (2010-)"/>
    <n v="372"/>
    <x v="4"/>
    <n v="645"/>
    <s v="Food supply quantity (kg/capita/yr)"/>
    <s v="S2733"/>
    <x v="2"/>
    <n v="2017"/>
    <x v="0"/>
    <s v="kg"/>
    <n v="28.73"/>
    <s v="E"/>
    <s v="Estimated value"/>
  </r>
  <r>
    <s v="FBS"/>
    <s v="Food Balances (2010-)"/>
    <n v="372"/>
    <x v="4"/>
    <n v="645"/>
    <s v="Food supply quantity (kg/capita/yr)"/>
    <s v="S2733"/>
    <x v="2"/>
    <n v="2018"/>
    <x v="1"/>
    <s v="kg"/>
    <n v="30.01"/>
    <s v="E"/>
    <s v="Estimated value"/>
  </r>
  <r>
    <s v="FBS"/>
    <s v="Food Balances (2010-)"/>
    <n v="372"/>
    <x v="4"/>
    <n v="645"/>
    <s v="Food supply quantity (kg/capita/yr)"/>
    <s v="S2733"/>
    <x v="2"/>
    <n v="2019"/>
    <x v="2"/>
    <s v="kg"/>
    <n v="29.44"/>
    <s v="E"/>
    <s v="Estimated value"/>
  </r>
  <r>
    <s v="FBS"/>
    <s v="Food Balances (2010-)"/>
    <n v="372"/>
    <x v="4"/>
    <n v="645"/>
    <s v="Food supply quantity (kg/capita/yr)"/>
    <s v="S2733"/>
    <x v="2"/>
    <n v="2020"/>
    <x v="3"/>
    <s v="kg"/>
    <n v="29.29"/>
    <s v="E"/>
    <s v="Estimated value"/>
  </r>
  <r>
    <s v="FBS"/>
    <s v="Food Balances (2010-)"/>
    <n v="372"/>
    <x v="4"/>
    <n v="645"/>
    <s v="Food supply quantity (kg/capita/yr)"/>
    <s v="S2733"/>
    <x v="2"/>
    <n v="2021"/>
    <x v="4"/>
    <s v="kg"/>
    <n v="27.81"/>
    <s v="E"/>
    <s v="Estimated value"/>
  </r>
  <r>
    <s v="FBS"/>
    <s v="Food Balances (2010-)"/>
    <n v="372"/>
    <x v="4"/>
    <n v="645"/>
    <s v="Food supply quantity (kg/capita/yr)"/>
    <s v="S2734"/>
    <x v="3"/>
    <n v="2017"/>
    <x v="0"/>
    <s v="kg"/>
    <n v="23.85"/>
    <s v="E"/>
    <s v="Estimated value"/>
  </r>
  <r>
    <s v="FBS"/>
    <s v="Food Balances (2010-)"/>
    <n v="372"/>
    <x v="4"/>
    <n v="645"/>
    <s v="Food supply quantity (kg/capita/yr)"/>
    <s v="S2734"/>
    <x v="3"/>
    <n v="2018"/>
    <x v="1"/>
    <s v="kg"/>
    <n v="24.39"/>
    <s v="E"/>
    <s v="Estimated value"/>
  </r>
  <r>
    <s v="FBS"/>
    <s v="Food Balances (2010-)"/>
    <n v="372"/>
    <x v="4"/>
    <n v="645"/>
    <s v="Food supply quantity (kg/capita/yr)"/>
    <s v="S2734"/>
    <x v="3"/>
    <n v="2019"/>
    <x v="2"/>
    <s v="kg"/>
    <n v="28.11"/>
    <s v="E"/>
    <s v="Estimated value"/>
  </r>
  <r>
    <s v="FBS"/>
    <s v="Food Balances (2010-)"/>
    <n v="372"/>
    <x v="4"/>
    <n v="645"/>
    <s v="Food supply quantity (kg/capita/yr)"/>
    <s v="S2734"/>
    <x v="3"/>
    <n v="2020"/>
    <x v="3"/>
    <s v="kg"/>
    <n v="28.88"/>
    <s v="E"/>
    <s v="Estimated value"/>
  </r>
  <r>
    <s v="FBS"/>
    <s v="Food Balances (2010-)"/>
    <n v="372"/>
    <x v="4"/>
    <n v="645"/>
    <s v="Food supply quantity (kg/capita/yr)"/>
    <s v="S2734"/>
    <x v="3"/>
    <n v="2021"/>
    <x v="4"/>
    <s v="kg"/>
    <n v="26.84"/>
    <s v="E"/>
    <s v="Estimated value"/>
  </r>
  <r>
    <s v="FBS"/>
    <s v="Food Balances (2010-)"/>
    <n v="372"/>
    <x v="4"/>
    <n v="645"/>
    <s v="Food supply quantity (kg/capita/yr)"/>
    <s v="S2735"/>
    <x v="4"/>
    <n v="2017"/>
    <x v="0"/>
    <s v="kg"/>
    <n v="0.36"/>
    <s v="E"/>
    <s v="Estimated value"/>
  </r>
  <r>
    <s v="FBS"/>
    <s v="Food Balances (2010-)"/>
    <n v="372"/>
    <x v="4"/>
    <n v="645"/>
    <s v="Food supply quantity (kg/capita/yr)"/>
    <s v="S2735"/>
    <x v="4"/>
    <n v="2018"/>
    <x v="1"/>
    <s v="kg"/>
    <n v="0.61"/>
    <s v="E"/>
    <s v="Estimated value"/>
  </r>
  <r>
    <s v="FBS"/>
    <s v="Food Balances (2010-)"/>
    <n v="372"/>
    <x v="4"/>
    <n v="645"/>
    <s v="Food supply quantity (kg/capita/yr)"/>
    <s v="S2735"/>
    <x v="4"/>
    <n v="2019"/>
    <x v="2"/>
    <s v="kg"/>
    <n v="1.02"/>
    <s v="E"/>
    <s v="Estimated value"/>
  </r>
  <r>
    <s v="FBS"/>
    <s v="Food Balances (2010-)"/>
    <n v="372"/>
    <x v="4"/>
    <n v="645"/>
    <s v="Food supply quantity (kg/capita/yr)"/>
    <s v="S2735"/>
    <x v="4"/>
    <n v="2020"/>
    <x v="3"/>
    <s v="kg"/>
    <n v="0.56000000000000005"/>
    <s v="E"/>
    <s v="Estimated value"/>
  </r>
  <r>
    <s v="FBS"/>
    <s v="Food Balances (2010-)"/>
    <n v="372"/>
    <x v="4"/>
    <n v="645"/>
    <s v="Food supply quantity (kg/capita/yr)"/>
    <s v="S2735"/>
    <x v="4"/>
    <n v="2021"/>
    <x v="4"/>
    <s v="kg"/>
    <n v="2.52"/>
    <s v="E"/>
    <s v="Estimated value"/>
  </r>
  <r>
    <s v="FBS"/>
    <s v="Food Balances (2010-)"/>
    <n v="372"/>
    <x v="4"/>
    <n v="645"/>
    <s v="Food supply quantity (kg/capita/yr)"/>
    <s v="S2736"/>
    <x v="5"/>
    <n v="2017"/>
    <x v="0"/>
    <s v="kg"/>
    <n v="1.7"/>
    <s v="E"/>
    <s v="Estimated value"/>
  </r>
  <r>
    <s v="FBS"/>
    <s v="Food Balances (2010-)"/>
    <n v="372"/>
    <x v="4"/>
    <n v="645"/>
    <s v="Food supply quantity (kg/capita/yr)"/>
    <s v="S2736"/>
    <x v="5"/>
    <n v="2018"/>
    <x v="1"/>
    <s v="kg"/>
    <n v="1.75"/>
    <s v="E"/>
    <s v="Estimated value"/>
  </r>
  <r>
    <s v="FBS"/>
    <s v="Food Balances (2010-)"/>
    <n v="372"/>
    <x v="4"/>
    <n v="645"/>
    <s v="Food supply quantity (kg/capita/yr)"/>
    <s v="S2736"/>
    <x v="5"/>
    <n v="2019"/>
    <x v="2"/>
    <s v="kg"/>
    <n v="1.46"/>
    <s v="E"/>
    <s v="Estimated value"/>
  </r>
  <r>
    <s v="FBS"/>
    <s v="Food Balances (2010-)"/>
    <n v="372"/>
    <x v="4"/>
    <n v="645"/>
    <s v="Food supply quantity (kg/capita/yr)"/>
    <s v="S2736"/>
    <x v="5"/>
    <n v="2020"/>
    <x v="3"/>
    <s v="kg"/>
    <n v="1.2"/>
    <s v="E"/>
    <s v="Estimated value"/>
  </r>
  <r>
    <s v="FBS"/>
    <s v="Food Balances (2010-)"/>
    <n v="372"/>
    <x v="4"/>
    <n v="645"/>
    <s v="Food supply quantity (kg/capita/yr)"/>
    <s v="S2736"/>
    <x v="5"/>
    <n v="2021"/>
    <x v="4"/>
    <s v="kg"/>
    <n v="7.1"/>
    <s v="E"/>
    <s v="Estimated value"/>
  </r>
  <r>
    <s v="FBS"/>
    <s v="Food Balances (2010-)"/>
    <n v="372"/>
    <x v="4"/>
    <n v="645"/>
    <s v="Food supply quantity (kg/capita/yr)"/>
    <s v="S2740"/>
    <x v="6"/>
    <n v="2017"/>
    <x v="0"/>
    <s v="kg"/>
    <n v="4.01"/>
    <s v="E"/>
    <s v="Estimated value"/>
  </r>
  <r>
    <s v="FBS"/>
    <s v="Food Balances (2010-)"/>
    <n v="372"/>
    <x v="4"/>
    <n v="645"/>
    <s v="Food supply quantity (kg/capita/yr)"/>
    <s v="S2740"/>
    <x v="6"/>
    <n v="2018"/>
    <x v="1"/>
    <s v="kg"/>
    <n v="2.57"/>
    <s v="E"/>
    <s v="Estimated value"/>
  </r>
  <r>
    <s v="FBS"/>
    <s v="Food Balances (2010-)"/>
    <n v="372"/>
    <x v="4"/>
    <n v="645"/>
    <s v="Food supply quantity (kg/capita/yr)"/>
    <s v="S2740"/>
    <x v="6"/>
    <n v="2019"/>
    <x v="2"/>
    <s v="kg"/>
    <n v="0.85"/>
    <s v="E"/>
    <s v="Estimated value"/>
  </r>
  <r>
    <s v="FBS"/>
    <s v="Food Balances (2010-)"/>
    <n v="372"/>
    <x v="4"/>
    <n v="645"/>
    <s v="Food supply quantity (kg/capita/yr)"/>
    <s v="S2740"/>
    <x v="6"/>
    <n v="2020"/>
    <x v="3"/>
    <s v="kg"/>
    <n v="0.74"/>
    <s v="E"/>
    <s v="Estimated value"/>
  </r>
  <r>
    <s v="FBS"/>
    <s v="Food Balances (2010-)"/>
    <n v="372"/>
    <x v="4"/>
    <n v="645"/>
    <s v="Food supply quantity (kg/capita/yr)"/>
    <s v="S2740"/>
    <x v="6"/>
    <n v="2021"/>
    <x v="4"/>
    <s v="kg"/>
    <n v="1.39"/>
    <s v="E"/>
    <s v="Estimated value"/>
  </r>
  <r>
    <s v="FBS"/>
    <s v="Food Balances (2010-)"/>
    <n v="372"/>
    <x v="4"/>
    <n v="645"/>
    <s v="Food supply quantity (kg/capita/yr)"/>
    <s v="S2743"/>
    <x v="7"/>
    <n v="2017"/>
    <x v="0"/>
    <s v="kg"/>
    <n v="5.44"/>
    <s v="E"/>
    <s v="Estimated value"/>
  </r>
  <r>
    <s v="FBS"/>
    <s v="Food Balances (2010-)"/>
    <n v="372"/>
    <x v="4"/>
    <n v="645"/>
    <s v="Food supply quantity (kg/capita/yr)"/>
    <s v="S2743"/>
    <x v="7"/>
    <n v="2018"/>
    <x v="1"/>
    <s v="kg"/>
    <n v="1.72"/>
    <s v="E"/>
    <s v="Estimated value"/>
  </r>
  <r>
    <s v="FBS"/>
    <s v="Food Balances (2010-)"/>
    <n v="372"/>
    <x v="4"/>
    <n v="645"/>
    <s v="Food supply quantity (kg/capita/yr)"/>
    <s v="S2743"/>
    <x v="7"/>
    <n v="2019"/>
    <x v="2"/>
    <s v="kg"/>
    <n v="2.5"/>
    <s v="E"/>
    <s v="Estimated value"/>
  </r>
  <r>
    <s v="FBS"/>
    <s v="Food Balances (2010-)"/>
    <n v="372"/>
    <x v="4"/>
    <n v="645"/>
    <s v="Food supply quantity (kg/capita/yr)"/>
    <s v="S2743"/>
    <x v="7"/>
    <n v="2020"/>
    <x v="3"/>
    <s v="kg"/>
    <n v="1.93"/>
    <s v="E"/>
    <s v="Estimated value"/>
  </r>
  <r>
    <s v="FBS"/>
    <s v="Food Balances (2010-)"/>
    <n v="372"/>
    <x v="4"/>
    <n v="645"/>
    <s v="Food supply quantity (kg/capita/yr)"/>
    <s v="S2743"/>
    <x v="7"/>
    <n v="2021"/>
    <x v="4"/>
    <s v="kg"/>
    <n v="0"/>
    <s v="E"/>
    <s v="Estimated value"/>
  </r>
  <r>
    <s v="FBS"/>
    <s v="Food Balances (2010-)"/>
    <n v="372"/>
    <x v="4"/>
    <n v="645"/>
    <s v="Food supply quantity (kg/capita/yr)"/>
    <s v="S2737"/>
    <x v="8"/>
    <n v="2017"/>
    <x v="0"/>
    <s v="kg"/>
    <n v="4.08"/>
    <s v="E"/>
    <s v="Estimated value"/>
  </r>
  <r>
    <s v="FBS"/>
    <s v="Food Balances (2010-)"/>
    <n v="372"/>
    <x v="4"/>
    <n v="645"/>
    <s v="Food supply quantity (kg/capita/yr)"/>
    <s v="S2737"/>
    <x v="8"/>
    <n v="2018"/>
    <x v="1"/>
    <s v="kg"/>
    <n v="4.1399999999999997"/>
    <s v="E"/>
    <s v="Estimated value"/>
  </r>
  <r>
    <s v="FBS"/>
    <s v="Food Balances (2010-)"/>
    <n v="372"/>
    <x v="4"/>
    <n v="645"/>
    <s v="Food supply quantity (kg/capita/yr)"/>
    <s v="S2737"/>
    <x v="8"/>
    <n v="2019"/>
    <x v="2"/>
    <s v="kg"/>
    <n v="4.1399999999999997"/>
    <s v="E"/>
    <s v="Estimated value"/>
  </r>
  <r>
    <s v="FBS"/>
    <s v="Food Balances (2010-)"/>
    <n v="372"/>
    <x v="4"/>
    <n v="645"/>
    <s v="Food supply quantity (kg/capita/yr)"/>
    <s v="S2737"/>
    <x v="8"/>
    <n v="2020"/>
    <x v="3"/>
    <s v="kg"/>
    <n v="4.3499999999999996"/>
    <s v="E"/>
    <s v="Estimated value"/>
  </r>
  <r>
    <s v="FBS"/>
    <s v="Food Balances (2010-)"/>
    <n v="372"/>
    <x v="4"/>
    <n v="645"/>
    <s v="Food supply quantity (kg/capita/yr)"/>
    <s v="S2737"/>
    <x v="8"/>
    <n v="2021"/>
    <x v="4"/>
    <s v="kg"/>
    <n v="4.25"/>
    <s v="E"/>
    <s v="Estimated value"/>
  </r>
  <r>
    <s v="FBS"/>
    <s v="Food Balances (2010-)"/>
    <n v="372"/>
    <x v="4"/>
    <n v="645"/>
    <s v="Food supply quantity (kg/capita/yr)"/>
    <s v="S2782"/>
    <x v="10"/>
    <n v="2017"/>
    <x v="0"/>
    <s v="kg"/>
    <n v="0.04"/>
    <s v="E"/>
    <s v="Estimated value"/>
  </r>
  <r>
    <s v="FBS"/>
    <s v="Food Balances (2010-)"/>
    <n v="372"/>
    <x v="4"/>
    <n v="645"/>
    <s v="Food supply quantity (kg/capita/yr)"/>
    <s v="S2782"/>
    <x v="10"/>
    <n v="2018"/>
    <x v="1"/>
    <s v="kg"/>
    <n v="0.06"/>
    <s v="E"/>
    <s v="Estimated value"/>
  </r>
  <r>
    <s v="FBS"/>
    <s v="Food Balances (2010-)"/>
    <n v="372"/>
    <x v="4"/>
    <n v="645"/>
    <s v="Food supply quantity (kg/capita/yr)"/>
    <s v="S2782"/>
    <x v="10"/>
    <n v="2019"/>
    <x v="2"/>
    <s v="kg"/>
    <n v="0.02"/>
    <s v="E"/>
    <s v="Estimated value"/>
  </r>
  <r>
    <s v="FBS"/>
    <s v="Food Balances (2010-)"/>
    <n v="372"/>
    <x v="4"/>
    <n v="645"/>
    <s v="Food supply quantity (kg/capita/yr)"/>
    <s v="S2782"/>
    <x v="10"/>
    <n v="2020"/>
    <x v="3"/>
    <s v="kg"/>
    <n v="0.02"/>
    <s v="E"/>
    <s v="Estimated value"/>
  </r>
  <r>
    <s v="FBS"/>
    <s v="Food Balances (2010-)"/>
    <n v="372"/>
    <x v="4"/>
    <n v="645"/>
    <s v="Food supply quantity (kg/capita/yr)"/>
    <s v="S2782"/>
    <x v="10"/>
    <n v="2021"/>
    <x v="4"/>
    <s v="kg"/>
    <n v="0.02"/>
    <s v="E"/>
    <s v="Estimated value"/>
  </r>
  <r>
    <s v="FBS"/>
    <s v="Food Balances (2010-)"/>
    <n v="372"/>
    <x v="4"/>
    <n v="645"/>
    <s v="Food supply quantity (kg/capita/yr)"/>
    <s v="S2744"/>
    <x v="11"/>
    <n v="2017"/>
    <x v="0"/>
    <s v="kg"/>
    <n v="12.2"/>
    <s v="E"/>
    <s v="Estimated value"/>
  </r>
  <r>
    <s v="FBS"/>
    <s v="Food Balances (2010-)"/>
    <n v="372"/>
    <x v="4"/>
    <n v="645"/>
    <s v="Food supply quantity (kg/capita/yr)"/>
    <s v="S2744"/>
    <x v="11"/>
    <n v="2018"/>
    <x v="1"/>
    <s v="kg"/>
    <n v="11.34"/>
    <s v="E"/>
    <s v="Estimated value"/>
  </r>
  <r>
    <s v="FBS"/>
    <s v="Food Balances (2010-)"/>
    <n v="372"/>
    <x v="4"/>
    <n v="645"/>
    <s v="Food supply quantity (kg/capita/yr)"/>
    <s v="S2744"/>
    <x v="11"/>
    <n v="2019"/>
    <x v="2"/>
    <s v="kg"/>
    <n v="12.36"/>
    <s v="E"/>
    <s v="Estimated value"/>
  </r>
  <r>
    <s v="FBS"/>
    <s v="Food Balances (2010-)"/>
    <n v="372"/>
    <x v="4"/>
    <n v="645"/>
    <s v="Food supply quantity (kg/capita/yr)"/>
    <s v="S2744"/>
    <x v="11"/>
    <n v="2020"/>
    <x v="3"/>
    <s v="kg"/>
    <n v="12.45"/>
    <s v="E"/>
    <s v="Estimated value"/>
  </r>
  <r>
    <s v="FBS"/>
    <s v="Food Balances (2010-)"/>
    <n v="372"/>
    <x v="4"/>
    <n v="645"/>
    <s v="Food supply quantity (kg/capita/yr)"/>
    <s v="S2744"/>
    <x v="11"/>
    <n v="2021"/>
    <x v="4"/>
    <s v="kg"/>
    <n v="10.11"/>
    <s v="E"/>
    <s v="Estimated value"/>
  </r>
  <r>
    <s v="FBS"/>
    <s v="Food Balances (2010-)"/>
    <n v="372"/>
    <x v="4"/>
    <n v="645"/>
    <s v="Food supply quantity (kg/capita/yr)"/>
    <s v="S2848"/>
    <x v="12"/>
    <n v="2017"/>
    <x v="0"/>
    <s v="kg"/>
    <n v="329.6"/>
    <s v="E"/>
    <s v="Estimated value"/>
  </r>
  <r>
    <s v="FBS"/>
    <s v="Food Balances (2010-)"/>
    <n v="372"/>
    <x v="4"/>
    <n v="645"/>
    <s v="Food supply quantity (kg/capita/yr)"/>
    <s v="S2848"/>
    <x v="12"/>
    <n v="2018"/>
    <x v="1"/>
    <s v="kg"/>
    <n v="332.92"/>
    <s v="E"/>
    <s v="Estimated value"/>
  </r>
  <r>
    <s v="FBS"/>
    <s v="Food Balances (2010-)"/>
    <n v="372"/>
    <x v="4"/>
    <n v="645"/>
    <s v="Food supply quantity (kg/capita/yr)"/>
    <s v="S2848"/>
    <x v="12"/>
    <n v="2019"/>
    <x v="2"/>
    <s v="kg"/>
    <n v="214.71"/>
    <s v="E"/>
    <s v="Estimated value"/>
  </r>
  <r>
    <s v="FBS"/>
    <s v="Food Balances (2010-)"/>
    <n v="372"/>
    <x v="4"/>
    <n v="645"/>
    <s v="Food supply quantity (kg/capita/yr)"/>
    <s v="S2848"/>
    <x v="12"/>
    <n v="2020"/>
    <x v="3"/>
    <s v="kg"/>
    <n v="249.9"/>
    <s v="E"/>
    <s v="Estimated value"/>
  </r>
  <r>
    <s v="FBS"/>
    <s v="Food Balances (2010-)"/>
    <n v="372"/>
    <x v="4"/>
    <n v="645"/>
    <s v="Food supply quantity (kg/capita/yr)"/>
    <s v="S2848"/>
    <x v="12"/>
    <n v="2021"/>
    <x v="4"/>
    <s v="kg"/>
    <n v="316.31"/>
    <s v="E"/>
    <s v="Estimated value"/>
  </r>
  <r>
    <s v="FBS"/>
    <s v="Food Balances (2010-)"/>
    <n v="372"/>
    <x v="4"/>
    <n v="645"/>
    <s v="Food supply quantity (kg/capita/yr)"/>
    <s v="S2761"/>
    <x v="13"/>
    <n v="2017"/>
    <x v="0"/>
    <s v="kg"/>
    <n v="3.67"/>
    <s v="E"/>
    <s v="Estimated value"/>
  </r>
  <r>
    <s v="FBS"/>
    <s v="Food Balances (2010-)"/>
    <n v="372"/>
    <x v="4"/>
    <n v="645"/>
    <s v="Food supply quantity (kg/capita/yr)"/>
    <s v="S2761"/>
    <x v="13"/>
    <n v="2018"/>
    <x v="1"/>
    <s v="kg"/>
    <n v="3.36"/>
    <s v="E"/>
    <s v="Estimated value"/>
  </r>
  <r>
    <s v="FBS"/>
    <s v="Food Balances (2010-)"/>
    <n v="372"/>
    <x v="4"/>
    <n v="645"/>
    <s v="Food supply quantity (kg/capita/yr)"/>
    <s v="S2761"/>
    <x v="13"/>
    <n v="2019"/>
    <x v="2"/>
    <s v="kg"/>
    <n v="2.67"/>
    <s v="E"/>
    <s v="Estimated value"/>
  </r>
  <r>
    <s v="FBS"/>
    <s v="Food Balances (2010-)"/>
    <n v="372"/>
    <x v="4"/>
    <n v="645"/>
    <s v="Food supply quantity (kg/capita/yr)"/>
    <s v="S2761"/>
    <x v="13"/>
    <n v="2020"/>
    <x v="3"/>
    <s v="kg"/>
    <n v="2.64"/>
    <s v="E"/>
    <s v="Estimated value"/>
  </r>
  <r>
    <s v="FBS"/>
    <s v="Food Balances (2010-)"/>
    <n v="372"/>
    <x v="4"/>
    <n v="645"/>
    <s v="Food supply quantity (kg/capita/yr)"/>
    <s v="S2761"/>
    <x v="13"/>
    <n v="2021"/>
    <x v="4"/>
    <s v="kg"/>
    <n v="2.62"/>
    <s v="E"/>
    <s v="Estimated value"/>
  </r>
  <r>
    <s v="FBS"/>
    <s v="Food Balances (2010-)"/>
    <n v="372"/>
    <x v="4"/>
    <n v="645"/>
    <s v="Food supply quantity (kg/capita/yr)"/>
    <s v="S2762"/>
    <x v="14"/>
    <n v="2017"/>
    <x v="0"/>
    <s v="kg"/>
    <n v="7.32"/>
    <s v="E"/>
    <s v="Estimated value"/>
  </r>
  <r>
    <s v="FBS"/>
    <s v="Food Balances (2010-)"/>
    <n v="372"/>
    <x v="4"/>
    <n v="645"/>
    <s v="Food supply quantity (kg/capita/yr)"/>
    <s v="S2762"/>
    <x v="14"/>
    <n v="2018"/>
    <x v="1"/>
    <s v="kg"/>
    <n v="8.89"/>
    <s v="E"/>
    <s v="Estimated value"/>
  </r>
  <r>
    <s v="FBS"/>
    <s v="Food Balances (2010-)"/>
    <n v="372"/>
    <x v="4"/>
    <n v="645"/>
    <s v="Food supply quantity (kg/capita/yr)"/>
    <s v="S2762"/>
    <x v="14"/>
    <n v="2019"/>
    <x v="2"/>
    <s v="kg"/>
    <n v="10.19"/>
    <s v="E"/>
    <s v="Estimated value"/>
  </r>
  <r>
    <s v="FBS"/>
    <s v="Food Balances (2010-)"/>
    <n v="372"/>
    <x v="4"/>
    <n v="645"/>
    <s v="Food supply quantity (kg/capita/yr)"/>
    <s v="S2762"/>
    <x v="14"/>
    <n v="2020"/>
    <x v="3"/>
    <s v="kg"/>
    <n v="10.08"/>
    <s v="E"/>
    <s v="Estimated value"/>
  </r>
  <r>
    <s v="FBS"/>
    <s v="Food Balances (2010-)"/>
    <n v="372"/>
    <x v="4"/>
    <n v="645"/>
    <s v="Food supply quantity (kg/capita/yr)"/>
    <s v="S2762"/>
    <x v="14"/>
    <n v="2021"/>
    <x v="4"/>
    <s v="kg"/>
    <n v="10"/>
    <s v="E"/>
    <s v="Estimated value"/>
  </r>
  <r>
    <s v="FBS"/>
    <s v="Food Balances (2010-)"/>
    <n v="372"/>
    <x v="4"/>
    <n v="645"/>
    <s v="Food supply quantity (kg/capita/yr)"/>
    <s v="S2763"/>
    <x v="15"/>
    <n v="2017"/>
    <x v="0"/>
    <s v="kg"/>
    <n v="10.96"/>
    <s v="E"/>
    <s v="Estimated value"/>
  </r>
  <r>
    <s v="FBS"/>
    <s v="Food Balances (2010-)"/>
    <n v="372"/>
    <x v="4"/>
    <n v="645"/>
    <s v="Food supply quantity (kg/capita/yr)"/>
    <s v="S2763"/>
    <x v="15"/>
    <n v="2018"/>
    <x v="1"/>
    <s v="kg"/>
    <n v="4.9400000000000004"/>
    <s v="E"/>
    <s v="Estimated value"/>
  </r>
  <r>
    <s v="FBS"/>
    <s v="Food Balances (2010-)"/>
    <n v="372"/>
    <x v="4"/>
    <n v="645"/>
    <s v="Food supply quantity (kg/capita/yr)"/>
    <s v="S2763"/>
    <x v="15"/>
    <n v="2019"/>
    <x v="2"/>
    <s v="kg"/>
    <n v="5.59"/>
    <s v="E"/>
    <s v="Estimated value"/>
  </r>
  <r>
    <s v="FBS"/>
    <s v="Food Balances (2010-)"/>
    <n v="372"/>
    <x v="4"/>
    <n v="645"/>
    <s v="Food supply quantity (kg/capita/yr)"/>
    <s v="S2763"/>
    <x v="15"/>
    <n v="2020"/>
    <x v="3"/>
    <s v="kg"/>
    <n v="5.53"/>
    <s v="E"/>
    <s v="Estimated value"/>
  </r>
  <r>
    <s v="FBS"/>
    <s v="Food Balances (2010-)"/>
    <n v="372"/>
    <x v="4"/>
    <n v="645"/>
    <s v="Food supply quantity (kg/capita/yr)"/>
    <s v="S2763"/>
    <x v="15"/>
    <n v="2021"/>
    <x v="4"/>
    <s v="kg"/>
    <n v="5.49"/>
    <s v="E"/>
    <s v="Estimated value"/>
  </r>
  <r>
    <s v="FBS"/>
    <s v="Food Balances (2010-)"/>
    <n v="372"/>
    <x v="4"/>
    <n v="645"/>
    <s v="Food supply quantity (kg/capita/yr)"/>
    <s v="S2764"/>
    <x v="16"/>
    <n v="2017"/>
    <x v="0"/>
    <s v="kg"/>
    <n v="0"/>
    <s v="E"/>
    <s v="Estimated value"/>
  </r>
  <r>
    <s v="FBS"/>
    <s v="Food Balances (2010-)"/>
    <n v="372"/>
    <x v="4"/>
    <n v="645"/>
    <s v="Food supply quantity (kg/capita/yr)"/>
    <s v="S2764"/>
    <x v="16"/>
    <n v="2018"/>
    <x v="1"/>
    <s v="kg"/>
    <n v="0"/>
    <s v="E"/>
    <s v="Estimated value"/>
  </r>
  <r>
    <s v="FBS"/>
    <s v="Food Balances (2010-)"/>
    <n v="372"/>
    <x v="4"/>
    <n v="645"/>
    <s v="Food supply quantity (kg/capita/yr)"/>
    <s v="S2764"/>
    <x v="16"/>
    <n v="2019"/>
    <x v="2"/>
    <s v="kg"/>
    <n v="0.02"/>
    <s v="E"/>
    <s v="Estimated value"/>
  </r>
  <r>
    <s v="FBS"/>
    <s v="Food Balances (2010-)"/>
    <n v="372"/>
    <x v="4"/>
    <n v="645"/>
    <s v="Food supply quantity (kg/capita/yr)"/>
    <s v="S2764"/>
    <x v="16"/>
    <n v="2020"/>
    <x v="3"/>
    <s v="kg"/>
    <n v="0.02"/>
    <s v="E"/>
    <s v="Estimated value"/>
  </r>
  <r>
    <s v="FBS"/>
    <s v="Food Balances (2010-)"/>
    <n v="372"/>
    <x v="4"/>
    <n v="645"/>
    <s v="Food supply quantity (kg/capita/yr)"/>
    <s v="S2764"/>
    <x v="16"/>
    <n v="2021"/>
    <x v="4"/>
    <s v="kg"/>
    <n v="0.02"/>
    <s v="E"/>
    <s v="Estimated value"/>
  </r>
  <r>
    <s v="FBS"/>
    <s v="Food Balances (2010-)"/>
    <n v="372"/>
    <x v="4"/>
    <n v="645"/>
    <s v="Food supply quantity (kg/capita/yr)"/>
    <s v="S2765"/>
    <x v="17"/>
    <n v="2017"/>
    <x v="0"/>
    <s v="kg"/>
    <n v="0.55000000000000004"/>
    <s v="E"/>
    <s v="Estimated value"/>
  </r>
  <r>
    <s v="FBS"/>
    <s v="Food Balances (2010-)"/>
    <n v="372"/>
    <x v="4"/>
    <n v="645"/>
    <s v="Food supply quantity (kg/capita/yr)"/>
    <s v="S2765"/>
    <x v="17"/>
    <n v="2018"/>
    <x v="1"/>
    <s v="kg"/>
    <n v="0.63"/>
    <s v="E"/>
    <s v="Estimated value"/>
  </r>
  <r>
    <s v="FBS"/>
    <s v="Food Balances (2010-)"/>
    <n v="372"/>
    <x v="4"/>
    <n v="645"/>
    <s v="Food supply quantity (kg/capita/yr)"/>
    <s v="S2765"/>
    <x v="17"/>
    <n v="2019"/>
    <x v="2"/>
    <s v="kg"/>
    <n v="0.74"/>
    <s v="E"/>
    <s v="Estimated value"/>
  </r>
  <r>
    <s v="FBS"/>
    <s v="Food Balances (2010-)"/>
    <n v="372"/>
    <x v="4"/>
    <n v="645"/>
    <s v="Food supply quantity (kg/capita/yr)"/>
    <s v="S2765"/>
    <x v="17"/>
    <n v="2020"/>
    <x v="3"/>
    <s v="kg"/>
    <n v="0.73"/>
    <s v="E"/>
    <s v="Estimated value"/>
  </r>
  <r>
    <s v="FBS"/>
    <s v="Food Balances (2010-)"/>
    <n v="372"/>
    <x v="4"/>
    <n v="645"/>
    <s v="Food supply quantity (kg/capita/yr)"/>
    <s v="S2765"/>
    <x v="17"/>
    <n v="2021"/>
    <x v="4"/>
    <s v="kg"/>
    <n v="0.72"/>
    <s v="E"/>
    <s v="Estimated value"/>
  </r>
  <r>
    <s v="FBS"/>
    <s v="Food Balances (2010-)"/>
    <n v="372"/>
    <x v="4"/>
    <n v="645"/>
    <s v="Food supply quantity (kg/capita/yr)"/>
    <s v="S2766"/>
    <x v="18"/>
    <n v="2017"/>
    <x v="0"/>
    <s v="kg"/>
    <n v="0.13"/>
    <s v="E"/>
    <s v="Estimated value"/>
  </r>
  <r>
    <s v="FBS"/>
    <s v="Food Balances (2010-)"/>
    <n v="372"/>
    <x v="4"/>
    <n v="645"/>
    <s v="Food supply quantity (kg/capita/yr)"/>
    <s v="S2766"/>
    <x v="18"/>
    <n v="2018"/>
    <x v="1"/>
    <s v="kg"/>
    <n v="0.08"/>
    <s v="E"/>
    <s v="Estimated value"/>
  </r>
  <r>
    <s v="FBS"/>
    <s v="Food Balances (2010-)"/>
    <n v="372"/>
    <x v="4"/>
    <n v="645"/>
    <s v="Food supply quantity (kg/capita/yr)"/>
    <s v="S2766"/>
    <x v="18"/>
    <n v="2019"/>
    <x v="2"/>
    <s v="kg"/>
    <n v="0.3"/>
    <s v="E"/>
    <s v="Estimated value"/>
  </r>
  <r>
    <s v="FBS"/>
    <s v="Food Balances (2010-)"/>
    <n v="372"/>
    <x v="4"/>
    <n v="645"/>
    <s v="Food supply quantity (kg/capita/yr)"/>
    <s v="S2766"/>
    <x v="18"/>
    <n v="2020"/>
    <x v="3"/>
    <s v="kg"/>
    <n v="0.3"/>
    <s v="E"/>
    <s v="Estimated value"/>
  </r>
  <r>
    <s v="FBS"/>
    <s v="Food Balances (2010-)"/>
    <n v="372"/>
    <x v="4"/>
    <n v="645"/>
    <s v="Food supply quantity (kg/capita/yr)"/>
    <s v="S2766"/>
    <x v="18"/>
    <n v="2021"/>
    <x v="4"/>
    <s v="kg"/>
    <n v="0.28999999999999998"/>
    <s v="E"/>
    <s v="Estimated value"/>
  </r>
  <r>
    <s v="FBS"/>
    <s v="Food Balances (2010-)"/>
    <n v="372"/>
    <x v="4"/>
    <n v="645"/>
    <s v="Food supply quantity (kg/capita/yr)"/>
    <s v="S2767"/>
    <x v="19"/>
    <n v="2017"/>
    <x v="0"/>
    <s v="kg"/>
    <n v="0.7"/>
    <s v="E"/>
    <s v="Estimated value"/>
  </r>
  <r>
    <s v="FBS"/>
    <s v="Food Balances (2010-)"/>
    <n v="372"/>
    <x v="4"/>
    <n v="645"/>
    <s v="Food supply quantity (kg/capita/yr)"/>
    <s v="S2767"/>
    <x v="19"/>
    <n v="2018"/>
    <x v="1"/>
    <s v="kg"/>
    <n v="1.07"/>
    <s v="E"/>
    <s v="Estimated value"/>
  </r>
  <r>
    <s v="FBS"/>
    <s v="Food Balances (2010-)"/>
    <n v="372"/>
    <x v="4"/>
    <n v="645"/>
    <s v="Food supply quantity (kg/capita/yr)"/>
    <s v="S2767"/>
    <x v="19"/>
    <n v="2019"/>
    <x v="2"/>
    <s v="kg"/>
    <n v="0.95"/>
    <s v="E"/>
    <s v="Estimated value"/>
  </r>
  <r>
    <s v="FBS"/>
    <s v="Food Balances (2010-)"/>
    <n v="372"/>
    <x v="4"/>
    <n v="645"/>
    <s v="Food supply quantity (kg/capita/yr)"/>
    <s v="S2767"/>
    <x v="19"/>
    <n v="2020"/>
    <x v="3"/>
    <s v="kg"/>
    <n v="0.94"/>
    <s v="E"/>
    <s v="Estimated value"/>
  </r>
  <r>
    <s v="FBS"/>
    <s v="Food Balances (2010-)"/>
    <n v="372"/>
    <x v="4"/>
    <n v="645"/>
    <s v="Food supply quantity (kg/capita/yr)"/>
    <s v="S2767"/>
    <x v="19"/>
    <n v="2021"/>
    <x v="4"/>
    <s v="kg"/>
    <n v="0.93"/>
    <s v="E"/>
    <s v="Estimated value"/>
  </r>
  <r>
    <s v="FBS"/>
    <s v="Food Balances (2010-)"/>
    <n v="372"/>
    <x v="4"/>
    <n v="645"/>
    <s v="Food supply quantity (kg/capita/yr)"/>
    <s v="S2769"/>
    <x v="20"/>
    <n v="2017"/>
    <x v="0"/>
    <s v="kg"/>
    <n v="0.01"/>
    <s v="E"/>
    <s v="Estimated value"/>
  </r>
  <r>
    <s v="FBS"/>
    <s v="Food Balances (2010-)"/>
    <n v="372"/>
    <x v="4"/>
    <n v="645"/>
    <s v="Food supply quantity (kg/capita/yr)"/>
    <s v="S2769"/>
    <x v="20"/>
    <n v="2018"/>
    <x v="1"/>
    <s v="kg"/>
    <n v="0"/>
    <s v="E"/>
    <s v="Estimated value"/>
  </r>
  <r>
    <s v="FBS"/>
    <s v="Food Balances (2010-)"/>
    <n v="372"/>
    <x v="4"/>
    <n v="645"/>
    <s v="Food supply quantity (kg/capita/yr)"/>
    <s v="S2769"/>
    <x v="20"/>
    <n v="2019"/>
    <x v="2"/>
    <s v="kg"/>
    <n v="0.01"/>
    <s v="E"/>
    <s v="Estimated value"/>
  </r>
  <r>
    <s v="FBS"/>
    <s v="Food Balances (2010-)"/>
    <n v="372"/>
    <x v="4"/>
    <n v="645"/>
    <s v="Food supply quantity (kg/capita/yr)"/>
    <s v="S2769"/>
    <x v="20"/>
    <n v="2020"/>
    <x v="3"/>
    <s v="kg"/>
    <n v="0.01"/>
    <s v="E"/>
    <s v="Estimated value"/>
  </r>
  <r>
    <s v="FBS"/>
    <s v="Food Balances (2010-)"/>
    <n v="372"/>
    <x v="4"/>
    <n v="645"/>
    <s v="Food supply quantity (kg/capita/yr)"/>
    <s v="S2769"/>
    <x v="20"/>
    <n v="2021"/>
    <x v="4"/>
    <s v="kg"/>
    <n v="0.01"/>
    <s v="E"/>
    <s v="Estimated value"/>
  </r>
  <r>
    <s v="FBS"/>
    <s v="Food Balances (2010-)"/>
    <n v="380"/>
    <x v="5"/>
    <n v="645"/>
    <s v="Food supply quantity (kg/capita/yr)"/>
    <s v="S2731"/>
    <x v="0"/>
    <n v="2017"/>
    <x v="0"/>
    <s v="kg"/>
    <n v="16.329999999999998"/>
    <s v="E"/>
    <s v="Estimated value"/>
  </r>
  <r>
    <s v="FBS"/>
    <s v="Food Balances (2010-)"/>
    <n v="380"/>
    <x v="5"/>
    <n v="645"/>
    <s v="Food supply quantity (kg/capita/yr)"/>
    <s v="S2731"/>
    <x v="0"/>
    <n v="2018"/>
    <x v="1"/>
    <s v="kg"/>
    <n v="17.21"/>
    <s v="E"/>
    <s v="Estimated value"/>
  </r>
  <r>
    <s v="FBS"/>
    <s v="Food Balances (2010-)"/>
    <n v="380"/>
    <x v="5"/>
    <n v="645"/>
    <s v="Food supply quantity (kg/capita/yr)"/>
    <s v="S2731"/>
    <x v="0"/>
    <n v="2019"/>
    <x v="2"/>
    <s v="kg"/>
    <n v="17.45"/>
    <s v="E"/>
    <s v="Estimated value"/>
  </r>
  <r>
    <s v="FBS"/>
    <s v="Food Balances (2010-)"/>
    <n v="380"/>
    <x v="5"/>
    <n v="645"/>
    <s v="Food supply quantity (kg/capita/yr)"/>
    <s v="S2731"/>
    <x v="0"/>
    <n v="2020"/>
    <x v="3"/>
    <s v="kg"/>
    <n v="16.2"/>
    <s v="E"/>
    <s v="Estimated value"/>
  </r>
  <r>
    <s v="FBS"/>
    <s v="Food Balances (2010-)"/>
    <n v="380"/>
    <x v="5"/>
    <n v="645"/>
    <s v="Food supply quantity (kg/capita/yr)"/>
    <s v="S2731"/>
    <x v="0"/>
    <n v="2021"/>
    <x v="4"/>
    <s v="kg"/>
    <n v="15.98"/>
    <s v="E"/>
    <s v="Estimated value"/>
  </r>
  <r>
    <s v="FBS"/>
    <s v="Food Balances (2010-)"/>
    <n v="380"/>
    <x v="5"/>
    <n v="645"/>
    <s v="Food supply quantity (kg/capita/yr)"/>
    <s v="S2732"/>
    <x v="1"/>
    <n v="2017"/>
    <x v="0"/>
    <s v="kg"/>
    <n v="0.88"/>
    <s v="E"/>
    <s v="Estimated value"/>
  </r>
  <r>
    <s v="FBS"/>
    <s v="Food Balances (2010-)"/>
    <n v="380"/>
    <x v="5"/>
    <n v="645"/>
    <s v="Food supply quantity (kg/capita/yr)"/>
    <s v="S2732"/>
    <x v="1"/>
    <n v="2018"/>
    <x v="1"/>
    <s v="kg"/>
    <n v="0.88"/>
    <s v="E"/>
    <s v="Estimated value"/>
  </r>
  <r>
    <s v="FBS"/>
    <s v="Food Balances (2010-)"/>
    <n v="380"/>
    <x v="5"/>
    <n v="645"/>
    <s v="Food supply quantity (kg/capita/yr)"/>
    <s v="S2732"/>
    <x v="1"/>
    <n v="2019"/>
    <x v="2"/>
    <s v="kg"/>
    <n v="0.89"/>
    <s v="E"/>
    <s v="Estimated value"/>
  </r>
  <r>
    <s v="FBS"/>
    <s v="Food Balances (2010-)"/>
    <n v="380"/>
    <x v="5"/>
    <n v="645"/>
    <s v="Food supply quantity (kg/capita/yr)"/>
    <s v="S2732"/>
    <x v="1"/>
    <n v="2020"/>
    <x v="3"/>
    <s v="kg"/>
    <n v="0.77"/>
    <s v="E"/>
    <s v="Estimated value"/>
  </r>
  <r>
    <s v="FBS"/>
    <s v="Food Balances (2010-)"/>
    <n v="380"/>
    <x v="5"/>
    <n v="645"/>
    <s v="Food supply quantity (kg/capita/yr)"/>
    <s v="S2732"/>
    <x v="1"/>
    <n v="2021"/>
    <x v="4"/>
    <s v="kg"/>
    <n v="0.81"/>
    <s v="E"/>
    <s v="Estimated value"/>
  </r>
  <r>
    <s v="FBS"/>
    <s v="Food Balances (2010-)"/>
    <n v="380"/>
    <x v="5"/>
    <n v="645"/>
    <s v="Food supply quantity (kg/capita/yr)"/>
    <s v="S2733"/>
    <x v="2"/>
    <n v="2017"/>
    <x v="0"/>
    <s v="kg"/>
    <n v="40.69"/>
    <s v="E"/>
    <s v="Estimated value"/>
  </r>
  <r>
    <s v="FBS"/>
    <s v="Food Balances (2010-)"/>
    <n v="380"/>
    <x v="5"/>
    <n v="645"/>
    <s v="Food supply quantity (kg/capita/yr)"/>
    <s v="S2733"/>
    <x v="2"/>
    <n v="2018"/>
    <x v="1"/>
    <s v="kg"/>
    <n v="38.47"/>
    <s v="E"/>
    <s v="Estimated value"/>
  </r>
  <r>
    <s v="FBS"/>
    <s v="Food Balances (2010-)"/>
    <n v="380"/>
    <x v="5"/>
    <n v="645"/>
    <s v="Food supply quantity (kg/capita/yr)"/>
    <s v="S2733"/>
    <x v="2"/>
    <n v="2019"/>
    <x v="2"/>
    <s v="kg"/>
    <n v="36.549999999999997"/>
    <s v="E"/>
    <s v="Estimated value"/>
  </r>
  <r>
    <s v="FBS"/>
    <s v="Food Balances (2010-)"/>
    <n v="380"/>
    <x v="5"/>
    <n v="645"/>
    <s v="Food supply quantity (kg/capita/yr)"/>
    <s v="S2733"/>
    <x v="2"/>
    <n v="2020"/>
    <x v="3"/>
    <s v="kg"/>
    <n v="33.369999999999997"/>
    <s v="E"/>
    <s v="Estimated value"/>
  </r>
  <r>
    <s v="FBS"/>
    <s v="Food Balances (2010-)"/>
    <n v="380"/>
    <x v="5"/>
    <n v="645"/>
    <s v="Food supply quantity (kg/capita/yr)"/>
    <s v="S2733"/>
    <x v="2"/>
    <n v="2021"/>
    <x v="4"/>
    <s v="kg"/>
    <n v="35.869999999999997"/>
    <s v="E"/>
    <s v="Estimated value"/>
  </r>
  <r>
    <s v="FBS"/>
    <s v="Food Balances (2010-)"/>
    <n v="380"/>
    <x v="5"/>
    <n v="645"/>
    <s v="Food supply quantity (kg/capita/yr)"/>
    <s v="S2734"/>
    <x v="3"/>
    <n v="2017"/>
    <x v="0"/>
    <s v="kg"/>
    <n v="19.079999999999998"/>
    <s v="E"/>
    <s v="Estimated value"/>
  </r>
  <r>
    <s v="FBS"/>
    <s v="Food Balances (2010-)"/>
    <n v="380"/>
    <x v="5"/>
    <n v="645"/>
    <s v="Food supply quantity (kg/capita/yr)"/>
    <s v="S2734"/>
    <x v="3"/>
    <n v="2018"/>
    <x v="1"/>
    <s v="kg"/>
    <n v="19.18"/>
    <s v="E"/>
    <s v="Estimated value"/>
  </r>
  <r>
    <s v="FBS"/>
    <s v="Food Balances (2010-)"/>
    <n v="380"/>
    <x v="5"/>
    <n v="645"/>
    <s v="Food supply quantity (kg/capita/yr)"/>
    <s v="S2734"/>
    <x v="3"/>
    <n v="2019"/>
    <x v="2"/>
    <s v="kg"/>
    <n v="19.63"/>
    <s v="E"/>
    <s v="Estimated value"/>
  </r>
  <r>
    <s v="FBS"/>
    <s v="Food Balances (2010-)"/>
    <n v="380"/>
    <x v="5"/>
    <n v="645"/>
    <s v="Food supply quantity (kg/capita/yr)"/>
    <s v="S2734"/>
    <x v="3"/>
    <n v="2020"/>
    <x v="3"/>
    <s v="kg"/>
    <n v="20.88"/>
    <s v="E"/>
    <s v="Estimated value"/>
  </r>
  <r>
    <s v="FBS"/>
    <s v="Food Balances (2010-)"/>
    <n v="380"/>
    <x v="5"/>
    <n v="645"/>
    <s v="Food supply quantity (kg/capita/yr)"/>
    <s v="S2734"/>
    <x v="3"/>
    <n v="2021"/>
    <x v="4"/>
    <s v="kg"/>
    <n v="20.61"/>
    <s v="E"/>
    <s v="Estimated value"/>
  </r>
  <r>
    <s v="FBS"/>
    <s v="Food Balances (2010-)"/>
    <n v="380"/>
    <x v="5"/>
    <n v="645"/>
    <s v="Food supply quantity (kg/capita/yr)"/>
    <s v="S2735"/>
    <x v="4"/>
    <n v="2017"/>
    <x v="0"/>
    <s v="kg"/>
    <n v="1.74"/>
    <s v="E"/>
    <s v="Estimated value"/>
  </r>
  <r>
    <s v="FBS"/>
    <s v="Food Balances (2010-)"/>
    <n v="380"/>
    <x v="5"/>
    <n v="645"/>
    <s v="Food supply quantity (kg/capita/yr)"/>
    <s v="S2735"/>
    <x v="4"/>
    <n v="2018"/>
    <x v="1"/>
    <s v="kg"/>
    <n v="1.72"/>
    <s v="E"/>
    <s v="Estimated value"/>
  </r>
  <r>
    <s v="FBS"/>
    <s v="Food Balances (2010-)"/>
    <n v="380"/>
    <x v="5"/>
    <n v="645"/>
    <s v="Food supply quantity (kg/capita/yr)"/>
    <s v="S2735"/>
    <x v="4"/>
    <n v="2019"/>
    <x v="2"/>
    <s v="kg"/>
    <n v="1.2"/>
    <s v="E"/>
    <s v="Estimated value"/>
  </r>
  <r>
    <s v="FBS"/>
    <s v="Food Balances (2010-)"/>
    <n v="380"/>
    <x v="5"/>
    <n v="645"/>
    <s v="Food supply quantity (kg/capita/yr)"/>
    <s v="S2735"/>
    <x v="4"/>
    <n v="2020"/>
    <x v="3"/>
    <s v="kg"/>
    <n v="1.0900000000000001"/>
    <s v="E"/>
    <s v="Estimated value"/>
  </r>
  <r>
    <s v="FBS"/>
    <s v="Food Balances (2010-)"/>
    <n v="380"/>
    <x v="5"/>
    <n v="645"/>
    <s v="Food supply quantity (kg/capita/yr)"/>
    <s v="S2735"/>
    <x v="4"/>
    <n v="2021"/>
    <x v="4"/>
    <s v="kg"/>
    <n v="1.04"/>
    <s v="E"/>
    <s v="Estimated value"/>
  </r>
  <r>
    <s v="FBS"/>
    <s v="Food Balances (2010-)"/>
    <n v="380"/>
    <x v="5"/>
    <n v="645"/>
    <s v="Food supply quantity (kg/capita/yr)"/>
    <s v="S2736"/>
    <x v="5"/>
    <n v="2017"/>
    <x v="0"/>
    <s v="kg"/>
    <n v="2.19"/>
    <s v="E"/>
    <s v="Estimated value"/>
  </r>
  <r>
    <s v="FBS"/>
    <s v="Food Balances (2010-)"/>
    <n v="380"/>
    <x v="5"/>
    <n v="645"/>
    <s v="Food supply quantity (kg/capita/yr)"/>
    <s v="S2736"/>
    <x v="5"/>
    <n v="2018"/>
    <x v="1"/>
    <s v="kg"/>
    <n v="2.77"/>
    <s v="E"/>
    <s v="Estimated value"/>
  </r>
  <r>
    <s v="FBS"/>
    <s v="Food Balances (2010-)"/>
    <n v="380"/>
    <x v="5"/>
    <n v="645"/>
    <s v="Food supply quantity (kg/capita/yr)"/>
    <s v="S2736"/>
    <x v="5"/>
    <n v="2019"/>
    <x v="2"/>
    <s v="kg"/>
    <n v="2.62"/>
    <s v="E"/>
    <s v="Estimated value"/>
  </r>
  <r>
    <s v="FBS"/>
    <s v="Food Balances (2010-)"/>
    <n v="380"/>
    <x v="5"/>
    <n v="645"/>
    <s v="Food supply quantity (kg/capita/yr)"/>
    <s v="S2736"/>
    <x v="5"/>
    <n v="2020"/>
    <x v="3"/>
    <s v="kg"/>
    <n v="2.34"/>
    <s v="E"/>
    <s v="Estimated value"/>
  </r>
  <r>
    <s v="FBS"/>
    <s v="Food Balances (2010-)"/>
    <n v="380"/>
    <x v="5"/>
    <n v="645"/>
    <s v="Food supply quantity (kg/capita/yr)"/>
    <s v="S2736"/>
    <x v="5"/>
    <n v="2021"/>
    <x v="4"/>
    <s v="kg"/>
    <n v="2.79"/>
    <s v="E"/>
    <s v="Estimated value"/>
  </r>
  <r>
    <s v="FBS"/>
    <s v="Food Balances (2010-)"/>
    <n v="380"/>
    <x v="5"/>
    <n v="645"/>
    <s v="Food supply quantity (kg/capita/yr)"/>
    <s v="S2740"/>
    <x v="6"/>
    <n v="2017"/>
    <x v="0"/>
    <s v="kg"/>
    <n v="2.4500000000000002"/>
    <s v="E"/>
    <s v="Estimated value"/>
  </r>
  <r>
    <s v="FBS"/>
    <s v="Food Balances (2010-)"/>
    <n v="380"/>
    <x v="5"/>
    <n v="645"/>
    <s v="Food supply quantity (kg/capita/yr)"/>
    <s v="S2740"/>
    <x v="6"/>
    <n v="2018"/>
    <x v="1"/>
    <s v="kg"/>
    <n v="2.52"/>
    <s v="E"/>
    <s v="Estimated value"/>
  </r>
  <r>
    <s v="FBS"/>
    <s v="Food Balances (2010-)"/>
    <n v="380"/>
    <x v="5"/>
    <n v="645"/>
    <s v="Food supply quantity (kg/capita/yr)"/>
    <s v="S2740"/>
    <x v="6"/>
    <n v="2019"/>
    <x v="2"/>
    <s v="kg"/>
    <n v="2.5099999999999998"/>
    <s v="E"/>
    <s v="Estimated value"/>
  </r>
  <r>
    <s v="FBS"/>
    <s v="Food Balances (2010-)"/>
    <n v="380"/>
    <x v="5"/>
    <n v="645"/>
    <s v="Food supply quantity (kg/capita/yr)"/>
    <s v="S2740"/>
    <x v="6"/>
    <n v="2020"/>
    <x v="3"/>
    <s v="kg"/>
    <n v="2.3199999999999998"/>
    <s v="E"/>
    <s v="Estimated value"/>
  </r>
  <r>
    <s v="FBS"/>
    <s v="Food Balances (2010-)"/>
    <n v="380"/>
    <x v="5"/>
    <n v="645"/>
    <s v="Food supply quantity (kg/capita/yr)"/>
    <s v="S2740"/>
    <x v="6"/>
    <n v="2021"/>
    <x v="4"/>
    <s v="kg"/>
    <n v="2.52"/>
    <s v="E"/>
    <s v="Estimated value"/>
  </r>
  <r>
    <s v="FBS"/>
    <s v="Food Balances (2010-)"/>
    <n v="380"/>
    <x v="5"/>
    <n v="645"/>
    <s v="Food supply quantity (kg/capita/yr)"/>
    <s v="S2743"/>
    <x v="7"/>
    <n v="2017"/>
    <x v="0"/>
    <s v="kg"/>
    <n v="2.98"/>
    <s v="E"/>
    <s v="Estimated value"/>
  </r>
  <r>
    <s v="FBS"/>
    <s v="Food Balances (2010-)"/>
    <n v="380"/>
    <x v="5"/>
    <n v="645"/>
    <s v="Food supply quantity (kg/capita/yr)"/>
    <s v="S2743"/>
    <x v="7"/>
    <n v="2018"/>
    <x v="1"/>
    <s v="kg"/>
    <n v="2.7"/>
    <s v="E"/>
    <s v="Estimated value"/>
  </r>
  <r>
    <s v="FBS"/>
    <s v="Food Balances (2010-)"/>
    <n v="380"/>
    <x v="5"/>
    <n v="645"/>
    <s v="Food supply quantity (kg/capita/yr)"/>
    <s v="S2743"/>
    <x v="7"/>
    <n v="2019"/>
    <x v="2"/>
    <s v="kg"/>
    <n v="5.09"/>
    <s v="E"/>
    <s v="Estimated value"/>
  </r>
  <r>
    <s v="FBS"/>
    <s v="Food Balances (2010-)"/>
    <n v="380"/>
    <x v="5"/>
    <n v="645"/>
    <s v="Food supply quantity (kg/capita/yr)"/>
    <s v="S2743"/>
    <x v="7"/>
    <n v="2020"/>
    <x v="3"/>
    <s v="kg"/>
    <n v="5.1100000000000003"/>
    <s v="E"/>
    <s v="Estimated value"/>
  </r>
  <r>
    <s v="FBS"/>
    <s v="Food Balances (2010-)"/>
    <n v="380"/>
    <x v="5"/>
    <n v="645"/>
    <s v="Food supply quantity (kg/capita/yr)"/>
    <s v="S2743"/>
    <x v="7"/>
    <n v="2021"/>
    <x v="4"/>
    <s v="kg"/>
    <n v="4.8499999999999996"/>
    <s v="E"/>
    <s v="Estimated value"/>
  </r>
  <r>
    <s v="FBS"/>
    <s v="Food Balances (2010-)"/>
    <n v="380"/>
    <x v="5"/>
    <n v="645"/>
    <s v="Food supply quantity (kg/capita/yr)"/>
    <s v="S2737"/>
    <x v="8"/>
    <n v="2017"/>
    <x v="0"/>
    <s v="kg"/>
    <n v="1.29"/>
    <s v="E"/>
    <s v="Estimated value"/>
  </r>
  <r>
    <s v="FBS"/>
    <s v="Food Balances (2010-)"/>
    <n v="380"/>
    <x v="5"/>
    <n v="645"/>
    <s v="Food supply quantity (kg/capita/yr)"/>
    <s v="S2737"/>
    <x v="8"/>
    <n v="2018"/>
    <x v="1"/>
    <s v="kg"/>
    <n v="1.34"/>
    <s v="E"/>
    <s v="Estimated value"/>
  </r>
  <r>
    <s v="FBS"/>
    <s v="Food Balances (2010-)"/>
    <n v="380"/>
    <x v="5"/>
    <n v="645"/>
    <s v="Food supply quantity (kg/capita/yr)"/>
    <s v="S2737"/>
    <x v="8"/>
    <n v="2019"/>
    <x v="2"/>
    <s v="kg"/>
    <n v="1.51"/>
    <s v="E"/>
    <s v="Estimated value"/>
  </r>
  <r>
    <s v="FBS"/>
    <s v="Food Balances (2010-)"/>
    <n v="380"/>
    <x v="5"/>
    <n v="645"/>
    <s v="Food supply quantity (kg/capita/yr)"/>
    <s v="S2737"/>
    <x v="8"/>
    <n v="2020"/>
    <x v="3"/>
    <s v="kg"/>
    <n v="1.77"/>
    <s v="E"/>
    <s v="Estimated value"/>
  </r>
  <r>
    <s v="FBS"/>
    <s v="Food Balances (2010-)"/>
    <n v="380"/>
    <x v="5"/>
    <n v="645"/>
    <s v="Food supply quantity (kg/capita/yr)"/>
    <s v="S2737"/>
    <x v="8"/>
    <n v="2021"/>
    <x v="4"/>
    <s v="kg"/>
    <n v="1.69"/>
    <s v="E"/>
    <s v="Estimated value"/>
  </r>
  <r>
    <s v="FBS"/>
    <s v="Food Balances (2010-)"/>
    <n v="380"/>
    <x v="5"/>
    <n v="645"/>
    <s v="Food supply quantity (kg/capita/yr)"/>
    <s v="S2782"/>
    <x v="10"/>
    <n v="2017"/>
    <x v="0"/>
    <s v="kg"/>
    <n v="0"/>
    <s v="E"/>
    <s v="Estimated value"/>
  </r>
  <r>
    <s v="FBS"/>
    <s v="Food Balances (2010-)"/>
    <n v="380"/>
    <x v="5"/>
    <n v="645"/>
    <s v="Food supply quantity (kg/capita/yr)"/>
    <s v="S2782"/>
    <x v="10"/>
    <n v="2018"/>
    <x v="1"/>
    <s v="kg"/>
    <n v="0"/>
    <s v="E"/>
    <s v="Estimated value"/>
  </r>
  <r>
    <s v="FBS"/>
    <s v="Food Balances (2010-)"/>
    <n v="380"/>
    <x v="5"/>
    <n v="645"/>
    <s v="Food supply quantity (kg/capita/yr)"/>
    <s v="S2782"/>
    <x v="10"/>
    <n v="2019"/>
    <x v="2"/>
    <s v="kg"/>
    <n v="0"/>
    <s v="E"/>
    <s v="Estimated value"/>
  </r>
  <r>
    <s v="FBS"/>
    <s v="Food Balances (2010-)"/>
    <n v="380"/>
    <x v="5"/>
    <n v="645"/>
    <s v="Food supply quantity (kg/capita/yr)"/>
    <s v="S2782"/>
    <x v="10"/>
    <n v="2020"/>
    <x v="3"/>
    <s v="kg"/>
    <n v="0"/>
    <s v="E"/>
    <s v="Estimated value"/>
  </r>
  <r>
    <s v="FBS"/>
    <s v="Food Balances (2010-)"/>
    <n v="380"/>
    <x v="5"/>
    <n v="645"/>
    <s v="Food supply quantity (kg/capita/yr)"/>
    <s v="S2782"/>
    <x v="10"/>
    <n v="2021"/>
    <x v="4"/>
    <s v="kg"/>
    <n v="0"/>
    <s v="E"/>
    <s v="Estimated value"/>
  </r>
  <r>
    <s v="FBS"/>
    <s v="Food Balances (2010-)"/>
    <n v="380"/>
    <x v="5"/>
    <n v="645"/>
    <s v="Food supply quantity (kg/capita/yr)"/>
    <s v="S2744"/>
    <x v="11"/>
    <n v="2017"/>
    <x v="0"/>
    <s v="kg"/>
    <n v="11.76"/>
    <s v="E"/>
    <s v="Estimated value"/>
  </r>
  <r>
    <s v="FBS"/>
    <s v="Food Balances (2010-)"/>
    <n v="380"/>
    <x v="5"/>
    <n v="645"/>
    <s v="Food supply quantity (kg/capita/yr)"/>
    <s v="S2744"/>
    <x v="11"/>
    <n v="2018"/>
    <x v="1"/>
    <s v="kg"/>
    <n v="11.89"/>
    <s v="E"/>
    <s v="Estimated value"/>
  </r>
  <r>
    <s v="FBS"/>
    <s v="Food Balances (2010-)"/>
    <n v="380"/>
    <x v="5"/>
    <n v="645"/>
    <s v="Food supply quantity (kg/capita/yr)"/>
    <s v="S2744"/>
    <x v="11"/>
    <n v="2019"/>
    <x v="2"/>
    <s v="kg"/>
    <n v="11.42"/>
    <s v="E"/>
    <s v="Estimated value"/>
  </r>
  <r>
    <s v="FBS"/>
    <s v="Food Balances (2010-)"/>
    <n v="380"/>
    <x v="5"/>
    <n v="645"/>
    <s v="Food supply quantity (kg/capita/yr)"/>
    <s v="S2744"/>
    <x v="11"/>
    <n v="2020"/>
    <x v="3"/>
    <s v="kg"/>
    <n v="11.65"/>
    <s v="E"/>
    <s v="Estimated value"/>
  </r>
  <r>
    <s v="FBS"/>
    <s v="Food Balances (2010-)"/>
    <n v="380"/>
    <x v="5"/>
    <n v="645"/>
    <s v="Food supply quantity (kg/capita/yr)"/>
    <s v="S2744"/>
    <x v="11"/>
    <n v="2021"/>
    <x v="4"/>
    <s v="kg"/>
    <n v="11.32"/>
    <s v="E"/>
    <s v="Estimated value"/>
  </r>
  <r>
    <s v="FBS"/>
    <s v="Food Balances (2010-)"/>
    <n v="380"/>
    <x v="5"/>
    <n v="645"/>
    <s v="Food supply quantity (kg/capita/yr)"/>
    <s v="S2848"/>
    <x v="12"/>
    <n v="2017"/>
    <x v="0"/>
    <s v="kg"/>
    <n v="190.92"/>
    <s v="E"/>
    <s v="Estimated value"/>
  </r>
  <r>
    <s v="FBS"/>
    <s v="Food Balances (2010-)"/>
    <n v="380"/>
    <x v="5"/>
    <n v="645"/>
    <s v="Food supply quantity (kg/capita/yr)"/>
    <s v="S2848"/>
    <x v="12"/>
    <n v="2018"/>
    <x v="1"/>
    <s v="kg"/>
    <n v="213.3"/>
    <s v="E"/>
    <s v="Estimated value"/>
  </r>
  <r>
    <s v="FBS"/>
    <s v="Food Balances (2010-)"/>
    <n v="380"/>
    <x v="5"/>
    <n v="645"/>
    <s v="Food supply quantity (kg/capita/yr)"/>
    <s v="S2848"/>
    <x v="12"/>
    <n v="2019"/>
    <x v="2"/>
    <s v="kg"/>
    <n v="222.08"/>
    <s v="E"/>
    <s v="Estimated value"/>
  </r>
  <r>
    <s v="FBS"/>
    <s v="Food Balances (2010-)"/>
    <n v="380"/>
    <x v="5"/>
    <n v="645"/>
    <s v="Food supply quantity (kg/capita/yr)"/>
    <s v="S2848"/>
    <x v="12"/>
    <n v="2020"/>
    <x v="3"/>
    <s v="kg"/>
    <n v="228.46"/>
    <s v="E"/>
    <s v="Estimated value"/>
  </r>
  <r>
    <s v="FBS"/>
    <s v="Food Balances (2010-)"/>
    <n v="380"/>
    <x v="5"/>
    <n v="645"/>
    <s v="Food supply quantity (kg/capita/yr)"/>
    <s v="S2848"/>
    <x v="12"/>
    <n v="2021"/>
    <x v="4"/>
    <s v="kg"/>
    <n v="230.32"/>
    <s v="E"/>
    <s v="Estimated value"/>
  </r>
  <r>
    <s v="FBS"/>
    <s v="Food Balances (2010-)"/>
    <n v="380"/>
    <x v="5"/>
    <n v="645"/>
    <s v="Food supply quantity (kg/capita/yr)"/>
    <s v="S2761"/>
    <x v="13"/>
    <n v="2017"/>
    <x v="0"/>
    <s v="kg"/>
    <n v="3.48"/>
    <s v="E"/>
    <s v="Estimated value"/>
  </r>
  <r>
    <s v="FBS"/>
    <s v="Food Balances (2010-)"/>
    <n v="380"/>
    <x v="5"/>
    <n v="645"/>
    <s v="Food supply quantity (kg/capita/yr)"/>
    <s v="S2761"/>
    <x v="13"/>
    <n v="2018"/>
    <x v="1"/>
    <s v="kg"/>
    <n v="3.74"/>
    <s v="E"/>
    <s v="Estimated value"/>
  </r>
  <r>
    <s v="FBS"/>
    <s v="Food Balances (2010-)"/>
    <n v="380"/>
    <x v="5"/>
    <n v="645"/>
    <s v="Food supply quantity (kg/capita/yr)"/>
    <s v="S2761"/>
    <x v="13"/>
    <n v="2019"/>
    <x v="2"/>
    <s v="kg"/>
    <n v="3.92"/>
    <s v="E"/>
    <s v="Estimated value"/>
  </r>
  <r>
    <s v="FBS"/>
    <s v="Food Balances (2010-)"/>
    <n v="380"/>
    <x v="5"/>
    <n v="645"/>
    <s v="Food supply quantity (kg/capita/yr)"/>
    <s v="S2761"/>
    <x v="13"/>
    <n v="2020"/>
    <x v="3"/>
    <s v="kg"/>
    <n v="3.94"/>
    <s v="E"/>
    <s v="Estimated value"/>
  </r>
  <r>
    <s v="FBS"/>
    <s v="Food Balances (2010-)"/>
    <n v="380"/>
    <x v="5"/>
    <n v="645"/>
    <s v="Food supply quantity (kg/capita/yr)"/>
    <s v="S2761"/>
    <x v="13"/>
    <n v="2021"/>
    <x v="4"/>
    <s v="kg"/>
    <n v="3.96"/>
    <s v="E"/>
    <s v="Estimated value"/>
  </r>
  <r>
    <s v="FBS"/>
    <s v="Food Balances (2010-)"/>
    <n v="380"/>
    <x v="5"/>
    <n v="645"/>
    <s v="Food supply quantity (kg/capita/yr)"/>
    <s v="S2762"/>
    <x v="14"/>
    <n v="2017"/>
    <x v="0"/>
    <s v="kg"/>
    <n v="7.85"/>
    <s v="E"/>
    <s v="Estimated value"/>
  </r>
  <r>
    <s v="FBS"/>
    <s v="Food Balances (2010-)"/>
    <n v="380"/>
    <x v="5"/>
    <n v="645"/>
    <s v="Food supply quantity (kg/capita/yr)"/>
    <s v="S2762"/>
    <x v="14"/>
    <n v="2018"/>
    <x v="1"/>
    <s v="kg"/>
    <n v="7.85"/>
    <s v="E"/>
    <s v="Estimated value"/>
  </r>
  <r>
    <s v="FBS"/>
    <s v="Food Balances (2010-)"/>
    <n v="380"/>
    <x v="5"/>
    <n v="645"/>
    <s v="Food supply quantity (kg/capita/yr)"/>
    <s v="S2762"/>
    <x v="14"/>
    <n v="2019"/>
    <x v="2"/>
    <s v="kg"/>
    <n v="7.74"/>
    <s v="E"/>
    <s v="Estimated value"/>
  </r>
  <r>
    <s v="FBS"/>
    <s v="Food Balances (2010-)"/>
    <n v="380"/>
    <x v="5"/>
    <n v="645"/>
    <s v="Food supply quantity (kg/capita/yr)"/>
    <s v="S2762"/>
    <x v="14"/>
    <n v="2020"/>
    <x v="3"/>
    <s v="kg"/>
    <n v="7.77"/>
    <s v="E"/>
    <s v="Estimated value"/>
  </r>
  <r>
    <s v="FBS"/>
    <s v="Food Balances (2010-)"/>
    <n v="380"/>
    <x v="5"/>
    <n v="645"/>
    <s v="Food supply quantity (kg/capita/yr)"/>
    <s v="S2762"/>
    <x v="14"/>
    <n v="2021"/>
    <x v="4"/>
    <s v="kg"/>
    <n v="7.8"/>
    <s v="E"/>
    <s v="Estimated value"/>
  </r>
  <r>
    <s v="FBS"/>
    <s v="Food Balances (2010-)"/>
    <n v="380"/>
    <x v="5"/>
    <n v="645"/>
    <s v="Food supply quantity (kg/capita/yr)"/>
    <s v="S2763"/>
    <x v="15"/>
    <n v="2017"/>
    <x v="0"/>
    <s v="kg"/>
    <n v="5.47"/>
    <s v="E"/>
    <s v="Estimated value"/>
  </r>
  <r>
    <s v="FBS"/>
    <s v="Food Balances (2010-)"/>
    <n v="380"/>
    <x v="5"/>
    <n v="645"/>
    <s v="Food supply quantity (kg/capita/yr)"/>
    <s v="S2763"/>
    <x v="15"/>
    <n v="2018"/>
    <x v="1"/>
    <s v="kg"/>
    <n v="5.55"/>
    <s v="E"/>
    <s v="Estimated value"/>
  </r>
  <r>
    <s v="FBS"/>
    <s v="Food Balances (2010-)"/>
    <n v="380"/>
    <x v="5"/>
    <n v="645"/>
    <s v="Food supply quantity (kg/capita/yr)"/>
    <s v="S2763"/>
    <x v="15"/>
    <n v="2019"/>
    <x v="2"/>
    <s v="kg"/>
    <n v="5.12"/>
    <s v="E"/>
    <s v="Estimated value"/>
  </r>
  <r>
    <s v="FBS"/>
    <s v="Food Balances (2010-)"/>
    <n v="380"/>
    <x v="5"/>
    <n v="645"/>
    <s v="Food supply quantity (kg/capita/yr)"/>
    <s v="S2763"/>
    <x v="15"/>
    <n v="2020"/>
    <x v="3"/>
    <s v="kg"/>
    <n v="5.14"/>
    <s v="E"/>
    <s v="Estimated value"/>
  </r>
  <r>
    <s v="FBS"/>
    <s v="Food Balances (2010-)"/>
    <n v="380"/>
    <x v="5"/>
    <n v="645"/>
    <s v="Food supply quantity (kg/capita/yr)"/>
    <s v="S2763"/>
    <x v="15"/>
    <n v="2021"/>
    <x v="4"/>
    <s v="kg"/>
    <n v="5.16"/>
    <s v="E"/>
    <s v="Estimated value"/>
  </r>
  <r>
    <s v="FBS"/>
    <s v="Food Balances (2010-)"/>
    <n v="380"/>
    <x v="5"/>
    <n v="645"/>
    <s v="Food supply quantity (kg/capita/yr)"/>
    <s v="S2764"/>
    <x v="16"/>
    <n v="2017"/>
    <x v="0"/>
    <s v="kg"/>
    <n v="1.45"/>
    <s v="E"/>
    <s v="Estimated value"/>
  </r>
  <r>
    <s v="FBS"/>
    <s v="Food Balances (2010-)"/>
    <n v="380"/>
    <x v="5"/>
    <n v="645"/>
    <s v="Food supply quantity (kg/capita/yr)"/>
    <s v="S2764"/>
    <x v="16"/>
    <n v="2018"/>
    <x v="1"/>
    <s v="kg"/>
    <n v="1.4"/>
    <s v="E"/>
    <s v="Estimated value"/>
  </r>
  <r>
    <s v="FBS"/>
    <s v="Food Balances (2010-)"/>
    <n v="380"/>
    <x v="5"/>
    <n v="645"/>
    <s v="Food supply quantity (kg/capita/yr)"/>
    <s v="S2764"/>
    <x v="16"/>
    <n v="2019"/>
    <x v="2"/>
    <s v="kg"/>
    <n v="1.5"/>
    <s v="E"/>
    <s v="Estimated value"/>
  </r>
  <r>
    <s v="FBS"/>
    <s v="Food Balances (2010-)"/>
    <n v="380"/>
    <x v="5"/>
    <n v="645"/>
    <s v="Food supply quantity (kg/capita/yr)"/>
    <s v="S2764"/>
    <x v="16"/>
    <n v="2020"/>
    <x v="3"/>
    <s v="kg"/>
    <n v="1.5"/>
    <s v="E"/>
    <s v="Estimated value"/>
  </r>
  <r>
    <s v="FBS"/>
    <s v="Food Balances (2010-)"/>
    <n v="380"/>
    <x v="5"/>
    <n v="645"/>
    <s v="Food supply quantity (kg/capita/yr)"/>
    <s v="S2764"/>
    <x v="16"/>
    <n v="2021"/>
    <x v="4"/>
    <s v="kg"/>
    <n v="1.51"/>
    <s v="E"/>
    <s v="Estimated value"/>
  </r>
  <r>
    <s v="FBS"/>
    <s v="Food Balances (2010-)"/>
    <n v="380"/>
    <x v="5"/>
    <n v="645"/>
    <s v="Food supply quantity (kg/capita/yr)"/>
    <s v="S2765"/>
    <x v="17"/>
    <n v="2017"/>
    <x v="0"/>
    <s v="kg"/>
    <n v="2.2799999999999998"/>
    <s v="E"/>
    <s v="Estimated value"/>
  </r>
  <r>
    <s v="FBS"/>
    <s v="Food Balances (2010-)"/>
    <n v="380"/>
    <x v="5"/>
    <n v="645"/>
    <s v="Food supply quantity (kg/capita/yr)"/>
    <s v="S2765"/>
    <x v="17"/>
    <n v="2018"/>
    <x v="1"/>
    <s v="kg"/>
    <n v="2.42"/>
    <s v="E"/>
    <s v="Estimated value"/>
  </r>
  <r>
    <s v="FBS"/>
    <s v="Food Balances (2010-)"/>
    <n v="380"/>
    <x v="5"/>
    <n v="645"/>
    <s v="Food supply quantity (kg/capita/yr)"/>
    <s v="S2765"/>
    <x v="17"/>
    <n v="2019"/>
    <x v="2"/>
    <s v="kg"/>
    <n v="2.21"/>
    <s v="E"/>
    <s v="Estimated value"/>
  </r>
  <r>
    <s v="FBS"/>
    <s v="Food Balances (2010-)"/>
    <n v="380"/>
    <x v="5"/>
    <n v="645"/>
    <s v="Food supply quantity (kg/capita/yr)"/>
    <s v="S2765"/>
    <x v="17"/>
    <n v="2020"/>
    <x v="3"/>
    <s v="kg"/>
    <n v="2.2200000000000002"/>
    <s v="E"/>
    <s v="Estimated value"/>
  </r>
  <r>
    <s v="FBS"/>
    <s v="Food Balances (2010-)"/>
    <n v="380"/>
    <x v="5"/>
    <n v="645"/>
    <s v="Food supply quantity (kg/capita/yr)"/>
    <s v="S2765"/>
    <x v="17"/>
    <n v="2021"/>
    <x v="4"/>
    <s v="kg"/>
    <n v="2.23"/>
    <s v="E"/>
    <s v="Estimated value"/>
  </r>
  <r>
    <s v="FBS"/>
    <s v="Food Balances (2010-)"/>
    <n v="380"/>
    <x v="5"/>
    <n v="645"/>
    <s v="Food supply quantity (kg/capita/yr)"/>
    <s v="S2766"/>
    <x v="18"/>
    <n v="2017"/>
    <x v="0"/>
    <s v="kg"/>
    <n v="4.13"/>
    <s v="E"/>
    <s v="Estimated value"/>
  </r>
  <r>
    <s v="FBS"/>
    <s v="Food Balances (2010-)"/>
    <n v="380"/>
    <x v="5"/>
    <n v="645"/>
    <s v="Food supply quantity (kg/capita/yr)"/>
    <s v="S2766"/>
    <x v="18"/>
    <n v="2018"/>
    <x v="1"/>
    <s v="kg"/>
    <n v="3.87"/>
    <s v="E"/>
    <s v="Estimated value"/>
  </r>
  <r>
    <s v="FBS"/>
    <s v="Food Balances (2010-)"/>
    <n v="380"/>
    <x v="5"/>
    <n v="645"/>
    <s v="Food supply quantity (kg/capita/yr)"/>
    <s v="S2766"/>
    <x v="18"/>
    <n v="2019"/>
    <x v="2"/>
    <s v="kg"/>
    <n v="3.75"/>
    <s v="E"/>
    <s v="Estimated value"/>
  </r>
  <r>
    <s v="FBS"/>
    <s v="Food Balances (2010-)"/>
    <n v="380"/>
    <x v="5"/>
    <n v="645"/>
    <s v="Food supply quantity (kg/capita/yr)"/>
    <s v="S2766"/>
    <x v="18"/>
    <n v="2020"/>
    <x v="3"/>
    <s v="kg"/>
    <n v="3.77"/>
    <s v="E"/>
    <s v="Estimated value"/>
  </r>
  <r>
    <s v="FBS"/>
    <s v="Food Balances (2010-)"/>
    <n v="380"/>
    <x v="5"/>
    <n v="645"/>
    <s v="Food supply quantity (kg/capita/yr)"/>
    <s v="S2766"/>
    <x v="18"/>
    <n v="2021"/>
    <x v="4"/>
    <s v="kg"/>
    <n v="3.78"/>
    <s v="E"/>
    <s v="Estimated value"/>
  </r>
  <r>
    <s v="FBS"/>
    <s v="Food Balances (2010-)"/>
    <n v="380"/>
    <x v="5"/>
    <n v="645"/>
    <s v="Food supply quantity (kg/capita/yr)"/>
    <s v="S2767"/>
    <x v="19"/>
    <n v="2017"/>
    <x v="0"/>
    <s v="kg"/>
    <n v="5.42"/>
    <s v="E"/>
    <s v="Estimated value"/>
  </r>
  <r>
    <s v="FBS"/>
    <s v="Food Balances (2010-)"/>
    <n v="380"/>
    <x v="5"/>
    <n v="645"/>
    <s v="Food supply quantity (kg/capita/yr)"/>
    <s v="S2767"/>
    <x v="19"/>
    <n v="2018"/>
    <x v="1"/>
    <s v="kg"/>
    <n v="4.8899999999999997"/>
    <s v="E"/>
    <s v="Estimated value"/>
  </r>
  <r>
    <s v="FBS"/>
    <s v="Food Balances (2010-)"/>
    <n v="380"/>
    <x v="5"/>
    <n v="645"/>
    <s v="Food supply quantity (kg/capita/yr)"/>
    <s v="S2767"/>
    <x v="19"/>
    <n v="2019"/>
    <x v="2"/>
    <s v="kg"/>
    <n v="5.0199999999999996"/>
    <s v="E"/>
    <s v="Estimated value"/>
  </r>
  <r>
    <s v="FBS"/>
    <s v="Food Balances (2010-)"/>
    <n v="380"/>
    <x v="5"/>
    <n v="645"/>
    <s v="Food supply quantity (kg/capita/yr)"/>
    <s v="S2767"/>
    <x v="19"/>
    <n v="2020"/>
    <x v="3"/>
    <s v="kg"/>
    <n v="5.04"/>
    <s v="E"/>
    <s v="Estimated value"/>
  </r>
  <r>
    <s v="FBS"/>
    <s v="Food Balances (2010-)"/>
    <n v="380"/>
    <x v="5"/>
    <n v="645"/>
    <s v="Food supply quantity (kg/capita/yr)"/>
    <s v="S2767"/>
    <x v="19"/>
    <n v="2021"/>
    <x v="4"/>
    <s v="kg"/>
    <n v="5.0599999999999996"/>
    <s v="E"/>
    <s v="Estimated value"/>
  </r>
  <r>
    <s v="FBS"/>
    <s v="Food Balances (2010-)"/>
    <n v="380"/>
    <x v="5"/>
    <n v="645"/>
    <s v="Food supply quantity (kg/capita/yr)"/>
    <s v="S2769"/>
    <x v="20"/>
    <n v="2017"/>
    <x v="0"/>
    <s v="kg"/>
    <n v="0.02"/>
    <s v="E"/>
    <s v="Estimated value"/>
  </r>
  <r>
    <s v="FBS"/>
    <s v="Food Balances (2010-)"/>
    <n v="380"/>
    <x v="5"/>
    <n v="645"/>
    <s v="Food supply quantity (kg/capita/yr)"/>
    <s v="S2769"/>
    <x v="20"/>
    <n v="2018"/>
    <x v="1"/>
    <s v="kg"/>
    <n v="0.01"/>
    <s v="E"/>
    <s v="Estimated value"/>
  </r>
  <r>
    <s v="FBS"/>
    <s v="Food Balances (2010-)"/>
    <n v="380"/>
    <x v="5"/>
    <n v="645"/>
    <s v="Food supply quantity (kg/capita/yr)"/>
    <s v="S2769"/>
    <x v="20"/>
    <n v="2019"/>
    <x v="2"/>
    <s v="kg"/>
    <n v="0.01"/>
    <s v="E"/>
    <s v="Estimated value"/>
  </r>
  <r>
    <s v="FBS"/>
    <s v="Food Balances (2010-)"/>
    <n v="380"/>
    <x v="5"/>
    <n v="645"/>
    <s v="Food supply quantity (kg/capita/yr)"/>
    <s v="S2769"/>
    <x v="20"/>
    <n v="2020"/>
    <x v="3"/>
    <s v="kg"/>
    <n v="0.01"/>
    <s v="E"/>
    <s v="Estimated value"/>
  </r>
  <r>
    <s v="FBS"/>
    <s v="Food Balances (2010-)"/>
    <n v="380"/>
    <x v="5"/>
    <n v="645"/>
    <s v="Food supply quantity (kg/capita/yr)"/>
    <s v="S2769"/>
    <x v="20"/>
    <n v="2021"/>
    <x v="4"/>
    <s v="kg"/>
    <n v="0.01"/>
    <s v="E"/>
    <s v="Estimated value"/>
  </r>
  <r>
    <s v="FBS"/>
    <s v="Food Balances (2010-)"/>
    <n v="616"/>
    <x v="6"/>
    <n v="645"/>
    <s v="Food supply quantity (kg/capita/yr)"/>
    <s v="S2731"/>
    <x v="0"/>
    <n v="2017"/>
    <x v="0"/>
    <s v="kg"/>
    <n v="0.19"/>
    <s v="E"/>
    <s v="Estimated value"/>
  </r>
  <r>
    <s v="FBS"/>
    <s v="Food Balances (2010-)"/>
    <n v="616"/>
    <x v="6"/>
    <n v="645"/>
    <s v="Food supply quantity (kg/capita/yr)"/>
    <s v="S2731"/>
    <x v="0"/>
    <n v="2018"/>
    <x v="1"/>
    <s v="kg"/>
    <n v="0.79"/>
    <s v="E"/>
    <s v="Estimated value"/>
  </r>
  <r>
    <s v="FBS"/>
    <s v="Food Balances (2010-)"/>
    <n v="616"/>
    <x v="6"/>
    <n v="645"/>
    <s v="Food supply quantity (kg/capita/yr)"/>
    <s v="S2731"/>
    <x v="0"/>
    <n v="2019"/>
    <x v="2"/>
    <s v="kg"/>
    <n v="1.07"/>
    <s v="E"/>
    <s v="Estimated value"/>
  </r>
  <r>
    <s v="FBS"/>
    <s v="Food Balances (2010-)"/>
    <n v="616"/>
    <x v="6"/>
    <n v="645"/>
    <s v="Food supply quantity (kg/capita/yr)"/>
    <s v="S2731"/>
    <x v="0"/>
    <n v="2020"/>
    <x v="3"/>
    <s v="kg"/>
    <n v="1.47"/>
    <s v="E"/>
    <s v="Estimated value"/>
  </r>
  <r>
    <s v="FBS"/>
    <s v="Food Balances (2010-)"/>
    <n v="616"/>
    <x v="6"/>
    <n v="645"/>
    <s v="Food supply quantity (kg/capita/yr)"/>
    <s v="S2731"/>
    <x v="0"/>
    <n v="2021"/>
    <x v="4"/>
    <s v="kg"/>
    <n v="1.7"/>
    <s v="E"/>
    <s v="Estimated value"/>
  </r>
  <r>
    <s v="FBS"/>
    <s v="Food Balances (2010-)"/>
    <n v="616"/>
    <x v="6"/>
    <n v="645"/>
    <s v="Food supply quantity (kg/capita/yr)"/>
    <s v="S2732"/>
    <x v="1"/>
    <n v="2017"/>
    <x v="0"/>
    <s v="kg"/>
    <n v="0.03"/>
    <s v="E"/>
    <s v="Estimated value"/>
  </r>
  <r>
    <s v="FBS"/>
    <s v="Food Balances (2010-)"/>
    <n v="616"/>
    <x v="6"/>
    <n v="645"/>
    <s v="Food supply quantity (kg/capita/yr)"/>
    <s v="S2732"/>
    <x v="1"/>
    <n v="2018"/>
    <x v="1"/>
    <s v="kg"/>
    <n v="0.03"/>
    <s v="E"/>
    <s v="Estimated value"/>
  </r>
  <r>
    <s v="FBS"/>
    <s v="Food Balances (2010-)"/>
    <n v="616"/>
    <x v="6"/>
    <n v="645"/>
    <s v="Food supply quantity (kg/capita/yr)"/>
    <s v="S2732"/>
    <x v="1"/>
    <n v="2019"/>
    <x v="2"/>
    <s v="kg"/>
    <n v="0.05"/>
    <s v="E"/>
    <s v="Estimated value"/>
  </r>
  <r>
    <s v="FBS"/>
    <s v="Food Balances (2010-)"/>
    <n v="616"/>
    <x v="6"/>
    <n v="645"/>
    <s v="Food supply quantity (kg/capita/yr)"/>
    <s v="S2732"/>
    <x v="1"/>
    <n v="2020"/>
    <x v="3"/>
    <s v="kg"/>
    <n v="0.03"/>
    <s v="E"/>
    <s v="Estimated value"/>
  </r>
  <r>
    <s v="FBS"/>
    <s v="Food Balances (2010-)"/>
    <n v="616"/>
    <x v="6"/>
    <n v="645"/>
    <s v="Food supply quantity (kg/capita/yr)"/>
    <s v="S2732"/>
    <x v="1"/>
    <n v="2021"/>
    <x v="4"/>
    <s v="kg"/>
    <n v="0.02"/>
    <s v="E"/>
    <s v="Estimated value"/>
  </r>
  <r>
    <s v="FBS"/>
    <s v="Food Balances (2010-)"/>
    <n v="616"/>
    <x v="6"/>
    <n v="645"/>
    <s v="Food supply quantity (kg/capita/yr)"/>
    <s v="S2733"/>
    <x v="2"/>
    <n v="2017"/>
    <x v="0"/>
    <s v="kg"/>
    <n v="53.98"/>
    <s v="E"/>
    <s v="Estimated value"/>
  </r>
  <r>
    <s v="FBS"/>
    <s v="Food Balances (2010-)"/>
    <n v="616"/>
    <x v="6"/>
    <n v="645"/>
    <s v="Food supply quantity (kg/capita/yr)"/>
    <s v="S2733"/>
    <x v="2"/>
    <n v="2018"/>
    <x v="1"/>
    <s v="kg"/>
    <n v="57.5"/>
    <s v="E"/>
    <s v="Estimated value"/>
  </r>
  <r>
    <s v="FBS"/>
    <s v="Food Balances (2010-)"/>
    <n v="616"/>
    <x v="6"/>
    <n v="645"/>
    <s v="Food supply quantity (kg/capita/yr)"/>
    <s v="S2733"/>
    <x v="2"/>
    <n v="2019"/>
    <x v="2"/>
    <s v="kg"/>
    <n v="53.41"/>
    <s v="E"/>
    <s v="Estimated value"/>
  </r>
  <r>
    <s v="FBS"/>
    <s v="Food Balances (2010-)"/>
    <n v="616"/>
    <x v="6"/>
    <n v="645"/>
    <s v="Food supply quantity (kg/capita/yr)"/>
    <s v="S2733"/>
    <x v="2"/>
    <n v="2020"/>
    <x v="3"/>
    <s v="kg"/>
    <n v="54.11"/>
    <s v="E"/>
    <s v="Estimated value"/>
  </r>
  <r>
    <s v="FBS"/>
    <s v="Food Balances (2010-)"/>
    <n v="616"/>
    <x v="6"/>
    <n v="645"/>
    <s v="Food supply quantity (kg/capita/yr)"/>
    <s v="S2733"/>
    <x v="2"/>
    <n v="2021"/>
    <x v="4"/>
    <s v="kg"/>
    <n v="56.18"/>
    <s v="E"/>
    <s v="Estimated value"/>
  </r>
  <r>
    <s v="FBS"/>
    <s v="Food Balances (2010-)"/>
    <n v="616"/>
    <x v="6"/>
    <n v="645"/>
    <s v="Food supply quantity (kg/capita/yr)"/>
    <s v="S2734"/>
    <x v="3"/>
    <n v="2017"/>
    <x v="0"/>
    <s v="kg"/>
    <n v="33.03"/>
    <s v="E"/>
    <s v="Estimated value"/>
  </r>
  <r>
    <s v="FBS"/>
    <s v="Food Balances (2010-)"/>
    <n v="616"/>
    <x v="6"/>
    <n v="645"/>
    <s v="Food supply quantity (kg/capita/yr)"/>
    <s v="S2734"/>
    <x v="3"/>
    <n v="2018"/>
    <x v="1"/>
    <s v="kg"/>
    <n v="29.96"/>
    <s v="E"/>
    <s v="Estimated value"/>
  </r>
  <r>
    <s v="FBS"/>
    <s v="Food Balances (2010-)"/>
    <n v="616"/>
    <x v="6"/>
    <n v="645"/>
    <s v="Food supply quantity (kg/capita/yr)"/>
    <s v="S2734"/>
    <x v="3"/>
    <n v="2019"/>
    <x v="2"/>
    <s v="kg"/>
    <n v="29.97"/>
    <s v="E"/>
    <s v="Estimated value"/>
  </r>
  <r>
    <s v="FBS"/>
    <s v="Food Balances (2010-)"/>
    <n v="616"/>
    <x v="6"/>
    <n v="645"/>
    <s v="Food supply quantity (kg/capita/yr)"/>
    <s v="S2734"/>
    <x v="3"/>
    <n v="2020"/>
    <x v="3"/>
    <s v="kg"/>
    <n v="32.299999999999997"/>
    <s v="E"/>
    <s v="Estimated value"/>
  </r>
  <r>
    <s v="FBS"/>
    <s v="Food Balances (2010-)"/>
    <n v="616"/>
    <x v="6"/>
    <n v="645"/>
    <s v="Food supply quantity (kg/capita/yr)"/>
    <s v="S2734"/>
    <x v="3"/>
    <n v="2021"/>
    <x v="4"/>
    <s v="kg"/>
    <n v="31.27"/>
    <s v="E"/>
    <s v="Estimated value"/>
  </r>
  <r>
    <s v="FBS"/>
    <s v="Food Balances (2010-)"/>
    <n v="616"/>
    <x v="6"/>
    <n v="645"/>
    <s v="Food supply quantity (kg/capita/yr)"/>
    <s v="S2735"/>
    <x v="4"/>
    <n v="2017"/>
    <x v="0"/>
    <s v="kg"/>
    <n v="0.1"/>
    <s v="E"/>
    <s v="Estimated value"/>
  </r>
  <r>
    <s v="FBS"/>
    <s v="Food Balances (2010-)"/>
    <n v="616"/>
    <x v="6"/>
    <n v="645"/>
    <s v="Food supply quantity (kg/capita/yr)"/>
    <s v="S2735"/>
    <x v="4"/>
    <n v="2018"/>
    <x v="1"/>
    <s v="kg"/>
    <n v="0.1"/>
    <s v="E"/>
    <s v="Estimated value"/>
  </r>
  <r>
    <s v="FBS"/>
    <s v="Food Balances (2010-)"/>
    <n v="616"/>
    <x v="6"/>
    <n v="645"/>
    <s v="Food supply quantity (kg/capita/yr)"/>
    <s v="S2735"/>
    <x v="4"/>
    <n v="2019"/>
    <x v="2"/>
    <s v="kg"/>
    <n v="0.11"/>
    <s v="E"/>
    <s v="Estimated value"/>
  </r>
  <r>
    <s v="FBS"/>
    <s v="Food Balances (2010-)"/>
    <n v="616"/>
    <x v="6"/>
    <n v="645"/>
    <s v="Food supply quantity (kg/capita/yr)"/>
    <s v="S2735"/>
    <x v="4"/>
    <n v="2020"/>
    <x v="3"/>
    <s v="kg"/>
    <n v="0.11"/>
    <s v="E"/>
    <s v="Estimated value"/>
  </r>
  <r>
    <s v="FBS"/>
    <s v="Food Balances (2010-)"/>
    <n v="616"/>
    <x v="6"/>
    <n v="645"/>
    <s v="Food supply quantity (kg/capita/yr)"/>
    <s v="S2735"/>
    <x v="4"/>
    <n v="2021"/>
    <x v="4"/>
    <s v="kg"/>
    <n v="0.09"/>
    <s v="E"/>
    <s v="Estimated value"/>
  </r>
  <r>
    <s v="FBS"/>
    <s v="Food Balances (2010-)"/>
    <n v="616"/>
    <x v="6"/>
    <n v="645"/>
    <s v="Food supply quantity (kg/capita/yr)"/>
    <s v="S2736"/>
    <x v="5"/>
    <n v="2017"/>
    <x v="0"/>
    <s v="kg"/>
    <n v="0.3"/>
    <s v="E"/>
    <s v="Estimated value"/>
  </r>
  <r>
    <s v="FBS"/>
    <s v="Food Balances (2010-)"/>
    <n v="616"/>
    <x v="6"/>
    <n v="645"/>
    <s v="Food supply quantity (kg/capita/yr)"/>
    <s v="S2736"/>
    <x v="5"/>
    <n v="2018"/>
    <x v="1"/>
    <s v="kg"/>
    <n v="1.47"/>
    <s v="E"/>
    <s v="Estimated value"/>
  </r>
  <r>
    <s v="FBS"/>
    <s v="Food Balances (2010-)"/>
    <n v="616"/>
    <x v="6"/>
    <n v="645"/>
    <s v="Food supply quantity (kg/capita/yr)"/>
    <s v="S2736"/>
    <x v="5"/>
    <n v="2019"/>
    <x v="2"/>
    <s v="kg"/>
    <n v="1.24"/>
    <s v="E"/>
    <s v="Estimated value"/>
  </r>
  <r>
    <s v="FBS"/>
    <s v="Food Balances (2010-)"/>
    <n v="616"/>
    <x v="6"/>
    <n v="645"/>
    <s v="Food supply quantity (kg/capita/yr)"/>
    <s v="S2736"/>
    <x v="5"/>
    <n v="2020"/>
    <x v="3"/>
    <s v="kg"/>
    <n v="1.1499999999999999"/>
    <s v="E"/>
    <s v="Estimated value"/>
  </r>
  <r>
    <s v="FBS"/>
    <s v="Food Balances (2010-)"/>
    <n v="616"/>
    <x v="6"/>
    <n v="645"/>
    <s v="Food supply quantity (kg/capita/yr)"/>
    <s v="S2736"/>
    <x v="5"/>
    <n v="2021"/>
    <x v="4"/>
    <s v="kg"/>
    <n v="1.1399999999999999"/>
    <s v="E"/>
    <s v="Estimated value"/>
  </r>
  <r>
    <s v="FBS"/>
    <s v="Food Balances (2010-)"/>
    <n v="616"/>
    <x v="6"/>
    <n v="645"/>
    <s v="Food supply quantity (kg/capita/yr)"/>
    <s v="S2740"/>
    <x v="6"/>
    <n v="2017"/>
    <x v="0"/>
    <s v="kg"/>
    <n v="3.39"/>
    <s v="E"/>
    <s v="Estimated value"/>
  </r>
  <r>
    <s v="FBS"/>
    <s v="Food Balances (2010-)"/>
    <n v="616"/>
    <x v="6"/>
    <n v="645"/>
    <s v="Food supply quantity (kg/capita/yr)"/>
    <s v="S2740"/>
    <x v="6"/>
    <n v="2018"/>
    <x v="1"/>
    <s v="kg"/>
    <n v="3.4"/>
    <s v="E"/>
    <s v="Estimated value"/>
  </r>
  <r>
    <s v="FBS"/>
    <s v="Food Balances (2010-)"/>
    <n v="616"/>
    <x v="6"/>
    <n v="645"/>
    <s v="Food supply quantity (kg/capita/yr)"/>
    <s v="S2740"/>
    <x v="6"/>
    <n v="2019"/>
    <x v="2"/>
    <s v="kg"/>
    <n v="4.8"/>
    <s v="E"/>
    <s v="Estimated value"/>
  </r>
  <r>
    <s v="FBS"/>
    <s v="Food Balances (2010-)"/>
    <n v="616"/>
    <x v="6"/>
    <n v="645"/>
    <s v="Food supply quantity (kg/capita/yr)"/>
    <s v="S2740"/>
    <x v="6"/>
    <n v="2020"/>
    <x v="3"/>
    <s v="kg"/>
    <n v="5.36"/>
    <s v="E"/>
    <s v="Estimated value"/>
  </r>
  <r>
    <s v="FBS"/>
    <s v="Food Balances (2010-)"/>
    <n v="616"/>
    <x v="6"/>
    <n v="645"/>
    <s v="Food supply quantity (kg/capita/yr)"/>
    <s v="S2740"/>
    <x v="6"/>
    <n v="2021"/>
    <x v="4"/>
    <s v="kg"/>
    <n v="5.62"/>
    <s v="E"/>
    <s v="Estimated value"/>
  </r>
  <r>
    <s v="FBS"/>
    <s v="Food Balances (2010-)"/>
    <n v="616"/>
    <x v="6"/>
    <n v="645"/>
    <s v="Food supply quantity (kg/capita/yr)"/>
    <s v="S2743"/>
    <x v="7"/>
    <n v="2017"/>
    <x v="0"/>
    <s v="kg"/>
    <n v="6.81"/>
    <s v="E"/>
    <s v="Estimated value"/>
  </r>
  <r>
    <s v="FBS"/>
    <s v="Food Balances (2010-)"/>
    <n v="616"/>
    <x v="6"/>
    <n v="645"/>
    <s v="Food supply quantity (kg/capita/yr)"/>
    <s v="S2743"/>
    <x v="7"/>
    <n v="2018"/>
    <x v="1"/>
    <s v="kg"/>
    <n v="7.36"/>
    <s v="E"/>
    <s v="Estimated value"/>
  </r>
  <r>
    <s v="FBS"/>
    <s v="Food Balances (2010-)"/>
    <n v="616"/>
    <x v="6"/>
    <n v="645"/>
    <s v="Food supply quantity (kg/capita/yr)"/>
    <s v="S2743"/>
    <x v="7"/>
    <n v="2019"/>
    <x v="2"/>
    <s v="kg"/>
    <n v="6.29"/>
    <s v="E"/>
    <s v="Estimated value"/>
  </r>
  <r>
    <s v="FBS"/>
    <s v="Food Balances (2010-)"/>
    <n v="616"/>
    <x v="6"/>
    <n v="645"/>
    <s v="Food supply quantity (kg/capita/yr)"/>
    <s v="S2743"/>
    <x v="7"/>
    <n v="2020"/>
    <x v="3"/>
    <s v="kg"/>
    <n v="6.57"/>
    <s v="E"/>
    <s v="Estimated value"/>
  </r>
  <r>
    <s v="FBS"/>
    <s v="Food Balances (2010-)"/>
    <n v="616"/>
    <x v="6"/>
    <n v="645"/>
    <s v="Food supply quantity (kg/capita/yr)"/>
    <s v="S2743"/>
    <x v="7"/>
    <n v="2021"/>
    <x v="4"/>
    <s v="kg"/>
    <n v="6.1"/>
    <s v="E"/>
    <s v="Estimated value"/>
  </r>
  <r>
    <s v="FBS"/>
    <s v="Food Balances (2010-)"/>
    <n v="616"/>
    <x v="6"/>
    <n v="645"/>
    <s v="Food supply quantity (kg/capita/yr)"/>
    <s v="S2737"/>
    <x v="8"/>
    <n v="2017"/>
    <x v="0"/>
    <s v="kg"/>
    <n v="1.42"/>
    <s v="E"/>
    <s v="Estimated value"/>
  </r>
  <r>
    <s v="FBS"/>
    <s v="Food Balances (2010-)"/>
    <n v="616"/>
    <x v="6"/>
    <n v="645"/>
    <s v="Food supply quantity (kg/capita/yr)"/>
    <s v="S2737"/>
    <x v="8"/>
    <n v="2018"/>
    <x v="1"/>
    <s v="kg"/>
    <n v="1.63"/>
    <s v="E"/>
    <s v="Estimated value"/>
  </r>
  <r>
    <s v="FBS"/>
    <s v="Food Balances (2010-)"/>
    <n v="616"/>
    <x v="6"/>
    <n v="645"/>
    <s v="Food supply quantity (kg/capita/yr)"/>
    <s v="S2737"/>
    <x v="8"/>
    <n v="2019"/>
    <x v="2"/>
    <s v="kg"/>
    <n v="1.88"/>
    <s v="E"/>
    <s v="Estimated value"/>
  </r>
  <r>
    <s v="FBS"/>
    <s v="Food Balances (2010-)"/>
    <n v="616"/>
    <x v="6"/>
    <n v="645"/>
    <s v="Food supply quantity (kg/capita/yr)"/>
    <s v="S2737"/>
    <x v="8"/>
    <n v="2020"/>
    <x v="3"/>
    <s v="kg"/>
    <n v="2.91"/>
    <s v="E"/>
    <s v="Estimated value"/>
  </r>
  <r>
    <s v="FBS"/>
    <s v="Food Balances (2010-)"/>
    <n v="616"/>
    <x v="6"/>
    <n v="645"/>
    <s v="Food supply quantity (kg/capita/yr)"/>
    <s v="S2737"/>
    <x v="8"/>
    <n v="2021"/>
    <x v="4"/>
    <s v="kg"/>
    <n v="2.56"/>
    <s v="E"/>
    <s v="Estimated value"/>
  </r>
  <r>
    <s v="FBS"/>
    <s v="Food Balances (2010-)"/>
    <n v="616"/>
    <x v="6"/>
    <n v="645"/>
    <s v="Food supply quantity (kg/capita/yr)"/>
    <s v="S2782"/>
    <x v="10"/>
    <n v="2017"/>
    <x v="0"/>
    <s v="kg"/>
    <n v="0.01"/>
    <s v="E"/>
    <s v="Estimated value"/>
  </r>
  <r>
    <s v="FBS"/>
    <s v="Food Balances (2010-)"/>
    <n v="616"/>
    <x v="6"/>
    <n v="645"/>
    <s v="Food supply quantity (kg/capita/yr)"/>
    <s v="S2782"/>
    <x v="10"/>
    <n v="2018"/>
    <x v="1"/>
    <s v="kg"/>
    <n v="0"/>
    <s v="E"/>
    <s v="Estimated value"/>
  </r>
  <r>
    <s v="FBS"/>
    <s v="Food Balances (2010-)"/>
    <n v="616"/>
    <x v="6"/>
    <n v="645"/>
    <s v="Food supply quantity (kg/capita/yr)"/>
    <s v="S2782"/>
    <x v="10"/>
    <n v="2019"/>
    <x v="2"/>
    <s v="kg"/>
    <n v="0.01"/>
    <s v="E"/>
    <s v="Estimated value"/>
  </r>
  <r>
    <s v="FBS"/>
    <s v="Food Balances (2010-)"/>
    <n v="616"/>
    <x v="6"/>
    <n v="645"/>
    <s v="Food supply quantity (kg/capita/yr)"/>
    <s v="S2782"/>
    <x v="10"/>
    <n v="2020"/>
    <x v="3"/>
    <s v="kg"/>
    <n v="0.01"/>
    <s v="E"/>
    <s v="Estimated value"/>
  </r>
  <r>
    <s v="FBS"/>
    <s v="Food Balances (2010-)"/>
    <n v="616"/>
    <x v="6"/>
    <n v="645"/>
    <s v="Food supply quantity (kg/capita/yr)"/>
    <s v="S2782"/>
    <x v="10"/>
    <n v="2021"/>
    <x v="4"/>
    <s v="kg"/>
    <n v="0.01"/>
    <s v="E"/>
    <s v="Estimated value"/>
  </r>
  <r>
    <s v="FBS"/>
    <s v="Food Balances (2010-)"/>
    <n v="616"/>
    <x v="6"/>
    <n v="645"/>
    <s v="Food supply quantity (kg/capita/yr)"/>
    <s v="S2744"/>
    <x v="11"/>
    <n v="2017"/>
    <x v="0"/>
    <s v="kg"/>
    <n v="6.44"/>
    <s v="E"/>
    <s v="Estimated value"/>
  </r>
  <r>
    <s v="FBS"/>
    <s v="Food Balances (2010-)"/>
    <n v="616"/>
    <x v="6"/>
    <n v="645"/>
    <s v="Food supply quantity (kg/capita/yr)"/>
    <s v="S2744"/>
    <x v="11"/>
    <n v="2018"/>
    <x v="1"/>
    <s v="kg"/>
    <n v="8.74"/>
    <s v="E"/>
    <s v="Estimated value"/>
  </r>
  <r>
    <s v="FBS"/>
    <s v="Food Balances (2010-)"/>
    <n v="616"/>
    <x v="6"/>
    <n v="645"/>
    <s v="Food supply quantity (kg/capita/yr)"/>
    <s v="S2744"/>
    <x v="11"/>
    <n v="2019"/>
    <x v="2"/>
    <s v="kg"/>
    <n v="8.4499999999999993"/>
    <s v="E"/>
    <s v="Estimated value"/>
  </r>
  <r>
    <s v="FBS"/>
    <s v="Food Balances (2010-)"/>
    <n v="616"/>
    <x v="6"/>
    <n v="645"/>
    <s v="Food supply quantity (kg/capita/yr)"/>
    <s v="S2744"/>
    <x v="11"/>
    <n v="2020"/>
    <x v="3"/>
    <s v="kg"/>
    <n v="8.39"/>
    <s v="E"/>
    <s v="Estimated value"/>
  </r>
  <r>
    <s v="FBS"/>
    <s v="Food Balances (2010-)"/>
    <n v="616"/>
    <x v="6"/>
    <n v="645"/>
    <s v="Food supply quantity (kg/capita/yr)"/>
    <s v="S2744"/>
    <x v="11"/>
    <n v="2021"/>
    <x v="4"/>
    <s v="kg"/>
    <n v="9.8000000000000007"/>
    <s v="E"/>
    <s v="Estimated value"/>
  </r>
  <r>
    <s v="FBS"/>
    <s v="Food Balances (2010-)"/>
    <n v="616"/>
    <x v="6"/>
    <n v="645"/>
    <s v="Food supply quantity (kg/capita/yr)"/>
    <s v="S2848"/>
    <x v="12"/>
    <n v="2017"/>
    <x v="0"/>
    <s v="kg"/>
    <n v="166.49"/>
    <s v="E"/>
    <s v="Estimated value"/>
  </r>
  <r>
    <s v="FBS"/>
    <s v="Food Balances (2010-)"/>
    <n v="616"/>
    <x v="6"/>
    <n v="645"/>
    <s v="Food supply quantity (kg/capita/yr)"/>
    <s v="S2848"/>
    <x v="12"/>
    <n v="2018"/>
    <x v="1"/>
    <s v="kg"/>
    <n v="171.49"/>
    <s v="E"/>
    <s v="Estimated value"/>
  </r>
  <r>
    <s v="FBS"/>
    <s v="Food Balances (2010-)"/>
    <n v="616"/>
    <x v="6"/>
    <n v="645"/>
    <s v="Food supply quantity (kg/capita/yr)"/>
    <s v="S2848"/>
    <x v="12"/>
    <n v="2019"/>
    <x v="2"/>
    <s v="kg"/>
    <n v="176.19"/>
    <s v="E"/>
    <s v="Estimated value"/>
  </r>
  <r>
    <s v="FBS"/>
    <s v="Food Balances (2010-)"/>
    <n v="616"/>
    <x v="6"/>
    <n v="645"/>
    <s v="Food supply quantity (kg/capita/yr)"/>
    <s v="S2848"/>
    <x v="12"/>
    <n v="2020"/>
    <x v="3"/>
    <s v="kg"/>
    <n v="178.11"/>
    <s v="E"/>
    <s v="Estimated value"/>
  </r>
  <r>
    <s v="FBS"/>
    <s v="Food Balances (2010-)"/>
    <n v="616"/>
    <x v="6"/>
    <n v="645"/>
    <s v="Food supply quantity (kg/capita/yr)"/>
    <s v="S2848"/>
    <x v="12"/>
    <n v="2021"/>
    <x v="4"/>
    <s v="kg"/>
    <n v="182.35"/>
    <s v="E"/>
    <s v="Estimated value"/>
  </r>
  <r>
    <s v="FBS"/>
    <s v="Food Balances (2010-)"/>
    <n v="616"/>
    <x v="6"/>
    <n v="645"/>
    <s v="Food supply quantity (kg/capita/yr)"/>
    <s v="S2761"/>
    <x v="13"/>
    <n v="2017"/>
    <x v="0"/>
    <s v="kg"/>
    <n v="1.48"/>
    <s v="E"/>
    <s v="Estimated value"/>
  </r>
  <r>
    <s v="FBS"/>
    <s v="Food Balances (2010-)"/>
    <n v="616"/>
    <x v="6"/>
    <n v="645"/>
    <s v="Food supply quantity (kg/capita/yr)"/>
    <s v="S2761"/>
    <x v="13"/>
    <n v="2018"/>
    <x v="1"/>
    <s v="kg"/>
    <n v="0.87"/>
    <s v="E"/>
    <s v="Estimated value"/>
  </r>
  <r>
    <s v="FBS"/>
    <s v="Food Balances (2010-)"/>
    <n v="616"/>
    <x v="6"/>
    <n v="645"/>
    <s v="Food supply quantity (kg/capita/yr)"/>
    <s v="S2761"/>
    <x v="13"/>
    <n v="2019"/>
    <x v="2"/>
    <s v="kg"/>
    <n v="0.92"/>
    <s v="E"/>
    <s v="Estimated value"/>
  </r>
  <r>
    <s v="FBS"/>
    <s v="Food Balances (2010-)"/>
    <n v="616"/>
    <x v="6"/>
    <n v="645"/>
    <s v="Food supply quantity (kg/capita/yr)"/>
    <s v="S2761"/>
    <x v="13"/>
    <n v="2020"/>
    <x v="3"/>
    <s v="kg"/>
    <n v="0.92"/>
    <s v="E"/>
    <s v="Estimated value"/>
  </r>
  <r>
    <s v="FBS"/>
    <s v="Food Balances (2010-)"/>
    <n v="616"/>
    <x v="6"/>
    <n v="645"/>
    <s v="Food supply quantity (kg/capita/yr)"/>
    <s v="S2761"/>
    <x v="13"/>
    <n v="2021"/>
    <x v="4"/>
    <s v="kg"/>
    <n v="0.92"/>
    <s v="E"/>
    <s v="Estimated value"/>
  </r>
  <r>
    <s v="FBS"/>
    <s v="Food Balances (2010-)"/>
    <n v="616"/>
    <x v="6"/>
    <n v="645"/>
    <s v="Food supply quantity (kg/capita/yr)"/>
    <s v="S2762"/>
    <x v="14"/>
    <n v="2017"/>
    <x v="0"/>
    <s v="kg"/>
    <n v="4.2699999999999996"/>
    <s v="E"/>
    <s v="Estimated value"/>
  </r>
  <r>
    <s v="FBS"/>
    <s v="Food Balances (2010-)"/>
    <n v="616"/>
    <x v="6"/>
    <n v="645"/>
    <s v="Food supply quantity (kg/capita/yr)"/>
    <s v="S2762"/>
    <x v="14"/>
    <n v="2018"/>
    <x v="1"/>
    <s v="kg"/>
    <n v="4.51"/>
    <s v="E"/>
    <s v="Estimated value"/>
  </r>
  <r>
    <s v="FBS"/>
    <s v="Food Balances (2010-)"/>
    <n v="616"/>
    <x v="6"/>
    <n v="645"/>
    <s v="Food supply quantity (kg/capita/yr)"/>
    <s v="S2762"/>
    <x v="14"/>
    <n v="2019"/>
    <x v="2"/>
    <s v="kg"/>
    <n v="4.5999999999999996"/>
    <s v="E"/>
    <s v="Estimated value"/>
  </r>
  <r>
    <s v="FBS"/>
    <s v="Food Balances (2010-)"/>
    <n v="616"/>
    <x v="6"/>
    <n v="645"/>
    <s v="Food supply quantity (kg/capita/yr)"/>
    <s v="S2762"/>
    <x v="14"/>
    <n v="2020"/>
    <x v="3"/>
    <s v="kg"/>
    <n v="4.6100000000000003"/>
    <s v="E"/>
    <s v="Estimated value"/>
  </r>
  <r>
    <s v="FBS"/>
    <s v="Food Balances (2010-)"/>
    <n v="616"/>
    <x v="6"/>
    <n v="645"/>
    <s v="Food supply quantity (kg/capita/yr)"/>
    <s v="S2762"/>
    <x v="14"/>
    <n v="2021"/>
    <x v="4"/>
    <s v="kg"/>
    <n v="4.62"/>
    <s v="E"/>
    <s v="Estimated value"/>
  </r>
  <r>
    <s v="FBS"/>
    <s v="Food Balances (2010-)"/>
    <n v="616"/>
    <x v="6"/>
    <n v="645"/>
    <s v="Food supply quantity (kg/capita/yr)"/>
    <s v="S2763"/>
    <x v="15"/>
    <n v="2017"/>
    <x v="0"/>
    <s v="kg"/>
    <n v="6.15"/>
    <s v="E"/>
    <s v="Estimated value"/>
  </r>
  <r>
    <s v="FBS"/>
    <s v="Food Balances (2010-)"/>
    <n v="616"/>
    <x v="6"/>
    <n v="645"/>
    <s v="Food supply quantity (kg/capita/yr)"/>
    <s v="S2763"/>
    <x v="15"/>
    <n v="2018"/>
    <x v="1"/>
    <s v="kg"/>
    <n v="5.62"/>
    <s v="E"/>
    <s v="Estimated value"/>
  </r>
  <r>
    <s v="FBS"/>
    <s v="Food Balances (2010-)"/>
    <n v="616"/>
    <x v="6"/>
    <n v="645"/>
    <s v="Food supply quantity (kg/capita/yr)"/>
    <s v="S2763"/>
    <x v="15"/>
    <n v="2019"/>
    <x v="2"/>
    <s v="kg"/>
    <n v="5.1100000000000003"/>
    <s v="E"/>
    <s v="Estimated value"/>
  </r>
  <r>
    <s v="FBS"/>
    <s v="Food Balances (2010-)"/>
    <n v="616"/>
    <x v="6"/>
    <n v="645"/>
    <s v="Food supply quantity (kg/capita/yr)"/>
    <s v="S2763"/>
    <x v="15"/>
    <n v="2020"/>
    <x v="3"/>
    <s v="kg"/>
    <n v="5.1100000000000003"/>
    <s v="E"/>
    <s v="Estimated value"/>
  </r>
  <r>
    <s v="FBS"/>
    <s v="Food Balances (2010-)"/>
    <n v="616"/>
    <x v="6"/>
    <n v="645"/>
    <s v="Food supply quantity (kg/capita/yr)"/>
    <s v="S2763"/>
    <x v="15"/>
    <n v="2021"/>
    <x v="4"/>
    <s v="kg"/>
    <n v="5.13"/>
    <s v="E"/>
    <s v="Estimated value"/>
  </r>
  <r>
    <s v="FBS"/>
    <s v="Food Balances (2010-)"/>
    <n v="616"/>
    <x v="6"/>
    <n v="645"/>
    <s v="Food supply quantity (kg/capita/yr)"/>
    <s v="S2764"/>
    <x v="16"/>
    <n v="2017"/>
    <x v="0"/>
    <s v="kg"/>
    <n v="0"/>
    <s v="E"/>
    <s v="Estimated value"/>
  </r>
  <r>
    <s v="FBS"/>
    <s v="Food Balances (2010-)"/>
    <n v="616"/>
    <x v="6"/>
    <n v="645"/>
    <s v="Food supply quantity (kg/capita/yr)"/>
    <s v="S2764"/>
    <x v="16"/>
    <n v="2018"/>
    <x v="1"/>
    <s v="kg"/>
    <n v="0"/>
    <s v="E"/>
    <s v="Estimated value"/>
  </r>
  <r>
    <s v="FBS"/>
    <s v="Food Balances (2010-)"/>
    <n v="616"/>
    <x v="6"/>
    <n v="645"/>
    <s v="Food supply quantity (kg/capita/yr)"/>
    <s v="S2764"/>
    <x v="16"/>
    <n v="2019"/>
    <x v="2"/>
    <s v="kg"/>
    <n v="0"/>
    <s v="E"/>
    <s v="Estimated value"/>
  </r>
  <r>
    <s v="FBS"/>
    <s v="Food Balances (2010-)"/>
    <n v="616"/>
    <x v="6"/>
    <n v="645"/>
    <s v="Food supply quantity (kg/capita/yr)"/>
    <s v="S2764"/>
    <x v="16"/>
    <n v="2020"/>
    <x v="3"/>
    <s v="kg"/>
    <n v="0"/>
    <s v="E"/>
    <s v="Estimated value"/>
  </r>
  <r>
    <s v="FBS"/>
    <s v="Food Balances (2010-)"/>
    <n v="616"/>
    <x v="6"/>
    <n v="645"/>
    <s v="Food supply quantity (kg/capita/yr)"/>
    <s v="S2764"/>
    <x v="16"/>
    <n v="2021"/>
    <x v="4"/>
    <s v="kg"/>
    <n v="0"/>
    <s v="E"/>
    <s v="Estimated value"/>
  </r>
  <r>
    <s v="FBS"/>
    <s v="Food Balances (2010-)"/>
    <n v="616"/>
    <x v="6"/>
    <n v="645"/>
    <s v="Food supply quantity (kg/capita/yr)"/>
    <s v="S2765"/>
    <x v="17"/>
    <n v="2017"/>
    <x v="0"/>
    <s v="kg"/>
    <n v="0.17"/>
    <s v="E"/>
    <s v="Estimated value"/>
  </r>
  <r>
    <s v="FBS"/>
    <s v="Food Balances (2010-)"/>
    <n v="616"/>
    <x v="6"/>
    <n v="645"/>
    <s v="Food supply quantity (kg/capita/yr)"/>
    <s v="S2765"/>
    <x v="17"/>
    <n v="2018"/>
    <x v="1"/>
    <s v="kg"/>
    <n v="0.18"/>
    <s v="E"/>
    <s v="Estimated value"/>
  </r>
  <r>
    <s v="FBS"/>
    <s v="Food Balances (2010-)"/>
    <n v="616"/>
    <x v="6"/>
    <n v="645"/>
    <s v="Food supply quantity (kg/capita/yr)"/>
    <s v="S2765"/>
    <x v="17"/>
    <n v="2019"/>
    <x v="2"/>
    <s v="kg"/>
    <n v="0.28000000000000003"/>
    <s v="E"/>
    <s v="Estimated value"/>
  </r>
  <r>
    <s v="FBS"/>
    <s v="Food Balances (2010-)"/>
    <n v="616"/>
    <x v="6"/>
    <n v="645"/>
    <s v="Food supply quantity (kg/capita/yr)"/>
    <s v="S2765"/>
    <x v="17"/>
    <n v="2020"/>
    <x v="3"/>
    <s v="kg"/>
    <n v="0.28000000000000003"/>
    <s v="E"/>
    <s v="Estimated value"/>
  </r>
  <r>
    <s v="FBS"/>
    <s v="Food Balances (2010-)"/>
    <n v="616"/>
    <x v="6"/>
    <n v="645"/>
    <s v="Food supply quantity (kg/capita/yr)"/>
    <s v="S2765"/>
    <x v="17"/>
    <n v="2021"/>
    <x v="4"/>
    <s v="kg"/>
    <n v="0.28000000000000003"/>
    <s v="E"/>
    <s v="Estimated value"/>
  </r>
  <r>
    <s v="FBS"/>
    <s v="Food Balances (2010-)"/>
    <n v="616"/>
    <x v="6"/>
    <n v="645"/>
    <s v="Food supply quantity (kg/capita/yr)"/>
    <s v="S2766"/>
    <x v="18"/>
    <n v="2017"/>
    <x v="0"/>
    <s v="kg"/>
    <n v="0.02"/>
    <s v="E"/>
    <s v="Estimated value"/>
  </r>
  <r>
    <s v="FBS"/>
    <s v="Food Balances (2010-)"/>
    <n v="616"/>
    <x v="6"/>
    <n v="645"/>
    <s v="Food supply quantity (kg/capita/yr)"/>
    <s v="S2766"/>
    <x v="18"/>
    <n v="2018"/>
    <x v="1"/>
    <s v="kg"/>
    <n v="0.03"/>
    <s v="E"/>
    <s v="Estimated value"/>
  </r>
  <r>
    <s v="FBS"/>
    <s v="Food Balances (2010-)"/>
    <n v="616"/>
    <x v="6"/>
    <n v="645"/>
    <s v="Food supply quantity (kg/capita/yr)"/>
    <s v="S2766"/>
    <x v="18"/>
    <n v="2019"/>
    <x v="2"/>
    <s v="kg"/>
    <n v="0.04"/>
    <s v="E"/>
    <s v="Estimated value"/>
  </r>
  <r>
    <s v="FBS"/>
    <s v="Food Balances (2010-)"/>
    <n v="616"/>
    <x v="6"/>
    <n v="645"/>
    <s v="Food supply quantity (kg/capita/yr)"/>
    <s v="S2766"/>
    <x v="18"/>
    <n v="2020"/>
    <x v="3"/>
    <s v="kg"/>
    <n v="0.04"/>
    <s v="E"/>
    <s v="Estimated value"/>
  </r>
  <r>
    <s v="FBS"/>
    <s v="Food Balances (2010-)"/>
    <n v="616"/>
    <x v="6"/>
    <n v="645"/>
    <s v="Food supply quantity (kg/capita/yr)"/>
    <s v="S2766"/>
    <x v="18"/>
    <n v="2021"/>
    <x v="4"/>
    <s v="kg"/>
    <n v="0.04"/>
    <s v="E"/>
    <s v="Estimated value"/>
  </r>
  <r>
    <s v="FBS"/>
    <s v="Food Balances (2010-)"/>
    <n v="616"/>
    <x v="6"/>
    <n v="645"/>
    <s v="Food supply quantity (kg/capita/yr)"/>
    <s v="S2767"/>
    <x v="19"/>
    <n v="2017"/>
    <x v="0"/>
    <s v="kg"/>
    <n v="0.13"/>
    <s v="E"/>
    <s v="Estimated value"/>
  </r>
  <r>
    <s v="FBS"/>
    <s v="Food Balances (2010-)"/>
    <n v="616"/>
    <x v="6"/>
    <n v="645"/>
    <s v="Food supply quantity (kg/capita/yr)"/>
    <s v="S2767"/>
    <x v="19"/>
    <n v="2018"/>
    <x v="1"/>
    <s v="kg"/>
    <n v="0.2"/>
    <s v="E"/>
    <s v="Estimated value"/>
  </r>
  <r>
    <s v="FBS"/>
    <s v="Food Balances (2010-)"/>
    <n v="616"/>
    <x v="6"/>
    <n v="645"/>
    <s v="Food supply quantity (kg/capita/yr)"/>
    <s v="S2767"/>
    <x v="19"/>
    <n v="2019"/>
    <x v="2"/>
    <s v="kg"/>
    <n v="0.28000000000000003"/>
    <s v="E"/>
    <s v="Estimated value"/>
  </r>
  <r>
    <s v="FBS"/>
    <s v="Food Balances (2010-)"/>
    <n v="616"/>
    <x v="6"/>
    <n v="645"/>
    <s v="Food supply quantity (kg/capita/yr)"/>
    <s v="S2767"/>
    <x v="19"/>
    <n v="2020"/>
    <x v="3"/>
    <s v="kg"/>
    <n v="0.28000000000000003"/>
    <s v="E"/>
    <s v="Estimated value"/>
  </r>
  <r>
    <s v="FBS"/>
    <s v="Food Balances (2010-)"/>
    <n v="616"/>
    <x v="6"/>
    <n v="645"/>
    <s v="Food supply quantity (kg/capita/yr)"/>
    <s v="S2767"/>
    <x v="19"/>
    <n v="2021"/>
    <x v="4"/>
    <s v="kg"/>
    <n v="0.28000000000000003"/>
    <s v="E"/>
    <s v="Estimated value"/>
  </r>
  <r>
    <s v="FBS"/>
    <s v="Food Balances (2010-)"/>
    <n v="616"/>
    <x v="6"/>
    <n v="645"/>
    <s v="Food supply quantity (kg/capita/yr)"/>
    <s v="S2769"/>
    <x v="20"/>
    <n v="2017"/>
    <x v="0"/>
    <s v="kg"/>
    <n v="0"/>
    <s v="E"/>
    <s v="Estimated value"/>
  </r>
  <r>
    <s v="FBS"/>
    <s v="Food Balances (2010-)"/>
    <n v="616"/>
    <x v="6"/>
    <n v="645"/>
    <s v="Food supply quantity (kg/capita/yr)"/>
    <s v="S2769"/>
    <x v="20"/>
    <n v="2018"/>
    <x v="1"/>
    <s v="kg"/>
    <n v="0"/>
    <s v="E"/>
    <s v="Estimated value"/>
  </r>
  <r>
    <s v="FBS"/>
    <s v="Food Balances (2010-)"/>
    <n v="616"/>
    <x v="6"/>
    <n v="645"/>
    <s v="Food supply quantity (kg/capita/yr)"/>
    <s v="S2769"/>
    <x v="20"/>
    <n v="2019"/>
    <x v="2"/>
    <s v="kg"/>
    <n v="0.01"/>
    <s v="E"/>
    <s v="Estimated value"/>
  </r>
  <r>
    <s v="FBS"/>
    <s v="Food Balances (2010-)"/>
    <n v="616"/>
    <x v="6"/>
    <n v="645"/>
    <s v="Food supply quantity (kg/capita/yr)"/>
    <s v="S2769"/>
    <x v="20"/>
    <n v="2020"/>
    <x v="3"/>
    <s v="kg"/>
    <n v="0.01"/>
    <s v="E"/>
    <s v="Estimated value"/>
  </r>
  <r>
    <s v="FBS"/>
    <s v="Food Balances (2010-)"/>
    <n v="616"/>
    <x v="6"/>
    <n v="645"/>
    <s v="Food supply quantity (kg/capita/yr)"/>
    <s v="S2769"/>
    <x v="20"/>
    <n v="2021"/>
    <x v="4"/>
    <s v="kg"/>
    <n v="0.01"/>
    <s v="E"/>
    <s v="Estimated value"/>
  </r>
  <r>
    <s v="FBS"/>
    <s v="Food Balances (2010-)"/>
    <n v="724"/>
    <x v="7"/>
    <n v="645"/>
    <s v="Food supply quantity (kg/capita/yr)"/>
    <s v="S2731"/>
    <x v="0"/>
    <n v="2017"/>
    <x v="0"/>
    <s v="kg"/>
    <n v="11.54"/>
    <s v="E"/>
    <s v="Estimated value"/>
  </r>
  <r>
    <s v="FBS"/>
    <s v="Food Balances (2010-)"/>
    <n v="724"/>
    <x v="7"/>
    <n v="645"/>
    <s v="Food supply quantity (kg/capita/yr)"/>
    <s v="S2731"/>
    <x v="0"/>
    <n v="2018"/>
    <x v="1"/>
    <s v="kg"/>
    <n v="13.72"/>
    <s v="E"/>
    <s v="Estimated value"/>
  </r>
  <r>
    <s v="FBS"/>
    <s v="Food Balances (2010-)"/>
    <n v="724"/>
    <x v="7"/>
    <n v="645"/>
    <s v="Food supply quantity (kg/capita/yr)"/>
    <s v="S2731"/>
    <x v="0"/>
    <n v="2019"/>
    <x v="2"/>
    <s v="kg"/>
    <n v="13.31"/>
    <s v="E"/>
    <s v="Estimated value"/>
  </r>
  <r>
    <s v="FBS"/>
    <s v="Food Balances (2010-)"/>
    <n v="724"/>
    <x v="7"/>
    <n v="645"/>
    <s v="Food supply quantity (kg/capita/yr)"/>
    <s v="S2731"/>
    <x v="0"/>
    <n v="2020"/>
    <x v="3"/>
    <s v="kg"/>
    <n v="12.07"/>
    <s v="E"/>
    <s v="Estimated value"/>
  </r>
  <r>
    <s v="FBS"/>
    <s v="Food Balances (2010-)"/>
    <n v="724"/>
    <x v="7"/>
    <n v="645"/>
    <s v="Food supply quantity (kg/capita/yr)"/>
    <s v="S2731"/>
    <x v="0"/>
    <n v="2021"/>
    <x v="4"/>
    <s v="kg"/>
    <n v="12.67"/>
    <s v="E"/>
    <s v="Estimated value"/>
  </r>
  <r>
    <s v="FBS"/>
    <s v="Food Balances (2010-)"/>
    <n v="724"/>
    <x v="7"/>
    <n v="645"/>
    <s v="Food supply quantity (kg/capita/yr)"/>
    <s v="S2732"/>
    <x v="1"/>
    <n v="2017"/>
    <x v="0"/>
    <s v="kg"/>
    <n v="2.0699999999999998"/>
    <s v="E"/>
    <s v="Estimated value"/>
  </r>
  <r>
    <s v="FBS"/>
    <s v="Food Balances (2010-)"/>
    <n v="724"/>
    <x v="7"/>
    <n v="645"/>
    <s v="Food supply quantity (kg/capita/yr)"/>
    <s v="S2732"/>
    <x v="1"/>
    <n v="2018"/>
    <x v="1"/>
    <s v="kg"/>
    <n v="2.08"/>
    <s v="E"/>
    <s v="Estimated value"/>
  </r>
  <r>
    <s v="FBS"/>
    <s v="Food Balances (2010-)"/>
    <n v="724"/>
    <x v="7"/>
    <n v="645"/>
    <s v="Food supply quantity (kg/capita/yr)"/>
    <s v="S2732"/>
    <x v="1"/>
    <n v="2019"/>
    <x v="2"/>
    <s v="kg"/>
    <n v="2.04"/>
    <s v="E"/>
    <s v="Estimated value"/>
  </r>
  <r>
    <s v="FBS"/>
    <s v="Food Balances (2010-)"/>
    <n v="724"/>
    <x v="7"/>
    <n v="645"/>
    <s v="Food supply quantity (kg/capita/yr)"/>
    <s v="S2732"/>
    <x v="1"/>
    <n v="2020"/>
    <x v="3"/>
    <s v="kg"/>
    <n v="1.87"/>
    <s v="E"/>
    <s v="Estimated value"/>
  </r>
  <r>
    <s v="FBS"/>
    <s v="Food Balances (2010-)"/>
    <n v="724"/>
    <x v="7"/>
    <n v="645"/>
    <s v="Food supply quantity (kg/capita/yr)"/>
    <s v="S2732"/>
    <x v="1"/>
    <n v="2021"/>
    <x v="4"/>
    <s v="kg"/>
    <n v="1.76"/>
    <s v="E"/>
    <s v="Estimated value"/>
  </r>
  <r>
    <s v="FBS"/>
    <s v="Food Balances (2010-)"/>
    <n v="724"/>
    <x v="7"/>
    <n v="645"/>
    <s v="Food supply quantity (kg/capita/yr)"/>
    <s v="S2733"/>
    <x v="2"/>
    <n v="2017"/>
    <x v="0"/>
    <s v="kg"/>
    <n v="53.64"/>
    <s v="E"/>
    <s v="Estimated value"/>
  </r>
  <r>
    <s v="FBS"/>
    <s v="Food Balances (2010-)"/>
    <n v="724"/>
    <x v="7"/>
    <n v="645"/>
    <s v="Food supply quantity (kg/capita/yr)"/>
    <s v="S2733"/>
    <x v="2"/>
    <n v="2018"/>
    <x v="1"/>
    <s v="kg"/>
    <n v="57.04"/>
    <s v="E"/>
    <s v="Estimated value"/>
  </r>
  <r>
    <s v="FBS"/>
    <s v="Food Balances (2010-)"/>
    <n v="724"/>
    <x v="7"/>
    <n v="645"/>
    <s v="Food supply quantity (kg/capita/yr)"/>
    <s v="S2733"/>
    <x v="2"/>
    <n v="2019"/>
    <x v="2"/>
    <s v="kg"/>
    <n v="54.61"/>
    <s v="E"/>
    <s v="Estimated value"/>
  </r>
  <r>
    <s v="FBS"/>
    <s v="Food Balances (2010-)"/>
    <n v="724"/>
    <x v="7"/>
    <n v="645"/>
    <s v="Food supply quantity (kg/capita/yr)"/>
    <s v="S2733"/>
    <x v="2"/>
    <n v="2020"/>
    <x v="3"/>
    <s v="kg"/>
    <n v="51.88"/>
    <s v="E"/>
    <s v="Estimated value"/>
  </r>
  <r>
    <s v="FBS"/>
    <s v="Food Balances (2010-)"/>
    <n v="724"/>
    <x v="7"/>
    <n v="645"/>
    <s v="Food supply quantity (kg/capita/yr)"/>
    <s v="S2733"/>
    <x v="2"/>
    <n v="2021"/>
    <x v="4"/>
    <s v="kg"/>
    <n v="53.75"/>
    <s v="E"/>
    <s v="Estimated value"/>
  </r>
  <r>
    <s v="FBS"/>
    <s v="Food Balances (2010-)"/>
    <n v="724"/>
    <x v="7"/>
    <n v="645"/>
    <s v="Food supply quantity (kg/capita/yr)"/>
    <s v="S2734"/>
    <x v="3"/>
    <n v="2017"/>
    <x v="0"/>
    <s v="kg"/>
    <n v="30.52"/>
    <s v="E"/>
    <s v="Estimated value"/>
  </r>
  <r>
    <s v="FBS"/>
    <s v="Food Balances (2010-)"/>
    <n v="724"/>
    <x v="7"/>
    <n v="645"/>
    <s v="Food supply quantity (kg/capita/yr)"/>
    <s v="S2734"/>
    <x v="3"/>
    <n v="2018"/>
    <x v="1"/>
    <s v="kg"/>
    <n v="33.33"/>
    <s v="E"/>
    <s v="Estimated value"/>
  </r>
  <r>
    <s v="FBS"/>
    <s v="Food Balances (2010-)"/>
    <n v="724"/>
    <x v="7"/>
    <n v="645"/>
    <s v="Food supply quantity (kg/capita/yr)"/>
    <s v="S2734"/>
    <x v="3"/>
    <n v="2019"/>
    <x v="2"/>
    <s v="kg"/>
    <n v="33.18"/>
    <s v="E"/>
    <s v="Estimated value"/>
  </r>
  <r>
    <s v="FBS"/>
    <s v="Food Balances (2010-)"/>
    <n v="724"/>
    <x v="7"/>
    <n v="645"/>
    <s v="Food supply quantity (kg/capita/yr)"/>
    <s v="S2734"/>
    <x v="3"/>
    <n v="2020"/>
    <x v="3"/>
    <s v="kg"/>
    <n v="32.72"/>
    <s v="E"/>
    <s v="Estimated value"/>
  </r>
  <r>
    <s v="FBS"/>
    <s v="Food Balances (2010-)"/>
    <n v="724"/>
    <x v="7"/>
    <n v="645"/>
    <s v="Food supply quantity (kg/capita/yr)"/>
    <s v="S2734"/>
    <x v="3"/>
    <n v="2021"/>
    <x v="4"/>
    <s v="kg"/>
    <n v="30.53"/>
    <s v="E"/>
    <s v="Estimated value"/>
  </r>
  <r>
    <s v="FBS"/>
    <s v="Food Balances (2010-)"/>
    <n v="724"/>
    <x v="7"/>
    <n v="645"/>
    <s v="Food supply quantity (kg/capita/yr)"/>
    <s v="S2735"/>
    <x v="4"/>
    <n v="2017"/>
    <x v="0"/>
    <s v="kg"/>
    <n v="1.56"/>
    <s v="E"/>
    <s v="Estimated value"/>
  </r>
  <r>
    <s v="FBS"/>
    <s v="Food Balances (2010-)"/>
    <n v="724"/>
    <x v="7"/>
    <n v="645"/>
    <s v="Food supply quantity (kg/capita/yr)"/>
    <s v="S2735"/>
    <x v="4"/>
    <n v="2018"/>
    <x v="1"/>
    <s v="kg"/>
    <n v="1.55"/>
    <s v="E"/>
    <s v="Estimated value"/>
  </r>
  <r>
    <s v="FBS"/>
    <s v="Food Balances (2010-)"/>
    <n v="724"/>
    <x v="7"/>
    <n v="645"/>
    <s v="Food supply quantity (kg/capita/yr)"/>
    <s v="S2735"/>
    <x v="4"/>
    <n v="2019"/>
    <x v="2"/>
    <s v="kg"/>
    <n v="1.55"/>
    <s v="E"/>
    <s v="Estimated value"/>
  </r>
  <r>
    <s v="FBS"/>
    <s v="Food Balances (2010-)"/>
    <n v="724"/>
    <x v="7"/>
    <n v="645"/>
    <s v="Food supply quantity (kg/capita/yr)"/>
    <s v="S2735"/>
    <x v="4"/>
    <n v="2020"/>
    <x v="3"/>
    <s v="kg"/>
    <n v="1.51"/>
    <s v="E"/>
    <s v="Estimated value"/>
  </r>
  <r>
    <s v="FBS"/>
    <s v="Food Balances (2010-)"/>
    <n v="724"/>
    <x v="7"/>
    <n v="645"/>
    <s v="Food supply quantity (kg/capita/yr)"/>
    <s v="S2735"/>
    <x v="4"/>
    <n v="2021"/>
    <x v="4"/>
    <s v="kg"/>
    <n v="1.61"/>
    <s v="E"/>
    <s v="Estimated value"/>
  </r>
  <r>
    <s v="FBS"/>
    <s v="Food Balances (2010-)"/>
    <n v="724"/>
    <x v="7"/>
    <n v="645"/>
    <s v="Food supply quantity (kg/capita/yr)"/>
    <s v="S2736"/>
    <x v="5"/>
    <n v="2017"/>
    <x v="0"/>
    <s v="kg"/>
    <n v="2.65"/>
    <s v="E"/>
    <s v="Estimated value"/>
  </r>
  <r>
    <s v="FBS"/>
    <s v="Food Balances (2010-)"/>
    <n v="724"/>
    <x v="7"/>
    <n v="645"/>
    <s v="Food supply quantity (kg/capita/yr)"/>
    <s v="S2736"/>
    <x v="5"/>
    <n v="2018"/>
    <x v="1"/>
    <s v="kg"/>
    <n v="3.51"/>
    <s v="E"/>
    <s v="Estimated value"/>
  </r>
  <r>
    <s v="FBS"/>
    <s v="Food Balances (2010-)"/>
    <n v="724"/>
    <x v="7"/>
    <n v="645"/>
    <s v="Food supply quantity (kg/capita/yr)"/>
    <s v="S2736"/>
    <x v="5"/>
    <n v="2019"/>
    <x v="2"/>
    <s v="kg"/>
    <n v="3.9"/>
    <s v="E"/>
    <s v="Estimated value"/>
  </r>
  <r>
    <s v="FBS"/>
    <s v="Food Balances (2010-)"/>
    <n v="724"/>
    <x v="7"/>
    <n v="645"/>
    <s v="Food supply quantity (kg/capita/yr)"/>
    <s v="S2736"/>
    <x v="5"/>
    <n v="2020"/>
    <x v="3"/>
    <s v="kg"/>
    <n v="5.04"/>
    <s v="E"/>
    <s v="Estimated value"/>
  </r>
  <r>
    <s v="FBS"/>
    <s v="Food Balances (2010-)"/>
    <n v="724"/>
    <x v="7"/>
    <n v="645"/>
    <s v="Food supply quantity (kg/capita/yr)"/>
    <s v="S2736"/>
    <x v="5"/>
    <n v="2021"/>
    <x v="4"/>
    <s v="kg"/>
    <n v="3.25"/>
    <s v="E"/>
    <s v="Estimated value"/>
  </r>
  <r>
    <s v="FBS"/>
    <s v="Food Balances (2010-)"/>
    <n v="724"/>
    <x v="7"/>
    <n v="645"/>
    <s v="Food supply quantity (kg/capita/yr)"/>
    <s v="S2740"/>
    <x v="6"/>
    <n v="2017"/>
    <x v="0"/>
    <s v="kg"/>
    <n v="1.2"/>
    <s v="E"/>
    <s v="Estimated value"/>
  </r>
  <r>
    <s v="FBS"/>
    <s v="Food Balances (2010-)"/>
    <n v="724"/>
    <x v="7"/>
    <n v="645"/>
    <s v="Food supply quantity (kg/capita/yr)"/>
    <s v="S2740"/>
    <x v="6"/>
    <n v="2018"/>
    <x v="1"/>
    <s v="kg"/>
    <n v="1.26"/>
    <s v="E"/>
    <s v="Estimated value"/>
  </r>
  <r>
    <s v="FBS"/>
    <s v="Food Balances (2010-)"/>
    <n v="724"/>
    <x v="7"/>
    <n v="645"/>
    <s v="Food supply quantity (kg/capita/yr)"/>
    <s v="S2740"/>
    <x v="6"/>
    <n v="2019"/>
    <x v="2"/>
    <s v="kg"/>
    <n v="1.29"/>
    <s v="E"/>
    <s v="Estimated value"/>
  </r>
  <r>
    <s v="FBS"/>
    <s v="Food Balances (2010-)"/>
    <n v="724"/>
    <x v="7"/>
    <n v="645"/>
    <s v="Food supply quantity (kg/capita/yr)"/>
    <s v="S2740"/>
    <x v="6"/>
    <n v="2020"/>
    <x v="3"/>
    <s v="kg"/>
    <n v="1.37"/>
    <s v="E"/>
    <s v="Estimated value"/>
  </r>
  <r>
    <s v="FBS"/>
    <s v="Food Balances (2010-)"/>
    <n v="724"/>
    <x v="7"/>
    <n v="645"/>
    <s v="Food supply quantity (kg/capita/yr)"/>
    <s v="S2740"/>
    <x v="6"/>
    <n v="2021"/>
    <x v="4"/>
    <s v="kg"/>
    <n v="1.37"/>
    <s v="E"/>
    <s v="Estimated value"/>
  </r>
  <r>
    <s v="FBS"/>
    <s v="Food Balances (2010-)"/>
    <n v="724"/>
    <x v="7"/>
    <n v="645"/>
    <s v="Food supply quantity (kg/capita/yr)"/>
    <s v="S2743"/>
    <x v="7"/>
    <n v="2017"/>
    <x v="0"/>
    <s v="kg"/>
    <n v="1.45"/>
    <s v="E"/>
    <s v="Estimated value"/>
  </r>
  <r>
    <s v="FBS"/>
    <s v="Food Balances (2010-)"/>
    <n v="724"/>
    <x v="7"/>
    <n v="645"/>
    <s v="Food supply quantity (kg/capita/yr)"/>
    <s v="S2743"/>
    <x v="7"/>
    <n v="2018"/>
    <x v="1"/>
    <s v="kg"/>
    <n v="1.77"/>
    <s v="E"/>
    <s v="Estimated value"/>
  </r>
  <r>
    <s v="FBS"/>
    <s v="Food Balances (2010-)"/>
    <n v="724"/>
    <x v="7"/>
    <n v="645"/>
    <s v="Food supply quantity (kg/capita/yr)"/>
    <s v="S2743"/>
    <x v="7"/>
    <n v="2019"/>
    <x v="2"/>
    <s v="kg"/>
    <n v="1.18"/>
    <s v="E"/>
    <s v="Estimated value"/>
  </r>
  <r>
    <s v="FBS"/>
    <s v="Food Balances (2010-)"/>
    <n v="724"/>
    <x v="7"/>
    <n v="645"/>
    <s v="Food supply quantity (kg/capita/yr)"/>
    <s v="S2743"/>
    <x v="7"/>
    <n v="2020"/>
    <x v="3"/>
    <s v="kg"/>
    <n v="1.81"/>
    <s v="E"/>
    <s v="Estimated value"/>
  </r>
  <r>
    <s v="FBS"/>
    <s v="Food Balances (2010-)"/>
    <n v="724"/>
    <x v="7"/>
    <n v="645"/>
    <s v="Food supply quantity (kg/capita/yr)"/>
    <s v="S2743"/>
    <x v="7"/>
    <n v="2021"/>
    <x v="4"/>
    <s v="kg"/>
    <n v="0.72"/>
    <s v="E"/>
    <s v="Estimated value"/>
  </r>
  <r>
    <s v="FBS"/>
    <s v="Food Balances (2010-)"/>
    <n v="724"/>
    <x v="7"/>
    <n v="645"/>
    <s v="Food supply quantity (kg/capita/yr)"/>
    <s v="S2737"/>
    <x v="8"/>
    <n v="2017"/>
    <x v="0"/>
    <s v="kg"/>
    <n v="1.1000000000000001"/>
    <s v="E"/>
    <s v="Estimated value"/>
  </r>
  <r>
    <s v="FBS"/>
    <s v="Food Balances (2010-)"/>
    <n v="724"/>
    <x v="7"/>
    <n v="645"/>
    <s v="Food supply quantity (kg/capita/yr)"/>
    <s v="S2737"/>
    <x v="8"/>
    <n v="2018"/>
    <x v="1"/>
    <s v="kg"/>
    <n v="1.02"/>
    <s v="E"/>
    <s v="Estimated value"/>
  </r>
  <r>
    <s v="FBS"/>
    <s v="Food Balances (2010-)"/>
    <n v="724"/>
    <x v="7"/>
    <n v="645"/>
    <s v="Food supply quantity (kg/capita/yr)"/>
    <s v="S2737"/>
    <x v="8"/>
    <n v="2019"/>
    <x v="2"/>
    <s v="kg"/>
    <n v="0.95"/>
    <s v="E"/>
    <s v="Estimated value"/>
  </r>
  <r>
    <s v="FBS"/>
    <s v="Food Balances (2010-)"/>
    <n v="724"/>
    <x v="7"/>
    <n v="645"/>
    <s v="Food supply quantity (kg/capita/yr)"/>
    <s v="S2737"/>
    <x v="8"/>
    <n v="2020"/>
    <x v="3"/>
    <s v="kg"/>
    <n v="2.2400000000000002"/>
    <s v="E"/>
    <s v="Estimated value"/>
  </r>
  <r>
    <s v="FBS"/>
    <s v="Food Balances (2010-)"/>
    <n v="724"/>
    <x v="7"/>
    <n v="645"/>
    <s v="Food supply quantity (kg/capita/yr)"/>
    <s v="S2737"/>
    <x v="8"/>
    <n v="2021"/>
    <x v="4"/>
    <s v="kg"/>
    <n v="2.29"/>
    <s v="E"/>
    <s v="Estimated value"/>
  </r>
  <r>
    <s v="FBS"/>
    <s v="Food Balances (2010-)"/>
    <n v="724"/>
    <x v="7"/>
    <n v="645"/>
    <s v="Food supply quantity (kg/capita/yr)"/>
    <s v="S2744"/>
    <x v="11"/>
    <n v="2017"/>
    <x v="0"/>
    <s v="kg"/>
    <n v="14.75"/>
    <s v="E"/>
    <s v="Estimated value"/>
  </r>
  <r>
    <s v="FBS"/>
    <s v="Food Balances (2010-)"/>
    <n v="724"/>
    <x v="7"/>
    <n v="645"/>
    <s v="Food supply quantity (kg/capita/yr)"/>
    <s v="S2744"/>
    <x v="11"/>
    <n v="2018"/>
    <x v="1"/>
    <s v="kg"/>
    <n v="14.95"/>
    <s v="E"/>
    <s v="Estimated value"/>
  </r>
  <r>
    <s v="FBS"/>
    <s v="Food Balances (2010-)"/>
    <n v="724"/>
    <x v="7"/>
    <n v="645"/>
    <s v="Food supply quantity (kg/capita/yr)"/>
    <s v="S2744"/>
    <x v="11"/>
    <n v="2019"/>
    <x v="2"/>
    <s v="kg"/>
    <n v="15.02"/>
    <s v="E"/>
    <s v="Estimated value"/>
  </r>
  <r>
    <s v="FBS"/>
    <s v="Food Balances (2010-)"/>
    <n v="724"/>
    <x v="7"/>
    <n v="645"/>
    <s v="Food supply quantity (kg/capita/yr)"/>
    <s v="S2744"/>
    <x v="11"/>
    <n v="2020"/>
    <x v="3"/>
    <s v="kg"/>
    <n v="15.05"/>
    <s v="E"/>
    <s v="Estimated value"/>
  </r>
  <r>
    <s v="FBS"/>
    <s v="Food Balances (2010-)"/>
    <n v="724"/>
    <x v="7"/>
    <n v="645"/>
    <s v="Food supply quantity (kg/capita/yr)"/>
    <s v="S2744"/>
    <x v="11"/>
    <n v="2021"/>
    <x v="4"/>
    <s v="kg"/>
    <n v="15.27"/>
    <s v="E"/>
    <s v="Estimated value"/>
  </r>
  <r>
    <s v="FBS"/>
    <s v="Food Balances (2010-)"/>
    <n v="724"/>
    <x v="7"/>
    <n v="645"/>
    <s v="Food supply quantity (kg/capita/yr)"/>
    <s v="S2848"/>
    <x v="12"/>
    <n v="2017"/>
    <x v="0"/>
    <s v="kg"/>
    <n v="163.75"/>
    <s v="E"/>
    <s v="Estimated value"/>
  </r>
  <r>
    <s v="FBS"/>
    <s v="Food Balances (2010-)"/>
    <n v="724"/>
    <x v="7"/>
    <n v="645"/>
    <s v="Food supply quantity (kg/capita/yr)"/>
    <s v="S2848"/>
    <x v="12"/>
    <n v="2018"/>
    <x v="1"/>
    <s v="kg"/>
    <n v="160.83000000000001"/>
    <s v="E"/>
    <s v="Estimated value"/>
  </r>
  <r>
    <s v="FBS"/>
    <s v="Food Balances (2010-)"/>
    <n v="724"/>
    <x v="7"/>
    <n v="645"/>
    <s v="Food supply quantity (kg/capita/yr)"/>
    <s v="S2848"/>
    <x v="12"/>
    <n v="2019"/>
    <x v="2"/>
    <s v="kg"/>
    <n v="168.47"/>
    <s v="E"/>
    <s v="Estimated value"/>
  </r>
  <r>
    <s v="FBS"/>
    <s v="Food Balances (2010-)"/>
    <n v="724"/>
    <x v="7"/>
    <n v="645"/>
    <s v="Food supply quantity (kg/capita/yr)"/>
    <s v="S2848"/>
    <x v="12"/>
    <n v="2020"/>
    <x v="3"/>
    <s v="kg"/>
    <n v="161.02000000000001"/>
    <s v="E"/>
    <s v="Estimated value"/>
  </r>
  <r>
    <s v="FBS"/>
    <s v="Food Balances (2010-)"/>
    <n v="724"/>
    <x v="7"/>
    <n v="645"/>
    <s v="Food supply quantity (kg/capita/yr)"/>
    <s v="S2848"/>
    <x v="12"/>
    <n v="2021"/>
    <x v="4"/>
    <s v="kg"/>
    <n v="169.58"/>
    <s v="E"/>
    <s v="Estimated value"/>
  </r>
  <r>
    <s v="FBS"/>
    <s v="Food Balances (2010-)"/>
    <n v="724"/>
    <x v="7"/>
    <n v="645"/>
    <s v="Food supply quantity (kg/capita/yr)"/>
    <s v="S2761"/>
    <x v="13"/>
    <n v="2017"/>
    <x v="0"/>
    <s v="kg"/>
    <n v="2.88"/>
    <s v="E"/>
    <s v="Estimated value"/>
  </r>
  <r>
    <s v="FBS"/>
    <s v="Food Balances (2010-)"/>
    <n v="724"/>
    <x v="7"/>
    <n v="645"/>
    <s v="Food supply quantity (kg/capita/yr)"/>
    <s v="S2761"/>
    <x v="13"/>
    <n v="2018"/>
    <x v="1"/>
    <s v="kg"/>
    <n v="2.67"/>
    <s v="E"/>
    <s v="Estimated value"/>
  </r>
  <r>
    <s v="FBS"/>
    <s v="Food Balances (2010-)"/>
    <n v="724"/>
    <x v="7"/>
    <n v="645"/>
    <s v="Food supply quantity (kg/capita/yr)"/>
    <s v="S2761"/>
    <x v="13"/>
    <n v="2019"/>
    <x v="2"/>
    <s v="kg"/>
    <n v="3"/>
    <s v="E"/>
    <s v="Estimated value"/>
  </r>
  <r>
    <s v="FBS"/>
    <s v="Food Balances (2010-)"/>
    <n v="724"/>
    <x v="7"/>
    <n v="645"/>
    <s v="Food supply quantity (kg/capita/yr)"/>
    <s v="S2761"/>
    <x v="13"/>
    <n v="2020"/>
    <x v="3"/>
    <s v="kg"/>
    <n v="2.99"/>
    <s v="E"/>
    <s v="Estimated value"/>
  </r>
  <r>
    <s v="FBS"/>
    <s v="Food Balances (2010-)"/>
    <n v="724"/>
    <x v="7"/>
    <n v="645"/>
    <s v="Food supply quantity (kg/capita/yr)"/>
    <s v="S2761"/>
    <x v="13"/>
    <n v="2021"/>
    <x v="4"/>
    <s v="kg"/>
    <n v="2.98"/>
    <s v="E"/>
    <s v="Estimated value"/>
  </r>
  <r>
    <s v="FBS"/>
    <s v="Food Balances (2010-)"/>
    <n v="724"/>
    <x v="7"/>
    <n v="645"/>
    <s v="Food supply quantity (kg/capita/yr)"/>
    <s v="S2762"/>
    <x v="14"/>
    <n v="2017"/>
    <x v="0"/>
    <s v="kg"/>
    <n v="12.98"/>
    <s v="E"/>
    <s v="Estimated value"/>
  </r>
  <r>
    <s v="FBS"/>
    <s v="Food Balances (2010-)"/>
    <n v="724"/>
    <x v="7"/>
    <n v="645"/>
    <s v="Food supply quantity (kg/capita/yr)"/>
    <s v="S2762"/>
    <x v="14"/>
    <n v="2018"/>
    <x v="1"/>
    <s v="kg"/>
    <n v="13.03"/>
    <s v="E"/>
    <s v="Estimated value"/>
  </r>
  <r>
    <s v="FBS"/>
    <s v="Food Balances (2010-)"/>
    <n v="724"/>
    <x v="7"/>
    <n v="645"/>
    <s v="Food supply quantity (kg/capita/yr)"/>
    <s v="S2762"/>
    <x v="14"/>
    <n v="2019"/>
    <x v="2"/>
    <s v="kg"/>
    <n v="13"/>
    <s v="E"/>
    <s v="Estimated value"/>
  </r>
  <r>
    <s v="FBS"/>
    <s v="Food Balances (2010-)"/>
    <n v="724"/>
    <x v="7"/>
    <n v="645"/>
    <s v="Food supply quantity (kg/capita/yr)"/>
    <s v="S2762"/>
    <x v="14"/>
    <n v="2020"/>
    <x v="3"/>
    <s v="kg"/>
    <n v="12.94"/>
    <s v="E"/>
    <s v="Estimated value"/>
  </r>
  <r>
    <s v="FBS"/>
    <s v="Food Balances (2010-)"/>
    <n v="724"/>
    <x v="7"/>
    <n v="645"/>
    <s v="Food supply quantity (kg/capita/yr)"/>
    <s v="S2762"/>
    <x v="14"/>
    <n v="2021"/>
    <x v="4"/>
    <s v="kg"/>
    <n v="12.91"/>
    <s v="E"/>
    <s v="Estimated value"/>
  </r>
  <r>
    <s v="FBS"/>
    <s v="Food Balances (2010-)"/>
    <n v="724"/>
    <x v="7"/>
    <n v="645"/>
    <s v="Food supply quantity (kg/capita/yr)"/>
    <s v="S2763"/>
    <x v="15"/>
    <n v="2017"/>
    <x v="0"/>
    <s v="kg"/>
    <n v="11.39"/>
    <s v="E"/>
    <s v="Estimated value"/>
  </r>
  <r>
    <s v="FBS"/>
    <s v="Food Balances (2010-)"/>
    <n v="724"/>
    <x v="7"/>
    <n v="645"/>
    <s v="Food supply quantity (kg/capita/yr)"/>
    <s v="S2763"/>
    <x v="15"/>
    <n v="2018"/>
    <x v="1"/>
    <s v="kg"/>
    <n v="11.01"/>
    <s v="E"/>
    <s v="Estimated value"/>
  </r>
  <r>
    <s v="FBS"/>
    <s v="Food Balances (2010-)"/>
    <n v="724"/>
    <x v="7"/>
    <n v="645"/>
    <s v="Food supply quantity (kg/capita/yr)"/>
    <s v="S2763"/>
    <x v="15"/>
    <n v="2019"/>
    <x v="2"/>
    <s v="kg"/>
    <n v="12.02"/>
    <s v="E"/>
    <s v="Estimated value"/>
  </r>
  <r>
    <s v="FBS"/>
    <s v="Food Balances (2010-)"/>
    <n v="724"/>
    <x v="7"/>
    <n v="645"/>
    <s v="Food supply quantity (kg/capita/yr)"/>
    <s v="S2763"/>
    <x v="15"/>
    <n v="2020"/>
    <x v="3"/>
    <s v="kg"/>
    <n v="11.96"/>
    <s v="E"/>
    <s v="Estimated value"/>
  </r>
  <r>
    <s v="FBS"/>
    <s v="Food Balances (2010-)"/>
    <n v="724"/>
    <x v="7"/>
    <n v="645"/>
    <s v="Food supply quantity (kg/capita/yr)"/>
    <s v="S2763"/>
    <x v="15"/>
    <n v="2021"/>
    <x v="4"/>
    <s v="kg"/>
    <n v="11.93"/>
    <s v="E"/>
    <s v="Estimated value"/>
  </r>
  <r>
    <s v="FBS"/>
    <s v="Food Balances (2010-)"/>
    <n v="724"/>
    <x v="7"/>
    <n v="645"/>
    <s v="Food supply quantity (kg/capita/yr)"/>
    <s v="S2764"/>
    <x v="16"/>
    <n v="2017"/>
    <x v="0"/>
    <s v="kg"/>
    <n v="0.74"/>
    <s v="E"/>
    <s v="Estimated value"/>
  </r>
  <r>
    <s v="FBS"/>
    <s v="Food Balances (2010-)"/>
    <n v="724"/>
    <x v="7"/>
    <n v="645"/>
    <s v="Food supply quantity (kg/capita/yr)"/>
    <s v="S2764"/>
    <x v="16"/>
    <n v="2018"/>
    <x v="1"/>
    <s v="kg"/>
    <n v="0.81"/>
    <s v="E"/>
    <s v="Estimated value"/>
  </r>
  <r>
    <s v="FBS"/>
    <s v="Food Balances (2010-)"/>
    <n v="724"/>
    <x v="7"/>
    <n v="645"/>
    <s v="Food supply quantity (kg/capita/yr)"/>
    <s v="S2764"/>
    <x v="16"/>
    <n v="2019"/>
    <x v="2"/>
    <s v="kg"/>
    <n v="0.6"/>
    <s v="E"/>
    <s v="Estimated value"/>
  </r>
  <r>
    <s v="FBS"/>
    <s v="Food Balances (2010-)"/>
    <n v="724"/>
    <x v="7"/>
    <n v="645"/>
    <s v="Food supply quantity (kg/capita/yr)"/>
    <s v="S2764"/>
    <x v="16"/>
    <n v="2020"/>
    <x v="3"/>
    <s v="kg"/>
    <n v="0.6"/>
    <s v="E"/>
    <s v="Estimated value"/>
  </r>
  <r>
    <s v="FBS"/>
    <s v="Food Balances (2010-)"/>
    <n v="724"/>
    <x v="7"/>
    <n v="645"/>
    <s v="Food supply quantity (kg/capita/yr)"/>
    <s v="S2764"/>
    <x v="16"/>
    <n v="2021"/>
    <x v="4"/>
    <s v="kg"/>
    <n v="0.6"/>
    <s v="E"/>
    <s v="Estimated value"/>
  </r>
  <r>
    <s v="FBS"/>
    <s v="Food Balances (2010-)"/>
    <n v="724"/>
    <x v="7"/>
    <n v="645"/>
    <s v="Food supply quantity (kg/capita/yr)"/>
    <s v="S2765"/>
    <x v="17"/>
    <n v="2017"/>
    <x v="0"/>
    <s v="kg"/>
    <n v="3.5"/>
    <s v="E"/>
    <s v="Estimated value"/>
  </r>
  <r>
    <s v="FBS"/>
    <s v="Food Balances (2010-)"/>
    <n v="724"/>
    <x v="7"/>
    <n v="645"/>
    <s v="Food supply quantity (kg/capita/yr)"/>
    <s v="S2765"/>
    <x v="17"/>
    <n v="2018"/>
    <x v="1"/>
    <s v="kg"/>
    <n v="3.25"/>
    <s v="E"/>
    <s v="Estimated value"/>
  </r>
  <r>
    <s v="FBS"/>
    <s v="Food Balances (2010-)"/>
    <n v="724"/>
    <x v="7"/>
    <n v="645"/>
    <s v="Food supply quantity (kg/capita/yr)"/>
    <s v="S2765"/>
    <x v="17"/>
    <n v="2019"/>
    <x v="2"/>
    <s v="kg"/>
    <n v="3.37"/>
    <s v="E"/>
    <s v="Estimated value"/>
  </r>
  <r>
    <s v="FBS"/>
    <s v="Food Balances (2010-)"/>
    <n v="724"/>
    <x v="7"/>
    <n v="645"/>
    <s v="Food supply quantity (kg/capita/yr)"/>
    <s v="S2765"/>
    <x v="17"/>
    <n v="2020"/>
    <x v="3"/>
    <s v="kg"/>
    <n v="3.36"/>
    <s v="E"/>
    <s v="Estimated value"/>
  </r>
  <r>
    <s v="FBS"/>
    <s v="Food Balances (2010-)"/>
    <n v="724"/>
    <x v="7"/>
    <n v="645"/>
    <s v="Food supply quantity (kg/capita/yr)"/>
    <s v="S2765"/>
    <x v="17"/>
    <n v="2021"/>
    <x v="4"/>
    <s v="kg"/>
    <n v="3.35"/>
    <s v="E"/>
    <s v="Estimated value"/>
  </r>
  <r>
    <s v="FBS"/>
    <s v="Food Balances (2010-)"/>
    <n v="724"/>
    <x v="7"/>
    <n v="645"/>
    <s v="Food supply quantity (kg/capita/yr)"/>
    <s v="S2766"/>
    <x v="18"/>
    <n v="2017"/>
    <x v="0"/>
    <s v="kg"/>
    <n v="1.69"/>
    <s v="E"/>
    <s v="Estimated value"/>
  </r>
  <r>
    <s v="FBS"/>
    <s v="Food Balances (2010-)"/>
    <n v="724"/>
    <x v="7"/>
    <n v="645"/>
    <s v="Food supply quantity (kg/capita/yr)"/>
    <s v="S2766"/>
    <x v="18"/>
    <n v="2018"/>
    <x v="1"/>
    <s v="kg"/>
    <n v="3.92"/>
    <s v="E"/>
    <s v="Estimated value"/>
  </r>
  <r>
    <s v="FBS"/>
    <s v="Food Balances (2010-)"/>
    <n v="724"/>
    <x v="7"/>
    <n v="645"/>
    <s v="Food supply quantity (kg/capita/yr)"/>
    <s v="S2766"/>
    <x v="18"/>
    <n v="2019"/>
    <x v="2"/>
    <s v="kg"/>
    <n v="3.37"/>
    <s v="E"/>
    <s v="Estimated value"/>
  </r>
  <r>
    <s v="FBS"/>
    <s v="Food Balances (2010-)"/>
    <n v="724"/>
    <x v="7"/>
    <n v="645"/>
    <s v="Food supply quantity (kg/capita/yr)"/>
    <s v="S2766"/>
    <x v="18"/>
    <n v="2020"/>
    <x v="3"/>
    <s v="kg"/>
    <n v="3.35"/>
    <s v="E"/>
    <s v="Estimated value"/>
  </r>
  <r>
    <s v="FBS"/>
    <s v="Food Balances (2010-)"/>
    <n v="724"/>
    <x v="7"/>
    <n v="645"/>
    <s v="Food supply quantity (kg/capita/yr)"/>
    <s v="S2766"/>
    <x v="18"/>
    <n v="2021"/>
    <x v="4"/>
    <s v="kg"/>
    <n v="3.34"/>
    <s v="E"/>
    <s v="Estimated value"/>
  </r>
  <r>
    <s v="FBS"/>
    <s v="Food Balances (2010-)"/>
    <n v="724"/>
    <x v="7"/>
    <n v="645"/>
    <s v="Food supply quantity (kg/capita/yr)"/>
    <s v="S2767"/>
    <x v="19"/>
    <n v="2017"/>
    <x v="0"/>
    <s v="kg"/>
    <n v="9.19"/>
    <s v="E"/>
    <s v="Estimated value"/>
  </r>
  <r>
    <s v="FBS"/>
    <s v="Food Balances (2010-)"/>
    <n v="724"/>
    <x v="7"/>
    <n v="645"/>
    <s v="Food supply quantity (kg/capita/yr)"/>
    <s v="S2767"/>
    <x v="19"/>
    <n v="2018"/>
    <x v="1"/>
    <s v="kg"/>
    <n v="6.2"/>
    <s v="E"/>
    <s v="Estimated value"/>
  </r>
  <r>
    <s v="FBS"/>
    <s v="Food Balances (2010-)"/>
    <n v="724"/>
    <x v="7"/>
    <n v="645"/>
    <s v="Food supply quantity (kg/capita/yr)"/>
    <s v="S2767"/>
    <x v="19"/>
    <n v="2019"/>
    <x v="2"/>
    <s v="kg"/>
    <n v="5.0199999999999996"/>
    <s v="E"/>
    <s v="Estimated value"/>
  </r>
  <r>
    <s v="FBS"/>
    <s v="Food Balances (2010-)"/>
    <n v="724"/>
    <x v="7"/>
    <n v="645"/>
    <s v="Food supply quantity (kg/capita/yr)"/>
    <s v="S2767"/>
    <x v="19"/>
    <n v="2020"/>
    <x v="3"/>
    <s v="kg"/>
    <n v="5"/>
    <s v="E"/>
    <s v="Estimated value"/>
  </r>
  <r>
    <s v="FBS"/>
    <s v="Food Balances (2010-)"/>
    <n v="724"/>
    <x v="7"/>
    <n v="645"/>
    <s v="Food supply quantity (kg/capita/yr)"/>
    <s v="S2767"/>
    <x v="19"/>
    <n v="2021"/>
    <x v="4"/>
    <s v="kg"/>
    <n v="4.9800000000000004"/>
    <s v="E"/>
    <s v="Estimated value"/>
  </r>
  <r>
    <s v="FBS"/>
    <s v="Food Balances (2010-)"/>
    <n v="724"/>
    <x v="7"/>
    <n v="645"/>
    <s v="Food supply quantity (kg/capita/yr)"/>
    <s v="S2769"/>
    <x v="20"/>
    <n v="2017"/>
    <x v="0"/>
    <s v="kg"/>
    <n v="0.02"/>
    <s v="E"/>
    <s v="Estimated value"/>
  </r>
  <r>
    <s v="FBS"/>
    <s v="Food Balances (2010-)"/>
    <n v="724"/>
    <x v="7"/>
    <n v="645"/>
    <s v="Food supply quantity (kg/capita/yr)"/>
    <s v="S2769"/>
    <x v="20"/>
    <n v="2018"/>
    <x v="1"/>
    <s v="kg"/>
    <n v="0.06"/>
    <s v="E"/>
    <s v="Estimated value"/>
  </r>
  <r>
    <s v="FBS"/>
    <s v="Food Balances (2010-)"/>
    <n v="724"/>
    <x v="7"/>
    <n v="645"/>
    <s v="Food supply quantity (kg/capita/yr)"/>
    <s v="S2769"/>
    <x v="20"/>
    <n v="2019"/>
    <x v="2"/>
    <s v="kg"/>
    <n v="0.02"/>
    <s v="E"/>
    <s v="Estimated value"/>
  </r>
  <r>
    <s v="FBS"/>
    <s v="Food Balances (2010-)"/>
    <n v="724"/>
    <x v="7"/>
    <n v="645"/>
    <s v="Food supply quantity (kg/capita/yr)"/>
    <s v="S2769"/>
    <x v="20"/>
    <n v="2020"/>
    <x v="3"/>
    <s v="kg"/>
    <n v="0.02"/>
    <s v="E"/>
    <s v="Estimated value"/>
  </r>
  <r>
    <s v="FBS"/>
    <s v="Food Balances (2010-)"/>
    <n v="724"/>
    <x v="7"/>
    <n v="645"/>
    <s v="Food supply quantity (kg/capita/yr)"/>
    <s v="S2769"/>
    <x v="20"/>
    <n v="2021"/>
    <x v="4"/>
    <s v="kg"/>
    <n v="0.02"/>
    <s v="E"/>
    <s v="Estimated value"/>
  </r>
  <r>
    <s v="FBS"/>
    <s v="Food Balances (2010-)"/>
    <n v="752"/>
    <x v="8"/>
    <n v="645"/>
    <s v="Food supply quantity (kg/capita/yr)"/>
    <s v="S2731"/>
    <x v="0"/>
    <n v="2017"/>
    <x v="0"/>
    <s v="kg"/>
    <n v="23.15"/>
    <s v="E"/>
    <s v="Estimated value"/>
  </r>
  <r>
    <s v="FBS"/>
    <s v="Food Balances (2010-)"/>
    <n v="752"/>
    <x v="8"/>
    <n v="645"/>
    <s v="Food supply quantity (kg/capita/yr)"/>
    <s v="S2731"/>
    <x v="0"/>
    <n v="2018"/>
    <x v="1"/>
    <s v="kg"/>
    <n v="21"/>
    <s v="E"/>
    <s v="Estimated value"/>
  </r>
  <r>
    <s v="FBS"/>
    <s v="Food Balances (2010-)"/>
    <n v="752"/>
    <x v="8"/>
    <n v="645"/>
    <s v="Food supply quantity (kg/capita/yr)"/>
    <s v="S2731"/>
    <x v="0"/>
    <n v="2019"/>
    <x v="2"/>
    <s v="kg"/>
    <n v="23.36"/>
    <s v="E"/>
    <s v="Estimated value"/>
  </r>
  <r>
    <s v="FBS"/>
    <s v="Food Balances (2010-)"/>
    <n v="752"/>
    <x v="8"/>
    <n v="645"/>
    <s v="Food supply quantity (kg/capita/yr)"/>
    <s v="S2731"/>
    <x v="0"/>
    <n v="2020"/>
    <x v="3"/>
    <s v="kg"/>
    <n v="21.92"/>
    <s v="E"/>
    <s v="Estimated value"/>
  </r>
  <r>
    <s v="FBS"/>
    <s v="Food Balances (2010-)"/>
    <n v="752"/>
    <x v="8"/>
    <n v="645"/>
    <s v="Food supply quantity (kg/capita/yr)"/>
    <s v="S2731"/>
    <x v="0"/>
    <n v="2021"/>
    <x v="4"/>
    <s v="kg"/>
    <n v="21.58"/>
    <s v="E"/>
    <s v="Estimated value"/>
  </r>
  <r>
    <s v="FBS"/>
    <s v="Food Balances (2010-)"/>
    <n v="752"/>
    <x v="8"/>
    <n v="645"/>
    <s v="Food supply quantity (kg/capita/yr)"/>
    <s v="S2732"/>
    <x v="1"/>
    <n v="2017"/>
    <x v="0"/>
    <s v="kg"/>
    <n v="1.37"/>
    <s v="E"/>
    <s v="Estimated value"/>
  </r>
  <r>
    <s v="FBS"/>
    <s v="Food Balances (2010-)"/>
    <n v="752"/>
    <x v="8"/>
    <n v="645"/>
    <s v="Food supply quantity (kg/capita/yr)"/>
    <s v="S2732"/>
    <x v="1"/>
    <n v="2018"/>
    <x v="1"/>
    <s v="kg"/>
    <n v="1.38"/>
    <s v="E"/>
    <s v="Estimated value"/>
  </r>
  <r>
    <s v="FBS"/>
    <s v="Food Balances (2010-)"/>
    <n v="752"/>
    <x v="8"/>
    <n v="645"/>
    <s v="Food supply quantity (kg/capita/yr)"/>
    <s v="S2732"/>
    <x v="1"/>
    <n v="2019"/>
    <x v="2"/>
    <s v="kg"/>
    <n v="1.27"/>
    <s v="E"/>
    <s v="Estimated value"/>
  </r>
  <r>
    <s v="FBS"/>
    <s v="Food Balances (2010-)"/>
    <n v="752"/>
    <x v="8"/>
    <n v="645"/>
    <s v="Food supply quantity (kg/capita/yr)"/>
    <s v="S2732"/>
    <x v="1"/>
    <n v="2020"/>
    <x v="3"/>
    <s v="kg"/>
    <n v="1.25"/>
    <s v="E"/>
    <s v="Estimated value"/>
  </r>
  <r>
    <s v="FBS"/>
    <s v="Food Balances (2010-)"/>
    <n v="752"/>
    <x v="8"/>
    <n v="645"/>
    <s v="Food supply quantity (kg/capita/yr)"/>
    <s v="S2732"/>
    <x v="1"/>
    <n v="2021"/>
    <x v="4"/>
    <s v="kg"/>
    <n v="1.1399999999999999"/>
    <s v="E"/>
    <s v="Estimated value"/>
  </r>
  <r>
    <s v="FBS"/>
    <s v="Food Balances (2010-)"/>
    <n v="752"/>
    <x v="8"/>
    <n v="645"/>
    <s v="Food supply quantity (kg/capita/yr)"/>
    <s v="S2733"/>
    <x v="2"/>
    <n v="2017"/>
    <x v="0"/>
    <s v="kg"/>
    <n v="30.92"/>
    <s v="E"/>
    <s v="Estimated value"/>
  </r>
  <r>
    <s v="FBS"/>
    <s v="Food Balances (2010-)"/>
    <n v="752"/>
    <x v="8"/>
    <n v="645"/>
    <s v="Food supply quantity (kg/capita/yr)"/>
    <s v="S2733"/>
    <x v="2"/>
    <n v="2018"/>
    <x v="1"/>
    <s v="kg"/>
    <n v="30.62"/>
    <s v="E"/>
    <s v="Estimated value"/>
  </r>
  <r>
    <s v="FBS"/>
    <s v="Food Balances (2010-)"/>
    <n v="752"/>
    <x v="8"/>
    <n v="645"/>
    <s v="Food supply quantity (kg/capita/yr)"/>
    <s v="S2733"/>
    <x v="2"/>
    <n v="2019"/>
    <x v="2"/>
    <s v="kg"/>
    <n v="29.17"/>
    <s v="E"/>
    <s v="Estimated value"/>
  </r>
  <r>
    <s v="FBS"/>
    <s v="Food Balances (2010-)"/>
    <n v="752"/>
    <x v="8"/>
    <n v="645"/>
    <s v="Food supply quantity (kg/capita/yr)"/>
    <s v="S2733"/>
    <x v="2"/>
    <n v="2020"/>
    <x v="3"/>
    <s v="kg"/>
    <n v="28.12"/>
    <s v="E"/>
    <s v="Estimated value"/>
  </r>
  <r>
    <s v="FBS"/>
    <s v="Food Balances (2010-)"/>
    <n v="752"/>
    <x v="8"/>
    <n v="645"/>
    <s v="Food supply quantity (kg/capita/yr)"/>
    <s v="S2733"/>
    <x v="2"/>
    <n v="2021"/>
    <x v="4"/>
    <s v="kg"/>
    <n v="27.76"/>
    <s v="E"/>
    <s v="Estimated value"/>
  </r>
  <r>
    <s v="FBS"/>
    <s v="Food Balances (2010-)"/>
    <n v="752"/>
    <x v="8"/>
    <n v="645"/>
    <s v="Food supply quantity (kg/capita/yr)"/>
    <s v="S2734"/>
    <x v="3"/>
    <n v="2017"/>
    <x v="0"/>
    <s v="kg"/>
    <n v="16.34"/>
    <s v="E"/>
    <s v="Estimated value"/>
  </r>
  <r>
    <s v="FBS"/>
    <s v="Food Balances (2010-)"/>
    <n v="752"/>
    <x v="8"/>
    <n v="645"/>
    <s v="Food supply quantity (kg/capita/yr)"/>
    <s v="S2734"/>
    <x v="3"/>
    <n v="2018"/>
    <x v="1"/>
    <s v="kg"/>
    <n v="16.559999999999999"/>
    <s v="E"/>
    <s v="Estimated value"/>
  </r>
  <r>
    <s v="FBS"/>
    <s v="Food Balances (2010-)"/>
    <n v="752"/>
    <x v="8"/>
    <n v="645"/>
    <s v="Food supply quantity (kg/capita/yr)"/>
    <s v="S2734"/>
    <x v="3"/>
    <n v="2019"/>
    <x v="2"/>
    <s v="kg"/>
    <n v="15.94"/>
    <s v="E"/>
    <s v="Estimated value"/>
  </r>
  <r>
    <s v="FBS"/>
    <s v="Food Balances (2010-)"/>
    <n v="752"/>
    <x v="8"/>
    <n v="645"/>
    <s v="Food supply quantity (kg/capita/yr)"/>
    <s v="S2734"/>
    <x v="3"/>
    <n v="2020"/>
    <x v="3"/>
    <s v="kg"/>
    <n v="15.16"/>
    <s v="E"/>
    <s v="Estimated value"/>
  </r>
  <r>
    <s v="FBS"/>
    <s v="Food Balances (2010-)"/>
    <n v="752"/>
    <x v="8"/>
    <n v="645"/>
    <s v="Food supply quantity (kg/capita/yr)"/>
    <s v="S2734"/>
    <x v="3"/>
    <n v="2021"/>
    <x v="4"/>
    <s v="kg"/>
    <n v="16.29"/>
    <s v="E"/>
    <s v="Estimated value"/>
  </r>
  <r>
    <s v="FBS"/>
    <s v="Food Balances (2010-)"/>
    <n v="752"/>
    <x v="8"/>
    <n v="645"/>
    <s v="Food supply quantity (kg/capita/yr)"/>
    <s v="S2735"/>
    <x v="4"/>
    <n v="2017"/>
    <x v="0"/>
    <s v="kg"/>
    <n v="1.43"/>
    <s v="E"/>
    <s v="Estimated value"/>
  </r>
  <r>
    <s v="FBS"/>
    <s v="Food Balances (2010-)"/>
    <n v="752"/>
    <x v="8"/>
    <n v="645"/>
    <s v="Food supply quantity (kg/capita/yr)"/>
    <s v="S2735"/>
    <x v="4"/>
    <n v="2018"/>
    <x v="1"/>
    <s v="kg"/>
    <n v="0.46"/>
    <s v="E"/>
    <s v="Estimated value"/>
  </r>
  <r>
    <s v="FBS"/>
    <s v="Food Balances (2010-)"/>
    <n v="752"/>
    <x v="8"/>
    <n v="645"/>
    <s v="Food supply quantity (kg/capita/yr)"/>
    <s v="S2735"/>
    <x v="4"/>
    <n v="2019"/>
    <x v="2"/>
    <s v="kg"/>
    <n v="0.21"/>
    <s v="E"/>
    <s v="Estimated value"/>
  </r>
  <r>
    <s v="FBS"/>
    <s v="Food Balances (2010-)"/>
    <n v="752"/>
    <x v="8"/>
    <n v="645"/>
    <s v="Food supply quantity (kg/capita/yr)"/>
    <s v="S2735"/>
    <x v="4"/>
    <n v="2020"/>
    <x v="3"/>
    <s v="kg"/>
    <n v="0.13"/>
    <s v="E"/>
    <s v="Estimated value"/>
  </r>
  <r>
    <s v="FBS"/>
    <s v="Food Balances (2010-)"/>
    <n v="752"/>
    <x v="8"/>
    <n v="645"/>
    <s v="Food supply quantity (kg/capita/yr)"/>
    <s v="S2735"/>
    <x v="4"/>
    <n v="2021"/>
    <x v="4"/>
    <s v="kg"/>
    <n v="0.15"/>
    <s v="E"/>
    <s v="Estimated value"/>
  </r>
  <r>
    <s v="FBS"/>
    <s v="Food Balances (2010-)"/>
    <n v="752"/>
    <x v="8"/>
    <n v="645"/>
    <s v="Food supply quantity (kg/capita/yr)"/>
    <s v="S2736"/>
    <x v="5"/>
    <n v="2017"/>
    <x v="0"/>
    <s v="kg"/>
    <n v="0.15"/>
    <s v="E"/>
    <s v="Estimated value"/>
  </r>
  <r>
    <s v="FBS"/>
    <s v="Food Balances (2010-)"/>
    <n v="752"/>
    <x v="8"/>
    <n v="645"/>
    <s v="Food supply quantity (kg/capita/yr)"/>
    <s v="S2736"/>
    <x v="5"/>
    <n v="2018"/>
    <x v="1"/>
    <s v="kg"/>
    <n v="1.1100000000000001"/>
    <s v="E"/>
    <s v="Estimated value"/>
  </r>
  <r>
    <s v="FBS"/>
    <s v="Food Balances (2010-)"/>
    <n v="752"/>
    <x v="8"/>
    <n v="645"/>
    <s v="Food supply quantity (kg/capita/yr)"/>
    <s v="S2736"/>
    <x v="5"/>
    <n v="2019"/>
    <x v="2"/>
    <s v="kg"/>
    <n v="6.24"/>
    <s v="E"/>
    <s v="Estimated value"/>
  </r>
  <r>
    <s v="FBS"/>
    <s v="Food Balances (2010-)"/>
    <n v="752"/>
    <x v="8"/>
    <n v="645"/>
    <s v="Food supply quantity (kg/capita/yr)"/>
    <s v="S2736"/>
    <x v="5"/>
    <n v="2020"/>
    <x v="3"/>
    <s v="kg"/>
    <n v="7.16"/>
    <s v="E"/>
    <s v="Estimated value"/>
  </r>
  <r>
    <s v="FBS"/>
    <s v="Food Balances (2010-)"/>
    <n v="752"/>
    <x v="8"/>
    <n v="645"/>
    <s v="Food supply quantity (kg/capita/yr)"/>
    <s v="S2736"/>
    <x v="5"/>
    <n v="2021"/>
    <x v="4"/>
    <s v="kg"/>
    <n v="7.28"/>
    <s v="E"/>
    <s v="Estimated value"/>
  </r>
  <r>
    <s v="FBS"/>
    <s v="Food Balances (2010-)"/>
    <n v="752"/>
    <x v="8"/>
    <n v="645"/>
    <s v="Food supply quantity (kg/capita/yr)"/>
    <s v="S2740"/>
    <x v="6"/>
    <n v="2017"/>
    <x v="0"/>
    <s v="kg"/>
    <n v="6.85"/>
    <s v="E"/>
    <s v="Estimated value"/>
  </r>
  <r>
    <s v="FBS"/>
    <s v="Food Balances (2010-)"/>
    <n v="752"/>
    <x v="8"/>
    <n v="645"/>
    <s v="Food supply quantity (kg/capita/yr)"/>
    <s v="S2740"/>
    <x v="6"/>
    <n v="2018"/>
    <x v="1"/>
    <s v="kg"/>
    <n v="4.91"/>
    <s v="E"/>
    <s v="Estimated value"/>
  </r>
  <r>
    <s v="FBS"/>
    <s v="Food Balances (2010-)"/>
    <n v="752"/>
    <x v="8"/>
    <n v="645"/>
    <s v="Food supply quantity (kg/capita/yr)"/>
    <s v="S2740"/>
    <x v="6"/>
    <n v="2019"/>
    <x v="2"/>
    <s v="kg"/>
    <n v="4.96"/>
    <s v="E"/>
    <s v="Estimated value"/>
  </r>
  <r>
    <s v="FBS"/>
    <s v="Food Balances (2010-)"/>
    <n v="752"/>
    <x v="8"/>
    <n v="645"/>
    <s v="Food supply quantity (kg/capita/yr)"/>
    <s v="S2740"/>
    <x v="6"/>
    <n v="2020"/>
    <x v="3"/>
    <s v="kg"/>
    <n v="5.03"/>
    <s v="E"/>
    <s v="Estimated value"/>
  </r>
  <r>
    <s v="FBS"/>
    <s v="Food Balances (2010-)"/>
    <n v="752"/>
    <x v="8"/>
    <n v="645"/>
    <s v="Food supply quantity (kg/capita/yr)"/>
    <s v="S2740"/>
    <x v="6"/>
    <n v="2021"/>
    <x v="4"/>
    <s v="kg"/>
    <n v="4.93"/>
    <s v="E"/>
    <s v="Estimated value"/>
  </r>
  <r>
    <s v="FBS"/>
    <s v="Food Balances (2010-)"/>
    <n v="752"/>
    <x v="8"/>
    <n v="645"/>
    <s v="Food supply quantity (kg/capita/yr)"/>
    <s v="S2743"/>
    <x v="7"/>
    <n v="2017"/>
    <x v="0"/>
    <s v="kg"/>
    <n v="11.37"/>
    <s v="E"/>
    <s v="Estimated value"/>
  </r>
  <r>
    <s v="FBS"/>
    <s v="Food Balances (2010-)"/>
    <n v="752"/>
    <x v="8"/>
    <n v="645"/>
    <s v="Food supply quantity (kg/capita/yr)"/>
    <s v="S2743"/>
    <x v="7"/>
    <n v="2018"/>
    <x v="1"/>
    <s v="kg"/>
    <n v="11.22"/>
    <s v="E"/>
    <s v="Estimated value"/>
  </r>
  <r>
    <s v="FBS"/>
    <s v="Food Balances (2010-)"/>
    <n v="752"/>
    <x v="8"/>
    <n v="645"/>
    <s v="Food supply quantity (kg/capita/yr)"/>
    <s v="S2743"/>
    <x v="7"/>
    <n v="2019"/>
    <x v="2"/>
    <s v="kg"/>
    <n v="10.43"/>
    <s v="E"/>
    <s v="Estimated value"/>
  </r>
  <r>
    <s v="FBS"/>
    <s v="Food Balances (2010-)"/>
    <n v="752"/>
    <x v="8"/>
    <n v="645"/>
    <s v="Food supply quantity (kg/capita/yr)"/>
    <s v="S2743"/>
    <x v="7"/>
    <n v="2020"/>
    <x v="3"/>
    <s v="kg"/>
    <n v="8.1199999999999992"/>
    <s v="E"/>
    <s v="Estimated value"/>
  </r>
  <r>
    <s v="FBS"/>
    <s v="Food Balances (2010-)"/>
    <n v="752"/>
    <x v="8"/>
    <n v="645"/>
    <s v="Food supply quantity (kg/capita/yr)"/>
    <s v="S2743"/>
    <x v="7"/>
    <n v="2021"/>
    <x v="4"/>
    <s v="kg"/>
    <n v="6.85"/>
    <s v="E"/>
    <s v="Estimated value"/>
  </r>
  <r>
    <s v="FBS"/>
    <s v="Food Balances (2010-)"/>
    <n v="752"/>
    <x v="8"/>
    <n v="645"/>
    <s v="Food supply quantity (kg/capita/yr)"/>
    <s v="S2737"/>
    <x v="8"/>
    <n v="2017"/>
    <x v="0"/>
    <s v="kg"/>
    <n v="2.41"/>
    <s v="E"/>
    <s v="Estimated value"/>
  </r>
  <r>
    <s v="FBS"/>
    <s v="Food Balances (2010-)"/>
    <n v="752"/>
    <x v="8"/>
    <n v="645"/>
    <s v="Food supply quantity (kg/capita/yr)"/>
    <s v="S2737"/>
    <x v="8"/>
    <n v="2018"/>
    <x v="1"/>
    <s v="kg"/>
    <n v="2.4900000000000002"/>
    <s v="E"/>
    <s v="Estimated value"/>
  </r>
  <r>
    <s v="FBS"/>
    <s v="Food Balances (2010-)"/>
    <n v="752"/>
    <x v="8"/>
    <n v="645"/>
    <s v="Food supply quantity (kg/capita/yr)"/>
    <s v="S2737"/>
    <x v="8"/>
    <n v="2019"/>
    <x v="2"/>
    <s v="kg"/>
    <n v="1.1200000000000001"/>
    <s v="E"/>
    <s v="Estimated value"/>
  </r>
  <r>
    <s v="FBS"/>
    <s v="Food Balances (2010-)"/>
    <n v="752"/>
    <x v="8"/>
    <n v="645"/>
    <s v="Food supply quantity (kg/capita/yr)"/>
    <s v="S2737"/>
    <x v="8"/>
    <n v="2020"/>
    <x v="3"/>
    <s v="kg"/>
    <n v="1.07"/>
    <s v="E"/>
    <s v="Estimated value"/>
  </r>
  <r>
    <s v="FBS"/>
    <s v="Food Balances (2010-)"/>
    <n v="752"/>
    <x v="8"/>
    <n v="645"/>
    <s v="Food supply quantity (kg/capita/yr)"/>
    <s v="S2737"/>
    <x v="8"/>
    <n v="2021"/>
    <x v="4"/>
    <s v="kg"/>
    <n v="2.2200000000000002"/>
    <s v="E"/>
    <s v="Estimated value"/>
  </r>
  <r>
    <s v="FBS"/>
    <s v="Food Balances (2010-)"/>
    <n v="752"/>
    <x v="8"/>
    <n v="645"/>
    <s v="Food supply quantity (kg/capita/yr)"/>
    <s v="S2781"/>
    <x v="9"/>
    <n v="2017"/>
    <x v="0"/>
    <s v="kg"/>
    <n v="0"/>
    <s v="E"/>
    <s v="Estimated value"/>
  </r>
  <r>
    <s v="FBS"/>
    <s v="Food Balances (2010-)"/>
    <n v="752"/>
    <x v="8"/>
    <n v="645"/>
    <s v="Food supply quantity (kg/capita/yr)"/>
    <s v="S2781"/>
    <x v="9"/>
    <n v="2018"/>
    <x v="1"/>
    <s v="kg"/>
    <n v="0"/>
    <s v="E"/>
    <s v="Estimated value"/>
  </r>
  <r>
    <s v="FBS"/>
    <s v="Food Balances (2010-)"/>
    <n v="752"/>
    <x v="8"/>
    <n v="645"/>
    <s v="Food supply quantity (kg/capita/yr)"/>
    <s v="S2781"/>
    <x v="9"/>
    <n v="2019"/>
    <x v="2"/>
    <s v="kg"/>
    <n v="0"/>
    <s v="E"/>
    <s v="Estimated value"/>
  </r>
  <r>
    <s v="FBS"/>
    <s v="Food Balances (2010-)"/>
    <n v="752"/>
    <x v="8"/>
    <n v="645"/>
    <s v="Food supply quantity (kg/capita/yr)"/>
    <s v="S2781"/>
    <x v="9"/>
    <n v="2020"/>
    <x v="3"/>
    <s v="kg"/>
    <n v="0"/>
    <s v="E"/>
    <s v="Estimated value"/>
  </r>
  <r>
    <s v="FBS"/>
    <s v="Food Balances (2010-)"/>
    <n v="752"/>
    <x v="8"/>
    <n v="645"/>
    <s v="Food supply quantity (kg/capita/yr)"/>
    <s v="S2781"/>
    <x v="9"/>
    <n v="2021"/>
    <x v="4"/>
    <s v="kg"/>
    <n v="0"/>
    <s v="E"/>
    <s v="Estimated value"/>
  </r>
  <r>
    <s v="FBS"/>
    <s v="Food Balances (2010-)"/>
    <n v="752"/>
    <x v="8"/>
    <n v="645"/>
    <s v="Food supply quantity (kg/capita/yr)"/>
    <s v="S2744"/>
    <x v="11"/>
    <n v="2017"/>
    <x v="0"/>
    <s v="kg"/>
    <n v="13.73"/>
    <s v="E"/>
    <s v="Estimated value"/>
  </r>
  <r>
    <s v="FBS"/>
    <s v="Food Balances (2010-)"/>
    <n v="752"/>
    <x v="8"/>
    <n v="645"/>
    <s v="Food supply quantity (kg/capita/yr)"/>
    <s v="S2744"/>
    <x v="11"/>
    <n v="2018"/>
    <x v="1"/>
    <s v="kg"/>
    <n v="14.14"/>
    <s v="E"/>
    <s v="Estimated value"/>
  </r>
  <r>
    <s v="FBS"/>
    <s v="Food Balances (2010-)"/>
    <n v="752"/>
    <x v="8"/>
    <n v="645"/>
    <s v="Food supply quantity (kg/capita/yr)"/>
    <s v="S2744"/>
    <x v="11"/>
    <n v="2019"/>
    <x v="2"/>
    <s v="kg"/>
    <n v="14.35"/>
    <s v="E"/>
    <s v="Estimated value"/>
  </r>
  <r>
    <s v="FBS"/>
    <s v="Food Balances (2010-)"/>
    <n v="752"/>
    <x v="8"/>
    <n v="645"/>
    <s v="Food supply quantity (kg/capita/yr)"/>
    <s v="S2744"/>
    <x v="11"/>
    <n v="2020"/>
    <x v="3"/>
    <s v="kg"/>
    <n v="13.26"/>
    <s v="E"/>
    <s v="Estimated value"/>
  </r>
  <r>
    <s v="FBS"/>
    <s v="Food Balances (2010-)"/>
    <n v="752"/>
    <x v="8"/>
    <n v="645"/>
    <s v="Food supply quantity (kg/capita/yr)"/>
    <s v="S2744"/>
    <x v="11"/>
    <n v="2021"/>
    <x v="4"/>
    <s v="kg"/>
    <n v="12.84"/>
    <s v="E"/>
    <s v="Estimated value"/>
  </r>
  <r>
    <s v="FBS"/>
    <s v="Food Balances (2010-)"/>
    <n v="752"/>
    <x v="8"/>
    <n v="645"/>
    <s v="Food supply quantity (kg/capita/yr)"/>
    <s v="S2848"/>
    <x v="12"/>
    <n v="2017"/>
    <x v="0"/>
    <s v="kg"/>
    <n v="181.82"/>
    <s v="E"/>
    <s v="Estimated value"/>
  </r>
  <r>
    <s v="FBS"/>
    <s v="Food Balances (2010-)"/>
    <n v="752"/>
    <x v="8"/>
    <n v="645"/>
    <s v="Food supply quantity (kg/capita/yr)"/>
    <s v="S2848"/>
    <x v="12"/>
    <n v="2018"/>
    <x v="1"/>
    <s v="kg"/>
    <n v="179.46"/>
    <s v="E"/>
    <s v="Estimated value"/>
  </r>
  <r>
    <s v="FBS"/>
    <s v="Food Balances (2010-)"/>
    <n v="752"/>
    <x v="8"/>
    <n v="645"/>
    <s v="Food supply quantity (kg/capita/yr)"/>
    <s v="S2848"/>
    <x v="12"/>
    <n v="2019"/>
    <x v="2"/>
    <s v="kg"/>
    <n v="211.04"/>
    <s v="E"/>
    <s v="Estimated value"/>
  </r>
  <r>
    <s v="FBS"/>
    <s v="Food Balances (2010-)"/>
    <n v="752"/>
    <x v="8"/>
    <n v="645"/>
    <s v="Food supply quantity (kg/capita/yr)"/>
    <s v="S2848"/>
    <x v="12"/>
    <n v="2020"/>
    <x v="3"/>
    <s v="kg"/>
    <n v="221.08"/>
    <s v="E"/>
    <s v="Estimated value"/>
  </r>
  <r>
    <s v="FBS"/>
    <s v="Food Balances (2010-)"/>
    <n v="752"/>
    <x v="8"/>
    <n v="645"/>
    <s v="Food supply quantity (kg/capita/yr)"/>
    <s v="S2848"/>
    <x v="12"/>
    <n v="2021"/>
    <x v="4"/>
    <s v="kg"/>
    <n v="218.16"/>
    <s v="E"/>
    <s v="Estimated value"/>
  </r>
  <r>
    <s v="FBS"/>
    <s v="Food Balances (2010-)"/>
    <n v="752"/>
    <x v="8"/>
    <n v="645"/>
    <s v="Food supply quantity (kg/capita/yr)"/>
    <s v="S2761"/>
    <x v="13"/>
    <n v="2017"/>
    <x v="0"/>
    <s v="kg"/>
    <n v="8.76"/>
    <s v="E"/>
    <s v="Estimated value"/>
  </r>
  <r>
    <s v="FBS"/>
    <s v="Food Balances (2010-)"/>
    <n v="752"/>
    <x v="8"/>
    <n v="645"/>
    <s v="Food supply quantity (kg/capita/yr)"/>
    <s v="S2761"/>
    <x v="13"/>
    <n v="2018"/>
    <x v="1"/>
    <s v="kg"/>
    <n v="7.95"/>
    <s v="E"/>
    <s v="Estimated value"/>
  </r>
  <r>
    <s v="FBS"/>
    <s v="Food Balances (2010-)"/>
    <n v="752"/>
    <x v="8"/>
    <n v="645"/>
    <s v="Food supply quantity (kg/capita/yr)"/>
    <s v="S2761"/>
    <x v="13"/>
    <n v="2019"/>
    <x v="2"/>
    <s v="kg"/>
    <n v="8.35"/>
    <s v="E"/>
    <s v="Estimated value"/>
  </r>
  <r>
    <s v="FBS"/>
    <s v="Food Balances (2010-)"/>
    <n v="752"/>
    <x v="8"/>
    <n v="645"/>
    <s v="Food supply quantity (kg/capita/yr)"/>
    <s v="S2761"/>
    <x v="13"/>
    <n v="2020"/>
    <x v="3"/>
    <s v="kg"/>
    <n v="8.27"/>
    <s v="E"/>
    <s v="Estimated value"/>
  </r>
  <r>
    <s v="FBS"/>
    <s v="Food Balances (2010-)"/>
    <n v="752"/>
    <x v="8"/>
    <n v="645"/>
    <s v="Food supply quantity (kg/capita/yr)"/>
    <s v="S2761"/>
    <x v="13"/>
    <n v="2021"/>
    <x v="4"/>
    <s v="kg"/>
    <n v="8.19"/>
    <s v="E"/>
    <s v="Estimated value"/>
  </r>
  <r>
    <s v="FBS"/>
    <s v="Food Balances (2010-)"/>
    <n v="752"/>
    <x v="8"/>
    <n v="645"/>
    <s v="Food supply quantity (kg/capita/yr)"/>
    <s v="S2762"/>
    <x v="14"/>
    <n v="2017"/>
    <x v="0"/>
    <s v="kg"/>
    <n v="9.16"/>
    <s v="E"/>
    <s v="Estimated value"/>
  </r>
  <r>
    <s v="FBS"/>
    <s v="Food Balances (2010-)"/>
    <n v="752"/>
    <x v="8"/>
    <n v="645"/>
    <s v="Food supply quantity (kg/capita/yr)"/>
    <s v="S2762"/>
    <x v="14"/>
    <n v="2018"/>
    <x v="1"/>
    <s v="kg"/>
    <n v="9.32"/>
    <s v="E"/>
    <s v="Estimated value"/>
  </r>
  <r>
    <s v="FBS"/>
    <s v="Food Balances (2010-)"/>
    <n v="752"/>
    <x v="8"/>
    <n v="645"/>
    <s v="Food supply quantity (kg/capita/yr)"/>
    <s v="S2762"/>
    <x v="14"/>
    <n v="2019"/>
    <x v="2"/>
    <s v="kg"/>
    <n v="8"/>
    <s v="E"/>
    <s v="Estimated value"/>
  </r>
  <r>
    <s v="FBS"/>
    <s v="Food Balances (2010-)"/>
    <n v="752"/>
    <x v="8"/>
    <n v="645"/>
    <s v="Food supply quantity (kg/capita/yr)"/>
    <s v="S2762"/>
    <x v="14"/>
    <n v="2020"/>
    <x v="3"/>
    <s v="kg"/>
    <n v="7.93"/>
    <s v="E"/>
    <s v="Estimated value"/>
  </r>
  <r>
    <s v="FBS"/>
    <s v="Food Balances (2010-)"/>
    <n v="752"/>
    <x v="8"/>
    <n v="645"/>
    <s v="Food supply quantity (kg/capita/yr)"/>
    <s v="S2762"/>
    <x v="14"/>
    <n v="2021"/>
    <x v="4"/>
    <s v="kg"/>
    <n v="7.85"/>
    <s v="E"/>
    <s v="Estimated value"/>
  </r>
  <r>
    <s v="FBS"/>
    <s v="Food Balances (2010-)"/>
    <n v="752"/>
    <x v="8"/>
    <n v="645"/>
    <s v="Food supply quantity (kg/capita/yr)"/>
    <s v="S2763"/>
    <x v="15"/>
    <n v="2017"/>
    <x v="0"/>
    <s v="kg"/>
    <n v="5.32"/>
    <s v="E"/>
    <s v="Estimated value"/>
  </r>
  <r>
    <s v="FBS"/>
    <s v="Food Balances (2010-)"/>
    <n v="752"/>
    <x v="8"/>
    <n v="645"/>
    <s v="Food supply quantity (kg/capita/yr)"/>
    <s v="S2763"/>
    <x v="15"/>
    <n v="2018"/>
    <x v="1"/>
    <s v="kg"/>
    <n v="6.05"/>
    <s v="E"/>
    <s v="Estimated value"/>
  </r>
  <r>
    <s v="FBS"/>
    <s v="Food Balances (2010-)"/>
    <n v="752"/>
    <x v="8"/>
    <n v="645"/>
    <s v="Food supply quantity (kg/capita/yr)"/>
    <s v="S2763"/>
    <x v="15"/>
    <n v="2019"/>
    <x v="2"/>
    <s v="kg"/>
    <n v="6.4"/>
    <s v="E"/>
    <s v="Estimated value"/>
  </r>
  <r>
    <s v="FBS"/>
    <s v="Food Balances (2010-)"/>
    <n v="752"/>
    <x v="8"/>
    <n v="645"/>
    <s v="Food supply quantity (kg/capita/yr)"/>
    <s v="S2763"/>
    <x v="15"/>
    <n v="2020"/>
    <x v="3"/>
    <s v="kg"/>
    <n v="6.34"/>
    <s v="E"/>
    <s v="Estimated value"/>
  </r>
  <r>
    <s v="FBS"/>
    <s v="Food Balances (2010-)"/>
    <n v="752"/>
    <x v="8"/>
    <n v="645"/>
    <s v="Food supply quantity (kg/capita/yr)"/>
    <s v="S2763"/>
    <x v="15"/>
    <n v="2021"/>
    <x v="4"/>
    <s v="kg"/>
    <n v="6.28"/>
    <s v="E"/>
    <s v="Estimated value"/>
  </r>
  <r>
    <s v="FBS"/>
    <s v="Food Balances (2010-)"/>
    <n v="752"/>
    <x v="8"/>
    <n v="645"/>
    <s v="Food supply quantity (kg/capita/yr)"/>
    <s v="S2764"/>
    <x v="16"/>
    <n v="2017"/>
    <x v="0"/>
    <s v="kg"/>
    <n v="0.7"/>
    <s v="E"/>
    <s v="Estimated value"/>
  </r>
  <r>
    <s v="FBS"/>
    <s v="Food Balances (2010-)"/>
    <n v="752"/>
    <x v="8"/>
    <n v="645"/>
    <s v="Food supply quantity (kg/capita/yr)"/>
    <s v="S2764"/>
    <x v="16"/>
    <n v="2018"/>
    <x v="1"/>
    <s v="kg"/>
    <n v="0.6"/>
    <s v="E"/>
    <s v="Estimated value"/>
  </r>
  <r>
    <s v="FBS"/>
    <s v="Food Balances (2010-)"/>
    <n v="752"/>
    <x v="8"/>
    <n v="645"/>
    <s v="Food supply quantity (kg/capita/yr)"/>
    <s v="S2764"/>
    <x v="16"/>
    <n v="2019"/>
    <x v="2"/>
    <s v="kg"/>
    <n v="0.64"/>
    <s v="E"/>
    <s v="Estimated value"/>
  </r>
  <r>
    <s v="FBS"/>
    <s v="Food Balances (2010-)"/>
    <n v="752"/>
    <x v="8"/>
    <n v="645"/>
    <s v="Food supply quantity (kg/capita/yr)"/>
    <s v="S2764"/>
    <x v="16"/>
    <n v="2020"/>
    <x v="3"/>
    <s v="kg"/>
    <n v="0.63"/>
    <s v="E"/>
    <s v="Estimated value"/>
  </r>
  <r>
    <s v="FBS"/>
    <s v="Food Balances (2010-)"/>
    <n v="752"/>
    <x v="8"/>
    <n v="645"/>
    <s v="Food supply quantity (kg/capita/yr)"/>
    <s v="S2764"/>
    <x v="16"/>
    <n v="2021"/>
    <x v="4"/>
    <s v="kg"/>
    <n v="0.63"/>
    <s v="E"/>
    <s v="Estimated value"/>
  </r>
  <r>
    <s v="FBS"/>
    <s v="Food Balances (2010-)"/>
    <n v="752"/>
    <x v="8"/>
    <n v="645"/>
    <s v="Food supply quantity (kg/capita/yr)"/>
    <s v="S2765"/>
    <x v="17"/>
    <n v="2017"/>
    <x v="0"/>
    <s v="kg"/>
    <n v="7.44"/>
    <s v="E"/>
    <s v="Estimated value"/>
  </r>
  <r>
    <s v="FBS"/>
    <s v="Food Balances (2010-)"/>
    <n v="752"/>
    <x v="8"/>
    <n v="645"/>
    <s v="Food supply quantity (kg/capita/yr)"/>
    <s v="S2765"/>
    <x v="17"/>
    <n v="2018"/>
    <x v="1"/>
    <s v="kg"/>
    <n v="8.17"/>
    <s v="E"/>
    <s v="Estimated value"/>
  </r>
  <r>
    <s v="FBS"/>
    <s v="Food Balances (2010-)"/>
    <n v="752"/>
    <x v="8"/>
    <n v="645"/>
    <s v="Food supply quantity (kg/capita/yr)"/>
    <s v="S2765"/>
    <x v="17"/>
    <n v="2019"/>
    <x v="2"/>
    <s v="kg"/>
    <n v="7.23"/>
    <s v="E"/>
    <s v="Estimated value"/>
  </r>
  <r>
    <s v="FBS"/>
    <s v="Food Balances (2010-)"/>
    <n v="752"/>
    <x v="8"/>
    <n v="645"/>
    <s v="Food supply quantity (kg/capita/yr)"/>
    <s v="S2765"/>
    <x v="17"/>
    <n v="2020"/>
    <x v="3"/>
    <s v="kg"/>
    <n v="7.16"/>
    <s v="E"/>
    <s v="Estimated value"/>
  </r>
  <r>
    <s v="FBS"/>
    <s v="Food Balances (2010-)"/>
    <n v="752"/>
    <x v="8"/>
    <n v="645"/>
    <s v="Food supply quantity (kg/capita/yr)"/>
    <s v="S2765"/>
    <x v="17"/>
    <n v="2021"/>
    <x v="4"/>
    <s v="kg"/>
    <n v="7.09"/>
    <s v="E"/>
    <s v="Estimated value"/>
  </r>
  <r>
    <s v="FBS"/>
    <s v="Food Balances (2010-)"/>
    <n v="752"/>
    <x v="8"/>
    <n v="645"/>
    <s v="Food supply quantity (kg/capita/yr)"/>
    <s v="S2766"/>
    <x v="18"/>
    <n v="2017"/>
    <x v="0"/>
    <s v="kg"/>
    <n v="0.08"/>
    <s v="E"/>
    <s v="Estimated value"/>
  </r>
  <r>
    <s v="FBS"/>
    <s v="Food Balances (2010-)"/>
    <n v="752"/>
    <x v="8"/>
    <n v="645"/>
    <s v="Food supply quantity (kg/capita/yr)"/>
    <s v="S2766"/>
    <x v="18"/>
    <n v="2018"/>
    <x v="1"/>
    <s v="kg"/>
    <n v="7.0000000000000007E-2"/>
    <s v="E"/>
    <s v="Estimated value"/>
  </r>
  <r>
    <s v="FBS"/>
    <s v="Food Balances (2010-)"/>
    <n v="752"/>
    <x v="8"/>
    <n v="645"/>
    <s v="Food supply quantity (kg/capita/yr)"/>
    <s v="S2766"/>
    <x v="18"/>
    <n v="2019"/>
    <x v="2"/>
    <s v="kg"/>
    <n v="7.0000000000000007E-2"/>
    <s v="E"/>
    <s v="Estimated value"/>
  </r>
  <r>
    <s v="FBS"/>
    <s v="Food Balances (2010-)"/>
    <n v="752"/>
    <x v="8"/>
    <n v="645"/>
    <s v="Food supply quantity (kg/capita/yr)"/>
    <s v="S2766"/>
    <x v="18"/>
    <n v="2020"/>
    <x v="3"/>
    <s v="kg"/>
    <n v="7.0000000000000007E-2"/>
    <s v="E"/>
    <s v="Estimated value"/>
  </r>
  <r>
    <s v="FBS"/>
    <s v="Food Balances (2010-)"/>
    <n v="752"/>
    <x v="8"/>
    <n v="645"/>
    <s v="Food supply quantity (kg/capita/yr)"/>
    <s v="S2766"/>
    <x v="18"/>
    <n v="2021"/>
    <x v="4"/>
    <s v="kg"/>
    <n v="7.0000000000000007E-2"/>
    <s v="E"/>
    <s v="Estimated value"/>
  </r>
  <r>
    <s v="FBS"/>
    <s v="Food Balances (2010-)"/>
    <n v="752"/>
    <x v="8"/>
    <n v="645"/>
    <s v="Food supply quantity (kg/capita/yr)"/>
    <s v="S2767"/>
    <x v="19"/>
    <n v="2017"/>
    <x v="0"/>
    <s v="kg"/>
    <n v="0.85"/>
    <s v="E"/>
    <s v="Estimated value"/>
  </r>
  <r>
    <s v="FBS"/>
    <s v="Food Balances (2010-)"/>
    <n v="752"/>
    <x v="8"/>
    <n v="645"/>
    <s v="Food supply quantity (kg/capita/yr)"/>
    <s v="S2767"/>
    <x v="19"/>
    <n v="2018"/>
    <x v="1"/>
    <s v="kg"/>
    <n v="0.86"/>
    <s v="E"/>
    <s v="Estimated value"/>
  </r>
  <r>
    <s v="FBS"/>
    <s v="Food Balances (2010-)"/>
    <n v="752"/>
    <x v="8"/>
    <n v="645"/>
    <s v="Food supply quantity (kg/capita/yr)"/>
    <s v="S2767"/>
    <x v="19"/>
    <n v="2019"/>
    <x v="2"/>
    <s v="kg"/>
    <n v="0.78"/>
    <s v="E"/>
    <s v="Estimated value"/>
  </r>
  <r>
    <s v="FBS"/>
    <s v="Food Balances (2010-)"/>
    <n v="752"/>
    <x v="8"/>
    <n v="645"/>
    <s v="Food supply quantity (kg/capita/yr)"/>
    <s v="S2767"/>
    <x v="19"/>
    <n v="2020"/>
    <x v="3"/>
    <s v="kg"/>
    <n v="0.77"/>
    <s v="E"/>
    <s v="Estimated value"/>
  </r>
  <r>
    <s v="FBS"/>
    <s v="Food Balances (2010-)"/>
    <n v="752"/>
    <x v="8"/>
    <n v="645"/>
    <s v="Food supply quantity (kg/capita/yr)"/>
    <s v="S2767"/>
    <x v="19"/>
    <n v="2021"/>
    <x v="4"/>
    <s v="kg"/>
    <n v="0.76"/>
    <s v="E"/>
    <s v="Estimated value"/>
  </r>
  <r>
    <s v="FBS"/>
    <s v="Food Balances (2010-)"/>
    <n v="752"/>
    <x v="8"/>
    <n v="645"/>
    <s v="Food supply quantity (kg/capita/yr)"/>
    <s v="S2769"/>
    <x v="20"/>
    <n v="2017"/>
    <x v="0"/>
    <s v="kg"/>
    <n v="0"/>
    <s v="E"/>
    <s v="Estimated value"/>
  </r>
  <r>
    <s v="FBS"/>
    <s v="Food Balances (2010-)"/>
    <n v="752"/>
    <x v="8"/>
    <n v="645"/>
    <s v="Food supply quantity (kg/capita/yr)"/>
    <s v="S2769"/>
    <x v="20"/>
    <n v="2018"/>
    <x v="1"/>
    <s v="kg"/>
    <n v="0.01"/>
    <s v="E"/>
    <s v="Estimated value"/>
  </r>
  <r>
    <s v="FBS"/>
    <s v="Food Balances (2010-)"/>
    <n v="752"/>
    <x v="8"/>
    <n v="645"/>
    <s v="Food supply quantity (kg/capita/yr)"/>
    <s v="S2769"/>
    <x v="20"/>
    <n v="2019"/>
    <x v="2"/>
    <s v="kg"/>
    <n v="0"/>
    <s v="E"/>
    <s v="Estimated value"/>
  </r>
  <r>
    <s v="FBS"/>
    <s v="Food Balances (2010-)"/>
    <n v="752"/>
    <x v="8"/>
    <n v="645"/>
    <s v="Food supply quantity (kg/capita/yr)"/>
    <s v="S2769"/>
    <x v="20"/>
    <n v="2020"/>
    <x v="3"/>
    <s v="kg"/>
    <n v="0"/>
    <s v="E"/>
    <s v="Estimated value"/>
  </r>
  <r>
    <s v="FBS"/>
    <s v="Food Balances (2010-)"/>
    <n v="752"/>
    <x v="8"/>
    <n v="645"/>
    <s v="Food supply quantity (kg/capita/yr)"/>
    <s v="S2769"/>
    <x v="20"/>
    <n v="2021"/>
    <x v="4"/>
    <s v="kg"/>
    <n v="0"/>
    <s v="E"/>
    <s v="Estimated value"/>
  </r>
  <r>
    <s v="FBS"/>
    <s v="Food Balances (2010-)"/>
    <n v="150"/>
    <x v="9"/>
    <n v="645"/>
    <s v="Food supply quantity (kg/capita/yr)"/>
    <s v="S2731"/>
    <x v="0"/>
    <n v="2017"/>
    <x v="0"/>
    <s v="kg"/>
    <n v="14.01"/>
    <s v="E"/>
    <s v="Estimated value"/>
  </r>
  <r>
    <s v="FBS"/>
    <s v="Food Balances (2010-)"/>
    <n v="150"/>
    <x v="9"/>
    <n v="645"/>
    <s v="Food supply quantity (kg/capita/yr)"/>
    <s v="S2731"/>
    <x v="0"/>
    <n v="2018"/>
    <x v="1"/>
    <s v="kg"/>
    <n v="14.35"/>
    <s v="E"/>
    <s v="Estimated value"/>
  </r>
  <r>
    <s v="FBS"/>
    <s v="Food Balances (2010-)"/>
    <n v="150"/>
    <x v="9"/>
    <n v="645"/>
    <s v="Food supply quantity (kg/capita/yr)"/>
    <s v="S2731"/>
    <x v="0"/>
    <n v="2019"/>
    <x v="2"/>
    <s v="kg"/>
    <n v="14.23"/>
    <s v="E"/>
    <s v="Estimated value"/>
  </r>
  <r>
    <s v="FBS"/>
    <s v="Food Balances (2010-)"/>
    <n v="150"/>
    <x v="9"/>
    <n v="645"/>
    <s v="Food supply quantity (kg/capita/yr)"/>
    <s v="S2731"/>
    <x v="0"/>
    <n v="2020"/>
    <x v="3"/>
    <s v="kg"/>
    <n v="14.21"/>
    <s v="E"/>
    <s v="Estimated value"/>
  </r>
  <r>
    <s v="FBS"/>
    <s v="Food Balances (2010-)"/>
    <n v="150"/>
    <x v="9"/>
    <n v="645"/>
    <s v="Food supply quantity (kg/capita/yr)"/>
    <s v="S2731"/>
    <x v="0"/>
    <n v="2021"/>
    <x v="4"/>
    <s v="kg"/>
    <n v="13.9"/>
    <s v="E"/>
    <s v="Estimated value"/>
  </r>
  <r>
    <s v="FBS"/>
    <s v="Food Balances (2010-)"/>
    <n v="150"/>
    <x v="9"/>
    <n v="645"/>
    <s v="Food supply quantity (kg/capita/yr)"/>
    <s v="S2732"/>
    <x v="1"/>
    <n v="2017"/>
    <x v="0"/>
    <s v="kg"/>
    <n v="1.75"/>
    <s v="E"/>
    <s v="Estimated value"/>
  </r>
  <r>
    <s v="FBS"/>
    <s v="Food Balances (2010-)"/>
    <n v="150"/>
    <x v="9"/>
    <n v="645"/>
    <s v="Food supply quantity (kg/capita/yr)"/>
    <s v="S2732"/>
    <x v="1"/>
    <n v="2018"/>
    <x v="1"/>
    <s v="kg"/>
    <n v="1.76"/>
    <s v="E"/>
    <s v="Estimated value"/>
  </r>
  <r>
    <s v="FBS"/>
    <s v="Food Balances (2010-)"/>
    <n v="150"/>
    <x v="9"/>
    <n v="645"/>
    <s v="Food supply quantity (kg/capita/yr)"/>
    <s v="S2732"/>
    <x v="1"/>
    <n v="2019"/>
    <x v="2"/>
    <s v="kg"/>
    <n v="1.68"/>
    <s v="E"/>
    <s v="Estimated value"/>
  </r>
  <r>
    <s v="FBS"/>
    <s v="Food Balances (2010-)"/>
    <n v="150"/>
    <x v="9"/>
    <n v="645"/>
    <s v="Food supply quantity (kg/capita/yr)"/>
    <s v="S2732"/>
    <x v="1"/>
    <n v="2020"/>
    <x v="3"/>
    <s v="kg"/>
    <n v="1.65"/>
    <s v="E"/>
    <s v="Estimated value"/>
  </r>
  <r>
    <s v="FBS"/>
    <s v="Food Balances (2010-)"/>
    <n v="150"/>
    <x v="9"/>
    <n v="645"/>
    <s v="Food supply quantity (kg/capita/yr)"/>
    <s v="S2732"/>
    <x v="1"/>
    <n v="2021"/>
    <x v="4"/>
    <s v="kg"/>
    <n v="1.58"/>
    <s v="E"/>
    <s v="Estimated value"/>
  </r>
  <r>
    <s v="FBS"/>
    <s v="Food Balances (2010-)"/>
    <n v="150"/>
    <x v="9"/>
    <n v="645"/>
    <s v="Food supply quantity (kg/capita/yr)"/>
    <s v="S2733"/>
    <x v="2"/>
    <n v="2017"/>
    <x v="0"/>
    <s v="kg"/>
    <n v="34.72"/>
    <s v="E"/>
    <s v="Estimated value"/>
  </r>
  <r>
    <s v="FBS"/>
    <s v="Food Balances (2010-)"/>
    <n v="150"/>
    <x v="9"/>
    <n v="645"/>
    <s v="Food supply quantity (kg/capita/yr)"/>
    <s v="S2733"/>
    <x v="2"/>
    <n v="2018"/>
    <x v="1"/>
    <s v="kg"/>
    <n v="35.299999999999997"/>
    <s v="E"/>
    <s v="Estimated value"/>
  </r>
  <r>
    <s v="FBS"/>
    <s v="Food Balances (2010-)"/>
    <n v="150"/>
    <x v="9"/>
    <n v="645"/>
    <s v="Food supply quantity (kg/capita/yr)"/>
    <s v="S2733"/>
    <x v="2"/>
    <n v="2019"/>
    <x v="2"/>
    <s v="kg"/>
    <n v="34.869999999999997"/>
    <s v="E"/>
    <s v="Estimated value"/>
  </r>
  <r>
    <s v="FBS"/>
    <s v="Food Balances (2010-)"/>
    <n v="150"/>
    <x v="9"/>
    <n v="645"/>
    <s v="Food supply quantity (kg/capita/yr)"/>
    <s v="S2733"/>
    <x v="2"/>
    <n v="2020"/>
    <x v="3"/>
    <s v="kg"/>
    <n v="34.18"/>
    <s v="E"/>
    <s v="Estimated value"/>
  </r>
  <r>
    <s v="FBS"/>
    <s v="Food Balances (2010-)"/>
    <n v="150"/>
    <x v="9"/>
    <n v="645"/>
    <s v="Food supply quantity (kg/capita/yr)"/>
    <s v="S2733"/>
    <x v="2"/>
    <n v="2021"/>
    <x v="4"/>
    <s v="kg"/>
    <n v="35.1"/>
    <s v="E"/>
    <s v="Estimated value"/>
  </r>
  <r>
    <s v="FBS"/>
    <s v="Food Balances (2010-)"/>
    <n v="150"/>
    <x v="9"/>
    <n v="645"/>
    <s v="Food supply quantity (kg/capita/yr)"/>
    <s v="S2734"/>
    <x v="3"/>
    <n v="2017"/>
    <x v="0"/>
    <s v="kg"/>
    <n v="25.23"/>
    <s v="E"/>
    <s v="Estimated value"/>
  </r>
  <r>
    <s v="FBS"/>
    <s v="Food Balances (2010-)"/>
    <n v="150"/>
    <x v="9"/>
    <n v="645"/>
    <s v="Food supply quantity (kg/capita/yr)"/>
    <s v="S2734"/>
    <x v="3"/>
    <n v="2018"/>
    <x v="1"/>
    <s v="kg"/>
    <n v="25.54"/>
    <s v="E"/>
    <s v="Estimated value"/>
  </r>
  <r>
    <s v="FBS"/>
    <s v="Food Balances (2010-)"/>
    <n v="150"/>
    <x v="9"/>
    <n v="645"/>
    <s v="Food supply quantity (kg/capita/yr)"/>
    <s v="S2734"/>
    <x v="3"/>
    <n v="2019"/>
    <x v="2"/>
    <s v="kg"/>
    <n v="25.53"/>
    <s v="E"/>
    <s v="Estimated value"/>
  </r>
  <r>
    <s v="FBS"/>
    <s v="Food Balances (2010-)"/>
    <n v="150"/>
    <x v="9"/>
    <n v="645"/>
    <s v="Food supply quantity (kg/capita/yr)"/>
    <s v="S2734"/>
    <x v="3"/>
    <n v="2020"/>
    <x v="3"/>
    <s v="kg"/>
    <n v="25.74"/>
    <s v="E"/>
    <s v="Estimated value"/>
  </r>
  <r>
    <s v="FBS"/>
    <s v="Food Balances (2010-)"/>
    <n v="150"/>
    <x v="9"/>
    <n v="645"/>
    <s v="Food supply quantity (kg/capita/yr)"/>
    <s v="S2734"/>
    <x v="3"/>
    <n v="2021"/>
    <x v="4"/>
    <s v="kg"/>
    <n v="25.61"/>
    <s v="E"/>
    <s v="Estimated value"/>
  </r>
  <r>
    <s v="FBS"/>
    <s v="Food Balances (2010-)"/>
    <n v="150"/>
    <x v="9"/>
    <n v="645"/>
    <s v="Food supply quantity (kg/capita/yr)"/>
    <s v="S2735"/>
    <x v="4"/>
    <n v="2017"/>
    <x v="0"/>
    <s v="kg"/>
    <n v="1.69"/>
    <s v="E"/>
    <s v="Estimated value"/>
  </r>
  <r>
    <s v="FBS"/>
    <s v="Food Balances (2010-)"/>
    <n v="150"/>
    <x v="9"/>
    <n v="645"/>
    <s v="Food supply quantity (kg/capita/yr)"/>
    <s v="S2735"/>
    <x v="4"/>
    <n v="2018"/>
    <x v="1"/>
    <s v="kg"/>
    <n v="1.67"/>
    <s v="E"/>
    <s v="Estimated value"/>
  </r>
  <r>
    <s v="FBS"/>
    <s v="Food Balances (2010-)"/>
    <n v="150"/>
    <x v="9"/>
    <n v="645"/>
    <s v="Food supply quantity (kg/capita/yr)"/>
    <s v="S2735"/>
    <x v="4"/>
    <n v="2019"/>
    <x v="2"/>
    <s v="kg"/>
    <n v="1.43"/>
    <s v="E"/>
    <s v="Estimated value"/>
  </r>
  <r>
    <s v="FBS"/>
    <s v="Food Balances (2010-)"/>
    <n v="150"/>
    <x v="9"/>
    <n v="645"/>
    <s v="Food supply quantity (kg/capita/yr)"/>
    <s v="S2735"/>
    <x v="4"/>
    <n v="2020"/>
    <x v="3"/>
    <s v="kg"/>
    <n v="1.42"/>
    <s v="E"/>
    <s v="Estimated value"/>
  </r>
  <r>
    <s v="FBS"/>
    <s v="Food Balances (2010-)"/>
    <n v="150"/>
    <x v="9"/>
    <n v="645"/>
    <s v="Food supply quantity (kg/capita/yr)"/>
    <s v="S2735"/>
    <x v="4"/>
    <n v="2021"/>
    <x v="4"/>
    <s v="kg"/>
    <n v="1.46"/>
    <s v="E"/>
    <s v="Estimated value"/>
  </r>
  <r>
    <s v="FBS"/>
    <s v="Food Balances (2010-)"/>
    <n v="150"/>
    <x v="9"/>
    <n v="645"/>
    <s v="Food supply quantity (kg/capita/yr)"/>
    <s v="S2736"/>
    <x v="5"/>
    <n v="2017"/>
    <x v="0"/>
    <s v="kg"/>
    <n v="2.85"/>
    <s v="E"/>
    <s v="Estimated value"/>
  </r>
  <r>
    <s v="FBS"/>
    <s v="Food Balances (2010-)"/>
    <n v="150"/>
    <x v="9"/>
    <n v="645"/>
    <s v="Food supply quantity (kg/capita/yr)"/>
    <s v="S2736"/>
    <x v="5"/>
    <n v="2018"/>
    <x v="1"/>
    <s v="kg"/>
    <n v="3.27"/>
    <s v="E"/>
    <s v="Estimated value"/>
  </r>
  <r>
    <s v="FBS"/>
    <s v="Food Balances (2010-)"/>
    <n v="150"/>
    <x v="9"/>
    <n v="645"/>
    <s v="Food supply quantity (kg/capita/yr)"/>
    <s v="S2736"/>
    <x v="5"/>
    <n v="2019"/>
    <x v="2"/>
    <s v="kg"/>
    <n v="3.38"/>
    <s v="E"/>
    <s v="Estimated value"/>
  </r>
  <r>
    <s v="FBS"/>
    <s v="Food Balances (2010-)"/>
    <n v="150"/>
    <x v="9"/>
    <n v="645"/>
    <s v="Food supply quantity (kg/capita/yr)"/>
    <s v="S2736"/>
    <x v="5"/>
    <n v="2020"/>
    <x v="3"/>
    <s v="kg"/>
    <n v="3.34"/>
    <s v="E"/>
    <s v="Estimated value"/>
  </r>
  <r>
    <s v="FBS"/>
    <s v="Food Balances (2010-)"/>
    <n v="150"/>
    <x v="9"/>
    <n v="645"/>
    <s v="Food supply quantity (kg/capita/yr)"/>
    <s v="S2736"/>
    <x v="5"/>
    <n v="2021"/>
    <x v="4"/>
    <s v="kg"/>
    <n v="3.59"/>
    <s v="E"/>
    <s v="Estimated value"/>
  </r>
  <r>
    <s v="FBS"/>
    <s v="Food Balances (2010-)"/>
    <n v="150"/>
    <x v="9"/>
    <n v="645"/>
    <s v="Food supply quantity (kg/capita/yr)"/>
    <s v="S2740"/>
    <x v="6"/>
    <n v="2017"/>
    <x v="0"/>
    <s v="kg"/>
    <n v="3.4"/>
    <s v="E"/>
    <s v="Estimated value"/>
  </r>
  <r>
    <s v="FBS"/>
    <s v="Food Balances (2010-)"/>
    <n v="150"/>
    <x v="9"/>
    <n v="645"/>
    <s v="Food supply quantity (kg/capita/yr)"/>
    <s v="S2740"/>
    <x v="6"/>
    <n v="2018"/>
    <x v="1"/>
    <s v="kg"/>
    <n v="3.39"/>
    <s v="E"/>
    <s v="Estimated value"/>
  </r>
  <r>
    <s v="FBS"/>
    <s v="Food Balances (2010-)"/>
    <n v="150"/>
    <x v="9"/>
    <n v="645"/>
    <s v="Food supply quantity (kg/capita/yr)"/>
    <s v="S2740"/>
    <x v="6"/>
    <n v="2019"/>
    <x v="2"/>
    <s v="kg"/>
    <n v="3.74"/>
    <s v="E"/>
    <s v="Estimated value"/>
  </r>
  <r>
    <s v="FBS"/>
    <s v="Food Balances (2010-)"/>
    <n v="150"/>
    <x v="9"/>
    <n v="645"/>
    <s v="Food supply quantity (kg/capita/yr)"/>
    <s v="S2740"/>
    <x v="6"/>
    <n v="2020"/>
    <x v="3"/>
    <s v="kg"/>
    <n v="3.85"/>
    <s v="E"/>
    <s v="Estimated value"/>
  </r>
  <r>
    <s v="FBS"/>
    <s v="Food Balances (2010-)"/>
    <n v="150"/>
    <x v="9"/>
    <n v="645"/>
    <s v="Food supply quantity (kg/capita/yr)"/>
    <s v="S2740"/>
    <x v="6"/>
    <n v="2021"/>
    <x v="4"/>
    <s v="kg"/>
    <n v="3.86"/>
    <s v="E"/>
    <s v="Estimated value"/>
  </r>
  <r>
    <s v="FBS"/>
    <s v="Food Balances (2010-)"/>
    <n v="150"/>
    <x v="9"/>
    <n v="645"/>
    <s v="Food supply quantity (kg/capita/yr)"/>
    <s v="S2743"/>
    <x v="7"/>
    <n v="2017"/>
    <x v="0"/>
    <s v="kg"/>
    <n v="3.6"/>
    <s v="E"/>
    <s v="Estimated value"/>
  </r>
  <r>
    <s v="FBS"/>
    <s v="Food Balances (2010-)"/>
    <n v="150"/>
    <x v="9"/>
    <n v="645"/>
    <s v="Food supply quantity (kg/capita/yr)"/>
    <s v="S2743"/>
    <x v="7"/>
    <n v="2018"/>
    <x v="1"/>
    <s v="kg"/>
    <n v="3.68"/>
    <s v="E"/>
    <s v="Estimated value"/>
  </r>
  <r>
    <s v="FBS"/>
    <s v="Food Balances (2010-)"/>
    <n v="150"/>
    <x v="9"/>
    <n v="645"/>
    <s v="Food supply quantity (kg/capita/yr)"/>
    <s v="S2743"/>
    <x v="7"/>
    <n v="2019"/>
    <x v="2"/>
    <s v="kg"/>
    <n v="3.84"/>
    <s v="E"/>
    <s v="Estimated value"/>
  </r>
  <r>
    <s v="FBS"/>
    <s v="Food Balances (2010-)"/>
    <n v="150"/>
    <x v="9"/>
    <n v="645"/>
    <s v="Food supply quantity (kg/capita/yr)"/>
    <s v="S2743"/>
    <x v="7"/>
    <n v="2020"/>
    <x v="3"/>
    <s v="kg"/>
    <n v="3.68"/>
    <s v="E"/>
    <s v="Estimated value"/>
  </r>
  <r>
    <s v="FBS"/>
    <s v="Food Balances (2010-)"/>
    <n v="150"/>
    <x v="9"/>
    <n v="645"/>
    <s v="Food supply quantity (kg/capita/yr)"/>
    <s v="S2743"/>
    <x v="7"/>
    <n v="2021"/>
    <x v="4"/>
    <s v="kg"/>
    <n v="3.46"/>
    <s v="E"/>
    <s v="Estimated value"/>
  </r>
  <r>
    <s v="FBS"/>
    <s v="Food Balances (2010-)"/>
    <n v="150"/>
    <x v="9"/>
    <n v="645"/>
    <s v="Food supply quantity (kg/capita/yr)"/>
    <s v="S2737"/>
    <x v="8"/>
    <n v="2017"/>
    <x v="0"/>
    <s v="kg"/>
    <n v="2.06"/>
    <s v="E"/>
    <s v="Estimated value"/>
  </r>
  <r>
    <s v="FBS"/>
    <s v="Food Balances (2010-)"/>
    <n v="150"/>
    <x v="9"/>
    <n v="645"/>
    <s v="Food supply quantity (kg/capita/yr)"/>
    <s v="S2737"/>
    <x v="8"/>
    <n v="2018"/>
    <x v="1"/>
    <s v="kg"/>
    <n v="2.14"/>
    <s v="E"/>
    <s v="Estimated value"/>
  </r>
  <r>
    <s v="FBS"/>
    <s v="Food Balances (2010-)"/>
    <n v="150"/>
    <x v="9"/>
    <n v="645"/>
    <s v="Food supply quantity (kg/capita/yr)"/>
    <s v="S2737"/>
    <x v="8"/>
    <n v="2019"/>
    <x v="2"/>
    <s v="kg"/>
    <n v="2.09"/>
    <s v="E"/>
    <s v="Estimated value"/>
  </r>
  <r>
    <s v="FBS"/>
    <s v="Food Balances (2010-)"/>
    <n v="150"/>
    <x v="9"/>
    <n v="645"/>
    <s v="Food supply quantity (kg/capita/yr)"/>
    <s v="S2737"/>
    <x v="8"/>
    <n v="2020"/>
    <x v="3"/>
    <s v="kg"/>
    <n v="2.2200000000000002"/>
    <s v="E"/>
    <s v="Estimated value"/>
  </r>
  <r>
    <s v="FBS"/>
    <s v="Food Balances (2010-)"/>
    <n v="150"/>
    <x v="9"/>
    <n v="645"/>
    <s v="Food supply quantity (kg/capita/yr)"/>
    <s v="S2737"/>
    <x v="8"/>
    <n v="2021"/>
    <x v="4"/>
    <s v="kg"/>
    <n v="2.4300000000000002"/>
    <s v="E"/>
    <s v="Estimated value"/>
  </r>
  <r>
    <s v="FBS"/>
    <s v="Food Balances (2010-)"/>
    <n v="150"/>
    <x v="9"/>
    <n v="645"/>
    <s v="Food supply quantity (kg/capita/yr)"/>
    <s v="S2781"/>
    <x v="9"/>
    <n v="2017"/>
    <x v="0"/>
    <s v="kg"/>
    <n v="0.05"/>
    <s v="E"/>
    <s v="Estimated value"/>
  </r>
  <r>
    <s v="FBS"/>
    <s v="Food Balances (2010-)"/>
    <n v="150"/>
    <x v="9"/>
    <n v="645"/>
    <s v="Food supply quantity (kg/capita/yr)"/>
    <s v="S2781"/>
    <x v="9"/>
    <n v="2018"/>
    <x v="1"/>
    <s v="kg"/>
    <n v="0.08"/>
    <s v="E"/>
    <s v="Estimated value"/>
  </r>
  <r>
    <s v="FBS"/>
    <s v="Food Balances (2010-)"/>
    <n v="150"/>
    <x v="9"/>
    <n v="645"/>
    <s v="Food supply quantity (kg/capita/yr)"/>
    <s v="S2781"/>
    <x v="9"/>
    <n v="2019"/>
    <x v="2"/>
    <s v="kg"/>
    <n v="7.0000000000000007E-2"/>
    <s v="E"/>
    <s v="Estimated value"/>
  </r>
  <r>
    <s v="FBS"/>
    <s v="Food Balances (2010-)"/>
    <n v="150"/>
    <x v="9"/>
    <n v="645"/>
    <s v="Food supply quantity (kg/capita/yr)"/>
    <s v="S2781"/>
    <x v="9"/>
    <n v="2020"/>
    <x v="3"/>
    <s v="kg"/>
    <n v="7.0000000000000007E-2"/>
    <s v="E"/>
    <s v="Estimated value"/>
  </r>
  <r>
    <s v="FBS"/>
    <s v="Food Balances (2010-)"/>
    <n v="150"/>
    <x v="9"/>
    <n v="645"/>
    <s v="Food supply quantity (kg/capita/yr)"/>
    <s v="S2781"/>
    <x v="9"/>
    <n v="2021"/>
    <x v="4"/>
    <s v="kg"/>
    <n v="7.0000000000000007E-2"/>
    <s v="E"/>
    <s v="Estimated value"/>
  </r>
  <r>
    <s v="FBS"/>
    <s v="Food Balances (2010-)"/>
    <n v="150"/>
    <x v="9"/>
    <n v="645"/>
    <s v="Food supply quantity (kg/capita/yr)"/>
    <s v="S2782"/>
    <x v="10"/>
    <n v="2017"/>
    <x v="0"/>
    <s v="kg"/>
    <n v="0"/>
    <s v="E"/>
    <s v="Estimated value"/>
  </r>
  <r>
    <s v="FBS"/>
    <s v="Food Balances (2010-)"/>
    <n v="150"/>
    <x v="9"/>
    <n v="645"/>
    <s v="Food supply quantity (kg/capita/yr)"/>
    <s v="S2782"/>
    <x v="10"/>
    <n v="2018"/>
    <x v="1"/>
    <s v="kg"/>
    <n v="0.01"/>
    <s v="E"/>
    <s v="Estimated value"/>
  </r>
  <r>
    <s v="FBS"/>
    <s v="Food Balances (2010-)"/>
    <n v="150"/>
    <x v="9"/>
    <n v="645"/>
    <s v="Food supply quantity (kg/capita/yr)"/>
    <s v="S2782"/>
    <x v="10"/>
    <n v="2019"/>
    <x v="2"/>
    <s v="kg"/>
    <n v="0.01"/>
    <s v="E"/>
    <s v="Estimated value"/>
  </r>
  <r>
    <s v="FBS"/>
    <s v="Food Balances (2010-)"/>
    <n v="150"/>
    <x v="9"/>
    <n v="645"/>
    <s v="Food supply quantity (kg/capita/yr)"/>
    <s v="S2782"/>
    <x v="10"/>
    <n v="2020"/>
    <x v="3"/>
    <s v="kg"/>
    <n v="0.01"/>
    <s v="E"/>
    <s v="Estimated value"/>
  </r>
  <r>
    <s v="FBS"/>
    <s v="Food Balances (2010-)"/>
    <n v="150"/>
    <x v="9"/>
    <n v="645"/>
    <s v="Food supply quantity (kg/capita/yr)"/>
    <s v="S2782"/>
    <x v="10"/>
    <n v="2021"/>
    <x v="4"/>
    <s v="kg"/>
    <n v="0.01"/>
    <s v="E"/>
    <s v="Estimated value"/>
  </r>
  <r>
    <s v="FBS"/>
    <s v="Food Balances (2010-)"/>
    <n v="150"/>
    <x v="9"/>
    <n v="645"/>
    <s v="Food supply quantity (kg/capita/yr)"/>
    <s v="S2744"/>
    <x v="11"/>
    <n v="2017"/>
    <x v="0"/>
    <s v="kg"/>
    <n v="13.2"/>
    <s v="E"/>
    <s v="Estimated value"/>
  </r>
  <r>
    <s v="FBS"/>
    <s v="Food Balances (2010-)"/>
    <n v="150"/>
    <x v="9"/>
    <n v="645"/>
    <s v="Food supply quantity (kg/capita/yr)"/>
    <s v="S2744"/>
    <x v="11"/>
    <n v="2018"/>
    <x v="1"/>
    <s v="kg"/>
    <n v="13.59"/>
    <s v="E"/>
    <s v="Estimated value"/>
  </r>
  <r>
    <s v="FBS"/>
    <s v="Food Balances (2010-)"/>
    <n v="150"/>
    <x v="9"/>
    <n v="645"/>
    <s v="Food supply quantity (kg/capita/yr)"/>
    <s v="S2744"/>
    <x v="11"/>
    <n v="2019"/>
    <x v="2"/>
    <s v="kg"/>
    <n v="14.19"/>
    <s v="E"/>
    <s v="Estimated value"/>
  </r>
  <r>
    <s v="FBS"/>
    <s v="Food Balances (2010-)"/>
    <n v="150"/>
    <x v="9"/>
    <n v="645"/>
    <s v="Food supply quantity (kg/capita/yr)"/>
    <s v="S2744"/>
    <x v="11"/>
    <n v="2020"/>
    <x v="3"/>
    <s v="kg"/>
    <n v="14.18"/>
    <s v="E"/>
    <s v="Estimated value"/>
  </r>
  <r>
    <s v="FBS"/>
    <s v="Food Balances (2010-)"/>
    <n v="150"/>
    <x v="9"/>
    <n v="645"/>
    <s v="Food supply quantity (kg/capita/yr)"/>
    <s v="S2744"/>
    <x v="11"/>
    <n v="2021"/>
    <x v="4"/>
    <s v="kg"/>
    <n v="13.91"/>
    <s v="E"/>
    <s v="Estimated value"/>
  </r>
  <r>
    <s v="FBS"/>
    <s v="Food Balances (2010-)"/>
    <n v="150"/>
    <x v="9"/>
    <n v="645"/>
    <s v="Food supply quantity (kg/capita/yr)"/>
    <s v="S2848"/>
    <x v="12"/>
    <n v="2017"/>
    <x v="0"/>
    <s v="kg"/>
    <n v="181.28"/>
    <s v="E"/>
    <s v="Estimated value"/>
  </r>
  <r>
    <s v="FBS"/>
    <s v="Food Balances (2010-)"/>
    <n v="150"/>
    <x v="9"/>
    <n v="645"/>
    <s v="Food supply quantity (kg/capita/yr)"/>
    <s v="S2848"/>
    <x v="12"/>
    <n v="2018"/>
    <x v="1"/>
    <s v="kg"/>
    <n v="184.34"/>
    <s v="E"/>
    <s v="Estimated value"/>
  </r>
  <r>
    <s v="FBS"/>
    <s v="Food Balances (2010-)"/>
    <n v="150"/>
    <x v="9"/>
    <n v="645"/>
    <s v="Food supply quantity (kg/capita/yr)"/>
    <s v="S2848"/>
    <x v="12"/>
    <n v="2019"/>
    <x v="2"/>
    <s v="kg"/>
    <n v="195.82"/>
    <s v="E"/>
    <s v="Estimated value"/>
  </r>
  <r>
    <s v="FBS"/>
    <s v="Food Balances (2010-)"/>
    <n v="150"/>
    <x v="9"/>
    <n v="645"/>
    <s v="Food supply quantity (kg/capita/yr)"/>
    <s v="S2848"/>
    <x v="12"/>
    <n v="2020"/>
    <x v="3"/>
    <s v="kg"/>
    <n v="197.63"/>
    <s v="E"/>
    <s v="Estimated value"/>
  </r>
  <r>
    <s v="FBS"/>
    <s v="Food Balances (2010-)"/>
    <n v="150"/>
    <x v="9"/>
    <n v="645"/>
    <s v="Food supply quantity (kg/capita/yr)"/>
    <s v="S2848"/>
    <x v="12"/>
    <n v="2021"/>
    <x v="4"/>
    <s v="kg"/>
    <n v="200.92"/>
    <s v="E"/>
    <s v="Estimated value"/>
  </r>
  <r>
    <s v="FBS"/>
    <s v="Food Balances (2010-)"/>
    <n v="150"/>
    <x v="9"/>
    <n v="645"/>
    <s v="Food supply quantity (kg/capita/yr)"/>
    <s v="S2761"/>
    <x v="13"/>
    <n v="2017"/>
    <x v="0"/>
    <s v="kg"/>
    <n v="3.93"/>
    <s v="E"/>
    <s v="Estimated value"/>
  </r>
  <r>
    <s v="FBS"/>
    <s v="Food Balances (2010-)"/>
    <n v="150"/>
    <x v="9"/>
    <n v="645"/>
    <s v="Food supply quantity (kg/capita/yr)"/>
    <s v="S2761"/>
    <x v="13"/>
    <n v="2018"/>
    <x v="1"/>
    <s v="kg"/>
    <n v="4.17"/>
    <s v="E"/>
    <s v="Estimated value"/>
  </r>
  <r>
    <s v="FBS"/>
    <s v="Food Balances (2010-)"/>
    <n v="150"/>
    <x v="9"/>
    <n v="645"/>
    <s v="Food supply quantity (kg/capita/yr)"/>
    <s v="S2761"/>
    <x v="13"/>
    <n v="2019"/>
    <x v="2"/>
    <s v="kg"/>
    <n v="4.18"/>
    <s v="E"/>
    <s v="Estimated value"/>
  </r>
  <r>
    <s v="FBS"/>
    <s v="Food Balances (2010-)"/>
    <n v="150"/>
    <x v="9"/>
    <n v="645"/>
    <s v="Food supply quantity (kg/capita/yr)"/>
    <s v="S2761"/>
    <x v="13"/>
    <n v="2020"/>
    <x v="3"/>
    <s v="kg"/>
    <n v="4.18"/>
    <s v="E"/>
    <s v="Estimated value"/>
  </r>
  <r>
    <s v="FBS"/>
    <s v="Food Balances (2010-)"/>
    <n v="150"/>
    <x v="9"/>
    <n v="645"/>
    <s v="Food supply quantity (kg/capita/yr)"/>
    <s v="S2761"/>
    <x v="13"/>
    <n v="2021"/>
    <x v="4"/>
    <s v="kg"/>
    <n v="4.1900000000000004"/>
    <s v="E"/>
    <s v="Estimated value"/>
  </r>
  <r>
    <s v="FBS"/>
    <s v="Food Balances (2010-)"/>
    <n v="150"/>
    <x v="9"/>
    <n v="645"/>
    <s v="Food supply quantity (kg/capita/yr)"/>
    <s v="S2762"/>
    <x v="14"/>
    <n v="2017"/>
    <x v="0"/>
    <s v="kg"/>
    <n v="7.22"/>
    <s v="E"/>
    <s v="Estimated value"/>
  </r>
  <r>
    <s v="FBS"/>
    <s v="Food Balances (2010-)"/>
    <n v="150"/>
    <x v="9"/>
    <n v="645"/>
    <s v="Food supply quantity (kg/capita/yr)"/>
    <s v="S2762"/>
    <x v="14"/>
    <n v="2018"/>
    <x v="1"/>
    <s v="kg"/>
    <n v="7.21"/>
    <s v="E"/>
    <s v="Estimated value"/>
  </r>
  <r>
    <s v="FBS"/>
    <s v="Food Balances (2010-)"/>
    <n v="150"/>
    <x v="9"/>
    <n v="645"/>
    <s v="Food supply quantity (kg/capita/yr)"/>
    <s v="S2762"/>
    <x v="14"/>
    <n v="2019"/>
    <x v="2"/>
    <s v="kg"/>
    <n v="7.2"/>
    <s v="E"/>
    <s v="Estimated value"/>
  </r>
  <r>
    <s v="FBS"/>
    <s v="Food Balances (2010-)"/>
    <n v="150"/>
    <x v="9"/>
    <n v="645"/>
    <s v="Food supply quantity (kg/capita/yr)"/>
    <s v="S2762"/>
    <x v="14"/>
    <n v="2020"/>
    <x v="3"/>
    <s v="kg"/>
    <n v="7.2"/>
    <s v="E"/>
    <s v="Estimated value"/>
  </r>
  <r>
    <s v="FBS"/>
    <s v="Food Balances (2010-)"/>
    <n v="150"/>
    <x v="9"/>
    <n v="645"/>
    <s v="Food supply quantity (kg/capita/yr)"/>
    <s v="S2762"/>
    <x v="14"/>
    <n v="2021"/>
    <x v="4"/>
    <s v="kg"/>
    <n v="7.21"/>
    <s v="E"/>
    <s v="Estimated value"/>
  </r>
  <r>
    <s v="FBS"/>
    <s v="Food Balances (2010-)"/>
    <n v="150"/>
    <x v="9"/>
    <n v="645"/>
    <s v="Food supply quantity (kg/capita/yr)"/>
    <s v="S2763"/>
    <x v="15"/>
    <n v="2017"/>
    <x v="0"/>
    <s v="kg"/>
    <n v="5.4"/>
    <s v="E"/>
    <s v="Estimated value"/>
  </r>
  <r>
    <s v="FBS"/>
    <s v="Food Balances (2010-)"/>
    <n v="150"/>
    <x v="9"/>
    <n v="645"/>
    <s v="Food supply quantity (kg/capita/yr)"/>
    <s v="S2763"/>
    <x v="15"/>
    <n v="2018"/>
    <x v="1"/>
    <s v="kg"/>
    <n v="5.23"/>
    <s v="E"/>
    <s v="Estimated value"/>
  </r>
  <r>
    <s v="FBS"/>
    <s v="Food Balances (2010-)"/>
    <n v="150"/>
    <x v="9"/>
    <n v="645"/>
    <s v="Food supply quantity (kg/capita/yr)"/>
    <s v="S2763"/>
    <x v="15"/>
    <n v="2019"/>
    <x v="2"/>
    <s v="kg"/>
    <n v="5.34"/>
    <s v="E"/>
    <s v="Estimated value"/>
  </r>
  <r>
    <s v="FBS"/>
    <s v="Food Balances (2010-)"/>
    <n v="150"/>
    <x v="9"/>
    <n v="645"/>
    <s v="Food supply quantity (kg/capita/yr)"/>
    <s v="S2763"/>
    <x v="15"/>
    <n v="2020"/>
    <x v="3"/>
    <s v="kg"/>
    <n v="5.34"/>
    <s v="E"/>
    <s v="Estimated value"/>
  </r>
  <r>
    <s v="FBS"/>
    <s v="Food Balances (2010-)"/>
    <n v="150"/>
    <x v="9"/>
    <n v="645"/>
    <s v="Food supply quantity (kg/capita/yr)"/>
    <s v="S2763"/>
    <x v="15"/>
    <n v="2021"/>
    <x v="4"/>
    <s v="kg"/>
    <n v="5.35"/>
    <s v="E"/>
    <s v="Estimated value"/>
  </r>
  <r>
    <s v="FBS"/>
    <s v="Food Balances (2010-)"/>
    <n v="150"/>
    <x v="9"/>
    <n v="645"/>
    <s v="Food supply quantity (kg/capita/yr)"/>
    <s v="S2764"/>
    <x v="16"/>
    <n v="2017"/>
    <x v="0"/>
    <s v="kg"/>
    <n v="0.39"/>
    <s v="E"/>
    <s v="Estimated value"/>
  </r>
  <r>
    <s v="FBS"/>
    <s v="Food Balances (2010-)"/>
    <n v="150"/>
    <x v="9"/>
    <n v="645"/>
    <s v="Food supply quantity (kg/capita/yr)"/>
    <s v="S2764"/>
    <x v="16"/>
    <n v="2018"/>
    <x v="1"/>
    <s v="kg"/>
    <n v="0.39"/>
    <s v="E"/>
    <s v="Estimated value"/>
  </r>
  <r>
    <s v="FBS"/>
    <s v="Food Balances (2010-)"/>
    <n v="150"/>
    <x v="9"/>
    <n v="645"/>
    <s v="Food supply quantity (kg/capita/yr)"/>
    <s v="S2764"/>
    <x v="16"/>
    <n v="2019"/>
    <x v="2"/>
    <s v="kg"/>
    <n v="0.39"/>
    <s v="E"/>
    <s v="Estimated value"/>
  </r>
  <r>
    <s v="FBS"/>
    <s v="Food Balances (2010-)"/>
    <n v="150"/>
    <x v="9"/>
    <n v="645"/>
    <s v="Food supply quantity (kg/capita/yr)"/>
    <s v="S2764"/>
    <x v="16"/>
    <n v="2020"/>
    <x v="3"/>
    <s v="kg"/>
    <n v="0.39"/>
    <s v="E"/>
    <s v="Estimated value"/>
  </r>
  <r>
    <s v="FBS"/>
    <s v="Food Balances (2010-)"/>
    <n v="150"/>
    <x v="9"/>
    <n v="645"/>
    <s v="Food supply quantity (kg/capita/yr)"/>
    <s v="S2764"/>
    <x v="16"/>
    <n v="2021"/>
    <x v="4"/>
    <s v="kg"/>
    <n v="0.39"/>
    <s v="E"/>
    <s v="Estimated value"/>
  </r>
  <r>
    <s v="FBS"/>
    <s v="Food Balances (2010-)"/>
    <n v="150"/>
    <x v="9"/>
    <n v="645"/>
    <s v="Food supply quantity (kg/capita/yr)"/>
    <s v="S2765"/>
    <x v="17"/>
    <n v="2017"/>
    <x v="0"/>
    <s v="kg"/>
    <n v="1.78"/>
    <s v="E"/>
    <s v="Estimated value"/>
  </r>
  <r>
    <s v="FBS"/>
    <s v="Food Balances (2010-)"/>
    <n v="150"/>
    <x v="9"/>
    <n v="645"/>
    <s v="Food supply quantity (kg/capita/yr)"/>
    <s v="S2765"/>
    <x v="17"/>
    <n v="2018"/>
    <x v="1"/>
    <s v="kg"/>
    <n v="1.78"/>
    <s v="E"/>
    <s v="Estimated value"/>
  </r>
  <r>
    <s v="FBS"/>
    <s v="Food Balances (2010-)"/>
    <n v="150"/>
    <x v="9"/>
    <n v="645"/>
    <s v="Food supply quantity (kg/capita/yr)"/>
    <s v="S2765"/>
    <x v="17"/>
    <n v="2019"/>
    <x v="2"/>
    <s v="kg"/>
    <n v="1.81"/>
    <s v="E"/>
    <s v="Estimated value"/>
  </r>
  <r>
    <s v="FBS"/>
    <s v="Food Balances (2010-)"/>
    <n v="150"/>
    <x v="9"/>
    <n v="645"/>
    <s v="Food supply quantity (kg/capita/yr)"/>
    <s v="S2765"/>
    <x v="17"/>
    <n v="2020"/>
    <x v="3"/>
    <s v="kg"/>
    <n v="1.81"/>
    <s v="E"/>
    <s v="Estimated value"/>
  </r>
  <r>
    <s v="FBS"/>
    <s v="Food Balances (2010-)"/>
    <n v="150"/>
    <x v="9"/>
    <n v="645"/>
    <s v="Food supply quantity (kg/capita/yr)"/>
    <s v="S2765"/>
    <x v="17"/>
    <n v="2021"/>
    <x v="4"/>
    <s v="kg"/>
    <n v="1.81"/>
    <s v="E"/>
    <s v="Estimated value"/>
  </r>
  <r>
    <s v="FBS"/>
    <s v="Food Balances (2010-)"/>
    <n v="150"/>
    <x v="9"/>
    <n v="645"/>
    <s v="Food supply quantity (kg/capita/yr)"/>
    <s v="S2766"/>
    <x v="18"/>
    <n v="2017"/>
    <x v="0"/>
    <s v="kg"/>
    <n v="0.9"/>
    <s v="E"/>
    <s v="Estimated value"/>
  </r>
  <r>
    <s v="FBS"/>
    <s v="Food Balances (2010-)"/>
    <n v="150"/>
    <x v="9"/>
    <n v="645"/>
    <s v="Food supply quantity (kg/capita/yr)"/>
    <s v="S2766"/>
    <x v="18"/>
    <n v="2018"/>
    <x v="1"/>
    <s v="kg"/>
    <n v="1.01"/>
    <s v="E"/>
    <s v="Estimated value"/>
  </r>
  <r>
    <s v="FBS"/>
    <s v="Food Balances (2010-)"/>
    <n v="150"/>
    <x v="9"/>
    <n v="645"/>
    <s v="Food supply quantity (kg/capita/yr)"/>
    <s v="S2766"/>
    <x v="18"/>
    <n v="2019"/>
    <x v="2"/>
    <s v="kg"/>
    <n v="0.94"/>
    <s v="E"/>
    <s v="Estimated value"/>
  </r>
  <r>
    <s v="FBS"/>
    <s v="Food Balances (2010-)"/>
    <n v="150"/>
    <x v="9"/>
    <n v="645"/>
    <s v="Food supply quantity (kg/capita/yr)"/>
    <s v="S2766"/>
    <x v="18"/>
    <n v="2020"/>
    <x v="3"/>
    <s v="kg"/>
    <n v="0.94"/>
    <s v="E"/>
    <s v="Estimated value"/>
  </r>
  <r>
    <s v="FBS"/>
    <s v="Food Balances (2010-)"/>
    <n v="150"/>
    <x v="9"/>
    <n v="645"/>
    <s v="Food supply quantity (kg/capita/yr)"/>
    <s v="S2766"/>
    <x v="18"/>
    <n v="2021"/>
    <x v="4"/>
    <s v="kg"/>
    <n v="0.94"/>
    <s v="E"/>
    <s v="Estimated value"/>
  </r>
  <r>
    <s v="FBS"/>
    <s v="Food Balances (2010-)"/>
    <n v="150"/>
    <x v="9"/>
    <n v="645"/>
    <s v="Food supply quantity (kg/capita/yr)"/>
    <s v="S2767"/>
    <x v="19"/>
    <n v="2017"/>
    <x v="0"/>
    <s v="kg"/>
    <n v="1.97"/>
    <s v="E"/>
    <s v="Estimated value"/>
  </r>
  <r>
    <s v="FBS"/>
    <s v="Food Balances (2010-)"/>
    <n v="150"/>
    <x v="9"/>
    <n v="645"/>
    <s v="Food supply quantity (kg/capita/yr)"/>
    <s v="S2767"/>
    <x v="19"/>
    <n v="2018"/>
    <x v="1"/>
    <s v="kg"/>
    <n v="1.9"/>
    <s v="E"/>
    <s v="Estimated value"/>
  </r>
  <r>
    <s v="FBS"/>
    <s v="Food Balances (2010-)"/>
    <n v="150"/>
    <x v="9"/>
    <n v="645"/>
    <s v="Food supply quantity (kg/capita/yr)"/>
    <s v="S2767"/>
    <x v="19"/>
    <n v="2019"/>
    <x v="2"/>
    <s v="kg"/>
    <n v="1.8"/>
    <s v="E"/>
    <s v="Estimated value"/>
  </r>
  <r>
    <s v="FBS"/>
    <s v="Food Balances (2010-)"/>
    <n v="150"/>
    <x v="9"/>
    <n v="645"/>
    <s v="Food supply quantity (kg/capita/yr)"/>
    <s v="S2767"/>
    <x v="19"/>
    <n v="2020"/>
    <x v="3"/>
    <s v="kg"/>
    <n v="1.8"/>
    <s v="E"/>
    <s v="Estimated value"/>
  </r>
  <r>
    <s v="FBS"/>
    <s v="Food Balances (2010-)"/>
    <n v="150"/>
    <x v="9"/>
    <n v="645"/>
    <s v="Food supply quantity (kg/capita/yr)"/>
    <s v="S2767"/>
    <x v="19"/>
    <n v="2021"/>
    <x v="4"/>
    <s v="kg"/>
    <n v="1.8"/>
    <s v="E"/>
    <s v="Estimated value"/>
  </r>
  <r>
    <s v="FBS"/>
    <s v="Food Balances (2010-)"/>
    <n v="150"/>
    <x v="9"/>
    <n v="645"/>
    <s v="Food supply quantity (kg/capita/yr)"/>
    <s v="S2769"/>
    <x v="20"/>
    <n v="2017"/>
    <x v="0"/>
    <s v="kg"/>
    <n v="0.02"/>
    <s v="E"/>
    <s v="Estimated value"/>
  </r>
  <r>
    <s v="FBS"/>
    <s v="Food Balances (2010-)"/>
    <n v="150"/>
    <x v="9"/>
    <n v="645"/>
    <s v="Food supply quantity (kg/capita/yr)"/>
    <s v="S2769"/>
    <x v="20"/>
    <n v="2018"/>
    <x v="1"/>
    <s v="kg"/>
    <n v="0.02"/>
    <s v="E"/>
    <s v="Estimated value"/>
  </r>
  <r>
    <s v="FBS"/>
    <s v="Food Balances (2010-)"/>
    <n v="150"/>
    <x v="9"/>
    <n v="645"/>
    <s v="Food supply quantity (kg/capita/yr)"/>
    <s v="S2769"/>
    <x v="20"/>
    <n v="2019"/>
    <x v="2"/>
    <s v="kg"/>
    <n v="0.03"/>
    <s v="E"/>
    <s v="Estimated value"/>
  </r>
  <r>
    <s v="FBS"/>
    <s v="Food Balances (2010-)"/>
    <n v="150"/>
    <x v="9"/>
    <n v="645"/>
    <s v="Food supply quantity (kg/capita/yr)"/>
    <s v="S2769"/>
    <x v="20"/>
    <n v="2020"/>
    <x v="3"/>
    <s v="kg"/>
    <n v="0.03"/>
    <s v="E"/>
    <s v="Estimated value"/>
  </r>
  <r>
    <s v="FBS"/>
    <s v="Food Balances (2010-)"/>
    <n v="150"/>
    <x v="9"/>
    <n v="645"/>
    <s v="Food supply quantity (kg/capita/yr)"/>
    <s v="S2769"/>
    <x v="20"/>
    <n v="2021"/>
    <x v="4"/>
    <s v="kg"/>
    <n v="0.03"/>
    <s v="E"/>
    <s v="Estimated value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589CDF8-899A-49B1-A61E-C3DDCBC7B8E0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G26" firstHeaderRow="1" firstDataRow="2" firstDataCol="1" rowPageCount="1" colPageCount="1"/>
  <pivotFields count="14">
    <pivotField showAll="0"/>
    <pivotField showAll="0"/>
    <pivotField showAll="0"/>
    <pivotField axis="axisPage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/>
    <pivotField showAll="0"/>
    <pivotField showAll="0"/>
    <pivotField axis="axisRow" showAll="0">
      <items count="22">
        <item x="20"/>
        <item x="0"/>
        <item x="6"/>
        <item x="18"/>
        <item x="7"/>
        <item x="17"/>
        <item x="14"/>
        <item x="11"/>
        <item x="8"/>
        <item x="9"/>
        <item x="10"/>
        <item x="13"/>
        <item x="16"/>
        <item x="4"/>
        <item x="12"/>
        <item x="19"/>
        <item x="1"/>
        <item x="5"/>
        <item x="15"/>
        <item x="2"/>
        <item x="3"/>
        <item t="default"/>
      </items>
    </pivotField>
    <pivotField showAll="0"/>
    <pivotField axis="axisCol" showAll="0">
      <items count="6">
        <item x="0"/>
        <item x="1"/>
        <item x="2"/>
        <item x="3"/>
        <item x="4"/>
        <item t="default"/>
      </items>
    </pivotField>
    <pivotField showAll="0"/>
    <pivotField dataField="1" showAll="0"/>
    <pivotField showAll="0"/>
    <pivotField showAll="0"/>
  </pivotFields>
  <rowFields count="1">
    <field x="7"/>
  </rowFields>
  <rowItems count="2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 t="grand">
      <x/>
    </i>
  </rowItems>
  <colFields count="1">
    <field x="9"/>
  </colFields>
  <colItems count="6">
    <i>
      <x/>
    </i>
    <i>
      <x v="1"/>
    </i>
    <i>
      <x v="2"/>
    </i>
    <i>
      <x v="3"/>
    </i>
    <i>
      <x v="4"/>
    </i>
    <i t="grand">
      <x/>
    </i>
  </colItems>
  <pageFields count="1">
    <pageField fld="3" item="9" hier="-1"/>
  </pageFields>
  <dataFields count="1">
    <dataField name="Average of Value" fld="11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M68"/>
  <sheetViews>
    <sheetView tabSelected="1" topLeftCell="E88" workbookViewId="0">
      <selection activeCell="X87" sqref="X87"/>
    </sheetView>
  </sheetViews>
  <sheetFormatPr defaultRowHeight="14.4" x14ac:dyDescent="0.3"/>
  <cols>
    <col min="1" max="1" width="17.88671875" customWidth="1"/>
    <col min="2" max="2" width="7.88671875" customWidth="1"/>
    <col min="3" max="4" width="7.6640625" customWidth="1"/>
    <col min="5" max="5" width="7.33203125" customWidth="1"/>
    <col min="6" max="6" width="7" customWidth="1"/>
    <col min="7" max="9" width="7.109375" customWidth="1"/>
    <col min="10" max="10" width="9.5546875" bestFit="1" customWidth="1"/>
    <col min="11" max="11" width="12.109375" bestFit="1" customWidth="1"/>
    <col min="12" max="12" width="9.6640625" bestFit="1" customWidth="1"/>
    <col min="13" max="13" width="12.33203125" bestFit="1" customWidth="1"/>
    <col min="14" max="14" width="9.6640625" bestFit="1" customWidth="1"/>
    <col min="15" max="15" width="12.33203125" bestFit="1" customWidth="1"/>
    <col min="23" max="24" width="12" bestFit="1" customWidth="1"/>
    <col min="25" max="25" width="11" bestFit="1" customWidth="1"/>
    <col min="26" max="26" width="11" customWidth="1"/>
    <col min="27" max="29" width="11" bestFit="1" customWidth="1"/>
    <col min="33" max="34" width="11" bestFit="1" customWidth="1"/>
  </cols>
  <sheetData>
    <row r="2" spans="1:39" ht="21" x14ac:dyDescent="0.4">
      <c r="A2" s="6" t="s">
        <v>0</v>
      </c>
      <c r="B2" s="6"/>
    </row>
    <row r="4" spans="1:39" x14ac:dyDescent="0.3">
      <c r="A4" s="21" t="s">
        <v>1</v>
      </c>
      <c r="B4" s="21"/>
      <c r="U4" s="21" t="s">
        <v>2</v>
      </c>
      <c r="V4" s="21"/>
      <c r="AE4" s="21" t="s">
        <v>3</v>
      </c>
      <c r="AF4" s="21"/>
    </row>
    <row r="5" spans="1:39" x14ac:dyDescent="0.3">
      <c r="B5" s="21" t="s">
        <v>4</v>
      </c>
      <c r="C5" s="21"/>
      <c r="D5" s="21"/>
      <c r="E5" s="21"/>
      <c r="F5" s="21"/>
      <c r="G5" s="21"/>
      <c r="H5" s="21"/>
      <c r="I5" s="21"/>
      <c r="J5" s="21" t="s">
        <v>5</v>
      </c>
    </row>
    <row r="6" spans="1:39" s="24" customFormat="1" ht="43.2" x14ac:dyDescent="0.3">
      <c r="A6" s="23"/>
      <c r="B6" s="23" t="s">
        <v>6</v>
      </c>
      <c r="C6" s="23" t="s">
        <v>7</v>
      </c>
      <c r="D6" s="23" t="s">
        <v>8</v>
      </c>
      <c r="E6" s="23" t="s">
        <v>9</v>
      </c>
      <c r="F6" s="23" t="s">
        <v>10</v>
      </c>
      <c r="G6" s="23" t="s">
        <v>11</v>
      </c>
      <c r="H6" s="37" t="s">
        <v>12</v>
      </c>
      <c r="I6" s="37" t="s">
        <v>13</v>
      </c>
      <c r="J6" s="23" t="s">
        <v>14</v>
      </c>
      <c r="K6" s="23" t="s">
        <v>15</v>
      </c>
      <c r="L6" s="23" t="s">
        <v>16</v>
      </c>
      <c r="M6" s="23" t="s">
        <v>16</v>
      </c>
      <c r="N6" s="23" t="s">
        <v>17</v>
      </c>
      <c r="O6" s="23" t="s">
        <v>17</v>
      </c>
      <c r="U6" s="23"/>
      <c r="V6" s="23"/>
      <c r="W6" s="23" t="s">
        <v>18</v>
      </c>
      <c r="X6" s="23" t="s">
        <v>19</v>
      </c>
      <c r="Y6" s="23" t="s">
        <v>20</v>
      </c>
      <c r="Z6" s="23" t="s">
        <v>21</v>
      </c>
      <c r="AA6" s="23" t="s">
        <v>22</v>
      </c>
      <c r="AB6" s="23" t="s">
        <v>16</v>
      </c>
      <c r="AC6" s="23" t="s">
        <v>17</v>
      </c>
      <c r="AE6" s="23"/>
      <c r="AF6" s="23"/>
      <c r="AG6" s="23" t="s">
        <v>18</v>
      </c>
      <c r="AH6" s="23" t="s">
        <v>19</v>
      </c>
      <c r="AI6" s="23" t="s">
        <v>20</v>
      </c>
      <c r="AJ6" s="23" t="s">
        <v>21</v>
      </c>
      <c r="AK6" s="23" t="s">
        <v>22</v>
      </c>
      <c r="AL6" s="23" t="s">
        <v>16</v>
      </c>
      <c r="AM6" s="23" t="s">
        <v>17</v>
      </c>
    </row>
    <row r="7" spans="1:39" x14ac:dyDescent="0.3">
      <c r="A7" s="2" t="s">
        <v>23</v>
      </c>
      <c r="B7" s="3">
        <f>'Summary consumption'!F5*C55</f>
        <v>3.8605714285714285E-3</v>
      </c>
      <c r="C7" s="3">
        <f>B7*'Footprints Ireland'!X5</f>
        <v>0</v>
      </c>
      <c r="D7" s="3">
        <f>'Summary consumption'!G5*C55</f>
        <v>5.7908571428571427E-3</v>
      </c>
      <c r="E7" s="3">
        <f>D7*'Footprints Italy'!X5</f>
        <v>0</v>
      </c>
      <c r="F7">
        <f>'Summary consumption'!H5*C55</f>
        <v>2.8954285714285714E-3</v>
      </c>
      <c r="G7" s="34">
        <f>F7*'Footprints Poland'!X5</f>
        <v>0</v>
      </c>
      <c r="H7" s="11">
        <v>2.6000000000000002E-2</v>
      </c>
      <c r="I7" s="11">
        <f>H7*'Footprints Utopia'!E5</f>
        <v>0</v>
      </c>
      <c r="J7" s="3">
        <f>D7</f>
        <v>5.7908571428571427E-3</v>
      </c>
      <c r="K7">
        <f>J7*'Footprints Italy'!X5</f>
        <v>0</v>
      </c>
      <c r="L7" s="3">
        <f>B7</f>
        <v>3.8605714285714285E-3</v>
      </c>
      <c r="M7">
        <f>L7*'Footprints Ireland'!X5</f>
        <v>0</v>
      </c>
      <c r="N7" s="3">
        <f>B7</f>
        <v>3.8605714285714285E-3</v>
      </c>
      <c r="O7">
        <f>N7*'Footprints Ireland'!X5</f>
        <v>0</v>
      </c>
      <c r="U7" s="2" t="s">
        <v>23</v>
      </c>
      <c r="W7" s="30">
        <f>B7*'Footprints Ireland'!Y5</f>
        <v>0</v>
      </c>
      <c r="X7" s="4">
        <f>D7*'Footprints Italy'!Y5</f>
        <v>0</v>
      </c>
      <c r="Y7" s="4">
        <f>F7*'Footprints Poland'!Y5</f>
        <v>0</v>
      </c>
      <c r="Z7" s="14">
        <f>H7*'Footprints Utopia'!F5</f>
        <v>0</v>
      </c>
      <c r="AA7" s="4">
        <f>J7*'Footprints Italy'!Y5</f>
        <v>0</v>
      </c>
      <c r="AB7" s="4">
        <f>L7*'Footprints Ireland'!Y5</f>
        <v>0</v>
      </c>
      <c r="AC7" s="4">
        <f>N7*'Footprints Ireland'!Y5</f>
        <v>0</v>
      </c>
      <c r="AE7" s="2" t="s">
        <v>23</v>
      </c>
      <c r="AF7" s="3"/>
      <c r="AG7" s="3">
        <f>B7*'Footprints Ireland'!G5</f>
        <v>0</v>
      </c>
      <c r="AH7" s="3">
        <f>D7*'Footprints Italy'!G5</f>
        <v>0</v>
      </c>
      <c r="AI7">
        <f>F7*'Footprints Poland'!G5</f>
        <v>0</v>
      </c>
      <c r="AJ7">
        <f>H7*'Footprints Utopia'!D5</f>
        <v>7.5400000000000009E-2</v>
      </c>
      <c r="AK7" s="3">
        <f>J7*'Footprints Italy'!G5</f>
        <v>0</v>
      </c>
      <c r="AL7">
        <f>L7*'Footprints Ireland'!G5</f>
        <v>0</v>
      </c>
      <c r="AM7">
        <f>N7*'Footprints Ireland'!G5</f>
        <v>0</v>
      </c>
    </row>
    <row r="8" spans="1:39" x14ac:dyDescent="0.3">
      <c r="A8" s="2" t="s">
        <v>24</v>
      </c>
      <c r="B8" s="3">
        <f>'Summary consumption'!F6</f>
        <v>20.612000000000002</v>
      </c>
      <c r="C8" s="3">
        <f>B8*'Footprints Ireland'!X6</f>
        <v>5.6770882423522977</v>
      </c>
      <c r="D8" s="3">
        <f>'Summary consumption'!G6*C43</f>
        <v>11.56063</v>
      </c>
      <c r="E8" s="3">
        <f>D8*'Footprints Italy'!X6</f>
        <v>4.0245936385517416</v>
      </c>
      <c r="F8">
        <f>'Summary consumption'!H6*C43</f>
        <v>0.72558</v>
      </c>
      <c r="G8" s="34">
        <f>F8*'Footprints Poland'!X6</f>
        <v>0.21471472766253136</v>
      </c>
      <c r="H8" s="11">
        <v>14.14</v>
      </c>
      <c r="I8" s="11">
        <f>H8*'Footprints Utopia'!E6</f>
        <v>5.2649921955984849E-3</v>
      </c>
      <c r="J8" s="27">
        <f>D8/2</f>
        <v>5.7803149999999999</v>
      </c>
      <c r="K8">
        <f>J8*'Footprints Italy'!X6</f>
        <v>2.0122968192758708</v>
      </c>
      <c r="L8" s="27">
        <f>B8/2</f>
        <v>10.306000000000001</v>
      </c>
      <c r="M8">
        <f>L8*'Footprints Ireland'!X6</f>
        <v>2.8385441211761488</v>
      </c>
      <c r="N8" s="27">
        <f>B8/2</f>
        <v>10.306000000000001</v>
      </c>
      <c r="O8">
        <f>N8*'Footprints Ireland'!X6</f>
        <v>2.8385441211761488</v>
      </c>
      <c r="U8" s="2" t="s">
        <v>24</v>
      </c>
      <c r="W8" s="30">
        <f>B8*'Footprints Ireland'!Y6</f>
        <v>727.40401253326172</v>
      </c>
      <c r="X8" s="4">
        <f>D8*'Footprints Italy'!Y6</f>
        <v>1038.2304874823719</v>
      </c>
      <c r="Y8" s="4">
        <f>F8*'Footprints Poland'!Y6</f>
        <v>38.400504378812776</v>
      </c>
      <c r="Z8" s="14">
        <f>H8*'Footprints Utopia'!F6</f>
        <v>28.816830941894906</v>
      </c>
      <c r="AA8" s="4">
        <f>J8*'Footprints Italy'!Y6</f>
        <v>519.11524374118596</v>
      </c>
      <c r="AB8" s="4">
        <f>L8*'Footprints Ireland'!Y6</f>
        <v>363.70200626663086</v>
      </c>
      <c r="AC8" s="4">
        <f>N8*'Footprints Ireland'!Y6</f>
        <v>363.70200626663086</v>
      </c>
      <c r="AE8" s="2" t="s">
        <v>24</v>
      </c>
      <c r="AF8" s="3"/>
      <c r="AG8" s="3">
        <f>B8*'Footprints Ireland'!G6</f>
        <v>663.85057555106061</v>
      </c>
      <c r="AH8" s="3">
        <f>D8*'Footprints Italy'!G6</f>
        <v>364.42736774275664</v>
      </c>
      <c r="AI8">
        <f>F8*'Footprints Poland'!G6</f>
        <v>22.703264615558627</v>
      </c>
      <c r="AJ8">
        <f>H8*'Footprints Utopia'!D6</f>
        <v>41.006</v>
      </c>
      <c r="AK8" s="3">
        <f>J8*'Footprints Italy'!G6</f>
        <v>182.21368387137832</v>
      </c>
      <c r="AL8">
        <f>L8*'Footprints Ireland'!G6</f>
        <v>331.92528777553031</v>
      </c>
      <c r="AM8">
        <f>N8*'Footprints Ireland'!G6</f>
        <v>331.92528777553031</v>
      </c>
    </row>
    <row r="9" spans="1:39" x14ac:dyDescent="0.3">
      <c r="A9" s="2" t="s">
        <v>25</v>
      </c>
      <c r="B9" s="3">
        <f>'Summary consumption'!F7</f>
        <v>1.9120000000000001</v>
      </c>
      <c r="C9" s="3">
        <f>B9*'Footprints Ireland'!X7</f>
        <v>0.10924779032279695</v>
      </c>
      <c r="D9" s="3">
        <f>'Summary consumption'!G7</f>
        <v>2.464</v>
      </c>
      <c r="E9" s="3">
        <f>D9*'Footprints Italy'!X7</f>
        <v>0.17426360697039817</v>
      </c>
      <c r="F9">
        <f>'Summary consumption'!H7</f>
        <v>4.5140000000000002</v>
      </c>
      <c r="G9" s="34">
        <f>F9*'Footprints Poland'!X7</f>
        <v>0.30536402451745914</v>
      </c>
      <c r="H9" s="11">
        <v>3.6480000000000006</v>
      </c>
      <c r="I9" s="11">
        <f>H9*'Footprints Utopia'!E7</f>
        <v>2.4393109833458884E-4</v>
      </c>
      <c r="J9" s="3">
        <f t="shared" ref="J9:J27" si="0">D9</f>
        <v>2.464</v>
      </c>
      <c r="K9">
        <f>J9*'Footprints Italy'!X7</f>
        <v>0.17426360697039817</v>
      </c>
      <c r="L9" s="3">
        <f t="shared" ref="L9:L26" si="1">B9</f>
        <v>1.9120000000000001</v>
      </c>
      <c r="M9">
        <f>L9*'Footprints Ireland'!X7</f>
        <v>0.10924779032279695</v>
      </c>
      <c r="N9" s="3">
        <f t="shared" ref="N9:N28" si="2">B9</f>
        <v>1.9120000000000001</v>
      </c>
      <c r="O9">
        <f>N9*'Footprints Ireland'!X7</f>
        <v>0.10924779032279695</v>
      </c>
      <c r="U9" s="2" t="s">
        <v>25</v>
      </c>
      <c r="W9" s="30">
        <f>B9*'Footprints Ireland'!Y7</f>
        <v>49.509209487933276</v>
      </c>
      <c r="X9" s="4">
        <f>D9*'Footprints Italy'!Y7</f>
        <v>145.79551915423977</v>
      </c>
      <c r="Y9" s="4">
        <f>F9*'Footprints Poland'!Y7</f>
        <v>180.79658498566837</v>
      </c>
      <c r="Z9" s="14">
        <f>H9*'Footprints Utopia'!F7</f>
        <v>4.2055830381162629</v>
      </c>
      <c r="AA9" s="4">
        <f>J9*'Footprints Italy'!Y7</f>
        <v>145.79551915423977</v>
      </c>
      <c r="AB9" s="4">
        <f>L9*'Footprints Ireland'!Y7</f>
        <v>49.509209487933276</v>
      </c>
      <c r="AC9" s="4">
        <f>N9*'Footprints Ireland'!Y7</f>
        <v>49.509209487933276</v>
      </c>
      <c r="AE9" s="2" t="s">
        <v>25</v>
      </c>
      <c r="AF9" s="3"/>
      <c r="AG9" s="3">
        <f>B9*'Footprints Ireland'!G7</f>
        <v>12.779020902531617</v>
      </c>
      <c r="AH9" s="3">
        <f>D9*'Footprints Italy'!G7</f>
        <v>20.027200744772934</v>
      </c>
      <c r="AI9">
        <f>F9*'Footprints Poland'!G7</f>
        <v>34.438394724386008</v>
      </c>
      <c r="AJ9">
        <f>H9*'Footprints Utopia'!D7</f>
        <v>10.579200000000002</v>
      </c>
      <c r="AK9" s="3">
        <f>J9*'Footprints Italy'!G7</f>
        <v>20.027200744772934</v>
      </c>
      <c r="AL9">
        <f>L9*'Footprints Ireland'!G7</f>
        <v>12.779020902531617</v>
      </c>
      <c r="AM9">
        <f>N9*'Footprints Ireland'!G7</f>
        <v>12.779020902531617</v>
      </c>
    </row>
    <row r="10" spans="1:39" x14ac:dyDescent="0.3">
      <c r="A10" s="2" t="s">
        <v>26</v>
      </c>
      <c r="B10" s="3">
        <f>'Summary consumption'!F8*C48</f>
        <v>0.16170000000000001</v>
      </c>
      <c r="C10" s="3">
        <f>B10*'Footprints Ireland'!X8</f>
        <v>9.9854739951043894E-2</v>
      </c>
      <c r="D10" s="3">
        <f>'Summary consumption'!G8*C48</f>
        <v>2.8371000000000004</v>
      </c>
      <c r="E10" s="3">
        <f>D10*'Footprints Italy'!X8</f>
        <v>1.7519968009592248</v>
      </c>
      <c r="F10">
        <f>'Summary consumption'!H8*C48</f>
        <v>2.4990000000000002E-2</v>
      </c>
      <c r="G10" s="34">
        <f>F10*'Footprints Poland'!X8</f>
        <v>1.5432096174252239E-2</v>
      </c>
      <c r="H10" s="11">
        <v>0.94600000000000006</v>
      </c>
      <c r="I10" s="11">
        <f>H10*'Footprints Utopia'!E8</f>
        <v>5.7210388785715509E-3</v>
      </c>
      <c r="J10" s="3">
        <f t="shared" si="0"/>
        <v>2.8371000000000004</v>
      </c>
      <c r="K10">
        <f>J10*'Footprints Italy'!X8</f>
        <v>1.7519968009592248</v>
      </c>
      <c r="L10" s="3">
        <f t="shared" si="1"/>
        <v>0.16170000000000001</v>
      </c>
      <c r="M10">
        <f>L10*'Footprints Ireland'!X8</f>
        <v>9.9854739951043894E-2</v>
      </c>
      <c r="N10" s="3">
        <f t="shared" si="2"/>
        <v>0.16170000000000001</v>
      </c>
      <c r="O10">
        <f>N10*'Footprints Ireland'!X8</f>
        <v>9.9854739951043894E-2</v>
      </c>
      <c r="U10" s="2" t="s">
        <v>26</v>
      </c>
      <c r="W10" s="30">
        <f>B10*'Footprints Ireland'!Y8</f>
        <v>0</v>
      </c>
      <c r="X10" s="4">
        <f>D10*'Footprints Italy'!Y8</f>
        <v>0</v>
      </c>
      <c r="Y10" s="4">
        <f>F10*'Footprints Poland'!Y8</f>
        <v>0</v>
      </c>
      <c r="Z10" s="14">
        <f>H10*'Footprints Utopia'!F8</f>
        <v>0</v>
      </c>
      <c r="AA10" s="4">
        <f>J10*'Footprints Italy'!Y8</f>
        <v>0</v>
      </c>
      <c r="AB10" s="4">
        <f>L10*'Footprints Ireland'!Y8</f>
        <v>0</v>
      </c>
      <c r="AC10" s="4">
        <f>N10*'Footprints Ireland'!Y8</f>
        <v>0</v>
      </c>
      <c r="AE10" s="2" t="s">
        <v>26</v>
      </c>
      <c r="AF10" s="3"/>
      <c r="AG10" s="3">
        <f>B10*'Footprints Ireland'!G8</f>
        <v>1.7323525566206823</v>
      </c>
      <c r="AH10" s="3">
        <f>D10*'Footprints Italy'!G8</f>
        <v>30.394913038890156</v>
      </c>
      <c r="AI10">
        <f>F10*'Footprints Poland'!G8</f>
        <v>0.26772721329592364</v>
      </c>
      <c r="AJ10">
        <f>H10*'Footprints Utopia'!D8</f>
        <v>2.7434000000000003</v>
      </c>
      <c r="AK10" s="3">
        <f>J10*'Footprints Italy'!G8</f>
        <v>30.394913038890156</v>
      </c>
      <c r="AL10">
        <f>L10*'Footprints Ireland'!G8</f>
        <v>1.7323525566206823</v>
      </c>
      <c r="AM10">
        <f>N10*'Footprints Ireland'!G8</f>
        <v>1.7323525566206823</v>
      </c>
    </row>
    <row r="11" spans="1:39" x14ac:dyDescent="0.3">
      <c r="A11" s="2" t="s">
        <v>27</v>
      </c>
      <c r="B11" s="3">
        <f>'Summary consumption'!F9</f>
        <v>2.3180000000000001</v>
      </c>
      <c r="C11" s="3">
        <f>B11*'Footprints Ireland'!X9</f>
        <v>6.7192689941168268E-2</v>
      </c>
      <c r="D11" s="3">
        <f>'Summary consumption'!G9</f>
        <v>4.145999999999999</v>
      </c>
      <c r="E11" s="3">
        <f>D11*'Footprints Italy'!X9</f>
        <v>0.14875758377841283</v>
      </c>
      <c r="F11">
        <f>'Summary consumption'!H9</f>
        <v>6.6260000000000003</v>
      </c>
      <c r="G11" s="34">
        <f>F11*'Footprints Poland'!X9</f>
        <v>0.22740058098329594</v>
      </c>
      <c r="H11" s="11">
        <v>3.6520000000000001</v>
      </c>
      <c r="I11" s="11">
        <f>H11*'Footprints Utopia'!E9</f>
        <v>1.2451303495833972E-4</v>
      </c>
      <c r="J11" s="3">
        <f t="shared" si="0"/>
        <v>4.145999999999999</v>
      </c>
      <c r="K11">
        <f>J11*'Footprints Italy'!X9</f>
        <v>0.14875758377841283</v>
      </c>
      <c r="L11" s="3">
        <f t="shared" si="1"/>
        <v>2.3180000000000001</v>
      </c>
      <c r="M11">
        <f>L11*'Footprints Ireland'!X9</f>
        <v>6.7192689941168268E-2</v>
      </c>
      <c r="N11" s="3">
        <f t="shared" si="2"/>
        <v>2.3180000000000001</v>
      </c>
      <c r="O11">
        <f>N11*'Footprints Ireland'!X9</f>
        <v>6.7192689941168268E-2</v>
      </c>
      <c r="U11" s="2" t="s">
        <v>27</v>
      </c>
      <c r="W11" s="30">
        <f>B11*'Footprints Ireland'!Y9</f>
        <v>30.450565201599936</v>
      </c>
      <c r="X11" s="4">
        <f>D11*'Footprints Italy'!Y9</f>
        <v>124.45621625855655</v>
      </c>
      <c r="Y11" s="4">
        <f>F11*'Footprints Poland'!Y9</f>
        <v>134.63684378179303</v>
      </c>
      <c r="Z11" s="14">
        <f>H11*'Footprints Utopia'!F9</f>
        <v>2.1467123766519243</v>
      </c>
      <c r="AA11" s="4">
        <f>J11*'Footprints Italy'!Y9</f>
        <v>124.45621625855655</v>
      </c>
      <c r="AB11" s="4">
        <f>L11*'Footprints Ireland'!Y9</f>
        <v>30.450565201599936</v>
      </c>
      <c r="AC11" s="4">
        <f>N11*'Footprints Ireland'!Y9</f>
        <v>30.450565201599936</v>
      </c>
      <c r="AE11" s="2" t="s">
        <v>27</v>
      </c>
      <c r="AF11" s="3"/>
      <c r="AG11" s="3">
        <f>B11*'Footprints Ireland'!G9</f>
        <v>7.6108070159485024</v>
      </c>
      <c r="AH11" s="3">
        <f>D11*'Footprints Italy'!G9</f>
        <v>16.712944258904862</v>
      </c>
      <c r="AI11">
        <f>F11*'Footprints Poland'!G9</f>
        <v>24.583149691351963</v>
      </c>
      <c r="AJ11">
        <f>H11*'Footprints Utopia'!D9</f>
        <v>10.5908</v>
      </c>
      <c r="AK11" s="3">
        <f>J11*'Footprints Italy'!G9</f>
        <v>16.712944258904862</v>
      </c>
      <c r="AL11">
        <f>L11*'Footprints Ireland'!G9</f>
        <v>7.6108070159485024</v>
      </c>
      <c r="AM11">
        <f>N11*'Footprints Ireland'!G9</f>
        <v>7.6108070159485024</v>
      </c>
    </row>
    <row r="12" spans="1:39" x14ac:dyDescent="0.3">
      <c r="A12" s="2" t="s">
        <v>28</v>
      </c>
      <c r="B12" s="3">
        <f>'Summary consumption'!F10*C49</f>
        <v>0.33700000000000002</v>
      </c>
      <c r="C12" s="3">
        <f>B12*'Footprints Ireland'!X10</f>
        <v>5.2784981073329567</v>
      </c>
      <c r="D12" s="3">
        <f>'Summary consumption'!G10*C49</f>
        <v>1.1359999999999999</v>
      </c>
      <c r="E12" s="3">
        <f>D12*'Footprints Italy'!X10</f>
        <v>17.793394213442841</v>
      </c>
      <c r="F12">
        <f>'Summary consumption'!H10*C49</f>
        <v>0.11899999999999999</v>
      </c>
      <c r="G12" s="34">
        <f>F12*'Footprints Poland'!X10</f>
        <v>1.863920696654664</v>
      </c>
      <c r="H12" s="11">
        <v>1.798</v>
      </c>
      <c r="I12" s="11">
        <f>H12*'Footprints Utopia'!E10</f>
        <v>0.19549831044900867</v>
      </c>
      <c r="J12" s="3">
        <f t="shared" si="0"/>
        <v>1.1359999999999999</v>
      </c>
      <c r="K12">
        <f>J12*'Footprints Italy'!X10</f>
        <v>17.793394213442841</v>
      </c>
      <c r="L12" s="3">
        <f t="shared" si="1"/>
        <v>0.33700000000000002</v>
      </c>
      <c r="M12">
        <f>L12*'Footprints Ireland'!X10</f>
        <v>5.2784981073329567</v>
      </c>
      <c r="N12" s="3">
        <f t="shared" si="2"/>
        <v>0.33700000000000002</v>
      </c>
      <c r="O12">
        <f>N12*'Footprints Ireland'!X10</f>
        <v>5.2784981073329567</v>
      </c>
      <c r="U12" s="2" t="s">
        <v>28</v>
      </c>
      <c r="W12" s="30">
        <f>B12*'Footprints Ireland'!Y10</f>
        <v>0</v>
      </c>
      <c r="X12" s="4">
        <f>D12*'Footprints Italy'!Y10</f>
        <v>0</v>
      </c>
      <c r="Y12" s="4">
        <f>F12*'Footprints Poland'!Y10</f>
        <v>0</v>
      </c>
      <c r="Z12" s="14">
        <f>H12*'Footprints Utopia'!F10</f>
        <v>0</v>
      </c>
      <c r="AA12" s="4">
        <f>J12*'Footprints Italy'!Y10</f>
        <v>0</v>
      </c>
      <c r="AB12" s="4">
        <f>L12*'Footprints Ireland'!Y10</f>
        <v>0</v>
      </c>
      <c r="AC12" s="4">
        <f>N12*'Footprints Ireland'!Y10</f>
        <v>0</v>
      </c>
      <c r="AE12" s="2" t="s">
        <v>28</v>
      </c>
      <c r="AF12" s="3"/>
      <c r="AG12" s="3">
        <f>B12*'Footprints Ireland'!G10</f>
        <v>5.2118807509038962</v>
      </c>
      <c r="AH12" s="3">
        <f>D12*'Footprints Italy'!G10</f>
        <v>17.568832442216099</v>
      </c>
      <c r="AI12">
        <f>F12*'Footprints Poland'!G10</f>
        <v>1.8403970604082007</v>
      </c>
      <c r="AJ12">
        <f>H12*'Footprints Utopia'!D10</f>
        <v>5.2141999999999999</v>
      </c>
      <c r="AK12" s="3">
        <f>J12*'Footprints Italy'!G10</f>
        <v>17.568832442216099</v>
      </c>
      <c r="AL12">
        <f>L12*'Footprints Ireland'!G10</f>
        <v>5.2118807509038962</v>
      </c>
      <c r="AM12">
        <f>N12*'Footprints Ireland'!G10</f>
        <v>5.2118807509038962</v>
      </c>
    </row>
    <row r="13" spans="1:39" x14ac:dyDescent="0.3">
      <c r="A13" s="2" t="s">
        <v>29</v>
      </c>
      <c r="B13" s="3">
        <f>'Summary consumption'!F11*C50</f>
        <v>5.0384320000000002</v>
      </c>
      <c r="C13" s="3">
        <f>B13*'Footprints Ireland'!X11</f>
        <v>81.247341363745079</v>
      </c>
      <c r="D13" s="3">
        <f>'Summary consumption'!G11*C50</f>
        <v>4.2286840000000003</v>
      </c>
      <c r="E13" s="3">
        <f>D13*'Footprints Italy'!X11</f>
        <v>68.189732930286056</v>
      </c>
      <c r="F13">
        <f>'Summary consumption'!H11*C50</f>
        <v>2.4509240000000001</v>
      </c>
      <c r="G13" s="34">
        <f>F13*'Footprints Poland'!X11</f>
        <v>39.522426597122987</v>
      </c>
      <c r="H13" s="11">
        <v>7.2080000000000002</v>
      </c>
      <c r="I13" s="11">
        <f>H13*'Footprints Utopia'!E11</f>
        <v>0.11261052636883821</v>
      </c>
      <c r="J13" s="3">
        <f t="shared" si="0"/>
        <v>4.2286840000000003</v>
      </c>
      <c r="K13">
        <f>J13*'Footprints Italy'!X11</f>
        <v>68.189732930286056</v>
      </c>
      <c r="L13" s="3">
        <f t="shared" si="1"/>
        <v>5.0384320000000002</v>
      </c>
      <c r="M13">
        <f>L13*'Footprints Ireland'!X11</f>
        <v>81.247341363745079</v>
      </c>
      <c r="N13" s="3">
        <f t="shared" si="2"/>
        <v>5.0384320000000002</v>
      </c>
      <c r="O13">
        <f>N13*'Footprints Ireland'!X11</f>
        <v>81.247341363745079</v>
      </c>
      <c r="U13" s="2" t="s">
        <v>29</v>
      </c>
      <c r="W13" s="30">
        <f>B13*'Footprints Ireland'!Y11</f>
        <v>0</v>
      </c>
      <c r="X13" s="4">
        <f>D13*'Footprints Italy'!Y11</f>
        <v>0</v>
      </c>
      <c r="Y13" s="4">
        <f>F13*'Footprints Poland'!Y11</f>
        <v>0</v>
      </c>
      <c r="Z13" s="14">
        <f>H13*'Footprints Utopia'!F11</f>
        <v>23.858713803064628</v>
      </c>
      <c r="AA13" s="4">
        <f>J13*'Footprints Italy'!Y11</f>
        <v>0</v>
      </c>
      <c r="AB13" s="4">
        <f>L13*'Footprints Ireland'!Y11</f>
        <v>0</v>
      </c>
      <c r="AC13" s="4">
        <f>N13*'Footprints Ireland'!Y11</f>
        <v>0</v>
      </c>
      <c r="AE13" s="2" t="s">
        <v>29</v>
      </c>
      <c r="AF13" s="3"/>
      <c r="AG13" s="3">
        <f>B13*'Footprints Ireland'!G11</f>
        <v>34.267930770757609</v>
      </c>
      <c r="AH13" s="3">
        <f>D13*'Footprints Italy'!G11</f>
        <v>28.760584754028709</v>
      </c>
      <c r="AI13">
        <f>F13*'Footprints Poland'!G11</f>
        <v>16.669490420112513</v>
      </c>
      <c r="AJ13">
        <f>H13*'Footprints Utopia'!D11</f>
        <v>20.903199999999998</v>
      </c>
      <c r="AK13" s="3">
        <f>J13*'Footprints Italy'!G11</f>
        <v>28.760584754028709</v>
      </c>
      <c r="AL13">
        <f>L13*'Footprints Ireland'!G11</f>
        <v>34.267930770757609</v>
      </c>
      <c r="AM13">
        <f>N13*'Footprints Ireland'!G11</f>
        <v>34.267930770757609</v>
      </c>
    </row>
    <row r="14" spans="1:39" x14ac:dyDescent="0.3">
      <c r="A14" s="2" t="s">
        <v>30</v>
      </c>
      <c r="B14" s="3">
        <f>'Summary consumption'!F12</f>
        <v>11.691999999999998</v>
      </c>
      <c r="C14" s="3">
        <f>B14*'Footprints Ireland'!X12</f>
        <v>94.217208627554356</v>
      </c>
      <c r="D14" s="3">
        <f>'Summary consumption'!G12</f>
        <v>11.608000000000001</v>
      </c>
      <c r="E14" s="3">
        <f>D14*'Footprints Italy'!X12</f>
        <v>108.70737631671624</v>
      </c>
      <c r="F14">
        <f>'Summary consumption'!H12</f>
        <v>8.363999999999999</v>
      </c>
      <c r="G14" s="34">
        <f>F14*'Footprints Poland'!X12</f>
        <v>78.970126200373286</v>
      </c>
      <c r="H14" s="11">
        <v>13.813999999999998</v>
      </c>
      <c r="I14" s="11">
        <f>H14*'Footprints Utopia'!E12</f>
        <v>7.0211074969385459E-2</v>
      </c>
      <c r="J14" s="3">
        <f t="shared" si="0"/>
        <v>11.608000000000001</v>
      </c>
      <c r="K14">
        <f>J14*'Footprints Italy'!X12</f>
        <v>108.70737631671624</v>
      </c>
      <c r="L14" s="3">
        <f t="shared" si="1"/>
        <v>11.691999999999998</v>
      </c>
      <c r="M14">
        <f>L14*'Footprints Ireland'!X12</f>
        <v>94.217208627554356</v>
      </c>
      <c r="N14" s="3">
        <f t="shared" si="2"/>
        <v>11.691999999999998</v>
      </c>
      <c r="O14">
        <f>N14*'Footprints Ireland'!X12</f>
        <v>94.217208627554356</v>
      </c>
      <c r="U14" s="2" t="s">
        <v>30</v>
      </c>
      <c r="W14" s="30">
        <f>B14*'Footprints Ireland'!Y12</f>
        <v>6.6744591279849512</v>
      </c>
      <c r="X14" s="4">
        <f>D14*'Footprints Italy'!Y12</f>
        <v>20.173326778853063</v>
      </c>
      <c r="Y14" s="4">
        <f>F14*'Footprints Poland'!Y12</f>
        <v>9.2353145883056857</v>
      </c>
      <c r="Z14" s="14">
        <f>H14*'Footprints Utopia'!F12</f>
        <v>0.38294895407437324</v>
      </c>
      <c r="AA14" s="4">
        <f>J14*'Footprints Italy'!Y12</f>
        <v>20.173326778853063</v>
      </c>
      <c r="AB14" s="4">
        <f>L14*'Footprints Ireland'!Y12</f>
        <v>6.6744591279849512</v>
      </c>
      <c r="AC14" s="4">
        <f>N14*'Footprints Ireland'!Y12</f>
        <v>6.6744591279849512</v>
      </c>
      <c r="AE14" s="2" t="s">
        <v>30</v>
      </c>
      <c r="AF14" s="3"/>
      <c r="AG14" s="3">
        <f>B14*'Footprints Ireland'!G12</f>
        <v>11.847870238654171</v>
      </c>
      <c r="AH14" s="3">
        <f>D14*'Footprints Italy'!G12</f>
        <v>12.245557843197664</v>
      </c>
      <c r="AI14">
        <f>F14*'Footprints Poland'!G12</f>
        <v>9.6963713411294332</v>
      </c>
      <c r="AJ14">
        <f>H14*'Footprints Utopia'!D12</f>
        <v>40.060599999999994</v>
      </c>
      <c r="AK14" s="3">
        <f>J14*'Footprints Italy'!G12</f>
        <v>12.245557843197664</v>
      </c>
      <c r="AL14">
        <f>L14*'Footprints Ireland'!G12</f>
        <v>11.847870238654171</v>
      </c>
      <c r="AM14">
        <f>N14*'Footprints Ireland'!G12</f>
        <v>11.847870238654171</v>
      </c>
    </row>
    <row r="15" spans="1:39" x14ac:dyDescent="0.3">
      <c r="A15" s="2" t="s">
        <v>31</v>
      </c>
      <c r="B15" s="3">
        <f>'Summary consumption'!F13</f>
        <v>4.1920000000000002</v>
      </c>
      <c r="C15" s="3">
        <f>B15*'Footprints Ireland'!X13</f>
        <v>0</v>
      </c>
      <c r="D15" s="3">
        <f>'Summary consumption'!G13</f>
        <v>1.52</v>
      </c>
      <c r="E15" s="3">
        <f>D15*'Footprints Italy'!X13</f>
        <v>0</v>
      </c>
      <c r="F15">
        <f>'Summary consumption'!H13</f>
        <v>2.08</v>
      </c>
      <c r="G15" s="34">
        <f>F15*'Footprints Poland'!X13</f>
        <v>0</v>
      </c>
      <c r="H15" s="11">
        <v>2.1879999999999997</v>
      </c>
      <c r="I15" s="11">
        <f>H15*'Footprints Utopia'!E13</f>
        <v>0</v>
      </c>
      <c r="J15" s="3">
        <f t="shared" si="0"/>
        <v>1.52</v>
      </c>
      <c r="K15">
        <f>J15*'Footprints Italy'!X13</f>
        <v>0</v>
      </c>
      <c r="L15" s="3">
        <f t="shared" si="1"/>
        <v>4.1920000000000002</v>
      </c>
      <c r="M15">
        <f>L15*'Footprints Ireland'!X13</f>
        <v>0</v>
      </c>
      <c r="N15" s="3">
        <f t="shared" si="2"/>
        <v>4.1920000000000002</v>
      </c>
      <c r="O15">
        <f>N15*'Footprints Ireland'!X13</f>
        <v>0</v>
      </c>
      <c r="U15" s="2" t="s">
        <v>31</v>
      </c>
      <c r="W15" s="30">
        <f>B15*'Footprints Ireland'!Y13</f>
        <v>0</v>
      </c>
      <c r="X15" s="4">
        <f>D15*'Footprints Italy'!Y13</f>
        <v>0</v>
      </c>
      <c r="Y15" s="4">
        <f>F15*'Footprints Poland'!Y13</f>
        <v>0</v>
      </c>
      <c r="Z15" s="14">
        <f>H15*'Footprints Utopia'!F13</f>
        <v>0</v>
      </c>
      <c r="AA15" s="4">
        <f>J15*'Footprints Italy'!Y13</f>
        <v>0</v>
      </c>
      <c r="AB15" s="4">
        <f>L15*'Footprints Ireland'!Y13</f>
        <v>0</v>
      </c>
      <c r="AC15" s="4">
        <f>N15*'Footprints Ireland'!Y13</f>
        <v>0</v>
      </c>
      <c r="AE15" s="2" t="s">
        <v>31</v>
      </c>
      <c r="AF15" s="3"/>
      <c r="AG15" s="3">
        <f>B15*'Footprints Ireland'!G13</f>
        <v>0</v>
      </c>
      <c r="AH15" s="3">
        <f>D15*'Footprints Italy'!G13</f>
        <v>0</v>
      </c>
      <c r="AI15">
        <f>F15*'Footprints Poland'!G13</f>
        <v>0</v>
      </c>
      <c r="AJ15">
        <f>H15*'Footprints Utopia'!D13</f>
        <v>0</v>
      </c>
      <c r="AK15" s="3">
        <f>J15*'Footprints Italy'!G13</f>
        <v>0</v>
      </c>
      <c r="AL15">
        <f>L15*'Footprints Ireland'!G13</f>
        <v>0</v>
      </c>
      <c r="AM15">
        <f>N15*'Footprints Ireland'!G13</f>
        <v>0</v>
      </c>
    </row>
    <row r="16" spans="1:39" x14ac:dyDescent="0.3">
      <c r="A16" s="2" t="s">
        <v>32</v>
      </c>
      <c r="B16" s="3">
        <f>'Summary consumption'!F14</f>
        <v>0</v>
      </c>
      <c r="C16" s="3">
        <f>B16*'Footprints Ireland'!X14</f>
        <v>0</v>
      </c>
      <c r="D16" s="3">
        <f>'Summary consumption'!G14</f>
        <v>0</v>
      </c>
      <c r="E16" s="3">
        <f>D16*'Footprints Italy'!X14</f>
        <v>0</v>
      </c>
      <c r="F16">
        <f>'Summary consumption'!H14</f>
        <v>0</v>
      </c>
      <c r="G16" s="34">
        <f>F16*'Footprints Poland'!X14</f>
        <v>0</v>
      </c>
      <c r="H16" s="11">
        <v>6.8000000000000005E-2</v>
      </c>
      <c r="I16" s="11">
        <f>H16*'Footprints Utopia'!E14</f>
        <v>0</v>
      </c>
      <c r="J16" s="3">
        <f t="shared" si="0"/>
        <v>0</v>
      </c>
      <c r="K16">
        <f>J16*'Footprints Italy'!X14</f>
        <v>0</v>
      </c>
      <c r="L16" s="3">
        <f t="shared" si="1"/>
        <v>0</v>
      </c>
      <c r="M16">
        <f>L16*'Footprints Ireland'!X14</f>
        <v>0</v>
      </c>
      <c r="N16" s="3">
        <f t="shared" si="2"/>
        <v>0</v>
      </c>
      <c r="O16">
        <f>N16*'Footprints Ireland'!X14</f>
        <v>0</v>
      </c>
      <c r="U16" s="2" t="s">
        <v>32</v>
      </c>
      <c r="W16" s="30">
        <f>B16*'Footprints Ireland'!Y14</f>
        <v>0</v>
      </c>
      <c r="X16" s="4">
        <f>D16*'Footprints Italy'!Y14</f>
        <v>0</v>
      </c>
      <c r="Y16" s="4">
        <f>F16*'Footprints Poland'!Y14</f>
        <v>0</v>
      </c>
      <c r="Z16" s="14">
        <f>H16*'Footprints Utopia'!F14</f>
        <v>0</v>
      </c>
      <c r="AA16" s="4">
        <f>J16*'Footprints Italy'!Y14</f>
        <v>0</v>
      </c>
      <c r="AB16" s="4">
        <f>L16*'Footprints Ireland'!Y14</f>
        <v>0</v>
      </c>
      <c r="AC16" s="4">
        <f>N16*'Footprints Ireland'!Y14</f>
        <v>0</v>
      </c>
      <c r="AE16" s="2" t="s">
        <v>32</v>
      </c>
      <c r="AF16" s="3"/>
      <c r="AG16" s="3">
        <f>B16*'Footprints Ireland'!G14</f>
        <v>0</v>
      </c>
      <c r="AH16" s="3">
        <f>D16*'Footprints Italy'!G14</f>
        <v>0</v>
      </c>
      <c r="AI16">
        <f>F16*'Footprints Poland'!G14</f>
        <v>0</v>
      </c>
      <c r="AJ16">
        <f>H16*'Footprints Utopia'!D14</f>
        <v>0</v>
      </c>
      <c r="AK16" s="3">
        <f>J16*'Footprints Italy'!G14</f>
        <v>0</v>
      </c>
      <c r="AL16">
        <f>L16*'Footprints Ireland'!G14</f>
        <v>0</v>
      </c>
      <c r="AM16">
        <f>N16*'Footprints Ireland'!G14</f>
        <v>0</v>
      </c>
    </row>
    <row r="17" spans="1:39" x14ac:dyDescent="0.3">
      <c r="A17" s="2" t="s">
        <v>33</v>
      </c>
      <c r="B17" s="3">
        <f>'Summary consumption'!F15</f>
        <v>3.2000000000000001E-2</v>
      </c>
      <c r="C17" s="3">
        <f>B17*'Footprints Ireland'!X15</f>
        <v>0</v>
      </c>
      <c r="D17" s="3">
        <f>'Summary consumption'!G15</f>
        <v>0</v>
      </c>
      <c r="E17" s="3">
        <f>D17*'Footprints Italy'!X15</f>
        <v>0</v>
      </c>
      <c r="F17">
        <f>'Summary consumption'!H15</f>
        <v>8.0000000000000002E-3</v>
      </c>
      <c r="G17" s="34">
        <f>F17*'Footprints Poland'!X15</f>
        <v>0</v>
      </c>
      <c r="H17" s="11">
        <v>8.0000000000000002E-3</v>
      </c>
      <c r="I17" s="11">
        <f>H17*'Footprints Utopia'!E15</f>
        <v>0</v>
      </c>
      <c r="J17" s="3">
        <f t="shared" si="0"/>
        <v>0</v>
      </c>
      <c r="K17">
        <f>J17*'Footprints Italy'!X15</f>
        <v>0</v>
      </c>
      <c r="L17" s="3">
        <f t="shared" si="1"/>
        <v>3.2000000000000001E-2</v>
      </c>
      <c r="M17">
        <f>L17*'Footprints Ireland'!X15</f>
        <v>0</v>
      </c>
      <c r="N17" s="3">
        <f t="shared" si="2"/>
        <v>3.2000000000000001E-2</v>
      </c>
      <c r="O17">
        <f>N17*'Footprints Ireland'!X15</f>
        <v>0</v>
      </c>
      <c r="U17" s="2" t="s">
        <v>33</v>
      </c>
      <c r="W17" s="30">
        <f>B17*'Footprints Ireland'!Y15</f>
        <v>0</v>
      </c>
      <c r="X17" s="4">
        <f>D17*'Footprints Italy'!Y15</f>
        <v>0</v>
      </c>
      <c r="Y17" s="4">
        <f>F17*'Footprints Poland'!Y15</f>
        <v>0</v>
      </c>
      <c r="Z17" s="14">
        <f>H17*'Footprints Utopia'!F15</f>
        <v>0</v>
      </c>
      <c r="AA17" s="4">
        <f>J17*'Footprints Italy'!Y15</f>
        <v>0</v>
      </c>
      <c r="AB17" s="4">
        <f>L17*'Footprints Ireland'!Y15</f>
        <v>0</v>
      </c>
      <c r="AC17" s="4">
        <f>N17*'Footprints Ireland'!Y15</f>
        <v>0</v>
      </c>
      <c r="AE17" s="2" t="s">
        <v>33</v>
      </c>
      <c r="AF17" s="3"/>
      <c r="AG17" s="3">
        <f>B17*'Footprints Ireland'!G15</f>
        <v>0</v>
      </c>
      <c r="AH17" s="3">
        <f>D17*'Footprints Italy'!G15</f>
        <v>0</v>
      </c>
      <c r="AI17">
        <f>F17*'Footprints Poland'!G15</f>
        <v>0</v>
      </c>
      <c r="AJ17">
        <f>H17*'Footprints Utopia'!D15</f>
        <v>0</v>
      </c>
      <c r="AK17" s="3">
        <f>J17*'Footprints Italy'!G15</f>
        <v>0</v>
      </c>
      <c r="AL17">
        <f>L17*'Footprints Ireland'!G15</f>
        <v>0</v>
      </c>
      <c r="AM17">
        <f>N17*'Footprints Ireland'!G15</f>
        <v>0</v>
      </c>
    </row>
    <row r="18" spans="1:39" x14ac:dyDescent="0.3">
      <c r="A18" s="2" t="s">
        <v>34</v>
      </c>
      <c r="B18" s="3">
        <f>'Summary consumption'!F16*C51</f>
        <v>1.10704</v>
      </c>
      <c r="C18" s="3">
        <f>B18*'Footprints Ireland'!X16</f>
        <v>6.5443040332854805</v>
      </c>
      <c r="D18" s="3">
        <f>'Summary consumption'!G16*C51</f>
        <v>1.40896</v>
      </c>
      <c r="E18" s="3">
        <f>D18*'Footprints Italy'!X16</f>
        <v>8.3291142241815201</v>
      </c>
      <c r="F18">
        <f>'Summary consumption'!H16*C51</f>
        <v>0.37813999999999998</v>
      </c>
      <c r="G18" s="34">
        <f>F18*'Footprints Poland'!X16</f>
        <v>2.235387273401658</v>
      </c>
      <c r="H18" s="11">
        <v>4.1300000000000008</v>
      </c>
      <c r="I18" s="11">
        <f>H18*'Footprints Utopia'!E16</f>
        <v>0.16651085671952412</v>
      </c>
      <c r="J18" s="3">
        <f t="shared" si="0"/>
        <v>1.40896</v>
      </c>
      <c r="K18">
        <f>J18*'Footprints Italy'!X16</f>
        <v>8.3291142241815201</v>
      </c>
      <c r="L18" s="3">
        <f t="shared" si="1"/>
        <v>1.10704</v>
      </c>
      <c r="M18">
        <f>L18*'Footprints Ireland'!X16</f>
        <v>6.5443040332854805</v>
      </c>
      <c r="N18" s="3">
        <f t="shared" si="2"/>
        <v>1.10704</v>
      </c>
      <c r="O18">
        <f>N18*'Footprints Ireland'!X16</f>
        <v>6.5443040332854805</v>
      </c>
      <c r="U18" s="2" t="s">
        <v>34</v>
      </c>
      <c r="W18" s="30">
        <f>B18*'Footprints Ireland'!Y16</f>
        <v>0</v>
      </c>
      <c r="X18" s="4">
        <f>D18*'Footprints Italy'!Y16</f>
        <v>0</v>
      </c>
      <c r="Y18" s="4">
        <f>F18*'Footprints Poland'!Y16</f>
        <v>0</v>
      </c>
      <c r="Z18" s="14">
        <f>H18*'Footprints Utopia'!F16</f>
        <v>0</v>
      </c>
      <c r="AA18" s="4">
        <f>J18*'Footprints Italy'!Y16</f>
        <v>0</v>
      </c>
      <c r="AB18" s="4">
        <f>L18*'Footprints Ireland'!Y16</f>
        <v>0</v>
      </c>
      <c r="AC18" s="4">
        <f>N18*'Footprints Ireland'!Y16</f>
        <v>0</v>
      </c>
      <c r="AE18" s="2" t="s">
        <v>34</v>
      </c>
      <c r="AF18" s="3"/>
      <c r="AG18" s="3">
        <f>B18*'Footprints Ireland'!G16</f>
        <v>14.243324315387895</v>
      </c>
      <c r="AH18" s="3">
        <f>D18*'Footprints Italy'!G16</f>
        <v>18.127867310493684</v>
      </c>
      <c r="AI18">
        <f>F18*'Footprints Poland'!G16</f>
        <v>4.8651996825957315</v>
      </c>
      <c r="AJ18">
        <f>H18*'Footprints Utopia'!D16</f>
        <v>11.977000000000002</v>
      </c>
      <c r="AK18" s="3">
        <f>J18*'Footprints Italy'!G16</f>
        <v>18.127867310493684</v>
      </c>
      <c r="AL18">
        <f>L18*'Footprints Ireland'!G16</f>
        <v>14.243324315387895</v>
      </c>
      <c r="AM18">
        <f>N18*'Footprints Ireland'!G16</f>
        <v>14.243324315387895</v>
      </c>
    </row>
    <row r="19" spans="1:39" x14ac:dyDescent="0.3">
      <c r="A19" s="2" t="s">
        <v>35</v>
      </c>
      <c r="B19" s="3">
        <f>'Summary consumption'!F17*C52</f>
        <v>3.9120000000000005E-3</v>
      </c>
      <c r="C19" s="3">
        <f>B19*'Footprints Ireland'!X17</f>
        <v>1.4096879218396691E-2</v>
      </c>
      <c r="D19" s="3">
        <f>'Summary consumption'!G17*C52</f>
        <v>0.47987200000000002</v>
      </c>
      <c r="E19" s="3">
        <f>D19*'Footprints Italy'!X17</f>
        <v>1.7292171841233273</v>
      </c>
      <c r="F19">
        <f>'Summary consumption'!H17*C52</f>
        <v>0</v>
      </c>
      <c r="G19" s="34">
        <f>F19*'Footprints Poland'!X17</f>
        <v>0</v>
      </c>
      <c r="H19" s="11">
        <v>0.39</v>
      </c>
      <c r="I19" s="11">
        <f>H19*'Footprints Utopia'!E17</f>
        <v>9.4342713008156338E-3</v>
      </c>
      <c r="J19" s="3">
        <f t="shared" si="0"/>
        <v>0.47987200000000002</v>
      </c>
      <c r="K19">
        <f>J19*'Footprints Italy'!X17</f>
        <v>1.7292171841233273</v>
      </c>
      <c r="L19" s="3">
        <f t="shared" si="1"/>
        <v>3.9120000000000005E-3</v>
      </c>
      <c r="M19">
        <f>L19*'Footprints Ireland'!X17</f>
        <v>1.4096879218396691E-2</v>
      </c>
      <c r="N19" s="3">
        <f t="shared" si="2"/>
        <v>3.9120000000000005E-3</v>
      </c>
      <c r="O19">
        <f>N19*'Footprints Ireland'!X17</f>
        <v>1.4096879218396691E-2</v>
      </c>
      <c r="U19" s="2" t="s">
        <v>35</v>
      </c>
      <c r="W19" s="30">
        <f>B19*'Footprints Ireland'!Y17</f>
        <v>0</v>
      </c>
      <c r="X19" s="4">
        <f>D19*'Footprints Italy'!Y17</f>
        <v>0</v>
      </c>
      <c r="Y19" s="4">
        <f>F19*'Footprints Poland'!Y17</f>
        <v>0</v>
      </c>
      <c r="Z19" s="14">
        <f>H19*'Footprints Utopia'!F17</f>
        <v>0</v>
      </c>
      <c r="AA19" s="4">
        <f>J19*'Footprints Italy'!Y17</f>
        <v>0</v>
      </c>
      <c r="AB19" s="4">
        <f>L19*'Footprints Ireland'!Y17</f>
        <v>0</v>
      </c>
      <c r="AC19" s="4">
        <f>N19*'Footprints Ireland'!Y17</f>
        <v>0</v>
      </c>
      <c r="AE19" s="2" t="s">
        <v>35</v>
      </c>
      <c r="AF19" s="3"/>
      <c r="AG19" s="3">
        <f>B19*'Footprints Ireland'!G17</f>
        <v>2.6725270602731069E-2</v>
      </c>
      <c r="AH19" s="3">
        <f>D19*'Footprints Italy'!G17</f>
        <v>3.2782998606016776</v>
      </c>
      <c r="AI19">
        <f>F19*'Footprints Poland'!G17</f>
        <v>0</v>
      </c>
      <c r="AJ19">
        <f>H19*'Footprints Utopia'!D17</f>
        <v>1.131</v>
      </c>
      <c r="AK19" s="3">
        <f>J19*'Footprints Italy'!G17</f>
        <v>3.2782998606016776</v>
      </c>
      <c r="AL19">
        <f>L19*'Footprints Ireland'!G17</f>
        <v>2.6725270602731069E-2</v>
      </c>
      <c r="AM19">
        <f>N19*'Footprints Ireland'!G17</f>
        <v>2.6725270602731069E-2</v>
      </c>
    </row>
    <row r="20" spans="1:39" x14ac:dyDescent="0.3">
      <c r="A20" s="2" t="s">
        <v>36</v>
      </c>
      <c r="B20" s="3">
        <f>'Summary consumption'!F18*C46</f>
        <v>0.69458999999999993</v>
      </c>
      <c r="C20" s="3">
        <f>B20*'Footprints Ireland'!X18</f>
        <v>0</v>
      </c>
      <c r="D20" s="3">
        <f>'Summary consumption'!G18*C46</f>
        <v>0.93023</v>
      </c>
      <c r="E20" s="3">
        <f>D20*'Footprints Italy'!X18</f>
        <v>0</v>
      </c>
      <c r="F20">
        <f>'Summary consumption'!H18*C46</f>
        <v>6.9870000000000002E-2</v>
      </c>
      <c r="G20" s="34">
        <f>F20*'Footprints Poland'!X18</f>
        <v>0</v>
      </c>
      <c r="H20" s="11">
        <v>1.534</v>
      </c>
      <c r="I20" s="11">
        <f>H20*'Footprints Utopia'!E18</f>
        <v>0</v>
      </c>
      <c r="J20" s="3">
        <f t="shared" si="0"/>
        <v>0.93023</v>
      </c>
      <c r="K20">
        <f>J20*'Footprints Italy'!X18</f>
        <v>0</v>
      </c>
      <c r="L20" s="3">
        <f t="shared" si="1"/>
        <v>0.69458999999999993</v>
      </c>
      <c r="M20">
        <f>L20*'Footprints Ireland'!X18</f>
        <v>0</v>
      </c>
      <c r="N20" s="3">
        <f t="shared" si="2"/>
        <v>0.69458999999999993</v>
      </c>
      <c r="O20">
        <f>N20*'Footprints Ireland'!X18</f>
        <v>0</v>
      </c>
      <c r="U20" s="2" t="s">
        <v>36</v>
      </c>
      <c r="W20" s="30">
        <f>B20*'Footprints Ireland'!Y18</f>
        <v>0</v>
      </c>
      <c r="X20" s="4">
        <f>D20*'Footprints Italy'!Y18</f>
        <v>0</v>
      </c>
      <c r="Y20" s="4">
        <f>F20*'Footprints Poland'!Y18</f>
        <v>0</v>
      </c>
      <c r="Z20" s="14">
        <f>H20*'Footprints Utopia'!F18</f>
        <v>0</v>
      </c>
      <c r="AA20" s="4">
        <f>J20*'Footprints Italy'!Y18</f>
        <v>0</v>
      </c>
      <c r="AB20" s="4">
        <f>L20*'Footprints Ireland'!Y18</f>
        <v>0</v>
      </c>
      <c r="AC20" s="4">
        <f>N20*'Footprints Ireland'!Y18</f>
        <v>0</v>
      </c>
      <c r="AE20" s="2" t="s">
        <v>36</v>
      </c>
      <c r="AF20" s="3"/>
      <c r="AG20" s="3">
        <f>B20*'Footprints Ireland'!G18</f>
        <v>0</v>
      </c>
      <c r="AH20" s="3">
        <f>D20*'Footprints Italy'!G18</f>
        <v>0</v>
      </c>
      <c r="AI20">
        <f>F20*'Footprints Poland'!G18</f>
        <v>0</v>
      </c>
      <c r="AJ20">
        <f>H20*'Footprints Utopia'!D18</f>
        <v>0</v>
      </c>
      <c r="AK20" s="3">
        <f>J20*'Footprints Italy'!G18</f>
        <v>0</v>
      </c>
      <c r="AL20">
        <f>L20*'Footprints Ireland'!G18</f>
        <v>0</v>
      </c>
      <c r="AM20">
        <f>N20*'Footprints Ireland'!G18</f>
        <v>0</v>
      </c>
    </row>
    <row r="21" spans="1:39" x14ac:dyDescent="0.3">
      <c r="A21" s="2" t="s">
        <v>37</v>
      </c>
      <c r="B21" s="3">
        <f>'Summary consumption'!F19</f>
        <v>288.68799999999999</v>
      </c>
      <c r="C21" s="3">
        <f>B21*'Footprints Ireland'!X19</f>
        <v>2.8868800000000001</v>
      </c>
      <c r="D21" s="3">
        <f>'Summary consumption'!G19</f>
        <v>217.01600000000002</v>
      </c>
      <c r="E21" s="3">
        <f>D21*'Footprints Italy'!X19</f>
        <v>2.1701600000000001</v>
      </c>
      <c r="F21">
        <f>'Summary consumption'!H19</f>
        <v>174.92600000000002</v>
      </c>
      <c r="G21" s="34">
        <f>F21*'Footprints Poland'!X19</f>
        <v>1.7492600000000003</v>
      </c>
      <c r="H21" s="11">
        <v>191.99799999999999</v>
      </c>
      <c r="I21" s="11">
        <f>H21*'Footprints Utopia'!E19</f>
        <v>1.7189802332049009E-3</v>
      </c>
      <c r="J21" s="3">
        <f t="shared" si="0"/>
        <v>217.01600000000002</v>
      </c>
      <c r="K21">
        <f>J21*'Footprints Italy'!X19</f>
        <v>2.1701600000000001</v>
      </c>
      <c r="L21" s="3">
        <f t="shared" si="1"/>
        <v>288.68799999999999</v>
      </c>
      <c r="M21">
        <f>L21*'Footprints Ireland'!X19</f>
        <v>2.8868800000000001</v>
      </c>
      <c r="N21" s="3">
        <f t="shared" si="2"/>
        <v>288.68799999999999</v>
      </c>
      <c r="O21">
        <f>N21*'Footprints Ireland'!X19</f>
        <v>2.8868800000000001</v>
      </c>
      <c r="U21" s="2" t="s">
        <v>37</v>
      </c>
      <c r="W21" s="30">
        <f>B21*'Footprints Ireland'!Y19</f>
        <v>995.86572646526713</v>
      </c>
      <c r="X21" s="4">
        <f>D21*'Footprints Italy'!Y19</f>
        <v>1710.6815747193075</v>
      </c>
      <c r="Y21" s="4">
        <f>F21*'Footprints Poland'!Y19</f>
        <v>933.37676097175529</v>
      </c>
      <c r="Z21" s="14">
        <f>H21*'Footprints Utopia'!F19</f>
        <v>29.636705450768638</v>
      </c>
      <c r="AA21" s="4">
        <f>J21*'Footprints Italy'!Y19</f>
        <v>1710.6815747193075</v>
      </c>
      <c r="AB21" s="4">
        <f>L21*'Footprints Ireland'!Y19</f>
        <v>995.86572646526713</v>
      </c>
      <c r="AC21" s="4">
        <f>N21*'Footprints Ireland'!Y19</f>
        <v>995.86572646526713</v>
      </c>
      <c r="AE21" s="2" t="s">
        <v>37</v>
      </c>
      <c r="AF21" s="3"/>
      <c r="AG21" s="3">
        <f>B21*'Footprints Ireland'!G19</f>
        <v>270.27745084511059</v>
      </c>
      <c r="AH21" s="3">
        <f>D21*'Footprints Italy'!G19</f>
        <v>245.88847220580192</v>
      </c>
      <c r="AI21">
        <f>F21*'Footprints Poland'!G19</f>
        <v>185.5614600832709</v>
      </c>
      <c r="AJ21">
        <f>H21*'Footprints Utopia'!D19</f>
        <v>55.679419999999993</v>
      </c>
      <c r="AK21" s="3">
        <f>J21*'Footprints Italy'!G19</f>
        <v>245.88847220580192</v>
      </c>
      <c r="AL21">
        <f>L21*'Footprints Ireland'!G19</f>
        <v>270.27745084511059</v>
      </c>
      <c r="AM21">
        <f>N21*'Footprints Ireland'!G19</f>
        <v>270.27745084511059</v>
      </c>
    </row>
    <row r="22" spans="1:39" x14ac:dyDescent="0.3">
      <c r="A22" s="2" t="s">
        <v>38</v>
      </c>
      <c r="B22" s="3">
        <f>'Summary consumption'!F20*C53</f>
        <v>0.35342999999999997</v>
      </c>
      <c r="C22" s="3">
        <f>B22*'Footprints Ireland'!X20</f>
        <v>4.8112668791830497</v>
      </c>
      <c r="D22" s="3">
        <f>'Summary consumption'!G20*C53</f>
        <v>1.9581099999999998</v>
      </c>
      <c r="E22" s="3">
        <f>D22*'Footprints Italy'!X20</f>
        <v>26.65588599948256</v>
      </c>
      <c r="F22">
        <f>'Summary consumption'!H20*C53</f>
        <v>9.0090000000000017E-2</v>
      </c>
      <c r="G22" s="34">
        <f>F22*'Footprints Poland'!X20</f>
        <v>1.2264013613603855</v>
      </c>
      <c r="H22" s="11">
        <v>1.8539999999999999</v>
      </c>
      <c r="I22" s="11">
        <f>H22*'Footprints Utopia'!E20</f>
        <v>1.9415911765372877</v>
      </c>
      <c r="J22" s="3">
        <f t="shared" si="0"/>
        <v>1.9581099999999998</v>
      </c>
      <c r="K22">
        <f>J22*'Footprints Italy'!X20</f>
        <v>26.65588599948256</v>
      </c>
      <c r="L22" s="3">
        <f t="shared" si="1"/>
        <v>0.35342999999999997</v>
      </c>
      <c r="M22">
        <f>L22*'Footprints Ireland'!X20</f>
        <v>4.8112668791830497</v>
      </c>
      <c r="N22" s="3">
        <f t="shared" si="2"/>
        <v>0.35342999999999997</v>
      </c>
      <c r="O22">
        <f>N22*'Footprints Ireland'!X20</f>
        <v>4.8112668791830497</v>
      </c>
      <c r="U22" s="2" t="s">
        <v>38</v>
      </c>
      <c r="W22" s="30">
        <f>B22*'Footprints Ireland'!Y20</f>
        <v>0</v>
      </c>
      <c r="X22" s="4">
        <f>D22*'Footprints Italy'!Y20</f>
        <v>0</v>
      </c>
      <c r="Y22" s="4">
        <f>F22*'Footprints Poland'!Y20</f>
        <v>0</v>
      </c>
      <c r="Z22" s="14">
        <f>H22*'Footprints Utopia'!F20</f>
        <v>0</v>
      </c>
      <c r="AA22" s="4">
        <f>J22*'Footprints Italy'!Y20</f>
        <v>0</v>
      </c>
      <c r="AB22" s="4">
        <f>L22*'Footprints Ireland'!Y20</f>
        <v>0</v>
      </c>
      <c r="AC22" s="4">
        <f>N22*'Footprints Ireland'!Y20</f>
        <v>0</v>
      </c>
      <c r="AE22" s="2" t="s">
        <v>38</v>
      </c>
      <c r="AF22" s="3"/>
      <c r="AG22" s="3">
        <f>B22*'Footprints Ireland'!G20</f>
        <v>5.2335641328511775</v>
      </c>
      <c r="AH22" s="3">
        <f>D22*'Footprints Italy'!G20</f>
        <v>28.995541590066548</v>
      </c>
      <c r="AI22">
        <f>F22*'Footprints Poland'!G20</f>
        <v>1.3340457593542221</v>
      </c>
      <c r="AJ22">
        <f>H22*'Footprints Utopia'!D20</f>
        <v>5.3765999999999998</v>
      </c>
      <c r="AK22" s="3">
        <f>J22*'Footprints Italy'!G20</f>
        <v>28.995541590066548</v>
      </c>
      <c r="AL22">
        <f>L22*'Footprints Ireland'!G20</f>
        <v>5.2335641328511775</v>
      </c>
      <c r="AM22">
        <f>N22*'Footprints Ireland'!G20</f>
        <v>5.2335641328511775</v>
      </c>
    </row>
    <row r="23" spans="1:39" x14ac:dyDescent="0.3">
      <c r="A23" s="2" t="s">
        <v>39</v>
      </c>
      <c r="B23" s="3">
        <f>'Summary consumption'!F21*C43</f>
        <v>2.3477099999999997</v>
      </c>
      <c r="C23" s="3">
        <f>B23*'Footprints Ireland'!X21</f>
        <v>7.8253690459619953</v>
      </c>
      <c r="D23" s="3">
        <f>'Summary consumption'!G21*C43</f>
        <v>0.58796999999999999</v>
      </c>
      <c r="E23" s="3">
        <f>D23*'Footprints Italy'!X21</f>
        <v>2.1009148180864559</v>
      </c>
      <c r="F23">
        <f>'Summary consumption'!H21*C43</f>
        <v>2.2239999999999999E-2</v>
      </c>
      <c r="G23" s="34">
        <f>F23*'Footprints Poland'!X21</f>
        <v>8.3172697738817761E-2</v>
      </c>
      <c r="H23" s="11">
        <v>1.6839999999999999</v>
      </c>
      <c r="I23" s="11">
        <f>H23*'Footprints Utopia'!E21</f>
        <v>8.6112534305606808E-2</v>
      </c>
      <c r="J23" s="3">
        <f t="shared" si="0"/>
        <v>0.58796999999999999</v>
      </c>
      <c r="K23">
        <f>J23*'Footprints Italy'!X21</f>
        <v>2.1009148180864559</v>
      </c>
      <c r="L23" s="3">
        <f t="shared" si="1"/>
        <v>2.3477099999999997</v>
      </c>
      <c r="M23">
        <f>L23*'Footprints Ireland'!X21</f>
        <v>7.8253690459619953</v>
      </c>
      <c r="N23" s="3">
        <f t="shared" si="2"/>
        <v>2.3477099999999997</v>
      </c>
      <c r="O23">
        <f>N23*'Footprints Ireland'!X21</f>
        <v>7.8253690459619953</v>
      </c>
      <c r="U23" s="2" t="s">
        <v>39</v>
      </c>
      <c r="W23" s="30">
        <f>B23*'Footprints Ireland'!Y21</f>
        <v>81.483977105031585</v>
      </c>
      <c r="X23" s="4">
        <f>D23*'Footprints Italy'!Y21</f>
        <v>53.615386568986693</v>
      </c>
      <c r="Y23" s="4">
        <f>F23*'Footprints Poland'!Y21</f>
        <v>1.2610532286416234</v>
      </c>
      <c r="Z23" s="14">
        <f>H23*'Footprints Utopia'!F21</f>
        <v>4.1183205077229736</v>
      </c>
      <c r="AA23" s="4">
        <f>J23*'Footprints Italy'!Y21</f>
        <v>53.615386568986693</v>
      </c>
      <c r="AB23" s="4">
        <f>L23*'Footprints Ireland'!Y21</f>
        <v>81.483977105031585</v>
      </c>
      <c r="AC23" s="4">
        <f>N23*'Footprints Ireland'!Y21</f>
        <v>81.483977105031585</v>
      </c>
      <c r="AE23" s="2" t="s">
        <v>39</v>
      </c>
      <c r="AF23" s="3"/>
      <c r="AG23" s="3">
        <f>B23*'Footprints Ireland'!G21</f>
        <v>89.335420485568022</v>
      </c>
      <c r="AH23" s="3">
        <f>D23*'Footprints Italy'!G21</f>
        <v>21.195803952533495</v>
      </c>
      <c r="AI23">
        <f>F23*'Footprints Poland'!G21</f>
        <v>0.8443720078705621</v>
      </c>
      <c r="AJ23">
        <f>H23*'Footprints Utopia'!D21</f>
        <v>4.8835999999999995</v>
      </c>
      <c r="AK23" s="3">
        <f>J23*'Footprints Italy'!G21</f>
        <v>21.195803952533495</v>
      </c>
      <c r="AL23">
        <f>L23*'Footprints Ireland'!G21</f>
        <v>89.335420485568022</v>
      </c>
      <c r="AM23">
        <f>N23*'Footprints Ireland'!G21</f>
        <v>89.335420485568022</v>
      </c>
    </row>
    <row r="24" spans="1:39" x14ac:dyDescent="0.3">
      <c r="A24" s="2" t="s">
        <v>40</v>
      </c>
      <c r="B24" s="3">
        <f>'Summary consumption'!F22</f>
        <v>2.6420000000000003</v>
      </c>
      <c r="C24" s="3">
        <f>B24*'Footprints Ireland'!X22</f>
        <v>8.8062942268983804</v>
      </c>
      <c r="D24" s="3">
        <f>'Summary consumption'!G22</f>
        <v>2.5420000000000003</v>
      </c>
      <c r="E24" s="3">
        <f>D24*'Footprints Italy'!X22</f>
        <v>9.0829897232439958</v>
      </c>
      <c r="F24">
        <f>'Summary consumption'!H22</f>
        <v>1.06</v>
      </c>
      <c r="G24" s="34">
        <f>F24*'Footprints Poland'!X22</f>
        <v>3.9641663490623578</v>
      </c>
      <c r="H24" s="11">
        <v>3.286</v>
      </c>
      <c r="I24" s="11">
        <f>H24*'Footprints Utopia'!E22</f>
        <v>6.5255122507258288E-3</v>
      </c>
      <c r="J24" s="3">
        <f t="shared" si="0"/>
        <v>2.5420000000000003</v>
      </c>
      <c r="K24">
        <f>J24*'Footprints Italy'!X22</f>
        <v>9.0829897232439958</v>
      </c>
      <c r="L24" s="3">
        <f t="shared" si="1"/>
        <v>2.6420000000000003</v>
      </c>
      <c r="M24">
        <f>L24*'Footprints Ireland'!X22</f>
        <v>8.8062942268983804</v>
      </c>
      <c r="N24" s="3">
        <f t="shared" si="2"/>
        <v>2.6420000000000003</v>
      </c>
      <c r="O24">
        <f>N24*'Footprints Ireland'!X22</f>
        <v>8.8062942268983804</v>
      </c>
      <c r="U24" s="2" t="s">
        <v>40</v>
      </c>
      <c r="W24" s="30">
        <f>B24*'Footprints Ireland'!Y22</f>
        <v>91.698151607947111</v>
      </c>
      <c r="X24" s="4">
        <f>D24*'Footprints Italy'!Y22</f>
        <v>231.79807244989402</v>
      </c>
      <c r="Y24" s="4">
        <f>F24*'Footprints Poland'!Y22</f>
        <v>60.104155681660117</v>
      </c>
      <c r="Z24" s="14">
        <f>H24*'Footprints Utopia'!F22</f>
        <v>16.072210433424782</v>
      </c>
      <c r="AA24" s="4">
        <f>J24*'Footprints Italy'!Y22</f>
        <v>231.79807244989402</v>
      </c>
      <c r="AB24" s="4">
        <f>L24*'Footprints Ireland'!Y22</f>
        <v>91.698151607947111</v>
      </c>
      <c r="AC24" s="4">
        <f>N24*'Footprints Ireland'!Y22</f>
        <v>91.698151607947111</v>
      </c>
      <c r="AE24" s="2" t="s">
        <v>40</v>
      </c>
      <c r="AF24" s="3"/>
      <c r="AG24" s="3">
        <f>B24*'Footprints Ireland'!G22</f>
        <v>100.53378863780908</v>
      </c>
      <c r="AH24" s="3">
        <f>D24*'Footprints Italy'!G22</f>
        <v>91.636875431297767</v>
      </c>
      <c r="AI24">
        <f>F24*'Footprints Poland'!G22</f>
        <v>40.244349295989025</v>
      </c>
      <c r="AJ24">
        <f>H24*'Footprints Utopia'!D22</f>
        <v>9.529399999999999</v>
      </c>
      <c r="AK24" s="3">
        <f>J24*'Footprints Italy'!G22</f>
        <v>91.636875431297767</v>
      </c>
      <c r="AL24">
        <f>L24*'Footprints Ireland'!G22</f>
        <v>100.53378863780908</v>
      </c>
      <c r="AM24">
        <f>N24*'Footprints Ireland'!G22</f>
        <v>100.53378863780908</v>
      </c>
    </row>
    <row r="25" spans="1:39" x14ac:dyDescent="0.3">
      <c r="A25" s="2" t="s">
        <v>41</v>
      </c>
      <c r="B25" s="3">
        <f>'Summary consumption'!F23*C54</f>
        <v>3.3810400000000005</v>
      </c>
      <c r="C25" s="3">
        <f>B25*'Footprints Ireland'!X23</f>
        <v>36.232828948920442</v>
      </c>
      <c r="D25" s="3">
        <f>'Summary consumption'!G23*C54</f>
        <v>2.7497600000000002</v>
      </c>
      <c r="E25" s="3">
        <f>D25*'Footprints Italy'!X23</f>
        <v>29.467732925544642</v>
      </c>
      <c r="F25">
        <f>'Summary consumption'!H23*C54</f>
        <v>2.8204799999999999</v>
      </c>
      <c r="G25" s="34">
        <f>F25*'Footprints Poland'!X23</f>
        <v>30.225602002298434</v>
      </c>
      <c r="H25" s="11">
        <v>5.3320000000000007</v>
      </c>
      <c r="I25" s="11">
        <f>H25*'Footprints Utopia'!E23</f>
        <v>0.38627847731264381</v>
      </c>
      <c r="J25" s="3">
        <f t="shared" si="0"/>
        <v>2.7497600000000002</v>
      </c>
      <c r="K25">
        <f>J25*'Footprints Italy'!X23</f>
        <v>29.467732925544642</v>
      </c>
      <c r="L25" s="3">
        <f t="shared" si="1"/>
        <v>3.3810400000000005</v>
      </c>
      <c r="M25">
        <f>L25*'Footprints Ireland'!X23</f>
        <v>36.232828948920442</v>
      </c>
      <c r="N25" s="3">
        <f t="shared" si="2"/>
        <v>3.3810400000000005</v>
      </c>
      <c r="O25">
        <f>N25*'Footprints Ireland'!X23</f>
        <v>36.232828948920442</v>
      </c>
      <c r="U25" s="2" t="s">
        <v>41</v>
      </c>
      <c r="W25" s="30">
        <f>B25*'Footprints Ireland'!Y23</f>
        <v>0</v>
      </c>
      <c r="X25" s="4">
        <f>D25*'Footprints Italy'!Y23</f>
        <v>0</v>
      </c>
      <c r="Y25" s="4">
        <f>F25*'Footprints Poland'!Y23</f>
        <v>0</v>
      </c>
      <c r="Z25" s="14">
        <f>H25*'Footprints Utopia'!F23</f>
        <v>0</v>
      </c>
      <c r="AA25" s="4">
        <f>J25*'Footprints Italy'!Y23</f>
        <v>0</v>
      </c>
      <c r="AB25" s="4">
        <f>L25*'Footprints Ireland'!Y23</f>
        <v>0</v>
      </c>
      <c r="AC25" s="4">
        <f>N25*'Footprints Ireland'!Y23</f>
        <v>0</v>
      </c>
      <c r="AE25" s="2" t="s">
        <v>41</v>
      </c>
      <c r="AF25" s="3"/>
      <c r="AG25" s="3">
        <f>B25*'Footprints Ireland'!G23</f>
        <v>17.785523536197747</v>
      </c>
      <c r="AH25" s="3">
        <f>D25*'Footprints Italy'!G23</f>
        <v>14.46475676090644</v>
      </c>
      <c r="AI25">
        <f>F25*'Footprints Poland'!G23</f>
        <v>14.836770172306453</v>
      </c>
      <c r="AJ25">
        <f>H25*'Footprints Utopia'!D23</f>
        <v>15.462800000000001</v>
      </c>
      <c r="AK25" s="3">
        <f>J25*'Footprints Italy'!G23</f>
        <v>14.46475676090644</v>
      </c>
      <c r="AL25">
        <f>L25*'Footprints Ireland'!G23</f>
        <v>17.785523536197747</v>
      </c>
      <c r="AM25">
        <f>N25*'Footprints Ireland'!G23</f>
        <v>17.785523536197747</v>
      </c>
    </row>
    <row r="26" spans="1:39" x14ac:dyDescent="0.3">
      <c r="A26" s="2" t="s">
        <v>42</v>
      </c>
      <c r="B26" s="3">
        <f>'Summary consumption'!F24*C44</f>
        <v>17.143039999999999</v>
      </c>
      <c r="C26" s="3">
        <f>B26*'Footprints Ireland'!X24</f>
        <v>77.772886900258612</v>
      </c>
      <c r="D26" s="3">
        <f>'Summary consumption'!G24*C44</f>
        <v>21.824099999999994</v>
      </c>
      <c r="E26" s="3">
        <f>D26*'Footprints Italy'!X24</f>
        <v>87.472925977022456</v>
      </c>
      <c r="F26">
        <f>'Summary consumption'!H24*C44</f>
        <v>32.471240000000002</v>
      </c>
      <c r="G26" s="30">
        <f>F26*'Footprints Poland'!X24</f>
        <v>145.32504574137081</v>
      </c>
      <c r="H26" s="11">
        <v>34.833999999999996</v>
      </c>
      <c r="I26" s="11">
        <f>H26*'Footprints Utopia'!E24</f>
        <v>6.9175195904377207E-2</v>
      </c>
      <c r="J26" s="3">
        <f t="shared" si="0"/>
        <v>21.824099999999994</v>
      </c>
      <c r="K26">
        <f>J26*'Footprints Italy'!X24</f>
        <v>87.472925977022456</v>
      </c>
      <c r="L26" s="3">
        <f t="shared" si="1"/>
        <v>17.143039999999999</v>
      </c>
      <c r="M26">
        <f>L26*'Footprints Ireland'!X24</f>
        <v>77.772886900258612</v>
      </c>
      <c r="N26" s="3">
        <f t="shared" si="2"/>
        <v>17.143039999999999</v>
      </c>
      <c r="O26">
        <f>N26*'Footprints Ireland'!X24</f>
        <v>77.772886900258612</v>
      </c>
      <c r="U26" s="2" t="s">
        <v>42</v>
      </c>
      <c r="W26" s="30">
        <f>B26*'Footprints Ireland'!Y24</f>
        <v>1864.9513351659682</v>
      </c>
      <c r="X26" s="4">
        <f>D26*'Footprints Italy'!Y24</f>
        <v>5512.375106213306</v>
      </c>
      <c r="Y26" s="4">
        <f>F26*'Footprints Poland'!Y24</f>
        <v>5200.070588442476</v>
      </c>
      <c r="Z26" s="14">
        <f>H26*'Footprints Utopia'!F24</f>
        <v>170.3771692750818</v>
      </c>
      <c r="AA26" s="4">
        <f>J26*'Footprints Italy'!Y24</f>
        <v>5512.375106213306</v>
      </c>
      <c r="AB26" s="4">
        <f>L26*'Footprints Ireland'!Y24</f>
        <v>1864.9513351659682</v>
      </c>
      <c r="AC26" s="4">
        <f>N26*'Footprints Ireland'!Y24</f>
        <v>1864.9513351659682</v>
      </c>
      <c r="AE26" s="2" t="s">
        <v>42</v>
      </c>
      <c r="AF26" s="3"/>
      <c r="AG26" s="3">
        <f>B26*'Footprints Ireland'!G24</f>
        <v>104.11140705107606</v>
      </c>
      <c r="AH26" s="3">
        <f>D26*'Footprints Italy'!G24</f>
        <v>168.59508019491025</v>
      </c>
      <c r="AI26">
        <f>F26*'Footprints Poland'!G24</f>
        <v>232.12157467801669</v>
      </c>
      <c r="AJ26">
        <f>H26*'Footprints Utopia'!D24</f>
        <v>101.01859999999999</v>
      </c>
      <c r="AK26" s="3">
        <f>J26*'Footprints Italy'!G24</f>
        <v>168.59508019491025</v>
      </c>
      <c r="AL26">
        <f>L26*'Footprints Ireland'!G24</f>
        <v>104.11140705107606</v>
      </c>
      <c r="AM26">
        <f>N26*'Footprints Ireland'!G24</f>
        <v>104.11140705107606</v>
      </c>
    </row>
    <row r="27" spans="1:39" x14ac:dyDescent="0.3">
      <c r="A27" s="2" t="s">
        <v>43</v>
      </c>
      <c r="B27" s="3">
        <f>'Summary consumption'!F25*C45</f>
        <v>20.33878</v>
      </c>
      <c r="C27" s="3">
        <f>B27*'Footprints Ireland'!X25</f>
        <v>1909.057645129747</v>
      </c>
      <c r="D27" s="3">
        <f>'Summary consumption'!G25*C45</f>
        <v>15.304519999999998</v>
      </c>
      <c r="E27" s="3">
        <f>D27*'Footprints Italy'!X25</f>
        <v>1447.169076787445</v>
      </c>
      <c r="F27">
        <f>'Summary consumption'!H25*C45</f>
        <v>24.105620000000002</v>
      </c>
      <c r="G27" s="30">
        <f>F27*'Footprints Poland'!X25</f>
        <v>2208.7764653260519</v>
      </c>
      <c r="H27" s="11">
        <v>25.529999999999998</v>
      </c>
      <c r="I27" s="11">
        <f>H27*'Footprints Utopia'!E25</f>
        <v>1.3054946560701555</v>
      </c>
      <c r="J27" s="3">
        <f t="shared" si="0"/>
        <v>15.304519999999998</v>
      </c>
      <c r="K27">
        <f>J27*'Footprints Italy'!X25</f>
        <v>1447.169076787445</v>
      </c>
      <c r="L27" s="27">
        <f>B27+L8</f>
        <v>30.644780000000001</v>
      </c>
      <c r="M27" s="32">
        <f>L27*'Footprints Ireland'!X25</f>
        <v>2876.4090836480441</v>
      </c>
      <c r="N27" s="3">
        <f t="shared" si="2"/>
        <v>20.33878</v>
      </c>
      <c r="O27">
        <f>N27*'Footprints Ireland'!X25</f>
        <v>1909.057645129747</v>
      </c>
      <c r="U27" s="2" t="s">
        <v>43</v>
      </c>
      <c r="W27" s="30">
        <f>B27*'Footprints Ireland'!Y25</f>
        <v>1069.4821206127535</v>
      </c>
      <c r="X27" s="4">
        <f>D27*'Footprints Italy'!Y25</f>
        <v>2350.3431327770927</v>
      </c>
      <c r="Y27" s="4">
        <f>F27*'Footprints Poland'!Y25</f>
        <v>1974.9534371702639</v>
      </c>
      <c r="Z27" s="14">
        <f>H27*'Footprints Utopia'!F25</f>
        <v>62.435108409838193</v>
      </c>
      <c r="AA27" s="4">
        <f>J27*'Footprints Italy'!Y25</f>
        <v>2350.3431327770927</v>
      </c>
      <c r="AB27" s="4">
        <f>L27*'Footprints Ireland'!Y25</f>
        <v>1611.4065986313487</v>
      </c>
      <c r="AC27" s="4">
        <f>N27*'Footprints Ireland'!Y25</f>
        <v>1069.4821206127535</v>
      </c>
      <c r="AE27" s="2" t="s">
        <v>43</v>
      </c>
      <c r="AF27" s="3"/>
      <c r="AG27" s="3">
        <f>B27*'Footprints Ireland'!G25</f>
        <v>44.27205928643388</v>
      </c>
      <c r="AH27" s="3">
        <f>D27*'Footprints Italy'!G25</f>
        <v>28.297499989926703</v>
      </c>
      <c r="AI27">
        <f>F27*'Footprints Poland'!G25</f>
        <v>52.006043417423442</v>
      </c>
      <c r="AJ27">
        <f>H27*'Footprints Utopia'!D25</f>
        <v>74.036999999999992</v>
      </c>
      <c r="AK27" s="3">
        <f>J27*'Footprints Italy'!G25</f>
        <v>28.297499989926703</v>
      </c>
      <c r="AL27">
        <f>L27*'Footprints Ireland'!G25</f>
        <v>66.705452194267465</v>
      </c>
      <c r="AM27">
        <f>N27*'Footprints Ireland'!G25</f>
        <v>44.27205928643388</v>
      </c>
    </row>
    <row r="28" spans="1:39" x14ac:dyDescent="0.3">
      <c r="A28" s="2" t="s">
        <v>44</v>
      </c>
      <c r="H28" s="11"/>
      <c r="I28" s="11">
        <f>H28*'Footprints Utopia'!E26</f>
        <v>0</v>
      </c>
      <c r="J28" s="27">
        <f>J8</f>
        <v>5.7803149999999999</v>
      </c>
      <c r="K28" s="5">
        <f>J28*C67</f>
        <v>399.41976649999998</v>
      </c>
      <c r="N28" s="3">
        <f t="shared" si="2"/>
        <v>0</v>
      </c>
      <c r="U28" s="2" t="s">
        <v>44</v>
      </c>
      <c r="Z28" s="14">
        <f>H28*'Footprints Utopia'!F26</f>
        <v>0</v>
      </c>
      <c r="AA28" s="3">
        <f>J28*3399.5</f>
        <v>19650.180842499998</v>
      </c>
      <c r="AE28" s="2" t="s">
        <v>44</v>
      </c>
      <c r="AJ28">
        <f>H28*'Footprints Utopia'!D26</f>
        <v>0</v>
      </c>
      <c r="AK28" s="3">
        <f>J28*3</f>
        <v>17.340944999999998</v>
      </c>
      <c r="AL28" s="5"/>
      <c r="AM28">
        <f>N28*'Footprints Ireland'!G26</f>
        <v>0</v>
      </c>
    </row>
    <row r="29" spans="1:39" x14ac:dyDescent="0.3">
      <c r="A29" s="2" t="s">
        <v>45</v>
      </c>
      <c r="H29" s="11"/>
      <c r="I29" s="11">
        <f>H29*'Footprints Utopia'!E27</f>
        <v>0</v>
      </c>
      <c r="N29" s="27">
        <f>N8</f>
        <v>10.306000000000001</v>
      </c>
      <c r="O29" s="32">
        <f>N29*55.33/10</f>
        <v>57.023098000000005</v>
      </c>
      <c r="U29" s="2" t="s">
        <v>45</v>
      </c>
      <c r="Z29" s="14">
        <f>H29*'Footprints Utopia'!F27</f>
        <v>0</v>
      </c>
      <c r="AE29" s="2" t="s">
        <v>45</v>
      </c>
      <c r="AJ29">
        <f>H29*'Footprints Utopia'!D27</f>
        <v>0</v>
      </c>
      <c r="AM29" s="3">
        <f>N29*1.41</f>
        <v>14.531460000000001</v>
      </c>
    </row>
    <row r="30" spans="1:39" x14ac:dyDescent="0.3">
      <c r="A30" s="35" t="s">
        <v>46</v>
      </c>
      <c r="B30" s="35"/>
      <c r="C30" s="36">
        <f>SUM(C7:C29)</f>
        <v>2240.6480036046732</v>
      </c>
      <c r="D30" s="36"/>
      <c r="E30" s="36">
        <f>SUM(E7:E29)</f>
        <v>1814.9681327298349</v>
      </c>
      <c r="F30" s="36"/>
      <c r="G30" s="36">
        <f>SUM(G7:G29)</f>
        <v>2514.7048856747729</v>
      </c>
      <c r="H30" s="36"/>
      <c r="I30" s="36">
        <f>SUM(I7:I29)</f>
        <v>4.362516047629037</v>
      </c>
      <c r="N30" s="3"/>
      <c r="U30" s="20" t="s">
        <v>47</v>
      </c>
      <c r="V30" s="20"/>
      <c r="W30" s="38">
        <f>SUM(W7:W29)</f>
        <v>4917.5195573077472</v>
      </c>
      <c r="X30" s="38">
        <f t="shared" ref="X30:Z30" si="3">SUM(X7:X29)</f>
        <v>11187.468822402607</v>
      </c>
      <c r="Y30" s="38">
        <f t="shared" si="3"/>
        <v>8532.8352432293759</v>
      </c>
      <c r="Z30" s="38">
        <f t="shared" si="3"/>
        <v>342.05030319063849</v>
      </c>
      <c r="AE30" s="20" t="s">
        <v>47</v>
      </c>
      <c r="AF30" s="20"/>
      <c r="AG30" s="38">
        <f>SUM(AG7:AG29)</f>
        <v>1383.1197013475141</v>
      </c>
      <c r="AH30" s="38">
        <f t="shared" ref="AH30" si="4">SUM(AH7:AH29)</f>
        <v>1110.6175981213057</v>
      </c>
      <c r="AI30" s="38">
        <f t="shared" ref="AI30" si="5">SUM(AI7:AI29)</f>
        <v>642.01261016306978</v>
      </c>
      <c r="AJ30" s="38">
        <f t="shared" ref="AJ30" si="6">SUM(AJ7:AJ29)</f>
        <v>410.26821999999999</v>
      </c>
    </row>
    <row r="31" spans="1:39" ht="43.2" x14ac:dyDescent="0.3">
      <c r="C31" t="s">
        <v>18</v>
      </c>
      <c r="E31" t="s">
        <v>19</v>
      </c>
      <c r="G31" t="s">
        <v>20</v>
      </c>
      <c r="K31" s="23" t="s">
        <v>22</v>
      </c>
      <c r="M31" s="23" t="s">
        <v>16</v>
      </c>
      <c r="O31" s="23" t="s">
        <v>17</v>
      </c>
      <c r="W31" t="s">
        <v>18</v>
      </c>
      <c r="X31" t="s">
        <v>19</v>
      </c>
      <c r="Y31" t="s">
        <v>20</v>
      </c>
      <c r="AA31" s="23" t="s">
        <v>22</v>
      </c>
      <c r="AB31" s="23" t="s">
        <v>16</v>
      </c>
      <c r="AC31" s="23" t="s">
        <v>17</v>
      </c>
      <c r="AG31" t="s">
        <v>18</v>
      </c>
      <c r="AH31" t="s">
        <v>19</v>
      </c>
      <c r="AI31" t="s">
        <v>20</v>
      </c>
      <c r="AK31" s="23" t="s">
        <v>22</v>
      </c>
      <c r="AL31" s="23" t="s">
        <v>16</v>
      </c>
      <c r="AM31" s="23" t="s">
        <v>17</v>
      </c>
    </row>
    <row r="32" spans="1:39" x14ac:dyDescent="0.3">
      <c r="A32" s="2" t="s">
        <v>48</v>
      </c>
      <c r="B32" s="2"/>
      <c r="C32">
        <f>C8+C23</f>
        <v>13.502457288314293</v>
      </c>
      <c r="E32">
        <f>E8+E23</f>
        <v>6.1255084566381974</v>
      </c>
      <c r="G32">
        <f>G8+G23</f>
        <v>0.2978874254013491</v>
      </c>
      <c r="K32">
        <f>K8+K23</f>
        <v>4.1132116373623262</v>
      </c>
      <c r="M32">
        <f>M8+M23</f>
        <v>10.663913167138144</v>
      </c>
      <c r="O32">
        <f>O8+O23</f>
        <v>10.663913167138144</v>
      </c>
      <c r="U32" s="2" t="s">
        <v>48</v>
      </c>
      <c r="W32">
        <f t="shared" ref="W32:AC32" si="7">W8+W23</f>
        <v>808.88798963829333</v>
      </c>
      <c r="X32">
        <f t="shared" si="7"/>
        <v>1091.8458740513586</v>
      </c>
      <c r="Y32">
        <f t="shared" si="7"/>
        <v>39.661557607454398</v>
      </c>
      <c r="AA32">
        <f t="shared" si="7"/>
        <v>572.73063031017261</v>
      </c>
      <c r="AB32">
        <f t="shared" si="7"/>
        <v>445.18598337166247</v>
      </c>
      <c r="AC32">
        <f t="shared" si="7"/>
        <v>445.18598337166247</v>
      </c>
      <c r="AE32" s="2" t="s">
        <v>48</v>
      </c>
      <c r="AF32" s="2"/>
      <c r="AG32">
        <f t="shared" ref="AG32:AM32" si="8">AG8+AG23</f>
        <v>753.18599603662869</v>
      </c>
      <c r="AH32">
        <f t="shared" si="8"/>
        <v>385.62317169529013</v>
      </c>
      <c r="AI32">
        <f t="shared" si="8"/>
        <v>23.547636623429188</v>
      </c>
      <c r="AK32">
        <f t="shared" si="8"/>
        <v>203.40948782391183</v>
      </c>
      <c r="AL32">
        <f t="shared" si="8"/>
        <v>421.26070826109833</v>
      </c>
      <c r="AM32">
        <f t="shared" si="8"/>
        <v>421.26070826109833</v>
      </c>
    </row>
    <row r="33" spans="1:39" x14ac:dyDescent="0.3">
      <c r="A33" s="2" t="s">
        <v>42</v>
      </c>
      <c r="B33" s="2"/>
      <c r="C33">
        <f>C26</f>
        <v>77.772886900258612</v>
      </c>
      <c r="E33">
        <f>E26</f>
        <v>87.472925977022456</v>
      </c>
      <c r="G33">
        <f>G26</f>
        <v>145.32504574137081</v>
      </c>
      <c r="K33">
        <f>K26</f>
        <v>87.472925977022456</v>
      </c>
      <c r="M33">
        <f>M26</f>
        <v>77.772886900258612</v>
      </c>
      <c r="O33">
        <f>O26</f>
        <v>77.772886900258612</v>
      </c>
      <c r="U33" s="2" t="s">
        <v>42</v>
      </c>
      <c r="W33">
        <f t="shared" ref="W33:AC34" si="9">W26</f>
        <v>1864.9513351659682</v>
      </c>
      <c r="X33">
        <f t="shared" si="9"/>
        <v>5512.375106213306</v>
      </c>
      <c r="Y33">
        <f t="shared" si="9"/>
        <v>5200.070588442476</v>
      </c>
      <c r="AA33">
        <f t="shared" si="9"/>
        <v>5512.375106213306</v>
      </c>
      <c r="AB33">
        <f t="shared" si="9"/>
        <v>1864.9513351659682</v>
      </c>
      <c r="AC33">
        <f t="shared" si="9"/>
        <v>1864.9513351659682</v>
      </c>
      <c r="AE33" s="2" t="s">
        <v>42</v>
      </c>
      <c r="AF33" s="2"/>
      <c r="AG33">
        <f t="shared" ref="AG33:AM34" si="10">AG26</f>
        <v>104.11140705107606</v>
      </c>
      <c r="AH33">
        <f t="shared" si="10"/>
        <v>168.59508019491025</v>
      </c>
      <c r="AI33">
        <f t="shared" si="10"/>
        <v>232.12157467801669</v>
      </c>
      <c r="AK33">
        <f t="shared" si="10"/>
        <v>168.59508019491025</v>
      </c>
      <c r="AL33">
        <f t="shared" si="10"/>
        <v>104.11140705107606</v>
      </c>
      <c r="AM33">
        <f t="shared" si="10"/>
        <v>104.11140705107606</v>
      </c>
    </row>
    <row r="34" spans="1:39" x14ac:dyDescent="0.3">
      <c r="A34" s="2" t="s">
        <v>49</v>
      </c>
      <c r="B34" s="2"/>
      <c r="C34">
        <f>C27</f>
        <v>1909.057645129747</v>
      </c>
      <c r="E34">
        <f>E27</f>
        <v>1447.169076787445</v>
      </c>
      <c r="G34">
        <f>G27</f>
        <v>2208.7764653260519</v>
      </c>
      <c r="K34">
        <f>K27</f>
        <v>1447.169076787445</v>
      </c>
      <c r="M34">
        <f>M27</f>
        <v>2876.4090836480441</v>
      </c>
      <c r="O34">
        <f>O27</f>
        <v>1909.057645129747</v>
      </c>
      <c r="U34" s="2" t="s">
        <v>49</v>
      </c>
      <c r="W34">
        <f t="shared" si="9"/>
        <v>1069.4821206127535</v>
      </c>
      <c r="X34">
        <f t="shared" si="9"/>
        <v>2350.3431327770927</v>
      </c>
      <c r="Y34">
        <f t="shared" si="9"/>
        <v>1974.9534371702639</v>
      </c>
      <c r="AA34">
        <f t="shared" si="9"/>
        <v>2350.3431327770927</v>
      </c>
      <c r="AB34">
        <f t="shared" si="9"/>
        <v>1611.4065986313487</v>
      </c>
      <c r="AC34">
        <f t="shared" si="9"/>
        <v>1069.4821206127535</v>
      </c>
      <c r="AE34" s="2" t="s">
        <v>49</v>
      </c>
      <c r="AF34" s="2"/>
      <c r="AG34">
        <f t="shared" si="10"/>
        <v>44.27205928643388</v>
      </c>
      <c r="AH34">
        <f t="shared" si="10"/>
        <v>28.297499989926703</v>
      </c>
      <c r="AI34">
        <f t="shared" si="10"/>
        <v>52.006043417423442</v>
      </c>
      <c r="AK34">
        <f t="shared" si="10"/>
        <v>28.297499989926703</v>
      </c>
      <c r="AL34">
        <f t="shared" si="10"/>
        <v>66.705452194267465</v>
      </c>
      <c r="AM34">
        <f t="shared" si="10"/>
        <v>44.27205928643388</v>
      </c>
    </row>
    <row r="35" spans="1:39" x14ac:dyDescent="0.3">
      <c r="A35" s="2" t="s">
        <v>50</v>
      </c>
      <c r="B35" s="2"/>
      <c r="C35">
        <f>C14</f>
        <v>94.217208627554356</v>
      </c>
      <c r="E35">
        <f>E14</f>
        <v>108.70737631671624</v>
      </c>
      <c r="G35">
        <f>G14</f>
        <v>78.970126200373286</v>
      </c>
      <c r="K35">
        <f>K14</f>
        <v>108.70737631671624</v>
      </c>
      <c r="M35">
        <f>M14</f>
        <v>94.217208627554356</v>
      </c>
      <c r="O35">
        <f>O14</f>
        <v>94.217208627554356</v>
      </c>
      <c r="U35" s="2" t="s">
        <v>50</v>
      </c>
      <c r="W35">
        <f t="shared" ref="W35:AC35" si="11">W14</f>
        <v>6.6744591279849512</v>
      </c>
      <c r="X35">
        <f t="shared" si="11"/>
        <v>20.173326778853063</v>
      </c>
      <c r="Y35">
        <f t="shared" si="11"/>
        <v>9.2353145883056857</v>
      </c>
      <c r="AA35">
        <f t="shared" si="11"/>
        <v>20.173326778853063</v>
      </c>
      <c r="AB35">
        <f t="shared" si="11"/>
        <v>6.6744591279849512</v>
      </c>
      <c r="AC35">
        <f t="shared" si="11"/>
        <v>6.6744591279849512</v>
      </c>
      <c r="AE35" s="2" t="s">
        <v>50</v>
      </c>
      <c r="AF35" s="2"/>
      <c r="AG35">
        <f t="shared" ref="AG35:AM35" si="12">AG14</f>
        <v>11.847870238654171</v>
      </c>
      <c r="AH35">
        <f t="shared" si="12"/>
        <v>12.245557843197664</v>
      </c>
      <c r="AI35">
        <f t="shared" si="12"/>
        <v>9.6963713411294332</v>
      </c>
      <c r="AK35">
        <f t="shared" si="12"/>
        <v>12.245557843197664</v>
      </c>
      <c r="AL35">
        <f t="shared" si="12"/>
        <v>11.847870238654171</v>
      </c>
      <c r="AM35">
        <f t="shared" si="12"/>
        <v>11.847870238654171</v>
      </c>
    </row>
    <row r="36" spans="1:39" x14ac:dyDescent="0.3">
      <c r="A36" s="2" t="s">
        <v>51</v>
      </c>
      <c r="B36" s="2"/>
      <c r="C36">
        <f>C11+C21+C9</f>
        <v>3.0633204802639651</v>
      </c>
      <c r="E36">
        <f>E11+E21+E9</f>
        <v>2.4931811907488113</v>
      </c>
      <c r="G36">
        <f>G11+G21+G9</f>
        <v>2.2820246055007551</v>
      </c>
      <c r="K36">
        <f>K11+K21+K9</f>
        <v>2.4931811907488113</v>
      </c>
      <c r="M36">
        <f>M11+M21+M9</f>
        <v>3.0633204802639651</v>
      </c>
      <c r="O36">
        <f>O11+O21+O9</f>
        <v>3.0633204802639651</v>
      </c>
      <c r="U36" s="2" t="s">
        <v>51</v>
      </c>
      <c r="W36">
        <f t="shared" ref="W36:AC36" si="13">W11+W21+W9</f>
        <v>1075.8255011548003</v>
      </c>
      <c r="X36">
        <f t="shared" si="13"/>
        <v>1980.933310132104</v>
      </c>
      <c r="Y36">
        <f t="shared" si="13"/>
        <v>1248.8101897392169</v>
      </c>
      <c r="AA36">
        <f t="shared" si="13"/>
        <v>1980.933310132104</v>
      </c>
      <c r="AB36">
        <f t="shared" si="13"/>
        <v>1075.8255011548003</v>
      </c>
      <c r="AC36">
        <f t="shared" si="13"/>
        <v>1075.8255011548003</v>
      </c>
      <c r="AE36" s="2" t="s">
        <v>51</v>
      </c>
      <c r="AF36" s="2"/>
      <c r="AG36">
        <f t="shared" ref="AG36:AM36" si="14">AG11+AG21+AG9</f>
        <v>290.66727876359073</v>
      </c>
      <c r="AH36">
        <f t="shared" si="14"/>
        <v>282.62861720947973</v>
      </c>
      <c r="AI36">
        <f t="shared" si="14"/>
        <v>244.58300449900887</v>
      </c>
      <c r="AK36">
        <f t="shared" si="14"/>
        <v>282.62861720947973</v>
      </c>
      <c r="AL36">
        <f t="shared" si="14"/>
        <v>290.66727876359073</v>
      </c>
      <c r="AM36">
        <f t="shared" si="14"/>
        <v>290.66727876359073</v>
      </c>
    </row>
    <row r="37" spans="1:39" x14ac:dyDescent="0.3">
      <c r="A37" s="2" t="s">
        <v>52</v>
      </c>
      <c r="B37" s="2"/>
      <c r="C37">
        <f>C10+C12+C13+C18+C25</f>
        <v>129.402827193235</v>
      </c>
      <c r="E37">
        <f>E10+E12+E13+E18+E25</f>
        <v>125.53197109441429</v>
      </c>
      <c r="G37">
        <f>G10+G12+G13+G18+G25</f>
        <v>73.862768665651998</v>
      </c>
      <c r="K37">
        <f>K10+K12+K13+K18+K25</f>
        <v>125.53197109441429</v>
      </c>
      <c r="M37">
        <f>M10+M12+M13+M18+M25</f>
        <v>129.402827193235</v>
      </c>
      <c r="O37">
        <f>O10+O12+O13+O18+O25</f>
        <v>129.402827193235</v>
      </c>
      <c r="U37" s="2" t="s">
        <v>52</v>
      </c>
      <c r="W37">
        <f t="shared" ref="W37:AC37" si="15">W10+W12+W13+W18+W25</f>
        <v>0</v>
      </c>
      <c r="X37">
        <f t="shared" si="15"/>
        <v>0</v>
      </c>
      <c r="Y37">
        <f t="shared" si="15"/>
        <v>0</v>
      </c>
      <c r="AA37">
        <f t="shared" si="15"/>
        <v>0</v>
      </c>
      <c r="AB37">
        <f t="shared" si="15"/>
        <v>0</v>
      </c>
      <c r="AC37">
        <f t="shared" si="15"/>
        <v>0</v>
      </c>
      <c r="AE37" s="2" t="s">
        <v>52</v>
      </c>
      <c r="AF37" s="2"/>
      <c r="AG37">
        <f t="shared" ref="AG37:AM37" si="16">AG10+AG12+AG13+AG18+AG25</f>
        <v>73.241011929867824</v>
      </c>
      <c r="AH37">
        <f t="shared" si="16"/>
        <v>109.3169543065351</v>
      </c>
      <c r="AI37">
        <f t="shared" si="16"/>
        <v>38.479584548718819</v>
      </c>
      <c r="AK37">
        <f t="shared" si="16"/>
        <v>109.3169543065351</v>
      </c>
      <c r="AL37">
        <f t="shared" si="16"/>
        <v>73.241011929867824</v>
      </c>
      <c r="AM37">
        <f t="shared" si="16"/>
        <v>73.241011929867824</v>
      </c>
    </row>
    <row r="38" spans="1:39" x14ac:dyDescent="0.3">
      <c r="A38" s="2" t="s">
        <v>44</v>
      </c>
      <c r="K38">
        <f>K28</f>
        <v>399.41976649999998</v>
      </c>
      <c r="U38" s="2" t="s">
        <v>44</v>
      </c>
      <c r="AA38" s="3">
        <f>AA28</f>
        <v>19650.180842499998</v>
      </c>
      <c r="AB38">
        <f>AB28</f>
        <v>0</v>
      </c>
      <c r="AE38" s="2" t="s">
        <v>44</v>
      </c>
      <c r="AK38" s="3">
        <f>AK28</f>
        <v>17.340944999999998</v>
      </c>
      <c r="AL38">
        <f>AL28</f>
        <v>0</v>
      </c>
    </row>
    <row r="39" spans="1:39" x14ac:dyDescent="0.3">
      <c r="A39" s="2" t="s">
        <v>45</v>
      </c>
      <c r="O39">
        <f>O29</f>
        <v>57.023098000000005</v>
      </c>
      <c r="U39" s="2" t="s">
        <v>45</v>
      </c>
      <c r="AC39" s="3">
        <f>AC29</f>
        <v>0</v>
      </c>
      <c r="AE39" s="2" t="s">
        <v>45</v>
      </c>
      <c r="AM39" s="3">
        <f>AM29</f>
        <v>14.531460000000001</v>
      </c>
    </row>
    <row r="41" spans="1:39" x14ac:dyDescent="0.3">
      <c r="A41" s="28" t="s">
        <v>53</v>
      </c>
      <c r="U41" s="28" t="s">
        <v>54</v>
      </c>
      <c r="W41" s="31">
        <f>SUM(W32:W39)</f>
        <v>4825.8214056998004</v>
      </c>
      <c r="X41" s="31">
        <f t="shared" ref="X41:AC41" si="17">SUM(X32:X39)</f>
        <v>10955.670749952715</v>
      </c>
      <c r="Y41" s="31">
        <f t="shared" si="17"/>
        <v>8472.731087547716</v>
      </c>
      <c r="Z41" s="31"/>
      <c r="AA41" s="31">
        <f t="shared" si="17"/>
        <v>30086.736348711529</v>
      </c>
      <c r="AB41" s="31">
        <f t="shared" si="17"/>
        <v>5004.0438774517643</v>
      </c>
      <c r="AC41" s="31">
        <f t="shared" si="17"/>
        <v>4462.1193994331697</v>
      </c>
      <c r="AE41" s="28" t="s">
        <v>54</v>
      </c>
      <c r="AF41" s="21"/>
      <c r="AG41" s="31">
        <f>SUM(AG32:AG39)</f>
        <v>1277.3256233062516</v>
      </c>
      <c r="AH41" s="31">
        <f t="shared" ref="AH41:AM41" si="18">SUM(AH32:AH39)</f>
        <v>986.70688123933951</v>
      </c>
      <c r="AI41" s="31">
        <f t="shared" si="18"/>
        <v>600.43421510772635</v>
      </c>
      <c r="AJ41" s="31"/>
      <c r="AK41" s="31">
        <f t="shared" si="18"/>
        <v>821.83414236796125</v>
      </c>
      <c r="AL41" s="31">
        <f t="shared" si="18"/>
        <v>967.83372843855454</v>
      </c>
      <c r="AM41" s="31">
        <f t="shared" si="18"/>
        <v>959.93179553072105</v>
      </c>
    </row>
    <row r="42" spans="1:39" x14ac:dyDescent="0.3">
      <c r="A42" s="29"/>
      <c r="B42" s="29"/>
      <c r="C42" s="29" t="s">
        <v>55</v>
      </c>
      <c r="D42" s="29"/>
      <c r="E42" s="29"/>
      <c r="F42" s="29"/>
    </row>
    <row r="43" spans="1:39" x14ac:dyDescent="0.3">
      <c r="A43" t="s">
        <v>56</v>
      </c>
      <c r="C43">
        <v>0.69499999999999995</v>
      </c>
    </row>
    <row r="44" spans="1:39" x14ac:dyDescent="0.3">
      <c r="A44" t="s">
        <v>57</v>
      </c>
      <c r="C44">
        <v>0.59</v>
      </c>
    </row>
    <row r="45" spans="1:39" x14ac:dyDescent="0.3">
      <c r="A45" t="s">
        <v>58</v>
      </c>
      <c r="C45">
        <v>0.77</v>
      </c>
    </row>
    <row r="46" spans="1:39" x14ac:dyDescent="0.3">
      <c r="A46" t="s">
        <v>59</v>
      </c>
      <c r="C46">
        <f>AVERAGE(C43:C45)</f>
        <v>0.68499999999999994</v>
      </c>
    </row>
    <row r="47" spans="1:39" x14ac:dyDescent="0.3">
      <c r="A47" s="29"/>
      <c r="B47" s="29"/>
      <c r="C47" s="29" t="s">
        <v>60</v>
      </c>
      <c r="D47" s="29"/>
      <c r="E47" s="29"/>
      <c r="F47" s="29"/>
      <c r="G47" t="s">
        <v>61</v>
      </c>
    </row>
    <row r="48" spans="1:39" x14ac:dyDescent="0.3">
      <c r="A48" s="2" t="s">
        <v>26</v>
      </c>
      <c r="B48" t="s">
        <v>62</v>
      </c>
      <c r="C48">
        <v>0.73499999999999999</v>
      </c>
    </row>
    <row r="49" spans="1:4" x14ac:dyDescent="0.3">
      <c r="A49" s="2" t="s">
        <v>28</v>
      </c>
      <c r="B49" t="s">
        <v>63</v>
      </c>
      <c r="C49">
        <v>0.5</v>
      </c>
      <c r="D49" s="5" t="s">
        <v>64</v>
      </c>
    </row>
    <row r="50" spans="1:4" x14ac:dyDescent="0.3">
      <c r="A50" s="2" t="s">
        <v>29</v>
      </c>
      <c r="B50" t="s">
        <v>65</v>
      </c>
      <c r="C50">
        <v>0.54200000000000004</v>
      </c>
    </row>
    <row r="51" spans="1:4" x14ac:dyDescent="0.3">
      <c r="A51" s="2" t="s">
        <v>34</v>
      </c>
      <c r="B51" t="s">
        <v>66</v>
      </c>
      <c r="C51">
        <v>0.37</v>
      </c>
    </row>
    <row r="52" spans="1:4" x14ac:dyDescent="0.3">
      <c r="A52" s="2" t="s">
        <v>35</v>
      </c>
      <c r="B52" t="s">
        <v>67</v>
      </c>
      <c r="C52">
        <v>0.32600000000000001</v>
      </c>
    </row>
    <row r="53" spans="1:4" x14ac:dyDescent="0.3">
      <c r="A53" s="2" t="s">
        <v>38</v>
      </c>
      <c r="B53" t="s">
        <v>68</v>
      </c>
      <c r="C53">
        <v>0.38500000000000001</v>
      </c>
    </row>
    <row r="54" spans="1:4" x14ac:dyDescent="0.3">
      <c r="A54" s="2" t="s">
        <v>41</v>
      </c>
      <c r="B54" t="s">
        <v>69</v>
      </c>
      <c r="C54">
        <v>0.52</v>
      </c>
    </row>
    <row r="55" spans="1:4" x14ac:dyDescent="0.3">
      <c r="A55" s="2" t="s">
        <v>70</v>
      </c>
      <c r="C55" s="3">
        <f>AVERAGE(C48:C54)</f>
        <v>0.48257142857142854</v>
      </c>
    </row>
    <row r="58" spans="1:4" x14ac:dyDescent="0.3">
      <c r="A58" s="2" t="s">
        <v>71</v>
      </c>
    </row>
    <row r="59" spans="1:4" x14ac:dyDescent="0.3">
      <c r="A59" t="s">
        <v>72</v>
      </c>
    </row>
    <row r="65" spans="1:4" x14ac:dyDescent="0.3">
      <c r="A65" s="28" t="s">
        <v>73</v>
      </c>
    </row>
    <row r="66" spans="1:4" x14ac:dyDescent="0.3">
      <c r="A66" s="29"/>
      <c r="B66" s="29"/>
      <c r="C66" s="29"/>
      <c r="D66" s="29"/>
    </row>
    <row r="67" spans="1:4" x14ac:dyDescent="0.3">
      <c r="A67" t="s">
        <v>74</v>
      </c>
      <c r="C67">
        <v>69.099999999999994</v>
      </c>
    </row>
    <row r="68" spans="1:4" x14ac:dyDescent="0.3">
      <c r="A68" t="s">
        <v>75</v>
      </c>
      <c r="C68">
        <v>3</v>
      </c>
      <c r="D68" t="s">
        <v>76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P35"/>
  <sheetViews>
    <sheetView topLeftCell="A11" workbookViewId="0">
      <selection activeCell="F35" sqref="F35"/>
    </sheetView>
  </sheetViews>
  <sheetFormatPr defaultRowHeight="14.4" x14ac:dyDescent="0.3"/>
  <cols>
    <col min="1" max="1" width="20.44140625" customWidth="1"/>
    <col min="12" max="12" width="17.6640625" customWidth="1"/>
  </cols>
  <sheetData>
    <row r="2" spans="1:16" ht="21" x14ac:dyDescent="0.4">
      <c r="A2" s="6" t="s">
        <v>77</v>
      </c>
    </row>
    <row r="3" spans="1:16" ht="15" thickBot="1" x14ac:dyDescent="0.35"/>
    <row r="4" spans="1:16" x14ac:dyDescent="0.3">
      <c r="B4" t="s">
        <v>78</v>
      </c>
      <c r="C4" t="s">
        <v>79</v>
      </c>
      <c r="D4" t="s">
        <v>80</v>
      </c>
      <c r="E4" t="s">
        <v>81</v>
      </c>
      <c r="F4" s="7" t="s">
        <v>18</v>
      </c>
      <c r="G4" s="8" t="s">
        <v>19</v>
      </c>
      <c r="H4" s="9" t="s">
        <v>82</v>
      </c>
      <c r="I4" t="s">
        <v>83</v>
      </c>
      <c r="J4" t="s">
        <v>84</v>
      </c>
      <c r="K4" s="11" t="s">
        <v>85</v>
      </c>
      <c r="M4" t="s">
        <v>86</v>
      </c>
    </row>
    <row r="5" spans="1:16" x14ac:dyDescent="0.3">
      <c r="A5" s="2" t="s">
        <v>23</v>
      </c>
      <c r="B5">
        <v>1.4000000000000002E-2</v>
      </c>
      <c r="C5">
        <v>1.2E-2</v>
      </c>
      <c r="D5">
        <v>0.01</v>
      </c>
      <c r="E5">
        <v>4.0000000000000001E-3</v>
      </c>
      <c r="F5" s="10">
        <v>8.0000000000000002E-3</v>
      </c>
      <c r="G5" s="11">
        <v>1.2E-2</v>
      </c>
      <c r="H5" s="12">
        <v>6.0000000000000001E-3</v>
      </c>
      <c r="I5">
        <v>2.8000000000000004E-2</v>
      </c>
      <c r="J5">
        <v>2E-3</v>
      </c>
      <c r="K5">
        <v>2.6000000000000002E-2</v>
      </c>
    </row>
    <row r="6" spans="1:16" x14ac:dyDescent="0.3">
      <c r="A6" s="2" t="s">
        <v>24</v>
      </c>
      <c r="B6">
        <v>23.334</v>
      </c>
      <c r="C6">
        <v>14.622000000000003</v>
      </c>
      <c r="D6">
        <v>14.943999999999999</v>
      </c>
      <c r="E6">
        <v>5.79</v>
      </c>
      <c r="F6" s="10">
        <v>20.612000000000002</v>
      </c>
      <c r="G6" s="11">
        <v>16.634</v>
      </c>
      <c r="H6" s="12">
        <v>1.044</v>
      </c>
      <c r="I6">
        <v>12.662000000000001</v>
      </c>
      <c r="J6">
        <v>22.201999999999998</v>
      </c>
      <c r="K6">
        <v>14.14</v>
      </c>
      <c r="M6" t="str">
        <f>F4</f>
        <v>Ireland</v>
      </c>
      <c r="N6" t="str">
        <f t="shared" ref="N6:O6" si="0">G4</f>
        <v>Italy</v>
      </c>
      <c r="O6" t="str">
        <f t="shared" si="0"/>
        <v>Polen</v>
      </c>
      <c r="P6" t="s">
        <v>87</v>
      </c>
    </row>
    <row r="7" spans="1:16" x14ac:dyDescent="0.3">
      <c r="A7" s="2" t="s">
        <v>25</v>
      </c>
      <c r="B7">
        <v>7.9479999999999986</v>
      </c>
      <c r="C7">
        <v>6.0360000000000005</v>
      </c>
      <c r="D7">
        <v>1.0260000000000002</v>
      </c>
      <c r="E7">
        <v>1.35</v>
      </c>
      <c r="F7" s="10">
        <v>1.9120000000000001</v>
      </c>
      <c r="G7" s="11">
        <v>2.464</v>
      </c>
      <c r="H7" s="12">
        <v>4.5140000000000002</v>
      </c>
      <c r="I7">
        <v>1.298</v>
      </c>
      <c r="J7">
        <v>5.3360000000000003</v>
      </c>
      <c r="K7">
        <v>3.6480000000000006</v>
      </c>
      <c r="L7" t="str">
        <f>A27</f>
        <v>Total ruminant meat</v>
      </c>
      <c r="M7" s="4">
        <f>F27</f>
        <v>23.990000000000002</v>
      </c>
      <c r="N7" s="4">
        <f t="shared" ref="N7" si="1">G27</f>
        <v>17.48</v>
      </c>
      <c r="O7" s="4">
        <f>H27</f>
        <v>1.0760000000000001</v>
      </c>
      <c r="P7" s="4">
        <f>K27</f>
        <v>15.824</v>
      </c>
    </row>
    <row r="8" spans="1:16" x14ac:dyDescent="0.3">
      <c r="A8" s="2" t="s">
        <v>26</v>
      </c>
      <c r="B8">
        <v>0.89200000000000002</v>
      </c>
      <c r="C8">
        <v>0.25600000000000001</v>
      </c>
      <c r="D8">
        <v>3.4359999999999999</v>
      </c>
      <c r="E8">
        <v>4.4000000000000004E-2</v>
      </c>
      <c r="F8" s="10">
        <v>0.22000000000000003</v>
      </c>
      <c r="G8" s="11">
        <v>3.8600000000000003</v>
      </c>
      <c r="H8" s="12">
        <v>3.4000000000000002E-2</v>
      </c>
      <c r="I8">
        <v>3.1339999999999999</v>
      </c>
      <c r="J8">
        <v>7.2000000000000008E-2</v>
      </c>
      <c r="K8">
        <v>0.94600000000000006</v>
      </c>
      <c r="L8" t="str">
        <f>A28</f>
        <v>Pigmeat</v>
      </c>
      <c r="M8" s="4">
        <f t="shared" ref="M8:M10" si="2">F28</f>
        <v>29.056000000000001</v>
      </c>
      <c r="N8" s="4">
        <f t="shared" ref="N8:N10" si="3">G28</f>
        <v>36.989999999999995</v>
      </c>
      <c r="O8" s="4">
        <f t="shared" ref="O8:O10" si="4">H28</f>
        <v>55.036000000000001</v>
      </c>
      <c r="P8" s="4">
        <f>K28</f>
        <v>34.833999999999996</v>
      </c>
    </row>
    <row r="9" spans="1:16" x14ac:dyDescent="0.3">
      <c r="A9" s="2" t="s">
        <v>27</v>
      </c>
      <c r="B9">
        <v>6.3480000000000008</v>
      </c>
      <c r="C9">
        <v>6.3420000000000005</v>
      </c>
      <c r="D9">
        <v>2.4820000000000002</v>
      </c>
      <c r="E9">
        <v>4.5060000000000002</v>
      </c>
      <c r="F9" s="10">
        <v>2.3180000000000001</v>
      </c>
      <c r="G9" s="11">
        <v>4.145999999999999</v>
      </c>
      <c r="H9" s="12">
        <v>6.6260000000000003</v>
      </c>
      <c r="I9">
        <v>1.3859999999999997</v>
      </c>
      <c r="J9">
        <v>9.597999999999999</v>
      </c>
      <c r="K9">
        <v>3.6520000000000001</v>
      </c>
      <c r="L9" t="str">
        <f>A29</f>
        <v>Total poultry meat</v>
      </c>
      <c r="M9" s="4">
        <f t="shared" si="2"/>
        <v>26.413999999999998</v>
      </c>
      <c r="N9" s="4">
        <f t="shared" si="3"/>
        <v>19.875999999999998</v>
      </c>
      <c r="O9" s="4">
        <f>H29</f>
        <v>31.306000000000001</v>
      </c>
      <c r="P9" s="4">
        <f t="shared" ref="P9" si="5">K29</f>
        <v>25.529999999999998</v>
      </c>
    </row>
    <row r="10" spans="1:16" x14ac:dyDescent="0.3">
      <c r="A10" s="2" t="s">
        <v>28</v>
      </c>
      <c r="B10">
        <v>3.6079999999999997</v>
      </c>
      <c r="C10">
        <v>0.91600000000000004</v>
      </c>
      <c r="D10">
        <v>1.6719999999999999</v>
      </c>
      <c r="E10">
        <v>0.16400000000000001</v>
      </c>
      <c r="F10" s="10">
        <v>0.67400000000000004</v>
      </c>
      <c r="G10" s="11">
        <v>2.2719999999999998</v>
      </c>
      <c r="H10" s="12">
        <v>0.23799999999999999</v>
      </c>
      <c r="I10">
        <v>3.3660000000000005</v>
      </c>
      <c r="J10">
        <v>7.418000000000001</v>
      </c>
      <c r="K10">
        <v>1.798</v>
      </c>
      <c r="L10" t="str">
        <f>A30</f>
        <v>Total blue food</v>
      </c>
      <c r="M10" s="4">
        <f t="shared" si="2"/>
        <v>20.622</v>
      </c>
      <c r="N10" s="4">
        <f t="shared" si="3"/>
        <v>29.599999999999998</v>
      </c>
      <c r="O10" s="4">
        <f t="shared" si="4"/>
        <v>11.48</v>
      </c>
      <c r="P10" s="4">
        <f>K30</f>
        <v>21.684000000000001</v>
      </c>
    </row>
    <row r="11" spans="1:16" x14ac:dyDescent="0.3">
      <c r="A11" s="2" t="s">
        <v>29</v>
      </c>
      <c r="B11">
        <v>12.324000000000002</v>
      </c>
      <c r="C11">
        <v>4.0119999999999996</v>
      </c>
      <c r="D11">
        <v>6.8760000000000003</v>
      </c>
      <c r="E11">
        <v>1.3719999999999999</v>
      </c>
      <c r="F11" s="10">
        <v>9.2959999999999994</v>
      </c>
      <c r="G11" s="11">
        <v>7.8019999999999996</v>
      </c>
      <c r="H11" s="12">
        <v>4.5220000000000002</v>
      </c>
      <c r="I11">
        <v>12.972</v>
      </c>
      <c r="J11">
        <v>8.452</v>
      </c>
      <c r="K11">
        <v>7.2080000000000002</v>
      </c>
    </row>
    <row r="12" spans="1:16" x14ac:dyDescent="0.3">
      <c r="A12" s="2" t="s">
        <v>30</v>
      </c>
      <c r="B12">
        <v>13.257999999999999</v>
      </c>
      <c r="C12">
        <v>15.856</v>
      </c>
      <c r="D12">
        <v>9.0359999999999996</v>
      </c>
      <c r="E12">
        <v>13.989999999999998</v>
      </c>
      <c r="F12" s="10">
        <v>11.691999999999998</v>
      </c>
      <c r="G12" s="11">
        <v>11.608000000000001</v>
      </c>
      <c r="H12" s="12">
        <v>8.363999999999999</v>
      </c>
      <c r="I12">
        <v>15.007999999999999</v>
      </c>
      <c r="J12">
        <v>13.663999999999998</v>
      </c>
      <c r="K12">
        <v>13.813999999999998</v>
      </c>
    </row>
    <row r="13" spans="1:16" x14ac:dyDescent="0.3">
      <c r="A13" s="2" t="s">
        <v>31</v>
      </c>
      <c r="B13">
        <v>3.008</v>
      </c>
      <c r="C13">
        <v>0.61799999999999999</v>
      </c>
      <c r="D13">
        <v>1.0720000000000001</v>
      </c>
      <c r="E13">
        <v>4.3360000000000003</v>
      </c>
      <c r="F13" s="10">
        <v>4.1920000000000002</v>
      </c>
      <c r="G13" s="11">
        <v>1.52</v>
      </c>
      <c r="H13" s="12">
        <v>2.08</v>
      </c>
      <c r="I13">
        <v>1.52</v>
      </c>
      <c r="J13">
        <v>1.8620000000000001</v>
      </c>
      <c r="K13">
        <v>2.1879999999999997</v>
      </c>
    </row>
    <row r="14" spans="1:16" x14ac:dyDescent="0.3">
      <c r="A14" s="2" t="s">
        <v>32</v>
      </c>
      <c r="B14">
        <v>0.28600000000000003</v>
      </c>
      <c r="C14">
        <v>0</v>
      </c>
      <c r="F14" s="10"/>
      <c r="G14" s="11"/>
      <c r="H14" s="12"/>
      <c r="J14">
        <v>0</v>
      </c>
    </row>
    <row r="15" spans="1:16" x14ac:dyDescent="0.3">
      <c r="A15" s="2" t="s">
        <v>33</v>
      </c>
      <c r="B15">
        <v>5.2000000000000005E-2</v>
      </c>
      <c r="E15">
        <v>0</v>
      </c>
      <c r="F15" s="10">
        <v>3.2000000000000001E-2</v>
      </c>
      <c r="G15" s="11">
        <v>0</v>
      </c>
      <c r="H15" s="12">
        <v>8.0000000000000002E-3</v>
      </c>
    </row>
    <row r="16" spans="1:16" x14ac:dyDescent="0.3">
      <c r="A16" s="2" t="s">
        <v>34</v>
      </c>
      <c r="B16">
        <v>4.2679999999999989</v>
      </c>
      <c r="C16">
        <v>4.6120000000000001</v>
      </c>
      <c r="D16">
        <v>2.3260000000000001</v>
      </c>
      <c r="E16">
        <v>3.04</v>
      </c>
      <c r="F16" s="10">
        <v>2.992</v>
      </c>
      <c r="G16" s="11">
        <v>3.8079999999999998</v>
      </c>
      <c r="H16" s="12">
        <v>1.022</v>
      </c>
      <c r="I16">
        <v>2.9040000000000004</v>
      </c>
      <c r="J16">
        <v>8.3039999999999985</v>
      </c>
      <c r="K16">
        <v>4.1300000000000008</v>
      </c>
    </row>
    <row r="17" spans="1:12" x14ac:dyDescent="0.3">
      <c r="A17" s="2" t="s">
        <v>35</v>
      </c>
      <c r="B17">
        <v>0.122</v>
      </c>
      <c r="C17">
        <v>0.36599999999999999</v>
      </c>
      <c r="D17">
        <v>0.82199999999999984</v>
      </c>
      <c r="E17">
        <v>0.19</v>
      </c>
      <c r="F17" s="10">
        <v>1.2E-2</v>
      </c>
      <c r="G17" s="11">
        <v>1.472</v>
      </c>
      <c r="H17" s="12">
        <v>0</v>
      </c>
      <c r="I17">
        <v>0.67</v>
      </c>
      <c r="J17">
        <v>0.6399999999999999</v>
      </c>
      <c r="K17">
        <v>0.39</v>
      </c>
    </row>
    <row r="18" spans="1:12" x14ac:dyDescent="0.3">
      <c r="A18" s="2" t="s">
        <v>36</v>
      </c>
      <c r="B18">
        <v>1.052</v>
      </c>
      <c r="C18">
        <v>1.282</v>
      </c>
      <c r="D18">
        <v>1.94</v>
      </c>
      <c r="E18">
        <v>0.29799999999999999</v>
      </c>
      <c r="F18" s="10">
        <v>1.014</v>
      </c>
      <c r="G18" s="11">
        <v>1.3580000000000001</v>
      </c>
      <c r="H18" s="12">
        <v>0.10200000000000001</v>
      </c>
      <c r="I18">
        <v>1.556</v>
      </c>
      <c r="J18">
        <v>0.47599999999999998</v>
      </c>
      <c r="K18">
        <v>1.534</v>
      </c>
    </row>
    <row r="19" spans="1:12" x14ac:dyDescent="0.3">
      <c r="A19" s="2" t="s">
        <v>37</v>
      </c>
      <c r="B19">
        <v>231.36199999999999</v>
      </c>
      <c r="C19">
        <v>195.94399999999999</v>
      </c>
      <c r="D19">
        <v>243.10999999999999</v>
      </c>
      <c r="E19">
        <v>177.054</v>
      </c>
      <c r="F19" s="10">
        <v>288.68799999999999</v>
      </c>
      <c r="G19" s="11">
        <v>217.01600000000002</v>
      </c>
      <c r="H19" s="12">
        <v>174.92600000000002</v>
      </c>
      <c r="I19">
        <v>164.73000000000002</v>
      </c>
      <c r="J19">
        <v>202.31199999999998</v>
      </c>
      <c r="K19">
        <v>191.99799999999999</v>
      </c>
    </row>
    <row r="20" spans="1:12" x14ac:dyDescent="0.3">
      <c r="A20" s="2" t="s">
        <v>38</v>
      </c>
      <c r="B20">
        <v>5.6340000000000003</v>
      </c>
      <c r="C20">
        <v>0.34600000000000003</v>
      </c>
      <c r="D20">
        <v>0.80600000000000005</v>
      </c>
      <c r="E20">
        <v>0.122</v>
      </c>
      <c r="F20" s="10">
        <v>0.91799999999999993</v>
      </c>
      <c r="G20" s="11">
        <v>5.0859999999999994</v>
      </c>
      <c r="H20" s="12">
        <v>0.23400000000000004</v>
      </c>
      <c r="I20">
        <v>6.0780000000000003</v>
      </c>
      <c r="J20">
        <v>0.80400000000000005</v>
      </c>
      <c r="K20">
        <v>1.8539999999999999</v>
      </c>
    </row>
    <row r="21" spans="1:12" x14ac:dyDescent="0.3">
      <c r="A21" s="2" t="s">
        <v>39</v>
      </c>
      <c r="B21">
        <v>2.6720000000000002</v>
      </c>
      <c r="C21">
        <v>0.82799999999999996</v>
      </c>
      <c r="D21">
        <v>7.4560000000000004</v>
      </c>
      <c r="E21">
        <v>0.126</v>
      </c>
      <c r="F21" s="10">
        <v>3.3780000000000001</v>
      </c>
      <c r="G21" s="11">
        <v>0.84600000000000009</v>
      </c>
      <c r="H21" s="12">
        <v>3.2000000000000001E-2</v>
      </c>
      <c r="I21">
        <v>1.964</v>
      </c>
      <c r="J21">
        <v>1.2819999999999998</v>
      </c>
      <c r="K21">
        <v>1.6839999999999999</v>
      </c>
    </row>
    <row r="22" spans="1:12" x14ac:dyDescent="0.3">
      <c r="A22" s="2" t="s">
        <v>40</v>
      </c>
      <c r="B22">
        <v>5.7559999999999993</v>
      </c>
      <c r="C22">
        <v>1.7040000000000002</v>
      </c>
      <c r="D22">
        <v>3.1160000000000005</v>
      </c>
      <c r="E22">
        <v>0.35200000000000004</v>
      </c>
      <c r="F22" s="10">
        <v>2.6420000000000003</v>
      </c>
      <c r="G22" s="11">
        <v>2.5420000000000003</v>
      </c>
      <c r="H22" s="12">
        <v>1.06</v>
      </c>
      <c r="I22">
        <v>3.6700000000000004</v>
      </c>
      <c r="J22">
        <v>4.3879999999999999</v>
      </c>
      <c r="K22">
        <v>3.286</v>
      </c>
    </row>
    <row r="23" spans="1:12" x14ac:dyDescent="0.3">
      <c r="A23" s="2" t="s">
        <v>41</v>
      </c>
      <c r="B23">
        <v>7.4239999999999995</v>
      </c>
      <c r="C23">
        <v>2.5340000000000003</v>
      </c>
      <c r="D23">
        <v>4.76</v>
      </c>
      <c r="E23">
        <v>1.3919999999999999</v>
      </c>
      <c r="F23" s="10">
        <v>6.5020000000000007</v>
      </c>
      <c r="G23" s="11">
        <v>5.2880000000000003</v>
      </c>
      <c r="H23" s="12">
        <v>5.4239999999999995</v>
      </c>
      <c r="I23">
        <v>11.662000000000001</v>
      </c>
      <c r="J23">
        <v>6.0780000000000012</v>
      </c>
      <c r="K23">
        <v>5.3320000000000007</v>
      </c>
    </row>
    <row r="24" spans="1:12" x14ac:dyDescent="0.3">
      <c r="A24" s="2" t="s">
        <v>42</v>
      </c>
      <c r="B24">
        <v>33.535999999999994</v>
      </c>
      <c r="C24">
        <v>44.863999999999997</v>
      </c>
      <c r="D24">
        <v>27.419999999999998</v>
      </c>
      <c r="E24">
        <v>50.54</v>
      </c>
      <c r="F24" s="10">
        <v>29.056000000000001</v>
      </c>
      <c r="G24" s="11">
        <v>36.989999999999995</v>
      </c>
      <c r="H24" s="12">
        <v>55.036000000000001</v>
      </c>
      <c r="I24">
        <v>54.184000000000005</v>
      </c>
      <c r="J24">
        <v>29.318000000000001</v>
      </c>
      <c r="K24">
        <v>34.833999999999996</v>
      </c>
    </row>
    <row r="25" spans="1:12" x14ac:dyDescent="0.3">
      <c r="A25" s="2" t="s">
        <v>43</v>
      </c>
      <c r="B25">
        <v>26.429999999999996</v>
      </c>
      <c r="C25">
        <v>17.877999999999997</v>
      </c>
      <c r="D25">
        <v>23.502000000000002</v>
      </c>
      <c r="E25">
        <v>26.437999999999999</v>
      </c>
      <c r="F25" s="10">
        <v>26.413999999999998</v>
      </c>
      <c r="G25" s="11">
        <v>19.875999999999998</v>
      </c>
      <c r="H25" s="12">
        <v>31.306000000000001</v>
      </c>
      <c r="I25">
        <v>32.055999999999997</v>
      </c>
      <c r="J25">
        <v>16.058</v>
      </c>
      <c r="K25">
        <v>25.529999999999998</v>
      </c>
      <c r="L25" s="5" t="s">
        <v>88</v>
      </c>
    </row>
    <row r="26" spans="1:12" x14ac:dyDescent="0.3">
      <c r="F26" s="10"/>
      <c r="G26" s="11"/>
      <c r="H26" s="12"/>
    </row>
    <row r="27" spans="1:12" x14ac:dyDescent="0.3">
      <c r="A27" s="2" t="s">
        <v>89</v>
      </c>
      <c r="B27" s="4">
        <f>B6+B21</f>
        <v>26.006</v>
      </c>
      <c r="C27" s="4">
        <f t="shared" ref="C27:H27" si="6">C6+C21</f>
        <v>15.450000000000003</v>
      </c>
      <c r="D27" s="4">
        <f t="shared" si="6"/>
        <v>22.4</v>
      </c>
      <c r="E27" s="4">
        <f t="shared" si="6"/>
        <v>5.9160000000000004</v>
      </c>
      <c r="F27" s="13">
        <f t="shared" si="6"/>
        <v>23.990000000000002</v>
      </c>
      <c r="G27" s="14">
        <f t="shared" si="6"/>
        <v>17.48</v>
      </c>
      <c r="H27" s="15">
        <f t="shared" si="6"/>
        <v>1.0760000000000001</v>
      </c>
      <c r="I27" s="4">
        <f t="shared" ref="I27:J27" si="7">I6+I21</f>
        <v>14.626000000000001</v>
      </c>
      <c r="J27" s="4">
        <f t="shared" si="7"/>
        <v>23.483999999999998</v>
      </c>
      <c r="K27" s="4">
        <f t="shared" ref="K27" si="8">K6+K21</f>
        <v>15.824</v>
      </c>
    </row>
    <row r="28" spans="1:12" x14ac:dyDescent="0.3">
      <c r="A28" s="2" t="s">
        <v>42</v>
      </c>
      <c r="B28" s="4">
        <f>B24</f>
        <v>33.535999999999994</v>
      </c>
      <c r="C28" s="4">
        <f t="shared" ref="C28:H28" si="9">C24</f>
        <v>44.863999999999997</v>
      </c>
      <c r="D28" s="4">
        <f t="shared" si="9"/>
        <v>27.419999999999998</v>
      </c>
      <c r="E28" s="4">
        <f t="shared" si="9"/>
        <v>50.54</v>
      </c>
      <c r="F28" s="13">
        <f t="shared" si="9"/>
        <v>29.056000000000001</v>
      </c>
      <c r="G28" s="14">
        <f t="shared" si="9"/>
        <v>36.989999999999995</v>
      </c>
      <c r="H28" s="15">
        <f t="shared" si="9"/>
        <v>55.036000000000001</v>
      </c>
      <c r="I28" s="4">
        <f t="shared" ref="I28:J28" si="10">I24</f>
        <v>54.184000000000005</v>
      </c>
      <c r="J28" s="4">
        <f t="shared" si="10"/>
        <v>29.318000000000001</v>
      </c>
      <c r="K28" s="4">
        <f t="shared" ref="K28" si="11">K24</f>
        <v>34.833999999999996</v>
      </c>
    </row>
    <row r="29" spans="1:12" x14ac:dyDescent="0.3">
      <c r="A29" s="2" t="s">
        <v>90</v>
      </c>
      <c r="B29" s="4">
        <f>B25</f>
        <v>26.429999999999996</v>
      </c>
      <c r="C29" s="4">
        <f t="shared" ref="C29:H29" si="12">C25</f>
        <v>17.877999999999997</v>
      </c>
      <c r="D29" s="4">
        <f t="shared" si="12"/>
        <v>23.502000000000002</v>
      </c>
      <c r="E29" s="4">
        <f t="shared" si="12"/>
        <v>26.437999999999999</v>
      </c>
      <c r="F29" s="13">
        <f t="shared" si="12"/>
        <v>26.413999999999998</v>
      </c>
      <c r="G29" s="14">
        <f t="shared" si="12"/>
        <v>19.875999999999998</v>
      </c>
      <c r="H29" s="15">
        <f t="shared" si="12"/>
        <v>31.306000000000001</v>
      </c>
      <c r="I29" s="4">
        <f t="shared" ref="I29:J29" si="13">I25</f>
        <v>32.055999999999997</v>
      </c>
      <c r="J29" s="4">
        <f t="shared" si="13"/>
        <v>16.058</v>
      </c>
      <c r="K29" s="4">
        <f t="shared" ref="K29" si="14">K25</f>
        <v>25.529999999999998</v>
      </c>
    </row>
    <row r="30" spans="1:12" x14ac:dyDescent="0.3">
      <c r="A30" s="2" t="s">
        <v>91</v>
      </c>
      <c r="B30" s="4">
        <f>B5+B8+B10+B11+B16+B17+B20+B23</f>
        <v>34.286000000000001</v>
      </c>
      <c r="C30" s="4">
        <f>C5+C8+C10+C11+C16+C17+C20+C23</f>
        <v>13.054</v>
      </c>
      <c r="D30" s="4">
        <f>D5+D8+D10+D11+D16+D17+D20+D23</f>
        <v>20.707999999999998</v>
      </c>
      <c r="E30" s="4">
        <f>E5+E8+E10+E11+E16+E17+E20+E23</f>
        <v>6.3279999999999994</v>
      </c>
      <c r="F30" s="13">
        <f>F5+F8+F10+F11+F16+F17+F20+F23</f>
        <v>20.622</v>
      </c>
      <c r="G30" s="14">
        <f t="shared" ref="G30:H30" si="15">G5+G8+G10+G11+G16+G17+G20+G23</f>
        <v>29.599999999999998</v>
      </c>
      <c r="H30" s="15">
        <f t="shared" si="15"/>
        <v>11.48</v>
      </c>
      <c r="I30" s="4">
        <f t="shared" ref="I30:J30" si="16">I5+I8+I10+I11+I16+I17+I20+I23</f>
        <v>40.814</v>
      </c>
      <c r="J30" s="4">
        <f t="shared" si="16"/>
        <v>31.769999999999996</v>
      </c>
      <c r="K30" s="4">
        <f t="shared" ref="K30" si="17">K5+K8+K10+K11+K16+K17+K20+K23</f>
        <v>21.684000000000001</v>
      </c>
    </row>
    <row r="31" spans="1:12" x14ac:dyDescent="0.3">
      <c r="A31" s="2" t="s">
        <v>92</v>
      </c>
      <c r="B31" s="4">
        <f>B19</f>
        <v>231.36199999999999</v>
      </c>
      <c r="C31" s="4">
        <f>C19</f>
        <v>195.94399999999999</v>
      </c>
      <c r="D31" s="4">
        <f>D19</f>
        <v>243.10999999999999</v>
      </c>
      <c r="E31" s="4">
        <f>E19</f>
        <v>177.054</v>
      </c>
      <c r="F31" s="13">
        <f>F19</f>
        <v>288.68799999999999</v>
      </c>
      <c r="G31" s="14">
        <f t="shared" ref="G31:H31" si="18">G19</f>
        <v>217.01600000000002</v>
      </c>
      <c r="H31" s="15">
        <f t="shared" si="18"/>
        <v>174.92600000000002</v>
      </c>
      <c r="I31" s="4">
        <f t="shared" ref="I31:J31" si="19">I19</f>
        <v>164.73000000000002</v>
      </c>
      <c r="J31" s="4">
        <f t="shared" si="19"/>
        <v>202.31199999999998</v>
      </c>
      <c r="K31" s="4">
        <f t="shared" ref="K31" si="20">K19</f>
        <v>191.99799999999999</v>
      </c>
    </row>
    <row r="32" spans="1:12" x14ac:dyDescent="0.3">
      <c r="A32" s="2" t="s">
        <v>93</v>
      </c>
      <c r="B32" s="4">
        <f>B7</f>
        <v>7.9479999999999986</v>
      </c>
      <c r="C32" s="4">
        <f>C7</f>
        <v>6.0360000000000005</v>
      </c>
      <c r="D32" s="4">
        <f>D7</f>
        <v>1.0260000000000002</v>
      </c>
      <c r="E32" s="4">
        <f>E7</f>
        <v>1.35</v>
      </c>
      <c r="F32" s="13">
        <f>F7</f>
        <v>1.9120000000000001</v>
      </c>
      <c r="G32" s="14">
        <f t="shared" ref="G32:H32" si="21">G7</f>
        <v>2.464</v>
      </c>
      <c r="H32" s="15">
        <f t="shared" si="21"/>
        <v>4.5140000000000002</v>
      </c>
      <c r="I32" s="4">
        <f t="shared" ref="I32:J32" si="22">I7</f>
        <v>1.298</v>
      </c>
      <c r="J32" s="4">
        <f t="shared" si="22"/>
        <v>5.3360000000000003</v>
      </c>
      <c r="K32" s="4">
        <f t="shared" ref="K32" si="23">K7</f>
        <v>3.6480000000000006</v>
      </c>
    </row>
    <row r="33" spans="1:11" x14ac:dyDescent="0.3">
      <c r="A33" s="2" t="s">
        <v>27</v>
      </c>
      <c r="B33" s="4">
        <f>B9</f>
        <v>6.3480000000000008</v>
      </c>
      <c r="C33" s="4">
        <f>C9</f>
        <v>6.3420000000000005</v>
      </c>
      <c r="D33" s="4">
        <f>D9</f>
        <v>2.4820000000000002</v>
      </c>
      <c r="E33" s="4">
        <f>E9</f>
        <v>4.5060000000000002</v>
      </c>
      <c r="F33" s="13">
        <f>F9</f>
        <v>2.3180000000000001</v>
      </c>
      <c r="G33" s="14">
        <f t="shared" ref="G33:H33" si="24">G9</f>
        <v>4.145999999999999</v>
      </c>
      <c r="H33" s="15">
        <f t="shared" si="24"/>
        <v>6.6260000000000003</v>
      </c>
      <c r="I33" s="4">
        <f t="shared" ref="I33:J33" si="25">I9</f>
        <v>1.3859999999999997</v>
      </c>
      <c r="J33" s="4">
        <f t="shared" si="25"/>
        <v>9.597999999999999</v>
      </c>
      <c r="K33" s="4">
        <f t="shared" ref="K33" si="26">K9</f>
        <v>3.6520000000000001</v>
      </c>
    </row>
    <row r="34" spans="1:11" x14ac:dyDescent="0.3">
      <c r="F34" s="10"/>
      <c r="G34" s="11"/>
      <c r="H34" s="12"/>
    </row>
    <row r="35" spans="1:11" ht="15" thickBot="1" x14ac:dyDescent="0.35">
      <c r="A35" s="2" t="s">
        <v>94</v>
      </c>
      <c r="B35" s="4">
        <f>SUM(B27:B30)</f>
        <v>120.258</v>
      </c>
      <c r="C35" s="4">
        <f>SUM(C27:C30)</f>
        <v>91.245999999999995</v>
      </c>
      <c r="D35" s="4">
        <f t="shared" ref="D35:H35" si="27">SUM(D27:D30)</f>
        <v>94.03</v>
      </c>
      <c r="E35" s="4">
        <f t="shared" si="27"/>
        <v>89.222000000000008</v>
      </c>
      <c r="F35" s="16">
        <f t="shared" si="27"/>
        <v>100.08200000000001</v>
      </c>
      <c r="G35" s="17">
        <f t="shared" si="27"/>
        <v>103.946</v>
      </c>
      <c r="H35" s="18">
        <f t="shared" si="27"/>
        <v>98.89800000000001</v>
      </c>
      <c r="I35" s="4">
        <f t="shared" ref="I35:J35" si="28">SUM(I27:I30)</f>
        <v>141.68</v>
      </c>
      <c r="J35" s="4">
        <f t="shared" si="28"/>
        <v>100.63</v>
      </c>
      <c r="K35" s="4">
        <f t="shared" ref="K35" si="29">SUM(K27:K30)</f>
        <v>97.871999999999986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BK45"/>
  <sheetViews>
    <sheetView topLeftCell="C1" workbookViewId="0">
      <selection activeCell="D14" sqref="D14"/>
    </sheetView>
  </sheetViews>
  <sheetFormatPr defaultRowHeight="14.4" x14ac:dyDescent="0.3"/>
  <cols>
    <col min="1" max="1" width="20.109375" customWidth="1"/>
    <col min="2" max="2" width="22.88671875" customWidth="1"/>
    <col min="3" max="3" width="13.88671875" customWidth="1"/>
    <col min="4" max="4" width="15.33203125" customWidth="1"/>
  </cols>
  <sheetData>
    <row r="2" spans="1:63" ht="21" x14ac:dyDescent="0.4">
      <c r="A2" s="6" t="s">
        <v>95</v>
      </c>
    </row>
    <row r="4" spans="1:63" x14ac:dyDescent="0.3">
      <c r="A4" s="20" t="s">
        <v>96</v>
      </c>
      <c r="B4" s="20" t="s">
        <v>97</v>
      </c>
      <c r="C4" s="20" t="s">
        <v>98</v>
      </c>
      <c r="D4" s="20" t="s">
        <v>99</v>
      </c>
      <c r="E4" s="20" t="s">
        <v>100</v>
      </c>
      <c r="F4" s="20" t="s">
        <v>101</v>
      </c>
      <c r="G4" s="20" t="s">
        <v>102</v>
      </c>
      <c r="H4" s="20" t="s">
        <v>103</v>
      </c>
      <c r="I4" s="20" t="s">
        <v>104</v>
      </c>
      <c r="J4" s="20" t="s">
        <v>105</v>
      </c>
      <c r="K4" s="20" t="s">
        <v>106</v>
      </c>
      <c r="L4" s="20" t="s">
        <v>107</v>
      </c>
      <c r="M4" s="20" t="s">
        <v>108</v>
      </c>
      <c r="N4" s="20" t="s">
        <v>109</v>
      </c>
      <c r="O4" s="20" t="s">
        <v>110</v>
      </c>
      <c r="P4" s="20" t="s">
        <v>111</v>
      </c>
      <c r="Q4" s="20" t="s">
        <v>112</v>
      </c>
      <c r="R4" s="20" t="s">
        <v>113</v>
      </c>
      <c r="S4" s="20" t="s">
        <v>114</v>
      </c>
      <c r="T4" s="20" t="s">
        <v>115</v>
      </c>
      <c r="U4" s="20" t="s">
        <v>116</v>
      </c>
      <c r="V4" s="20" t="s">
        <v>117</v>
      </c>
      <c r="W4" s="20" t="s">
        <v>118</v>
      </c>
      <c r="X4" s="22" t="s">
        <v>119</v>
      </c>
      <c r="Y4" s="22" t="s">
        <v>120</v>
      </c>
      <c r="Z4" s="20" t="s">
        <v>121</v>
      </c>
      <c r="AA4" s="20" t="s">
        <v>122</v>
      </c>
      <c r="AB4" s="20" t="s">
        <v>123</v>
      </c>
      <c r="AC4" s="20" t="s">
        <v>124</v>
      </c>
      <c r="AD4" s="20" t="s">
        <v>125</v>
      </c>
      <c r="AE4" s="20" t="s">
        <v>126</v>
      </c>
      <c r="AF4" s="20" t="s">
        <v>127</v>
      </c>
      <c r="AG4" s="20" t="s">
        <v>128</v>
      </c>
      <c r="AH4" s="20" t="s">
        <v>129</v>
      </c>
      <c r="AI4" s="20" t="s">
        <v>130</v>
      </c>
      <c r="AJ4" s="20" t="s">
        <v>131</v>
      </c>
      <c r="AK4" s="20" t="s">
        <v>132</v>
      </c>
      <c r="AL4" s="20" t="s">
        <v>133</v>
      </c>
      <c r="AM4" s="20" t="s">
        <v>134</v>
      </c>
      <c r="AN4" s="20" t="s">
        <v>135</v>
      </c>
      <c r="AO4" s="20" t="s">
        <v>136</v>
      </c>
      <c r="AP4" s="20" t="s">
        <v>137</v>
      </c>
      <c r="AQ4" s="20" t="s">
        <v>138</v>
      </c>
      <c r="AR4" s="20" t="s">
        <v>139</v>
      </c>
      <c r="AS4" s="20" t="s">
        <v>140</v>
      </c>
      <c r="AT4" s="20" t="s">
        <v>141</v>
      </c>
      <c r="AU4" s="20" t="s">
        <v>142</v>
      </c>
      <c r="AV4" s="20" t="s">
        <v>143</v>
      </c>
      <c r="AW4" s="20" t="s">
        <v>144</v>
      </c>
      <c r="AX4" s="20" t="s">
        <v>145</v>
      </c>
      <c r="AY4" s="20" t="s">
        <v>146</v>
      </c>
      <c r="AZ4" s="20" t="s">
        <v>147</v>
      </c>
      <c r="BA4" s="20" t="s">
        <v>148</v>
      </c>
      <c r="BB4" s="20" t="s">
        <v>149</v>
      </c>
      <c r="BC4" s="20" t="s">
        <v>150</v>
      </c>
      <c r="BD4" s="20" t="s">
        <v>151</v>
      </c>
      <c r="BE4" s="20" t="s">
        <v>152</v>
      </c>
      <c r="BF4" s="20" t="s">
        <v>153</v>
      </c>
      <c r="BG4" s="20" t="s">
        <v>154</v>
      </c>
      <c r="BH4" s="20" t="s">
        <v>155</v>
      </c>
      <c r="BI4" s="20" t="s">
        <v>156</v>
      </c>
      <c r="BJ4" s="20" t="s">
        <v>157</v>
      </c>
      <c r="BK4" s="20" t="s">
        <v>158</v>
      </c>
    </row>
    <row r="5" spans="1:63" x14ac:dyDescent="0.3">
      <c r="A5" s="2" t="s">
        <v>23</v>
      </c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  <c r="AR5" s="25"/>
      <c r="AS5" s="25"/>
      <c r="AT5" s="25"/>
      <c r="AU5" s="25"/>
      <c r="AV5" s="25"/>
      <c r="AW5" s="25"/>
      <c r="AX5" s="25"/>
      <c r="AY5" s="25"/>
      <c r="AZ5" s="25"/>
    </row>
    <row r="6" spans="1:63" x14ac:dyDescent="0.3">
      <c r="A6" s="2" t="s">
        <v>24</v>
      </c>
      <c r="B6" t="str">
        <f t="shared" ref="B6:AG6" si="0">A30</f>
        <v>A.06.01.001</v>
      </c>
      <c r="C6" t="str">
        <f t="shared" si="0"/>
        <v>Beef meat (Bos spp.)</v>
      </c>
      <c r="D6" t="str">
        <f t="shared" si="0"/>
        <v>Meat and meat products (including edible offal)</v>
      </c>
      <c r="E6" t="str">
        <f t="shared" si="0"/>
        <v>Livestock meat</v>
      </c>
      <c r="F6">
        <f t="shared" si="0"/>
        <v>1000</v>
      </c>
      <c r="G6">
        <f t="shared" si="0"/>
        <v>32.206994738553298</v>
      </c>
      <c r="H6">
        <f t="shared" si="0"/>
        <v>4.4106349921341197</v>
      </c>
      <c r="I6">
        <f t="shared" si="0"/>
        <v>1.7237922561447402E-2</v>
      </c>
      <c r="J6">
        <f t="shared" si="0"/>
        <v>0.88236579285476902</v>
      </c>
      <c r="K6">
        <f t="shared" si="0"/>
        <v>0.37556379158151099</v>
      </c>
      <c r="L6">
        <f t="shared" si="0"/>
        <v>32.031495933196403</v>
      </c>
      <c r="M6">
        <f t="shared" si="0"/>
        <v>4.27503905655397</v>
      </c>
      <c r="N6">
        <f t="shared" si="0"/>
        <v>1.5933174679260101E-2</v>
      </c>
      <c r="O6">
        <f t="shared" si="0"/>
        <v>0.88233991074646401</v>
      </c>
      <c r="P6">
        <f t="shared" si="0"/>
        <v>0.375562610021206</v>
      </c>
      <c r="Q6">
        <f t="shared" si="0"/>
        <v>11.266100925048701</v>
      </c>
      <c r="R6">
        <f t="shared" si="0"/>
        <v>0.61223698782851099</v>
      </c>
      <c r="S6">
        <f t="shared" si="0"/>
        <v>3.2966909559284503E-2</v>
      </c>
      <c r="T6">
        <f t="shared" si="0"/>
        <v>0.15851119074943101</v>
      </c>
      <c r="U6">
        <f t="shared" si="0"/>
        <v>2.7641862334665199</v>
      </c>
      <c r="V6">
        <f t="shared" si="0"/>
        <v>1.7034275792765699E-11</v>
      </c>
      <c r="W6">
        <f t="shared" si="0"/>
        <v>0.19957244135087099</v>
      </c>
      <c r="X6">
        <f t="shared" si="0"/>
        <v>0.27542636533826398</v>
      </c>
      <c r="Y6">
        <f t="shared" si="0"/>
        <v>35.290316928646497</v>
      </c>
      <c r="Z6">
        <f t="shared" si="0"/>
        <v>2.1156923133984602</v>
      </c>
      <c r="AA6">
        <f t="shared" si="0"/>
        <v>0.98092549858669598</v>
      </c>
      <c r="AB6">
        <f t="shared" si="0"/>
        <v>3.0250943813034898</v>
      </c>
      <c r="AC6">
        <f t="shared" si="0"/>
        <v>2.1686885614081102</v>
      </c>
      <c r="AD6">
        <f t="shared" si="0"/>
        <v>0.109179537671106</v>
      </c>
      <c r="AE6">
        <f t="shared" si="0"/>
        <v>18.939896328653699</v>
      </c>
      <c r="AF6">
        <f t="shared" si="0"/>
        <v>4.6920193121748301</v>
      </c>
      <c r="AG6">
        <f t="shared" si="0"/>
        <v>1.2625350590722899</v>
      </c>
      <c r="AH6">
        <f t="shared" ref="AH6:BI6" si="1">AG30</f>
        <v>0.87335265418383801</v>
      </c>
      <c r="AI6">
        <f t="shared" si="1"/>
        <v>2.1103794423116402</v>
      </c>
      <c r="AJ6">
        <f t="shared" si="1"/>
        <v>0.109065096947968</v>
      </c>
      <c r="AK6">
        <f t="shared" si="1"/>
        <v>2.30881990602207E-3</v>
      </c>
      <c r="AL6">
        <f t="shared" si="1"/>
        <v>3.106847802279E-3</v>
      </c>
      <c r="AM6">
        <f t="shared" si="1"/>
        <v>0.174758013302792</v>
      </c>
      <c r="AN6">
        <f t="shared" si="1"/>
        <v>0</v>
      </c>
      <c r="AO6">
        <f t="shared" si="1"/>
        <v>0.70147764180199201</v>
      </c>
      <c r="AP6">
        <f t="shared" si="1"/>
        <v>9.4827603168319494E-2</v>
      </c>
      <c r="AQ6">
        <f t="shared" si="1"/>
        <v>2.8730931176802498E-3</v>
      </c>
      <c r="AR6">
        <f t="shared" si="1"/>
        <v>5.4903955659130003E-5</v>
      </c>
      <c r="AS6">
        <f t="shared" si="1"/>
        <v>1.1080931799646501E-2</v>
      </c>
      <c r="AT6">
        <f t="shared" si="1"/>
        <v>0.17348978585896199</v>
      </c>
      <c r="AU6">
        <f t="shared" si="1"/>
        <v>7.8083297678762298E-3</v>
      </c>
      <c r="AV6">
        <f t="shared" si="1"/>
        <v>0</v>
      </c>
      <c r="AW6">
        <f t="shared" si="1"/>
        <v>0</v>
      </c>
      <c r="AX6">
        <f t="shared" si="1"/>
        <v>0</v>
      </c>
      <c r="AY6">
        <f t="shared" si="1"/>
        <v>0</v>
      </c>
      <c r="AZ6">
        <f t="shared" si="1"/>
        <v>0.16715054694313</v>
      </c>
      <c r="BA6">
        <f t="shared" si="1"/>
        <v>0.127591292497577</v>
      </c>
      <c r="BB6">
        <f t="shared" si="1"/>
        <v>1.2976377481273399E-3</v>
      </c>
      <c r="BC6">
        <f t="shared" si="1"/>
        <v>2.5882108305240001E-5</v>
      </c>
      <c r="BD6">
        <f t="shared" si="1"/>
        <v>6.9902061214887601E-7</v>
      </c>
      <c r="BE6">
        <f t="shared" si="1"/>
        <v>8.3482584137843305E-3</v>
      </c>
      <c r="BF6">
        <f t="shared" si="1"/>
        <v>8.0046430825725604E-3</v>
      </c>
      <c r="BG6">
        <f t="shared" si="1"/>
        <v>7.1101340599199996E-6</v>
      </c>
      <c r="BH6">
        <f t="shared" si="1"/>
        <v>4.8253969313553303E-7</v>
      </c>
      <c r="BI6">
        <f t="shared" si="1"/>
        <v>0</v>
      </c>
    </row>
    <row r="7" spans="1:63" x14ac:dyDescent="0.3">
      <c r="A7" s="2" t="s">
        <v>25</v>
      </c>
      <c r="B7" t="str">
        <f t="shared" ref="B7:AG7" si="2">A43</f>
        <v>A.11.01.001</v>
      </c>
      <c r="C7" t="str">
        <f t="shared" si="2"/>
        <v>Butter</v>
      </c>
      <c r="D7" t="str">
        <f t="shared" si="2"/>
        <v>Animal and vegetable fats and oils</v>
      </c>
      <c r="E7" t="str">
        <f t="shared" si="2"/>
        <v>Animal fat</v>
      </c>
      <c r="F7">
        <f t="shared" si="2"/>
        <v>1000</v>
      </c>
      <c r="G7">
        <f t="shared" si="2"/>
        <v>6.6835883381441503</v>
      </c>
      <c r="H7">
        <f t="shared" si="2"/>
        <v>1.6048178670222499</v>
      </c>
      <c r="I7">
        <f t="shared" si="2"/>
        <v>3.24203906570704E-3</v>
      </c>
      <c r="J7">
        <f t="shared" si="2"/>
        <v>0.157768137240239</v>
      </c>
      <c r="K7">
        <f t="shared" si="2"/>
        <v>5.4407879628758198E-3</v>
      </c>
      <c r="L7">
        <f t="shared" si="2"/>
        <v>6.1486686363072502</v>
      </c>
      <c r="M7">
        <f t="shared" si="2"/>
        <v>1.0968000260581801</v>
      </c>
      <c r="N7">
        <f t="shared" si="2"/>
        <v>2.5955724231760901E-3</v>
      </c>
      <c r="O7">
        <f t="shared" si="2"/>
        <v>0.15771852192778599</v>
      </c>
      <c r="P7">
        <f t="shared" si="2"/>
        <v>5.4177200453330698E-3</v>
      </c>
      <c r="Q7">
        <f t="shared" si="2"/>
        <v>2.3937695221579198</v>
      </c>
      <c r="R7">
        <f t="shared" si="2"/>
        <v>0.106861750327501</v>
      </c>
      <c r="S7">
        <f t="shared" si="2"/>
        <v>5.40091617510601E-3</v>
      </c>
      <c r="T7">
        <f t="shared" si="2"/>
        <v>1.9050465651295E-2</v>
      </c>
      <c r="U7">
        <f t="shared" si="2"/>
        <v>0.37834451368310401</v>
      </c>
      <c r="V7">
        <f t="shared" si="2"/>
        <v>8.1122895835226593E-12</v>
      </c>
      <c r="W7">
        <f t="shared" si="2"/>
        <v>3.3775134845092699E-3</v>
      </c>
      <c r="X7">
        <f t="shared" si="2"/>
        <v>5.7137965649998401E-2</v>
      </c>
      <c r="Y7">
        <f t="shared" si="2"/>
        <v>25.893938016701501</v>
      </c>
      <c r="Z7">
        <f t="shared" si="2"/>
        <v>0.32507856317561301</v>
      </c>
      <c r="AA7">
        <f t="shared" si="2"/>
        <v>0.19291744181596099</v>
      </c>
      <c r="AB7">
        <f t="shared" si="2"/>
        <v>0.68831131357036002</v>
      </c>
      <c r="AC7">
        <f t="shared" si="2"/>
        <v>0.76348887731744797</v>
      </c>
      <c r="AD7">
        <f t="shared" si="2"/>
        <v>4.4017536252115901E-2</v>
      </c>
      <c r="AE7">
        <f t="shared" si="2"/>
        <v>3.3719377917879898</v>
      </c>
      <c r="AF7">
        <f t="shared" si="2"/>
        <v>0.76291711238775295</v>
      </c>
      <c r="AG7">
        <f t="shared" si="2"/>
        <v>0.19592685992778699</v>
      </c>
      <c r="AH7">
        <f t="shared" ref="AH7:BI7" si="3">AG43</f>
        <v>0.172792266755567</v>
      </c>
      <c r="AI7">
        <f t="shared" si="3"/>
        <v>0.73787859587305205</v>
      </c>
      <c r="AJ7">
        <f t="shared" si="3"/>
        <v>4.4017536252115901E-2</v>
      </c>
      <c r="AK7">
        <f t="shared" si="3"/>
        <v>3.6276370882548002E-4</v>
      </c>
      <c r="AL7">
        <f t="shared" si="3"/>
        <v>6.1150869563564997E-4</v>
      </c>
      <c r="AM7">
        <f t="shared" si="3"/>
        <v>0.12871799154199601</v>
      </c>
      <c r="AN7">
        <f t="shared" si="3"/>
        <v>0</v>
      </c>
      <c r="AO7">
        <f t="shared" si="3"/>
        <v>0.124886584881036</v>
      </c>
      <c r="AP7">
        <f t="shared" si="3"/>
        <v>1.6415968523374801E-2</v>
      </c>
      <c r="AQ7">
        <f t="shared" si="3"/>
        <v>4.3348477921182E-4</v>
      </c>
      <c r="AR7">
        <f t="shared" si="3"/>
        <v>6.9678239210599999E-6</v>
      </c>
      <c r="AS7">
        <f t="shared" si="3"/>
        <v>2.5212868628950902E-3</v>
      </c>
      <c r="AT7">
        <f t="shared" si="3"/>
        <v>0.12807729969558701</v>
      </c>
      <c r="AU7">
        <f t="shared" si="3"/>
        <v>1.17101085075689E-3</v>
      </c>
      <c r="AV7">
        <f t="shared" si="3"/>
        <v>0.331075027102608</v>
      </c>
      <c r="AW7">
        <f t="shared" si="3"/>
        <v>0.32262272992010099</v>
      </c>
      <c r="AX7">
        <f t="shared" si="3"/>
        <v>1.7801225442973001E-4</v>
      </c>
      <c r="AY7">
        <f t="shared" si="3"/>
        <v>1.1529421247250001E-5</v>
      </c>
      <c r="AZ7">
        <f t="shared" si="3"/>
        <v>9.6777195229454799E-2</v>
      </c>
      <c r="BA7">
        <f t="shared" si="3"/>
        <v>8.2687090430199603E-2</v>
      </c>
      <c r="BB7">
        <f t="shared" si="3"/>
        <v>3.7723013849875E-4</v>
      </c>
      <c r="BC7">
        <f t="shared" si="3"/>
        <v>4.961531245318E-5</v>
      </c>
      <c r="BD7">
        <f t="shared" si="3"/>
        <v>5.5275942701700004E-6</v>
      </c>
      <c r="BE7">
        <f t="shared" si="3"/>
        <v>0.107067479504836</v>
      </c>
      <c r="BF7">
        <f t="shared" si="3"/>
        <v>0.102708020613769</v>
      </c>
      <c r="BG7">
        <f t="shared" si="3"/>
        <v>9.1224249602470006E-5</v>
      </c>
      <c r="BH7">
        <f t="shared" si="3"/>
        <v>6.0109020253200001E-6</v>
      </c>
      <c r="BI7" t="str">
        <f t="shared" si="3"/>
        <v>F28.A07MH$F28.A0EKQ</v>
      </c>
      <c r="BJ7" t="s">
        <v>159</v>
      </c>
    </row>
    <row r="8" spans="1:63" x14ac:dyDescent="0.3">
      <c r="A8" s="2" t="s">
        <v>26</v>
      </c>
      <c r="B8" t="str">
        <f t="shared" ref="B8:AG8" si="4">A38</f>
        <v>A.07.05.002</v>
      </c>
      <c r="C8" t="str">
        <f t="shared" si="4"/>
        <v>Octopus (Octopus vulgaris)</v>
      </c>
      <c r="D8" t="str">
        <f t="shared" si="4"/>
        <v>Fish and other seafood (including amphibians, reptiles, snails and insects)</v>
      </c>
      <c r="E8" t="str">
        <f t="shared" si="4"/>
        <v>Water molluscs</v>
      </c>
      <c r="F8">
        <f t="shared" si="4"/>
        <v>1000</v>
      </c>
      <c r="G8">
        <f t="shared" si="4"/>
        <v>10.713373881389501</v>
      </c>
      <c r="H8">
        <f t="shared" si="4"/>
        <v>10.6849111076576</v>
      </c>
      <c r="I8">
        <f t="shared" si="4"/>
        <v>7.5647880972959001E-4</v>
      </c>
      <c r="J8">
        <f t="shared" si="4"/>
        <v>1.4206897765150001E-5</v>
      </c>
      <c r="K8">
        <f t="shared" si="4"/>
        <v>2.0278824037509999E-5</v>
      </c>
      <c r="L8">
        <f t="shared" si="4"/>
        <v>10.3123720281811</v>
      </c>
      <c r="M8">
        <f t="shared" si="4"/>
        <v>10.3123720281811</v>
      </c>
      <c r="N8">
        <f t="shared" si="4"/>
        <v>0</v>
      </c>
      <c r="O8">
        <f t="shared" si="4"/>
        <v>0</v>
      </c>
      <c r="P8">
        <f t="shared" si="4"/>
        <v>0</v>
      </c>
      <c r="Q8">
        <f t="shared" si="4"/>
        <v>0</v>
      </c>
      <c r="R8">
        <f t="shared" si="4"/>
        <v>0</v>
      </c>
      <c r="S8">
        <f t="shared" si="4"/>
        <v>0</v>
      </c>
      <c r="T8">
        <f t="shared" si="4"/>
        <v>0</v>
      </c>
      <c r="U8">
        <f t="shared" si="4"/>
        <v>0</v>
      </c>
      <c r="V8">
        <f t="shared" si="4"/>
        <v>0</v>
      </c>
      <c r="W8">
        <f t="shared" si="4"/>
        <v>0</v>
      </c>
      <c r="X8">
        <f t="shared" si="4"/>
        <v>0.61753085931381502</v>
      </c>
      <c r="Y8">
        <f t="shared" si="4"/>
        <v>0</v>
      </c>
      <c r="Z8">
        <f t="shared" si="4"/>
        <v>0</v>
      </c>
      <c r="AA8">
        <f t="shared" si="4"/>
        <v>0</v>
      </c>
      <c r="AB8">
        <f t="shared" si="4"/>
        <v>0</v>
      </c>
      <c r="AC8">
        <f t="shared" si="4"/>
        <v>10.3123720281811</v>
      </c>
      <c r="AD8">
        <f t="shared" si="4"/>
        <v>0</v>
      </c>
      <c r="AE8">
        <f t="shared" si="4"/>
        <v>0</v>
      </c>
      <c r="AF8">
        <f t="shared" si="4"/>
        <v>0</v>
      </c>
      <c r="AG8">
        <f t="shared" si="4"/>
        <v>0</v>
      </c>
      <c r="AH8">
        <f t="shared" ref="AH8:BI8" si="5">AG38</f>
        <v>0</v>
      </c>
      <c r="AI8">
        <f t="shared" si="5"/>
        <v>10.3123720281811</v>
      </c>
      <c r="AJ8">
        <f t="shared" si="5"/>
        <v>0</v>
      </c>
      <c r="AK8">
        <f t="shared" si="5"/>
        <v>0</v>
      </c>
      <c r="AL8">
        <f t="shared" si="5"/>
        <v>0</v>
      </c>
      <c r="AM8">
        <f t="shared" si="5"/>
        <v>0</v>
      </c>
      <c r="AN8">
        <f t="shared" si="5"/>
        <v>0</v>
      </c>
      <c r="AO8">
        <f t="shared" si="5"/>
        <v>0</v>
      </c>
      <c r="AP8">
        <f t="shared" si="5"/>
        <v>0</v>
      </c>
      <c r="AQ8">
        <f t="shared" si="5"/>
        <v>0</v>
      </c>
      <c r="AR8">
        <f t="shared" si="5"/>
        <v>0</v>
      </c>
      <c r="AS8">
        <f t="shared" si="5"/>
        <v>0</v>
      </c>
      <c r="AT8">
        <f t="shared" si="5"/>
        <v>0</v>
      </c>
      <c r="AU8">
        <f t="shared" si="5"/>
        <v>0</v>
      </c>
      <c r="AV8">
        <f t="shared" si="5"/>
        <v>0</v>
      </c>
      <c r="AW8">
        <f t="shared" si="5"/>
        <v>0</v>
      </c>
      <c r="AX8">
        <f t="shared" si="5"/>
        <v>0</v>
      </c>
      <c r="AY8">
        <f t="shared" si="5"/>
        <v>0</v>
      </c>
      <c r="AZ8">
        <f t="shared" si="5"/>
        <v>0.132549287428427</v>
      </c>
      <c r="BA8">
        <f t="shared" si="5"/>
        <v>0.114767269191258</v>
      </c>
      <c r="BB8">
        <f t="shared" si="5"/>
        <v>5.2683544264723995E-4</v>
      </c>
      <c r="BC8">
        <f t="shared" si="5"/>
        <v>1.4206897765150001E-5</v>
      </c>
      <c r="BD8">
        <f t="shared" si="5"/>
        <v>6.22247548213E-6</v>
      </c>
      <c r="BE8">
        <f t="shared" si="5"/>
        <v>0.26845256577989202</v>
      </c>
      <c r="BF8">
        <f t="shared" si="5"/>
        <v>0.25777181028522</v>
      </c>
      <c r="BG8">
        <f t="shared" si="5"/>
        <v>2.2964336708235E-4</v>
      </c>
      <c r="BH8">
        <f t="shared" si="5"/>
        <v>1.4056348555370001E-5</v>
      </c>
      <c r="BI8">
        <f t="shared" si="5"/>
        <v>0</v>
      </c>
    </row>
    <row r="9" spans="1:63" x14ac:dyDescent="0.3">
      <c r="A9" s="2" t="s">
        <v>27</v>
      </c>
      <c r="B9" t="str">
        <f t="shared" ref="B9:AG9" si="6">A41</f>
        <v>A.08.05.001.004</v>
      </c>
      <c r="C9" t="str">
        <f t="shared" si="6"/>
        <v>Cream 40 % fat</v>
      </c>
      <c r="D9" t="str">
        <f t="shared" si="6"/>
        <v>Milk and dairy products</v>
      </c>
      <c r="E9" t="str">
        <f t="shared" si="6"/>
        <v>Cream and cream products</v>
      </c>
      <c r="F9">
        <f t="shared" si="6"/>
        <v>1000</v>
      </c>
      <c r="G9">
        <f t="shared" si="6"/>
        <v>3.2833507402711399</v>
      </c>
      <c r="H9">
        <f t="shared" si="6"/>
        <v>0.704380168881661</v>
      </c>
      <c r="I9">
        <f t="shared" si="6"/>
        <v>1.7307003208215199E-3</v>
      </c>
      <c r="J9">
        <f t="shared" si="6"/>
        <v>8.0059910412803706E-2</v>
      </c>
      <c r="K9">
        <f t="shared" si="6"/>
        <v>2.7575929257138798E-3</v>
      </c>
      <c r="L9">
        <f t="shared" si="6"/>
        <v>3.11935577857437</v>
      </c>
      <c r="M9">
        <f t="shared" si="6"/>
        <v>0.55643094490775602</v>
      </c>
      <c r="N9">
        <f t="shared" si="6"/>
        <v>1.31679137645076E-3</v>
      </c>
      <c r="O9">
        <f t="shared" si="6"/>
        <v>8.0014099289488202E-2</v>
      </c>
      <c r="P9">
        <f t="shared" si="6"/>
        <v>2.7485293694827499E-3</v>
      </c>
      <c r="Q9">
        <f t="shared" si="6"/>
        <v>1.2144122952774801</v>
      </c>
      <c r="R9">
        <f t="shared" si="6"/>
        <v>5.4213332691947003E-2</v>
      </c>
      <c r="S9">
        <f t="shared" si="6"/>
        <v>2.7400043939481001E-3</v>
      </c>
      <c r="T9">
        <f t="shared" si="6"/>
        <v>9.6647231504720307E-3</v>
      </c>
      <c r="U9">
        <f t="shared" si="6"/>
        <v>0.19194255128344301</v>
      </c>
      <c r="V9">
        <f t="shared" si="6"/>
        <v>4.1155441749464304E-12</v>
      </c>
      <c r="W9">
        <f t="shared" si="6"/>
        <v>1.7134873951256499E-3</v>
      </c>
      <c r="X9">
        <f t="shared" si="6"/>
        <v>2.89873554534807E-2</v>
      </c>
      <c r="Y9">
        <f t="shared" si="6"/>
        <v>13.1365682491803</v>
      </c>
      <c r="Z9">
        <f t="shared" si="6"/>
        <v>0.16491955486830601</v>
      </c>
      <c r="AA9">
        <f t="shared" si="6"/>
        <v>9.7871290926781998E-2</v>
      </c>
      <c r="AB9">
        <f t="shared" si="6"/>
        <v>0.34919557394351802</v>
      </c>
      <c r="AC9">
        <f t="shared" si="6"/>
        <v>0.387334817048748</v>
      </c>
      <c r="AD9">
        <f t="shared" si="6"/>
        <v>2.2331071031518102E-2</v>
      </c>
      <c r="AE9">
        <f t="shared" si="6"/>
        <v>1.7106587227189101</v>
      </c>
      <c r="AF9">
        <f t="shared" si="6"/>
        <v>0.387044748036588</v>
      </c>
      <c r="AG9">
        <f t="shared" si="6"/>
        <v>9.9398035386848896E-2</v>
      </c>
      <c r="AH9">
        <f t="shared" ref="AH9:BI9" si="7">AG41</f>
        <v>8.7661343890643506E-2</v>
      </c>
      <c r="AI9">
        <f t="shared" si="7"/>
        <v>0.37434215406106203</v>
      </c>
      <c r="AJ9">
        <f t="shared" si="7"/>
        <v>2.2331071031518102E-2</v>
      </c>
      <c r="AK9">
        <f t="shared" si="7"/>
        <v>1.8403806389889001E-4</v>
      </c>
      <c r="AL9">
        <f t="shared" si="7"/>
        <v>3.1023190485755998E-4</v>
      </c>
      <c r="AM9">
        <f t="shared" si="7"/>
        <v>6.5301487927337198E-2</v>
      </c>
      <c r="AN9">
        <f t="shared" si="7"/>
        <v>0</v>
      </c>
      <c r="AO9">
        <f t="shared" si="7"/>
        <v>6.3357730471070905E-2</v>
      </c>
      <c r="AP9">
        <f t="shared" si="7"/>
        <v>8.3281844092086797E-3</v>
      </c>
      <c r="AQ9">
        <f t="shared" si="7"/>
        <v>2.1991642922075999E-4</v>
      </c>
      <c r="AR9">
        <f t="shared" si="7"/>
        <v>3.5349313970000001E-6</v>
      </c>
      <c r="AS9">
        <f t="shared" si="7"/>
        <v>1.2791046664597701E-3</v>
      </c>
      <c r="AT9">
        <f t="shared" si="7"/>
        <v>6.4976450763750193E-2</v>
      </c>
      <c r="AU9">
        <f t="shared" si="7"/>
        <v>5.9407973988261E-4</v>
      </c>
      <c r="AV9">
        <f t="shared" si="7"/>
        <v>1.1033314020377801E-2</v>
      </c>
      <c r="AW9">
        <f t="shared" si="7"/>
        <v>1.0587129467897E-2</v>
      </c>
      <c r="AX9">
        <f t="shared" si="7"/>
        <v>1.1409576027890001E-5</v>
      </c>
      <c r="AY9">
        <f t="shared" si="7"/>
        <v>3.8893475036472598E-7</v>
      </c>
      <c r="AZ9">
        <f t="shared" si="7"/>
        <v>8.9356930463117906E-2</v>
      </c>
      <c r="BA9">
        <f t="shared" si="7"/>
        <v>7.6347166005903203E-2</v>
      </c>
      <c r="BB9">
        <f t="shared" si="7"/>
        <v>3.4830651141009E-4</v>
      </c>
      <c r="BC9">
        <f t="shared" si="7"/>
        <v>4.5811123315500002E-5</v>
      </c>
      <c r="BD9">
        <f t="shared" si="7"/>
        <v>5.1037732149200004E-6</v>
      </c>
      <c r="BE9">
        <f t="shared" si="7"/>
        <v>6.3604717213273904E-2</v>
      </c>
      <c r="BF9">
        <f t="shared" si="7"/>
        <v>6.1014928500104003E-2</v>
      </c>
      <c r="BG9">
        <f t="shared" si="7"/>
        <v>5.4192856932770002E-5</v>
      </c>
      <c r="BH9">
        <f t="shared" si="7"/>
        <v>3.5708482658300002E-6</v>
      </c>
      <c r="BI9" t="str">
        <f t="shared" si="7"/>
        <v>F28.A0EKQ</v>
      </c>
      <c r="BJ9" t="s">
        <v>159</v>
      </c>
    </row>
    <row r="10" spans="1:63" x14ac:dyDescent="0.3">
      <c r="A10" s="2" t="s">
        <v>28</v>
      </c>
      <c r="B10" t="str">
        <f t="shared" ref="B10:AG10" si="8">A37</f>
        <v>A.07.04.001</v>
      </c>
      <c r="C10" t="str">
        <f t="shared" si="8"/>
        <v>Crab (Cancer spp.)</v>
      </c>
      <c r="D10" t="str">
        <f t="shared" si="8"/>
        <v>Fish and other seafood (including amphibians, reptiles, snails and insects)</v>
      </c>
      <c r="E10" t="str">
        <f t="shared" si="8"/>
        <v>Crustaceans</v>
      </c>
      <c r="F10">
        <f t="shared" si="8"/>
        <v>1000</v>
      </c>
      <c r="G10">
        <f t="shared" si="8"/>
        <v>15.465521516035301</v>
      </c>
      <c r="H10">
        <f t="shared" si="8"/>
        <v>15.4370587423034</v>
      </c>
      <c r="I10">
        <f t="shared" si="8"/>
        <v>7.5647880972959001E-4</v>
      </c>
      <c r="J10">
        <f t="shared" si="8"/>
        <v>1.4206897765150001E-5</v>
      </c>
      <c r="K10">
        <f t="shared" si="8"/>
        <v>2.0278824037509999E-5</v>
      </c>
      <c r="L10">
        <f t="shared" si="8"/>
        <v>15.0645196628269</v>
      </c>
      <c r="M10">
        <f t="shared" si="8"/>
        <v>15.0645196628269</v>
      </c>
      <c r="N10">
        <f t="shared" si="8"/>
        <v>0</v>
      </c>
      <c r="O10">
        <f t="shared" si="8"/>
        <v>0</v>
      </c>
      <c r="P10">
        <f t="shared" si="8"/>
        <v>0</v>
      </c>
      <c r="Q10">
        <f t="shared" si="8"/>
        <v>0</v>
      </c>
      <c r="R10">
        <f t="shared" si="8"/>
        <v>0</v>
      </c>
      <c r="S10">
        <f t="shared" si="8"/>
        <v>0</v>
      </c>
      <c r="T10">
        <f t="shared" si="8"/>
        <v>0</v>
      </c>
      <c r="U10">
        <f t="shared" si="8"/>
        <v>0</v>
      </c>
      <c r="V10">
        <f t="shared" si="8"/>
        <v>0</v>
      </c>
      <c r="W10">
        <f t="shared" si="8"/>
        <v>0</v>
      </c>
      <c r="X10">
        <f t="shared" si="8"/>
        <v>15.663199131551799</v>
      </c>
      <c r="Y10">
        <f t="shared" si="8"/>
        <v>0</v>
      </c>
      <c r="Z10">
        <f t="shared" si="8"/>
        <v>0</v>
      </c>
      <c r="AA10">
        <f t="shared" si="8"/>
        <v>0</v>
      </c>
      <c r="AB10">
        <f t="shared" si="8"/>
        <v>0</v>
      </c>
      <c r="AC10">
        <f t="shared" si="8"/>
        <v>15.0645196628269</v>
      </c>
      <c r="AD10">
        <f t="shared" si="8"/>
        <v>0</v>
      </c>
      <c r="AE10">
        <f t="shared" si="8"/>
        <v>0</v>
      </c>
      <c r="AF10">
        <f t="shared" si="8"/>
        <v>0</v>
      </c>
      <c r="AG10">
        <f t="shared" si="8"/>
        <v>0</v>
      </c>
      <c r="AH10">
        <f t="shared" ref="AH10:BI10" si="9">AG37</f>
        <v>0</v>
      </c>
      <c r="AI10">
        <f t="shared" si="9"/>
        <v>15.0645196628269</v>
      </c>
      <c r="AJ10">
        <f t="shared" si="9"/>
        <v>0</v>
      </c>
      <c r="AK10">
        <f t="shared" si="9"/>
        <v>0</v>
      </c>
      <c r="AL10">
        <f t="shared" si="9"/>
        <v>0</v>
      </c>
      <c r="AM10">
        <f t="shared" si="9"/>
        <v>0</v>
      </c>
      <c r="AN10">
        <f t="shared" si="9"/>
        <v>0</v>
      </c>
      <c r="AO10">
        <f t="shared" si="9"/>
        <v>0</v>
      </c>
      <c r="AP10">
        <f t="shared" si="9"/>
        <v>0</v>
      </c>
      <c r="AQ10">
        <f t="shared" si="9"/>
        <v>0</v>
      </c>
      <c r="AR10">
        <f t="shared" si="9"/>
        <v>0</v>
      </c>
      <c r="AS10">
        <f t="shared" si="9"/>
        <v>0</v>
      </c>
      <c r="AT10">
        <f t="shared" si="9"/>
        <v>0</v>
      </c>
      <c r="AU10">
        <f t="shared" si="9"/>
        <v>0</v>
      </c>
      <c r="AV10">
        <f t="shared" si="9"/>
        <v>0</v>
      </c>
      <c r="AW10">
        <f t="shared" si="9"/>
        <v>0</v>
      </c>
      <c r="AX10">
        <f t="shared" si="9"/>
        <v>0</v>
      </c>
      <c r="AY10">
        <f t="shared" si="9"/>
        <v>0</v>
      </c>
      <c r="AZ10">
        <f t="shared" si="9"/>
        <v>0.132549287428427</v>
      </c>
      <c r="BA10">
        <f t="shared" si="9"/>
        <v>0.114767269191258</v>
      </c>
      <c r="BB10">
        <f t="shared" si="9"/>
        <v>5.2683544264723995E-4</v>
      </c>
      <c r="BC10">
        <f t="shared" si="9"/>
        <v>1.4206897765150001E-5</v>
      </c>
      <c r="BD10">
        <f t="shared" si="9"/>
        <v>6.22247548213E-6</v>
      </c>
      <c r="BE10">
        <f t="shared" si="9"/>
        <v>0.26845256577989202</v>
      </c>
      <c r="BF10">
        <f t="shared" si="9"/>
        <v>0.25777181028522</v>
      </c>
      <c r="BG10">
        <f t="shared" si="9"/>
        <v>2.2964336708235E-4</v>
      </c>
      <c r="BH10">
        <f t="shared" si="9"/>
        <v>1.4056348555370001E-5</v>
      </c>
      <c r="BI10">
        <f t="shared" si="9"/>
        <v>0</v>
      </c>
    </row>
    <row r="11" spans="1:63" x14ac:dyDescent="0.3">
      <c r="A11" s="2" t="s">
        <v>29</v>
      </c>
      <c r="B11" t="str">
        <f t="shared" ref="B11:AG11" si="10">A44</f>
        <v>I.07.01.006.001</v>
      </c>
      <c r="C11" t="str">
        <f t="shared" si="10"/>
        <v>Salmon (Salmo salar)</v>
      </c>
      <c r="D11" t="str">
        <f t="shared" si="10"/>
        <v>Fish and other seafood (including amphibians, reptiles, snails and insects)</v>
      </c>
      <c r="E11" t="str">
        <f t="shared" si="10"/>
        <v>Fish meat</v>
      </c>
      <c r="F11">
        <f t="shared" si="10"/>
        <v>1000</v>
      </c>
      <c r="G11">
        <f t="shared" si="10"/>
        <v>6.8013085759136196</v>
      </c>
      <c r="H11">
        <f t="shared" si="10"/>
        <v>4.1060372070075299</v>
      </c>
      <c r="I11">
        <f t="shared" si="10"/>
        <v>1.5624228480953101E-3</v>
      </c>
      <c r="J11">
        <f t="shared" si="10"/>
        <v>1.8453188378809999E-5</v>
      </c>
      <c r="K11">
        <f t="shared" si="10"/>
        <v>9.7004136701341597E-3</v>
      </c>
      <c r="L11">
        <f t="shared" si="10"/>
        <v>6.4268276670352797</v>
      </c>
      <c r="M11">
        <f t="shared" si="10"/>
        <v>3.7636598846245599</v>
      </c>
      <c r="N11">
        <f t="shared" si="10"/>
        <v>6.5091670659635995E-4</v>
      </c>
      <c r="O11">
        <f t="shared" si="10"/>
        <v>0</v>
      </c>
      <c r="P11">
        <f t="shared" si="10"/>
        <v>9.6841408958027401E-3</v>
      </c>
      <c r="Q11">
        <f t="shared" si="10"/>
        <v>5.3688853608748301</v>
      </c>
      <c r="R11">
        <f t="shared" si="10"/>
        <v>6.9999122740278405E-2</v>
      </c>
      <c r="S11">
        <f t="shared" si="10"/>
        <v>1.0547821309108999E-2</v>
      </c>
      <c r="T11">
        <f t="shared" si="10"/>
        <v>4.5471930797232801E-2</v>
      </c>
      <c r="U11">
        <f t="shared" si="10"/>
        <v>5.9360692116173001E-4</v>
      </c>
      <c r="V11">
        <f t="shared" si="10"/>
        <v>5.5371606048823101E-12</v>
      </c>
      <c r="W11">
        <f t="shared" si="10"/>
        <v>2.1385836678236101E-3</v>
      </c>
      <c r="X11">
        <f t="shared" si="10"/>
        <v>16.125521067614901</v>
      </c>
      <c r="Y11">
        <f t="shared" si="10"/>
        <v>0</v>
      </c>
      <c r="Z11">
        <f t="shared" si="10"/>
        <v>3.6129574596249001</v>
      </c>
      <c r="AA11">
        <f t="shared" si="10"/>
        <v>8.6281674421219007E-2</v>
      </c>
      <c r="AB11">
        <f t="shared" si="10"/>
        <v>1.89431679589359</v>
      </c>
      <c r="AC11">
        <f t="shared" si="10"/>
        <v>0.61367361589456304</v>
      </c>
      <c r="AD11">
        <f t="shared" si="10"/>
        <v>0.219598121200998</v>
      </c>
      <c r="AE11">
        <f t="shared" si="10"/>
        <v>0</v>
      </c>
      <c r="AF11">
        <f t="shared" si="10"/>
        <v>0</v>
      </c>
      <c r="AG11">
        <f t="shared" si="10"/>
        <v>2.8441064731077699</v>
      </c>
      <c r="AH11">
        <f t="shared" ref="AH11:BI11" si="11">AG44</f>
        <v>8.6281674421219007E-2</v>
      </c>
      <c r="AI11">
        <f t="shared" si="11"/>
        <v>0.61367361589456304</v>
      </c>
      <c r="AJ11">
        <f t="shared" si="11"/>
        <v>0.219598121200998</v>
      </c>
      <c r="AK11">
        <f t="shared" si="11"/>
        <v>6.5091670659635995E-4</v>
      </c>
      <c r="AL11">
        <f t="shared" si="11"/>
        <v>0</v>
      </c>
      <c r="AM11">
        <f t="shared" si="11"/>
        <v>0</v>
      </c>
      <c r="AN11">
        <f t="shared" si="11"/>
        <v>0</v>
      </c>
      <c r="AO11">
        <f t="shared" si="11"/>
        <v>0</v>
      </c>
      <c r="AP11">
        <f t="shared" si="11"/>
        <v>0</v>
      </c>
      <c r="AQ11">
        <f t="shared" si="11"/>
        <v>2.74525153355513E-3</v>
      </c>
      <c r="AR11">
        <f t="shared" si="11"/>
        <v>0</v>
      </c>
      <c r="AS11">
        <f t="shared" si="11"/>
        <v>6.9388893622476001E-3</v>
      </c>
      <c r="AT11">
        <f t="shared" si="11"/>
        <v>0</v>
      </c>
      <c r="AU11">
        <f t="shared" si="11"/>
        <v>0</v>
      </c>
      <c r="AV11">
        <f t="shared" si="11"/>
        <v>0</v>
      </c>
      <c r="AW11">
        <f t="shared" si="11"/>
        <v>0</v>
      </c>
      <c r="AX11">
        <f t="shared" si="11"/>
        <v>0</v>
      </c>
      <c r="AY11">
        <f t="shared" si="11"/>
        <v>0</v>
      </c>
      <c r="AZ11">
        <f t="shared" si="11"/>
        <v>0.106028343098449</v>
      </c>
      <c r="BA11">
        <f t="shared" si="11"/>
        <v>8.4605512097746596E-2</v>
      </c>
      <c r="BB11">
        <f t="shared" si="11"/>
        <v>6.8186277441658998E-4</v>
      </c>
      <c r="BC11">
        <f t="shared" si="11"/>
        <v>1.8453188378809999E-5</v>
      </c>
      <c r="BD11">
        <f t="shared" si="11"/>
        <v>2.2164257760399998E-6</v>
      </c>
      <c r="BE11">
        <f t="shared" si="11"/>
        <v>0.26845256577989202</v>
      </c>
      <c r="BF11">
        <f t="shared" si="11"/>
        <v>0.25777181028522</v>
      </c>
      <c r="BG11">
        <f t="shared" si="11"/>
        <v>2.2964336708235E-4</v>
      </c>
      <c r="BH11">
        <f t="shared" si="11"/>
        <v>1.4056348555370001E-5</v>
      </c>
      <c r="BI11">
        <f t="shared" si="11"/>
        <v>0</v>
      </c>
    </row>
    <row r="12" spans="1:63" x14ac:dyDescent="0.3">
      <c r="A12" s="2" t="s">
        <v>30</v>
      </c>
      <c r="B12" t="str">
        <f t="shared" ref="B12:AG12" si="12">A42</f>
        <v>A.09.01.001</v>
      </c>
      <c r="C12" t="str">
        <f t="shared" si="12"/>
        <v>Whole egg, chicken</v>
      </c>
      <c r="D12" t="str">
        <f t="shared" si="12"/>
        <v>Eggs and egg products</v>
      </c>
      <c r="E12" t="str">
        <f t="shared" si="12"/>
        <v>Eggs, fresh</v>
      </c>
      <c r="F12">
        <f t="shared" si="12"/>
        <v>1000</v>
      </c>
      <c r="G12">
        <f t="shared" si="12"/>
        <v>1.0133313580785299</v>
      </c>
      <c r="H12">
        <f t="shared" si="12"/>
        <v>0.54065389557505505</v>
      </c>
      <c r="I12">
        <f t="shared" si="12"/>
        <v>8.3036359036638998E-4</v>
      </c>
      <c r="J12">
        <f t="shared" si="12"/>
        <v>1.2155517205202E-3</v>
      </c>
      <c r="K12">
        <f t="shared" si="12"/>
        <v>1.52055945441947E-3</v>
      </c>
      <c r="L12">
        <f t="shared" si="12"/>
        <v>0.95568067726600503</v>
      </c>
      <c r="M12">
        <f t="shared" si="12"/>
        <v>0.48856133220595199</v>
      </c>
      <c r="N12">
        <f t="shared" si="12"/>
        <v>6.8049446387480003E-4</v>
      </c>
      <c r="O12">
        <f t="shared" si="12"/>
        <v>1.2092095480449199E-3</v>
      </c>
      <c r="P12">
        <f t="shared" si="12"/>
        <v>1.51718663823945E-3</v>
      </c>
      <c r="Q12">
        <f t="shared" si="12"/>
        <v>4.8950085431158703</v>
      </c>
      <c r="R12">
        <f t="shared" si="12"/>
        <v>6.17675704662329E-2</v>
      </c>
      <c r="S12">
        <f t="shared" si="12"/>
        <v>7.40326386531157E-3</v>
      </c>
      <c r="T12">
        <f t="shared" si="12"/>
        <v>2.1804763881153801E-2</v>
      </c>
      <c r="U12">
        <f t="shared" si="12"/>
        <v>0.87443225701723704</v>
      </c>
      <c r="V12">
        <f t="shared" si="12"/>
        <v>5.2708358183996199E-12</v>
      </c>
      <c r="W12">
        <f t="shared" si="12"/>
        <v>2.6712636026485401E-3</v>
      </c>
      <c r="X12">
        <f t="shared" si="12"/>
        <v>8.0582627974302401</v>
      </c>
      <c r="Y12">
        <f t="shared" si="12"/>
        <v>0.57085692165454605</v>
      </c>
      <c r="Z12">
        <f t="shared" si="12"/>
        <v>0.23933568555375601</v>
      </c>
      <c r="AA12">
        <f t="shared" si="12"/>
        <v>7.1676126692059E-2</v>
      </c>
      <c r="AB12">
        <f t="shared" si="12"/>
        <v>0.325879572657365</v>
      </c>
      <c r="AC12">
        <f t="shared" si="12"/>
        <v>0.26582991457782901</v>
      </c>
      <c r="AD12">
        <f t="shared" si="12"/>
        <v>1.9730659907313399E-2</v>
      </c>
      <c r="AE12">
        <f t="shared" si="12"/>
        <v>0</v>
      </c>
      <c r="AF12">
        <f t="shared" si="12"/>
        <v>3.32287178776818E-2</v>
      </c>
      <c r="AG12">
        <f t="shared" si="12"/>
        <v>0.14694011359385201</v>
      </c>
      <c r="AH12">
        <f t="shared" ref="AH12:BI12" si="13">AG42</f>
        <v>6.4014345336418907E-2</v>
      </c>
      <c r="AI12">
        <f t="shared" si="13"/>
        <v>0.25910259254529</v>
      </c>
      <c r="AJ12">
        <f t="shared" si="13"/>
        <v>1.9730659907313399E-2</v>
      </c>
      <c r="AK12">
        <f t="shared" si="13"/>
        <v>2.6508686154672002E-4</v>
      </c>
      <c r="AL12">
        <f t="shared" si="13"/>
        <v>2.3500657841442999E-4</v>
      </c>
      <c r="AM12">
        <f t="shared" si="13"/>
        <v>2.2404966809821101E-2</v>
      </c>
      <c r="AN12">
        <f t="shared" si="13"/>
        <v>0</v>
      </c>
      <c r="AO12">
        <f t="shared" si="13"/>
        <v>0</v>
      </c>
      <c r="AP12">
        <f t="shared" si="13"/>
        <v>1.2092095480449199E-3</v>
      </c>
      <c r="AQ12">
        <f t="shared" si="13"/>
        <v>3.0950909701761998E-4</v>
      </c>
      <c r="AR12">
        <f t="shared" si="13"/>
        <v>2.4124004354900001E-6</v>
      </c>
      <c r="AS12">
        <f t="shared" si="13"/>
        <v>1.193698068342E-3</v>
      </c>
      <c r="AT12">
        <f t="shared" si="13"/>
        <v>2.22587016846254E-2</v>
      </c>
      <c r="AU12">
        <f t="shared" si="13"/>
        <v>2.12476219951E-6</v>
      </c>
      <c r="AV12">
        <f t="shared" si="13"/>
        <v>0</v>
      </c>
      <c r="AW12">
        <f t="shared" si="13"/>
        <v>0</v>
      </c>
      <c r="AX12">
        <f t="shared" si="13"/>
        <v>0</v>
      </c>
      <c r="AY12">
        <f t="shared" si="13"/>
        <v>0</v>
      </c>
      <c r="AZ12">
        <f t="shared" si="13"/>
        <v>4.4823493583701302E-2</v>
      </c>
      <c r="BA12">
        <f t="shared" si="13"/>
        <v>3.9790356012319603E-2</v>
      </c>
      <c r="BB12">
        <f t="shared" si="13"/>
        <v>1.3894839250013001E-4</v>
      </c>
      <c r="BC12">
        <f t="shared" si="13"/>
        <v>6.3421724752699996E-6</v>
      </c>
      <c r="BD12">
        <f t="shared" si="13"/>
        <v>2.6418931063900001E-6</v>
      </c>
      <c r="BE12">
        <f t="shared" si="13"/>
        <v>1.28271872288294E-2</v>
      </c>
      <c r="BF12">
        <f t="shared" si="13"/>
        <v>1.23022073567839E-2</v>
      </c>
      <c r="BG12">
        <f t="shared" si="13"/>
        <v>1.092073399146E-5</v>
      </c>
      <c r="BH12">
        <f t="shared" si="13"/>
        <v>7.3092307362619495E-7</v>
      </c>
      <c r="BI12">
        <f t="shared" si="13"/>
        <v>0</v>
      </c>
    </row>
    <row r="13" spans="1:63" x14ac:dyDescent="0.3">
      <c r="A13" s="2" t="s">
        <v>31</v>
      </c>
    </row>
    <row r="14" spans="1:63" x14ac:dyDescent="0.3">
      <c r="A14" s="2" t="s">
        <v>32</v>
      </c>
    </row>
    <row r="15" spans="1:63" x14ac:dyDescent="0.3">
      <c r="A15" s="2" t="s">
        <v>33</v>
      </c>
    </row>
    <row r="16" spans="1:63" x14ac:dyDescent="0.3">
      <c r="A16" s="2" t="s">
        <v>34</v>
      </c>
      <c r="B16" t="str">
        <f t="shared" ref="B16:AG16" si="14">A36</f>
        <v>A.07.01.010</v>
      </c>
      <c r="C16" t="str">
        <f t="shared" si="14"/>
        <v>Perch (Perca)</v>
      </c>
      <c r="D16" t="str">
        <f t="shared" si="14"/>
        <v>Fish and other seafood (including amphibians, reptiles, snails and insects)</v>
      </c>
      <c r="E16" t="str">
        <f t="shared" si="14"/>
        <v>Fish meat</v>
      </c>
      <c r="F16">
        <f t="shared" si="14"/>
        <v>1000</v>
      </c>
      <c r="G16">
        <f t="shared" si="14"/>
        <v>12.8661333966143</v>
      </c>
      <c r="H16">
        <f t="shared" si="14"/>
        <v>12.834029810119</v>
      </c>
      <c r="I16">
        <f t="shared" si="14"/>
        <v>9.1150614149895001E-4</v>
      </c>
      <c r="J16">
        <f t="shared" si="14"/>
        <v>1.8453188378809999E-5</v>
      </c>
      <c r="K16">
        <f t="shared" si="14"/>
        <v>1.6272774331420001E-5</v>
      </c>
      <c r="L16">
        <f t="shared" si="14"/>
        <v>12.491652487735999</v>
      </c>
      <c r="M16">
        <f t="shared" si="14"/>
        <v>12.491652487735999</v>
      </c>
      <c r="N16">
        <f t="shared" si="14"/>
        <v>0</v>
      </c>
      <c r="O16">
        <f t="shared" si="14"/>
        <v>0</v>
      </c>
      <c r="P16">
        <f t="shared" si="14"/>
        <v>0</v>
      </c>
      <c r="Q16">
        <f t="shared" si="14"/>
        <v>0</v>
      </c>
      <c r="R16">
        <f t="shared" si="14"/>
        <v>0</v>
      </c>
      <c r="S16">
        <f t="shared" si="14"/>
        <v>0</v>
      </c>
      <c r="T16">
        <f t="shared" si="14"/>
        <v>0</v>
      </c>
      <c r="U16">
        <f t="shared" si="14"/>
        <v>0</v>
      </c>
      <c r="V16">
        <f t="shared" si="14"/>
        <v>0</v>
      </c>
      <c r="W16">
        <f t="shared" si="14"/>
        <v>0</v>
      </c>
      <c r="X16">
        <f t="shared" si="14"/>
        <v>5.91153348865938</v>
      </c>
      <c r="Y16">
        <f t="shared" si="14"/>
        <v>0</v>
      </c>
      <c r="Z16">
        <f t="shared" si="14"/>
        <v>0</v>
      </c>
      <c r="AA16">
        <f t="shared" si="14"/>
        <v>0</v>
      </c>
      <c r="AB16">
        <f t="shared" si="14"/>
        <v>0</v>
      </c>
      <c r="AC16">
        <f t="shared" si="14"/>
        <v>12.491652487735999</v>
      </c>
      <c r="AD16">
        <f t="shared" si="14"/>
        <v>0</v>
      </c>
      <c r="AE16">
        <f t="shared" si="14"/>
        <v>0</v>
      </c>
      <c r="AF16">
        <f t="shared" si="14"/>
        <v>0</v>
      </c>
      <c r="AG16">
        <f t="shared" si="14"/>
        <v>0</v>
      </c>
      <c r="AH16">
        <f t="shared" ref="AH16:BI16" si="15">AG36</f>
        <v>0</v>
      </c>
      <c r="AI16">
        <f t="shared" si="15"/>
        <v>12.491652487735999</v>
      </c>
      <c r="AJ16">
        <f t="shared" si="15"/>
        <v>0</v>
      </c>
      <c r="AK16">
        <f t="shared" si="15"/>
        <v>0</v>
      </c>
      <c r="AL16">
        <f t="shared" si="15"/>
        <v>0</v>
      </c>
      <c r="AM16">
        <f t="shared" si="15"/>
        <v>0</v>
      </c>
      <c r="AN16">
        <f t="shared" si="15"/>
        <v>0</v>
      </c>
      <c r="AO16">
        <f t="shared" si="15"/>
        <v>0</v>
      </c>
      <c r="AP16">
        <f t="shared" si="15"/>
        <v>0</v>
      </c>
      <c r="AQ16">
        <f t="shared" si="15"/>
        <v>0</v>
      </c>
      <c r="AR16">
        <f t="shared" si="15"/>
        <v>0</v>
      </c>
      <c r="AS16">
        <f t="shared" si="15"/>
        <v>0</v>
      </c>
      <c r="AT16">
        <f t="shared" si="15"/>
        <v>0</v>
      </c>
      <c r="AU16">
        <f t="shared" si="15"/>
        <v>0</v>
      </c>
      <c r="AV16">
        <f t="shared" si="15"/>
        <v>0</v>
      </c>
      <c r="AW16">
        <f t="shared" si="15"/>
        <v>0</v>
      </c>
      <c r="AX16">
        <f t="shared" si="15"/>
        <v>0</v>
      </c>
      <c r="AY16">
        <f t="shared" si="15"/>
        <v>0</v>
      </c>
      <c r="AZ16">
        <f t="shared" si="15"/>
        <v>0.106028343098449</v>
      </c>
      <c r="BA16">
        <f t="shared" si="15"/>
        <v>8.4605512097746596E-2</v>
      </c>
      <c r="BB16">
        <f t="shared" si="15"/>
        <v>6.8186277441658998E-4</v>
      </c>
      <c r="BC16">
        <f t="shared" si="15"/>
        <v>1.8453188378809999E-5</v>
      </c>
      <c r="BD16">
        <f t="shared" si="15"/>
        <v>2.2164257760399998E-6</v>
      </c>
      <c r="BE16">
        <f t="shared" si="15"/>
        <v>0.26845256577989202</v>
      </c>
      <c r="BF16">
        <f t="shared" si="15"/>
        <v>0.25777181028522</v>
      </c>
      <c r="BG16">
        <f t="shared" si="15"/>
        <v>2.2964336708235E-4</v>
      </c>
      <c r="BH16">
        <f t="shared" si="15"/>
        <v>1.4056348555370001E-5</v>
      </c>
      <c r="BI16">
        <f t="shared" si="15"/>
        <v>0</v>
      </c>
    </row>
    <row r="17" spans="1:62" x14ac:dyDescent="0.3">
      <c r="A17" s="2" t="s">
        <v>35</v>
      </c>
      <c r="B17" t="str">
        <f t="shared" ref="B17:AG17" si="16">A45</f>
        <v>I.07.01.017.001</v>
      </c>
      <c r="C17" t="str">
        <f t="shared" si="16"/>
        <v>Cod (Gadus morhua)</v>
      </c>
      <c r="D17" t="str">
        <f t="shared" si="16"/>
        <v>Fish and other seafood (including amphibians, reptiles, snails and insects)</v>
      </c>
      <c r="E17" t="str">
        <f t="shared" si="16"/>
        <v>Fish meat</v>
      </c>
      <c r="F17">
        <f t="shared" si="16"/>
        <v>1000</v>
      </c>
      <c r="G17">
        <f t="shared" si="16"/>
        <v>6.8316131397574296</v>
      </c>
      <c r="H17">
        <f t="shared" si="16"/>
        <v>6.7995095532620597</v>
      </c>
      <c r="I17">
        <f t="shared" si="16"/>
        <v>9.1150614149895001E-4</v>
      </c>
      <c r="J17">
        <f t="shared" si="16"/>
        <v>1.8453188378809999E-5</v>
      </c>
      <c r="K17">
        <f t="shared" si="16"/>
        <v>1.6272774331420001E-5</v>
      </c>
      <c r="L17">
        <f t="shared" si="16"/>
        <v>6.4571322308790897</v>
      </c>
      <c r="M17">
        <f t="shared" si="16"/>
        <v>6.4571322308790897</v>
      </c>
      <c r="N17">
        <f t="shared" si="16"/>
        <v>0</v>
      </c>
      <c r="O17">
        <f t="shared" si="16"/>
        <v>0</v>
      </c>
      <c r="P17">
        <f t="shared" si="16"/>
        <v>0</v>
      </c>
      <c r="Q17">
        <f t="shared" si="16"/>
        <v>0</v>
      </c>
      <c r="R17">
        <f t="shared" si="16"/>
        <v>0</v>
      </c>
      <c r="S17">
        <f t="shared" si="16"/>
        <v>0</v>
      </c>
      <c r="T17">
        <f t="shared" si="16"/>
        <v>0</v>
      </c>
      <c r="U17">
        <f t="shared" si="16"/>
        <v>0</v>
      </c>
      <c r="V17">
        <f t="shared" si="16"/>
        <v>0</v>
      </c>
      <c r="W17">
        <f t="shared" si="16"/>
        <v>0</v>
      </c>
      <c r="X17">
        <f t="shared" si="16"/>
        <v>3.6034967327189902</v>
      </c>
      <c r="Y17">
        <f t="shared" si="16"/>
        <v>0</v>
      </c>
      <c r="Z17">
        <f t="shared" si="16"/>
        <v>0</v>
      </c>
      <c r="AA17">
        <f t="shared" si="16"/>
        <v>0</v>
      </c>
      <c r="AB17">
        <f t="shared" si="16"/>
        <v>0</v>
      </c>
      <c r="AC17">
        <f t="shared" si="16"/>
        <v>6.4571322308790897</v>
      </c>
      <c r="AD17">
        <f t="shared" si="16"/>
        <v>0</v>
      </c>
      <c r="AE17">
        <f t="shared" si="16"/>
        <v>0</v>
      </c>
      <c r="AF17">
        <f t="shared" si="16"/>
        <v>0</v>
      </c>
      <c r="AG17">
        <f t="shared" si="16"/>
        <v>0</v>
      </c>
      <c r="AH17">
        <f t="shared" ref="AH17:BI17" si="17">AG45</f>
        <v>0</v>
      </c>
      <c r="AI17">
        <f t="shared" si="17"/>
        <v>6.4571322308790897</v>
      </c>
      <c r="AJ17">
        <f t="shared" si="17"/>
        <v>0</v>
      </c>
      <c r="AK17">
        <f t="shared" si="17"/>
        <v>0</v>
      </c>
      <c r="AL17">
        <f t="shared" si="17"/>
        <v>0</v>
      </c>
      <c r="AM17">
        <f t="shared" si="17"/>
        <v>0</v>
      </c>
      <c r="AN17">
        <f t="shared" si="17"/>
        <v>0</v>
      </c>
      <c r="AO17">
        <f t="shared" si="17"/>
        <v>0</v>
      </c>
      <c r="AP17">
        <f t="shared" si="17"/>
        <v>0</v>
      </c>
      <c r="AQ17">
        <f t="shared" si="17"/>
        <v>0</v>
      </c>
      <c r="AR17">
        <f t="shared" si="17"/>
        <v>0</v>
      </c>
      <c r="AS17">
        <f t="shared" si="17"/>
        <v>0</v>
      </c>
      <c r="AT17">
        <f t="shared" si="17"/>
        <v>0</v>
      </c>
      <c r="AU17">
        <f t="shared" si="17"/>
        <v>0</v>
      </c>
      <c r="AV17">
        <f t="shared" si="17"/>
        <v>0</v>
      </c>
      <c r="AW17">
        <f t="shared" si="17"/>
        <v>0</v>
      </c>
      <c r="AX17">
        <f t="shared" si="17"/>
        <v>0</v>
      </c>
      <c r="AY17">
        <f t="shared" si="17"/>
        <v>0</v>
      </c>
      <c r="AZ17">
        <f t="shared" si="17"/>
        <v>0.106028343098449</v>
      </c>
      <c r="BA17">
        <f t="shared" si="17"/>
        <v>8.4605512097746596E-2</v>
      </c>
      <c r="BB17">
        <f t="shared" si="17"/>
        <v>6.8186277441658998E-4</v>
      </c>
      <c r="BC17">
        <f t="shared" si="17"/>
        <v>1.8453188378809999E-5</v>
      </c>
      <c r="BD17">
        <f t="shared" si="17"/>
        <v>2.2164257760399998E-6</v>
      </c>
      <c r="BE17">
        <f t="shared" si="17"/>
        <v>0.26845256577989202</v>
      </c>
      <c r="BF17">
        <f t="shared" si="17"/>
        <v>0.25777181028522</v>
      </c>
      <c r="BG17">
        <f t="shared" si="17"/>
        <v>2.2964336708235E-4</v>
      </c>
      <c r="BH17">
        <f t="shared" si="17"/>
        <v>1.4056348555370001E-5</v>
      </c>
      <c r="BI17">
        <f t="shared" si="17"/>
        <v>0</v>
      </c>
    </row>
    <row r="18" spans="1:62" x14ac:dyDescent="0.3">
      <c r="A18" s="2" t="s">
        <v>36</v>
      </c>
      <c r="C18" s="5"/>
    </row>
    <row r="19" spans="1:62" x14ac:dyDescent="0.3">
      <c r="A19" s="2" t="s">
        <v>37</v>
      </c>
      <c r="B19" t="str">
        <f t="shared" ref="B19:AG19" si="18">A40</f>
        <v>A.08.01.001.003</v>
      </c>
      <c r="C19" t="str">
        <f t="shared" si="18"/>
        <v>Cow milk, 1 - 2.9% fat (semi-skimmed milk)</v>
      </c>
      <c r="D19" t="str">
        <f t="shared" si="18"/>
        <v>Milk and dairy products</v>
      </c>
      <c r="E19" t="str">
        <f t="shared" si="18"/>
        <v>Liquid milk</v>
      </c>
      <c r="F19">
        <f t="shared" si="18"/>
        <v>1000</v>
      </c>
      <c r="G19">
        <f t="shared" si="18"/>
        <v>0.936226829120402</v>
      </c>
      <c r="H19">
        <f t="shared" si="18"/>
        <v>0.249073866703278</v>
      </c>
      <c r="I19">
        <f t="shared" si="18"/>
        <v>7.1973273883497004E-4</v>
      </c>
      <c r="J19">
        <f t="shared" si="18"/>
        <v>2.1057291335348199E-2</v>
      </c>
      <c r="K19">
        <f t="shared" si="18"/>
        <v>7.2818658042323999E-4</v>
      </c>
      <c r="L19">
        <f t="shared" si="18"/>
        <v>0.81913416257646998</v>
      </c>
      <c r="M19">
        <f t="shared" si="18"/>
        <v>0.14611722049126299</v>
      </c>
      <c r="N19">
        <f t="shared" si="18"/>
        <v>3.4578575770214E-4</v>
      </c>
      <c r="O19">
        <f t="shared" si="18"/>
        <v>2.1011480212032699E-2</v>
      </c>
      <c r="P19">
        <f t="shared" si="18"/>
        <v>7.2175617762236001E-4</v>
      </c>
      <c r="Q19">
        <f t="shared" si="18"/>
        <v>0.31890129537237999</v>
      </c>
      <c r="R19">
        <f t="shared" si="18"/>
        <v>1.42362705723145E-2</v>
      </c>
      <c r="S19">
        <f t="shared" si="18"/>
        <v>7.1951754272745003E-4</v>
      </c>
      <c r="T19">
        <f t="shared" si="18"/>
        <v>2.5379294528607601E-3</v>
      </c>
      <c r="U19">
        <f t="shared" si="18"/>
        <v>5.0403580793278703E-2</v>
      </c>
      <c r="V19">
        <f t="shared" si="18"/>
        <v>1.0807304682737801E-12</v>
      </c>
      <c r="W19">
        <f t="shared" si="18"/>
        <v>4.4995703027278001E-4</v>
      </c>
      <c r="X19">
        <v>0.01</v>
      </c>
      <c r="Y19">
        <f t="shared" si="18"/>
        <v>3.4496263317674001</v>
      </c>
      <c r="Z19">
        <f t="shared" si="18"/>
        <v>4.3307416998542597E-2</v>
      </c>
      <c r="AA19">
        <f t="shared" si="18"/>
        <v>2.5700729132676001E-2</v>
      </c>
      <c r="AB19">
        <f t="shared" si="18"/>
        <v>9.1697787729862798E-2</v>
      </c>
      <c r="AC19">
        <f t="shared" si="18"/>
        <v>0.101713047026954</v>
      </c>
      <c r="AD19">
        <f t="shared" si="18"/>
        <v>5.8640772221238103E-3</v>
      </c>
      <c r="AE19">
        <f t="shared" si="18"/>
        <v>0.44921422875620198</v>
      </c>
      <c r="AF19">
        <f t="shared" si="18"/>
        <v>0.101636875710108</v>
      </c>
      <c r="AG19">
        <f t="shared" si="18"/>
        <v>2.6101647986932701E-2</v>
      </c>
      <c r="AH19">
        <f t="shared" ref="AH19:BI19" si="19">AG40</f>
        <v>2.3019625401949999E-2</v>
      </c>
      <c r="AI19">
        <f t="shared" si="19"/>
        <v>9.8301209817118401E-2</v>
      </c>
      <c r="AJ19">
        <f t="shared" si="19"/>
        <v>5.8640772221238103E-3</v>
      </c>
      <c r="AK19">
        <f t="shared" si="19"/>
        <v>4.8327884363E-5</v>
      </c>
      <c r="AL19">
        <f t="shared" si="19"/>
        <v>8.1466036460299998E-5</v>
      </c>
      <c r="AM19">
        <f t="shared" si="19"/>
        <v>1.7147989336696701E-2</v>
      </c>
      <c r="AN19">
        <f t="shared" si="19"/>
        <v>0</v>
      </c>
      <c r="AO19">
        <f t="shared" si="19"/>
        <v>1.66375640280075E-2</v>
      </c>
      <c r="AP19">
        <f t="shared" si="19"/>
        <v>2.1869580920126199E-3</v>
      </c>
      <c r="AQ19">
        <f t="shared" si="19"/>
        <v>5.7749443434399997E-5</v>
      </c>
      <c r="AR19">
        <f t="shared" si="19"/>
        <v>9.2826316560028798E-7</v>
      </c>
      <c r="AS19">
        <f t="shared" si="19"/>
        <v>3.3588933234380999E-4</v>
      </c>
      <c r="AT19">
        <f t="shared" si="19"/>
        <v>1.7062635480419801E-2</v>
      </c>
      <c r="AU19">
        <f t="shared" si="19"/>
        <v>1.5600368947166999E-4</v>
      </c>
      <c r="AV19">
        <f t="shared" si="19"/>
        <v>1.1033314020377801E-2</v>
      </c>
      <c r="AW19">
        <f t="shared" si="19"/>
        <v>1.0587129467897E-2</v>
      </c>
      <c r="AX19">
        <f t="shared" si="19"/>
        <v>1.1409576027890001E-5</v>
      </c>
      <c r="AY19">
        <f t="shared" si="19"/>
        <v>3.8893475036472598E-7</v>
      </c>
      <c r="AZ19">
        <f t="shared" si="19"/>
        <v>8.9356930463117906E-2</v>
      </c>
      <c r="BA19">
        <f t="shared" si="19"/>
        <v>7.6347166005903203E-2</v>
      </c>
      <c r="BB19">
        <f t="shared" si="19"/>
        <v>3.4830651141009E-4</v>
      </c>
      <c r="BC19">
        <f t="shared" si="19"/>
        <v>4.5811123315500002E-5</v>
      </c>
      <c r="BD19">
        <f t="shared" si="19"/>
        <v>5.1037732149200004E-6</v>
      </c>
      <c r="BE19">
        <f t="shared" si="19"/>
        <v>1.67024220604357E-2</v>
      </c>
      <c r="BF19">
        <f t="shared" si="19"/>
        <v>1.6022350738214799E-2</v>
      </c>
      <c r="BG19">
        <f t="shared" si="19"/>
        <v>1.4230893694830001E-5</v>
      </c>
      <c r="BH19">
        <f t="shared" si="19"/>
        <v>9.3769483558559701E-7</v>
      </c>
      <c r="BI19" t="str">
        <f t="shared" si="19"/>
        <v>F28.A0EKQ</v>
      </c>
    </row>
    <row r="20" spans="1:62" x14ac:dyDescent="0.3">
      <c r="A20" s="2" t="s">
        <v>38</v>
      </c>
      <c r="B20" t="str">
        <f t="shared" ref="B20:AG20" si="20">A39</f>
        <v>A.07.06.004</v>
      </c>
      <c r="C20" t="str">
        <f t="shared" si="20"/>
        <v>Snail (Helix sp.)</v>
      </c>
      <c r="D20" t="str">
        <f t="shared" si="20"/>
        <v>Fish and other seafood (including amphibians, reptiles, snails and insects)</v>
      </c>
      <c r="E20" t="str">
        <f t="shared" si="20"/>
        <v>Amphibians, reptiles, snails, insects</v>
      </c>
      <c r="F20">
        <f t="shared" si="20"/>
        <v>1000</v>
      </c>
      <c r="G20">
        <f t="shared" si="20"/>
        <v>14.8079227367546</v>
      </c>
      <c r="H20">
        <f t="shared" si="20"/>
        <v>14.7555091414053</v>
      </c>
      <c r="I20">
        <f t="shared" si="20"/>
        <v>1.59857989257933E-3</v>
      </c>
      <c r="J20">
        <f t="shared" si="20"/>
        <v>2.7304202168160002E-5</v>
      </c>
      <c r="K20">
        <f t="shared" si="20"/>
        <v>1.479377689346E-5</v>
      </c>
      <c r="L20">
        <f t="shared" si="20"/>
        <v>14.363135528045699</v>
      </c>
      <c r="M20">
        <f t="shared" si="20"/>
        <v>14.363135528045699</v>
      </c>
      <c r="N20">
        <f t="shared" si="20"/>
        <v>0</v>
      </c>
      <c r="O20">
        <f t="shared" si="20"/>
        <v>0</v>
      </c>
      <c r="P20">
        <f t="shared" si="20"/>
        <v>0</v>
      </c>
      <c r="Q20">
        <f t="shared" si="20"/>
        <v>0</v>
      </c>
      <c r="R20">
        <f t="shared" si="20"/>
        <v>0</v>
      </c>
      <c r="S20">
        <f t="shared" si="20"/>
        <v>0</v>
      </c>
      <c r="T20">
        <f t="shared" si="20"/>
        <v>0</v>
      </c>
      <c r="U20">
        <f t="shared" si="20"/>
        <v>0</v>
      </c>
      <c r="V20">
        <f t="shared" si="20"/>
        <v>0</v>
      </c>
      <c r="W20">
        <f t="shared" si="20"/>
        <v>0</v>
      </c>
      <c r="X20">
        <f t="shared" si="20"/>
        <v>13.613068724169</v>
      </c>
      <c r="Y20">
        <f t="shared" si="20"/>
        <v>0</v>
      </c>
      <c r="Z20">
        <f t="shared" si="20"/>
        <v>0</v>
      </c>
      <c r="AA20">
        <f t="shared" si="20"/>
        <v>0</v>
      </c>
      <c r="AB20">
        <f t="shared" si="20"/>
        <v>0</v>
      </c>
      <c r="AC20">
        <f t="shared" si="20"/>
        <v>14.363135528045699</v>
      </c>
      <c r="AD20">
        <f t="shared" si="20"/>
        <v>0</v>
      </c>
      <c r="AE20">
        <f t="shared" si="20"/>
        <v>0</v>
      </c>
      <c r="AF20">
        <f t="shared" si="20"/>
        <v>0</v>
      </c>
      <c r="AG20">
        <f t="shared" si="20"/>
        <v>0</v>
      </c>
      <c r="AH20">
        <f t="shared" ref="AH20:BI20" si="21">AG39</f>
        <v>0</v>
      </c>
      <c r="AI20">
        <f t="shared" si="21"/>
        <v>14.363135528045699</v>
      </c>
      <c r="AJ20">
        <f t="shared" si="21"/>
        <v>0</v>
      </c>
      <c r="AK20">
        <f t="shared" si="21"/>
        <v>0</v>
      </c>
      <c r="AL20">
        <f t="shared" si="21"/>
        <v>0</v>
      </c>
      <c r="AM20">
        <f t="shared" si="21"/>
        <v>0</v>
      </c>
      <c r="AN20">
        <f t="shared" si="21"/>
        <v>0</v>
      </c>
      <c r="AO20">
        <f t="shared" si="21"/>
        <v>0</v>
      </c>
      <c r="AP20">
        <f t="shared" si="21"/>
        <v>0</v>
      </c>
      <c r="AQ20">
        <f t="shared" si="21"/>
        <v>0</v>
      </c>
      <c r="AR20">
        <f t="shared" si="21"/>
        <v>0</v>
      </c>
      <c r="AS20">
        <f t="shared" si="21"/>
        <v>0</v>
      </c>
      <c r="AT20">
        <f t="shared" si="21"/>
        <v>0</v>
      </c>
      <c r="AU20">
        <f t="shared" si="21"/>
        <v>0</v>
      </c>
      <c r="AV20">
        <f t="shared" si="21"/>
        <v>0</v>
      </c>
      <c r="AW20">
        <f t="shared" si="21"/>
        <v>0</v>
      </c>
      <c r="AX20">
        <f t="shared" si="21"/>
        <v>0</v>
      </c>
      <c r="AY20">
        <f t="shared" si="21"/>
        <v>0</v>
      </c>
      <c r="AZ20">
        <f t="shared" si="21"/>
        <v>0.17633464292901599</v>
      </c>
      <c r="BA20">
        <f t="shared" si="21"/>
        <v>0.134601803074367</v>
      </c>
      <c r="BB20">
        <f t="shared" si="21"/>
        <v>1.36893652549697E-3</v>
      </c>
      <c r="BC20">
        <f t="shared" si="21"/>
        <v>2.7304202168160002E-5</v>
      </c>
      <c r="BD20">
        <f t="shared" si="21"/>
        <v>7.3742833809112202E-7</v>
      </c>
      <c r="BE20">
        <f t="shared" si="21"/>
        <v>0.26845256577989202</v>
      </c>
      <c r="BF20">
        <f t="shared" si="21"/>
        <v>0.25777181028522</v>
      </c>
      <c r="BG20">
        <f t="shared" si="21"/>
        <v>2.2964336708235E-4</v>
      </c>
      <c r="BH20">
        <f t="shared" si="21"/>
        <v>1.4056348555370001E-5</v>
      </c>
      <c r="BI20">
        <f t="shared" si="21"/>
        <v>0</v>
      </c>
    </row>
    <row r="21" spans="1:62" x14ac:dyDescent="0.3">
      <c r="A21" s="2" t="s">
        <v>39</v>
      </c>
      <c r="B21" t="str">
        <f t="shared" ref="B21:AG21" si="22">A32</f>
        <v>A.06.01.004</v>
      </c>
      <c r="C21" t="str">
        <f t="shared" si="22"/>
        <v>Mutton / lamb meat (Ovis aries)</v>
      </c>
      <c r="D21" t="str">
        <f t="shared" si="22"/>
        <v>Meat and meat products (including edible offal)</v>
      </c>
      <c r="E21" t="str">
        <f t="shared" si="22"/>
        <v>Livestock meat</v>
      </c>
      <c r="F21">
        <f t="shared" si="22"/>
        <v>1000</v>
      </c>
      <c r="G21">
        <f t="shared" si="22"/>
        <v>38.052153155870201</v>
      </c>
      <c r="H21">
        <f t="shared" si="22"/>
        <v>10.4587129449268</v>
      </c>
      <c r="I21">
        <f t="shared" si="22"/>
        <v>1.4943692641884001E-2</v>
      </c>
      <c r="J21">
        <f t="shared" si="22"/>
        <v>0.74117891617795495</v>
      </c>
      <c r="K21">
        <f t="shared" si="22"/>
        <v>2.6140247008829599E-2</v>
      </c>
      <c r="L21">
        <f t="shared" si="22"/>
        <v>37.864804310024198</v>
      </c>
      <c r="M21">
        <f t="shared" si="22"/>
        <v>10.311722394773501</v>
      </c>
      <c r="N21">
        <f t="shared" si="22"/>
        <v>1.3628757916472899E-2</v>
      </c>
      <c r="O21">
        <f t="shared" si="22"/>
        <v>0.74115303406964905</v>
      </c>
      <c r="P21">
        <f t="shared" si="22"/>
        <v>2.6138509192158699E-2</v>
      </c>
      <c r="Q21">
        <f t="shared" si="22"/>
        <v>35.751741671978202</v>
      </c>
      <c r="R21">
        <f t="shared" si="22"/>
        <v>1.1330791942429299</v>
      </c>
      <c r="S21">
        <f t="shared" si="22"/>
        <v>7.26856334495323E-2</v>
      </c>
      <c r="T21">
        <f t="shared" si="22"/>
        <v>2.9381088502422301E-2</v>
      </c>
      <c r="U21">
        <f t="shared" si="22"/>
        <v>5.3639774405831799</v>
      </c>
      <c r="V21">
        <f t="shared" si="22"/>
        <v>1.6658689885959399E-10</v>
      </c>
      <c r="W21">
        <f t="shared" si="22"/>
        <v>9.77881573009097E-2</v>
      </c>
      <c r="X21">
        <f t="shared" si="22"/>
        <v>3.3331923644581298</v>
      </c>
      <c r="Y21">
        <f t="shared" si="22"/>
        <v>34.707854507171497</v>
      </c>
      <c r="Z21">
        <f t="shared" si="22"/>
        <v>2.9517103555363402</v>
      </c>
      <c r="AA21">
        <f t="shared" si="22"/>
        <v>1.4907827839459999</v>
      </c>
      <c r="AB21">
        <f t="shared" si="22"/>
        <v>5.6992805258077999</v>
      </c>
      <c r="AC21">
        <f t="shared" si="22"/>
        <v>5.2503648284870001</v>
      </c>
      <c r="AD21">
        <f t="shared" si="22"/>
        <v>2.24022748403639</v>
      </c>
      <c r="AE21">
        <f t="shared" si="22"/>
        <v>19.356450202789201</v>
      </c>
      <c r="AF21">
        <f t="shared" si="22"/>
        <v>0.87598812942149695</v>
      </c>
      <c r="AG21">
        <f t="shared" si="22"/>
        <v>1.75928230015134</v>
      </c>
      <c r="AH21">
        <f t="shared" ref="AH21:BI21" si="23">AG32</f>
        <v>1.3270915777414001</v>
      </c>
      <c r="AI21">
        <f t="shared" si="23"/>
        <v>5.1693238219530002</v>
      </c>
      <c r="AJ21">
        <f t="shared" si="23"/>
        <v>2.24022748403639</v>
      </c>
      <c r="AK21">
        <f t="shared" si="23"/>
        <v>3.3567522521748298E-3</v>
      </c>
      <c r="AL21">
        <f t="shared" si="23"/>
        <v>4.73110928768579E-3</v>
      </c>
      <c r="AM21">
        <f t="shared" si="23"/>
        <v>2.4231302952146301</v>
      </c>
      <c r="AN21">
        <f t="shared" si="23"/>
        <v>0</v>
      </c>
      <c r="AO21">
        <f t="shared" si="23"/>
        <v>0.71690556306626796</v>
      </c>
      <c r="AP21">
        <f t="shared" si="23"/>
        <v>2.4247471003381701E-2</v>
      </c>
      <c r="AQ21">
        <f t="shared" si="23"/>
        <v>4.0014536200373299E-3</v>
      </c>
      <c r="AR21">
        <f t="shared" si="23"/>
        <v>8.3165382533190001E-5</v>
      </c>
      <c r="AS21">
        <f t="shared" si="23"/>
        <v>2.08764854425194E-2</v>
      </c>
      <c r="AT21">
        <f t="shared" si="23"/>
        <v>2.42140811300587</v>
      </c>
      <c r="AU21">
        <f t="shared" si="23"/>
        <v>8.1064619901168001E-4</v>
      </c>
      <c r="AV21">
        <f t="shared" si="23"/>
        <v>0</v>
      </c>
      <c r="AW21">
        <f t="shared" si="23"/>
        <v>0</v>
      </c>
      <c r="AX21">
        <f t="shared" si="23"/>
        <v>0</v>
      </c>
      <c r="AY21">
        <f t="shared" si="23"/>
        <v>0</v>
      </c>
      <c r="AZ21">
        <f t="shared" si="23"/>
        <v>0.16715054694313</v>
      </c>
      <c r="BA21">
        <f t="shared" si="23"/>
        <v>0.127591292497577</v>
      </c>
      <c r="BB21">
        <f t="shared" si="23"/>
        <v>1.2976377481273399E-3</v>
      </c>
      <c r="BC21">
        <f t="shared" si="23"/>
        <v>2.5882108305240001E-5</v>
      </c>
      <c r="BD21">
        <f t="shared" si="23"/>
        <v>6.9902061214887601E-7</v>
      </c>
      <c r="BE21">
        <f t="shared" si="23"/>
        <v>2.0198298902850801E-2</v>
      </c>
      <c r="BF21">
        <f t="shared" si="23"/>
        <v>1.93992576557818E-2</v>
      </c>
      <c r="BG21">
        <f t="shared" si="23"/>
        <v>1.7296977283699999E-5</v>
      </c>
      <c r="BH21">
        <f t="shared" si="23"/>
        <v>1.03879605866E-6</v>
      </c>
      <c r="BI21">
        <f t="shared" si="23"/>
        <v>0</v>
      </c>
    </row>
    <row r="22" spans="1:62" x14ac:dyDescent="0.3">
      <c r="A22" s="2" t="s">
        <v>40</v>
      </c>
      <c r="B22" t="str">
        <f t="shared" ref="B22:AG22" si="24">A32</f>
        <v>A.06.01.004</v>
      </c>
      <c r="C22" t="str">
        <f t="shared" si="24"/>
        <v>Mutton / lamb meat (Ovis aries)</v>
      </c>
      <c r="D22" t="str">
        <f t="shared" si="24"/>
        <v>Meat and meat products (including edible offal)</v>
      </c>
      <c r="E22" t="str">
        <f t="shared" si="24"/>
        <v>Livestock meat</v>
      </c>
      <c r="F22">
        <f t="shared" si="24"/>
        <v>1000</v>
      </c>
      <c r="G22">
        <f t="shared" si="24"/>
        <v>38.052153155870201</v>
      </c>
      <c r="H22">
        <f t="shared" si="24"/>
        <v>10.4587129449268</v>
      </c>
      <c r="I22">
        <f t="shared" si="24"/>
        <v>1.4943692641884001E-2</v>
      </c>
      <c r="J22">
        <f t="shared" si="24"/>
        <v>0.74117891617795495</v>
      </c>
      <c r="K22">
        <f t="shared" si="24"/>
        <v>2.6140247008829599E-2</v>
      </c>
      <c r="L22">
        <f t="shared" si="24"/>
        <v>37.864804310024198</v>
      </c>
      <c r="M22">
        <f t="shared" si="24"/>
        <v>10.311722394773501</v>
      </c>
      <c r="N22">
        <f t="shared" si="24"/>
        <v>1.3628757916472899E-2</v>
      </c>
      <c r="O22">
        <f t="shared" si="24"/>
        <v>0.74115303406964905</v>
      </c>
      <c r="P22">
        <f t="shared" si="24"/>
        <v>2.6138509192158699E-2</v>
      </c>
      <c r="Q22">
        <f t="shared" si="24"/>
        <v>35.751741671978202</v>
      </c>
      <c r="R22">
        <f t="shared" si="24"/>
        <v>1.1330791942429299</v>
      </c>
      <c r="S22">
        <f t="shared" si="24"/>
        <v>7.26856334495323E-2</v>
      </c>
      <c r="T22">
        <f t="shared" si="24"/>
        <v>2.9381088502422301E-2</v>
      </c>
      <c r="U22">
        <f t="shared" si="24"/>
        <v>5.3639774405831799</v>
      </c>
      <c r="V22">
        <f t="shared" si="24"/>
        <v>1.6658689885959399E-10</v>
      </c>
      <c r="W22">
        <f t="shared" si="24"/>
        <v>9.77881573009097E-2</v>
      </c>
      <c r="X22">
        <f t="shared" si="24"/>
        <v>3.3331923644581298</v>
      </c>
      <c r="Y22">
        <f t="shared" si="24"/>
        <v>34.707854507171497</v>
      </c>
      <c r="Z22">
        <f t="shared" si="24"/>
        <v>2.9517103555363402</v>
      </c>
      <c r="AA22">
        <f t="shared" si="24"/>
        <v>1.4907827839459999</v>
      </c>
      <c r="AB22">
        <f t="shared" si="24"/>
        <v>5.6992805258077999</v>
      </c>
      <c r="AC22">
        <f t="shared" si="24"/>
        <v>5.2503648284870001</v>
      </c>
      <c r="AD22">
        <f t="shared" si="24"/>
        <v>2.24022748403639</v>
      </c>
      <c r="AE22">
        <f t="shared" si="24"/>
        <v>19.356450202789201</v>
      </c>
      <c r="AF22">
        <f t="shared" si="24"/>
        <v>0.87598812942149695</v>
      </c>
      <c r="AG22">
        <f t="shared" si="24"/>
        <v>1.75928230015134</v>
      </c>
      <c r="AH22">
        <f t="shared" ref="AH22:BI22" si="25">AG32</f>
        <v>1.3270915777414001</v>
      </c>
      <c r="AI22">
        <f t="shared" si="25"/>
        <v>5.1693238219530002</v>
      </c>
      <c r="AJ22">
        <f t="shared" si="25"/>
        <v>2.24022748403639</v>
      </c>
      <c r="AK22">
        <f t="shared" si="25"/>
        <v>3.3567522521748298E-3</v>
      </c>
      <c r="AL22">
        <f t="shared" si="25"/>
        <v>4.73110928768579E-3</v>
      </c>
      <c r="AM22">
        <f t="shared" si="25"/>
        <v>2.4231302952146301</v>
      </c>
      <c r="AN22">
        <f t="shared" si="25"/>
        <v>0</v>
      </c>
      <c r="AO22">
        <f t="shared" si="25"/>
        <v>0.71690556306626796</v>
      </c>
      <c r="AP22">
        <f t="shared" si="25"/>
        <v>2.4247471003381701E-2</v>
      </c>
      <c r="AQ22">
        <f t="shared" si="25"/>
        <v>4.0014536200373299E-3</v>
      </c>
      <c r="AR22">
        <f t="shared" si="25"/>
        <v>8.3165382533190001E-5</v>
      </c>
      <c r="AS22">
        <f t="shared" si="25"/>
        <v>2.08764854425194E-2</v>
      </c>
      <c r="AT22">
        <f t="shared" si="25"/>
        <v>2.42140811300587</v>
      </c>
      <c r="AU22">
        <f t="shared" si="25"/>
        <v>8.1064619901168001E-4</v>
      </c>
      <c r="AV22">
        <f t="shared" si="25"/>
        <v>0</v>
      </c>
      <c r="AW22">
        <f t="shared" si="25"/>
        <v>0</v>
      </c>
      <c r="AX22">
        <f t="shared" si="25"/>
        <v>0</v>
      </c>
      <c r="AY22">
        <f t="shared" si="25"/>
        <v>0</v>
      </c>
      <c r="AZ22">
        <f t="shared" si="25"/>
        <v>0.16715054694313</v>
      </c>
      <c r="BA22">
        <f t="shared" si="25"/>
        <v>0.127591292497577</v>
      </c>
      <c r="BB22">
        <f t="shared" si="25"/>
        <v>1.2976377481273399E-3</v>
      </c>
      <c r="BC22">
        <f t="shared" si="25"/>
        <v>2.5882108305240001E-5</v>
      </c>
      <c r="BD22">
        <f t="shared" si="25"/>
        <v>6.9902061214887601E-7</v>
      </c>
      <c r="BE22">
        <f t="shared" si="25"/>
        <v>2.0198298902850801E-2</v>
      </c>
      <c r="BF22">
        <f t="shared" si="25"/>
        <v>1.93992576557818E-2</v>
      </c>
      <c r="BG22">
        <f t="shared" si="25"/>
        <v>1.7296977283699999E-5</v>
      </c>
      <c r="BH22">
        <f t="shared" si="25"/>
        <v>1.03879605866E-6</v>
      </c>
      <c r="BI22">
        <f t="shared" si="25"/>
        <v>0</v>
      </c>
    </row>
    <row r="23" spans="1:62" x14ac:dyDescent="0.3">
      <c r="A23" s="2" t="s">
        <v>41</v>
      </c>
      <c r="B23" t="str">
        <f t="shared" ref="B23:AG23" si="26">A35</f>
        <v>A.07.01.001</v>
      </c>
      <c r="C23" t="str">
        <f t="shared" si="26"/>
        <v>Herring (Clupea)</v>
      </c>
      <c r="D23" t="str">
        <f t="shared" si="26"/>
        <v>Fish and other seafood (including amphibians, reptiles, snails and insects)</v>
      </c>
      <c r="E23" t="str">
        <f t="shared" si="26"/>
        <v>Fish meat</v>
      </c>
      <c r="F23">
        <f t="shared" si="26"/>
        <v>1000</v>
      </c>
      <c r="G23">
        <f t="shared" si="26"/>
        <v>5.2603706363124196</v>
      </c>
      <c r="H23">
        <f t="shared" si="26"/>
        <v>5.2282670498170498</v>
      </c>
      <c r="I23">
        <f t="shared" si="26"/>
        <v>9.1150614149895001E-4</v>
      </c>
      <c r="J23">
        <f t="shared" si="26"/>
        <v>1.8453188378809999E-5</v>
      </c>
      <c r="K23">
        <f t="shared" si="26"/>
        <v>1.6272774331420001E-5</v>
      </c>
      <c r="L23">
        <f t="shared" si="26"/>
        <v>4.8858897274340798</v>
      </c>
      <c r="M23">
        <f t="shared" si="26"/>
        <v>4.8858897274340798</v>
      </c>
      <c r="N23">
        <f t="shared" si="26"/>
        <v>0</v>
      </c>
      <c r="O23">
        <f t="shared" si="26"/>
        <v>0</v>
      </c>
      <c r="P23">
        <f t="shared" si="26"/>
        <v>0</v>
      </c>
      <c r="Q23">
        <f t="shared" si="26"/>
        <v>0</v>
      </c>
      <c r="R23">
        <f t="shared" si="26"/>
        <v>0</v>
      </c>
      <c r="S23">
        <f t="shared" si="26"/>
        <v>0</v>
      </c>
      <c r="T23">
        <f t="shared" si="26"/>
        <v>0</v>
      </c>
      <c r="U23">
        <f t="shared" si="26"/>
        <v>0</v>
      </c>
      <c r="V23">
        <f t="shared" si="26"/>
        <v>0</v>
      </c>
      <c r="W23">
        <f t="shared" si="26"/>
        <v>0</v>
      </c>
      <c r="X23">
        <f t="shared" si="26"/>
        <v>10.716474501609101</v>
      </c>
      <c r="Y23">
        <f t="shared" si="26"/>
        <v>0</v>
      </c>
      <c r="Z23">
        <f t="shared" si="26"/>
        <v>0</v>
      </c>
      <c r="AA23">
        <f t="shared" si="26"/>
        <v>0</v>
      </c>
      <c r="AB23">
        <f t="shared" si="26"/>
        <v>0</v>
      </c>
      <c r="AC23">
        <f t="shared" si="26"/>
        <v>4.8858897274340798</v>
      </c>
      <c r="AD23">
        <f t="shared" si="26"/>
        <v>0</v>
      </c>
      <c r="AE23">
        <f t="shared" si="26"/>
        <v>0</v>
      </c>
      <c r="AF23">
        <f t="shared" si="26"/>
        <v>0</v>
      </c>
      <c r="AG23">
        <f t="shared" si="26"/>
        <v>0</v>
      </c>
      <c r="AH23">
        <f t="shared" ref="AH23:BI23" si="27">AG35</f>
        <v>0</v>
      </c>
      <c r="AI23">
        <f t="shared" si="27"/>
        <v>4.8858897274340798</v>
      </c>
      <c r="AJ23">
        <f t="shared" si="27"/>
        <v>0</v>
      </c>
      <c r="AK23">
        <f t="shared" si="27"/>
        <v>0</v>
      </c>
      <c r="AL23">
        <f t="shared" si="27"/>
        <v>0</v>
      </c>
      <c r="AM23">
        <f t="shared" si="27"/>
        <v>0</v>
      </c>
      <c r="AN23">
        <f t="shared" si="27"/>
        <v>0</v>
      </c>
      <c r="AO23">
        <f t="shared" si="27"/>
        <v>0</v>
      </c>
      <c r="AP23">
        <f t="shared" si="27"/>
        <v>0</v>
      </c>
      <c r="AQ23">
        <f t="shared" si="27"/>
        <v>0</v>
      </c>
      <c r="AR23">
        <f t="shared" si="27"/>
        <v>0</v>
      </c>
      <c r="AS23">
        <f t="shared" si="27"/>
        <v>0</v>
      </c>
      <c r="AT23">
        <f t="shared" si="27"/>
        <v>0</v>
      </c>
      <c r="AU23">
        <f t="shared" si="27"/>
        <v>0</v>
      </c>
      <c r="AV23">
        <f t="shared" si="27"/>
        <v>0</v>
      </c>
      <c r="AW23">
        <f t="shared" si="27"/>
        <v>0</v>
      </c>
      <c r="AX23">
        <f t="shared" si="27"/>
        <v>0</v>
      </c>
      <c r="AY23">
        <f t="shared" si="27"/>
        <v>0</v>
      </c>
      <c r="AZ23">
        <f t="shared" si="27"/>
        <v>0.106028343098449</v>
      </c>
      <c r="BA23">
        <f t="shared" si="27"/>
        <v>8.4605512097746596E-2</v>
      </c>
      <c r="BB23">
        <f t="shared" si="27"/>
        <v>6.8186277441658998E-4</v>
      </c>
      <c r="BC23">
        <f t="shared" si="27"/>
        <v>1.8453188378809999E-5</v>
      </c>
      <c r="BD23">
        <f t="shared" si="27"/>
        <v>2.2164257760399998E-6</v>
      </c>
      <c r="BE23">
        <f t="shared" si="27"/>
        <v>0.26845256577989202</v>
      </c>
      <c r="BF23">
        <f t="shared" si="27"/>
        <v>0.25777181028522</v>
      </c>
      <c r="BG23">
        <f t="shared" si="27"/>
        <v>2.2964336708235E-4</v>
      </c>
      <c r="BH23">
        <f t="shared" si="27"/>
        <v>1.4056348555370001E-5</v>
      </c>
      <c r="BI23">
        <f t="shared" si="27"/>
        <v>0</v>
      </c>
    </row>
    <row r="24" spans="1:62" x14ac:dyDescent="0.3">
      <c r="A24" s="2" t="s">
        <v>42</v>
      </c>
      <c r="B24" t="str">
        <f t="shared" ref="B24:AG24" si="28">A31</f>
        <v>A.06.01.003</v>
      </c>
      <c r="C24" t="str">
        <f t="shared" si="28"/>
        <v>Pork / piglet meat (Sus scrofa)</v>
      </c>
      <c r="D24" t="str">
        <f t="shared" si="28"/>
        <v>Meat and meat products (including edible offal)</v>
      </c>
      <c r="E24" t="str">
        <f t="shared" si="28"/>
        <v>Livestock meat</v>
      </c>
      <c r="F24">
        <f t="shared" si="28"/>
        <v>1000</v>
      </c>
      <c r="G24">
        <f t="shared" si="28"/>
        <v>6.0731006315727001</v>
      </c>
      <c r="H24">
        <f t="shared" si="28"/>
        <v>3.1971474296797102</v>
      </c>
      <c r="I24">
        <f t="shared" si="28"/>
        <v>4.8424939614827899E-3</v>
      </c>
      <c r="J24">
        <f t="shared" si="28"/>
        <v>4.3328189684326203E-2</v>
      </c>
      <c r="K24">
        <f t="shared" si="28"/>
        <v>5.7208269610402804E-3</v>
      </c>
      <c r="L24">
        <f t="shared" si="28"/>
        <v>5.8746020532383003</v>
      </c>
      <c r="M24">
        <f t="shared" si="28"/>
        <v>3.03948695266077</v>
      </c>
      <c r="N24">
        <f t="shared" si="28"/>
        <v>3.5181580199067199E-3</v>
      </c>
      <c r="O24">
        <f t="shared" si="28"/>
        <v>4.3302307576020903E-2</v>
      </c>
      <c r="P24">
        <f t="shared" si="28"/>
        <v>5.7183578279550997E-3</v>
      </c>
      <c r="Q24">
        <f t="shared" si="28"/>
        <v>11.864226256495099</v>
      </c>
      <c r="R24">
        <f t="shared" si="28"/>
        <v>0.16578859466728599</v>
      </c>
      <c r="S24">
        <f t="shared" si="28"/>
        <v>2.4553421695171201E-2</v>
      </c>
      <c r="T24">
        <f t="shared" si="28"/>
        <v>0.33963842681381501</v>
      </c>
      <c r="U24">
        <f t="shared" si="28"/>
        <v>2.4988704633624401</v>
      </c>
      <c r="V24">
        <f t="shared" si="28"/>
        <v>2.5600226125578701E-11</v>
      </c>
      <c r="W24">
        <f t="shared" si="28"/>
        <v>6.05271677950876E-2</v>
      </c>
      <c r="X24">
        <f t="shared" si="28"/>
        <v>4.5367033443460798</v>
      </c>
      <c r="Y24">
        <f t="shared" si="28"/>
        <v>108.787667482895</v>
      </c>
      <c r="Z24">
        <f t="shared" si="28"/>
        <v>0.65441265619447397</v>
      </c>
      <c r="AA24">
        <f t="shared" si="28"/>
        <v>0.20064504634133001</v>
      </c>
      <c r="AB24">
        <f t="shared" si="28"/>
        <v>0.89977454983280802</v>
      </c>
      <c r="AC24">
        <f t="shared" si="28"/>
        <v>2.2152901257108302</v>
      </c>
      <c r="AD24">
        <f t="shared" si="28"/>
        <v>0.339226338379435</v>
      </c>
      <c r="AE24">
        <f t="shared" si="28"/>
        <v>0.34869831605511298</v>
      </c>
      <c r="AF24">
        <f t="shared" si="28"/>
        <v>1.2165550207243001</v>
      </c>
      <c r="AG24">
        <f t="shared" si="28"/>
        <v>0.39794343741278598</v>
      </c>
      <c r="AH24">
        <f t="shared" ref="AH24:BI24" si="29">AG31</f>
        <v>0.179118579867688</v>
      </c>
      <c r="AI24">
        <f t="shared" si="29"/>
        <v>2.14462605423916</v>
      </c>
      <c r="AJ24">
        <f t="shared" si="29"/>
        <v>0.339226338379435</v>
      </c>
      <c r="AK24">
        <f t="shared" si="29"/>
        <v>7.2547658583048999E-4</v>
      </c>
      <c r="AL24">
        <f t="shared" si="29"/>
        <v>6.6010677988982995E-4</v>
      </c>
      <c r="AM24">
        <f t="shared" si="29"/>
        <v>0.38623870095831497</v>
      </c>
      <c r="AN24">
        <f t="shared" si="29"/>
        <v>0</v>
      </c>
      <c r="AO24">
        <f t="shared" si="29"/>
        <v>1.2914752446485701E-2</v>
      </c>
      <c r="AP24">
        <f t="shared" si="29"/>
        <v>3.0387555129535199E-2</v>
      </c>
      <c r="AQ24">
        <f t="shared" si="29"/>
        <v>8.6025647078365002E-4</v>
      </c>
      <c r="AR24">
        <f t="shared" si="29"/>
        <v>6.7959136737100003E-6</v>
      </c>
      <c r="AS24">
        <f t="shared" si="29"/>
        <v>3.29587747191504E-3</v>
      </c>
      <c r="AT24">
        <f t="shared" si="29"/>
        <v>0.38464028482427798</v>
      </c>
      <c r="AU24">
        <f t="shared" si="29"/>
        <v>1.4508829019298699E-3</v>
      </c>
      <c r="AV24">
        <f t="shared" si="29"/>
        <v>0</v>
      </c>
      <c r="AW24">
        <f t="shared" si="29"/>
        <v>0</v>
      </c>
      <c r="AX24">
        <f t="shared" si="29"/>
        <v>0</v>
      </c>
      <c r="AY24">
        <f t="shared" si="29"/>
        <v>0</v>
      </c>
      <c r="AZ24">
        <f t="shared" si="29"/>
        <v>0.16715054694313</v>
      </c>
      <c r="BA24">
        <f t="shared" si="29"/>
        <v>0.127591292497577</v>
      </c>
      <c r="BB24">
        <f t="shared" si="29"/>
        <v>1.2976377481273399E-3</v>
      </c>
      <c r="BC24">
        <f t="shared" si="29"/>
        <v>2.5882108305240001E-5</v>
      </c>
      <c r="BD24">
        <f t="shared" si="29"/>
        <v>6.9902061214887601E-7</v>
      </c>
      <c r="BE24">
        <f t="shared" si="29"/>
        <v>3.1348031391268898E-2</v>
      </c>
      <c r="BF24">
        <f t="shared" si="29"/>
        <v>3.0069184521359999E-2</v>
      </c>
      <c r="BG24">
        <f t="shared" si="29"/>
        <v>2.6698193448730001E-5</v>
      </c>
      <c r="BH24">
        <f t="shared" si="29"/>
        <v>1.77011247302E-6</v>
      </c>
      <c r="BI24">
        <f t="shared" si="29"/>
        <v>0</v>
      </c>
    </row>
    <row r="25" spans="1:62" x14ac:dyDescent="0.3">
      <c r="A25" s="2" t="s">
        <v>43</v>
      </c>
      <c r="B25" t="str">
        <f t="shared" ref="B25:AG25" si="30">A33</f>
        <v>A.06.02.001</v>
      </c>
      <c r="C25" t="str">
        <f t="shared" si="30"/>
        <v>Chicken meat (Gallus domesticus)</v>
      </c>
      <c r="D25" t="str">
        <f t="shared" si="30"/>
        <v>Meat and meat products (including edible offal)</v>
      </c>
      <c r="E25" t="str">
        <f t="shared" si="30"/>
        <v>Poultry</v>
      </c>
      <c r="F25">
        <f t="shared" si="30"/>
        <v>1000</v>
      </c>
      <c r="G25">
        <f t="shared" si="30"/>
        <v>2.17673131261727</v>
      </c>
      <c r="H25">
        <f t="shared" si="30"/>
        <v>1.4314112286116201</v>
      </c>
      <c r="I25">
        <f t="shared" si="30"/>
        <v>2.8260232316282001E-3</v>
      </c>
      <c r="J25">
        <f t="shared" si="30"/>
        <v>3.0931210814689899E-3</v>
      </c>
      <c r="K25">
        <f t="shared" si="30"/>
        <v>2.1157154670456398E-3</v>
      </c>
      <c r="L25">
        <f t="shared" si="30"/>
        <v>1.94664902343469</v>
      </c>
      <c r="M25">
        <f t="shared" si="30"/>
        <v>1.2433856227526801</v>
      </c>
      <c r="N25">
        <f t="shared" si="30"/>
        <v>1.47443480062375E-3</v>
      </c>
      <c r="O25">
        <f t="shared" si="30"/>
        <v>3.06723897316375E-3</v>
      </c>
      <c r="P25">
        <f t="shared" si="30"/>
        <v>2.1117574774652099E-3</v>
      </c>
      <c r="Q25">
        <f t="shared" si="30"/>
        <v>5.9975926019150299</v>
      </c>
      <c r="R25">
        <f t="shared" si="30"/>
        <v>6.7260371596270602E-2</v>
      </c>
      <c r="S25">
        <f t="shared" si="30"/>
        <v>1.12661253952156E-2</v>
      </c>
      <c r="T25">
        <f t="shared" si="30"/>
        <v>3.7565420324131599E-2</v>
      </c>
      <c r="U25">
        <f t="shared" si="30"/>
        <v>1.2840997841880999</v>
      </c>
      <c r="V25">
        <f t="shared" si="30"/>
        <v>2.0203713494861499E-11</v>
      </c>
      <c r="W25">
        <f t="shared" si="30"/>
        <v>6.23004537006265E-2</v>
      </c>
      <c r="X25">
        <f t="shared" si="30"/>
        <v>93.862937950543099</v>
      </c>
      <c r="Y25">
        <f t="shared" si="30"/>
        <v>52.583395887696</v>
      </c>
      <c r="Z25">
        <f t="shared" si="30"/>
        <v>0.219853290796104</v>
      </c>
      <c r="AA25">
        <f t="shared" si="30"/>
        <v>9.7897828514050905E-2</v>
      </c>
      <c r="AB25">
        <f t="shared" si="30"/>
        <v>0.41822995706601901</v>
      </c>
      <c r="AC25">
        <f t="shared" si="30"/>
        <v>0.86810731259560703</v>
      </c>
      <c r="AD25">
        <f t="shared" si="30"/>
        <v>0.19087503808612899</v>
      </c>
      <c r="AE25">
        <f t="shared" si="30"/>
        <v>0</v>
      </c>
      <c r="AF25">
        <f t="shared" si="30"/>
        <v>0.151685596376784</v>
      </c>
      <c r="AG25">
        <f t="shared" si="30"/>
        <v>0.134940306503923</v>
      </c>
      <c r="AH25">
        <f t="shared" ref="AH25:BI25" si="31">AG33</f>
        <v>8.6771204012449199E-2</v>
      </c>
      <c r="AI25">
        <f t="shared" si="31"/>
        <v>0.842240504542212</v>
      </c>
      <c r="AJ25">
        <f t="shared" si="31"/>
        <v>0.19077750289885501</v>
      </c>
      <c r="AK25">
        <f t="shared" si="31"/>
        <v>2.5529288821593001E-4</v>
      </c>
      <c r="AL25">
        <f t="shared" si="31"/>
        <v>3.4279306609264002E-4</v>
      </c>
      <c r="AM25">
        <f t="shared" si="31"/>
        <v>0.21148641637860699</v>
      </c>
      <c r="AN25">
        <f t="shared" si="31"/>
        <v>0</v>
      </c>
      <c r="AO25">
        <f t="shared" si="31"/>
        <v>0</v>
      </c>
      <c r="AP25">
        <f t="shared" si="31"/>
        <v>3.06723897316375E-3</v>
      </c>
      <c r="AQ25">
        <f t="shared" si="31"/>
        <v>2.8316943671555001E-4</v>
      </c>
      <c r="AR25">
        <f t="shared" si="31"/>
        <v>3.3384290550899999E-6</v>
      </c>
      <c r="AS25">
        <f t="shared" si="31"/>
        <v>1.5319778647106899E-3</v>
      </c>
      <c r="AT25">
        <f t="shared" si="31"/>
        <v>0.21087847523964501</v>
      </c>
      <c r="AU25">
        <f t="shared" si="31"/>
        <v>2.5227159011488001E-4</v>
      </c>
      <c r="AV25">
        <f t="shared" si="31"/>
        <v>0</v>
      </c>
      <c r="AW25">
        <f t="shared" si="31"/>
        <v>0</v>
      </c>
      <c r="AX25">
        <f t="shared" si="31"/>
        <v>0</v>
      </c>
      <c r="AY25">
        <f t="shared" si="31"/>
        <v>0</v>
      </c>
      <c r="AZ25">
        <f t="shared" si="31"/>
        <v>0.16715054694313</v>
      </c>
      <c r="BA25">
        <f t="shared" si="31"/>
        <v>0.127591292497577</v>
      </c>
      <c r="BB25">
        <f t="shared" si="31"/>
        <v>1.2976377481273399E-3</v>
      </c>
      <c r="BC25">
        <f t="shared" si="31"/>
        <v>2.5882108305240001E-5</v>
      </c>
      <c r="BD25">
        <f t="shared" si="31"/>
        <v>6.9902061214887601E-7</v>
      </c>
      <c r="BE25">
        <f t="shared" si="31"/>
        <v>6.2931742239445004E-2</v>
      </c>
      <c r="BF25">
        <f t="shared" si="31"/>
        <v>6.0434313361364601E-2</v>
      </c>
      <c r="BG25">
        <f t="shared" si="31"/>
        <v>5.3950682877099997E-5</v>
      </c>
      <c r="BH25">
        <f t="shared" si="31"/>
        <v>3.25896896828E-6</v>
      </c>
      <c r="BI25">
        <f t="shared" si="31"/>
        <v>0</v>
      </c>
    </row>
    <row r="27" spans="1:62" ht="21" x14ac:dyDescent="0.4">
      <c r="A27" s="6" t="s">
        <v>160</v>
      </c>
    </row>
    <row r="29" spans="1:62" x14ac:dyDescent="0.3">
      <c r="A29" t="s">
        <v>97</v>
      </c>
      <c r="B29" t="s">
        <v>98</v>
      </c>
      <c r="C29" t="s">
        <v>99</v>
      </c>
      <c r="D29" t="s">
        <v>100</v>
      </c>
      <c r="E29" t="s">
        <v>101</v>
      </c>
      <c r="F29" t="s">
        <v>102</v>
      </c>
      <c r="G29" t="s">
        <v>103</v>
      </c>
      <c r="H29" t="s">
        <v>104</v>
      </c>
      <c r="I29" t="s">
        <v>105</v>
      </c>
      <c r="J29" t="s">
        <v>106</v>
      </c>
      <c r="K29" t="s">
        <v>107</v>
      </c>
      <c r="L29" t="s">
        <v>108</v>
      </c>
      <c r="M29" t="s">
        <v>109</v>
      </c>
      <c r="N29" t="s">
        <v>110</v>
      </c>
      <c r="O29" t="s">
        <v>111</v>
      </c>
      <c r="P29" t="s">
        <v>112</v>
      </c>
      <c r="Q29" t="s">
        <v>113</v>
      </c>
      <c r="R29" t="s">
        <v>114</v>
      </c>
      <c r="S29" t="s">
        <v>115</v>
      </c>
      <c r="T29" t="s">
        <v>116</v>
      </c>
      <c r="U29" t="s">
        <v>117</v>
      </c>
      <c r="V29" t="s">
        <v>118</v>
      </c>
      <c r="W29" t="s">
        <v>119</v>
      </c>
      <c r="X29" t="s">
        <v>120</v>
      </c>
      <c r="Y29" t="s">
        <v>121</v>
      </c>
      <c r="Z29" t="s">
        <v>122</v>
      </c>
      <c r="AA29" t="s">
        <v>123</v>
      </c>
      <c r="AB29" t="s">
        <v>124</v>
      </c>
      <c r="AC29" t="s">
        <v>125</v>
      </c>
      <c r="AD29" t="s">
        <v>126</v>
      </c>
      <c r="AE29" t="s">
        <v>127</v>
      </c>
      <c r="AF29" t="s">
        <v>128</v>
      </c>
      <c r="AG29" t="s">
        <v>129</v>
      </c>
      <c r="AH29" t="s">
        <v>130</v>
      </c>
      <c r="AI29" t="s">
        <v>131</v>
      </c>
      <c r="AJ29" t="s">
        <v>132</v>
      </c>
      <c r="AK29" t="s">
        <v>133</v>
      </c>
      <c r="AL29" t="s">
        <v>134</v>
      </c>
      <c r="AM29" t="s">
        <v>135</v>
      </c>
      <c r="AN29" t="s">
        <v>136</v>
      </c>
      <c r="AO29" t="s">
        <v>137</v>
      </c>
      <c r="AP29" t="s">
        <v>138</v>
      </c>
      <c r="AQ29" t="s">
        <v>139</v>
      </c>
      <c r="AR29" t="s">
        <v>140</v>
      </c>
      <c r="AS29" t="s">
        <v>141</v>
      </c>
      <c r="AT29" t="s">
        <v>142</v>
      </c>
      <c r="AU29" t="s">
        <v>143</v>
      </c>
      <c r="AV29" t="s">
        <v>144</v>
      </c>
      <c r="AW29" t="s">
        <v>145</v>
      </c>
      <c r="AX29" t="s">
        <v>146</v>
      </c>
      <c r="AY29" t="s">
        <v>147</v>
      </c>
      <c r="AZ29" t="s">
        <v>148</v>
      </c>
      <c r="BA29" t="s">
        <v>149</v>
      </c>
      <c r="BB29" t="s">
        <v>150</v>
      </c>
      <c r="BC29" t="s">
        <v>151</v>
      </c>
      <c r="BD29" t="s">
        <v>152</v>
      </c>
      <c r="BE29" t="s">
        <v>153</v>
      </c>
      <c r="BF29" t="s">
        <v>154</v>
      </c>
      <c r="BG29" t="s">
        <v>155</v>
      </c>
      <c r="BH29" t="s">
        <v>156</v>
      </c>
      <c r="BI29" t="s">
        <v>157</v>
      </c>
      <c r="BJ29" t="s">
        <v>158</v>
      </c>
    </row>
    <row r="30" spans="1:62" x14ac:dyDescent="0.3">
      <c r="A30" t="s">
        <v>161</v>
      </c>
      <c r="B30" t="s">
        <v>162</v>
      </c>
      <c r="C30" t="s">
        <v>163</v>
      </c>
      <c r="D30" t="s">
        <v>164</v>
      </c>
      <c r="E30">
        <v>1000</v>
      </c>
      <c r="F30">
        <v>32.206994738553298</v>
      </c>
      <c r="G30">
        <v>4.4106349921341197</v>
      </c>
      <c r="H30">
        <v>1.7237922561447402E-2</v>
      </c>
      <c r="I30">
        <v>0.88236579285476902</v>
      </c>
      <c r="J30">
        <v>0.37556379158151099</v>
      </c>
      <c r="K30">
        <v>32.031495933196403</v>
      </c>
      <c r="L30">
        <v>4.27503905655397</v>
      </c>
      <c r="M30">
        <v>1.5933174679260101E-2</v>
      </c>
      <c r="N30">
        <v>0.88233991074646401</v>
      </c>
      <c r="O30">
        <v>0.375562610021206</v>
      </c>
      <c r="P30">
        <v>11.266100925048701</v>
      </c>
      <c r="Q30">
        <v>0.61223698782851099</v>
      </c>
      <c r="R30">
        <v>3.2966909559284503E-2</v>
      </c>
      <c r="S30">
        <v>0.15851119074943101</v>
      </c>
      <c r="T30">
        <v>2.7641862334665199</v>
      </c>
      <c r="U30" s="19">
        <v>1.7034275792765699E-11</v>
      </c>
      <c r="V30">
        <v>0.19957244135087099</v>
      </c>
      <c r="W30">
        <v>0.27542636533826398</v>
      </c>
      <c r="X30">
        <v>35.290316928646497</v>
      </c>
      <c r="Y30">
        <v>2.1156923133984602</v>
      </c>
      <c r="Z30">
        <v>0.98092549858669598</v>
      </c>
      <c r="AA30">
        <v>3.0250943813034898</v>
      </c>
      <c r="AB30">
        <v>2.1686885614081102</v>
      </c>
      <c r="AC30">
        <v>0.109179537671106</v>
      </c>
      <c r="AD30">
        <v>18.939896328653699</v>
      </c>
      <c r="AE30">
        <v>4.6920193121748301</v>
      </c>
      <c r="AF30">
        <v>1.2625350590722899</v>
      </c>
      <c r="AG30">
        <v>0.87335265418383801</v>
      </c>
      <c r="AH30">
        <v>2.1103794423116402</v>
      </c>
      <c r="AI30">
        <v>0.109065096947968</v>
      </c>
      <c r="AJ30">
        <v>2.30881990602207E-3</v>
      </c>
      <c r="AK30">
        <v>3.106847802279E-3</v>
      </c>
      <c r="AL30">
        <v>0.174758013302792</v>
      </c>
      <c r="AM30">
        <v>0</v>
      </c>
      <c r="AN30">
        <v>0.70147764180199201</v>
      </c>
      <c r="AO30">
        <v>9.4827603168319494E-2</v>
      </c>
      <c r="AP30">
        <v>2.8730931176802498E-3</v>
      </c>
      <c r="AQ30" s="19">
        <v>5.4903955659130003E-5</v>
      </c>
      <c r="AR30">
        <v>1.1080931799646501E-2</v>
      </c>
      <c r="AS30">
        <v>0.17348978585896199</v>
      </c>
      <c r="AT30">
        <v>7.8083297678762298E-3</v>
      </c>
      <c r="AU30">
        <v>0</v>
      </c>
      <c r="AV30">
        <v>0</v>
      </c>
      <c r="AW30">
        <v>0</v>
      </c>
      <c r="AX30">
        <v>0</v>
      </c>
      <c r="AY30">
        <v>0.16715054694313</v>
      </c>
      <c r="AZ30">
        <v>0.127591292497577</v>
      </c>
      <c r="BA30">
        <v>1.2976377481273399E-3</v>
      </c>
      <c r="BB30" s="19">
        <v>2.5882108305240001E-5</v>
      </c>
      <c r="BC30" s="19">
        <v>6.9902061214887601E-7</v>
      </c>
      <c r="BD30">
        <v>8.3482584137843305E-3</v>
      </c>
      <c r="BE30">
        <v>8.0046430825725604E-3</v>
      </c>
      <c r="BF30" s="19">
        <v>7.1101340599199996E-6</v>
      </c>
      <c r="BG30" s="19">
        <v>4.8253969313553303E-7</v>
      </c>
      <c r="BI30" t="s">
        <v>165</v>
      </c>
    </row>
    <row r="31" spans="1:62" x14ac:dyDescent="0.3">
      <c r="A31" t="s">
        <v>166</v>
      </c>
      <c r="B31" t="s">
        <v>167</v>
      </c>
      <c r="C31" t="s">
        <v>163</v>
      </c>
      <c r="D31" t="s">
        <v>164</v>
      </c>
      <c r="E31">
        <v>1000</v>
      </c>
      <c r="F31">
        <v>6.0731006315727001</v>
      </c>
      <c r="G31">
        <v>3.1971474296797102</v>
      </c>
      <c r="H31">
        <v>4.8424939614827899E-3</v>
      </c>
      <c r="I31">
        <v>4.3328189684326203E-2</v>
      </c>
      <c r="J31">
        <v>5.7208269610402804E-3</v>
      </c>
      <c r="K31">
        <v>5.8746020532383003</v>
      </c>
      <c r="L31">
        <v>3.03948695266077</v>
      </c>
      <c r="M31">
        <v>3.5181580199067199E-3</v>
      </c>
      <c r="N31">
        <v>4.3302307576020903E-2</v>
      </c>
      <c r="O31">
        <v>5.7183578279550997E-3</v>
      </c>
      <c r="P31">
        <v>11.864226256495099</v>
      </c>
      <c r="Q31">
        <v>0.16578859466728599</v>
      </c>
      <c r="R31">
        <v>2.4553421695171201E-2</v>
      </c>
      <c r="S31">
        <v>0.33963842681381501</v>
      </c>
      <c r="T31">
        <v>2.4988704633624401</v>
      </c>
      <c r="U31" s="19">
        <v>2.5600226125578701E-11</v>
      </c>
      <c r="V31">
        <v>6.05271677950876E-2</v>
      </c>
      <c r="W31">
        <v>4.5367033443460798</v>
      </c>
      <c r="X31">
        <v>108.787667482895</v>
      </c>
      <c r="Y31">
        <v>0.65441265619447397</v>
      </c>
      <c r="Z31">
        <v>0.20064504634133001</v>
      </c>
      <c r="AA31">
        <v>0.89977454983280802</v>
      </c>
      <c r="AB31">
        <v>2.2152901257108302</v>
      </c>
      <c r="AC31">
        <v>0.339226338379435</v>
      </c>
      <c r="AD31">
        <v>0.34869831605511298</v>
      </c>
      <c r="AE31">
        <v>1.2165550207243001</v>
      </c>
      <c r="AF31">
        <v>0.39794343741278598</v>
      </c>
      <c r="AG31">
        <v>0.179118579867688</v>
      </c>
      <c r="AH31">
        <v>2.14462605423916</v>
      </c>
      <c r="AI31">
        <v>0.339226338379435</v>
      </c>
      <c r="AJ31" s="19">
        <v>7.2547658583048999E-4</v>
      </c>
      <c r="AK31" s="19">
        <v>6.6010677988982995E-4</v>
      </c>
      <c r="AL31">
        <v>0.38623870095831497</v>
      </c>
      <c r="AM31">
        <v>0</v>
      </c>
      <c r="AN31">
        <v>1.2914752446485701E-2</v>
      </c>
      <c r="AO31">
        <v>3.0387555129535199E-2</v>
      </c>
      <c r="AP31" s="19">
        <v>8.6025647078365002E-4</v>
      </c>
      <c r="AQ31" s="19">
        <v>6.7959136737100003E-6</v>
      </c>
      <c r="AR31">
        <v>3.29587747191504E-3</v>
      </c>
      <c r="AS31">
        <v>0.38464028482427798</v>
      </c>
      <c r="AT31">
        <v>1.4508829019298699E-3</v>
      </c>
      <c r="AU31">
        <v>0</v>
      </c>
      <c r="AV31">
        <v>0</v>
      </c>
      <c r="AW31">
        <v>0</v>
      </c>
      <c r="AX31">
        <v>0</v>
      </c>
      <c r="AY31">
        <v>0.16715054694313</v>
      </c>
      <c r="AZ31">
        <v>0.127591292497577</v>
      </c>
      <c r="BA31">
        <v>1.2976377481273399E-3</v>
      </c>
      <c r="BB31" s="19">
        <v>2.5882108305240001E-5</v>
      </c>
      <c r="BC31" s="19">
        <v>6.9902061214887601E-7</v>
      </c>
      <c r="BD31">
        <v>3.1348031391268898E-2</v>
      </c>
      <c r="BE31">
        <v>3.0069184521359999E-2</v>
      </c>
      <c r="BF31" s="19">
        <v>2.6698193448730001E-5</v>
      </c>
      <c r="BG31" s="19">
        <v>1.77011247302E-6</v>
      </c>
      <c r="BI31" t="s">
        <v>165</v>
      </c>
    </row>
    <row r="32" spans="1:62" x14ac:dyDescent="0.3">
      <c r="A32" t="s">
        <v>168</v>
      </c>
      <c r="B32" t="s">
        <v>169</v>
      </c>
      <c r="C32" t="s">
        <v>163</v>
      </c>
      <c r="D32" t="s">
        <v>164</v>
      </c>
      <c r="E32">
        <v>1000</v>
      </c>
      <c r="F32">
        <v>38.052153155870201</v>
      </c>
      <c r="G32">
        <v>10.4587129449268</v>
      </c>
      <c r="H32">
        <v>1.4943692641884001E-2</v>
      </c>
      <c r="I32">
        <v>0.74117891617795495</v>
      </c>
      <c r="J32">
        <v>2.6140247008829599E-2</v>
      </c>
      <c r="K32">
        <v>37.864804310024198</v>
      </c>
      <c r="L32">
        <v>10.311722394773501</v>
      </c>
      <c r="M32">
        <v>1.3628757916472899E-2</v>
      </c>
      <c r="N32">
        <v>0.74115303406964905</v>
      </c>
      <c r="O32">
        <v>2.6138509192158699E-2</v>
      </c>
      <c r="P32">
        <v>35.751741671978202</v>
      </c>
      <c r="Q32">
        <v>1.1330791942429299</v>
      </c>
      <c r="R32">
        <v>7.26856334495323E-2</v>
      </c>
      <c r="S32">
        <v>2.9381088502422301E-2</v>
      </c>
      <c r="T32">
        <v>5.3639774405831799</v>
      </c>
      <c r="U32" s="19">
        <v>1.6658689885959399E-10</v>
      </c>
      <c r="V32">
        <v>9.77881573009097E-2</v>
      </c>
      <c r="W32">
        <v>3.3331923644581298</v>
      </c>
      <c r="X32">
        <v>34.707854507171497</v>
      </c>
      <c r="Y32">
        <v>2.9517103555363402</v>
      </c>
      <c r="Z32">
        <v>1.4907827839459999</v>
      </c>
      <c r="AA32">
        <v>5.6992805258077999</v>
      </c>
      <c r="AB32">
        <v>5.2503648284870001</v>
      </c>
      <c r="AC32">
        <v>2.24022748403639</v>
      </c>
      <c r="AD32">
        <v>19.356450202789201</v>
      </c>
      <c r="AE32">
        <v>0.87598812942149695</v>
      </c>
      <c r="AF32">
        <v>1.75928230015134</v>
      </c>
      <c r="AG32">
        <v>1.3270915777414001</v>
      </c>
      <c r="AH32">
        <v>5.1693238219530002</v>
      </c>
      <c r="AI32">
        <v>2.24022748403639</v>
      </c>
      <c r="AJ32">
        <v>3.3567522521748298E-3</v>
      </c>
      <c r="AK32">
        <v>4.73110928768579E-3</v>
      </c>
      <c r="AL32">
        <v>2.4231302952146301</v>
      </c>
      <c r="AM32">
        <v>0</v>
      </c>
      <c r="AN32">
        <v>0.71690556306626796</v>
      </c>
      <c r="AO32">
        <v>2.4247471003381701E-2</v>
      </c>
      <c r="AP32">
        <v>4.0014536200373299E-3</v>
      </c>
      <c r="AQ32" s="19">
        <v>8.3165382533190001E-5</v>
      </c>
      <c r="AR32">
        <v>2.08764854425194E-2</v>
      </c>
      <c r="AS32">
        <v>2.42140811300587</v>
      </c>
      <c r="AT32" s="19">
        <v>8.1064619901168001E-4</v>
      </c>
      <c r="AU32">
        <v>0</v>
      </c>
      <c r="AV32">
        <v>0</v>
      </c>
      <c r="AW32">
        <v>0</v>
      </c>
      <c r="AX32">
        <v>0</v>
      </c>
      <c r="AY32">
        <v>0.16715054694313</v>
      </c>
      <c r="AZ32">
        <v>0.127591292497577</v>
      </c>
      <c r="BA32">
        <v>1.2976377481273399E-3</v>
      </c>
      <c r="BB32" s="19">
        <v>2.5882108305240001E-5</v>
      </c>
      <c r="BC32" s="19">
        <v>6.9902061214887601E-7</v>
      </c>
      <c r="BD32">
        <v>2.0198298902850801E-2</v>
      </c>
      <c r="BE32">
        <v>1.93992576557818E-2</v>
      </c>
      <c r="BF32" s="19">
        <v>1.7296977283699999E-5</v>
      </c>
      <c r="BG32" s="19">
        <v>1.03879605866E-6</v>
      </c>
      <c r="BI32" t="s">
        <v>165</v>
      </c>
    </row>
    <row r="33" spans="1:61" x14ac:dyDescent="0.3">
      <c r="A33" t="s">
        <v>170</v>
      </c>
      <c r="B33" t="s">
        <v>171</v>
      </c>
      <c r="C33" t="s">
        <v>163</v>
      </c>
      <c r="D33" t="s">
        <v>58</v>
      </c>
      <c r="E33">
        <v>1000</v>
      </c>
      <c r="F33">
        <v>2.17673131261727</v>
      </c>
      <c r="G33">
        <v>1.4314112286116201</v>
      </c>
      <c r="H33">
        <v>2.8260232316282001E-3</v>
      </c>
      <c r="I33">
        <v>3.0931210814689899E-3</v>
      </c>
      <c r="J33">
        <v>2.1157154670456398E-3</v>
      </c>
      <c r="K33">
        <v>1.94664902343469</v>
      </c>
      <c r="L33">
        <v>1.2433856227526801</v>
      </c>
      <c r="M33">
        <v>1.47443480062375E-3</v>
      </c>
      <c r="N33">
        <v>3.06723897316375E-3</v>
      </c>
      <c r="O33">
        <v>2.1117574774652099E-3</v>
      </c>
      <c r="P33">
        <v>5.9975926019150299</v>
      </c>
      <c r="Q33">
        <v>6.7260371596270602E-2</v>
      </c>
      <c r="R33">
        <v>1.12661253952156E-2</v>
      </c>
      <c r="S33">
        <v>3.7565420324131599E-2</v>
      </c>
      <c r="T33">
        <v>1.2840997841880999</v>
      </c>
      <c r="U33" s="19">
        <v>2.0203713494861499E-11</v>
      </c>
      <c r="V33">
        <v>6.23004537006265E-2</v>
      </c>
      <c r="W33">
        <v>93.862937950543099</v>
      </c>
      <c r="X33">
        <v>52.583395887696</v>
      </c>
      <c r="Y33">
        <v>0.219853290796104</v>
      </c>
      <c r="Z33">
        <v>9.7897828514050905E-2</v>
      </c>
      <c r="AA33">
        <v>0.41822995706601901</v>
      </c>
      <c r="AB33">
        <v>0.86810731259560703</v>
      </c>
      <c r="AC33">
        <v>0.19087503808612899</v>
      </c>
      <c r="AD33">
        <v>0</v>
      </c>
      <c r="AE33">
        <v>0.151685596376784</v>
      </c>
      <c r="AF33">
        <v>0.134940306503923</v>
      </c>
      <c r="AG33">
        <v>8.6771204012449199E-2</v>
      </c>
      <c r="AH33">
        <v>0.842240504542212</v>
      </c>
      <c r="AI33">
        <v>0.19077750289885501</v>
      </c>
      <c r="AJ33" s="19">
        <v>2.5529288821593001E-4</v>
      </c>
      <c r="AK33" s="19">
        <v>3.4279306609264002E-4</v>
      </c>
      <c r="AL33">
        <v>0.21148641637860699</v>
      </c>
      <c r="AM33">
        <v>0</v>
      </c>
      <c r="AN33">
        <v>0</v>
      </c>
      <c r="AO33">
        <v>3.06723897316375E-3</v>
      </c>
      <c r="AP33" s="19">
        <v>2.8316943671555001E-4</v>
      </c>
      <c r="AQ33" s="19">
        <v>3.3384290550899999E-6</v>
      </c>
      <c r="AR33">
        <v>1.5319778647106899E-3</v>
      </c>
      <c r="AS33">
        <v>0.21087847523964501</v>
      </c>
      <c r="AT33" s="19">
        <v>2.5227159011488001E-4</v>
      </c>
      <c r="AU33">
        <v>0</v>
      </c>
      <c r="AV33">
        <v>0</v>
      </c>
      <c r="AW33">
        <v>0</v>
      </c>
      <c r="AX33">
        <v>0</v>
      </c>
      <c r="AY33">
        <v>0.16715054694313</v>
      </c>
      <c r="AZ33">
        <v>0.127591292497577</v>
      </c>
      <c r="BA33">
        <v>1.2976377481273399E-3</v>
      </c>
      <c r="BB33" s="19">
        <v>2.5882108305240001E-5</v>
      </c>
      <c r="BC33" s="19">
        <v>6.9902061214887601E-7</v>
      </c>
      <c r="BD33">
        <v>6.2931742239445004E-2</v>
      </c>
      <c r="BE33">
        <v>6.0434313361364601E-2</v>
      </c>
      <c r="BF33" s="19">
        <v>5.3950682877099997E-5</v>
      </c>
      <c r="BG33" s="19">
        <v>3.25896896828E-6</v>
      </c>
      <c r="BI33" t="s">
        <v>165</v>
      </c>
    </row>
    <row r="34" spans="1:61" x14ac:dyDescent="0.3">
      <c r="A34" t="s">
        <v>172</v>
      </c>
      <c r="B34" t="s">
        <v>173</v>
      </c>
      <c r="C34" t="s">
        <v>163</v>
      </c>
      <c r="D34" t="s">
        <v>174</v>
      </c>
      <c r="E34">
        <v>1000</v>
      </c>
      <c r="F34">
        <v>6.0731006315727001</v>
      </c>
      <c r="G34">
        <v>3.1971474296797102</v>
      </c>
      <c r="H34">
        <v>4.8424939614827899E-3</v>
      </c>
      <c r="I34">
        <v>4.3328189684326203E-2</v>
      </c>
      <c r="J34">
        <v>5.7208269610402804E-3</v>
      </c>
      <c r="K34">
        <v>5.8746020532383003</v>
      </c>
      <c r="L34">
        <v>3.03948695266077</v>
      </c>
      <c r="M34">
        <v>3.5181580199067199E-3</v>
      </c>
      <c r="N34">
        <v>4.3302307576020903E-2</v>
      </c>
      <c r="O34">
        <v>5.7183578279550997E-3</v>
      </c>
      <c r="P34">
        <v>11.864226256495099</v>
      </c>
      <c r="Q34">
        <v>0.16578859466728599</v>
      </c>
      <c r="R34">
        <v>2.4553421695171201E-2</v>
      </c>
      <c r="S34">
        <v>0.33963842681381501</v>
      </c>
      <c r="T34">
        <v>2.4988704633624401</v>
      </c>
      <c r="U34" s="19">
        <v>2.5600226125578701E-11</v>
      </c>
      <c r="V34">
        <v>6.05271677950876E-2</v>
      </c>
      <c r="W34">
        <v>4.5367033443460798</v>
      </c>
      <c r="X34">
        <v>108.787667482895</v>
      </c>
      <c r="Y34">
        <v>0.65441265619447397</v>
      </c>
      <c r="Z34">
        <v>0.20064504634133001</v>
      </c>
      <c r="AA34">
        <v>0.89977454983280802</v>
      </c>
      <c r="AB34">
        <v>2.2152901257108302</v>
      </c>
      <c r="AC34">
        <v>0.339226338379435</v>
      </c>
      <c r="AD34">
        <v>0.34869831605511298</v>
      </c>
      <c r="AE34">
        <v>1.2165550207243001</v>
      </c>
      <c r="AF34">
        <v>0.39794343741278598</v>
      </c>
      <c r="AG34">
        <v>0.179118579867688</v>
      </c>
      <c r="AH34">
        <v>2.14462605423916</v>
      </c>
      <c r="AI34">
        <v>0.339226338379435</v>
      </c>
      <c r="AJ34" s="19">
        <v>7.2547658583048999E-4</v>
      </c>
      <c r="AK34" s="19">
        <v>6.6010677988982995E-4</v>
      </c>
      <c r="AL34">
        <v>0.38623870095831497</v>
      </c>
      <c r="AM34">
        <v>0</v>
      </c>
      <c r="AN34">
        <v>1.2914752446485701E-2</v>
      </c>
      <c r="AO34">
        <v>3.0387555129535199E-2</v>
      </c>
      <c r="AP34" s="19">
        <v>8.6025647078365002E-4</v>
      </c>
      <c r="AQ34" s="19">
        <v>6.7959136737100003E-6</v>
      </c>
      <c r="AR34">
        <v>3.29587747191504E-3</v>
      </c>
      <c r="AS34">
        <v>0.38464028482427798</v>
      </c>
      <c r="AT34">
        <v>1.4508829019298699E-3</v>
      </c>
      <c r="AU34">
        <v>0</v>
      </c>
      <c r="AV34">
        <v>0</v>
      </c>
      <c r="AW34">
        <v>0</v>
      </c>
      <c r="AX34">
        <v>0</v>
      </c>
      <c r="AY34">
        <v>0.16715054694313</v>
      </c>
      <c r="AZ34">
        <v>0.127591292497577</v>
      </c>
      <c r="BA34">
        <v>1.2976377481273399E-3</v>
      </c>
      <c r="BB34" s="19">
        <v>2.5882108305240001E-5</v>
      </c>
      <c r="BC34" s="19">
        <v>6.9902061214887601E-7</v>
      </c>
      <c r="BD34">
        <v>3.1348031391268898E-2</v>
      </c>
      <c r="BE34">
        <v>3.0069184521359999E-2</v>
      </c>
      <c r="BF34" s="19">
        <v>2.6698193448730001E-5</v>
      </c>
      <c r="BG34" s="19">
        <v>1.77011247302E-6</v>
      </c>
      <c r="BI34" t="s">
        <v>165</v>
      </c>
    </row>
    <row r="35" spans="1:61" x14ac:dyDescent="0.3">
      <c r="A35" t="s">
        <v>175</v>
      </c>
      <c r="B35" t="s">
        <v>176</v>
      </c>
      <c r="C35" t="s">
        <v>177</v>
      </c>
      <c r="D35" t="s">
        <v>178</v>
      </c>
      <c r="E35">
        <v>1000</v>
      </c>
      <c r="F35">
        <v>5.2603706363124196</v>
      </c>
      <c r="G35">
        <v>5.2282670498170498</v>
      </c>
      <c r="H35" s="19">
        <v>9.1150614149895001E-4</v>
      </c>
      <c r="I35" s="19">
        <v>1.8453188378809999E-5</v>
      </c>
      <c r="J35" s="19">
        <v>1.6272774331420001E-5</v>
      </c>
      <c r="K35">
        <v>4.8858897274340798</v>
      </c>
      <c r="L35">
        <v>4.8858897274340798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10.716474501609101</v>
      </c>
      <c r="X35">
        <v>0</v>
      </c>
      <c r="Y35">
        <v>0</v>
      </c>
      <c r="Z35">
        <v>0</v>
      </c>
      <c r="AA35">
        <v>0</v>
      </c>
      <c r="AB35">
        <v>4.8858897274340798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4.8858897274340798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0.106028343098449</v>
      </c>
      <c r="AZ35">
        <v>8.4605512097746596E-2</v>
      </c>
      <c r="BA35" s="19">
        <v>6.8186277441658998E-4</v>
      </c>
      <c r="BB35" s="19">
        <v>1.8453188378809999E-5</v>
      </c>
      <c r="BC35" s="19">
        <v>2.2164257760399998E-6</v>
      </c>
      <c r="BD35">
        <v>0.26845256577989202</v>
      </c>
      <c r="BE35">
        <v>0.25777181028522</v>
      </c>
      <c r="BF35" s="19">
        <v>2.2964336708235E-4</v>
      </c>
      <c r="BG35" s="19">
        <v>1.4056348555370001E-5</v>
      </c>
      <c r="BI35" t="s">
        <v>179</v>
      </c>
    </row>
    <row r="36" spans="1:61" x14ac:dyDescent="0.3">
      <c r="A36" t="s">
        <v>180</v>
      </c>
      <c r="B36" t="s">
        <v>181</v>
      </c>
      <c r="C36" t="s">
        <v>177</v>
      </c>
      <c r="D36" t="s">
        <v>178</v>
      </c>
      <c r="E36">
        <v>1000</v>
      </c>
      <c r="F36">
        <v>12.8661333966143</v>
      </c>
      <c r="G36">
        <v>12.834029810119</v>
      </c>
      <c r="H36" s="19">
        <v>9.1150614149895001E-4</v>
      </c>
      <c r="I36" s="19">
        <v>1.8453188378809999E-5</v>
      </c>
      <c r="J36" s="19">
        <v>1.6272774331420001E-5</v>
      </c>
      <c r="K36">
        <v>12.491652487735999</v>
      </c>
      <c r="L36">
        <v>12.491652487735999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5.91153348865938</v>
      </c>
      <c r="X36">
        <v>0</v>
      </c>
      <c r="Y36">
        <v>0</v>
      </c>
      <c r="Z36">
        <v>0</v>
      </c>
      <c r="AA36">
        <v>0</v>
      </c>
      <c r="AB36">
        <v>12.491652487735999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12.491652487735999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0.106028343098449</v>
      </c>
      <c r="AZ36">
        <v>8.4605512097746596E-2</v>
      </c>
      <c r="BA36" s="19">
        <v>6.8186277441658998E-4</v>
      </c>
      <c r="BB36" s="19">
        <v>1.8453188378809999E-5</v>
      </c>
      <c r="BC36" s="19">
        <v>2.2164257760399998E-6</v>
      </c>
      <c r="BD36">
        <v>0.26845256577989202</v>
      </c>
      <c r="BE36">
        <v>0.25777181028522</v>
      </c>
      <c r="BF36" s="19">
        <v>2.2964336708235E-4</v>
      </c>
      <c r="BG36" s="19">
        <v>1.4056348555370001E-5</v>
      </c>
      <c r="BI36" t="s">
        <v>179</v>
      </c>
    </row>
    <row r="37" spans="1:61" x14ac:dyDescent="0.3">
      <c r="A37" t="s">
        <v>182</v>
      </c>
      <c r="B37" t="s">
        <v>183</v>
      </c>
      <c r="C37" t="s">
        <v>177</v>
      </c>
      <c r="D37" t="s">
        <v>28</v>
      </c>
      <c r="E37">
        <v>1000</v>
      </c>
      <c r="F37">
        <v>15.465521516035301</v>
      </c>
      <c r="G37">
        <v>15.4370587423034</v>
      </c>
      <c r="H37" s="19">
        <v>7.5647880972959001E-4</v>
      </c>
      <c r="I37" s="19">
        <v>1.4206897765150001E-5</v>
      </c>
      <c r="J37" s="19">
        <v>2.0278824037509999E-5</v>
      </c>
      <c r="K37">
        <v>15.0645196628269</v>
      </c>
      <c r="L37">
        <v>15.0645196628269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15.663199131551799</v>
      </c>
      <c r="X37">
        <v>0</v>
      </c>
      <c r="Y37">
        <v>0</v>
      </c>
      <c r="Z37">
        <v>0</v>
      </c>
      <c r="AA37">
        <v>0</v>
      </c>
      <c r="AB37">
        <v>15.0645196628269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15.0645196628269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0.132549287428427</v>
      </c>
      <c r="AZ37">
        <v>0.114767269191258</v>
      </c>
      <c r="BA37" s="19">
        <v>5.2683544264723995E-4</v>
      </c>
      <c r="BB37" s="19">
        <v>1.4206897765150001E-5</v>
      </c>
      <c r="BC37" s="19">
        <v>6.22247548213E-6</v>
      </c>
      <c r="BD37">
        <v>0.26845256577989202</v>
      </c>
      <c r="BE37">
        <v>0.25777181028522</v>
      </c>
      <c r="BF37" s="19">
        <v>2.2964336708235E-4</v>
      </c>
      <c r="BG37" s="19">
        <v>1.4056348555370001E-5</v>
      </c>
      <c r="BI37" t="s">
        <v>184</v>
      </c>
    </row>
    <row r="38" spans="1:61" x14ac:dyDescent="0.3">
      <c r="A38" t="s">
        <v>185</v>
      </c>
      <c r="B38" t="s">
        <v>186</v>
      </c>
      <c r="C38" t="s">
        <v>177</v>
      </c>
      <c r="D38" t="s">
        <v>187</v>
      </c>
      <c r="E38">
        <v>1000</v>
      </c>
      <c r="F38">
        <v>10.713373881389501</v>
      </c>
      <c r="G38">
        <v>10.6849111076576</v>
      </c>
      <c r="H38" s="19">
        <v>7.5647880972959001E-4</v>
      </c>
      <c r="I38" s="19">
        <v>1.4206897765150001E-5</v>
      </c>
      <c r="J38" s="19">
        <v>2.0278824037509999E-5</v>
      </c>
      <c r="K38">
        <v>10.3123720281811</v>
      </c>
      <c r="L38">
        <v>10.3123720281811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0.61753085931381502</v>
      </c>
      <c r="X38">
        <v>0</v>
      </c>
      <c r="Y38">
        <v>0</v>
      </c>
      <c r="Z38">
        <v>0</v>
      </c>
      <c r="AA38">
        <v>0</v>
      </c>
      <c r="AB38">
        <v>10.3123720281811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10.3123720281811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0.132549287428427</v>
      </c>
      <c r="AZ38">
        <v>0.114767269191258</v>
      </c>
      <c r="BA38" s="19">
        <v>5.2683544264723995E-4</v>
      </c>
      <c r="BB38" s="19">
        <v>1.4206897765150001E-5</v>
      </c>
      <c r="BC38" s="19">
        <v>6.22247548213E-6</v>
      </c>
      <c r="BD38">
        <v>0.26845256577989202</v>
      </c>
      <c r="BE38">
        <v>0.25777181028522</v>
      </c>
      <c r="BF38" s="19">
        <v>2.2964336708235E-4</v>
      </c>
      <c r="BG38" s="19">
        <v>1.4056348555370001E-5</v>
      </c>
      <c r="BI38" t="s">
        <v>184</v>
      </c>
    </row>
    <row r="39" spans="1:61" x14ac:dyDescent="0.3">
      <c r="A39" t="s">
        <v>188</v>
      </c>
      <c r="B39" t="s">
        <v>189</v>
      </c>
      <c r="C39" t="s">
        <v>177</v>
      </c>
      <c r="D39" t="s">
        <v>190</v>
      </c>
      <c r="E39">
        <v>1000</v>
      </c>
      <c r="F39">
        <v>14.8079227367546</v>
      </c>
      <c r="G39">
        <v>14.7555091414053</v>
      </c>
      <c r="H39">
        <v>1.59857989257933E-3</v>
      </c>
      <c r="I39" s="19">
        <v>2.7304202168160002E-5</v>
      </c>
      <c r="J39" s="19">
        <v>1.479377689346E-5</v>
      </c>
      <c r="K39">
        <v>14.363135528045699</v>
      </c>
      <c r="L39">
        <v>14.363135528045699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13.613068724169</v>
      </c>
      <c r="X39">
        <v>0</v>
      </c>
      <c r="Y39">
        <v>0</v>
      </c>
      <c r="Z39">
        <v>0</v>
      </c>
      <c r="AA39">
        <v>0</v>
      </c>
      <c r="AB39">
        <v>14.363135528045699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14.363135528045699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0.17633464292901599</v>
      </c>
      <c r="AZ39">
        <v>0.134601803074367</v>
      </c>
      <c r="BA39">
        <v>1.36893652549697E-3</v>
      </c>
      <c r="BB39" s="19">
        <v>2.7304202168160002E-5</v>
      </c>
      <c r="BC39" s="19">
        <v>7.3742833809112202E-7</v>
      </c>
      <c r="BD39">
        <v>0.26845256577989202</v>
      </c>
      <c r="BE39">
        <v>0.25777181028522</v>
      </c>
      <c r="BF39" s="19">
        <v>2.2964336708235E-4</v>
      </c>
      <c r="BG39" s="19">
        <v>1.4056348555370001E-5</v>
      </c>
      <c r="BI39" t="s">
        <v>165</v>
      </c>
    </row>
    <row r="40" spans="1:61" x14ac:dyDescent="0.3">
      <c r="A40" t="s">
        <v>191</v>
      </c>
      <c r="B40" t="s">
        <v>192</v>
      </c>
      <c r="C40" t="s">
        <v>193</v>
      </c>
      <c r="D40" t="s">
        <v>194</v>
      </c>
      <c r="E40">
        <v>1000</v>
      </c>
      <c r="F40">
        <v>0.936226829120402</v>
      </c>
      <c r="G40">
        <v>0.249073866703278</v>
      </c>
      <c r="H40" s="19">
        <v>7.1973273883497004E-4</v>
      </c>
      <c r="I40">
        <v>2.1057291335348199E-2</v>
      </c>
      <c r="J40" s="19">
        <v>7.2818658042323999E-4</v>
      </c>
      <c r="K40">
        <v>0.81913416257646998</v>
      </c>
      <c r="L40">
        <v>0.14611722049126299</v>
      </c>
      <c r="M40" s="19">
        <v>3.4578575770214E-4</v>
      </c>
      <c r="N40">
        <v>2.1011480212032699E-2</v>
      </c>
      <c r="O40" s="19">
        <v>7.2175617762236001E-4</v>
      </c>
      <c r="P40">
        <v>0.31890129537237999</v>
      </c>
      <c r="Q40">
        <v>1.42362705723145E-2</v>
      </c>
      <c r="R40" s="19">
        <v>7.1951754272745003E-4</v>
      </c>
      <c r="S40">
        <v>2.5379294528607601E-3</v>
      </c>
      <c r="T40">
        <v>5.0403580793278703E-2</v>
      </c>
      <c r="U40" s="19">
        <v>1.0807304682737801E-12</v>
      </c>
      <c r="V40" s="19">
        <v>4.4995703027278001E-4</v>
      </c>
      <c r="W40">
        <v>7.6119990216522403E-3</v>
      </c>
      <c r="X40">
        <v>3.4496263317674001</v>
      </c>
      <c r="Y40">
        <v>4.3307416998542597E-2</v>
      </c>
      <c r="Z40">
        <v>2.5700729132676001E-2</v>
      </c>
      <c r="AA40">
        <v>9.1697787729862798E-2</v>
      </c>
      <c r="AB40">
        <v>0.101713047026954</v>
      </c>
      <c r="AC40">
        <v>5.8640772221238103E-3</v>
      </c>
      <c r="AD40">
        <v>0.44921422875620198</v>
      </c>
      <c r="AE40">
        <v>0.101636875710108</v>
      </c>
      <c r="AF40">
        <v>2.6101647986932701E-2</v>
      </c>
      <c r="AG40">
        <v>2.3019625401949999E-2</v>
      </c>
      <c r="AH40">
        <v>9.8301209817118401E-2</v>
      </c>
      <c r="AI40">
        <v>5.8640772221238103E-3</v>
      </c>
      <c r="AJ40" s="19">
        <v>4.8327884363E-5</v>
      </c>
      <c r="AK40" s="19">
        <v>8.1466036460299998E-5</v>
      </c>
      <c r="AL40">
        <v>1.7147989336696701E-2</v>
      </c>
      <c r="AM40">
        <v>0</v>
      </c>
      <c r="AN40">
        <v>1.66375640280075E-2</v>
      </c>
      <c r="AO40">
        <v>2.1869580920126199E-3</v>
      </c>
      <c r="AP40" s="19">
        <v>5.7749443434399997E-5</v>
      </c>
      <c r="AQ40" s="19">
        <v>9.2826316560028798E-7</v>
      </c>
      <c r="AR40" s="19">
        <v>3.3588933234380999E-4</v>
      </c>
      <c r="AS40">
        <v>1.7062635480419801E-2</v>
      </c>
      <c r="AT40" s="19">
        <v>1.5600368947166999E-4</v>
      </c>
      <c r="AU40">
        <v>1.1033314020377801E-2</v>
      </c>
      <c r="AV40">
        <v>1.0587129467897E-2</v>
      </c>
      <c r="AW40" s="19">
        <v>1.1409576027890001E-5</v>
      </c>
      <c r="AX40" s="19">
        <v>3.8893475036472598E-7</v>
      </c>
      <c r="AY40">
        <v>8.9356930463117906E-2</v>
      </c>
      <c r="AZ40">
        <v>7.6347166005903203E-2</v>
      </c>
      <c r="BA40" s="19">
        <v>3.4830651141009E-4</v>
      </c>
      <c r="BB40" s="19">
        <v>4.5811123315500002E-5</v>
      </c>
      <c r="BC40" s="19">
        <v>5.1037732149200004E-6</v>
      </c>
      <c r="BD40">
        <v>1.67024220604357E-2</v>
      </c>
      <c r="BE40">
        <v>1.6022350738214799E-2</v>
      </c>
      <c r="BF40" s="19">
        <v>1.4230893694830001E-5</v>
      </c>
      <c r="BG40" s="19">
        <v>9.3769483558559701E-7</v>
      </c>
      <c r="BH40" t="s">
        <v>195</v>
      </c>
      <c r="BI40" t="s">
        <v>159</v>
      </c>
    </row>
    <row r="41" spans="1:61" x14ac:dyDescent="0.3">
      <c r="A41" t="s">
        <v>196</v>
      </c>
      <c r="B41" t="s">
        <v>197</v>
      </c>
      <c r="C41" t="s">
        <v>193</v>
      </c>
      <c r="D41" t="s">
        <v>198</v>
      </c>
      <c r="E41">
        <v>1000</v>
      </c>
      <c r="F41">
        <v>3.2833507402711399</v>
      </c>
      <c r="G41">
        <v>0.704380168881661</v>
      </c>
      <c r="H41">
        <v>1.7307003208215199E-3</v>
      </c>
      <c r="I41">
        <v>8.0059910412803706E-2</v>
      </c>
      <c r="J41">
        <v>2.7575929257138798E-3</v>
      </c>
      <c r="K41">
        <v>3.11935577857437</v>
      </c>
      <c r="L41">
        <v>0.55643094490775602</v>
      </c>
      <c r="M41">
        <v>1.31679137645076E-3</v>
      </c>
      <c r="N41">
        <v>8.0014099289488202E-2</v>
      </c>
      <c r="O41">
        <v>2.7485293694827499E-3</v>
      </c>
      <c r="P41">
        <v>1.2144122952774801</v>
      </c>
      <c r="Q41">
        <v>5.4213332691947003E-2</v>
      </c>
      <c r="R41">
        <v>2.7400043939481001E-3</v>
      </c>
      <c r="S41">
        <v>9.6647231504720307E-3</v>
      </c>
      <c r="T41">
        <v>0.19194255128344301</v>
      </c>
      <c r="U41" s="19">
        <v>4.1155441749464304E-12</v>
      </c>
      <c r="V41">
        <v>1.7134873951256499E-3</v>
      </c>
      <c r="W41">
        <v>2.89873554534807E-2</v>
      </c>
      <c r="X41">
        <v>13.1365682491803</v>
      </c>
      <c r="Y41">
        <v>0.16491955486830601</v>
      </c>
      <c r="Z41">
        <v>9.7871290926781998E-2</v>
      </c>
      <c r="AA41">
        <v>0.34919557394351802</v>
      </c>
      <c r="AB41">
        <v>0.387334817048748</v>
      </c>
      <c r="AC41">
        <v>2.2331071031518102E-2</v>
      </c>
      <c r="AD41">
        <v>1.7106587227189101</v>
      </c>
      <c r="AE41">
        <v>0.387044748036588</v>
      </c>
      <c r="AF41">
        <v>9.9398035386848896E-2</v>
      </c>
      <c r="AG41">
        <v>8.7661343890643506E-2</v>
      </c>
      <c r="AH41">
        <v>0.37434215406106203</v>
      </c>
      <c r="AI41">
        <v>2.2331071031518102E-2</v>
      </c>
      <c r="AJ41" s="19">
        <v>1.8403806389889001E-4</v>
      </c>
      <c r="AK41" s="19">
        <v>3.1023190485755998E-4</v>
      </c>
      <c r="AL41">
        <v>6.5301487927337198E-2</v>
      </c>
      <c r="AM41">
        <v>0</v>
      </c>
      <c r="AN41">
        <v>6.3357730471070905E-2</v>
      </c>
      <c r="AO41">
        <v>8.3281844092086797E-3</v>
      </c>
      <c r="AP41" s="19">
        <v>2.1991642922075999E-4</v>
      </c>
      <c r="AQ41" s="19">
        <v>3.5349313970000001E-6</v>
      </c>
      <c r="AR41">
        <v>1.2791046664597701E-3</v>
      </c>
      <c r="AS41">
        <v>6.4976450763750193E-2</v>
      </c>
      <c r="AT41" s="19">
        <v>5.9407973988261E-4</v>
      </c>
      <c r="AU41">
        <v>1.1033314020377801E-2</v>
      </c>
      <c r="AV41">
        <v>1.0587129467897E-2</v>
      </c>
      <c r="AW41" s="19">
        <v>1.1409576027890001E-5</v>
      </c>
      <c r="AX41" s="19">
        <v>3.8893475036472598E-7</v>
      </c>
      <c r="AY41">
        <v>8.9356930463117906E-2</v>
      </c>
      <c r="AZ41">
        <v>7.6347166005903203E-2</v>
      </c>
      <c r="BA41" s="19">
        <v>3.4830651141009E-4</v>
      </c>
      <c r="BB41" s="19">
        <v>4.5811123315500002E-5</v>
      </c>
      <c r="BC41" s="19">
        <v>5.1037732149200004E-6</v>
      </c>
      <c r="BD41">
        <v>6.3604717213273904E-2</v>
      </c>
      <c r="BE41">
        <v>6.1014928500104003E-2</v>
      </c>
      <c r="BF41" s="19">
        <v>5.4192856932770002E-5</v>
      </c>
      <c r="BG41" s="19">
        <v>3.5708482658300002E-6</v>
      </c>
      <c r="BH41" t="s">
        <v>195</v>
      </c>
      <c r="BI41" t="s">
        <v>159</v>
      </c>
    </row>
    <row r="42" spans="1:61" x14ac:dyDescent="0.3">
      <c r="A42" t="s">
        <v>199</v>
      </c>
      <c r="B42" t="s">
        <v>200</v>
      </c>
      <c r="C42" t="s">
        <v>201</v>
      </c>
      <c r="D42" t="s">
        <v>202</v>
      </c>
      <c r="E42">
        <v>1000</v>
      </c>
      <c r="F42">
        <v>1.0133313580785299</v>
      </c>
      <c r="G42">
        <v>0.54065389557505505</v>
      </c>
      <c r="H42" s="19">
        <v>8.3036359036638998E-4</v>
      </c>
      <c r="I42">
        <v>1.2155517205202E-3</v>
      </c>
      <c r="J42">
        <v>1.52055945441947E-3</v>
      </c>
      <c r="K42">
        <v>0.95568067726600503</v>
      </c>
      <c r="L42">
        <v>0.48856133220595199</v>
      </c>
      <c r="M42" s="19">
        <v>6.8049446387480003E-4</v>
      </c>
      <c r="N42">
        <v>1.2092095480449199E-3</v>
      </c>
      <c r="O42">
        <v>1.51718663823945E-3</v>
      </c>
      <c r="P42">
        <v>4.8950085431158703</v>
      </c>
      <c r="Q42">
        <v>6.17675704662329E-2</v>
      </c>
      <c r="R42">
        <v>7.40326386531157E-3</v>
      </c>
      <c r="S42">
        <v>2.1804763881153801E-2</v>
      </c>
      <c r="T42">
        <v>0.87443225701723704</v>
      </c>
      <c r="U42" s="19">
        <v>5.2708358183996199E-12</v>
      </c>
      <c r="V42">
        <v>2.6712636026485401E-3</v>
      </c>
      <c r="W42">
        <v>8.0582627974302401</v>
      </c>
      <c r="X42">
        <v>0.57085692165454605</v>
      </c>
      <c r="Y42">
        <v>0.23933568555375601</v>
      </c>
      <c r="Z42">
        <v>7.1676126692059E-2</v>
      </c>
      <c r="AA42">
        <v>0.325879572657365</v>
      </c>
      <c r="AB42">
        <v>0.26582991457782901</v>
      </c>
      <c r="AC42">
        <v>1.9730659907313399E-2</v>
      </c>
      <c r="AD42">
        <v>0</v>
      </c>
      <c r="AE42">
        <v>3.32287178776818E-2</v>
      </c>
      <c r="AF42">
        <v>0.14694011359385201</v>
      </c>
      <c r="AG42">
        <v>6.4014345336418907E-2</v>
      </c>
      <c r="AH42">
        <v>0.25910259254529</v>
      </c>
      <c r="AI42">
        <v>1.9730659907313399E-2</v>
      </c>
      <c r="AJ42" s="19">
        <v>2.6508686154672002E-4</v>
      </c>
      <c r="AK42" s="19">
        <v>2.3500657841442999E-4</v>
      </c>
      <c r="AL42">
        <v>2.2404966809821101E-2</v>
      </c>
      <c r="AM42">
        <v>0</v>
      </c>
      <c r="AN42">
        <v>0</v>
      </c>
      <c r="AO42">
        <v>1.2092095480449199E-3</v>
      </c>
      <c r="AP42" s="19">
        <v>3.0950909701761998E-4</v>
      </c>
      <c r="AQ42" s="19">
        <v>2.4124004354900001E-6</v>
      </c>
      <c r="AR42">
        <v>1.193698068342E-3</v>
      </c>
      <c r="AS42">
        <v>2.22587016846254E-2</v>
      </c>
      <c r="AT42" s="19">
        <v>2.12476219951E-6</v>
      </c>
      <c r="AU42">
        <v>0</v>
      </c>
      <c r="AV42">
        <v>0</v>
      </c>
      <c r="AW42">
        <v>0</v>
      </c>
      <c r="AX42">
        <v>0</v>
      </c>
      <c r="AY42">
        <v>4.4823493583701302E-2</v>
      </c>
      <c r="AZ42">
        <v>3.9790356012319603E-2</v>
      </c>
      <c r="BA42" s="19">
        <v>1.3894839250013001E-4</v>
      </c>
      <c r="BB42" s="19">
        <v>6.3421724752699996E-6</v>
      </c>
      <c r="BC42" s="19">
        <v>2.6418931063900001E-6</v>
      </c>
      <c r="BD42">
        <v>1.28271872288294E-2</v>
      </c>
      <c r="BE42">
        <v>1.23022073567839E-2</v>
      </c>
      <c r="BF42" s="19">
        <v>1.092073399146E-5</v>
      </c>
      <c r="BG42" s="19">
        <v>7.3092307362619495E-7</v>
      </c>
      <c r="BI42" t="s">
        <v>203</v>
      </c>
    </row>
    <row r="43" spans="1:61" x14ac:dyDescent="0.3">
      <c r="A43" t="s">
        <v>204</v>
      </c>
      <c r="B43" t="s">
        <v>93</v>
      </c>
      <c r="C43" t="s">
        <v>205</v>
      </c>
      <c r="D43" t="s">
        <v>206</v>
      </c>
      <c r="E43">
        <v>1000</v>
      </c>
      <c r="F43">
        <v>6.6835883381441503</v>
      </c>
      <c r="G43">
        <v>1.6048178670222499</v>
      </c>
      <c r="H43">
        <v>3.24203906570704E-3</v>
      </c>
      <c r="I43">
        <v>0.157768137240239</v>
      </c>
      <c r="J43">
        <v>5.4407879628758198E-3</v>
      </c>
      <c r="K43">
        <v>6.1486686363072502</v>
      </c>
      <c r="L43">
        <v>1.0968000260581801</v>
      </c>
      <c r="M43">
        <v>2.5955724231760901E-3</v>
      </c>
      <c r="N43">
        <v>0.15771852192778599</v>
      </c>
      <c r="O43">
        <v>5.4177200453330698E-3</v>
      </c>
      <c r="P43">
        <v>2.3937695221579198</v>
      </c>
      <c r="Q43">
        <v>0.106861750327501</v>
      </c>
      <c r="R43">
        <v>5.40091617510601E-3</v>
      </c>
      <c r="S43">
        <v>1.9050465651295E-2</v>
      </c>
      <c r="T43">
        <v>0.37834451368310401</v>
      </c>
      <c r="U43" s="19">
        <v>8.1122895835226593E-12</v>
      </c>
      <c r="V43">
        <v>3.3775134845092699E-3</v>
      </c>
      <c r="W43">
        <v>5.7137965649998401E-2</v>
      </c>
      <c r="X43">
        <v>25.893938016701501</v>
      </c>
      <c r="Y43">
        <v>0.32507856317561301</v>
      </c>
      <c r="Z43">
        <v>0.19291744181596099</v>
      </c>
      <c r="AA43">
        <v>0.68831131357036002</v>
      </c>
      <c r="AB43">
        <v>0.76348887731744797</v>
      </c>
      <c r="AC43">
        <v>4.4017536252115901E-2</v>
      </c>
      <c r="AD43">
        <v>3.3719377917879898</v>
      </c>
      <c r="AE43">
        <v>0.76291711238775295</v>
      </c>
      <c r="AF43">
        <v>0.19592685992778699</v>
      </c>
      <c r="AG43">
        <v>0.172792266755567</v>
      </c>
      <c r="AH43">
        <v>0.73787859587305205</v>
      </c>
      <c r="AI43">
        <v>4.4017536252115901E-2</v>
      </c>
      <c r="AJ43" s="19">
        <v>3.6276370882548002E-4</v>
      </c>
      <c r="AK43" s="19">
        <v>6.1150869563564997E-4</v>
      </c>
      <c r="AL43">
        <v>0.12871799154199601</v>
      </c>
      <c r="AM43">
        <v>0</v>
      </c>
      <c r="AN43">
        <v>0.124886584881036</v>
      </c>
      <c r="AO43">
        <v>1.6415968523374801E-2</v>
      </c>
      <c r="AP43" s="19">
        <v>4.3348477921182E-4</v>
      </c>
      <c r="AQ43" s="19">
        <v>6.9678239210599999E-6</v>
      </c>
      <c r="AR43">
        <v>2.5212868628950902E-3</v>
      </c>
      <c r="AS43">
        <v>0.12807729969558701</v>
      </c>
      <c r="AT43">
        <v>1.17101085075689E-3</v>
      </c>
      <c r="AU43">
        <v>0.331075027102608</v>
      </c>
      <c r="AV43">
        <v>0.32262272992010099</v>
      </c>
      <c r="AW43" s="19">
        <v>1.7801225442973001E-4</v>
      </c>
      <c r="AX43" s="19">
        <v>1.1529421247250001E-5</v>
      </c>
      <c r="AY43">
        <v>9.6777195229454799E-2</v>
      </c>
      <c r="AZ43">
        <v>8.2687090430199603E-2</v>
      </c>
      <c r="BA43" s="19">
        <v>3.7723013849875E-4</v>
      </c>
      <c r="BB43" s="19">
        <v>4.961531245318E-5</v>
      </c>
      <c r="BC43" s="19">
        <v>5.5275942701700004E-6</v>
      </c>
      <c r="BD43">
        <v>0.107067479504836</v>
      </c>
      <c r="BE43">
        <v>0.102708020613769</v>
      </c>
      <c r="BF43" s="19">
        <v>9.1224249602470006E-5</v>
      </c>
      <c r="BG43" s="19">
        <v>6.0109020253200001E-6</v>
      </c>
      <c r="BH43" t="s">
        <v>207</v>
      </c>
      <c r="BI43" t="s">
        <v>159</v>
      </c>
    </row>
    <row r="44" spans="1:61" x14ac:dyDescent="0.3">
      <c r="A44" t="s">
        <v>208</v>
      </c>
      <c r="B44" t="s">
        <v>209</v>
      </c>
      <c r="C44" t="s">
        <v>177</v>
      </c>
      <c r="D44" t="s">
        <v>178</v>
      </c>
      <c r="E44">
        <v>1000</v>
      </c>
      <c r="F44">
        <v>6.8013085759136196</v>
      </c>
      <c r="G44">
        <v>4.1060372070075299</v>
      </c>
      <c r="H44">
        <v>1.5624228480953101E-3</v>
      </c>
      <c r="I44" s="19">
        <v>1.8453188378809999E-5</v>
      </c>
      <c r="J44">
        <v>9.7004136701341597E-3</v>
      </c>
      <c r="K44">
        <v>6.4268276670352797</v>
      </c>
      <c r="L44">
        <v>3.7636598846245599</v>
      </c>
      <c r="M44" s="19">
        <v>6.5091670659635995E-4</v>
      </c>
      <c r="N44">
        <v>0</v>
      </c>
      <c r="O44">
        <v>9.6841408958027401E-3</v>
      </c>
      <c r="P44">
        <v>5.3688853608748301</v>
      </c>
      <c r="Q44">
        <v>6.9999122740278405E-2</v>
      </c>
      <c r="R44">
        <v>1.0547821309108999E-2</v>
      </c>
      <c r="S44">
        <v>4.5471930797232801E-2</v>
      </c>
      <c r="T44" s="19">
        <v>5.9360692116173001E-4</v>
      </c>
      <c r="U44" s="19">
        <v>5.5371606048823101E-12</v>
      </c>
      <c r="V44">
        <v>2.1385836678236101E-3</v>
      </c>
      <c r="W44">
        <v>16.125521067614901</v>
      </c>
      <c r="X44">
        <v>0</v>
      </c>
      <c r="Y44">
        <v>3.6129574596249001</v>
      </c>
      <c r="Z44">
        <v>8.6281674421219007E-2</v>
      </c>
      <c r="AA44">
        <v>1.89431679589359</v>
      </c>
      <c r="AB44">
        <v>0.61367361589456304</v>
      </c>
      <c r="AC44">
        <v>0.219598121200998</v>
      </c>
      <c r="AD44">
        <v>0</v>
      </c>
      <c r="AE44">
        <v>0</v>
      </c>
      <c r="AF44">
        <v>2.8441064731077699</v>
      </c>
      <c r="AG44">
        <v>8.6281674421219007E-2</v>
      </c>
      <c r="AH44">
        <v>0.61367361589456304</v>
      </c>
      <c r="AI44">
        <v>0.219598121200998</v>
      </c>
      <c r="AJ44" s="19">
        <v>6.5091670659635995E-4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2.74525153355513E-3</v>
      </c>
      <c r="AQ44">
        <v>0</v>
      </c>
      <c r="AR44">
        <v>6.9388893622476001E-3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0.106028343098449</v>
      </c>
      <c r="AZ44">
        <v>8.4605512097746596E-2</v>
      </c>
      <c r="BA44" s="19">
        <v>6.8186277441658998E-4</v>
      </c>
      <c r="BB44" s="19">
        <v>1.8453188378809999E-5</v>
      </c>
      <c r="BC44" s="19">
        <v>2.2164257760399998E-6</v>
      </c>
      <c r="BD44">
        <v>0.26845256577989202</v>
      </c>
      <c r="BE44">
        <v>0.25777181028522</v>
      </c>
      <c r="BF44" s="19">
        <v>2.2964336708235E-4</v>
      </c>
      <c r="BG44" s="19">
        <v>1.4056348555370001E-5</v>
      </c>
      <c r="BI44" t="s">
        <v>179</v>
      </c>
    </row>
    <row r="45" spans="1:61" x14ac:dyDescent="0.3">
      <c r="A45" t="s">
        <v>210</v>
      </c>
      <c r="B45" t="s">
        <v>211</v>
      </c>
      <c r="C45" t="s">
        <v>177</v>
      </c>
      <c r="D45" t="s">
        <v>178</v>
      </c>
      <c r="E45">
        <v>1000</v>
      </c>
      <c r="F45">
        <v>6.8316131397574296</v>
      </c>
      <c r="G45">
        <v>6.7995095532620597</v>
      </c>
      <c r="H45" s="19">
        <v>9.1150614149895001E-4</v>
      </c>
      <c r="I45" s="19">
        <v>1.8453188378809999E-5</v>
      </c>
      <c r="J45" s="19">
        <v>1.6272774331420001E-5</v>
      </c>
      <c r="K45">
        <v>6.4571322308790897</v>
      </c>
      <c r="L45">
        <v>6.4571322308790897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3.6034967327189902</v>
      </c>
      <c r="X45">
        <v>0</v>
      </c>
      <c r="Y45">
        <v>0</v>
      </c>
      <c r="Z45">
        <v>0</v>
      </c>
      <c r="AA45">
        <v>0</v>
      </c>
      <c r="AB45">
        <v>6.4571322308790897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6.4571322308790897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0.106028343098449</v>
      </c>
      <c r="AZ45">
        <v>8.4605512097746596E-2</v>
      </c>
      <c r="BA45" s="19">
        <v>6.8186277441658998E-4</v>
      </c>
      <c r="BB45" s="19">
        <v>1.8453188378809999E-5</v>
      </c>
      <c r="BC45" s="19">
        <v>2.2164257760399998E-6</v>
      </c>
      <c r="BD45">
        <v>0.26845256577989202</v>
      </c>
      <c r="BE45">
        <v>0.25777181028522</v>
      </c>
      <c r="BF45" s="19">
        <v>2.2964336708235E-4</v>
      </c>
      <c r="BG45" s="19">
        <v>1.4056348555370001E-5</v>
      </c>
      <c r="BI45" t="s">
        <v>179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BK45"/>
  <sheetViews>
    <sheetView workbookViewId="0">
      <selection activeCell="C4" sqref="C4:C25"/>
    </sheetView>
  </sheetViews>
  <sheetFormatPr defaultRowHeight="14.4" x14ac:dyDescent="0.3"/>
  <cols>
    <col min="1" max="1" width="20.109375" customWidth="1"/>
    <col min="2" max="2" width="13.6640625" customWidth="1"/>
    <col min="3" max="3" width="13.88671875" customWidth="1"/>
    <col min="4" max="4" width="15.33203125" customWidth="1"/>
  </cols>
  <sheetData>
    <row r="2" spans="1:63" ht="21" x14ac:dyDescent="0.4">
      <c r="A2" s="6" t="s">
        <v>212</v>
      </c>
    </row>
    <row r="4" spans="1:63" x14ac:dyDescent="0.3">
      <c r="A4" s="20" t="s">
        <v>96</v>
      </c>
      <c r="B4" s="20" t="s">
        <v>97</v>
      </c>
      <c r="C4" s="20" t="s">
        <v>98</v>
      </c>
      <c r="D4" s="20" t="s">
        <v>99</v>
      </c>
      <c r="E4" s="20" t="s">
        <v>100</v>
      </c>
      <c r="F4" s="20" t="s">
        <v>101</v>
      </c>
      <c r="G4" s="20" t="s">
        <v>102</v>
      </c>
      <c r="H4" s="20" t="s">
        <v>103</v>
      </c>
      <c r="I4" s="20" t="s">
        <v>104</v>
      </c>
      <c r="J4" s="20" t="s">
        <v>105</v>
      </c>
      <c r="K4" s="20" t="s">
        <v>106</v>
      </c>
      <c r="L4" s="20" t="s">
        <v>107</v>
      </c>
      <c r="M4" s="20" t="s">
        <v>108</v>
      </c>
      <c r="N4" s="20" t="s">
        <v>109</v>
      </c>
      <c r="O4" s="20" t="s">
        <v>110</v>
      </c>
      <c r="P4" s="20" t="s">
        <v>111</v>
      </c>
      <c r="Q4" s="20" t="s">
        <v>112</v>
      </c>
      <c r="R4" s="20" t="s">
        <v>113</v>
      </c>
      <c r="S4" s="20" t="s">
        <v>114</v>
      </c>
      <c r="T4" s="20" t="s">
        <v>115</v>
      </c>
      <c r="U4" s="20" t="s">
        <v>116</v>
      </c>
      <c r="V4" s="20" t="s">
        <v>117</v>
      </c>
      <c r="W4" s="20" t="s">
        <v>118</v>
      </c>
      <c r="X4" s="22" t="s">
        <v>119</v>
      </c>
      <c r="Y4" s="22" t="s">
        <v>120</v>
      </c>
      <c r="Z4" s="20" t="s">
        <v>121</v>
      </c>
      <c r="AA4" s="20" t="s">
        <v>122</v>
      </c>
      <c r="AB4" s="20" t="s">
        <v>123</v>
      </c>
      <c r="AC4" s="20" t="s">
        <v>124</v>
      </c>
      <c r="AD4" s="20" t="s">
        <v>125</v>
      </c>
      <c r="AE4" s="20" t="s">
        <v>126</v>
      </c>
      <c r="AF4" s="20" t="s">
        <v>127</v>
      </c>
      <c r="AG4" s="20" t="s">
        <v>128</v>
      </c>
      <c r="AH4" s="20" t="s">
        <v>129</v>
      </c>
      <c r="AI4" s="20" t="s">
        <v>130</v>
      </c>
      <c r="AJ4" s="20" t="s">
        <v>131</v>
      </c>
      <c r="AK4" s="20" t="s">
        <v>132</v>
      </c>
      <c r="AL4" s="20" t="s">
        <v>133</v>
      </c>
      <c r="AM4" s="20" t="s">
        <v>134</v>
      </c>
      <c r="AN4" s="20" t="s">
        <v>135</v>
      </c>
      <c r="AO4" s="20" t="s">
        <v>136</v>
      </c>
      <c r="AP4" s="20" t="s">
        <v>137</v>
      </c>
      <c r="AQ4" s="20" t="s">
        <v>138</v>
      </c>
      <c r="AR4" s="20" t="s">
        <v>139</v>
      </c>
      <c r="AS4" s="20" t="s">
        <v>140</v>
      </c>
      <c r="AT4" s="20" t="s">
        <v>141</v>
      </c>
      <c r="AU4" s="20" t="s">
        <v>142</v>
      </c>
      <c r="AV4" s="20" t="s">
        <v>143</v>
      </c>
      <c r="AW4" s="20" t="s">
        <v>144</v>
      </c>
      <c r="AX4" s="20" t="s">
        <v>145</v>
      </c>
      <c r="AY4" s="20" t="s">
        <v>146</v>
      </c>
      <c r="AZ4" s="20" t="s">
        <v>147</v>
      </c>
      <c r="BA4" s="20" t="s">
        <v>148</v>
      </c>
      <c r="BB4" s="20" t="s">
        <v>149</v>
      </c>
      <c r="BC4" s="20" t="s">
        <v>150</v>
      </c>
      <c r="BD4" s="20" t="s">
        <v>151</v>
      </c>
      <c r="BE4" s="20" t="s">
        <v>152</v>
      </c>
      <c r="BF4" s="20" t="s">
        <v>153</v>
      </c>
      <c r="BG4" s="20" t="s">
        <v>154</v>
      </c>
      <c r="BH4" s="20" t="s">
        <v>155</v>
      </c>
      <c r="BI4" s="20" t="s">
        <v>156</v>
      </c>
      <c r="BJ4" s="20" t="s">
        <v>157</v>
      </c>
      <c r="BK4" s="20" t="s">
        <v>158</v>
      </c>
    </row>
    <row r="5" spans="1:63" x14ac:dyDescent="0.3">
      <c r="A5" s="2" t="s">
        <v>23</v>
      </c>
    </row>
    <row r="6" spans="1:63" x14ac:dyDescent="0.3">
      <c r="A6" s="2" t="s">
        <v>24</v>
      </c>
      <c r="B6" t="str">
        <f t="shared" ref="B6:AG6" si="0">A30</f>
        <v>A.06.01.001</v>
      </c>
      <c r="C6" t="str">
        <f t="shared" si="0"/>
        <v>Beef meat (Bos spp.)</v>
      </c>
      <c r="D6" t="str">
        <f t="shared" si="0"/>
        <v>Meat and meat products (including edible offal)</v>
      </c>
      <c r="E6" t="str">
        <f t="shared" si="0"/>
        <v>Livestock meat</v>
      </c>
      <c r="F6">
        <f t="shared" si="0"/>
        <v>1000</v>
      </c>
      <c r="G6">
        <f t="shared" si="0"/>
        <v>31.5231408446388</v>
      </c>
      <c r="H6">
        <f t="shared" si="0"/>
        <v>4.9683327309391503</v>
      </c>
      <c r="I6">
        <f t="shared" si="0"/>
        <v>2.3676828001655902E-2</v>
      </c>
      <c r="J6">
        <f t="shared" si="0"/>
        <v>0.85481602966288195</v>
      </c>
      <c r="K6">
        <f t="shared" si="0"/>
        <v>0.23709131302528599</v>
      </c>
      <c r="L6">
        <f t="shared" si="0"/>
        <v>31.290956703783401</v>
      </c>
      <c r="M6">
        <f t="shared" si="0"/>
        <v>4.7783735938832503</v>
      </c>
      <c r="N6">
        <f t="shared" si="0"/>
        <v>2.2323661950347299E-2</v>
      </c>
      <c r="O6">
        <f t="shared" si="0"/>
        <v>0.85479014755457705</v>
      </c>
      <c r="P6">
        <f t="shared" si="0"/>
        <v>0.23708691068628801</v>
      </c>
      <c r="Q6">
        <f t="shared" si="0"/>
        <v>24.417770111785401</v>
      </c>
      <c r="R6">
        <f t="shared" si="0"/>
        <v>0.51150263256319095</v>
      </c>
      <c r="S6">
        <f t="shared" si="0"/>
        <v>3.0569278464499201E-2</v>
      </c>
      <c r="T6">
        <f t="shared" si="0"/>
        <v>0.80519095736174295</v>
      </c>
      <c r="U6">
        <f t="shared" si="0"/>
        <v>1.7619783446994799</v>
      </c>
      <c r="V6">
        <f t="shared" si="0"/>
        <v>3.8695542645437099E-10</v>
      </c>
      <c r="W6">
        <f t="shared" si="0"/>
        <v>0.24912359863181399</v>
      </c>
      <c r="X6">
        <f t="shared" si="0"/>
        <v>0.34812926618633599</v>
      </c>
      <c r="Y6">
        <f t="shared" si="0"/>
        <v>89.807431557135899</v>
      </c>
      <c r="Z6">
        <f t="shared" si="0"/>
        <v>1.3962631190172701</v>
      </c>
      <c r="AA6">
        <f t="shared" si="0"/>
        <v>0.76048237591516299</v>
      </c>
      <c r="AB6">
        <f t="shared" si="0"/>
        <v>2.7648171492701001</v>
      </c>
      <c r="AC6">
        <f t="shared" si="0"/>
        <v>3.4742689618916902</v>
      </c>
      <c r="AD6">
        <f t="shared" si="0"/>
        <v>0.48819908298249198</v>
      </c>
      <c r="AE6">
        <f t="shared" si="0"/>
        <v>16.7684716718766</v>
      </c>
      <c r="AF6">
        <f t="shared" si="0"/>
        <v>5.63845434283001</v>
      </c>
      <c r="AG6">
        <f t="shared" si="0"/>
        <v>0.83626416839329798</v>
      </c>
      <c r="AH6">
        <f t="shared" ref="AH6:BI6" si="1">AG30</f>
        <v>0.67822931048187196</v>
      </c>
      <c r="AI6">
        <f t="shared" si="1"/>
        <v>3.35230471915516</v>
      </c>
      <c r="AJ6">
        <f t="shared" si="1"/>
        <v>0.48813079274171001</v>
      </c>
      <c r="AK6">
        <f t="shared" si="1"/>
        <v>1.51279434739867E-3</v>
      </c>
      <c r="AL6">
        <f t="shared" si="1"/>
        <v>2.40028126554203E-3</v>
      </c>
      <c r="AM6">
        <f t="shared" si="1"/>
        <v>1.4988300366178799</v>
      </c>
      <c r="AN6">
        <f t="shared" si="1"/>
        <v>0</v>
      </c>
      <c r="AO6">
        <f t="shared" si="1"/>
        <v>0.62105450636580095</v>
      </c>
      <c r="AP6">
        <f t="shared" si="1"/>
        <v>0.119491326437554</v>
      </c>
      <c r="AQ6">
        <f t="shared" si="1"/>
        <v>1.88614534458421E-3</v>
      </c>
      <c r="AR6">
        <f t="shared" si="1"/>
        <v>3.928455575142E-5</v>
      </c>
      <c r="AS6">
        <f t="shared" si="1"/>
        <v>1.0127535345311699E-2</v>
      </c>
      <c r="AT6">
        <f t="shared" si="1"/>
        <v>1.4954300726752701</v>
      </c>
      <c r="AU6">
        <f t="shared" si="1"/>
        <v>8.8358554176411301E-3</v>
      </c>
      <c r="AV6">
        <f t="shared" si="1"/>
        <v>0</v>
      </c>
      <c r="AW6">
        <f t="shared" si="1"/>
        <v>0</v>
      </c>
      <c r="AX6">
        <f t="shared" si="1"/>
        <v>0</v>
      </c>
      <c r="AY6">
        <f t="shared" si="1"/>
        <v>0</v>
      </c>
      <c r="AZ6">
        <f t="shared" si="1"/>
        <v>0.16715054694313</v>
      </c>
      <c r="BA6">
        <f t="shared" si="1"/>
        <v>0.127591292497577</v>
      </c>
      <c r="BB6">
        <f t="shared" si="1"/>
        <v>1.2976377481273399E-3</v>
      </c>
      <c r="BC6">
        <f t="shared" si="1"/>
        <v>2.5882108305240001E-5</v>
      </c>
      <c r="BD6">
        <f t="shared" si="1"/>
        <v>6.9902061214887601E-7</v>
      </c>
      <c r="BE6">
        <f t="shared" si="1"/>
        <v>6.5033593912311394E-2</v>
      </c>
      <c r="BF6">
        <f t="shared" si="1"/>
        <v>6.2367844558321603E-2</v>
      </c>
      <c r="BG6">
        <f t="shared" si="1"/>
        <v>5.5528303181320003E-5</v>
      </c>
      <c r="BH6">
        <f t="shared" si="1"/>
        <v>3.7033183852899998E-6</v>
      </c>
      <c r="BI6">
        <f t="shared" si="1"/>
        <v>0</v>
      </c>
    </row>
    <row r="7" spans="1:63" x14ac:dyDescent="0.3">
      <c r="A7" s="2" t="s">
        <v>25</v>
      </c>
      <c r="B7" t="str">
        <f t="shared" ref="B7:AG7" si="2">A43</f>
        <v>A.11.01.001</v>
      </c>
      <c r="C7" t="str">
        <f t="shared" si="2"/>
        <v>Butter</v>
      </c>
      <c r="D7" t="str">
        <f t="shared" si="2"/>
        <v>Animal and vegetable fats and oils</v>
      </c>
      <c r="E7" t="str">
        <f t="shared" si="2"/>
        <v>Animal fat</v>
      </c>
      <c r="F7">
        <f t="shared" si="2"/>
        <v>1000</v>
      </c>
      <c r="G7">
        <f t="shared" si="2"/>
        <v>8.1279223801838203</v>
      </c>
      <c r="H7">
        <f t="shared" si="2"/>
        <v>2.1455452814192202</v>
      </c>
      <c r="I7">
        <f t="shared" si="2"/>
        <v>7.7086655561718698E-3</v>
      </c>
      <c r="J7">
        <f t="shared" si="2"/>
        <v>0.19411886984621801</v>
      </c>
      <c r="K7">
        <f t="shared" si="2"/>
        <v>6.9200463739988198E-3</v>
      </c>
      <c r="L7">
        <f t="shared" si="2"/>
        <v>7.39514993334625</v>
      </c>
      <c r="M7">
        <f t="shared" si="2"/>
        <v>1.45526972958131</v>
      </c>
      <c r="N7">
        <f t="shared" si="2"/>
        <v>6.65067721194395E-3</v>
      </c>
      <c r="O7">
        <f t="shared" si="2"/>
        <v>0.194069254533765</v>
      </c>
      <c r="P7">
        <f t="shared" si="2"/>
        <v>6.8847744732463299E-3</v>
      </c>
      <c r="Q7">
        <f t="shared" si="2"/>
        <v>6.3805019638712501</v>
      </c>
      <c r="R7">
        <f t="shared" si="2"/>
        <v>0.109578371390469</v>
      </c>
      <c r="S7">
        <f t="shared" si="2"/>
        <v>7.7312524791568497E-3</v>
      </c>
      <c r="T7">
        <f t="shared" si="2"/>
        <v>5.9949012398240999E-2</v>
      </c>
      <c r="U7">
        <f t="shared" si="2"/>
        <v>0.49360575320667899</v>
      </c>
      <c r="V7">
        <f t="shared" si="2"/>
        <v>6.8108158934917599E-11</v>
      </c>
      <c r="W7">
        <f t="shared" si="2"/>
        <v>3.3519439328587499E-3</v>
      </c>
      <c r="X7">
        <f t="shared" si="2"/>
        <v>7.0723866465258994E-2</v>
      </c>
      <c r="Y7">
        <f t="shared" si="2"/>
        <v>59.170259397012899</v>
      </c>
      <c r="Z7">
        <f t="shared" si="2"/>
        <v>0.276006715000229</v>
      </c>
      <c r="AA7">
        <f t="shared" si="2"/>
        <v>0.168610945166878</v>
      </c>
      <c r="AB7">
        <f t="shared" si="2"/>
        <v>0.56514615567616999</v>
      </c>
      <c r="AC7">
        <f t="shared" si="2"/>
        <v>1.2269209643579599</v>
      </c>
      <c r="AD7">
        <f t="shared" si="2"/>
        <v>0.19893553932279401</v>
      </c>
      <c r="AE7">
        <f t="shared" si="2"/>
        <v>3.5818063330632999</v>
      </c>
      <c r="AF7">
        <f t="shared" si="2"/>
        <v>1.3777232807589099</v>
      </c>
      <c r="AG7">
        <f t="shared" si="2"/>
        <v>0.16651553096008501</v>
      </c>
      <c r="AH7">
        <f t="shared" ref="AH7:BI7" si="3">AG43</f>
        <v>0.15104270277468901</v>
      </c>
      <c r="AI7">
        <f t="shared" si="3"/>
        <v>1.1698263189832101</v>
      </c>
      <c r="AJ7">
        <f t="shared" si="3"/>
        <v>0.19893553932279401</v>
      </c>
      <c r="AK7">
        <f t="shared" si="3"/>
        <v>3.0982660322935001E-4</v>
      </c>
      <c r="AL7">
        <f t="shared" si="3"/>
        <v>5.3356331517111005E-4</v>
      </c>
      <c r="AM7">
        <f t="shared" si="3"/>
        <v>0.544384556117955</v>
      </c>
      <c r="AN7">
        <f t="shared" si="3"/>
        <v>0</v>
      </c>
      <c r="AO7">
        <f t="shared" si="3"/>
        <v>0.132659493817159</v>
      </c>
      <c r="AP7">
        <f t="shared" si="3"/>
        <v>3.0704880358302999E-2</v>
      </c>
      <c r="AQ7">
        <f t="shared" si="3"/>
        <v>3.6724670792640001E-4</v>
      </c>
      <c r="AR7">
        <f t="shared" si="3"/>
        <v>6.1100937732200002E-6</v>
      </c>
      <c r="AS7">
        <f t="shared" si="3"/>
        <v>2.0701324383742498E-3</v>
      </c>
      <c r="AT7">
        <f t="shared" si="3"/>
        <v>0.54271810148358401</v>
      </c>
      <c r="AU7">
        <f t="shared" si="3"/>
        <v>2.00985901496237E-3</v>
      </c>
      <c r="AV7">
        <f t="shared" si="3"/>
        <v>0.33574934130970502</v>
      </c>
      <c r="AW7">
        <f t="shared" si="3"/>
        <v>0.31980427088413699</v>
      </c>
      <c r="AX7">
        <f t="shared" si="3"/>
        <v>4.2563401707075999E-4</v>
      </c>
      <c r="AY7">
        <f t="shared" si="3"/>
        <v>1.1945702259549999E-5</v>
      </c>
      <c r="AZ7">
        <f t="shared" si="3"/>
        <v>9.6777195229454799E-2</v>
      </c>
      <c r="BA7">
        <f t="shared" si="3"/>
        <v>8.2687090430199603E-2</v>
      </c>
      <c r="BB7">
        <f t="shared" si="3"/>
        <v>3.7723013849875E-4</v>
      </c>
      <c r="BC7">
        <f t="shared" si="3"/>
        <v>4.961531245318E-5</v>
      </c>
      <c r="BD7">
        <f t="shared" si="3"/>
        <v>5.5275942701700004E-6</v>
      </c>
      <c r="BE7">
        <f t="shared" si="3"/>
        <v>0.30024591029840803</v>
      </c>
      <c r="BF7">
        <f t="shared" si="3"/>
        <v>0.28778419052357301</v>
      </c>
      <c r="BG7">
        <f t="shared" si="3"/>
        <v>2.5512418865840001E-4</v>
      </c>
      <c r="BH7">
        <f t="shared" si="3"/>
        <v>1.7798604222759999E-5</v>
      </c>
      <c r="BI7" t="str">
        <f t="shared" si="3"/>
        <v>F28.A07MH$F28.A0EKQ</v>
      </c>
      <c r="BJ7" t="s">
        <v>159</v>
      </c>
    </row>
    <row r="8" spans="1:63" x14ac:dyDescent="0.3">
      <c r="A8" s="2" t="s">
        <v>26</v>
      </c>
      <c r="B8" t="str">
        <f t="shared" ref="B8:AG8" si="4">A38</f>
        <v>A.07.05.002</v>
      </c>
      <c r="C8" t="str">
        <f t="shared" si="4"/>
        <v>Octopus (Octopus vulgaris)</v>
      </c>
      <c r="D8" t="str">
        <f t="shared" si="4"/>
        <v>Fish and other seafood (including amphibians, reptiles, snails and insects)</v>
      </c>
      <c r="E8" t="str">
        <f t="shared" si="4"/>
        <v>Water molluscs</v>
      </c>
      <c r="F8">
        <f t="shared" si="4"/>
        <v>1000</v>
      </c>
      <c r="G8">
        <f t="shared" si="4"/>
        <v>10.713373881389501</v>
      </c>
      <c r="H8">
        <f t="shared" si="4"/>
        <v>10.6849111076576</v>
      </c>
      <c r="I8">
        <f t="shared" si="4"/>
        <v>7.5647880972959001E-4</v>
      </c>
      <c r="J8">
        <f t="shared" si="4"/>
        <v>1.4206897765150001E-5</v>
      </c>
      <c r="K8">
        <f t="shared" si="4"/>
        <v>2.0278824037509999E-5</v>
      </c>
      <c r="L8">
        <f t="shared" si="4"/>
        <v>10.3123720281811</v>
      </c>
      <c r="M8">
        <f t="shared" si="4"/>
        <v>10.3123720281811</v>
      </c>
      <c r="N8">
        <f t="shared" si="4"/>
        <v>0</v>
      </c>
      <c r="O8">
        <f t="shared" si="4"/>
        <v>0</v>
      </c>
      <c r="P8">
        <f t="shared" si="4"/>
        <v>0</v>
      </c>
      <c r="Q8">
        <f t="shared" si="4"/>
        <v>0</v>
      </c>
      <c r="R8">
        <f t="shared" si="4"/>
        <v>0</v>
      </c>
      <c r="S8">
        <f t="shared" si="4"/>
        <v>0</v>
      </c>
      <c r="T8">
        <f t="shared" si="4"/>
        <v>0</v>
      </c>
      <c r="U8">
        <f t="shared" si="4"/>
        <v>0</v>
      </c>
      <c r="V8">
        <f t="shared" si="4"/>
        <v>0</v>
      </c>
      <c r="W8">
        <f t="shared" si="4"/>
        <v>0</v>
      </c>
      <c r="X8">
        <f t="shared" si="4"/>
        <v>0.61753085931381502</v>
      </c>
      <c r="Y8">
        <f t="shared" si="4"/>
        <v>0</v>
      </c>
      <c r="Z8">
        <f t="shared" si="4"/>
        <v>0</v>
      </c>
      <c r="AA8">
        <f t="shared" si="4"/>
        <v>0</v>
      </c>
      <c r="AB8">
        <f t="shared" si="4"/>
        <v>0</v>
      </c>
      <c r="AC8">
        <f t="shared" si="4"/>
        <v>10.3123720281811</v>
      </c>
      <c r="AD8">
        <f t="shared" si="4"/>
        <v>0</v>
      </c>
      <c r="AE8">
        <f t="shared" si="4"/>
        <v>0</v>
      </c>
      <c r="AF8">
        <f t="shared" si="4"/>
        <v>0</v>
      </c>
      <c r="AG8">
        <f t="shared" si="4"/>
        <v>0</v>
      </c>
      <c r="AH8">
        <f t="shared" ref="AH8:BI8" si="5">AG38</f>
        <v>0</v>
      </c>
      <c r="AI8">
        <f t="shared" si="5"/>
        <v>10.3123720281811</v>
      </c>
      <c r="AJ8">
        <f t="shared" si="5"/>
        <v>0</v>
      </c>
      <c r="AK8">
        <f t="shared" si="5"/>
        <v>0</v>
      </c>
      <c r="AL8">
        <f t="shared" si="5"/>
        <v>0</v>
      </c>
      <c r="AM8">
        <f t="shared" si="5"/>
        <v>0</v>
      </c>
      <c r="AN8">
        <f t="shared" si="5"/>
        <v>0</v>
      </c>
      <c r="AO8">
        <f t="shared" si="5"/>
        <v>0</v>
      </c>
      <c r="AP8">
        <f t="shared" si="5"/>
        <v>0</v>
      </c>
      <c r="AQ8">
        <f t="shared" si="5"/>
        <v>0</v>
      </c>
      <c r="AR8">
        <f t="shared" si="5"/>
        <v>0</v>
      </c>
      <c r="AS8">
        <f t="shared" si="5"/>
        <v>0</v>
      </c>
      <c r="AT8">
        <f t="shared" si="5"/>
        <v>0</v>
      </c>
      <c r="AU8">
        <f t="shared" si="5"/>
        <v>0</v>
      </c>
      <c r="AV8">
        <f t="shared" si="5"/>
        <v>0</v>
      </c>
      <c r="AW8">
        <f t="shared" si="5"/>
        <v>0</v>
      </c>
      <c r="AX8">
        <f t="shared" si="5"/>
        <v>0</v>
      </c>
      <c r="AY8">
        <f t="shared" si="5"/>
        <v>0</v>
      </c>
      <c r="AZ8">
        <f t="shared" si="5"/>
        <v>0.132549287428427</v>
      </c>
      <c r="BA8">
        <f t="shared" si="5"/>
        <v>0.114767269191258</v>
      </c>
      <c r="BB8">
        <f t="shared" si="5"/>
        <v>5.2683544264723995E-4</v>
      </c>
      <c r="BC8">
        <f t="shared" si="5"/>
        <v>1.4206897765150001E-5</v>
      </c>
      <c r="BD8">
        <f t="shared" si="5"/>
        <v>6.22247548213E-6</v>
      </c>
      <c r="BE8">
        <f t="shared" si="5"/>
        <v>0.26845256577989202</v>
      </c>
      <c r="BF8">
        <f t="shared" si="5"/>
        <v>0.25777181028522</v>
      </c>
      <c r="BG8">
        <f t="shared" si="5"/>
        <v>2.2964336708235E-4</v>
      </c>
      <c r="BH8">
        <f t="shared" si="5"/>
        <v>1.4056348555370001E-5</v>
      </c>
      <c r="BI8">
        <f t="shared" si="5"/>
        <v>0</v>
      </c>
    </row>
    <row r="9" spans="1:63" x14ac:dyDescent="0.3">
      <c r="A9" s="2" t="s">
        <v>27</v>
      </c>
      <c r="B9" t="str">
        <f t="shared" ref="B9:AG9" si="6">A41</f>
        <v>A.08.05.001.004</v>
      </c>
      <c r="C9" t="str">
        <f t="shared" si="6"/>
        <v>Cream 40 % fat</v>
      </c>
      <c r="D9" t="str">
        <f t="shared" si="6"/>
        <v>Milk and dairy products</v>
      </c>
      <c r="E9" t="str">
        <f t="shared" si="6"/>
        <v>Cream and cream products</v>
      </c>
      <c r="F9">
        <f t="shared" si="6"/>
        <v>1000</v>
      </c>
      <c r="G9">
        <f t="shared" si="6"/>
        <v>4.0311008825144397</v>
      </c>
      <c r="H9">
        <f t="shared" si="6"/>
        <v>0.99581108511970695</v>
      </c>
      <c r="I9">
        <f t="shared" si="6"/>
        <v>3.9182945555910897E-3</v>
      </c>
      <c r="J9">
        <f t="shared" si="6"/>
        <v>9.8501442151936805E-2</v>
      </c>
      <c r="K9">
        <f t="shared" si="6"/>
        <v>3.50892020285865E-3</v>
      </c>
      <c r="L9">
        <f t="shared" si="6"/>
        <v>3.7517233473589302</v>
      </c>
      <c r="M9">
        <f t="shared" si="6"/>
        <v>0.73829056481407096</v>
      </c>
      <c r="N9">
        <f t="shared" si="6"/>
        <v>3.37403584737163E-3</v>
      </c>
      <c r="O9">
        <f t="shared" si="6"/>
        <v>9.8455631028621204E-2</v>
      </c>
      <c r="P9">
        <f t="shared" si="6"/>
        <v>3.4927985727655499E-3</v>
      </c>
      <c r="Q9">
        <f t="shared" si="6"/>
        <v>3.2369699602417099</v>
      </c>
      <c r="R9">
        <f t="shared" si="6"/>
        <v>5.5591534724322898E-2</v>
      </c>
      <c r="S9">
        <f t="shared" si="6"/>
        <v>3.9222356127747403E-3</v>
      </c>
      <c r="T9">
        <f t="shared" si="6"/>
        <v>3.0413461727316099E-2</v>
      </c>
      <c r="U9">
        <f t="shared" si="6"/>
        <v>0.25041713087461798</v>
      </c>
      <c r="V9">
        <f t="shared" si="6"/>
        <v>3.4552777472375202E-11</v>
      </c>
      <c r="W9">
        <f t="shared" si="6"/>
        <v>1.7005153952644699E-3</v>
      </c>
      <c r="X9">
        <f t="shared" si="6"/>
        <v>3.5879783834638898E-2</v>
      </c>
      <c r="Y9">
        <f t="shared" si="6"/>
        <v>30.018383082141</v>
      </c>
      <c r="Z9">
        <f t="shared" si="6"/>
        <v>0.140024319456312</v>
      </c>
      <c r="AA9">
        <f t="shared" si="6"/>
        <v>8.5540066841700596E-2</v>
      </c>
      <c r="AB9">
        <f t="shared" si="6"/>
        <v>0.28671116150866599</v>
      </c>
      <c r="AC9">
        <f t="shared" si="6"/>
        <v>0.62244417879747505</v>
      </c>
      <c r="AD9">
        <f t="shared" si="6"/>
        <v>0.100924405079512</v>
      </c>
      <c r="AE9">
        <f t="shared" si="6"/>
        <v>1.8171296818306799</v>
      </c>
      <c r="AF9">
        <f t="shared" si="6"/>
        <v>0.69894953384458203</v>
      </c>
      <c r="AG9">
        <f t="shared" si="6"/>
        <v>8.4477016805816194E-2</v>
      </c>
      <c r="AH9">
        <f t="shared" ref="AH9:BI9" si="7">AG41</f>
        <v>7.6627308378531406E-2</v>
      </c>
      <c r="AI9">
        <f t="shared" si="7"/>
        <v>0.59347880067907599</v>
      </c>
      <c r="AJ9">
        <f t="shared" si="7"/>
        <v>0.100924405079512</v>
      </c>
      <c r="AK9">
        <f t="shared" si="7"/>
        <v>1.5718189779047E-4</v>
      </c>
      <c r="AL9">
        <f t="shared" si="7"/>
        <v>2.7068848703056003E-4</v>
      </c>
      <c r="AM9">
        <f t="shared" si="7"/>
        <v>0.27617834222939103</v>
      </c>
      <c r="AN9">
        <f t="shared" si="7"/>
        <v>0</v>
      </c>
      <c r="AO9">
        <f t="shared" si="7"/>
        <v>6.7301099327062394E-2</v>
      </c>
      <c r="AP9">
        <f t="shared" si="7"/>
        <v>1.55772658507794E-2</v>
      </c>
      <c r="AQ9">
        <f t="shared" si="7"/>
        <v>1.8631238863127999E-4</v>
      </c>
      <c r="AR9">
        <f t="shared" si="7"/>
        <v>3.09978589618E-6</v>
      </c>
      <c r="AS9">
        <f t="shared" si="7"/>
        <v>1.05022403483027E-3</v>
      </c>
      <c r="AT9">
        <f t="shared" si="7"/>
        <v>0.27533291288509998</v>
      </c>
      <c r="AU9">
        <f t="shared" si="7"/>
        <v>1.01964599221076E-3</v>
      </c>
      <c r="AV9">
        <f t="shared" si="7"/>
        <v>1.16559293746207E-2</v>
      </c>
      <c r="AW9">
        <f t="shared" si="7"/>
        <v>1.0211712712978801E-2</v>
      </c>
      <c r="AX9">
        <f t="shared" si="7"/>
        <v>4.43926200926E-5</v>
      </c>
      <c r="AY9">
        <f t="shared" si="7"/>
        <v>4.4438308748041299E-7</v>
      </c>
      <c r="AZ9">
        <f t="shared" si="7"/>
        <v>8.9356930463117906E-2</v>
      </c>
      <c r="BA9">
        <f t="shared" si="7"/>
        <v>7.6347166005903203E-2</v>
      </c>
      <c r="BB9">
        <f t="shared" si="7"/>
        <v>3.4830651141009E-4</v>
      </c>
      <c r="BC9">
        <f t="shared" si="7"/>
        <v>4.5811123315500002E-5</v>
      </c>
      <c r="BD9">
        <f t="shared" si="7"/>
        <v>5.1037732149200004E-6</v>
      </c>
      <c r="BE9">
        <f t="shared" si="7"/>
        <v>0.178364675317772</v>
      </c>
      <c r="BF9">
        <f t="shared" si="7"/>
        <v>0.170961641586753</v>
      </c>
      <c r="BG9">
        <f t="shared" si="7"/>
        <v>1.5155957671675999E-4</v>
      </c>
      <c r="BH9">
        <f t="shared" si="7"/>
        <v>1.057347379069E-5</v>
      </c>
      <c r="BI9" t="str">
        <f t="shared" si="7"/>
        <v>F28.A0EKQ</v>
      </c>
      <c r="BJ9" t="s">
        <v>159</v>
      </c>
    </row>
    <row r="10" spans="1:63" x14ac:dyDescent="0.3">
      <c r="A10" s="2" t="s">
        <v>28</v>
      </c>
      <c r="B10" t="str">
        <f t="shared" ref="B10:AG10" si="8">A37</f>
        <v>A.07.04.001</v>
      </c>
      <c r="C10" t="str">
        <f t="shared" si="8"/>
        <v>Crab (Cancer spp.)</v>
      </c>
      <c r="D10" t="str">
        <f t="shared" si="8"/>
        <v>Fish and other seafood (including amphibians, reptiles, snails and insects)</v>
      </c>
      <c r="E10" t="str">
        <f t="shared" si="8"/>
        <v>Crustaceans</v>
      </c>
      <c r="F10">
        <f t="shared" si="8"/>
        <v>1000</v>
      </c>
      <c r="G10">
        <f t="shared" si="8"/>
        <v>15.465521516035301</v>
      </c>
      <c r="H10">
        <f t="shared" si="8"/>
        <v>15.4370587423034</v>
      </c>
      <c r="I10">
        <f t="shared" si="8"/>
        <v>7.5647880972959001E-4</v>
      </c>
      <c r="J10">
        <f t="shared" si="8"/>
        <v>1.4206897765150001E-5</v>
      </c>
      <c r="K10">
        <f t="shared" si="8"/>
        <v>2.0278824037509999E-5</v>
      </c>
      <c r="L10">
        <f t="shared" si="8"/>
        <v>15.0645196628269</v>
      </c>
      <c r="M10">
        <f t="shared" si="8"/>
        <v>15.0645196628269</v>
      </c>
      <c r="N10">
        <f t="shared" si="8"/>
        <v>0</v>
      </c>
      <c r="O10">
        <f t="shared" si="8"/>
        <v>0</v>
      </c>
      <c r="P10">
        <f t="shared" si="8"/>
        <v>0</v>
      </c>
      <c r="Q10">
        <f t="shared" si="8"/>
        <v>0</v>
      </c>
      <c r="R10">
        <f t="shared" si="8"/>
        <v>0</v>
      </c>
      <c r="S10">
        <f t="shared" si="8"/>
        <v>0</v>
      </c>
      <c r="T10">
        <f t="shared" si="8"/>
        <v>0</v>
      </c>
      <c r="U10">
        <f t="shared" si="8"/>
        <v>0</v>
      </c>
      <c r="V10">
        <f t="shared" si="8"/>
        <v>0</v>
      </c>
      <c r="W10">
        <f t="shared" si="8"/>
        <v>0</v>
      </c>
      <c r="X10">
        <f t="shared" si="8"/>
        <v>15.663199131551799</v>
      </c>
      <c r="Y10">
        <f t="shared" si="8"/>
        <v>0</v>
      </c>
      <c r="Z10">
        <f t="shared" si="8"/>
        <v>0</v>
      </c>
      <c r="AA10">
        <f t="shared" si="8"/>
        <v>0</v>
      </c>
      <c r="AB10">
        <f t="shared" si="8"/>
        <v>0</v>
      </c>
      <c r="AC10">
        <f t="shared" si="8"/>
        <v>15.0645196628269</v>
      </c>
      <c r="AD10">
        <f t="shared" si="8"/>
        <v>0</v>
      </c>
      <c r="AE10">
        <f t="shared" si="8"/>
        <v>0</v>
      </c>
      <c r="AF10">
        <f t="shared" si="8"/>
        <v>0</v>
      </c>
      <c r="AG10">
        <f t="shared" si="8"/>
        <v>0</v>
      </c>
      <c r="AH10">
        <f t="shared" ref="AH10:BI10" si="9">AG37</f>
        <v>0</v>
      </c>
      <c r="AI10">
        <f t="shared" si="9"/>
        <v>15.0645196628269</v>
      </c>
      <c r="AJ10">
        <f t="shared" si="9"/>
        <v>0</v>
      </c>
      <c r="AK10">
        <f t="shared" si="9"/>
        <v>0</v>
      </c>
      <c r="AL10">
        <f t="shared" si="9"/>
        <v>0</v>
      </c>
      <c r="AM10">
        <f t="shared" si="9"/>
        <v>0</v>
      </c>
      <c r="AN10">
        <f t="shared" si="9"/>
        <v>0</v>
      </c>
      <c r="AO10">
        <f t="shared" si="9"/>
        <v>0</v>
      </c>
      <c r="AP10">
        <f t="shared" si="9"/>
        <v>0</v>
      </c>
      <c r="AQ10">
        <f t="shared" si="9"/>
        <v>0</v>
      </c>
      <c r="AR10">
        <f t="shared" si="9"/>
        <v>0</v>
      </c>
      <c r="AS10">
        <f t="shared" si="9"/>
        <v>0</v>
      </c>
      <c r="AT10">
        <f t="shared" si="9"/>
        <v>0</v>
      </c>
      <c r="AU10">
        <f t="shared" si="9"/>
        <v>0</v>
      </c>
      <c r="AV10">
        <f t="shared" si="9"/>
        <v>0</v>
      </c>
      <c r="AW10">
        <f t="shared" si="9"/>
        <v>0</v>
      </c>
      <c r="AX10">
        <f t="shared" si="9"/>
        <v>0</v>
      </c>
      <c r="AY10">
        <f t="shared" si="9"/>
        <v>0</v>
      </c>
      <c r="AZ10">
        <f t="shared" si="9"/>
        <v>0.132549287428427</v>
      </c>
      <c r="BA10">
        <f t="shared" si="9"/>
        <v>0.114767269191258</v>
      </c>
      <c r="BB10">
        <f t="shared" si="9"/>
        <v>5.2683544264723995E-4</v>
      </c>
      <c r="BC10">
        <f t="shared" si="9"/>
        <v>1.4206897765150001E-5</v>
      </c>
      <c r="BD10">
        <f t="shared" si="9"/>
        <v>6.22247548213E-6</v>
      </c>
      <c r="BE10">
        <f t="shared" si="9"/>
        <v>0.26845256577989202</v>
      </c>
      <c r="BF10">
        <f t="shared" si="9"/>
        <v>0.25777181028522</v>
      </c>
      <c r="BG10">
        <f t="shared" si="9"/>
        <v>2.2964336708235E-4</v>
      </c>
      <c r="BH10">
        <f t="shared" si="9"/>
        <v>1.4056348555370001E-5</v>
      </c>
      <c r="BI10">
        <f t="shared" si="9"/>
        <v>0</v>
      </c>
    </row>
    <row r="11" spans="1:63" x14ac:dyDescent="0.3">
      <c r="A11" s="2" t="s">
        <v>29</v>
      </c>
      <c r="B11" t="str">
        <f t="shared" ref="B11:AG11" si="10">A44</f>
        <v>I.07.01.006.001</v>
      </c>
      <c r="C11" t="str">
        <f t="shared" si="10"/>
        <v>Salmon (Salmo salar)</v>
      </c>
      <c r="D11" t="str">
        <f t="shared" si="10"/>
        <v>Fish and other seafood (including amphibians, reptiles, snails and insects)</v>
      </c>
      <c r="E11" t="str">
        <f t="shared" si="10"/>
        <v>Fish meat</v>
      </c>
      <c r="F11">
        <f t="shared" si="10"/>
        <v>1000</v>
      </c>
      <c r="G11">
        <f t="shared" si="10"/>
        <v>6.8013085759136196</v>
      </c>
      <c r="H11">
        <f t="shared" si="10"/>
        <v>4.1060372070075299</v>
      </c>
      <c r="I11">
        <f t="shared" si="10"/>
        <v>1.5624228480953101E-3</v>
      </c>
      <c r="J11">
        <f t="shared" si="10"/>
        <v>1.8453188378809999E-5</v>
      </c>
      <c r="K11">
        <f t="shared" si="10"/>
        <v>9.7004136701341597E-3</v>
      </c>
      <c r="L11">
        <f t="shared" si="10"/>
        <v>6.4268276670352797</v>
      </c>
      <c r="M11">
        <f t="shared" si="10"/>
        <v>3.7636598846245599</v>
      </c>
      <c r="N11">
        <f t="shared" si="10"/>
        <v>6.5091670659635995E-4</v>
      </c>
      <c r="O11">
        <f t="shared" si="10"/>
        <v>0</v>
      </c>
      <c r="P11">
        <f t="shared" si="10"/>
        <v>9.6841408958027401E-3</v>
      </c>
      <c r="Q11">
        <f t="shared" si="10"/>
        <v>5.3688853608748301</v>
      </c>
      <c r="R11">
        <f t="shared" si="10"/>
        <v>6.9999122740278405E-2</v>
      </c>
      <c r="S11">
        <f t="shared" si="10"/>
        <v>1.0547821309108999E-2</v>
      </c>
      <c r="T11">
        <f t="shared" si="10"/>
        <v>4.5471930797232801E-2</v>
      </c>
      <c r="U11">
        <f t="shared" si="10"/>
        <v>5.9360692116173001E-4</v>
      </c>
      <c r="V11">
        <f t="shared" si="10"/>
        <v>5.5371606048823101E-12</v>
      </c>
      <c r="W11">
        <f t="shared" si="10"/>
        <v>2.1385836678236101E-3</v>
      </c>
      <c r="X11">
        <f t="shared" si="10"/>
        <v>16.125521067614901</v>
      </c>
      <c r="Y11">
        <f t="shared" si="10"/>
        <v>0</v>
      </c>
      <c r="Z11">
        <f t="shared" si="10"/>
        <v>3.6129574596249001</v>
      </c>
      <c r="AA11">
        <f t="shared" si="10"/>
        <v>8.6281674421219007E-2</v>
      </c>
      <c r="AB11">
        <f t="shared" si="10"/>
        <v>1.89431679589359</v>
      </c>
      <c r="AC11">
        <f t="shared" si="10"/>
        <v>0.61367361589456304</v>
      </c>
      <c r="AD11">
        <f t="shared" si="10"/>
        <v>0.219598121200998</v>
      </c>
      <c r="AE11">
        <f t="shared" si="10"/>
        <v>0</v>
      </c>
      <c r="AF11">
        <f t="shared" si="10"/>
        <v>0</v>
      </c>
      <c r="AG11">
        <f t="shared" si="10"/>
        <v>2.8441064731077699</v>
      </c>
      <c r="AH11">
        <f t="shared" ref="AH11:BI11" si="11">AG44</f>
        <v>8.6281674421219007E-2</v>
      </c>
      <c r="AI11">
        <f t="shared" si="11"/>
        <v>0.61367361589456304</v>
      </c>
      <c r="AJ11">
        <f t="shared" si="11"/>
        <v>0.219598121200998</v>
      </c>
      <c r="AK11">
        <f t="shared" si="11"/>
        <v>6.5091670659635995E-4</v>
      </c>
      <c r="AL11">
        <f t="shared" si="11"/>
        <v>0</v>
      </c>
      <c r="AM11">
        <f t="shared" si="11"/>
        <v>0</v>
      </c>
      <c r="AN11">
        <f t="shared" si="11"/>
        <v>0</v>
      </c>
      <c r="AO11">
        <f t="shared" si="11"/>
        <v>0</v>
      </c>
      <c r="AP11">
        <f t="shared" si="11"/>
        <v>0</v>
      </c>
      <c r="AQ11">
        <f t="shared" si="11"/>
        <v>2.74525153355513E-3</v>
      </c>
      <c r="AR11">
        <f t="shared" si="11"/>
        <v>0</v>
      </c>
      <c r="AS11">
        <f t="shared" si="11"/>
        <v>6.9388893622476001E-3</v>
      </c>
      <c r="AT11">
        <f t="shared" si="11"/>
        <v>0</v>
      </c>
      <c r="AU11">
        <f t="shared" si="11"/>
        <v>0</v>
      </c>
      <c r="AV11">
        <f t="shared" si="11"/>
        <v>0</v>
      </c>
      <c r="AW11">
        <f t="shared" si="11"/>
        <v>0</v>
      </c>
      <c r="AX11">
        <f t="shared" si="11"/>
        <v>0</v>
      </c>
      <c r="AY11">
        <f t="shared" si="11"/>
        <v>0</v>
      </c>
      <c r="AZ11">
        <f t="shared" si="11"/>
        <v>0.106028343098449</v>
      </c>
      <c r="BA11">
        <f t="shared" si="11"/>
        <v>8.4605512097746596E-2</v>
      </c>
      <c r="BB11">
        <f t="shared" si="11"/>
        <v>6.8186277441658998E-4</v>
      </c>
      <c r="BC11">
        <f t="shared" si="11"/>
        <v>1.8453188378809999E-5</v>
      </c>
      <c r="BD11">
        <f t="shared" si="11"/>
        <v>2.2164257760399998E-6</v>
      </c>
      <c r="BE11">
        <f t="shared" si="11"/>
        <v>0.26845256577989202</v>
      </c>
      <c r="BF11">
        <f t="shared" si="11"/>
        <v>0.25777181028522</v>
      </c>
      <c r="BG11">
        <f t="shared" si="11"/>
        <v>2.2964336708235E-4</v>
      </c>
      <c r="BH11">
        <f t="shared" si="11"/>
        <v>1.4056348555370001E-5</v>
      </c>
      <c r="BI11">
        <f t="shared" si="11"/>
        <v>0</v>
      </c>
    </row>
    <row r="12" spans="1:63" x14ac:dyDescent="0.3">
      <c r="A12" s="2" t="s">
        <v>30</v>
      </c>
      <c r="B12" t="str">
        <f t="shared" ref="B12:AG12" si="12">A42</f>
        <v>A.09.01.001</v>
      </c>
      <c r="C12" t="str">
        <f t="shared" si="12"/>
        <v>Whole egg, chicken</v>
      </c>
      <c r="D12" t="str">
        <f t="shared" si="12"/>
        <v>Eggs and egg products</v>
      </c>
      <c r="E12" t="str">
        <f t="shared" si="12"/>
        <v>Eggs, fresh</v>
      </c>
      <c r="F12">
        <f t="shared" si="12"/>
        <v>1000</v>
      </c>
      <c r="G12">
        <f t="shared" si="12"/>
        <v>1.0549240044105499</v>
      </c>
      <c r="H12">
        <f t="shared" si="12"/>
        <v>0.673927339870241</v>
      </c>
      <c r="I12">
        <f t="shared" si="12"/>
        <v>1.22278086613867E-3</v>
      </c>
      <c r="J12">
        <f t="shared" si="12"/>
        <v>1.9470450106698399E-3</v>
      </c>
      <c r="K12">
        <f t="shared" si="12"/>
        <v>1.06955157304503E-3</v>
      </c>
      <c r="L12">
        <f t="shared" si="12"/>
        <v>0.97916661973329</v>
      </c>
      <c r="M12">
        <f t="shared" si="12"/>
        <v>0.60446594664184095</v>
      </c>
      <c r="N12">
        <f t="shared" si="12"/>
        <v>1.0574202142117201E-3</v>
      </c>
      <c r="O12">
        <f t="shared" si="12"/>
        <v>1.9407028381945601E-3</v>
      </c>
      <c r="P12">
        <f t="shared" si="12"/>
        <v>1.0651669380098399E-3</v>
      </c>
      <c r="Q12">
        <f t="shared" si="12"/>
        <v>4.0762955087577799</v>
      </c>
      <c r="R12">
        <f t="shared" si="12"/>
        <v>5.6154932452015499E-2</v>
      </c>
      <c r="S12">
        <f t="shared" si="12"/>
        <v>1.10164211077622E-2</v>
      </c>
      <c r="T12">
        <f t="shared" si="12"/>
        <v>0.19030835571984001</v>
      </c>
      <c r="U12">
        <f t="shared" si="12"/>
        <v>0.48217836748228199</v>
      </c>
      <c r="V12">
        <f t="shared" si="12"/>
        <v>4.0359140461788697E-11</v>
      </c>
      <c r="W12">
        <f t="shared" si="12"/>
        <v>2.9132615599483198E-3</v>
      </c>
      <c r="X12">
        <f t="shared" si="12"/>
        <v>9.3648670155682492</v>
      </c>
      <c r="Y12">
        <f t="shared" si="12"/>
        <v>1.7378813558626001</v>
      </c>
      <c r="Z12">
        <f t="shared" si="12"/>
        <v>0.28993202976412402</v>
      </c>
      <c r="AA12">
        <f t="shared" si="12"/>
        <v>7.2529205181662698E-2</v>
      </c>
      <c r="AB12">
        <f t="shared" si="12"/>
        <v>0.180799736626165</v>
      </c>
      <c r="AC12">
        <f t="shared" si="12"/>
        <v>0.31708387118793302</v>
      </c>
      <c r="AD12">
        <f t="shared" si="12"/>
        <v>6.5822202703204102E-2</v>
      </c>
      <c r="AE12">
        <f t="shared" si="12"/>
        <v>0</v>
      </c>
      <c r="AF12">
        <f t="shared" si="12"/>
        <v>5.2999574270200099E-2</v>
      </c>
      <c r="AG12">
        <f t="shared" si="12"/>
        <v>0.17478763970251501</v>
      </c>
      <c r="AH12">
        <f t="shared" ref="AH12:BI12" si="13">AG42</f>
        <v>6.4753372918683702E-2</v>
      </c>
      <c r="AI12">
        <f t="shared" si="13"/>
        <v>0.30323380782815101</v>
      </c>
      <c r="AJ12">
        <f t="shared" si="13"/>
        <v>6.5822202703204102E-2</v>
      </c>
      <c r="AK12">
        <f t="shared" si="13"/>
        <v>3.3497589174243E-4</v>
      </c>
      <c r="AL12">
        <f t="shared" si="13"/>
        <v>2.3878296158513001E-4</v>
      </c>
      <c r="AM12">
        <f t="shared" si="13"/>
        <v>6.5083579439174005E-2</v>
      </c>
      <c r="AN12">
        <f t="shared" si="13"/>
        <v>0</v>
      </c>
      <c r="AO12">
        <f t="shared" si="13"/>
        <v>0</v>
      </c>
      <c r="AP12">
        <f t="shared" si="13"/>
        <v>1.9407028381945601E-3</v>
      </c>
      <c r="AQ12">
        <f t="shared" si="13"/>
        <v>3.8520918859957001E-4</v>
      </c>
      <c r="AR12">
        <f t="shared" si="13"/>
        <v>2.4179487463000002E-6</v>
      </c>
      <c r="AS12">
        <f t="shared" si="13"/>
        <v>6.6227009753174002E-4</v>
      </c>
      <c r="AT12">
        <f t="shared" si="13"/>
        <v>6.47033437742211E-2</v>
      </c>
      <c r="AU12">
        <f t="shared" si="13"/>
        <v>2.19999135145E-6</v>
      </c>
      <c r="AV12">
        <f t="shared" si="13"/>
        <v>0</v>
      </c>
      <c r="AW12">
        <f t="shared" si="13"/>
        <v>0</v>
      </c>
      <c r="AX12">
        <f t="shared" si="13"/>
        <v>0</v>
      </c>
      <c r="AY12">
        <f t="shared" si="13"/>
        <v>0</v>
      </c>
      <c r="AZ12">
        <f t="shared" si="13"/>
        <v>4.4823493583701302E-2</v>
      </c>
      <c r="BA12">
        <f t="shared" si="13"/>
        <v>3.9790356012319603E-2</v>
      </c>
      <c r="BB12">
        <f t="shared" si="13"/>
        <v>1.3894839250013001E-4</v>
      </c>
      <c r="BC12">
        <f t="shared" si="13"/>
        <v>6.3421724752699996E-6</v>
      </c>
      <c r="BD12">
        <f t="shared" si="13"/>
        <v>2.6418931063900001E-6</v>
      </c>
      <c r="BE12">
        <f t="shared" si="13"/>
        <v>3.09338910935632E-2</v>
      </c>
      <c r="BF12">
        <f t="shared" si="13"/>
        <v>2.9671037216080401E-2</v>
      </c>
      <c r="BG12">
        <f t="shared" si="13"/>
        <v>2.6412259426810001E-5</v>
      </c>
      <c r="BH12">
        <f t="shared" si="13"/>
        <v>1.7427419288000001E-6</v>
      </c>
      <c r="BI12">
        <f t="shared" si="13"/>
        <v>0</v>
      </c>
    </row>
    <row r="13" spans="1:63" x14ac:dyDescent="0.3">
      <c r="A13" s="2" t="s">
        <v>31</v>
      </c>
    </row>
    <row r="14" spans="1:63" x14ac:dyDescent="0.3">
      <c r="A14" s="2" t="s">
        <v>32</v>
      </c>
    </row>
    <row r="15" spans="1:63" x14ac:dyDescent="0.3">
      <c r="A15" s="2" t="s">
        <v>33</v>
      </c>
    </row>
    <row r="16" spans="1:63" x14ac:dyDescent="0.3">
      <c r="A16" s="2" t="s">
        <v>34</v>
      </c>
      <c r="B16" t="str">
        <f t="shared" ref="B16:AG16" si="14">A36</f>
        <v>A.07.01.010</v>
      </c>
      <c r="C16" t="str">
        <f t="shared" si="14"/>
        <v>Perch (Perca)</v>
      </c>
      <c r="D16" t="str">
        <f t="shared" si="14"/>
        <v>Fish and other seafood (including amphibians, reptiles, snails and insects)</v>
      </c>
      <c r="E16" t="str">
        <f t="shared" si="14"/>
        <v>Fish meat</v>
      </c>
      <c r="F16">
        <f t="shared" si="14"/>
        <v>1000</v>
      </c>
      <c r="G16">
        <f t="shared" si="14"/>
        <v>12.8661333966143</v>
      </c>
      <c r="H16">
        <f t="shared" si="14"/>
        <v>12.834029810119</v>
      </c>
      <c r="I16">
        <f t="shared" si="14"/>
        <v>9.1150614149895001E-4</v>
      </c>
      <c r="J16">
        <f t="shared" si="14"/>
        <v>1.8453188378809999E-5</v>
      </c>
      <c r="K16">
        <f t="shared" si="14"/>
        <v>1.6272774331420001E-5</v>
      </c>
      <c r="L16">
        <f t="shared" si="14"/>
        <v>12.491652487735999</v>
      </c>
      <c r="M16">
        <f t="shared" si="14"/>
        <v>12.491652487735999</v>
      </c>
      <c r="N16">
        <f t="shared" si="14"/>
        <v>0</v>
      </c>
      <c r="O16">
        <f t="shared" si="14"/>
        <v>0</v>
      </c>
      <c r="P16">
        <f t="shared" si="14"/>
        <v>0</v>
      </c>
      <c r="Q16">
        <f t="shared" si="14"/>
        <v>0</v>
      </c>
      <c r="R16">
        <f t="shared" si="14"/>
        <v>0</v>
      </c>
      <c r="S16">
        <f t="shared" si="14"/>
        <v>0</v>
      </c>
      <c r="T16">
        <f t="shared" si="14"/>
        <v>0</v>
      </c>
      <c r="U16">
        <f t="shared" si="14"/>
        <v>0</v>
      </c>
      <c r="V16">
        <f t="shared" si="14"/>
        <v>0</v>
      </c>
      <c r="W16">
        <f t="shared" si="14"/>
        <v>0</v>
      </c>
      <c r="X16">
        <f t="shared" si="14"/>
        <v>5.91153348865938</v>
      </c>
      <c r="Y16">
        <f t="shared" si="14"/>
        <v>0</v>
      </c>
      <c r="Z16">
        <f t="shared" si="14"/>
        <v>0</v>
      </c>
      <c r="AA16">
        <f t="shared" si="14"/>
        <v>0</v>
      </c>
      <c r="AB16">
        <f t="shared" si="14"/>
        <v>0</v>
      </c>
      <c r="AC16">
        <f t="shared" si="14"/>
        <v>12.491652487735999</v>
      </c>
      <c r="AD16">
        <f t="shared" si="14"/>
        <v>0</v>
      </c>
      <c r="AE16">
        <f t="shared" si="14"/>
        <v>0</v>
      </c>
      <c r="AF16">
        <f t="shared" si="14"/>
        <v>0</v>
      </c>
      <c r="AG16">
        <f t="shared" si="14"/>
        <v>0</v>
      </c>
      <c r="AH16">
        <f t="shared" ref="AH16:BI16" si="15">AG36</f>
        <v>0</v>
      </c>
      <c r="AI16">
        <f t="shared" si="15"/>
        <v>12.491652487735999</v>
      </c>
      <c r="AJ16">
        <f t="shared" si="15"/>
        <v>0</v>
      </c>
      <c r="AK16">
        <f t="shared" si="15"/>
        <v>0</v>
      </c>
      <c r="AL16">
        <f t="shared" si="15"/>
        <v>0</v>
      </c>
      <c r="AM16">
        <f t="shared" si="15"/>
        <v>0</v>
      </c>
      <c r="AN16">
        <f t="shared" si="15"/>
        <v>0</v>
      </c>
      <c r="AO16">
        <f t="shared" si="15"/>
        <v>0</v>
      </c>
      <c r="AP16">
        <f t="shared" si="15"/>
        <v>0</v>
      </c>
      <c r="AQ16">
        <f t="shared" si="15"/>
        <v>0</v>
      </c>
      <c r="AR16">
        <f t="shared" si="15"/>
        <v>0</v>
      </c>
      <c r="AS16">
        <f t="shared" si="15"/>
        <v>0</v>
      </c>
      <c r="AT16">
        <f t="shared" si="15"/>
        <v>0</v>
      </c>
      <c r="AU16">
        <f t="shared" si="15"/>
        <v>0</v>
      </c>
      <c r="AV16">
        <f t="shared" si="15"/>
        <v>0</v>
      </c>
      <c r="AW16">
        <f t="shared" si="15"/>
        <v>0</v>
      </c>
      <c r="AX16">
        <f t="shared" si="15"/>
        <v>0</v>
      </c>
      <c r="AY16">
        <f t="shared" si="15"/>
        <v>0</v>
      </c>
      <c r="AZ16">
        <f t="shared" si="15"/>
        <v>0.106028343098449</v>
      </c>
      <c r="BA16">
        <f t="shared" si="15"/>
        <v>8.4605512097746596E-2</v>
      </c>
      <c r="BB16">
        <f t="shared" si="15"/>
        <v>6.8186277441658998E-4</v>
      </c>
      <c r="BC16">
        <f t="shared" si="15"/>
        <v>1.8453188378809999E-5</v>
      </c>
      <c r="BD16">
        <f t="shared" si="15"/>
        <v>2.2164257760399998E-6</v>
      </c>
      <c r="BE16">
        <f t="shared" si="15"/>
        <v>0.26845256577989202</v>
      </c>
      <c r="BF16">
        <f t="shared" si="15"/>
        <v>0.25777181028522</v>
      </c>
      <c r="BG16">
        <f t="shared" si="15"/>
        <v>2.2964336708235E-4</v>
      </c>
      <c r="BH16">
        <f t="shared" si="15"/>
        <v>1.4056348555370001E-5</v>
      </c>
      <c r="BI16">
        <f t="shared" si="15"/>
        <v>0</v>
      </c>
    </row>
    <row r="17" spans="1:62" x14ac:dyDescent="0.3">
      <c r="A17" s="2" t="s">
        <v>35</v>
      </c>
      <c r="B17" t="str">
        <f t="shared" ref="B17:AG17" si="16">A45</f>
        <v>I.07.01.017.001</v>
      </c>
      <c r="C17" t="str">
        <f t="shared" si="16"/>
        <v>Cod (Gadus morhua)</v>
      </c>
      <c r="D17" t="str">
        <f t="shared" si="16"/>
        <v>Fish and other seafood (including amphibians, reptiles, snails and insects)</v>
      </c>
      <c r="E17" t="str">
        <f t="shared" si="16"/>
        <v>Fish meat</v>
      </c>
      <c r="F17">
        <f t="shared" si="16"/>
        <v>1000</v>
      </c>
      <c r="G17">
        <f t="shared" si="16"/>
        <v>6.8316131397574296</v>
      </c>
      <c r="H17">
        <f t="shared" si="16"/>
        <v>6.7995095532620597</v>
      </c>
      <c r="I17">
        <f t="shared" si="16"/>
        <v>9.1150614149895001E-4</v>
      </c>
      <c r="J17">
        <f t="shared" si="16"/>
        <v>1.8453188378809999E-5</v>
      </c>
      <c r="K17">
        <f t="shared" si="16"/>
        <v>1.6272774331420001E-5</v>
      </c>
      <c r="L17">
        <f t="shared" si="16"/>
        <v>6.4571322308790897</v>
      </c>
      <c r="M17">
        <f t="shared" si="16"/>
        <v>6.4571322308790897</v>
      </c>
      <c r="N17">
        <f t="shared" si="16"/>
        <v>0</v>
      </c>
      <c r="O17">
        <f t="shared" si="16"/>
        <v>0</v>
      </c>
      <c r="P17">
        <f t="shared" si="16"/>
        <v>0</v>
      </c>
      <c r="Q17">
        <f t="shared" si="16"/>
        <v>0</v>
      </c>
      <c r="R17">
        <f t="shared" si="16"/>
        <v>0</v>
      </c>
      <c r="S17">
        <f t="shared" si="16"/>
        <v>0</v>
      </c>
      <c r="T17">
        <f t="shared" si="16"/>
        <v>0</v>
      </c>
      <c r="U17">
        <f t="shared" si="16"/>
        <v>0</v>
      </c>
      <c r="V17">
        <f t="shared" si="16"/>
        <v>0</v>
      </c>
      <c r="W17">
        <f t="shared" si="16"/>
        <v>0</v>
      </c>
      <c r="X17">
        <f t="shared" si="16"/>
        <v>3.6034967327189902</v>
      </c>
      <c r="Y17">
        <f t="shared" si="16"/>
        <v>0</v>
      </c>
      <c r="Z17">
        <f t="shared" si="16"/>
        <v>0</v>
      </c>
      <c r="AA17">
        <f t="shared" si="16"/>
        <v>0</v>
      </c>
      <c r="AB17">
        <f t="shared" si="16"/>
        <v>0</v>
      </c>
      <c r="AC17">
        <f t="shared" si="16"/>
        <v>6.4571322308790897</v>
      </c>
      <c r="AD17">
        <f t="shared" si="16"/>
        <v>0</v>
      </c>
      <c r="AE17">
        <f t="shared" si="16"/>
        <v>0</v>
      </c>
      <c r="AF17">
        <f t="shared" si="16"/>
        <v>0</v>
      </c>
      <c r="AG17">
        <f t="shared" si="16"/>
        <v>0</v>
      </c>
      <c r="AH17">
        <f t="shared" ref="AH17:BI17" si="17">AG45</f>
        <v>0</v>
      </c>
      <c r="AI17">
        <f t="shared" si="17"/>
        <v>6.4571322308790897</v>
      </c>
      <c r="AJ17">
        <f t="shared" si="17"/>
        <v>0</v>
      </c>
      <c r="AK17">
        <f t="shared" si="17"/>
        <v>0</v>
      </c>
      <c r="AL17">
        <f t="shared" si="17"/>
        <v>0</v>
      </c>
      <c r="AM17">
        <f t="shared" si="17"/>
        <v>0</v>
      </c>
      <c r="AN17">
        <f t="shared" si="17"/>
        <v>0</v>
      </c>
      <c r="AO17">
        <f t="shared" si="17"/>
        <v>0</v>
      </c>
      <c r="AP17">
        <f t="shared" si="17"/>
        <v>0</v>
      </c>
      <c r="AQ17">
        <f t="shared" si="17"/>
        <v>0</v>
      </c>
      <c r="AR17">
        <f t="shared" si="17"/>
        <v>0</v>
      </c>
      <c r="AS17">
        <f t="shared" si="17"/>
        <v>0</v>
      </c>
      <c r="AT17">
        <f t="shared" si="17"/>
        <v>0</v>
      </c>
      <c r="AU17">
        <f t="shared" si="17"/>
        <v>0</v>
      </c>
      <c r="AV17">
        <f t="shared" si="17"/>
        <v>0</v>
      </c>
      <c r="AW17">
        <f t="shared" si="17"/>
        <v>0</v>
      </c>
      <c r="AX17">
        <f t="shared" si="17"/>
        <v>0</v>
      </c>
      <c r="AY17">
        <f t="shared" si="17"/>
        <v>0</v>
      </c>
      <c r="AZ17">
        <f t="shared" si="17"/>
        <v>0.106028343098449</v>
      </c>
      <c r="BA17">
        <f t="shared" si="17"/>
        <v>8.4605512097746596E-2</v>
      </c>
      <c r="BB17">
        <f t="shared" si="17"/>
        <v>6.8186277441658998E-4</v>
      </c>
      <c r="BC17">
        <f t="shared" si="17"/>
        <v>1.8453188378809999E-5</v>
      </c>
      <c r="BD17">
        <f t="shared" si="17"/>
        <v>2.2164257760399998E-6</v>
      </c>
      <c r="BE17">
        <f t="shared" si="17"/>
        <v>0.26845256577989202</v>
      </c>
      <c r="BF17">
        <f t="shared" si="17"/>
        <v>0.25777181028522</v>
      </c>
      <c r="BG17">
        <f t="shared" si="17"/>
        <v>2.2964336708235E-4</v>
      </c>
      <c r="BH17">
        <f t="shared" si="17"/>
        <v>1.4056348555370001E-5</v>
      </c>
      <c r="BI17">
        <f t="shared" si="17"/>
        <v>0</v>
      </c>
    </row>
    <row r="18" spans="1:62" x14ac:dyDescent="0.3">
      <c r="A18" s="2" t="s">
        <v>36</v>
      </c>
    </row>
    <row r="19" spans="1:62" x14ac:dyDescent="0.3">
      <c r="A19" s="2" t="s">
        <v>37</v>
      </c>
      <c r="B19" t="str">
        <f t="shared" ref="B19:AG19" si="18">A40</f>
        <v>A.08.01.001.003</v>
      </c>
      <c r="C19" t="str">
        <f t="shared" si="18"/>
        <v>Cow milk, 1 - 2.9% fat (semi-skimmed milk)</v>
      </c>
      <c r="D19" t="str">
        <f t="shared" si="18"/>
        <v>Milk and dairy products</v>
      </c>
      <c r="E19" t="str">
        <f t="shared" si="18"/>
        <v>Liquid milk</v>
      </c>
      <c r="F19">
        <f t="shared" si="18"/>
        <v>1000</v>
      </c>
      <c r="G19">
        <f t="shared" si="18"/>
        <v>1.1330430576814701</v>
      </c>
      <c r="H19">
        <f t="shared" si="18"/>
        <v>0.32532598241916599</v>
      </c>
      <c r="I19">
        <f t="shared" si="18"/>
        <v>1.3185106965476899E-3</v>
      </c>
      <c r="J19">
        <f t="shared" si="18"/>
        <v>2.5899986343567501E-2</v>
      </c>
      <c r="K19">
        <f t="shared" si="18"/>
        <v>9.2552392413906002E-4</v>
      </c>
      <c r="L19">
        <f t="shared" si="18"/>
        <v>0.98519212956271596</v>
      </c>
      <c r="M19">
        <f t="shared" si="18"/>
        <v>0.19387305151305101</v>
      </c>
      <c r="N19">
        <f t="shared" si="18"/>
        <v>8.8601244119798997E-4</v>
      </c>
      <c r="O19">
        <f t="shared" si="18"/>
        <v>2.5854175220252001E-2</v>
      </c>
      <c r="P19">
        <f t="shared" si="18"/>
        <v>9.1719920298998002E-4</v>
      </c>
      <c r="Q19">
        <f t="shared" si="18"/>
        <v>0.85001931997625302</v>
      </c>
      <c r="R19">
        <f t="shared" si="18"/>
        <v>1.45981825976774E-2</v>
      </c>
      <c r="S19">
        <f t="shared" si="18"/>
        <v>1.0299681768157201E-3</v>
      </c>
      <c r="T19">
        <f t="shared" si="18"/>
        <v>7.9864905677551196E-3</v>
      </c>
      <c r="U19">
        <f t="shared" si="18"/>
        <v>6.5758842964533604E-2</v>
      </c>
      <c r="V19">
        <f t="shared" si="18"/>
        <v>9.0734633843083304E-12</v>
      </c>
      <c r="W19">
        <f t="shared" si="18"/>
        <v>4.4655061914256999E-4</v>
      </c>
      <c r="X19">
        <v>0.01</v>
      </c>
      <c r="Y19">
        <f t="shared" si="18"/>
        <v>7.8827440129728101</v>
      </c>
      <c r="Z19">
        <f t="shared" si="18"/>
        <v>3.6769997332784798E-2</v>
      </c>
      <c r="AA19">
        <f t="shared" si="18"/>
        <v>2.24625839413338E-2</v>
      </c>
      <c r="AB19">
        <f t="shared" si="18"/>
        <v>7.5289554592282801E-2</v>
      </c>
      <c r="AC19">
        <f t="shared" si="18"/>
        <v>0.163452112340609</v>
      </c>
      <c r="AD19">
        <f t="shared" si="18"/>
        <v>2.6502468428310399E-2</v>
      </c>
      <c r="AE19">
        <f t="shared" si="18"/>
        <v>0.477173206866289</v>
      </c>
      <c r="AF19">
        <f t="shared" si="18"/>
        <v>0.183542206061104</v>
      </c>
      <c r="AG19">
        <f t="shared" si="18"/>
        <v>2.2183429954827302E-2</v>
      </c>
      <c r="AH19">
        <f t="shared" ref="AH19:BI19" si="19">AG40</f>
        <v>2.0122118326568E-2</v>
      </c>
      <c r="AI19">
        <f t="shared" si="19"/>
        <v>0.15584588450610101</v>
      </c>
      <c r="AJ19">
        <f t="shared" si="19"/>
        <v>2.6502468428310399E-2</v>
      </c>
      <c r="AK19">
        <f t="shared" si="19"/>
        <v>4.1275529743389997E-5</v>
      </c>
      <c r="AL19">
        <f t="shared" si="19"/>
        <v>7.1082044781760001E-5</v>
      </c>
      <c r="AM19">
        <f t="shared" si="19"/>
        <v>7.2523665507376697E-2</v>
      </c>
      <c r="AN19">
        <f t="shared" si="19"/>
        <v>0</v>
      </c>
      <c r="AO19">
        <f t="shared" si="19"/>
        <v>1.76730817357885E-2</v>
      </c>
      <c r="AP19">
        <f t="shared" si="19"/>
        <v>4.09054674223176E-3</v>
      </c>
      <c r="AQ19">
        <f t="shared" si="19"/>
        <v>4.892511572016E-5</v>
      </c>
      <c r="AR19">
        <f t="shared" si="19"/>
        <v>8.1399516582157897E-7</v>
      </c>
      <c r="AS19">
        <f t="shared" si="19"/>
        <v>2.7578591425744001E-4</v>
      </c>
      <c r="AT19">
        <f t="shared" si="19"/>
        <v>7.2301658109980599E-2</v>
      </c>
      <c r="AU19">
        <f t="shared" si="19"/>
        <v>2.6775620520456001E-4</v>
      </c>
      <c r="AV19">
        <f t="shared" si="19"/>
        <v>1.16559293746207E-2</v>
      </c>
      <c r="AW19">
        <f t="shared" si="19"/>
        <v>1.0211712712978801E-2</v>
      </c>
      <c r="AX19">
        <f t="shared" si="19"/>
        <v>4.43926200926E-5</v>
      </c>
      <c r="AY19">
        <f t="shared" si="19"/>
        <v>4.4438308748041299E-7</v>
      </c>
      <c r="AZ19">
        <f t="shared" si="19"/>
        <v>8.9356930463117906E-2</v>
      </c>
      <c r="BA19">
        <f t="shared" si="19"/>
        <v>7.6347166005903203E-2</v>
      </c>
      <c r="BB19">
        <f t="shared" si="19"/>
        <v>3.4830651141009E-4</v>
      </c>
      <c r="BC19">
        <f t="shared" si="19"/>
        <v>4.5811123315500002E-5</v>
      </c>
      <c r="BD19">
        <f t="shared" si="19"/>
        <v>5.1037732149200004E-6</v>
      </c>
      <c r="BE19">
        <f t="shared" si="19"/>
        <v>4.6838068281015603E-2</v>
      </c>
      <c r="BF19">
        <f t="shared" si="19"/>
        <v>4.4894052187232698E-2</v>
      </c>
      <c r="BG19">
        <f t="shared" si="19"/>
        <v>3.9799123846989999E-5</v>
      </c>
      <c r="BH19">
        <f t="shared" si="19"/>
        <v>2.7765648466700001E-6</v>
      </c>
      <c r="BI19" t="str">
        <f t="shared" si="19"/>
        <v>F28.A0EKQ</v>
      </c>
    </row>
    <row r="20" spans="1:62" x14ac:dyDescent="0.3">
      <c r="A20" s="2" t="s">
        <v>38</v>
      </c>
      <c r="B20" t="str">
        <f t="shared" ref="B20:AG20" si="20">A39</f>
        <v>A.07.06.004</v>
      </c>
      <c r="C20" t="str">
        <f t="shared" si="20"/>
        <v>Snail (Helix sp.)</v>
      </c>
      <c r="D20" t="str">
        <f t="shared" si="20"/>
        <v>Fish and other seafood (including amphibians, reptiles, snails and insects)</v>
      </c>
      <c r="E20" t="str">
        <f t="shared" si="20"/>
        <v>Amphibians, reptiles, snails, insects</v>
      </c>
      <c r="F20">
        <f t="shared" si="20"/>
        <v>1000</v>
      </c>
      <c r="G20">
        <f t="shared" si="20"/>
        <v>14.8079227367546</v>
      </c>
      <c r="H20">
        <f t="shared" si="20"/>
        <v>14.7555091414053</v>
      </c>
      <c r="I20">
        <f t="shared" si="20"/>
        <v>1.59857989257933E-3</v>
      </c>
      <c r="J20">
        <f t="shared" si="20"/>
        <v>2.7304202168160002E-5</v>
      </c>
      <c r="K20">
        <f t="shared" si="20"/>
        <v>1.479377689346E-5</v>
      </c>
      <c r="L20">
        <f t="shared" si="20"/>
        <v>14.363135528045699</v>
      </c>
      <c r="M20">
        <f t="shared" si="20"/>
        <v>14.363135528045699</v>
      </c>
      <c r="N20">
        <f t="shared" si="20"/>
        <v>0</v>
      </c>
      <c r="O20">
        <f t="shared" si="20"/>
        <v>0</v>
      </c>
      <c r="P20">
        <f t="shared" si="20"/>
        <v>0</v>
      </c>
      <c r="Q20">
        <f t="shared" si="20"/>
        <v>0</v>
      </c>
      <c r="R20">
        <f t="shared" si="20"/>
        <v>0</v>
      </c>
      <c r="S20">
        <f t="shared" si="20"/>
        <v>0</v>
      </c>
      <c r="T20">
        <f t="shared" si="20"/>
        <v>0</v>
      </c>
      <c r="U20">
        <f t="shared" si="20"/>
        <v>0</v>
      </c>
      <c r="V20">
        <f t="shared" si="20"/>
        <v>0</v>
      </c>
      <c r="W20">
        <f t="shared" si="20"/>
        <v>0</v>
      </c>
      <c r="X20">
        <f t="shared" si="20"/>
        <v>13.613068724169</v>
      </c>
      <c r="Y20">
        <f t="shared" si="20"/>
        <v>0</v>
      </c>
      <c r="Z20">
        <f t="shared" si="20"/>
        <v>0</v>
      </c>
      <c r="AA20">
        <f t="shared" si="20"/>
        <v>0</v>
      </c>
      <c r="AB20">
        <f t="shared" si="20"/>
        <v>0</v>
      </c>
      <c r="AC20">
        <f t="shared" si="20"/>
        <v>14.363135528045699</v>
      </c>
      <c r="AD20">
        <f t="shared" si="20"/>
        <v>0</v>
      </c>
      <c r="AE20">
        <f t="shared" si="20"/>
        <v>0</v>
      </c>
      <c r="AF20">
        <f t="shared" si="20"/>
        <v>0</v>
      </c>
      <c r="AG20">
        <f t="shared" si="20"/>
        <v>0</v>
      </c>
      <c r="AH20">
        <f t="shared" ref="AH20:BI20" si="21">AG39</f>
        <v>0</v>
      </c>
      <c r="AI20">
        <f t="shared" si="21"/>
        <v>14.363135528045699</v>
      </c>
      <c r="AJ20">
        <f t="shared" si="21"/>
        <v>0</v>
      </c>
      <c r="AK20">
        <f t="shared" si="21"/>
        <v>0</v>
      </c>
      <c r="AL20">
        <f t="shared" si="21"/>
        <v>0</v>
      </c>
      <c r="AM20">
        <f t="shared" si="21"/>
        <v>0</v>
      </c>
      <c r="AN20">
        <f t="shared" si="21"/>
        <v>0</v>
      </c>
      <c r="AO20">
        <f t="shared" si="21"/>
        <v>0</v>
      </c>
      <c r="AP20">
        <f t="shared" si="21"/>
        <v>0</v>
      </c>
      <c r="AQ20">
        <f t="shared" si="21"/>
        <v>0</v>
      </c>
      <c r="AR20">
        <f t="shared" si="21"/>
        <v>0</v>
      </c>
      <c r="AS20">
        <f t="shared" si="21"/>
        <v>0</v>
      </c>
      <c r="AT20">
        <f t="shared" si="21"/>
        <v>0</v>
      </c>
      <c r="AU20">
        <f t="shared" si="21"/>
        <v>0</v>
      </c>
      <c r="AV20">
        <f t="shared" si="21"/>
        <v>0</v>
      </c>
      <c r="AW20">
        <f t="shared" si="21"/>
        <v>0</v>
      </c>
      <c r="AX20">
        <f t="shared" si="21"/>
        <v>0</v>
      </c>
      <c r="AY20">
        <f t="shared" si="21"/>
        <v>0</v>
      </c>
      <c r="AZ20">
        <f t="shared" si="21"/>
        <v>0.17633464292901599</v>
      </c>
      <c r="BA20">
        <f t="shared" si="21"/>
        <v>0.134601803074367</v>
      </c>
      <c r="BB20">
        <f t="shared" si="21"/>
        <v>1.36893652549697E-3</v>
      </c>
      <c r="BC20">
        <f t="shared" si="21"/>
        <v>2.7304202168160002E-5</v>
      </c>
      <c r="BD20">
        <f t="shared" si="21"/>
        <v>7.3742833809112202E-7</v>
      </c>
      <c r="BE20">
        <f t="shared" si="21"/>
        <v>0.26845256577989202</v>
      </c>
      <c r="BF20">
        <f t="shared" si="21"/>
        <v>0.25777181028522</v>
      </c>
      <c r="BG20">
        <f t="shared" si="21"/>
        <v>2.2964336708235E-4</v>
      </c>
      <c r="BH20">
        <f t="shared" si="21"/>
        <v>1.4056348555370001E-5</v>
      </c>
      <c r="BI20">
        <f t="shared" si="21"/>
        <v>0</v>
      </c>
    </row>
    <row r="21" spans="1:62" x14ac:dyDescent="0.3">
      <c r="A21" s="2" t="s">
        <v>39</v>
      </c>
      <c r="B21" t="str">
        <f t="shared" ref="B21:AG21" si="22">A32</f>
        <v>A.06.01.004</v>
      </c>
      <c r="C21" t="str">
        <f t="shared" si="22"/>
        <v>Mutton / lamb meat (Ovis aries)</v>
      </c>
      <c r="D21" t="str">
        <f t="shared" si="22"/>
        <v>Meat and meat products (including edible offal)</v>
      </c>
      <c r="E21" t="str">
        <f t="shared" si="22"/>
        <v>Livestock meat</v>
      </c>
      <c r="F21">
        <f t="shared" si="22"/>
        <v>1000</v>
      </c>
      <c r="G21">
        <f t="shared" si="22"/>
        <v>36.049124874625399</v>
      </c>
      <c r="H21">
        <f t="shared" si="22"/>
        <v>7.9397977047823698</v>
      </c>
      <c r="I21">
        <f t="shared" si="22"/>
        <v>3.2180583452499197E-2</v>
      </c>
      <c r="J21">
        <f t="shared" si="22"/>
        <v>0.74825593727270701</v>
      </c>
      <c r="K21">
        <f t="shared" si="22"/>
        <v>2.54484815992507E-2</v>
      </c>
      <c r="L21">
        <f t="shared" si="22"/>
        <v>35.774812455105199</v>
      </c>
      <c r="M21">
        <f t="shared" si="22"/>
        <v>7.7094141213748602</v>
      </c>
      <c r="N21">
        <f t="shared" si="22"/>
        <v>3.0791559544487101E-2</v>
      </c>
      <c r="O21">
        <f t="shared" si="22"/>
        <v>0.748230055164402</v>
      </c>
      <c r="P21">
        <f t="shared" si="22"/>
        <v>2.5441752270570599E-2</v>
      </c>
      <c r="Q21">
        <f t="shared" si="22"/>
        <v>33.216027039294502</v>
      </c>
      <c r="R21">
        <f t="shared" si="22"/>
        <v>0.99770905031488299</v>
      </c>
      <c r="S21">
        <f t="shared" si="22"/>
        <v>4.9139615120338001E-2</v>
      </c>
      <c r="T21">
        <f t="shared" si="22"/>
        <v>0.43058540930669698</v>
      </c>
      <c r="U21">
        <f t="shared" si="22"/>
        <v>1.64576694955554</v>
      </c>
      <c r="V21">
        <f t="shared" si="22"/>
        <v>1.34110974034649E-9</v>
      </c>
      <c r="W21">
        <f t="shared" si="22"/>
        <v>9.7436530351026604E-2</v>
      </c>
      <c r="X21">
        <f t="shared" si="22"/>
        <v>3.5731666889236799</v>
      </c>
      <c r="Y21">
        <f t="shared" si="22"/>
        <v>91.187282631744296</v>
      </c>
      <c r="Z21">
        <f t="shared" si="22"/>
        <v>2.5825398543798301</v>
      </c>
      <c r="AA21">
        <f t="shared" si="22"/>
        <v>1.7837584412134</v>
      </c>
      <c r="AB21">
        <f t="shared" si="22"/>
        <v>5.0256655299329598</v>
      </c>
      <c r="AC21">
        <f t="shared" si="22"/>
        <v>5.08822823258018</v>
      </c>
      <c r="AD21">
        <f t="shared" si="22"/>
        <v>0.628045099092992</v>
      </c>
      <c r="AE21">
        <f t="shared" si="22"/>
        <v>19.678986216518101</v>
      </c>
      <c r="AF21">
        <f t="shared" si="22"/>
        <v>0.98758908138771995</v>
      </c>
      <c r="AG21">
        <f t="shared" si="22"/>
        <v>1.5289426812351199</v>
      </c>
      <c r="AH21">
        <f t="shared" ref="AH21:BI21" si="23">AG32</f>
        <v>1.5850778138413599</v>
      </c>
      <c r="AI21">
        <f t="shared" si="23"/>
        <v>4.9651423094315597</v>
      </c>
      <c r="AJ21">
        <f t="shared" si="23"/>
        <v>0.628045099092992</v>
      </c>
      <c r="AK21">
        <f t="shared" si="23"/>
        <v>2.9102215768688402E-3</v>
      </c>
      <c r="AL21">
        <f t="shared" si="23"/>
        <v>5.6598608060632596E-3</v>
      </c>
      <c r="AM21">
        <f t="shared" si="23"/>
        <v>2.6028626115949298</v>
      </c>
      <c r="AN21">
        <f t="shared" si="23"/>
        <v>0</v>
      </c>
      <c r="AO21">
        <f t="shared" si="23"/>
        <v>0.72885134135252305</v>
      </c>
      <c r="AP21">
        <f t="shared" si="23"/>
        <v>1.9378713811878799E-2</v>
      </c>
      <c r="AQ21">
        <f t="shared" si="23"/>
        <v>3.5416577661319501E-3</v>
      </c>
      <c r="AR21">
        <f t="shared" si="23"/>
        <v>1.0995155806357E-4</v>
      </c>
      <c r="AS21">
        <f t="shared" si="23"/>
        <v>1.8409031245175698E-2</v>
      </c>
      <c r="AT21">
        <f t="shared" si="23"/>
        <v>2.5996893422728902</v>
      </c>
      <c r="AU21">
        <f t="shared" si="23"/>
        <v>1.70096633138092E-3</v>
      </c>
      <c r="AV21">
        <f t="shared" si="23"/>
        <v>0</v>
      </c>
      <c r="AW21">
        <f t="shared" si="23"/>
        <v>0</v>
      </c>
      <c r="AX21">
        <f t="shared" si="23"/>
        <v>0</v>
      </c>
      <c r="AY21">
        <f t="shared" si="23"/>
        <v>0</v>
      </c>
      <c r="AZ21">
        <f t="shared" si="23"/>
        <v>0.16715054694313</v>
      </c>
      <c r="BA21">
        <f t="shared" si="23"/>
        <v>0.127591292497577</v>
      </c>
      <c r="BB21">
        <f t="shared" si="23"/>
        <v>1.2976377481273399E-3</v>
      </c>
      <c r="BC21">
        <f t="shared" si="23"/>
        <v>2.5882108305240001E-5</v>
      </c>
      <c r="BD21">
        <f t="shared" si="23"/>
        <v>6.9902061214887601E-7</v>
      </c>
      <c r="BE21">
        <f t="shared" si="23"/>
        <v>0.107161872577043</v>
      </c>
      <c r="BF21">
        <f t="shared" si="23"/>
        <v>0.102792290909925</v>
      </c>
      <c r="BG21">
        <f t="shared" si="23"/>
        <v>9.1386159884779999E-5</v>
      </c>
      <c r="BH21">
        <f t="shared" si="23"/>
        <v>6.0303080679500002E-6</v>
      </c>
      <c r="BI21">
        <f t="shared" si="23"/>
        <v>0</v>
      </c>
    </row>
    <row r="22" spans="1:62" x14ac:dyDescent="0.3">
      <c r="A22" s="2" t="s">
        <v>40</v>
      </c>
      <c r="B22" t="str">
        <f t="shared" ref="B22:AG22" si="24">A32</f>
        <v>A.06.01.004</v>
      </c>
      <c r="C22" t="str">
        <f t="shared" si="24"/>
        <v>Mutton / lamb meat (Ovis aries)</v>
      </c>
      <c r="D22" t="str">
        <f t="shared" si="24"/>
        <v>Meat and meat products (including edible offal)</v>
      </c>
      <c r="E22" t="str">
        <f t="shared" si="24"/>
        <v>Livestock meat</v>
      </c>
      <c r="F22">
        <f t="shared" si="24"/>
        <v>1000</v>
      </c>
      <c r="G22">
        <f t="shared" si="24"/>
        <v>36.049124874625399</v>
      </c>
      <c r="H22">
        <f t="shared" si="24"/>
        <v>7.9397977047823698</v>
      </c>
      <c r="I22">
        <f t="shared" si="24"/>
        <v>3.2180583452499197E-2</v>
      </c>
      <c r="J22">
        <f t="shared" si="24"/>
        <v>0.74825593727270701</v>
      </c>
      <c r="K22">
        <f t="shared" si="24"/>
        <v>2.54484815992507E-2</v>
      </c>
      <c r="L22">
        <f t="shared" si="24"/>
        <v>35.774812455105199</v>
      </c>
      <c r="M22">
        <f t="shared" si="24"/>
        <v>7.7094141213748602</v>
      </c>
      <c r="N22">
        <f t="shared" si="24"/>
        <v>3.0791559544487101E-2</v>
      </c>
      <c r="O22">
        <f t="shared" si="24"/>
        <v>0.748230055164402</v>
      </c>
      <c r="P22">
        <f t="shared" si="24"/>
        <v>2.5441752270570599E-2</v>
      </c>
      <c r="Q22">
        <f t="shared" si="24"/>
        <v>33.216027039294502</v>
      </c>
      <c r="R22">
        <f t="shared" si="24"/>
        <v>0.99770905031488299</v>
      </c>
      <c r="S22">
        <f t="shared" si="24"/>
        <v>4.9139615120338001E-2</v>
      </c>
      <c r="T22">
        <f t="shared" si="24"/>
        <v>0.43058540930669698</v>
      </c>
      <c r="U22">
        <f t="shared" si="24"/>
        <v>1.64576694955554</v>
      </c>
      <c r="V22">
        <f t="shared" si="24"/>
        <v>1.34110974034649E-9</v>
      </c>
      <c r="W22">
        <f t="shared" si="24"/>
        <v>9.7436530351026604E-2</v>
      </c>
      <c r="X22">
        <f t="shared" si="24"/>
        <v>3.5731666889236799</v>
      </c>
      <c r="Y22">
        <f t="shared" si="24"/>
        <v>91.187282631744296</v>
      </c>
      <c r="Z22">
        <f t="shared" si="24"/>
        <v>2.5825398543798301</v>
      </c>
      <c r="AA22">
        <f t="shared" si="24"/>
        <v>1.7837584412134</v>
      </c>
      <c r="AB22">
        <f t="shared" si="24"/>
        <v>5.0256655299329598</v>
      </c>
      <c r="AC22">
        <f t="shared" si="24"/>
        <v>5.08822823258018</v>
      </c>
      <c r="AD22">
        <f t="shared" si="24"/>
        <v>0.628045099092992</v>
      </c>
      <c r="AE22">
        <f t="shared" si="24"/>
        <v>19.678986216518101</v>
      </c>
      <c r="AF22">
        <f t="shared" si="24"/>
        <v>0.98758908138771995</v>
      </c>
      <c r="AG22">
        <f t="shared" si="24"/>
        <v>1.5289426812351199</v>
      </c>
      <c r="AH22">
        <f t="shared" ref="AH22:BI22" si="25">AG32</f>
        <v>1.5850778138413599</v>
      </c>
      <c r="AI22">
        <f t="shared" si="25"/>
        <v>4.9651423094315597</v>
      </c>
      <c r="AJ22">
        <f t="shared" si="25"/>
        <v>0.628045099092992</v>
      </c>
      <c r="AK22">
        <f t="shared" si="25"/>
        <v>2.9102215768688402E-3</v>
      </c>
      <c r="AL22">
        <f t="shared" si="25"/>
        <v>5.6598608060632596E-3</v>
      </c>
      <c r="AM22">
        <f t="shared" si="25"/>
        <v>2.6028626115949298</v>
      </c>
      <c r="AN22">
        <f t="shared" si="25"/>
        <v>0</v>
      </c>
      <c r="AO22">
        <f t="shared" si="25"/>
        <v>0.72885134135252305</v>
      </c>
      <c r="AP22">
        <f t="shared" si="25"/>
        <v>1.9378713811878799E-2</v>
      </c>
      <c r="AQ22">
        <f t="shared" si="25"/>
        <v>3.5416577661319501E-3</v>
      </c>
      <c r="AR22">
        <f t="shared" si="25"/>
        <v>1.0995155806357E-4</v>
      </c>
      <c r="AS22">
        <f t="shared" si="25"/>
        <v>1.8409031245175698E-2</v>
      </c>
      <c r="AT22">
        <f t="shared" si="25"/>
        <v>2.5996893422728902</v>
      </c>
      <c r="AU22">
        <f t="shared" si="25"/>
        <v>1.70096633138092E-3</v>
      </c>
      <c r="AV22">
        <f t="shared" si="25"/>
        <v>0</v>
      </c>
      <c r="AW22">
        <f t="shared" si="25"/>
        <v>0</v>
      </c>
      <c r="AX22">
        <f t="shared" si="25"/>
        <v>0</v>
      </c>
      <c r="AY22">
        <f t="shared" si="25"/>
        <v>0</v>
      </c>
      <c r="AZ22">
        <f t="shared" si="25"/>
        <v>0.16715054694313</v>
      </c>
      <c r="BA22">
        <f t="shared" si="25"/>
        <v>0.127591292497577</v>
      </c>
      <c r="BB22">
        <f t="shared" si="25"/>
        <v>1.2976377481273399E-3</v>
      </c>
      <c r="BC22">
        <f t="shared" si="25"/>
        <v>2.5882108305240001E-5</v>
      </c>
      <c r="BD22">
        <f t="shared" si="25"/>
        <v>6.9902061214887601E-7</v>
      </c>
      <c r="BE22">
        <f t="shared" si="25"/>
        <v>0.107161872577043</v>
      </c>
      <c r="BF22">
        <f t="shared" si="25"/>
        <v>0.102792290909925</v>
      </c>
      <c r="BG22">
        <f t="shared" si="25"/>
        <v>9.1386159884779999E-5</v>
      </c>
      <c r="BH22">
        <f t="shared" si="25"/>
        <v>6.0303080679500002E-6</v>
      </c>
      <c r="BI22">
        <f t="shared" si="25"/>
        <v>0</v>
      </c>
    </row>
    <row r="23" spans="1:62" x14ac:dyDescent="0.3">
      <c r="A23" s="2" t="s">
        <v>41</v>
      </c>
      <c r="B23" t="str">
        <f t="shared" ref="B23:AG23" si="26">A35</f>
        <v>A.07.01.001</v>
      </c>
      <c r="C23" t="str">
        <f t="shared" si="26"/>
        <v>Herring (Clupea)</v>
      </c>
      <c r="D23" t="str">
        <f t="shared" si="26"/>
        <v>Fish and other seafood (including amphibians, reptiles, snails and insects)</v>
      </c>
      <c r="E23" t="str">
        <f t="shared" si="26"/>
        <v>Fish meat</v>
      </c>
      <c r="F23">
        <f t="shared" si="26"/>
        <v>1000</v>
      </c>
      <c r="G23">
        <f t="shared" si="26"/>
        <v>5.2603706363124196</v>
      </c>
      <c r="H23">
        <f t="shared" si="26"/>
        <v>5.2282670498170498</v>
      </c>
      <c r="I23">
        <f t="shared" si="26"/>
        <v>9.1150614149895001E-4</v>
      </c>
      <c r="J23">
        <f t="shared" si="26"/>
        <v>1.8453188378809999E-5</v>
      </c>
      <c r="K23">
        <f t="shared" si="26"/>
        <v>1.6272774331420001E-5</v>
      </c>
      <c r="L23">
        <f t="shared" si="26"/>
        <v>4.8858897274340798</v>
      </c>
      <c r="M23">
        <f t="shared" si="26"/>
        <v>4.8858897274340798</v>
      </c>
      <c r="N23">
        <f t="shared" si="26"/>
        <v>0</v>
      </c>
      <c r="O23">
        <f t="shared" si="26"/>
        <v>0</v>
      </c>
      <c r="P23">
        <f t="shared" si="26"/>
        <v>0</v>
      </c>
      <c r="Q23">
        <f t="shared" si="26"/>
        <v>0</v>
      </c>
      <c r="R23">
        <f t="shared" si="26"/>
        <v>0</v>
      </c>
      <c r="S23">
        <f t="shared" si="26"/>
        <v>0</v>
      </c>
      <c r="T23">
        <f t="shared" si="26"/>
        <v>0</v>
      </c>
      <c r="U23">
        <f t="shared" si="26"/>
        <v>0</v>
      </c>
      <c r="V23">
        <f t="shared" si="26"/>
        <v>0</v>
      </c>
      <c r="W23">
        <f t="shared" si="26"/>
        <v>0</v>
      </c>
      <c r="X23">
        <f t="shared" si="26"/>
        <v>10.716474501609101</v>
      </c>
      <c r="Y23">
        <f t="shared" si="26"/>
        <v>0</v>
      </c>
      <c r="Z23">
        <f t="shared" si="26"/>
        <v>0</v>
      </c>
      <c r="AA23">
        <f t="shared" si="26"/>
        <v>0</v>
      </c>
      <c r="AB23">
        <f t="shared" si="26"/>
        <v>0</v>
      </c>
      <c r="AC23">
        <f t="shared" si="26"/>
        <v>4.8858897274340798</v>
      </c>
      <c r="AD23">
        <f t="shared" si="26"/>
        <v>0</v>
      </c>
      <c r="AE23">
        <f t="shared" si="26"/>
        <v>0</v>
      </c>
      <c r="AF23">
        <f t="shared" si="26"/>
        <v>0</v>
      </c>
      <c r="AG23">
        <f t="shared" si="26"/>
        <v>0</v>
      </c>
      <c r="AH23">
        <f t="shared" ref="AH23:BI23" si="27">AG35</f>
        <v>0</v>
      </c>
      <c r="AI23">
        <f t="shared" si="27"/>
        <v>4.8858897274340798</v>
      </c>
      <c r="AJ23">
        <f t="shared" si="27"/>
        <v>0</v>
      </c>
      <c r="AK23">
        <f t="shared" si="27"/>
        <v>0</v>
      </c>
      <c r="AL23">
        <f t="shared" si="27"/>
        <v>0</v>
      </c>
      <c r="AM23">
        <f t="shared" si="27"/>
        <v>0</v>
      </c>
      <c r="AN23">
        <f t="shared" si="27"/>
        <v>0</v>
      </c>
      <c r="AO23">
        <f t="shared" si="27"/>
        <v>0</v>
      </c>
      <c r="AP23">
        <f t="shared" si="27"/>
        <v>0</v>
      </c>
      <c r="AQ23">
        <f t="shared" si="27"/>
        <v>0</v>
      </c>
      <c r="AR23">
        <f t="shared" si="27"/>
        <v>0</v>
      </c>
      <c r="AS23">
        <f t="shared" si="27"/>
        <v>0</v>
      </c>
      <c r="AT23">
        <f t="shared" si="27"/>
        <v>0</v>
      </c>
      <c r="AU23">
        <f t="shared" si="27"/>
        <v>0</v>
      </c>
      <c r="AV23">
        <f t="shared" si="27"/>
        <v>0</v>
      </c>
      <c r="AW23">
        <f t="shared" si="27"/>
        <v>0</v>
      </c>
      <c r="AX23">
        <f t="shared" si="27"/>
        <v>0</v>
      </c>
      <c r="AY23">
        <f t="shared" si="27"/>
        <v>0</v>
      </c>
      <c r="AZ23">
        <f t="shared" si="27"/>
        <v>0.106028343098449</v>
      </c>
      <c r="BA23">
        <f t="shared" si="27"/>
        <v>8.4605512097746596E-2</v>
      </c>
      <c r="BB23">
        <f t="shared" si="27"/>
        <v>6.8186277441658998E-4</v>
      </c>
      <c r="BC23">
        <f t="shared" si="27"/>
        <v>1.8453188378809999E-5</v>
      </c>
      <c r="BD23">
        <f t="shared" si="27"/>
        <v>2.2164257760399998E-6</v>
      </c>
      <c r="BE23">
        <f t="shared" si="27"/>
        <v>0.26845256577989202</v>
      </c>
      <c r="BF23">
        <f t="shared" si="27"/>
        <v>0.25777181028522</v>
      </c>
      <c r="BG23">
        <f t="shared" si="27"/>
        <v>2.2964336708235E-4</v>
      </c>
      <c r="BH23">
        <f t="shared" si="27"/>
        <v>1.4056348555370001E-5</v>
      </c>
      <c r="BI23">
        <f t="shared" si="27"/>
        <v>0</v>
      </c>
    </row>
    <row r="24" spans="1:62" x14ac:dyDescent="0.3">
      <c r="A24" s="2" t="s">
        <v>42</v>
      </c>
      <c r="B24" t="str">
        <f t="shared" ref="B24:AG24" si="28">A31</f>
        <v>A.06.01.003</v>
      </c>
      <c r="C24" t="str">
        <f t="shared" si="28"/>
        <v>Pork / piglet meat (Sus scrofa)</v>
      </c>
      <c r="D24" t="str">
        <f t="shared" si="28"/>
        <v>Meat and meat products (including edible offal)</v>
      </c>
      <c r="E24" t="str">
        <f t="shared" si="28"/>
        <v>Livestock meat</v>
      </c>
      <c r="F24">
        <f t="shared" si="28"/>
        <v>1000</v>
      </c>
      <c r="G24">
        <f t="shared" si="28"/>
        <v>7.7251790541149603</v>
      </c>
      <c r="H24">
        <f t="shared" si="28"/>
        <v>3.2118323701431799</v>
      </c>
      <c r="I24">
        <f t="shared" si="28"/>
        <v>6.6975978671088704E-3</v>
      </c>
      <c r="J24">
        <f t="shared" si="28"/>
        <v>0.11241689672372</v>
      </c>
      <c r="K24">
        <f t="shared" si="28"/>
        <v>4.6831577142544796E-3</v>
      </c>
      <c r="L24">
        <f t="shared" si="28"/>
        <v>7.4920523529113803</v>
      </c>
      <c r="M24">
        <f t="shared" si="28"/>
        <v>3.0210085809363401</v>
      </c>
      <c r="N24">
        <f t="shared" si="28"/>
        <v>5.3439248061966996E-3</v>
      </c>
      <c r="O24">
        <f t="shared" si="28"/>
        <v>0.11239101461541499</v>
      </c>
      <c r="P24">
        <f t="shared" si="28"/>
        <v>4.6785253411507598E-3</v>
      </c>
      <c r="Q24">
        <f t="shared" si="28"/>
        <v>13.433987448758</v>
      </c>
      <c r="R24">
        <f t="shared" si="28"/>
        <v>0.16131440936843899</v>
      </c>
      <c r="S24">
        <f t="shared" si="28"/>
        <v>3.00508407312438E-2</v>
      </c>
      <c r="T24">
        <f t="shared" si="28"/>
        <v>0.64173736749573695</v>
      </c>
      <c r="U24">
        <f t="shared" si="28"/>
        <v>1.83780834532084</v>
      </c>
      <c r="V24">
        <f t="shared" si="28"/>
        <v>1.02943286644975E-10</v>
      </c>
      <c r="W24">
        <f t="shared" si="28"/>
        <v>6.5632657089921997E-2</v>
      </c>
      <c r="X24">
        <f t="shared" si="28"/>
        <v>4.0080885799195602</v>
      </c>
      <c r="Y24">
        <f t="shared" si="28"/>
        <v>252.58201283046299</v>
      </c>
      <c r="Z24">
        <f t="shared" si="28"/>
        <v>0.64115975896427901</v>
      </c>
      <c r="AA24">
        <f t="shared" si="28"/>
        <v>0.21269980090830301</v>
      </c>
      <c r="AB24">
        <f t="shared" si="28"/>
        <v>0.57605297843417702</v>
      </c>
      <c r="AC24">
        <f t="shared" si="28"/>
        <v>2.2339500676661901</v>
      </c>
      <c r="AD24">
        <f t="shared" si="28"/>
        <v>0.35433895914159502</v>
      </c>
      <c r="AE24">
        <f t="shared" si="28"/>
        <v>0.305921100496305</v>
      </c>
      <c r="AF24">
        <f t="shared" si="28"/>
        <v>3.16792968730052</v>
      </c>
      <c r="AG24">
        <f t="shared" si="28"/>
        <v>0.388163606504763</v>
      </c>
      <c r="AH24">
        <f t="shared" ref="AH24:BI24" si="29">AG31</f>
        <v>0.189879717022684</v>
      </c>
      <c r="AI24">
        <f t="shared" si="29"/>
        <v>2.1089616725023501</v>
      </c>
      <c r="AJ24">
        <f t="shared" si="29"/>
        <v>0.35433895914159502</v>
      </c>
      <c r="AK24">
        <f t="shared" si="29"/>
        <v>7.3110939143865999E-4</v>
      </c>
      <c r="AL24">
        <f t="shared" si="29"/>
        <v>7.0003124852962E-4</v>
      </c>
      <c r="AM24">
        <f t="shared" si="29"/>
        <v>0.38116168754160701</v>
      </c>
      <c r="AN24">
        <f t="shared" si="29"/>
        <v>0</v>
      </c>
      <c r="AO24">
        <f t="shared" si="29"/>
        <v>1.13304111294928E-2</v>
      </c>
      <c r="AP24">
        <f t="shared" si="29"/>
        <v>0.101060603485922</v>
      </c>
      <c r="AQ24">
        <f t="shared" si="29"/>
        <v>8.4691975309393E-4</v>
      </c>
      <c r="AR24">
        <f t="shared" si="29"/>
        <v>7.1763834411600003E-6</v>
      </c>
      <c r="AS24">
        <f t="shared" si="29"/>
        <v>2.1100841700885599E-3</v>
      </c>
      <c r="AT24">
        <f t="shared" si="29"/>
        <v>0.37775618497869201</v>
      </c>
      <c r="AU24">
        <f t="shared" si="29"/>
        <v>1.60913330835389E-3</v>
      </c>
      <c r="AV24">
        <f t="shared" si="29"/>
        <v>0</v>
      </c>
      <c r="AW24">
        <f t="shared" si="29"/>
        <v>0</v>
      </c>
      <c r="AX24">
        <f t="shared" si="29"/>
        <v>0</v>
      </c>
      <c r="AY24">
        <f t="shared" si="29"/>
        <v>0</v>
      </c>
      <c r="AZ24">
        <f t="shared" si="29"/>
        <v>0.16715054694313</v>
      </c>
      <c r="BA24">
        <f t="shared" si="29"/>
        <v>0.127591292497577</v>
      </c>
      <c r="BB24">
        <f t="shared" si="29"/>
        <v>1.2976377481273399E-3</v>
      </c>
      <c r="BC24">
        <f t="shared" si="29"/>
        <v>2.5882108305240001E-5</v>
      </c>
      <c r="BD24">
        <f t="shared" si="29"/>
        <v>6.9902061214887601E-7</v>
      </c>
      <c r="BE24">
        <f t="shared" si="29"/>
        <v>6.5976154260444397E-2</v>
      </c>
      <c r="BF24">
        <f t="shared" si="29"/>
        <v>6.3232496709257902E-2</v>
      </c>
      <c r="BG24">
        <f t="shared" si="29"/>
        <v>5.603531278483E-5</v>
      </c>
      <c r="BH24">
        <f t="shared" si="29"/>
        <v>3.9333524915599998E-6</v>
      </c>
      <c r="BI24">
        <f t="shared" si="29"/>
        <v>0</v>
      </c>
    </row>
    <row r="25" spans="1:62" x14ac:dyDescent="0.3">
      <c r="A25" s="2" t="s">
        <v>43</v>
      </c>
      <c r="B25" t="str">
        <f t="shared" ref="B25:AG25" si="30">A33</f>
        <v>A.06.02.001</v>
      </c>
      <c r="C25" t="str">
        <f t="shared" si="30"/>
        <v>Chicken meat (Gallus domesticus)</v>
      </c>
      <c r="D25" t="str">
        <f t="shared" si="30"/>
        <v>Meat and meat products (including edible offal)</v>
      </c>
      <c r="E25" t="str">
        <f t="shared" si="30"/>
        <v>Poultry</v>
      </c>
      <c r="F25">
        <f t="shared" si="30"/>
        <v>1000</v>
      </c>
      <c r="G25">
        <f t="shared" si="30"/>
        <v>1.8489635735015999</v>
      </c>
      <c r="H25">
        <f t="shared" si="30"/>
        <v>1.3205686582254901</v>
      </c>
      <c r="I25">
        <f t="shared" si="30"/>
        <v>3.6853569411916601E-3</v>
      </c>
      <c r="J25">
        <f t="shared" si="30"/>
        <v>2.8153365603104702E-3</v>
      </c>
      <c r="K25">
        <f t="shared" si="30"/>
        <v>1.2547882465209299E-3</v>
      </c>
      <c r="L25">
        <f t="shared" si="30"/>
        <v>1.6622497751579</v>
      </c>
      <c r="M25">
        <f t="shared" si="30"/>
        <v>1.1742245331208601</v>
      </c>
      <c r="N25">
        <f t="shared" si="30"/>
        <v>2.37098566106071E-3</v>
      </c>
      <c r="O25">
        <f t="shared" si="30"/>
        <v>2.78945445200522E-3</v>
      </c>
      <c r="P25">
        <f t="shared" si="30"/>
        <v>1.25294724957248E-3</v>
      </c>
      <c r="Q25">
        <f t="shared" si="30"/>
        <v>6.4503239235363097</v>
      </c>
      <c r="R25">
        <f t="shared" si="30"/>
        <v>6.4958304110430007E-2</v>
      </c>
      <c r="S25">
        <f t="shared" si="30"/>
        <v>1.53815376593112E-2</v>
      </c>
      <c r="T25">
        <f t="shared" si="30"/>
        <v>0.22850255441676101</v>
      </c>
      <c r="U25">
        <f t="shared" si="30"/>
        <v>0.772360520231271</v>
      </c>
      <c r="V25">
        <f t="shared" si="30"/>
        <v>5.8955090381357694E-11</v>
      </c>
      <c r="W25">
        <f t="shared" si="30"/>
        <v>4.8213279069857402E-2</v>
      </c>
      <c r="X25">
        <f t="shared" si="30"/>
        <v>94.558279304901106</v>
      </c>
      <c r="Y25">
        <f t="shared" si="30"/>
        <v>153.57182928815101</v>
      </c>
      <c r="Z25">
        <f t="shared" si="30"/>
        <v>0.25131114302558999</v>
      </c>
      <c r="AA25">
        <f t="shared" si="30"/>
        <v>0.103510745496394</v>
      </c>
      <c r="AB25">
        <f t="shared" si="30"/>
        <v>0.18697891192830901</v>
      </c>
      <c r="AC25">
        <f t="shared" si="30"/>
        <v>0.84038047091476697</v>
      </c>
      <c r="AD25">
        <f t="shared" si="30"/>
        <v>0.15179348565786499</v>
      </c>
      <c r="AE25">
        <f t="shared" si="30"/>
        <v>0</v>
      </c>
      <c r="AF25">
        <f t="shared" si="30"/>
        <v>0.12827501813497499</v>
      </c>
      <c r="AG25">
        <f t="shared" si="30"/>
        <v>0.151821442757261</v>
      </c>
      <c r="AH25">
        <f t="shared" ref="AH25:BI25" si="31">AG33</f>
        <v>9.2381295874382596E-2</v>
      </c>
      <c r="AI25">
        <f t="shared" si="31"/>
        <v>0.78860178860971497</v>
      </c>
      <c r="AJ25">
        <f t="shared" si="31"/>
        <v>0.15178656866753901</v>
      </c>
      <c r="AK25">
        <f t="shared" si="31"/>
        <v>2.9615023835268E-4</v>
      </c>
      <c r="AL25">
        <f t="shared" si="31"/>
        <v>3.416748856952E-4</v>
      </c>
      <c r="AM25">
        <f t="shared" si="31"/>
        <v>0.15209594732555601</v>
      </c>
      <c r="AN25">
        <f t="shared" si="31"/>
        <v>0</v>
      </c>
      <c r="AO25">
        <f t="shared" si="31"/>
        <v>0</v>
      </c>
      <c r="AP25">
        <f t="shared" si="31"/>
        <v>2.78945445200522E-3</v>
      </c>
      <c r="AQ25">
        <f t="shared" si="31"/>
        <v>3.3210411415904003E-4</v>
      </c>
      <c r="AR25">
        <f t="shared" si="31"/>
        <v>3.4708352684699999E-6</v>
      </c>
      <c r="AS25">
        <f t="shared" si="31"/>
        <v>6.8490443929782995E-4</v>
      </c>
      <c r="AT25">
        <f t="shared" si="31"/>
        <v>0.15063764940452401</v>
      </c>
      <c r="AU25">
        <f t="shared" si="31"/>
        <v>1.9399175066238999E-4</v>
      </c>
      <c r="AV25">
        <f t="shared" si="31"/>
        <v>0</v>
      </c>
      <c r="AW25">
        <f t="shared" si="31"/>
        <v>0</v>
      </c>
      <c r="AX25">
        <f t="shared" si="31"/>
        <v>0</v>
      </c>
      <c r="AY25">
        <f t="shared" si="31"/>
        <v>0</v>
      </c>
      <c r="AZ25">
        <f t="shared" si="31"/>
        <v>0.16715054694313</v>
      </c>
      <c r="BA25">
        <f t="shared" si="31"/>
        <v>0.127591292497577</v>
      </c>
      <c r="BB25">
        <f t="shared" si="31"/>
        <v>1.2976377481273399E-3</v>
      </c>
      <c r="BC25">
        <f t="shared" si="31"/>
        <v>2.5882108305240001E-5</v>
      </c>
      <c r="BD25">
        <f t="shared" si="31"/>
        <v>6.9902061214887601E-7</v>
      </c>
      <c r="BE25">
        <f t="shared" si="31"/>
        <v>1.9563251400573699E-2</v>
      </c>
      <c r="BF25">
        <f t="shared" si="31"/>
        <v>1.8752832607057499E-2</v>
      </c>
      <c r="BG25">
        <f t="shared" si="31"/>
        <v>1.6733532003600001E-5</v>
      </c>
      <c r="BH25">
        <f t="shared" si="31"/>
        <v>1.1419763362899999E-6</v>
      </c>
      <c r="BI25">
        <f t="shared" si="31"/>
        <v>0</v>
      </c>
    </row>
    <row r="27" spans="1:62" ht="21" x14ac:dyDescent="0.4">
      <c r="A27" s="6" t="s">
        <v>160</v>
      </c>
    </row>
    <row r="29" spans="1:62" x14ac:dyDescent="0.3">
      <c r="A29" t="s">
        <v>97</v>
      </c>
      <c r="B29" t="s">
        <v>98</v>
      </c>
      <c r="C29" t="s">
        <v>99</v>
      </c>
      <c r="D29" t="s">
        <v>100</v>
      </c>
      <c r="E29" t="s">
        <v>101</v>
      </c>
      <c r="F29" t="s">
        <v>102</v>
      </c>
      <c r="G29" t="s">
        <v>103</v>
      </c>
      <c r="H29" t="s">
        <v>104</v>
      </c>
      <c r="I29" t="s">
        <v>105</v>
      </c>
      <c r="J29" t="s">
        <v>106</v>
      </c>
      <c r="K29" t="s">
        <v>107</v>
      </c>
      <c r="L29" t="s">
        <v>108</v>
      </c>
      <c r="M29" t="s">
        <v>109</v>
      </c>
      <c r="N29" t="s">
        <v>110</v>
      </c>
      <c r="O29" t="s">
        <v>111</v>
      </c>
      <c r="P29" t="s">
        <v>112</v>
      </c>
      <c r="Q29" t="s">
        <v>113</v>
      </c>
      <c r="R29" t="s">
        <v>114</v>
      </c>
      <c r="S29" t="s">
        <v>115</v>
      </c>
      <c r="T29" t="s">
        <v>116</v>
      </c>
      <c r="U29" t="s">
        <v>117</v>
      </c>
      <c r="V29" t="s">
        <v>118</v>
      </c>
      <c r="W29" t="s">
        <v>119</v>
      </c>
      <c r="X29" t="s">
        <v>120</v>
      </c>
      <c r="Y29" t="s">
        <v>121</v>
      </c>
      <c r="Z29" t="s">
        <v>122</v>
      </c>
      <c r="AA29" t="s">
        <v>123</v>
      </c>
      <c r="AB29" t="s">
        <v>124</v>
      </c>
      <c r="AC29" t="s">
        <v>125</v>
      </c>
      <c r="AD29" t="s">
        <v>126</v>
      </c>
      <c r="AE29" t="s">
        <v>127</v>
      </c>
      <c r="AF29" t="s">
        <v>128</v>
      </c>
      <c r="AG29" t="s">
        <v>129</v>
      </c>
      <c r="AH29" t="s">
        <v>130</v>
      </c>
      <c r="AI29" t="s">
        <v>131</v>
      </c>
      <c r="AJ29" t="s">
        <v>132</v>
      </c>
      <c r="AK29" t="s">
        <v>133</v>
      </c>
      <c r="AL29" t="s">
        <v>134</v>
      </c>
      <c r="AM29" t="s">
        <v>135</v>
      </c>
      <c r="AN29" t="s">
        <v>136</v>
      </c>
      <c r="AO29" t="s">
        <v>137</v>
      </c>
      <c r="AP29" t="s">
        <v>138</v>
      </c>
      <c r="AQ29" t="s">
        <v>139</v>
      </c>
      <c r="AR29" t="s">
        <v>140</v>
      </c>
      <c r="AS29" t="s">
        <v>141</v>
      </c>
      <c r="AT29" t="s">
        <v>142</v>
      </c>
      <c r="AU29" t="s">
        <v>143</v>
      </c>
      <c r="AV29" t="s">
        <v>144</v>
      </c>
      <c r="AW29" t="s">
        <v>145</v>
      </c>
      <c r="AX29" t="s">
        <v>146</v>
      </c>
      <c r="AY29" t="s">
        <v>147</v>
      </c>
      <c r="AZ29" t="s">
        <v>148</v>
      </c>
      <c r="BA29" t="s">
        <v>149</v>
      </c>
      <c r="BB29" t="s">
        <v>150</v>
      </c>
      <c r="BC29" t="s">
        <v>151</v>
      </c>
      <c r="BD29" t="s">
        <v>152</v>
      </c>
      <c r="BE29" t="s">
        <v>153</v>
      </c>
      <c r="BF29" t="s">
        <v>154</v>
      </c>
      <c r="BG29" t="s">
        <v>155</v>
      </c>
      <c r="BH29" t="s">
        <v>156</v>
      </c>
      <c r="BI29" t="s">
        <v>157</v>
      </c>
      <c r="BJ29" t="s">
        <v>158</v>
      </c>
    </row>
    <row r="30" spans="1:62" x14ac:dyDescent="0.3">
      <c r="A30" t="s">
        <v>161</v>
      </c>
      <c r="B30" t="s">
        <v>162</v>
      </c>
      <c r="C30" t="s">
        <v>163</v>
      </c>
      <c r="D30" t="s">
        <v>164</v>
      </c>
      <c r="E30">
        <v>1000</v>
      </c>
      <c r="F30">
        <v>31.5231408446388</v>
      </c>
      <c r="G30">
        <v>4.9683327309391503</v>
      </c>
      <c r="H30">
        <v>2.3676828001655902E-2</v>
      </c>
      <c r="I30">
        <v>0.85481602966288195</v>
      </c>
      <c r="J30">
        <v>0.23709131302528599</v>
      </c>
      <c r="K30">
        <v>31.290956703783401</v>
      </c>
      <c r="L30">
        <v>4.7783735938832503</v>
      </c>
      <c r="M30">
        <v>2.2323661950347299E-2</v>
      </c>
      <c r="N30">
        <v>0.85479014755457705</v>
      </c>
      <c r="O30">
        <v>0.23708691068628801</v>
      </c>
      <c r="P30">
        <v>24.417770111785401</v>
      </c>
      <c r="Q30">
        <v>0.51150263256319095</v>
      </c>
      <c r="R30">
        <v>3.0569278464499201E-2</v>
      </c>
      <c r="S30">
        <v>0.80519095736174295</v>
      </c>
      <c r="T30">
        <v>1.7619783446994799</v>
      </c>
      <c r="U30" s="19">
        <v>3.8695542645437099E-10</v>
      </c>
      <c r="V30">
        <v>0.24912359863181399</v>
      </c>
      <c r="W30">
        <v>0.34812926618633599</v>
      </c>
      <c r="X30">
        <v>89.807431557135899</v>
      </c>
      <c r="Y30">
        <v>1.3962631190172701</v>
      </c>
      <c r="Z30">
        <v>0.76048237591516299</v>
      </c>
      <c r="AA30">
        <v>2.7648171492701001</v>
      </c>
      <c r="AB30">
        <v>3.4742689618916902</v>
      </c>
      <c r="AC30">
        <v>0.48819908298249198</v>
      </c>
      <c r="AD30">
        <v>16.7684716718766</v>
      </c>
      <c r="AE30">
        <v>5.63845434283001</v>
      </c>
      <c r="AF30">
        <v>0.83626416839329798</v>
      </c>
      <c r="AG30">
        <v>0.67822931048187196</v>
      </c>
      <c r="AH30">
        <v>3.35230471915516</v>
      </c>
      <c r="AI30">
        <v>0.48813079274171001</v>
      </c>
      <c r="AJ30">
        <v>1.51279434739867E-3</v>
      </c>
      <c r="AK30">
        <v>2.40028126554203E-3</v>
      </c>
      <c r="AL30">
        <v>1.4988300366178799</v>
      </c>
      <c r="AM30">
        <v>0</v>
      </c>
      <c r="AN30">
        <v>0.62105450636580095</v>
      </c>
      <c r="AO30">
        <v>0.119491326437554</v>
      </c>
      <c r="AP30">
        <v>1.88614534458421E-3</v>
      </c>
      <c r="AQ30" s="19">
        <v>3.928455575142E-5</v>
      </c>
      <c r="AR30">
        <v>1.0127535345311699E-2</v>
      </c>
      <c r="AS30">
        <v>1.4954300726752701</v>
      </c>
      <c r="AT30">
        <v>8.8358554176411301E-3</v>
      </c>
      <c r="AU30">
        <v>0</v>
      </c>
      <c r="AV30">
        <v>0</v>
      </c>
      <c r="AW30">
        <v>0</v>
      </c>
      <c r="AX30">
        <v>0</v>
      </c>
      <c r="AY30">
        <v>0.16715054694313</v>
      </c>
      <c r="AZ30">
        <v>0.127591292497577</v>
      </c>
      <c r="BA30">
        <v>1.2976377481273399E-3</v>
      </c>
      <c r="BB30" s="19">
        <v>2.5882108305240001E-5</v>
      </c>
      <c r="BC30" s="19">
        <v>6.9902061214887601E-7</v>
      </c>
      <c r="BD30">
        <v>6.5033593912311394E-2</v>
      </c>
      <c r="BE30">
        <v>6.2367844558321603E-2</v>
      </c>
      <c r="BF30" s="19">
        <v>5.5528303181320003E-5</v>
      </c>
      <c r="BG30" s="19">
        <v>3.7033183852899998E-6</v>
      </c>
      <c r="BI30" t="s">
        <v>165</v>
      </c>
    </row>
    <row r="31" spans="1:62" x14ac:dyDescent="0.3">
      <c r="A31" t="s">
        <v>166</v>
      </c>
      <c r="B31" t="s">
        <v>167</v>
      </c>
      <c r="C31" t="s">
        <v>163</v>
      </c>
      <c r="D31" t="s">
        <v>164</v>
      </c>
      <c r="E31">
        <v>1000</v>
      </c>
      <c r="F31">
        <v>7.7251790541149603</v>
      </c>
      <c r="G31">
        <v>3.2118323701431799</v>
      </c>
      <c r="H31">
        <v>6.6975978671088704E-3</v>
      </c>
      <c r="I31">
        <v>0.11241689672372</v>
      </c>
      <c r="J31">
        <v>4.6831577142544796E-3</v>
      </c>
      <c r="K31">
        <v>7.4920523529113803</v>
      </c>
      <c r="L31">
        <v>3.0210085809363401</v>
      </c>
      <c r="M31">
        <v>5.3439248061966996E-3</v>
      </c>
      <c r="N31">
        <v>0.11239101461541499</v>
      </c>
      <c r="O31">
        <v>4.6785253411507598E-3</v>
      </c>
      <c r="P31">
        <v>13.433987448758</v>
      </c>
      <c r="Q31">
        <v>0.16131440936843899</v>
      </c>
      <c r="R31">
        <v>3.00508407312438E-2</v>
      </c>
      <c r="S31">
        <v>0.64173736749573695</v>
      </c>
      <c r="T31">
        <v>1.83780834532084</v>
      </c>
      <c r="U31" s="19">
        <v>1.02943286644975E-10</v>
      </c>
      <c r="V31">
        <v>6.5632657089921997E-2</v>
      </c>
      <c r="W31">
        <v>4.0080885799195602</v>
      </c>
      <c r="X31">
        <v>252.58201283046299</v>
      </c>
      <c r="Y31">
        <v>0.64115975896427901</v>
      </c>
      <c r="Z31">
        <v>0.21269980090830301</v>
      </c>
      <c r="AA31">
        <v>0.57605297843417702</v>
      </c>
      <c r="AB31">
        <v>2.2339500676661901</v>
      </c>
      <c r="AC31">
        <v>0.35433895914159502</v>
      </c>
      <c r="AD31">
        <v>0.305921100496305</v>
      </c>
      <c r="AE31">
        <v>3.16792968730052</v>
      </c>
      <c r="AF31">
        <v>0.388163606504763</v>
      </c>
      <c r="AG31">
        <v>0.189879717022684</v>
      </c>
      <c r="AH31">
        <v>2.1089616725023501</v>
      </c>
      <c r="AI31">
        <v>0.35433895914159502</v>
      </c>
      <c r="AJ31" s="19">
        <v>7.3110939143865999E-4</v>
      </c>
      <c r="AK31" s="19">
        <v>7.0003124852962E-4</v>
      </c>
      <c r="AL31">
        <v>0.38116168754160701</v>
      </c>
      <c r="AM31">
        <v>0</v>
      </c>
      <c r="AN31">
        <v>1.13304111294928E-2</v>
      </c>
      <c r="AO31">
        <v>0.101060603485922</v>
      </c>
      <c r="AP31" s="19">
        <v>8.4691975309393E-4</v>
      </c>
      <c r="AQ31" s="19">
        <v>7.1763834411600003E-6</v>
      </c>
      <c r="AR31">
        <v>2.1100841700885599E-3</v>
      </c>
      <c r="AS31">
        <v>0.37775618497869201</v>
      </c>
      <c r="AT31">
        <v>1.60913330835389E-3</v>
      </c>
      <c r="AU31">
        <v>0</v>
      </c>
      <c r="AV31">
        <v>0</v>
      </c>
      <c r="AW31">
        <v>0</v>
      </c>
      <c r="AX31">
        <v>0</v>
      </c>
      <c r="AY31">
        <v>0.16715054694313</v>
      </c>
      <c r="AZ31">
        <v>0.127591292497577</v>
      </c>
      <c r="BA31">
        <v>1.2976377481273399E-3</v>
      </c>
      <c r="BB31" s="19">
        <v>2.5882108305240001E-5</v>
      </c>
      <c r="BC31" s="19">
        <v>6.9902061214887601E-7</v>
      </c>
      <c r="BD31">
        <v>6.5976154260444397E-2</v>
      </c>
      <c r="BE31">
        <v>6.3232496709257902E-2</v>
      </c>
      <c r="BF31" s="19">
        <v>5.603531278483E-5</v>
      </c>
      <c r="BG31" s="19">
        <v>3.9333524915599998E-6</v>
      </c>
      <c r="BI31" t="s">
        <v>165</v>
      </c>
    </row>
    <row r="32" spans="1:62" x14ac:dyDescent="0.3">
      <c r="A32" t="s">
        <v>168</v>
      </c>
      <c r="B32" t="s">
        <v>169</v>
      </c>
      <c r="C32" t="s">
        <v>163</v>
      </c>
      <c r="D32" t="s">
        <v>164</v>
      </c>
      <c r="E32">
        <v>1000</v>
      </c>
      <c r="F32">
        <v>36.049124874625399</v>
      </c>
      <c r="G32">
        <v>7.9397977047823698</v>
      </c>
      <c r="H32">
        <v>3.2180583452499197E-2</v>
      </c>
      <c r="I32">
        <v>0.74825593727270701</v>
      </c>
      <c r="J32">
        <v>2.54484815992507E-2</v>
      </c>
      <c r="K32">
        <v>35.774812455105199</v>
      </c>
      <c r="L32">
        <v>7.7094141213748602</v>
      </c>
      <c r="M32">
        <v>3.0791559544487101E-2</v>
      </c>
      <c r="N32">
        <v>0.748230055164402</v>
      </c>
      <c r="O32">
        <v>2.5441752270570599E-2</v>
      </c>
      <c r="P32">
        <v>33.216027039294502</v>
      </c>
      <c r="Q32">
        <v>0.99770905031488299</v>
      </c>
      <c r="R32">
        <v>4.9139615120338001E-2</v>
      </c>
      <c r="S32">
        <v>0.43058540930669698</v>
      </c>
      <c r="T32">
        <v>1.64576694955554</v>
      </c>
      <c r="U32" s="19">
        <v>1.34110974034649E-9</v>
      </c>
      <c r="V32">
        <v>9.7436530351026604E-2</v>
      </c>
      <c r="W32">
        <v>3.5731666889236799</v>
      </c>
      <c r="X32">
        <v>91.187282631744296</v>
      </c>
      <c r="Y32">
        <v>2.5825398543798301</v>
      </c>
      <c r="Z32">
        <v>1.7837584412134</v>
      </c>
      <c r="AA32">
        <v>5.0256655299329598</v>
      </c>
      <c r="AB32">
        <v>5.08822823258018</v>
      </c>
      <c r="AC32">
        <v>0.628045099092992</v>
      </c>
      <c r="AD32">
        <v>19.678986216518101</v>
      </c>
      <c r="AE32">
        <v>0.98758908138771995</v>
      </c>
      <c r="AF32">
        <v>1.5289426812351199</v>
      </c>
      <c r="AG32">
        <v>1.5850778138413599</v>
      </c>
      <c r="AH32">
        <v>4.9651423094315597</v>
      </c>
      <c r="AI32">
        <v>0.628045099092992</v>
      </c>
      <c r="AJ32">
        <v>2.9102215768688402E-3</v>
      </c>
      <c r="AK32">
        <v>5.6598608060632596E-3</v>
      </c>
      <c r="AL32">
        <v>2.6028626115949298</v>
      </c>
      <c r="AM32">
        <v>0</v>
      </c>
      <c r="AN32">
        <v>0.72885134135252305</v>
      </c>
      <c r="AO32">
        <v>1.9378713811878799E-2</v>
      </c>
      <c r="AP32">
        <v>3.5416577661319501E-3</v>
      </c>
      <c r="AQ32" s="19">
        <v>1.0995155806357E-4</v>
      </c>
      <c r="AR32">
        <v>1.8409031245175698E-2</v>
      </c>
      <c r="AS32">
        <v>2.5996893422728902</v>
      </c>
      <c r="AT32">
        <v>1.70096633138092E-3</v>
      </c>
      <c r="AU32">
        <v>0</v>
      </c>
      <c r="AV32">
        <v>0</v>
      </c>
      <c r="AW32">
        <v>0</v>
      </c>
      <c r="AX32">
        <v>0</v>
      </c>
      <c r="AY32">
        <v>0.16715054694313</v>
      </c>
      <c r="AZ32">
        <v>0.127591292497577</v>
      </c>
      <c r="BA32">
        <v>1.2976377481273399E-3</v>
      </c>
      <c r="BB32" s="19">
        <v>2.5882108305240001E-5</v>
      </c>
      <c r="BC32" s="19">
        <v>6.9902061214887601E-7</v>
      </c>
      <c r="BD32">
        <v>0.107161872577043</v>
      </c>
      <c r="BE32">
        <v>0.102792290909925</v>
      </c>
      <c r="BF32" s="19">
        <v>9.1386159884779999E-5</v>
      </c>
      <c r="BG32" s="19">
        <v>6.0303080679500002E-6</v>
      </c>
      <c r="BI32" t="s">
        <v>165</v>
      </c>
    </row>
    <row r="33" spans="1:61" x14ac:dyDescent="0.3">
      <c r="A33" t="s">
        <v>170</v>
      </c>
      <c r="B33" t="s">
        <v>171</v>
      </c>
      <c r="C33" t="s">
        <v>163</v>
      </c>
      <c r="D33" t="s">
        <v>58</v>
      </c>
      <c r="E33">
        <v>1000</v>
      </c>
      <c r="F33">
        <v>1.8489635735015999</v>
      </c>
      <c r="G33">
        <v>1.3205686582254901</v>
      </c>
      <c r="H33">
        <v>3.6853569411916601E-3</v>
      </c>
      <c r="I33">
        <v>2.8153365603104702E-3</v>
      </c>
      <c r="J33">
        <v>1.2547882465209299E-3</v>
      </c>
      <c r="K33">
        <v>1.6622497751579</v>
      </c>
      <c r="L33">
        <v>1.1742245331208601</v>
      </c>
      <c r="M33">
        <v>2.37098566106071E-3</v>
      </c>
      <c r="N33">
        <v>2.78945445200522E-3</v>
      </c>
      <c r="O33">
        <v>1.25294724957248E-3</v>
      </c>
      <c r="P33">
        <v>6.4503239235363097</v>
      </c>
      <c r="Q33">
        <v>6.4958304110430007E-2</v>
      </c>
      <c r="R33">
        <v>1.53815376593112E-2</v>
      </c>
      <c r="S33">
        <v>0.22850255441676101</v>
      </c>
      <c r="T33">
        <v>0.772360520231271</v>
      </c>
      <c r="U33" s="19">
        <v>5.8955090381357694E-11</v>
      </c>
      <c r="V33">
        <v>4.8213279069857402E-2</v>
      </c>
      <c r="W33">
        <v>94.558279304901106</v>
      </c>
      <c r="X33">
        <v>153.57182928815101</v>
      </c>
      <c r="Y33">
        <v>0.25131114302558999</v>
      </c>
      <c r="Z33">
        <v>0.103510745496394</v>
      </c>
      <c r="AA33">
        <v>0.18697891192830901</v>
      </c>
      <c r="AB33">
        <v>0.84038047091476697</v>
      </c>
      <c r="AC33">
        <v>0.15179348565786499</v>
      </c>
      <c r="AD33">
        <v>0</v>
      </c>
      <c r="AE33">
        <v>0.12827501813497499</v>
      </c>
      <c r="AF33">
        <v>0.151821442757261</v>
      </c>
      <c r="AG33">
        <v>9.2381295874382596E-2</v>
      </c>
      <c r="AH33">
        <v>0.78860178860971497</v>
      </c>
      <c r="AI33">
        <v>0.15178656866753901</v>
      </c>
      <c r="AJ33" s="19">
        <v>2.9615023835268E-4</v>
      </c>
      <c r="AK33" s="19">
        <v>3.416748856952E-4</v>
      </c>
      <c r="AL33">
        <v>0.15209594732555601</v>
      </c>
      <c r="AM33">
        <v>0</v>
      </c>
      <c r="AN33">
        <v>0</v>
      </c>
      <c r="AO33">
        <v>2.78945445200522E-3</v>
      </c>
      <c r="AP33" s="19">
        <v>3.3210411415904003E-4</v>
      </c>
      <c r="AQ33" s="19">
        <v>3.4708352684699999E-6</v>
      </c>
      <c r="AR33" s="19">
        <v>6.8490443929782995E-4</v>
      </c>
      <c r="AS33">
        <v>0.15063764940452401</v>
      </c>
      <c r="AT33" s="19">
        <v>1.9399175066238999E-4</v>
      </c>
      <c r="AU33">
        <v>0</v>
      </c>
      <c r="AV33">
        <v>0</v>
      </c>
      <c r="AW33">
        <v>0</v>
      </c>
      <c r="AX33">
        <v>0</v>
      </c>
      <c r="AY33">
        <v>0.16715054694313</v>
      </c>
      <c r="AZ33">
        <v>0.127591292497577</v>
      </c>
      <c r="BA33">
        <v>1.2976377481273399E-3</v>
      </c>
      <c r="BB33" s="19">
        <v>2.5882108305240001E-5</v>
      </c>
      <c r="BC33" s="19">
        <v>6.9902061214887601E-7</v>
      </c>
      <c r="BD33">
        <v>1.9563251400573699E-2</v>
      </c>
      <c r="BE33">
        <v>1.8752832607057499E-2</v>
      </c>
      <c r="BF33" s="19">
        <v>1.6733532003600001E-5</v>
      </c>
      <c r="BG33" s="19">
        <v>1.1419763362899999E-6</v>
      </c>
      <c r="BI33" t="s">
        <v>165</v>
      </c>
    </row>
    <row r="34" spans="1:61" x14ac:dyDescent="0.3">
      <c r="A34" t="s">
        <v>172</v>
      </c>
      <c r="B34" t="s">
        <v>173</v>
      </c>
      <c r="C34" t="s">
        <v>163</v>
      </c>
      <c r="D34" t="s">
        <v>174</v>
      </c>
      <c r="E34">
        <v>1000</v>
      </c>
      <c r="F34">
        <v>7.7251790541149603</v>
      </c>
      <c r="G34">
        <v>3.2118323701431799</v>
      </c>
      <c r="H34">
        <v>6.6975978671088704E-3</v>
      </c>
      <c r="I34">
        <v>0.11241689672372</v>
      </c>
      <c r="J34">
        <v>4.6831577142544796E-3</v>
      </c>
      <c r="K34">
        <v>7.4920523529113803</v>
      </c>
      <c r="L34">
        <v>3.0210085809363401</v>
      </c>
      <c r="M34">
        <v>5.3439248061966996E-3</v>
      </c>
      <c r="N34">
        <v>0.11239101461541499</v>
      </c>
      <c r="O34">
        <v>4.6785253411507598E-3</v>
      </c>
      <c r="P34">
        <v>13.433987448758</v>
      </c>
      <c r="Q34">
        <v>0.16131440936843899</v>
      </c>
      <c r="R34">
        <v>3.00508407312438E-2</v>
      </c>
      <c r="S34">
        <v>0.64173736749573695</v>
      </c>
      <c r="T34">
        <v>1.83780834532084</v>
      </c>
      <c r="U34" s="19">
        <v>1.02943286644975E-10</v>
      </c>
      <c r="V34">
        <v>6.5632657089921997E-2</v>
      </c>
      <c r="W34">
        <v>4.0080885799195602</v>
      </c>
      <c r="X34">
        <v>252.58201283046299</v>
      </c>
      <c r="Y34">
        <v>0.64115975896427901</v>
      </c>
      <c r="Z34">
        <v>0.21269980090830301</v>
      </c>
      <c r="AA34">
        <v>0.57605297843417702</v>
      </c>
      <c r="AB34">
        <v>2.2339500676661901</v>
      </c>
      <c r="AC34">
        <v>0.35433895914159502</v>
      </c>
      <c r="AD34">
        <v>0.305921100496305</v>
      </c>
      <c r="AE34">
        <v>3.16792968730052</v>
      </c>
      <c r="AF34">
        <v>0.388163606504763</v>
      </c>
      <c r="AG34">
        <v>0.189879717022684</v>
      </c>
      <c r="AH34">
        <v>2.1089616725023501</v>
      </c>
      <c r="AI34">
        <v>0.35433895914159502</v>
      </c>
      <c r="AJ34" s="19">
        <v>7.3110939143865999E-4</v>
      </c>
      <c r="AK34" s="19">
        <v>7.0003124852962E-4</v>
      </c>
      <c r="AL34">
        <v>0.38116168754160701</v>
      </c>
      <c r="AM34">
        <v>0</v>
      </c>
      <c r="AN34">
        <v>1.13304111294928E-2</v>
      </c>
      <c r="AO34">
        <v>0.101060603485922</v>
      </c>
      <c r="AP34" s="19">
        <v>8.4691975309393E-4</v>
      </c>
      <c r="AQ34" s="19">
        <v>7.1763834411600003E-6</v>
      </c>
      <c r="AR34">
        <v>2.1100841700885599E-3</v>
      </c>
      <c r="AS34">
        <v>0.37775618497869201</v>
      </c>
      <c r="AT34">
        <v>1.60913330835389E-3</v>
      </c>
      <c r="AU34">
        <v>0</v>
      </c>
      <c r="AV34">
        <v>0</v>
      </c>
      <c r="AW34">
        <v>0</v>
      </c>
      <c r="AX34">
        <v>0</v>
      </c>
      <c r="AY34">
        <v>0.16715054694313</v>
      </c>
      <c r="AZ34">
        <v>0.127591292497577</v>
      </c>
      <c r="BA34">
        <v>1.2976377481273399E-3</v>
      </c>
      <c r="BB34" s="19">
        <v>2.5882108305240001E-5</v>
      </c>
      <c r="BC34" s="19">
        <v>6.9902061214887601E-7</v>
      </c>
      <c r="BD34">
        <v>6.5976154260444397E-2</v>
      </c>
      <c r="BE34">
        <v>6.3232496709257902E-2</v>
      </c>
      <c r="BF34" s="19">
        <v>5.603531278483E-5</v>
      </c>
      <c r="BG34" s="19">
        <v>3.9333524915599998E-6</v>
      </c>
      <c r="BI34" t="s">
        <v>165</v>
      </c>
    </row>
    <row r="35" spans="1:61" x14ac:dyDescent="0.3">
      <c r="A35" t="s">
        <v>175</v>
      </c>
      <c r="B35" t="s">
        <v>176</v>
      </c>
      <c r="C35" t="s">
        <v>177</v>
      </c>
      <c r="D35" t="s">
        <v>178</v>
      </c>
      <c r="E35">
        <v>1000</v>
      </c>
      <c r="F35">
        <v>5.2603706363124196</v>
      </c>
      <c r="G35">
        <v>5.2282670498170498</v>
      </c>
      <c r="H35" s="19">
        <v>9.1150614149895001E-4</v>
      </c>
      <c r="I35" s="19">
        <v>1.8453188378809999E-5</v>
      </c>
      <c r="J35" s="19">
        <v>1.6272774331420001E-5</v>
      </c>
      <c r="K35">
        <v>4.8858897274340798</v>
      </c>
      <c r="L35">
        <v>4.8858897274340798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10.716474501609101</v>
      </c>
      <c r="X35">
        <v>0</v>
      </c>
      <c r="Y35">
        <v>0</v>
      </c>
      <c r="Z35">
        <v>0</v>
      </c>
      <c r="AA35">
        <v>0</v>
      </c>
      <c r="AB35">
        <v>4.8858897274340798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4.8858897274340798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0.106028343098449</v>
      </c>
      <c r="AZ35">
        <v>8.4605512097746596E-2</v>
      </c>
      <c r="BA35" s="19">
        <v>6.8186277441658998E-4</v>
      </c>
      <c r="BB35" s="19">
        <v>1.8453188378809999E-5</v>
      </c>
      <c r="BC35" s="19">
        <v>2.2164257760399998E-6</v>
      </c>
      <c r="BD35">
        <v>0.26845256577989202</v>
      </c>
      <c r="BE35">
        <v>0.25777181028522</v>
      </c>
      <c r="BF35" s="19">
        <v>2.2964336708235E-4</v>
      </c>
      <c r="BG35" s="19">
        <v>1.4056348555370001E-5</v>
      </c>
      <c r="BI35" t="s">
        <v>179</v>
      </c>
    </row>
    <row r="36" spans="1:61" x14ac:dyDescent="0.3">
      <c r="A36" t="s">
        <v>180</v>
      </c>
      <c r="B36" t="s">
        <v>181</v>
      </c>
      <c r="C36" t="s">
        <v>177</v>
      </c>
      <c r="D36" t="s">
        <v>178</v>
      </c>
      <c r="E36">
        <v>1000</v>
      </c>
      <c r="F36">
        <v>12.8661333966143</v>
      </c>
      <c r="G36">
        <v>12.834029810119</v>
      </c>
      <c r="H36" s="19">
        <v>9.1150614149895001E-4</v>
      </c>
      <c r="I36" s="19">
        <v>1.8453188378809999E-5</v>
      </c>
      <c r="J36" s="19">
        <v>1.6272774331420001E-5</v>
      </c>
      <c r="K36">
        <v>12.491652487735999</v>
      </c>
      <c r="L36">
        <v>12.491652487735999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5.91153348865938</v>
      </c>
      <c r="X36">
        <v>0</v>
      </c>
      <c r="Y36">
        <v>0</v>
      </c>
      <c r="Z36">
        <v>0</v>
      </c>
      <c r="AA36">
        <v>0</v>
      </c>
      <c r="AB36">
        <v>12.491652487735999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12.491652487735999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0.106028343098449</v>
      </c>
      <c r="AZ36">
        <v>8.4605512097746596E-2</v>
      </c>
      <c r="BA36" s="19">
        <v>6.8186277441658998E-4</v>
      </c>
      <c r="BB36" s="19">
        <v>1.8453188378809999E-5</v>
      </c>
      <c r="BC36" s="19">
        <v>2.2164257760399998E-6</v>
      </c>
      <c r="BD36">
        <v>0.26845256577989202</v>
      </c>
      <c r="BE36">
        <v>0.25777181028522</v>
      </c>
      <c r="BF36" s="19">
        <v>2.2964336708235E-4</v>
      </c>
      <c r="BG36" s="19">
        <v>1.4056348555370001E-5</v>
      </c>
      <c r="BI36" t="s">
        <v>179</v>
      </c>
    </row>
    <row r="37" spans="1:61" x14ac:dyDescent="0.3">
      <c r="A37" t="s">
        <v>182</v>
      </c>
      <c r="B37" t="s">
        <v>183</v>
      </c>
      <c r="C37" t="s">
        <v>177</v>
      </c>
      <c r="D37" t="s">
        <v>28</v>
      </c>
      <c r="E37">
        <v>1000</v>
      </c>
      <c r="F37">
        <v>15.465521516035301</v>
      </c>
      <c r="G37">
        <v>15.4370587423034</v>
      </c>
      <c r="H37" s="19">
        <v>7.5647880972959001E-4</v>
      </c>
      <c r="I37" s="19">
        <v>1.4206897765150001E-5</v>
      </c>
      <c r="J37" s="19">
        <v>2.0278824037509999E-5</v>
      </c>
      <c r="K37">
        <v>15.0645196628269</v>
      </c>
      <c r="L37">
        <v>15.0645196628269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15.663199131551799</v>
      </c>
      <c r="X37">
        <v>0</v>
      </c>
      <c r="Y37">
        <v>0</v>
      </c>
      <c r="Z37">
        <v>0</v>
      </c>
      <c r="AA37">
        <v>0</v>
      </c>
      <c r="AB37">
        <v>15.0645196628269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15.0645196628269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0.132549287428427</v>
      </c>
      <c r="AZ37">
        <v>0.114767269191258</v>
      </c>
      <c r="BA37" s="19">
        <v>5.2683544264723995E-4</v>
      </c>
      <c r="BB37" s="19">
        <v>1.4206897765150001E-5</v>
      </c>
      <c r="BC37" s="19">
        <v>6.22247548213E-6</v>
      </c>
      <c r="BD37">
        <v>0.26845256577989202</v>
      </c>
      <c r="BE37">
        <v>0.25777181028522</v>
      </c>
      <c r="BF37" s="19">
        <v>2.2964336708235E-4</v>
      </c>
      <c r="BG37" s="19">
        <v>1.4056348555370001E-5</v>
      </c>
      <c r="BI37" t="s">
        <v>184</v>
      </c>
    </row>
    <row r="38" spans="1:61" x14ac:dyDescent="0.3">
      <c r="A38" t="s">
        <v>185</v>
      </c>
      <c r="B38" t="s">
        <v>186</v>
      </c>
      <c r="C38" t="s">
        <v>177</v>
      </c>
      <c r="D38" t="s">
        <v>187</v>
      </c>
      <c r="E38">
        <v>1000</v>
      </c>
      <c r="F38">
        <v>10.713373881389501</v>
      </c>
      <c r="G38">
        <v>10.6849111076576</v>
      </c>
      <c r="H38" s="19">
        <v>7.5647880972959001E-4</v>
      </c>
      <c r="I38" s="19">
        <v>1.4206897765150001E-5</v>
      </c>
      <c r="J38" s="19">
        <v>2.0278824037509999E-5</v>
      </c>
      <c r="K38">
        <v>10.3123720281811</v>
      </c>
      <c r="L38">
        <v>10.3123720281811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0.61753085931381502</v>
      </c>
      <c r="X38">
        <v>0</v>
      </c>
      <c r="Y38">
        <v>0</v>
      </c>
      <c r="Z38">
        <v>0</v>
      </c>
      <c r="AA38">
        <v>0</v>
      </c>
      <c r="AB38">
        <v>10.3123720281811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10.3123720281811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0.132549287428427</v>
      </c>
      <c r="AZ38">
        <v>0.114767269191258</v>
      </c>
      <c r="BA38" s="19">
        <v>5.2683544264723995E-4</v>
      </c>
      <c r="BB38" s="19">
        <v>1.4206897765150001E-5</v>
      </c>
      <c r="BC38" s="19">
        <v>6.22247548213E-6</v>
      </c>
      <c r="BD38">
        <v>0.26845256577989202</v>
      </c>
      <c r="BE38">
        <v>0.25777181028522</v>
      </c>
      <c r="BF38" s="19">
        <v>2.2964336708235E-4</v>
      </c>
      <c r="BG38" s="19">
        <v>1.4056348555370001E-5</v>
      </c>
      <c r="BI38" t="s">
        <v>184</v>
      </c>
    </row>
    <row r="39" spans="1:61" x14ac:dyDescent="0.3">
      <c r="A39" t="s">
        <v>188</v>
      </c>
      <c r="B39" t="s">
        <v>189</v>
      </c>
      <c r="C39" t="s">
        <v>177</v>
      </c>
      <c r="D39" t="s">
        <v>190</v>
      </c>
      <c r="E39">
        <v>1000</v>
      </c>
      <c r="F39">
        <v>14.8079227367546</v>
      </c>
      <c r="G39">
        <v>14.7555091414053</v>
      </c>
      <c r="H39">
        <v>1.59857989257933E-3</v>
      </c>
      <c r="I39" s="19">
        <v>2.7304202168160002E-5</v>
      </c>
      <c r="J39" s="19">
        <v>1.479377689346E-5</v>
      </c>
      <c r="K39">
        <v>14.363135528045699</v>
      </c>
      <c r="L39">
        <v>14.363135528045699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13.613068724169</v>
      </c>
      <c r="X39">
        <v>0</v>
      </c>
      <c r="Y39">
        <v>0</v>
      </c>
      <c r="Z39">
        <v>0</v>
      </c>
      <c r="AA39">
        <v>0</v>
      </c>
      <c r="AB39">
        <v>14.363135528045699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14.363135528045699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0.17633464292901599</v>
      </c>
      <c r="AZ39">
        <v>0.134601803074367</v>
      </c>
      <c r="BA39">
        <v>1.36893652549697E-3</v>
      </c>
      <c r="BB39" s="19">
        <v>2.7304202168160002E-5</v>
      </c>
      <c r="BC39" s="19">
        <v>7.3742833809112202E-7</v>
      </c>
      <c r="BD39">
        <v>0.26845256577989202</v>
      </c>
      <c r="BE39">
        <v>0.25777181028522</v>
      </c>
      <c r="BF39" s="19">
        <v>2.2964336708235E-4</v>
      </c>
      <c r="BG39" s="19">
        <v>1.4056348555370001E-5</v>
      </c>
      <c r="BI39" t="s">
        <v>165</v>
      </c>
    </row>
    <row r="40" spans="1:61" x14ac:dyDescent="0.3">
      <c r="A40" t="s">
        <v>191</v>
      </c>
      <c r="B40" t="s">
        <v>192</v>
      </c>
      <c r="C40" t="s">
        <v>193</v>
      </c>
      <c r="D40" t="s">
        <v>194</v>
      </c>
      <c r="E40">
        <v>1000</v>
      </c>
      <c r="F40">
        <v>1.1330430576814701</v>
      </c>
      <c r="G40">
        <v>0.32532598241916599</v>
      </c>
      <c r="H40">
        <v>1.3185106965476899E-3</v>
      </c>
      <c r="I40">
        <v>2.5899986343567501E-2</v>
      </c>
      <c r="J40" s="19">
        <v>9.2552392413906002E-4</v>
      </c>
      <c r="K40">
        <v>0.98519212956271596</v>
      </c>
      <c r="L40">
        <v>0.19387305151305101</v>
      </c>
      <c r="M40" s="19">
        <v>8.8601244119798997E-4</v>
      </c>
      <c r="N40">
        <v>2.5854175220252001E-2</v>
      </c>
      <c r="O40" s="19">
        <v>9.1719920298998002E-4</v>
      </c>
      <c r="P40">
        <v>0.85001931997625302</v>
      </c>
      <c r="Q40">
        <v>1.45981825976774E-2</v>
      </c>
      <c r="R40">
        <v>1.0299681768157201E-3</v>
      </c>
      <c r="S40">
        <v>7.9864905677551196E-3</v>
      </c>
      <c r="T40">
        <v>6.5758842964533604E-2</v>
      </c>
      <c r="U40" s="19">
        <v>9.0734633843083304E-12</v>
      </c>
      <c r="V40" s="19">
        <v>4.4655061914256999E-4</v>
      </c>
      <c r="W40">
        <v>9.42193156890999E-3</v>
      </c>
      <c r="X40">
        <v>7.8827440129728101</v>
      </c>
      <c r="Y40">
        <v>3.6769997332784798E-2</v>
      </c>
      <c r="Z40">
        <v>2.24625839413338E-2</v>
      </c>
      <c r="AA40">
        <v>7.5289554592282801E-2</v>
      </c>
      <c r="AB40">
        <v>0.163452112340609</v>
      </c>
      <c r="AC40">
        <v>2.6502468428310399E-2</v>
      </c>
      <c r="AD40">
        <v>0.477173206866289</v>
      </c>
      <c r="AE40">
        <v>0.183542206061104</v>
      </c>
      <c r="AF40">
        <v>2.2183429954827302E-2</v>
      </c>
      <c r="AG40">
        <v>2.0122118326568E-2</v>
      </c>
      <c r="AH40">
        <v>0.15584588450610101</v>
      </c>
      <c r="AI40">
        <v>2.6502468428310399E-2</v>
      </c>
      <c r="AJ40" s="19">
        <v>4.1275529743389997E-5</v>
      </c>
      <c r="AK40" s="19">
        <v>7.1082044781760001E-5</v>
      </c>
      <c r="AL40">
        <v>7.2523665507376697E-2</v>
      </c>
      <c r="AM40">
        <v>0</v>
      </c>
      <c r="AN40">
        <v>1.76730817357885E-2</v>
      </c>
      <c r="AO40">
        <v>4.09054674223176E-3</v>
      </c>
      <c r="AP40" s="19">
        <v>4.892511572016E-5</v>
      </c>
      <c r="AQ40" s="19">
        <v>8.1399516582157897E-7</v>
      </c>
      <c r="AR40" s="19">
        <v>2.7578591425744001E-4</v>
      </c>
      <c r="AS40">
        <v>7.2301658109980599E-2</v>
      </c>
      <c r="AT40" s="19">
        <v>2.6775620520456001E-4</v>
      </c>
      <c r="AU40">
        <v>1.16559293746207E-2</v>
      </c>
      <c r="AV40">
        <v>1.0211712712978801E-2</v>
      </c>
      <c r="AW40" s="19">
        <v>4.43926200926E-5</v>
      </c>
      <c r="AX40" s="19">
        <v>4.4438308748041299E-7</v>
      </c>
      <c r="AY40">
        <v>8.9356930463117906E-2</v>
      </c>
      <c r="AZ40">
        <v>7.6347166005903203E-2</v>
      </c>
      <c r="BA40" s="19">
        <v>3.4830651141009E-4</v>
      </c>
      <c r="BB40" s="19">
        <v>4.5811123315500002E-5</v>
      </c>
      <c r="BC40" s="19">
        <v>5.1037732149200004E-6</v>
      </c>
      <c r="BD40">
        <v>4.6838068281015603E-2</v>
      </c>
      <c r="BE40">
        <v>4.4894052187232698E-2</v>
      </c>
      <c r="BF40" s="19">
        <v>3.9799123846989999E-5</v>
      </c>
      <c r="BG40" s="19">
        <v>2.7765648466700001E-6</v>
      </c>
      <c r="BH40" t="s">
        <v>195</v>
      </c>
      <c r="BI40" t="s">
        <v>159</v>
      </c>
    </row>
    <row r="41" spans="1:61" x14ac:dyDescent="0.3">
      <c r="A41" t="s">
        <v>196</v>
      </c>
      <c r="B41" t="s">
        <v>197</v>
      </c>
      <c r="C41" t="s">
        <v>193</v>
      </c>
      <c r="D41" t="s">
        <v>198</v>
      </c>
      <c r="E41">
        <v>1000</v>
      </c>
      <c r="F41">
        <v>4.0311008825144397</v>
      </c>
      <c r="G41">
        <v>0.99581108511970695</v>
      </c>
      <c r="H41">
        <v>3.9182945555910897E-3</v>
      </c>
      <c r="I41">
        <v>9.8501442151936805E-2</v>
      </c>
      <c r="J41">
        <v>3.50892020285865E-3</v>
      </c>
      <c r="K41">
        <v>3.7517233473589302</v>
      </c>
      <c r="L41">
        <v>0.73829056481407096</v>
      </c>
      <c r="M41">
        <v>3.37403584737163E-3</v>
      </c>
      <c r="N41">
        <v>9.8455631028621204E-2</v>
      </c>
      <c r="O41">
        <v>3.4927985727655499E-3</v>
      </c>
      <c r="P41">
        <v>3.2369699602417099</v>
      </c>
      <c r="Q41">
        <v>5.5591534724322898E-2</v>
      </c>
      <c r="R41">
        <v>3.9222356127747403E-3</v>
      </c>
      <c r="S41">
        <v>3.0413461727316099E-2</v>
      </c>
      <c r="T41">
        <v>0.25041713087461798</v>
      </c>
      <c r="U41" s="19">
        <v>3.4552777472375202E-11</v>
      </c>
      <c r="V41">
        <v>1.7005153952644699E-3</v>
      </c>
      <c r="W41">
        <v>3.5879783834638898E-2</v>
      </c>
      <c r="X41">
        <v>30.018383082141</v>
      </c>
      <c r="Y41">
        <v>0.140024319456312</v>
      </c>
      <c r="Z41">
        <v>8.5540066841700596E-2</v>
      </c>
      <c r="AA41">
        <v>0.28671116150866599</v>
      </c>
      <c r="AB41">
        <v>0.62244417879747505</v>
      </c>
      <c r="AC41">
        <v>0.100924405079512</v>
      </c>
      <c r="AD41">
        <v>1.8171296818306799</v>
      </c>
      <c r="AE41">
        <v>0.69894953384458203</v>
      </c>
      <c r="AF41">
        <v>8.4477016805816194E-2</v>
      </c>
      <c r="AG41">
        <v>7.6627308378531406E-2</v>
      </c>
      <c r="AH41">
        <v>0.59347880067907599</v>
      </c>
      <c r="AI41">
        <v>0.100924405079512</v>
      </c>
      <c r="AJ41" s="19">
        <v>1.5718189779047E-4</v>
      </c>
      <c r="AK41" s="19">
        <v>2.7068848703056003E-4</v>
      </c>
      <c r="AL41">
        <v>0.27617834222939103</v>
      </c>
      <c r="AM41">
        <v>0</v>
      </c>
      <c r="AN41">
        <v>6.7301099327062394E-2</v>
      </c>
      <c r="AO41">
        <v>1.55772658507794E-2</v>
      </c>
      <c r="AP41" s="19">
        <v>1.8631238863127999E-4</v>
      </c>
      <c r="AQ41" s="19">
        <v>3.09978589618E-6</v>
      </c>
      <c r="AR41">
        <v>1.05022403483027E-3</v>
      </c>
      <c r="AS41">
        <v>0.27533291288509998</v>
      </c>
      <c r="AT41">
        <v>1.01964599221076E-3</v>
      </c>
      <c r="AU41">
        <v>1.16559293746207E-2</v>
      </c>
      <c r="AV41">
        <v>1.0211712712978801E-2</v>
      </c>
      <c r="AW41" s="19">
        <v>4.43926200926E-5</v>
      </c>
      <c r="AX41" s="19">
        <v>4.4438308748041299E-7</v>
      </c>
      <c r="AY41">
        <v>8.9356930463117906E-2</v>
      </c>
      <c r="AZ41">
        <v>7.6347166005903203E-2</v>
      </c>
      <c r="BA41" s="19">
        <v>3.4830651141009E-4</v>
      </c>
      <c r="BB41" s="19">
        <v>4.5811123315500002E-5</v>
      </c>
      <c r="BC41" s="19">
        <v>5.1037732149200004E-6</v>
      </c>
      <c r="BD41">
        <v>0.178364675317772</v>
      </c>
      <c r="BE41">
        <v>0.170961641586753</v>
      </c>
      <c r="BF41" s="19">
        <v>1.5155957671675999E-4</v>
      </c>
      <c r="BG41" s="19">
        <v>1.057347379069E-5</v>
      </c>
      <c r="BH41" t="s">
        <v>195</v>
      </c>
      <c r="BI41" t="s">
        <v>159</v>
      </c>
    </row>
    <row r="42" spans="1:61" x14ac:dyDescent="0.3">
      <c r="A42" t="s">
        <v>199</v>
      </c>
      <c r="B42" t="s">
        <v>200</v>
      </c>
      <c r="C42" t="s">
        <v>201</v>
      </c>
      <c r="D42" t="s">
        <v>202</v>
      </c>
      <c r="E42">
        <v>1000</v>
      </c>
      <c r="F42">
        <v>1.0549240044105499</v>
      </c>
      <c r="G42">
        <v>0.673927339870241</v>
      </c>
      <c r="H42">
        <v>1.22278086613867E-3</v>
      </c>
      <c r="I42">
        <v>1.9470450106698399E-3</v>
      </c>
      <c r="J42">
        <v>1.06955157304503E-3</v>
      </c>
      <c r="K42">
        <v>0.97916661973329</v>
      </c>
      <c r="L42">
        <v>0.60446594664184095</v>
      </c>
      <c r="M42">
        <v>1.0574202142117201E-3</v>
      </c>
      <c r="N42">
        <v>1.9407028381945601E-3</v>
      </c>
      <c r="O42">
        <v>1.0651669380098399E-3</v>
      </c>
      <c r="P42">
        <v>4.0762955087577799</v>
      </c>
      <c r="Q42">
        <v>5.6154932452015499E-2</v>
      </c>
      <c r="R42">
        <v>1.10164211077622E-2</v>
      </c>
      <c r="S42">
        <v>0.19030835571984001</v>
      </c>
      <c r="T42">
        <v>0.48217836748228199</v>
      </c>
      <c r="U42" s="19">
        <v>4.0359140461788697E-11</v>
      </c>
      <c r="V42">
        <v>2.9132615599483198E-3</v>
      </c>
      <c r="W42">
        <v>9.3648670155682492</v>
      </c>
      <c r="X42">
        <v>1.7378813558626001</v>
      </c>
      <c r="Y42">
        <v>0.28993202976412402</v>
      </c>
      <c r="Z42">
        <v>7.2529205181662698E-2</v>
      </c>
      <c r="AA42">
        <v>0.180799736626165</v>
      </c>
      <c r="AB42">
        <v>0.31708387118793302</v>
      </c>
      <c r="AC42">
        <v>6.5822202703204102E-2</v>
      </c>
      <c r="AD42">
        <v>0</v>
      </c>
      <c r="AE42">
        <v>5.2999574270200099E-2</v>
      </c>
      <c r="AF42">
        <v>0.17478763970251501</v>
      </c>
      <c r="AG42">
        <v>6.4753372918683702E-2</v>
      </c>
      <c r="AH42">
        <v>0.30323380782815101</v>
      </c>
      <c r="AI42">
        <v>6.5822202703204102E-2</v>
      </c>
      <c r="AJ42" s="19">
        <v>3.3497589174243E-4</v>
      </c>
      <c r="AK42" s="19">
        <v>2.3878296158513001E-4</v>
      </c>
      <c r="AL42">
        <v>6.5083579439174005E-2</v>
      </c>
      <c r="AM42">
        <v>0</v>
      </c>
      <c r="AN42">
        <v>0</v>
      </c>
      <c r="AO42">
        <v>1.9407028381945601E-3</v>
      </c>
      <c r="AP42" s="19">
        <v>3.8520918859957001E-4</v>
      </c>
      <c r="AQ42" s="19">
        <v>2.4179487463000002E-6</v>
      </c>
      <c r="AR42" s="19">
        <v>6.6227009753174002E-4</v>
      </c>
      <c r="AS42">
        <v>6.47033437742211E-2</v>
      </c>
      <c r="AT42" s="19">
        <v>2.19999135145E-6</v>
      </c>
      <c r="AU42">
        <v>0</v>
      </c>
      <c r="AV42">
        <v>0</v>
      </c>
      <c r="AW42">
        <v>0</v>
      </c>
      <c r="AX42">
        <v>0</v>
      </c>
      <c r="AY42">
        <v>4.4823493583701302E-2</v>
      </c>
      <c r="AZ42">
        <v>3.9790356012319603E-2</v>
      </c>
      <c r="BA42" s="19">
        <v>1.3894839250013001E-4</v>
      </c>
      <c r="BB42" s="19">
        <v>6.3421724752699996E-6</v>
      </c>
      <c r="BC42" s="19">
        <v>2.6418931063900001E-6</v>
      </c>
      <c r="BD42">
        <v>3.09338910935632E-2</v>
      </c>
      <c r="BE42">
        <v>2.9671037216080401E-2</v>
      </c>
      <c r="BF42" s="19">
        <v>2.6412259426810001E-5</v>
      </c>
      <c r="BG42" s="19">
        <v>1.7427419288000001E-6</v>
      </c>
      <c r="BI42" t="s">
        <v>203</v>
      </c>
    </row>
    <row r="43" spans="1:61" x14ac:dyDescent="0.3">
      <c r="A43" t="s">
        <v>204</v>
      </c>
      <c r="B43" t="s">
        <v>93</v>
      </c>
      <c r="C43" t="s">
        <v>205</v>
      </c>
      <c r="D43" t="s">
        <v>206</v>
      </c>
      <c r="E43">
        <v>1000</v>
      </c>
      <c r="F43">
        <v>8.1279223801838203</v>
      </c>
      <c r="G43">
        <v>2.1455452814192202</v>
      </c>
      <c r="H43">
        <v>7.7086655561718698E-3</v>
      </c>
      <c r="I43">
        <v>0.19411886984621801</v>
      </c>
      <c r="J43">
        <v>6.9200463739988198E-3</v>
      </c>
      <c r="K43">
        <v>7.39514993334625</v>
      </c>
      <c r="L43">
        <v>1.45526972958131</v>
      </c>
      <c r="M43">
        <v>6.65067721194395E-3</v>
      </c>
      <c r="N43">
        <v>0.194069254533765</v>
      </c>
      <c r="O43">
        <v>6.8847744732463299E-3</v>
      </c>
      <c r="P43">
        <v>6.3805019638712501</v>
      </c>
      <c r="Q43">
        <v>0.109578371390469</v>
      </c>
      <c r="R43">
        <v>7.7312524791568497E-3</v>
      </c>
      <c r="S43">
        <v>5.9949012398240999E-2</v>
      </c>
      <c r="T43">
        <v>0.49360575320667899</v>
      </c>
      <c r="U43" s="19">
        <v>6.8108158934917599E-11</v>
      </c>
      <c r="V43">
        <v>3.3519439328587499E-3</v>
      </c>
      <c r="W43">
        <v>7.0723866465258994E-2</v>
      </c>
      <c r="X43">
        <v>59.170259397012899</v>
      </c>
      <c r="Y43">
        <v>0.276006715000229</v>
      </c>
      <c r="Z43">
        <v>0.168610945166878</v>
      </c>
      <c r="AA43">
        <v>0.56514615567616999</v>
      </c>
      <c r="AB43">
        <v>1.2269209643579599</v>
      </c>
      <c r="AC43">
        <v>0.19893553932279401</v>
      </c>
      <c r="AD43">
        <v>3.5818063330632999</v>
      </c>
      <c r="AE43">
        <v>1.3777232807589099</v>
      </c>
      <c r="AF43">
        <v>0.16651553096008501</v>
      </c>
      <c r="AG43">
        <v>0.15104270277468901</v>
      </c>
      <c r="AH43">
        <v>1.1698263189832101</v>
      </c>
      <c r="AI43">
        <v>0.19893553932279401</v>
      </c>
      <c r="AJ43" s="19">
        <v>3.0982660322935001E-4</v>
      </c>
      <c r="AK43" s="19">
        <v>5.3356331517111005E-4</v>
      </c>
      <c r="AL43">
        <v>0.544384556117955</v>
      </c>
      <c r="AM43">
        <v>0</v>
      </c>
      <c r="AN43">
        <v>0.132659493817159</v>
      </c>
      <c r="AO43">
        <v>3.0704880358302999E-2</v>
      </c>
      <c r="AP43" s="19">
        <v>3.6724670792640001E-4</v>
      </c>
      <c r="AQ43" s="19">
        <v>6.1100937732200002E-6</v>
      </c>
      <c r="AR43">
        <v>2.0701324383742498E-3</v>
      </c>
      <c r="AS43">
        <v>0.54271810148358401</v>
      </c>
      <c r="AT43">
        <v>2.00985901496237E-3</v>
      </c>
      <c r="AU43">
        <v>0.33574934130970502</v>
      </c>
      <c r="AV43">
        <v>0.31980427088413699</v>
      </c>
      <c r="AW43" s="19">
        <v>4.2563401707075999E-4</v>
      </c>
      <c r="AX43" s="19">
        <v>1.1945702259549999E-5</v>
      </c>
      <c r="AY43">
        <v>9.6777195229454799E-2</v>
      </c>
      <c r="AZ43">
        <v>8.2687090430199603E-2</v>
      </c>
      <c r="BA43" s="19">
        <v>3.7723013849875E-4</v>
      </c>
      <c r="BB43" s="19">
        <v>4.961531245318E-5</v>
      </c>
      <c r="BC43" s="19">
        <v>5.5275942701700004E-6</v>
      </c>
      <c r="BD43">
        <v>0.30024591029840803</v>
      </c>
      <c r="BE43">
        <v>0.28778419052357301</v>
      </c>
      <c r="BF43" s="19">
        <v>2.5512418865840001E-4</v>
      </c>
      <c r="BG43" s="19">
        <v>1.7798604222759999E-5</v>
      </c>
      <c r="BH43" t="s">
        <v>207</v>
      </c>
      <c r="BI43" t="s">
        <v>159</v>
      </c>
    </row>
    <row r="44" spans="1:61" x14ac:dyDescent="0.3">
      <c r="A44" t="s">
        <v>208</v>
      </c>
      <c r="B44" t="s">
        <v>209</v>
      </c>
      <c r="C44" t="s">
        <v>177</v>
      </c>
      <c r="D44" t="s">
        <v>178</v>
      </c>
      <c r="E44">
        <v>1000</v>
      </c>
      <c r="F44">
        <v>6.8013085759136196</v>
      </c>
      <c r="G44">
        <v>4.1060372070075299</v>
      </c>
      <c r="H44">
        <v>1.5624228480953101E-3</v>
      </c>
      <c r="I44" s="19">
        <v>1.8453188378809999E-5</v>
      </c>
      <c r="J44">
        <v>9.7004136701341597E-3</v>
      </c>
      <c r="K44">
        <v>6.4268276670352797</v>
      </c>
      <c r="L44">
        <v>3.7636598846245599</v>
      </c>
      <c r="M44" s="19">
        <v>6.5091670659635995E-4</v>
      </c>
      <c r="N44">
        <v>0</v>
      </c>
      <c r="O44">
        <v>9.6841408958027401E-3</v>
      </c>
      <c r="P44">
        <v>5.3688853608748301</v>
      </c>
      <c r="Q44">
        <v>6.9999122740278405E-2</v>
      </c>
      <c r="R44">
        <v>1.0547821309108999E-2</v>
      </c>
      <c r="S44">
        <v>4.5471930797232801E-2</v>
      </c>
      <c r="T44" s="19">
        <v>5.9360692116173001E-4</v>
      </c>
      <c r="U44" s="19">
        <v>5.5371606048823101E-12</v>
      </c>
      <c r="V44">
        <v>2.1385836678236101E-3</v>
      </c>
      <c r="W44">
        <v>16.125521067614901</v>
      </c>
      <c r="X44">
        <v>0</v>
      </c>
      <c r="Y44">
        <v>3.6129574596249001</v>
      </c>
      <c r="Z44">
        <v>8.6281674421219007E-2</v>
      </c>
      <c r="AA44">
        <v>1.89431679589359</v>
      </c>
      <c r="AB44">
        <v>0.61367361589456304</v>
      </c>
      <c r="AC44">
        <v>0.219598121200998</v>
      </c>
      <c r="AD44">
        <v>0</v>
      </c>
      <c r="AE44">
        <v>0</v>
      </c>
      <c r="AF44">
        <v>2.8441064731077699</v>
      </c>
      <c r="AG44">
        <v>8.6281674421219007E-2</v>
      </c>
      <c r="AH44">
        <v>0.61367361589456304</v>
      </c>
      <c r="AI44">
        <v>0.219598121200998</v>
      </c>
      <c r="AJ44" s="19">
        <v>6.5091670659635995E-4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2.74525153355513E-3</v>
      </c>
      <c r="AQ44">
        <v>0</v>
      </c>
      <c r="AR44">
        <v>6.9388893622476001E-3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0.106028343098449</v>
      </c>
      <c r="AZ44">
        <v>8.4605512097746596E-2</v>
      </c>
      <c r="BA44" s="19">
        <v>6.8186277441658998E-4</v>
      </c>
      <c r="BB44" s="19">
        <v>1.8453188378809999E-5</v>
      </c>
      <c r="BC44" s="19">
        <v>2.2164257760399998E-6</v>
      </c>
      <c r="BD44">
        <v>0.26845256577989202</v>
      </c>
      <c r="BE44">
        <v>0.25777181028522</v>
      </c>
      <c r="BF44" s="19">
        <v>2.2964336708235E-4</v>
      </c>
      <c r="BG44" s="19">
        <v>1.4056348555370001E-5</v>
      </c>
      <c r="BI44" t="s">
        <v>179</v>
      </c>
    </row>
    <row r="45" spans="1:61" x14ac:dyDescent="0.3">
      <c r="A45" t="s">
        <v>210</v>
      </c>
      <c r="B45" t="s">
        <v>211</v>
      </c>
      <c r="C45" t="s">
        <v>177</v>
      </c>
      <c r="D45" t="s">
        <v>178</v>
      </c>
      <c r="E45">
        <v>1000</v>
      </c>
      <c r="F45">
        <v>6.8316131397574296</v>
      </c>
      <c r="G45">
        <v>6.7995095532620597</v>
      </c>
      <c r="H45" s="19">
        <v>9.1150614149895001E-4</v>
      </c>
      <c r="I45" s="19">
        <v>1.8453188378809999E-5</v>
      </c>
      <c r="J45" s="19">
        <v>1.6272774331420001E-5</v>
      </c>
      <c r="K45">
        <v>6.4571322308790897</v>
      </c>
      <c r="L45">
        <v>6.4571322308790897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3.6034967327189902</v>
      </c>
      <c r="X45">
        <v>0</v>
      </c>
      <c r="Y45">
        <v>0</v>
      </c>
      <c r="Z45">
        <v>0</v>
      </c>
      <c r="AA45">
        <v>0</v>
      </c>
      <c r="AB45">
        <v>6.4571322308790897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6.4571322308790897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0.106028343098449</v>
      </c>
      <c r="AZ45">
        <v>8.4605512097746596E-2</v>
      </c>
      <c r="BA45" s="19">
        <v>6.8186277441658998E-4</v>
      </c>
      <c r="BB45" s="19">
        <v>1.8453188378809999E-5</v>
      </c>
      <c r="BC45" s="19">
        <v>2.2164257760399998E-6</v>
      </c>
      <c r="BD45">
        <v>0.26845256577989202</v>
      </c>
      <c r="BE45">
        <v>0.25777181028522</v>
      </c>
      <c r="BF45" s="19">
        <v>2.2964336708235E-4</v>
      </c>
      <c r="BG45" s="19">
        <v>1.4056348555370001E-5</v>
      </c>
      <c r="BI45" t="s">
        <v>179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BK45"/>
  <sheetViews>
    <sheetView workbookViewId="0">
      <selection activeCell="G10" sqref="G10"/>
    </sheetView>
  </sheetViews>
  <sheetFormatPr defaultRowHeight="14.4" x14ac:dyDescent="0.3"/>
  <cols>
    <col min="1" max="1" width="20.109375" customWidth="1"/>
    <col min="2" max="2" width="13.6640625" customWidth="1"/>
    <col min="3" max="3" width="13.88671875" customWidth="1"/>
    <col min="4" max="4" width="15.33203125" customWidth="1"/>
  </cols>
  <sheetData>
    <row r="2" spans="1:63" ht="21" x14ac:dyDescent="0.4">
      <c r="A2" s="6" t="s">
        <v>213</v>
      </c>
    </row>
    <row r="4" spans="1:63" x14ac:dyDescent="0.3">
      <c r="A4" s="20" t="s">
        <v>96</v>
      </c>
      <c r="B4" s="20" t="s">
        <v>97</v>
      </c>
      <c r="C4" s="20" t="s">
        <v>98</v>
      </c>
      <c r="D4" s="20" t="s">
        <v>99</v>
      </c>
      <c r="E4" s="20" t="s">
        <v>100</v>
      </c>
      <c r="F4" s="20" t="s">
        <v>101</v>
      </c>
      <c r="G4" s="20" t="s">
        <v>102</v>
      </c>
      <c r="H4" s="20" t="s">
        <v>103</v>
      </c>
      <c r="I4" s="20" t="s">
        <v>104</v>
      </c>
      <c r="J4" s="20" t="s">
        <v>105</v>
      </c>
      <c r="K4" s="20" t="s">
        <v>106</v>
      </c>
      <c r="L4" s="20" t="s">
        <v>107</v>
      </c>
      <c r="M4" s="20" t="s">
        <v>108</v>
      </c>
      <c r="N4" s="20" t="s">
        <v>109</v>
      </c>
      <c r="O4" s="20" t="s">
        <v>110</v>
      </c>
      <c r="P4" s="20" t="s">
        <v>111</v>
      </c>
      <c r="Q4" s="20" t="s">
        <v>112</v>
      </c>
      <c r="R4" s="20" t="s">
        <v>113</v>
      </c>
      <c r="S4" s="20" t="s">
        <v>114</v>
      </c>
      <c r="T4" s="20" t="s">
        <v>115</v>
      </c>
      <c r="U4" s="20" t="s">
        <v>116</v>
      </c>
      <c r="V4" s="20" t="s">
        <v>117</v>
      </c>
      <c r="W4" s="20" t="s">
        <v>118</v>
      </c>
      <c r="X4" s="22" t="s">
        <v>119</v>
      </c>
      <c r="Y4" s="22" t="s">
        <v>120</v>
      </c>
      <c r="Z4" s="20" t="s">
        <v>121</v>
      </c>
      <c r="AA4" s="20" t="s">
        <v>122</v>
      </c>
      <c r="AB4" s="20" t="s">
        <v>123</v>
      </c>
      <c r="AC4" s="20" t="s">
        <v>124</v>
      </c>
      <c r="AD4" s="20" t="s">
        <v>125</v>
      </c>
      <c r="AE4" s="20" t="s">
        <v>126</v>
      </c>
      <c r="AF4" s="20" t="s">
        <v>127</v>
      </c>
      <c r="AG4" s="20" t="s">
        <v>128</v>
      </c>
      <c r="AH4" s="20" t="s">
        <v>129</v>
      </c>
      <c r="AI4" s="20" t="s">
        <v>130</v>
      </c>
      <c r="AJ4" s="20" t="s">
        <v>131</v>
      </c>
      <c r="AK4" s="20" t="s">
        <v>132</v>
      </c>
      <c r="AL4" s="20" t="s">
        <v>133</v>
      </c>
      <c r="AM4" s="20" t="s">
        <v>134</v>
      </c>
      <c r="AN4" s="20" t="s">
        <v>135</v>
      </c>
      <c r="AO4" s="20" t="s">
        <v>136</v>
      </c>
      <c r="AP4" s="20" t="s">
        <v>137</v>
      </c>
      <c r="AQ4" s="20" t="s">
        <v>138</v>
      </c>
      <c r="AR4" s="20" t="s">
        <v>139</v>
      </c>
      <c r="AS4" s="20" t="s">
        <v>140</v>
      </c>
      <c r="AT4" s="20" t="s">
        <v>141</v>
      </c>
      <c r="AU4" s="20" t="s">
        <v>142</v>
      </c>
      <c r="AV4" s="20" t="s">
        <v>143</v>
      </c>
      <c r="AW4" s="20" t="s">
        <v>144</v>
      </c>
      <c r="AX4" s="20" t="s">
        <v>145</v>
      </c>
      <c r="AY4" s="20" t="s">
        <v>146</v>
      </c>
      <c r="AZ4" s="20" t="s">
        <v>147</v>
      </c>
      <c r="BA4" s="20" t="s">
        <v>148</v>
      </c>
      <c r="BB4" s="20" t="s">
        <v>149</v>
      </c>
      <c r="BC4" s="20" t="s">
        <v>150</v>
      </c>
      <c r="BD4" s="20" t="s">
        <v>151</v>
      </c>
      <c r="BE4" s="20" t="s">
        <v>152</v>
      </c>
      <c r="BF4" s="20" t="s">
        <v>153</v>
      </c>
      <c r="BG4" s="20" t="s">
        <v>154</v>
      </c>
      <c r="BH4" s="20" t="s">
        <v>155</v>
      </c>
      <c r="BI4" s="20" t="s">
        <v>156</v>
      </c>
      <c r="BJ4" s="20" t="s">
        <v>157</v>
      </c>
      <c r="BK4" s="20" t="s">
        <v>158</v>
      </c>
    </row>
    <row r="5" spans="1:63" x14ac:dyDescent="0.3">
      <c r="A5" s="2" t="s">
        <v>23</v>
      </c>
    </row>
    <row r="6" spans="1:63" x14ac:dyDescent="0.3">
      <c r="A6" s="2" t="s">
        <v>24</v>
      </c>
      <c r="B6" t="str">
        <f t="shared" ref="B6:AG6" si="0">A30</f>
        <v>A.06.01.001</v>
      </c>
      <c r="C6" t="str">
        <f t="shared" si="0"/>
        <v>Beef meat (Bos spp.)</v>
      </c>
      <c r="D6" t="str">
        <f t="shared" si="0"/>
        <v>Meat and meat products (including edible offal)</v>
      </c>
      <c r="E6" t="str">
        <f t="shared" si="0"/>
        <v>Livestock meat</v>
      </c>
      <c r="F6">
        <f t="shared" si="0"/>
        <v>1000</v>
      </c>
      <c r="G6">
        <f t="shared" si="0"/>
        <v>31.289815892883801</v>
      </c>
      <c r="H6">
        <f t="shared" si="0"/>
        <v>5.8558953860036098</v>
      </c>
      <c r="I6">
        <f t="shared" si="0"/>
        <v>4.2928608083382898E-2</v>
      </c>
      <c r="J6">
        <f t="shared" si="0"/>
        <v>0.72785571822120798</v>
      </c>
      <c r="K6">
        <f t="shared" si="0"/>
        <v>0.99429916374806404</v>
      </c>
      <c r="L6">
        <f t="shared" si="0"/>
        <v>31.119134337539101</v>
      </c>
      <c r="M6">
        <f t="shared" si="0"/>
        <v>5.7249200207270698</v>
      </c>
      <c r="N6">
        <f t="shared" si="0"/>
        <v>4.1627974905923203E-2</v>
      </c>
      <c r="O6">
        <f t="shared" si="0"/>
        <v>0.72782983611290197</v>
      </c>
      <c r="P6">
        <f t="shared" si="0"/>
        <v>0.99429825347533296</v>
      </c>
      <c r="Q6">
        <f t="shared" si="0"/>
        <v>30.097313771453901</v>
      </c>
      <c r="R6">
        <f t="shared" si="0"/>
        <v>0.61451321269574399</v>
      </c>
      <c r="S6">
        <f t="shared" si="0"/>
        <v>4.0339794252911398E-2</v>
      </c>
      <c r="T6">
        <f t="shared" si="0"/>
        <v>0.77241727469239296</v>
      </c>
      <c r="U6">
        <f t="shared" si="0"/>
        <v>1.9080558500759</v>
      </c>
      <c r="V6">
        <f t="shared" si="0"/>
        <v>3.3106393382053898E-10</v>
      </c>
      <c r="W6">
        <f t="shared" si="0"/>
        <v>0.18460845210583601</v>
      </c>
      <c r="X6">
        <f t="shared" si="0"/>
        <v>0.29592150784549098</v>
      </c>
      <c r="Y6">
        <f t="shared" si="0"/>
        <v>52.923873837223702</v>
      </c>
      <c r="Z6">
        <f t="shared" si="0"/>
        <v>1.97922862008311</v>
      </c>
      <c r="AA6">
        <f t="shared" si="0"/>
        <v>0.90647182540928595</v>
      </c>
      <c r="AB6">
        <f t="shared" si="0"/>
        <v>3.30620342842768</v>
      </c>
      <c r="AC6">
        <f t="shared" si="0"/>
        <v>4.0898104473724297</v>
      </c>
      <c r="AD6">
        <f t="shared" si="0"/>
        <v>0.48015944696970803</v>
      </c>
      <c r="AE6">
        <f t="shared" si="0"/>
        <v>16.749039826808598</v>
      </c>
      <c r="AF6">
        <f t="shared" si="0"/>
        <v>3.60822074246824</v>
      </c>
      <c r="AG6">
        <f t="shared" si="0"/>
        <v>1.1641076109512001</v>
      </c>
      <c r="AH6">
        <f t="shared" ref="AH6:BI6" si="1">AG30</f>
        <v>0.79760519034240895</v>
      </c>
      <c r="AI6">
        <f t="shared" si="1"/>
        <v>3.9819711377100702</v>
      </c>
      <c r="AJ6">
        <f t="shared" si="1"/>
        <v>0.479840135524224</v>
      </c>
      <c r="AK6">
        <f t="shared" si="1"/>
        <v>1.9574925101307401E-3</v>
      </c>
      <c r="AL6">
        <f t="shared" si="1"/>
        <v>2.85310825345639E-3</v>
      </c>
      <c r="AM6">
        <f t="shared" si="1"/>
        <v>1.56598149547998</v>
      </c>
      <c r="AN6">
        <f t="shared" si="1"/>
        <v>0</v>
      </c>
      <c r="AO6">
        <f t="shared" si="1"/>
        <v>0.62033480840032096</v>
      </c>
      <c r="AP6">
        <f t="shared" si="1"/>
        <v>6.6014500081875094E-2</v>
      </c>
      <c r="AQ6">
        <f t="shared" si="1"/>
        <v>2.7721162356410599E-3</v>
      </c>
      <c r="AR6">
        <f t="shared" si="1"/>
        <v>8.7340692724819998E-5</v>
      </c>
      <c r="AS6">
        <f t="shared" si="1"/>
        <v>1.2110635268965801E-2</v>
      </c>
      <c r="AT6">
        <f t="shared" si="1"/>
        <v>1.56334209454819</v>
      </c>
      <c r="AU6">
        <f t="shared" si="1"/>
        <v>6.6880191950828404E-3</v>
      </c>
      <c r="AV6">
        <f t="shared" si="1"/>
        <v>0</v>
      </c>
      <c r="AW6">
        <f t="shared" si="1"/>
        <v>0</v>
      </c>
      <c r="AX6">
        <f t="shared" si="1"/>
        <v>0</v>
      </c>
      <c r="AY6">
        <f t="shared" si="1"/>
        <v>0</v>
      </c>
      <c r="AZ6">
        <f t="shared" si="1"/>
        <v>0.16715054694313</v>
      </c>
      <c r="BA6">
        <f t="shared" si="1"/>
        <v>0.127591292497577</v>
      </c>
      <c r="BB6">
        <f t="shared" si="1"/>
        <v>1.2976377481273399E-3</v>
      </c>
      <c r="BC6">
        <f t="shared" si="1"/>
        <v>2.5882108305240001E-5</v>
      </c>
      <c r="BD6">
        <f t="shared" si="1"/>
        <v>6.9902061214887601E-7</v>
      </c>
      <c r="BE6">
        <f t="shared" si="1"/>
        <v>3.5310084016021101E-3</v>
      </c>
      <c r="BF6">
        <f t="shared" si="1"/>
        <v>3.38407277896769E-3</v>
      </c>
      <c r="BG6">
        <f t="shared" si="1"/>
        <v>2.9954293323900001E-6</v>
      </c>
      <c r="BH6">
        <f t="shared" si="1"/>
        <v>2.1125211915379201E-7</v>
      </c>
      <c r="BI6">
        <f t="shared" si="1"/>
        <v>0</v>
      </c>
    </row>
    <row r="7" spans="1:63" x14ac:dyDescent="0.3">
      <c r="A7" s="2" t="s">
        <v>25</v>
      </c>
      <c r="B7" t="str">
        <f t="shared" ref="B7:AG7" si="2">A43</f>
        <v>A.11.01.001</v>
      </c>
      <c r="C7" t="str">
        <f t="shared" si="2"/>
        <v>Butter</v>
      </c>
      <c r="D7" t="str">
        <f t="shared" si="2"/>
        <v>Animal and vegetable fats and oils</v>
      </c>
      <c r="E7" t="str">
        <f t="shared" si="2"/>
        <v>Animal fat</v>
      </c>
      <c r="F7">
        <f t="shared" si="2"/>
        <v>1000</v>
      </c>
      <c r="G7">
        <f t="shared" si="2"/>
        <v>7.62924118838857</v>
      </c>
      <c r="H7">
        <f t="shared" si="2"/>
        <v>2.1177271820642498</v>
      </c>
      <c r="I7">
        <f t="shared" si="2"/>
        <v>6.9407906290885196E-3</v>
      </c>
      <c r="J7">
        <f t="shared" si="2"/>
        <v>0.16560377866874801</v>
      </c>
      <c r="K7">
        <f t="shared" si="2"/>
        <v>7.0087146223039897E-3</v>
      </c>
      <c r="L7">
        <f t="shared" si="2"/>
        <v>7.0286719307265697</v>
      </c>
      <c r="M7">
        <f t="shared" si="2"/>
        <v>1.55057304742682</v>
      </c>
      <c r="N7">
        <f t="shared" si="2"/>
        <v>6.0515142687586499E-3</v>
      </c>
      <c r="O7">
        <f t="shared" si="2"/>
        <v>0.165554163356294</v>
      </c>
      <c r="P7">
        <f t="shared" si="2"/>
        <v>6.9882931056354401E-3</v>
      </c>
      <c r="Q7">
        <f t="shared" si="2"/>
        <v>7.0244623769401802</v>
      </c>
      <c r="R7">
        <f t="shared" si="2"/>
        <v>0.120688362794031</v>
      </c>
      <c r="S7">
        <f t="shared" si="2"/>
        <v>9.6778833529371795E-3</v>
      </c>
      <c r="T7">
        <f t="shared" si="2"/>
        <v>0.132603489303839</v>
      </c>
      <c r="U7">
        <f t="shared" si="2"/>
        <v>0.482115732389235</v>
      </c>
      <c r="V7">
        <f t="shared" si="2"/>
        <v>4.2029933466387703E-11</v>
      </c>
      <c r="W7">
        <f t="shared" si="2"/>
        <v>4.0232026529416001E-3</v>
      </c>
      <c r="X7">
        <f t="shared" si="2"/>
        <v>6.7648211014058296E-2</v>
      </c>
      <c r="Y7">
        <f t="shared" si="2"/>
        <v>40.052411383621703</v>
      </c>
      <c r="Z7">
        <f t="shared" si="2"/>
        <v>0.384038439668899</v>
      </c>
      <c r="AA7">
        <f t="shared" si="2"/>
        <v>0.18380937601816799</v>
      </c>
      <c r="AB7">
        <f t="shared" si="2"/>
        <v>0.69009498064944896</v>
      </c>
      <c r="AC7">
        <f t="shared" si="2"/>
        <v>1.2505877109183601</v>
      </c>
      <c r="AD7">
        <f t="shared" si="2"/>
        <v>0.16340549582806899</v>
      </c>
      <c r="AE7">
        <f t="shared" si="2"/>
        <v>3.27673325727591</v>
      </c>
      <c r="AF7">
        <f t="shared" si="2"/>
        <v>1.0800026703676999</v>
      </c>
      <c r="AG7">
        <f t="shared" si="2"/>
        <v>0.23178398737061401</v>
      </c>
      <c r="AH7">
        <f t="shared" ref="AH7:BI7" si="3">AG43</f>
        <v>0.16458612696973601</v>
      </c>
      <c r="AI7">
        <f t="shared" si="3"/>
        <v>1.2102018927124201</v>
      </c>
      <c r="AJ7">
        <f t="shared" si="3"/>
        <v>0.16340549582806899</v>
      </c>
      <c r="AK7">
        <f t="shared" si="3"/>
        <v>4.2459675902110997E-4</v>
      </c>
      <c r="AL7">
        <f t="shared" si="3"/>
        <v>5.8476924102506E-4</v>
      </c>
      <c r="AM7">
        <f t="shared" si="3"/>
        <v>0.51531983916400004</v>
      </c>
      <c r="AN7">
        <f t="shared" si="3"/>
        <v>0</v>
      </c>
      <c r="AO7">
        <f t="shared" si="3"/>
        <v>0.12136049101021899</v>
      </c>
      <c r="AP7">
        <f t="shared" si="3"/>
        <v>2.2096836173037902E-2</v>
      </c>
      <c r="AQ7">
        <f t="shared" si="3"/>
        <v>5.1136069186613002E-4</v>
      </c>
      <c r="AR7">
        <f t="shared" si="3"/>
        <v>6.5828778970099999E-6</v>
      </c>
      <c r="AS7">
        <f t="shared" si="3"/>
        <v>2.5278204419393701E-3</v>
      </c>
      <c r="AT7">
        <f t="shared" si="3"/>
        <v>0.51421203617155098</v>
      </c>
      <c r="AU7">
        <f t="shared" si="3"/>
        <v>1.7706523578596299E-3</v>
      </c>
      <c r="AV7">
        <f t="shared" si="3"/>
        <v>0.45842688464451897</v>
      </c>
      <c r="AW7">
        <f t="shared" si="3"/>
        <v>0.44099003178279</v>
      </c>
      <c r="AX7">
        <f t="shared" si="3"/>
        <v>4.7355307205563998E-4</v>
      </c>
      <c r="AY7">
        <f t="shared" si="3"/>
        <v>1.217938210428E-5</v>
      </c>
      <c r="AZ7">
        <f t="shared" si="3"/>
        <v>9.6777195229454799E-2</v>
      </c>
      <c r="BA7">
        <f t="shared" si="3"/>
        <v>8.2687090430199603E-2</v>
      </c>
      <c r="BB7">
        <f t="shared" si="3"/>
        <v>3.7723013849875E-4</v>
      </c>
      <c r="BC7">
        <f t="shared" si="3"/>
        <v>4.961531245318E-5</v>
      </c>
      <c r="BD7">
        <f t="shared" si="3"/>
        <v>5.5275942701700004E-6</v>
      </c>
      <c r="BE7">
        <f t="shared" si="3"/>
        <v>4.5365177788030703E-2</v>
      </c>
      <c r="BF7">
        <f t="shared" si="3"/>
        <v>4.3477012424435899E-2</v>
      </c>
      <c r="BG7">
        <f t="shared" si="3"/>
        <v>3.849314977547E-5</v>
      </c>
      <c r="BH7">
        <f t="shared" si="3"/>
        <v>2.71454029408E-6</v>
      </c>
      <c r="BI7" t="str">
        <f t="shared" si="3"/>
        <v>F28.A07MH$F28.A0EKQ</v>
      </c>
      <c r="BJ7" t="s">
        <v>159</v>
      </c>
    </row>
    <row r="8" spans="1:63" x14ac:dyDescent="0.3">
      <c r="A8" s="2" t="s">
        <v>26</v>
      </c>
      <c r="B8" t="str">
        <f t="shared" ref="B8:AG8" si="4">A38</f>
        <v>A.07.05.002</v>
      </c>
      <c r="C8" t="str">
        <f t="shared" si="4"/>
        <v>Octopus (Octopus vulgaris)</v>
      </c>
      <c r="D8" t="str">
        <f t="shared" si="4"/>
        <v>Fish and other seafood (including amphibians, reptiles, snails and insects)</v>
      </c>
      <c r="E8" t="str">
        <f t="shared" si="4"/>
        <v>Water molluscs</v>
      </c>
      <c r="F8">
        <f t="shared" si="4"/>
        <v>1000</v>
      </c>
      <c r="G8">
        <f t="shared" si="4"/>
        <v>10.713373881389501</v>
      </c>
      <c r="H8">
        <f t="shared" si="4"/>
        <v>10.6849111076576</v>
      </c>
      <c r="I8">
        <f t="shared" si="4"/>
        <v>7.5647880972959001E-4</v>
      </c>
      <c r="J8">
        <f t="shared" si="4"/>
        <v>1.4206897765150001E-5</v>
      </c>
      <c r="K8">
        <f t="shared" si="4"/>
        <v>2.0278824037509999E-5</v>
      </c>
      <c r="L8">
        <f t="shared" si="4"/>
        <v>10.3123720281811</v>
      </c>
      <c r="M8">
        <f t="shared" si="4"/>
        <v>10.3123720281811</v>
      </c>
      <c r="N8">
        <f t="shared" si="4"/>
        <v>0</v>
      </c>
      <c r="O8">
        <f t="shared" si="4"/>
        <v>0</v>
      </c>
      <c r="P8">
        <f t="shared" si="4"/>
        <v>0</v>
      </c>
      <c r="Q8">
        <f t="shared" si="4"/>
        <v>0</v>
      </c>
      <c r="R8">
        <f t="shared" si="4"/>
        <v>0</v>
      </c>
      <c r="S8">
        <f t="shared" si="4"/>
        <v>0</v>
      </c>
      <c r="T8">
        <f t="shared" si="4"/>
        <v>0</v>
      </c>
      <c r="U8">
        <f t="shared" si="4"/>
        <v>0</v>
      </c>
      <c r="V8">
        <f t="shared" si="4"/>
        <v>0</v>
      </c>
      <c r="W8">
        <f t="shared" si="4"/>
        <v>0</v>
      </c>
      <c r="X8">
        <f t="shared" si="4"/>
        <v>0.61753085931381502</v>
      </c>
      <c r="Y8">
        <f t="shared" si="4"/>
        <v>0</v>
      </c>
      <c r="Z8">
        <f t="shared" si="4"/>
        <v>0</v>
      </c>
      <c r="AA8">
        <f t="shared" si="4"/>
        <v>0</v>
      </c>
      <c r="AB8">
        <f t="shared" si="4"/>
        <v>0</v>
      </c>
      <c r="AC8">
        <f t="shared" si="4"/>
        <v>10.3123720281811</v>
      </c>
      <c r="AD8">
        <f t="shared" si="4"/>
        <v>0</v>
      </c>
      <c r="AE8">
        <f t="shared" si="4"/>
        <v>0</v>
      </c>
      <c r="AF8">
        <f t="shared" si="4"/>
        <v>0</v>
      </c>
      <c r="AG8">
        <f t="shared" si="4"/>
        <v>0</v>
      </c>
      <c r="AH8">
        <f t="shared" ref="AH8:BI8" si="5">AG38</f>
        <v>0</v>
      </c>
      <c r="AI8">
        <f t="shared" si="5"/>
        <v>10.3123720281811</v>
      </c>
      <c r="AJ8">
        <f t="shared" si="5"/>
        <v>0</v>
      </c>
      <c r="AK8">
        <f t="shared" si="5"/>
        <v>0</v>
      </c>
      <c r="AL8">
        <f t="shared" si="5"/>
        <v>0</v>
      </c>
      <c r="AM8">
        <f t="shared" si="5"/>
        <v>0</v>
      </c>
      <c r="AN8">
        <f t="shared" si="5"/>
        <v>0</v>
      </c>
      <c r="AO8">
        <f t="shared" si="5"/>
        <v>0</v>
      </c>
      <c r="AP8">
        <f t="shared" si="5"/>
        <v>0</v>
      </c>
      <c r="AQ8">
        <f t="shared" si="5"/>
        <v>0</v>
      </c>
      <c r="AR8">
        <f t="shared" si="5"/>
        <v>0</v>
      </c>
      <c r="AS8">
        <f t="shared" si="5"/>
        <v>0</v>
      </c>
      <c r="AT8">
        <f t="shared" si="5"/>
        <v>0</v>
      </c>
      <c r="AU8">
        <f t="shared" si="5"/>
        <v>0</v>
      </c>
      <c r="AV8">
        <f t="shared" si="5"/>
        <v>0</v>
      </c>
      <c r="AW8">
        <f t="shared" si="5"/>
        <v>0</v>
      </c>
      <c r="AX8">
        <f t="shared" si="5"/>
        <v>0</v>
      </c>
      <c r="AY8">
        <f t="shared" si="5"/>
        <v>0</v>
      </c>
      <c r="AZ8">
        <f t="shared" si="5"/>
        <v>0.132549287428427</v>
      </c>
      <c r="BA8">
        <f t="shared" si="5"/>
        <v>0.114767269191258</v>
      </c>
      <c r="BB8">
        <f t="shared" si="5"/>
        <v>5.2683544264723995E-4</v>
      </c>
      <c r="BC8">
        <f t="shared" si="5"/>
        <v>1.4206897765150001E-5</v>
      </c>
      <c r="BD8">
        <f t="shared" si="5"/>
        <v>6.22247548213E-6</v>
      </c>
      <c r="BE8">
        <f t="shared" si="5"/>
        <v>0.26845256577989202</v>
      </c>
      <c r="BF8">
        <f t="shared" si="5"/>
        <v>0.25777181028522</v>
      </c>
      <c r="BG8">
        <f t="shared" si="5"/>
        <v>2.2964336708235E-4</v>
      </c>
      <c r="BH8">
        <f t="shared" si="5"/>
        <v>1.4056348555370001E-5</v>
      </c>
      <c r="BI8">
        <f t="shared" si="5"/>
        <v>0</v>
      </c>
    </row>
    <row r="9" spans="1:63" x14ac:dyDescent="0.3">
      <c r="A9" s="2" t="s">
        <v>27</v>
      </c>
      <c r="B9" t="str">
        <f t="shared" ref="B9:AG9" si="6">A41</f>
        <v>A.08.05.001.004</v>
      </c>
      <c r="C9" t="str">
        <f t="shared" si="6"/>
        <v>Cream 40 % fat</v>
      </c>
      <c r="D9" t="str">
        <f t="shared" si="6"/>
        <v>Milk and dairy products</v>
      </c>
      <c r="E9" t="str">
        <f t="shared" si="6"/>
        <v>Cream and cream products</v>
      </c>
      <c r="F9">
        <f t="shared" si="6"/>
        <v>1000</v>
      </c>
      <c r="G9">
        <f t="shared" si="6"/>
        <v>3.7101040886435199</v>
      </c>
      <c r="H9">
        <f t="shared" si="6"/>
        <v>0.91516882469086303</v>
      </c>
      <c r="I9">
        <f t="shared" si="6"/>
        <v>3.49201644815577E-3</v>
      </c>
      <c r="J9">
        <f t="shared" si="6"/>
        <v>8.4035104851568204E-2</v>
      </c>
      <c r="K9">
        <f t="shared" si="6"/>
        <v>3.5525077551174901E-3</v>
      </c>
      <c r="L9">
        <f t="shared" si="6"/>
        <v>3.5658009399548698</v>
      </c>
      <c r="M9">
        <f t="shared" si="6"/>
        <v>0.78664004871425697</v>
      </c>
      <c r="N9">
        <f t="shared" si="6"/>
        <v>3.0700672161631699E-3</v>
      </c>
      <c r="O9">
        <f t="shared" si="6"/>
        <v>8.3989293728252701E-2</v>
      </c>
      <c r="P9">
        <f t="shared" si="6"/>
        <v>3.5453158676847099E-3</v>
      </c>
      <c r="Q9">
        <f t="shared" si="6"/>
        <v>3.5636653400867502</v>
      </c>
      <c r="R9">
        <f t="shared" si="6"/>
        <v>6.12278794250233E-2</v>
      </c>
      <c r="S9">
        <f t="shared" si="6"/>
        <v>4.9098045686007301E-3</v>
      </c>
      <c r="T9">
        <f t="shared" si="6"/>
        <v>6.7272686997079403E-2</v>
      </c>
      <c r="U9">
        <f t="shared" si="6"/>
        <v>0.244587988835446</v>
      </c>
      <c r="V9">
        <f t="shared" si="6"/>
        <v>2.13227161173239E-11</v>
      </c>
      <c r="W9">
        <f t="shared" si="6"/>
        <v>2.04105981085464E-3</v>
      </c>
      <c r="X9">
        <f t="shared" si="6"/>
        <v>3.4319435705296698E-2</v>
      </c>
      <c r="Y9">
        <f t="shared" si="6"/>
        <v>20.319475367007701</v>
      </c>
      <c r="Z9">
        <f t="shared" si="6"/>
        <v>0.194831206043871</v>
      </c>
      <c r="AA9">
        <f t="shared" si="6"/>
        <v>9.3250567424100803E-2</v>
      </c>
      <c r="AB9">
        <f t="shared" si="6"/>
        <v>0.35010046775701098</v>
      </c>
      <c r="AC9">
        <f t="shared" si="6"/>
        <v>0.63445084349352299</v>
      </c>
      <c r="AD9">
        <f t="shared" si="6"/>
        <v>8.28992271029627E-2</v>
      </c>
      <c r="AE9">
        <f t="shared" si="6"/>
        <v>1.6623593537915999</v>
      </c>
      <c r="AF9">
        <f t="shared" si="6"/>
        <v>0.54790927434179404</v>
      </c>
      <c r="AG9">
        <f t="shared" si="6"/>
        <v>0.11758915029445501</v>
      </c>
      <c r="AH9">
        <f t="shared" ref="AH9:BI9" si="7">AG41</f>
        <v>8.3498187429492096E-2</v>
      </c>
      <c r="AI9">
        <f t="shared" si="7"/>
        <v>0.613962223461329</v>
      </c>
      <c r="AJ9">
        <f t="shared" si="7"/>
        <v>8.28992271029627E-2</v>
      </c>
      <c r="AK9">
        <f t="shared" si="7"/>
        <v>2.1540733972808001E-4</v>
      </c>
      <c r="AL9">
        <f t="shared" si="7"/>
        <v>2.9666638731398E-4</v>
      </c>
      <c r="AM9">
        <f t="shared" si="7"/>
        <v>0.26143316759961999</v>
      </c>
      <c r="AN9">
        <f t="shared" si="7"/>
        <v>0</v>
      </c>
      <c r="AO9">
        <f t="shared" si="7"/>
        <v>6.1568864955244801E-2</v>
      </c>
      <c r="AP9">
        <f t="shared" si="7"/>
        <v>1.12102143865039E-2</v>
      </c>
      <c r="AQ9">
        <f t="shared" si="7"/>
        <v>2.5942460448908001E-4</v>
      </c>
      <c r="AR9">
        <f t="shared" si="7"/>
        <v>3.3396397532999999E-6</v>
      </c>
      <c r="AS9">
        <f t="shared" si="7"/>
        <v>1.28241929581322E-3</v>
      </c>
      <c r="AT9">
        <f t="shared" si="7"/>
        <v>0.260871154606171</v>
      </c>
      <c r="AU9">
        <f t="shared" si="7"/>
        <v>8.9829115716552003E-4</v>
      </c>
      <c r="AV9">
        <f t="shared" si="7"/>
        <v>2.7996491586951E-2</v>
      </c>
      <c r="AW9">
        <f t="shared" si="7"/>
        <v>2.6353570557397201E-2</v>
      </c>
      <c r="AX9">
        <f t="shared" si="7"/>
        <v>5.0775404405449999E-5</v>
      </c>
      <c r="AY9">
        <f t="shared" si="7"/>
        <v>4.7550907791646401E-7</v>
      </c>
      <c r="AZ9">
        <f t="shared" si="7"/>
        <v>8.9356930463117906E-2</v>
      </c>
      <c r="BA9">
        <f t="shared" si="7"/>
        <v>7.6347166005903203E-2</v>
      </c>
      <c r="BB9">
        <f t="shared" si="7"/>
        <v>3.4830651141009E-4</v>
      </c>
      <c r="BC9">
        <f t="shared" si="7"/>
        <v>4.5811123315500002E-5</v>
      </c>
      <c r="BD9">
        <f t="shared" si="7"/>
        <v>5.1037732149200004E-6</v>
      </c>
      <c r="BE9">
        <f t="shared" si="7"/>
        <v>2.6949726638584599E-2</v>
      </c>
      <c r="BF9">
        <f t="shared" si="7"/>
        <v>2.5828039413306102E-2</v>
      </c>
      <c r="BG9">
        <f t="shared" si="7"/>
        <v>2.2867316177049999E-5</v>
      </c>
      <c r="BH9">
        <f t="shared" si="7"/>
        <v>1.61260513993E-6</v>
      </c>
      <c r="BI9" t="str">
        <f t="shared" si="7"/>
        <v>F28.A0EKQ</v>
      </c>
      <c r="BJ9" t="s">
        <v>159</v>
      </c>
    </row>
    <row r="10" spans="1:63" x14ac:dyDescent="0.3">
      <c r="A10" s="2" t="s">
        <v>28</v>
      </c>
      <c r="B10" t="str">
        <f t="shared" ref="B10:AG10" si="8">A37</f>
        <v>A.07.04.001</v>
      </c>
      <c r="C10" t="str">
        <f t="shared" si="8"/>
        <v>Crab (Cancer spp.)</v>
      </c>
      <c r="D10" t="str">
        <f t="shared" si="8"/>
        <v>Fish and other seafood (including amphibians, reptiles, snails and insects)</v>
      </c>
      <c r="E10" t="str">
        <f t="shared" si="8"/>
        <v>Crustaceans</v>
      </c>
      <c r="F10">
        <f t="shared" si="8"/>
        <v>1000</v>
      </c>
      <c r="G10">
        <f t="shared" si="8"/>
        <v>15.465521516035301</v>
      </c>
      <c r="H10">
        <f t="shared" si="8"/>
        <v>15.4370587423034</v>
      </c>
      <c r="I10">
        <f t="shared" si="8"/>
        <v>7.5647880972959001E-4</v>
      </c>
      <c r="J10">
        <f t="shared" si="8"/>
        <v>1.4206897765150001E-5</v>
      </c>
      <c r="K10">
        <f t="shared" si="8"/>
        <v>2.0278824037509999E-5</v>
      </c>
      <c r="L10">
        <f t="shared" si="8"/>
        <v>15.0645196628269</v>
      </c>
      <c r="M10">
        <f t="shared" si="8"/>
        <v>15.0645196628269</v>
      </c>
      <c r="N10">
        <f t="shared" si="8"/>
        <v>0</v>
      </c>
      <c r="O10">
        <f t="shared" si="8"/>
        <v>0</v>
      </c>
      <c r="P10">
        <f t="shared" si="8"/>
        <v>0</v>
      </c>
      <c r="Q10">
        <f t="shared" si="8"/>
        <v>0</v>
      </c>
      <c r="R10">
        <f t="shared" si="8"/>
        <v>0</v>
      </c>
      <c r="S10">
        <f t="shared" si="8"/>
        <v>0</v>
      </c>
      <c r="T10">
        <f t="shared" si="8"/>
        <v>0</v>
      </c>
      <c r="U10">
        <f t="shared" si="8"/>
        <v>0</v>
      </c>
      <c r="V10">
        <f t="shared" si="8"/>
        <v>0</v>
      </c>
      <c r="W10">
        <f t="shared" si="8"/>
        <v>0</v>
      </c>
      <c r="X10">
        <f t="shared" si="8"/>
        <v>15.663199131551799</v>
      </c>
      <c r="Y10">
        <f t="shared" si="8"/>
        <v>0</v>
      </c>
      <c r="Z10">
        <f t="shared" si="8"/>
        <v>0</v>
      </c>
      <c r="AA10">
        <f t="shared" si="8"/>
        <v>0</v>
      </c>
      <c r="AB10">
        <f t="shared" si="8"/>
        <v>0</v>
      </c>
      <c r="AC10">
        <f t="shared" si="8"/>
        <v>15.0645196628269</v>
      </c>
      <c r="AD10">
        <f t="shared" si="8"/>
        <v>0</v>
      </c>
      <c r="AE10">
        <f t="shared" si="8"/>
        <v>0</v>
      </c>
      <c r="AF10">
        <f t="shared" si="8"/>
        <v>0</v>
      </c>
      <c r="AG10">
        <f t="shared" si="8"/>
        <v>0</v>
      </c>
      <c r="AH10">
        <f t="shared" ref="AH10:BI10" si="9">AG37</f>
        <v>0</v>
      </c>
      <c r="AI10">
        <f t="shared" si="9"/>
        <v>15.0645196628269</v>
      </c>
      <c r="AJ10">
        <f t="shared" si="9"/>
        <v>0</v>
      </c>
      <c r="AK10">
        <f t="shared" si="9"/>
        <v>0</v>
      </c>
      <c r="AL10">
        <f t="shared" si="9"/>
        <v>0</v>
      </c>
      <c r="AM10">
        <f t="shared" si="9"/>
        <v>0</v>
      </c>
      <c r="AN10">
        <f t="shared" si="9"/>
        <v>0</v>
      </c>
      <c r="AO10">
        <f t="shared" si="9"/>
        <v>0</v>
      </c>
      <c r="AP10">
        <f t="shared" si="9"/>
        <v>0</v>
      </c>
      <c r="AQ10">
        <f t="shared" si="9"/>
        <v>0</v>
      </c>
      <c r="AR10">
        <f t="shared" si="9"/>
        <v>0</v>
      </c>
      <c r="AS10">
        <f t="shared" si="9"/>
        <v>0</v>
      </c>
      <c r="AT10">
        <f t="shared" si="9"/>
        <v>0</v>
      </c>
      <c r="AU10">
        <f t="shared" si="9"/>
        <v>0</v>
      </c>
      <c r="AV10">
        <f t="shared" si="9"/>
        <v>0</v>
      </c>
      <c r="AW10">
        <f t="shared" si="9"/>
        <v>0</v>
      </c>
      <c r="AX10">
        <f t="shared" si="9"/>
        <v>0</v>
      </c>
      <c r="AY10">
        <f t="shared" si="9"/>
        <v>0</v>
      </c>
      <c r="AZ10">
        <f t="shared" si="9"/>
        <v>0.132549287428427</v>
      </c>
      <c r="BA10">
        <f t="shared" si="9"/>
        <v>0.114767269191258</v>
      </c>
      <c r="BB10">
        <f t="shared" si="9"/>
        <v>5.2683544264723995E-4</v>
      </c>
      <c r="BC10">
        <f t="shared" si="9"/>
        <v>1.4206897765150001E-5</v>
      </c>
      <c r="BD10">
        <f t="shared" si="9"/>
        <v>6.22247548213E-6</v>
      </c>
      <c r="BE10">
        <f t="shared" si="9"/>
        <v>0.26845256577989202</v>
      </c>
      <c r="BF10">
        <f t="shared" si="9"/>
        <v>0.25777181028522</v>
      </c>
      <c r="BG10">
        <f t="shared" si="9"/>
        <v>2.2964336708235E-4</v>
      </c>
      <c r="BH10">
        <f t="shared" si="9"/>
        <v>1.4056348555370001E-5</v>
      </c>
      <c r="BI10">
        <f t="shared" si="9"/>
        <v>0</v>
      </c>
    </row>
    <row r="11" spans="1:63" x14ac:dyDescent="0.3">
      <c r="A11" s="2" t="s">
        <v>29</v>
      </c>
      <c r="B11" t="str">
        <f t="shared" ref="B11:AG11" si="10">A44</f>
        <v>I.07.01.006.001</v>
      </c>
      <c r="C11" t="str">
        <f t="shared" si="10"/>
        <v>Salmon (Salmo salar)</v>
      </c>
      <c r="D11" t="str">
        <f t="shared" si="10"/>
        <v>Fish and other seafood (including amphibians, reptiles, snails and insects)</v>
      </c>
      <c r="E11" t="str">
        <f t="shared" si="10"/>
        <v>Fish meat</v>
      </c>
      <c r="F11">
        <f t="shared" si="10"/>
        <v>1000</v>
      </c>
      <c r="G11">
        <f t="shared" si="10"/>
        <v>6.8013085759136196</v>
      </c>
      <c r="H11">
        <f t="shared" si="10"/>
        <v>4.1060372070075299</v>
      </c>
      <c r="I11">
        <f t="shared" si="10"/>
        <v>1.5624228480953101E-3</v>
      </c>
      <c r="J11">
        <f t="shared" si="10"/>
        <v>1.8453188378809999E-5</v>
      </c>
      <c r="K11">
        <f t="shared" si="10"/>
        <v>9.7004136701341597E-3</v>
      </c>
      <c r="L11">
        <f t="shared" si="10"/>
        <v>6.4268276670352797</v>
      </c>
      <c r="M11">
        <f t="shared" si="10"/>
        <v>3.7636598846245599</v>
      </c>
      <c r="N11">
        <f t="shared" si="10"/>
        <v>6.5091670659635995E-4</v>
      </c>
      <c r="O11">
        <f t="shared" si="10"/>
        <v>0</v>
      </c>
      <c r="P11">
        <f t="shared" si="10"/>
        <v>9.6841408958027401E-3</v>
      </c>
      <c r="Q11">
        <f t="shared" si="10"/>
        <v>5.3688853608748301</v>
      </c>
      <c r="R11">
        <f t="shared" si="10"/>
        <v>6.9999122740278405E-2</v>
      </c>
      <c r="S11">
        <f t="shared" si="10"/>
        <v>1.0547821309108999E-2</v>
      </c>
      <c r="T11">
        <f t="shared" si="10"/>
        <v>4.5471930797232801E-2</v>
      </c>
      <c r="U11">
        <f t="shared" si="10"/>
        <v>5.9360692116173001E-4</v>
      </c>
      <c r="V11">
        <f t="shared" si="10"/>
        <v>5.5371606048823101E-12</v>
      </c>
      <c r="W11">
        <f t="shared" si="10"/>
        <v>2.1385836678236101E-3</v>
      </c>
      <c r="X11">
        <f t="shared" si="10"/>
        <v>16.125521067614901</v>
      </c>
      <c r="Y11">
        <f t="shared" si="10"/>
        <v>0</v>
      </c>
      <c r="Z11">
        <f t="shared" si="10"/>
        <v>3.6129574596249001</v>
      </c>
      <c r="AA11">
        <f t="shared" si="10"/>
        <v>8.6281674421219007E-2</v>
      </c>
      <c r="AB11">
        <f t="shared" si="10"/>
        <v>1.89431679589359</v>
      </c>
      <c r="AC11">
        <f t="shared" si="10"/>
        <v>0.61367361589456304</v>
      </c>
      <c r="AD11">
        <f t="shared" si="10"/>
        <v>0.219598121200998</v>
      </c>
      <c r="AE11">
        <f t="shared" si="10"/>
        <v>0</v>
      </c>
      <c r="AF11">
        <f t="shared" si="10"/>
        <v>0</v>
      </c>
      <c r="AG11">
        <f t="shared" si="10"/>
        <v>2.8441064731077699</v>
      </c>
      <c r="AH11">
        <f t="shared" ref="AH11:BI11" si="11">AG44</f>
        <v>8.6281674421219007E-2</v>
      </c>
      <c r="AI11">
        <f t="shared" si="11"/>
        <v>0.61367361589456304</v>
      </c>
      <c r="AJ11">
        <f t="shared" si="11"/>
        <v>0.219598121200998</v>
      </c>
      <c r="AK11">
        <f t="shared" si="11"/>
        <v>6.5091670659635995E-4</v>
      </c>
      <c r="AL11">
        <f t="shared" si="11"/>
        <v>0</v>
      </c>
      <c r="AM11">
        <f t="shared" si="11"/>
        <v>0</v>
      </c>
      <c r="AN11">
        <f t="shared" si="11"/>
        <v>0</v>
      </c>
      <c r="AO11">
        <f t="shared" si="11"/>
        <v>0</v>
      </c>
      <c r="AP11">
        <f t="shared" si="11"/>
        <v>0</v>
      </c>
      <c r="AQ11">
        <f t="shared" si="11"/>
        <v>2.74525153355513E-3</v>
      </c>
      <c r="AR11">
        <f t="shared" si="11"/>
        <v>0</v>
      </c>
      <c r="AS11">
        <f t="shared" si="11"/>
        <v>6.9388893622476001E-3</v>
      </c>
      <c r="AT11">
        <f t="shared" si="11"/>
        <v>0</v>
      </c>
      <c r="AU11">
        <f t="shared" si="11"/>
        <v>0</v>
      </c>
      <c r="AV11">
        <f t="shared" si="11"/>
        <v>0</v>
      </c>
      <c r="AW11">
        <f t="shared" si="11"/>
        <v>0</v>
      </c>
      <c r="AX11">
        <f t="shared" si="11"/>
        <v>0</v>
      </c>
      <c r="AY11">
        <f t="shared" si="11"/>
        <v>0</v>
      </c>
      <c r="AZ11">
        <f t="shared" si="11"/>
        <v>0.106028343098449</v>
      </c>
      <c r="BA11">
        <f t="shared" si="11"/>
        <v>8.4605512097746596E-2</v>
      </c>
      <c r="BB11">
        <f t="shared" si="11"/>
        <v>6.8186277441658998E-4</v>
      </c>
      <c r="BC11">
        <f t="shared" si="11"/>
        <v>1.8453188378809999E-5</v>
      </c>
      <c r="BD11">
        <f t="shared" si="11"/>
        <v>2.2164257760399998E-6</v>
      </c>
      <c r="BE11">
        <f t="shared" si="11"/>
        <v>0.26845256577989202</v>
      </c>
      <c r="BF11">
        <f t="shared" si="11"/>
        <v>0.25777181028522</v>
      </c>
      <c r="BG11">
        <f t="shared" si="11"/>
        <v>2.2964336708235E-4</v>
      </c>
      <c r="BH11">
        <f t="shared" si="11"/>
        <v>1.4056348555370001E-5</v>
      </c>
      <c r="BI11">
        <f t="shared" si="11"/>
        <v>0</v>
      </c>
    </row>
    <row r="12" spans="1:63" x14ac:dyDescent="0.3">
      <c r="A12" s="2" t="s">
        <v>30</v>
      </c>
      <c r="B12" t="str">
        <f t="shared" ref="B12:AG12" si="12">A42</f>
        <v>A.09.01.001</v>
      </c>
      <c r="C12" t="str">
        <f t="shared" si="12"/>
        <v>Whole egg, chicken</v>
      </c>
      <c r="D12" t="str">
        <f t="shared" si="12"/>
        <v>Eggs and egg products</v>
      </c>
      <c r="E12" t="str">
        <f t="shared" si="12"/>
        <v>Eggs, fresh</v>
      </c>
      <c r="F12">
        <f t="shared" si="12"/>
        <v>1000</v>
      </c>
      <c r="G12">
        <f t="shared" si="12"/>
        <v>1.15929834303317</v>
      </c>
      <c r="H12">
        <f t="shared" si="12"/>
        <v>0.65834742863712403</v>
      </c>
      <c r="I12">
        <f t="shared" si="12"/>
        <v>1.08422910010883E-3</v>
      </c>
      <c r="J12">
        <f t="shared" si="12"/>
        <v>1.77707328354109E-3</v>
      </c>
      <c r="K12">
        <f t="shared" si="12"/>
        <v>1.5408787859238101E-3</v>
      </c>
      <c r="L12">
        <f t="shared" si="12"/>
        <v>1.1102419687593501</v>
      </c>
      <c r="M12">
        <f t="shared" si="12"/>
        <v>0.61450068712148198</v>
      </c>
      <c r="N12">
        <f t="shared" si="12"/>
        <v>9.4169166917848002E-4</v>
      </c>
      <c r="O12">
        <f t="shared" si="12"/>
        <v>1.77073111106581E-3</v>
      </c>
      <c r="P12">
        <f t="shared" si="12"/>
        <v>1.5379821607970001E-3</v>
      </c>
      <c r="Q12">
        <f t="shared" si="12"/>
        <v>4.9950685476865502</v>
      </c>
      <c r="R12">
        <f t="shared" si="12"/>
        <v>5.9890818629486697E-2</v>
      </c>
      <c r="S12">
        <f t="shared" si="12"/>
        <v>9.2683258402518204E-3</v>
      </c>
      <c r="T12">
        <f t="shared" si="12"/>
        <v>0.121101060366972</v>
      </c>
      <c r="U12">
        <f t="shared" si="12"/>
        <v>0.60096338037771002</v>
      </c>
      <c r="V12">
        <f t="shared" si="12"/>
        <v>3.1418409586230202E-11</v>
      </c>
      <c r="W12">
        <f t="shared" si="12"/>
        <v>3.2550468987832199E-3</v>
      </c>
      <c r="X12">
        <f t="shared" si="12"/>
        <v>9.4416697991837992</v>
      </c>
      <c r="Y12">
        <f t="shared" si="12"/>
        <v>1.10417438884573</v>
      </c>
      <c r="Z12">
        <f t="shared" si="12"/>
        <v>0.31320138236759598</v>
      </c>
      <c r="AA12">
        <f t="shared" si="12"/>
        <v>7.5561466539063704E-2</v>
      </c>
      <c r="AB12">
        <f t="shared" si="12"/>
        <v>0.30184777758620701</v>
      </c>
      <c r="AC12">
        <f t="shared" si="12"/>
        <v>0.32228777360926902</v>
      </c>
      <c r="AD12">
        <f t="shared" si="12"/>
        <v>4.88040084529947E-2</v>
      </c>
      <c r="AE12">
        <f t="shared" si="12"/>
        <v>0</v>
      </c>
      <c r="AF12">
        <f t="shared" si="12"/>
        <v>4.85395602042267E-2</v>
      </c>
      <c r="AG12">
        <f t="shared" si="12"/>
        <v>0.18948816981723199</v>
      </c>
      <c r="AH12">
        <f t="shared" ref="AH12:BI12" si="13">AG42</f>
        <v>6.7479532943075404E-2</v>
      </c>
      <c r="AI12">
        <f t="shared" si="13"/>
        <v>0.31165836663000401</v>
      </c>
      <c r="AJ12">
        <f t="shared" si="13"/>
        <v>4.88040084529947E-2</v>
      </c>
      <c r="AK12">
        <f t="shared" si="13"/>
        <v>3.5068986316781999E-4</v>
      </c>
      <c r="AL12">
        <f t="shared" si="13"/>
        <v>2.4813587038153E-4</v>
      </c>
      <c r="AM12">
        <f t="shared" si="13"/>
        <v>5.1799169834376803E-2</v>
      </c>
      <c r="AN12">
        <f t="shared" si="13"/>
        <v>0</v>
      </c>
      <c r="AO12">
        <f t="shared" si="13"/>
        <v>0</v>
      </c>
      <c r="AP12">
        <f t="shared" si="13"/>
        <v>1.77073111106581E-3</v>
      </c>
      <c r="AQ12">
        <f t="shared" si="13"/>
        <v>4.1488151878374001E-4</v>
      </c>
      <c r="AR12">
        <f t="shared" si="13"/>
        <v>2.51825882277E-6</v>
      </c>
      <c r="AS12">
        <f t="shared" si="13"/>
        <v>1.1056695149677901E-3</v>
      </c>
      <c r="AT12">
        <f t="shared" si="13"/>
        <v>5.1528498606797403E-2</v>
      </c>
      <c r="AU12">
        <f t="shared" si="13"/>
        <v>2.6733340858900001E-6</v>
      </c>
      <c r="AV12">
        <f t="shared" si="13"/>
        <v>0</v>
      </c>
      <c r="AW12">
        <f t="shared" si="13"/>
        <v>0</v>
      </c>
      <c r="AX12">
        <f t="shared" si="13"/>
        <v>0</v>
      </c>
      <c r="AY12">
        <f t="shared" si="13"/>
        <v>0</v>
      </c>
      <c r="AZ12">
        <f t="shared" si="13"/>
        <v>4.4823493583701302E-2</v>
      </c>
      <c r="BA12">
        <f t="shared" si="13"/>
        <v>3.9790356012319603E-2</v>
      </c>
      <c r="BB12">
        <f t="shared" si="13"/>
        <v>1.3894839250013001E-4</v>
      </c>
      <c r="BC12">
        <f t="shared" si="13"/>
        <v>6.3421724752699996E-6</v>
      </c>
      <c r="BD12">
        <f t="shared" si="13"/>
        <v>2.6418931063900001E-6</v>
      </c>
      <c r="BE12">
        <f t="shared" si="13"/>
        <v>4.23288069011943E-3</v>
      </c>
      <c r="BF12">
        <f t="shared" si="13"/>
        <v>4.0563855033230603E-3</v>
      </c>
      <c r="BG12">
        <f t="shared" si="13"/>
        <v>3.5890384302099999E-6</v>
      </c>
      <c r="BH12">
        <f t="shared" si="13"/>
        <v>2.5473202042470399E-7</v>
      </c>
      <c r="BI12">
        <f t="shared" si="13"/>
        <v>0</v>
      </c>
    </row>
    <row r="13" spans="1:63" x14ac:dyDescent="0.3">
      <c r="A13" s="2" t="s">
        <v>31</v>
      </c>
    </row>
    <row r="14" spans="1:63" x14ac:dyDescent="0.3">
      <c r="A14" s="2" t="s">
        <v>32</v>
      </c>
    </row>
    <row r="15" spans="1:63" x14ac:dyDescent="0.3">
      <c r="A15" s="2" t="s">
        <v>33</v>
      </c>
    </row>
    <row r="16" spans="1:63" x14ac:dyDescent="0.3">
      <c r="A16" s="2" t="s">
        <v>34</v>
      </c>
      <c r="B16" t="str">
        <f t="shared" ref="B16:AG16" si="14">A36</f>
        <v>A.07.01.010</v>
      </c>
      <c r="C16" t="str">
        <f t="shared" si="14"/>
        <v>Perch (Perca)</v>
      </c>
      <c r="D16" t="str">
        <f t="shared" si="14"/>
        <v>Fish and other seafood (including amphibians, reptiles, snails and insects)</v>
      </c>
      <c r="E16" t="str">
        <f t="shared" si="14"/>
        <v>Fish meat</v>
      </c>
      <c r="F16">
        <f t="shared" si="14"/>
        <v>1000</v>
      </c>
      <c r="G16">
        <f t="shared" si="14"/>
        <v>12.8661333966143</v>
      </c>
      <c r="H16">
        <f t="shared" si="14"/>
        <v>12.834029810119</v>
      </c>
      <c r="I16">
        <f t="shared" si="14"/>
        <v>9.1150614149895001E-4</v>
      </c>
      <c r="J16">
        <f t="shared" si="14"/>
        <v>1.8453188378809999E-5</v>
      </c>
      <c r="K16">
        <f t="shared" si="14"/>
        <v>1.6272774331420001E-5</v>
      </c>
      <c r="L16">
        <f t="shared" si="14"/>
        <v>12.491652487735999</v>
      </c>
      <c r="M16">
        <f t="shared" si="14"/>
        <v>12.491652487735999</v>
      </c>
      <c r="N16">
        <f t="shared" si="14"/>
        <v>0</v>
      </c>
      <c r="O16">
        <f t="shared" si="14"/>
        <v>0</v>
      </c>
      <c r="P16">
        <f t="shared" si="14"/>
        <v>0</v>
      </c>
      <c r="Q16">
        <f t="shared" si="14"/>
        <v>0</v>
      </c>
      <c r="R16">
        <f t="shared" si="14"/>
        <v>0</v>
      </c>
      <c r="S16">
        <f t="shared" si="14"/>
        <v>0</v>
      </c>
      <c r="T16">
        <f t="shared" si="14"/>
        <v>0</v>
      </c>
      <c r="U16">
        <f t="shared" si="14"/>
        <v>0</v>
      </c>
      <c r="V16">
        <f t="shared" si="14"/>
        <v>0</v>
      </c>
      <c r="W16">
        <f t="shared" si="14"/>
        <v>0</v>
      </c>
      <c r="X16">
        <f t="shared" si="14"/>
        <v>5.91153348865938</v>
      </c>
      <c r="Y16">
        <f t="shared" si="14"/>
        <v>0</v>
      </c>
      <c r="Z16">
        <f t="shared" si="14"/>
        <v>0</v>
      </c>
      <c r="AA16">
        <f t="shared" si="14"/>
        <v>0</v>
      </c>
      <c r="AB16">
        <f t="shared" si="14"/>
        <v>0</v>
      </c>
      <c r="AC16">
        <f t="shared" si="14"/>
        <v>12.491652487735999</v>
      </c>
      <c r="AD16">
        <f t="shared" si="14"/>
        <v>0</v>
      </c>
      <c r="AE16">
        <f t="shared" si="14"/>
        <v>0</v>
      </c>
      <c r="AF16">
        <f t="shared" si="14"/>
        <v>0</v>
      </c>
      <c r="AG16">
        <f t="shared" si="14"/>
        <v>0</v>
      </c>
      <c r="AH16">
        <f t="shared" ref="AH16:BI16" si="15">AG36</f>
        <v>0</v>
      </c>
      <c r="AI16">
        <f t="shared" si="15"/>
        <v>12.491652487735999</v>
      </c>
      <c r="AJ16">
        <f t="shared" si="15"/>
        <v>0</v>
      </c>
      <c r="AK16">
        <f t="shared" si="15"/>
        <v>0</v>
      </c>
      <c r="AL16">
        <f t="shared" si="15"/>
        <v>0</v>
      </c>
      <c r="AM16">
        <f t="shared" si="15"/>
        <v>0</v>
      </c>
      <c r="AN16">
        <f t="shared" si="15"/>
        <v>0</v>
      </c>
      <c r="AO16">
        <f t="shared" si="15"/>
        <v>0</v>
      </c>
      <c r="AP16">
        <f t="shared" si="15"/>
        <v>0</v>
      </c>
      <c r="AQ16">
        <f t="shared" si="15"/>
        <v>0</v>
      </c>
      <c r="AR16">
        <f t="shared" si="15"/>
        <v>0</v>
      </c>
      <c r="AS16">
        <f t="shared" si="15"/>
        <v>0</v>
      </c>
      <c r="AT16">
        <f t="shared" si="15"/>
        <v>0</v>
      </c>
      <c r="AU16">
        <f t="shared" si="15"/>
        <v>0</v>
      </c>
      <c r="AV16">
        <f t="shared" si="15"/>
        <v>0</v>
      </c>
      <c r="AW16">
        <f t="shared" si="15"/>
        <v>0</v>
      </c>
      <c r="AX16">
        <f t="shared" si="15"/>
        <v>0</v>
      </c>
      <c r="AY16">
        <f t="shared" si="15"/>
        <v>0</v>
      </c>
      <c r="AZ16">
        <f t="shared" si="15"/>
        <v>0.106028343098449</v>
      </c>
      <c r="BA16">
        <f t="shared" si="15"/>
        <v>8.4605512097746596E-2</v>
      </c>
      <c r="BB16">
        <f t="shared" si="15"/>
        <v>6.8186277441658998E-4</v>
      </c>
      <c r="BC16">
        <f t="shared" si="15"/>
        <v>1.8453188378809999E-5</v>
      </c>
      <c r="BD16">
        <f t="shared" si="15"/>
        <v>2.2164257760399998E-6</v>
      </c>
      <c r="BE16">
        <f t="shared" si="15"/>
        <v>0.26845256577989202</v>
      </c>
      <c r="BF16">
        <f t="shared" si="15"/>
        <v>0.25777181028522</v>
      </c>
      <c r="BG16">
        <f t="shared" si="15"/>
        <v>2.2964336708235E-4</v>
      </c>
      <c r="BH16">
        <f t="shared" si="15"/>
        <v>1.4056348555370001E-5</v>
      </c>
      <c r="BI16">
        <f t="shared" si="15"/>
        <v>0</v>
      </c>
    </row>
    <row r="17" spans="1:62" x14ac:dyDescent="0.3">
      <c r="A17" s="2" t="s">
        <v>35</v>
      </c>
      <c r="B17" t="str">
        <f t="shared" ref="B17:AG17" si="16">A45</f>
        <v>I.07.01.017.001</v>
      </c>
      <c r="C17" t="str">
        <f t="shared" si="16"/>
        <v>Cod (Gadus morhua)</v>
      </c>
      <c r="D17" t="str">
        <f t="shared" si="16"/>
        <v>Fish and other seafood (including amphibians, reptiles, snails and insects)</v>
      </c>
      <c r="E17" t="str">
        <f t="shared" si="16"/>
        <v>Fish meat</v>
      </c>
      <c r="F17">
        <f t="shared" si="16"/>
        <v>1000</v>
      </c>
      <c r="G17">
        <f t="shared" si="16"/>
        <v>6.8316131397574296</v>
      </c>
      <c r="H17">
        <f t="shared" si="16"/>
        <v>6.7995095532620597</v>
      </c>
      <c r="I17">
        <f t="shared" si="16"/>
        <v>9.1150614149895001E-4</v>
      </c>
      <c r="J17">
        <f t="shared" si="16"/>
        <v>1.8453188378809999E-5</v>
      </c>
      <c r="K17">
        <f t="shared" si="16"/>
        <v>1.6272774331420001E-5</v>
      </c>
      <c r="L17">
        <f t="shared" si="16"/>
        <v>6.4571322308790897</v>
      </c>
      <c r="M17">
        <f t="shared" si="16"/>
        <v>6.4571322308790897</v>
      </c>
      <c r="N17">
        <f t="shared" si="16"/>
        <v>0</v>
      </c>
      <c r="O17">
        <f t="shared" si="16"/>
        <v>0</v>
      </c>
      <c r="P17">
        <f t="shared" si="16"/>
        <v>0</v>
      </c>
      <c r="Q17">
        <f t="shared" si="16"/>
        <v>0</v>
      </c>
      <c r="R17">
        <f t="shared" si="16"/>
        <v>0</v>
      </c>
      <c r="S17">
        <f t="shared" si="16"/>
        <v>0</v>
      </c>
      <c r="T17">
        <f t="shared" si="16"/>
        <v>0</v>
      </c>
      <c r="U17">
        <f t="shared" si="16"/>
        <v>0</v>
      </c>
      <c r="V17">
        <f t="shared" si="16"/>
        <v>0</v>
      </c>
      <c r="W17">
        <f t="shared" si="16"/>
        <v>0</v>
      </c>
      <c r="X17">
        <f t="shared" si="16"/>
        <v>3.6034967327189902</v>
      </c>
      <c r="Y17">
        <f t="shared" si="16"/>
        <v>0</v>
      </c>
      <c r="Z17">
        <f t="shared" si="16"/>
        <v>0</v>
      </c>
      <c r="AA17">
        <f t="shared" si="16"/>
        <v>0</v>
      </c>
      <c r="AB17">
        <f t="shared" si="16"/>
        <v>0</v>
      </c>
      <c r="AC17">
        <f t="shared" si="16"/>
        <v>6.4571322308790897</v>
      </c>
      <c r="AD17">
        <f t="shared" si="16"/>
        <v>0</v>
      </c>
      <c r="AE17">
        <f t="shared" si="16"/>
        <v>0</v>
      </c>
      <c r="AF17">
        <f t="shared" si="16"/>
        <v>0</v>
      </c>
      <c r="AG17">
        <f t="shared" si="16"/>
        <v>0</v>
      </c>
      <c r="AH17">
        <f t="shared" ref="AH17:BI17" si="17">AG45</f>
        <v>0</v>
      </c>
      <c r="AI17">
        <f t="shared" si="17"/>
        <v>6.4571322308790897</v>
      </c>
      <c r="AJ17">
        <f t="shared" si="17"/>
        <v>0</v>
      </c>
      <c r="AK17">
        <f t="shared" si="17"/>
        <v>0</v>
      </c>
      <c r="AL17">
        <f t="shared" si="17"/>
        <v>0</v>
      </c>
      <c r="AM17">
        <f t="shared" si="17"/>
        <v>0</v>
      </c>
      <c r="AN17">
        <f t="shared" si="17"/>
        <v>0</v>
      </c>
      <c r="AO17">
        <f t="shared" si="17"/>
        <v>0</v>
      </c>
      <c r="AP17">
        <f t="shared" si="17"/>
        <v>0</v>
      </c>
      <c r="AQ17">
        <f t="shared" si="17"/>
        <v>0</v>
      </c>
      <c r="AR17">
        <f t="shared" si="17"/>
        <v>0</v>
      </c>
      <c r="AS17">
        <f t="shared" si="17"/>
        <v>0</v>
      </c>
      <c r="AT17">
        <f t="shared" si="17"/>
        <v>0</v>
      </c>
      <c r="AU17">
        <f t="shared" si="17"/>
        <v>0</v>
      </c>
      <c r="AV17">
        <f t="shared" si="17"/>
        <v>0</v>
      </c>
      <c r="AW17">
        <f t="shared" si="17"/>
        <v>0</v>
      </c>
      <c r="AX17">
        <f t="shared" si="17"/>
        <v>0</v>
      </c>
      <c r="AY17">
        <f t="shared" si="17"/>
        <v>0</v>
      </c>
      <c r="AZ17">
        <f t="shared" si="17"/>
        <v>0.106028343098449</v>
      </c>
      <c r="BA17">
        <f t="shared" si="17"/>
        <v>8.4605512097746596E-2</v>
      </c>
      <c r="BB17">
        <f t="shared" si="17"/>
        <v>6.8186277441658998E-4</v>
      </c>
      <c r="BC17">
        <f t="shared" si="17"/>
        <v>1.8453188378809999E-5</v>
      </c>
      <c r="BD17">
        <f t="shared" si="17"/>
        <v>2.2164257760399998E-6</v>
      </c>
      <c r="BE17">
        <f t="shared" si="17"/>
        <v>0.26845256577989202</v>
      </c>
      <c r="BF17">
        <f t="shared" si="17"/>
        <v>0.25777181028522</v>
      </c>
      <c r="BG17">
        <f t="shared" si="17"/>
        <v>2.2964336708235E-4</v>
      </c>
      <c r="BH17">
        <f t="shared" si="17"/>
        <v>1.4056348555370001E-5</v>
      </c>
      <c r="BI17">
        <f t="shared" si="17"/>
        <v>0</v>
      </c>
    </row>
    <row r="18" spans="1:62" x14ac:dyDescent="0.3">
      <c r="A18" s="2" t="s">
        <v>36</v>
      </c>
    </row>
    <row r="19" spans="1:62" x14ac:dyDescent="0.3">
      <c r="A19" s="2" t="s">
        <v>37</v>
      </c>
      <c r="B19" t="str">
        <f t="shared" ref="B19:AG19" si="18">A40</f>
        <v>A.08.01.001.003</v>
      </c>
      <c r="C19" t="str">
        <f t="shared" si="18"/>
        <v>Cow milk, 1 - 2.9% fat (semi-skimmed milk)</v>
      </c>
      <c r="D19" t="str">
        <f t="shared" si="18"/>
        <v>Milk and dairy products</v>
      </c>
      <c r="E19" t="str">
        <f t="shared" si="18"/>
        <v>Liquid milk</v>
      </c>
      <c r="F19">
        <f t="shared" si="18"/>
        <v>1000</v>
      </c>
      <c r="G19">
        <f t="shared" si="18"/>
        <v>1.0607997672345499</v>
      </c>
      <c r="H19">
        <f t="shared" si="18"/>
        <v>0.31605259964979798</v>
      </c>
      <c r="I19">
        <f t="shared" si="18"/>
        <v>1.2112779325232799E-3</v>
      </c>
      <c r="J19">
        <f t="shared" si="18"/>
        <v>2.2101166352760999E-2</v>
      </c>
      <c r="K19">
        <f t="shared" si="18"/>
        <v>9.3699284667750002E-4</v>
      </c>
      <c r="L19">
        <f t="shared" si="18"/>
        <v>0.93636942182954097</v>
      </c>
      <c r="M19">
        <f t="shared" si="18"/>
        <v>0.20656949168111799</v>
      </c>
      <c r="N19">
        <f t="shared" si="18"/>
        <v>8.0619112299995998E-4</v>
      </c>
      <c r="O19">
        <f t="shared" si="18"/>
        <v>2.20553552294455E-2</v>
      </c>
      <c r="P19">
        <f t="shared" si="18"/>
        <v>9.3099009875437005E-4</v>
      </c>
      <c r="Q19">
        <f t="shared" si="18"/>
        <v>0.93580861923639602</v>
      </c>
      <c r="R19">
        <f t="shared" si="18"/>
        <v>1.60782710595683E-2</v>
      </c>
      <c r="S19">
        <f t="shared" si="18"/>
        <v>1.28930104136853E-3</v>
      </c>
      <c r="T19">
        <f t="shared" si="18"/>
        <v>1.7665620736858099E-2</v>
      </c>
      <c r="U19">
        <f t="shared" si="18"/>
        <v>6.4228126457108306E-2</v>
      </c>
      <c r="V19">
        <f t="shared" si="18"/>
        <v>5.5992860226423004E-12</v>
      </c>
      <c r="W19">
        <f t="shared" si="18"/>
        <v>5.3597663671984001E-4</v>
      </c>
      <c r="X19">
        <v>0.01</v>
      </c>
      <c r="Y19">
        <f t="shared" si="18"/>
        <v>5.3358377883891199</v>
      </c>
      <c r="Z19">
        <f t="shared" si="18"/>
        <v>5.1162133509326198E-2</v>
      </c>
      <c r="AA19">
        <f t="shared" si="18"/>
        <v>2.4487339976214901E-2</v>
      </c>
      <c r="AB19">
        <f t="shared" si="18"/>
        <v>9.1935410331692002E-2</v>
      </c>
      <c r="AC19">
        <f t="shared" si="18"/>
        <v>0.166605029137945</v>
      </c>
      <c r="AD19">
        <f t="shared" si="18"/>
        <v>2.1769106761607201E-2</v>
      </c>
      <c r="AE19">
        <f t="shared" si="18"/>
        <v>0.43653094864080599</v>
      </c>
      <c r="AF19">
        <f t="shared" si="18"/>
        <v>0.143879453471949</v>
      </c>
      <c r="AG19">
        <f t="shared" si="18"/>
        <v>3.0878584230795401E-2</v>
      </c>
      <c r="AH19">
        <f t="shared" ref="AH19:BI19" si="19">AG40</f>
        <v>2.1926392079575099E-2</v>
      </c>
      <c r="AI19">
        <f t="shared" si="19"/>
        <v>0.16122477443032401</v>
      </c>
      <c r="AJ19">
        <f t="shared" si="19"/>
        <v>2.1769106761607201E-2</v>
      </c>
      <c r="AK19">
        <f t="shared" si="19"/>
        <v>5.6565369058869997E-5</v>
      </c>
      <c r="AL19">
        <f t="shared" si="19"/>
        <v>7.7903769235349995E-5</v>
      </c>
      <c r="AM19">
        <f t="shared" si="19"/>
        <v>6.8651623608417103E-2</v>
      </c>
      <c r="AN19">
        <f t="shared" si="19"/>
        <v>0</v>
      </c>
      <c r="AO19">
        <f t="shared" si="19"/>
        <v>1.6167812912622401E-2</v>
      </c>
      <c r="AP19">
        <f t="shared" si="19"/>
        <v>2.94377115841153E-3</v>
      </c>
      <c r="AQ19">
        <f t="shared" si="19"/>
        <v>6.8124180514930003E-5</v>
      </c>
      <c r="AR19">
        <f t="shared" si="19"/>
        <v>8.76980122440348E-7</v>
      </c>
      <c r="AS19">
        <f t="shared" si="19"/>
        <v>3.3675974480473E-4</v>
      </c>
      <c r="AT19">
        <f t="shared" si="19"/>
        <v>6.8504040557484602E-2</v>
      </c>
      <c r="AU19">
        <f t="shared" si="19"/>
        <v>2.3588876261845001E-4</v>
      </c>
      <c r="AV19">
        <f t="shared" si="19"/>
        <v>2.7996491586951E-2</v>
      </c>
      <c r="AW19">
        <f t="shared" si="19"/>
        <v>2.6353570557397201E-2</v>
      </c>
      <c r="AX19">
        <f t="shared" si="19"/>
        <v>5.0775404405449999E-5</v>
      </c>
      <c r="AY19">
        <f t="shared" si="19"/>
        <v>4.7550907791646401E-7</v>
      </c>
      <c r="AZ19">
        <f t="shared" si="19"/>
        <v>8.9356930463117906E-2</v>
      </c>
      <c r="BA19">
        <f t="shared" si="19"/>
        <v>7.6347166005903203E-2</v>
      </c>
      <c r="BB19">
        <f t="shared" si="19"/>
        <v>3.4830651141009E-4</v>
      </c>
      <c r="BC19">
        <f t="shared" si="19"/>
        <v>4.5811123315500002E-5</v>
      </c>
      <c r="BD19">
        <f t="shared" si="19"/>
        <v>5.1037732149200004E-6</v>
      </c>
      <c r="BE19">
        <f t="shared" si="19"/>
        <v>7.0769233549405697E-3</v>
      </c>
      <c r="BF19">
        <f t="shared" si="19"/>
        <v>6.7823714053802699E-3</v>
      </c>
      <c r="BG19">
        <f t="shared" si="19"/>
        <v>6.0048937077700004E-6</v>
      </c>
      <c r="BH19">
        <f t="shared" si="19"/>
        <v>4.2346563028837199E-7</v>
      </c>
      <c r="BI19" t="str">
        <f t="shared" si="19"/>
        <v>F28.A0EKQ</v>
      </c>
    </row>
    <row r="20" spans="1:62" x14ac:dyDescent="0.3">
      <c r="A20" s="2" t="s">
        <v>38</v>
      </c>
      <c r="B20" t="str">
        <f t="shared" ref="B20:AG20" si="20">A39</f>
        <v>A.07.06.004</v>
      </c>
      <c r="C20" t="str">
        <f t="shared" si="20"/>
        <v>Snail (Helix sp.)</v>
      </c>
      <c r="D20" t="str">
        <f t="shared" si="20"/>
        <v>Fish and other seafood (including amphibians, reptiles, snails and insects)</v>
      </c>
      <c r="E20" t="str">
        <f t="shared" si="20"/>
        <v>Amphibians, reptiles, snails, insects</v>
      </c>
      <c r="F20">
        <f t="shared" si="20"/>
        <v>1000</v>
      </c>
      <c r="G20">
        <f t="shared" si="20"/>
        <v>14.8079227367546</v>
      </c>
      <c r="H20">
        <f t="shared" si="20"/>
        <v>14.7555091414053</v>
      </c>
      <c r="I20">
        <f t="shared" si="20"/>
        <v>1.59857989257933E-3</v>
      </c>
      <c r="J20">
        <f t="shared" si="20"/>
        <v>2.7304202168160002E-5</v>
      </c>
      <c r="K20">
        <f t="shared" si="20"/>
        <v>1.479377689346E-5</v>
      </c>
      <c r="L20">
        <f t="shared" si="20"/>
        <v>14.363135528045699</v>
      </c>
      <c r="M20">
        <f t="shared" si="20"/>
        <v>14.363135528045699</v>
      </c>
      <c r="N20">
        <f t="shared" si="20"/>
        <v>0</v>
      </c>
      <c r="O20">
        <f t="shared" si="20"/>
        <v>0</v>
      </c>
      <c r="P20">
        <f t="shared" si="20"/>
        <v>0</v>
      </c>
      <c r="Q20">
        <f t="shared" si="20"/>
        <v>0</v>
      </c>
      <c r="R20">
        <f t="shared" si="20"/>
        <v>0</v>
      </c>
      <c r="S20">
        <f t="shared" si="20"/>
        <v>0</v>
      </c>
      <c r="T20">
        <f t="shared" si="20"/>
        <v>0</v>
      </c>
      <c r="U20">
        <f t="shared" si="20"/>
        <v>0</v>
      </c>
      <c r="V20">
        <f t="shared" si="20"/>
        <v>0</v>
      </c>
      <c r="W20">
        <f t="shared" si="20"/>
        <v>0</v>
      </c>
      <c r="X20">
        <f t="shared" si="20"/>
        <v>13.613068724169</v>
      </c>
      <c r="Y20">
        <f t="shared" si="20"/>
        <v>0</v>
      </c>
      <c r="Z20">
        <f t="shared" si="20"/>
        <v>0</v>
      </c>
      <c r="AA20">
        <f t="shared" si="20"/>
        <v>0</v>
      </c>
      <c r="AB20">
        <f t="shared" si="20"/>
        <v>0</v>
      </c>
      <c r="AC20">
        <f t="shared" si="20"/>
        <v>14.363135528045699</v>
      </c>
      <c r="AD20">
        <f t="shared" si="20"/>
        <v>0</v>
      </c>
      <c r="AE20">
        <f t="shared" si="20"/>
        <v>0</v>
      </c>
      <c r="AF20">
        <f t="shared" si="20"/>
        <v>0</v>
      </c>
      <c r="AG20">
        <f t="shared" si="20"/>
        <v>0</v>
      </c>
      <c r="AH20">
        <f t="shared" ref="AH20:BI20" si="21">AG39</f>
        <v>0</v>
      </c>
      <c r="AI20">
        <f t="shared" si="21"/>
        <v>14.363135528045699</v>
      </c>
      <c r="AJ20">
        <f t="shared" si="21"/>
        <v>0</v>
      </c>
      <c r="AK20">
        <f t="shared" si="21"/>
        <v>0</v>
      </c>
      <c r="AL20">
        <f t="shared" si="21"/>
        <v>0</v>
      </c>
      <c r="AM20">
        <f t="shared" si="21"/>
        <v>0</v>
      </c>
      <c r="AN20">
        <f t="shared" si="21"/>
        <v>0</v>
      </c>
      <c r="AO20">
        <f t="shared" si="21"/>
        <v>0</v>
      </c>
      <c r="AP20">
        <f t="shared" si="21"/>
        <v>0</v>
      </c>
      <c r="AQ20">
        <f t="shared" si="21"/>
        <v>0</v>
      </c>
      <c r="AR20">
        <f t="shared" si="21"/>
        <v>0</v>
      </c>
      <c r="AS20">
        <f t="shared" si="21"/>
        <v>0</v>
      </c>
      <c r="AT20">
        <f t="shared" si="21"/>
        <v>0</v>
      </c>
      <c r="AU20">
        <f t="shared" si="21"/>
        <v>0</v>
      </c>
      <c r="AV20">
        <f t="shared" si="21"/>
        <v>0</v>
      </c>
      <c r="AW20">
        <f t="shared" si="21"/>
        <v>0</v>
      </c>
      <c r="AX20">
        <f t="shared" si="21"/>
        <v>0</v>
      </c>
      <c r="AY20">
        <f t="shared" si="21"/>
        <v>0</v>
      </c>
      <c r="AZ20">
        <f t="shared" si="21"/>
        <v>0.17633464292901599</v>
      </c>
      <c r="BA20">
        <f t="shared" si="21"/>
        <v>0.134601803074367</v>
      </c>
      <c r="BB20">
        <f t="shared" si="21"/>
        <v>1.36893652549697E-3</v>
      </c>
      <c r="BC20">
        <f t="shared" si="21"/>
        <v>2.7304202168160002E-5</v>
      </c>
      <c r="BD20">
        <f t="shared" si="21"/>
        <v>7.3742833809112202E-7</v>
      </c>
      <c r="BE20">
        <f t="shared" si="21"/>
        <v>0.26845256577989202</v>
      </c>
      <c r="BF20">
        <f t="shared" si="21"/>
        <v>0.25777181028522</v>
      </c>
      <c r="BG20">
        <f t="shared" si="21"/>
        <v>2.2964336708235E-4</v>
      </c>
      <c r="BH20">
        <f t="shared" si="21"/>
        <v>1.4056348555370001E-5</v>
      </c>
      <c r="BI20">
        <f t="shared" si="21"/>
        <v>0</v>
      </c>
    </row>
    <row r="21" spans="1:62" x14ac:dyDescent="0.3">
      <c r="A21" s="2" t="s">
        <v>39</v>
      </c>
      <c r="B21" t="str">
        <f t="shared" ref="B21:AG21" si="22">A32</f>
        <v>A.06.01.004</v>
      </c>
      <c r="C21" t="str">
        <f t="shared" si="22"/>
        <v>Mutton / lamb meat (Ovis aries)</v>
      </c>
      <c r="D21" t="str">
        <f t="shared" si="22"/>
        <v>Meat and meat products (including edible offal)</v>
      </c>
      <c r="E21" t="str">
        <f t="shared" si="22"/>
        <v>Livestock meat</v>
      </c>
      <c r="F21">
        <f t="shared" si="22"/>
        <v>1000</v>
      </c>
      <c r="G21">
        <f t="shared" si="22"/>
        <v>37.966367260367001</v>
      </c>
      <c r="H21">
        <f t="shared" si="22"/>
        <v>9.0349690448410307</v>
      </c>
      <c r="I21">
        <f t="shared" si="22"/>
        <v>3.1436711926028801E-2</v>
      </c>
      <c r="J21">
        <f t="shared" si="22"/>
        <v>0.76070693353850805</v>
      </c>
      <c r="K21">
        <f t="shared" si="22"/>
        <v>2.73095128006982E-2</v>
      </c>
      <c r="L21">
        <f t="shared" si="22"/>
        <v>37.686022985725003</v>
      </c>
      <c r="M21">
        <f t="shared" si="22"/>
        <v>8.7987915244364903</v>
      </c>
      <c r="N21">
        <f t="shared" si="22"/>
        <v>3.0042541925648401E-2</v>
      </c>
      <c r="O21">
        <f t="shared" si="22"/>
        <v>0.76068105143020204</v>
      </c>
      <c r="P21">
        <f t="shared" si="22"/>
        <v>2.73024737116805E-2</v>
      </c>
      <c r="Q21">
        <f t="shared" si="22"/>
        <v>41.942451632154899</v>
      </c>
      <c r="R21">
        <f t="shared" si="22"/>
        <v>1.0572503554428001</v>
      </c>
      <c r="S21">
        <f t="shared" si="22"/>
        <v>5.3710344032999902E-2</v>
      </c>
      <c r="T21">
        <f t="shared" si="22"/>
        <v>0.299823852205575</v>
      </c>
      <c r="U21">
        <f t="shared" si="22"/>
        <v>2.4103346550284499</v>
      </c>
      <c r="V21">
        <f t="shared" si="22"/>
        <v>1.16563205991476E-9</v>
      </c>
      <c r="W21">
        <f t="shared" si="22"/>
        <v>0.12046304132504999</v>
      </c>
      <c r="X21">
        <f t="shared" si="22"/>
        <v>3.7397795745871298</v>
      </c>
      <c r="Y21">
        <f t="shared" si="22"/>
        <v>56.702033661943503</v>
      </c>
      <c r="Z21">
        <f t="shared" si="22"/>
        <v>2.8167323625795402</v>
      </c>
      <c r="AA21">
        <f t="shared" si="22"/>
        <v>1.7894537936925901</v>
      </c>
      <c r="AB21">
        <f t="shared" si="22"/>
        <v>5.1995117046538004</v>
      </c>
      <c r="AC21">
        <f t="shared" si="22"/>
        <v>5.6366004028640901</v>
      </c>
      <c r="AD21">
        <f t="shared" si="22"/>
        <v>1.0169440901939899</v>
      </c>
      <c r="AE21">
        <f t="shared" si="22"/>
        <v>19.964306536355199</v>
      </c>
      <c r="AF21">
        <f t="shared" si="22"/>
        <v>1.26247409538579</v>
      </c>
      <c r="AG21">
        <f t="shared" si="22"/>
        <v>1.6525229722493899</v>
      </c>
      <c r="AH21">
        <f t="shared" ref="AH21:BI21" si="23">AG32</f>
        <v>1.58257967794902</v>
      </c>
      <c r="AI21">
        <f t="shared" si="23"/>
        <v>5.5390271543197898</v>
      </c>
      <c r="AJ21">
        <f t="shared" si="23"/>
        <v>1.0169440901939899</v>
      </c>
      <c r="AK21">
        <f t="shared" si="23"/>
        <v>3.17770905181027E-3</v>
      </c>
      <c r="AL21">
        <f t="shared" si="23"/>
        <v>5.6906064127918996E-3</v>
      </c>
      <c r="AM21">
        <f t="shared" si="23"/>
        <v>2.95406160266666</v>
      </c>
      <c r="AN21">
        <f t="shared" si="23"/>
        <v>0</v>
      </c>
      <c r="AO21">
        <f t="shared" si="23"/>
        <v>0.73941876060574996</v>
      </c>
      <c r="AP21">
        <f t="shared" si="23"/>
        <v>2.1262290824452499E-2</v>
      </c>
      <c r="AQ21">
        <f t="shared" si="23"/>
        <v>3.9176324563597199E-3</v>
      </c>
      <c r="AR21">
        <f t="shared" si="23"/>
        <v>1.3660822213325E-4</v>
      </c>
      <c r="AS21">
        <f t="shared" si="23"/>
        <v>1.9045830419977299E-2</v>
      </c>
      <c r="AT21">
        <f t="shared" si="23"/>
        <v>2.9518852367499901</v>
      </c>
      <c r="AU21">
        <f t="shared" si="23"/>
        <v>2.5215833081522901E-3</v>
      </c>
      <c r="AV21">
        <f t="shared" si="23"/>
        <v>0</v>
      </c>
      <c r="AW21">
        <f t="shared" si="23"/>
        <v>0</v>
      </c>
      <c r="AX21">
        <f t="shared" si="23"/>
        <v>0</v>
      </c>
      <c r="AY21">
        <f t="shared" si="23"/>
        <v>0</v>
      </c>
      <c r="AZ21">
        <f t="shared" si="23"/>
        <v>0.16715054694313</v>
      </c>
      <c r="BA21">
        <f t="shared" si="23"/>
        <v>0.127591292497577</v>
      </c>
      <c r="BB21">
        <f t="shared" si="23"/>
        <v>1.2976377481273399E-3</v>
      </c>
      <c r="BC21">
        <f t="shared" si="23"/>
        <v>2.5882108305240001E-5</v>
      </c>
      <c r="BD21">
        <f t="shared" si="23"/>
        <v>6.9902061214887601E-7</v>
      </c>
      <c r="BE21">
        <f t="shared" si="23"/>
        <v>0.113193727698831</v>
      </c>
      <c r="BF21">
        <f t="shared" si="23"/>
        <v>0.108586227906963</v>
      </c>
      <c r="BG21">
        <f t="shared" si="23"/>
        <v>9.653225225308E-5</v>
      </c>
      <c r="BH21">
        <f t="shared" si="23"/>
        <v>6.34006840558E-6</v>
      </c>
      <c r="BI21">
        <f t="shared" si="23"/>
        <v>0</v>
      </c>
    </row>
    <row r="22" spans="1:62" x14ac:dyDescent="0.3">
      <c r="A22" s="2" t="s">
        <v>40</v>
      </c>
      <c r="B22" t="str">
        <f t="shared" ref="B22:AG22" si="24">A32</f>
        <v>A.06.01.004</v>
      </c>
      <c r="C22" t="str">
        <f t="shared" si="24"/>
        <v>Mutton / lamb meat (Ovis aries)</v>
      </c>
      <c r="D22" t="str">
        <f t="shared" si="24"/>
        <v>Meat and meat products (including edible offal)</v>
      </c>
      <c r="E22" t="str">
        <f t="shared" si="24"/>
        <v>Livestock meat</v>
      </c>
      <c r="F22">
        <f t="shared" si="24"/>
        <v>1000</v>
      </c>
      <c r="G22">
        <f t="shared" si="24"/>
        <v>37.966367260367001</v>
      </c>
      <c r="H22">
        <f t="shared" si="24"/>
        <v>9.0349690448410307</v>
      </c>
      <c r="I22">
        <f t="shared" si="24"/>
        <v>3.1436711926028801E-2</v>
      </c>
      <c r="J22">
        <f t="shared" si="24"/>
        <v>0.76070693353850805</v>
      </c>
      <c r="K22">
        <f t="shared" si="24"/>
        <v>2.73095128006982E-2</v>
      </c>
      <c r="L22">
        <f t="shared" si="24"/>
        <v>37.686022985725003</v>
      </c>
      <c r="M22">
        <f t="shared" si="24"/>
        <v>8.7987915244364903</v>
      </c>
      <c r="N22">
        <f t="shared" si="24"/>
        <v>3.0042541925648401E-2</v>
      </c>
      <c r="O22">
        <f t="shared" si="24"/>
        <v>0.76068105143020204</v>
      </c>
      <c r="P22">
        <f t="shared" si="24"/>
        <v>2.73024737116805E-2</v>
      </c>
      <c r="Q22">
        <f t="shared" si="24"/>
        <v>41.942451632154899</v>
      </c>
      <c r="R22">
        <f t="shared" si="24"/>
        <v>1.0572503554428001</v>
      </c>
      <c r="S22">
        <f t="shared" si="24"/>
        <v>5.3710344032999902E-2</v>
      </c>
      <c r="T22">
        <f t="shared" si="24"/>
        <v>0.299823852205575</v>
      </c>
      <c r="U22">
        <f t="shared" si="24"/>
        <v>2.4103346550284499</v>
      </c>
      <c r="V22">
        <f t="shared" si="24"/>
        <v>1.16563205991476E-9</v>
      </c>
      <c r="W22">
        <f t="shared" si="24"/>
        <v>0.12046304132504999</v>
      </c>
      <c r="X22">
        <f t="shared" si="24"/>
        <v>3.7397795745871298</v>
      </c>
      <c r="Y22">
        <f t="shared" si="24"/>
        <v>56.702033661943503</v>
      </c>
      <c r="Z22">
        <f t="shared" si="24"/>
        <v>2.8167323625795402</v>
      </c>
      <c r="AA22">
        <f t="shared" si="24"/>
        <v>1.7894537936925901</v>
      </c>
      <c r="AB22">
        <f t="shared" si="24"/>
        <v>5.1995117046538004</v>
      </c>
      <c r="AC22">
        <f t="shared" si="24"/>
        <v>5.6366004028640901</v>
      </c>
      <c r="AD22">
        <f t="shared" si="24"/>
        <v>1.0169440901939899</v>
      </c>
      <c r="AE22">
        <f t="shared" si="24"/>
        <v>19.964306536355199</v>
      </c>
      <c r="AF22">
        <f t="shared" si="24"/>
        <v>1.26247409538579</v>
      </c>
      <c r="AG22">
        <f t="shared" si="24"/>
        <v>1.6525229722493899</v>
      </c>
      <c r="AH22">
        <f t="shared" ref="AH22:BI22" si="25">AG32</f>
        <v>1.58257967794902</v>
      </c>
      <c r="AI22">
        <f t="shared" si="25"/>
        <v>5.5390271543197898</v>
      </c>
      <c r="AJ22">
        <f t="shared" si="25"/>
        <v>1.0169440901939899</v>
      </c>
      <c r="AK22">
        <f t="shared" si="25"/>
        <v>3.17770905181027E-3</v>
      </c>
      <c r="AL22">
        <f t="shared" si="25"/>
        <v>5.6906064127918996E-3</v>
      </c>
      <c r="AM22">
        <f t="shared" si="25"/>
        <v>2.95406160266666</v>
      </c>
      <c r="AN22">
        <f t="shared" si="25"/>
        <v>0</v>
      </c>
      <c r="AO22">
        <f t="shared" si="25"/>
        <v>0.73941876060574996</v>
      </c>
      <c r="AP22">
        <f t="shared" si="25"/>
        <v>2.1262290824452499E-2</v>
      </c>
      <c r="AQ22">
        <f t="shared" si="25"/>
        <v>3.9176324563597199E-3</v>
      </c>
      <c r="AR22">
        <f t="shared" si="25"/>
        <v>1.3660822213325E-4</v>
      </c>
      <c r="AS22">
        <f t="shared" si="25"/>
        <v>1.9045830419977299E-2</v>
      </c>
      <c r="AT22">
        <f t="shared" si="25"/>
        <v>2.9518852367499901</v>
      </c>
      <c r="AU22">
        <f t="shared" si="25"/>
        <v>2.5215833081522901E-3</v>
      </c>
      <c r="AV22">
        <f t="shared" si="25"/>
        <v>0</v>
      </c>
      <c r="AW22">
        <f t="shared" si="25"/>
        <v>0</v>
      </c>
      <c r="AX22">
        <f t="shared" si="25"/>
        <v>0</v>
      </c>
      <c r="AY22">
        <f t="shared" si="25"/>
        <v>0</v>
      </c>
      <c r="AZ22">
        <f t="shared" si="25"/>
        <v>0.16715054694313</v>
      </c>
      <c r="BA22">
        <f t="shared" si="25"/>
        <v>0.127591292497577</v>
      </c>
      <c r="BB22">
        <f t="shared" si="25"/>
        <v>1.2976377481273399E-3</v>
      </c>
      <c r="BC22">
        <f t="shared" si="25"/>
        <v>2.5882108305240001E-5</v>
      </c>
      <c r="BD22">
        <f t="shared" si="25"/>
        <v>6.9902061214887601E-7</v>
      </c>
      <c r="BE22">
        <f t="shared" si="25"/>
        <v>0.113193727698831</v>
      </c>
      <c r="BF22">
        <f t="shared" si="25"/>
        <v>0.108586227906963</v>
      </c>
      <c r="BG22">
        <f t="shared" si="25"/>
        <v>9.653225225308E-5</v>
      </c>
      <c r="BH22">
        <f t="shared" si="25"/>
        <v>6.34006840558E-6</v>
      </c>
      <c r="BI22">
        <f t="shared" si="25"/>
        <v>0</v>
      </c>
    </row>
    <row r="23" spans="1:62" x14ac:dyDescent="0.3">
      <c r="A23" s="2" t="s">
        <v>41</v>
      </c>
      <c r="B23" t="str">
        <f t="shared" ref="B23:AG23" si="26">A35</f>
        <v>A.07.01.001</v>
      </c>
      <c r="C23" t="str">
        <f t="shared" si="26"/>
        <v>Herring (Clupea)</v>
      </c>
      <c r="D23" t="str">
        <f t="shared" si="26"/>
        <v>Fish and other seafood (including amphibians, reptiles, snails and insects)</v>
      </c>
      <c r="E23" t="str">
        <f t="shared" si="26"/>
        <v>Fish meat</v>
      </c>
      <c r="F23">
        <f t="shared" si="26"/>
        <v>1000</v>
      </c>
      <c r="G23">
        <f t="shared" si="26"/>
        <v>5.2603706363124196</v>
      </c>
      <c r="H23">
        <f t="shared" si="26"/>
        <v>5.2282670498170498</v>
      </c>
      <c r="I23">
        <f t="shared" si="26"/>
        <v>9.1150614149895001E-4</v>
      </c>
      <c r="J23">
        <f t="shared" si="26"/>
        <v>1.8453188378809999E-5</v>
      </c>
      <c r="K23">
        <f t="shared" si="26"/>
        <v>1.6272774331420001E-5</v>
      </c>
      <c r="L23">
        <f t="shared" si="26"/>
        <v>4.8858897274340798</v>
      </c>
      <c r="M23">
        <f t="shared" si="26"/>
        <v>4.8858897274340798</v>
      </c>
      <c r="N23">
        <f t="shared" si="26"/>
        <v>0</v>
      </c>
      <c r="O23">
        <f t="shared" si="26"/>
        <v>0</v>
      </c>
      <c r="P23">
        <f t="shared" si="26"/>
        <v>0</v>
      </c>
      <c r="Q23">
        <f t="shared" si="26"/>
        <v>0</v>
      </c>
      <c r="R23">
        <f t="shared" si="26"/>
        <v>0</v>
      </c>
      <c r="S23">
        <f t="shared" si="26"/>
        <v>0</v>
      </c>
      <c r="T23">
        <f t="shared" si="26"/>
        <v>0</v>
      </c>
      <c r="U23">
        <f t="shared" si="26"/>
        <v>0</v>
      </c>
      <c r="V23">
        <f t="shared" si="26"/>
        <v>0</v>
      </c>
      <c r="W23">
        <f t="shared" si="26"/>
        <v>0</v>
      </c>
      <c r="X23">
        <f t="shared" si="26"/>
        <v>10.716474501609101</v>
      </c>
      <c r="Y23">
        <f t="shared" si="26"/>
        <v>0</v>
      </c>
      <c r="Z23">
        <f t="shared" si="26"/>
        <v>0</v>
      </c>
      <c r="AA23">
        <f t="shared" si="26"/>
        <v>0</v>
      </c>
      <c r="AB23">
        <f t="shared" si="26"/>
        <v>0</v>
      </c>
      <c r="AC23">
        <f t="shared" si="26"/>
        <v>4.8858897274340798</v>
      </c>
      <c r="AD23">
        <f t="shared" si="26"/>
        <v>0</v>
      </c>
      <c r="AE23">
        <f t="shared" si="26"/>
        <v>0</v>
      </c>
      <c r="AF23">
        <f t="shared" si="26"/>
        <v>0</v>
      </c>
      <c r="AG23">
        <f t="shared" si="26"/>
        <v>0</v>
      </c>
      <c r="AH23">
        <f t="shared" ref="AH23:BI23" si="27">AG35</f>
        <v>0</v>
      </c>
      <c r="AI23">
        <f t="shared" si="27"/>
        <v>4.8858897274340798</v>
      </c>
      <c r="AJ23">
        <f t="shared" si="27"/>
        <v>0</v>
      </c>
      <c r="AK23">
        <f t="shared" si="27"/>
        <v>0</v>
      </c>
      <c r="AL23">
        <f t="shared" si="27"/>
        <v>0</v>
      </c>
      <c r="AM23">
        <f t="shared" si="27"/>
        <v>0</v>
      </c>
      <c r="AN23">
        <f t="shared" si="27"/>
        <v>0</v>
      </c>
      <c r="AO23">
        <f t="shared" si="27"/>
        <v>0</v>
      </c>
      <c r="AP23">
        <f t="shared" si="27"/>
        <v>0</v>
      </c>
      <c r="AQ23">
        <f t="shared" si="27"/>
        <v>0</v>
      </c>
      <c r="AR23">
        <f t="shared" si="27"/>
        <v>0</v>
      </c>
      <c r="AS23">
        <f t="shared" si="27"/>
        <v>0</v>
      </c>
      <c r="AT23">
        <f t="shared" si="27"/>
        <v>0</v>
      </c>
      <c r="AU23">
        <f t="shared" si="27"/>
        <v>0</v>
      </c>
      <c r="AV23">
        <f t="shared" si="27"/>
        <v>0</v>
      </c>
      <c r="AW23">
        <f t="shared" si="27"/>
        <v>0</v>
      </c>
      <c r="AX23">
        <f t="shared" si="27"/>
        <v>0</v>
      </c>
      <c r="AY23">
        <f t="shared" si="27"/>
        <v>0</v>
      </c>
      <c r="AZ23">
        <f t="shared" si="27"/>
        <v>0.106028343098449</v>
      </c>
      <c r="BA23">
        <f t="shared" si="27"/>
        <v>8.4605512097746596E-2</v>
      </c>
      <c r="BB23">
        <f t="shared" si="27"/>
        <v>6.8186277441658998E-4</v>
      </c>
      <c r="BC23">
        <f t="shared" si="27"/>
        <v>1.8453188378809999E-5</v>
      </c>
      <c r="BD23">
        <f t="shared" si="27"/>
        <v>2.2164257760399998E-6</v>
      </c>
      <c r="BE23">
        <f t="shared" si="27"/>
        <v>0.26845256577989202</v>
      </c>
      <c r="BF23">
        <f t="shared" si="27"/>
        <v>0.25777181028522</v>
      </c>
      <c r="BG23">
        <f t="shared" si="27"/>
        <v>2.2964336708235E-4</v>
      </c>
      <c r="BH23">
        <f t="shared" si="27"/>
        <v>1.4056348555370001E-5</v>
      </c>
      <c r="BI23">
        <f t="shared" si="27"/>
        <v>0</v>
      </c>
    </row>
    <row r="24" spans="1:62" x14ac:dyDescent="0.3">
      <c r="A24" s="2" t="s">
        <v>42</v>
      </c>
      <c r="B24" t="str">
        <f t="shared" ref="B24:AG24" si="28">A31</f>
        <v>A.06.01.003</v>
      </c>
      <c r="C24" t="str">
        <f t="shared" si="28"/>
        <v>Pork / piglet meat (Sus scrofa)</v>
      </c>
      <c r="D24" t="str">
        <f t="shared" si="28"/>
        <v>Meat and meat products (including edible offal)</v>
      </c>
      <c r="E24" t="str">
        <f t="shared" si="28"/>
        <v>Livestock meat</v>
      </c>
      <c r="F24">
        <f t="shared" si="28"/>
        <v>1000</v>
      </c>
      <c r="G24">
        <f t="shared" si="28"/>
        <v>7.1485281953512301</v>
      </c>
      <c r="H24">
        <f t="shared" si="28"/>
        <v>3.2422881185994101</v>
      </c>
      <c r="I24">
        <f t="shared" si="28"/>
        <v>5.7135269417759402E-3</v>
      </c>
      <c r="J24">
        <f t="shared" si="28"/>
        <v>8.2453810129048996E-2</v>
      </c>
      <c r="K24">
        <f t="shared" si="28"/>
        <v>5.5301249098995298E-3</v>
      </c>
      <c r="L24">
        <f t="shared" si="28"/>
        <v>6.9509877441175298</v>
      </c>
      <c r="M24">
        <f t="shared" si="28"/>
        <v>3.0855738722615702</v>
      </c>
      <c r="N24">
        <f t="shared" si="28"/>
        <v>4.3901125453390498E-3</v>
      </c>
      <c r="O24">
        <f t="shared" si="28"/>
        <v>8.2427928020743793E-2</v>
      </c>
      <c r="P24">
        <f t="shared" si="28"/>
        <v>5.5275987598709803E-3</v>
      </c>
      <c r="Q24">
        <f t="shared" si="28"/>
        <v>14.7329433056497</v>
      </c>
      <c r="R24">
        <f t="shared" si="28"/>
        <v>0.16985869751982599</v>
      </c>
      <c r="S24">
        <f t="shared" si="28"/>
        <v>2.6106418389024701E-2</v>
      </c>
      <c r="T24">
        <f t="shared" si="28"/>
        <v>0.48081184757985401</v>
      </c>
      <c r="U24">
        <f t="shared" si="28"/>
        <v>2.0201605499376298</v>
      </c>
      <c r="V24">
        <f t="shared" si="28"/>
        <v>8.1040092637659395E-11</v>
      </c>
      <c r="W24">
        <f t="shared" si="28"/>
        <v>5.8250354316873601E-2</v>
      </c>
      <c r="X24">
        <f t="shared" si="28"/>
        <v>4.4755003424991102</v>
      </c>
      <c r="Y24">
        <f t="shared" si="28"/>
        <v>160.14388697328701</v>
      </c>
      <c r="Z24">
        <f t="shared" si="28"/>
        <v>0.69525759119143904</v>
      </c>
      <c r="AA24">
        <f t="shared" si="28"/>
        <v>0.21134947901996501</v>
      </c>
      <c r="AB24">
        <f t="shared" si="28"/>
        <v>0.84737938140300195</v>
      </c>
      <c r="AC24">
        <f t="shared" si="28"/>
        <v>2.2930136067255198</v>
      </c>
      <c r="AD24">
        <f t="shared" si="28"/>
        <v>0.29907047960496003</v>
      </c>
      <c r="AE24">
        <f t="shared" si="28"/>
        <v>0.34513536870872003</v>
      </c>
      <c r="AF24">
        <f t="shared" si="28"/>
        <v>2.2597818374639198</v>
      </c>
      <c r="AG24">
        <f t="shared" si="28"/>
        <v>0.42129712140048903</v>
      </c>
      <c r="AH24">
        <f t="shared" ref="AH24:BI24" si="29">AG31</f>
        <v>0.18858925513307201</v>
      </c>
      <c r="AI24">
        <f t="shared" si="29"/>
        <v>2.19615397759171</v>
      </c>
      <c r="AJ24">
        <f t="shared" si="29"/>
        <v>0.29907047960496003</v>
      </c>
      <c r="AK24">
        <f t="shared" si="29"/>
        <v>7.5665874166886999E-4</v>
      </c>
      <c r="AL24">
        <f t="shared" si="29"/>
        <v>6.9803827196239997E-4</v>
      </c>
      <c r="AM24">
        <f t="shared" si="29"/>
        <v>0.34005656898556402</v>
      </c>
      <c r="AN24">
        <f t="shared" si="29"/>
        <v>0</v>
      </c>
      <c r="AO24">
        <f t="shared" si="29"/>
        <v>1.27827914336563E-2</v>
      </c>
      <c r="AP24">
        <f t="shared" si="29"/>
        <v>6.96451365870875E-2</v>
      </c>
      <c r="AQ24">
        <f t="shared" si="29"/>
        <v>9.2092322083961995E-4</v>
      </c>
      <c r="AR24">
        <f t="shared" si="29"/>
        <v>7.1746644044399999E-6</v>
      </c>
      <c r="AS24">
        <f t="shared" si="29"/>
        <v>3.1039537780329701E-3</v>
      </c>
      <c r="AT24">
        <f t="shared" si="29"/>
        <v>0.33761733995138798</v>
      </c>
      <c r="AU24">
        <f t="shared" si="29"/>
        <v>1.38960860663941E-3</v>
      </c>
      <c r="AV24">
        <f t="shared" si="29"/>
        <v>0</v>
      </c>
      <c r="AW24">
        <f t="shared" si="29"/>
        <v>0</v>
      </c>
      <c r="AX24">
        <f t="shared" si="29"/>
        <v>0</v>
      </c>
      <c r="AY24">
        <f t="shared" si="29"/>
        <v>0</v>
      </c>
      <c r="AZ24">
        <f t="shared" si="29"/>
        <v>0.16715054694313</v>
      </c>
      <c r="BA24">
        <f t="shared" si="29"/>
        <v>0.127591292497577</v>
      </c>
      <c r="BB24">
        <f t="shared" si="29"/>
        <v>1.2976377481273399E-3</v>
      </c>
      <c r="BC24">
        <f t="shared" si="29"/>
        <v>2.5882108305240001E-5</v>
      </c>
      <c r="BD24">
        <f t="shared" si="29"/>
        <v>6.9902061214887601E-7</v>
      </c>
      <c r="BE24">
        <f t="shared" si="29"/>
        <v>3.0389904290565199E-2</v>
      </c>
      <c r="BF24">
        <f t="shared" si="29"/>
        <v>2.91229538402621E-2</v>
      </c>
      <c r="BG24">
        <f t="shared" si="29"/>
        <v>2.5776648309550001E-5</v>
      </c>
      <c r="BH24">
        <f t="shared" si="29"/>
        <v>1.8271294163999999E-6</v>
      </c>
      <c r="BI24">
        <f t="shared" si="29"/>
        <v>0</v>
      </c>
    </row>
    <row r="25" spans="1:62" x14ac:dyDescent="0.3">
      <c r="A25" s="2" t="s">
        <v>43</v>
      </c>
      <c r="B25" t="str">
        <f t="shared" ref="B25:AG25" si="30">A33</f>
        <v>A.06.02.001</v>
      </c>
      <c r="C25" t="str">
        <f t="shared" si="30"/>
        <v>Chicken meat (Gallus domesticus)</v>
      </c>
      <c r="D25" t="str">
        <f t="shared" si="30"/>
        <v>Meat and meat products (including edible offal)</v>
      </c>
      <c r="E25" t="str">
        <f t="shared" si="30"/>
        <v>Poultry</v>
      </c>
      <c r="F25">
        <f t="shared" si="30"/>
        <v>1000</v>
      </c>
      <c r="G25">
        <f t="shared" si="30"/>
        <v>2.1574240122188701</v>
      </c>
      <c r="H25">
        <f t="shared" si="30"/>
        <v>1.4176426939520499</v>
      </c>
      <c r="I25">
        <f t="shared" si="30"/>
        <v>3.07986278901983E-3</v>
      </c>
      <c r="J25">
        <f t="shared" si="30"/>
        <v>3.30113338625538E-3</v>
      </c>
      <c r="K25">
        <f t="shared" si="30"/>
        <v>2.0471458085169702E-3</v>
      </c>
      <c r="L25">
        <f t="shared" si="30"/>
        <v>1.9885214879648601</v>
      </c>
      <c r="M25">
        <f t="shared" si="30"/>
        <v>1.2883721476471099</v>
      </c>
      <c r="N25">
        <f t="shared" si="30"/>
        <v>1.78073331360288E-3</v>
      </c>
      <c r="O25">
        <f t="shared" si="30"/>
        <v>3.2752512779501402E-3</v>
      </c>
      <c r="P25">
        <f t="shared" si="30"/>
        <v>2.0463432346803099E-3</v>
      </c>
      <c r="Q25">
        <f t="shared" si="30"/>
        <v>7.5073725354901999</v>
      </c>
      <c r="R25">
        <f t="shared" si="30"/>
        <v>7.1406547306989698E-2</v>
      </c>
      <c r="S25">
        <f t="shared" si="30"/>
        <v>1.3138618539836401E-2</v>
      </c>
      <c r="T25">
        <f t="shared" si="30"/>
        <v>0.113501726323274</v>
      </c>
      <c r="U25">
        <f t="shared" si="30"/>
        <v>0.99341062178529305</v>
      </c>
      <c r="V25">
        <f t="shared" si="30"/>
        <v>4.5665688548495497E-11</v>
      </c>
      <c r="W25">
        <f t="shared" si="30"/>
        <v>5.8737460557791499E-2</v>
      </c>
      <c r="X25">
        <f t="shared" si="30"/>
        <v>91.629108287861996</v>
      </c>
      <c r="Y25">
        <f t="shared" si="30"/>
        <v>81.929169926774904</v>
      </c>
      <c r="Z25">
        <f t="shared" si="30"/>
        <v>0.26055174274241</v>
      </c>
      <c r="AA25">
        <f t="shared" si="30"/>
        <v>0.107724769744202</v>
      </c>
      <c r="AB25">
        <f t="shared" si="30"/>
        <v>0.38955331135930599</v>
      </c>
      <c r="AC25">
        <f t="shared" si="30"/>
        <v>0.90025949927793303</v>
      </c>
      <c r="AD25">
        <f t="shared" si="30"/>
        <v>0.17771527262421899</v>
      </c>
      <c r="AE25">
        <f t="shared" si="30"/>
        <v>0</v>
      </c>
      <c r="AF25">
        <f t="shared" si="30"/>
        <v>0.152716892216789</v>
      </c>
      <c r="AG25">
        <f t="shared" si="30"/>
        <v>0.159259437981671</v>
      </c>
      <c r="AH25">
        <f t="shared" ref="AH25:BI25" si="31">AG33</f>
        <v>9.56574462358174E-2</v>
      </c>
      <c r="AI25">
        <f t="shared" si="31"/>
        <v>0.86636144104903501</v>
      </c>
      <c r="AJ25">
        <f t="shared" si="31"/>
        <v>0.177631379921602</v>
      </c>
      <c r="AK25">
        <f t="shared" si="31"/>
        <v>2.9064240987152E-4</v>
      </c>
      <c r="AL25">
        <f t="shared" si="31"/>
        <v>3.7168567302078002E-4</v>
      </c>
      <c r="AM25">
        <f t="shared" si="31"/>
        <v>0.19022543487935001</v>
      </c>
      <c r="AN25">
        <f t="shared" si="31"/>
        <v>0</v>
      </c>
      <c r="AO25">
        <f t="shared" si="31"/>
        <v>0</v>
      </c>
      <c r="AP25">
        <f t="shared" si="31"/>
        <v>3.2752512779501402E-3</v>
      </c>
      <c r="AQ25">
        <f t="shared" si="31"/>
        <v>3.3930828185554999E-4</v>
      </c>
      <c r="AR25">
        <f t="shared" si="31"/>
        <v>3.6303679573799999E-6</v>
      </c>
      <c r="AS25">
        <f t="shared" si="31"/>
        <v>1.42693520644434E-3</v>
      </c>
      <c r="AT25">
        <f t="shared" si="31"/>
        <v>0.18936352918916799</v>
      </c>
      <c r="AU25">
        <f t="shared" si="31"/>
        <v>2.3547658502613E-4</v>
      </c>
      <c r="AV25">
        <f t="shared" si="31"/>
        <v>0</v>
      </c>
      <c r="AW25">
        <f t="shared" si="31"/>
        <v>0</v>
      </c>
      <c r="AX25">
        <f t="shared" si="31"/>
        <v>0</v>
      </c>
      <c r="AY25">
        <f t="shared" si="31"/>
        <v>0</v>
      </c>
      <c r="AZ25">
        <f t="shared" si="31"/>
        <v>0.16715054694313</v>
      </c>
      <c r="BA25">
        <f t="shared" si="31"/>
        <v>0.127591292497577</v>
      </c>
      <c r="BB25">
        <f t="shared" si="31"/>
        <v>1.2976377481273399E-3</v>
      </c>
      <c r="BC25">
        <f t="shared" si="31"/>
        <v>2.5882108305240001E-5</v>
      </c>
      <c r="BD25">
        <f t="shared" si="31"/>
        <v>6.9902061214887601E-7</v>
      </c>
      <c r="BE25">
        <f t="shared" si="31"/>
        <v>1.75197731088393E-3</v>
      </c>
      <c r="BF25">
        <f t="shared" si="31"/>
        <v>1.6792538073618899E-3</v>
      </c>
      <c r="BG25">
        <f t="shared" si="31"/>
        <v>1.4917272896000001E-6</v>
      </c>
      <c r="BH25">
        <f t="shared" si="31"/>
        <v>1.03553224511938E-7</v>
      </c>
      <c r="BI25">
        <f t="shared" si="31"/>
        <v>0</v>
      </c>
    </row>
    <row r="27" spans="1:62" ht="21" x14ac:dyDescent="0.4">
      <c r="A27" s="6" t="s">
        <v>160</v>
      </c>
    </row>
    <row r="29" spans="1:62" x14ac:dyDescent="0.3">
      <c r="A29" t="s">
        <v>97</v>
      </c>
      <c r="B29" t="s">
        <v>98</v>
      </c>
      <c r="C29" t="s">
        <v>99</v>
      </c>
      <c r="D29" t="s">
        <v>100</v>
      </c>
      <c r="E29" t="s">
        <v>101</v>
      </c>
      <c r="F29" t="s">
        <v>102</v>
      </c>
      <c r="G29" t="s">
        <v>103</v>
      </c>
      <c r="H29" t="s">
        <v>104</v>
      </c>
      <c r="I29" t="s">
        <v>105</v>
      </c>
      <c r="J29" t="s">
        <v>106</v>
      </c>
      <c r="K29" t="s">
        <v>107</v>
      </c>
      <c r="L29" t="s">
        <v>108</v>
      </c>
      <c r="M29" t="s">
        <v>109</v>
      </c>
      <c r="N29" t="s">
        <v>110</v>
      </c>
      <c r="O29" t="s">
        <v>111</v>
      </c>
      <c r="P29" t="s">
        <v>112</v>
      </c>
      <c r="Q29" t="s">
        <v>113</v>
      </c>
      <c r="R29" t="s">
        <v>114</v>
      </c>
      <c r="S29" t="s">
        <v>115</v>
      </c>
      <c r="T29" t="s">
        <v>116</v>
      </c>
      <c r="U29" t="s">
        <v>117</v>
      </c>
      <c r="V29" t="s">
        <v>118</v>
      </c>
      <c r="W29" t="s">
        <v>119</v>
      </c>
      <c r="X29" t="s">
        <v>120</v>
      </c>
      <c r="Y29" t="s">
        <v>121</v>
      </c>
      <c r="Z29" t="s">
        <v>122</v>
      </c>
      <c r="AA29" t="s">
        <v>123</v>
      </c>
      <c r="AB29" t="s">
        <v>124</v>
      </c>
      <c r="AC29" t="s">
        <v>125</v>
      </c>
      <c r="AD29" t="s">
        <v>126</v>
      </c>
      <c r="AE29" t="s">
        <v>127</v>
      </c>
      <c r="AF29" t="s">
        <v>128</v>
      </c>
      <c r="AG29" t="s">
        <v>129</v>
      </c>
      <c r="AH29" t="s">
        <v>130</v>
      </c>
      <c r="AI29" t="s">
        <v>131</v>
      </c>
      <c r="AJ29" t="s">
        <v>132</v>
      </c>
      <c r="AK29" t="s">
        <v>133</v>
      </c>
      <c r="AL29" t="s">
        <v>134</v>
      </c>
      <c r="AM29" t="s">
        <v>135</v>
      </c>
      <c r="AN29" t="s">
        <v>136</v>
      </c>
      <c r="AO29" t="s">
        <v>137</v>
      </c>
      <c r="AP29" t="s">
        <v>138</v>
      </c>
      <c r="AQ29" t="s">
        <v>139</v>
      </c>
      <c r="AR29" t="s">
        <v>140</v>
      </c>
      <c r="AS29" t="s">
        <v>141</v>
      </c>
      <c r="AT29" t="s">
        <v>142</v>
      </c>
      <c r="AU29" t="s">
        <v>143</v>
      </c>
      <c r="AV29" t="s">
        <v>144</v>
      </c>
      <c r="AW29" t="s">
        <v>145</v>
      </c>
      <c r="AX29" t="s">
        <v>146</v>
      </c>
      <c r="AY29" t="s">
        <v>147</v>
      </c>
      <c r="AZ29" t="s">
        <v>148</v>
      </c>
      <c r="BA29" t="s">
        <v>149</v>
      </c>
      <c r="BB29" t="s">
        <v>150</v>
      </c>
      <c r="BC29" t="s">
        <v>151</v>
      </c>
      <c r="BD29" t="s">
        <v>152</v>
      </c>
      <c r="BE29" t="s">
        <v>153</v>
      </c>
      <c r="BF29" t="s">
        <v>154</v>
      </c>
      <c r="BG29" t="s">
        <v>155</v>
      </c>
      <c r="BH29" t="s">
        <v>156</v>
      </c>
      <c r="BI29" t="s">
        <v>157</v>
      </c>
      <c r="BJ29" t="s">
        <v>158</v>
      </c>
    </row>
    <row r="30" spans="1:62" x14ac:dyDescent="0.3">
      <c r="A30" t="s">
        <v>161</v>
      </c>
      <c r="B30" t="s">
        <v>162</v>
      </c>
      <c r="C30" t="s">
        <v>163</v>
      </c>
      <c r="D30" t="s">
        <v>164</v>
      </c>
      <c r="E30">
        <v>1000</v>
      </c>
      <c r="F30">
        <v>31.289815892883801</v>
      </c>
      <c r="G30">
        <v>5.8558953860036098</v>
      </c>
      <c r="H30">
        <v>4.2928608083382898E-2</v>
      </c>
      <c r="I30">
        <v>0.72785571822120798</v>
      </c>
      <c r="J30">
        <v>0.99429916374806404</v>
      </c>
      <c r="K30">
        <v>31.119134337539101</v>
      </c>
      <c r="L30">
        <v>5.7249200207270698</v>
      </c>
      <c r="M30">
        <v>4.1627974905923203E-2</v>
      </c>
      <c r="N30">
        <v>0.72782983611290197</v>
      </c>
      <c r="O30">
        <v>0.99429825347533296</v>
      </c>
      <c r="P30">
        <v>30.097313771453901</v>
      </c>
      <c r="Q30">
        <v>0.61451321269574399</v>
      </c>
      <c r="R30">
        <v>4.0339794252911398E-2</v>
      </c>
      <c r="S30">
        <v>0.77241727469239296</v>
      </c>
      <c r="T30">
        <v>1.9080558500759</v>
      </c>
      <c r="U30" s="19">
        <v>3.3106393382053898E-10</v>
      </c>
      <c r="V30">
        <v>0.18460845210583601</v>
      </c>
      <c r="W30">
        <v>0.29592150784549098</v>
      </c>
      <c r="X30">
        <v>52.923873837223702</v>
      </c>
      <c r="Y30">
        <v>1.97922862008311</v>
      </c>
      <c r="Z30">
        <v>0.90647182540928595</v>
      </c>
      <c r="AA30">
        <v>3.30620342842768</v>
      </c>
      <c r="AB30">
        <v>4.0898104473724297</v>
      </c>
      <c r="AC30">
        <v>0.48015944696970803</v>
      </c>
      <c r="AD30">
        <v>16.749039826808598</v>
      </c>
      <c r="AE30">
        <v>3.60822074246824</v>
      </c>
      <c r="AF30">
        <v>1.1641076109512001</v>
      </c>
      <c r="AG30">
        <v>0.79760519034240895</v>
      </c>
      <c r="AH30">
        <v>3.9819711377100702</v>
      </c>
      <c r="AI30">
        <v>0.479840135524224</v>
      </c>
      <c r="AJ30">
        <v>1.9574925101307401E-3</v>
      </c>
      <c r="AK30">
        <v>2.85310825345639E-3</v>
      </c>
      <c r="AL30">
        <v>1.56598149547998</v>
      </c>
      <c r="AM30">
        <v>0</v>
      </c>
      <c r="AN30">
        <v>0.62033480840032096</v>
      </c>
      <c r="AO30">
        <v>6.6014500081875094E-2</v>
      </c>
      <c r="AP30">
        <v>2.7721162356410599E-3</v>
      </c>
      <c r="AQ30" s="19">
        <v>8.7340692724819998E-5</v>
      </c>
      <c r="AR30">
        <v>1.2110635268965801E-2</v>
      </c>
      <c r="AS30">
        <v>1.56334209454819</v>
      </c>
      <c r="AT30">
        <v>6.6880191950828404E-3</v>
      </c>
      <c r="AU30">
        <v>0</v>
      </c>
      <c r="AV30">
        <v>0</v>
      </c>
      <c r="AW30">
        <v>0</v>
      </c>
      <c r="AX30">
        <v>0</v>
      </c>
      <c r="AY30">
        <v>0.16715054694313</v>
      </c>
      <c r="AZ30">
        <v>0.127591292497577</v>
      </c>
      <c r="BA30">
        <v>1.2976377481273399E-3</v>
      </c>
      <c r="BB30" s="19">
        <v>2.5882108305240001E-5</v>
      </c>
      <c r="BC30" s="19">
        <v>6.9902061214887601E-7</v>
      </c>
      <c r="BD30">
        <v>3.5310084016021101E-3</v>
      </c>
      <c r="BE30">
        <v>3.38407277896769E-3</v>
      </c>
      <c r="BF30" s="19">
        <v>2.9954293323900001E-6</v>
      </c>
      <c r="BG30" s="19">
        <v>2.1125211915379201E-7</v>
      </c>
      <c r="BI30" t="s">
        <v>165</v>
      </c>
    </row>
    <row r="31" spans="1:62" x14ac:dyDescent="0.3">
      <c r="A31" t="s">
        <v>166</v>
      </c>
      <c r="B31" t="s">
        <v>167</v>
      </c>
      <c r="C31" t="s">
        <v>163</v>
      </c>
      <c r="D31" t="s">
        <v>164</v>
      </c>
      <c r="E31">
        <v>1000</v>
      </c>
      <c r="F31">
        <v>7.1485281953512301</v>
      </c>
      <c r="G31">
        <v>3.2422881185994101</v>
      </c>
      <c r="H31">
        <v>5.7135269417759402E-3</v>
      </c>
      <c r="I31">
        <v>8.2453810129048996E-2</v>
      </c>
      <c r="J31">
        <v>5.5301249098995298E-3</v>
      </c>
      <c r="K31">
        <v>6.9509877441175298</v>
      </c>
      <c r="L31">
        <v>3.0855738722615702</v>
      </c>
      <c r="M31">
        <v>4.3901125453390498E-3</v>
      </c>
      <c r="N31">
        <v>8.2427928020743793E-2</v>
      </c>
      <c r="O31">
        <v>5.5275987598709803E-3</v>
      </c>
      <c r="P31">
        <v>14.7329433056497</v>
      </c>
      <c r="Q31">
        <v>0.16985869751982599</v>
      </c>
      <c r="R31">
        <v>2.6106418389024701E-2</v>
      </c>
      <c r="S31">
        <v>0.48081184757985401</v>
      </c>
      <c r="T31">
        <v>2.0201605499376298</v>
      </c>
      <c r="U31" s="19">
        <v>8.1040092637659395E-11</v>
      </c>
      <c r="V31">
        <v>5.8250354316873601E-2</v>
      </c>
      <c r="W31">
        <v>4.4755003424991102</v>
      </c>
      <c r="X31">
        <v>160.14388697328701</v>
      </c>
      <c r="Y31">
        <v>0.69525759119143904</v>
      </c>
      <c r="Z31">
        <v>0.21134947901996501</v>
      </c>
      <c r="AA31">
        <v>0.84737938140300195</v>
      </c>
      <c r="AB31">
        <v>2.2930136067255198</v>
      </c>
      <c r="AC31">
        <v>0.29907047960496003</v>
      </c>
      <c r="AD31">
        <v>0.34513536870872003</v>
      </c>
      <c r="AE31">
        <v>2.2597818374639198</v>
      </c>
      <c r="AF31">
        <v>0.42129712140048903</v>
      </c>
      <c r="AG31">
        <v>0.18858925513307201</v>
      </c>
      <c r="AH31">
        <v>2.19615397759171</v>
      </c>
      <c r="AI31">
        <v>0.29907047960496003</v>
      </c>
      <c r="AJ31" s="19">
        <v>7.5665874166886999E-4</v>
      </c>
      <c r="AK31" s="19">
        <v>6.9803827196239997E-4</v>
      </c>
      <c r="AL31">
        <v>0.34005656898556402</v>
      </c>
      <c r="AM31">
        <v>0</v>
      </c>
      <c r="AN31">
        <v>1.27827914336563E-2</v>
      </c>
      <c r="AO31">
        <v>6.96451365870875E-2</v>
      </c>
      <c r="AP31" s="19">
        <v>9.2092322083961995E-4</v>
      </c>
      <c r="AQ31" s="19">
        <v>7.1746644044399999E-6</v>
      </c>
      <c r="AR31">
        <v>3.1039537780329701E-3</v>
      </c>
      <c r="AS31">
        <v>0.33761733995138798</v>
      </c>
      <c r="AT31">
        <v>1.38960860663941E-3</v>
      </c>
      <c r="AU31">
        <v>0</v>
      </c>
      <c r="AV31">
        <v>0</v>
      </c>
      <c r="AW31">
        <v>0</v>
      </c>
      <c r="AX31">
        <v>0</v>
      </c>
      <c r="AY31">
        <v>0.16715054694313</v>
      </c>
      <c r="AZ31">
        <v>0.127591292497577</v>
      </c>
      <c r="BA31">
        <v>1.2976377481273399E-3</v>
      </c>
      <c r="BB31" s="19">
        <v>2.5882108305240001E-5</v>
      </c>
      <c r="BC31" s="19">
        <v>6.9902061214887601E-7</v>
      </c>
      <c r="BD31">
        <v>3.0389904290565199E-2</v>
      </c>
      <c r="BE31">
        <v>2.91229538402621E-2</v>
      </c>
      <c r="BF31" s="19">
        <v>2.5776648309550001E-5</v>
      </c>
      <c r="BG31" s="19">
        <v>1.8271294163999999E-6</v>
      </c>
      <c r="BI31" t="s">
        <v>165</v>
      </c>
    </row>
    <row r="32" spans="1:62" x14ac:dyDescent="0.3">
      <c r="A32" t="s">
        <v>168</v>
      </c>
      <c r="B32" t="s">
        <v>169</v>
      </c>
      <c r="C32" t="s">
        <v>163</v>
      </c>
      <c r="D32" t="s">
        <v>164</v>
      </c>
      <c r="E32">
        <v>1000</v>
      </c>
      <c r="F32">
        <v>37.966367260367001</v>
      </c>
      <c r="G32">
        <v>9.0349690448410307</v>
      </c>
      <c r="H32">
        <v>3.1436711926028801E-2</v>
      </c>
      <c r="I32">
        <v>0.76070693353850805</v>
      </c>
      <c r="J32">
        <v>2.73095128006982E-2</v>
      </c>
      <c r="K32">
        <v>37.686022985725003</v>
      </c>
      <c r="L32">
        <v>8.7987915244364903</v>
      </c>
      <c r="M32">
        <v>3.0042541925648401E-2</v>
      </c>
      <c r="N32">
        <v>0.76068105143020204</v>
      </c>
      <c r="O32">
        <v>2.73024737116805E-2</v>
      </c>
      <c r="P32">
        <v>41.942451632154899</v>
      </c>
      <c r="Q32">
        <v>1.0572503554428001</v>
      </c>
      <c r="R32">
        <v>5.3710344032999902E-2</v>
      </c>
      <c r="S32">
        <v>0.299823852205575</v>
      </c>
      <c r="T32">
        <v>2.4103346550284499</v>
      </c>
      <c r="U32" s="19">
        <v>1.16563205991476E-9</v>
      </c>
      <c r="V32">
        <v>0.12046304132504999</v>
      </c>
      <c r="W32">
        <v>3.7397795745871298</v>
      </c>
      <c r="X32">
        <v>56.702033661943503</v>
      </c>
      <c r="Y32">
        <v>2.8167323625795402</v>
      </c>
      <c r="Z32">
        <v>1.7894537936925901</v>
      </c>
      <c r="AA32">
        <v>5.1995117046538004</v>
      </c>
      <c r="AB32">
        <v>5.6366004028640901</v>
      </c>
      <c r="AC32">
        <v>1.0169440901939899</v>
      </c>
      <c r="AD32">
        <v>19.964306536355199</v>
      </c>
      <c r="AE32">
        <v>1.26247409538579</v>
      </c>
      <c r="AF32">
        <v>1.6525229722493899</v>
      </c>
      <c r="AG32">
        <v>1.58257967794902</v>
      </c>
      <c r="AH32">
        <v>5.5390271543197898</v>
      </c>
      <c r="AI32">
        <v>1.0169440901939899</v>
      </c>
      <c r="AJ32">
        <v>3.17770905181027E-3</v>
      </c>
      <c r="AK32">
        <v>5.6906064127918996E-3</v>
      </c>
      <c r="AL32">
        <v>2.95406160266666</v>
      </c>
      <c r="AM32">
        <v>0</v>
      </c>
      <c r="AN32">
        <v>0.73941876060574996</v>
      </c>
      <c r="AO32">
        <v>2.1262290824452499E-2</v>
      </c>
      <c r="AP32">
        <v>3.9176324563597199E-3</v>
      </c>
      <c r="AQ32" s="19">
        <v>1.3660822213325E-4</v>
      </c>
      <c r="AR32">
        <v>1.9045830419977299E-2</v>
      </c>
      <c r="AS32">
        <v>2.9518852367499901</v>
      </c>
      <c r="AT32">
        <v>2.5215833081522901E-3</v>
      </c>
      <c r="AU32">
        <v>0</v>
      </c>
      <c r="AV32">
        <v>0</v>
      </c>
      <c r="AW32">
        <v>0</v>
      </c>
      <c r="AX32">
        <v>0</v>
      </c>
      <c r="AY32">
        <v>0.16715054694313</v>
      </c>
      <c r="AZ32">
        <v>0.127591292497577</v>
      </c>
      <c r="BA32">
        <v>1.2976377481273399E-3</v>
      </c>
      <c r="BB32" s="19">
        <v>2.5882108305240001E-5</v>
      </c>
      <c r="BC32" s="19">
        <v>6.9902061214887601E-7</v>
      </c>
      <c r="BD32">
        <v>0.113193727698831</v>
      </c>
      <c r="BE32">
        <v>0.108586227906963</v>
      </c>
      <c r="BF32" s="19">
        <v>9.653225225308E-5</v>
      </c>
      <c r="BG32" s="19">
        <v>6.34006840558E-6</v>
      </c>
      <c r="BI32" t="s">
        <v>165</v>
      </c>
    </row>
    <row r="33" spans="1:61" x14ac:dyDescent="0.3">
      <c r="A33" t="s">
        <v>170</v>
      </c>
      <c r="B33" t="s">
        <v>171</v>
      </c>
      <c r="C33" t="s">
        <v>163</v>
      </c>
      <c r="D33" t="s">
        <v>58</v>
      </c>
      <c r="E33">
        <v>1000</v>
      </c>
      <c r="F33">
        <v>2.1574240122188701</v>
      </c>
      <c r="G33">
        <v>1.4176426939520499</v>
      </c>
      <c r="H33">
        <v>3.07986278901983E-3</v>
      </c>
      <c r="I33">
        <v>3.30113338625538E-3</v>
      </c>
      <c r="J33">
        <v>2.0471458085169702E-3</v>
      </c>
      <c r="K33">
        <v>1.9885214879648601</v>
      </c>
      <c r="L33">
        <v>1.2883721476471099</v>
      </c>
      <c r="M33">
        <v>1.78073331360288E-3</v>
      </c>
      <c r="N33">
        <v>3.2752512779501402E-3</v>
      </c>
      <c r="O33">
        <v>2.0463432346803099E-3</v>
      </c>
      <c r="P33">
        <v>7.5073725354901999</v>
      </c>
      <c r="Q33">
        <v>7.1406547306989698E-2</v>
      </c>
      <c r="R33">
        <v>1.3138618539836401E-2</v>
      </c>
      <c r="S33">
        <v>0.113501726323274</v>
      </c>
      <c r="T33">
        <v>0.99341062178529305</v>
      </c>
      <c r="U33" s="19">
        <v>4.5665688548495497E-11</v>
      </c>
      <c r="V33">
        <v>5.8737460557791499E-2</v>
      </c>
      <c r="W33">
        <v>91.629108287861996</v>
      </c>
      <c r="X33">
        <v>81.929169926774904</v>
      </c>
      <c r="Y33">
        <v>0.26055174274241</v>
      </c>
      <c r="Z33">
        <v>0.107724769744202</v>
      </c>
      <c r="AA33">
        <v>0.38955331135930599</v>
      </c>
      <c r="AB33">
        <v>0.90025949927793303</v>
      </c>
      <c r="AC33">
        <v>0.17771527262421899</v>
      </c>
      <c r="AD33">
        <v>0</v>
      </c>
      <c r="AE33">
        <v>0.152716892216789</v>
      </c>
      <c r="AF33">
        <v>0.159259437981671</v>
      </c>
      <c r="AG33">
        <v>9.56574462358174E-2</v>
      </c>
      <c r="AH33">
        <v>0.86636144104903501</v>
      </c>
      <c r="AI33">
        <v>0.177631379921602</v>
      </c>
      <c r="AJ33" s="19">
        <v>2.9064240987152E-4</v>
      </c>
      <c r="AK33" s="19">
        <v>3.7168567302078002E-4</v>
      </c>
      <c r="AL33">
        <v>0.19022543487935001</v>
      </c>
      <c r="AM33">
        <v>0</v>
      </c>
      <c r="AN33">
        <v>0</v>
      </c>
      <c r="AO33">
        <v>3.2752512779501402E-3</v>
      </c>
      <c r="AP33" s="19">
        <v>3.3930828185554999E-4</v>
      </c>
      <c r="AQ33" s="19">
        <v>3.6303679573799999E-6</v>
      </c>
      <c r="AR33">
        <v>1.42693520644434E-3</v>
      </c>
      <c r="AS33">
        <v>0.18936352918916799</v>
      </c>
      <c r="AT33" s="19">
        <v>2.3547658502613E-4</v>
      </c>
      <c r="AU33">
        <v>0</v>
      </c>
      <c r="AV33">
        <v>0</v>
      </c>
      <c r="AW33">
        <v>0</v>
      </c>
      <c r="AX33">
        <v>0</v>
      </c>
      <c r="AY33">
        <v>0.16715054694313</v>
      </c>
      <c r="AZ33">
        <v>0.127591292497577</v>
      </c>
      <c r="BA33">
        <v>1.2976377481273399E-3</v>
      </c>
      <c r="BB33" s="19">
        <v>2.5882108305240001E-5</v>
      </c>
      <c r="BC33" s="19">
        <v>6.9902061214887601E-7</v>
      </c>
      <c r="BD33">
        <v>1.75197731088393E-3</v>
      </c>
      <c r="BE33">
        <v>1.6792538073618899E-3</v>
      </c>
      <c r="BF33" s="19">
        <v>1.4917272896000001E-6</v>
      </c>
      <c r="BG33" s="19">
        <v>1.03553224511938E-7</v>
      </c>
      <c r="BI33" t="s">
        <v>165</v>
      </c>
    </row>
    <row r="34" spans="1:61" x14ac:dyDescent="0.3">
      <c r="A34" t="s">
        <v>172</v>
      </c>
      <c r="B34" t="s">
        <v>173</v>
      </c>
      <c r="C34" t="s">
        <v>163</v>
      </c>
      <c r="D34" t="s">
        <v>174</v>
      </c>
      <c r="E34">
        <v>1000</v>
      </c>
      <c r="F34">
        <v>7.1485281953512301</v>
      </c>
      <c r="G34">
        <v>3.2422881185994101</v>
      </c>
      <c r="H34">
        <v>5.7135269417759402E-3</v>
      </c>
      <c r="I34">
        <v>8.2453810129048996E-2</v>
      </c>
      <c r="J34">
        <v>5.5301249098995298E-3</v>
      </c>
      <c r="K34">
        <v>6.9509877441175298</v>
      </c>
      <c r="L34">
        <v>3.0855738722615702</v>
      </c>
      <c r="M34">
        <v>4.3901125453390498E-3</v>
      </c>
      <c r="N34">
        <v>8.2427928020743793E-2</v>
      </c>
      <c r="O34">
        <v>5.5275987598709803E-3</v>
      </c>
      <c r="P34">
        <v>14.7329433056497</v>
      </c>
      <c r="Q34">
        <v>0.16985869751982599</v>
      </c>
      <c r="R34">
        <v>2.6106418389024701E-2</v>
      </c>
      <c r="S34">
        <v>0.48081184757985401</v>
      </c>
      <c r="T34">
        <v>2.0201605499376298</v>
      </c>
      <c r="U34" s="19">
        <v>8.1040092637659395E-11</v>
      </c>
      <c r="V34">
        <v>5.8250354316873601E-2</v>
      </c>
      <c r="W34">
        <v>4.4755003424991102</v>
      </c>
      <c r="X34">
        <v>160.14388697328701</v>
      </c>
      <c r="Y34">
        <v>0.69525759119143904</v>
      </c>
      <c r="Z34">
        <v>0.21134947901996501</v>
      </c>
      <c r="AA34">
        <v>0.84737938140300195</v>
      </c>
      <c r="AB34">
        <v>2.2930136067255198</v>
      </c>
      <c r="AC34">
        <v>0.29907047960496003</v>
      </c>
      <c r="AD34">
        <v>0.34513536870872003</v>
      </c>
      <c r="AE34">
        <v>2.2597818374639198</v>
      </c>
      <c r="AF34">
        <v>0.42129712140048903</v>
      </c>
      <c r="AG34">
        <v>0.18858925513307201</v>
      </c>
      <c r="AH34">
        <v>2.19615397759171</v>
      </c>
      <c r="AI34">
        <v>0.29907047960496003</v>
      </c>
      <c r="AJ34" s="19">
        <v>7.5665874166886999E-4</v>
      </c>
      <c r="AK34" s="19">
        <v>6.9803827196239997E-4</v>
      </c>
      <c r="AL34">
        <v>0.34005656898556402</v>
      </c>
      <c r="AM34">
        <v>0</v>
      </c>
      <c r="AN34">
        <v>1.27827914336563E-2</v>
      </c>
      <c r="AO34">
        <v>6.96451365870875E-2</v>
      </c>
      <c r="AP34" s="19">
        <v>9.2092322083961995E-4</v>
      </c>
      <c r="AQ34" s="19">
        <v>7.1746644044399999E-6</v>
      </c>
      <c r="AR34">
        <v>3.1039537780329701E-3</v>
      </c>
      <c r="AS34">
        <v>0.33761733995138798</v>
      </c>
      <c r="AT34">
        <v>1.38960860663941E-3</v>
      </c>
      <c r="AU34">
        <v>0</v>
      </c>
      <c r="AV34">
        <v>0</v>
      </c>
      <c r="AW34">
        <v>0</v>
      </c>
      <c r="AX34">
        <v>0</v>
      </c>
      <c r="AY34">
        <v>0.16715054694313</v>
      </c>
      <c r="AZ34">
        <v>0.127591292497577</v>
      </c>
      <c r="BA34">
        <v>1.2976377481273399E-3</v>
      </c>
      <c r="BB34" s="19">
        <v>2.5882108305240001E-5</v>
      </c>
      <c r="BC34" s="19">
        <v>6.9902061214887601E-7</v>
      </c>
      <c r="BD34">
        <v>3.0389904290565199E-2</v>
      </c>
      <c r="BE34">
        <v>2.91229538402621E-2</v>
      </c>
      <c r="BF34" s="19">
        <v>2.5776648309550001E-5</v>
      </c>
      <c r="BG34" s="19">
        <v>1.8271294163999999E-6</v>
      </c>
      <c r="BI34" t="s">
        <v>165</v>
      </c>
    </row>
    <row r="35" spans="1:61" x14ac:dyDescent="0.3">
      <c r="A35" t="s">
        <v>175</v>
      </c>
      <c r="B35" t="s">
        <v>176</v>
      </c>
      <c r="C35" t="s">
        <v>177</v>
      </c>
      <c r="D35" t="s">
        <v>178</v>
      </c>
      <c r="E35">
        <v>1000</v>
      </c>
      <c r="F35">
        <v>5.2603706363124196</v>
      </c>
      <c r="G35">
        <v>5.2282670498170498</v>
      </c>
      <c r="H35" s="19">
        <v>9.1150614149895001E-4</v>
      </c>
      <c r="I35" s="19">
        <v>1.8453188378809999E-5</v>
      </c>
      <c r="J35" s="19">
        <v>1.6272774331420001E-5</v>
      </c>
      <c r="K35">
        <v>4.8858897274340798</v>
      </c>
      <c r="L35">
        <v>4.8858897274340798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10.716474501609101</v>
      </c>
      <c r="X35">
        <v>0</v>
      </c>
      <c r="Y35">
        <v>0</v>
      </c>
      <c r="Z35">
        <v>0</v>
      </c>
      <c r="AA35">
        <v>0</v>
      </c>
      <c r="AB35">
        <v>4.8858897274340798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4.8858897274340798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0.106028343098449</v>
      </c>
      <c r="AZ35">
        <v>8.4605512097746596E-2</v>
      </c>
      <c r="BA35" s="19">
        <v>6.8186277441658998E-4</v>
      </c>
      <c r="BB35" s="19">
        <v>1.8453188378809999E-5</v>
      </c>
      <c r="BC35" s="19">
        <v>2.2164257760399998E-6</v>
      </c>
      <c r="BD35">
        <v>0.26845256577989202</v>
      </c>
      <c r="BE35">
        <v>0.25777181028522</v>
      </c>
      <c r="BF35" s="19">
        <v>2.2964336708235E-4</v>
      </c>
      <c r="BG35" s="19">
        <v>1.4056348555370001E-5</v>
      </c>
      <c r="BI35" t="s">
        <v>179</v>
      </c>
    </row>
    <row r="36" spans="1:61" x14ac:dyDescent="0.3">
      <c r="A36" t="s">
        <v>180</v>
      </c>
      <c r="B36" t="s">
        <v>181</v>
      </c>
      <c r="C36" t="s">
        <v>177</v>
      </c>
      <c r="D36" t="s">
        <v>178</v>
      </c>
      <c r="E36">
        <v>1000</v>
      </c>
      <c r="F36">
        <v>12.8661333966143</v>
      </c>
      <c r="G36">
        <v>12.834029810119</v>
      </c>
      <c r="H36" s="19">
        <v>9.1150614149895001E-4</v>
      </c>
      <c r="I36" s="19">
        <v>1.8453188378809999E-5</v>
      </c>
      <c r="J36" s="19">
        <v>1.6272774331420001E-5</v>
      </c>
      <c r="K36">
        <v>12.491652487735999</v>
      </c>
      <c r="L36">
        <v>12.491652487735999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5.91153348865938</v>
      </c>
      <c r="X36">
        <v>0</v>
      </c>
      <c r="Y36">
        <v>0</v>
      </c>
      <c r="Z36">
        <v>0</v>
      </c>
      <c r="AA36">
        <v>0</v>
      </c>
      <c r="AB36">
        <v>12.491652487735999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12.491652487735999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0.106028343098449</v>
      </c>
      <c r="AZ36">
        <v>8.4605512097746596E-2</v>
      </c>
      <c r="BA36" s="19">
        <v>6.8186277441658998E-4</v>
      </c>
      <c r="BB36" s="19">
        <v>1.8453188378809999E-5</v>
      </c>
      <c r="BC36" s="19">
        <v>2.2164257760399998E-6</v>
      </c>
      <c r="BD36">
        <v>0.26845256577989202</v>
      </c>
      <c r="BE36">
        <v>0.25777181028522</v>
      </c>
      <c r="BF36" s="19">
        <v>2.2964336708235E-4</v>
      </c>
      <c r="BG36" s="19">
        <v>1.4056348555370001E-5</v>
      </c>
      <c r="BI36" t="s">
        <v>179</v>
      </c>
    </row>
    <row r="37" spans="1:61" x14ac:dyDescent="0.3">
      <c r="A37" t="s">
        <v>182</v>
      </c>
      <c r="B37" t="s">
        <v>183</v>
      </c>
      <c r="C37" t="s">
        <v>177</v>
      </c>
      <c r="D37" t="s">
        <v>28</v>
      </c>
      <c r="E37">
        <v>1000</v>
      </c>
      <c r="F37">
        <v>15.465521516035301</v>
      </c>
      <c r="G37">
        <v>15.4370587423034</v>
      </c>
      <c r="H37" s="19">
        <v>7.5647880972959001E-4</v>
      </c>
      <c r="I37" s="19">
        <v>1.4206897765150001E-5</v>
      </c>
      <c r="J37" s="19">
        <v>2.0278824037509999E-5</v>
      </c>
      <c r="K37">
        <v>15.0645196628269</v>
      </c>
      <c r="L37">
        <v>15.0645196628269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15.663199131551799</v>
      </c>
      <c r="X37">
        <v>0</v>
      </c>
      <c r="Y37">
        <v>0</v>
      </c>
      <c r="Z37">
        <v>0</v>
      </c>
      <c r="AA37">
        <v>0</v>
      </c>
      <c r="AB37">
        <v>15.0645196628269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15.0645196628269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0.132549287428427</v>
      </c>
      <c r="AZ37">
        <v>0.114767269191258</v>
      </c>
      <c r="BA37" s="19">
        <v>5.2683544264723995E-4</v>
      </c>
      <c r="BB37" s="19">
        <v>1.4206897765150001E-5</v>
      </c>
      <c r="BC37" s="19">
        <v>6.22247548213E-6</v>
      </c>
      <c r="BD37">
        <v>0.26845256577989202</v>
      </c>
      <c r="BE37">
        <v>0.25777181028522</v>
      </c>
      <c r="BF37" s="19">
        <v>2.2964336708235E-4</v>
      </c>
      <c r="BG37" s="19">
        <v>1.4056348555370001E-5</v>
      </c>
      <c r="BI37" t="s">
        <v>184</v>
      </c>
    </row>
    <row r="38" spans="1:61" x14ac:dyDescent="0.3">
      <c r="A38" t="s">
        <v>185</v>
      </c>
      <c r="B38" t="s">
        <v>186</v>
      </c>
      <c r="C38" t="s">
        <v>177</v>
      </c>
      <c r="D38" t="s">
        <v>187</v>
      </c>
      <c r="E38">
        <v>1000</v>
      </c>
      <c r="F38">
        <v>10.713373881389501</v>
      </c>
      <c r="G38">
        <v>10.6849111076576</v>
      </c>
      <c r="H38" s="19">
        <v>7.5647880972959001E-4</v>
      </c>
      <c r="I38" s="19">
        <v>1.4206897765150001E-5</v>
      </c>
      <c r="J38" s="19">
        <v>2.0278824037509999E-5</v>
      </c>
      <c r="K38">
        <v>10.3123720281811</v>
      </c>
      <c r="L38">
        <v>10.3123720281811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0.61753085931381502</v>
      </c>
      <c r="X38">
        <v>0</v>
      </c>
      <c r="Y38">
        <v>0</v>
      </c>
      <c r="Z38">
        <v>0</v>
      </c>
      <c r="AA38">
        <v>0</v>
      </c>
      <c r="AB38">
        <v>10.3123720281811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10.3123720281811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0.132549287428427</v>
      </c>
      <c r="AZ38">
        <v>0.114767269191258</v>
      </c>
      <c r="BA38" s="19">
        <v>5.2683544264723995E-4</v>
      </c>
      <c r="BB38" s="19">
        <v>1.4206897765150001E-5</v>
      </c>
      <c r="BC38" s="19">
        <v>6.22247548213E-6</v>
      </c>
      <c r="BD38">
        <v>0.26845256577989202</v>
      </c>
      <c r="BE38">
        <v>0.25777181028522</v>
      </c>
      <c r="BF38" s="19">
        <v>2.2964336708235E-4</v>
      </c>
      <c r="BG38" s="19">
        <v>1.4056348555370001E-5</v>
      </c>
      <c r="BI38" t="s">
        <v>184</v>
      </c>
    </row>
    <row r="39" spans="1:61" x14ac:dyDescent="0.3">
      <c r="A39" t="s">
        <v>188</v>
      </c>
      <c r="B39" t="s">
        <v>189</v>
      </c>
      <c r="C39" t="s">
        <v>177</v>
      </c>
      <c r="D39" t="s">
        <v>190</v>
      </c>
      <c r="E39">
        <v>1000</v>
      </c>
      <c r="F39">
        <v>14.8079227367546</v>
      </c>
      <c r="G39">
        <v>14.7555091414053</v>
      </c>
      <c r="H39">
        <v>1.59857989257933E-3</v>
      </c>
      <c r="I39" s="19">
        <v>2.7304202168160002E-5</v>
      </c>
      <c r="J39" s="19">
        <v>1.479377689346E-5</v>
      </c>
      <c r="K39">
        <v>14.363135528045699</v>
      </c>
      <c r="L39">
        <v>14.363135528045699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13.613068724169</v>
      </c>
      <c r="X39">
        <v>0</v>
      </c>
      <c r="Y39">
        <v>0</v>
      </c>
      <c r="Z39">
        <v>0</v>
      </c>
      <c r="AA39">
        <v>0</v>
      </c>
      <c r="AB39">
        <v>14.363135528045699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14.363135528045699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0.17633464292901599</v>
      </c>
      <c r="AZ39">
        <v>0.134601803074367</v>
      </c>
      <c r="BA39">
        <v>1.36893652549697E-3</v>
      </c>
      <c r="BB39" s="19">
        <v>2.7304202168160002E-5</v>
      </c>
      <c r="BC39" s="19">
        <v>7.3742833809112202E-7</v>
      </c>
      <c r="BD39">
        <v>0.26845256577989202</v>
      </c>
      <c r="BE39">
        <v>0.25777181028522</v>
      </c>
      <c r="BF39" s="19">
        <v>2.2964336708235E-4</v>
      </c>
      <c r="BG39" s="19">
        <v>1.4056348555370001E-5</v>
      </c>
      <c r="BI39" t="s">
        <v>165</v>
      </c>
    </row>
    <row r="40" spans="1:61" x14ac:dyDescent="0.3">
      <c r="A40" t="s">
        <v>191</v>
      </c>
      <c r="B40" t="s">
        <v>192</v>
      </c>
      <c r="C40" t="s">
        <v>193</v>
      </c>
      <c r="D40" t="s">
        <v>194</v>
      </c>
      <c r="E40">
        <v>1000</v>
      </c>
      <c r="F40">
        <v>1.0607997672345499</v>
      </c>
      <c r="G40">
        <v>0.31605259964979798</v>
      </c>
      <c r="H40">
        <v>1.2112779325232799E-3</v>
      </c>
      <c r="I40">
        <v>2.2101166352760999E-2</v>
      </c>
      <c r="J40" s="19">
        <v>9.3699284667750002E-4</v>
      </c>
      <c r="K40">
        <v>0.93636942182954097</v>
      </c>
      <c r="L40">
        <v>0.20656949168111799</v>
      </c>
      <c r="M40" s="19">
        <v>8.0619112299995998E-4</v>
      </c>
      <c r="N40">
        <v>2.20553552294455E-2</v>
      </c>
      <c r="O40" s="19">
        <v>9.3099009875437005E-4</v>
      </c>
      <c r="P40">
        <v>0.93580861923639602</v>
      </c>
      <c r="Q40">
        <v>1.60782710595683E-2</v>
      </c>
      <c r="R40">
        <v>1.28930104136853E-3</v>
      </c>
      <c r="S40">
        <v>1.7665620736858099E-2</v>
      </c>
      <c r="T40">
        <v>6.4228126457108306E-2</v>
      </c>
      <c r="U40" s="19">
        <v>5.5992860226423004E-12</v>
      </c>
      <c r="V40" s="19">
        <v>5.3597663671984001E-4</v>
      </c>
      <c r="W40">
        <v>9.0121884844451099E-3</v>
      </c>
      <c r="X40">
        <v>5.3358377883891199</v>
      </c>
      <c r="Y40">
        <v>5.1162133509326198E-2</v>
      </c>
      <c r="Z40">
        <v>2.4487339976214901E-2</v>
      </c>
      <c r="AA40">
        <v>9.1935410331692002E-2</v>
      </c>
      <c r="AB40">
        <v>0.166605029137945</v>
      </c>
      <c r="AC40">
        <v>2.1769106761607201E-2</v>
      </c>
      <c r="AD40">
        <v>0.43653094864080599</v>
      </c>
      <c r="AE40">
        <v>0.143879453471949</v>
      </c>
      <c r="AF40">
        <v>3.0878584230795401E-2</v>
      </c>
      <c r="AG40">
        <v>2.1926392079575099E-2</v>
      </c>
      <c r="AH40">
        <v>0.16122477443032401</v>
      </c>
      <c r="AI40">
        <v>2.1769106761607201E-2</v>
      </c>
      <c r="AJ40" s="19">
        <v>5.6565369058869997E-5</v>
      </c>
      <c r="AK40" s="19">
        <v>7.7903769235349995E-5</v>
      </c>
      <c r="AL40">
        <v>6.8651623608417103E-2</v>
      </c>
      <c r="AM40">
        <v>0</v>
      </c>
      <c r="AN40">
        <v>1.6167812912622401E-2</v>
      </c>
      <c r="AO40">
        <v>2.94377115841153E-3</v>
      </c>
      <c r="AP40" s="19">
        <v>6.8124180514930003E-5</v>
      </c>
      <c r="AQ40" s="19">
        <v>8.76980122440348E-7</v>
      </c>
      <c r="AR40" s="19">
        <v>3.3675974480473E-4</v>
      </c>
      <c r="AS40">
        <v>6.8504040557484602E-2</v>
      </c>
      <c r="AT40">
        <v>2.3588876261845001E-4</v>
      </c>
      <c r="AU40">
        <v>2.7996491586951E-2</v>
      </c>
      <c r="AV40">
        <v>2.6353570557397201E-2</v>
      </c>
      <c r="AW40" s="19">
        <v>5.0775404405449999E-5</v>
      </c>
      <c r="AX40" s="19">
        <v>4.7550907791646401E-7</v>
      </c>
      <c r="AY40">
        <v>8.9356930463117906E-2</v>
      </c>
      <c r="AZ40">
        <v>7.6347166005903203E-2</v>
      </c>
      <c r="BA40" s="19">
        <v>3.4830651141009E-4</v>
      </c>
      <c r="BB40" s="19">
        <v>4.5811123315500002E-5</v>
      </c>
      <c r="BC40" s="19">
        <v>5.1037732149200004E-6</v>
      </c>
      <c r="BD40">
        <v>7.0769233549405697E-3</v>
      </c>
      <c r="BE40">
        <v>6.7823714053802699E-3</v>
      </c>
      <c r="BF40" s="19">
        <v>6.0048937077700004E-6</v>
      </c>
      <c r="BG40" s="19">
        <v>4.2346563028837199E-7</v>
      </c>
      <c r="BH40" t="s">
        <v>195</v>
      </c>
      <c r="BI40" t="s">
        <v>159</v>
      </c>
    </row>
    <row r="41" spans="1:61" x14ac:dyDescent="0.3">
      <c r="A41" t="s">
        <v>196</v>
      </c>
      <c r="B41" t="s">
        <v>197</v>
      </c>
      <c r="C41" t="s">
        <v>193</v>
      </c>
      <c r="D41" t="s">
        <v>198</v>
      </c>
      <c r="E41">
        <v>1000</v>
      </c>
      <c r="F41">
        <v>3.7101040886435199</v>
      </c>
      <c r="G41">
        <v>0.91516882469086303</v>
      </c>
      <c r="H41">
        <v>3.49201644815577E-3</v>
      </c>
      <c r="I41">
        <v>8.4035104851568204E-2</v>
      </c>
      <c r="J41">
        <v>3.5525077551174901E-3</v>
      </c>
      <c r="K41">
        <v>3.5658009399548698</v>
      </c>
      <c r="L41">
        <v>0.78664004871425697</v>
      </c>
      <c r="M41">
        <v>3.0700672161631699E-3</v>
      </c>
      <c r="N41">
        <v>8.3989293728252701E-2</v>
      </c>
      <c r="O41">
        <v>3.5453158676847099E-3</v>
      </c>
      <c r="P41">
        <v>3.5636653400867502</v>
      </c>
      <c r="Q41">
        <v>6.12278794250233E-2</v>
      </c>
      <c r="R41">
        <v>4.9098045686007301E-3</v>
      </c>
      <c r="S41">
        <v>6.7272686997079403E-2</v>
      </c>
      <c r="T41">
        <v>0.244587988835446</v>
      </c>
      <c r="U41" s="19">
        <v>2.13227161173239E-11</v>
      </c>
      <c r="V41">
        <v>2.04105981085464E-3</v>
      </c>
      <c r="W41">
        <v>3.4319435705296698E-2</v>
      </c>
      <c r="X41">
        <v>20.319475367007701</v>
      </c>
      <c r="Y41">
        <v>0.194831206043871</v>
      </c>
      <c r="Z41">
        <v>9.3250567424100803E-2</v>
      </c>
      <c r="AA41">
        <v>0.35010046775701098</v>
      </c>
      <c r="AB41">
        <v>0.63445084349352299</v>
      </c>
      <c r="AC41">
        <v>8.28992271029627E-2</v>
      </c>
      <c r="AD41">
        <v>1.6623593537915999</v>
      </c>
      <c r="AE41">
        <v>0.54790927434179404</v>
      </c>
      <c r="AF41">
        <v>0.11758915029445501</v>
      </c>
      <c r="AG41">
        <v>8.3498187429492096E-2</v>
      </c>
      <c r="AH41">
        <v>0.613962223461329</v>
      </c>
      <c r="AI41">
        <v>8.28992271029627E-2</v>
      </c>
      <c r="AJ41" s="19">
        <v>2.1540733972808001E-4</v>
      </c>
      <c r="AK41" s="19">
        <v>2.9666638731398E-4</v>
      </c>
      <c r="AL41">
        <v>0.26143316759961999</v>
      </c>
      <c r="AM41">
        <v>0</v>
      </c>
      <c r="AN41">
        <v>6.1568864955244801E-2</v>
      </c>
      <c r="AO41">
        <v>1.12102143865039E-2</v>
      </c>
      <c r="AP41" s="19">
        <v>2.5942460448908001E-4</v>
      </c>
      <c r="AQ41" s="19">
        <v>3.3396397532999999E-6</v>
      </c>
      <c r="AR41">
        <v>1.28241929581322E-3</v>
      </c>
      <c r="AS41">
        <v>0.260871154606171</v>
      </c>
      <c r="AT41" s="19">
        <v>8.9829115716552003E-4</v>
      </c>
      <c r="AU41">
        <v>2.7996491586951E-2</v>
      </c>
      <c r="AV41">
        <v>2.6353570557397201E-2</v>
      </c>
      <c r="AW41" s="19">
        <v>5.0775404405449999E-5</v>
      </c>
      <c r="AX41" s="19">
        <v>4.7550907791646401E-7</v>
      </c>
      <c r="AY41">
        <v>8.9356930463117906E-2</v>
      </c>
      <c r="AZ41">
        <v>7.6347166005903203E-2</v>
      </c>
      <c r="BA41" s="19">
        <v>3.4830651141009E-4</v>
      </c>
      <c r="BB41" s="19">
        <v>4.5811123315500002E-5</v>
      </c>
      <c r="BC41" s="19">
        <v>5.1037732149200004E-6</v>
      </c>
      <c r="BD41">
        <v>2.6949726638584599E-2</v>
      </c>
      <c r="BE41">
        <v>2.5828039413306102E-2</v>
      </c>
      <c r="BF41" s="19">
        <v>2.2867316177049999E-5</v>
      </c>
      <c r="BG41" s="19">
        <v>1.61260513993E-6</v>
      </c>
      <c r="BH41" t="s">
        <v>195</v>
      </c>
      <c r="BI41" t="s">
        <v>159</v>
      </c>
    </row>
    <row r="42" spans="1:61" x14ac:dyDescent="0.3">
      <c r="A42" t="s">
        <v>199</v>
      </c>
      <c r="B42" t="s">
        <v>200</v>
      </c>
      <c r="C42" t="s">
        <v>201</v>
      </c>
      <c r="D42" t="s">
        <v>202</v>
      </c>
      <c r="E42">
        <v>1000</v>
      </c>
      <c r="F42">
        <v>1.15929834303317</v>
      </c>
      <c r="G42">
        <v>0.65834742863712403</v>
      </c>
      <c r="H42">
        <v>1.08422910010883E-3</v>
      </c>
      <c r="I42">
        <v>1.77707328354109E-3</v>
      </c>
      <c r="J42">
        <v>1.5408787859238101E-3</v>
      </c>
      <c r="K42">
        <v>1.1102419687593501</v>
      </c>
      <c r="L42">
        <v>0.61450068712148198</v>
      </c>
      <c r="M42" s="19">
        <v>9.4169166917848002E-4</v>
      </c>
      <c r="N42">
        <v>1.77073111106581E-3</v>
      </c>
      <c r="O42">
        <v>1.5379821607970001E-3</v>
      </c>
      <c r="P42">
        <v>4.9950685476865502</v>
      </c>
      <c r="Q42">
        <v>5.9890818629486697E-2</v>
      </c>
      <c r="R42">
        <v>9.2683258402518204E-3</v>
      </c>
      <c r="S42">
        <v>0.121101060366972</v>
      </c>
      <c r="T42">
        <v>0.60096338037771002</v>
      </c>
      <c r="U42" s="19">
        <v>3.1418409586230202E-11</v>
      </c>
      <c r="V42">
        <v>3.2550468987832199E-3</v>
      </c>
      <c r="W42">
        <v>9.4416697991837992</v>
      </c>
      <c r="X42">
        <v>1.10417438884573</v>
      </c>
      <c r="Y42">
        <v>0.31320138236759598</v>
      </c>
      <c r="Z42">
        <v>7.5561466539063704E-2</v>
      </c>
      <c r="AA42">
        <v>0.30184777758620701</v>
      </c>
      <c r="AB42">
        <v>0.32228777360926902</v>
      </c>
      <c r="AC42">
        <v>4.88040084529947E-2</v>
      </c>
      <c r="AD42">
        <v>0</v>
      </c>
      <c r="AE42">
        <v>4.85395602042267E-2</v>
      </c>
      <c r="AF42">
        <v>0.18948816981723199</v>
      </c>
      <c r="AG42">
        <v>6.7479532943075404E-2</v>
      </c>
      <c r="AH42">
        <v>0.31165836663000401</v>
      </c>
      <c r="AI42">
        <v>4.88040084529947E-2</v>
      </c>
      <c r="AJ42" s="19">
        <v>3.5068986316781999E-4</v>
      </c>
      <c r="AK42" s="19">
        <v>2.4813587038153E-4</v>
      </c>
      <c r="AL42">
        <v>5.1799169834376803E-2</v>
      </c>
      <c r="AM42">
        <v>0</v>
      </c>
      <c r="AN42">
        <v>0</v>
      </c>
      <c r="AO42">
        <v>1.77073111106581E-3</v>
      </c>
      <c r="AP42" s="19">
        <v>4.1488151878374001E-4</v>
      </c>
      <c r="AQ42" s="19">
        <v>2.51825882277E-6</v>
      </c>
      <c r="AR42">
        <v>1.1056695149677901E-3</v>
      </c>
      <c r="AS42">
        <v>5.1528498606797403E-2</v>
      </c>
      <c r="AT42" s="19">
        <v>2.6733340858900001E-6</v>
      </c>
      <c r="AU42">
        <v>0</v>
      </c>
      <c r="AV42">
        <v>0</v>
      </c>
      <c r="AW42">
        <v>0</v>
      </c>
      <c r="AX42">
        <v>0</v>
      </c>
      <c r="AY42">
        <v>4.4823493583701302E-2</v>
      </c>
      <c r="AZ42">
        <v>3.9790356012319603E-2</v>
      </c>
      <c r="BA42" s="19">
        <v>1.3894839250013001E-4</v>
      </c>
      <c r="BB42" s="19">
        <v>6.3421724752699996E-6</v>
      </c>
      <c r="BC42" s="19">
        <v>2.6418931063900001E-6</v>
      </c>
      <c r="BD42">
        <v>4.23288069011943E-3</v>
      </c>
      <c r="BE42">
        <v>4.0563855033230603E-3</v>
      </c>
      <c r="BF42" s="19">
        <v>3.5890384302099999E-6</v>
      </c>
      <c r="BG42" s="19">
        <v>2.5473202042470399E-7</v>
      </c>
      <c r="BI42" t="s">
        <v>203</v>
      </c>
    </row>
    <row r="43" spans="1:61" x14ac:dyDescent="0.3">
      <c r="A43" t="s">
        <v>204</v>
      </c>
      <c r="B43" t="s">
        <v>93</v>
      </c>
      <c r="C43" t="s">
        <v>205</v>
      </c>
      <c r="D43" t="s">
        <v>206</v>
      </c>
      <c r="E43">
        <v>1000</v>
      </c>
      <c r="F43">
        <v>7.62924118838857</v>
      </c>
      <c r="G43">
        <v>2.1177271820642498</v>
      </c>
      <c r="H43">
        <v>6.9407906290885196E-3</v>
      </c>
      <c r="I43">
        <v>0.16560377866874801</v>
      </c>
      <c r="J43">
        <v>7.0087146223039897E-3</v>
      </c>
      <c r="K43">
        <v>7.0286719307265697</v>
      </c>
      <c r="L43">
        <v>1.55057304742682</v>
      </c>
      <c r="M43">
        <v>6.0515142687586499E-3</v>
      </c>
      <c r="N43">
        <v>0.165554163356294</v>
      </c>
      <c r="O43">
        <v>6.9882931056354401E-3</v>
      </c>
      <c r="P43">
        <v>7.0244623769401802</v>
      </c>
      <c r="Q43">
        <v>0.120688362794031</v>
      </c>
      <c r="R43">
        <v>9.6778833529371795E-3</v>
      </c>
      <c r="S43">
        <v>0.132603489303839</v>
      </c>
      <c r="T43">
        <v>0.482115732389235</v>
      </c>
      <c r="U43" s="19">
        <v>4.2029933466387703E-11</v>
      </c>
      <c r="V43">
        <v>4.0232026529416001E-3</v>
      </c>
      <c r="W43">
        <v>6.7648211014058296E-2</v>
      </c>
      <c r="X43">
        <v>40.052411383621703</v>
      </c>
      <c r="Y43">
        <v>0.384038439668899</v>
      </c>
      <c r="Z43">
        <v>0.18380937601816799</v>
      </c>
      <c r="AA43">
        <v>0.69009498064944896</v>
      </c>
      <c r="AB43">
        <v>1.2505877109183601</v>
      </c>
      <c r="AC43">
        <v>0.16340549582806899</v>
      </c>
      <c r="AD43">
        <v>3.27673325727591</v>
      </c>
      <c r="AE43">
        <v>1.0800026703676999</v>
      </c>
      <c r="AF43">
        <v>0.23178398737061401</v>
      </c>
      <c r="AG43">
        <v>0.16458612696973601</v>
      </c>
      <c r="AH43">
        <v>1.2102018927124201</v>
      </c>
      <c r="AI43">
        <v>0.16340549582806899</v>
      </c>
      <c r="AJ43" s="19">
        <v>4.2459675902110997E-4</v>
      </c>
      <c r="AK43" s="19">
        <v>5.8476924102506E-4</v>
      </c>
      <c r="AL43">
        <v>0.51531983916400004</v>
      </c>
      <c r="AM43">
        <v>0</v>
      </c>
      <c r="AN43">
        <v>0.12136049101021899</v>
      </c>
      <c r="AO43">
        <v>2.2096836173037902E-2</v>
      </c>
      <c r="AP43" s="19">
        <v>5.1136069186613002E-4</v>
      </c>
      <c r="AQ43" s="19">
        <v>6.5828778970099999E-6</v>
      </c>
      <c r="AR43">
        <v>2.5278204419393701E-3</v>
      </c>
      <c r="AS43">
        <v>0.51421203617155098</v>
      </c>
      <c r="AT43">
        <v>1.7706523578596299E-3</v>
      </c>
      <c r="AU43">
        <v>0.45842688464451897</v>
      </c>
      <c r="AV43">
        <v>0.44099003178279</v>
      </c>
      <c r="AW43" s="19">
        <v>4.7355307205563998E-4</v>
      </c>
      <c r="AX43" s="19">
        <v>1.217938210428E-5</v>
      </c>
      <c r="AY43">
        <v>9.6777195229454799E-2</v>
      </c>
      <c r="AZ43">
        <v>8.2687090430199603E-2</v>
      </c>
      <c r="BA43" s="19">
        <v>3.7723013849875E-4</v>
      </c>
      <c r="BB43" s="19">
        <v>4.961531245318E-5</v>
      </c>
      <c r="BC43" s="19">
        <v>5.5275942701700004E-6</v>
      </c>
      <c r="BD43">
        <v>4.5365177788030703E-2</v>
      </c>
      <c r="BE43">
        <v>4.3477012424435899E-2</v>
      </c>
      <c r="BF43" s="19">
        <v>3.849314977547E-5</v>
      </c>
      <c r="BG43" s="19">
        <v>2.71454029408E-6</v>
      </c>
      <c r="BH43" t="s">
        <v>207</v>
      </c>
      <c r="BI43" t="s">
        <v>159</v>
      </c>
    </row>
    <row r="44" spans="1:61" x14ac:dyDescent="0.3">
      <c r="A44" t="s">
        <v>208</v>
      </c>
      <c r="B44" t="s">
        <v>209</v>
      </c>
      <c r="C44" t="s">
        <v>177</v>
      </c>
      <c r="D44" t="s">
        <v>178</v>
      </c>
      <c r="E44">
        <v>1000</v>
      </c>
      <c r="F44">
        <v>6.8013085759136196</v>
      </c>
      <c r="G44">
        <v>4.1060372070075299</v>
      </c>
      <c r="H44">
        <v>1.5624228480953101E-3</v>
      </c>
      <c r="I44" s="19">
        <v>1.8453188378809999E-5</v>
      </c>
      <c r="J44">
        <v>9.7004136701341597E-3</v>
      </c>
      <c r="K44">
        <v>6.4268276670352797</v>
      </c>
      <c r="L44">
        <v>3.7636598846245599</v>
      </c>
      <c r="M44" s="19">
        <v>6.5091670659635995E-4</v>
      </c>
      <c r="N44">
        <v>0</v>
      </c>
      <c r="O44">
        <v>9.6841408958027401E-3</v>
      </c>
      <c r="P44">
        <v>5.3688853608748301</v>
      </c>
      <c r="Q44">
        <v>6.9999122740278405E-2</v>
      </c>
      <c r="R44">
        <v>1.0547821309108999E-2</v>
      </c>
      <c r="S44">
        <v>4.5471930797232801E-2</v>
      </c>
      <c r="T44" s="19">
        <v>5.9360692116173001E-4</v>
      </c>
      <c r="U44" s="19">
        <v>5.5371606048823101E-12</v>
      </c>
      <c r="V44">
        <v>2.1385836678236101E-3</v>
      </c>
      <c r="W44">
        <v>16.125521067614901</v>
      </c>
      <c r="X44">
        <v>0</v>
      </c>
      <c r="Y44">
        <v>3.6129574596249001</v>
      </c>
      <c r="Z44">
        <v>8.6281674421219007E-2</v>
      </c>
      <c r="AA44">
        <v>1.89431679589359</v>
      </c>
      <c r="AB44">
        <v>0.61367361589456304</v>
      </c>
      <c r="AC44">
        <v>0.219598121200998</v>
      </c>
      <c r="AD44">
        <v>0</v>
      </c>
      <c r="AE44">
        <v>0</v>
      </c>
      <c r="AF44">
        <v>2.8441064731077699</v>
      </c>
      <c r="AG44">
        <v>8.6281674421219007E-2</v>
      </c>
      <c r="AH44">
        <v>0.61367361589456304</v>
      </c>
      <c r="AI44">
        <v>0.219598121200998</v>
      </c>
      <c r="AJ44" s="19">
        <v>6.5091670659635995E-4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2.74525153355513E-3</v>
      </c>
      <c r="AQ44">
        <v>0</v>
      </c>
      <c r="AR44">
        <v>6.9388893622476001E-3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0.106028343098449</v>
      </c>
      <c r="AZ44">
        <v>8.4605512097746596E-2</v>
      </c>
      <c r="BA44" s="19">
        <v>6.8186277441658998E-4</v>
      </c>
      <c r="BB44" s="19">
        <v>1.8453188378809999E-5</v>
      </c>
      <c r="BC44" s="19">
        <v>2.2164257760399998E-6</v>
      </c>
      <c r="BD44">
        <v>0.26845256577989202</v>
      </c>
      <c r="BE44">
        <v>0.25777181028522</v>
      </c>
      <c r="BF44" s="19">
        <v>2.2964336708235E-4</v>
      </c>
      <c r="BG44" s="19">
        <v>1.4056348555370001E-5</v>
      </c>
      <c r="BI44" t="s">
        <v>179</v>
      </c>
    </row>
    <row r="45" spans="1:61" x14ac:dyDescent="0.3">
      <c r="A45" t="s">
        <v>210</v>
      </c>
      <c r="B45" t="s">
        <v>211</v>
      </c>
      <c r="C45" t="s">
        <v>177</v>
      </c>
      <c r="D45" t="s">
        <v>178</v>
      </c>
      <c r="E45">
        <v>1000</v>
      </c>
      <c r="F45">
        <v>6.8316131397574296</v>
      </c>
      <c r="G45">
        <v>6.7995095532620597</v>
      </c>
      <c r="H45" s="19">
        <v>9.1150614149895001E-4</v>
      </c>
      <c r="I45" s="19">
        <v>1.8453188378809999E-5</v>
      </c>
      <c r="J45" s="19">
        <v>1.6272774331420001E-5</v>
      </c>
      <c r="K45">
        <v>6.4571322308790897</v>
      </c>
      <c r="L45">
        <v>6.4571322308790897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3.6034967327189902</v>
      </c>
      <c r="X45">
        <v>0</v>
      </c>
      <c r="Y45">
        <v>0</v>
      </c>
      <c r="Z45">
        <v>0</v>
      </c>
      <c r="AA45">
        <v>0</v>
      </c>
      <c r="AB45">
        <v>6.4571322308790897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6.4571322308790897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0.106028343098449</v>
      </c>
      <c r="AZ45">
        <v>8.4605512097746596E-2</v>
      </c>
      <c r="BA45" s="19">
        <v>6.8186277441658998E-4</v>
      </c>
      <c r="BB45" s="19">
        <v>1.8453188378809999E-5</v>
      </c>
      <c r="BC45" s="19">
        <v>2.2164257760399998E-6</v>
      </c>
      <c r="BD45">
        <v>0.26845256577989202</v>
      </c>
      <c r="BE45">
        <v>0.25777181028522</v>
      </c>
      <c r="BF45" s="19">
        <v>2.2964336708235E-4</v>
      </c>
      <c r="BG45" s="19">
        <v>1.4056348555370001E-5</v>
      </c>
      <c r="BI45" t="s">
        <v>179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22ED6-ACFF-4262-B7F2-CF74B0F61E7D}">
  <dimension ref="A2:BJ46"/>
  <sheetViews>
    <sheetView workbookViewId="0">
      <selection activeCell="D19" sqref="D19"/>
    </sheetView>
  </sheetViews>
  <sheetFormatPr defaultRowHeight="14.4" x14ac:dyDescent="0.3"/>
  <cols>
    <col min="1" max="2" width="23.5546875" customWidth="1"/>
    <col min="3" max="3" width="19.33203125" customWidth="1"/>
    <col min="4" max="4" width="30.88671875" customWidth="1"/>
    <col min="5" max="5" width="20.88671875" customWidth="1"/>
    <col min="6" max="6" width="18.33203125" customWidth="1"/>
    <col min="8" max="8" width="17.5546875" customWidth="1"/>
    <col min="9" max="9" width="13.6640625" customWidth="1"/>
    <col min="10" max="11" width="15.44140625" customWidth="1"/>
  </cols>
  <sheetData>
    <row r="2" spans="1:11" ht="21" x14ac:dyDescent="0.4">
      <c r="A2" s="6" t="s">
        <v>214</v>
      </c>
      <c r="B2" s="6"/>
    </row>
    <row r="4" spans="1:11" x14ac:dyDescent="0.3">
      <c r="A4" s="20" t="s">
        <v>96</v>
      </c>
      <c r="B4" s="20" t="s">
        <v>97</v>
      </c>
      <c r="C4" s="20" t="s">
        <v>98</v>
      </c>
      <c r="D4" s="20" t="s">
        <v>102</v>
      </c>
      <c r="E4" s="22" t="s">
        <v>119</v>
      </c>
      <c r="F4" s="22" t="s">
        <v>120</v>
      </c>
    </row>
    <row r="5" spans="1:11" x14ac:dyDescent="0.3">
      <c r="A5" s="2" t="s">
        <v>23</v>
      </c>
      <c r="B5" s="2"/>
      <c r="D5">
        <v>2.9</v>
      </c>
      <c r="E5" s="3"/>
      <c r="F5" s="3"/>
    </row>
    <row r="6" spans="1:11" x14ac:dyDescent="0.3">
      <c r="A6" s="2" t="s">
        <v>24</v>
      </c>
      <c r="B6" s="2" t="s">
        <v>161</v>
      </c>
      <c r="C6" t="s">
        <v>162</v>
      </c>
      <c r="D6">
        <v>2.9</v>
      </c>
      <c r="E6" s="33">
        <f>W31</f>
        <v>3.7234739714274998E-4</v>
      </c>
      <c r="F6" s="3">
        <f>X31</f>
        <v>2.0379654131467402</v>
      </c>
      <c r="G6" s="5"/>
      <c r="H6" s="3"/>
      <c r="I6" s="3"/>
      <c r="J6" s="3"/>
      <c r="K6" s="3"/>
    </row>
    <row r="7" spans="1:11" x14ac:dyDescent="0.3">
      <c r="A7" s="2" t="s">
        <v>25</v>
      </c>
      <c r="B7" s="2" t="s">
        <v>204</v>
      </c>
      <c r="C7" t="s">
        <v>93</v>
      </c>
      <c r="D7">
        <v>2.9</v>
      </c>
      <c r="E7" s="3">
        <f>W44</f>
        <v>6.6867077394349998E-5</v>
      </c>
      <c r="F7" s="3">
        <f>X44</f>
        <v>1.1528462275538001</v>
      </c>
    </row>
    <row r="8" spans="1:11" x14ac:dyDescent="0.3">
      <c r="A8" s="2" t="s">
        <v>26</v>
      </c>
      <c r="B8" s="2" t="s">
        <v>185</v>
      </c>
      <c r="C8" s="29" t="s">
        <v>186</v>
      </c>
      <c r="D8">
        <v>2.9</v>
      </c>
      <c r="E8" s="3">
        <f>W39</f>
        <v>6.0476098082151699E-3</v>
      </c>
      <c r="F8" s="3">
        <f>X39</f>
        <v>0</v>
      </c>
    </row>
    <row r="9" spans="1:11" x14ac:dyDescent="0.3">
      <c r="A9" s="2" t="s">
        <v>27</v>
      </c>
      <c r="B9" s="2" t="s">
        <v>196</v>
      </c>
      <c r="C9" t="s">
        <v>197</v>
      </c>
      <c r="D9">
        <v>2.9</v>
      </c>
      <c r="E9" s="3">
        <f>W42</f>
        <v>3.4094478356610002E-5</v>
      </c>
      <c r="F9" s="3">
        <f>X42</f>
        <v>0.58781828495397703</v>
      </c>
    </row>
    <row r="10" spans="1:11" x14ac:dyDescent="0.3">
      <c r="A10" s="2" t="s">
        <v>28</v>
      </c>
      <c r="B10" s="2" t="s">
        <v>182</v>
      </c>
      <c r="C10" s="29" t="s">
        <v>183</v>
      </c>
      <c r="D10">
        <v>2.9</v>
      </c>
      <c r="E10" s="3">
        <f>W38</f>
        <v>0.10873098467686799</v>
      </c>
      <c r="F10" s="3">
        <f>X38</f>
        <v>0</v>
      </c>
    </row>
    <row r="11" spans="1:11" x14ac:dyDescent="0.3">
      <c r="A11" s="2" t="s">
        <v>29</v>
      </c>
      <c r="B11" s="2" t="s">
        <v>208</v>
      </c>
      <c r="C11" s="29" t="s">
        <v>209</v>
      </c>
      <c r="D11">
        <v>2.9</v>
      </c>
      <c r="E11" s="3">
        <f>W45</f>
        <v>1.5622992004555801E-2</v>
      </c>
      <c r="F11" s="3">
        <f>X45</f>
        <v>3.31003243660719</v>
      </c>
    </row>
    <row r="12" spans="1:11" x14ac:dyDescent="0.3">
      <c r="A12" s="2" t="s">
        <v>30</v>
      </c>
      <c r="B12" s="2" t="s">
        <v>199</v>
      </c>
      <c r="C12" t="s">
        <v>200</v>
      </c>
      <c r="D12">
        <v>2.9</v>
      </c>
      <c r="E12" s="3">
        <f>W43</f>
        <v>5.0826027920504897E-3</v>
      </c>
      <c r="F12" s="3">
        <f>X43</f>
        <v>2.77218006424188E-2</v>
      </c>
    </row>
    <row r="13" spans="1:11" x14ac:dyDescent="0.3">
      <c r="A13" s="2" t="s">
        <v>31</v>
      </c>
      <c r="B13" s="2"/>
      <c r="E13" s="3"/>
      <c r="F13" s="3"/>
    </row>
    <row r="14" spans="1:11" x14ac:dyDescent="0.3">
      <c r="A14" s="2" t="s">
        <v>32</v>
      </c>
      <c r="B14" s="2"/>
      <c r="E14" s="3"/>
      <c r="F14" s="3"/>
    </row>
    <row r="15" spans="1:11" x14ac:dyDescent="0.3">
      <c r="A15" s="2" t="s">
        <v>33</v>
      </c>
      <c r="B15" s="2"/>
      <c r="E15" s="3"/>
      <c r="F15" s="3"/>
    </row>
    <row r="16" spans="1:11" x14ac:dyDescent="0.3">
      <c r="A16" s="2" t="s">
        <v>34</v>
      </c>
      <c r="B16" s="2" t="s">
        <v>180</v>
      </c>
      <c r="C16" s="29" t="s">
        <v>181</v>
      </c>
      <c r="D16">
        <v>2.9</v>
      </c>
      <c r="E16" s="3">
        <f>W37</f>
        <v>4.0317398721434403E-2</v>
      </c>
      <c r="F16" s="3">
        <f>X37</f>
        <v>0</v>
      </c>
    </row>
    <row r="17" spans="1:62" x14ac:dyDescent="0.3">
      <c r="A17" s="2" t="s">
        <v>35</v>
      </c>
      <c r="B17" s="2" t="s">
        <v>210</v>
      </c>
      <c r="C17" s="29" t="s">
        <v>211</v>
      </c>
      <c r="D17">
        <v>2.9</v>
      </c>
      <c r="E17" s="3">
        <f>W46</f>
        <v>2.41904392328606E-2</v>
      </c>
      <c r="F17" s="3">
        <f>X46</f>
        <v>0</v>
      </c>
    </row>
    <row r="18" spans="1:62" x14ac:dyDescent="0.3">
      <c r="A18" s="2" t="s">
        <v>36</v>
      </c>
      <c r="B18" s="2"/>
      <c r="E18" s="3"/>
      <c r="F18" s="3"/>
    </row>
    <row r="19" spans="1:62" x14ac:dyDescent="0.3">
      <c r="A19" s="2" t="s">
        <v>37</v>
      </c>
      <c r="B19" s="2" t="s">
        <v>191</v>
      </c>
      <c r="C19" t="s">
        <v>192</v>
      </c>
      <c r="D19">
        <v>0.28999999999999998</v>
      </c>
      <c r="E19" s="3">
        <f>W41</f>
        <v>8.95311530956E-6</v>
      </c>
      <c r="F19" s="3">
        <f>X41</f>
        <v>0.15435944880034499</v>
      </c>
    </row>
    <row r="20" spans="1:62" x14ac:dyDescent="0.3">
      <c r="A20" s="2" t="s">
        <v>38</v>
      </c>
      <c r="B20" s="2" t="s">
        <v>188</v>
      </c>
      <c r="C20" s="29" t="s">
        <v>189</v>
      </c>
      <c r="D20">
        <v>2.9</v>
      </c>
      <c r="E20" s="3">
        <f>W40</f>
        <v>1.04724443178926</v>
      </c>
      <c r="F20" s="3">
        <f>X40</f>
        <v>0</v>
      </c>
    </row>
    <row r="21" spans="1:62" x14ac:dyDescent="0.3">
      <c r="A21" s="2" t="s">
        <v>39</v>
      </c>
      <c r="B21" s="2" t="s">
        <v>168</v>
      </c>
      <c r="C21" t="s">
        <v>169</v>
      </c>
      <c r="D21">
        <v>2.9</v>
      </c>
      <c r="E21" s="3">
        <f t="shared" ref="E21:F23" si="0">W34</f>
        <v>5.1135709207604997E-2</v>
      </c>
      <c r="F21" s="3">
        <f t="shared" si="0"/>
        <v>2.4455584962725498</v>
      </c>
    </row>
    <row r="22" spans="1:62" x14ac:dyDescent="0.3">
      <c r="A22" s="2" t="s">
        <v>40</v>
      </c>
      <c r="B22" s="2" t="s">
        <v>168</v>
      </c>
      <c r="C22" t="s">
        <v>169</v>
      </c>
      <c r="D22">
        <v>2.9</v>
      </c>
      <c r="E22" s="3">
        <f t="shared" si="0"/>
        <v>1.9858527847613598E-3</v>
      </c>
      <c r="F22" s="3">
        <f t="shared" si="0"/>
        <v>4.8911169913039503</v>
      </c>
    </row>
    <row r="23" spans="1:62" x14ac:dyDescent="0.3">
      <c r="A23" s="2" t="s">
        <v>41</v>
      </c>
      <c r="B23" s="2" t="s">
        <v>175</v>
      </c>
      <c r="C23" s="29" t="s">
        <v>176</v>
      </c>
      <c r="D23">
        <v>2.9</v>
      </c>
      <c r="E23" s="3">
        <f t="shared" si="0"/>
        <v>7.2445325827577595E-2</v>
      </c>
      <c r="F23" s="3">
        <f t="shared" si="0"/>
        <v>0</v>
      </c>
    </row>
    <row r="24" spans="1:62" x14ac:dyDescent="0.3">
      <c r="A24" s="2" t="s">
        <v>42</v>
      </c>
      <c r="B24" s="2" t="s">
        <v>166</v>
      </c>
      <c r="C24" t="s">
        <v>167</v>
      </c>
      <c r="D24">
        <v>2.9</v>
      </c>
      <c r="E24" s="3">
        <f>W32</f>
        <v>1.9858527847613598E-3</v>
      </c>
      <c r="F24" s="3">
        <f>X32</f>
        <v>4.8911169913039503</v>
      </c>
    </row>
    <row r="25" spans="1:62" x14ac:dyDescent="0.3">
      <c r="A25" s="2" t="s">
        <v>43</v>
      </c>
      <c r="B25" s="2" t="s">
        <v>170</v>
      </c>
      <c r="C25" t="s">
        <v>171</v>
      </c>
      <c r="D25">
        <v>2.9</v>
      </c>
      <c r="E25" s="3">
        <f>W34</f>
        <v>5.1135709207604997E-2</v>
      </c>
      <c r="F25" s="3">
        <f>X34</f>
        <v>2.4455584962725498</v>
      </c>
    </row>
    <row r="28" spans="1:62" ht="21" x14ac:dyDescent="0.4">
      <c r="A28" s="6" t="s">
        <v>160</v>
      </c>
    </row>
    <row r="30" spans="1:62" x14ac:dyDescent="0.3">
      <c r="A30" t="s">
        <v>97</v>
      </c>
      <c r="B30" t="s">
        <v>98</v>
      </c>
      <c r="C30" t="s">
        <v>99</v>
      </c>
      <c r="D30" t="s">
        <v>100</v>
      </c>
      <c r="E30" t="s">
        <v>101</v>
      </c>
      <c r="F30" t="s">
        <v>102</v>
      </c>
      <c r="G30" t="s">
        <v>103</v>
      </c>
      <c r="H30" t="s">
        <v>104</v>
      </c>
      <c r="I30" t="s">
        <v>105</v>
      </c>
      <c r="J30" t="s">
        <v>106</v>
      </c>
      <c r="K30" t="s">
        <v>107</v>
      </c>
      <c r="L30" t="s">
        <v>108</v>
      </c>
      <c r="M30" t="s">
        <v>109</v>
      </c>
      <c r="N30" t="s">
        <v>110</v>
      </c>
      <c r="O30" t="s">
        <v>111</v>
      </c>
      <c r="P30" t="s">
        <v>112</v>
      </c>
      <c r="Q30" t="s">
        <v>113</v>
      </c>
      <c r="R30" t="s">
        <v>114</v>
      </c>
      <c r="S30" t="s">
        <v>115</v>
      </c>
      <c r="T30" t="s">
        <v>116</v>
      </c>
      <c r="U30" t="s">
        <v>117</v>
      </c>
      <c r="V30" t="s">
        <v>118</v>
      </c>
      <c r="W30" t="s">
        <v>119</v>
      </c>
      <c r="X30" t="s">
        <v>120</v>
      </c>
      <c r="Y30" t="s">
        <v>121</v>
      </c>
      <c r="Z30" t="s">
        <v>122</v>
      </c>
      <c r="AA30" t="s">
        <v>123</v>
      </c>
      <c r="AB30" t="s">
        <v>124</v>
      </c>
      <c r="AC30" t="s">
        <v>125</v>
      </c>
      <c r="AD30" t="s">
        <v>126</v>
      </c>
      <c r="AE30" t="s">
        <v>127</v>
      </c>
      <c r="AF30" t="s">
        <v>128</v>
      </c>
      <c r="AG30" t="s">
        <v>129</v>
      </c>
      <c r="AH30" t="s">
        <v>130</v>
      </c>
      <c r="AI30" t="s">
        <v>131</v>
      </c>
      <c r="AJ30" t="s">
        <v>132</v>
      </c>
      <c r="AK30" t="s">
        <v>133</v>
      </c>
      <c r="AL30" t="s">
        <v>134</v>
      </c>
      <c r="AM30" t="s">
        <v>135</v>
      </c>
      <c r="AN30" t="s">
        <v>136</v>
      </c>
      <c r="AO30" t="s">
        <v>137</v>
      </c>
      <c r="AP30" t="s">
        <v>138</v>
      </c>
      <c r="AQ30" t="s">
        <v>139</v>
      </c>
      <c r="AR30" t="s">
        <v>140</v>
      </c>
      <c r="AS30" t="s">
        <v>141</v>
      </c>
      <c r="AT30" t="s">
        <v>142</v>
      </c>
      <c r="AU30" t="s">
        <v>143</v>
      </c>
      <c r="AV30" t="s">
        <v>144</v>
      </c>
      <c r="AW30" t="s">
        <v>145</v>
      </c>
      <c r="AX30" t="s">
        <v>146</v>
      </c>
      <c r="AY30" t="s">
        <v>147</v>
      </c>
      <c r="AZ30" t="s">
        <v>148</v>
      </c>
      <c r="BA30" t="s">
        <v>149</v>
      </c>
      <c r="BB30" t="s">
        <v>150</v>
      </c>
      <c r="BC30" t="s">
        <v>151</v>
      </c>
      <c r="BD30" t="s">
        <v>152</v>
      </c>
      <c r="BE30" t="s">
        <v>153</v>
      </c>
      <c r="BF30" t="s">
        <v>154</v>
      </c>
      <c r="BG30" t="s">
        <v>155</v>
      </c>
      <c r="BH30" t="s">
        <v>156</v>
      </c>
      <c r="BI30" t="s">
        <v>157</v>
      </c>
      <c r="BJ30" t="s">
        <v>158</v>
      </c>
    </row>
    <row r="31" spans="1:62" x14ac:dyDescent="0.3">
      <c r="A31" t="s">
        <v>161</v>
      </c>
      <c r="B31" t="s">
        <v>162</v>
      </c>
      <c r="C31" t="s">
        <v>163</v>
      </c>
      <c r="D31" t="s">
        <v>164</v>
      </c>
      <c r="E31">
        <v>1000</v>
      </c>
      <c r="F31">
        <v>31.600469358613601</v>
      </c>
      <c r="G31">
        <v>5.2565887615992697</v>
      </c>
      <c r="H31">
        <v>2.1584554967415098E-2</v>
      </c>
      <c r="I31">
        <v>0.71557552675608405</v>
      </c>
      <c r="J31">
        <v>2.3370409269691101E-2</v>
      </c>
      <c r="K31">
        <v>31.348812804058799</v>
      </c>
      <c r="L31">
        <v>5.0479689789895099</v>
      </c>
      <c r="M31">
        <v>2.02149324586644E-2</v>
      </c>
      <c r="N31">
        <v>0.71554964464777904</v>
      </c>
      <c r="O31">
        <v>2.3364829766907201E-2</v>
      </c>
      <c r="P31">
        <v>30.641378851038102</v>
      </c>
      <c r="Q31">
        <v>0.63525552656830997</v>
      </c>
      <c r="R31">
        <v>2.1432650787043098E-2</v>
      </c>
      <c r="S31">
        <v>0.20622154526197001</v>
      </c>
      <c r="T31">
        <v>1.29261775284167</v>
      </c>
      <c r="U31" s="19">
        <v>1.45856005152626E-10</v>
      </c>
      <c r="V31">
        <v>0.169998117679236</v>
      </c>
      <c r="W31" s="19">
        <v>3.7234739714274998E-4</v>
      </c>
      <c r="X31">
        <v>2.0379654131467402</v>
      </c>
      <c r="Y31">
        <v>1.7718480136466099</v>
      </c>
      <c r="Z31">
        <v>0.98091289812335203</v>
      </c>
      <c r="AA31">
        <v>3.77497381671389</v>
      </c>
      <c r="AB31">
        <v>3.7310517292607401</v>
      </c>
      <c r="AC31">
        <v>0.232397647728002</v>
      </c>
      <c r="AD31">
        <v>17.716291980826501</v>
      </c>
      <c r="AE31">
        <v>3.1413367126507401</v>
      </c>
      <c r="AF31">
        <v>1.0805212560887001</v>
      </c>
      <c r="AG31">
        <v>0.87466899446468305</v>
      </c>
      <c r="AH31">
        <v>3.6719183767002201</v>
      </c>
      <c r="AI31">
        <v>0.232302852136794</v>
      </c>
      <c r="AJ31">
        <v>1.2289668993920599E-3</v>
      </c>
      <c r="AK31">
        <v>3.0914511035880299E-3</v>
      </c>
      <c r="AL31">
        <v>1.8964780425713801</v>
      </c>
      <c r="AM31">
        <v>0</v>
      </c>
      <c r="AN31">
        <v>0.65615896239026505</v>
      </c>
      <c r="AO31">
        <v>5.93906822372419E-2</v>
      </c>
      <c r="AP31">
        <v>2.3981816605171402E-3</v>
      </c>
      <c r="AQ31" s="19">
        <v>5.1694091293619999E-5</v>
      </c>
      <c r="AR31">
        <v>1.38277429359906E-2</v>
      </c>
      <c r="AS31">
        <v>1.89514044464774</v>
      </c>
      <c r="AT31">
        <v>5.6329244532781798E-3</v>
      </c>
      <c r="AU31">
        <v>0</v>
      </c>
      <c r="AV31">
        <v>0</v>
      </c>
      <c r="AW31">
        <v>0</v>
      </c>
      <c r="AX31">
        <v>0</v>
      </c>
      <c r="AY31">
        <v>0.16715054694313</v>
      </c>
      <c r="AZ31">
        <v>0.127591292497577</v>
      </c>
      <c r="BA31">
        <v>1.2976377481273399E-3</v>
      </c>
      <c r="BB31" s="19">
        <v>2.5882108305240001E-5</v>
      </c>
      <c r="BC31" s="19">
        <v>6.9902061214887601E-7</v>
      </c>
      <c r="BD31">
        <v>8.45060076116676E-2</v>
      </c>
      <c r="BE31">
        <v>8.1028490112183896E-2</v>
      </c>
      <c r="BF31" s="19">
        <v>7.1984760623359999E-5</v>
      </c>
      <c r="BG31" s="19">
        <v>4.8804821718199998E-6</v>
      </c>
      <c r="BI31" t="s">
        <v>165</v>
      </c>
    </row>
    <row r="32" spans="1:62" x14ac:dyDescent="0.3">
      <c r="A32" t="s">
        <v>166</v>
      </c>
      <c r="B32" t="s">
        <v>167</v>
      </c>
      <c r="C32" t="s">
        <v>163</v>
      </c>
      <c r="D32" t="s">
        <v>164</v>
      </c>
      <c r="E32">
        <v>1000</v>
      </c>
      <c r="F32">
        <v>5.4439483248706297</v>
      </c>
      <c r="G32">
        <v>2.41101751833834</v>
      </c>
      <c r="H32">
        <v>4.0102319086135598E-3</v>
      </c>
      <c r="I32">
        <v>4.3991591565721501E-2</v>
      </c>
      <c r="J32">
        <v>6.3254379516260902E-3</v>
      </c>
      <c r="K32">
        <v>5.2216258132107702</v>
      </c>
      <c r="L32">
        <v>2.2305434225755199</v>
      </c>
      <c r="M32">
        <v>2.66569933069539E-3</v>
      </c>
      <c r="N32">
        <v>4.3965709457416201E-2</v>
      </c>
      <c r="O32">
        <v>6.3214726470442696E-3</v>
      </c>
      <c r="P32">
        <v>14.5196178222689</v>
      </c>
      <c r="Q32">
        <v>0.144272547700071</v>
      </c>
      <c r="R32">
        <v>1.8474332040362602E-2</v>
      </c>
      <c r="S32">
        <v>0.31306795890620598</v>
      </c>
      <c r="T32">
        <v>1.52956386195786</v>
      </c>
      <c r="U32" s="19">
        <v>1.20786798935294E-10</v>
      </c>
      <c r="V32">
        <v>6.0989296343756098E-2</v>
      </c>
      <c r="W32">
        <v>1.9858527847613598E-3</v>
      </c>
      <c r="X32">
        <v>4.8911169913039503</v>
      </c>
      <c r="Y32">
        <v>0.61158967594899405</v>
      </c>
      <c r="Z32">
        <v>0.20770315837045</v>
      </c>
      <c r="AA32">
        <v>1.07612430005256</v>
      </c>
      <c r="AB32">
        <v>1.5774436441842801</v>
      </c>
      <c r="AC32">
        <v>0.158252188520006</v>
      </c>
      <c r="AD32">
        <v>0.34857325812795997</v>
      </c>
      <c r="AE32">
        <v>1.24192003310777</v>
      </c>
      <c r="AF32">
        <v>0.37356624762859802</v>
      </c>
      <c r="AG32">
        <v>0.18578277251338701</v>
      </c>
      <c r="AH32">
        <v>1.5247464135248201</v>
      </c>
      <c r="AI32">
        <v>0.158252188520006</v>
      </c>
      <c r="AJ32" s="19">
        <v>5.5635651617873998E-4</v>
      </c>
      <c r="AK32" s="19">
        <v>6.7137112934724996E-4</v>
      </c>
      <c r="AL32">
        <v>0.216134860725261</v>
      </c>
      <c r="AM32">
        <v>0</v>
      </c>
      <c r="AN32">
        <v>1.28828126156533E-2</v>
      </c>
      <c r="AO32">
        <v>3.1082048758282299E-2</v>
      </c>
      <c r="AP32" s="19">
        <v>8.1123349982000002E-4</v>
      </c>
      <c r="AQ32" s="19">
        <v>7.0266376876500002E-6</v>
      </c>
      <c r="AR32">
        <v>3.9418473860400299E-3</v>
      </c>
      <c r="AS32">
        <v>0.21501612317396299</v>
      </c>
      <c r="AT32">
        <v>1.47761551254318E-3</v>
      </c>
      <c r="AU32">
        <v>0</v>
      </c>
      <c r="AV32">
        <v>0</v>
      </c>
      <c r="AW32">
        <v>0</v>
      </c>
      <c r="AX32">
        <v>0</v>
      </c>
      <c r="AY32">
        <v>0.16715054694313</v>
      </c>
      <c r="AZ32">
        <v>0.127591292497577</v>
      </c>
      <c r="BA32">
        <v>1.2976377481273399E-3</v>
      </c>
      <c r="BB32" s="19">
        <v>2.5882108305240001E-5</v>
      </c>
      <c r="BC32" s="19">
        <v>6.9902061214887601E-7</v>
      </c>
      <c r="BD32">
        <v>5.5171964716725197E-2</v>
      </c>
      <c r="BE32">
        <v>5.2882803265238698E-2</v>
      </c>
      <c r="BF32" s="19">
        <v>4.6894829790820002E-5</v>
      </c>
      <c r="BG32" s="19">
        <v>3.2662839696600002E-6</v>
      </c>
      <c r="BI32" t="s">
        <v>165</v>
      </c>
    </row>
    <row r="33" spans="1:61" x14ac:dyDescent="0.3">
      <c r="A33" t="s">
        <v>168</v>
      </c>
      <c r="B33" t="s">
        <v>169</v>
      </c>
      <c r="C33" t="s">
        <v>163</v>
      </c>
      <c r="D33" t="s">
        <v>164</v>
      </c>
      <c r="E33">
        <v>1000</v>
      </c>
      <c r="F33">
        <v>37.099767561940801</v>
      </c>
      <c r="G33">
        <v>8.7440393958852596</v>
      </c>
      <c r="H33">
        <v>1.7597698399287699E-2</v>
      </c>
      <c r="I33">
        <v>0.77815498123058102</v>
      </c>
      <c r="J33">
        <v>2.5017056858113899E-2</v>
      </c>
      <c r="K33">
        <v>36.735913477145502</v>
      </c>
      <c r="L33">
        <v>8.4276739972844901</v>
      </c>
      <c r="M33">
        <v>1.6131908972785498E-2</v>
      </c>
      <c r="N33">
        <v>0.77812909912227601</v>
      </c>
      <c r="O33">
        <v>2.5005667318331801E-2</v>
      </c>
      <c r="P33">
        <v>29.949052899499701</v>
      </c>
      <c r="Q33">
        <v>1.08941995266433</v>
      </c>
      <c r="R33">
        <v>4.4609738683159601E-2</v>
      </c>
      <c r="S33">
        <v>4.3944100429406198E-2</v>
      </c>
      <c r="T33">
        <v>2.8335278987005199</v>
      </c>
      <c r="U33" s="19">
        <v>1.1949525427011701E-10</v>
      </c>
      <c r="V33">
        <v>0.112952646844552</v>
      </c>
      <c r="W33">
        <v>4.84051616285581E-3</v>
      </c>
      <c r="X33">
        <v>1.6303723300209301</v>
      </c>
      <c r="Y33">
        <v>2.4769737469099899</v>
      </c>
      <c r="Z33">
        <v>1.7872647946056299</v>
      </c>
      <c r="AA33">
        <v>5.0977365111186304</v>
      </c>
      <c r="AB33">
        <v>4.5607062580131998</v>
      </c>
      <c r="AC33">
        <v>1.18890413948797</v>
      </c>
      <c r="AD33">
        <v>20.484617384404402</v>
      </c>
      <c r="AE33">
        <v>1.13971064695532</v>
      </c>
      <c r="AF33">
        <v>1.4784466719787199</v>
      </c>
      <c r="AG33">
        <v>1.5934295215840999</v>
      </c>
      <c r="AH33">
        <v>4.4795750111715602</v>
      </c>
      <c r="AI33">
        <v>1.18890413948797</v>
      </c>
      <c r="AJ33">
        <v>2.73194817810227E-3</v>
      </c>
      <c r="AK33">
        <v>5.6531700855413699E-3</v>
      </c>
      <c r="AL33">
        <v>1.7499903570930799</v>
      </c>
      <c r="AM33">
        <v>0</v>
      </c>
      <c r="AN33">
        <v>0.75868953287252705</v>
      </c>
      <c r="AO33">
        <v>1.94446493946356E-2</v>
      </c>
      <c r="AP33">
        <v>3.3578889758590501E-3</v>
      </c>
      <c r="AQ33" s="19">
        <v>9.2696619666110004E-5</v>
      </c>
      <c r="AR33">
        <v>1.86730275197378E-2</v>
      </c>
      <c r="AS33">
        <v>1.7482600290071899</v>
      </c>
      <c r="AT33">
        <v>2.25232778226376E-3</v>
      </c>
      <c r="AU33">
        <v>0</v>
      </c>
      <c r="AV33">
        <v>0</v>
      </c>
      <c r="AW33">
        <v>0</v>
      </c>
      <c r="AX33">
        <v>0</v>
      </c>
      <c r="AY33">
        <v>0.16715054694313</v>
      </c>
      <c r="AZ33">
        <v>0.127591292497577</v>
      </c>
      <c r="BA33">
        <v>1.2976377481273399E-3</v>
      </c>
      <c r="BB33" s="19">
        <v>2.5882108305240001E-5</v>
      </c>
      <c r="BC33" s="19">
        <v>6.9902061214887601E-7</v>
      </c>
      <c r="BD33">
        <v>0.19670353785214301</v>
      </c>
      <c r="BE33">
        <v>0.18877410610318299</v>
      </c>
      <c r="BF33" s="19">
        <v>1.6815167837481E-4</v>
      </c>
      <c r="BG33" s="19">
        <v>1.0690519169920001E-5</v>
      </c>
      <c r="BI33" t="s">
        <v>165</v>
      </c>
    </row>
    <row r="34" spans="1:61" x14ac:dyDescent="0.3">
      <c r="A34" t="s">
        <v>170</v>
      </c>
      <c r="B34" t="s">
        <v>171</v>
      </c>
      <c r="C34" t="s">
        <v>163</v>
      </c>
      <c r="D34" t="s">
        <v>58</v>
      </c>
      <c r="E34">
        <v>1000</v>
      </c>
      <c r="F34">
        <v>2.2976381517102902</v>
      </c>
      <c r="G34">
        <v>1.4015795829020601</v>
      </c>
      <c r="H34">
        <v>2.6957337782327799E-3</v>
      </c>
      <c r="I34">
        <v>2.9222483948796799E-3</v>
      </c>
      <c r="J34">
        <v>2.6958870537886598E-3</v>
      </c>
      <c r="K34">
        <v>2.0708410541920199</v>
      </c>
      <c r="L34">
        <v>1.2168007538971499</v>
      </c>
      <c r="M34">
        <v>1.34729644347005E-3</v>
      </c>
      <c r="N34">
        <v>2.89636628657444E-3</v>
      </c>
      <c r="O34">
        <v>2.6917258119820999E-3</v>
      </c>
      <c r="P34">
        <v>7.2555799196168103</v>
      </c>
      <c r="Q34">
        <v>8.4381780859821301E-2</v>
      </c>
      <c r="R34">
        <v>1.11931557914748E-2</v>
      </c>
      <c r="S34">
        <v>3.12000314112264E-2</v>
      </c>
      <c r="T34">
        <v>0.81328130267226195</v>
      </c>
      <c r="U34" s="19">
        <v>7.0414243926269204E-11</v>
      </c>
      <c r="V34">
        <v>4.4802038610273702E-2</v>
      </c>
      <c r="W34">
        <v>5.1135709207604997E-2</v>
      </c>
      <c r="X34">
        <v>2.4455584962725498</v>
      </c>
      <c r="Y34">
        <v>0.30170271397232701</v>
      </c>
      <c r="Z34">
        <v>0.112899619775386</v>
      </c>
      <c r="AA34">
        <v>0.56865211025074003</v>
      </c>
      <c r="AB34">
        <v>0.75025208162549994</v>
      </c>
      <c r="AC34">
        <v>0.21085073003258101</v>
      </c>
      <c r="AD34">
        <v>0</v>
      </c>
      <c r="AE34">
        <v>0.12649751103927201</v>
      </c>
      <c r="AF34">
        <v>0.186729874700549</v>
      </c>
      <c r="AG34">
        <v>9.9978585887470994E-2</v>
      </c>
      <c r="AH34">
        <v>0.73125060691260402</v>
      </c>
      <c r="AI34">
        <v>0.210703768870979</v>
      </c>
      <c r="AJ34" s="19">
        <v>2.7791389143739999E-4</v>
      </c>
      <c r="AK34" s="19">
        <v>4.0050472103402002E-4</v>
      </c>
      <c r="AL34">
        <v>0.225179690435338</v>
      </c>
      <c r="AM34">
        <v>0</v>
      </c>
      <c r="AN34">
        <v>0</v>
      </c>
      <c r="AO34">
        <v>2.89636628657444E-3</v>
      </c>
      <c r="AP34" s="19">
        <v>3.9044885899518E-4</v>
      </c>
      <c r="AQ34" s="19">
        <v>3.7895490856399998E-6</v>
      </c>
      <c r="AR34">
        <v>2.0829750912830301E-3</v>
      </c>
      <c r="AS34">
        <v>0.22478589395190299</v>
      </c>
      <c r="AT34" s="19">
        <v>1.7669993963007001E-4</v>
      </c>
      <c r="AU34">
        <v>0</v>
      </c>
      <c r="AV34">
        <v>0</v>
      </c>
      <c r="AW34">
        <v>0</v>
      </c>
      <c r="AX34">
        <v>0</v>
      </c>
      <c r="AY34">
        <v>0.16715054694313</v>
      </c>
      <c r="AZ34">
        <v>0.127591292497577</v>
      </c>
      <c r="BA34">
        <v>1.2976377481273399E-3</v>
      </c>
      <c r="BB34" s="19">
        <v>2.5882108305240001E-5</v>
      </c>
      <c r="BC34" s="19">
        <v>6.9902061214887601E-7</v>
      </c>
      <c r="BD34">
        <v>5.9646550575146201E-2</v>
      </c>
      <c r="BE34">
        <v>5.7187536507338398E-2</v>
      </c>
      <c r="BF34" s="19">
        <v>5.0799586635389997E-5</v>
      </c>
      <c r="BG34" s="19">
        <v>3.4622211944E-6</v>
      </c>
      <c r="BI34" t="s">
        <v>165</v>
      </c>
    </row>
    <row r="35" spans="1:61" x14ac:dyDescent="0.3">
      <c r="A35" t="s">
        <v>172</v>
      </c>
      <c r="B35" t="s">
        <v>173</v>
      </c>
      <c r="C35" t="s">
        <v>163</v>
      </c>
      <c r="D35" t="s">
        <v>174</v>
      </c>
      <c r="E35">
        <v>1000</v>
      </c>
      <c r="F35">
        <v>5.4439483248706297</v>
      </c>
      <c r="G35">
        <v>2.41101751833834</v>
      </c>
      <c r="H35">
        <v>4.0102319086135598E-3</v>
      </c>
      <c r="I35">
        <v>4.3991591565721501E-2</v>
      </c>
      <c r="J35">
        <v>6.3254379516260902E-3</v>
      </c>
      <c r="K35">
        <v>5.2216258132107702</v>
      </c>
      <c r="L35">
        <v>2.2305434225755199</v>
      </c>
      <c r="M35">
        <v>2.66569933069539E-3</v>
      </c>
      <c r="N35">
        <v>4.3965709457416201E-2</v>
      </c>
      <c r="O35">
        <v>6.3214726470442696E-3</v>
      </c>
      <c r="P35">
        <v>14.5196178222689</v>
      </c>
      <c r="Q35">
        <v>0.144272547700071</v>
      </c>
      <c r="R35">
        <v>1.8474332040362602E-2</v>
      </c>
      <c r="S35">
        <v>0.31306795890620598</v>
      </c>
      <c r="T35">
        <v>1.52956386195786</v>
      </c>
      <c r="U35" s="19">
        <v>1.20786798935294E-10</v>
      </c>
      <c r="V35">
        <v>6.0989296343756098E-2</v>
      </c>
      <c r="W35">
        <v>1.9858527847613598E-3</v>
      </c>
      <c r="X35">
        <v>4.8911169913039503</v>
      </c>
      <c r="Y35">
        <v>0.61158967594899405</v>
      </c>
      <c r="Z35">
        <v>0.20770315837045</v>
      </c>
      <c r="AA35">
        <v>1.07612430005256</v>
      </c>
      <c r="AB35">
        <v>1.5774436441842801</v>
      </c>
      <c r="AC35">
        <v>0.158252188520006</v>
      </c>
      <c r="AD35">
        <v>0.34857325812795997</v>
      </c>
      <c r="AE35">
        <v>1.24192003310777</v>
      </c>
      <c r="AF35">
        <v>0.37356624762859802</v>
      </c>
      <c r="AG35">
        <v>0.18578277251338701</v>
      </c>
      <c r="AH35">
        <v>1.5247464135248201</v>
      </c>
      <c r="AI35">
        <v>0.158252188520006</v>
      </c>
      <c r="AJ35" s="19">
        <v>5.5635651617873998E-4</v>
      </c>
      <c r="AK35" s="19">
        <v>6.7137112934724996E-4</v>
      </c>
      <c r="AL35">
        <v>0.216134860725261</v>
      </c>
      <c r="AM35">
        <v>0</v>
      </c>
      <c r="AN35">
        <v>1.28828126156533E-2</v>
      </c>
      <c r="AO35">
        <v>3.1082048758282299E-2</v>
      </c>
      <c r="AP35" s="19">
        <v>8.1123349982000002E-4</v>
      </c>
      <c r="AQ35" s="19">
        <v>7.0266376876500002E-6</v>
      </c>
      <c r="AR35">
        <v>3.9418473860400299E-3</v>
      </c>
      <c r="AS35">
        <v>0.21501612317396299</v>
      </c>
      <c r="AT35">
        <v>1.47761551254318E-3</v>
      </c>
      <c r="AU35">
        <v>0</v>
      </c>
      <c r="AV35">
        <v>0</v>
      </c>
      <c r="AW35">
        <v>0</v>
      </c>
      <c r="AX35">
        <v>0</v>
      </c>
      <c r="AY35">
        <v>0.16715054694313</v>
      </c>
      <c r="AZ35">
        <v>0.127591292497577</v>
      </c>
      <c r="BA35">
        <v>1.2976377481273399E-3</v>
      </c>
      <c r="BB35" s="19">
        <v>2.5882108305240001E-5</v>
      </c>
      <c r="BC35" s="19">
        <v>6.9902061214887601E-7</v>
      </c>
      <c r="BD35">
        <v>5.5171964716725197E-2</v>
      </c>
      <c r="BE35">
        <v>5.2882803265238698E-2</v>
      </c>
      <c r="BF35" s="19">
        <v>4.6894829790820002E-5</v>
      </c>
      <c r="BG35" s="19">
        <v>3.2662839696600002E-6</v>
      </c>
      <c r="BI35" t="s">
        <v>165</v>
      </c>
    </row>
    <row r="36" spans="1:61" x14ac:dyDescent="0.3">
      <c r="A36" t="s">
        <v>175</v>
      </c>
      <c r="B36" t="s">
        <v>176</v>
      </c>
      <c r="C36" t="s">
        <v>177</v>
      </c>
      <c r="D36" t="s">
        <v>178</v>
      </c>
      <c r="E36">
        <v>1000</v>
      </c>
      <c r="F36">
        <v>5.0001586372845503</v>
      </c>
      <c r="G36">
        <v>4.9783910200566499</v>
      </c>
      <c r="H36" s="19">
        <v>6.8894946709469995E-4</v>
      </c>
      <c r="I36" s="19">
        <v>1.8453188378809999E-5</v>
      </c>
      <c r="J36" s="19">
        <v>2.70581326832E-6</v>
      </c>
      <c r="K36">
        <v>4.8858897268748196</v>
      </c>
      <c r="L36">
        <v>4.8858897268748196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7.2445325827577595E-2</v>
      </c>
      <c r="X36">
        <v>0</v>
      </c>
      <c r="Y36">
        <v>0</v>
      </c>
      <c r="Z36">
        <v>0</v>
      </c>
      <c r="AA36">
        <v>0</v>
      </c>
      <c r="AB36">
        <v>4.8858897268748196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4.8858897268748196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0.106028343098449</v>
      </c>
      <c r="AZ36">
        <v>8.4605512097746596E-2</v>
      </c>
      <c r="BA36" s="19">
        <v>6.8186277441658998E-4</v>
      </c>
      <c r="BB36" s="19">
        <v>1.8453188378809999E-5</v>
      </c>
      <c r="BC36" s="19">
        <v>2.2164257760399998E-6</v>
      </c>
      <c r="BD36">
        <v>8.2405673112853402E-3</v>
      </c>
      <c r="BE36">
        <v>7.8957810840844505E-3</v>
      </c>
      <c r="BF36" s="19">
        <v>7.0866926781E-6</v>
      </c>
      <c r="BG36" s="19">
        <v>4.8938749228299696E-7</v>
      </c>
      <c r="BI36" t="s">
        <v>179</v>
      </c>
    </row>
    <row r="37" spans="1:61" x14ac:dyDescent="0.3">
      <c r="A37" t="s">
        <v>180</v>
      </c>
      <c r="B37" t="s">
        <v>181</v>
      </c>
      <c r="C37" t="s">
        <v>177</v>
      </c>
      <c r="D37" t="s">
        <v>178</v>
      </c>
      <c r="E37">
        <v>1000</v>
      </c>
      <c r="F37">
        <v>12.8661333968398</v>
      </c>
      <c r="G37">
        <v>12.834029810344401</v>
      </c>
      <c r="H37" s="19">
        <v>9.1150614149895001E-4</v>
      </c>
      <c r="I37" s="19">
        <v>1.8453188378809999E-5</v>
      </c>
      <c r="J37" s="19">
        <v>1.6272774331420001E-5</v>
      </c>
      <c r="K37">
        <v>12.491652487961399</v>
      </c>
      <c r="L37">
        <v>12.491652487961399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4.0317398721434403E-2</v>
      </c>
      <c r="X37">
        <v>0</v>
      </c>
      <c r="Y37">
        <v>0</v>
      </c>
      <c r="Z37">
        <v>0</v>
      </c>
      <c r="AA37">
        <v>0</v>
      </c>
      <c r="AB37">
        <v>12.491652487961399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12.491652487961399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0.106028343098449</v>
      </c>
      <c r="AZ37">
        <v>8.4605512097746596E-2</v>
      </c>
      <c r="BA37" s="19">
        <v>6.8186277441658998E-4</v>
      </c>
      <c r="BB37" s="19">
        <v>1.8453188378809999E-5</v>
      </c>
      <c r="BC37" s="19">
        <v>2.2164257760399998E-6</v>
      </c>
      <c r="BD37">
        <v>0.26845256577989202</v>
      </c>
      <c r="BE37">
        <v>0.25777181028522</v>
      </c>
      <c r="BF37" s="19">
        <v>2.2964336708235E-4</v>
      </c>
      <c r="BG37" s="19">
        <v>1.4056348555370001E-5</v>
      </c>
      <c r="BI37" t="s">
        <v>179</v>
      </c>
    </row>
    <row r="38" spans="1:61" x14ac:dyDescent="0.3">
      <c r="A38" t="s">
        <v>182</v>
      </c>
      <c r="B38" t="s">
        <v>183</v>
      </c>
      <c r="C38" t="s">
        <v>177</v>
      </c>
      <c r="D38" t="s">
        <v>28</v>
      </c>
      <c r="E38">
        <v>1000</v>
      </c>
      <c r="F38">
        <v>15.4655215217993</v>
      </c>
      <c r="G38">
        <v>15.4370587480674</v>
      </c>
      <c r="H38" s="19">
        <v>7.5647880972959001E-4</v>
      </c>
      <c r="I38" s="19">
        <v>1.4206897765150001E-5</v>
      </c>
      <c r="J38" s="19">
        <v>2.0278824037509999E-5</v>
      </c>
      <c r="K38">
        <v>15.064519668590901</v>
      </c>
      <c r="L38">
        <v>15.064519668590901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0.10873098467686799</v>
      </c>
      <c r="X38">
        <v>0</v>
      </c>
      <c r="Y38">
        <v>0</v>
      </c>
      <c r="Z38">
        <v>0</v>
      </c>
      <c r="AA38">
        <v>0</v>
      </c>
      <c r="AB38">
        <v>15.064519668590901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15.064519668590901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0.132549287428427</v>
      </c>
      <c r="AZ38">
        <v>0.114767269191258</v>
      </c>
      <c r="BA38" s="19">
        <v>5.2683544264723995E-4</v>
      </c>
      <c r="BB38" s="19">
        <v>1.4206897765150001E-5</v>
      </c>
      <c r="BC38" s="19">
        <v>6.22247548213E-6</v>
      </c>
      <c r="BD38">
        <v>0.26845256577989202</v>
      </c>
      <c r="BE38">
        <v>0.25777181028522</v>
      </c>
      <c r="BF38" s="19">
        <v>2.2964336708235E-4</v>
      </c>
      <c r="BG38" s="19">
        <v>1.4056348555370001E-5</v>
      </c>
      <c r="BI38" t="s">
        <v>184</v>
      </c>
    </row>
    <row r="39" spans="1:61" x14ac:dyDescent="0.3">
      <c r="A39" t="s">
        <v>185</v>
      </c>
      <c r="B39" t="s">
        <v>186</v>
      </c>
      <c r="C39" t="s">
        <v>177</v>
      </c>
      <c r="D39" t="s">
        <v>187</v>
      </c>
      <c r="E39">
        <v>1000</v>
      </c>
      <c r="F39">
        <v>10.713373882005</v>
      </c>
      <c r="G39">
        <v>10.6849111082731</v>
      </c>
      <c r="H39" s="19">
        <v>7.5647880972959001E-4</v>
      </c>
      <c r="I39" s="19">
        <v>1.4206897765150001E-5</v>
      </c>
      <c r="J39" s="19">
        <v>2.0278824037509999E-5</v>
      </c>
      <c r="K39">
        <v>10.3123720287967</v>
      </c>
      <c r="L39">
        <v>10.3123720287967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6.0476098082151699E-3</v>
      </c>
      <c r="X39">
        <v>0</v>
      </c>
      <c r="Y39">
        <v>0</v>
      </c>
      <c r="Z39">
        <v>0</v>
      </c>
      <c r="AA39">
        <v>0</v>
      </c>
      <c r="AB39">
        <v>10.3123720287967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10.3123720287967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0.132549287428427</v>
      </c>
      <c r="AZ39">
        <v>0.114767269191258</v>
      </c>
      <c r="BA39" s="19">
        <v>5.2683544264723995E-4</v>
      </c>
      <c r="BB39" s="19">
        <v>1.4206897765150001E-5</v>
      </c>
      <c r="BC39" s="19">
        <v>6.22247548213E-6</v>
      </c>
      <c r="BD39">
        <v>0.26845256577989202</v>
      </c>
      <c r="BE39">
        <v>0.25777181028522</v>
      </c>
      <c r="BF39" s="19">
        <v>2.2964336708235E-4</v>
      </c>
      <c r="BG39" s="19">
        <v>1.4056348555370001E-5</v>
      </c>
      <c r="BI39" t="s">
        <v>184</v>
      </c>
    </row>
    <row r="40" spans="1:61" x14ac:dyDescent="0.3">
      <c r="A40" t="s">
        <v>188</v>
      </c>
      <c r="B40" t="s">
        <v>189</v>
      </c>
      <c r="C40" t="s">
        <v>177</v>
      </c>
      <c r="D40" t="s">
        <v>190</v>
      </c>
      <c r="E40">
        <v>1000</v>
      </c>
      <c r="F40">
        <v>14.807922730605</v>
      </c>
      <c r="G40">
        <v>14.7555091352557</v>
      </c>
      <c r="H40">
        <v>1.59857989257933E-3</v>
      </c>
      <c r="I40" s="19">
        <v>2.7304202168160002E-5</v>
      </c>
      <c r="J40" s="19">
        <v>1.479377689346E-5</v>
      </c>
      <c r="K40">
        <v>14.363135521896099</v>
      </c>
      <c r="L40">
        <v>14.363135521896099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1.04724443178926</v>
      </c>
      <c r="X40">
        <v>0</v>
      </c>
      <c r="Y40">
        <v>0</v>
      </c>
      <c r="Z40">
        <v>0</v>
      </c>
      <c r="AA40">
        <v>0</v>
      </c>
      <c r="AB40">
        <v>14.363135521896099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14.363135521896099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0.17633464292901599</v>
      </c>
      <c r="AZ40">
        <v>0.134601803074367</v>
      </c>
      <c r="BA40">
        <v>1.36893652549697E-3</v>
      </c>
      <c r="BB40" s="19">
        <v>2.7304202168160002E-5</v>
      </c>
      <c r="BC40" s="19">
        <v>7.3742833809112202E-7</v>
      </c>
      <c r="BD40">
        <v>0.26845256577989202</v>
      </c>
      <c r="BE40">
        <v>0.25777181028522</v>
      </c>
      <c r="BF40" s="19">
        <v>2.2964336708235E-4</v>
      </c>
      <c r="BG40" s="19">
        <v>1.4056348555370001E-5</v>
      </c>
      <c r="BI40" t="s">
        <v>165</v>
      </c>
    </row>
    <row r="41" spans="1:61" x14ac:dyDescent="0.3">
      <c r="A41" t="s">
        <v>191</v>
      </c>
      <c r="B41" t="s">
        <v>192</v>
      </c>
      <c r="C41" t="s">
        <v>193</v>
      </c>
      <c r="D41" t="s">
        <v>194</v>
      </c>
      <c r="E41">
        <v>1000</v>
      </c>
      <c r="F41">
        <v>0.97323379370122398</v>
      </c>
      <c r="G41">
        <v>0.29637663177964502</v>
      </c>
      <c r="H41">
        <v>1.37305932954621E-3</v>
      </c>
      <c r="I41">
        <v>1.65319508990402E-2</v>
      </c>
      <c r="J41" s="19">
        <v>6.9116962504805004E-4</v>
      </c>
      <c r="K41">
        <v>0.84410413014184704</v>
      </c>
      <c r="L41">
        <v>0.18199208310095799</v>
      </c>
      <c r="M41" s="19">
        <v>9.8907392634710995E-4</v>
      </c>
      <c r="N41">
        <v>1.6485908406414999E-2</v>
      </c>
      <c r="O41" s="19">
        <v>6.8362675851150003E-4</v>
      </c>
      <c r="P41">
        <v>1.3941363610537201</v>
      </c>
      <c r="Q41">
        <v>1.51304962797004E-2</v>
      </c>
      <c r="R41" s="19">
        <v>8.5152811115784004E-4</v>
      </c>
      <c r="S41">
        <v>2.3852229282700001E-3</v>
      </c>
      <c r="T41">
        <v>4.9123851055279201E-2</v>
      </c>
      <c r="U41" s="19">
        <v>1.15194810474714E-11</v>
      </c>
      <c r="V41" s="19">
        <v>4.7957183093362001E-4</v>
      </c>
      <c r="W41" s="19">
        <v>8.95311530956E-6</v>
      </c>
      <c r="X41">
        <v>0.15435944880034499</v>
      </c>
      <c r="Y41">
        <v>4.5860788081299002E-2</v>
      </c>
      <c r="Z41">
        <v>2.4752677896346002E-2</v>
      </c>
      <c r="AA41">
        <v>9.8206906728532301E-2</v>
      </c>
      <c r="AB41">
        <v>0.16146519705729001</v>
      </c>
      <c r="AC41">
        <v>1.8293506574954401E-2</v>
      </c>
      <c r="AD41">
        <v>0.39740296147884202</v>
      </c>
      <c r="AE41">
        <v>9.8138314366775101E-2</v>
      </c>
      <c r="AF41">
        <v>2.80310401292483E-2</v>
      </c>
      <c r="AG41">
        <v>2.21564535188792E-2</v>
      </c>
      <c r="AH41">
        <v>0.15911435715108799</v>
      </c>
      <c r="AI41">
        <v>1.8293506574954401E-2</v>
      </c>
      <c r="AJ41" s="19">
        <v>4.2661504918900002E-5</v>
      </c>
      <c r="AK41" s="19">
        <v>7.8135717460760002E-5</v>
      </c>
      <c r="AL41">
        <v>0.103998620429646</v>
      </c>
      <c r="AM41">
        <v>0</v>
      </c>
      <c r="AN41">
        <v>1.46974340921769E-2</v>
      </c>
      <c r="AO41">
        <v>1.79443708903427E-3</v>
      </c>
      <c r="AP41" s="19">
        <v>6.0594415821649997E-5</v>
      </c>
      <c r="AQ41" s="19">
        <v>8.9026018329854498E-7</v>
      </c>
      <c r="AR41" s="19">
        <v>3.5973256413740999E-4</v>
      </c>
      <c r="AS41">
        <v>0.103943427392478</v>
      </c>
      <c r="AT41" s="19">
        <v>1.8231318236014001E-4</v>
      </c>
      <c r="AU41">
        <v>2.5418188851489801E-3</v>
      </c>
      <c r="AV41">
        <v>2.40171444901868E-3</v>
      </c>
      <c r="AW41" s="19">
        <v>2.6685822921600002E-6</v>
      </c>
      <c r="AX41" s="19">
        <v>2.21907266753557E-7</v>
      </c>
      <c r="AY41">
        <v>8.9808228091719497E-2</v>
      </c>
      <c r="AZ41">
        <v>7.6732757753407793E-2</v>
      </c>
      <c r="BA41" s="19">
        <v>3.5006563520509001E-4</v>
      </c>
      <c r="BB41" s="19">
        <v>4.6042492625169997E-5</v>
      </c>
      <c r="BC41" s="19">
        <v>5.1295498473199996E-6</v>
      </c>
      <c r="BD41">
        <v>3.67796165825073E-2</v>
      </c>
      <c r="BE41">
        <v>3.5250076476260002E-2</v>
      </c>
      <c r="BF41" s="19">
        <v>3.1251185701830001E-5</v>
      </c>
      <c r="BG41" s="19">
        <v>2.1914094224599999E-6</v>
      </c>
      <c r="BH41" t="s">
        <v>195</v>
      </c>
      <c r="BI41" t="s">
        <v>159</v>
      </c>
    </row>
    <row r="42" spans="1:61" x14ac:dyDescent="0.3">
      <c r="A42" t="s">
        <v>196</v>
      </c>
      <c r="B42" t="s">
        <v>197</v>
      </c>
      <c r="C42" t="s">
        <v>193</v>
      </c>
      <c r="D42" t="s">
        <v>198</v>
      </c>
      <c r="E42">
        <v>1000</v>
      </c>
      <c r="F42">
        <v>3.4468552442135199</v>
      </c>
      <c r="G42">
        <v>0.90641725051520405</v>
      </c>
      <c r="H42">
        <v>4.23824794614401E-3</v>
      </c>
      <c r="I42">
        <v>6.2826251159356097E-2</v>
      </c>
      <c r="J42">
        <v>2.6170248104353802E-3</v>
      </c>
      <c r="K42">
        <v>3.2144442465865999</v>
      </c>
      <c r="L42">
        <v>0.69304648983281103</v>
      </c>
      <c r="M42">
        <v>3.7665056696986501E-3</v>
      </c>
      <c r="N42">
        <v>6.2780208666730994E-2</v>
      </c>
      <c r="O42">
        <v>2.60332821774097E-3</v>
      </c>
      <c r="P42">
        <v>5.3090293539888904</v>
      </c>
      <c r="Q42">
        <v>5.7618645588323497E-2</v>
      </c>
      <c r="R42">
        <v>3.2427156081538499E-3</v>
      </c>
      <c r="S42">
        <v>9.0831993883450403E-3</v>
      </c>
      <c r="T42">
        <v>0.18706919532343</v>
      </c>
      <c r="U42" s="19">
        <v>4.3867490105142997E-11</v>
      </c>
      <c r="V42">
        <v>1.8262639142762401E-3</v>
      </c>
      <c r="W42" s="19">
        <v>3.4094478356610002E-5</v>
      </c>
      <c r="X42">
        <v>0.58781828495397703</v>
      </c>
      <c r="Y42">
        <v>0.17464308149645699</v>
      </c>
      <c r="Z42">
        <v>9.4261004312525098E-2</v>
      </c>
      <c r="AA42">
        <v>0.37398303720602399</v>
      </c>
      <c r="AB42">
        <v>0.61487778008805605</v>
      </c>
      <c r="AC42">
        <v>6.9663747469017503E-2</v>
      </c>
      <c r="AD42">
        <v>1.5133555416764399</v>
      </c>
      <c r="AE42">
        <v>0.37372182971427398</v>
      </c>
      <c r="AF42">
        <v>0.10674537945236499</v>
      </c>
      <c r="AG42">
        <v>8.4374287478674703E-2</v>
      </c>
      <c r="AH42">
        <v>0.60592551514668302</v>
      </c>
      <c r="AI42">
        <v>6.9663747469017503E-2</v>
      </c>
      <c r="AJ42" s="19">
        <v>1.6245984842447E-4</v>
      </c>
      <c r="AK42" s="19">
        <v>2.9754967245860001E-4</v>
      </c>
      <c r="AL42">
        <v>0.396038539743719</v>
      </c>
      <c r="AM42">
        <v>0</v>
      </c>
      <c r="AN42">
        <v>5.5969495670214198E-2</v>
      </c>
      <c r="AO42">
        <v>6.8334199191023102E-3</v>
      </c>
      <c r="AP42" s="19">
        <v>2.3075040668319E-4</v>
      </c>
      <c r="AQ42" s="19">
        <v>3.3902117309699998E-6</v>
      </c>
      <c r="AR42">
        <v>1.3699023968844399E-3</v>
      </c>
      <c r="AS42">
        <v>0.39582835839945002</v>
      </c>
      <c r="AT42" s="19">
        <v>6.9426927222351995E-4</v>
      </c>
      <c r="AU42">
        <v>2.5418188851489801E-3</v>
      </c>
      <c r="AV42">
        <v>2.40171444901868E-3</v>
      </c>
      <c r="AW42" s="19">
        <v>2.6685822921600002E-6</v>
      </c>
      <c r="AX42" s="19">
        <v>2.21907266753557E-7</v>
      </c>
      <c r="AY42">
        <v>8.9808228091719497E-2</v>
      </c>
      <c r="AZ42">
        <v>7.6732757753407793E-2</v>
      </c>
      <c r="BA42" s="19">
        <v>3.5006563520509001E-4</v>
      </c>
      <c r="BB42" s="19">
        <v>4.6042492625169997E-5</v>
      </c>
      <c r="BC42" s="19">
        <v>5.1295498473199996E-6</v>
      </c>
      <c r="BD42">
        <v>0.140060950650051</v>
      </c>
      <c r="BE42">
        <v>0.13423628847996599</v>
      </c>
      <c r="BF42" s="19">
        <v>1.1900805894810001E-4</v>
      </c>
      <c r="BG42" s="19">
        <v>8.3451355803300005E-6</v>
      </c>
      <c r="BH42" t="s">
        <v>195</v>
      </c>
      <c r="BI42" t="s">
        <v>159</v>
      </c>
    </row>
    <row r="43" spans="1:61" x14ac:dyDescent="0.3">
      <c r="A43" t="s">
        <v>199</v>
      </c>
      <c r="B43" t="s">
        <v>200</v>
      </c>
      <c r="C43" t="s">
        <v>201</v>
      </c>
      <c r="D43" t="s">
        <v>202</v>
      </c>
      <c r="E43">
        <v>1000</v>
      </c>
      <c r="F43">
        <v>1.23561073381713</v>
      </c>
      <c r="G43">
        <v>0.57922480173245905</v>
      </c>
      <c r="H43" s="19">
        <v>7.9830781504382003E-4</v>
      </c>
      <c r="I43">
        <v>2.0862155165822902E-3</v>
      </c>
      <c r="J43">
        <v>2.1073849995221802E-3</v>
      </c>
      <c r="K43">
        <v>1.1623935101858101</v>
      </c>
      <c r="L43">
        <v>0.51222675486379399</v>
      </c>
      <c r="M43" s="19">
        <v>6.3454220199535001E-4</v>
      </c>
      <c r="N43">
        <v>2.0798413129328999E-3</v>
      </c>
      <c r="O43">
        <v>2.1031107944112898E-3</v>
      </c>
      <c r="P43">
        <v>4.8643644650287499</v>
      </c>
      <c r="Q43">
        <v>6.0124878603531801E-2</v>
      </c>
      <c r="R43">
        <v>6.6523394092061396E-3</v>
      </c>
      <c r="S43">
        <v>2.1951278106970999E-2</v>
      </c>
      <c r="T43">
        <v>0.37203002773562099</v>
      </c>
      <c r="U43" s="19">
        <v>1.76530712250857E-11</v>
      </c>
      <c r="V43">
        <v>3.44186442371721E-3</v>
      </c>
      <c r="W43">
        <v>5.0826027920504897E-3</v>
      </c>
      <c r="X43">
        <v>2.77218006424188E-2</v>
      </c>
      <c r="Y43">
        <v>0.28707001270997901</v>
      </c>
      <c r="Z43">
        <v>7.6705639023100403E-2</v>
      </c>
      <c r="AA43">
        <v>0.46754394001347999</v>
      </c>
      <c r="AB43">
        <v>0.242634473775797</v>
      </c>
      <c r="AC43">
        <v>3.1538773621929202E-2</v>
      </c>
      <c r="AD43">
        <v>0</v>
      </c>
      <c r="AE43">
        <v>5.6890196538409703E-2</v>
      </c>
      <c r="AF43">
        <v>0.17656014632584499</v>
      </c>
      <c r="AG43">
        <v>6.8727160152356206E-2</v>
      </c>
      <c r="AH43">
        <v>0.237368858062113</v>
      </c>
      <c r="AI43">
        <v>3.1538773621929202E-2</v>
      </c>
      <c r="AJ43" s="19">
        <v>2.3882511248376001E-4</v>
      </c>
      <c r="AK43" s="19">
        <v>2.4299466198852E-4</v>
      </c>
      <c r="AL43">
        <v>3.5698778487337497E-2</v>
      </c>
      <c r="AM43">
        <v>0</v>
      </c>
      <c r="AN43">
        <v>0</v>
      </c>
      <c r="AO43">
        <v>2.0798413129328999E-3</v>
      </c>
      <c r="AP43" s="19">
        <v>3.7847128156581999E-4</v>
      </c>
      <c r="AQ43" s="19">
        <v>2.5600186332599999E-6</v>
      </c>
      <c r="AR43">
        <v>1.7126149440486701E-3</v>
      </c>
      <c r="AS43">
        <v>3.55954359575711E-2</v>
      </c>
      <c r="AT43" s="19">
        <v>2.7317111654000001E-6</v>
      </c>
      <c r="AU43">
        <v>0</v>
      </c>
      <c r="AV43">
        <v>0</v>
      </c>
      <c r="AW43">
        <v>0</v>
      </c>
      <c r="AX43">
        <v>0</v>
      </c>
      <c r="AY43">
        <v>4.5049874864426999E-2</v>
      </c>
      <c r="AZ43">
        <v>3.9991317406321197E-2</v>
      </c>
      <c r="BA43" s="19">
        <v>1.3965015205821E-4</v>
      </c>
      <c r="BB43" s="19">
        <v>6.3742036493900001E-6</v>
      </c>
      <c r="BC43" s="19">
        <v>2.6552360008599999E-6</v>
      </c>
      <c r="BD43">
        <v>2.8167348766891202E-2</v>
      </c>
      <c r="BE43">
        <v>2.7006729462343799E-2</v>
      </c>
      <c r="BF43" s="19">
        <v>2.4115460990240002E-5</v>
      </c>
      <c r="BG43" s="19">
        <v>1.61896911002E-6</v>
      </c>
      <c r="BI43" t="s">
        <v>203</v>
      </c>
    </row>
    <row r="44" spans="1:61" x14ac:dyDescent="0.3">
      <c r="A44" t="s">
        <v>204</v>
      </c>
      <c r="B44" t="s">
        <v>93</v>
      </c>
      <c r="C44" t="s">
        <v>205</v>
      </c>
      <c r="D44" t="s">
        <v>206</v>
      </c>
      <c r="E44">
        <v>1000</v>
      </c>
      <c r="F44">
        <v>6.9028505725406299</v>
      </c>
      <c r="G44">
        <v>1.92781760065921</v>
      </c>
      <c r="H44">
        <v>8.0758208769488096E-3</v>
      </c>
      <c r="I44">
        <v>0.123175976943323</v>
      </c>
      <c r="J44">
        <v>5.1354942921936703E-3</v>
      </c>
      <c r="K44">
        <v>6.3042610585846903</v>
      </c>
      <c r="L44">
        <v>1.35922282748608</v>
      </c>
      <c r="M44">
        <v>7.3869798941556802E-3</v>
      </c>
      <c r="N44">
        <v>0.12312636163087</v>
      </c>
      <c r="O44">
        <v>5.10572262164663E-3</v>
      </c>
      <c r="P44">
        <v>10.412221972982101</v>
      </c>
      <c r="Q44">
        <v>0.113003354784139</v>
      </c>
      <c r="R44">
        <v>6.3597076708539401E-3</v>
      </c>
      <c r="S44">
        <v>1.7814233440854001E-2</v>
      </c>
      <c r="T44">
        <v>0.36688551826356902</v>
      </c>
      <c r="U44" s="19">
        <v>8.6034190794060599E-11</v>
      </c>
      <c r="V44">
        <v>3.5817216272131698E-3</v>
      </c>
      <c r="W44" s="19">
        <v>6.6867077394349998E-5</v>
      </c>
      <c r="X44">
        <v>1.1528462275538001</v>
      </c>
      <c r="Y44">
        <v>0.34251506430652401</v>
      </c>
      <c r="Z44">
        <v>0.18486740887217401</v>
      </c>
      <c r="AA44">
        <v>0.73346635286419504</v>
      </c>
      <c r="AB44">
        <v>1.2059160923118799</v>
      </c>
      <c r="AC44">
        <v>0.13662655708848101</v>
      </c>
      <c r="AD44">
        <v>2.9680366736225898</v>
      </c>
      <c r="AE44">
        <v>0.732954065173967</v>
      </c>
      <c r="AF44">
        <v>0.20935212660166599</v>
      </c>
      <c r="AG44">
        <v>0.16547729376935899</v>
      </c>
      <c r="AH44">
        <v>1.1883586512966999</v>
      </c>
      <c r="AI44">
        <v>0.13662655708848101</v>
      </c>
      <c r="AJ44" s="19">
        <v>3.1862095511332999E-4</v>
      </c>
      <c r="AK44" s="19">
        <v>5.8356302650678998E-4</v>
      </c>
      <c r="AL44">
        <v>0.77672224256380695</v>
      </c>
      <c r="AM44">
        <v>0</v>
      </c>
      <c r="AN44">
        <v>0.109768994250574</v>
      </c>
      <c r="AO44">
        <v>1.34019008538411E-2</v>
      </c>
      <c r="AP44" s="19">
        <v>4.5255437379267002E-4</v>
      </c>
      <c r="AQ44" s="19">
        <v>6.6489813343599996E-6</v>
      </c>
      <c r="AR44">
        <v>2.6866922155863002E-3</v>
      </c>
      <c r="AS44">
        <v>0.77631002883033795</v>
      </c>
      <c r="AT44">
        <v>1.3616209836890001E-3</v>
      </c>
      <c r="AU44">
        <v>0.26722883233088801</v>
      </c>
      <c r="AV44">
        <v>0.26107973172384902</v>
      </c>
      <c r="AW44" s="19">
        <v>1.1228815479634E-4</v>
      </c>
      <c r="AX44" s="19">
        <v>1.0267082762300001E-5</v>
      </c>
      <c r="AY44">
        <v>9.6777195229454799E-2</v>
      </c>
      <c r="AZ44">
        <v>8.2687090430199603E-2</v>
      </c>
      <c r="BA44" s="19">
        <v>3.7723013849875E-4</v>
      </c>
      <c r="BB44" s="19">
        <v>4.961531245318E-5</v>
      </c>
      <c r="BC44" s="19">
        <v>5.5275942701700004E-6</v>
      </c>
      <c r="BD44">
        <v>0.234583486395602</v>
      </c>
      <c r="BE44">
        <v>0.22482795101908501</v>
      </c>
      <c r="BF44" s="19">
        <v>1.9932268949803E-4</v>
      </c>
      <c r="BG44" s="19">
        <v>1.3976993514560001E-5</v>
      </c>
      <c r="BH44" t="s">
        <v>207</v>
      </c>
      <c r="BI44" t="s">
        <v>159</v>
      </c>
    </row>
    <row r="45" spans="1:61" x14ac:dyDescent="0.3">
      <c r="A45" t="s">
        <v>208</v>
      </c>
      <c r="B45" t="s">
        <v>209</v>
      </c>
      <c r="C45" t="s">
        <v>177</v>
      </c>
      <c r="D45" t="s">
        <v>178</v>
      </c>
      <c r="E45">
        <v>1000</v>
      </c>
      <c r="F45">
        <v>6.8013085759372602</v>
      </c>
      <c r="G45">
        <v>4.1060372073271898</v>
      </c>
      <c r="H45">
        <v>1.56242298434424E-3</v>
      </c>
      <c r="I45" s="19">
        <v>1.8453188378809999E-5</v>
      </c>
      <c r="J45">
        <v>9.7004136735605994E-3</v>
      </c>
      <c r="K45">
        <v>6.4268276670589204</v>
      </c>
      <c r="L45">
        <v>3.7636598849442202</v>
      </c>
      <c r="M45" s="19">
        <v>6.5091684284528995E-4</v>
      </c>
      <c r="N45">
        <v>0</v>
      </c>
      <c r="O45">
        <v>9.6841408992291798E-3</v>
      </c>
      <c r="P45">
        <v>5.3688853612564902</v>
      </c>
      <c r="Q45">
        <v>6.9999123096577798E-2</v>
      </c>
      <c r="R45">
        <v>1.05478214745584E-2</v>
      </c>
      <c r="S45">
        <v>4.5471930271058898E-2</v>
      </c>
      <c r="T45" s="19">
        <v>5.9360692048148996E-4</v>
      </c>
      <c r="U45" s="19">
        <v>2.62063091689324E-11</v>
      </c>
      <c r="V45">
        <v>2.1385834985926701E-3</v>
      </c>
      <c r="W45">
        <v>1.5622992004555801E-2</v>
      </c>
      <c r="X45">
        <v>3.31003243660719</v>
      </c>
      <c r="Y45">
        <v>3.6129574601046701</v>
      </c>
      <c r="Z45">
        <v>8.6281674986329895E-2</v>
      </c>
      <c r="AA45">
        <v>1.8943167964802901</v>
      </c>
      <c r="AB45">
        <v>0.613673615538325</v>
      </c>
      <c r="AC45">
        <v>0.21959812120921901</v>
      </c>
      <c r="AD45">
        <v>0</v>
      </c>
      <c r="AE45">
        <v>0</v>
      </c>
      <c r="AF45">
        <v>2.8441064732103398</v>
      </c>
      <c r="AG45">
        <v>8.6281674986329895E-2</v>
      </c>
      <c r="AH45">
        <v>0.613673615538325</v>
      </c>
      <c r="AI45">
        <v>0.21959812120921901</v>
      </c>
      <c r="AJ45" s="19">
        <v>6.5091684284528995E-4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2.7452519963411899E-3</v>
      </c>
      <c r="AQ45">
        <v>0</v>
      </c>
      <c r="AR45">
        <v>6.9388889028879804E-3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0.106028343098449</v>
      </c>
      <c r="AZ45">
        <v>8.4605512097746596E-2</v>
      </c>
      <c r="BA45" s="19">
        <v>6.8186277441658998E-4</v>
      </c>
      <c r="BB45" s="19">
        <v>1.8453188378809999E-5</v>
      </c>
      <c r="BC45" s="19">
        <v>2.2164257760399998E-6</v>
      </c>
      <c r="BD45">
        <v>0.26845256577989202</v>
      </c>
      <c r="BE45">
        <v>0.25777181028522</v>
      </c>
      <c r="BF45" s="19">
        <v>2.2964336708235E-4</v>
      </c>
      <c r="BG45" s="19">
        <v>1.4056348555370001E-5</v>
      </c>
      <c r="BI45" t="s">
        <v>179</v>
      </c>
    </row>
    <row r="46" spans="1:61" x14ac:dyDescent="0.3">
      <c r="A46" t="s">
        <v>210</v>
      </c>
      <c r="B46" t="s">
        <v>211</v>
      </c>
      <c r="C46" t="s">
        <v>177</v>
      </c>
      <c r="D46" t="s">
        <v>178</v>
      </c>
      <c r="E46">
        <v>1000</v>
      </c>
      <c r="F46">
        <v>6.8316131398667901</v>
      </c>
      <c r="G46">
        <v>6.7995095533714203</v>
      </c>
      <c r="H46" s="19">
        <v>9.1150614149895001E-4</v>
      </c>
      <c r="I46" s="19">
        <v>1.8453188378809999E-5</v>
      </c>
      <c r="J46" s="19">
        <v>1.6272774331420001E-5</v>
      </c>
      <c r="K46">
        <v>6.4571322309884502</v>
      </c>
      <c r="L46">
        <v>6.4571322309884502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2.41904392328606E-2</v>
      </c>
      <c r="X46">
        <v>0</v>
      </c>
      <c r="Y46">
        <v>0</v>
      </c>
      <c r="Z46">
        <v>0</v>
      </c>
      <c r="AA46">
        <v>0</v>
      </c>
      <c r="AB46">
        <v>6.4571322309884502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6.4571322309884502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0.106028343098449</v>
      </c>
      <c r="AZ46">
        <v>8.4605512097746596E-2</v>
      </c>
      <c r="BA46" s="19">
        <v>6.8186277441658998E-4</v>
      </c>
      <c r="BB46" s="19">
        <v>1.8453188378809999E-5</v>
      </c>
      <c r="BC46" s="19">
        <v>2.2164257760399998E-6</v>
      </c>
      <c r="BD46">
        <v>0.26845256577989202</v>
      </c>
      <c r="BE46">
        <v>0.25777181028522</v>
      </c>
      <c r="BF46" s="19">
        <v>2.2964336708235E-4</v>
      </c>
      <c r="BG46" s="19">
        <v>1.4056348555370001E-5</v>
      </c>
      <c r="BI46" t="s">
        <v>179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F23"/>
  <sheetViews>
    <sheetView workbookViewId="0">
      <selection activeCell="H25" sqref="H25"/>
    </sheetView>
  </sheetViews>
  <sheetFormatPr defaultRowHeight="14.4" x14ac:dyDescent="0.3"/>
  <sheetData>
    <row r="2" spans="1:6" ht="21" x14ac:dyDescent="0.4">
      <c r="A2" s="6" t="s">
        <v>215</v>
      </c>
    </row>
    <row r="4" spans="1:6" x14ac:dyDescent="0.3">
      <c r="A4" t="s">
        <v>97</v>
      </c>
      <c r="B4" t="s">
        <v>98</v>
      </c>
      <c r="C4" t="s">
        <v>216</v>
      </c>
      <c r="D4" t="s">
        <v>217</v>
      </c>
      <c r="E4" t="s">
        <v>218</v>
      </c>
      <c r="F4" t="s">
        <v>218</v>
      </c>
    </row>
    <row r="5" spans="1:6" x14ac:dyDescent="0.3">
      <c r="A5" t="s">
        <v>219</v>
      </c>
      <c r="B5" t="s">
        <v>220</v>
      </c>
      <c r="C5">
        <v>0.14219999999999999</v>
      </c>
      <c r="E5">
        <v>5.1902999999999998E-2</v>
      </c>
    </row>
    <row r="6" spans="1:6" x14ac:dyDescent="0.3">
      <c r="A6" t="s">
        <v>170</v>
      </c>
      <c r="B6" t="s">
        <v>221</v>
      </c>
      <c r="C6">
        <v>32.560400000000001</v>
      </c>
      <c r="E6">
        <v>11.884546</v>
      </c>
    </row>
    <row r="7" spans="1:6" x14ac:dyDescent="0.3">
      <c r="A7" t="s">
        <v>161</v>
      </c>
      <c r="B7" t="s">
        <v>222</v>
      </c>
      <c r="C7">
        <v>43.999099999999999</v>
      </c>
      <c r="E7">
        <v>16.0596715</v>
      </c>
    </row>
    <row r="8" spans="1:6" x14ac:dyDescent="0.3">
      <c r="A8" t="s">
        <v>223</v>
      </c>
      <c r="B8" t="s">
        <v>224</v>
      </c>
      <c r="C8">
        <v>1.8599999999999998E-2</v>
      </c>
      <c r="E8">
        <v>6.7889999999999999E-3</v>
      </c>
    </row>
    <row r="9" spans="1:6" x14ac:dyDescent="0.3">
      <c r="A9" t="s">
        <v>225</v>
      </c>
      <c r="B9" t="s">
        <v>226</v>
      </c>
      <c r="C9">
        <v>3.9E-2</v>
      </c>
      <c r="E9">
        <v>1.4234999999999999E-2</v>
      </c>
    </row>
    <row r="10" spans="1:6" x14ac:dyDescent="0.3">
      <c r="A10" t="s">
        <v>227</v>
      </c>
      <c r="B10" t="s">
        <v>228</v>
      </c>
      <c r="C10">
        <v>12.080500000000001</v>
      </c>
      <c r="E10">
        <v>4.4093825000000004</v>
      </c>
    </row>
    <row r="11" spans="1:6" x14ac:dyDescent="0.3">
      <c r="A11" t="s">
        <v>229</v>
      </c>
      <c r="B11" t="s">
        <v>230</v>
      </c>
      <c r="C11">
        <v>0.65139999999999998</v>
      </c>
      <c r="E11">
        <v>0.237761</v>
      </c>
    </row>
    <row r="12" spans="1:6" x14ac:dyDescent="0.3">
      <c r="A12" t="s">
        <v>231</v>
      </c>
      <c r="B12" t="s">
        <v>232</v>
      </c>
      <c r="C12">
        <v>2.8E-3</v>
      </c>
      <c r="E12">
        <v>1.0220000000000001E-3</v>
      </c>
    </row>
    <row r="13" spans="1:6" x14ac:dyDescent="0.3">
      <c r="A13" t="s">
        <v>233</v>
      </c>
      <c r="B13" t="s">
        <v>234</v>
      </c>
      <c r="C13">
        <v>1.4039999999999999</v>
      </c>
      <c r="E13">
        <v>0.51245999999999992</v>
      </c>
    </row>
    <row r="14" spans="1:6" x14ac:dyDescent="0.3">
      <c r="A14" t="s">
        <v>235</v>
      </c>
      <c r="B14" t="s">
        <v>236</v>
      </c>
      <c r="C14">
        <v>1.12E-2</v>
      </c>
      <c r="E14">
        <v>4.0880000000000005E-3</v>
      </c>
    </row>
    <row r="15" spans="1:6" x14ac:dyDescent="0.3">
      <c r="A15" t="s">
        <v>237</v>
      </c>
      <c r="B15" t="s">
        <v>238</v>
      </c>
      <c r="C15">
        <v>0.1502</v>
      </c>
      <c r="E15">
        <v>5.4823000000000004E-2</v>
      </c>
    </row>
    <row r="16" spans="1:6" x14ac:dyDescent="0.3">
      <c r="A16" t="s">
        <v>239</v>
      </c>
      <c r="B16" t="s">
        <v>240</v>
      </c>
      <c r="C16">
        <v>0.5645</v>
      </c>
      <c r="D16" s="26">
        <v>0.58876580000000001</v>
      </c>
      <c r="E16" s="25">
        <v>0.20604249999999999</v>
      </c>
      <c r="F16">
        <f>D16*365/1000</f>
        <v>0.21489951700000001</v>
      </c>
    </row>
    <row r="17" spans="1:6" x14ac:dyDescent="0.3">
      <c r="A17" t="s">
        <v>168</v>
      </c>
      <c r="B17" t="s">
        <v>241</v>
      </c>
      <c r="C17">
        <v>3.6274999999999999</v>
      </c>
      <c r="E17">
        <v>1.3240375</v>
      </c>
    </row>
    <row r="18" spans="1:6" x14ac:dyDescent="0.3">
      <c r="A18" t="s">
        <v>242</v>
      </c>
      <c r="B18" t="s">
        <v>243</v>
      </c>
      <c r="C18">
        <v>0.62990000000000002</v>
      </c>
      <c r="E18">
        <v>0.22991349999999999</v>
      </c>
    </row>
    <row r="19" spans="1:6" x14ac:dyDescent="0.3">
      <c r="A19" t="s">
        <v>244</v>
      </c>
      <c r="B19" t="s">
        <v>245</v>
      </c>
      <c r="C19">
        <v>0.60089999999999999</v>
      </c>
      <c r="D19" s="26">
        <v>1.44353811</v>
      </c>
      <c r="E19" s="25">
        <v>0.21932849999999998</v>
      </c>
      <c r="F19">
        <f>D19*365/1000</f>
        <v>0.52689141014999996</v>
      </c>
    </row>
    <row r="20" spans="1:6" x14ac:dyDescent="0.3">
      <c r="A20" t="s">
        <v>246</v>
      </c>
      <c r="B20" t="s">
        <v>247</v>
      </c>
      <c r="C20">
        <v>0.1565</v>
      </c>
      <c r="E20">
        <v>5.71225E-2</v>
      </c>
    </row>
    <row r="21" spans="1:6" x14ac:dyDescent="0.3">
      <c r="A21" t="s">
        <v>248</v>
      </c>
      <c r="B21" t="s">
        <v>249</v>
      </c>
      <c r="C21">
        <v>2.0500000000000001E-2</v>
      </c>
      <c r="E21">
        <v>7.4824999999999996E-3</v>
      </c>
    </row>
    <row r="22" spans="1:6" x14ac:dyDescent="0.3">
      <c r="A22" t="s">
        <v>250</v>
      </c>
      <c r="B22" t="s">
        <v>251</v>
      </c>
      <c r="C22">
        <v>9.1890000000000001</v>
      </c>
      <c r="E22">
        <v>3.3539850000000002</v>
      </c>
    </row>
    <row r="23" spans="1:6" x14ac:dyDescent="0.3">
      <c r="A23" t="s">
        <v>252</v>
      </c>
      <c r="B23" t="s">
        <v>253</v>
      </c>
      <c r="C23">
        <v>3.9300000000000002E-2</v>
      </c>
      <c r="E23">
        <v>1.43445E-2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26"/>
  <sheetViews>
    <sheetView workbookViewId="0">
      <selection activeCell="G5" sqref="G5:G25"/>
    </sheetView>
  </sheetViews>
  <sheetFormatPr defaultRowHeight="14.4" x14ac:dyDescent="0.3"/>
  <cols>
    <col min="1" max="1" width="22.6640625" bestFit="1" customWidth="1"/>
    <col min="2" max="2" width="16.88671875" bestFit="1" customWidth="1"/>
    <col min="3" max="7" width="12.44140625" bestFit="1" customWidth="1"/>
  </cols>
  <sheetData>
    <row r="1" spans="1:7" x14ac:dyDescent="0.3">
      <c r="A1" s="1" t="s">
        <v>254</v>
      </c>
      <c r="B1" t="s">
        <v>87</v>
      </c>
    </row>
    <row r="3" spans="1:7" x14ac:dyDescent="0.3">
      <c r="A3" s="1" t="s">
        <v>255</v>
      </c>
      <c r="B3" s="1" t="s">
        <v>256</v>
      </c>
    </row>
    <row r="4" spans="1:7" x14ac:dyDescent="0.3">
      <c r="A4" s="1" t="s">
        <v>257</v>
      </c>
      <c r="B4">
        <v>2017</v>
      </c>
      <c r="C4">
        <v>2018</v>
      </c>
      <c r="D4">
        <v>2019</v>
      </c>
      <c r="E4">
        <v>2020</v>
      </c>
      <c r="F4">
        <v>2021</v>
      </c>
      <c r="G4" t="s">
        <v>258</v>
      </c>
    </row>
    <row r="5" spans="1:7" x14ac:dyDescent="0.3">
      <c r="A5" s="2" t="s">
        <v>23</v>
      </c>
      <c r="B5">
        <v>0.02</v>
      </c>
      <c r="C5">
        <v>0.02</v>
      </c>
      <c r="D5">
        <v>0.03</v>
      </c>
      <c r="E5">
        <v>0.03</v>
      </c>
      <c r="F5">
        <v>0.03</v>
      </c>
      <c r="G5">
        <v>2.6000000000000002E-2</v>
      </c>
    </row>
    <row r="6" spans="1:7" x14ac:dyDescent="0.3">
      <c r="A6" s="2" t="s">
        <v>24</v>
      </c>
      <c r="B6">
        <v>14.01</v>
      </c>
      <c r="C6">
        <v>14.35</v>
      </c>
      <c r="D6">
        <v>14.23</v>
      </c>
      <c r="E6">
        <v>14.21</v>
      </c>
      <c r="F6">
        <v>13.9</v>
      </c>
      <c r="G6">
        <v>14.14</v>
      </c>
    </row>
    <row r="7" spans="1:7" x14ac:dyDescent="0.3">
      <c r="A7" s="2" t="s">
        <v>25</v>
      </c>
      <c r="B7">
        <v>3.4</v>
      </c>
      <c r="C7">
        <v>3.39</v>
      </c>
      <c r="D7">
        <v>3.74</v>
      </c>
      <c r="E7">
        <v>3.85</v>
      </c>
      <c r="F7">
        <v>3.86</v>
      </c>
      <c r="G7">
        <v>3.6480000000000006</v>
      </c>
    </row>
    <row r="8" spans="1:7" x14ac:dyDescent="0.3">
      <c r="A8" s="2" t="s">
        <v>26</v>
      </c>
      <c r="B8">
        <v>0.9</v>
      </c>
      <c r="C8">
        <v>1.01</v>
      </c>
      <c r="D8">
        <v>0.94</v>
      </c>
      <c r="E8">
        <v>0.94</v>
      </c>
      <c r="F8">
        <v>0.94</v>
      </c>
      <c r="G8">
        <v>0.94600000000000006</v>
      </c>
    </row>
    <row r="9" spans="1:7" x14ac:dyDescent="0.3">
      <c r="A9" s="2" t="s">
        <v>27</v>
      </c>
      <c r="B9">
        <v>3.6</v>
      </c>
      <c r="C9">
        <v>3.68</v>
      </c>
      <c r="D9">
        <v>3.84</v>
      </c>
      <c r="E9">
        <v>3.68</v>
      </c>
      <c r="F9">
        <v>3.46</v>
      </c>
      <c r="G9">
        <v>3.6520000000000001</v>
      </c>
    </row>
    <row r="10" spans="1:7" x14ac:dyDescent="0.3">
      <c r="A10" s="2" t="s">
        <v>28</v>
      </c>
      <c r="B10">
        <v>1.78</v>
      </c>
      <c r="C10">
        <v>1.78</v>
      </c>
      <c r="D10">
        <v>1.81</v>
      </c>
      <c r="E10">
        <v>1.81</v>
      </c>
      <c r="F10">
        <v>1.81</v>
      </c>
      <c r="G10">
        <v>1.798</v>
      </c>
    </row>
    <row r="11" spans="1:7" x14ac:dyDescent="0.3">
      <c r="A11" s="2" t="s">
        <v>29</v>
      </c>
      <c r="B11">
        <v>7.22</v>
      </c>
      <c r="C11">
        <v>7.21</v>
      </c>
      <c r="D11">
        <v>7.2</v>
      </c>
      <c r="E11">
        <v>7.2</v>
      </c>
      <c r="F11">
        <v>7.21</v>
      </c>
      <c r="G11">
        <v>7.2080000000000002</v>
      </c>
    </row>
    <row r="12" spans="1:7" x14ac:dyDescent="0.3">
      <c r="A12" s="2" t="s">
        <v>30</v>
      </c>
      <c r="B12">
        <v>13.2</v>
      </c>
      <c r="C12">
        <v>13.59</v>
      </c>
      <c r="D12">
        <v>14.19</v>
      </c>
      <c r="E12">
        <v>14.18</v>
      </c>
      <c r="F12">
        <v>13.91</v>
      </c>
      <c r="G12">
        <v>13.813999999999998</v>
      </c>
    </row>
    <row r="13" spans="1:7" x14ac:dyDescent="0.3">
      <c r="A13" s="2" t="s">
        <v>31</v>
      </c>
      <c r="B13">
        <v>2.06</v>
      </c>
      <c r="C13">
        <v>2.14</v>
      </c>
      <c r="D13">
        <v>2.09</v>
      </c>
      <c r="E13">
        <v>2.2200000000000002</v>
      </c>
      <c r="F13">
        <v>2.4300000000000002</v>
      </c>
      <c r="G13">
        <v>2.1879999999999997</v>
      </c>
    </row>
    <row r="14" spans="1:7" x14ac:dyDescent="0.3">
      <c r="A14" s="2" t="s">
        <v>32</v>
      </c>
      <c r="B14">
        <v>0.05</v>
      </c>
      <c r="C14">
        <v>0.08</v>
      </c>
      <c r="D14">
        <v>7.0000000000000007E-2</v>
      </c>
      <c r="E14">
        <v>7.0000000000000007E-2</v>
      </c>
      <c r="F14">
        <v>7.0000000000000007E-2</v>
      </c>
      <c r="G14">
        <v>6.8000000000000005E-2</v>
      </c>
    </row>
    <row r="15" spans="1:7" x14ac:dyDescent="0.3">
      <c r="A15" s="2" t="s">
        <v>33</v>
      </c>
      <c r="B15">
        <v>0</v>
      </c>
      <c r="C15">
        <v>0.01</v>
      </c>
      <c r="D15">
        <v>0.01</v>
      </c>
      <c r="E15">
        <v>0.01</v>
      </c>
      <c r="F15">
        <v>0.01</v>
      </c>
      <c r="G15">
        <v>8.0000000000000002E-3</v>
      </c>
    </row>
    <row r="16" spans="1:7" x14ac:dyDescent="0.3">
      <c r="A16" s="2" t="s">
        <v>34</v>
      </c>
      <c r="B16">
        <v>3.93</v>
      </c>
      <c r="C16">
        <v>4.17</v>
      </c>
      <c r="D16">
        <v>4.18</v>
      </c>
      <c r="E16">
        <v>4.18</v>
      </c>
      <c r="F16">
        <v>4.1900000000000004</v>
      </c>
      <c r="G16">
        <v>4.1300000000000008</v>
      </c>
    </row>
    <row r="17" spans="1:7" x14ac:dyDescent="0.3">
      <c r="A17" s="2" t="s">
        <v>35</v>
      </c>
      <c r="B17">
        <v>0.39</v>
      </c>
      <c r="C17">
        <v>0.39</v>
      </c>
      <c r="D17">
        <v>0.39</v>
      </c>
      <c r="E17">
        <v>0.39</v>
      </c>
      <c r="F17">
        <v>0.39</v>
      </c>
      <c r="G17">
        <v>0.39</v>
      </c>
    </row>
    <row r="18" spans="1:7" x14ac:dyDescent="0.3">
      <c r="A18" s="2" t="s">
        <v>36</v>
      </c>
      <c r="B18">
        <v>1.69</v>
      </c>
      <c r="C18">
        <v>1.67</v>
      </c>
      <c r="D18">
        <v>1.43</v>
      </c>
      <c r="E18">
        <v>1.42</v>
      </c>
      <c r="F18">
        <v>1.46</v>
      </c>
      <c r="G18">
        <v>1.534</v>
      </c>
    </row>
    <row r="19" spans="1:7" x14ac:dyDescent="0.3">
      <c r="A19" s="2" t="s">
        <v>37</v>
      </c>
      <c r="B19">
        <v>181.28</v>
      </c>
      <c r="C19">
        <v>184.34</v>
      </c>
      <c r="D19">
        <v>195.82</v>
      </c>
      <c r="E19">
        <v>197.63</v>
      </c>
      <c r="F19">
        <v>200.92</v>
      </c>
      <c r="G19">
        <v>191.99799999999999</v>
      </c>
    </row>
    <row r="20" spans="1:7" x14ac:dyDescent="0.3">
      <c r="A20" s="2" t="s">
        <v>38</v>
      </c>
      <c r="B20">
        <v>1.97</v>
      </c>
      <c r="C20">
        <v>1.9</v>
      </c>
      <c r="D20">
        <v>1.8</v>
      </c>
      <c r="E20">
        <v>1.8</v>
      </c>
      <c r="F20">
        <v>1.8</v>
      </c>
      <c r="G20">
        <v>1.8539999999999999</v>
      </c>
    </row>
    <row r="21" spans="1:7" x14ac:dyDescent="0.3">
      <c r="A21" s="2" t="s">
        <v>39</v>
      </c>
      <c r="B21">
        <v>1.75</v>
      </c>
      <c r="C21">
        <v>1.76</v>
      </c>
      <c r="D21">
        <v>1.68</v>
      </c>
      <c r="E21">
        <v>1.65</v>
      </c>
      <c r="F21">
        <v>1.58</v>
      </c>
      <c r="G21">
        <v>1.6839999999999999</v>
      </c>
    </row>
    <row r="22" spans="1:7" x14ac:dyDescent="0.3">
      <c r="A22" s="2" t="s">
        <v>40</v>
      </c>
      <c r="B22">
        <v>2.85</v>
      </c>
      <c r="C22">
        <v>3.27</v>
      </c>
      <c r="D22">
        <v>3.38</v>
      </c>
      <c r="E22">
        <v>3.34</v>
      </c>
      <c r="F22">
        <v>3.59</v>
      </c>
      <c r="G22">
        <v>3.286</v>
      </c>
    </row>
    <row r="23" spans="1:7" x14ac:dyDescent="0.3">
      <c r="A23" s="2" t="s">
        <v>41</v>
      </c>
      <c r="B23">
        <v>5.4</v>
      </c>
      <c r="C23">
        <v>5.23</v>
      </c>
      <c r="D23">
        <v>5.34</v>
      </c>
      <c r="E23">
        <v>5.34</v>
      </c>
      <c r="F23">
        <v>5.35</v>
      </c>
      <c r="G23">
        <v>5.3320000000000007</v>
      </c>
    </row>
    <row r="24" spans="1:7" x14ac:dyDescent="0.3">
      <c r="A24" s="2" t="s">
        <v>42</v>
      </c>
      <c r="B24">
        <v>34.72</v>
      </c>
      <c r="C24">
        <v>35.299999999999997</v>
      </c>
      <c r="D24">
        <v>34.869999999999997</v>
      </c>
      <c r="E24">
        <v>34.18</v>
      </c>
      <c r="F24">
        <v>35.1</v>
      </c>
      <c r="G24">
        <v>34.833999999999996</v>
      </c>
    </row>
    <row r="25" spans="1:7" x14ac:dyDescent="0.3">
      <c r="A25" s="2" t="s">
        <v>43</v>
      </c>
      <c r="B25">
        <v>25.23</v>
      </c>
      <c r="C25">
        <v>25.54</v>
      </c>
      <c r="D25">
        <v>25.53</v>
      </c>
      <c r="E25">
        <v>25.74</v>
      </c>
      <c r="F25">
        <v>25.61</v>
      </c>
      <c r="G25">
        <v>25.529999999999998</v>
      </c>
    </row>
    <row r="26" spans="1:7" x14ac:dyDescent="0.3">
      <c r="A26" s="2" t="s">
        <v>258</v>
      </c>
      <c r="B26">
        <v>14.545238095238098</v>
      </c>
      <c r="C26">
        <v>14.801428571428573</v>
      </c>
      <c r="D26">
        <v>15.360476190476188</v>
      </c>
      <c r="E26">
        <v>15.422380952380953</v>
      </c>
      <c r="F26">
        <v>15.600952380952382</v>
      </c>
      <c r="G26">
        <v>15.146095238095242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1001"/>
  <sheetViews>
    <sheetView workbookViewId="0">
      <selection activeCell="A897" sqref="A897:N1001"/>
    </sheetView>
  </sheetViews>
  <sheetFormatPr defaultRowHeight="14.4" x14ac:dyDescent="0.3"/>
  <cols>
    <col min="2" max="2" width="22.44140625" customWidth="1"/>
  </cols>
  <sheetData>
    <row r="1" spans="1:14" x14ac:dyDescent="0.3">
      <c r="A1" t="s">
        <v>259</v>
      </c>
      <c r="B1" t="s">
        <v>260</v>
      </c>
      <c r="C1" t="s">
        <v>261</v>
      </c>
      <c r="D1" t="s">
        <v>254</v>
      </c>
      <c r="E1" t="s">
        <v>262</v>
      </c>
      <c r="F1" t="s">
        <v>263</v>
      </c>
      <c r="G1" t="s">
        <v>264</v>
      </c>
      <c r="H1" t="s">
        <v>265</v>
      </c>
      <c r="I1" t="s">
        <v>266</v>
      </c>
      <c r="J1" t="s">
        <v>267</v>
      </c>
      <c r="K1" t="s">
        <v>268</v>
      </c>
      <c r="L1" t="s">
        <v>269</v>
      </c>
      <c r="M1" t="s">
        <v>270</v>
      </c>
      <c r="N1" t="s">
        <v>271</v>
      </c>
    </row>
    <row r="2" spans="1:14" x14ac:dyDescent="0.3">
      <c r="A2" t="s">
        <v>272</v>
      </c>
      <c r="B2" t="s">
        <v>273</v>
      </c>
      <c r="C2">
        <v>250</v>
      </c>
      <c r="D2" t="s">
        <v>78</v>
      </c>
      <c r="E2">
        <v>645</v>
      </c>
      <c r="F2" t="s">
        <v>274</v>
      </c>
      <c r="G2" t="s">
        <v>275</v>
      </c>
      <c r="H2" t="s">
        <v>24</v>
      </c>
      <c r="I2">
        <v>2017</v>
      </c>
      <c r="J2">
        <v>2017</v>
      </c>
      <c r="K2" t="s">
        <v>276</v>
      </c>
      <c r="L2">
        <v>23.4</v>
      </c>
      <c r="M2" t="s">
        <v>277</v>
      </c>
      <c r="N2" t="s">
        <v>278</v>
      </c>
    </row>
    <row r="3" spans="1:14" x14ac:dyDescent="0.3">
      <c r="A3" t="s">
        <v>272</v>
      </c>
      <c r="B3" t="s">
        <v>273</v>
      </c>
      <c r="C3">
        <v>250</v>
      </c>
      <c r="D3" t="s">
        <v>78</v>
      </c>
      <c r="E3">
        <v>645</v>
      </c>
      <c r="F3" t="s">
        <v>274</v>
      </c>
      <c r="G3" t="s">
        <v>275</v>
      </c>
      <c r="H3" t="s">
        <v>24</v>
      </c>
      <c r="I3">
        <v>2018</v>
      </c>
      <c r="J3">
        <v>2018</v>
      </c>
      <c r="K3" t="s">
        <v>276</v>
      </c>
      <c r="L3">
        <v>23.55</v>
      </c>
      <c r="M3" t="s">
        <v>277</v>
      </c>
      <c r="N3" t="s">
        <v>278</v>
      </c>
    </row>
    <row r="4" spans="1:14" x14ac:dyDescent="0.3">
      <c r="A4" t="s">
        <v>272</v>
      </c>
      <c r="B4" t="s">
        <v>273</v>
      </c>
      <c r="C4">
        <v>250</v>
      </c>
      <c r="D4" t="s">
        <v>78</v>
      </c>
      <c r="E4">
        <v>645</v>
      </c>
      <c r="F4" t="s">
        <v>274</v>
      </c>
      <c r="G4" t="s">
        <v>275</v>
      </c>
      <c r="H4" t="s">
        <v>24</v>
      </c>
      <c r="I4">
        <v>2019</v>
      </c>
      <c r="J4">
        <v>2019</v>
      </c>
      <c r="K4" t="s">
        <v>276</v>
      </c>
      <c r="L4">
        <v>23.68</v>
      </c>
      <c r="M4" t="s">
        <v>277</v>
      </c>
      <c r="N4" t="s">
        <v>278</v>
      </c>
    </row>
    <row r="5" spans="1:14" x14ac:dyDescent="0.3">
      <c r="A5" t="s">
        <v>272</v>
      </c>
      <c r="B5" t="s">
        <v>273</v>
      </c>
      <c r="C5">
        <v>250</v>
      </c>
      <c r="D5" t="s">
        <v>78</v>
      </c>
      <c r="E5">
        <v>645</v>
      </c>
      <c r="F5" t="s">
        <v>274</v>
      </c>
      <c r="G5" t="s">
        <v>275</v>
      </c>
      <c r="H5" t="s">
        <v>24</v>
      </c>
      <c r="I5">
        <v>2020</v>
      </c>
      <c r="J5">
        <v>2020</v>
      </c>
      <c r="K5" t="s">
        <v>276</v>
      </c>
      <c r="L5">
        <v>23.03</v>
      </c>
      <c r="M5" t="s">
        <v>277</v>
      </c>
      <c r="N5" t="s">
        <v>278</v>
      </c>
    </row>
    <row r="6" spans="1:14" x14ac:dyDescent="0.3">
      <c r="A6" t="s">
        <v>272</v>
      </c>
      <c r="B6" t="s">
        <v>273</v>
      </c>
      <c r="C6">
        <v>250</v>
      </c>
      <c r="D6" t="s">
        <v>78</v>
      </c>
      <c r="E6">
        <v>645</v>
      </c>
      <c r="F6" t="s">
        <v>274</v>
      </c>
      <c r="G6" t="s">
        <v>275</v>
      </c>
      <c r="H6" t="s">
        <v>24</v>
      </c>
      <c r="I6">
        <v>2021</v>
      </c>
      <c r="J6">
        <v>2021</v>
      </c>
      <c r="K6" t="s">
        <v>276</v>
      </c>
      <c r="L6">
        <v>23.01</v>
      </c>
      <c r="M6" t="s">
        <v>277</v>
      </c>
      <c r="N6" t="s">
        <v>278</v>
      </c>
    </row>
    <row r="7" spans="1:14" x14ac:dyDescent="0.3">
      <c r="A7" t="s">
        <v>272</v>
      </c>
      <c r="B7" t="s">
        <v>273</v>
      </c>
      <c r="C7">
        <v>250</v>
      </c>
      <c r="D7" t="s">
        <v>78</v>
      </c>
      <c r="E7">
        <v>645</v>
      </c>
      <c r="F7" t="s">
        <v>274</v>
      </c>
      <c r="G7" t="s">
        <v>279</v>
      </c>
      <c r="H7" t="s">
        <v>39</v>
      </c>
      <c r="I7">
        <v>2017</v>
      </c>
      <c r="J7">
        <v>2017</v>
      </c>
      <c r="K7" t="s">
        <v>276</v>
      </c>
      <c r="L7">
        <v>2.97</v>
      </c>
      <c r="M7" t="s">
        <v>277</v>
      </c>
      <c r="N7" t="s">
        <v>278</v>
      </c>
    </row>
    <row r="8" spans="1:14" x14ac:dyDescent="0.3">
      <c r="A8" t="s">
        <v>272</v>
      </c>
      <c r="B8" t="s">
        <v>273</v>
      </c>
      <c r="C8">
        <v>250</v>
      </c>
      <c r="D8" t="s">
        <v>78</v>
      </c>
      <c r="E8">
        <v>645</v>
      </c>
      <c r="F8" t="s">
        <v>274</v>
      </c>
      <c r="G8" t="s">
        <v>279</v>
      </c>
      <c r="H8" t="s">
        <v>39</v>
      </c>
      <c r="I8">
        <v>2018</v>
      </c>
      <c r="J8">
        <v>2018</v>
      </c>
      <c r="K8" t="s">
        <v>276</v>
      </c>
      <c r="L8">
        <v>2.97</v>
      </c>
      <c r="M8" t="s">
        <v>277</v>
      </c>
      <c r="N8" t="s">
        <v>278</v>
      </c>
    </row>
    <row r="9" spans="1:14" x14ac:dyDescent="0.3">
      <c r="A9" t="s">
        <v>272</v>
      </c>
      <c r="B9" t="s">
        <v>273</v>
      </c>
      <c r="C9">
        <v>250</v>
      </c>
      <c r="D9" t="s">
        <v>78</v>
      </c>
      <c r="E9">
        <v>645</v>
      </c>
      <c r="F9" t="s">
        <v>274</v>
      </c>
      <c r="G9" t="s">
        <v>279</v>
      </c>
      <c r="H9" t="s">
        <v>39</v>
      </c>
      <c r="I9">
        <v>2019</v>
      </c>
      <c r="J9">
        <v>2019</v>
      </c>
      <c r="K9" t="s">
        <v>276</v>
      </c>
      <c r="L9">
        <v>2.57</v>
      </c>
      <c r="M9" t="s">
        <v>277</v>
      </c>
      <c r="N9" t="s">
        <v>278</v>
      </c>
    </row>
    <row r="10" spans="1:14" x14ac:dyDescent="0.3">
      <c r="A10" t="s">
        <v>272</v>
      </c>
      <c r="B10" t="s">
        <v>273</v>
      </c>
      <c r="C10">
        <v>250</v>
      </c>
      <c r="D10" t="s">
        <v>78</v>
      </c>
      <c r="E10">
        <v>645</v>
      </c>
      <c r="F10" t="s">
        <v>274</v>
      </c>
      <c r="G10" t="s">
        <v>279</v>
      </c>
      <c r="H10" t="s">
        <v>39</v>
      </c>
      <c r="I10">
        <v>2020</v>
      </c>
      <c r="J10">
        <v>2020</v>
      </c>
      <c r="K10" t="s">
        <v>276</v>
      </c>
      <c r="L10">
        <v>2.4500000000000002</v>
      </c>
      <c r="M10" t="s">
        <v>277</v>
      </c>
      <c r="N10" t="s">
        <v>278</v>
      </c>
    </row>
    <row r="11" spans="1:14" x14ac:dyDescent="0.3">
      <c r="A11" t="s">
        <v>272</v>
      </c>
      <c r="B11" t="s">
        <v>273</v>
      </c>
      <c r="C11">
        <v>250</v>
      </c>
      <c r="D11" t="s">
        <v>78</v>
      </c>
      <c r="E11">
        <v>645</v>
      </c>
      <c r="F11" t="s">
        <v>274</v>
      </c>
      <c r="G11" t="s">
        <v>279</v>
      </c>
      <c r="H11" t="s">
        <v>39</v>
      </c>
      <c r="I11">
        <v>2021</v>
      </c>
      <c r="J11">
        <v>2021</v>
      </c>
      <c r="K11" t="s">
        <v>276</v>
      </c>
      <c r="L11">
        <v>2.4</v>
      </c>
      <c r="M11" t="s">
        <v>277</v>
      </c>
      <c r="N11" t="s">
        <v>278</v>
      </c>
    </row>
    <row r="12" spans="1:14" x14ac:dyDescent="0.3">
      <c r="A12" t="s">
        <v>272</v>
      </c>
      <c r="B12" t="s">
        <v>273</v>
      </c>
      <c r="C12">
        <v>250</v>
      </c>
      <c r="D12" t="s">
        <v>78</v>
      </c>
      <c r="E12">
        <v>645</v>
      </c>
      <c r="F12" t="s">
        <v>274</v>
      </c>
      <c r="G12" t="s">
        <v>280</v>
      </c>
      <c r="H12" t="s">
        <v>42</v>
      </c>
      <c r="I12">
        <v>2017</v>
      </c>
      <c r="J12">
        <v>2017</v>
      </c>
      <c r="K12" t="s">
        <v>276</v>
      </c>
      <c r="L12">
        <v>33.51</v>
      </c>
      <c r="M12" t="s">
        <v>277</v>
      </c>
      <c r="N12" t="s">
        <v>278</v>
      </c>
    </row>
    <row r="13" spans="1:14" x14ac:dyDescent="0.3">
      <c r="A13" t="s">
        <v>272</v>
      </c>
      <c r="B13" t="s">
        <v>273</v>
      </c>
      <c r="C13">
        <v>250</v>
      </c>
      <c r="D13" t="s">
        <v>78</v>
      </c>
      <c r="E13">
        <v>645</v>
      </c>
      <c r="F13" t="s">
        <v>274</v>
      </c>
      <c r="G13" t="s">
        <v>280</v>
      </c>
      <c r="H13" t="s">
        <v>42</v>
      </c>
      <c r="I13">
        <v>2018</v>
      </c>
      <c r="J13">
        <v>2018</v>
      </c>
      <c r="K13" t="s">
        <v>276</v>
      </c>
      <c r="L13">
        <v>34.21</v>
      </c>
      <c r="M13" t="s">
        <v>277</v>
      </c>
      <c r="N13" t="s">
        <v>278</v>
      </c>
    </row>
    <row r="14" spans="1:14" x14ac:dyDescent="0.3">
      <c r="A14" t="s">
        <v>272</v>
      </c>
      <c r="B14" t="s">
        <v>273</v>
      </c>
      <c r="C14">
        <v>250</v>
      </c>
      <c r="D14" t="s">
        <v>78</v>
      </c>
      <c r="E14">
        <v>645</v>
      </c>
      <c r="F14" t="s">
        <v>274</v>
      </c>
      <c r="G14" t="s">
        <v>280</v>
      </c>
      <c r="H14" t="s">
        <v>42</v>
      </c>
      <c r="I14">
        <v>2019</v>
      </c>
      <c r="J14">
        <v>2019</v>
      </c>
      <c r="K14" t="s">
        <v>276</v>
      </c>
      <c r="L14">
        <v>33.44</v>
      </c>
      <c r="M14" t="s">
        <v>277</v>
      </c>
      <c r="N14" t="s">
        <v>278</v>
      </c>
    </row>
    <row r="15" spans="1:14" x14ac:dyDescent="0.3">
      <c r="A15" t="s">
        <v>272</v>
      </c>
      <c r="B15" t="s">
        <v>273</v>
      </c>
      <c r="C15">
        <v>250</v>
      </c>
      <c r="D15" t="s">
        <v>78</v>
      </c>
      <c r="E15">
        <v>645</v>
      </c>
      <c r="F15" t="s">
        <v>274</v>
      </c>
      <c r="G15" t="s">
        <v>280</v>
      </c>
      <c r="H15" t="s">
        <v>42</v>
      </c>
      <c r="I15">
        <v>2020</v>
      </c>
      <c r="J15">
        <v>2020</v>
      </c>
      <c r="K15" t="s">
        <v>276</v>
      </c>
      <c r="L15">
        <v>33.04</v>
      </c>
      <c r="M15" t="s">
        <v>277</v>
      </c>
      <c r="N15" t="s">
        <v>278</v>
      </c>
    </row>
    <row r="16" spans="1:14" x14ac:dyDescent="0.3">
      <c r="A16" t="s">
        <v>272</v>
      </c>
      <c r="B16" t="s">
        <v>273</v>
      </c>
      <c r="C16">
        <v>250</v>
      </c>
      <c r="D16" t="s">
        <v>78</v>
      </c>
      <c r="E16">
        <v>645</v>
      </c>
      <c r="F16" t="s">
        <v>274</v>
      </c>
      <c r="G16" t="s">
        <v>280</v>
      </c>
      <c r="H16" t="s">
        <v>42</v>
      </c>
      <c r="I16">
        <v>2021</v>
      </c>
      <c r="J16">
        <v>2021</v>
      </c>
      <c r="K16" t="s">
        <v>276</v>
      </c>
      <c r="L16">
        <v>33.479999999999997</v>
      </c>
      <c r="M16" t="s">
        <v>277</v>
      </c>
      <c r="N16" t="s">
        <v>278</v>
      </c>
    </row>
    <row r="17" spans="1:14" x14ac:dyDescent="0.3">
      <c r="A17" t="s">
        <v>272</v>
      </c>
      <c r="B17" t="s">
        <v>273</v>
      </c>
      <c r="C17">
        <v>250</v>
      </c>
      <c r="D17" t="s">
        <v>78</v>
      </c>
      <c r="E17">
        <v>645</v>
      </c>
      <c r="F17" t="s">
        <v>274</v>
      </c>
      <c r="G17" t="s">
        <v>281</v>
      </c>
      <c r="H17" t="s">
        <v>43</v>
      </c>
      <c r="I17">
        <v>2017</v>
      </c>
      <c r="J17">
        <v>2017</v>
      </c>
      <c r="K17" t="s">
        <v>276</v>
      </c>
      <c r="L17">
        <v>25.99</v>
      </c>
      <c r="M17" t="s">
        <v>277</v>
      </c>
      <c r="N17" t="s">
        <v>278</v>
      </c>
    </row>
    <row r="18" spans="1:14" x14ac:dyDescent="0.3">
      <c r="A18" t="s">
        <v>272</v>
      </c>
      <c r="B18" t="s">
        <v>273</v>
      </c>
      <c r="C18">
        <v>250</v>
      </c>
      <c r="D18" t="s">
        <v>78</v>
      </c>
      <c r="E18">
        <v>645</v>
      </c>
      <c r="F18" t="s">
        <v>274</v>
      </c>
      <c r="G18" t="s">
        <v>281</v>
      </c>
      <c r="H18" t="s">
        <v>43</v>
      </c>
      <c r="I18">
        <v>2018</v>
      </c>
      <c r="J18">
        <v>2018</v>
      </c>
      <c r="K18" t="s">
        <v>276</v>
      </c>
      <c r="L18">
        <v>27.27</v>
      </c>
      <c r="M18" t="s">
        <v>277</v>
      </c>
      <c r="N18" t="s">
        <v>278</v>
      </c>
    </row>
    <row r="19" spans="1:14" x14ac:dyDescent="0.3">
      <c r="A19" t="s">
        <v>272</v>
      </c>
      <c r="B19" t="s">
        <v>273</v>
      </c>
      <c r="C19">
        <v>250</v>
      </c>
      <c r="D19" t="s">
        <v>78</v>
      </c>
      <c r="E19">
        <v>645</v>
      </c>
      <c r="F19" t="s">
        <v>274</v>
      </c>
      <c r="G19" t="s">
        <v>281</v>
      </c>
      <c r="H19" t="s">
        <v>43</v>
      </c>
      <c r="I19">
        <v>2019</v>
      </c>
      <c r="J19">
        <v>2019</v>
      </c>
      <c r="K19" t="s">
        <v>276</v>
      </c>
      <c r="L19">
        <v>26.03</v>
      </c>
      <c r="M19" t="s">
        <v>277</v>
      </c>
      <c r="N19" t="s">
        <v>278</v>
      </c>
    </row>
    <row r="20" spans="1:14" x14ac:dyDescent="0.3">
      <c r="A20" t="s">
        <v>272</v>
      </c>
      <c r="B20" t="s">
        <v>273</v>
      </c>
      <c r="C20">
        <v>250</v>
      </c>
      <c r="D20" t="s">
        <v>78</v>
      </c>
      <c r="E20">
        <v>645</v>
      </c>
      <c r="F20" t="s">
        <v>274</v>
      </c>
      <c r="G20" t="s">
        <v>281</v>
      </c>
      <c r="H20" t="s">
        <v>43</v>
      </c>
      <c r="I20">
        <v>2020</v>
      </c>
      <c r="J20">
        <v>2020</v>
      </c>
      <c r="K20" t="s">
        <v>276</v>
      </c>
      <c r="L20">
        <v>26.29</v>
      </c>
      <c r="M20" t="s">
        <v>277</v>
      </c>
      <c r="N20" t="s">
        <v>278</v>
      </c>
    </row>
    <row r="21" spans="1:14" x14ac:dyDescent="0.3">
      <c r="A21" t="s">
        <v>272</v>
      </c>
      <c r="B21" t="s">
        <v>273</v>
      </c>
      <c r="C21">
        <v>250</v>
      </c>
      <c r="D21" t="s">
        <v>78</v>
      </c>
      <c r="E21">
        <v>645</v>
      </c>
      <c r="F21" t="s">
        <v>274</v>
      </c>
      <c r="G21" t="s">
        <v>281</v>
      </c>
      <c r="H21" t="s">
        <v>43</v>
      </c>
      <c r="I21">
        <v>2021</v>
      </c>
      <c r="J21">
        <v>2021</v>
      </c>
      <c r="K21" t="s">
        <v>276</v>
      </c>
      <c r="L21">
        <v>26.57</v>
      </c>
      <c r="M21" t="s">
        <v>277</v>
      </c>
      <c r="N21" t="s">
        <v>278</v>
      </c>
    </row>
    <row r="22" spans="1:14" x14ac:dyDescent="0.3">
      <c r="A22" t="s">
        <v>272</v>
      </c>
      <c r="B22" t="s">
        <v>273</v>
      </c>
      <c r="C22">
        <v>250</v>
      </c>
      <c r="D22" t="s">
        <v>78</v>
      </c>
      <c r="E22">
        <v>645</v>
      </c>
      <c r="F22" t="s">
        <v>274</v>
      </c>
      <c r="G22" t="s">
        <v>282</v>
      </c>
      <c r="H22" t="s">
        <v>36</v>
      </c>
      <c r="I22">
        <v>2017</v>
      </c>
      <c r="J22">
        <v>2017</v>
      </c>
      <c r="K22" t="s">
        <v>276</v>
      </c>
      <c r="L22">
        <v>1.42</v>
      </c>
      <c r="M22" t="s">
        <v>277</v>
      </c>
      <c r="N22" t="s">
        <v>278</v>
      </c>
    </row>
    <row r="23" spans="1:14" x14ac:dyDescent="0.3">
      <c r="A23" t="s">
        <v>272</v>
      </c>
      <c r="B23" t="s">
        <v>273</v>
      </c>
      <c r="C23">
        <v>250</v>
      </c>
      <c r="D23" t="s">
        <v>78</v>
      </c>
      <c r="E23">
        <v>645</v>
      </c>
      <c r="F23" t="s">
        <v>274</v>
      </c>
      <c r="G23" t="s">
        <v>282</v>
      </c>
      <c r="H23" t="s">
        <v>36</v>
      </c>
      <c r="I23">
        <v>2018</v>
      </c>
      <c r="J23">
        <v>2018</v>
      </c>
      <c r="K23" t="s">
        <v>276</v>
      </c>
      <c r="L23">
        <v>1.1499999999999999</v>
      </c>
      <c r="M23" t="s">
        <v>277</v>
      </c>
      <c r="N23" t="s">
        <v>278</v>
      </c>
    </row>
    <row r="24" spans="1:14" x14ac:dyDescent="0.3">
      <c r="A24" t="s">
        <v>272</v>
      </c>
      <c r="B24" t="s">
        <v>273</v>
      </c>
      <c r="C24">
        <v>250</v>
      </c>
      <c r="D24" t="s">
        <v>78</v>
      </c>
      <c r="E24">
        <v>645</v>
      </c>
      <c r="F24" t="s">
        <v>274</v>
      </c>
      <c r="G24" t="s">
        <v>282</v>
      </c>
      <c r="H24" t="s">
        <v>36</v>
      </c>
      <c r="I24">
        <v>2019</v>
      </c>
      <c r="J24">
        <v>2019</v>
      </c>
      <c r="K24" t="s">
        <v>276</v>
      </c>
      <c r="L24">
        <v>1.23</v>
      </c>
      <c r="M24" t="s">
        <v>277</v>
      </c>
      <c r="N24" t="s">
        <v>278</v>
      </c>
    </row>
    <row r="25" spans="1:14" x14ac:dyDescent="0.3">
      <c r="A25" t="s">
        <v>272</v>
      </c>
      <c r="B25" t="s">
        <v>273</v>
      </c>
      <c r="C25">
        <v>250</v>
      </c>
      <c r="D25" t="s">
        <v>78</v>
      </c>
      <c r="E25">
        <v>645</v>
      </c>
      <c r="F25" t="s">
        <v>274</v>
      </c>
      <c r="G25" t="s">
        <v>282</v>
      </c>
      <c r="H25" t="s">
        <v>36</v>
      </c>
      <c r="I25">
        <v>2020</v>
      </c>
      <c r="J25">
        <v>2020</v>
      </c>
      <c r="K25" t="s">
        <v>276</v>
      </c>
      <c r="L25">
        <v>0.87</v>
      </c>
      <c r="M25" t="s">
        <v>277</v>
      </c>
      <c r="N25" t="s">
        <v>278</v>
      </c>
    </row>
    <row r="26" spans="1:14" x14ac:dyDescent="0.3">
      <c r="A26" t="s">
        <v>272</v>
      </c>
      <c r="B26" t="s">
        <v>273</v>
      </c>
      <c r="C26">
        <v>250</v>
      </c>
      <c r="D26" t="s">
        <v>78</v>
      </c>
      <c r="E26">
        <v>645</v>
      </c>
      <c r="F26" t="s">
        <v>274</v>
      </c>
      <c r="G26" t="s">
        <v>282</v>
      </c>
      <c r="H26" t="s">
        <v>36</v>
      </c>
      <c r="I26">
        <v>2021</v>
      </c>
      <c r="J26">
        <v>2021</v>
      </c>
      <c r="K26" t="s">
        <v>276</v>
      </c>
      <c r="L26">
        <v>0.59</v>
      </c>
      <c r="M26" t="s">
        <v>277</v>
      </c>
      <c r="N26" t="s">
        <v>278</v>
      </c>
    </row>
    <row r="27" spans="1:14" x14ac:dyDescent="0.3">
      <c r="A27" t="s">
        <v>272</v>
      </c>
      <c r="B27" t="s">
        <v>273</v>
      </c>
      <c r="C27">
        <v>250</v>
      </c>
      <c r="D27" t="s">
        <v>78</v>
      </c>
      <c r="E27">
        <v>645</v>
      </c>
      <c r="F27" t="s">
        <v>274</v>
      </c>
      <c r="G27" t="s">
        <v>283</v>
      </c>
      <c r="H27" t="s">
        <v>40</v>
      </c>
      <c r="I27">
        <v>2017</v>
      </c>
      <c r="J27">
        <v>2017</v>
      </c>
      <c r="K27" t="s">
        <v>276</v>
      </c>
      <c r="L27">
        <v>5.95</v>
      </c>
      <c r="M27" t="s">
        <v>277</v>
      </c>
      <c r="N27" t="s">
        <v>278</v>
      </c>
    </row>
    <row r="28" spans="1:14" x14ac:dyDescent="0.3">
      <c r="A28" t="s">
        <v>272</v>
      </c>
      <c r="B28" t="s">
        <v>273</v>
      </c>
      <c r="C28">
        <v>250</v>
      </c>
      <c r="D28" t="s">
        <v>78</v>
      </c>
      <c r="E28">
        <v>645</v>
      </c>
      <c r="F28" t="s">
        <v>274</v>
      </c>
      <c r="G28" t="s">
        <v>283</v>
      </c>
      <c r="H28" t="s">
        <v>40</v>
      </c>
      <c r="I28">
        <v>2018</v>
      </c>
      <c r="J28">
        <v>2018</v>
      </c>
      <c r="K28" t="s">
        <v>276</v>
      </c>
      <c r="L28">
        <v>5.97</v>
      </c>
      <c r="M28" t="s">
        <v>277</v>
      </c>
      <c r="N28" t="s">
        <v>278</v>
      </c>
    </row>
    <row r="29" spans="1:14" x14ac:dyDescent="0.3">
      <c r="A29" t="s">
        <v>272</v>
      </c>
      <c r="B29" t="s">
        <v>273</v>
      </c>
      <c r="C29">
        <v>250</v>
      </c>
      <c r="D29" t="s">
        <v>78</v>
      </c>
      <c r="E29">
        <v>645</v>
      </c>
      <c r="F29" t="s">
        <v>274</v>
      </c>
      <c r="G29" t="s">
        <v>283</v>
      </c>
      <c r="H29" t="s">
        <v>40</v>
      </c>
      <c r="I29">
        <v>2019</v>
      </c>
      <c r="J29">
        <v>2019</v>
      </c>
      <c r="K29" t="s">
        <v>276</v>
      </c>
      <c r="L29">
        <v>5.66</v>
      </c>
      <c r="M29" t="s">
        <v>277</v>
      </c>
      <c r="N29" t="s">
        <v>278</v>
      </c>
    </row>
    <row r="30" spans="1:14" x14ac:dyDescent="0.3">
      <c r="A30" t="s">
        <v>272</v>
      </c>
      <c r="B30" t="s">
        <v>273</v>
      </c>
      <c r="C30">
        <v>250</v>
      </c>
      <c r="D30" t="s">
        <v>78</v>
      </c>
      <c r="E30">
        <v>645</v>
      </c>
      <c r="F30" t="s">
        <v>274</v>
      </c>
      <c r="G30" t="s">
        <v>283</v>
      </c>
      <c r="H30" t="s">
        <v>40</v>
      </c>
      <c r="I30">
        <v>2020</v>
      </c>
      <c r="J30">
        <v>2020</v>
      </c>
      <c r="K30" t="s">
        <v>276</v>
      </c>
      <c r="L30">
        <v>5.65</v>
      </c>
      <c r="M30" t="s">
        <v>277</v>
      </c>
      <c r="N30" t="s">
        <v>278</v>
      </c>
    </row>
    <row r="31" spans="1:14" x14ac:dyDescent="0.3">
      <c r="A31" t="s">
        <v>272</v>
      </c>
      <c r="B31" t="s">
        <v>273</v>
      </c>
      <c r="C31">
        <v>250</v>
      </c>
      <c r="D31" t="s">
        <v>78</v>
      </c>
      <c r="E31">
        <v>645</v>
      </c>
      <c r="F31" t="s">
        <v>274</v>
      </c>
      <c r="G31" t="s">
        <v>283</v>
      </c>
      <c r="H31" t="s">
        <v>40</v>
      </c>
      <c r="I31">
        <v>2021</v>
      </c>
      <c r="J31">
        <v>2021</v>
      </c>
      <c r="K31" t="s">
        <v>276</v>
      </c>
      <c r="L31">
        <v>5.55</v>
      </c>
      <c r="M31" t="s">
        <v>277</v>
      </c>
      <c r="N31" t="s">
        <v>278</v>
      </c>
    </row>
    <row r="32" spans="1:14" x14ac:dyDescent="0.3">
      <c r="A32" t="s">
        <v>272</v>
      </c>
      <c r="B32" t="s">
        <v>273</v>
      </c>
      <c r="C32">
        <v>250</v>
      </c>
      <c r="D32" t="s">
        <v>78</v>
      </c>
      <c r="E32">
        <v>645</v>
      </c>
      <c r="F32" t="s">
        <v>274</v>
      </c>
      <c r="G32" t="s">
        <v>284</v>
      </c>
      <c r="H32" t="s">
        <v>25</v>
      </c>
      <c r="I32">
        <v>2017</v>
      </c>
      <c r="J32">
        <v>2017</v>
      </c>
      <c r="K32" t="s">
        <v>276</v>
      </c>
      <c r="L32">
        <v>7.51</v>
      </c>
      <c r="M32" t="s">
        <v>277</v>
      </c>
      <c r="N32" t="s">
        <v>278</v>
      </c>
    </row>
    <row r="33" spans="1:14" x14ac:dyDescent="0.3">
      <c r="A33" t="s">
        <v>272</v>
      </c>
      <c r="B33" t="s">
        <v>273</v>
      </c>
      <c r="C33">
        <v>250</v>
      </c>
      <c r="D33" t="s">
        <v>78</v>
      </c>
      <c r="E33">
        <v>645</v>
      </c>
      <c r="F33" t="s">
        <v>274</v>
      </c>
      <c r="G33" t="s">
        <v>284</v>
      </c>
      <c r="H33" t="s">
        <v>25</v>
      </c>
      <c r="I33">
        <v>2018</v>
      </c>
      <c r="J33">
        <v>2018</v>
      </c>
      <c r="K33" t="s">
        <v>276</v>
      </c>
      <c r="L33">
        <v>7.49</v>
      </c>
      <c r="M33" t="s">
        <v>277</v>
      </c>
      <c r="N33" t="s">
        <v>278</v>
      </c>
    </row>
    <row r="34" spans="1:14" x14ac:dyDescent="0.3">
      <c r="A34" t="s">
        <v>272</v>
      </c>
      <c r="B34" t="s">
        <v>273</v>
      </c>
      <c r="C34">
        <v>250</v>
      </c>
      <c r="D34" t="s">
        <v>78</v>
      </c>
      <c r="E34">
        <v>645</v>
      </c>
      <c r="F34" t="s">
        <v>274</v>
      </c>
      <c r="G34" t="s">
        <v>284</v>
      </c>
      <c r="H34" t="s">
        <v>25</v>
      </c>
      <c r="I34">
        <v>2019</v>
      </c>
      <c r="J34">
        <v>2019</v>
      </c>
      <c r="K34" t="s">
        <v>276</v>
      </c>
      <c r="L34">
        <v>8.4700000000000006</v>
      </c>
      <c r="M34" t="s">
        <v>277</v>
      </c>
      <c r="N34" t="s">
        <v>278</v>
      </c>
    </row>
    <row r="35" spans="1:14" x14ac:dyDescent="0.3">
      <c r="A35" t="s">
        <v>272</v>
      </c>
      <c r="B35" t="s">
        <v>273</v>
      </c>
      <c r="C35">
        <v>250</v>
      </c>
      <c r="D35" t="s">
        <v>78</v>
      </c>
      <c r="E35">
        <v>645</v>
      </c>
      <c r="F35" t="s">
        <v>274</v>
      </c>
      <c r="G35" t="s">
        <v>284</v>
      </c>
      <c r="H35" t="s">
        <v>25</v>
      </c>
      <c r="I35">
        <v>2020</v>
      </c>
      <c r="J35">
        <v>2020</v>
      </c>
      <c r="K35" t="s">
        <v>276</v>
      </c>
      <c r="L35">
        <v>8.15</v>
      </c>
      <c r="M35" t="s">
        <v>277</v>
      </c>
      <c r="N35" t="s">
        <v>278</v>
      </c>
    </row>
    <row r="36" spans="1:14" x14ac:dyDescent="0.3">
      <c r="A36" t="s">
        <v>272</v>
      </c>
      <c r="B36" t="s">
        <v>273</v>
      </c>
      <c r="C36">
        <v>250</v>
      </c>
      <c r="D36" t="s">
        <v>78</v>
      </c>
      <c r="E36">
        <v>645</v>
      </c>
      <c r="F36" t="s">
        <v>274</v>
      </c>
      <c r="G36" t="s">
        <v>284</v>
      </c>
      <c r="H36" t="s">
        <v>25</v>
      </c>
      <c r="I36">
        <v>2021</v>
      </c>
      <c r="J36">
        <v>2021</v>
      </c>
      <c r="K36" t="s">
        <v>276</v>
      </c>
      <c r="L36">
        <v>8.1199999999999992</v>
      </c>
      <c r="M36" t="s">
        <v>277</v>
      </c>
      <c r="N36" t="s">
        <v>278</v>
      </c>
    </row>
    <row r="37" spans="1:14" x14ac:dyDescent="0.3">
      <c r="A37" t="s">
        <v>272</v>
      </c>
      <c r="B37" t="s">
        <v>273</v>
      </c>
      <c r="C37">
        <v>250</v>
      </c>
      <c r="D37" t="s">
        <v>78</v>
      </c>
      <c r="E37">
        <v>645</v>
      </c>
      <c r="F37" t="s">
        <v>274</v>
      </c>
      <c r="G37" t="s">
        <v>285</v>
      </c>
      <c r="H37" t="s">
        <v>27</v>
      </c>
      <c r="I37">
        <v>2017</v>
      </c>
      <c r="J37">
        <v>2017</v>
      </c>
      <c r="K37" t="s">
        <v>276</v>
      </c>
      <c r="L37">
        <v>4.9800000000000004</v>
      </c>
      <c r="M37" t="s">
        <v>277</v>
      </c>
      <c r="N37" t="s">
        <v>278</v>
      </c>
    </row>
    <row r="38" spans="1:14" x14ac:dyDescent="0.3">
      <c r="A38" t="s">
        <v>272</v>
      </c>
      <c r="B38" t="s">
        <v>273</v>
      </c>
      <c r="C38">
        <v>250</v>
      </c>
      <c r="D38" t="s">
        <v>78</v>
      </c>
      <c r="E38">
        <v>645</v>
      </c>
      <c r="F38" t="s">
        <v>274</v>
      </c>
      <c r="G38" t="s">
        <v>285</v>
      </c>
      <c r="H38" t="s">
        <v>27</v>
      </c>
      <c r="I38">
        <v>2018</v>
      </c>
      <c r="J38">
        <v>2018</v>
      </c>
      <c r="K38" t="s">
        <v>276</v>
      </c>
      <c r="L38">
        <v>5.19</v>
      </c>
      <c r="M38" t="s">
        <v>277</v>
      </c>
      <c r="N38" t="s">
        <v>278</v>
      </c>
    </row>
    <row r="39" spans="1:14" x14ac:dyDescent="0.3">
      <c r="A39" t="s">
        <v>272</v>
      </c>
      <c r="B39" t="s">
        <v>273</v>
      </c>
      <c r="C39">
        <v>250</v>
      </c>
      <c r="D39" t="s">
        <v>78</v>
      </c>
      <c r="E39">
        <v>645</v>
      </c>
      <c r="F39" t="s">
        <v>274</v>
      </c>
      <c r="G39" t="s">
        <v>285</v>
      </c>
      <c r="H39" t="s">
        <v>27</v>
      </c>
      <c r="I39">
        <v>2019</v>
      </c>
      <c r="J39">
        <v>2019</v>
      </c>
      <c r="K39" t="s">
        <v>276</v>
      </c>
      <c r="L39">
        <v>7.71</v>
      </c>
      <c r="M39" t="s">
        <v>277</v>
      </c>
      <c r="N39" t="s">
        <v>278</v>
      </c>
    </row>
    <row r="40" spans="1:14" x14ac:dyDescent="0.3">
      <c r="A40" t="s">
        <v>272</v>
      </c>
      <c r="B40" t="s">
        <v>273</v>
      </c>
      <c r="C40">
        <v>250</v>
      </c>
      <c r="D40" t="s">
        <v>78</v>
      </c>
      <c r="E40">
        <v>645</v>
      </c>
      <c r="F40" t="s">
        <v>274</v>
      </c>
      <c r="G40" t="s">
        <v>285</v>
      </c>
      <c r="H40" t="s">
        <v>27</v>
      </c>
      <c r="I40">
        <v>2020</v>
      </c>
      <c r="J40">
        <v>2020</v>
      </c>
      <c r="K40" t="s">
        <v>276</v>
      </c>
      <c r="L40">
        <v>6.98</v>
      </c>
      <c r="M40" t="s">
        <v>277</v>
      </c>
      <c r="N40" t="s">
        <v>278</v>
      </c>
    </row>
    <row r="41" spans="1:14" x14ac:dyDescent="0.3">
      <c r="A41" t="s">
        <v>272</v>
      </c>
      <c r="B41" t="s">
        <v>273</v>
      </c>
      <c r="C41">
        <v>250</v>
      </c>
      <c r="D41" t="s">
        <v>78</v>
      </c>
      <c r="E41">
        <v>645</v>
      </c>
      <c r="F41" t="s">
        <v>274</v>
      </c>
      <c r="G41" t="s">
        <v>285</v>
      </c>
      <c r="H41" t="s">
        <v>27</v>
      </c>
      <c r="I41">
        <v>2021</v>
      </c>
      <c r="J41">
        <v>2021</v>
      </c>
      <c r="K41" t="s">
        <v>276</v>
      </c>
      <c r="L41">
        <v>6.88</v>
      </c>
      <c r="M41" t="s">
        <v>277</v>
      </c>
      <c r="N41" t="s">
        <v>278</v>
      </c>
    </row>
    <row r="42" spans="1:14" x14ac:dyDescent="0.3">
      <c r="A42" t="s">
        <v>272</v>
      </c>
      <c r="B42" t="s">
        <v>273</v>
      </c>
      <c r="C42">
        <v>250</v>
      </c>
      <c r="D42" t="s">
        <v>78</v>
      </c>
      <c r="E42">
        <v>645</v>
      </c>
      <c r="F42" t="s">
        <v>274</v>
      </c>
      <c r="G42" t="s">
        <v>286</v>
      </c>
      <c r="H42" t="s">
        <v>31</v>
      </c>
      <c r="I42">
        <v>2017</v>
      </c>
      <c r="J42">
        <v>2017</v>
      </c>
      <c r="K42" t="s">
        <v>276</v>
      </c>
      <c r="L42">
        <v>3.22</v>
      </c>
      <c r="M42" t="s">
        <v>277</v>
      </c>
      <c r="N42" t="s">
        <v>278</v>
      </c>
    </row>
    <row r="43" spans="1:14" x14ac:dyDescent="0.3">
      <c r="A43" t="s">
        <v>272</v>
      </c>
      <c r="B43" t="s">
        <v>273</v>
      </c>
      <c r="C43">
        <v>250</v>
      </c>
      <c r="D43" t="s">
        <v>78</v>
      </c>
      <c r="E43">
        <v>645</v>
      </c>
      <c r="F43" t="s">
        <v>274</v>
      </c>
      <c r="G43" t="s">
        <v>286</v>
      </c>
      <c r="H43" t="s">
        <v>31</v>
      </c>
      <c r="I43">
        <v>2018</v>
      </c>
      <c r="J43">
        <v>2018</v>
      </c>
      <c r="K43" t="s">
        <v>276</v>
      </c>
      <c r="L43">
        <v>3.07</v>
      </c>
      <c r="M43" t="s">
        <v>277</v>
      </c>
      <c r="N43" t="s">
        <v>278</v>
      </c>
    </row>
    <row r="44" spans="1:14" x14ac:dyDescent="0.3">
      <c r="A44" t="s">
        <v>272</v>
      </c>
      <c r="B44" t="s">
        <v>273</v>
      </c>
      <c r="C44">
        <v>250</v>
      </c>
      <c r="D44" t="s">
        <v>78</v>
      </c>
      <c r="E44">
        <v>645</v>
      </c>
      <c r="F44" t="s">
        <v>274</v>
      </c>
      <c r="G44" t="s">
        <v>286</v>
      </c>
      <c r="H44" t="s">
        <v>31</v>
      </c>
      <c r="I44">
        <v>2019</v>
      </c>
      <c r="J44">
        <v>2019</v>
      </c>
      <c r="K44" t="s">
        <v>276</v>
      </c>
      <c r="L44">
        <v>2.54</v>
      </c>
      <c r="M44" t="s">
        <v>277</v>
      </c>
      <c r="N44" t="s">
        <v>278</v>
      </c>
    </row>
    <row r="45" spans="1:14" x14ac:dyDescent="0.3">
      <c r="A45" t="s">
        <v>272</v>
      </c>
      <c r="B45" t="s">
        <v>273</v>
      </c>
      <c r="C45">
        <v>250</v>
      </c>
      <c r="D45" t="s">
        <v>78</v>
      </c>
      <c r="E45">
        <v>645</v>
      </c>
      <c r="F45" t="s">
        <v>274</v>
      </c>
      <c r="G45" t="s">
        <v>286</v>
      </c>
      <c r="H45" t="s">
        <v>31</v>
      </c>
      <c r="I45">
        <v>2020</v>
      </c>
      <c r="J45">
        <v>2020</v>
      </c>
      <c r="K45" t="s">
        <v>276</v>
      </c>
      <c r="L45">
        <v>2.77</v>
      </c>
      <c r="M45" t="s">
        <v>277</v>
      </c>
      <c r="N45" t="s">
        <v>278</v>
      </c>
    </row>
    <row r="46" spans="1:14" x14ac:dyDescent="0.3">
      <c r="A46" t="s">
        <v>272</v>
      </c>
      <c r="B46" t="s">
        <v>273</v>
      </c>
      <c r="C46">
        <v>250</v>
      </c>
      <c r="D46" t="s">
        <v>78</v>
      </c>
      <c r="E46">
        <v>645</v>
      </c>
      <c r="F46" t="s">
        <v>274</v>
      </c>
      <c r="G46" t="s">
        <v>286</v>
      </c>
      <c r="H46" t="s">
        <v>31</v>
      </c>
      <c r="I46">
        <v>2021</v>
      </c>
      <c r="J46">
        <v>2021</v>
      </c>
      <c r="K46" t="s">
        <v>276</v>
      </c>
      <c r="L46">
        <v>3.44</v>
      </c>
      <c r="M46" t="s">
        <v>277</v>
      </c>
      <c r="N46" t="s">
        <v>278</v>
      </c>
    </row>
    <row r="47" spans="1:14" x14ac:dyDescent="0.3">
      <c r="A47" t="s">
        <v>272</v>
      </c>
      <c r="B47" t="s">
        <v>273</v>
      </c>
      <c r="C47">
        <v>250</v>
      </c>
      <c r="D47" t="s">
        <v>78</v>
      </c>
      <c r="E47">
        <v>645</v>
      </c>
      <c r="F47" t="s">
        <v>274</v>
      </c>
      <c r="G47" t="s">
        <v>287</v>
      </c>
      <c r="H47" t="s">
        <v>32</v>
      </c>
      <c r="I47">
        <v>2017</v>
      </c>
      <c r="J47">
        <v>2017</v>
      </c>
      <c r="K47" t="s">
        <v>276</v>
      </c>
      <c r="L47">
        <v>0.31</v>
      </c>
      <c r="M47" t="s">
        <v>277</v>
      </c>
      <c r="N47" t="s">
        <v>278</v>
      </c>
    </row>
    <row r="48" spans="1:14" x14ac:dyDescent="0.3">
      <c r="A48" t="s">
        <v>272</v>
      </c>
      <c r="B48" t="s">
        <v>273</v>
      </c>
      <c r="C48">
        <v>250</v>
      </c>
      <c r="D48" t="s">
        <v>78</v>
      </c>
      <c r="E48">
        <v>645</v>
      </c>
      <c r="F48" t="s">
        <v>274</v>
      </c>
      <c r="G48" t="s">
        <v>287</v>
      </c>
      <c r="H48" t="s">
        <v>32</v>
      </c>
      <c r="I48">
        <v>2018</v>
      </c>
      <c r="J48">
        <v>2018</v>
      </c>
      <c r="K48" t="s">
        <v>276</v>
      </c>
      <c r="L48">
        <v>0.31</v>
      </c>
      <c r="M48" t="s">
        <v>277</v>
      </c>
      <c r="N48" t="s">
        <v>278</v>
      </c>
    </row>
    <row r="49" spans="1:14" x14ac:dyDescent="0.3">
      <c r="A49" t="s">
        <v>272</v>
      </c>
      <c r="B49" t="s">
        <v>273</v>
      </c>
      <c r="C49">
        <v>250</v>
      </c>
      <c r="D49" t="s">
        <v>78</v>
      </c>
      <c r="E49">
        <v>645</v>
      </c>
      <c r="F49" t="s">
        <v>274</v>
      </c>
      <c r="G49" t="s">
        <v>287</v>
      </c>
      <c r="H49" t="s">
        <v>32</v>
      </c>
      <c r="I49">
        <v>2019</v>
      </c>
      <c r="J49">
        <v>2019</v>
      </c>
      <c r="K49" t="s">
        <v>276</v>
      </c>
      <c r="L49">
        <v>0.27</v>
      </c>
      <c r="M49" t="s">
        <v>277</v>
      </c>
      <c r="N49" t="s">
        <v>278</v>
      </c>
    </row>
    <row r="50" spans="1:14" x14ac:dyDescent="0.3">
      <c r="A50" t="s">
        <v>272</v>
      </c>
      <c r="B50" t="s">
        <v>273</v>
      </c>
      <c r="C50">
        <v>250</v>
      </c>
      <c r="D50" t="s">
        <v>78</v>
      </c>
      <c r="E50">
        <v>645</v>
      </c>
      <c r="F50" t="s">
        <v>274</v>
      </c>
      <c r="G50" t="s">
        <v>287</v>
      </c>
      <c r="H50" t="s">
        <v>32</v>
      </c>
      <c r="I50">
        <v>2020</v>
      </c>
      <c r="J50">
        <v>2020</v>
      </c>
      <c r="K50" t="s">
        <v>276</v>
      </c>
      <c r="L50">
        <v>0.27</v>
      </c>
      <c r="M50" t="s">
        <v>277</v>
      </c>
      <c r="N50" t="s">
        <v>278</v>
      </c>
    </row>
    <row r="51" spans="1:14" x14ac:dyDescent="0.3">
      <c r="A51" t="s">
        <v>272</v>
      </c>
      <c r="B51" t="s">
        <v>273</v>
      </c>
      <c r="C51">
        <v>250</v>
      </c>
      <c r="D51" t="s">
        <v>78</v>
      </c>
      <c r="E51">
        <v>645</v>
      </c>
      <c r="F51" t="s">
        <v>274</v>
      </c>
      <c r="G51" t="s">
        <v>287</v>
      </c>
      <c r="H51" t="s">
        <v>32</v>
      </c>
      <c r="I51">
        <v>2021</v>
      </c>
      <c r="J51">
        <v>2021</v>
      </c>
      <c r="K51" t="s">
        <v>276</v>
      </c>
      <c r="L51">
        <v>0.27</v>
      </c>
      <c r="M51" t="s">
        <v>277</v>
      </c>
      <c r="N51" t="s">
        <v>278</v>
      </c>
    </row>
    <row r="52" spans="1:14" x14ac:dyDescent="0.3">
      <c r="A52" t="s">
        <v>272</v>
      </c>
      <c r="B52" t="s">
        <v>273</v>
      </c>
      <c r="C52">
        <v>250</v>
      </c>
      <c r="D52" t="s">
        <v>78</v>
      </c>
      <c r="E52">
        <v>645</v>
      </c>
      <c r="F52" t="s">
        <v>274</v>
      </c>
      <c r="G52" t="s">
        <v>288</v>
      </c>
      <c r="H52" t="s">
        <v>33</v>
      </c>
      <c r="I52">
        <v>2017</v>
      </c>
      <c r="J52">
        <v>2017</v>
      </c>
      <c r="K52" t="s">
        <v>276</v>
      </c>
      <c r="L52">
        <v>0.02</v>
      </c>
      <c r="M52" t="s">
        <v>277</v>
      </c>
      <c r="N52" t="s">
        <v>278</v>
      </c>
    </row>
    <row r="53" spans="1:14" x14ac:dyDescent="0.3">
      <c r="A53" t="s">
        <v>272</v>
      </c>
      <c r="B53" t="s">
        <v>273</v>
      </c>
      <c r="C53">
        <v>250</v>
      </c>
      <c r="D53" t="s">
        <v>78</v>
      </c>
      <c r="E53">
        <v>645</v>
      </c>
      <c r="F53" t="s">
        <v>274</v>
      </c>
      <c r="G53" t="s">
        <v>288</v>
      </c>
      <c r="H53" t="s">
        <v>33</v>
      </c>
      <c r="I53">
        <v>2018</v>
      </c>
      <c r="J53">
        <v>2018</v>
      </c>
      <c r="K53" t="s">
        <v>276</v>
      </c>
      <c r="L53">
        <v>0.06</v>
      </c>
      <c r="M53" t="s">
        <v>277</v>
      </c>
      <c r="N53" t="s">
        <v>278</v>
      </c>
    </row>
    <row r="54" spans="1:14" x14ac:dyDescent="0.3">
      <c r="A54" t="s">
        <v>272</v>
      </c>
      <c r="B54" t="s">
        <v>273</v>
      </c>
      <c r="C54">
        <v>250</v>
      </c>
      <c r="D54" t="s">
        <v>78</v>
      </c>
      <c r="E54">
        <v>645</v>
      </c>
      <c r="F54" t="s">
        <v>274</v>
      </c>
      <c r="G54" t="s">
        <v>288</v>
      </c>
      <c r="H54" t="s">
        <v>33</v>
      </c>
      <c r="I54">
        <v>2019</v>
      </c>
      <c r="J54">
        <v>2019</v>
      </c>
      <c r="K54" t="s">
        <v>276</v>
      </c>
      <c r="L54">
        <v>0.06</v>
      </c>
      <c r="M54" t="s">
        <v>277</v>
      </c>
      <c r="N54" t="s">
        <v>278</v>
      </c>
    </row>
    <row r="55" spans="1:14" x14ac:dyDescent="0.3">
      <c r="A55" t="s">
        <v>272</v>
      </c>
      <c r="B55" t="s">
        <v>273</v>
      </c>
      <c r="C55">
        <v>250</v>
      </c>
      <c r="D55" t="s">
        <v>78</v>
      </c>
      <c r="E55">
        <v>645</v>
      </c>
      <c r="F55" t="s">
        <v>274</v>
      </c>
      <c r="G55" t="s">
        <v>288</v>
      </c>
      <c r="H55" t="s">
        <v>33</v>
      </c>
      <c r="I55">
        <v>2020</v>
      </c>
      <c r="J55">
        <v>2020</v>
      </c>
      <c r="K55" t="s">
        <v>276</v>
      </c>
      <c r="L55">
        <v>0.06</v>
      </c>
      <c r="M55" t="s">
        <v>277</v>
      </c>
      <c r="N55" t="s">
        <v>278</v>
      </c>
    </row>
    <row r="56" spans="1:14" x14ac:dyDescent="0.3">
      <c r="A56" t="s">
        <v>272</v>
      </c>
      <c r="B56" t="s">
        <v>273</v>
      </c>
      <c r="C56">
        <v>250</v>
      </c>
      <c r="D56" t="s">
        <v>78</v>
      </c>
      <c r="E56">
        <v>645</v>
      </c>
      <c r="F56" t="s">
        <v>274</v>
      </c>
      <c r="G56" t="s">
        <v>288</v>
      </c>
      <c r="H56" t="s">
        <v>33</v>
      </c>
      <c r="I56">
        <v>2021</v>
      </c>
      <c r="J56">
        <v>2021</v>
      </c>
      <c r="K56" t="s">
        <v>276</v>
      </c>
      <c r="L56">
        <v>0.06</v>
      </c>
      <c r="M56" t="s">
        <v>277</v>
      </c>
      <c r="N56" t="s">
        <v>278</v>
      </c>
    </row>
    <row r="57" spans="1:14" x14ac:dyDescent="0.3">
      <c r="A57" t="s">
        <v>272</v>
      </c>
      <c r="B57" t="s">
        <v>273</v>
      </c>
      <c r="C57">
        <v>250</v>
      </c>
      <c r="D57" t="s">
        <v>78</v>
      </c>
      <c r="E57">
        <v>645</v>
      </c>
      <c r="F57" t="s">
        <v>274</v>
      </c>
      <c r="G57" t="s">
        <v>289</v>
      </c>
      <c r="H57" t="s">
        <v>30</v>
      </c>
      <c r="I57">
        <v>2017</v>
      </c>
      <c r="J57">
        <v>2017</v>
      </c>
      <c r="K57" t="s">
        <v>276</v>
      </c>
      <c r="L57">
        <v>12.59</v>
      </c>
      <c r="M57" t="s">
        <v>277</v>
      </c>
      <c r="N57" t="s">
        <v>278</v>
      </c>
    </row>
    <row r="58" spans="1:14" x14ac:dyDescent="0.3">
      <c r="A58" t="s">
        <v>272</v>
      </c>
      <c r="B58" t="s">
        <v>273</v>
      </c>
      <c r="C58">
        <v>250</v>
      </c>
      <c r="D58" t="s">
        <v>78</v>
      </c>
      <c r="E58">
        <v>645</v>
      </c>
      <c r="F58" t="s">
        <v>274</v>
      </c>
      <c r="G58" t="s">
        <v>289</v>
      </c>
      <c r="H58" t="s">
        <v>30</v>
      </c>
      <c r="I58">
        <v>2018</v>
      </c>
      <c r="J58">
        <v>2018</v>
      </c>
      <c r="K58" t="s">
        <v>276</v>
      </c>
      <c r="L58">
        <v>12.23</v>
      </c>
      <c r="M58" t="s">
        <v>277</v>
      </c>
      <c r="N58" t="s">
        <v>278</v>
      </c>
    </row>
    <row r="59" spans="1:14" x14ac:dyDescent="0.3">
      <c r="A59" t="s">
        <v>272</v>
      </c>
      <c r="B59" t="s">
        <v>273</v>
      </c>
      <c r="C59">
        <v>250</v>
      </c>
      <c r="D59" t="s">
        <v>78</v>
      </c>
      <c r="E59">
        <v>645</v>
      </c>
      <c r="F59" t="s">
        <v>274</v>
      </c>
      <c r="G59" t="s">
        <v>289</v>
      </c>
      <c r="H59" t="s">
        <v>30</v>
      </c>
      <c r="I59">
        <v>2019</v>
      </c>
      <c r="J59">
        <v>2019</v>
      </c>
      <c r="K59" t="s">
        <v>276</v>
      </c>
      <c r="L59">
        <v>13.59</v>
      </c>
      <c r="M59" t="s">
        <v>277</v>
      </c>
      <c r="N59" t="s">
        <v>278</v>
      </c>
    </row>
    <row r="60" spans="1:14" x14ac:dyDescent="0.3">
      <c r="A60" t="s">
        <v>272</v>
      </c>
      <c r="B60" t="s">
        <v>273</v>
      </c>
      <c r="C60">
        <v>250</v>
      </c>
      <c r="D60" t="s">
        <v>78</v>
      </c>
      <c r="E60">
        <v>645</v>
      </c>
      <c r="F60" t="s">
        <v>274</v>
      </c>
      <c r="G60" t="s">
        <v>289</v>
      </c>
      <c r="H60" t="s">
        <v>30</v>
      </c>
      <c r="I60">
        <v>2020</v>
      </c>
      <c r="J60">
        <v>2020</v>
      </c>
      <c r="K60" t="s">
        <v>276</v>
      </c>
      <c r="L60">
        <v>14.04</v>
      </c>
      <c r="M60" t="s">
        <v>277</v>
      </c>
      <c r="N60" t="s">
        <v>278</v>
      </c>
    </row>
    <row r="61" spans="1:14" x14ac:dyDescent="0.3">
      <c r="A61" t="s">
        <v>272</v>
      </c>
      <c r="B61" t="s">
        <v>273</v>
      </c>
      <c r="C61">
        <v>250</v>
      </c>
      <c r="D61" t="s">
        <v>78</v>
      </c>
      <c r="E61">
        <v>645</v>
      </c>
      <c r="F61" t="s">
        <v>274</v>
      </c>
      <c r="G61" t="s">
        <v>289</v>
      </c>
      <c r="H61" t="s">
        <v>30</v>
      </c>
      <c r="I61">
        <v>2021</v>
      </c>
      <c r="J61">
        <v>2021</v>
      </c>
      <c r="K61" t="s">
        <v>276</v>
      </c>
      <c r="L61">
        <v>13.84</v>
      </c>
      <c r="M61" t="s">
        <v>277</v>
      </c>
      <c r="N61" t="s">
        <v>278</v>
      </c>
    </row>
    <row r="62" spans="1:14" x14ac:dyDescent="0.3">
      <c r="A62" t="s">
        <v>272</v>
      </c>
      <c r="B62" t="s">
        <v>273</v>
      </c>
      <c r="C62">
        <v>250</v>
      </c>
      <c r="D62" t="s">
        <v>78</v>
      </c>
      <c r="E62">
        <v>645</v>
      </c>
      <c r="F62" t="s">
        <v>274</v>
      </c>
      <c r="G62" t="s">
        <v>290</v>
      </c>
      <c r="H62" t="s">
        <v>37</v>
      </c>
      <c r="I62">
        <v>2017</v>
      </c>
      <c r="J62">
        <v>2017</v>
      </c>
      <c r="K62" t="s">
        <v>276</v>
      </c>
      <c r="L62">
        <v>192.11</v>
      </c>
      <c r="M62" t="s">
        <v>277</v>
      </c>
      <c r="N62" t="s">
        <v>278</v>
      </c>
    </row>
    <row r="63" spans="1:14" x14ac:dyDescent="0.3">
      <c r="A63" t="s">
        <v>272</v>
      </c>
      <c r="B63" t="s">
        <v>273</v>
      </c>
      <c r="C63">
        <v>250</v>
      </c>
      <c r="D63" t="s">
        <v>78</v>
      </c>
      <c r="E63">
        <v>645</v>
      </c>
      <c r="F63" t="s">
        <v>274</v>
      </c>
      <c r="G63" t="s">
        <v>290</v>
      </c>
      <c r="H63" t="s">
        <v>37</v>
      </c>
      <c r="I63">
        <v>2018</v>
      </c>
      <c r="J63">
        <v>2018</v>
      </c>
      <c r="K63" t="s">
        <v>276</v>
      </c>
      <c r="L63">
        <v>188.33</v>
      </c>
      <c r="M63" t="s">
        <v>277</v>
      </c>
      <c r="N63" t="s">
        <v>278</v>
      </c>
    </row>
    <row r="64" spans="1:14" x14ac:dyDescent="0.3">
      <c r="A64" t="s">
        <v>272</v>
      </c>
      <c r="B64" t="s">
        <v>273</v>
      </c>
      <c r="C64">
        <v>250</v>
      </c>
      <c r="D64" t="s">
        <v>78</v>
      </c>
      <c r="E64">
        <v>645</v>
      </c>
      <c r="F64" t="s">
        <v>274</v>
      </c>
      <c r="G64" t="s">
        <v>290</v>
      </c>
      <c r="H64" t="s">
        <v>37</v>
      </c>
      <c r="I64">
        <v>2019</v>
      </c>
      <c r="J64">
        <v>2019</v>
      </c>
      <c r="K64" t="s">
        <v>276</v>
      </c>
      <c r="L64">
        <v>251.52</v>
      </c>
      <c r="M64" t="s">
        <v>277</v>
      </c>
      <c r="N64" t="s">
        <v>278</v>
      </c>
    </row>
    <row r="65" spans="1:14" x14ac:dyDescent="0.3">
      <c r="A65" t="s">
        <v>272</v>
      </c>
      <c r="B65" t="s">
        <v>273</v>
      </c>
      <c r="C65">
        <v>250</v>
      </c>
      <c r="D65" t="s">
        <v>78</v>
      </c>
      <c r="E65">
        <v>645</v>
      </c>
      <c r="F65" t="s">
        <v>274</v>
      </c>
      <c r="G65" t="s">
        <v>290</v>
      </c>
      <c r="H65" t="s">
        <v>37</v>
      </c>
      <c r="I65">
        <v>2020</v>
      </c>
      <c r="J65">
        <v>2020</v>
      </c>
      <c r="K65" t="s">
        <v>276</v>
      </c>
      <c r="L65">
        <v>253.82</v>
      </c>
      <c r="M65" t="s">
        <v>277</v>
      </c>
      <c r="N65" t="s">
        <v>278</v>
      </c>
    </row>
    <row r="66" spans="1:14" x14ac:dyDescent="0.3">
      <c r="A66" t="s">
        <v>272</v>
      </c>
      <c r="B66" t="s">
        <v>273</v>
      </c>
      <c r="C66">
        <v>250</v>
      </c>
      <c r="D66" t="s">
        <v>78</v>
      </c>
      <c r="E66">
        <v>645</v>
      </c>
      <c r="F66" t="s">
        <v>274</v>
      </c>
      <c r="G66" t="s">
        <v>290</v>
      </c>
      <c r="H66" t="s">
        <v>37</v>
      </c>
      <c r="I66">
        <v>2021</v>
      </c>
      <c r="J66">
        <v>2021</v>
      </c>
      <c r="K66" t="s">
        <v>276</v>
      </c>
      <c r="L66">
        <v>271.02999999999997</v>
      </c>
      <c r="M66" t="s">
        <v>277</v>
      </c>
      <c r="N66" t="s">
        <v>278</v>
      </c>
    </row>
    <row r="67" spans="1:14" x14ac:dyDescent="0.3">
      <c r="A67" t="s">
        <v>272</v>
      </c>
      <c r="B67" t="s">
        <v>273</v>
      </c>
      <c r="C67">
        <v>250</v>
      </c>
      <c r="D67" t="s">
        <v>78</v>
      </c>
      <c r="E67">
        <v>645</v>
      </c>
      <c r="F67" t="s">
        <v>274</v>
      </c>
      <c r="G67" t="s">
        <v>291</v>
      </c>
      <c r="H67" t="s">
        <v>34</v>
      </c>
      <c r="I67">
        <v>2017</v>
      </c>
      <c r="J67">
        <v>2017</v>
      </c>
      <c r="K67" t="s">
        <v>276</v>
      </c>
      <c r="L67">
        <v>4.13</v>
      </c>
      <c r="M67" t="s">
        <v>277</v>
      </c>
      <c r="N67" t="s">
        <v>278</v>
      </c>
    </row>
    <row r="68" spans="1:14" x14ac:dyDescent="0.3">
      <c r="A68" t="s">
        <v>272</v>
      </c>
      <c r="B68" t="s">
        <v>273</v>
      </c>
      <c r="C68">
        <v>250</v>
      </c>
      <c r="D68" t="s">
        <v>78</v>
      </c>
      <c r="E68">
        <v>645</v>
      </c>
      <c r="F68" t="s">
        <v>274</v>
      </c>
      <c r="G68" t="s">
        <v>291</v>
      </c>
      <c r="H68" t="s">
        <v>34</v>
      </c>
      <c r="I68">
        <v>2018</v>
      </c>
      <c r="J68">
        <v>2018</v>
      </c>
      <c r="K68" t="s">
        <v>276</v>
      </c>
      <c r="L68">
        <v>4.2</v>
      </c>
      <c r="M68" t="s">
        <v>277</v>
      </c>
      <c r="N68" t="s">
        <v>278</v>
      </c>
    </row>
    <row r="69" spans="1:14" x14ac:dyDescent="0.3">
      <c r="A69" t="s">
        <v>272</v>
      </c>
      <c r="B69" t="s">
        <v>273</v>
      </c>
      <c r="C69">
        <v>250</v>
      </c>
      <c r="D69" t="s">
        <v>78</v>
      </c>
      <c r="E69">
        <v>645</v>
      </c>
      <c r="F69" t="s">
        <v>274</v>
      </c>
      <c r="G69" t="s">
        <v>291</v>
      </c>
      <c r="H69" t="s">
        <v>34</v>
      </c>
      <c r="I69">
        <v>2019</v>
      </c>
      <c r="J69">
        <v>2019</v>
      </c>
      <c r="K69" t="s">
        <v>276</v>
      </c>
      <c r="L69">
        <v>4.34</v>
      </c>
      <c r="M69" t="s">
        <v>277</v>
      </c>
      <c r="N69" t="s">
        <v>278</v>
      </c>
    </row>
    <row r="70" spans="1:14" x14ac:dyDescent="0.3">
      <c r="A70" t="s">
        <v>272</v>
      </c>
      <c r="B70" t="s">
        <v>273</v>
      </c>
      <c r="C70">
        <v>250</v>
      </c>
      <c r="D70" t="s">
        <v>78</v>
      </c>
      <c r="E70">
        <v>645</v>
      </c>
      <c r="F70" t="s">
        <v>274</v>
      </c>
      <c r="G70" t="s">
        <v>291</v>
      </c>
      <c r="H70" t="s">
        <v>34</v>
      </c>
      <c r="I70">
        <v>2020</v>
      </c>
      <c r="J70">
        <v>2020</v>
      </c>
      <c r="K70" t="s">
        <v>276</v>
      </c>
      <c r="L70">
        <v>4.34</v>
      </c>
      <c r="M70" t="s">
        <v>277</v>
      </c>
      <c r="N70" t="s">
        <v>278</v>
      </c>
    </row>
    <row r="71" spans="1:14" x14ac:dyDescent="0.3">
      <c r="A71" t="s">
        <v>272</v>
      </c>
      <c r="B71" t="s">
        <v>273</v>
      </c>
      <c r="C71">
        <v>250</v>
      </c>
      <c r="D71" t="s">
        <v>78</v>
      </c>
      <c r="E71">
        <v>645</v>
      </c>
      <c r="F71" t="s">
        <v>274</v>
      </c>
      <c r="G71" t="s">
        <v>291</v>
      </c>
      <c r="H71" t="s">
        <v>34</v>
      </c>
      <c r="I71">
        <v>2021</v>
      </c>
      <c r="J71">
        <v>2021</v>
      </c>
      <c r="K71" t="s">
        <v>276</v>
      </c>
      <c r="L71">
        <v>4.33</v>
      </c>
      <c r="M71" t="s">
        <v>277</v>
      </c>
      <c r="N71" t="s">
        <v>278</v>
      </c>
    </row>
    <row r="72" spans="1:14" x14ac:dyDescent="0.3">
      <c r="A72" t="s">
        <v>272</v>
      </c>
      <c r="B72" t="s">
        <v>273</v>
      </c>
      <c r="C72">
        <v>250</v>
      </c>
      <c r="D72" t="s">
        <v>78</v>
      </c>
      <c r="E72">
        <v>645</v>
      </c>
      <c r="F72" t="s">
        <v>274</v>
      </c>
      <c r="G72" t="s">
        <v>292</v>
      </c>
      <c r="H72" t="s">
        <v>29</v>
      </c>
      <c r="I72">
        <v>2017</v>
      </c>
      <c r="J72">
        <v>2017</v>
      </c>
      <c r="K72" t="s">
        <v>276</v>
      </c>
      <c r="L72">
        <v>12.93</v>
      </c>
      <c r="M72" t="s">
        <v>277</v>
      </c>
      <c r="N72" t="s">
        <v>278</v>
      </c>
    </row>
    <row r="73" spans="1:14" x14ac:dyDescent="0.3">
      <c r="A73" t="s">
        <v>272</v>
      </c>
      <c r="B73" t="s">
        <v>273</v>
      </c>
      <c r="C73">
        <v>250</v>
      </c>
      <c r="D73" t="s">
        <v>78</v>
      </c>
      <c r="E73">
        <v>645</v>
      </c>
      <c r="F73" t="s">
        <v>274</v>
      </c>
      <c r="G73" t="s">
        <v>292</v>
      </c>
      <c r="H73" t="s">
        <v>29</v>
      </c>
      <c r="I73">
        <v>2018</v>
      </c>
      <c r="J73">
        <v>2018</v>
      </c>
      <c r="K73" t="s">
        <v>276</v>
      </c>
      <c r="L73">
        <v>12.75</v>
      </c>
      <c r="M73" t="s">
        <v>277</v>
      </c>
      <c r="N73" t="s">
        <v>278</v>
      </c>
    </row>
    <row r="74" spans="1:14" x14ac:dyDescent="0.3">
      <c r="A74" t="s">
        <v>272</v>
      </c>
      <c r="B74" t="s">
        <v>273</v>
      </c>
      <c r="C74">
        <v>250</v>
      </c>
      <c r="D74" t="s">
        <v>78</v>
      </c>
      <c r="E74">
        <v>645</v>
      </c>
      <c r="F74" t="s">
        <v>274</v>
      </c>
      <c r="G74" t="s">
        <v>292</v>
      </c>
      <c r="H74" t="s">
        <v>29</v>
      </c>
      <c r="I74">
        <v>2019</v>
      </c>
      <c r="J74">
        <v>2019</v>
      </c>
      <c r="K74" t="s">
        <v>276</v>
      </c>
      <c r="L74">
        <v>11.99</v>
      </c>
      <c r="M74" t="s">
        <v>277</v>
      </c>
      <c r="N74" t="s">
        <v>278</v>
      </c>
    </row>
    <row r="75" spans="1:14" x14ac:dyDescent="0.3">
      <c r="A75" t="s">
        <v>272</v>
      </c>
      <c r="B75" t="s">
        <v>273</v>
      </c>
      <c r="C75">
        <v>250</v>
      </c>
      <c r="D75" t="s">
        <v>78</v>
      </c>
      <c r="E75">
        <v>645</v>
      </c>
      <c r="F75" t="s">
        <v>274</v>
      </c>
      <c r="G75" t="s">
        <v>292</v>
      </c>
      <c r="H75" t="s">
        <v>29</v>
      </c>
      <c r="I75">
        <v>2020</v>
      </c>
      <c r="J75">
        <v>2020</v>
      </c>
      <c r="K75" t="s">
        <v>276</v>
      </c>
      <c r="L75">
        <v>11.98</v>
      </c>
      <c r="M75" t="s">
        <v>277</v>
      </c>
      <c r="N75" t="s">
        <v>278</v>
      </c>
    </row>
    <row r="76" spans="1:14" x14ac:dyDescent="0.3">
      <c r="A76" t="s">
        <v>272</v>
      </c>
      <c r="B76" t="s">
        <v>273</v>
      </c>
      <c r="C76">
        <v>250</v>
      </c>
      <c r="D76" t="s">
        <v>78</v>
      </c>
      <c r="E76">
        <v>645</v>
      </c>
      <c r="F76" t="s">
        <v>274</v>
      </c>
      <c r="G76" t="s">
        <v>292</v>
      </c>
      <c r="H76" t="s">
        <v>29</v>
      </c>
      <c r="I76">
        <v>2021</v>
      </c>
      <c r="J76">
        <v>2021</v>
      </c>
      <c r="K76" t="s">
        <v>276</v>
      </c>
      <c r="L76">
        <v>11.97</v>
      </c>
      <c r="M76" t="s">
        <v>277</v>
      </c>
      <c r="N76" t="s">
        <v>278</v>
      </c>
    </row>
    <row r="77" spans="1:14" x14ac:dyDescent="0.3">
      <c r="A77" t="s">
        <v>272</v>
      </c>
      <c r="B77" t="s">
        <v>273</v>
      </c>
      <c r="C77">
        <v>250</v>
      </c>
      <c r="D77" t="s">
        <v>78</v>
      </c>
      <c r="E77">
        <v>645</v>
      </c>
      <c r="F77" t="s">
        <v>274</v>
      </c>
      <c r="G77" t="s">
        <v>293</v>
      </c>
      <c r="H77" t="s">
        <v>41</v>
      </c>
      <c r="I77">
        <v>2017</v>
      </c>
      <c r="J77">
        <v>2017</v>
      </c>
      <c r="K77" t="s">
        <v>276</v>
      </c>
      <c r="L77">
        <v>7.62</v>
      </c>
      <c r="M77" t="s">
        <v>277</v>
      </c>
      <c r="N77" t="s">
        <v>278</v>
      </c>
    </row>
    <row r="78" spans="1:14" x14ac:dyDescent="0.3">
      <c r="A78" t="s">
        <v>272</v>
      </c>
      <c r="B78" t="s">
        <v>273</v>
      </c>
      <c r="C78">
        <v>250</v>
      </c>
      <c r="D78" t="s">
        <v>78</v>
      </c>
      <c r="E78">
        <v>645</v>
      </c>
      <c r="F78" t="s">
        <v>274</v>
      </c>
      <c r="G78" t="s">
        <v>293</v>
      </c>
      <c r="H78" t="s">
        <v>41</v>
      </c>
      <c r="I78">
        <v>2018</v>
      </c>
      <c r="J78">
        <v>2018</v>
      </c>
      <c r="K78" t="s">
        <v>276</v>
      </c>
      <c r="L78">
        <v>7.57</v>
      </c>
      <c r="M78" t="s">
        <v>277</v>
      </c>
      <c r="N78" t="s">
        <v>278</v>
      </c>
    </row>
    <row r="79" spans="1:14" x14ac:dyDescent="0.3">
      <c r="A79" t="s">
        <v>272</v>
      </c>
      <c r="B79" t="s">
        <v>273</v>
      </c>
      <c r="C79">
        <v>250</v>
      </c>
      <c r="D79" t="s">
        <v>78</v>
      </c>
      <c r="E79">
        <v>645</v>
      </c>
      <c r="F79" t="s">
        <v>274</v>
      </c>
      <c r="G79" t="s">
        <v>293</v>
      </c>
      <c r="H79" t="s">
        <v>41</v>
      </c>
      <c r="I79">
        <v>2019</v>
      </c>
      <c r="J79">
        <v>2019</v>
      </c>
      <c r="K79" t="s">
        <v>276</v>
      </c>
      <c r="L79">
        <v>7.32</v>
      </c>
      <c r="M79" t="s">
        <v>277</v>
      </c>
      <c r="N79" t="s">
        <v>278</v>
      </c>
    </row>
    <row r="80" spans="1:14" x14ac:dyDescent="0.3">
      <c r="A80" t="s">
        <v>272</v>
      </c>
      <c r="B80" t="s">
        <v>273</v>
      </c>
      <c r="C80">
        <v>250</v>
      </c>
      <c r="D80" t="s">
        <v>78</v>
      </c>
      <c r="E80">
        <v>645</v>
      </c>
      <c r="F80" t="s">
        <v>274</v>
      </c>
      <c r="G80" t="s">
        <v>293</v>
      </c>
      <c r="H80" t="s">
        <v>41</v>
      </c>
      <c r="I80">
        <v>2020</v>
      </c>
      <c r="J80">
        <v>2020</v>
      </c>
      <c r="K80" t="s">
        <v>276</v>
      </c>
      <c r="L80">
        <v>7.31</v>
      </c>
      <c r="M80" t="s">
        <v>277</v>
      </c>
      <c r="N80" t="s">
        <v>278</v>
      </c>
    </row>
    <row r="81" spans="1:14" x14ac:dyDescent="0.3">
      <c r="A81" t="s">
        <v>272</v>
      </c>
      <c r="B81" t="s">
        <v>273</v>
      </c>
      <c r="C81">
        <v>250</v>
      </c>
      <c r="D81" t="s">
        <v>78</v>
      </c>
      <c r="E81">
        <v>645</v>
      </c>
      <c r="F81" t="s">
        <v>274</v>
      </c>
      <c r="G81" t="s">
        <v>293</v>
      </c>
      <c r="H81" t="s">
        <v>41</v>
      </c>
      <c r="I81">
        <v>2021</v>
      </c>
      <c r="J81">
        <v>2021</v>
      </c>
      <c r="K81" t="s">
        <v>276</v>
      </c>
      <c r="L81">
        <v>7.3</v>
      </c>
      <c r="M81" t="s">
        <v>277</v>
      </c>
      <c r="N81" t="s">
        <v>278</v>
      </c>
    </row>
    <row r="82" spans="1:14" x14ac:dyDescent="0.3">
      <c r="A82" t="s">
        <v>272</v>
      </c>
      <c r="B82" t="s">
        <v>273</v>
      </c>
      <c r="C82">
        <v>250</v>
      </c>
      <c r="D82" t="s">
        <v>78</v>
      </c>
      <c r="E82">
        <v>645</v>
      </c>
      <c r="F82" t="s">
        <v>274</v>
      </c>
      <c r="G82" t="s">
        <v>294</v>
      </c>
      <c r="H82" t="s">
        <v>35</v>
      </c>
      <c r="I82">
        <v>2017</v>
      </c>
      <c r="J82">
        <v>2017</v>
      </c>
      <c r="K82" t="s">
        <v>276</v>
      </c>
      <c r="L82">
        <v>0.14000000000000001</v>
      </c>
      <c r="M82" t="s">
        <v>277</v>
      </c>
      <c r="N82" t="s">
        <v>278</v>
      </c>
    </row>
    <row r="83" spans="1:14" x14ac:dyDescent="0.3">
      <c r="A83" t="s">
        <v>272</v>
      </c>
      <c r="B83" t="s">
        <v>273</v>
      </c>
      <c r="C83">
        <v>250</v>
      </c>
      <c r="D83" t="s">
        <v>78</v>
      </c>
      <c r="E83">
        <v>645</v>
      </c>
      <c r="F83" t="s">
        <v>274</v>
      </c>
      <c r="G83" t="s">
        <v>294</v>
      </c>
      <c r="H83" t="s">
        <v>35</v>
      </c>
      <c r="I83">
        <v>2018</v>
      </c>
      <c r="J83">
        <v>2018</v>
      </c>
      <c r="K83" t="s">
        <v>276</v>
      </c>
      <c r="L83">
        <v>0.11</v>
      </c>
      <c r="M83" t="s">
        <v>277</v>
      </c>
      <c r="N83" t="s">
        <v>278</v>
      </c>
    </row>
    <row r="84" spans="1:14" x14ac:dyDescent="0.3">
      <c r="A84" t="s">
        <v>272</v>
      </c>
      <c r="B84" t="s">
        <v>273</v>
      </c>
      <c r="C84">
        <v>250</v>
      </c>
      <c r="D84" t="s">
        <v>78</v>
      </c>
      <c r="E84">
        <v>645</v>
      </c>
      <c r="F84" t="s">
        <v>274</v>
      </c>
      <c r="G84" t="s">
        <v>294</v>
      </c>
      <c r="H84" t="s">
        <v>35</v>
      </c>
      <c r="I84">
        <v>2019</v>
      </c>
      <c r="J84">
        <v>2019</v>
      </c>
      <c r="K84" t="s">
        <v>276</v>
      </c>
      <c r="L84">
        <v>0.12</v>
      </c>
      <c r="M84" t="s">
        <v>277</v>
      </c>
      <c r="N84" t="s">
        <v>278</v>
      </c>
    </row>
    <row r="85" spans="1:14" x14ac:dyDescent="0.3">
      <c r="A85" t="s">
        <v>272</v>
      </c>
      <c r="B85" t="s">
        <v>273</v>
      </c>
      <c r="C85">
        <v>250</v>
      </c>
      <c r="D85" t="s">
        <v>78</v>
      </c>
      <c r="E85">
        <v>645</v>
      </c>
      <c r="F85" t="s">
        <v>274</v>
      </c>
      <c r="G85" t="s">
        <v>294</v>
      </c>
      <c r="H85" t="s">
        <v>35</v>
      </c>
      <c r="I85">
        <v>2020</v>
      </c>
      <c r="J85">
        <v>2020</v>
      </c>
      <c r="K85" t="s">
        <v>276</v>
      </c>
      <c r="L85">
        <v>0.12</v>
      </c>
      <c r="M85" t="s">
        <v>277</v>
      </c>
      <c r="N85" t="s">
        <v>278</v>
      </c>
    </row>
    <row r="86" spans="1:14" x14ac:dyDescent="0.3">
      <c r="A86" t="s">
        <v>272</v>
      </c>
      <c r="B86" t="s">
        <v>273</v>
      </c>
      <c r="C86">
        <v>250</v>
      </c>
      <c r="D86" t="s">
        <v>78</v>
      </c>
      <c r="E86">
        <v>645</v>
      </c>
      <c r="F86" t="s">
        <v>274</v>
      </c>
      <c r="G86" t="s">
        <v>294</v>
      </c>
      <c r="H86" t="s">
        <v>35</v>
      </c>
      <c r="I86">
        <v>2021</v>
      </c>
      <c r="J86">
        <v>2021</v>
      </c>
      <c r="K86" t="s">
        <v>276</v>
      </c>
      <c r="L86">
        <v>0.12</v>
      </c>
      <c r="M86" t="s">
        <v>277</v>
      </c>
      <c r="N86" t="s">
        <v>278</v>
      </c>
    </row>
    <row r="87" spans="1:14" x14ac:dyDescent="0.3">
      <c r="A87" t="s">
        <v>272</v>
      </c>
      <c r="B87" t="s">
        <v>273</v>
      </c>
      <c r="C87">
        <v>250</v>
      </c>
      <c r="D87" t="s">
        <v>78</v>
      </c>
      <c r="E87">
        <v>645</v>
      </c>
      <c r="F87" t="s">
        <v>274</v>
      </c>
      <c r="G87" t="s">
        <v>295</v>
      </c>
      <c r="H87" t="s">
        <v>28</v>
      </c>
      <c r="I87">
        <v>2017</v>
      </c>
      <c r="J87">
        <v>2017</v>
      </c>
      <c r="K87" t="s">
        <v>276</v>
      </c>
      <c r="L87">
        <v>3.83</v>
      </c>
      <c r="M87" t="s">
        <v>277</v>
      </c>
      <c r="N87" t="s">
        <v>278</v>
      </c>
    </row>
    <row r="88" spans="1:14" x14ac:dyDescent="0.3">
      <c r="A88" t="s">
        <v>272</v>
      </c>
      <c r="B88" t="s">
        <v>273</v>
      </c>
      <c r="C88">
        <v>250</v>
      </c>
      <c r="D88" t="s">
        <v>78</v>
      </c>
      <c r="E88">
        <v>645</v>
      </c>
      <c r="F88" t="s">
        <v>274</v>
      </c>
      <c r="G88" t="s">
        <v>295</v>
      </c>
      <c r="H88" t="s">
        <v>28</v>
      </c>
      <c r="I88">
        <v>2018</v>
      </c>
      <c r="J88">
        <v>2018</v>
      </c>
      <c r="K88" t="s">
        <v>276</v>
      </c>
      <c r="L88">
        <v>3.68</v>
      </c>
      <c r="M88" t="s">
        <v>277</v>
      </c>
      <c r="N88" t="s">
        <v>278</v>
      </c>
    </row>
    <row r="89" spans="1:14" x14ac:dyDescent="0.3">
      <c r="A89" t="s">
        <v>272</v>
      </c>
      <c r="B89" t="s">
        <v>273</v>
      </c>
      <c r="C89">
        <v>250</v>
      </c>
      <c r="D89" t="s">
        <v>78</v>
      </c>
      <c r="E89">
        <v>645</v>
      </c>
      <c r="F89" t="s">
        <v>274</v>
      </c>
      <c r="G89" t="s">
        <v>295</v>
      </c>
      <c r="H89" t="s">
        <v>28</v>
      </c>
      <c r="I89">
        <v>2019</v>
      </c>
      <c r="J89">
        <v>2019</v>
      </c>
      <c r="K89" t="s">
        <v>276</v>
      </c>
      <c r="L89">
        <v>3.51</v>
      </c>
      <c r="M89" t="s">
        <v>277</v>
      </c>
      <c r="N89" t="s">
        <v>278</v>
      </c>
    </row>
    <row r="90" spans="1:14" x14ac:dyDescent="0.3">
      <c r="A90" t="s">
        <v>272</v>
      </c>
      <c r="B90" t="s">
        <v>273</v>
      </c>
      <c r="C90">
        <v>250</v>
      </c>
      <c r="D90" t="s">
        <v>78</v>
      </c>
      <c r="E90">
        <v>645</v>
      </c>
      <c r="F90" t="s">
        <v>274</v>
      </c>
      <c r="G90" t="s">
        <v>295</v>
      </c>
      <c r="H90" t="s">
        <v>28</v>
      </c>
      <c r="I90">
        <v>2020</v>
      </c>
      <c r="J90">
        <v>2020</v>
      </c>
      <c r="K90" t="s">
        <v>276</v>
      </c>
      <c r="L90">
        <v>3.51</v>
      </c>
      <c r="M90" t="s">
        <v>277</v>
      </c>
      <c r="N90" t="s">
        <v>278</v>
      </c>
    </row>
    <row r="91" spans="1:14" x14ac:dyDescent="0.3">
      <c r="A91" t="s">
        <v>272</v>
      </c>
      <c r="B91" t="s">
        <v>273</v>
      </c>
      <c r="C91">
        <v>250</v>
      </c>
      <c r="D91" t="s">
        <v>78</v>
      </c>
      <c r="E91">
        <v>645</v>
      </c>
      <c r="F91" t="s">
        <v>274</v>
      </c>
      <c r="G91" t="s">
        <v>295</v>
      </c>
      <c r="H91" t="s">
        <v>28</v>
      </c>
      <c r="I91">
        <v>2021</v>
      </c>
      <c r="J91">
        <v>2021</v>
      </c>
      <c r="K91" t="s">
        <v>276</v>
      </c>
      <c r="L91">
        <v>3.51</v>
      </c>
      <c r="M91" t="s">
        <v>277</v>
      </c>
      <c r="N91" t="s">
        <v>278</v>
      </c>
    </row>
    <row r="92" spans="1:14" x14ac:dyDescent="0.3">
      <c r="A92" t="s">
        <v>272</v>
      </c>
      <c r="B92" t="s">
        <v>273</v>
      </c>
      <c r="C92">
        <v>250</v>
      </c>
      <c r="D92" t="s">
        <v>78</v>
      </c>
      <c r="E92">
        <v>645</v>
      </c>
      <c r="F92" t="s">
        <v>274</v>
      </c>
      <c r="G92" t="s">
        <v>296</v>
      </c>
      <c r="H92" t="s">
        <v>26</v>
      </c>
      <c r="I92">
        <v>2017</v>
      </c>
      <c r="J92">
        <v>2017</v>
      </c>
      <c r="K92" t="s">
        <v>276</v>
      </c>
      <c r="L92">
        <v>0.93</v>
      </c>
      <c r="M92" t="s">
        <v>277</v>
      </c>
      <c r="N92" t="s">
        <v>278</v>
      </c>
    </row>
    <row r="93" spans="1:14" x14ac:dyDescent="0.3">
      <c r="A93" t="s">
        <v>272</v>
      </c>
      <c r="B93" t="s">
        <v>273</v>
      </c>
      <c r="C93">
        <v>250</v>
      </c>
      <c r="D93" t="s">
        <v>78</v>
      </c>
      <c r="E93">
        <v>645</v>
      </c>
      <c r="F93" t="s">
        <v>274</v>
      </c>
      <c r="G93" t="s">
        <v>296</v>
      </c>
      <c r="H93" t="s">
        <v>26</v>
      </c>
      <c r="I93">
        <v>2018</v>
      </c>
      <c r="J93">
        <v>2018</v>
      </c>
      <c r="K93" t="s">
        <v>276</v>
      </c>
      <c r="L93">
        <v>0.91</v>
      </c>
      <c r="M93" t="s">
        <v>277</v>
      </c>
      <c r="N93" t="s">
        <v>278</v>
      </c>
    </row>
    <row r="94" spans="1:14" x14ac:dyDescent="0.3">
      <c r="A94" t="s">
        <v>272</v>
      </c>
      <c r="B94" t="s">
        <v>273</v>
      </c>
      <c r="C94">
        <v>250</v>
      </c>
      <c r="D94" t="s">
        <v>78</v>
      </c>
      <c r="E94">
        <v>645</v>
      </c>
      <c r="F94" t="s">
        <v>274</v>
      </c>
      <c r="G94" t="s">
        <v>296</v>
      </c>
      <c r="H94" t="s">
        <v>26</v>
      </c>
      <c r="I94">
        <v>2019</v>
      </c>
      <c r="J94">
        <v>2019</v>
      </c>
      <c r="K94" t="s">
        <v>276</v>
      </c>
      <c r="L94">
        <v>0.88</v>
      </c>
      <c r="M94" t="s">
        <v>277</v>
      </c>
      <c r="N94" t="s">
        <v>278</v>
      </c>
    </row>
    <row r="95" spans="1:14" x14ac:dyDescent="0.3">
      <c r="A95" t="s">
        <v>272</v>
      </c>
      <c r="B95" t="s">
        <v>273</v>
      </c>
      <c r="C95">
        <v>250</v>
      </c>
      <c r="D95" t="s">
        <v>78</v>
      </c>
      <c r="E95">
        <v>645</v>
      </c>
      <c r="F95" t="s">
        <v>274</v>
      </c>
      <c r="G95" t="s">
        <v>296</v>
      </c>
      <c r="H95" t="s">
        <v>26</v>
      </c>
      <c r="I95">
        <v>2020</v>
      </c>
      <c r="J95">
        <v>2020</v>
      </c>
      <c r="K95" t="s">
        <v>276</v>
      </c>
      <c r="L95">
        <v>0.87</v>
      </c>
      <c r="M95" t="s">
        <v>277</v>
      </c>
      <c r="N95" t="s">
        <v>278</v>
      </c>
    </row>
    <row r="96" spans="1:14" x14ac:dyDescent="0.3">
      <c r="A96" t="s">
        <v>272</v>
      </c>
      <c r="B96" t="s">
        <v>273</v>
      </c>
      <c r="C96">
        <v>250</v>
      </c>
      <c r="D96" t="s">
        <v>78</v>
      </c>
      <c r="E96">
        <v>645</v>
      </c>
      <c r="F96" t="s">
        <v>274</v>
      </c>
      <c r="G96" t="s">
        <v>296</v>
      </c>
      <c r="H96" t="s">
        <v>26</v>
      </c>
      <c r="I96">
        <v>2021</v>
      </c>
      <c r="J96">
        <v>2021</v>
      </c>
      <c r="K96" t="s">
        <v>276</v>
      </c>
      <c r="L96">
        <v>0.87</v>
      </c>
      <c r="M96" t="s">
        <v>277</v>
      </c>
      <c r="N96" t="s">
        <v>278</v>
      </c>
    </row>
    <row r="97" spans="1:14" x14ac:dyDescent="0.3">
      <c r="A97" t="s">
        <v>272</v>
      </c>
      <c r="B97" t="s">
        <v>273</v>
      </c>
      <c r="C97">
        <v>250</v>
      </c>
      <c r="D97" t="s">
        <v>78</v>
      </c>
      <c r="E97">
        <v>645</v>
      </c>
      <c r="F97" t="s">
        <v>274</v>
      </c>
      <c r="G97" t="s">
        <v>297</v>
      </c>
      <c r="H97" t="s">
        <v>38</v>
      </c>
      <c r="I97">
        <v>2017</v>
      </c>
      <c r="J97">
        <v>2017</v>
      </c>
      <c r="K97" t="s">
        <v>276</v>
      </c>
      <c r="L97">
        <v>5.68</v>
      </c>
      <c r="M97" t="s">
        <v>277</v>
      </c>
      <c r="N97" t="s">
        <v>278</v>
      </c>
    </row>
    <row r="98" spans="1:14" x14ac:dyDescent="0.3">
      <c r="A98" t="s">
        <v>272</v>
      </c>
      <c r="B98" t="s">
        <v>273</v>
      </c>
      <c r="C98">
        <v>250</v>
      </c>
      <c r="D98" t="s">
        <v>78</v>
      </c>
      <c r="E98">
        <v>645</v>
      </c>
      <c r="F98" t="s">
        <v>274</v>
      </c>
      <c r="G98" t="s">
        <v>297</v>
      </c>
      <c r="H98" t="s">
        <v>38</v>
      </c>
      <c r="I98">
        <v>2018</v>
      </c>
      <c r="J98">
        <v>2018</v>
      </c>
      <c r="K98" t="s">
        <v>276</v>
      </c>
      <c r="L98">
        <v>6.01</v>
      </c>
      <c r="M98" t="s">
        <v>277</v>
      </c>
      <c r="N98" t="s">
        <v>278</v>
      </c>
    </row>
    <row r="99" spans="1:14" x14ac:dyDescent="0.3">
      <c r="A99" t="s">
        <v>272</v>
      </c>
      <c r="B99" t="s">
        <v>273</v>
      </c>
      <c r="C99">
        <v>250</v>
      </c>
      <c r="D99" t="s">
        <v>78</v>
      </c>
      <c r="E99">
        <v>645</v>
      </c>
      <c r="F99" t="s">
        <v>274</v>
      </c>
      <c r="G99" t="s">
        <v>297</v>
      </c>
      <c r="H99" t="s">
        <v>38</v>
      </c>
      <c r="I99">
        <v>2019</v>
      </c>
      <c r="J99">
        <v>2019</v>
      </c>
      <c r="K99" t="s">
        <v>276</v>
      </c>
      <c r="L99">
        <v>5.5</v>
      </c>
      <c r="M99" t="s">
        <v>277</v>
      </c>
      <c r="N99" t="s">
        <v>278</v>
      </c>
    </row>
    <row r="100" spans="1:14" x14ac:dyDescent="0.3">
      <c r="A100" t="s">
        <v>272</v>
      </c>
      <c r="B100" t="s">
        <v>273</v>
      </c>
      <c r="C100">
        <v>250</v>
      </c>
      <c r="D100" t="s">
        <v>78</v>
      </c>
      <c r="E100">
        <v>645</v>
      </c>
      <c r="F100" t="s">
        <v>274</v>
      </c>
      <c r="G100" t="s">
        <v>297</v>
      </c>
      <c r="H100" t="s">
        <v>38</v>
      </c>
      <c r="I100">
        <v>2020</v>
      </c>
      <c r="J100">
        <v>2020</v>
      </c>
      <c r="K100" t="s">
        <v>276</v>
      </c>
      <c r="L100">
        <v>5.49</v>
      </c>
      <c r="M100" t="s">
        <v>277</v>
      </c>
      <c r="N100" t="s">
        <v>278</v>
      </c>
    </row>
    <row r="101" spans="1:14" x14ac:dyDescent="0.3">
      <c r="A101" t="s">
        <v>272</v>
      </c>
      <c r="B101" t="s">
        <v>273</v>
      </c>
      <c r="C101">
        <v>250</v>
      </c>
      <c r="D101" t="s">
        <v>78</v>
      </c>
      <c r="E101">
        <v>645</v>
      </c>
      <c r="F101" t="s">
        <v>274</v>
      </c>
      <c r="G101" t="s">
        <v>297</v>
      </c>
      <c r="H101" t="s">
        <v>38</v>
      </c>
      <c r="I101">
        <v>2021</v>
      </c>
      <c r="J101">
        <v>2021</v>
      </c>
      <c r="K101" t="s">
        <v>276</v>
      </c>
      <c r="L101">
        <v>5.49</v>
      </c>
      <c r="M101" t="s">
        <v>277</v>
      </c>
      <c r="N101" t="s">
        <v>278</v>
      </c>
    </row>
    <row r="102" spans="1:14" x14ac:dyDescent="0.3">
      <c r="A102" t="s">
        <v>272</v>
      </c>
      <c r="B102" t="s">
        <v>273</v>
      </c>
      <c r="C102">
        <v>250</v>
      </c>
      <c r="D102" t="s">
        <v>78</v>
      </c>
      <c r="E102">
        <v>645</v>
      </c>
      <c r="F102" t="s">
        <v>274</v>
      </c>
      <c r="G102" t="s">
        <v>298</v>
      </c>
      <c r="H102" t="s">
        <v>23</v>
      </c>
      <c r="I102">
        <v>2017</v>
      </c>
      <c r="J102">
        <v>2017</v>
      </c>
      <c r="K102" t="s">
        <v>276</v>
      </c>
      <c r="L102">
        <v>0.02</v>
      </c>
      <c r="M102" t="s">
        <v>277</v>
      </c>
      <c r="N102" t="s">
        <v>278</v>
      </c>
    </row>
    <row r="103" spans="1:14" x14ac:dyDescent="0.3">
      <c r="A103" t="s">
        <v>272</v>
      </c>
      <c r="B103" t="s">
        <v>273</v>
      </c>
      <c r="C103">
        <v>250</v>
      </c>
      <c r="D103" t="s">
        <v>78</v>
      </c>
      <c r="E103">
        <v>645</v>
      </c>
      <c r="F103" t="s">
        <v>274</v>
      </c>
      <c r="G103" t="s">
        <v>298</v>
      </c>
      <c r="H103" t="s">
        <v>23</v>
      </c>
      <c r="I103">
        <v>2018</v>
      </c>
      <c r="J103">
        <v>2018</v>
      </c>
      <c r="K103" t="s">
        <v>276</v>
      </c>
      <c r="L103">
        <v>0.02</v>
      </c>
      <c r="M103" t="s">
        <v>277</v>
      </c>
      <c r="N103" t="s">
        <v>278</v>
      </c>
    </row>
    <row r="104" spans="1:14" x14ac:dyDescent="0.3">
      <c r="A104" t="s">
        <v>272</v>
      </c>
      <c r="B104" t="s">
        <v>273</v>
      </c>
      <c r="C104">
        <v>250</v>
      </c>
      <c r="D104" t="s">
        <v>78</v>
      </c>
      <c r="E104">
        <v>645</v>
      </c>
      <c r="F104" t="s">
        <v>274</v>
      </c>
      <c r="G104" t="s">
        <v>298</v>
      </c>
      <c r="H104" t="s">
        <v>23</v>
      </c>
      <c r="I104">
        <v>2019</v>
      </c>
      <c r="J104">
        <v>2019</v>
      </c>
      <c r="K104" t="s">
        <v>276</v>
      </c>
      <c r="L104">
        <v>0.01</v>
      </c>
      <c r="M104" t="s">
        <v>277</v>
      </c>
      <c r="N104" t="s">
        <v>278</v>
      </c>
    </row>
    <row r="105" spans="1:14" x14ac:dyDescent="0.3">
      <c r="A105" t="s">
        <v>272</v>
      </c>
      <c r="B105" t="s">
        <v>273</v>
      </c>
      <c r="C105">
        <v>250</v>
      </c>
      <c r="D105" t="s">
        <v>78</v>
      </c>
      <c r="E105">
        <v>645</v>
      </c>
      <c r="F105" t="s">
        <v>274</v>
      </c>
      <c r="G105" t="s">
        <v>298</v>
      </c>
      <c r="H105" t="s">
        <v>23</v>
      </c>
      <c r="I105">
        <v>2020</v>
      </c>
      <c r="J105">
        <v>2020</v>
      </c>
      <c r="K105" t="s">
        <v>276</v>
      </c>
      <c r="L105">
        <v>0.01</v>
      </c>
      <c r="M105" t="s">
        <v>277</v>
      </c>
      <c r="N105" t="s">
        <v>278</v>
      </c>
    </row>
    <row r="106" spans="1:14" x14ac:dyDescent="0.3">
      <c r="A106" t="s">
        <v>272</v>
      </c>
      <c r="B106" t="s">
        <v>273</v>
      </c>
      <c r="C106">
        <v>250</v>
      </c>
      <c r="D106" t="s">
        <v>78</v>
      </c>
      <c r="E106">
        <v>645</v>
      </c>
      <c r="F106" t="s">
        <v>274</v>
      </c>
      <c r="G106" t="s">
        <v>298</v>
      </c>
      <c r="H106" t="s">
        <v>23</v>
      </c>
      <c r="I106">
        <v>2021</v>
      </c>
      <c r="J106">
        <v>2021</v>
      </c>
      <c r="K106" t="s">
        <v>276</v>
      </c>
      <c r="L106">
        <v>0.01</v>
      </c>
      <c r="M106" t="s">
        <v>277</v>
      </c>
      <c r="N106" t="s">
        <v>278</v>
      </c>
    </row>
    <row r="107" spans="1:14" x14ac:dyDescent="0.3">
      <c r="A107" t="s">
        <v>272</v>
      </c>
      <c r="B107" t="s">
        <v>273</v>
      </c>
      <c r="C107">
        <v>276</v>
      </c>
      <c r="D107" t="s">
        <v>79</v>
      </c>
      <c r="E107">
        <v>645</v>
      </c>
      <c r="F107" t="s">
        <v>274</v>
      </c>
      <c r="G107" t="s">
        <v>275</v>
      </c>
      <c r="H107" t="s">
        <v>24</v>
      </c>
      <c r="I107">
        <v>2017</v>
      </c>
      <c r="J107">
        <v>2017</v>
      </c>
      <c r="K107" t="s">
        <v>276</v>
      </c>
      <c r="L107">
        <v>14.96</v>
      </c>
      <c r="M107" t="s">
        <v>277</v>
      </c>
      <c r="N107" t="s">
        <v>278</v>
      </c>
    </row>
    <row r="108" spans="1:14" x14ac:dyDescent="0.3">
      <c r="A108" t="s">
        <v>272</v>
      </c>
      <c r="B108" t="s">
        <v>273</v>
      </c>
      <c r="C108">
        <v>276</v>
      </c>
      <c r="D108" t="s">
        <v>79</v>
      </c>
      <c r="E108">
        <v>645</v>
      </c>
      <c r="F108" t="s">
        <v>274</v>
      </c>
      <c r="G108" t="s">
        <v>275</v>
      </c>
      <c r="H108" t="s">
        <v>24</v>
      </c>
      <c r="I108">
        <v>2018</v>
      </c>
      <c r="J108">
        <v>2018</v>
      </c>
      <c r="K108" t="s">
        <v>276</v>
      </c>
      <c r="L108">
        <v>14.89</v>
      </c>
      <c r="M108" t="s">
        <v>277</v>
      </c>
      <c r="N108" t="s">
        <v>278</v>
      </c>
    </row>
    <row r="109" spans="1:14" x14ac:dyDescent="0.3">
      <c r="A109" t="s">
        <v>272</v>
      </c>
      <c r="B109" t="s">
        <v>273</v>
      </c>
      <c r="C109">
        <v>276</v>
      </c>
      <c r="D109" t="s">
        <v>79</v>
      </c>
      <c r="E109">
        <v>645</v>
      </c>
      <c r="F109" t="s">
        <v>274</v>
      </c>
      <c r="G109" t="s">
        <v>275</v>
      </c>
      <c r="H109" t="s">
        <v>24</v>
      </c>
      <c r="I109">
        <v>2019</v>
      </c>
      <c r="J109">
        <v>2019</v>
      </c>
      <c r="K109" t="s">
        <v>276</v>
      </c>
      <c r="L109">
        <v>14.49</v>
      </c>
      <c r="M109" t="s">
        <v>277</v>
      </c>
      <c r="N109" t="s">
        <v>278</v>
      </c>
    </row>
    <row r="110" spans="1:14" x14ac:dyDescent="0.3">
      <c r="A110" t="s">
        <v>272</v>
      </c>
      <c r="B110" t="s">
        <v>273</v>
      </c>
      <c r="C110">
        <v>276</v>
      </c>
      <c r="D110" t="s">
        <v>79</v>
      </c>
      <c r="E110">
        <v>645</v>
      </c>
      <c r="F110" t="s">
        <v>274</v>
      </c>
      <c r="G110" t="s">
        <v>275</v>
      </c>
      <c r="H110" t="s">
        <v>24</v>
      </c>
      <c r="I110">
        <v>2020</v>
      </c>
      <c r="J110">
        <v>2020</v>
      </c>
      <c r="K110" t="s">
        <v>276</v>
      </c>
      <c r="L110">
        <v>14.73</v>
      </c>
      <c r="M110" t="s">
        <v>277</v>
      </c>
      <c r="N110" t="s">
        <v>278</v>
      </c>
    </row>
    <row r="111" spans="1:14" x14ac:dyDescent="0.3">
      <c r="A111" t="s">
        <v>272</v>
      </c>
      <c r="B111" t="s">
        <v>273</v>
      </c>
      <c r="C111">
        <v>276</v>
      </c>
      <c r="D111" t="s">
        <v>79</v>
      </c>
      <c r="E111">
        <v>645</v>
      </c>
      <c r="F111" t="s">
        <v>274</v>
      </c>
      <c r="G111" t="s">
        <v>275</v>
      </c>
      <c r="H111" t="s">
        <v>24</v>
      </c>
      <c r="I111">
        <v>2021</v>
      </c>
      <c r="J111">
        <v>2021</v>
      </c>
      <c r="K111" t="s">
        <v>276</v>
      </c>
      <c r="L111">
        <v>14.04</v>
      </c>
      <c r="M111" t="s">
        <v>277</v>
      </c>
      <c r="N111" t="s">
        <v>278</v>
      </c>
    </row>
    <row r="112" spans="1:14" x14ac:dyDescent="0.3">
      <c r="A112" t="s">
        <v>272</v>
      </c>
      <c r="B112" t="s">
        <v>273</v>
      </c>
      <c r="C112">
        <v>276</v>
      </c>
      <c r="D112" t="s">
        <v>79</v>
      </c>
      <c r="E112">
        <v>645</v>
      </c>
      <c r="F112" t="s">
        <v>274</v>
      </c>
      <c r="G112" t="s">
        <v>279</v>
      </c>
      <c r="H112" t="s">
        <v>39</v>
      </c>
      <c r="I112">
        <v>2017</v>
      </c>
      <c r="J112">
        <v>2017</v>
      </c>
      <c r="K112" t="s">
        <v>276</v>
      </c>
      <c r="L112">
        <v>0.82</v>
      </c>
      <c r="M112" t="s">
        <v>277</v>
      </c>
      <c r="N112" t="s">
        <v>278</v>
      </c>
    </row>
    <row r="113" spans="1:14" x14ac:dyDescent="0.3">
      <c r="A113" t="s">
        <v>272</v>
      </c>
      <c r="B113" t="s">
        <v>273</v>
      </c>
      <c r="C113">
        <v>276</v>
      </c>
      <c r="D113" t="s">
        <v>79</v>
      </c>
      <c r="E113">
        <v>645</v>
      </c>
      <c r="F113" t="s">
        <v>274</v>
      </c>
      <c r="G113" t="s">
        <v>279</v>
      </c>
      <c r="H113" t="s">
        <v>39</v>
      </c>
      <c r="I113">
        <v>2018</v>
      </c>
      <c r="J113">
        <v>2018</v>
      </c>
      <c r="K113" t="s">
        <v>276</v>
      </c>
      <c r="L113">
        <v>0.82</v>
      </c>
      <c r="M113" t="s">
        <v>277</v>
      </c>
      <c r="N113" t="s">
        <v>278</v>
      </c>
    </row>
    <row r="114" spans="1:14" x14ac:dyDescent="0.3">
      <c r="A114" t="s">
        <v>272</v>
      </c>
      <c r="B114" t="s">
        <v>273</v>
      </c>
      <c r="C114">
        <v>276</v>
      </c>
      <c r="D114" t="s">
        <v>79</v>
      </c>
      <c r="E114">
        <v>645</v>
      </c>
      <c r="F114" t="s">
        <v>274</v>
      </c>
      <c r="G114" t="s">
        <v>279</v>
      </c>
      <c r="H114" t="s">
        <v>39</v>
      </c>
      <c r="I114">
        <v>2019</v>
      </c>
      <c r="J114">
        <v>2019</v>
      </c>
      <c r="K114" t="s">
        <v>276</v>
      </c>
      <c r="L114">
        <v>0.84</v>
      </c>
      <c r="M114" t="s">
        <v>277</v>
      </c>
      <c r="N114" t="s">
        <v>278</v>
      </c>
    </row>
    <row r="115" spans="1:14" x14ac:dyDescent="0.3">
      <c r="A115" t="s">
        <v>272</v>
      </c>
      <c r="B115" t="s">
        <v>273</v>
      </c>
      <c r="C115">
        <v>276</v>
      </c>
      <c r="D115" t="s">
        <v>79</v>
      </c>
      <c r="E115">
        <v>645</v>
      </c>
      <c r="F115" t="s">
        <v>274</v>
      </c>
      <c r="G115" t="s">
        <v>279</v>
      </c>
      <c r="H115" t="s">
        <v>39</v>
      </c>
      <c r="I115">
        <v>2020</v>
      </c>
      <c r="J115">
        <v>2020</v>
      </c>
      <c r="K115" t="s">
        <v>276</v>
      </c>
      <c r="L115">
        <v>0.95</v>
      </c>
      <c r="M115" t="s">
        <v>277</v>
      </c>
      <c r="N115" t="s">
        <v>278</v>
      </c>
    </row>
    <row r="116" spans="1:14" x14ac:dyDescent="0.3">
      <c r="A116" t="s">
        <v>272</v>
      </c>
      <c r="B116" t="s">
        <v>273</v>
      </c>
      <c r="C116">
        <v>276</v>
      </c>
      <c r="D116" t="s">
        <v>79</v>
      </c>
      <c r="E116">
        <v>645</v>
      </c>
      <c r="F116" t="s">
        <v>274</v>
      </c>
      <c r="G116" t="s">
        <v>279</v>
      </c>
      <c r="H116" t="s">
        <v>39</v>
      </c>
      <c r="I116">
        <v>2021</v>
      </c>
      <c r="J116">
        <v>2021</v>
      </c>
      <c r="K116" t="s">
        <v>276</v>
      </c>
      <c r="L116">
        <v>0.71</v>
      </c>
      <c r="M116" t="s">
        <v>277</v>
      </c>
      <c r="N116" t="s">
        <v>278</v>
      </c>
    </row>
    <row r="117" spans="1:14" x14ac:dyDescent="0.3">
      <c r="A117" t="s">
        <v>272</v>
      </c>
      <c r="B117" t="s">
        <v>273</v>
      </c>
      <c r="C117">
        <v>276</v>
      </c>
      <c r="D117" t="s">
        <v>79</v>
      </c>
      <c r="E117">
        <v>645</v>
      </c>
      <c r="F117" t="s">
        <v>274</v>
      </c>
      <c r="G117" t="s">
        <v>280</v>
      </c>
      <c r="H117" t="s">
        <v>42</v>
      </c>
      <c r="I117">
        <v>2017</v>
      </c>
      <c r="J117">
        <v>2017</v>
      </c>
      <c r="K117" t="s">
        <v>276</v>
      </c>
      <c r="L117">
        <v>44.68</v>
      </c>
      <c r="M117" t="s">
        <v>277</v>
      </c>
      <c r="N117" t="s">
        <v>278</v>
      </c>
    </row>
    <row r="118" spans="1:14" x14ac:dyDescent="0.3">
      <c r="A118" t="s">
        <v>272</v>
      </c>
      <c r="B118" t="s">
        <v>273</v>
      </c>
      <c r="C118">
        <v>276</v>
      </c>
      <c r="D118" t="s">
        <v>79</v>
      </c>
      <c r="E118">
        <v>645</v>
      </c>
      <c r="F118" t="s">
        <v>274</v>
      </c>
      <c r="G118" t="s">
        <v>280</v>
      </c>
      <c r="H118" t="s">
        <v>42</v>
      </c>
      <c r="I118">
        <v>2018</v>
      </c>
      <c r="J118">
        <v>2018</v>
      </c>
      <c r="K118" t="s">
        <v>276</v>
      </c>
      <c r="L118">
        <v>45.6</v>
      </c>
      <c r="M118" t="s">
        <v>277</v>
      </c>
      <c r="N118" t="s">
        <v>278</v>
      </c>
    </row>
    <row r="119" spans="1:14" x14ac:dyDescent="0.3">
      <c r="A119" t="s">
        <v>272</v>
      </c>
      <c r="B119" t="s">
        <v>273</v>
      </c>
      <c r="C119">
        <v>276</v>
      </c>
      <c r="D119" t="s">
        <v>79</v>
      </c>
      <c r="E119">
        <v>645</v>
      </c>
      <c r="F119" t="s">
        <v>274</v>
      </c>
      <c r="G119" t="s">
        <v>280</v>
      </c>
      <c r="H119" t="s">
        <v>42</v>
      </c>
      <c r="I119">
        <v>2019</v>
      </c>
      <c r="J119">
        <v>2019</v>
      </c>
      <c r="K119" t="s">
        <v>276</v>
      </c>
      <c r="L119">
        <v>46.72</v>
      </c>
      <c r="M119" t="s">
        <v>277</v>
      </c>
      <c r="N119" t="s">
        <v>278</v>
      </c>
    </row>
    <row r="120" spans="1:14" x14ac:dyDescent="0.3">
      <c r="A120" t="s">
        <v>272</v>
      </c>
      <c r="B120" t="s">
        <v>273</v>
      </c>
      <c r="C120">
        <v>276</v>
      </c>
      <c r="D120" t="s">
        <v>79</v>
      </c>
      <c r="E120">
        <v>645</v>
      </c>
      <c r="F120" t="s">
        <v>274</v>
      </c>
      <c r="G120" t="s">
        <v>280</v>
      </c>
      <c r="H120" t="s">
        <v>42</v>
      </c>
      <c r="I120">
        <v>2020</v>
      </c>
      <c r="J120">
        <v>2020</v>
      </c>
      <c r="K120" t="s">
        <v>276</v>
      </c>
      <c r="L120">
        <v>44.06</v>
      </c>
      <c r="M120" t="s">
        <v>277</v>
      </c>
      <c r="N120" t="s">
        <v>278</v>
      </c>
    </row>
    <row r="121" spans="1:14" x14ac:dyDescent="0.3">
      <c r="A121" t="s">
        <v>272</v>
      </c>
      <c r="B121" t="s">
        <v>273</v>
      </c>
      <c r="C121">
        <v>276</v>
      </c>
      <c r="D121" t="s">
        <v>79</v>
      </c>
      <c r="E121">
        <v>645</v>
      </c>
      <c r="F121" t="s">
        <v>274</v>
      </c>
      <c r="G121" t="s">
        <v>280</v>
      </c>
      <c r="H121" t="s">
        <v>42</v>
      </c>
      <c r="I121">
        <v>2021</v>
      </c>
      <c r="J121">
        <v>2021</v>
      </c>
      <c r="K121" t="s">
        <v>276</v>
      </c>
      <c r="L121">
        <v>43.26</v>
      </c>
      <c r="M121" t="s">
        <v>277</v>
      </c>
      <c r="N121" t="s">
        <v>278</v>
      </c>
    </row>
    <row r="122" spans="1:14" x14ac:dyDescent="0.3">
      <c r="A122" t="s">
        <v>272</v>
      </c>
      <c r="B122" t="s">
        <v>273</v>
      </c>
      <c r="C122">
        <v>276</v>
      </c>
      <c r="D122" t="s">
        <v>79</v>
      </c>
      <c r="E122">
        <v>645</v>
      </c>
      <c r="F122" t="s">
        <v>274</v>
      </c>
      <c r="G122" t="s">
        <v>281</v>
      </c>
      <c r="H122" t="s">
        <v>43</v>
      </c>
      <c r="I122">
        <v>2017</v>
      </c>
      <c r="J122">
        <v>2017</v>
      </c>
      <c r="K122" t="s">
        <v>276</v>
      </c>
      <c r="L122">
        <v>18.059999999999999</v>
      </c>
      <c r="M122" t="s">
        <v>277</v>
      </c>
      <c r="N122" t="s">
        <v>278</v>
      </c>
    </row>
    <row r="123" spans="1:14" x14ac:dyDescent="0.3">
      <c r="A123" t="s">
        <v>272</v>
      </c>
      <c r="B123" t="s">
        <v>273</v>
      </c>
      <c r="C123">
        <v>276</v>
      </c>
      <c r="D123" t="s">
        <v>79</v>
      </c>
      <c r="E123">
        <v>645</v>
      </c>
      <c r="F123" t="s">
        <v>274</v>
      </c>
      <c r="G123" t="s">
        <v>281</v>
      </c>
      <c r="H123" t="s">
        <v>43</v>
      </c>
      <c r="I123">
        <v>2018</v>
      </c>
      <c r="J123">
        <v>2018</v>
      </c>
      <c r="K123" t="s">
        <v>276</v>
      </c>
      <c r="L123">
        <v>18.21</v>
      </c>
      <c r="M123" t="s">
        <v>277</v>
      </c>
      <c r="N123" t="s">
        <v>278</v>
      </c>
    </row>
    <row r="124" spans="1:14" x14ac:dyDescent="0.3">
      <c r="A124" t="s">
        <v>272</v>
      </c>
      <c r="B124" t="s">
        <v>273</v>
      </c>
      <c r="C124">
        <v>276</v>
      </c>
      <c r="D124" t="s">
        <v>79</v>
      </c>
      <c r="E124">
        <v>645</v>
      </c>
      <c r="F124" t="s">
        <v>274</v>
      </c>
      <c r="G124" t="s">
        <v>281</v>
      </c>
      <c r="H124" t="s">
        <v>43</v>
      </c>
      <c r="I124">
        <v>2019</v>
      </c>
      <c r="J124">
        <v>2019</v>
      </c>
      <c r="K124" t="s">
        <v>276</v>
      </c>
      <c r="L124">
        <v>17.38</v>
      </c>
      <c r="M124" t="s">
        <v>277</v>
      </c>
      <c r="N124" t="s">
        <v>278</v>
      </c>
    </row>
    <row r="125" spans="1:14" x14ac:dyDescent="0.3">
      <c r="A125" t="s">
        <v>272</v>
      </c>
      <c r="B125" t="s">
        <v>273</v>
      </c>
      <c r="C125">
        <v>276</v>
      </c>
      <c r="D125" t="s">
        <v>79</v>
      </c>
      <c r="E125">
        <v>645</v>
      </c>
      <c r="F125" t="s">
        <v>274</v>
      </c>
      <c r="G125" t="s">
        <v>281</v>
      </c>
      <c r="H125" t="s">
        <v>43</v>
      </c>
      <c r="I125">
        <v>2020</v>
      </c>
      <c r="J125">
        <v>2020</v>
      </c>
      <c r="K125" t="s">
        <v>276</v>
      </c>
      <c r="L125">
        <v>18.11</v>
      </c>
      <c r="M125" t="s">
        <v>277</v>
      </c>
      <c r="N125" t="s">
        <v>278</v>
      </c>
    </row>
    <row r="126" spans="1:14" x14ac:dyDescent="0.3">
      <c r="A126" t="s">
        <v>272</v>
      </c>
      <c r="B126" t="s">
        <v>273</v>
      </c>
      <c r="C126">
        <v>276</v>
      </c>
      <c r="D126" t="s">
        <v>79</v>
      </c>
      <c r="E126">
        <v>645</v>
      </c>
      <c r="F126" t="s">
        <v>274</v>
      </c>
      <c r="G126" t="s">
        <v>281</v>
      </c>
      <c r="H126" t="s">
        <v>43</v>
      </c>
      <c r="I126">
        <v>2021</v>
      </c>
      <c r="J126">
        <v>2021</v>
      </c>
      <c r="K126" t="s">
        <v>276</v>
      </c>
      <c r="L126">
        <v>17.63</v>
      </c>
      <c r="M126" t="s">
        <v>277</v>
      </c>
      <c r="N126" t="s">
        <v>278</v>
      </c>
    </row>
    <row r="127" spans="1:14" x14ac:dyDescent="0.3">
      <c r="A127" t="s">
        <v>272</v>
      </c>
      <c r="B127" t="s">
        <v>273</v>
      </c>
      <c r="C127">
        <v>276</v>
      </c>
      <c r="D127" t="s">
        <v>79</v>
      </c>
      <c r="E127">
        <v>645</v>
      </c>
      <c r="F127" t="s">
        <v>274</v>
      </c>
      <c r="G127" t="s">
        <v>282</v>
      </c>
      <c r="H127" t="s">
        <v>36</v>
      </c>
      <c r="I127">
        <v>2017</v>
      </c>
      <c r="J127">
        <v>2017</v>
      </c>
      <c r="K127" t="s">
        <v>276</v>
      </c>
      <c r="L127">
        <v>2.06</v>
      </c>
      <c r="M127" t="s">
        <v>277</v>
      </c>
      <c r="N127" t="s">
        <v>278</v>
      </c>
    </row>
    <row r="128" spans="1:14" x14ac:dyDescent="0.3">
      <c r="A128" t="s">
        <v>272</v>
      </c>
      <c r="B128" t="s">
        <v>273</v>
      </c>
      <c r="C128">
        <v>276</v>
      </c>
      <c r="D128" t="s">
        <v>79</v>
      </c>
      <c r="E128">
        <v>645</v>
      </c>
      <c r="F128" t="s">
        <v>274</v>
      </c>
      <c r="G128" t="s">
        <v>282</v>
      </c>
      <c r="H128" t="s">
        <v>36</v>
      </c>
      <c r="I128">
        <v>2018</v>
      </c>
      <c r="J128">
        <v>2018</v>
      </c>
      <c r="K128" t="s">
        <v>276</v>
      </c>
      <c r="L128">
        <v>1.79</v>
      </c>
      <c r="M128" t="s">
        <v>277</v>
      </c>
      <c r="N128" t="s">
        <v>278</v>
      </c>
    </row>
    <row r="129" spans="1:14" x14ac:dyDescent="0.3">
      <c r="A129" t="s">
        <v>272</v>
      </c>
      <c r="B129" t="s">
        <v>273</v>
      </c>
      <c r="C129">
        <v>276</v>
      </c>
      <c r="D129" t="s">
        <v>79</v>
      </c>
      <c r="E129">
        <v>645</v>
      </c>
      <c r="F129" t="s">
        <v>274</v>
      </c>
      <c r="G129" t="s">
        <v>282</v>
      </c>
      <c r="H129" t="s">
        <v>36</v>
      </c>
      <c r="I129">
        <v>2019</v>
      </c>
      <c r="J129">
        <v>2019</v>
      </c>
      <c r="K129" t="s">
        <v>276</v>
      </c>
      <c r="L129">
        <v>0.78</v>
      </c>
      <c r="M129" t="s">
        <v>277</v>
      </c>
      <c r="N129" t="s">
        <v>278</v>
      </c>
    </row>
    <row r="130" spans="1:14" x14ac:dyDescent="0.3">
      <c r="A130" t="s">
        <v>272</v>
      </c>
      <c r="B130" t="s">
        <v>273</v>
      </c>
      <c r="C130">
        <v>276</v>
      </c>
      <c r="D130" t="s">
        <v>79</v>
      </c>
      <c r="E130">
        <v>645</v>
      </c>
      <c r="F130" t="s">
        <v>274</v>
      </c>
      <c r="G130" t="s">
        <v>282</v>
      </c>
      <c r="H130" t="s">
        <v>36</v>
      </c>
      <c r="I130">
        <v>2020</v>
      </c>
      <c r="J130">
        <v>2020</v>
      </c>
      <c r="K130" t="s">
        <v>276</v>
      </c>
      <c r="L130">
        <v>0.83</v>
      </c>
      <c r="M130" t="s">
        <v>277</v>
      </c>
      <c r="N130" t="s">
        <v>278</v>
      </c>
    </row>
    <row r="131" spans="1:14" x14ac:dyDescent="0.3">
      <c r="A131" t="s">
        <v>272</v>
      </c>
      <c r="B131" t="s">
        <v>273</v>
      </c>
      <c r="C131">
        <v>276</v>
      </c>
      <c r="D131" t="s">
        <v>79</v>
      </c>
      <c r="E131">
        <v>645</v>
      </c>
      <c r="F131" t="s">
        <v>274</v>
      </c>
      <c r="G131" t="s">
        <v>282</v>
      </c>
      <c r="H131" t="s">
        <v>36</v>
      </c>
      <c r="I131">
        <v>2021</v>
      </c>
      <c r="J131">
        <v>2021</v>
      </c>
      <c r="K131" t="s">
        <v>276</v>
      </c>
      <c r="L131">
        <v>0.95</v>
      </c>
      <c r="M131" t="s">
        <v>277</v>
      </c>
      <c r="N131" t="s">
        <v>278</v>
      </c>
    </row>
    <row r="132" spans="1:14" x14ac:dyDescent="0.3">
      <c r="A132" t="s">
        <v>272</v>
      </c>
      <c r="B132" t="s">
        <v>273</v>
      </c>
      <c r="C132">
        <v>276</v>
      </c>
      <c r="D132" t="s">
        <v>79</v>
      </c>
      <c r="E132">
        <v>645</v>
      </c>
      <c r="F132" t="s">
        <v>274</v>
      </c>
      <c r="G132" t="s">
        <v>283</v>
      </c>
      <c r="H132" t="s">
        <v>40</v>
      </c>
      <c r="I132">
        <v>2017</v>
      </c>
      <c r="J132">
        <v>2017</v>
      </c>
      <c r="K132" t="s">
        <v>276</v>
      </c>
      <c r="L132">
        <v>1.08</v>
      </c>
      <c r="M132" t="s">
        <v>277</v>
      </c>
      <c r="N132" t="s">
        <v>278</v>
      </c>
    </row>
    <row r="133" spans="1:14" x14ac:dyDescent="0.3">
      <c r="A133" t="s">
        <v>272</v>
      </c>
      <c r="B133" t="s">
        <v>273</v>
      </c>
      <c r="C133">
        <v>276</v>
      </c>
      <c r="D133" t="s">
        <v>79</v>
      </c>
      <c r="E133">
        <v>645</v>
      </c>
      <c r="F133" t="s">
        <v>274</v>
      </c>
      <c r="G133" t="s">
        <v>283</v>
      </c>
      <c r="H133" t="s">
        <v>40</v>
      </c>
      <c r="I133">
        <v>2018</v>
      </c>
      <c r="J133">
        <v>2018</v>
      </c>
      <c r="K133" t="s">
        <v>276</v>
      </c>
      <c r="L133">
        <v>1.77</v>
      </c>
      <c r="M133" t="s">
        <v>277</v>
      </c>
      <c r="N133" t="s">
        <v>278</v>
      </c>
    </row>
    <row r="134" spans="1:14" x14ac:dyDescent="0.3">
      <c r="A134" t="s">
        <v>272</v>
      </c>
      <c r="B134" t="s">
        <v>273</v>
      </c>
      <c r="C134">
        <v>276</v>
      </c>
      <c r="D134" t="s">
        <v>79</v>
      </c>
      <c r="E134">
        <v>645</v>
      </c>
      <c r="F134" t="s">
        <v>274</v>
      </c>
      <c r="G134" t="s">
        <v>283</v>
      </c>
      <c r="H134" t="s">
        <v>40</v>
      </c>
      <c r="I134">
        <v>2019</v>
      </c>
      <c r="J134">
        <v>2019</v>
      </c>
      <c r="K134" t="s">
        <v>276</v>
      </c>
      <c r="L134">
        <v>1.08</v>
      </c>
      <c r="M134" t="s">
        <v>277</v>
      </c>
      <c r="N134" t="s">
        <v>278</v>
      </c>
    </row>
    <row r="135" spans="1:14" x14ac:dyDescent="0.3">
      <c r="A135" t="s">
        <v>272</v>
      </c>
      <c r="B135" t="s">
        <v>273</v>
      </c>
      <c r="C135">
        <v>276</v>
      </c>
      <c r="D135" t="s">
        <v>79</v>
      </c>
      <c r="E135">
        <v>645</v>
      </c>
      <c r="F135" t="s">
        <v>274</v>
      </c>
      <c r="G135" t="s">
        <v>283</v>
      </c>
      <c r="H135" t="s">
        <v>40</v>
      </c>
      <c r="I135">
        <v>2020</v>
      </c>
      <c r="J135">
        <v>2020</v>
      </c>
      <c r="K135" t="s">
        <v>276</v>
      </c>
      <c r="L135">
        <v>1.87</v>
      </c>
      <c r="M135" t="s">
        <v>277</v>
      </c>
      <c r="N135" t="s">
        <v>278</v>
      </c>
    </row>
    <row r="136" spans="1:14" x14ac:dyDescent="0.3">
      <c r="A136" t="s">
        <v>272</v>
      </c>
      <c r="B136" t="s">
        <v>273</v>
      </c>
      <c r="C136">
        <v>276</v>
      </c>
      <c r="D136" t="s">
        <v>79</v>
      </c>
      <c r="E136">
        <v>645</v>
      </c>
      <c r="F136" t="s">
        <v>274</v>
      </c>
      <c r="G136" t="s">
        <v>283</v>
      </c>
      <c r="H136" t="s">
        <v>40</v>
      </c>
      <c r="I136">
        <v>2021</v>
      </c>
      <c r="J136">
        <v>2021</v>
      </c>
      <c r="K136" t="s">
        <v>276</v>
      </c>
      <c r="L136">
        <v>2.72</v>
      </c>
      <c r="M136" t="s">
        <v>277</v>
      </c>
      <c r="N136" t="s">
        <v>278</v>
      </c>
    </row>
    <row r="137" spans="1:14" x14ac:dyDescent="0.3">
      <c r="A137" t="s">
        <v>272</v>
      </c>
      <c r="B137" t="s">
        <v>273</v>
      </c>
      <c r="C137">
        <v>276</v>
      </c>
      <c r="D137" t="s">
        <v>79</v>
      </c>
      <c r="E137">
        <v>645</v>
      </c>
      <c r="F137" t="s">
        <v>274</v>
      </c>
      <c r="G137" t="s">
        <v>284</v>
      </c>
      <c r="H137" t="s">
        <v>25</v>
      </c>
      <c r="I137">
        <v>2017</v>
      </c>
      <c r="J137">
        <v>2017</v>
      </c>
      <c r="K137" t="s">
        <v>276</v>
      </c>
      <c r="L137">
        <v>5.49</v>
      </c>
      <c r="M137" t="s">
        <v>277</v>
      </c>
      <c r="N137" t="s">
        <v>278</v>
      </c>
    </row>
    <row r="138" spans="1:14" x14ac:dyDescent="0.3">
      <c r="A138" t="s">
        <v>272</v>
      </c>
      <c r="B138" t="s">
        <v>273</v>
      </c>
      <c r="C138">
        <v>276</v>
      </c>
      <c r="D138" t="s">
        <v>79</v>
      </c>
      <c r="E138">
        <v>645</v>
      </c>
      <c r="F138" t="s">
        <v>274</v>
      </c>
      <c r="G138" t="s">
        <v>284</v>
      </c>
      <c r="H138" t="s">
        <v>25</v>
      </c>
      <c r="I138">
        <v>2018</v>
      </c>
      <c r="J138">
        <v>2018</v>
      </c>
      <c r="K138" t="s">
        <v>276</v>
      </c>
      <c r="L138">
        <v>6.13</v>
      </c>
      <c r="M138" t="s">
        <v>277</v>
      </c>
      <c r="N138" t="s">
        <v>278</v>
      </c>
    </row>
    <row r="139" spans="1:14" x14ac:dyDescent="0.3">
      <c r="A139" t="s">
        <v>272</v>
      </c>
      <c r="B139" t="s">
        <v>273</v>
      </c>
      <c r="C139">
        <v>276</v>
      </c>
      <c r="D139" t="s">
        <v>79</v>
      </c>
      <c r="E139">
        <v>645</v>
      </c>
      <c r="F139" t="s">
        <v>274</v>
      </c>
      <c r="G139" t="s">
        <v>284</v>
      </c>
      <c r="H139" t="s">
        <v>25</v>
      </c>
      <c r="I139">
        <v>2019</v>
      </c>
      <c r="J139">
        <v>2019</v>
      </c>
      <c r="K139" t="s">
        <v>276</v>
      </c>
      <c r="L139">
        <v>6</v>
      </c>
      <c r="M139" t="s">
        <v>277</v>
      </c>
      <c r="N139" t="s">
        <v>278</v>
      </c>
    </row>
    <row r="140" spans="1:14" x14ac:dyDescent="0.3">
      <c r="A140" t="s">
        <v>272</v>
      </c>
      <c r="B140" t="s">
        <v>273</v>
      </c>
      <c r="C140">
        <v>276</v>
      </c>
      <c r="D140" t="s">
        <v>79</v>
      </c>
      <c r="E140">
        <v>645</v>
      </c>
      <c r="F140" t="s">
        <v>274</v>
      </c>
      <c r="G140" t="s">
        <v>284</v>
      </c>
      <c r="H140" t="s">
        <v>25</v>
      </c>
      <c r="I140">
        <v>2020</v>
      </c>
      <c r="J140">
        <v>2020</v>
      </c>
      <c r="K140" t="s">
        <v>276</v>
      </c>
      <c r="L140">
        <v>6.4</v>
      </c>
      <c r="M140" t="s">
        <v>277</v>
      </c>
      <c r="N140" t="s">
        <v>278</v>
      </c>
    </row>
    <row r="141" spans="1:14" x14ac:dyDescent="0.3">
      <c r="A141" t="s">
        <v>272</v>
      </c>
      <c r="B141" t="s">
        <v>273</v>
      </c>
      <c r="C141">
        <v>276</v>
      </c>
      <c r="D141" t="s">
        <v>79</v>
      </c>
      <c r="E141">
        <v>645</v>
      </c>
      <c r="F141" t="s">
        <v>274</v>
      </c>
      <c r="G141" t="s">
        <v>284</v>
      </c>
      <c r="H141" t="s">
        <v>25</v>
      </c>
      <c r="I141">
        <v>2021</v>
      </c>
      <c r="J141">
        <v>2021</v>
      </c>
      <c r="K141" t="s">
        <v>276</v>
      </c>
      <c r="L141">
        <v>6.16</v>
      </c>
      <c r="M141" t="s">
        <v>277</v>
      </c>
      <c r="N141" t="s">
        <v>278</v>
      </c>
    </row>
    <row r="142" spans="1:14" x14ac:dyDescent="0.3">
      <c r="A142" t="s">
        <v>272</v>
      </c>
      <c r="B142" t="s">
        <v>273</v>
      </c>
      <c r="C142">
        <v>276</v>
      </c>
      <c r="D142" t="s">
        <v>79</v>
      </c>
      <c r="E142">
        <v>645</v>
      </c>
      <c r="F142" t="s">
        <v>274</v>
      </c>
      <c r="G142" t="s">
        <v>285</v>
      </c>
      <c r="H142" t="s">
        <v>27</v>
      </c>
      <c r="I142">
        <v>2017</v>
      </c>
      <c r="J142">
        <v>2017</v>
      </c>
      <c r="K142" t="s">
        <v>276</v>
      </c>
      <c r="L142">
        <v>6.62</v>
      </c>
      <c r="M142" t="s">
        <v>277</v>
      </c>
      <c r="N142" t="s">
        <v>278</v>
      </c>
    </row>
    <row r="143" spans="1:14" x14ac:dyDescent="0.3">
      <c r="A143" t="s">
        <v>272</v>
      </c>
      <c r="B143" t="s">
        <v>273</v>
      </c>
      <c r="C143">
        <v>276</v>
      </c>
      <c r="D143" t="s">
        <v>79</v>
      </c>
      <c r="E143">
        <v>645</v>
      </c>
      <c r="F143" t="s">
        <v>274</v>
      </c>
      <c r="G143" t="s">
        <v>285</v>
      </c>
      <c r="H143" t="s">
        <v>27</v>
      </c>
      <c r="I143">
        <v>2018</v>
      </c>
      <c r="J143">
        <v>2018</v>
      </c>
      <c r="K143" t="s">
        <v>276</v>
      </c>
      <c r="L143">
        <v>6.73</v>
      </c>
      <c r="M143" t="s">
        <v>277</v>
      </c>
      <c r="N143" t="s">
        <v>278</v>
      </c>
    </row>
    <row r="144" spans="1:14" x14ac:dyDescent="0.3">
      <c r="A144" t="s">
        <v>272</v>
      </c>
      <c r="B144" t="s">
        <v>273</v>
      </c>
      <c r="C144">
        <v>276</v>
      </c>
      <c r="D144" t="s">
        <v>79</v>
      </c>
      <c r="E144">
        <v>645</v>
      </c>
      <c r="F144" t="s">
        <v>274</v>
      </c>
      <c r="G144" t="s">
        <v>285</v>
      </c>
      <c r="H144" t="s">
        <v>27</v>
      </c>
      <c r="I144">
        <v>2019</v>
      </c>
      <c r="J144">
        <v>2019</v>
      </c>
      <c r="K144" t="s">
        <v>276</v>
      </c>
      <c r="L144">
        <v>6.25</v>
      </c>
      <c r="M144" t="s">
        <v>277</v>
      </c>
      <c r="N144" t="s">
        <v>278</v>
      </c>
    </row>
    <row r="145" spans="1:14" x14ac:dyDescent="0.3">
      <c r="A145" t="s">
        <v>272</v>
      </c>
      <c r="B145" t="s">
        <v>273</v>
      </c>
      <c r="C145">
        <v>276</v>
      </c>
      <c r="D145" t="s">
        <v>79</v>
      </c>
      <c r="E145">
        <v>645</v>
      </c>
      <c r="F145" t="s">
        <v>274</v>
      </c>
      <c r="G145" t="s">
        <v>285</v>
      </c>
      <c r="H145" t="s">
        <v>27</v>
      </c>
      <c r="I145">
        <v>2020</v>
      </c>
      <c r="J145">
        <v>2020</v>
      </c>
      <c r="K145" t="s">
        <v>276</v>
      </c>
      <c r="L145">
        <v>6.04</v>
      </c>
      <c r="M145" t="s">
        <v>277</v>
      </c>
      <c r="N145" t="s">
        <v>278</v>
      </c>
    </row>
    <row r="146" spans="1:14" x14ac:dyDescent="0.3">
      <c r="A146" t="s">
        <v>272</v>
      </c>
      <c r="B146" t="s">
        <v>273</v>
      </c>
      <c r="C146">
        <v>276</v>
      </c>
      <c r="D146" t="s">
        <v>79</v>
      </c>
      <c r="E146">
        <v>645</v>
      </c>
      <c r="F146" t="s">
        <v>274</v>
      </c>
      <c r="G146" t="s">
        <v>285</v>
      </c>
      <c r="H146" t="s">
        <v>27</v>
      </c>
      <c r="I146">
        <v>2021</v>
      </c>
      <c r="J146">
        <v>2021</v>
      </c>
      <c r="K146" t="s">
        <v>276</v>
      </c>
      <c r="L146">
        <v>6.07</v>
      </c>
      <c r="M146" t="s">
        <v>277</v>
      </c>
      <c r="N146" t="s">
        <v>278</v>
      </c>
    </row>
    <row r="147" spans="1:14" x14ac:dyDescent="0.3">
      <c r="A147" t="s">
        <v>272</v>
      </c>
      <c r="B147" t="s">
        <v>273</v>
      </c>
      <c r="C147">
        <v>276</v>
      </c>
      <c r="D147" t="s">
        <v>79</v>
      </c>
      <c r="E147">
        <v>645</v>
      </c>
      <c r="F147" t="s">
        <v>274</v>
      </c>
      <c r="G147" t="s">
        <v>286</v>
      </c>
      <c r="H147" t="s">
        <v>31</v>
      </c>
      <c r="I147">
        <v>2017</v>
      </c>
      <c r="J147">
        <v>2017</v>
      </c>
      <c r="K147" t="s">
        <v>276</v>
      </c>
      <c r="L147">
        <v>0.63</v>
      </c>
      <c r="M147" t="s">
        <v>277</v>
      </c>
      <c r="N147" t="s">
        <v>278</v>
      </c>
    </row>
    <row r="148" spans="1:14" x14ac:dyDescent="0.3">
      <c r="A148" t="s">
        <v>272</v>
      </c>
      <c r="B148" t="s">
        <v>273</v>
      </c>
      <c r="C148">
        <v>276</v>
      </c>
      <c r="D148" t="s">
        <v>79</v>
      </c>
      <c r="E148">
        <v>645</v>
      </c>
      <c r="F148" t="s">
        <v>274</v>
      </c>
      <c r="G148" t="s">
        <v>286</v>
      </c>
      <c r="H148" t="s">
        <v>31</v>
      </c>
      <c r="I148">
        <v>2018</v>
      </c>
      <c r="J148">
        <v>2018</v>
      </c>
      <c r="K148" t="s">
        <v>276</v>
      </c>
      <c r="L148">
        <v>0.65</v>
      </c>
      <c r="M148" t="s">
        <v>277</v>
      </c>
      <c r="N148" t="s">
        <v>278</v>
      </c>
    </row>
    <row r="149" spans="1:14" x14ac:dyDescent="0.3">
      <c r="A149" t="s">
        <v>272</v>
      </c>
      <c r="B149" t="s">
        <v>273</v>
      </c>
      <c r="C149">
        <v>276</v>
      </c>
      <c r="D149" t="s">
        <v>79</v>
      </c>
      <c r="E149">
        <v>645</v>
      </c>
      <c r="F149" t="s">
        <v>274</v>
      </c>
      <c r="G149" t="s">
        <v>286</v>
      </c>
      <c r="H149" t="s">
        <v>31</v>
      </c>
      <c r="I149">
        <v>2019</v>
      </c>
      <c r="J149">
        <v>2019</v>
      </c>
      <c r="K149" t="s">
        <v>276</v>
      </c>
      <c r="L149">
        <v>0.41</v>
      </c>
      <c r="M149" t="s">
        <v>277</v>
      </c>
      <c r="N149" t="s">
        <v>278</v>
      </c>
    </row>
    <row r="150" spans="1:14" x14ac:dyDescent="0.3">
      <c r="A150" t="s">
        <v>272</v>
      </c>
      <c r="B150" t="s">
        <v>273</v>
      </c>
      <c r="C150">
        <v>276</v>
      </c>
      <c r="D150" t="s">
        <v>79</v>
      </c>
      <c r="E150">
        <v>645</v>
      </c>
      <c r="F150" t="s">
        <v>274</v>
      </c>
      <c r="G150" t="s">
        <v>286</v>
      </c>
      <c r="H150" t="s">
        <v>31</v>
      </c>
      <c r="I150">
        <v>2020</v>
      </c>
      <c r="J150">
        <v>2020</v>
      </c>
      <c r="K150" t="s">
        <v>276</v>
      </c>
      <c r="L150">
        <v>0.5</v>
      </c>
      <c r="M150" t="s">
        <v>277</v>
      </c>
      <c r="N150" t="s">
        <v>278</v>
      </c>
    </row>
    <row r="151" spans="1:14" x14ac:dyDescent="0.3">
      <c r="A151" t="s">
        <v>272</v>
      </c>
      <c r="B151" t="s">
        <v>273</v>
      </c>
      <c r="C151">
        <v>276</v>
      </c>
      <c r="D151" t="s">
        <v>79</v>
      </c>
      <c r="E151">
        <v>645</v>
      </c>
      <c r="F151" t="s">
        <v>274</v>
      </c>
      <c r="G151" t="s">
        <v>286</v>
      </c>
      <c r="H151" t="s">
        <v>31</v>
      </c>
      <c r="I151">
        <v>2021</v>
      </c>
      <c r="J151">
        <v>2021</v>
      </c>
      <c r="K151" t="s">
        <v>276</v>
      </c>
      <c r="L151">
        <v>0.9</v>
      </c>
      <c r="M151" t="s">
        <v>277</v>
      </c>
      <c r="N151" t="s">
        <v>278</v>
      </c>
    </row>
    <row r="152" spans="1:14" x14ac:dyDescent="0.3">
      <c r="A152" t="s">
        <v>272</v>
      </c>
      <c r="B152" t="s">
        <v>273</v>
      </c>
      <c r="C152">
        <v>276</v>
      </c>
      <c r="D152" t="s">
        <v>79</v>
      </c>
      <c r="E152">
        <v>645</v>
      </c>
      <c r="F152" t="s">
        <v>274</v>
      </c>
      <c r="G152" t="s">
        <v>288</v>
      </c>
      <c r="H152" t="s">
        <v>33</v>
      </c>
      <c r="I152">
        <v>2017</v>
      </c>
      <c r="J152">
        <v>2017</v>
      </c>
      <c r="K152" t="s">
        <v>276</v>
      </c>
      <c r="L152">
        <v>0</v>
      </c>
      <c r="M152" t="s">
        <v>277</v>
      </c>
      <c r="N152" t="s">
        <v>278</v>
      </c>
    </row>
    <row r="153" spans="1:14" x14ac:dyDescent="0.3">
      <c r="A153" t="s">
        <v>272</v>
      </c>
      <c r="B153" t="s">
        <v>273</v>
      </c>
      <c r="C153">
        <v>276</v>
      </c>
      <c r="D153" t="s">
        <v>79</v>
      </c>
      <c r="E153">
        <v>645</v>
      </c>
      <c r="F153" t="s">
        <v>274</v>
      </c>
      <c r="G153" t="s">
        <v>288</v>
      </c>
      <c r="H153" t="s">
        <v>33</v>
      </c>
      <c r="I153">
        <v>2018</v>
      </c>
      <c r="J153">
        <v>2018</v>
      </c>
      <c r="K153" t="s">
        <v>276</v>
      </c>
      <c r="L153">
        <v>0</v>
      </c>
      <c r="M153" t="s">
        <v>277</v>
      </c>
      <c r="N153" t="s">
        <v>278</v>
      </c>
    </row>
    <row r="154" spans="1:14" x14ac:dyDescent="0.3">
      <c r="A154" t="s">
        <v>272</v>
      </c>
      <c r="B154" t="s">
        <v>273</v>
      </c>
      <c r="C154">
        <v>276</v>
      </c>
      <c r="D154" t="s">
        <v>79</v>
      </c>
      <c r="E154">
        <v>645</v>
      </c>
      <c r="F154" t="s">
        <v>274</v>
      </c>
      <c r="G154" t="s">
        <v>288</v>
      </c>
      <c r="H154" t="s">
        <v>33</v>
      </c>
      <c r="I154">
        <v>2019</v>
      </c>
      <c r="J154">
        <v>2019</v>
      </c>
      <c r="K154" t="s">
        <v>276</v>
      </c>
      <c r="L154">
        <v>0</v>
      </c>
      <c r="M154" t="s">
        <v>277</v>
      </c>
      <c r="N154" t="s">
        <v>278</v>
      </c>
    </row>
    <row r="155" spans="1:14" x14ac:dyDescent="0.3">
      <c r="A155" t="s">
        <v>272</v>
      </c>
      <c r="B155" t="s">
        <v>273</v>
      </c>
      <c r="C155">
        <v>276</v>
      </c>
      <c r="D155" t="s">
        <v>79</v>
      </c>
      <c r="E155">
        <v>645</v>
      </c>
      <c r="F155" t="s">
        <v>274</v>
      </c>
      <c r="G155" t="s">
        <v>288</v>
      </c>
      <c r="H155" t="s">
        <v>33</v>
      </c>
      <c r="I155">
        <v>2020</v>
      </c>
      <c r="J155">
        <v>2020</v>
      </c>
      <c r="K155" t="s">
        <v>276</v>
      </c>
      <c r="L155">
        <v>0</v>
      </c>
      <c r="M155" t="s">
        <v>277</v>
      </c>
      <c r="N155" t="s">
        <v>278</v>
      </c>
    </row>
    <row r="156" spans="1:14" x14ac:dyDescent="0.3">
      <c r="A156" t="s">
        <v>272</v>
      </c>
      <c r="B156" t="s">
        <v>273</v>
      </c>
      <c r="C156">
        <v>276</v>
      </c>
      <c r="D156" t="s">
        <v>79</v>
      </c>
      <c r="E156">
        <v>645</v>
      </c>
      <c r="F156" t="s">
        <v>274</v>
      </c>
      <c r="G156" t="s">
        <v>288</v>
      </c>
      <c r="H156" t="s">
        <v>33</v>
      </c>
      <c r="I156">
        <v>2021</v>
      </c>
      <c r="J156">
        <v>2021</v>
      </c>
      <c r="K156" t="s">
        <v>276</v>
      </c>
      <c r="L156">
        <v>0</v>
      </c>
      <c r="M156" t="s">
        <v>277</v>
      </c>
      <c r="N156" t="s">
        <v>278</v>
      </c>
    </row>
    <row r="157" spans="1:14" x14ac:dyDescent="0.3">
      <c r="A157" t="s">
        <v>272</v>
      </c>
      <c r="B157" t="s">
        <v>273</v>
      </c>
      <c r="C157">
        <v>276</v>
      </c>
      <c r="D157" t="s">
        <v>79</v>
      </c>
      <c r="E157">
        <v>645</v>
      </c>
      <c r="F157" t="s">
        <v>274</v>
      </c>
      <c r="G157" t="s">
        <v>289</v>
      </c>
      <c r="H157" t="s">
        <v>30</v>
      </c>
      <c r="I157">
        <v>2017</v>
      </c>
      <c r="J157">
        <v>2017</v>
      </c>
      <c r="K157" t="s">
        <v>276</v>
      </c>
      <c r="L157">
        <v>14.42</v>
      </c>
      <c r="M157" t="s">
        <v>277</v>
      </c>
      <c r="N157" t="s">
        <v>278</v>
      </c>
    </row>
    <row r="158" spans="1:14" x14ac:dyDescent="0.3">
      <c r="A158" t="s">
        <v>272</v>
      </c>
      <c r="B158" t="s">
        <v>273</v>
      </c>
      <c r="C158">
        <v>276</v>
      </c>
      <c r="D158" t="s">
        <v>79</v>
      </c>
      <c r="E158">
        <v>645</v>
      </c>
      <c r="F158" t="s">
        <v>274</v>
      </c>
      <c r="G158" t="s">
        <v>289</v>
      </c>
      <c r="H158" t="s">
        <v>30</v>
      </c>
      <c r="I158">
        <v>2018</v>
      </c>
      <c r="J158">
        <v>2018</v>
      </c>
      <c r="K158" t="s">
        <v>276</v>
      </c>
      <c r="L158">
        <v>14.91</v>
      </c>
      <c r="M158" t="s">
        <v>277</v>
      </c>
      <c r="N158" t="s">
        <v>278</v>
      </c>
    </row>
    <row r="159" spans="1:14" x14ac:dyDescent="0.3">
      <c r="A159" t="s">
        <v>272</v>
      </c>
      <c r="B159" t="s">
        <v>273</v>
      </c>
      <c r="C159">
        <v>276</v>
      </c>
      <c r="D159" t="s">
        <v>79</v>
      </c>
      <c r="E159">
        <v>645</v>
      </c>
      <c r="F159" t="s">
        <v>274</v>
      </c>
      <c r="G159" t="s">
        <v>289</v>
      </c>
      <c r="H159" t="s">
        <v>30</v>
      </c>
      <c r="I159">
        <v>2019</v>
      </c>
      <c r="J159">
        <v>2019</v>
      </c>
      <c r="K159" t="s">
        <v>276</v>
      </c>
      <c r="L159">
        <v>17.46</v>
      </c>
      <c r="M159" t="s">
        <v>277</v>
      </c>
      <c r="N159" t="s">
        <v>278</v>
      </c>
    </row>
    <row r="160" spans="1:14" x14ac:dyDescent="0.3">
      <c r="A160" t="s">
        <v>272</v>
      </c>
      <c r="B160" t="s">
        <v>273</v>
      </c>
      <c r="C160">
        <v>276</v>
      </c>
      <c r="D160" t="s">
        <v>79</v>
      </c>
      <c r="E160">
        <v>645</v>
      </c>
      <c r="F160" t="s">
        <v>274</v>
      </c>
      <c r="G160" t="s">
        <v>289</v>
      </c>
      <c r="H160" t="s">
        <v>30</v>
      </c>
      <c r="I160">
        <v>2020</v>
      </c>
      <c r="J160">
        <v>2020</v>
      </c>
      <c r="K160" t="s">
        <v>276</v>
      </c>
      <c r="L160">
        <v>16.53</v>
      </c>
      <c r="M160" t="s">
        <v>277</v>
      </c>
      <c r="N160" t="s">
        <v>278</v>
      </c>
    </row>
    <row r="161" spans="1:14" x14ac:dyDescent="0.3">
      <c r="A161" t="s">
        <v>272</v>
      </c>
      <c r="B161" t="s">
        <v>273</v>
      </c>
      <c r="C161">
        <v>276</v>
      </c>
      <c r="D161" t="s">
        <v>79</v>
      </c>
      <c r="E161">
        <v>645</v>
      </c>
      <c r="F161" t="s">
        <v>274</v>
      </c>
      <c r="G161" t="s">
        <v>289</v>
      </c>
      <c r="H161" t="s">
        <v>30</v>
      </c>
      <c r="I161">
        <v>2021</v>
      </c>
      <c r="J161">
        <v>2021</v>
      </c>
      <c r="K161" t="s">
        <v>276</v>
      </c>
      <c r="L161">
        <v>15.96</v>
      </c>
      <c r="M161" t="s">
        <v>277</v>
      </c>
      <c r="N161" t="s">
        <v>278</v>
      </c>
    </row>
    <row r="162" spans="1:14" x14ac:dyDescent="0.3">
      <c r="A162" t="s">
        <v>272</v>
      </c>
      <c r="B162" t="s">
        <v>273</v>
      </c>
      <c r="C162">
        <v>276</v>
      </c>
      <c r="D162" t="s">
        <v>79</v>
      </c>
      <c r="E162">
        <v>645</v>
      </c>
      <c r="F162" t="s">
        <v>274</v>
      </c>
      <c r="G162" t="s">
        <v>290</v>
      </c>
      <c r="H162" t="s">
        <v>37</v>
      </c>
      <c r="I162">
        <v>2017</v>
      </c>
      <c r="J162">
        <v>2017</v>
      </c>
      <c r="K162" t="s">
        <v>276</v>
      </c>
      <c r="L162">
        <v>174.68</v>
      </c>
      <c r="M162" t="s">
        <v>277</v>
      </c>
      <c r="N162" t="s">
        <v>278</v>
      </c>
    </row>
    <row r="163" spans="1:14" x14ac:dyDescent="0.3">
      <c r="A163" t="s">
        <v>272</v>
      </c>
      <c r="B163" t="s">
        <v>273</v>
      </c>
      <c r="C163">
        <v>276</v>
      </c>
      <c r="D163" t="s">
        <v>79</v>
      </c>
      <c r="E163">
        <v>645</v>
      </c>
      <c r="F163" t="s">
        <v>274</v>
      </c>
      <c r="G163" t="s">
        <v>290</v>
      </c>
      <c r="H163" t="s">
        <v>37</v>
      </c>
      <c r="I163">
        <v>2018</v>
      </c>
      <c r="J163">
        <v>2018</v>
      </c>
      <c r="K163" t="s">
        <v>276</v>
      </c>
      <c r="L163">
        <v>173.26</v>
      </c>
      <c r="M163" t="s">
        <v>277</v>
      </c>
      <c r="N163" t="s">
        <v>278</v>
      </c>
    </row>
    <row r="164" spans="1:14" x14ac:dyDescent="0.3">
      <c r="A164" t="s">
        <v>272</v>
      </c>
      <c r="B164" t="s">
        <v>273</v>
      </c>
      <c r="C164">
        <v>276</v>
      </c>
      <c r="D164" t="s">
        <v>79</v>
      </c>
      <c r="E164">
        <v>645</v>
      </c>
      <c r="F164" t="s">
        <v>274</v>
      </c>
      <c r="G164" t="s">
        <v>290</v>
      </c>
      <c r="H164" t="s">
        <v>37</v>
      </c>
      <c r="I164">
        <v>2019</v>
      </c>
      <c r="J164">
        <v>2019</v>
      </c>
      <c r="K164" t="s">
        <v>276</v>
      </c>
      <c r="L164">
        <v>209.86</v>
      </c>
      <c r="M164" t="s">
        <v>277</v>
      </c>
      <c r="N164" t="s">
        <v>278</v>
      </c>
    </row>
    <row r="165" spans="1:14" x14ac:dyDescent="0.3">
      <c r="A165" t="s">
        <v>272</v>
      </c>
      <c r="B165" t="s">
        <v>273</v>
      </c>
      <c r="C165">
        <v>276</v>
      </c>
      <c r="D165" t="s">
        <v>79</v>
      </c>
      <c r="E165">
        <v>645</v>
      </c>
      <c r="F165" t="s">
        <v>274</v>
      </c>
      <c r="G165" t="s">
        <v>290</v>
      </c>
      <c r="H165" t="s">
        <v>37</v>
      </c>
      <c r="I165">
        <v>2020</v>
      </c>
      <c r="J165">
        <v>2020</v>
      </c>
      <c r="K165" t="s">
        <v>276</v>
      </c>
      <c r="L165">
        <v>213.53</v>
      </c>
      <c r="M165" t="s">
        <v>277</v>
      </c>
      <c r="N165" t="s">
        <v>278</v>
      </c>
    </row>
    <row r="166" spans="1:14" x14ac:dyDescent="0.3">
      <c r="A166" t="s">
        <v>272</v>
      </c>
      <c r="B166" t="s">
        <v>273</v>
      </c>
      <c r="C166">
        <v>276</v>
      </c>
      <c r="D166" t="s">
        <v>79</v>
      </c>
      <c r="E166">
        <v>645</v>
      </c>
      <c r="F166" t="s">
        <v>274</v>
      </c>
      <c r="G166" t="s">
        <v>290</v>
      </c>
      <c r="H166" t="s">
        <v>37</v>
      </c>
      <c r="I166">
        <v>2021</v>
      </c>
      <c r="J166">
        <v>2021</v>
      </c>
      <c r="K166" t="s">
        <v>276</v>
      </c>
      <c r="L166">
        <v>208.39</v>
      </c>
      <c r="M166" t="s">
        <v>277</v>
      </c>
      <c r="N166" t="s">
        <v>278</v>
      </c>
    </row>
    <row r="167" spans="1:14" x14ac:dyDescent="0.3">
      <c r="A167" t="s">
        <v>272</v>
      </c>
      <c r="B167" t="s">
        <v>273</v>
      </c>
      <c r="C167">
        <v>276</v>
      </c>
      <c r="D167" t="s">
        <v>79</v>
      </c>
      <c r="E167">
        <v>645</v>
      </c>
      <c r="F167" t="s">
        <v>274</v>
      </c>
      <c r="G167" t="s">
        <v>291</v>
      </c>
      <c r="H167" t="s">
        <v>34</v>
      </c>
      <c r="I167">
        <v>2017</v>
      </c>
      <c r="J167">
        <v>2017</v>
      </c>
      <c r="K167" t="s">
        <v>276</v>
      </c>
      <c r="L167">
        <v>4.42</v>
      </c>
      <c r="M167" t="s">
        <v>277</v>
      </c>
      <c r="N167" t="s">
        <v>278</v>
      </c>
    </row>
    <row r="168" spans="1:14" x14ac:dyDescent="0.3">
      <c r="A168" t="s">
        <v>272</v>
      </c>
      <c r="B168" t="s">
        <v>273</v>
      </c>
      <c r="C168">
        <v>276</v>
      </c>
      <c r="D168" t="s">
        <v>79</v>
      </c>
      <c r="E168">
        <v>645</v>
      </c>
      <c r="F168" t="s">
        <v>274</v>
      </c>
      <c r="G168" t="s">
        <v>291</v>
      </c>
      <c r="H168" t="s">
        <v>34</v>
      </c>
      <c r="I168">
        <v>2018</v>
      </c>
      <c r="J168">
        <v>2018</v>
      </c>
      <c r="K168" t="s">
        <v>276</v>
      </c>
      <c r="L168">
        <v>4.47</v>
      </c>
      <c r="M168" t="s">
        <v>277</v>
      </c>
      <c r="N168" t="s">
        <v>278</v>
      </c>
    </row>
    <row r="169" spans="1:14" x14ac:dyDescent="0.3">
      <c r="A169" t="s">
        <v>272</v>
      </c>
      <c r="B169" t="s">
        <v>273</v>
      </c>
      <c r="C169">
        <v>276</v>
      </c>
      <c r="D169" t="s">
        <v>79</v>
      </c>
      <c r="E169">
        <v>645</v>
      </c>
      <c r="F169" t="s">
        <v>274</v>
      </c>
      <c r="G169" t="s">
        <v>291</v>
      </c>
      <c r="H169" t="s">
        <v>34</v>
      </c>
      <c r="I169">
        <v>2019</v>
      </c>
      <c r="J169">
        <v>2019</v>
      </c>
      <c r="K169" t="s">
        <v>276</v>
      </c>
      <c r="L169">
        <v>4.7300000000000004</v>
      </c>
      <c r="M169" t="s">
        <v>277</v>
      </c>
      <c r="N169" t="s">
        <v>278</v>
      </c>
    </row>
    <row r="170" spans="1:14" x14ac:dyDescent="0.3">
      <c r="A170" t="s">
        <v>272</v>
      </c>
      <c r="B170" t="s">
        <v>273</v>
      </c>
      <c r="C170">
        <v>276</v>
      </c>
      <c r="D170" t="s">
        <v>79</v>
      </c>
      <c r="E170">
        <v>645</v>
      </c>
      <c r="F170" t="s">
        <v>274</v>
      </c>
      <c r="G170" t="s">
        <v>291</v>
      </c>
      <c r="H170" t="s">
        <v>34</v>
      </c>
      <c r="I170">
        <v>2020</v>
      </c>
      <c r="J170">
        <v>2020</v>
      </c>
      <c r="K170" t="s">
        <v>276</v>
      </c>
      <c r="L170">
        <v>4.72</v>
      </c>
      <c r="M170" t="s">
        <v>277</v>
      </c>
      <c r="N170" t="s">
        <v>278</v>
      </c>
    </row>
    <row r="171" spans="1:14" x14ac:dyDescent="0.3">
      <c r="A171" t="s">
        <v>272</v>
      </c>
      <c r="B171" t="s">
        <v>273</v>
      </c>
      <c r="C171">
        <v>276</v>
      </c>
      <c r="D171" t="s">
        <v>79</v>
      </c>
      <c r="E171">
        <v>645</v>
      </c>
      <c r="F171" t="s">
        <v>274</v>
      </c>
      <c r="G171" t="s">
        <v>291</v>
      </c>
      <c r="H171" t="s">
        <v>34</v>
      </c>
      <c r="I171">
        <v>2021</v>
      </c>
      <c r="J171">
        <v>2021</v>
      </c>
      <c r="K171" t="s">
        <v>276</v>
      </c>
      <c r="L171">
        <v>4.72</v>
      </c>
      <c r="M171" t="s">
        <v>277</v>
      </c>
      <c r="N171" t="s">
        <v>278</v>
      </c>
    </row>
    <row r="172" spans="1:14" x14ac:dyDescent="0.3">
      <c r="A172" t="s">
        <v>272</v>
      </c>
      <c r="B172" t="s">
        <v>273</v>
      </c>
      <c r="C172">
        <v>276</v>
      </c>
      <c r="D172" t="s">
        <v>79</v>
      </c>
      <c r="E172">
        <v>645</v>
      </c>
      <c r="F172" t="s">
        <v>274</v>
      </c>
      <c r="G172" t="s">
        <v>292</v>
      </c>
      <c r="H172" t="s">
        <v>29</v>
      </c>
      <c r="I172">
        <v>2017</v>
      </c>
      <c r="J172">
        <v>2017</v>
      </c>
      <c r="K172" t="s">
        <v>276</v>
      </c>
      <c r="L172">
        <v>3.95</v>
      </c>
      <c r="M172" t="s">
        <v>277</v>
      </c>
      <c r="N172" t="s">
        <v>278</v>
      </c>
    </row>
    <row r="173" spans="1:14" x14ac:dyDescent="0.3">
      <c r="A173" t="s">
        <v>272</v>
      </c>
      <c r="B173" t="s">
        <v>273</v>
      </c>
      <c r="C173">
        <v>276</v>
      </c>
      <c r="D173" t="s">
        <v>79</v>
      </c>
      <c r="E173">
        <v>645</v>
      </c>
      <c r="F173" t="s">
        <v>274</v>
      </c>
      <c r="G173" t="s">
        <v>292</v>
      </c>
      <c r="H173" t="s">
        <v>29</v>
      </c>
      <c r="I173">
        <v>2018</v>
      </c>
      <c r="J173">
        <v>2018</v>
      </c>
      <c r="K173" t="s">
        <v>276</v>
      </c>
      <c r="L173">
        <v>3.97</v>
      </c>
      <c r="M173" t="s">
        <v>277</v>
      </c>
      <c r="N173" t="s">
        <v>278</v>
      </c>
    </row>
    <row r="174" spans="1:14" x14ac:dyDescent="0.3">
      <c r="A174" t="s">
        <v>272</v>
      </c>
      <c r="B174" t="s">
        <v>273</v>
      </c>
      <c r="C174">
        <v>276</v>
      </c>
      <c r="D174" t="s">
        <v>79</v>
      </c>
      <c r="E174">
        <v>645</v>
      </c>
      <c r="F174" t="s">
        <v>274</v>
      </c>
      <c r="G174" t="s">
        <v>292</v>
      </c>
      <c r="H174" t="s">
        <v>29</v>
      </c>
      <c r="I174">
        <v>2019</v>
      </c>
      <c r="J174">
        <v>2019</v>
      </c>
      <c r="K174" t="s">
        <v>276</v>
      </c>
      <c r="L174">
        <v>4.05</v>
      </c>
      <c r="M174" t="s">
        <v>277</v>
      </c>
      <c r="N174" t="s">
        <v>278</v>
      </c>
    </row>
    <row r="175" spans="1:14" x14ac:dyDescent="0.3">
      <c r="A175" t="s">
        <v>272</v>
      </c>
      <c r="B175" t="s">
        <v>273</v>
      </c>
      <c r="C175">
        <v>276</v>
      </c>
      <c r="D175" t="s">
        <v>79</v>
      </c>
      <c r="E175">
        <v>645</v>
      </c>
      <c r="F175" t="s">
        <v>274</v>
      </c>
      <c r="G175" t="s">
        <v>292</v>
      </c>
      <c r="H175" t="s">
        <v>29</v>
      </c>
      <c r="I175">
        <v>2020</v>
      </c>
      <c r="J175">
        <v>2020</v>
      </c>
      <c r="K175" t="s">
        <v>276</v>
      </c>
      <c r="L175">
        <v>4.05</v>
      </c>
      <c r="M175" t="s">
        <v>277</v>
      </c>
      <c r="N175" t="s">
        <v>278</v>
      </c>
    </row>
    <row r="176" spans="1:14" x14ac:dyDescent="0.3">
      <c r="A176" t="s">
        <v>272</v>
      </c>
      <c r="B176" t="s">
        <v>273</v>
      </c>
      <c r="C176">
        <v>276</v>
      </c>
      <c r="D176" t="s">
        <v>79</v>
      </c>
      <c r="E176">
        <v>645</v>
      </c>
      <c r="F176" t="s">
        <v>274</v>
      </c>
      <c r="G176" t="s">
        <v>292</v>
      </c>
      <c r="H176" t="s">
        <v>29</v>
      </c>
      <c r="I176">
        <v>2021</v>
      </c>
      <c r="J176">
        <v>2021</v>
      </c>
      <c r="K176" t="s">
        <v>276</v>
      </c>
      <c r="L176">
        <v>4.04</v>
      </c>
      <c r="M176" t="s">
        <v>277</v>
      </c>
      <c r="N176" t="s">
        <v>278</v>
      </c>
    </row>
    <row r="177" spans="1:14" x14ac:dyDescent="0.3">
      <c r="A177" t="s">
        <v>272</v>
      </c>
      <c r="B177" t="s">
        <v>273</v>
      </c>
      <c r="C177">
        <v>276</v>
      </c>
      <c r="D177" t="s">
        <v>79</v>
      </c>
      <c r="E177">
        <v>645</v>
      </c>
      <c r="F177" t="s">
        <v>274</v>
      </c>
      <c r="G177" t="s">
        <v>293</v>
      </c>
      <c r="H177" t="s">
        <v>41</v>
      </c>
      <c r="I177">
        <v>2017</v>
      </c>
      <c r="J177">
        <v>2017</v>
      </c>
      <c r="K177" t="s">
        <v>276</v>
      </c>
      <c r="L177">
        <v>2.4900000000000002</v>
      </c>
      <c r="M177" t="s">
        <v>277</v>
      </c>
      <c r="N177" t="s">
        <v>278</v>
      </c>
    </row>
    <row r="178" spans="1:14" x14ac:dyDescent="0.3">
      <c r="A178" t="s">
        <v>272</v>
      </c>
      <c r="B178" t="s">
        <v>273</v>
      </c>
      <c r="C178">
        <v>276</v>
      </c>
      <c r="D178" t="s">
        <v>79</v>
      </c>
      <c r="E178">
        <v>645</v>
      </c>
      <c r="F178" t="s">
        <v>274</v>
      </c>
      <c r="G178" t="s">
        <v>293</v>
      </c>
      <c r="H178" t="s">
        <v>41</v>
      </c>
      <c r="I178">
        <v>2018</v>
      </c>
      <c r="J178">
        <v>2018</v>
      </c>
      <c r="K178" t="s">
        <v>276</v>
      </c>
      <c r="L178">
        <v>2.74</v>
      </c>
      <c r="M178" t="s">
        <v>277</v>
      </c>
      <c r="N178" t="s">
        <v>278</v>
      </c>
    </row>
    <row r="179" spans="1:14" x14ac:dyDescent="0.3">
      <c r="A179" t="s">
        <v>272</v>
      </c>
      <c r="B179" t="s">
        <v>273</v>
      </c>
      <c r="C179">
        <v>276</v>
      </c>
      <c r="D179" t="s">
        <v>79</v>
      </c>
      <c r="E179">
        <v>645</v>
      </c>
      <c r="F179" t="s">
        <v>274</v>
      </c>
      <c r="G179" t="s">
        <v>293</v>
      </c>
      <c r="H179" t="s">
        <v>41</v>
      </c>
      <c r="I179">
        <v>2019</v>
      </c>
      <c r="J179">
        <v>2019</v>
      </c>
      <c r="K179" t="s">
        <v>276</v>
      </c>
      <c r="L179">
        <v>2.48</v>
      </c>
      <c r="M179" t="s">
        <v>277</v>
      </c>
      <c r="N179" t="s">
        <v>278</v>
      </c>
    </row>
    <row r="180" spans="1:14" x14ac:dyDescent="0.3">
      <c r="A180" t="s">
        <v>272</v>
      </c>
      <c r="B180" t="s">
        <v>273</v>
      </c>
      <c r="C180">
        <v>276</v>
      </c>
      <c r="D180" t="s">
        <v>79</v>
      </c>
      <c r="E180">
        <v>645</v>
      </c>
      <c r="F180" t="s">
        <v>274</v>
      </c>
      <c r="G180" t="s">
        <v>293</v>
      </c>
      <c r="H180" t="s">
        <v>41</v>
      </c>
      <c r="I180">
        <v>2020</v>
      </c>
      <c r="J180">
        <v>2020</v>
      </c>
      <c r="K180" t="s">
        <v>276</v>
      </c>
      <c r="L180">
        <v>2.48</v>
      </c>
      <c r="M180" t="s">
        <v>277</v>
      </c>
      <c r="N180" t="s">
        <v>278</v>
      </c>
    </row>
    <row r="181" spans="1:14" x14ac:dyDescent="0.3">
      <c r="A181" t="s">
        <v>272</v>
      </c>
      <c r="B181" t="s">
        <v>273</v>
      </c>
      <c r="C181">
        <v>276</v>
      </c>
      <c r="D181" t="s">
        <v>79</v>
      </c>
      <c r="E181">
        <v>645</v>
      </c>
      <c r="F181" t="s">
        <v>274</v>
      </c>
      <c r="G181" t="s">
        <v>293</v>
      </c>
      <c r="H181" t="s">
        <v>41</v>
      </c>
      <c r="I181">
        <v>2021</v>
      </c>
      <c r="J181">
        <v>2021</v>
      </c>
      <c r="K181" t="s">
        <v>276</v>
      </c>
      <c r="L181">
        <v>2.48</v>
      </c>
      <c r="M181" t="s">
        <v>277</v>
      </c>
      <c r="N181" t="s">
        <v>278</v>
      </c>
    </row>
    <row r="182" spans="1:14" x14ac:dyDescent="0.3">
      <c r="A182" t="s">
        <v>272</v>
      </c>
      <c r="B182" t="s">
        <v>273</v>
      </c>
      <c r="C182">
        <v>276</v>
      </c>
      <c r="D182" t="s">
        <v>79</v>
      </c>
      <c r="E182">
        <v>645</v>
      </c>
      <c r="F182" t="s">
        <v>274</v>
      </c>
      <c r="G182" t="s">
        <v>294</v>
      </c>
      <c r="H182" t="s">
        <v>35</v>
      </c>
      <c r="I182">
        <v>2017</v>
      </c>
      <c r="J182">
        <v>2017</v>
      </c>
      <c r="K182" t="s">
        <v>276</v>
      </c>
      <c r="L182">
        <v>0.36</v>
      </c>
      <c r="M182" t="s">
        <v>277</v>
      </c>
      <c r="N182" t="s">
        <v>278</v>
      </c>
    </row>
    <row r="183" spans="1:14" x14ac:dyDescent="0.3">
      <c r="A183" t="s">
        <v>272</v>
      </c>
      <c r="B183" t="s">
        <v>273</v>
      </c>
      <c r="C183">
        <v>276</v>
      </c>
      <c r="D183" t="s">
        <v>79</v>
      </c>
      <c r="E183">
        <v>645</v>
      </c>
      <c r="F183" t="s">
        <v>274</v>
      </c>
      <c r="G183" t="s">
        <v>294</v>
      </c>
      <c r="H183" t="s">
        <v>35</v>
      </c>
      <c r="I183">
        <v>2018</v>
      </c>
      <c r="J183">
        <v>2018</v>
      </c>
      <c r="K183" t="s">
        <v>276</v>
      </c>
      <c r="L183">
        <v>0.35</v>
      </c>
      <c r="M183" t="s">
        <v>277</v>
      </c>
      <c r="N183" t="s">
        <v>278</v>
      </c>
    </row>
    <row r="184" spans="1:14" x14ac:dyDescent="0.3">
      <c r="A184" t="s">
        <v>272</v>
      </c>
      <c r="B184" t="s">
        <v>273</v>
      </c>
      <c r="C184">
        <v>276</v>
      </c>
      <c r="D184" t="s">
        <v>79</v>
      </c>
      <c r="E184">
        <v>645</v>
      </c>
      <c r="F184" t="s">
        <v>274</v>
      </c>
      <c r="G184" t="s">
        <v>294</v>
      </c>
      <c r="H184" t="s">
        <v>35</v>
      </c>
      <c r="I184">
        <v>2019</v>
      </c>
      <c r="J184">
        <v>2019</v>
      </c>
      <c r="K184" t="s">
        <v>276</v>
      </c>
      <c r="L184">
        <v>0.38</v>
      </c>
      <c r="M184" t="s">
        <v>277</v>
      </c>
      <c r="N184" t="s">
        <v>278</v>
      </c>
    </row>
    <row r="185" spans="1:14" x14ac:dyDescent="0.3">
      <c r="A185" t="s">
        <v>272</v>
      </c>
      <c r="B185" t="s">
        <v>273</v>
      </c>
      <c r="C185">
        <v>276</v>
      </c>
      <c r="D185" t="s">
        <v>79</v>
      </c>
      <c r="E185">
        <v>645</v>
      </c>
      <c r="F185" t="s">
        <v>274</v>
      </c>
      <c r="G185" t="s">
        <v>294</v>
      </c>
      <c r="H185" t="s">
        <v>35</v>
      </c>
      <c r="I185">
        <v>2020</v>
      </c>
      <c r="J185">
        <v>2020</v>
      </c>
      <c r="K185" t="s">
        <v>276</v>
      </c>
      <c r="L185">
        <v>0.37</v>
      </c>
      <c r="M185" t="s">
        <v>277</v>
      </c>
      <c r="N185" t="s">
        <v>278</v>
      </c>
    </row>
    <row r="186" spans="1:14" x14ac:dyDescent="0.3">
      <c r="A186" t="s">
        <v>272</v>
      </c>
      <c r="B186" t="s">
        <v>273</v>
      </c>
      <c r="C186">
        <v>276</v>
      </c>
      <c r="D186" t="s">
        <v>79</v>
      </c>
      <c r="E186">
        <v>645</v>
      </c>
      <c r="F186" t="s">
        <v>274</v>
      </c>
      <c r="G186" t="s">
        <v>294</v>
      </c>
      <c r="H186" t="s">
        <v>35</v>
      </c>
      <c r="I186">
        <v>2021</v>
      </c>
      <c r="J186">
        <v>2021</v>
      </c>
      <c r="K186" t="s">
        <v>276</v>
      </c>
      <c r="L186">
        <v>0.37</v>
      </c>
      <c r="M186" t="s">
        <v>277</v>
      </c>
      <c r="N186" t="s">
        <v>278</v>
      </c>
    </row>
    <row r="187" spans="1:14" x14ac:dyDescent="0.3">
      <c r="A187" t="s">
        <v>272</v>
      </c>
      <c r="B187" t="s">
        <v>273</v>
      </c>
      <c r="C187">
        <v>276</v>
      </c>
      <c r="D187" t="s">
        <v>79</v>
      </c>
      <c r="E187">
        <v>645</v>
      </c>
      <c r="F187" t="s">
        <v>274</v>
      </c>
      <c r="G187" t="s">
        <v>295</v>
      </c>
      <c r="H187" t="s">
        <v>28</v>
      </c>
      <c r="I187">
        <v>2017</v>
      </c>
      <c r="J187">
        <v>2017</v>
      </c>
      <c r="K187" t="s">
        <v>276</v>
      </c>
      <c r="L187">
        <v>0.88</v>
      </c>
      <c r="M187" t="s">
        <v>277</v>
      </c>
      <c r="N187" t="s">
        <v>278</v>
      </c>
    </row>
    <row r="188" spans="1:14" x14ac:dyDescent="0.3">
      <c r="A188" t="s">
        <v>272</v>
      </c>
      <c r="B188" t="s">
        <v>273</v>
      </c>
      <c r="C188">
        <v>276</v>
      </c>
      <c r="D188" t="s">
        <v>79</v>
      </c>
      <c r="E188">
        <v>645</v>
      </c>
      <c r="F188" t="s">
        <v>274</v>
      </c>
      <c r="G188" t="s">
        <v>295</v>
      </c>
      <c r="H188" t="s">
        <v>28</v>
      </c>
      <c r="I188">
        <v>2018</v>
      </c>
      <c r="J188">
        <v>2018</v>
      </c>
      <c r="K188" t="s">
        <v>276</v>
      </c>
      <c r="L188">
        <v>0.84</v>
      </c>
      <c r="M188" t="s">
        <v>277</v>
      </c>
      <c r="N188" t="s">
        <v>278</v>
      </c>
    </row>
    <row r="189" spans="1:14" x14ac:dyDescent="0.3">
      <c r="A189" t="s">
        <v>272</v>
      </c>
      <c r="B189" t="s">
        <v>273</v>
      </c>
      <c r="C189">
        <v>276</v>
      </c>
      <c r="D189" t="s">
        <v>79</v>
      </c>
      <c r="E189">
        <v>645</v>
      </c>
      <c r="F189" t="s">
        <v>274</v>
      </c>
      <c r="G189" t="s">
        <v>295</v>
      </c>
      <c r="H189" t="s">
        <v>28</v>
      </c>
      <c r="I189">
        <v>2019</v>
      </c>
      <c r="J189">
        <v>2019</v>
      </c>
      <c r="K189" t="s">
        <v>276</v>
      </c>
      <c r="L189">
        <v>0.96</v>
      </c>
      <c r="M189" t="s">
        <v>277</v>
      </c>
      <c r="N189" t="s">
        <v>278</v>
      </c>
    </row>
    <row r="190" spans="1:14" x14ac:dyDescent="0.3">
      <c r="A190" t="s">
        <v>272</v>
      </c>
      <c r="B190" t="s">
        <v>273</v>
      </c>
      <c r="C190">
        <v>276</v>
      </c>
      <c r="D190" t="s">
        <v>79</v>
      </c>
      <c r="E190">
        <v>645</v>
      </c>
      <c r="F190" t="s">
        <v>274</v>
      </c>
      <c r="G190" t="s">
        <v>295</v>
      </c>
      <c r="H190" t="s">
        <v>28</v>
      </c>
      <c r="I190">
        <v>2020</v>
      </c>
      <c r="J190">
        <v>2020</v>
      </c>
      <c r="K190" t="s">
        <v>276</v>
      </c>
      <c r="L190">
        <v>0.95</v>
      </c>
      <c r="M190" t="s">
        <v>277</v>
      </c>
      <c r="N190" t="s">
        <v>278</v>
      </c>
    </row>
    <row r="191" spans="1:14" x14ac:dyDescent="0.3">
      <c r="A191" t="s">
        <v>272</v>
      </c>
      <c r="B191" t="s">
        <v>273</v>
      </c>
      <c r="C191">
        <v>276</v>
      </c>
      <c r="D191" t="s">
        <v>79</v>
      </c>
      <c r="E191">
        <v>645</v>
      </c>
      <c r="F191" t="s">
        <v>274</v>
      </c>
      <c r="G191" t="s">
        <v>295</v>
      </c>
      <c r="H191" t="s">
        <v>28</v>
      </c>
      <c r="I191">
        <v>2021</v>
      </c>
      <c r="J191">
        <v>2021</v>
      </c>
      <c r="K191" t="s">
        <v>276</v>
      </c>
      <c r="L191">
        <v>0.95</v>
      </c>
      <c r="M191" t="s">
        <v>277</v>
      </c>
      <c r="N191" t="s">
        <v>278</v>
      </c>
    </row>
    <row r="192" spans="1:14" x14ac:dyDescent="0.3">
      <c r="A192" t="s">
        <v>272</v>
      </c>
      <c r="B192" t="s">
        <v>273</v>
      </c>
      <c r="C192">
        <v>276</v>
      </c>
      <c r="D192" t="s">
        <v>79</v>
      </c>
      <c r="E192">
        <v>645</v>
      </c>
      <c r="F192" t="s">
        <v>274</v>
      </c>
      <c r="G192" t="s">
        <v>296</v>
      </c>
      <c r="H192" t="s">
        <v>26</v>
      </c>
      <c r="I192">
        <v>2017</v>
      </c>
      <c r="J192">
        <v>2017</v>
      </c>
      <c r="K192" t="s">
        <v>276</v>
      </c>
      <c r="L192">
        <v>0.26</v>
      </c>
      <c r="M192" t="s">
        <v>277</v>
      </c>
      <c r="N192" t="s">
        <v>278</v>
      </c>
    </row>
    <row r="193" spans="1:14" x14ac:dyDescent="0.3">
      <c r="A193" t="s">
        <v>272</v>
      </c>
      <c r="B193" t="s">
        <v>273</v>
      </c>
      <c r="C193">
        <v>276</v>
      </c>
      <c r="D193" t="s">
        <v>79</v>
      </c>
      <c r="E193">
        <v>645</v>
      </c>
      <c r="F193" t="s">
        <v>274</v>
      </c>
      <c r="G193" t="s">
        <v>296</v>
      </c>
      <c r="H193" t="s">
        <v>26</v>
      </c>
      <c r="I193">
        <v>2018</v>
      </c>
      <c r="J193">
        <v>2018</v>
      </c>
      <c r="K193" t="s">
        <v>276</v>
      </c>
      <c r="L193">
        <v>0.24</v>
      </c>
      <c r="M193" t="s">
        <v>277</v>
      </c>
      <c r="N193" t="s">
        <v>278</v>
      </c>
    </row>
    <row r="194" spans="1:14" x14ac:dyDescent="0.3">
      <c r="A194" t="s">
        <v>272</v>
      </c>
      <c r="B194" t="s">
        <v>273</v>
      </c>
      <c r="C194">
        <v>276</v>
      </c>
      <c r="D194" t="s">
        <v>79</v>
      </c>
      <c r="E194">
        <v>645</v>
      </c>
      <c r="F194" t="s">
        <v>274</v>
      </c>
      <c r="G194" t="s">
        <v>296</v>
      </c>
      <c r="H194" t="s">
        <v>26</v>
      </c>
      <c r="I194">
        <v>2019</v>
      </c>
      <c r="J194">
        <v>2019</v>
      </c>
      <c r="K194" t="s">
        <v>276</v>
      </c>
      <c r="L194">
        <v>0.26</v>
      </c>
      <c r="M194" t="s">
        <v>277</v>
      </c>
      <c r="N194" t="s">
        <v>278</v>
      </c>
    </row>
    <row r="195" spans="1:14" x14ac:dyDescent="0.3">
      <c r="A195" t="s">
        <v>272</v>
      </c>
      <c r="B195" t="s">
        <v>273</v>
      </c>
      <c r="C195">
        <v>276</v>
      </c>
      <c r="D195" t="s">
        <v>79</v>
      </c>
      <c r="E195">
        <v>645</v>
      </c>
      <c r="F195" t="s">
        <v>274</v>
      </c>
      <c r="G195" t="s">
        <v>296</v>
      </c>
      <c r="H195" t="s">
        <v>26</v>
      </c>
      <c r="I195">
        <v>2020</v>
      </c>
      <c r="J195">
        <v>2020</v>
      </c>
      <c r="K195" t="s">
        <v>276</v>
      </c>
      <c r="L195">
        <v>0.26</v>
      </c>
      <c r="M195" t="s">
        <v>277</v>
      </c>
      <c r="N195" t="s">
        <v>278</v>
      </c>
    </row>
    <row r="196" spans="1:14" x14ac:dyDescent="0.3">
      <c r="A196" t="s">
        <v>272</v>
      </c>
      <c r="B196" t="s">
        <v>273</v>
      </c>
      <c r="C196">
        <v>276</v>
      </c>
      <c r="D196" t="s">
        <v>79</v>
      </c>
      <c r="E196">
        <v>645</v>
      </c>
      <c r="F196" t="s">
        <v>274</v>
      </c>
      <c r="G196" t="s">
        <v>296</v>
      </c>
      <c r="H196" t="s">
        <v>26</v>
      </c>
      <c r="I196">
        <v>2021</v>
      </c>
      <c r="J196">
        <v>2021</v>
      </c>
      <c r="K196" t="s">
        <v>276</v>
      </c>
      <c r="L196">
        <v>0.26</v>
      </c>
      <c r="M196" t="s">
        <v>277</v>
      </c>
      <c r="N196" t="s">
        <v>278</v>
      </c>
    </row>
    <row r="197" spans="1:14" x14ac:dyDescent="0.3">
      <c r="A197" t="s">
        <v>272</v>
      </c>
      <c r="B197" t="s">
        <v>273</v>
      </c>
      <c r="C197">
        <v>276</v>
      </c>
      <c r="D197" t="s">
        <v>79</v>
      </c>
      <c r="E197">
        <v>645</v>
      </c>
      <c r="F197" t="s">
        <v>274</v>
      </c>
      <c r="G197" t="s">
        <v>297</v>
      </c>
      <c r="H197" t="s">
        <v>38</v>
      </c>
      <c r="I197">
        <v>2017</v>
      </c>
      <c r="J197">
        <v>2017</v>
      </c>
      <c r="K197" t="s">
        <v>276</v>
      </c>
      <c r="L197">
        <v>0.38</v>
      </c>
      <c r="M197" t="s">
        <v>277</v>
      </c>
      <c r="N197" t="s">
        <v>278</v>
      </c>
    </row>
    <row r="198" spans="1:14" x14ac:dyDescent="0.3">
      <c r="A198" t="s">
        <v>272</v>
      </c>
      <c r="B198" t="s">
        <v>273</v>
      </c>
      <c r="C198">
        <v>276</v>
      </c>
      <c r="D198" t="s">
        <v>79</v>
      </c>
      <c r="E198">
        <v>645</v>
      </c>
      <c r="F198" t="s">
        <v>274</v>
      </c>
      <c r="G198" t="s">
        <v>297</v>
      </c>
      <c r="H198" t="s">
        <v>38</v>
      </c>
      <c r="I198">
        <v>2018</v>
      </c>
      <c r="J198">
        <v>2018</v>
      </c>
      <c r="K198" t="s">
        <v>276</v>
      </c>
      <c r="L198">
        <v>0.39</v>
      </c>
      <c r="M198" t="s">
        <v>277</v>
      </c>
      <c r="N198" t="s">
        <v>278</v>
      </c>
    </row>
    <row r="199" spans="1:14" x14ac:dyDescent="0.3">
      <c r="A199" t="s">
        <v>272</v>
      </c>
      <c r="B199" t="s">
        <v>273</v>
      </c>
      <c r="C199">
        <v>276</v>
      </c>
      <c r="D199" t="s">
        <v>79</v>
      </c>
      <c r="E199">
        <v>645</v>
      </c>
      <c r="F199" t="s">
        <v>274</v>
      </c>
      <c r="G199" t="s">
        <v>297</v>
      </c>
      <c r="H199" t="s">
        <v>38</v>
      </c>
      <c r="I199">
        <v>2019</v>
      </c>
      <c r="J199">
        <v>2019</v>
      </c>
      <c r="K199" t="s">
        <v>276</v>
      </c>
      <c r="L199">
        <v>0.32</v>
      </c>
      <c r="M199" t="s">
        <v>277</v>
      </c>
      <c r="N199" t="s">
        <v>278</v>
      </c>
    </row>
    <row r="200" spans="1:14" x14ac:dyDescent="0.3">
      <c r="A200" t="s">
        <v>272</v>
      </c>
      <c r="B200" t="s">
        <v>273</v>
      </c>
      <c r="C200">
        <v>276</v>
      </c>
      <c r="D200" t="s">
        <v>79</v>
      </c>
      <c r="E200">
        <v>645</v>
      </c>
      <c r="F200" t="s">
        <v>274</v>
      </c>
      <c r="G200" t="s">
        <v>297</v>
      </c>
      <c r="H200" t="s">
        <v>38</v>
      </c>
      <c r="I200">
        <v>2020</v>
      </c>
      <c r="J200">
        <v>2020</v>
      </c>
      <c r="K200" t="s">
        <v>276</v>
      </c>
      <c r="L200">
        <v>0.32</v>
      </c>
      <c r="M200" t="s">
        <v>277</v>
      </c>
      <c r="N200" t="s">
        <v>278</v>
      </c>
    </row>
    <row r="201" spans="1:14" x14ac:dyDescent="0.3">
      <c r="A201" t="s">
        <v>272</v>
      </c>
      <c r="B201" t="s">
        <v>273</v>
      </c>
      <c r="C201">
        <v>276</v>
      </c>
      <c r="D201" t="s">
        <v>79</v>
      </c>
      <c r="E201">
        <v>645</v>
      </c>
      <c r="F201" t="s">
        <v>274</v>
      </c>
      <c r="G201" t="s">
        <v>297</v>
      </c>
      <c r="H201" t="s">
        <v>38</v>
      </c>
      <c r="I201">
        <v>2021</v>
      </c>
      <c r="J201">
        <v>2021</v>
      </c>
      <c r="K201" t="s">
        <v>276</v>
      </c>
      <c r="L201">
        <v>0.32</v>
      </c>
      <c r="M201" t="s">
        <v>277</v>
      </c>
      <c r="N201" t="s">
        <v>278</v>
      </c>
    </row>
    <row r="202" spans="1:14" x14ac:dyDescent="0.3">
      <c r="A202" t="s">
        <v>272</v>
      </c>
      <c r="B202" t="s">
        <v>273</v>
      </c>
      <c r="C202">
        <v>276</v>
      </c>
      <c r="D202" t="s">
        <v>79</v>
      </c>
      <c r="E202">
        <v>645</v>
      </c>
      <c r="F202" t="s">
        <v>274</v>
      </c>
      <c r="G202" t="s">
        <v>298</v>
      </c>
      <c r="H202" t="s">
        <v>23</v>
      </c>
      <c r="I202">
        <v>2017</v>
      </c>
      <c r="J202">
        <v>2017</v>
      </c>
      <c r="K202" t="s">
        <v>276</v>
      </c>
      <c r="L202">
        <v>0.02</v>
      </c>
      <c r="M202" t="s">
        <v>277</v>
      </c>
      <c r="N202" t="s">
        <v>278</v>
      </c>
    </row>
    <row r="203" spans="1:14" x14ac:dyDescent="0.3">
      <c r="A203" t="s">
        <v>272</v>
      </c>
      <c r="B203" t="s">
        <v>273</v>
      </c>
      <c r="C203">
        <v>276</v>
      </c>
      <c r="D203" t="s">
        <v>79</v>
      </c>
      <c r="E203">
        <v>645</v>
      </c>
      <c r="F203" t="s">
        <v>274</v>
      </c>
      <c r="G203" t="s">
        <v>298</v>
      </c>
      <c r="H203" t="s">
        <v>23</v>
      </c>
      <c r="I203">
        <v>2018</v>
      </c>
      <c r="J203">
        <v>2018</v>
      </c>
      <c r="K203" t="s">
        <v>276</v>
      </c>
      <c r="L203">
        <v>0.01</v>
      </c>
      <c r="M203" t="s">
        <v>277</v>
      </c>
      <c r="N203" t="s">
        <v>278</v>
      </c>
    </row>
    <row r="204" spans="1:14" x14ac:dyDescent="0.3">
      <c r="A204" t="s">
        <v>272</v>
      </c>
      <c r="B204" t="s">
        <v>273</v>
      </c>
      <c r="C204">
        <v>276</v>
      </c>
      <c r="D204" t="s">
        <v>79</v>
      </c>
      <c r="E204">
        <v>645</v>
      </c>
      <c r="F204" t="s">
        <v>274</v>
      </c>
      <c r="G204" t="s">
        <v>298</v>
      </c>
      <c r="H204" t="s">
        <v>23</v>
      </c>
      <c r="I204">
        <v>2019</v>
      </c>
      <c r="J204">
        <v>2019</v>
      </c>
      <c r="K204" t="s">
        <v>276</v>
      </c>
      <c r="L204">
        <v>0.01</v>
      </c>
      <c r="M204" t="s">
        <v>277</v>
      </c>
      <c r="N204" t="s">
        <v>278</v>
      </c>
    </row>
    <row r="205" spans="1:14" x14ac:dyDescent="0.3">
      <c r="A205" t="s">
        <v>272</v>
      </c>
      <c r="B205" t="s">
        <v>273</v>
      </c>
      <c r="C205">
        <v>276</v>
      </c>
      <c r="D205" t="s">
        <v>79</v>
      </c>
      <c r="E205">
        <v>645</v>
      </c>
      <c r="F205" t="s">
        <v>274</v>
      </c>
      <c r="G205" t="s">
        <v>298</v>
      </c>
      <c r="H205" t="s">
        <v>23</v>
      </c>
      <c r="I205">
        <v>2020</v>
      </c>
      <c r="J205">
        <v>2020</v>
      </c>
      <c r="K205" t="s">
        <v>276</v>
      </c>
      <c r="L205">
        <v>0.01</v>
      </c>
      <c r="M205" t="s">
        <v>277</v>
      </c>
      <c r="N205" t="s">
        <v>278</v>
      </c>
    </row>
    <row r="206" spans="1:14" x14ac:dyDescent="0.3">
      <c r="A206" t="s">
        <v>272</v>
      </c>
      <c r="B206" t="s">
        <v>273</v>
      </c>
      <c r="C206">
        <v>276</v>
      </c>
      <c r="D206" t="s">
        <v>79</v>
      </c>
      <c r="E206">
        <v>645</v>
      </c>
      <c r="F206" t="s">
        <v>274</v>
      </c>
      <c r="G206" t="s">
        <v>298</v>
      </c>
      <c r="H206" t="s">
        <v>23</v>
      </c>
      <c r="I206">
        <v>2021</v>
      </c>
      <c r="J206">
        <v>2021</v>
      </c>
      <c r="K206" t="s">
        <v>276</v>
      </c>
      <c r="L206">
        <v>0.01</v>
      </c>
      <c r="M206" t="s">
        <v>277</v>
      </c>
      <c r="N206" t="s">
        <v>278</v>
      </c>
    </row>
    <row r="207" spans="1:14" x14ac:dyDescent="0.3">
      <c r="A207" t="s">
        <v>272</v>
      </c>
      <c r="B207" t="s">
        <v>273</v>
      </c>
      <c r="C207">
        <v>300</v>
      </c>
      <c r="D207" t="s">
        <v>80</v>
      </c>
      <c r="E207">
        <v>645</v>
      </c>
      <c r="F207" t="s">
        <v>274</v>
      </c>
      <c r="G207" t="s">
        <v>275</v>
      </c>
      <c r="H207" t="s">
        <v>24</v>
      </c>
      <c r="I207">
        <v>2017</v>
      </c>
      <c r="J207">
        <v>2017</v>
      </c>
      <c r="K207" t="s">
        <v>276</v>
      </c>
      <c r="L207">
        <v>15.3</v>
      </c>
      <c r="M207" t="s">
        <v>277</v>
      </c>
      <c r="N207" t="s">
        <v>278</v>
      </c>
    </row>
    <row r="208" spans="1:14" x14ac:dyDescent="0.3">
      <c r="A208" t="s">
        <v>272</v>
      </c>
      <c r="B208" t="s">
        <v>273</v>
      </c>
      <c r="C208">
        <v>300</v>
      </c>
      <c r="D208" t="s">
        <v>80</v>
      </c>
      <c r="E208">
        <v>645</v>
      </c>
      <c r="F208" t="s">
        <v>274</v>
      </c>
      <c r="G208" t="s">
        <v>275</v>
      </c>
      <c r="H208" t="s">
        <v>24</v>
      </c>
      <c r="I208">
        <v>2018</v>
      </c>
      <c r="J208">
        <v>2018</v>
      </c>
      <c r="K208" t="s">
        <v>276</v>
      </c>
      <c r="L208">
        <v>15.51</v>
      </c>
      <c r="M208" t="s">
        <v>277</v>
      </c>
      <c r="N208" t="s">
        <v>278</v>
      </c>
    </row>
    <row r="209" spans="1:14" x14ac:dyDescent="0.3">
      <c r="A209" t="s">
        <v>272</v>
      </c>
      <c r="B209" t="s">
        <v>273</v>
      </c>
      <c r="C209">
        <v>300</v>
      </c>
      <c r="D209" t="s">
        <v>80</v>
      </c>
      <c r="E209">
        <v>645</v>
      </c>
      <c r="F209" t="s">
        <v>274</v>
      </c>
      <c r="G209" t="s">
        <v>275</v>
      </c>
      <c r="H209" t="s">
        <v>24</v>
      </c>
      <c r="I209">
        <v>2019</v>
      </c>
      <c r="J209">
        <v>2019</v>
      </c>
      <c r="K209" t="s">
        <v>276</v>
      </c>
      <c r="L209">
        <v>14.94</v>
      </c>
      <c r="M209" t="s">
        <v>277</v>
      </c>
      <c r="N209" t="s">
        <v>278</v>
      </c>
    </row>
    <row r="210" spans="1:14" x14ac:dyDescent="0.3">
      <c r="A210" t="s">
        <v>272</v>
      </c>
      <c r="B210" t="s">
        <v>273</v>
      </c>
      <c r="C210">
        <v>300</v>
      </c>
      <c r="D210" t="s">
        <v>80</v>
      </c>
      <c r="E210">
        <v>645</v>
      </c>
      <c r="F210" t="s">
        <v>274</v>
      </c>
      <c r="G210" t="s">
        <v>275</v>
      </c>
      <c r="H210" t="s">
        <v>24</v>
      </c>
      <c r="I210">
        <v>2020</v>
      </c>
      <c r="J210">
        <v>2020</v>
      </c>
      <c r="K210" t="s">
        <v>276</v>
      </c>
      <c r="L210">
        <v>14.46</v>
      </c>
      <c r="M210" t="s">
        <v>277</v>
      </c>
      <c r="N210" t="s">
        <v>278</v>
      </c>
    </row>
    <row r="211" spans="1:14" x14ac:dyDescent="0.3">
      <c r="A211" t="s">
        <v>272</v>
      </c>
      <c r="B211" t="s">
        <v>273</v>
      </c>
      <c r="C211">
        <v>300</v>
      </c>
      <c r="D211" t="s">
        <v>80</v>
      </c>
      <c r="E211">
        <v>645</v>
      </c>
      <c r="F211" t="s">
        <v>274</v>
      </c>
      <c r="G211" t="s">
        <v>275</v>
      </c>
      <c r="H211" t="s">
        <v>24</v>
      </c>
      <c r="I211">
        <v>2021</v>
      </c>
      <c r="J211">
        <v>2021</v>
      </c>
      <c r="K211" t="s">
        <v>276</v>
      </c>
      <c r="L211">
        <v>14.51</v>
      </c>
      <c r="M211" t="s">
        <v>277</v>
      </c>
      <c r="N211" t="s">
        <v>278</v>
      </c>
    </row>
    <row r="212" spans="1:14" x14ac:dyDescent="0.3">
      <c r="A212" t="s">
        <v>272</v>
      </c>
      <c r="B212" t="s">
        <v>273</v>
      </c>
      <c r="C212">
        <v>300</v>
      </c>
      <c r="D212" t="s">
        <v>80</v>
      </c>
      <c r="E212">
        <v>645</v>
      </c>
      <c r="F212" t="s">
        <v>274</v>
      </c>
      <c r="G212" t="s">
        <v>279</v>
      </c>
      <c r="H212" t="s">
        <v>39</v>
      </c>
      <c r="I212">
        <v>2017</v>
      </c>
      <c r="J212">
        <v>2017</v>
      </c>
      <c r="K212" t="s">
        <v>276</v>
      </c>
      <c r="L212">
        <v>7</v>
      </c>
      <c r="M212" t="s">
        <v>277</v>
      </c>
      <c r="N212" t="s">
        <v>278</v>
      </c>
    </row>
    <row r="213" spans="1:14" x14ac:dyDescent="0.3">
      <c r="A213" t="s">
        <v>272</v>
      </c>
      <c r="B213" t="s">
        <v>273</v>
      </c>
      <c r="C213">
        <v>300</v>
      </c>
      <c r="D213" t="s">
        <v>80</v>
      </c>
      <c r="E213">
        <v>645</v>
      </c>
      <c r="F213" t="s">
        <v>274</v>
      </c>
      <c r="G213" t="s">
        <v>279</v>
      </c>
      <c r="H213" t="s">
        <v>39</v>
      </c>
      <c r="I213">
        <v>2018</v>
      </c>
      <c r="J213">
        <v>2018</v>
      </c>
      <c r="K213" t="s">
        <v>276</v>
      </c>
      <c r="L213">
        <v>6.78</v>
      </c>
      <c r="M213" t="s">
        <v>277</v>
      </c>
      <c r="N213" t="s">
        <v>278</v>
      </c>
    </row>
    <row r="214" spans="1:14" x14ac:dyDescent="0.3">
      <c r="A214" t="s">
        <v>272</v>
      </c>
      <c r="B214" t="s">
        <v>273</v>
      </c>
      <c r="C214">
        <v>300</v>
      </c>
      <c r="D214" t="s">
        <v>80</v>
      </c>
      <c r="E214">
        <v>645</v>
      </c>
      <c r="F214" t="s">
        <v>274</v>
      </c>
      <c r="G214" t="s">
        <v>279</v>
      </c>
      <c r="H214" t="s">
        <v>39</v>
      </c>
      <c r="I214">
        <v>2019</v>
      </c>
      <c r="J214">
        <v>2019</v>
      </c>
      <c r="K214" t="s">
        <v>276</v>
      </c>
      <c r="L214">
        <v>8.36</v>
      </c>
      <c r="M214" t="s">
        <v>277</v>
      </c>
      <c r="N214" t="s">
        <v>278</v>
      </c>
    </row>
    <row r="215" spans="1:14" x14ac:dyDescent="0.3">
      <c r="A215" t="s">
        <v>272</v>
      </c>
      <c r="B215" t="s">
        <v>273</v>
      </c>
      <c r="C215">
        <v>300</v>
      </c>
      <c r="D215" t="s">
        <v>80</v>
      </c>
      <c r="E215">
        <v>645</v>
      </c>
      <c r="F215" t="s">
        <v>274</v>
      </c>
      <c r="G215" t="s">
        <v>279</v>
      </c>
      <c r="H215" t="s">
        <v>39</v>
      </c>
      <c r="I215">
        <v>2020</v>
      </c>
      <c r="J215">
        <v>2020</v>
      </c>
      <c r="K215" t="s">
        <v>276</v>
      </c>
      <c r="L215">
        <v>7.56</v>
      </c>
      <c r="M215" t="s">
        <v>277</v>
      </c>
      <c r="N215" t="s">
        <v>278</v>
      </c>
    </row>
    <row r="216" spans="1:14" x14ac:dyDescent="0.3">
      <c r="A216" t="s">
        <v>272</v>
      </c>
      <c r="B216" t="s">
        <v>273</v>
      </c>
      <c r="C216">
        <v>300</v>
      </c>
      <c r="D216" t="s">
        <v>80</v>
      </c>
      <c r="E216">
        <v>645</v>
      </c>
      <c r="F216" t="s">
        <v>274</v>
      </c>
      <c r="G216" t="s">
        <v>279</v>
      </c>
      <c r="H216" t="s">
        <v>39</v>
      </c>
      <c r="I216">
        <v>2021</v>
      </c>
      <c r="J216">
        <v>2021</v>
      </c>
      <c r="K216" t="s">
        <v>276</v>
      </c>
      <c r="L216">
        <v>7.58</v>
      </c>
      <c r="M216" t="s">
        <v>277</v>
      </c>
      <c r="N216" t="s">
        <v>278</v>
      </c>
    </row>
    <row r="217" spans="1:14" x14ac:dyDescent="0.3">
      <c r="A217" t="s">
        <v>272</v>
      </c>
      <c r="B217" t="s">
        <v>273</v>
      </c>
      <c r="C217">
        <v>300</v>
      </c>
      <c r="D217" t="s">
        <v>80</v>
      </c>
      <c r="E217">
        <v>645</v>
      </c>
      <c r="F217" t="s">
        <v>274</v>
      </c>
      <c r="G217" t="s">
        <v>280</v>
      </c>
      <c r="H217" t="s">
        <v>42</v>
      </c>
      <c r="I217">
        <v>2017</v>
      </c>
      <c r="J217">
        <v>2017</v>
      </c>
      <c r="K217" t="s">
        <v>276</v>
      </c>
      <c r="L217">
        <v>28.29</v>
      </c>
      <c r="M217" t="s">
        <v>277</v>
      </c>
      <c r="N217" t="s">
        <v>278</v>
      </c>
    </row>
    <row r="218" spans="1:14" x14ac:dyDescent="0.3">
      <c r="A218" t="s">
        <v>272</v>
      </c>
      <c r="B218" t="s">
        <v>273</v>
      </c>
      <c r="C218">
        <v>300</v>
      </c>
      <c r="D218" t="s">
        <v>80</v>
      </c>
      <c r="E218">
        <v>645</v>
      </c>
      <c r="F218" t="s">
        <v>274</v>
      </c>
      <c r="G218" t="s">
        <v>280</v>
      </c>
      <c r="H218" t="s">
        <v>42</v>
      </c>
      <c r="I218">
        <v>2018</v>
      </c>
      <c r="J218">
        <v>2018</v>
      </c>
      <c r="K218" t="s">
        <v>276</v>
      </c>
      <c r="L218">
        <v>28.8</v>
      </c>
      <c r="M218" t="s">
        <v>277</v>
      </c>
      <c r="N218" t="s">
        <v>278</v>
      </c>
    </row>
    <row r="219" spans="1:14" x14ac:dyDescent="0.3">
      <c r="A219" t="s">
        <v>272</v>
      </c>
      <c r="B219" t="s">
        <v>273</v>
      </c>
      <c r="C219">
        <v>300</v>
      </c>
      <c r="D219" t="s">
        <v>80</v>
      </c>
      <c r="E219">
        <v>645</v>
      </c>
      <c r="F219" t="s">
        <v>274</v>
      </c>
      <c r="G219" t="s">
        <v>280</v>
      </c>
      <c r="H219" t="s">
        <v>42</v>
      </c>
      <c r="I219">
        <v>2019</v>
      </c>
      <c r="J219">
        <v>2019</v>
      </c>
      <c r="K219" t="s">
        <v>276</v>
      </c>
      <c r="L219">
        <v>28.59</v>
      </c>
      <c r="M219" t="s">
        <v>277</v>
      </c>
      <c r="N219" t="s">
        <v>278</v>
      </c>
    </row>
    <row r="220" spans="1:14" x14ac:dyDescent="0.3">
      <c r="A220" t="s">
        <v>272</v>
      </c>
      <c r="B220" t="s">
        <v>273</v>
      </c>
      <c r="C220">
        <v>300</v>
      </c>
      <c r="D220" t="s">
        <v>80</v>
      </c>
      <c r="E220">
        <v>645</v>
      </c>
      <c r="F220" t="s">
        <v>274</v>
      </c>
      <c r="G220" t="s">
        <v>280</v>
      </c>
      <c r="H220" t="s">
        <v>42</v>
      </c>
      <c r="I220">
        <v>2020</v>
      </c>
      <c r="J220">
        <v>2020</v>
      </c>
      <c r="K220" t="s">
        <v>276</v>
      </c>
      <c r="L220">
        <v>24.82</v>
      </c>
      <c r="M220" t="s">
        <v>277</v>
      </c>
      <c r="N220" t="s">
        <v>278</v>
      </c>
    </row>
    <row r="221" spans="1:14" x14ac:dyDescent="0.3">
      <c r="A221" t="s">
        <v>272</v>
      </c>
      <c r="B221" t="s">
        <v>273</v>
      </c>
      <c r="C221">
        <v>300</v>
      </c>
      <c r="D221" t="s">
        <v>80</v>
      </c>
      <c r="E221">
        <v>645</v>
      </c>
      <c r="F221" t="s">
        <v>274</v>
      </c>
      <c r="G221" t="s">
        <v>280</v>
      </c>
      <c r="H221" t="s">
        <v>42</v>
      </c>
      <c r="I221">
        <v>2021</v>
      </c>
      <c r="J221">
        <v>2021</v>
      </c>
      <c r="K221" t="s">
        <v>276</v>
      </c>
      <c r="L221">
        <v>26.6</v>
      </c>
      <c r="M221" t="s">
        <v>277</v>
      </c>
      <c r="N221" t="s">
        <v>278</v>
      </c>
    </row>
    <row r="222" spans="1:14" x14ac:dyDescent="0.3">
      <c r="A222" t="s">
        <v>272</v>
      </c>
      <c r="B222" t="s">
        <v>273</v>
      </c>
      <c r="C222">
        <v>300</v>
      </c>
      <c r="D222" t="s">
        <v>80</v>
      </c>
      <c r="E222">
        <v>645</v>
      </c>
      <c r="F222" t="s">
        <v>274</v>
      </c>
      <c r="G222" t="s">
        <v>281</v>
      </c>
      <c r="H222" t="s">
        <v>43</v>
      </c>
      <c r="I222">
        <v>2017</v>
      </c>
      <c r="J222">
        <v>2017</v>
      </c>
      <c r="K222" t="s">
        <v>276</v>
      </c>
      <c r="L222">
        <v>15.14</v>
      </c>
      <c r="M222" t="s">
        <v>277</v>
      </c>
      <c r="N222" t="s">
        <v>278</v>
      </c>
    </row>
    <row r="223" spans="1:14" x14ac:dyDescent="0.3">
      <c r="A223" t="s">
        <v>272</v>
      </c>
      <c r="B223" t="s">
        <v>273</v>
      </c>
      <c r="C223">
        <v>300</v>
      </c>
      <c r="D223" t="s">
        <v>80</v>
      </c>
      <c r="E223">
        <v>645</v>
      </c>
      <c r="F223" t="s">
        <v>274</v>
      </c>
      <c r="G223" t="s">
        <v>281</v>
      </c>
      <c r="H223" t="s">
        <v>43</v>
      </c>
      <c r="I223">
        <v>2018</v>
      </c>
      <c r="J223">
        <v>2018</v>
      </c>
      <c r="K223" t="s">
        <v>276</v>
      </c>
      <c r="L223">
        <v>27.62</v>
      </c>
      <c r="M223" t="s">
        <v>277</v>
      </c>
      <c r="N223" t="s">
        <v>278</v>
      </c>
    </row>
    <row r="224" spans="1:14" x14ac:dyDescent="0.3">
      <c r="A224" t="s">
        <v>272</v>
      </c>
      <c r="B224" t="s">
        <v>273</v>
      </c>
      <c r="C224">
        <v>300</v>
      </c>
      <c r="D224" t="s">
        <v>80</v>
      </c>
      <c r="E224">
        <v>645</v>
      </c>
      <c r="F224" t="s">
        <v>274</v>
      </c>
      <c r="G224" t="s">
        <v>281</v>
      </c>
      <c r="H224" t="s">
        <v>43</v>
      </c>
      <c r="I224">
        <v>2019</v>
      </c>
      <c r="J224">
        <v>2019</v>
      </c>
      <c r="K224" t="s">
        <v>276</v>
      </c>
      <c r="L224">
        <v>25.66</v>
      </c>
      <c r="M224" t="s">
        <v>277</v>
      </c>
      <c r="N224" t="s">
        <v>278</v>
      </c>
    </row>
    <row r="225" spans="1:14" x14ac:dyDescent="0.3">
      <c r="A225" t="s">
        <v>272</v>
      </c>
      <c r="B225" t="s">
        <v>273</v>
      </c>
      <c r="C225">
        <v>300</v>
      </c>
      <c r="D225" t="s">
        <v>80</v>
      </c>
      <c r="E225">
        <v>645</v>
      </c>
      <c r="F225" t="s">
        <v>274</v>
      </c>
      <c r="G225" t="s">
        <v>281</v>
      </c>
      <c r="H225" t="s">
        <v>43</v>
      </c>
      <c r="I225">
        <v>2020</v>
      </c>
      <c r="J225">
        <v>2020</v>
      </c>
      <c r="K225" t="s">
        <v>276</v>
      </c>
      <c r="L225">
        <v>23</v>
      </c>
      <c r="M225" t="s">
        <v>277</v>
      </c>
      <c r="N225" t="s">
        <v>278</v>
      </c>
    </row>
    <row r="226" spans="1:14" x14ac:dyDescent="0.3">
      <c r="A226" t="s">
        <v>272</v>
      </c>
      <c r="B226" t="s">
        <v>273</v>
      </c>
      <c r="C226">
        <v>300</v>
      </c>
      <c r="D226" t="s">
        <v>80</v>
      </c>
      <c r="E226">
        <v>645</v>
      </c>
      <c r="F226" t="s">
        <v>274</v>
      </c>
      <c r="G226" t="s">
        <v>281</v>
      </c>
      <c r="H226" t="s">
        <v>43</v>
      </c>
      <c r="I226">
        <v>2021</v>
      </c>
      <c r="J226">
        <v>2021</v>
      </c>
      <c r="K226" t="s">
        <v>276</v>
      </c>
      <c r="L226">
        <v>26.09</v>
      </c>
      <c r="M226" t="s">
        <v>277</v>
      </c>
      <c r="N226" t="s">
        <v>278</v>
      </c>
    </row>
    <row r="227" spans="1:14" x14ac:dyDescent="0.3">
      <c r="A227" t="s">
        <v>272</v>
      </c>
      <c r="B227" t="s">
        <v>273</v>
      </c>
      <c r="C227">
        <v>300</v>
      </c>
      <c r="D227" t="s">
        <v>80</v>
      </c>
      <c r="E227">
        <v>645</v>
      </c>
      <c r="F227" t="s">
        <v>274</v>
      </c>
      <c r="G227" t="s">
        <v>282</v>
      </c>
      <c r="H227" t="s">
        <v>36</v>
      </c>
      <c r="I227">
        <v>2017</v>
      </c>
      <c r="J227">
        <v>2017</v>
      </c>
      <c r="K227" t="s">
        <v>276</v>
      </c>
      <c r="L227">
        <v>2.17</v>
      </c>
      <c r="M227" t="s">
        <v>277</v>
      </c>
      <c r="N227" t="s">
        <v>278</v>
      </c>
    </row>
    <row r="228" spans="1:14" x14ac:dyDescent="0.3">
      <c r="A228" t="s">
        <v>272</v>
      </c>
      <c r="B228" t="s">
        <v>273</v>
      </c>
      <c r="C228">
        <v>300</v>
      </c>
      <c r="D228" t="s">
        <v>80</v>
      </c>
      <c r="E228">
        <v>645</v>
      </c>
      <c r="F228" t="s">
        <v>274</v>
      </c>
      <c r="G228" t="s">
        <v>282</v>
      </c>
      <c r="H228" t="s">
        <v>36</v>
      </c>
      <c r="I228">
        <v>2018</v>
      </c>
      <c r="J228">
        <v>2018</v>
      </c>
      <c r="K228" t="s">
        <v>276</v>
      </c>
      <c r="L228">
        <v>1.78</v>
      </c>
      <c r="M228" t="s">
        <v>277</v>
      </c>
      <c r="N228" t="s">
        <v>278</v>
      </c>
    </row>
    <row r="229" spans="1:14" x14ac:dyDescent="0.3">
      <c r="A229" t="s">
        <v>272</v>
      </c>
      <c r="B229" t="s">
        <v>273</v>
      </c>
      <c r="C229">
        <v>300</v>
      </c>
      <c r="D229" t="s">
        <v>80</v>
      </c>
      <c r="E229">
        <v>645</v>
      </c>
      <c r="F229" t="s">
        <v>274</v>
      </c>
      <c r="G229" t="s">
        <v>282</v>
      </c>
      <c r="H229" t="s">
        <v>36</v>
      </c>
      <c r="I229">
        <v>2019</v>
      </c>
      <c r="J229">
        <v>2019</v>
      </c>
      <c r="K229" t="s">
        <v>276</v>
      </c>
      <c r="L229">
        <v>2.0099999999999998</v>
      </c>
      <c r="M229" t="s">
        <v>277</v>
      </c>
      <c r="N229" t="s">
        <v>278</v>
      </c>
    </row>
    <row r="230" spans="1:14" x14ac:dyDescent="0.3">
      <c r="A230" t="s">
        <v>272</v>
      </c>
      <c r="B230" t="s">
        <v>273</v>
      </c>
      <c r="C230">
        <v>300</v>
      </c>
      <c r="D230" t="s">
        <v>80</v>
      </c>
      <c r="E230">
        <v>645</v>
      </c>
      <c r="F230" t="s">
        <v>274</v>
      </c>
      <c r="G230" t="s">
        <v>282</v>
      </c>
      <c r="H230" t="s">
        <v>36</v>
      </c>
      <c r="I230">
        <v>2020</v>
      </c>
      <c r="J230">
        <v>2020</v>
      </c>
      <c r="K230" t="s">
        <v>276</v>
      </c>
      <c r="L230">
        <v>1.73</v>
      </c>
      <c r="M230" t="s">
        <v>277</v>
      </c>
      <c r="N230" t="s">
        <v>278</v>
      </c>
    </row>
    <row r="231" spans="1:14" x14ac:dyDescent="0.3">
      <c r="A231" t="s">
        <v>272</v>
      </c>
      <c r="B231" t="s">
        <v>273</v>
      </c>
      <c r="C231">
        <v>300</v>
      </c>
      <c r="D231" t="s">
        <v>80</v>
      </c>
      <c r="E231">
        <v>645</v>
      </c>
      <c r="F231" t="s">
        <v>274</v>
      </c>
      <c r="G231" t="s">
        <v>282</v>
      </c>
      <c r="H231" t="s">
        <v>36</v>
      </c>
      <c r="I231">
        <v>2021</v>
      </c>
      <c r="J231">
        <v>2021</v>
      </c>
      <c r="K231" t="s">
        <v>276</v>
      </c>
      <c r="L231">
        <v>2.0099999999999998</v>
      </c>
      <c r="M231" t="s">
        <v>277</v>
      </c>
      <c r="N231" t="s">
        <v>278</v>
      </c>
    </row>
    <row r="232" spans="1:14" x14ac:dyDescent="0.3">
      <c r="A232" t="s">
        <v>272</v>
      </c>
      <c r="B232" t="s">
        <v>273</v>
      </c>
      <c r="C232">
        <v>300</v>
      </c>
      <c r="D232" t="s">
        <v>80</v>
      </c>
      <c r="E232">
        <v>645</v>
      </c>
      <c r="F232" t="s">
        <v>274</v>
      </c>
      <c r="G232" t="s">
        <v>283</v>
      </c>
      <c r="H232" t="s">
        <v>40</v>
      </c>
      <c r="I232">
        <v>2017</v>
      </c>
      <c r="J232">
        <v>2017</v>
      </c>
      <c r="K232" t="s">
        <v>276</v>
      </c>
      <c r="L232">
        <v>3.24</v>
      </c>
      <c r="M232" t="s">
        <v>277</v>
      </c>
      <c r="N232" t="s">
        <v>278</v>
      </c>
    </row>
    <row r="233" spans="1:14" x14ac:dyDescent="0.3">
      <c r="A233" t="s">
        <v>272</v>
      </c>
      <c r="B233" t="s">
        <v>273</v>
      </c>
      <c r="C233">
        <v>300</v>
      </c>
      <c r="D233" t="s">
        <v>80</v>
      </c>
      <c r="E233">
        <v>645</v>
      </c>
      <c r="F233" t="s">
        <v>274</v>
      </c>
      <c r="G233" t="s">
        <v>283</v>
      </c>
      <c r="H233" t="s">
        <v>40</v>
      </c>
      <c r="I233">
        <v>2018</v>
      </c>
      <c r="J233">
        <v>2018</v>
      </c>
      <c r="K233" t="s">
        <v>276</v>
      </c>
      <c r="L233">
        <v>3.06</v>
      </c>
      <c r="M233" t="s">
        <v>277</v>
      </c>
      <c r="N233" t="s">
        <v>278</v>
      </c>
    </row>
    <row r="234" spans="1:14" x14ac:dyDescent="0.3">
      <c r="A234" t="s">
        <v>272</v>
      </c>
      <c r="B234" t="s">
        <v>273</v>
      </c>
      <c r="C234">
        <v>300</v>
      </c>
      <c r="D234" t="s">
        <v>80</v>
      </c>
      <c r="E234">
        <v>645</v>
      </c>
      <c r="F234" t="s">
        <v>274</v>
      </c>
      <c r="G234" t="s">
        <v>283</v>
      </c>
      <c r="H234" t="s">
        <v>40</v>
      </c>
      <c r="I234">
        <v>2019</v>
      </c>
      <c r="J234">
        <v>2019</v>
      </c>
      <c r="K234" t="s">
        <v>276</v>
      </c>
      <c r="L234">
        <v>3.31</v>
      </c>
      <c r="M234" t="s">
        <v>277</v>
      </c>
      <c r="N234" t="s">
        <v>278</v>
      </c>
    </row>
    <row r="235" spans="1:14" x14ac:dyDescent="0.3">
      <c r="A235" t="s">
        <v>272</v>
      </c>
      <c r="B235" t="s">
        <v>273</v>
      </c>
      <c r="C235">
        <v>300</v>
      </c>
      <c r="D235" t="s">
        <v>80</v>
      </c>
      <c r="E235">
        <v>645</v>
      </c>
      <c r="F235" t="s">
        <v>274</v>
      </c>
      <c r="G235" t="s">
        <v>283</v>
      </c>
      <c r="H235" t="s">
        <v>40</v>
      </c>
      <c r="I235">
        <v>2020</v>
      </c>
      <c r="J235">
        <v>2020</v>
      </c>
      <c r="K235" t="s">
        <v>276</v>
      </c>
      <c r="L235">
        <v>3.04</v>
      </c>
      <c r="M235" t="s">
        <v>277</v>
      </c>
      <c r="N235" t="s">
        <v>278</v>
      </c>
    </row>
    <row r="236" spans="1:14" x14ac:dyDescent="0.3">
      <c r="A236" t="s">
        <v>272</v>
      </c>
      <c r="B236" t="s">
        <v>273</v>
      </c>
      <c r="C236">
        <v>300</v>
      </c>
      <c r="D236" t="s">
        <v>80</v>
      </c>
      <c r="E236">
        <v>645</v>
      </c>
      <c r="F236" t="s">
        <v>274</v>
      </c>
      <c r="G236" t="s">
        <v>283</v>
      </c>
      <c r="H236" t="s">
        <v>40</v>
      </c>
      <c r="I236">
        <v>2021</v>
      </c>
      <c r="J236">
        <v>2021</v>
      </c>
      <c r="K236" t="s">
        <v>276</v>
      </c>
      <c r="L236">
        <v>2.93</v>
      </c>
      <c r="M236" t="s">
        <v>277</v>
      </c>
      <c r="N236" t="s">
        <v>278</v>
      </c>
    </row>
    <row r="237" spans="1:14" x14ac:dyDescent="0.3">
      <c r="A237" t="s">
        <v>272</v>
      </c>
      <c r="B237" t="s">
        <v>273</v>
      </c>
      <c r="C237">
        <v>300</v>
      </c>
      <c r="D237" t="s">
        <v>80</v>
      </c>
      <c r="E237">
        <v>645</v>
      </c>
      <c r="F237" t="s">
        <v>274</v>
      </c>
      <c r="G237" t="s">
        <v>284</v>
      </c>
      <c r="H237" t="s">
        <v>25</v>
      </c>
      <c r="I237">
        <v>2017</v>
      </c>
      <c r="J237">
        <v>2017</v>
      </c>
      <c r="K237" t="s">
        <v>276</v>
      </c>
      <c r="L237">
        <v>1.03</v>
      </c>
      <c r="M237" t="s">
        <v>277</v>
      </c>
      <c r="N237" t="s">
        <v>278</v>
      </c>
    </row>
    <row r="238" spans="1:14" x14ac:dyDescent="0.3">
      <c r="A238" t="s">
        <v>272</v>
      </c>
      <c r="B238" t="s">
        <v>273</v>
      </c>
      <c r="C238">
        <v>300</v>
      </c>
      <c r="D238" t="s">
        <v>80</v>
      </c>
      <c r="E238">
        <v>645</v>
      </c>
      <c r="F238" t="s">
        <v>274</v>
      </c>
      <c r="G238" t="s">
        <v>284</v>
      </c>
      <c r="H238" t="s">
        <v>25</v>
      </c>
      <c r="I238">
        <v>2018</v>
      </c>
      <c r="J238">
        <v>2018</v>
      </c>
      <c r="K238" t="s">
        <v>276</v>
      </c>
      <c r="L238">
        <v>0.88</v>
      </c>
      <c r="M238" t="s">
        <v>277</v>
      </c>
      <c r="N238" t="s">
        <v>278</v>
      </c>
    </row>
    <row r="239" spans="1:14" x14ac:dyDescent="0.3">
      <c r="A239" t="s">
        <v>272</v>
      </c>
      <c r="B239" t="s">
        <v>273</v>
      </c>
      <c r="C239">
        <v>300</v>
      </c>
      <c r="D239" t="s">
        <v>80</v>
      </c>
      <c r="E239">
        <v>645</v>
      </c>
      <c r="F239" t="s">
        <v>274</v>
      </c>
      <c r="G239" t="s">
        <v>284</v>
      </c>
      <c r="H239" t="s">
        <v>25</v>
      </c>
      <c r="I239">
        <v>2019</v>
      </c>
      <c r="J239">
        <v>2019</v>
      </c>
      <c r="K239" t="s">
        <v>276</v>
      </c>
      <c r="L239">
        <v>1.1000000000000001</v>
      </c>
      <c r="M239" t="s">
        <v>277</v>
      </c>
      <c r="N239" t="s">
        <v>278</v>
      </c>
    </row>
    <row r="240" spans="1:14" x14ac:dyDescent="0.3">
      <c r="A240" t="s">
        <v>272</v>
      </c>
      <c r="B240" t="s">
        <v>273</v>
      </c>
      <c r="C240">
        <v>300</v>
      </c>
      <c r="D240" t="s">
        <v>80</v>
      </c>
      <c r="E240">
        <v>645</v>
      </c>
      <c r="F240" t="s">
        <v>274</v>
      </c>
      <c r="G240" t="s">
        <v>284</v>
      </c>
      <c r="H240" t="s">
        <v>25</v>
      </c>
      <c r="I240">
        <v>2020</v>
      </c>
      <c r="J240">
        <v>2020</v>
      </c>
      <c r="K240" t="s">
        <v>276</v>
      </c>
      <c r="L240">
        <v>1.02</v>
      </c>
      <c r="M240" t="s">
        <v>277</v>
      </c>
      <c r="N240" t="s">
        <v>278</v>
      </c>
    </row>
    <row r="241" spans="1:14" x14ac:dyDescent="0.3">
      <c r="A241" t="s">
        <v>272</v>
      </c>
      <c r="B241" t="s">
        <v>273</v>
      </c>
      <c r="C241">
        <v>300</v>
      </c>
      <c r="D241" t="s">
        <v>80</v>
      </c>
      <c r="E241">
        <v>645</v>
      </c>
      <c r="F241" t="s">
        <v>274</v>
      </c>
      <c r="G241" t="s">
        <v>284</v>
      </c>
      <c r="H241" t="s">
        <v>25</v>
      </c>
      <c r="I241">
        <v>2021</v>
      </c>
      <c r="J241">
        <v>2021</v>
      </c>
      <c r="K241" t="s">
        <v>276</v>
      </c>
      <c r="L241">
        <v>1.1000000000000001</v>
      </c>
      <c r="M241" t="s">
        <v>277</v>
      </c>
      <c r="N241" t="s">
        <v>278</v>
      </c>
    </row>
    <row r="242" spans="1:14" x14ac:dyDescent="0.3">
      <c r="A242" t="s">
        <v>272</v>
      </c>
      <c r="B242" t="s">
        <v>273</v>
      </c>
      <c r="C242">
        <v>300</v>
      </c>
      <c r="D242" t="s">
        <v>80</v>
      </c>
      <c r="E242">
        <v>645</v>
      </c>
      <c r="F242" t="s">
        <v>274</v>
      </c>
      <c r="G242" t="s">
        <v>285</v>
      </c>
      <c r="H242" t="s">
        <v>27</v>
      </c>
      <c r="I242">
        <v>2017</v>
      </c>
      <c r="J242">
        <v>2017</v>
      </c>
      <c r="K242" t="s">
        <v>276</v>
      </c>
      <c r="L242">
        <v>2.67</v>
      </c>
      <c r="M242" t="s">
        <v>277</v>
      </c>
      <c r="N242" t="s">
        <v>278</v>
      </c>
    </row>
    <row r="243" spans="1:14" x14ac:dyDescent="0.3">
      <c r="A243" t="s">
        <v>272</v>
      </c>
      <c r="B243" t="s">
        <v>273</v>
      </c>
      <c r="C243">
        <v>300</v>
      </c>
      <c r="D243" t="s">
        <v>80</v>
      </c>
      <c r="E243">
        <v>645</v>
      </c>
      <c r="F243" t="s">
        <v>274</v>
      </c>
      <c r="G243" t="s">
        <v>285</v>
      </c>
      <c r="H243" t="s">
        <v>27</v>
      </c>
      <c r="I243">
        <v>2018</v>
      </c>
      <c r="J243">
        <v>2018</v>
      </c>
      <c r="K243" t="s">
        <v>276</v>
      </c>
      <c r="L243">
        <v>1.64</v>
      </c>
      <c r="M243" t="s">
        <v>277</v>
      </c>
      <c r="N243" t="s">
        <v>278</v>
      </c>
    </row>
    <row r="244" spans="1:14" x14ac:dyDescent="0.3">
      <c r="A244" t="s">
        <v>272</v>
      </c>
      <c r="B244" t="s">
        <v>273</v>
      </c>
      <c r="C244">
        <v>300</v>
      </c>
      <c r="D244" t="s">
        <v>80</v>
      </c>
      <c r="E244">
        <v>645</v>
      </c>
      <c r="F244" t="s">
        <v>274</v>
      </c>
      <c r="G244" t="s">
        <v>285</v>
      </c>
      <c r="H244" t="s">
        <v>27</v>
      </c>
      <c r="I244">
        <v>2019</v>
      </c>
      <c r="J244">
        <v>2019</v>
      </c>
      <c r="K244" t="s">
        <v>276</v>
      </c>
      <c r="L244">
        <v>2.4900000000000002</v>
      </c>
      <c r="M244" t="s">
        <v>277</v>
      </c>
      <c r="N244" t="s">
        <v>278</v>
      </c>
    </row>
    <row r="245" spans="1:14" x14ac:dyDescent="0.3">
      <c r="A245" t="s">
        <v>272</v>
      </c>
      <c r="B245" t="s">
        <v>273</v>
      </c>
      <c r="C245">
        <v>300</v>
      </c>
      <c r="D245" t="s">
        <v>80</v>
      </c>
      <c r="E245">
        <v>645</v>
      </c>
      <c r="F245" t="s">
        <v>274</v>
      </c>
      <c r="G245" t="s">
        <v>285</v>
      </c>
      <c r="H245" t="s">
        <v>27</v>
      </c>
      <c r="I245">
        <v>2020</v>
      </c>
      <c r="J245">
        <v>2020</v>
      </c>
      <c r="K245" t="s">
        <v>276</v>
      </c>
      <c r="L245">
        <v>2.4300000000000002</v>
      </c>
      <c r="M245" t="s">
        <v>277</v>
      </c>
      <c r="N245" t="s">
        <v>278</v>
      </c>
    </row>
    <row r="246" spans="1:14" x14ac:dyDescent="0.3">
      <c r="A246" t="s">
        <v>272</v>
      </c>
      <c r="B246" t="s">
        <v>273</v>
      </c>
      <c r="C246">
        <v>300</v>
      </c>
      <c r="D246" t="s">
        <v>80</v>
      </c>
      <c r="E246">
        <v>645</v>
      </c>
      <c r="F246" t="s">
        <v>274</v>
      </c>
      <c r="G246" t="s">
        <v>285</v>
      </c>
      <c r="H246" t="s">
        <v>27</v>
      </c>
      <c r="I246">
        <v>2021</v>
      </c>
      <c r="J246">
        <v>2021</v>
      </c>
      <c r="K246" t="s">
        <v>276</v>
      </c>
      <c r="L246">
        <v>3.18</v>
      </c>
      <c r="M246" t="s">
        <v>277</v>
      </c>
      <c r="N246" t="s">
        <v>278</v>
      </c>
    </row>
    <row r="247" spans="1:14" x14ac:dyDescent="0.3">
      <c r="A247" t="s">
        <v>272</v>
      </c>
      <c r="B247" t="s">
        <v>273</v>
      </c>
      <c r="C247">
        <v>300</v>
      </c>
      <c r="D247" t="s">
        <v>80</v>
      </c>
      <c r="E247">
        <v>645</v>
      </c>
      <c r="F247" t="s">
        <v>274</v>
      </c>
      <c r="G247" t="s">
        <v>286</v>
      </c>
      <c r="H247" t="s">
        <v>31</v>
      </c>
      <c r="I247">
        <v>2017</v>
      </c>
      <c r="J247">
        <v>2017</v>
      </c>
      <c r="K247" t="s">
        <v>276</v>
      </c>
      <c r="L247">
        <v>0.51</v>
      </c>
      <c r="M247" t="s">
        <v>277</v>
      </c>
      <c r="N247" t="s">
        <v>278</v>
      </c>
    </row>
    <row r="248" spans="1:14" x14ac:dyDescent="0.3">
      <c r="A248" t="s">
        <v>272</v>
      </c>
      <c r="B248" t="s">
        <v>273</v>
      </c>
      <c r="C248">
        <v>300</v>
      </c>
      <c r="D248" t="s">
        <v>80</v>
      </c>
      <c r="E248">
        <v>645</v>
      </c>
      <c r="F248" t="s">
        <v>274</v>
      </c>
      <c r="G248" t="s">
        <v>286</v>
      </c>
      <c r="H248" t="s">
        <v>31</v>
      </c>
      <c r="I248">
        <v>2018</v>
      </c>
      <c r="J248">
        <v>2018</v>
      </c>
      <c r="K248" t="s">
        <v>276</v>
      </c>
      <c r="L248">
        <v>0.83</v>
      </c>
      <c r="M248" t="s">
        <v>277</v>
      </c>
      <c r="N248" t="s">
        <v>278</v>
      </c>
    </row>
    <row r="249" spans="1:14" x14ac:dyDescent="0.3">
      <c r="A249" t="s">
        <v>272</v>
      </c>
      <c r="B249" t="s">
        <v>273</v>
      </c>
      <c r="C249">
        <v>300</v>
      </c>
      <c r="D249" t="s">
        <v>80</v>
      </c>
      <c r="E249">
        <v>645</v>
      </c>
      <c r="F249" t="s">
        <v>274</v>
      </c>
      <c r="G249" t="s">
        <v>286</v>
      </c>
      <c r="H249" t="s">
        <v>31</v>
      </c>
      <c r="I249">
        <v>2019</v>
      </c>
      <c r="J249">
        <v>2019</v>
      </c>
      <c r="K249" t="s">
        <v>276</v>
      </c>
      <c r="L249">
        <v>1.71</v>
      </c>
      <c r="M249" t="s">
        <v>277</v>
      </c>
      <c r="N249" t="s">
        <v>278</v>
      </c>
    </row>
    <row r="250" spans="1:14" x14ac:dyDescent="0.3">
      <c r="A250" t="s">
        <v>272</v>
      </c>
      <c r="B250" t="s">
        <v>273</v>
      </c>
      <c r="C250">
        <v>300</v>
      </c>
      <c r="D250" t="s">
        <v>80</v>
      </c>
      <c r="E250">
        <v>645</v>
      </c>
      <c r="F250" t="s">
        <v>274</v>
      </c>
      <c r="G250" t="s">
        <v>286</v>
      </c>
      <c r="H250" t="s">
        <v>31</v>
      </c>
      <c r="I250">
        <v>2020</v>
      </c>
      <c r="J250">
        <v>2020</v>
      </c>
      <c r="K250" t="s">
        <v>276</v>
      </c>
      <c r="L250">
        <v>1.36</v>
      </c>
      <c r="M250" t="s">
        <v>277</v>
      </c>
      <c r="N250" t="s">
        <v>278</v>
      </c>
    </row>
    <row r="251" spans="1:14" x14ac:dyDescent="0.3">
      <c r="A251" t="s">
        <v>272</v>
      </c>
      <c r="B251" t="s">
        <v>273</v>
      </c>
      <c r="C251">
        <v>300</v>
      </c>
      <c r="D251" t="s">
        <v>80</v>
      </c>
      <c r="E251">
        <v>645</v>
      </c>
      <c r="F251" t="s">
        <v>274</v>
      </c>
      <c r="G251" t="s">
        <v>286</v>
      </c>
      <c r="H251" t="s">
        <v>31</v>
      </c>
      <c r="I251">
        <v>2021</v>
      </c>
      <c r="J251">
        <v>2021</v>
      </c>
      <c r="K251" t="s">
        <v>276</v>
      </c>
      <c r="L251">
        <v>0.95</v>
      </c>
      <c r="M251" t="s">
        <v>277</v>
      </c>
      <c r="N251" t="s">
        <v>278</v>
      </c>
    </row>
    <row r="252" spans="1:14" x14ac:dyDescent="0.3">
      <c r="A252" t="s">
        <v>272</v>
      </c>
      <c r="B252" t="s">
        <v>273</v>
      </c>
      <c r="C252">
        <v>300</v>
      </c>
      <c r="D252" t="s">
        <v>80</v>
      </c>
      <c r="E252">
        <v>645</v>
      </c>
      <c r="F252" t="s">
        <v>274</v>
      </c>
      <c r="G252" t="s">
        <v>289</v>
      </c>
      <c r="H252" t="s">
        <v>30</v>
      </c>
      <c r="I252">
        <v>2017</v>
      </c>
      <c r="J252">
        <v>2017</v>
      </c>
      <c r="K252" t="s">
        <v>276</v>
      </c>
      <c r="L252">
        <v>9.18</v>
      </c>
      <c r="M252" t="s">
        <v>277</v>
      </c>
      <c r="N252" t="s">
        <v>278</v>
      </c>
    </row>
    <row r="253" spans="1:14" x14ac:dyDescent="0.3">
      <c r="A253" t="s">
        <v>272</v>
      </c>
      <c r="B253" t="s">
        <v>273</v>
      </c>
      <c r="C253">
        <v>300</v>
      </c>
      <c r="D253" t="s">
        <v>80</v>
      </c>
      <c r="E253">
        <v>645</v>
      </c>
      <c r="F253" t="s">
        <v>274</v>
      </c>
      <c r="G253" t="s">
        <v>289</v>
      </c>
      <c r="H253" t="s">
        <v>30</v>
      </c>
      <c r="I253">
        <v>2018</v>
      </c>
      <c r="J253">
        <v>2018</v>
      </c>
      <c r="K253" t="s">
        <v>276</v>
      </c>
      <c r="L253">
        <v>9.6</v>
      </c>
      <c r="M253" t="s">
        <v>277</v>
      </c>
      <c r="N253" t="s">
        <v>278</v>
      </c>
    </row>
    <row r="254" spans="1:14" x14ac:dyDescent="0.3">
      <c r="A254" t="s">
        <v>272</v>
      </c>
      <c r="B254" t="s">
        <v>273</v>
      </c>
      <c r="C254">
        <v>300</v>
      </c>
      <c r="D254" t="s">
        <v>80</v>
      </c>
      <c r="E254">
        <v>645</v>
      </c>
      <c r="F254" t="s">
        <v>274</v>
      </c>
      <c r="G254" t="s">
        <v>289</v>
      </c>
      <c r="H254" t="s">
        <v>30</v>
      </c>
      <c r="I254">
        <v>2019</v>
      </c>
      <c r="J254">
        <v>2019</v>
      </c>
      <c r="K254" t="s">
        <v>276</v>
      </c>
      <c r="L254">
        <v>8.9499999999999993</v>
      </c>
      <c r="M254" t="s">
        <v>277</v>
      </c>
      <c r="N254" t="s">
        <v>278</v>
      </c>
    </row>
    <row r="255" spans="1:14" x14ac:dyDescent="0.3">
      <c r="A255" t="s">
        <v>272</v>
      </c>
      <c r="B255" t="s">
        <v>273</v>
      </c>
      <c r="C255">
        <v>300</v>
      </c>
      <c r="D255" t="s">
        <v>80</v>
      </c>
      <c r="E255">
        <v>645</v>
      </c>
      <c r="F255" t="s">
        <v>274</v>
      </c>
      <c r="G255" t="s">
        <v>289</v>
      </c>
      <c r="H255" t="s">
        <v>30</v>
      </c>
      <c r="I255">
        <v>2020</v>
      </c>
      <c r="J255">
        <v>2020</v>
      </c>
      <c r="K255" t="s">
        <v>276</v>
      </c>
      <c r="L255">
        <v>8.66</v>
      </c>
      <c r="M255" t="s">
        <v>277</v>
      </c>
      <c r="N255" t="s">
        <v>278</v>
      </c>
    </row>
    <row r="256" spans="1:14" x14ac:dyDescent="0.3">
      <c r="A256" t="s">
        <v>272</v>
      </c>
      <c r="B256" t="s">
        <v>273</v>
      </c>
      <c r="C256">
        <v>300</v>
      </c>
      <c r="D256" t="s">
        <v>80</v>
      </c>
      <c r="E256">
        <v>645</v>
      </c>
      <c r="F256" t="s">
        <v>274</v>
      </c>
      <c r="G256" t="s">
        <v>289</v>
      </c>
      <c r="H256" t="s">
        <v>30</v>
      </c>
      <c r="I256">
        <v>2021</v>
      </c>
      <c r="J256">
        <v>2021</v>
      </c>
      <c r="K256" t="s">
        <v>276</v>
      </c>
      <c r="L256">
        <v>8.7899999999999991</v>
      </c>
      <c r="M256" t="s">
        <v>277</v>
      </c>
      <c r="N256" t="s">
        <v>278</v>
      </c>
    </row>
    <row r="257" spans="1:14" x14ac:dyDescent="0.3">
      <c r="A257" t="s">
        <v>272</v>
      </c>
      <c r="B257" t="s">
        <v>273</v>
      </c>
      <c r="C257">
        <v>300</v>
      </c>
      <c r="D257" t="s">
        <v>80</v>
      </c>
      <c r="E257">
        <v>645</v>
      </c>
      <c r="F257" t="s">
        <v>274</v>
      </c>
      <c r="G257" t="s">
        <v>290</v>
      </c>
      <c r="H257" t="s">
        <v>37</v>
      </c>
      <c r="I257">
        <v>2017</v>
      </c>
      <c r="J257">
        <v>2017</v>
      </c>
      <c r="K257" t="s">
        <v>276</v>
      </c>
      <c r="L257">
        <v>252.01</v>
      </c>
      <c r="M257" t="s">
        <v>277</v>
      </c>
      <c r="N257" t="s">
        <v>278</v>
      </c>
    </row>
    <row r="258" spans="1:14" x14ac:dyDescent="0.3">
      <c r="A258" t="s">
        <v>272</v>
      </c>
      <c r="B258" t="s">
        <v>273</v>
      </c>
      <c r="C258">
        <v>300</v>
      </c>
      <c r="D258" t="s">
        <v>80</v>
      </c>
      <c r="E258">
        <v>645</v>
      </c>
      <c r="F258" t="s">
        <v>274</v>
      </c>
      <c r="G258" t="s">
        <v>290</v>
      </c>
      <c r="H258" t="s">
        <v>37</v>
      </c>
      <c r="I258">
        <v>2018</v>
      </c>
      <c r="J258">
        <v>2018</v>
      </c>
      <c r="K258" t="s">
        <v>276</v>
      </c>
      <c r="L258">
        <v>267.51</v>
      </c>
      <c r="M258" t="s">
        <v>277</v>
      </c>
      <c r="N258" t="s">
        <v>278</v>
      </c>
    </row>
    <row r="259" spans="1:14" x14ac:dyDescent="0.3">
      <c r="A259" t="s">
        <v>272</v>
      </c>
      <c r="B259" t="s">
        <v>273</v>
      </c>
      <c r="C259">
        <v>300</v>
      </c>
      <c r="D259" t="s">
        <v>80</v>
      </c>
      <c r="E259">
        <v>645</v>
      </c>
      <c r="F259" t="s">
        <v>274</v>
      </c>
      <c r="G259" t="s">
        <v>290</v>
      </c>
      <c r="H259" t="s">
        <v>37</v>
      </c>
      <c r="I259">
        <v>2019</v>
      </c>
      <c r="J259">
        <v>2019</v>
      </c>
      <c r="K259" t="s">
        <v>276</v>
      </c>
      <c r="L259">
        <v>236.79</v>
      </c>
      <c r="M259" t="s">
        <v>277</v>
      </c>
      <c r="N259" t="s">
        <v>278</v>
      </c>
    </row>
    <row r="260" spans="1:14" x14ac:dyDescent="0.3">
      <c r="A260" t="s">
        <v>272</v>
      </c>
      <c r="B260" t="s">
        <v>273</v>
      </c>
      <c r="C260">
        <v>300</v>
      </c>
      <c r="D260" t="s">
        <v>80</v>
      </c>
      <c r="E260">
        <v>645</v>
      </c>
      <c r="F260" t="s">
        <v>274</v>
      </c>
      <c r="G260" t="s">
        <v>290</v>
      </c>
      <c r="H260" t="s">
        <v>37</v>
      </c>
      <c r="I260">
        <v>2020</v>
      </c>
      <c r="J260">
        <v>2020</v>
      </c>
      <c r="K260" t="s">
        <v>276</v>
      </c>
      <c r="L260">
        <v>225.97</v>
      </c>
      <c r="M260" t="s">
        <v>277</v>
      </c>
      <c r="N260" t="s">
        <v>278</v>
      </c>
    </row>
    <row r="261" spans="1:14" x14ac:dyDescent="0.3">
      <c r="A261" t="s">
        <v>272</v>
      </c>
      <c r="B261" t="s">
        <v>273</v>
      </c>
      <c r="C261">
        <v>300</v>
      </c>
      <c r="D261" t="s">
        <v>80</v>
      </c>
      <c r="E261">
        <v>645</v>
      </c>
      <c r="F261" t="s">
        <v>274</v>
      </c>
      <c r="G261" t="s">
        <v>290</v>
      </c>
      <c r="H261" t="s">
        <v>37</v>
      </c>
      <c r="I261">
        <v>2021</v>
      </c>
      <c r="J261">
        <v>2021</v>
      </c>
      <c r="K261" t="s">
        <v>276</v>
      </c>
      <c r="L261">
        <v>233.27</v>
      </c>
      <c r="M261" t="s">
        <v>277</v>
      </c>
      <c r="N261" t="s">
        <v>278</v>
      </c>
    </row>
    <row r="262" spans="1:14" x14ac:dyDescent="0.3">
      <c r="A262" t="s">
        <v>272</v>
      </c>
      <c r="B262" t="s">
        <v>273</v>
      </c>
      <c r="C262">
        <v>300</v>
      </c>
      <c r="D262" t="s">
        <v>80</v>
      </c>
      <c r="E262">
        <v>645</v>
      </c>
      <c r="F262" t="s">
        <v>274</v>
      </c>
      <c r="G262" t="s">
        <v>291</v>
      </c>
      <c r="H262" t="s">
        <v>34</v>
      </c>
      <c r="I262">
        <v>2017</v>
      </c>
      <c r="J262">
        <v>2017</v>
      </c>
      <c r="K262" t="s">
        <v>276</v>
      </c>
      <c r="L262">
        <v>1.95</v>
      </c>
      <c r="M262" t="s">
        <v>277</v>
      </c>
      <c r="N262" t="s">
        <v>278</v>
      </c>
    </row>
    <row r="263" spans="1:14" x14ac:dyDescent="0.3">
      <c r="A263" t="s">
        <v>272</v>
      </c>
      <c r="B263" t="s">
        <v>273</v>
      </c>
      <c r="C263">
        <v>300</v>
      </c>
      <c r="D263" t="s">
        <v>80</v>
      </c>
      <c r="E263">
        <v>645</v>
      </c>
      <c r="F263" t="s">
        <v>274</v>
      </c>
      <c r="G263" t="s">
        <v>291</v>
      </c>
      <c r="H263" t="s">
        <v>34</v>
      </c>
      <c r="I263">
        <v>2018</v>
      </c>
      <c r="J263">
        <v>2018</v>
      </c>
      <c r="K263" t="s">
        <v>276</v>
      </c>
      <c r="L263">
        <v>2.0099999999999998</v>
      </c>
      <c r="M263" t="s">
        <v>277</v>
      </c>
      <c r="N263" t="s">
        <v>278</v>
      </c>
    </row>
    <row r="264" spans="1:14" x14ac:dyDescent="0.3">
      <c r="A264" t="s">
        <v>272</v>
      </c>
      <c r="B264" t="s">
        <v>273</v>
      </c>
      <c r="C264">
        <v>300</v>
      </c>
      <c r="D264" t="s">
        <v>80</v>
      </c>
      <c r="E264">
        <v>645</v>
      </c>
      <c r="F264" t="s">
        <v>274</v>
      </c>
      <c r="G264" t="s">
        <v>291</v>
      </c>
      <c r="H264" t="s">
        <v>34</v>
      </c>
      <c r="I264">
        <v>2019</v>
      </c>
      <c r="J264">
        <v>2019</v>
      </c>
      <c r="K264" t="s">
        <v>276</v>
      </c>
      <c r="L264">
        <v>2.54</v>
      </c>
      <c r="M264" t="s">
        <v>277</v>
      </c>
      <c r="N264" t="s">
        <v>278</v>
      </c>
    </row>
    <row r="265" spans="1:14" x14ac:dyDescent="0.3">
      <c r="A265" t="s">
        <v>272</v>
      </c>
      <c r="B265" t="s">
        <v>273</v>
      </c>
      <c r="C265">
        <v>300</v>
      </c>
      <c r="D265" t="s">
        <v>80</v>
      </c>
      <c r="E265">
        <v>645</v>
      </c>
      <c r="F265" t="s">
        <v>274</v>
      </c>
      <c r="G265" t="s">
        <v>291</v>
      </c>
      <c r="H265" t="s">
        <v>34</v>
      </c>
      <c r="I265">
        <v>2020</v>
      </c>
      <c r="J265">
        <v>2020</v>
      </c>
      <c r="K265" t="s">
        <v>276</v>
      </c>
      <c r="L265">
        <v>2.56</v>
      </c>
      <c r="M265" t="s">
        <v>277</v>
      </c>
      <c r="N265" t="s">
        <v>278</v>
      </c>
    </row>
    <row r="266" spans="1:14" x14ac:dyDescent="0.3">
      <c r="A266" t="s">
        <v>272</v>
      </c>
      <c r="B266" t="s">
        <v>273</v>
      </c>
      <c r="C266">
        <v>300</v>
      </c>
      <c r="D266" t="s">
        <v>80</v>
      </c>
      <c r="E266">
        <v>645</v>
      </c>
      <c r="F266" t="s">
        <v>274</v>
      </c>
      <c r="G266" t="s">
        <v>291</v>
      </c>
      <c r="H266" t="s">
        <v>34</v>
      </c>
      <c r="I266">
        <v>2021</v>
      </c>
      <c r="J266">
        <v>2021</v>
      </c>
      <c r="K266" t="s">
        <v>276</v>
      </c>
      <c r="L266">
        <v>2.57</v>
      </c>
      <c r="M266" t="s">
        <v>277</v>
      </c>
      <c r="N266" t="s">
        <v>278</v>
      </c>
    </row>
    <row r="267" spans="1:14" x14ac:dyDescent="0.3">
      <c r="A267" t="s">
        <v>272</v>
      </c>
      <c r="B267" t="s">
        <v>273</v>
      </c>
      <c r="C267">
        <v>300</v>
      </c>
      <c r="D267" t="s">
        <v>80</v>
      </c>
      <c r="E267">
        <v>645</v>
      </c>
      <c r="F267" t="s">
        <v>274</v>
      </c>
      <c r="G267" t="s">
        <v>292</v>
      </c>
      <c r="H267" t="s">
        <v>29</v>
      </c>
      <c r="I267">
        <v>2017</v>
      </c>
      <c r="J267">
        <v>2017</v>
      </c>
      <c r="K267" t="s">
        <v>276</v>
      </c>
      <c r="L267">
        <v>6.67</v>
      </c>
      <c r="M267" t="s">
        <v>277</v>
      </c>
      <c r="N267" t="s">
        <v>278</v>
      </c>
    </row>
    <row r="268" spans="1:14" x14ac:dyDescent="0.3">
      <c r="A268" t="s">
        <v>272</v>
      </c>
      <c r="B268" t="s">
        <v>273</v>
      </c>
      <c r="C268">
        <v>300</v>
      </c>
      <c r="D268" t="s">
        <v>80</v>
      </c>
      <c r="E268">
        <v>645</v>
      </c>
      <c r="F268" t="s">
        <v>274</v>
      </c>
      <c r="G268" t="s">
        <v>292</v>
      </c>
      <c r="H268" t="s">
        <v>29</v>
      </c>
      <c r="I268">
        <v>2018</v>
      </c>
      <c r="J268">
        <v>2018</v>
      </c>
      <c r="K268" t="s">
        <v>276</v>
      </c>
      <c r="L268">
        <v>6.97</v>
      </c>
      <c r="M268" t="s">
        <v>277</v>
      </c>
      <c r="N268" t="s">
        <v>278</v>
      </c>
    </row>
    <row r="269" spans="1:14" x14ac:dyDescent="0.3">
      <c r="A269" t="s">
        <v>272</v>
      </c>
      <c r="B269" t="s">
        <v>273</v>
      </c>
      <c r="C269">
        <v>300</v>
      </c>
      <c r="D269" t="s">
        <v>80</v>
      </c>
      <c r="E269">
        <v>645</v>
      </c>
      <c r="F269" t="s">
        <v>274</v>
      </c>
      <c r="G269" t="s">
        <v>292</v>
      </c>
      <c r="H269" t="s">
        <v>29</v>
      </c>
      <c r="I269">
        <v>2019</v>
      </c>
      <c r="J269">
        <v>2019</v>
      </c>
      <c r="K269" t="s">
        <v>276</v>
      </c>
      <c r="L269">
        <v>6.87</v>
      </c>
      <c r="M269" t="s">
        <v>277</v>
      </c>
      <c r="N269" t="s">
        <v>278</v>
      </c>
    </row>
    <row r="270" spans="1:14" x14ac:dyDescent="0.3">
      <c r="A270" t="s">
        <v>272</v>
      </c>
      <c r="B270" t="s">
        <v>273</v>
      </c>
      <c r="C270">
        <v>300</v>
      </c>
      <c r="D270" t="s">
        <v>80</v>
      </c>
      <c r="E270">
        <v>645</v>
      </c>
      <c r="F270" t="s">
        <v>274</v>
      </c>
      <c r="G270" t="s">
        <v>292</v>
      </c>
      <c r="H270" t="s">
        <v>29</v>
      </c>
      <c r="I270">
        <v>2020</v>
      </c>
      <c r="J270">
        <v>2020</v>
      </c>
      <c r="K270" t="s">
        <v>276</v>
      </c>
      <c r="L270">
        <v>6.91</v>
      </c>
      <c r="M270" t="s">
        <v>277</v>
      </c>
      <c r="N270" t="s">
        <v>278</v>
      </c>
    </row>
    <row r="271" spans="1:14" x14ac:dyDescent="0.3">
      <c r="A271" t="s">
        <v>272</v>
      </c>
      <c r="B271" t="s">
        <v>273</v>
      </c>
      <c r="C271">
        <v>300</v>
      </c>
      <c r="D271" t="s">
        <v>80</v>
      </c>
      <c r="E271">
        <v>645</v>
      </c>
      <c r="F271" t="s">
        <v>274</v>
      </c>
      <c r="G271" t="s">
        <v>292</v>
      </c>
      <c r="H271" t="s">
        <v>29</v>
      </c>
      <c r="I271">
        <v>2021</v>
      </c>
      <c r="J271">
        <v>2021</v>
      </c>
      <c r="K271" t="s">
        <v>276</v>
      </c>
      <c r="L271">
        <v>6.96</v>
      </c>
      <c r="M271" t="s">
        <v>277</v>
      </c>
      <c r="N271" t="s">
        <v>278</v>
      </c>
    </row>
    <row r="272" spans="1:14" x14ac:dyDescent="0.3">
      <c r="A272" t="s">
        <v>272</v>
      </c>
      <c r="B272" t="s">
        <v>273</v>
      </c>
      <c r="C272">
        <v>300</v>
      </c>
      <c r="D272" t="s">
        <v>80</v>
      </c>
      <c r="E272">
        <v>645</v>
      </c>
      <c r="F272" t="s">
        <v>274</v>
      </c>
      <c r="G272" t="s">
        <v>293</v>
      </c>
      <c r="H272" t="s">
        <v>41</v>
      </c>
      <c r="I272">
        <v>2017</v>
      </c>
      <c r="J272">
        <v>2017</v>
      </c>
      <c r="K272" t="s">
        <v>276</v>
      </c>
      <c r="L272">
        <v>4.3</v>
      </c>
      <c r="M272" t="s">
        <v>277</v>
      </c>
      <c r="N272" t="s">
        <v>278</v>
      </c>
    </row>
    <row r="273" spans="1:14" x14ac:dyDescent="0.3">
      <c r="A273" t="s">
        <v>272</v>
      </c>
      <c r="B273" t="s">
        <v>273</v>
      </c>
      <c r="C273">
        <v>300</v>
      </c>
      <c r="D273" t="s">
        <v>80</v>
      </c>
      <c r="E273">
        <v>645</v>
      </c>
      <c r="F273" t="s">
        <v>274</v>
      </c>
      <c r="G273" t="s">
        <v>293</v>
      </c>
      <c r="H273" t="s">
        <v>41</v>
      </c>
      <c r="I273">
        <v>2018</v>
      </c>
      <c r="J273">
        <v>2018</v>
      </c>
      <c r="K273" t="s">
        <v>276</v>
      </c>
      <c r="L273">
        <v>4.29</v>
      </c>
      <c r="M273" t="s">
        <v>277</v>
      </c>
      <c r="N273" t="s">
        <v>278</v>
      </c>
    </row>
    <row r="274" spans="1:14" x14ac:dyDescent="0.3">
      <c r="A274" t="s">
        <v>272</v>
      </c>
      <c r="B274" t="s">
        <v>273</v>
      </c>
      <c r="C274">
        <v>300</v>
      </c>
      <c r="D274" t="s">
        <v>80</v>
      </c>
      <c r="E274">
        <v>645</v>
      </c>
      <c r="F274" t="s">
        <v>274</v>
      </c>
      <c r="G274" t="s">
        <v>293</v>
      </c>
      <c r="H274" t="s">
        <v>41</v>
      </c>
      <c r="I274">
        <v>2019</v>
      </c>
      <c r="J274">
        <v>2019</v>
      </c>
      <c r="K274" t="s">
        <v>276</v>
      </c>
      <c r="L274">
        <v>5.04</v>
      </c>
      <c r="M274" t="s">
        <v>277</v>
      </c>
      <c r="N274" t="s">
        <v>278</v>
      </c>
    </row>
    <row r="275" spans="1:14" x14ac:dyDescent="0.3">
      <c r="A275" t="s">
        <v>272</v>
      </c>
      <c r="B275" t="s">
        <v>273</v>
      </c>
      <c r="C275">
        <v>300</v>
      </c>
      <c r="D275" t="s">
        <v>80</v>
      </c>
      <c r="E275">
        <v>645</v>
      </c>
      <c r="F275" t="s">
        <v>274</v>
      </c>
      <c r="G275" t="s">
        <v>293</v>
      </c>
      <c r="H275" t="s">
        <v>41</v>
      </c>
      <c r="I275">
        <v>2020</v>
      </c>
      <c r="J275">
        <v>2020</v>
      </c>
      <c r="K275" t="s">
        <v>276</v>
      </c>
      <c r="L275">
        <v>5.07</v>
      </c>
      <c r="M275" t="s">
        <v>277</v>
      </c>
      <c r="N275" t="s">
        <v>278</v>
      </c>
    </row>
    <row r="276" spans="1:14" x14ac:dyDescent="0.3">
      <c r="A276" t="s">
        <v>272</v>
      </c>
      <c r="B276" t="s">
        <v>273</v>
      </c>
      <c r="C276">
        <v>300</v>
      </c>
      <c r="D276" t="s">
        <v>80</v>
      </c>
      <c r="E276">
        <v>645</v>
      </c>
      <c r="F276" t="s">
        <v>274</v>
      </c>
      <c r="G276" t="s">
        <v>293</v>
      </c>
      <c r="H276" t="s">
        <v>41</v>
      </c>
      <c r="I276">
        <v>2021</v>
      </c>
      <c r="J276">
        <v>2021</v>
      </c>
      <c r="K276" t="s">
        <v>276</v>
      </c>
      <c r="L276">
        <v>5.0999999999999996</v>
      </c>
      <c r="M276" t="s">
        <v>277</v>
      </c>
      <c r="N276" t="s">
        <v>278</v>
      </c>
    </row>
    <row r="277" spans="1:14" x14ac:dyDescent="0.3">
      <c r="A277" t="s">
        <v>272</v>
      </c>
      <c r="B277" t="s">
        <v>273</v>
      </c>
      <c r="C277">
        <v>300</v>
      </c>
      <c r="D277" t="s">
        <v>80</v>
      </c>
      <c r="E277">
        <v>645</v>
      </c>
      <c r="F277" t="s">
        <v>274</v>
      </c>
      <c r="G277" t="s">
        <v>294</v>
      </c>
      <c r="H277" t="s">
        <v>35</v>
      </c>
      <c r="I277">
        <v>2017</v>
      </c>
      <c r="J277">
        <v>2017</v>
      </c>
      <c r="K277" t="s">
        <v>276</v>
      </c>
      <c r="L277">
        <v>0.49</v>
      </c>
      <c r="M277" t="s">
        <v>277</v>
      </c>
      <c r="N277" t="s">
        <v>278</v>
      </c>
    </row>
    <row r="278" spans="1:14" x14ac:dyDescent="0.3">
      <c r="A278" t="s">
        <v>272</v>
      </c>
      <c r="B278" t="s">
        <v>273</v>
      </c>
      <c r="C278">
        <v>300</v>
      </c>
      <c r="D278" t="s">
        <v>80</v>
      </c>
      <c r="E278">
        <v>645</v>
      </c>
      <c r="F278" t="s">
        <v>274</v>
      </c>
      <c r="G278" t="s">
        <v>294</v>
      </c>
      <c r="H278" t="s">
        <v>35</v>
      </c>
      <c r="I278">
        <v>2018</v>
      </c>
      <c r="J278">
        <v>2018</v>
      </c>
      <c r="K278" t="s">
        <v>276</v>
      </c>
      <c r="L278">
        <v>0.71</v>
      </c>
      <c r="M278" t="s">
        <v>277</v>
      </c>
      <c r="N278" t="s">
        <v>278</v>
      </c>
    </row>
    <row r="279" spans="1:14" x14ac:dyDescent="0.3">
      <c r="A279" t="s">
        <v>272</v>
      </c>
      <c r="B279" t="s">
        <v>273</v>
      </c>
      <c r="C279">
        <v>300</v>
      </c>
      <c r="D279" t="s">
        <v>80</v>
      </c>
      <c r="E279">
        <v>645</v>
      </c>
      <c r="F279" t="s">
        <v>274</v>
      </c>
      <c r="G279" t="s">
        <v>294</v>
      </c>
      <c r="H279" t="s">
        <v>35</v>
      </c>
      <c r="I279">
        <v>2019</v>
      </c>
      <c r="J279">
        <v>2019</v>
      </c>
      <c r="K279" t="s">
        <v>276</v>
      </c>
      <c r="L279">
        <v>0.96</v>
      </c>
      <c r="M279" t="s">
        <v>277</v>
      </c>
      <c r="N279" t="s">
        <v>278</v>
      </c>
    </row>
    <row r="280" spans="1:14" x14ac:dyDescent="0.3">
      <c r="A280" t="s">
        <v>272</v>
      </c>
      <c r="B280" t="s">
        <v>273</v>
      </c>
      <c r="C280">
        <v>300</v>
      </c>
      <c r="D280" t="s">
        <v>80</v>
      </c>
      <c r="E280">
        <v>645</v>
      </c>
      <c r="F280" t="s">
        <v>274</v>
      </c>
      <c r="G280" t="s">
        <v>294</v>
      </c>
      <c r="H280" t="s">
        <v>35</v>
      </c>
      <c r="I280">
        <v>2020</v>
      </c>
      <c r="J280">
        <v>2020</v>
      </c>
      <c r="K280" t="s">
        <v>276</v>
      </c>
      <c r="L280">
        <v>0.97</v>
      </c>
      <c r="M280" t="s">
        <v>277</v>
      </c>
      <c r="N280" t="s">
        <v>278</v>
      </c>
    </row>
    <row r="281" spans="1:14" x14ac:dyDescent="0.3">
      <c r="A281" t="s">
        <v>272</v>
      </c>
      <c r="B281" t="s">
        <v>273</v>
      </c>
      <c r="C281">
        <v>300</v>
      </c>
      <c r="D281" t="s">
        <v>80</v>
      </c>
      <c r="E281">
        <v>645</v>
      </c>
      <c r="F281" t="s">
        <v>274</v>
      </c>
      <c r="G281" t="s">
        <v>294</v>
      </c>
      <c r="H281" t="s">
        <v>35</v>
      </c>
      <c r="I281">
        <v>2021</v>
      </c>
      <c r="J281">
        <v>2021</v>
      </c>
      <c r="K281" t="s">
        <v>276</v>
      </c>
      <c r="L281">
        <v>0.98</v>
      </c>
      <c r="M281" t="s">
        <v>277</v>
      </c>
      <c r="N281" t="s">
        <v>278</v>
      </c>
    </row>
    <row r="282" spans="1:14" x14ac:dyDescent="0.3">
      <c r="A282" t="s">
        <v>272</v>
      </c>
      <c r="B282" t="s">
        <v>273</v>
      </c>
      <c r="C282">
        <v>300</v>
      </c>
      <c r="D282" t="s">
        <v>80</v>
      </c>
      <c r="E282">
        <v>645</v>
      </c>
      <c r="F282" t="s">
        <v>274</v>
      </c>
      <c r="G282" t="s">
        <v>295</v>
      </c>
      <c r="H282" t="s">
        <v>28</v>
      </c>
      <c r="I282">
        <v>2017</v>
      </c>
      <c r="J282">
        <v>2017</v>
      </c>
      <c r="K282" t="s">
        <v>276</v>
      </c>
      <c r="L282">
        <v>1.62</v>
      </c>
      <c r="M282" t="s">
        <v>277</v>
      </c>
      <c r="N282" t="s">
        <v>278</v>
      </c>
    </row>
    <row r="283" spans="1:14" x14ac:dyDescent="0.3">
      <c r="A283" t="s">
        <v>272</v>
      </c>
      <c r="B283" t="s">
        <v>273</v>
      </c>
      <c r="C283">
        <v>300</v>
      </c>
      <c r="D283" t="s">
        <v>80</v>
      </c>
      <c r="E283">
        <v>645</v>
      </c>
      <c r="F283" t="s">
        <v>274</v>
      </c>
      <c r="G283" t="s">
        <v>295</v>
      </c>
      <c r="H283" t="s">
        <v>28</v>
      </c>
      <c r="I283">
        <v>2018</v>
      </c>
      <c r="J283">
        <v>2018</v>
      </c>
      <c r="K283" t="s">
        <v>276</v>
      </c>
      <c r="L283">
        <v>1.67</v>
      </c>
      <c r="M283" t="s">
        <v>277</v>
      </c>
      <c r="N283" t="s">
        <v>278</v>
      </c>
    </row>
    <row r="284" spans="1:14" x14ac:dyDescent="0.3">
      <c r="A284" t="s">
        <v>272</v>
      </c>
      <c r="B284" t="s">
        <v>273</v>
      </c>
      <c r="C284">
        <v>300</v>
      </c>
      <c r="D284" t="s">
        <v>80</v>
      </c>
      <c r="E284">
        <v>645</v>
      </c>
      <c r="F284" t="s">
        <v>274</v>
      </c>
      <c r="G284" t="s">
        <v>295</v>
      </c>
      <c r="H284" t="s">
        <v>28</v>
      </c>
      <c r="I284">
        <v>2019</v>
      </c>
      <c r="J284">
        <v>2019</v>
      </c>
      <c r="K284" t="s">
        <v>276</v>
      </c>
      <c r="L284">
        <v>1.68</v>
      </c>
      <c r="M284" t="s">
        <v>277</v>
      </c>
      <c r="N284" t="s">
        <v>278</v>
      </c>
    </row>
    <row r="285" spans="1:14" x14ac:dyDescent="0.3">
      <c r="A285" t="s">
        <v>272</v>
      </c>
      <c r="B285" t="s">
        <v>273</v>
      </c>
      <c r="C285">
        <v>300</v>
      </c>
      <c r="D285" t="s">
        <v>80</v>
      </c>
      <c r="E285">
        <v>645</v>
      </c>
      <c r="F285" t="s">
        <v>274</v>
      </c>
      <c r="G285" t="s">
        <v>295</v>
      </c>
      <c r="H285" t="s">
        <v>28</v>
      </c>
      <c r="I285">
        <v>2020</v>
      </c>
      <c r="J285">
        <v>2020</v>
      </c>
      <c r="K285" t="s">
        <v>276</v>
      </c>
      <c r="L285">
        <v>1.69</v>
      </c>
      <c r="M285" t="s">
        <v>277</v>
      </c>
      <c r="N285" t="s">
        <v>278</v>
      </c>
    </row>
    <row r="286" spans="1:14" x14ac:dyDescent="0.3">
      <c r="A286" t="s">
        <v>272</v>
      </c>
      <c r="B286" t="s">
        <v>273</v>
      </c>
      <c r="C286">
        <v>300</v>
      </c>
      <c r="D286" t="s">
        <v>80</v>
      </c>
      <c r="E286">
        <v>645</v>
      </c>
      <c r="F286" t="s">
        <v>274</v>
      </c>
      <c r="G286" t="s">
        <v>295</v>
      </c>
      <c r="H286" t="s">
        <v>28</v>
      </c>
      <c r="I286">
        <v>2021</v>
      </c>
      <c r="J286">
        <v>2021</v>
      </c>
      <c r="K286" t="s">
        <v>276</v>
      </c>
      <c r="L286">
        <v>1.7</v>
      </c>
      <c r="M286" t="s">
        <v>277</v>
      </c>
      <c r="N286" t="s">
        <v>278</v>
      </c>
    </row>
    <row r="287" spans="1:14" x14ac:dyDescent="0.3">
      <c r="A287" t="s">
        <v>272</v>
      </c>
      <c r="B287" t="s">
        <v>273</v>
      </c>
      <c r="C287">
        <v>300</v>
      </c>
      <c r="D287" t="s">
        <v>80</v>
      </c>
      <c r="E287">
        <v>645</v>
      </c>
      <c r="F287" t="s">
        <v>274</v>
      </c>
      <c r="G287" t="s">
        <v>296</v>
      </c>
      <c r="H287" t="s">
        <v>26</v>
      </c>
      <c r="I287">
        <v>2017</v>
      </c>
      <c r="J287">
        <v>2017</v>
      </c>
      <c r="K287" t="s">
        <v>276</v>
      </c>
      <c r="L287">
        <v>3.6</v>
      </c>
      <c r="M287" t="s">
        <v>277</v>
      </c>
      <c r="N287" t="s">
        <v>278</v>
      </c>
    </row>
    <row r="288" spans="1:14" x14ac:dyDescent="0.3">
      <c r="A288" t="s">
        <v>272</v>
      </c>
      <c r="B288" t="s">
        <v>273</v>
      </c>
      <c r="C288">
        <v>300</v>
      </c>
      <c r="D288" t="s">
        <v>80</v>
      </c>
      <c r="E288">
        <v>645</v>
      </c>
      <c r="F288" t="s">
        <v>274</v>
      </c>
      <c r="G288" t="s">
        <v>296</v>
      </c>
      <c r="H288" t="s">
        <v>26</v>
      </c>
      <c r="I288">
        <v>2018</v>
      </c>
      <c r="J288">
        <v>2018</v>
      </c>
      <c r="K288" t="s">
        <v>276</v>
      </c>
      <c r="L288">
        <v>3.35</v>
      </c>
      <c r="M288" t="s">
        <v>277</v>
      </c>
      <c r="N288" t="s">
        <v>278</v>
      </c>
    </row>
    <row r="289" spans="1:14" x14ac:dyDescent="0.3">
      <c r="A289" t="s">
        <v>272</v>
      </c>
      <c r="B289" t="s">
        <v>273</v>
      </c>
      <c r="C289">
        <v>300</v>
      </c>
      <c r="D289" t="s">
        <v>80</v>
      </c>
      <c r="E289">
        <v>645</v>
      </c>
      <c r="F289" t="s">
        <v>274</v>
      </c>
      <c r="G289" t="s">
        <v>296</v>
      </c>
      <c r="H289" t="s">
        <v>26</v>
      </c>
      <c r="I289">
        <v>2019</v>
      </c>
      <c r="J289">
        <v>2019</v>
      </c>
      <c r="K289" t="s">
        <v>276</v>
      </c>
      <c r="L289">
        <v>3.39</v>
      </c>
      <c r="M289" t="s">
        <v>277</v>
      </c>
      <c r="N289" t="s">
        <v>278</v>
      </c>
    </row>
    <row r="290" spans="1:14" x14ac:dyDescent="0.3">
      <c r="A290" t="s">
        <v>272</v>
      </c>
      <c r="B290" t="s">
        <v>273</v>
      </c>
      <c r="C290">
        <v>300</v>
      </c>
      <c r="D290" t="s">
        <v>80</v>
      </c>
      <c r="E290">
        <v>645</v>
      </c>
      <c r="F290" t="s">
        <v>274</v>
      </c>
      <c r="G290" t="s">
        <v>296</v>
      </c>
      <c r="H290" t="s">
        <v>26</v>
      </c>
      <c r="I290">
        <v>2020</v>
      </c>
      <c r="J290">
        <v>2020</v>
      </c>
      <c r="K290" t="s">
        <v>276</v>
      </c>
      <c r="L290">
        <v>3.41</v>
      </c>
      <c r="M290" t="s">
        <v>277</v>
      </c>
      <c r="N290" t="s">
        <v>278</v>
      </c>
    </row>
    <row r="291" spans="1:14" x14ac:dyDescent="0.3">
      <c r="A291" t="s">
        <v>272</v>
      </c>
      <c r="B291" t="s">
        <v>273</v>
      </c>
      <c r="C291">
        <v>300</v>
      </c>
      <c r="D291" t="s">
        <v>80</v>
      </c>
      <c r="E291">
        <v>645</v>
      </c>
      <c r="F291" t="s">
        <v>274</v>
      </c>
      <c r="G291" t="s">
        <v>296</v>
      </c>
      <c r="H291" t="s">
        <v>26</v>
      </c>
      <c r="I291">
        <v>2021</v>
      </c>
      <c r="J291">
        <v>2021</v>
      </c>
      <c r="K291" t="s">
        <v>276</v>
      </c>
      <c r="L291">
        <v>3.43</v>
      </c>
      <c r="M291" t="s">
        <v>277</v>
      </c>
      <c r="N291" t="s">
        <v>278</v>
      </c>
    </row>
    <row r="292" spans="1:14" x14ac:dyDescent="0.3">
      <c r="A292" t="s">
        <v>272</v>
      </c>
      <c r="B292" t="s">
        <v>273</v>
      </c>
      <c r="C292">
        <v>300</v>
      </c>
      <c r="D292" t="s">
        <v>80</v>
      </c>
      <c r="E292">
        <v>645</v>
      </c>
      <c r="F292" t="s">
        <v>274</v>
      </c>
      <c r="G292" t="s">
        <v>297</v>
      </c>
      <c r="H292" t="s">
        <v>38</v>
      </c>
      <c r="I292">
        <v>2017</v>
      </c>
      <c r="J292">
        <v>2017</v>
      </c>
      <c r="K292" t="s">
        <v>276</v>
      </c>
      <c r="L292">
        <v>0.59</v>
      </c>
      <c r="M292" t="s">
        <v>277</v>
      </c>
      <c r="N292" t="s">
        <v>278</v>
      </c>
    </row>
    <row r="293" spans="1:14" x14ac:dyDescent="0.3">
      <c r="A293" t="s">
        <v>272</v>
      </c>
      <c r="B293" t="s">
        <v>273</v>
      </c>
      <c r="C293">
        <v>300</v>
      </c>
      <c r="D293" t="s">
        <v>80</v>
      </c>
      <c r="E293">
        <v>645</v>
      </c>
      <c r="F293" t="s">
        <v>274</v>
      </c>
      <c r="G293" t="s">
        <v>297</v>
      </c>
      <c r="H293" t="s">
        <v>38</v>
      </c>
      <c r="I293">
        <v>2018</v>
      </c>
      <c r="J293">
        <v>2018</v>
      </c>
      <c r="K293" t="s">
        <v>276</v>
      </c>
      <c r="L293">
        <v>0.7</v>
      </c>
      <c r="M293" t="s">
        <v>277</v>
      </c>
      <c r="N293" t="s">
        <v>278</v>
      </c>
    </row>
    <row r="294" spans="1:14" x14ac:dyDescent="0.3">
      <c r="A294" t="s">
        <v>272</v>
      </c>
      <c r="B294" t="s">
        <v>273</v>
      </c>
      <c r="C294">
        <v>300</v>
      </c>
      <c r="D294" t="s">
        <v>80</v>
      </c>
      <c r="E294">
        <v>645</v>
      </c>
      <c r="F294" t="s">
        <v>274</v>
      </c>
      <c r="G294" t="s">
        <v>297</v>
      </c>
      <c r="H294" t="s">
        <v>38</v>
      </c>
      <c r="I294">
        <v>2019</v>
      </c>
      <c r="J294">
        <v>2019</v>
      </c>
      <c r="K294" t="s">
        <v>276</v>
      </c>
      <c r="L294">
        <v>0.91</v>
      </c>
      <c r="M294" t="s">
        <v>277</v>
      </c>
      <c r="N294" t="s">
        <v>278</v>
      </c>
    </row>
    <row r="295" spans="1:14" x14ac:dyDescent="0.3">
      <c r="A295" t="s">
        <v>272</v>
      </c>
      <c r="B295" t="s">
        <v>273</v>
      </c>
      <c r="C295">
        <v>300</v>
      </c>
      <c r="D295" t="s">
        <v>80</v>
      </c>
      <c r="E295">
        <v>645</v>
      </c>
      <c r="F295" t="s">
        <v>274</v>
      </c>
      <c r="G295" t="s">
        <v>297</v>
      </c>
      <c r="H295" t="s">
        <v>38</v>
      </c>
      <c r="I295">
        <v>2020</v>
      </c>
      <c r="J295">
        <v>2020</v>
      </c>
      <c r="K295" t="s">
        <v>276</v>
      </c>
      <c r="L295">
        <v>0.91</v>
      </c>
      <c r="M295" t="s">
        <v>277</v>
      </c>
      <c r="N295" t="s">
        <v>278</v>
      </c>
    </row>
    <row r="296" spans="1:14" x14ac:dyDescent="0.3">
      <c r="A296" t="s">
        <v>272</v>
      </c>
      <c r="B296" t="s">
        <v>273</v>
      </c>
      <c r="C296">
        <v>300</v>
      </c>
      <c r="D296" t="s">
        <v>80</v>
      </c>
      <c r="E296">
        <v>645</v>
      </c>
      <c r="F296" t="s">
        <v>274</v>
      </c>
      <c r="G296" t="s">
        <v>297</v>
      </c>
      <c r="H296" t="s">
        <v>38</v>
      </c>
      <c r="I296">
        <v>2021</v>
      </c>
      <c r="J296">
        <v>2021</v>
      </c>
      <c r="K296" t="s">
        <v>276</v>
      </c>
      <c r="L296">
        <v>0.92</v>
      </c>
      <c r="M296" t="s">
        <v>277</v>
      </c>
      <c r="N296" t="s">
        <v>278</v>
      </c>
    </row>
    <row r="297" spans="1:14" x14ac:dyDescent="0.3">
      <c r="A297" t="s">
        <v>272</v>
      </c>
      <c r="B297" t="s">
        <v>273</v>
      </c>
      <c r="C297">
        <v>300</v>
      </c>
      <c r="D297" t="s">
        <v>80</v>
      </c>
      <c r="E297">
        <v>645</v>
      </c>
      <c r="F297" t="s">
        <v>274</v>
      </c>
      <c r="G297" t="s">
        <v>298</v>
      </c>
      <c r="H297" t="s">
        <v>23</v>
      </c>
      <c r="I297">
        <v>2017</v>
      </c>
      <c r="J297">
        <v>2017</v>
      </c>
      <c r="K297" t="s">
        <v>276</v>
      </c>
      <c r="L297">
        <v>0.01</v>
      </c>
      <c r="M297" t="s">
        <v>277</v>
      </c>
      <c r="N297" t="s">
        <v>278</v>
      </c>
    </row>
    <row r="298" spans="1:14" x14ac:dyDescent="0.3">
      <c r="A298" t="s">
        <v>272</v>
      </c>
      <c r="B298" t="s">
        <v>273</v>
      </c>
      <c r="C298">
        <v>300</v>
      </c>
      <c r="D298" t="s">
        <v>80</v>
      </c>
      <c r="E298">
        <v>645</v>
      </c>
      <c r="F298" t="s">
        <v>274</v>
      </c>
      <c r="G298" t="s">
        <v>298</v>
      </c>
      <c r="H298" t="s">
        <v>23</v>
      </c>
      <c r="I298">
        <v>2018</v>
      </c>
      <c r="J298">
        <v>2018</v>
      </c>
      <c r="K298" t="s">
        <v>276</v>
      </c>
      <c r="L298">
        <v>0.01</v>
      </c>
      <c r="M298" t="s">
        <v>277</v>
      </c>
      <c r="N298" t="s">
        <v>278</v>
      </c>
    </row>
    <row r="299" spans="1:14" x14ac:dyDescent="0.3">
      <c r="A299" t="s">
        <v>272</v>
      </c>
      <c r="B299" t="s">
        <v>273</v>
      </c>
      <c r="C299">
        <v>300</v>
      </c>
      <c r="D299" t="s">
        <v>80</v>
      </c>
      <c r="E299">
        <v>645</v>
      </c>
      <c r="F299" t="s">
        <v>274</v>
      </c>
      <c r="G299" t="s">
        <v>298</v>
      </c>
      <c r="H299" t="s">
        <v>23</v>
      </c>
      <c r="I299">
        <v>2019</v>
      </c>
      <c r="J299">
        <v>2019</v>
      </c>
      <c r="K299" t="s">
        <v>276</v>
      </c>
      <c r="L299">
        <v>0.01</v>
      </c>
      <c r="M299" t="s">
        <v>277</v>
      </c>
      <c r="N299" t="s">
        <v>278</v>
      </c>
    </row>
    <row r="300" spans="1:14" x14ac:dyDescent="0.3">
      <c r="A300" t="s">
        <v>272</v>
      </c>
      <c r="B300" t="s">
        <v>273</v>
      </c>
      <c r="C300">
        <v>300</v>
      </c>
      <c r="D300" t="s">
        <v>80</v>
      </c>
      <c r="E300">
        <v>645</v>
      </c>
      <c r="F300" t="s">
        <v>274</v>
      </c>
      <c r="G300" t="s">
        <v>298</v>
      </c>
      <c r="H300" t="s">
        <v>23</v>
      </c>
      <c r="I300">
        <v>2020</v>
      </c>
      <c r="J300">
        <v>2020</v>
      </c>
      <c r="K300" t="s">
        <v>276</v>
      </c>
      <c r="L300">
        <v>0.01</v>
      </c>
      <c r="M300" t="s">
        <v>277</v>
      </c>
      <c r="N300" t="s">
        <v>278</v>
      </c>
    </row>
    <row r="301" spans="1:14" x14ac:dyDescent="0.3">
      <c r="A301" t="s">
        <v>272</v>
      </c>
      <c r="B301" t="s">
        <v>273</v>
      </c>
      <c r="C301">
        <v>300</v>
      </c>
      <c r="D301" t="s">
        <v>80</v>
      </c>
      <c r="E301">
        <v>645</v>
      </c>
      <c r="F301" t="s">
        <v>274</v>
      </c>
      <c r="G301" t="s">
        <v>298</v>
      </c>
      <c r="H301" t="s">
        <v>23</v>
      </c>
      <c r="I301">
        <v>2021</v>
      </c>
      <c r="J301">
        <v>2021</v>
      </c>
      <c r="K301" t="s">
        <v>276</v>
      </c>
      <c r="L301">
        <v>0.01</v>
      </c>
      <c r="M301" t="s">
        <v>277</v>
      </c>
      <c r="N301" t="s">
        <v>278</v>
      </c>
    </row>
    <row r="302" spans="1:14" x14ac:dyDescent="0.3">
      <c r="A302" t="s">
        <v>272</v>
      </c>
      <c r="B302" t="s">
        <v>273</v>
      </c>
      <c r="C302">
        <v>348</v>
      </c>
      <c r="D302" t="s">
        <v>81</v>
      </c>
      <c r="E302">
        <v>645</v>
      </c>
      <c r="F302" t="s">
        <v>274</v>
      </c>
      <c r="G302" t="s">
        <v>275</v>
      </c>
      <c r="H302" t="s">
        <v>24</v>
      </c>
      <c r="I302">
        <v>2017</v>
      </c>
      <c r="J302">
        <v>2017</v>
      </c>
      <c r="K302" t="s">
        <v>276</v>
      </c>
      <c r="L302">
        <v>5.49</v>
      </c>
      <c r="M302" t="s">
        <v>277</v>
      </c>
      <c r="N302" t="s">
        <v>278</v>
      </c>
    </row>
    <row r="303" spans="1:14" x14ac:dyDescent="0.3">
      <c r="A303" t="s">
        <v>272</v>
      </c>
      <c r="B303" t="s">
        <v>273</v>
      </c>
      <c r="C303">
        <v>348</v>
      </c>
      <c r="D303" t="s">
        <v>81</v>
      </c>
      <c r="E303">
        <v>645</v>
      </c>
      <c r="F303" t="s">
        <v>274</v>
      </c>
      <c r="G303" t="s">
        <v>275</v>
      </c>
      <c r="H303" t="s">
        <v>24</v>
      </c>
      <c r="I303">
        <v>2018</v>
      </c>
      <c r="J303">
        <v>2018</v>
      </c>
      <c r="K303" t="s">
        <v>276</v>
      </c>
      <c r="L303">
        <v>5.81</v>
      </c>
      <c r="M303" t="s">
        <v>277</v>
      </c>
      <c r="N303" t="s">
        <v>278</v>
      </c>
    </row>
    <row r="304" spans="1:14" x14ac:dyDescent="0.3">
      <c r="A304" t="s">
        <v>272</v>
      </c>
      <c r="B304" t="s">
        <v>273</v>
      </c>
      <c r="C304">
        <v>348</v>
      </c>
      <c r="D304" t="s">
        <v>81</v>
      </c>
      <c r="E304">
        <v>645</v>
      </c>
      <c r="F304" t="s">
        <v>274</v>
      </c>
      <c r="G304" t="s">
        <v>275</v>
      </c>
      <c r="H304" t="s">
        <v>24</v>
      </c>
      <c r="I304">
        <v>2019</v>
      </c>
      <c r="J304">
        <v>2019</v>
      </c>
      <c r="K304" t="s">
        <v>276</v>
      </c>
      <c r="L304">
        <v>6.11</v>
      </c>
      <c r="M304" t="s">
        <v>277</v>
      </c>
      <c r="N304" t="s">
        <v>278</v>
      </c>
    </row>
    <row r="305" spans="1:14" x14ac:dyDescent="0.3">
      <c r="A305" t="s">
        <v>272</v>
      </c>
      <c r="B305" t="s">
        <v>273</v>
      </c>
      <c r="C305">
        <v>348</v>
      </c>
      <c r="D305" t="s">
        <v>81</v>
      </c>
      <c r="E305">
        <v>645</v>
      </c>
      <c r="F305" t="s">
        <v>274</v>
      </c>
      <c r="G305" t="s">
        <v>275</v>
      </c>
      <c r="H305" t="s">
        <v>24</v>
      </c>
      <c r="I305">
        <v>2020</v>
      </c>
      <c r="J305">
        <v>2020</v>
      </c>
      <c r="K305" t="s">
        <v>276</v>
      </c>
      <c r="L305">
        <v>5.77</v>
      </c>
      <c r="M305" t="s">
        <v>277</v>
      </c>
      <c r="N305" t="s">
        <v>278</v>
      </c>
    </row>
    <row r="306" spans="1:14" x14ac:dyDescent="0.3">
      <c r="A306" t="s">
        <v>272</v>
      </c>
      <c r="B306" t="s">
        <v>273</v>
      </c>
      <c r="C306">
        <v>348</v>
      </c>
      <c r="D306" t="s">
        <v>81</v>
      </c>
      <c r="E306">
        <v>645</v>
      </c>
      <c r="F306" t="s">
        <v>274</v>
      </c>
      <c r="G306" t="s">
        <v>275</v>
      </c>
      <c r="H306" t="s">
        <v>24</v>
      </c>
      <c r="I306">
        <v>2021</v>
      </c>
      <c r="J306">
        <v>2021</v>
      </c>
      <c r="K306" t="s">
        <v>276</v>
      </c>
      <c r="L306">
        <v>5.77</v>
      </c>
      <c r="M306" t="s">
        <v>277</v>
      </c>
      <c r="N306" t="s">
        <v>278</v>
      </c>
    </row>
    <row r="307" spans="1:14" x14ac:dyDescent="0.3">
      <c r="A307" t="s">
        <v>272</v>
      </c>
      <c r="B307" t="s">
        <v>273</v>
      </c>
      <c r="C307">
        <v>348</v>
      </c>
      <c r="D307" t="s">
        <v>81</v>
      </c>
      <c r="E307">
        <v>645</v>
      </c>
      <c r="F307" t="s">
        <v>274</v>
      </c>
      <c r="G307" t="s">
        <v>279</v>
      </c>
      <c r="H307" t="s">
        <v>39</v>
      </c>
      <c r="I307">
        <v>2017</v>
      </c>
      <c r="J307">
        <v>2017</v>
      </c>
      <c r="K307" t="s">
        <v>276</v>
      </c>
      <c r="L307">
        <v>0.14000000000000001</v>
      </c>
      <c r="M307" t="s">
        <v>277</v>
      </c>
      <c r="N307" t="s">
        <v>278</v>
      </c>
    </row>
    <row r="308" spans="1:14" x14ac:dyDescent="0.3">
      <c r="A308" t="s">
        <v>272</v>
      </c>
      <c r="B308" t="s">
        <v>273</v>
      </c>
      <c r="C308">
        <v>348</v>
      </c>
      <c r="D308" t="s">
        <v>81</v>
      </c>
      <c r="E308">
        <v>645</v>
      </c>
      <c r="F308" t="s">
        <v>274</v>
      </c>
      <c r="G308" t="s">
        <v>279</v>
      </c>
      <c r="H308" t="s">
        <v>39</v>
      </c>
      <c r="I308">
        <v>2018</v>
      </c>
      <c r="J308">
        <v>2018</v>
      </c>
      <c r="K308" t="s">
        <v>276</v>
      </c>
      <c r="L308">
        <v>0.15</v>
      </c>
      <c r="M308" t="s">
        <v>277</v>
      </c>
      <c r="N308" t="s">
        <v>278</v>
      </c>
    </row>
    <row r="309" spans="1:14" x14ac:dyDescent="0.3">
      <c r="A309" t="s">
        <v>272</v>
      </c>
      <c r="B309" t="s">
        <v>273</v>
      </c>
      <c r="C309">
        <v>348</v>
      </c>
      <c r="D309" t="s">
        <v>81</v>
      </c>
      <c r="E309">
        <v>645</v>
      </c>
      <c r="F309" t="s">
        <v>274</v>
      </c>
      <c r="G309" t="s">
        <v>279</v>
      </c>
      <c r="H309" t="s">
        <v>39</v>
      </c>
      <c r="I309">
        <v>2019</v>
      </c>
      <c r="J309">
        <v>2019</v>
      </c>
      <c r="K309" t="s">
        <v>276</v>
      </c>
      <c r="L309">
        <v>0.16</v>
      </c>
      <c r="M309" t="s">
        <v>277</v>
      </c>
      <c r="N309" t="s">
        <v>278</v>
      </c>
    </row>
    <row r="310" spans="1:14" x14ac:dyDescent="0.3">
      <c r="A310" t="s">
        <v>272</v>
      </c>
      <c r="B310" t="s">
        <v>273</v>
      </c>
      <c r="C310">
        <v>348</v>
      </c>
      <c r="D310" t="s">
        <v>81</v>
      </c>
      <c r="E310">
        <v>645</v>
      </c>
      <c r="F310" t="s">
        <v>274</v>
      </c>
      <c r="G310" t="s">
        <v>279</v>
      </c>
      <c r="H310" t="s">
        <v>39</v>
      </c>
      <c r="I310">
        <v>2020</v>
      </c>
      <c r="J310">
        <v>2020</v>
      </c>
      <c r="K310" t="s">
        <v>276</v>
      </c>
      <c r="L310">
        <v>0.08</v>
      </c>
      <c r="M310" t="s">
        <v>277</v>
      </c>
      <c r="N310" t="s">
        <v>278</v>
      </c>
    </row>
    <row r="311" spans="1:14" x14ac:dyDescent="0.3">
      <c r="A311" t="s">
        <v>272</v>
      </c>
      <c r="B311" t="s">
        <v>273</v>
      </c>
      <c r="C311">
        <v>348</v>
      </c>
      <c r="D311" t="s">
        <v>81</v>
      </c>
      <c r="E311">
        <v>645</v>
      </c>
      <c r="F311" t="s">
        <v>274</v>
      </c>
      <c r="G311" t="s">
        <v>279</v>
      </c>
      <c r="H311" t="s">
        <v>39</v>
      </c>
      <c r="I311">
        <v>2021</v>
      </c>
      <c r="J311">
        <v>2021</v>
      </c>
      <c r="K311" t="s">
        <v>276</v>
      </c>
      <c r="L311">
        <v>0.1</v>
      </c>
      <c r="M311" t="s">
        <v>277</v>
      </c>
      <c r="N311" t="s">
        <v>278</v>
      </c>
    </row>
    <row r="312" spans="1:14" x14ac:dyDescent="0.3">
      <c r="A312" t="s">
        <v>272</v>
      </c>
      <c r="B312" t="s">
        <v>273</v>
      </c>
      <c r="C312">
        <v>348</v>
      </c>
      <c r="D312" t="s">
        <v>81</v>
      </c>
      <c r="E312">
        <v>645</v>
      </c>
      <c r="F312" t="s">
        <v>274</v>
      </c>
      <c r="G312" t="s">
        <v>280</v>
      </c>
      <c r="H312" t="s">
        <v>42</v>
      </c>
      <c r="I312">
        <v>2017</v>
      </c>
      <c r="J312">
        <v>2017</v>
      </c>
      <c r="K312" t="s">
        <v>276</v>
      </c>
      <c r="L312">
        <v>49.52</v>
      </c>
      <c r="M312" t="s">
        <v>277</v>
      </c>
      <c r="N312" t="s">
        <v>278</v>
      </c>
    </row>
    <row r="313" spans="1:14" x14ac:dyDescent="0.3">
      <c r="A313" t="s">
        <v>272</v>
      </c>
      <c r="B313" t="s">
        <v>273</v>
      </c>
      <c r="C313">
        <v>348</v>
      </c>
      <c r="D313" t="s">
        <v>81</v>
      </c>
      <c r="E313">
        <v>645</v>
      </c>
      <c r="F313" t="s">
        <v>274</v>
      </c>
      <c r="G313" t="s">
        <v>280</v>
      </c>
      <c r="H313" t="s">
        <v>42</v>
      </c>
      <c r="I313">
        <v>2018</v>
      </c>
      <c r="J313">
        <v>2018</v>
      </c>
      <c r="K313" t="s">
        <v>276</v>
      </c>
      <c r="L313">
        <v>53.93</v>
      </c>
      <c r="M313" t="s">
        <v>277</v>
      </c>
      <c r="N313" t="s">
        <v>278</v>
      </c>
    </row>
    <row r="314" spans="1:14" x14ac:dyDescent="0.3">
      <c r="A314" t="s">
        <v>272</v>
      </c>
      <c r="B314" t="s">
        <v>273</v>
      </c>
      <c r="C314">
        <v>348</v>
      </c>
      <c r="D314" t="s">
        <v>81</v>
      </c>
      <c r="E314">
        <v>645</v>
      </c>
      <c r="F314" t="s">
        <v>274</v>
      </c>
      <c r="G314" t="s">
        <v>280</v>
      </c>
      <c r="H314" t="s">
        <v>42</v>
      </c>
      <c r="I314">
        <v>2019</v>
      </c>
      <c r="J314">
        <v>2019</v>
      </c>
      <c r="K314" t="s">
        <v>276</v>
      </c>
      <c r="L314">
        <v>51.4</v>
      </c>
      <c r="M314" t="s">
        <v>277</v>
      </c>
      <c r="N314" t="s">
        <v>278</v>
      </c>
    </row>
    <row r="315" spans="1:14" x14ac:dyDescent="0.3">
      <c r="A315" t="s">
        <v>272</v>
      </c>
      <c r="B315" t="s">
        <v>273</v>
      </c>
      <c r="C315">
        <v>348</v>
      </c>
      <c r="D315" t="s">
        <v>81</v>
      </c>
      <c r="E315">
        <v>645</v>
      </c>
      <c r="F315" t="s">
        <v>274</v>
      </c>
      <c r="G315" t="s">
        <v>280</v>
      </c>
      <c r="H315" t="s">
        <v>42</v>
      </c>
      <c r="I315">
        <v>2020</v>
      </c>
      <c r="J315">
        <v>2020</v>
      </c>
      <c r="K315" t="s">
        <v>276</v>
      </c>
      <c r="L315">
        <v>47.86</v>
      </c>
      <c r="M315" t="s">
        <v>277</v>
      </c>
      <c r="N315" t="s">
        <v>278</v>
      </c>
    </row>
    <row r="316" spans="1:14" x14ac:dyDescent="0.3">
      <c r="A316" t="s">
        <v>272</v>
      </c>
      <c r="B316" t="s">
        <v>273</v>
      </c>
      <c r="C316">
        <v>348</v>
      </c>
      <c r="D316" t="s">
        <v>81</v>
      </c>
      <c r="E316">
        <v>645</v>
      </c>
      <c r="F316" t="s">
        <v>274</v>
      </c>
      <c r="G316" t="s">
        <v>280</v>
      </c>
      <c r="H316" t="s">
        <v>42</v>
      </c>
      <c r="I316">
        <v>2021</v>
      </c>
      <c r="J316">
        <v>2021</v>
      </c>
      <c r="K316" t="s">
        <v>276</v>
      </c>
      <c r="L316">
        <v>49.99</v>
      </c>
      <c r="M316" t="s">
        <v>277</v>
      </c>
      <c r="N316" t="s">
        <v>278</v>
      </c>
    </row>
    <row r="317" spans="1:14" x14ac:dyDescent="0.3">
      <c r="A317" t="s">
        <v>272</v>
      </c>
      <c r="B317" t="s">
        <v>273</v>
      </c>
      <c r="C317">
        <v>348</v>
      </c>
      <c r="D317" t="s">
        <v>81</v>
      </c>
      <c r="E317">
        <v>645</v>
      </c>
      <c r="F317" t="s">
        <v>274</v>
      </c>
      <c r="G317" t="s">
        <v>281</v>
      </c>
      <c r="H317" t="s">
        <v>43</v>
      </c>
      <c r="I317">
        <v>2017</v>
      </c>
      <c r="J317">
        <v>2017</v>
      </c>
      <c r="K317" t="s">
        <v>276</v>
      </c>
      <c r="L317">
        <v>25.14</v>
      </c>
      <c r="M317" t="s">
        <v>277</v>
      </c>
      <c r="N317" t="s">
        <v>278</v>
      </c>
    </row>
    <row r="318" spans="1:14" x14ac:dyDescent="0.3">
      <c r="A318" t="s">
        <v>272</v>
      </c>
      <c r="B318" t="s">
        <v>273</v>
      </c>
      <c r="C318">
        <v>348</v>
      </c>
      <c r="D318" t="s">
        <v>81</v>
      </c>
      <c r="E318">
        <v>645</v>
      </c>
      <c r="F318" t="s">
        <v>274</v>
      </c>
      <c r="G318" t="s">
        <v>281</v>
      </c>
      <c r="H318" t="s">
        <v>43</v>
      </c>
      <c r="I318">
        <v>2018</v>
      </c>
      <c r="J318">
        <v>2018</v>
      </c>
      <c r="K318" t="s">
        <v>276</v>
      </c>
      <c r="L318">
        <v>26.51</v>
      </c>
      <c r="M318" t="s">
        <v>277</v>
      </c>
      <c r="N318" t="s">
        <v>278</v>
      </c>
    </row>
    <row r="319" spans="1:14" x14ac:dyDescent="0.3">
      <c r="A319" t="s">
        <v>272</v>
      </c>
      <c r="B319" t="s">
        <v>273</v>
      </c>
      <c r="C319">
        <v>348</v>
      </c>
      <c r="D319" t="s">
        <v>81</v>
      </c>
      <c r="E319">
        <v>645</v>
      </c>
      <c r="F319" t="s">
        <v>274</v>
      </c>
      <c r="G319" t="s">
        <v>281</v>
      </c>
      <c r="H319" t="s">
        <v>43</v>
      </c>
      <c r="I319">
        <v>2019</v>
      </c>
      <c r="J319">
        <v>2019</v>
      </c>
      <c r="K319" t="s">
        <v>276</v>
      </c>
      <c r="L319">
        <v>27.33</v>
      </c>
      <c r="M319" t="s">
        <v>277</v>
      </c>
      <c r="N319" t="s">
        <v>278</v>
      </c>
    </row>
    <row r="320" spans="1:14" x14ac:dyDescent="0.3">
      <c r="A320" t="s">
        <v>272</v>
      </c>
      <c r="B320" t="s">
        <v>273</v>
      </c>
      <c r="C320">
        <v>348</v>
      </c>
      <c r="D320" t="s">
        <v>81</v>
      </c>
      <c r="E320">
        <v>645</v>
      </c>
      <c r="F320" t="s">
        <v>274</v>
      </c>
      <c r="G320" t="s">
        <v>281</v>
      </c>
      <c r="H320" t="s">
        <v>43</v>
      </c>
      <c r="I320">
        <v>2020</v>
      </c>
      <c r="J320">
        <v>2020</v>
      </c>
      <c r="K320" t="s">
        <v>276</v>
      </c>
      <c r="L320">
        <v>27.48</v>
      </c>
      <c r="M320" t="s">
        <v>277</v>
      </c>
      <c r="N320" t="s">
        <v>278</v>
      </c>
    </row>
    <row r="321" spans="1:14" x14ac:dyDescent="0.3">
      <c r="A321" t="s">
        <v>272</v>
      </c>
      <c r="B321" t="s">
        <v>273</v>
      </c>
      <c r="C321">
        <v>348</v>
      </c>
      <c r="D321" t="s">
        <v>81</v>
      </c>
      <c r="E321">
        <v>645</v>
      </c>
      <c r="F321" t="s">
        <v>274</v>
      </c>
      <c r="G321" t="s">
        <v>281</v>
      </c>
      <c r="H321" t="s">
        <v>43</v>
      </c>
      <c r="I321">
        <v>2021</v>
      </c>
      <c r="J321">
        <v>2021</v>
      </c>
      <c r="K321" t="s">
        <v>276</v>
      </c>
      <c r="L321">
        <v>25.73</v>
      </c>
      <c r="M321" t="s">
        <v>277</v>
      </c>
      <c r="N321" t="s">
        <v>278</v>
      </c>
    </row>
    <row r="322" spans="1:14" x14ac:dyDescent="0.3">
      <c r="A322" t="s">
        <v>272</v>
      </c>
      <c r="B322" t="s">
        <v>273</v>
      </c>
      <c r="C322">
        <v>348</v>
      </c>
      <c r="D322" t="s">
        <v>81</v>
      </c>
      <c r="E322">
        <v>645</v>
      </c>
      <c r="F322" t="s">
        <v>274</v>
      </c>
      <c r="G322" t="s">
        <v>282</v>
      </c>
      <c r="H322" t="s">
        <v>36</v>
      </c>
      <c r="I322">
        <v>2017</v>
      </c>
      <c r="J322">
        <v>2017</v>
      </c>
      <c r="K322" t="s">
        <v>276</v>
      </c>
      <c r="L322">
        <v>0.28999999999999998</v>
      </c>
      <c r="M322" t="s">
        <v>277</v>
      </c>
      <c r="N322" t="s">
        <v>278</v>
      </c>
    </row>
    <row r="323" spans="1:14" x14ac:dyDescent="0.3">
      <c r="A323" t="s">
        <v>272</v>
      </c>
      <c r="B323" t="s">
        <v>273</v>
      </c>
      <c r="C323">
        <v>348</v>
      </c>
      <c r="D323" t="s">
        <v>81</v>
      </c>
      <c r="E323">
        <v>645</v>
      </c>
      <c r="F323" t="s">
        <v>274</v>
      </c>
      <c r="G323" t="s">
        <v>282</v>
      </c>
      <c r="H323" t="s">
        <v>36</v>
      </c>
      <c r="I323">
        <v>2018</v>
      </c>
      <c r="J323">
        <v>2018</v>
      </c>
      <c r="K323" t="s">
        <v>276</v>
      </c>
      <c r="L323">
        <v>0.32</v>
      </c>
      <c r="M323" t="s">
        <v>277</v>
      </c>
      <c r="N323" t="s">
        <v>278</v>
      </c>
    </row>
    <row r="324" spans="1:14" x14ac:dyDescent="0.3">
      <c r="A324" t="s">
        <v>272</v>
      </c>
      <c r="B324" t="s">
        <v>273</v>
      </c>
      <c r="C324">
        <v>348</v>
      </c>
      <c r="D324" t="s">
        <v>81</v>
      </c>
      <c r="E324">
        <v>645</v>
      </c>
      <c r="F324" t="s">
        <v>274</v>
      </c>
      <c r="G324" t="s">
        <v>282</v>
      </c>
      <c r="H324" t="s">
        <v>36</v>
      </c>
      <c r="I324">
        <v>2019</v>
      </c>
      <c r="J324">
        <v>2019</v>
      </c>
      <c r="K324" t="s">
        <v>276</v>
      </c>
      <c r="L324">
        <v>0.16</v>
      </c>
      <c r="M324" t="s">
        <v>277</v>
      </c>
      <c r="N324" t="s">
        <v>278</v>
      </c>
    </row>
    <row r="325" spans="1:14" x14ac:dyDescent="0.3">
      <c r="A325" t="s">
        <v>272</v>
      </c>
      <c r="B325" t="s">
        <v>273</v>
      </c>
      <c r="C325">
        <v>348</v>
      </c>
      <c r="D325" t="s">
        <v>81</v>
      </c>
      <c r="E325">
        <v>645</v>
      </c>
      <c r="F325" t="s">
        <v>274</v>
      </c>
      <c r="G325" t="s">
        <v>282</v>
      </c>
      <c r="H325" t="s">
        <v>36</v>
      </c>
      <c r="I325">
        <v>2020</v>
      </c>
      <c r="J325">
        <v>2020</v>
      </c>
      <c r="K325" t="s">
        <v>276</v>
      </c>
      <c r="L325">
        <v>0.23</v>
      </c>
      <c r="M325" t="s">
        <v>277</v>
      </c>
      <c r="N325" t="s">
        <v>278</v>
      </c>
    </row>
    <row r="326" spans="1:14" x14ac:dyDescent="0.3">
      <c r="A326" t="s">
        <v>272</v>
      </c>
      <c r="B326" t="s">
        <v>273</v>
      </c>
      <c r="C326">
        <v>348</v>
      </c>
      <c r="D326" t="s">
        <v>81</v>
      </c>
      <c r="E326">
        <v>645</v>
      </c>
      <c r="F326" t="s">
        <v>274</v>
      </c>
      <c r="G326" t="s">
        <v>282</v>
      </c>
      <c r="H326" t="s">
        <v>36</v>
      </c>
      <c r="I326">
        <v>2021</v>
      </c>
      <c r="J326">
        <v>2021</v>
      </c>
      <c r="K326" t="s">
        <v>276</v>
      </c>
      <c r="L326">
        <v>0.49</v>
      </c>
      <c r="M326" t="s">
        <v>277</v>
      </c>
      <c r="N326" t="s">
        <v>278</v>
      </c>
    </row>
    <row r="327" spans="1:14" x14ac:dyDescent="0.3">
      <c r="A327" t="s">
        <v>272</v>
      </c>
      <c r="B327" t="s">
        <v>273</v>
      </c>
      <c r="C327">
        <v>348</v>
      </c>
      <c r="D327" t="s">
        <v>81</v>
      </c>
      <c r="E327">
        <v>645</v>
      </c>
      <c r="F327" t="s">
        <v>274</v>
      </c>
      <c r="G327" t="s">
        <v>283</v>
      </c>
      <c r="H327" t="s">
        <v>40</v>
      </c>
      <c r="I327">
        <v>2017</v>
      </c>
      <c r="J327">
        <v>2017</v>
      </c>
      <c r="K327" t="s">
        <v>276</v>
      </c>
      <c r="L327">
        <v>7.0000000000000007E-2</v>
      </c>
      <c r="M327" t="s">
        <v>277</v>
      </c>
      <c r="N327" t="s">
        <v>278</v>
      </c>
    </row>
    <row r="328" spans="1:14" x14ac:dyDescent="0.3">
      <c r="A328" t="s">
        <v>272</v>
      </c>
      <c r="B328" t="s">
        <v>273</v>
      </c>
      <c r="C328">
        <v>348</v>
      </c>
      <c r="D328" t="s">
        <v>81</v>
      </c>
      <c r="E328">
        <v>645</v>
      </c>
      <c r="F328" t="s">
        <v>274</v>
      </c>
      <c r="G328" t="s">
        <v>283</v>
      </c>
      <c r="H328" t="s">
        <v>40</v>
      </c>
      <c r="I328">
        <v>2018</v>
      </c>
      <c r="J328">
        <v>2018</v>
      </c>
      <c r="K328" t="s">
        <v>276</v>
      </c>
      <c r="L328">
        <v>0.26</v>
      </c>
      <c r="M328" t="s">
        <v>277</v>
      </c>
      <c r="N328" t="s">
        <v>278</v>
      </c>
    </row>
    <row r="329" spans="1:14" x14ac:dyDescent="0.3">
      <c r="A329" t="s">
        <v>272</v>
      </c>
      <c r="B329" t="s">
        <v>273</v>
      </c>
      <c r="C329">
        <v>348</v>
      </c>
      <c r="D329" t="s">
        <v>81</v>
      </c>
      <c r="E329">
        <v>645</v>
      </c>
      <c r="F329" t="s">
        <v>274</v>
      </c>
      <c r="G329" t="s">
        <v>283</v>
      </c>
      <c r="H329" t="s">
        <v>40</v>
      </c>
      <c r="I329">
        <v>2019</v>
      </c>
      <c r="J329">
        <v>2019</v>
      </c>
      <c r="K329" t="s">
        <v>276</v>
      </c>
      <c r="L329">
        <v>0.43</v>
      </c>
      <c r="M329" t="s">
        <v>277</v>
      </c>
      <c r="N329" t="s">
        <v>278</v>
      </c>
    </row>
    <row r="330" spans="1:14" x14ac:dyDescent="0.3">
      <c r="A330" t="s">
        <v>272</v>
      </c>
      <c r="B330" t="s">
        <v>273</v>
      </c>
      <c r="C330">
        <v>348</v>
      </c>
      <c r="D330" t="s">
        <v>81</v>
      </c>
      <c r="E330">
        <v>645</v>
      </c>
      <c r="F330" t="s">
        <v>274</v>
      </c>
      <c r="G330" t="s">
        <v>283</v>
      </c>
      <c r="H330" t="s">
        <v>40</v>
      </c>
      <c r="I330">
        <v>2020</v>
      </c>
      <c r="J330">
        <v>2020</v>
      </c>
      <c r="K330" t="s">
        <v>276</v>
      </c>
      <c r="L330">
        <v>0.4</v>
      </c>
      <c r="M330" t="s">
        <v>277</v>
      </c>
      <c r="N330" t="s">
        <v>278</v>
      </c>
    </row>
    <row r="331" spans="1:14" x14ac:dyDescent="0.3">
      <c r="A331" t="s">
        <v>272</v>
      </c>
      <c r="B331" t="s">
        <v>273</v>
      </c>
      <c r="C331">
        <v>348</v>
      </c>
      <c r="D331" t="s">
        <v>81</v>
      </c>
      <c r="E331">
        <v>645</v>
      </c>
      <c r="F331" t="s">
        <v>274</v>
      </c>
      <c r="G331" t="s">
        <v>283</v>
      </c>
      <c r="H331" t="s">
        <v>40</v>
      </c>
      <c r="I331">
        <v>2021</v>
      </c>
      <c r="J331">
        <v>2021</v>
      </c>
      <c r="K331" t="s">
        <v>276</v>
      </c>
      <c r="L331">
        <v>0.6</v>
      </c>
      <c r="M331" t="s">
        <v>277</v>
      </c>
      <c r="N331" t="s">
        <v>278</v>
      </c>
    </row>
    <row r="332" spans="1:14" x14ac:dyDescent="0.3">
      <c r="A332" t="s">
        <v>272</v>
      </c>
      <c r="B332" t="s">
        <v>273</v>
      </c>
      <c r="C332">
        <v>348</v>
      </c>
      <c r="D332" t="s">
        <v>81</v>
      </c>
      <c r="E332">
        <v>645</v>
      </c>
      <c r="F332" t="s">
        <v>274</v>
      </c>
      <c r="G332" t="s">
        <v>284</v>
      </c>
      <c r="H332" t="s">
        <v>25</v>
      </c>
      <c r="I332">
        <v>2017</v>
      </c>
      <c r="J332">
        <v>2017</v>
      </c>
      <c r="K332" t="s">
        <v>276</v>
      </c>
      <c r="L332">
        <v>1.08</v>
      </c>
      <c r="M332" t="s">
        <v>277</v>
      </c>
      <c r="N332" t="s">
        <v>278</v>
      </c>
    </row>
    <row r="333" spans="1:14" x14ac:dyDescent="0.3">
      <c r="A333" t="s">
        <v>272</v>
      </c>
      <c r="B333" t="s">
        <v>273</v>
      </c>
      <c r="C333">
        <v>348</v>
      </c>
      <c r="D333" t="s">
        <v>81</v>
      </c>
      <c r="E333">
        <v>645</v>
      </c>
      <c r="F333" t="s">
        <v>274</v>
      </c>
      <c r="G333" t="s">
        <v>284</v>
      </c>
      <c r="H333" t="s">
        <v>25</v>
      </c>
      <c r="I333">
        <v>2018</v>
      </c>
      <c r="J333">
        <v>2018</v>
      </c>
      <c r="K333" t="s">
        <v>276</v>
      </c>
      <c r="L333">
        <v>1.17</v>
      </c>
      <c r="M333" t="s">
        <v>277</v>
      </c>
      <c r="N333" t="s">
        <v>278</v>
      </c>
    </row>
    <row r="334" spans="1:14" x14ac:dyDescent="0.3">
      <c r="A334" t="s">
        <v>272</v>
      </c>
      <c r="B334" t="s">
        <v>273</v>
      </c>
      <c r="C334">
        <v>348</v>
      </c>
      <c r="D334" t="s">
        <v>81</v>
      </c>
      <c r="E334">
        <v>645</v>
      </c>
      <c r="F334" t="s">
        <v>274</v>
      </c>
      <c r="G334" t="s">
        <v>284</v>
      </c>
      <c r="H334" t="s">
        <v>25</v>
      </c>
      <c r="I334">
        <v>2019</v>
      </c>
      <c r="J334">
        <v>2019</v>
      </c>
      <c r="K334" t="s">
        <v>276</v>
      </c>
      <c r="L334">
        <v>1.47</v>
      </c>
      <c r="M334" t="s">
        <v>277</v>
      </c>
      <c r="N334" t="s">
        <v>278</v>
      </c>
    </row>
    <row r="335" spans="1:14" x14ac:dyDescent="0.3">
      <c r="A335" t="s">
        <v>272</v>
      </c>
      <c r="B335" t="s">
        <v>273</v>
      </c>
      <c r="C335">
        <v>348</v>
      </c>
      <c r="D335" t="s">
        <v>81</v>
      </c>
      <c r="E335">
        <v>645</v>
      </c>
      <c r="F335" t="s">
        <v>274</v>
      </c>
      <c r="G335" t="s">
        <v>284</v>
      </c>
      <c r="H335" t="s">
        <v>25</v>
      </c>
      <c r="I335">
        <v>2020</v>
      </c>
      <c r="J335">
        <v>2020</v>
      </c>
      <c r="K335" t="s">
        <v>276</v>
      </c>
      <c r="L335">
        <v>1.49</v>
      </c>
      <c r="M335" t="s">
        <v>277</v>
      </c>
      <c r="N335" t="s">
        <v>278</v>
      </c>
    </row>
    <row r="336" spans="1:14" x14ac:dyDescent="0.3">
      <c r="A336" t="s">
        <v>272</v>
      </c>
      <c r="B336" t="s">
        <v>273</v>
      </c>
      <c r="C336">
        <v>348</v>
      </c>
      <c r="D336" t="s">
        <v>81</v>
      </c>
      <c r="E336">
        <v>645</v>
      </c>
      <c r="F336" t="s">
        <v>274</v>
      </c>
      <c r="G336" t="s">
        <v>284</v>
      </c>
      <c r="H336" t="s">
        <v>25</v>
      </c>
      <c r="I336">
        <v>2021</v>
      </c>
      <c r="J336">
        <v>2021</v>
      </c>
      <c r="K336" t="s">
        <v>276</v>
      </c>
      <c r="L336">
        <v>1.54</v>
      </c>
      <c r="M336" t="s">
        <v>277</v>
      </c>
      <c r="N336" t="s">
        <v>278</v>
      </c>
    </row>
    <row r="337" spans="1:14" x14ac:dyDescent="0.3">
      <c r="A337" t="s">
        <v>272</v>
      </c>
      <c r="B337" t="s">
        <v>273</v>
      </c>
      <c r="C337">
        <v>348</v>
      </c>
      <c r="D337" t="s">
        <v>81</v>
      </c>
      <c r="E337">
        <v>645</v>
      </c>
      <c r="F337" t="s">
        <v>274</v>
      </c>
      <c r="G337" t="s">
        <v>285</v>
      </c>
      <c r="H337" t="s">
        <v>27</v>
      </c>
      <c r="I337">
        <v>2017</v>
      </c>
      <c r="J337">
        <v>2017</v>
      </c>
      <c r="K337" t="s">
        <v>276</v>
      </c>
      <c r="L337">
        <v>8.0399999999999991</v>
      </c>
      <c r="M337" t="s">
        <v>277</v>
      </c>
      <c r="N337" t="s">
        <v>278</v>
      </c>
    </row>
    <row r="338" spans="1:14" x14ac:dyDescent="0.3">
      <c r="A338" t="s">
        <v>272</v>
      </c>
      <c r="B338" t="s">
        <v>273</v>
      </c>
      <c r="C338">
        <v>348</v>
      </c>
      <c r="D338" t="s">
        <v>81</v>
      </c>
      <c r="E338">
        <v>645</v>
      </c>
      <c r="F338" t="s">
        <v>274</v>
      </c>
      <c r="G338" t="s">
        <v>285</v>
      </c>
      <c r="H338" t="s">
        <v>27</v>
      </c>
      <c r="I338">
        <v>2018</v>
      </c>
      <c r="J338">
        <v>2018</v>
      </c>
      <c r="K338" t="s">
        <v>276</v>
      </c>
      <c r="L338">
        <v>10.3</v>
      </c>
      <c r="M338" t="s">
        <v>277</v>
      </c>
      <c r="N338" t="s">
        <v>278</v>
      </c>
    </row>
    <row r="339" spans="1:14" x14ac:dyDescent="0.3">
      <c r="A339" t="s">
        <v>272</v>
      </c>
      <c r="B339" t="s">
        <v>273</v>
      </c>
      <c r="C339">
        <v>348</v>
      </c>
      <c r="D339" t="s">
        <v>81</v>
      </c>
      <c r="E339">
        <v>645</v>
      </c>
      <c r="F339" t="s">
        <v>274</v>
      </c>
      <c r="G339" t="s">
        <v>285</v>
      </c>
      <c r="H339" t="s">
        <v>27</v>
      </c>
      <c r="I339">
        <v>2019</v>
      </c>
      <c r="J339">
        <v>2019</v>
      </c>
      <c r="K339" t="s">
        <v>276</v>
      </c>
      <c r="L339">
        <v>1.22</v>
      </c>
      <c r="M339" t="s">
        <v>277</v>
      </c>
      <c r="N339" t="s">
        <v>278</v>
      </c>
    </row>
    <row r="340" spans="1:14" x14ac:dyDescent="0.3">
      <c r="A340" t="s">
        <v>272</v>
      </c>
      <c r="B340" t="s">
        <v>273</v>
      </c>
      <c r="C340">
        <v>348</v>
      </c>
      <c r="D340" t="s">
        <v>81</v>
      </c>
      <c r="E340">
        <v>645</v>
      </c>
      <c r="F340" t="s">
        <v>274</v>
      </c>
      <c r="G340" t="s">
        <v>285</v>
      </c>
      <c r="H340" t="s">
        <v>27</v>
      </c>
      <c r="I340">
        <v>2020</v>
      </c>
      <c r="J340">
        <v>2020</v>
      </c>
      <c r="K340" t="s">
        <v>276</v>
      </c>
      <c r="L340">
        <v>1.78</v>
      </c>
      <c r="M340" t="s">
        <v>277</v>
      </c>
      <c r="N340" t="s">
        <v>278</v>
      </c>
    </row>
    <row r="341" spans="1:14" x14ac:dyDescent="0.3">
      <c r="A341" t="s">
        <v>272</v>
      </c>
      <c r="B341" t="s">
        <v>273</v>
      </c>
      <c r="C341">
        <v>348</v>
      </c>
      <c r="D341" t="s">
        <v>81</v>
      </c>
      <c r="E341">
        <v>645</v>
      </c>
      <c r="F341" t="s">
        <v>274</v>
      </c>
      <c r="G341" t="s">
        <v>285</v>
      </c>
      <c r="H341" t="s">
        <v>27</v>
      </c>
      <c r="I341">
        <v>2021</v>
      </c>
      <c r="J341">
        <v>2021</v>
      </c>
      <c r="K341" t="s">
        <v>276</v>
      </c>
      <c r="L341">
        <v>1.19</v>
      </c>
      <c r="M341" t="s">
        <v>277</v>
      </c>
      <c r="N341" t="s">
        <v>278</v>
      </c>
    </row>
    <row r="342" spans="1:14" x14ac:dyDescent="0.3">
      <c r="A342" t="s">
        <v>272</v>
      </c>
      <c r="B342" t="s">
        <v>273</v>
      </c>
      <c r="C342">
        <v>348</v>
      </c>
      <c r="D342" t="s">
        <v>81</v>
      </c>
      <c r="E342">
        <v>645</v>
      </c>
      <c r="F342" t="s">
        <v>274</v>
      </c>
      <c r="G342" t="s">
        <v>286</v>
      </c>
      <c r="H342" t="s">
        <v>31</v>
      </c>
      <c r="I342">
        <v>2017</v>
      </c>
      <c r="J342">
        <v>2017</v>
      </c>
      <c r="K342" t="s">
        <v>276</v>
      </c>
      <c r="L342">
        <v>3.73</v>
      </c>
      <c r="M342" t="s">
        <v>277</v>
      </c>
      <c r="N342" t="s">
        <v>278</v>
      </c>
    </row>
    <row r="343" spans="1:14" x14ac:dyDescent="0.3">
      <c r="A343" t="s">
        <v>272</v>
      </c>
      <c r="B343" t="s">
        <v>273</v>
      </c>
      <c r="C343">
        <v>348</v>
      </c>
      <c r="D343" t="s">
        <v>81</v>
      </c>
      <c r="E343">
        <v>645</v>
      </c>
      <c r="F343" t="s">
        <v>274</v>
      </c>
      <c r="G343" t="s">
        <v>286</v>
      </c>
      <c r="H343" t="s">
        <v>31</v>
      </c>
      <c r="I343">
        <v>2018</v>
      </c>
      <c r="J343">
        <v>2018</v>
      </c>
      <c r="K343" t="s">
        <v>276</v>
      </c>
      <c r="L343">
        <v>4.76</v>
      </c>
      <c r="M343" t="s">
        <v>277</v>
      </c>
      <c r="N343" t="s">
        <v>278</v>
      </c>
    </row>
    <row r="344" spans="1:14" x14ac:dyDescent="0.3">
      <c r="A344" t="s">
        <v>272</v>
      </c>
      <c r="B344" t="s">
        <v>273</v>
      </c>
      <c r="C344">
        <v>348</v>
      </c>
      <c r="D344" t="s">
        <v>81</v>
      </c>
      <c r="E344">
        <v>645</v>
      </c>
      <c r="F344" t="s">
        <v>274</v>
      </c>
      <c r="G344" t="s">
        <v>286</v>
      </c>
      <c r="H344" t="s">
        <v>31</v>
      </c>
      <c r="I344">
        <v>2019</v>
      </c>
      <c r="J344">
        <v>2019</v>
      </c>
      <c r="K344" t="s">
        <v>276</v>
      </c>
      <c r="L344">
        <v>4.8600000000000003</v>
      </c>
      <c r="M344" t="s">
        <v>277</v>
      </c>
      <c r="N344" t="s">
        <v>278</v>
      </c>
    </row>
    <row r="345" spans="1:14" x14ac:dyDescent="0.3">
      <c r="A345" t="s">
        <v>272</v>
      </c>
      <c r="B345" t="s">
        <v>273</v>
      </c>
      <c r="C345">
        <v>348</v>
      </c>
      <c r="D345" t="s">
        <v>81</v>
      </c>
      <c r="E345">
        <v>645</v>
      </c>
      <c r="F345" t="s">
        <v>274</v>
      </c>
      <c r="G345" t="s">
        <v>286</v>
      </c>
      <c r="H345" t="s">
        <v>31</v>
      </c>
      <c r="I345">
        <v>2020</v>
      </c>
      <c r="J345">
        <v>2020</v>
      </c>
      <c r="K345" t="s">
        <v>276</v>
      </c>
      <c r="L345">
        <v>4</v>
      </c>
      <c r="M345" t="s">
        <v>277</v>
      </c>
      <c r="N345" t="s">
        <v>278</v>
      </c>
    </row>
    <row r="346" spans="1:14" x14ac:dyDescent="0.3">
      <c r="A346" t="s">
        <v>272</v>
      </c>
      <c r="B346" t="s">
        <v>273</v>
      </c>
      <c r="C346">
        <v>348</v>
      </c>
      <c r="D346" t="s">
        <v>81</v>
      </c>
      <c r="E346">
        <v>645</v>
      </c>
      <c r="F346" t="s">
        <v>274</v>
      </c>
      <c r="G346" t="s">
        <v>286</v>
      </c>
      <c r="H346" t="s">
        <v>31</v>
      </c>
      <c r="I346">
        <v>2021</v>
      </c>
      <c r="J346">
        <v>2021</v>
      </c>
      <c r="K346" t="s">
        <v>276</v>
      </c>
      <c r="L346">
        <v>4.33</v>
      </c>
      <c r="M346" t="s">
        <v>277</v>
      </c>
      <c r="N346" t="s">
        <v>278</v>
      </c>
    </row>
    <row r="347" spans="1:14" x14ac:dyDescent="0.3">
      <c r="A347" t="s">
        <v>272</v>
      </c>
      <c r="B347" t="s">
        <v>273</v>
      </c>
      <c r="C347">
        <v>348</v>
      </c>
      <c r="D347" t="s">
        <v>81</v>
      </c>
      <c r="E347">
        <v>645</v>
      </c>
      <c r="F347" t="s">
        <v>274</v>
      </c>
      <c r="G347" t="s">
        <v>288</v>
      </c>
      <c r="H347" t="s">
        <v>33</v>
      </c>
      <c r="I347">
        <v>2017</v>
      </c>
      <c r="J347">
        <v>2017</v>
      </c>
      <c r="K347" t="s">
        <v>276</v>
      </c>
      <c r="L347">
        <v>0</v>
      </c>
      <c r="M347" t="s">
        <v>277</v>
      </c>
      <c r="N347" t="s">
        <v>278</v>
      </c>
    </row>
    <row r="348" spans="1:14" x14ac:dyDescent="0.3">
      <c r="A348" t="s">
        <v>272</v>
      </c>
      <c r="B348" t="s">
        <v>273</v>
      </c>
      <c r="C348">
        <v>348</v>
      </c>
      <c r="D348" t="s">
        <v>81</v>
      </c>
      <c r="E348">
        <v>645</v>
      </c>
      <c r="F348" t="s">
        <v>274</v>
      </c>
      <c r="G348" t="s">
        <v>288</v>
      </c>
      <c r="H348" t="s">
        <v>33</v>
      </c>
      <c r="I348">
        <v>2018</v>
      </c>
      <c r="J348">
        <v>2018</v>
      </c>
      <c r="K348" t="s">
        <v>276</v>
      </c>
      <c r="L348">
        <v>0</v>
      </c>
      <c r="M348" t="s">
        <v>277</v>
      </c>
      <c r="N348" t="s">
        <v>278</v>
      </c>
    </row>
    <row r="349" spans="1:14" x14ac:dyDescent="0.3">
      <c r="A349" t="s">
        <v>272</v>
      </c>
      <c r="B349" t="s">
        <v>273</v>
      </c>
      <c r="C349">
        <v>348</v>
      </c>
      <c r="D349" t="s">
        <v>81</v>
      </c>
      <c r="E349">
        <v>645</v>
      </c>
      <c r="F349" t="s">
        <v>274</v>
      </c>
      <c r="G349" t="s">
        <v>288</v>
      </c>
      <c r="H349" t="s">
        <v>33</v>
      </c>
      <c r="I349">
        <v>2019</v>
      </c>
      <c r="J349">
        <v>2019</v>
      </c>
      <c r="K349" t="s">
        <v>276</v>
      </c>
      <c r="L349">
        <v>0</v>
      </c>
      <c r="M349" t="s">
        <v>277</v>
      </c>
      <c r="N349" t="s">
        <v>278</v>
      </c>
    </row>
    <row r="350" spans="1:14" x14ac:dyDescent="0.3">
      <c r="A350" t="s">
        <v>272</v>
      </c>
      <c r="B350" t="s">
        <v>273</v>
      </c>
      <c r="C350">
        <v>348</v>
      </c>
      <c r="D350" t="s">
        <v>81</v>
      </c>
      <c r="E350">
        <v>645</v>
      </c>
      <c r="F350" t="s">
        <v>274</v>
      </c>
      <c r="G350" t="s">
        <v>288</v>
      </c>
      <c r="H350" t="s">
        <v>33</v>
      </c>
      <c r="I350">
        <v>2020</v>
      </c>
      <c r="J350">
        <v>2020</v>
      </c>
      <c r="K350" t="s">
        <v>276</v>
      </c>
      <c r="L350">
        <v>0</v>
      </c>
      <c r="M350" t="s">
        <v>277</v>
      </c>
      <c r="N350" t="s">
        <v>278</v>
      </c>
    </row>
    <row r="351" spans="1:14" x14ac:dyDescent="0.3">
      <c r="A351" t="s">
        <v>272</v>
      </c>
      <c r="B351" t="s">
        <v>273</v>
      </c>
      <c r="C351">
        <v>348</v>
      </c>
      <c r="D351" t="s">
        <v>81</v>
      </c>
      <c r="E351">
        <v>645</v>
      </c>
      <c r="F351" t="s">
        <v>274</v>
      </c>
      <c r="G351" t="s">
        <v>288</v>
      </c>
      <c r="H351" t="s">
        <v>33</v>
      </c>
      <c r="I351">
        <v>2021</v>
      </c>
      <c r="J351">
        <v>2021</v>
      </c>
      <c r="K351" t="s">
        <v>276</v>
      </c>
      <c r="L351">
        <v>0</v>
      </c>
      <c r="M351" t="s">
        <v>277</v>
      </c>
      <c r="N351" t="s">
        <v>278</v>
      </c>
    </row>
    <row r="352" spans="1:14" x14ac:dyDescent="0.3">
      <c r="A352" t="s">
        <v>272</v>
      </c>
      <c r="B352" t="s">
        <v>273</v>
      </c>
      <c r="C352">
        <v>348</v>
      </c>
      <c r="D352" t="s">
        <v>81</v>
      </c>
      <c r="E352">
        <v>645</v>
      </c>
      <c r="F352" t="s">
        <v>274</v>
      </c>
      <c r="G352" t="s">
        <v>289</v>
      </c>
      <c r="H352" t="s">
        <v>30</v>
      </c>
      <c r="I352">
        <v>2017</v>
      </c>
      <c r="J352">
        <v>2017</v>
      </c>
      <c r="K352" t="s">
        <v>276</v>
      </c>
      <c r="L352">
        <v>13.82</v>
      </c>
      <c r="M352" t="s">
        <v>277</v>
      </c>
      <c r="N352" t="s">
        <v>278</v>
      </c>
    </row>
    <row r="353" spans="1:14" x14ac:dyDescent="0.3">
      <c r="A353" t="s">
        <v>272</v>
      </c>
      <c r="B353" t="s">
        <v>273</v>
      </c>
      <c r="C353">
        <v>348</v>
      </c>
      <c r="D353" t="s">
        <v>81</v>
      </c>
      <c r="E353">
        <v>645</v>
      </c>
      <c r="F353" t="s">
        <v>274</v>
      </c>
      <c r="G353" t="s">
        <v>289</v>
      </c>
      <c r="H353" t="s">
        <v>30</v>
      </c>
      <c r="I353">
        <v>2018</v>
      </c>
      <c r="J353">
        <v>2018</v>
      </c>
      <c r="K353" t="s">
        <v>276</v>
      </c>
      <c r="L353">
        <v>13.69</v>
      </c>
      <c r="M353" t="s">
        <v>277</v>
      </c>
      <c r="N353" t="s">
        <v>278</v>
      </c>
    </row>
    <row r="354" spans="1:14" x14ac:dyDescent="0.3">
      <c r="A354" t="s">
        <v>272</v>
      </c>
      <c r="B354" t="s">
        <v>273</v>
      </c>
      <c r="C354">
        <v>348</v>
      </c>
      <c r="D354" t="s">
        <v>81</v>
      </c>
      <c r="E354">
        <v>645</v>
      </c>
      <c r="F354" t="s">
        <v>274</v>
      </c>
      <c r="G354" t="s">
        <v>289</v>
      </c>
      <c r="H354" t="s">
        <v>30</v>
      </c>
      <c r="I354">
        <v>2019</v>
      </c>
      <c r="J354">
        <v>2019</v>
      </c>
      <c r="K354" t="s">
        <v>276</v>
      </c>
      <c r="L354">
        <v>14.04</v>
      </c>
      <c r="M354" t="s">
        <v>277</v>
      </c>
      <c r="N354" t="s">
        <v>278</v>
      </c>
    </row>
    <row r="355" spans="1:14" x14ac:dyDescent="0.3">
      <c r="A355" t="s">
        <v>272</v>
      </c>
      <c r="B355" t="s">
        <v>273</v>
      </c>
      <c r="C355">
        <v>348</v>
      </c>
      <c r="D355" t="s">
        <v>81</v>
      </c>
      <c r="E355">
        <v>645</v>
      </c>
      <c r="F355" t="s">
        <v>274</v>
      </c>
      <c r="G355" t="s">
        <v>289</v>
      </c>
      <c r="H355" t="s">
        <v>30</v>
      </c>
      <c r="I355">
        <v>2020</v>
      </c>
      <c r="J355">
        <v>2020</v>
      </c>
      <c r="K355" t="s">
        <v>276</v>
      </c>
      <c r="L355">
        <v>14.55</v>
      </c>
      <c r="M355" t="s">
        <v>277</v>
      </c>
      <c r="N355" t="s">
        <v>278</v>
      </c>
    </row>
    <row r="356" spans="1:14" x14ac:dyDescent="0.3">
      <c r="A356" t="s">
        <v>272</v>
      </c>
      <c r="B356" t="s">
        <v>273</v>
      </c>
      <c r="C356">
        <v>348</v>
      </c>
      <c r="D356" t="s">
        <v>81</v>
      </c>
      <c r="E356">
        <v>645</v>
      </c>
      <c r="F356" t="s">
        <v>274</v>
      </c>
      <c r="G356" t="s">
        <v>289</v>
      </c>
      <c r="H356" t="s">
        <v>30</v>
      </c>
      <c r="I356">
        <v>2021</v>
      </c>
      <c r="J356">
        <v>2021</v>
      </c>
      <c r="K356" t="s">
        <v>276</v>
      </c>
      <c r="L356">
        <v>13.85</v>
      </c>
      <c r="M356" t="s">
        <v>277</v>
      </c>
      <c r="N356" t="s">
        <v>278</v>
      </c>
    </row>
    <row r="357" spans="1:14" x14ac:dyDescent="0.3">
      <c r="A357" t="s">
        <v>272</v>
      </c>
      <c r="B357" t="s">
        <v>273</v>
      </c>
      <c r="C357">
        <v>348</v>
      </c>
      <c r="D357" t="s">
        <v>81</v>
      </c>
      <c r="E357">
        <v>645</v>
      </c>
      <c r="F357" t="s">
        <v>274</v>
      </c>
      <c r="G357" t="s">
        <v>290</v>
      </c>
      <c r="H357" t="s">
        <v>37</v>
      </c>
      <c r="I357">
        <v>2017</v>
      </c>
      <c r="J357">
        <v>2017</v>
      </c>
      <c r="K357" t="s">
        <v>276</v>
      </c>
      <c r="L357">
        <v>172.86</v>
      </c>
      <c r="M357" t="s">
        <v>277</v>
      </c>
      <c r="N357" t="s">
        <v>278</v>
      </c>
    </row>
    <row r="358" spans="1:14" x14ac:dyDescent="0.3">
      <c r="A358" t="s">
        <v>272</v>
      </c>
      <c r="B358" t="s">
        <v>273</v>
      </c>
      <c r="C358">
        <v>348</v>
      </c>
      <c r="D358" t="s">
        <v>81</v>
      </c>
      <c r="E358">
        <v>645</v>
      </c>
      <c r="F358" t="s">
        <v>274</v>
      </c>
      <c r="G358" t="s">
        <v>290</v>
      </c>
      <c r="H358" t="s">
        <v>37</v>
      </c>
      <c r="I358">
        <v>2018</v>
      </c>
      <c r="J358">
        <v>2018</v>
      </c>
      <c r="K358" t="s">
        <v>276</v>
      </c>
      <c r="L358">
        <v>167.41</v>
      </c>
      <c r="M358" t="s">
        <v>277</v>
      </c>
      <c r="N358" t="s">
        <v>278</v>
      </c>
    </row>
    <row r="359" spans="1:14" x14ac:dyDescent="0.3">
      <c r="A359" t="s">
        <v>272</v>
      </c>
      <c r="B359" t="s">
        <v>273</v>
      </c>
      <c r="C359">
        <v>348</v>
      </c>
      <c r="D359" t="s">
        <v>81</v>
      </c>
      <c r="E359">
        <v>645</v>
      </c>
      <c r="F359" t="s">
        <v>274</v>
      </c>
      <c r="G359" t="s">
        <v>290</v>
      </c>
      <c r="H359" t="s">
        <v>37</v>
      </c>
      <c r="I359">
        <v>2019</v>
      </c>
      <c r="J359">
        <v>2019</v>
      </c>
      <c r="K359" t="s">
        <v>276</v>
      </c>
      <c r="L359">
        <v>181.86</v>
      </c>
      <c r="M359" t="s">
        <v>277</v>
      </c>
      <c r="N359" t="s">
        <v>278</v>
      </c>
    </row>
    <row r="360" spans="1:14" x14ac:dyDescent="0.3">
      <c r="A360" t="s">
        <v>272</v>
      </c>
      <c r="B360" t="s">
        <v>273</v>
      </c>
      <c r="C360">
        <v>348</v>
      </c>
      <c r="D360" t="s">
        <v>81</v>
      </c>
      <c r="E360">
        <v>645</v>
      </c>
      <c r="F360" t="s">
        <v>274</v>
      </c>
      <c r="G360" t="s">
        <v>290</v>
      </c>
      <c r="H360" t="s">
        <v>37</v>
      </c>
      <c r="I360">
        <v>2020</v>
      </c>
      <c r="J360">
        <v>2020</v>
      </c>
      <c r="K360" t="s">
        <v>276</v>
      </c>
      <c r="L360">
        <v>181.42</v>
      </c>
      <c r="M360" t="s">
        <v>277</v>
      </c>
      <c r="N360" t="s">
        <v>278</v>
      </c>
    </row>
    <row r="361" spans="1:14" x14ac:dyDescent="0.3">
      <c r="A361" t="s">
        <v>272</v>
      </c>
      <c r="B361" t="s">
        <v>273</v>
      </c>
      <c r="C361">
        <v>348</v>
      </c>
      <c r="D361" t="s">
        <v>81</v>
      </c>
      <c r="E361">
        <v>645</v>
      </c>
      <c r="F361" t="s">
        <v>274</v>
      </c>
      <c r="G361" t="s">
        <v>290</v>
      </c>
      <c r="H361" t="s">
        <v>37</v>
      </c>
      <c r="I361">
        <v>2021</v>
      </c>
      <c r="J361">
        <v>2021</v>
      </c>
      <c r="K361" t="s">
        <v>276</v>
      </c>
      <c r="L361">
        <v>181.72</v>
      </c>
      <c r="M361" t="s">
        <v>277</v>
      </c>
      <c r="N361" t="s">
        <v>278</v>
      </c>
    </row>
    <row r="362" spans="1:14" x14ac:dyDescent="0.3">
      <c r="A362" t="s">
        <v>272</v>
      </c>
      <c r="B362" t="s">
        <v>273</v>
      </c>
      <c r="C362">
        <v>348</v>
      </c>
      <c r="D362" t="s">
        <v>81</v>
      </c>
      <c r="E362">
        <v>645</v>
      </c>
      <c r="F362" t="s">
        <v>274</v>
      </c>
      <c r="G362" t="s">
        <v>291</v>
      </c>
      <c r="H362" t="s">
        <v>34</v>
      </c>
      <c r="I362">
        <v>2017</v>
      </c>
      <c r="J362">
        <v>2017</v>
      </c>
      <c r="K362" t="s">
        <v>276</v>
      </c>
      <c r="L362">
        <v>3.08</v>
      </c>
      <c r="M362" t="s">
        <v>277</v>
      </c>
      <c r="N362" t="s">
        <v>278</v>
      </c>
    </row>
    <row r="363" spans="1:14" x14ac:dyDescent="0.3">
      <c r="A363" t="s">
        <v>272</v>
      </c>
      <c r="B363" t="s">
        <v>273</v>
      </c>
      <c r="C363">
        <v>348</v>
      </c>
      <c r="D363" t="s">
        <v>81</v>
      </c>
      <c r="E363">
        <v>645</v>
      </c>
      <c r="F363" t="s">
        <v>274</v>
      </c>
      <c r="G363" t="s">
        <v>291</v>
      </c>
      <c r="H363" t="s">
        <v>34</v>
      </c>
      <c r="I363">
        <v>2018</v>
      </c>
      <c r="J363">
        <v>2018</v>
      </c>
      <c r="K363" t="s">
        <v>276</v>
      </c>
      <c r="L363">
        <v>3.13</v>
      </c>
      <c r="M363" t="s">
        <v>277</v>
      </c>
      <c r="N363" t="s">
        <v>278</v>
      </c>
    </row>
    <row r="364" spans="1:14" x14ac:dyDescent="0.3">
      <c r="A364" t="s">
        <v>272</v>
      </c>
      <c r="B364" t="s">
        <v>273</v>
      </c>
      <c r="C364">
        <v>348</v>
      </c>
      <c r="D364" t="s">
        <v>81</v>
      </c>
      <c r="E364">
        <v>645</v>
      </c>
      <c r="F364" t="s">
        <v>274</v>
      </c>
      <c r="G364" t="s">
        <v>291</v>
      </c>
      <c r="H364" t="s">
        <v>34</v>
      </c>
      <c r="I364">
        <v>2019</v>
      </c>
      <c r="J364">
        <v>2019</v>
      </c>
      <c r="K364" t="s">
        <v>276</v>
      </c>
      <c r="L364">
        <v>2.99</v>
      </c>
      <c r="M364" t="s">
        <v>277</v>
      </c>
      <c r="N364" t="s">
        <v>278</v>
      </c>
    </row>
    <row r="365" spans="1:14" x14ac:dyDescent="0.3">
      <c r="A365" t="s">
        <v>272</v>
      </c>
      <c r="B365" t="s">
        <v>273</v>
      </c>
      <c r="C365">
        <v>348</v>
      </c>
      <c r="D365" t="s">
        <v>81</v>
      </c>
      <c r="E365">
        <v>645</v>
      </c>
      <c r="F365" t="s">
        <v>274</v>
      </c>
      <c r="G365" t="s">
        <v>291</v>
      </c>
      <c r="H365" t="s">
        <v>34</v>
      </c>
      <c r="I365">
        <v>2020</v>
      </c>
      <c r="J365">
        <v>2020</v>
      </c>
      <c r="K365" t="s">
        <v>276</v>
      </c>
      <c r="L365">
        <v>2.99</v>
      </c>
      <c r="M365" t="s">
        <v>277</v>
      </c>
      <c r="N365" t="s">
        <v>278</v>
      </c>
    </row>
    <row r="366" spans="1:14" x14ac:dyDescent="0.3">
      <c r="A366" t="s">
        <v>272</v>
      </c>
      <c r="B366" t="s">
        <v>273</v>
      </c>
      <c r="C366">
        <v>348</v>
      </c>
      <c r="D366" t="s">
        <v>81</v>
      </c>
      <c r="E366">
        <v>645</v>
      </c>
      <c r="F366" t="s">
        <v>274</v>
      </c>
      <c r="G366" t="s">
        <v>291</v>
      </c>
      <c r="H366" t="s">
        <v>34</v>
      </c>
      <c r="I366">
        <v>2021</v>
      </c>
      <c r="J366">
        <v>2021</v>
      </c>
      <c r="K366" t="s">
        <v>276</v>
      </c>
      <c r="L366">
        <v>3.01</v>
      </c>
      <c r="M366" t="s">
        <v>277</v>
      </c>
      <c r="N366" t="s">
        <v>278</v>
      </c>
    </row>
    <row r="367" spans="1:14" x14ac:dyDescent="0.3">
      <c r="A367" t="s">
        <v>272</v>
      </c>
      <c r="B367" t="s">
        <v>273</v>
      </c>
      <c r="C367">
        <v>348</v>
      </c>
      <c r="D367" t="s">
        <v>81</v>
      </c>
      <c r="E367">
        <v>645</v>
      </c>
      <c r="F367" t="s">
        <v>274</v>
      </c>
      <c r="G367" t="s">
        <v>292</v>
      </c>
      <c r="H367" t="s">
        <v>29</v>
      </c>
      <c r="I367">
        <v>2017</v>
      </c>
      <c r="J367">
        <v>2017</v>
      </c>
      <c r="K367" t="s">
        <v>276</v>
      </c>
      <c r="L367">
        <v>1.27</v>
      </c>
      <c r="M367" t="s">
        <v>277</v>
      </c>
      <c r="N367" t="s">
        <v>278</v>
      </c>
    </row>
    <row r="368" spans="1:14" x14ac:dyDescent="0.3">
      <c r="A368" t="s">
        <v>272</v>
      </c>
      <c r="B368" t="s">
        <v>273</v>
      </c>
      <c r="C368">
        <v>348</v>
      </c>
      <c r="D368" t="s">
        <v>81</v>
      </c>
      <c r="E368">
        <v>645</v>
      </c>
      <c r="F368" t="s">
        <v>274</v>
      </c>
      <c r="G368" t="s">
        <v>292</v>
      </c>
      <c r="H368" t="s">
        <v>29</v>
      </c>
      <c r="I368">
        <v>2018</v>
      </c>
      <c r="J368">
        <v>2018</v>
      </c>
      <c r="K368" t="s">
        <v>276</v>
      </c>
      <c r="L368">
        <v>1.41</v>
      </c>
      <c r="M368" t="s">
        <v>277</v>
      </c>
      <c r="N368" t="s">
        <v>278</v>
      </c>
    </row>
    <row r="369" spans="1:14" x14ac:dyDescent="0.3">
      <c r="A369" t="s">
        <v>272</v>
      </c>
      <c r="B369" t="s">
        <v>273</v>
      </c>
      <c r="C369">
        <v>348</v>
      </c>
      <c r="D369" t="s">
        <v>81</v>
      </c>
      <c r="E369">
        <v>645</v>
      </c>
      <c r="F369" t="s">
        <v>274</v>
      </c>
      <c r="G369" t="s">
        <v>292</v>
      </c>
      <c r="H369" t="s">
        <v>29</v>
      </c>
      <c r="I369">
        <v>2019</v>
      </c>
      <c r="J369">
        <v>2019</v>
      </c>
      <c r="K369" t="s">
        <v>276</v>
      </c>
      <c r="L369">
        <v>1.39</v>
      </c>
      <c r="M369" t="s">
        <v>277</v>
      </c>
      <c r="N369" t="s">
        <v>278</v>
      </c>
    </row>
    <row r="370" spans="1:14" x14ac:dyDescent="0.3">
      <c r="A370" t="s">
        <v>272</v>
      </c>
      <c r="B370" t="s">
        <v>273</v>
      </c>
      <c r="C370">
        <v>348</v>
      </c>
      <c r="D370" t="s">
        <v>81</v>
      </c>
      <c r="E370">
        <v>645</v>
      </c>
      <c r="F370" t="s">
        <v>274</v>
      </c>
      <c r="G370" t="s">
        <v>292</v>
      </c>
      <c r="H370" t="s">
        <v>29</v>
      </c>
      <c r="I370">
        <v>2020</v>
      </c>
      <c r="J370">
        <v>2020</v>
      </c>
      <c r="K370" t="s">
        <v>276</v>
      </c>
      <c r="L370">
        <v>1.39</v>
      </c>
      <c r="M370" t="s">
        <v>277</v>
      </c>
      <c r="N370" t="s">
        <v>278</v>
      </c>
    </row>
    <row r="371" spans="1:14" x14ac:dyDescent="0.3">
      <c r="A371" t="s">
        <v>272</v>
      </c>
      <c r="B371" t="s">
        <v>273</v>
      </c>
      <c r="C371">
        <v>348</v>
      </c>
      <c r="D371" t="s">
        <v>81</v>
      </c>
      <c r="E371">
        <v>645</v>
      </c>
      <c r="F371" t="s">
        <v>274</v>
      </c>
      <c r="G371" t="s">
        <v>292</v>
      </c>
      <c r="H371" t="s">
        <v>29</v>
      </c>
      <c r="I371">
        <v>2021</v>
      </c>
      <c r="J371">
        <v>2021</v>
      </c>
      <c r="K371" t="s">
        <v>276</v>
      </c>
      <c r="L371">
        <v>1.4</v>
      </c>
      <c r="M371" t="s">
        <v>277</v>
      </c>
      <c r="N371" t="s">
        <v>278</v>
      </c>
    </row>
    <row r="372" spans="1:14" x14ac:dyDescent="0.3">
      <c r="A372" t="s">
        <v>272</v>
      </c>
      <c r="B372" t="s">
        <v>273</v>
      </c>
      <c r="C372">
        <v>348</v>
      </c>
      <c r="D372" t="s">
        <v>81</v>
      </c>
      <c r="E372">
        <v>645</v>
      </c>
      <c r="F372" t="s">
        <v>274</v>
      </c>
      <c r="G372" t="s">
        <v>293</v>
      </c>
      <c r="H372" t="s">
        <v>41</v>
      </c>
      <c r="I372">
        <v>2017</v>
      </c>
      <c r="J372">
        <v>2017</v>
      </c>
      <c r="K372" t="s">
        <v>276</v>
      </c>
      <c r="L372">
        <v>1.4</v>
      </c>
      <c r="M372" t="s">
        <v>277</v>
      </c>
      <c r="N372" t="s">
        <v>278</v>
      </c>
    </row>
    <row r="373" spans="1:14" x14ac:dyDescent="0.3">
      <c r="A373" t="s">
        <v>272</v>
      </c>
      <c r="B373" t="s">
        <v>273</v>
      </c>
      <c r="C373">
        <v>348</v>
      </c>
      <c r="D373" t="s">
        <v>81</v>
      </c>
      <c r="E373">
        <v>645</v>
      </c>
      <c r="F373" t="s">
        <v>274</v>
      </c>
      <c r="G373" t="s">
        <v>293</v>
      </c>
      <c r="H373" t="s">
        <v>41</v>
      </c>
      <c r="I373">
        <v>2018</v>
      </c>
      <c r="J373">
        <v>2018</v>
      </c>
      <c r="K373" t="s">
        <v>276</v>
      </c>
      <c r="L373">
        <v>1.41</v>
      </c>
      <c r="M373" t="s">
        <v>277</v>
      </c>
      <c r="N373" t="s">
        <v>278</v>
      </c>
    </row>
    <row r="374" spans="1:14" x14ac:dyDescent="0.3">
      <c r="A374" t="s">
        <v>272</v>
      </c>
      <c r="B374" t="s">
        <v>273</v>
      </c>
      <c r="C374">
        <v>348</v>
      </c>
      <c r="D374" t="s">
        <v>81</v>
      </c>
      <c r="E374">
        <v>645</v>
      </c>
      <c r="F374" t="s">
        <v>274</v>
      </c>
      <c r="G374" t="s">
        <v>293</v>
      </c>
      <c r="H374" t="s">
        <v>41</v>
      </c>
      <c r="I374">
        <v>2019</v>
      </c>
      <c r="J374">
        <v>2019</v>
      </c>
      <c r="K374" t="s">
        <v>276</v>
      </c>
      <c r="L374">
        <v>1.38</v>
      </c>
      <c r="M374" t="s">
        <v>277</v>
      </c>
      <c r="N374" t="s">
        <v>278</v>
      </c>
    </row>
    <row r="375" spans="1:14" x14ac:dyDescent="0.3">
      <c r="A375" t="s">
        <v>272</v>
      </c>
      <c r="B375" t="s">
        <v>273</v>
      </c>
      <c r="C375">
        <v>348</v>
      </c>
      <c r="D375" t="s">
        <v>81</v>
      </c>
      <c r="E375">
        <v>645</v>
      </c>
      <c r="F375" t="s">
        <v>274</v>
      </c>
      <c r="G375" t="s">
        <v>293</v>
      </c>
      <c r="H375" t="s">
        <v>41</v>
      </c>
      <c r="I375">
        <v>2020</v>
      </c>
      <c r="J375">
        <v>2020</v>
      </c>
      <c r="K375" t="s">
        <v>276</v>
      </c>
      <c r="L375">
        <v>1.38</v>
      </c>
      <c r="M375" t="s">
        <v>277</v>
      </c>
      <c r="N375" t="s">
        <v>278</v>
      </c>
    </row>
    <row r="376" spans="1:14" x14ac:dyDescent="0.3">
      <c r="A376" t="s">
        <v>272</v>
      </c>
      <c r="B376" t="s">
        <v>273</v>
      </c>
      <c r="C376">
        <v>348</v>
      </c>
      <c r="D376" t="s">
        <v>81</v>
      </c>
      <c r="E376">
        <v>645</v>
      </c>
      <c r="F376" t="s">
        <v>274</v>
      </c>
      <c r="G376" t="s">
        <v>293</v>
      </c>
      <c r="H376" t="s">
        <v>41</v>
      </c>
      <c r="I376">
        <v>2021</v>
      </c>
      <c r="J376">
        <v>2021</v>
      </c>
      <c r="K376" t="s">
        <v>276</v>
      </c>
      <c r="L376">
        <v>1.39</v>
      </c>
      <c r="M376" t="s">
        <v>277</v>
      </c>
      <c r="N376" t="s">
        <v>278</v>
      </c>
    </row>
    <row r="377" spans="1:14" x14ac:dyDescent="0.3">
      <c r="A377" t="s">
        <v>272</v>
      </c>
      <c r="B377" t="s">
        <v>273</v>
      </c>
      <c r="C377">
        <v>348</v>
      </c>
      <c r="D377" t="s">
        <v>81</v>
      </c>
      <c r="E377">
        <v>645</v>
      </c>
      <c r="F377" t="s">
        <v>274</v>
      </c>
      <c r="G377" t="s">
        <v>294</v>
      </c>
      <c r="H377" t="s">
        <v>35</v>
      </c>
      <c r="I377">
        <v>2017</v>
      </c>
      <c r="J377">
        <v>2017</v>
      </c>
      <c r="K377" t="s">
        <v>276</v>
      </c>
      <c r="L377">
        <v>0.18</v>
      </c>
      <c r="M377" t="s">
        <v>277</v>
      </c>
      <c r="N377" t="s">
        <v>278</v>
      </c>
    </row>
    <row r="378" spans="1:14" x14ac:dyDescent="0.3">
      <c r="A378" t="s">
        <v>272</v>
      </c>
      <c r="B378" t="s">
        <v>273</v>
      </c>
      <c r="C378">
        <v>348</v>
      </c>
      <c r="D378" t="s">
        <v>81</v>
      </c>
      <c r="E378">
        <v>645</v>
      </c>
      <c r="F378" t="s">
        <v>274</v>
      </c>
      <c r="G378" t="s">
        <v>294</v>
      </c>
      <c r="H378" t="s">
        <v>35</v>
      </c>
      <c r="I378">
        <v>2018</v>
      </c>
      <c r="J378">
        <v>2018</v>
      </c>
      <c r="K378" t="s">
        <v>276</v>
      </c>
      <c r="L378">
        <v>0.2</v>
      </c>
      <c r="M378" t="s">
        <v>277</v>
      </c>
      <c r="N378" t="s">
        <v>278</v>
      </c>
    </row>
    <row r="379" spans="1:14" x14ac:dyDescent="0.3">
      <c r="A379" t="s">
        <v>272</v>
      </c>
      <c r="B379" t="s">
        <v>273</v>
      </c>
      <c r="C379">
        <v>348</v>
      </c>
      <c r="D379" t="s">
        <v>81</v>
      </c>
      <c r="E379">
        <v>645</v>
      </c>
      <c r="F379" t="s">
        <v>274</v>
      </c>
      <c r="G379" t="s">
        <v>294</v>
      </c>
      <c r="H379" t="s">
        <v>35</v>
      </c>
      <c r="I379">
        <v>2019</v>
      </c>
      <c r="J379">
        <v>2019</v>
      </c>
      <c r="K379" t="s">
        <v>276</v>
      </c>
      <c r="L379">
        <v>0.19</v>
      </c>
      <c r="M379" t="s">
        <v>277</v>
      </c>
      <c r="N379" t="s">
        <v>278</v>
      </c>
    </row>
    <row r="380" spans="1:14" x14ac:dyDescent="0.3">
      <c r="A380" t="s">
        <v>272</v>
      </c>
      <c r="B380" t="s">
        <v>273</v>
      </c>
      <c r="C380">
        <v>348</v>
      </c>
      <c r="D380" t="s">
        <v>81</v>
      </c>
      <c r="E380">
        <v>645</v>
      </c>
      <c r="F380" t="s">
        <v>274</v>
      </c>
      <c r="G380" t="s">
        <v>294</v>
      </c>
      <c r="H380" t="s">
        <v>35</v>
      </c>
      <c r="I380">
        <v>2020</v>
      </c>
      <c r="J380">
        <v>2020</v>
      </c>
      <c r="K380" t="s">
        <v>276</v>
      </c>
      <c r="L380">
        <v>0.19</v>
      </c>
      <c r="M380" t="s">
        <v>277</v>
      </c>
      <c r="N380" t="s">
        <v>278</v>
      </c>
    </row>
    <row r="381" spans="1:14" x14ac:dyDescent="0.3">
      <c r="A381" t="s">
        <v>272</v>
      </c>
      <c r="B381" t="s">
        <v>273</v>
      </c>
      <c r="C381">
        <v>348</v>
      </c>
      <c r="D381" t="s">
        <v>81</v>
      </c>
      <c r="E381">
        <v>645</v>
      </c>
      <c r="F381" t="s">
        <v>274</v>
      </c>
      <c r="G381" t="s">
        <v>294</v>
      </c>
      <c r="H381" t="s">
        <v>35</v>
      </c>
      <c r="I381">
        <v>2021</v>
      </c>
      <c r="J381">
        <v>2021</v>
      </c>
      <c r="K381" t="s">
        <v>276</v>
      </c>
      <c r="L381">
        <v>0.19</v>
      </c>
      <c r="M381" t="s">
        <v>277</v>
      </c>
      <c r="N381" t="s">
        <v>278</v>
      </c>
    </row>
    <row r="382" spans="1:14" x14ac:dyDescent="0.3">
      <c r="A382" t="s">
        <v>272</v>
      </c>
      <c r="B382" t="s">
        <v>273</v>
      </c>
      <c r="C382">
        <v>348</v>
      </c>
      <c r="D382" t="s">
        <v>81</v>
      </c>
      <c r="E382">
        <v>645</v>
      </c>
      <c r="F382" t="s">
        <v>274</v>
      </c>
      <c r="G382" t="s">
        <v>295</v>
      </c>
      <c r="H382" t="s">
        <v>28</v>
      </c>
      <c r="I382">
        <v>2017</v>
      </c>
      <c r="J382">
        <v>2017</v>
      </c>
      <c r="K382" t="s">
        <v>276</v>
      </c>
      <c r="L382">
        <v>0.15</v>
      </c>
      <c r="M382" t="s">
        <v>277</v>
      </c>
      <c r="N382" t="s">
        <v>278</v>
      </c>
    </row>
    <row r="383" spans="1:14" x14ac:dyDescent="0.3">
      <c r="A383" t="s">
        <v>272</v>
      </c>
      <c r="B383" t="s">
        <v>273</v>
      </c>
      <c r="C383">
        <v>348</v>
      </c>
      <c r="D383" t="s">
        <v>81</v>
      </c>
      <c r="E383">
        <v>645</v>
      </c>
      <c r="F383" t="s">
        <v>274</v>
      </c>
      <c r="G383" t="s">
        <v>295</v>
      </c>
      <c r="H383" t="s">
        <v>28</v>
      </c>
      <c r="I383">
        <v>2018</v>
      </c>
      <c r="J383">
        <v>2018</v>
      </c>
      <c r="K383" t="s">
        <v>276</v>
      </c>
      <c r="L383">
        <v>0.17</v>
      </c>
      <c r="M383" t="s">
        <v>277</v>
      </c>
      <c r="N383" t="s">
        <v>278</v>
      </c>
    </row>
    <row r="384" spans="1:14" x14ac:dyDescent="0.3">
      <c r="A384" t="s">
        <v>272</v>
      </c>
      <c r="B384" t="s">
        <v>273</v>
      </c>
      <c r="C384">
        <v>348</v>
      </c>
      <c r="D384" t="s">
        <v>81</v>
      </c>
      <c r="E384">
        <v>645</v>
      </c>
      <c r="F384" t="s">
        <v>274</v>
      </c>
      <c r="G384" t="s">
        <v>295</v>
      </c>
      <c r="H384" t="s">
        <v>28</v>
      </c>
      <c r="I384">
        <v>2019</v>
      </c>
      <c r="J384">
        <v>2019</v>
      </c>
      <c r="K384" t="s">
        <v>276</v>
      </c>
      <c r="L384">
        <v>0.16</v>
      </c>
      <c r="M384" t="s">
        <v>277</v>
      </c>
      <c r="N384" t="s">
        <v>278</v>
      </c>
    </row>
    <row r="385" spans="1:14" x14ac:dyDescent="0.3">
      <c r="A385" t="s">
        <v>272</v>
      </c>
      <c r="B385" t="s">
        <v>273</v>
      </c>
      <c r="C385">
        <v>348</v>
      </c>
      <c r="D385" t="s">
        <v>81</v>
      </c>
      <c r="E385">
        <v>645</v>
      </c>
      <c r="F385" t="s">
        <v>274</v>
      </c>
      <c r="G385" t="s">
        <v>295</v>
      </c>
      <c r="H385" t="s">
        <v>28</v>
      </c>
      <c r="I385">
        <v>2020</v>
      </c>
      <c r="J385">
        <v>2020</v>
      </c>
      <c r="K385" t="s">
        <v>276</v>
      </c>
      <c r="L385">
        <v>0.17</v>
      </c>
      <c r="M385" t="s">
        <v>277</v>
      </c>
      <c r="N385" t="s">
        <v>278</v>
      </c>
    </row>
    <row r="386" spans="1:14" x14ac:dyDescent="0.3">
      <c r="A386" t="s">
        <v>272</v>
      </c>
      <c r="B386" t="s">
        <v>273</v>
      </c>
      <c r="C386">
        <v>348</v>
      </c>
      <c r="D386" t="s">
        <v>81</v>
      </c>
      <c r="E386">
        <v>645</v>
      </c>
      <c r="F386" t="s">
        <v>274</v>
      </c>
      <c r="G386" t="s">
        <v>295</v>
      </c>
      <c r="H386" t="s">
        <v>28</v>
      </c>
      <c r="I386">
        <v>2021</v>
      </c>
      <c r="J386">
        <v>2021</v>
      </c>
      <c r="K386" t="s">
        <v>276</v>
      </c>
      <c r="L386">
        <v>0.17</v>
      </c>
      <c r="M386" t="s">
        <v>277</v>
      </c>
      <c r="N386" t="s">
        <v>278</v>
      </c>
    </row>
    <row r="387" spans="1:14" x14ac:dyDescent="0.3">
      <c r="A387" t="s">
        <v>272</v>
      </c>
      <c r="B387" t="s">
        <v>273</v>
      </c>
      <c r="C387">
        <v>348</v>
      </c>
      <c r="D387" t="s">
        <v>81</v>
      </c>
      <c r="E387">
        <v>645</v>
      </c>
      <c r="F387" t="s">
        <v>274</v>
      </c>
      <c r="G387" t="s">
        <v>296</v>
      </c>
      <c r="H387" t="s">
        <v>26</v>
      </c>
      <c r="I387">
        <v>2017</v>
      </c>
      <c r="J387">
        <v>2017</v>
      </c>
      <c r="K387" t="s">
        <v>276</v>
      </c>
      <c r="L387">
        <v>0.05</v>
      </c>
      <c r="M387" t="s">
        <v>277</v>
      </c>
      <c r="N387" t="s">
        <v>278</v>
      </c>
    </row>
    <row r="388" spans="1:14" x14ac:dyDescent="0.3">
      <c r="A388" t="s">
        <v>272</v>
      </c>
      <c r="B388" t="s">
        <v>273</v>
      </c>
      <c r="C388">
        <v>348</v>
      </c>
      <c r="D388" t="s">
        <v>81</v>
      </c>
      <c r="E388">
        <v>645</v>
      </c>
      <c r="F388" t="s">
        <v>274</v>
      </c>
      <c r="G388" t="s">
        <v>296</v>
      </c>
      <c r="H388" t="s">
        <v>26</v>
      </c>
      <c r="I388">
        <v>2018</v>
      </c>
      <c r="J388">
        <v>2018</v>
      </c>
      <c r="K388" t="s">
        <v>276</v>
      </c>
      <c r="L388">
        <v>0.05</v>
      </c>
      <c r="M388" t="s">
        <v>277</v>
      </c>
      <c r="N388" t="s">
        <v>278</v>
      </c>
    </row>
    <row r="389" spans="1:14" x14ac:dyDescent="0.3">
      <c r="A389" t="s">
        <v>272</v>
      </c>
      <c r="B389" t="s">
        <v>273</v>
      </c>
      <c r="C389">
        <v>348</v>
      </c>
      <c r="D389" t="s">
        <v>81</v>
      </c>
      <c r="E389">
        <v>645</v>
      </c>
      <c r="F389" t="s">
        <v>274</v>
      </c>
      <c r="G389" t="s">
        <v>296</v>
      </c>
      <c r="H389" t="s">
        <v>26</v>
      </c>
      <c r="I389">
        <v>2019</v>
      </c>
      <c r="J389">
        <v>2019</v>
      </c>
      <c r="K389" t="s">
        <v>276</v>
      </c>
      <c r="L389">
        <v>0.04</v>
      </c>
      <c r="M389" t="s">
        <v>277</v>
      </c>
      <c r="N389" t="s">
        <v>278</v>
      </c>
    </row>
    <row r="390" spans="1:14" x14ac:dyDescent="0.3">
      <c r="A390" t="s">
        <v>272</v>
      </c>
      <c r="B390" t="s">
        <v>273</v>
      </c>
      <c r="C390">
        <v>348</v>
      </c>
      <c r="D390" t="s">
        <v>81</v>
      </c>
      <c r="E390">
        <v>645</v>
      </c>
      <c r="F390" t="s">
        <v>274</v>
      </c>
      <c r="G390" t="s">
        <v>296</v>
      </c>
      <c r="H390" t="s">
        <v>26</v>
      </c>
      <c r="I390">
        <v>2020</v>
      </c>
      <c r="J390">
        <v>2020</v>
      </c>
      <c r="K390" t="s">
        <v>276</v>
      </c>
      <c r="L390">
        <v>0.04</v>
      </c>
      <c r="M390" t="s">
        <v>277</v>
      </c>
      <c r="N390" t="s">
        <v>278</v>
      </c>
    </row>
    <row r="391" spans="1:14" x14ac:dyDescent="0.3">
      <c r="A391" t="s">
        <v>272</v>
      </c>
      <c r="B391" t="s">
        <v>273</v>
      </c>
      <c r="C391">
        <v>348</v>
      </c>
      <c r="D391" t="s">
        <v>81</v>
      </c>
      <c r="E391">
        <v>645</v>
      </c>
      <c r="F391" t="s">
        <v>274</v>
      </c>
      <c r="G391" t="s">
        <v>296</v>
      </c>
      <c r="H391" t="s">
        <v>26</v>
      </c>
      <c r="I391">
        <v>2021</v>
      </c>
      <c r="J391">
        <v>2021</v>
      </c>
      <c r="K391" t="s">
        <v>276</v>
      </c>
      <c r="L391">
        <v>0.04</v>
      </c>
      <c r="M391" t="s">
        <v>277</v>
      </c>
      <c r="N391" t="s">
        <v>278</v>
      </c>
    </row>
    <row r="392" spans="1:14" x14ac:dyDescent="0.3">
      <c r="A392" t="s">
        <v>272</v>
      </c>
      <c r="B392" t="s">
        <v>273</v>
      </c>
      <c r="C392">
        <v>348</v>
      </c>
      <c r="D392" t="s">
        <v>81</v>
      </c>
      <c r="E392">
        <v>645</v>
      </c>
      <c r="F392" t="s">
        <v>274</v>
      </c>
      <c r="G392" t="s">
        <v>297</v>
      </c>
      <c r="H392" t="s">
        <v>38</v>
      </c>
      <c r="I392">
        <v>2017</v>
      </c>
      <c r="J392">
        <v>2017</v>
      </c>
      <c r="K392" t="s">
        <v>276</v>
      </c>
      <c r="L392">
        <v>0.13</v>
      </c>
      <c r="M392" t="s">
        <v>277</v>
      </c>
      <c r="N392" t="s">
        <v>278</v>
      </c>
    </row>
    <row r="393" spans="1:14" x14ac:dyDescent="0.3">
      <c r="A393" t="s">
        <v>272</v>
      </c>
      <c r="B393" t="s">
        <v>273</v>
      </c>
      <c r="C393">
        <v>348</v>
      </c>
      <c r="D393" t="s">
        <v>81</v>
      </c>
      <c r="E393">
        <v>645</v>
      </c>
      <c r="F393" t="s">
        <v>274</v>
      </c>
      <c r="G393" t="s">
        <v>297</v>
      </c>
      <c r="H393" t="s">
        <v>38</v>
      </c>
      <c r="I393">
        <v>2018</v>
      </c>
      <c r="J393">
        <v>2018</v>
      </c>
      <c r="K393" t="s">
        <v>276</v>
      </c>
      <c r="L393">
        <v>0.09</v>
      </c>
      <c r="M393" t="s">
        <v>277</v>
      </c>
      <c r="N393" t="s">
        <v>278</v>
      </c>
    </row>
    <row r="394" spans="1:14" x14ac:dyDescent="0.3">
      <c r="A394" t="s">
        <v>272</v>
      </c>
      <c r="B394" t="s">
        <v>273</v>
      </c>
      <c r="C394">
        <v>348</v>
      </c>
      <c r="D394" t="s">
        <v>81</v>
      </c>
      <c r="E394">
        <v>645</v>
      </c>
      <c r="F394" t="s">
        <v>274</v>
      </c>
      <c r="G394" t="s">
        <v>297</v>
      </c>
      <c r="H394" t="s">
        <v>38</v>
      </c>
      <c r="I394">
        <v>2019</v>
      </c>
      <c r="J394">
        <v>2019</v>
      </c>
      <c r="K394" t="s">
        <v>276</v>
      </c>
      <c r="L394">
        <v>0.13</v>
      </c>
      <c r="M394" t="s">
        <v>277</v>
      </c>
      <c r="N394" t="s">
        <v>278</v>
      </c>
    </row>
    <row r="395" spans="1:14" x14ac:dyDescent="0.3">
      <c r="A395" t="s">
        <v>272</v>
      </c>
      <c r="B395" t="s">
        <v>273</v>
      </c>
      <c r="C395">
        <v>348</v>
      </c>
      <c r="D395" t="s">
        <v>81</v>
      </c>
      <c r="E395">
        <v>645</v>
      </c>
      <c r="F395" t="s">
        <v>274</v>
      </c>
      <c r="G395" t="s">
        <v>297</v>
      </c>
      <c r="H395" t="s">
        <v>38</v>
      </c>
      <c r="I395">
        <v>2020</v>
      </c>
      <c r="J395">
        <v>2020</v>
      </c>
      <c r="K395" t="s">
        <v>276</v>
      </c>
      <c r="L395">
        <v>0.13</v>
      </c>
      <c r="M395" t="s">
        <v>277</v>
      </c>
      <c r="N395" t="s">
        <v>278</v>
      </c>
    </row>
    <row r="396" spans="1:14" x14ac:dyDescent="0.3">
      <c r="A396" t="s">
        <v>272</v>
      </c>
      <c r="B396" t="s">
        <v>273</v>
      </c>
      <c r="C396">
        <v>348</v>
      </c>
      <c r="D396" t="s">
        <v>81</v>
      </c>
      <c r="E396">
        <v>645</v>
      </c>
      <c r="F396" t="s">
        <v>274</v>
      </c>
      <c r="G396" t="s">
        <v>297</v>
      </c>
      <c r="H396" t="s">
        <v>38</v>
      </c>
      <c r="I396">
        <v>2021</v>
      </c>
      <c r="J396">
        <v>2021</v>
      </c>
      <c r="K396" t="s">
        <v>276</v>
      </c>
      <c r="L396">
        <v>0.13</v>
      </c>
      <c r="M396" t="s">
        <v>277</v>
      </c>
      <c r="N396" t="s">
        <v>278</v>
      </c>
    </row>
    <row r="397" spans="1:14" x14ac:dyDescent="0.3">
      <c r="A397" t="s">
        <v>272</v>
      </c>
      <c r="B397" t="s">
        <v>273</v>
      </c>
      <c r="C397">
        <v>348</v>
      </c>
      <c r="D397" t="s">
        <v>81</v>
      </c>
      <c r="E397">
        <v>645</v>
      </c>
      <c r="F397" t="s">
        <v>274</v>
      </c>
      <c r="G397" t="s">
        <v>298</v>
      </c>
      <c r="H397" t="s">
        <v>23</v>
      </c>
      <c r="I397">
        <v>2017</v>
      </c>
      <c r="J397">
        <v>2017</v>
      </c>
      <c r="K397" t="s">
        <v>276</v>
      </c>
      <c r="L397">
        <v>0.01</v>
      </c>
      <c r="M397" t="s">
        <v>277</v>
      </c>
      <c r="N397" t="s">
        <v>278</v>
      </c>
    </row>
    <row r="398" spans="1:14" x14ac:dyDescent="0.3">
      <c r="A398" t="s">
        <v>272</v>
      </c>
      <c r="B398" t="s">
        <v>273</v>
      </c>
      <c r="C398">
        <v>348</v>
      </c>
      <c r="D398" t="s">
        <v>81</v>
      </c>
      <c r="E398">
        <v>645</v>
      </c>
      <c r="F398" t="s">
        <v>274</v>
      </c>
      <c r="G398" t="s">
        <v>298</v>
      </c>
      <c r="H398" t="s">
        <v>23</v>
      </c>
      <c r="I398">
        <v>2018</v>
      </c>
      <c r="J398">
        <v>2018</v>
      </c>
      <c r="K398" t="s">
        <v>276</v>
      </c>
      <c r="L398">
        <v>0.01</v>
      </c>
      <c r="M398" t="s">
        <v>277</v>
      </c>
      <c r="N398" t="s">
        <v>278</v>
      </c>
    </row>
    <row r="399" spans="1:14" x14ac:dyDescent="0.3">
      <c r="A399" t="s">
        <v>272</v>
      </c>
      <c r="B399" t="s">
        <v>273</v>
      </c>
      <c r="C399">
        <v>348</v>
      </c>
      <c r="D399" t="s">
        <v>81</v>
      </c>
      <c r="E399">
        <v>645</v>
      </c>
      <c r="F399" t="s">
        <v>274</v>
      </c>
      <c r="G399" t="s">
        <v>298</v>
      </c>
      <c r="H399" t="s">
        <v>23</v>
      </c>
      <c r="I399">
        <v>2019</v>
      </c>
      <c r="J399">
        <v>2019</v>
      </c>
      <c r="K399" t="s">
        <v>276</v>
      </c>
      <c r="L399">
        <v>0</v>
      </c>
      <c r="M399" t="s">
        <v>277</v>
      </c>
      <c r="N399" t="s">
        <v>278</v>
      </c>
    </row>
    <row r="400" spans="1:14" x14ac:dyDescent="0.3">
      <c r="A400" t="s">
        <v>272</v>
      </c>
      <c r="B400" t="s">
        <v>273</v>
      </c>
      <c r="C400">
        <v>348</v>
      </c>
      <c r="D400" t="s">
        <v>81</v>
      </c>
      <c r="E400">
        <v>645</v>
      </c>
      <c r="F400" t="s">
        <v>274</v>
      </c>
      <c r="G400" t="s">
        <v>298</v>
      </c>
      <c r="H400" t="s">
        <v>23</v>
      </c>
      <c r="I400">
        <v>2020</v>
      </c>
      <c r="J400">
        <v>2020</v>
      </c>
      <c r="K400" t="s">
        <v>276</v>
      </c>
      <c r="L400">
        <v>0</v>
      </c>
      <c r="M400" t="s">
        <v>277</v>
      </c>
      <c r="N400" t="s">
        <v>278</v>
      </c>
    </row>
    <row r="401" spans="1:14" x14ac:dyDescent="0.3">
      <c r="A401" t="s">
        <v>272</v>
      </c>
      <c r="B401" t="s">
        <v>273</v>
      </c>
      <c r="C401">
        <v>348</v>
      </c>
      <c r="D401" t="s">
        <v>81</v>
      </c>
      <c r="E401">
        <v>645</v>
      </c>
      <c r="F401" t="s">
        <v>274</v>
      </c>
      <c r="G401" t="s">
        <v>298</v>
      </c>
      <c r="H401" t="s">
        <v>23</v>
      </c>
      <c r="I401">
        <v>2021</v>
      </c>
      <c r="J401">
        <v>2021</v>
      </c>
      <c r="K401" t="s">
        <v>276</v>
      </c>
      <c r="L401">
        <v>0</v>
      </c>
      <c r="M401" t="s">
        <v>277</v>
      </c>
      <c r="N401" t="s">
        <v>278</v>
      </c>
    </row>
    <row r="402" spans="1:14" x14ac:dyDescent="0.3">
      <c r="A402" t="s">
        <v>272</v>
      </c>
      <c r="B402" t="s">
        <v>273</v>
      </c>
      <c r="C402">
        <v>372</v>
      </c>
      <c r="D402" t="s">
        <v>18</v>
      </c>
      <c r="E402">
        <v>645</v>
      </c>
      <c r="F402" t="s">
        <v>274</v>
      </c>
      <c r="G402" t="s">
        <v>275</v>
      </c>
      <c r="H402" t="s">
        <v>24</v>
      </c>
      <c r="I402">
        <v>2017</v>
      </c>
      <c r="J402">
        <v>2017</v>
      </c>
      <c r="K402" t="s">
        <v>276</v>
      </c>
      <c r="L402">
        <v>20.2</v>
      </c>
      <c r="M402" t="s">
        <v>277</v>
      </c>
      <c r="N402" t="s">
        <v>278</v>
      </c>
    </row>
    <row r="403" spans="1:14" x14ac:dyDescent="0.3">
      <c r="A403" t="s">
        <v>272</v>
      </c>
      <c r="B403" t="s">
        <v>273</v>
      </c>
      <c r="C403">
        <v>372</v>
      </c>
      <c r="D403" t="s">
        <v>18</v>
      </c>
      <c r="E403">
        <v>645</v>
      </c>
      <c r="F403" t="s">
        <v>274</v>
      </c>
      <c r="G403" t="s">
        <v>275</v>
      </c>
      <c r="H403" t="s">
        <v>24</v>
      </c>
      <c r="I403">
        <v>2018</v>
      </c>
      <c r="J403">
        <v>2018</v>
      </c>
      <c r="K403" t="s">
        <v>276</v>
      </c>
      <c r="L403">
        <v>23.58</v>
      </c>
      <c r="M403" t="s">
        <v>277</v>
      </c>
      <c r="N403" t="s">
        <v>278</v>
      </c>
    </row>
    <row r="404" spans="1:14" x14ac:dyDescent="0.3">
      <c r="A404" t="s">
        <v>272</v>
      </c>
      <c r="B404" t="s">
        <v>273</v>
      </c>
      <c r="C404">
        <v>372</v>
      </c>
      <c r="D404" t="s">
        <v>18</v>
      </c>
      <c r="E404">
        <v>645</v>
      </c>
      <c r="F404" t="s">
        <v>274</v>
      </c>
      <c r="G404" t="s">
        <v>275</v>
      </c>
      <c r="H404" t="s">
        <v>24</v>
      </c>
      <c r="I404">
        <v>2019</v>
      </c>
      <c r="J404">
        <v>2019</v>
      </c>
      <c r="K404" t="s">
        <v>276</v>
      </c>
      <c r="L404">
        <v>19.43</v>
      </c>
      <c r="M404" t="s">
        <v>277</v>
      </c>
      <c r="N404" t="s">
        <v>278</v>
      </c>
    </row>
    <row r="405" spans="1:14" x14ac:dyDescent="0.3">
      <c r="A405" t="s">
        <v>272</v>
      </c>
      <c r="B405" t="s">
        <v>273</v>
      </c>
      <c r="C405">
        <v>372</v>
      </c>
      <c r="D405" t="s">
        <v>18</v>
      </c>
      <c r="E405">
        <v>645</v>
      </c>
      <c r="F405" t="s">
        <v>274</v>
      </c>
      <c r="G405" t="s">
        <v>275</v>
      </c>
      <c r="H405" t="s">
        <v>24</v>
      </c>
      <c r="I405">
        <v>2020</v>
      </c>
      <c r="J405">
        <v>2020</v>
      </c>
      <c r="K405" t="s">
        <v>276</v>
      </c>
      <c r="L405">
        <v>20.399999999999999</v>
      </c>
      <c r="M405" t="s">
        <v>277</v>
      </c>
      <c r="N405" t="s">
        <v>278</v>
      </c>
    </row>
    <row r="406" spans="1:14" x14ac:dyDescent="0.3">
      <c r="A406" t="s">
        <v>272</v>
      </c>
      <c r="B406" t="s">
        <v>273</v>
      </c>
      <c r="C406">
        <v>372</v>
      </c>
      <c r="D406" t="s">
        <v>18</v>
      </c>
      <c r="E406">
        <v>645</v>
      </c>
      <c r="F406" t="s">
        <v>274</v>
      </c>
      <c r="G406" t="s">
        <v>275</v>
      </c>
      <c r="H406" t="s">
        <v>24</v>
      </c>
      <c r="I406">
        <v>2021</v>
      </c>
      <c r="J406">
        <v>2021</v>
      </c>
      <c r="K406" t="s">
        <v>276</v>
      </c>
      <c r="L406">
        <v>19.45</v>
      </c>
      <c r="M406" t="s">
        <v>277</v>
      </c>
      <c r="N406" t="s">
        <v>278</v>
      </c>
    </row>
    <row r="407" spans="1:14" x14ac:dyDescent="0.3">
      <c r="A407" t="s">
        <v>272</v>
      </c>
      <c r="B407" t="s">
        <v>273</v>
      </c>
      <c r="C407">
        <v>372</v>
      </c>
      <c r="D407" t="s">
        <v>18</v>
      </c>
      <c r="E407">
        <v>645</v>
      </c>
      <c r="F407" t="s">
        <v>274</v>
      </c>
      <c r="G407" t="s">
        <v>279</v>
      </c>
      <c r="H407" t="s">
        <v>39</v>
      </c>
      <c r="I407">
        <v>2017</v>
      </c>
      <c r="J407">
        <v>2017</v>
      </c>
      <c r="K407" t="s">
        <v>276</v>
      </c>
      <c r="L407">
        <v>3.4</v>
      </c>
      <c r="M407" t="s">
        <v>277</v>
      </c>
      <c r="N407" t="s">
        <v>278</v>
      </c>
    </row>
    <row r="408" spans="1:14" x14ac:dyDescent="0.3">
      <c r="A408" t="s">
        <v>272</v>
      </c>
      <c r="B408" t="s">
        <v>273</v>
      </c>
      <c r="C408">
        <v>372</v>
      </c>
      <c r="D408" t="s">
        <v>18</v>
      </c>
      <c r="E408">
        <v>645</v>
      </c>
      <c r="F408" t="s">
        <v>274</v>
      </c>
      <c r="G408" t="s">
        <v>279</v>
      </c>
      <c r="H408" t="s">
        <v>39</v>
      </c>
      <c r="I408">
        <v>2018</v>
      </c>
      <c r="J408">
        <v>2018</v>
      </c>
      <c r="K408" t="s">
        <v>276</v>
      </c>
      <c r="L408">
        <v>3.41</v>
      </c>
      <c r="M408" t="s">
        <v>277</v>
      </c>
      <c r="N408" t="s">
        <v>278</v>
      </c>
    </row>
    <row r="409" spans="1:14" x14ac:dyDescent="0.3">
      <c r="A409" t="s">
        <v>272</v>
      </c>
      <c r="B409" t="s">
        <v>273</v>
      </c>
      <c r="C409">
        <v>372</v>
      </c>
      <c r="D409" t="s">
        <v>18</v>
      </c>
      <c r="E409">
        <v>645</v>
      </c>
      <c r="F409" t="s">
        <v>274</v>
      </c>
      <c r="G409" t="s">
        <v>279</v>
      </c>
      <c r="H409" t="s">
        <v>39</v>
      </c>
      <c r="I409">
        <v>2019</v>
      </c>
      <c r="J409">
        <v>2019</v>
      </c>
      <c r="K409" t="s">
        <v>276</v>
      </c>
      <c r="L409">
        <v>3.59</v>
      </c>
      <c r="M409" t="s">
        <v>277</v>
      </c>
      <c r="N409" t="s">
        <v>278</v>
      </c>
    </row>
    <row r="410" spans="1:14" x14ac:dyDescent="0.3">
      <c r="A410" t="s">
        <v>272</v>
      </c>
      <c r="B410" t="s">
        <v>273</v>
      </c>
      <c r="C410">
        <v>372</v>
      </c>
      <c r="D410" t="s">
        <v>18</v>
      </c>
      <c r="E410">
        <v>645</v>
      </c>
      <c r="F410" t="s">
        <v>274</v>
      </c>
      <c r="G410" t="s">
        <v>279</v>
      </c>
      <c r="H410" t="s">
        <v>39</v>
      </c>
      <c r="I410">
        <v>2020</v>
      </c>
      <c r="J410">
        <v>2020</v>
      </c>
      <c r="K410" t="s">
        <v>276</v>
      </c>
      <c r="L410">
        <v>2.92</v>
      </c>
      <c r="M410" t="s">
        <v>277</v>
      </c>
      <c r="N410" t="s">
        <v>278</v>
      </c>
    </row>
    <row r="411" spans="1:14" x14ac:dyDescent="0.3">
      <c r="A411" t="s">
        <v>272</v>
      </c>
      <c r="B411" t="s">
        <v>273</v>
      </c>
      <c r="C411">
        <v>372</v>
      </c>
      <c r="D411" t="s">
        <v>18</v>
      </c>
      <c r="E411">
        <v>645</v>
      </c>
      <c r="F411" t="s">
        <v>274</v>
      </c>
      <c r="G411" t="s">
        <v>279</v>
      </c>
      <c r="H411" t="s">
        <v>39</v>
      </c>
      <c r="I411">
        <v>2021</v>
      </c>
      <c r="J411">
        <v>2021</v>
      </c>
      <c r="K411" t="s">
        <v>276</v>
      </c>
      <c r="L411">
        <v>3.57</v>
      </c>
      <c r="M411" t="s">
        <v>277</v>
      </c>
      <c r="N411" t="s">
        <v>278</v>
      </c>
    </row>
    <row r="412" spans="1:14" x14ac:dyDescent="0.3">
      <c r="A412" t="s">
        <v>272</v>
      </c>
      <c r="B412" t="s">
        <v>273</v>
      </c>
      <c r="C412">
        <v>372</v>
      </c>
      <c r="D412" t="s">
        <v>18</v>
      </c>
      <c r="E412">
        <v>645</v>
      </c>
      <c r="F412" t="s">
        <v>274</v>
      </c>
      <c r="G412" t="s">
        <v>280</v>
      </c>
      <c r="H412" t="s">
        <v>42</v>
      </c>
      <c r="I412">
        <v>2017</v>
      </c>
      <c r="J412">
        <v>2017</v>
      </c>
      <c r="K412" t="s">
        <v>276</v>
      </c>
      <c r="L412">
        <v>28.73</v>
      </c>
      <c r="M412" t="s">
        <v>277</v>
      </c>
      <c r="N412" t="s">
        <v>278</v>
      </c>
    </row>
    <row r="413" spans="1:14" x14ac:dyDescent="0.3">
      <c r="A413" t="s">
        <v>272</v>
      </c>
      <c r="B413" t="s">
        <v>273</v>
      </c>
      <c r="C413">
        <v>372</v>
      </c>
      <c r="D413" t="s">
        <v>18</v>
      </c>
      <c r="E413">
        <v>645</v>
      </c>
      <c r="F413" t="s">
        <v>274</v>
      </c>
      <c r="G413" t="s">
        <v>280</v>
      </c>
      <c r="H413" t="s">
        <v>42</v>
      </c>
      <c r="I413">
        <v>2018</v>
      </c>
      <c r="J413">
        <v>2018</v>
      </c>
      <c r="K413" t="s">
        <v>276</v>
      </c>
      <c r="L413">
        <v>30.01</v>
      </c>
      <c r="M413" t="s">
        <v>277</v>
      </c>
      <c r="N413" t="s">
        <v>278</v>
      </c>
    </row>
    <row r="414" spans="1:14" x14ac:dyDescent="0.3">
      <c r="A414" t="s">
        <v>272</v>
      </c>
      <c r="B414" t="s">
        <v>273</v>
      </c>
      <c r="C414">
        <v>372</v>
      </c>
      <c r="D414" t="s">
        <v>18</v>
      </c>
      <c r="E414">
        <v>645</v>
      </c>
      <c r="F414" t="s">
        <v>274</v>
      </c>
      <c r="G414" t="s">
        <v>280</v>
      </c>
      <c r="H414" t="s">
        <v>42</v>
      </c>
      <c r="I414">
        <v>2019</v>
      </c>
      <c r="J414">
        <v>2019</v>
      </c>
      <c r="K414" t="s">
        <v>276</v>
      </c>
      <c r="L414">
        <v>29.44</v>
      </c>
      <c r="M414" t="s">
        <v>277</v>
      </c>
      <c r="N414" t="s">
        <v>278</v>
      </c>
    </row>
    <row r="415" spans="1:14" x14ac:dyDescent="0.3">
      <c r="A415" t="s">
        <v>272</v>
      </c>
      <c r="B415" t="s">
        <v>273</v>
      </c>
      <c r="C415">
        <v>372</v>
      </c>
      <c r="D415" t="s">
        <v>18</v>
      </c>
      <c r="E415">
        <v>645</v>
      </c>
      <c r="F415" t="s">
        <v>274</v>
      </c>
      <c r="G415" t="s">
        <v>280</v>
      </c>
      <c r="H415" t="s">
        <v>42</v>
      </c>
      <c r="I415">
        <v>2020</v>
      </c>
      <c r="J415">
        <v>2020</v>
      </c>
      <c r="K415" t="s">
        <v>276</v>
      </c>
      <c r="L415">
        <v>29.29</v>
      </c>
      <c r="M415" t="s">
        <v>277</v>
      </c>
      <c r="N415" t="s">
        <v>278</v>
      </c>
    </row>
    <row r="416" spans="1:14" x14ac:dyDescent="0.3">
      <c r="A416" t="s">
        <v>272</v>
      </c>
      <c r="B416" t="s">
        <v>273</v>
      </c>
      <c r="C416">
        <v>372</v>
      </c>
      <c r="D416" t="s">
        <v>18</v>
      </c>
      <c r="E416">
        <v>645</v>
      </c>
      <c r="F416" t="s">
        <v>274</v>
      </c>
      <c r="G416" t="s">
        <v>280</v>
      </c>
      <c r="H416" t="s">
        <v>42</v>
      </c>
      <c r="I416">
        <v>2021</v>
      </c>
      <c r="J416">
        <v>2021</v>
      </c>
      <c r="K416" t="s">
        <v>276</v>
      </c>
      <c r="L416">
        <v>27.81</v>
      </c>
      <c r="M416" t="s">
        <v>277</v>
      </c>
      <c r="N416" t="s">
        <v>278</v>
      </c>
    </row>
    <row r="417" spans="1:14" x14ac:dyDescent="0.3">
      <c r="A417" t="s">
        <v>272</v>
      </c>
      <c r="B417" t="s">
        <v>273</v>
      </c>
      <c r="C417">
        <v>372</v>
      </c>
      <c r="D417" t="s">
        <v>18</v>
      </c>
      <c r="E417">
        <v>645</v>
      </c>
      <c r="F417" t="s">
        <v>274</v>
      </c>
      <c r="G417" t="s">
        <v>281</v>
      </c>
      <c r="H417" t="s">
        <v>43</v>
      </c>
      <c r="I417">
        <v>2017</v>
      </c>
      <c r="J417">
        <v>2017</v>
      </c>
      <c r="K417" t="s">
        <v>276</v>
      </c>
      <c r="L417">
        <v>23.85</v>
      </c>
      <c r="M417" t="s">
        <v>277</v>
      </c>
      <c r="N417" t="s">
        <v>278</v>
      </c>
    </row>
    <row r="418" spans="1:14" x14ac:dyDescent="0.3">
      <c r="A418" t="s">
        <v>272</v>
      </c>
      <c r="B418" t="s">
        <v>273</v>
      </c>
      <c r="C418">
        <v>372</v>
      </c>
      <c r="D418" t="s">
        <v>18</v>
      </c>
      <c r="E418">
        <v>645</v>
      </c>
      <c r="F418" t="s">
        <v>274</v>
      </c>
      <c r="G418" t="s">
        <v>281</v>
      </c>
      <c r="H418" t="s">
        <v>43</v>
      </c>
      <c r="I418">
        <v>2018</v>
      </c>
      <c r="J418">
        <v>2018</v>
      </c>
      <c r="K418" t="s">
        <v>276</v>
      </c>
      <c r="L418">
        <v>24.39</v>
      </c>
      <c r="M418" t="s">
        <v>277</v>
      </c>
      <c r="N418" t="s">
        <v>278</v>
      </c>
    </row>
    <row r="419" spans="1:14" x14ac:dyDescent="0.3">
      <c r="A419" t="s">
        <v>272</v>
      </c>
      <c r="B419" t="s">
        <v>273</v>
      </c>
      <c r="C419">
        <v>372</v>
      </c>
      <c r="D419" t="s">
        <v>18</v>
      </c>
      <c r="E419">
        <v>645</v>
      </c>
      <c r="F419" t="s">
        <v>274</v>
      </c>
      <c r="G419" t="s">
        <v>281</v>
      </c>
      <c r="H419" t="s">
        <v>43</v>
      </c>
      <c r="I419">
        <v>2019</v>
      </c>
      <c r="J419">
        <v>2019</v>
      </c>
      <c r="K419" t="s">
        <v>276</v>
      </c>
      <c r="L419">
        <v>28.11</v>
      </c>
      <c r="M419" t="s">
        <v>277</v>
      </c>
      <c r="N419" t="s">
        <v>278</v>
      </c>
    </row>
    <row r="420" spans="1:14" x14ac:dyDescent="0.3">
      <c r="A420" t="s">
        <v>272</v>
      </c>
      <c r="B420" t="s">
        <v>273</v>
      </c>
      <c r="C420">
        <v>372</v>
      </c>
      <c r="D420" t="s">
        <v>18</v>
      </c>
      <c r="E420">
        <v>645</v>
      </c>
      <c r="F420" t="s">
        <v>274</v>
      </c>
      <c r="G420" t="s">
        <v>281</v>
      </c>
      <c r="H420" t="s">
        <v>43</v>
      </c>
      <c r="I420">
        <v>2020</v>
      </c>
      <c r="J420">
        <v>2020</v>
      </c>
      <c r="K420" t="s">
        <v>276</v>
      </c>
      <c r="L420">
        <v>28.88</v>
      </c>
      <c r="M420" t="s">
        <v>277</v>
      </c>
      <c r="N420" t="s">
        <v>278</v>
      </c>
    </row>
    <row r="421" spans="1:14" x14ac:dyDescent="0.3">
      <c r="A421" t="s">
        <v>272</v>
      </c>
      <c r="B421" t="s">
        <v>273</v>
      </c>
      <c r="C421">
        <v>372</v>
      </c>
      <c r="D421" t="s">
        <v>18</v>
      </c>
      <c r="E421">
        <v>645</v>
      </c>
      <c r="F421" t="s">
        <v>274</v>
      </c>
      <c r="G421" t="s">
        <v>281</v>
      </c>
      <c r="H421" t="s">
        <v>43</v>
      </c>
      <c r="I421">
        <v>2021</v>
      </c>
      <c r="J421">
        <v>2021</v>
      </c>
      <c r="K421" t="s">
        <v>276</v>
      </c>
      <c r="L421">
        <v>26.84</v>
      </c>
      <c r="M421" t="s">
        <v>277</v>
      </c>
      <c r="N421" t="s">
        <v>278</v>
      </c>
    </row>
    <row r="422" spans="1:14" x14ac:dyDescent="0.3">
      <c r="A422" t="s">
        <v>272</v>
      </c>
      <c r="B422" t="s">
        <v>273</v>
      </c>
      <c r="C422">
        <v>372</v>
      </c>
      <c r="D422" t="s">
        <v>18</v>
      </c>
      <c r="E422">
        <v>645</v>
      </c>
      <c r="F422" t="s">
        <v>274</v>
      </c>
      <c r="G422" t="s">
        <v>282</v>
      </c>
      <c r="H422" t="s">
        <v>36</v>
      </c>
      <c r="I422">
        <v>2017</v>
      </c>
      <c r="J422">
        <v>2017</v>
      </c>
      <c r="K422" t="s">
        <v>276</v>
      </c>
      <c r="L422">
        <v>0.36</v>
      </c>
      <c r="M422" t="s">
        <v>277</v>
      </c>
      <c r="N422" t="s">
        <v>278</v>
      </c>
    </row>
    <row r="423" spans="1:14" x14ac:dyDescent="0.3">
      <c r="A423" t="s">
        <v>272</v>
      </c>
      <c r="B423" t="s">
        <v>273</v>
      </c>
      <c r="C423">
        <v>372</v>
      </c>
      <c r="D423" t="s">
        <v>18</v>
      </c>
      <c r="E423">
        <v>645</v>
      </c>
      <c r="F423" t="s">
        <v>274</v>
      </c>
      <c r="G423" t="s">
        <v>282</v>
      </c>
      <c r="H423" t="s">
        <v>36</v>
      </c>
      <c r="I423">
        <v>2018</v>
      </c>
      <c r="J423">
        <v>2018</v>
      </c>
      <c r="K423" t="s">
        <v>276</v>
      </c>
      <c r="L423">
        <v>0.61</v>
      </c>
      <c r="M423" t="s">
        <v>277</v>
      </c>
      <c r="N423" t="s">
        <v>278</v>
      </c>
    </row>
    <row r="424" spans="1:14" x14ac:dyDescent="0.3">
      <c r="A424" t="s">
        <v>272</v>
      </c>
      <c r="B424" t="s">
        <v>273</v>
      </c>
      <c r="C424">
        <v>372</v>
      </c>
      <c r="D424" t="s">
        <v>18</v>
      </c>
      <c r="E424">
        <v>645</v>
      </c>
      <c r="F424" t="s">
        <v>274</v>
      </c>
      <c r="G424" t="s">
        <v>282</v>
      </c>
      <c r="H424" t="s">
        <v>36</v>
      </c>
      <c r="I424">
        <v>2019</v>
      </c>
      <c r="J424">
        <v>2019</v>
      </c>
      <c r="K424" t="s">
        <v>276</v>
      </c>
      <c r="L424">
        <v>1.02</v>
      </c>
      <c r="M424" t="s">
        <v>277</v>
      </c>
      <c r="N424" t="s">
        <v>278</v>
      </c>
    </row>
    <row r="425" spans="1:14" x14ac:dyDescent="0.3">
      <c r="A425" t="s">
        <v>272</v>
      </c>
      <c r="B425" t="s">
        <v>273</v>
      </c>
      <c r="C425">
        <v>372</v>
      </c>
      <c r="D425" t="s">
        <v>18</v>
      </c>
      <c r="E425">
        <v>645</v>
      </c>
      <c r="F425" t="s">
        <v>274</v>
      </c>
      <c r="G425" t="s">
        <v>282</v>
      </c>
      <c r="H425" t="s">
        <v>36</v>
      </c>
      <c r="I425">
        <v>2020</v>
      </c>
      <c r="J425">
        <v>2020</v>
      </c>
      <c r="K425" t="s">
        <v>276</v>
      </c>
      <c r="L425">
        <v>0.56000000000000005</v>
      </c>
      <c r="M425" t="s">
        <v>277</v>
      </c>
      <c r="N425" t="s">
        <v>278</v>
      </c>
    </row>
    <row r="426" spans="1:14" x14ac:dyDescent="0.3">
      <c r="A426" t="s">
        <v>272</v>
      </c>
      <c r="B426" t="s">
        <v>273</v>
      </c>
      <c r="C426">
        <v>372</v>
      </c>
      <c r="D426" t="s">
        <v>18</v>
      </c>
      <c r="E426">
        <v>645</v>
      </c>
      <c r="F426" t="s">
        <v>274</v>
      </c>
      <c r="G426" t="s">
        <v>282</v>
      </c>
      <c r="H426" t="s">
        <v>36</v>
      </c>
      <c r="I426">
        <v>2021</v>
      </c>
      <c r="J426">
        <v>2021</v>
      </c>
      <c r="K426" t="s">
        <v>276</v>
      </c>
      <c r="L426">
        <v>2.52</v>
      </c>
      <c r="M426" t="s">
        <v>277</v>
      </c>
      <c r="N426" t="s">
        <v>278</v>
      </c>
    </row>
    <row r="427" spans="1:14" x14ac:dyDescent="0.3">
      <c r="A427" t="s">
        <v>272</v>
      </c>
      <c r="B427" t="s">
        <v>273</v>
      </c>
      <c r="C427">
        <v>372</v>
      </c>
      <c r="D427" t="s">
        <v>18</v>
      </c>
      <c r="E427">
        <v>645</v>
      </c>
      <c r="F427" t="s">
        <v>274</v>
      </c>
      <c r="G427" t="s">
        <v>283</v>
      </c>
      <c r="H427" t="s">
        <v>40</v>
      </c>
      <c r="I427">
        <v>2017</v>
      </c>
      <c r="J427">
        <v>2017</v>
      </c>
      <c r="K427" t="s">
        <v>276</v>
      </c>
      <c r="L427">
        <v>1.7</v>
      </c>
      <c r="M427" t="s">
        <v>277</v>
      </c>
      <c r="N427" t="s">
        <v>278</v>
      </c>
    </row>
    <row r="428" spans="1:14" x14ac:dyDescent="0.3">
      <c r="A428" t="s">
        <v>272</v>
      </c>
      <c r="B428" t="s">
        <v>273</v>
      </c>
      <c r="C428">
        <v>372</v>
      </c>
      <c r="D428" t="s">
        <v>18</v>
      </c>
      <c r="E428">
        <v>645</v>
      </c>
      <c r="F428" t="s">
        <v>274</v>
      </c>
      <c r="G428" t="s">
        <v>283</v>
      </c>
      <c r="H428" t="s">
        <v>40</v>
      </c>
      <c r="I428">
        <v>2018</v>
      </c>
      <c r="J428">
        <v>2018</v>
      </c>
      <c r="K428" t="s">
        <v>276</v>
      </c>
      <c r="L428">
        <v>1.75</v>
      </c>
      <c r="M428" t="s">
        <v>277</v>
      </c>
      <c r="N428" t="s">
        <v>278</v>
      </c>
    </row>
    <row r="429" spans="1:14" x14ac:dyDescent="0.3">
      <c r="A429" t="s">
        <v>272</v>
      </c>
      <c r="B429" t="s">
        <v>273</v>
      </c>
      <c r="C429">
        <v>372</v>
      </c>
      <c r="D429" t="s">
        <v>18</v>
      </c>
      <c r="E429">
        <v>645</v>
      </c>
      <c r="F429" t="s">
        <v>274</v>
      </c>
      <c r="G429" t="s">
        <v>283</v>
      </c>
      <c r="H429" t="s">
        <v>40</v>
      </c>
      <c r="I429">
        <v>2019</v>
      </c>
      <c r="J429">
        <v>2019</v>
      </c>
      <c r="K429" t="s">
        <v>276</v>
      </c>
      <c r="L429">
        <v>1.46</v>
      </c>
      <c r="M429" t="s">
        <v>277</v>
      </c>
      <c r="N429" t="s">
        <v>278</v>
      </c>
    </row>
    <row r="430" spans="1:14" x14ac:dyDescent="0.3">
      <c r="A430" t="s">
        <v>272</v>
      </c>
      <c r="B430" t="s">
        <v>273</v>
      </c>
      <c r="C430">
        <v>372</v>
      </c>
      <c r="D430" t="s">
        <v>18</v>
      </c>
      <c r="E430">
        <v>645</v>
      </c>
      <c r="F430" t="s">
        <v>274</v>
      </c>
      <c r="G430" t="s">
        <v>283</v>
      </c>
      <c r="H430" t="s">
        <v>40</v>
      </c>
      <c r="I430">
        <v>2020</v>
      </c>
      <c r="J430">
        <v>2020</v>
      </c>
      <c r="K430" t="s">
        <v>276</v>
      </c>
      <c r="L430">
        <v>1.2</v>
      </c>
      <c r="M430" t="s">
        <v>277</v>
      </c>
      <c r="N430" t="s">
        <v>278</v>
      </c>
    </row>
    <row r="431" spans="1:14" x14ac:dyDescent="0.3">
      <c r="A431" t="s">
        <v>272</v>
      </c>
      <c r="B431" t="s">
        <v>273</v>
      </c>
      <c r="C431">
        <v>372</v>
      </c>
      <c r="D431" t="s">
        <v>18</v>
      </c>
      <c r="E431">
        <v>645</v>
      </c>
      <c r="F431" t="s">
        <v>274</v>
      </c>
      <c r="G431" t="s">
        <v>283</v>
      </c>
      <c r="H431" t="s">
        <v>40</v>
      </c>
      <c r="I431">
        <v>2021</v>
      </c>
      <c r="J431">
        <v>2021</v>
      </c>
      <c r="K431" t="s">
        <v>276</v>
      </c>
      <c r="L431">
        <v>7.1</v>
      </c>
      <c r="M431" t="s">
        <v>277</v>
      </c>
      <c r="N431" t="s">
        <v>278</v>
      </c>
    </row>
    <row r="432" spans="1:14" x14ac:dyDescent="0.3">
      <c r="A432" t="s">
        <v>272</v>
      </c>
      <c r="B432" t="s">
        <v>273</v>
      </c>
      <c r="C432">
        <v>372</v>
      </c>
      <c r="D432" t="s">
        <v>18</v>
      </c>
      <c r="E432">
        <v>645</v>
      </c>
      <c r="F432" t="s">
        <v>274</v>
      </c>
      <c r="G432" t="s">
        <v>284</v>
      </c>
      <c r="H432" t="s">
        <v>25</v>
      </c>
      <c r="I432">
        <v>2017</v>
      </c>
      <c r="J432">
        <v>2017</v>
      </c>
      <c r="K432" t="s">
        <v>276</v>
      </c>
      <c r="L432">
        <v>4.01</v>
      </c>
      <c r="M432" t="s">
        <v>277</v>
      </c>
      <c r="N432" t="s">
        <v>278</v>
      </c>
    </row>
    <row r="433" spans="1:14" x14ac:dyDescent="0.3">
      <c r="A433" t="s">
        <v>272</v>
      </c>
      <c r="B433" t="s">
        <v>273</v>
      </c>
      <c r="C433">
        <v>372</v>
      </c>
      <c r="D433" t="s">
        <v>18</v>
      </c>
      <c r="E433">
        <v>645</v>
      </c>
      <c r="F433" t="s">
        <v>274</v>
      </c>
      <c r="G433" t="s">
        <v>284</v>
      </c>
      <c r="H433" t="s">
        <v>25</v>
      </c>
      <c r="I433">
        <v>2018</v>
      </c>
      <c r="J433">
        <v>2018</v>
      </c>
      <c r="K433" t="s">
        <v>276</v>
      </c>
      <c r="L433">
        <v>2.57</v>
      </c>
      <c r="M433" t="s">
        <v>277</v>
      </c>
      <c r="N433" t="s">
        <v>278</v>
      </c>
    </row>
    <row r="434" spans="1:14" x14ac:dyDescent="0.3">
      <c r="A434" t="s">
        <v>272</v>
      </c>
      <c r="B434" t="s">
        <v>273</v>
      </c>
      <c r="C434">
        <v>372</v>
      </c>
      <c r="D434" t="s">
        <v>18</v>
      </c>
      <c r="E434">
        <v>645</v>
      </c>
      <c r="F434" t="s">
        <v>274</v>
      </c>
      <c r="G434" t="s">
        <v>284</v>
      </c>
      <c r="H434" t="s">
        <v>25</v>
      </c>
      <c r="I434">
        <v>2019</v>
      </c>
      <c r="J434">
        <v>2019</v>
      </c>
      <c r="K434" t="s">
        <v>276</v>
      </c>
      <c r="L434">
        <v>0.85</v>
      </c>
      <c r="M434" t="s">
        <v>277</v>
      </c>
      <c r="N434" t="s">
        <v>278</v>
      </c>
    </row>
    <row r="435" spans="1:14" x14ac:dyDescent="0.3">
      <c r="A435" t="s">
        <v>272</v>
      </c>
      <c r="B435" t="s">
        <v>273</v>
      </c>
      <c r="C435">
        <v>372</v>
      </c>
      <c r="D435" t="s">
        <v>18</v>
      </c>
      <c r="E435">
        <v>645</v>
      </c>
      <c r="F435" t="s">
        <v>274</v>
      </c>
      <c r="G435" t="s">
        <v>284</v>
      </c>
      <c r="H435" t="s">
        <v>25</v>
      </c>
      <c r="I435">
        <v>2020</v>
      </c>
      <c r="J435">
        <v>2020</v>
      </c>
      <c r="K435" t="s">
        <v>276</v>
      </c>
      <c r="L435">
        <v>0.74</v>
      </c>
      <c r="M435" t="s">
        <v>277</v>
      </c>
      <c r="N435" t="s">
        <v>278</v>
      </c>
    </row>
    <row r="436" spans="1:14" x14ac:dyDescent="0.3">
      <c r="A436" t="s">
        <v>272</v>
      </c>
      <c r="B436" t="s">
        <v>273</v>
      </c>
      <c r="C436">
        <v>372</v>
      </c>
      <c r="D436" t="s">
        <v>18</v>
      </c>
      <c r="E436">
        <v>645</v>
      </c>
      <c r="F436" t="s">
        <v>274</v>
      </c>
      <c r="G436" t="s">
        <v>284</v>
      </c>
      <c r="H436" t="s">
        <v>25</v>
      </c>
      <c r="I436">
        <v>2021</v>
      </c>
      <c r="J436">
        <v>2021</v>
      </c>
      <c r="K436" t="s">
        <v>276</v>
      </c>
      <c r="L436">
        <v>1.39</v>
      </c>
      <c r="M436" t="s">
        <v>277</v>
      </c>
      <c r="N436" t="s">
        <v>278</v>
      </c>
    </row>
    <row r="437" spans="1:14" x14ac:dyDescent="0.3">
      <c r="A437" t="s">
        <v>272</v>
      </c>
      <c r="B437" t="s">
        <v>273</v>
      </c>
      <c r="C437">
        <v>372</v>
      </c>
      <c r="D437" t="s">
        <v>18</v>
      </c>
      <c r="E437">
        <v>645</v>
      </c>
      <c r="F437" t="s">
        <v>274</v>
      </c>
      <c r="G437" t="s">
        <v>285</v>
      </c>
      <c r="H437" t="s">
        <v>27</v>
      </c>
      <c r="I437">
        <v>2017</v>
      </c>
      <c r="J437">
        <v>2017</v>
      </c>
      <c r="K437" t="s">
        <v>276</v>
      </c>
      <c r="L437">
        <v>5.44</v>
      </c>
      <c r="M437" t="s">
        <v>277</v>
      </c>
      <c r="N437" t="s">
        <v>278</v>
      </c>
    </row>
    <row r="438" spans="1:14" x14ac:dyDescent="0.3">
      <c r="A438" t="s">
        <v>272</v>
      </c>
      <c r="B438" t="s">
        <v>273</v>
      </c>
      <c r="C438">
        <v>372</v>
      </c>
      <c r="D438" t="s">
        <v>18</v>
      </c>
      <c r="E438">
        <v>645</v>
      </c>
      <c r="F438" t="s">
        <v>274</v>
      </c>
      <c r="G438" t="s">
        <v>285</v>
      </c>
      <c r="H438" t="s">
        <v>27</v>
      </c>
      <c r="I438">
        <v>2018</v>
      </c>
      <c r="J438">
        <v>2018</v>
      </c>
      <c r="K438" t="s">
        <v>276</v>
      </c>
      <c r="L438">
        <v>1.72</v>
      </c>
      <c r="M438" t="s">
        <v>277</v>
      </c>
      <c r="N438" t="s">
        <v>278</v>
      </c>
    </row>
    <row r="439" spans="1:14" x14ac:dyDescent="0.3">
      <c r="A439" t="s">
        <v>272</v>
      </c>
      <c r="B439" t="s">
        <v>273</v>
      </c>
      <c r="C439">
        <v>372</v>
      </c>
      <c r="D439" t="s">
        <v>18</v>
      </c>
      <c r="E439">
        <v>645</v>
      </c>
      <c r="F439" t="s">
        <v>274</v>
      </c>
      <c r="G439" t="s">
        <v>285</v>
      </c>
      <c r="H439" t="s">
        <v>27</v>
      </c>
      <c r="I439">
        <v>2019</v>
      </c>
      <c r="J439">
        <v>2019</v>
      </c>
      <c r="K439" t="s">
        <v>276</v>
      </c>
      <c r="L439">
        <v>2.5</v>
      </c>
      <c r="M439" t="s">
        <v>277</v>
      </c>
      <c r="N439" t="s">
        <v>278</v>
      </c>
    </row>
    <row r="440" spans="1:14" x14ac:dyDescent="0.3">
      <c r="A440" t="s">
        <v>272</v>
      </c>
      <c r="B440" t="s">
        <v>273</v>
      </c>
      <c r="C440">
        <v>372</v>
      </c>
      <c r="D440" t="s">
        <v>18</v>
      </c>
      <c r="E440">
        <v>645</v>
      </c>
      <c r="F440" t="s">
        <v>274</v>
      </c>
      <c r="G440" t="s">
        <v>285</v>
      </c>
      <c r="H440" t="s">
        <v>27</v>
      </c>
      <c r="I440">
        <v>2020</v>
      </c>
      <c r="J440">
        <v>2020</v>
      </c>
      <c r="K440" t="s">
        <v>276</v>
      </c>
      <c r="L440">
        <v>1.93</v>
      </c>
      <c r="M440" t="s">
        <v>277</v>
      </c>
      <c r="N440" t="s">
        <v>278</v>
      </c>
    </row>
    <row r="441" spans="1:14" x14ac:dyDescent="0.3">
      <c r="A441" t="s">
        <v>272</v>
      </c>
      <c r="B441" t="s">
        <v>273</v>
      </c>
      <c r="C441">
        <v>372</v>
      </c>
      <c r="D441" t="s">
        <v>18</v>
      </c>
      <c r="E441">
        <v>645</v>
      </c>
      <c r="F441" t="s">
        <v>274</v>
      </c>
      <c r="G441" t="s">
        <v>285</v>
      </c>
      <c r="H441" t="s">
        <v>27</v>
      </c>
      <c r="I441">
        <v>2021</v>
      </c>
      <c r="J441">
        <v>2021</v>
      </c>
      <c r="K441" t="s">
        <v>276</v>
      </c>
      <c r="L441">
        <v>0</v>
      </c>
      <c r="M441" t="s">
        <v>277</v>
      </c>
      <c r="N441" t="s">
        <v>278</v>
      </c>
    </row>
    <row r="442" spans="1:14" x14ac:dyDescent="0.3">
      <c r="A442" t="s">
        <v>272</v>
      </c>
      <c r="B442" t="s">
        <v>273</v>
      </c>
      <c r="C442">
        <v>372</v>
      </c>
      <c r="D442" t="s">
        <v>18</v>
      </c>
      <c r="E442">
        <v>645</v>
      </c>
      <c r="F442" t="s">
        <v>274</v>
      </c>
      <c r="G442" t="s">
        <v>286</v>
      </c>
      <c r="H442" t="s">
        <v>31</v>
      </c>
      <c r="I442">
        <v>2017</v>
      </c>
      <c r="J442">
        <v>2017</v>
      </c>
      <c r="K442" t="s">
        <v>276</v>
      </c>
      <c r="L442">
        <v>4.08</v>
      </c>
      <c r="M442" t="s">
        <v>277</v>
      </c>
      <c r="N442" t="s">
        <v>278</v>
      </c>
    </row>
    <row r="443" spans="1:14" x14ac:dyDescent="0.3">
      <c r="A443" t="s">
        <v>272</v>
      </c>
      <c r="B443" t="s">
        <v>273</v>
      </c>
      <c r="C443">
        <v>372</v>
      </c>
      <c r="D443" t="s">
        <v>18</v>
      </c>
      <c r="E443">
        <v>645</v>
      </c>
      <c r="F443" t="s">
        <v>274</v>
      </c>
      <c r="G443" t="s">
        <v>286</v>
      </c>
      <c r="H443" t="s">
        <v>31</v>
      </c>
      <c r="I443">
        <v>2018</v>
      </c>
      <c r="J443">
        <v>2018</v>
      </c>
      <c r="K443" t="s">
        <v>276</v>
      </c>
      <c r="L443">
        <v>4.1399999999999997</v>
      </c>
      <c r="M443" t="s">
        <v>277</v>
      </c>
      <c r="N443" t="s">
        <v>278</v>
      </c>
    </row>
    <row r="444" spans="1:14" x14ac:dyDescent="0.3">
      <c r="A444" t="s">
        <v>272</v>
      </c>
      <c r="B444" t="s">
        <v>273</v>
      </c>
      <c r="C444">
        <v>372</v>
      </c>
      <c r="D444" t="s">
        <v>18</v>
      </c>
      <c r="E444">
        <v>645</v>
      </c>
      <c r="F444" t="s">
        <v>274</v>
      </c>
      <c r="G444" t="s">
        <v>286</v>
      </c>
      <c r="H444" t="s">
        <v>31</v>
      </c>
      <c r="I444">
        <v>2019</v>
      </c>
      <c r="J444">
        <v>2019</v>
      </c>
      <c r="K444" t="s">
        <v>276</v>
      </c>
      <c r="L444">
        <v>4.1399999999999997</v>
      </c>
      <c r="M444" t="s">
        <v>277</v>
      </c>
      <c r="N444" t="s">
        <v>278</v>
      </c>
    </row>
    <row r="445" spans="1:14" x14ac:dyDescent="0.3">
      <c r="A445" t="s">
        <v>272</v>
      </c>
      <c r="B445" t="s">
        <v>273</v>
      </c>
      <c r="C445">
        <v>372</v>
      </c>
      <c r="D445" t="s">
        <v>18</v>
      </c>
      <c r="E445">
        <v>645</v>
      </c>
      <c r="F445" t="s">
        <v>274</v>
      </c>
      <c r="G445" t="s">
        <v>286</v>
      </c>
      <c r="H445" t="s">
        <v>31</v>
      </c>
      <c r="I445">
        <v>2020</v>
      </c>
      <c r="J445">
        <v>2020</v>
      </c>
      <c r="K445" t="s">
        <v>276</v>
      </c>
      <c r="L445">
        <v>4.3499999999999996</v>
      </c>
      <c r="M445" t="s">
        <v>277</v>
      </c>
      <c r="N445" t="s">
        <v>278</v>
      </c>
    </row>
    <row r="446" spans="1:14" x14ac:dyDescent="0.3">
      <c r="A446" t="s">
        <v>272</v>
      </c>
      <c r="B446" t="s">
        <v>273</v>
      </c>
      <c r="C446">
        <v>372</v>
      </c>
      <c r="D446" t="s">
        <v>18</v>
      </c>
      <c r="E446">
        <v>645</v>
      </c>
      <c r="F446" t="s">
        <v>274</v>
      </c>
      <c r="G446" t="s">
        <v>286</v>
      </c>
      <c r="H446" t="s">
        <v>31</v>
      </c>
      <c r="I446">
        <v>2021</v>
      </c>
      <c r="J446">
        <v>2021</v>
      </c>
      <c r="K446" t="s">
        <v>276</v>
      </c>
      <c r="L446">
        <v>4.25</v>
      </c>
      <c r="M446" t="s">
        <v>277</v>
      </c>
      <c r="N446" t="s">
        <v>278</v>
      </c>
    </row>
    <row r="447" spans="1:14" x14ac:dyDescent="0.3">
      <c r="A447" t="s">
        <v>272</v>
      </c>
      <c r="B447" t="s">
        <v>273</v>
      </c>
      <c r="C447">
        <v>372</v>
      </c>
      <c r="D447" t="s">
        <v>18</v>
      </c>
      <c r="E447">
        <v>645</v>
      </c>
      <c r="F447" t="s">
        <v>274</v>
      </c>
      <c r="G447" t="s">
        <v>288</v>
      </c>
      <c r="H447" t="s">
        <v>33</v>
      </c>
      <c r="I447">
        <v>2017</v>
      </c>
      <c r="J447">
        <v>2017</v>
      </c>
      <c r="K447" t="s">
        <v>276</v>
      </c>
      <c r="L447">
        <v>0.04</v>
      </c>
      <c r="M447" t="s">
        <v>277</v>
      </c>
      <c r="N447" t="s">
        <v>278</v>
      </c>
    </row>
    <row r="448" spans="1:14" x14ac:dyDescent="0.3">
      <c r="A448" t="s">
        <v>272</v>
      </c>
      <c r="B448" t="s">
        <v>273</v>
      </c>
      <c r="C448">
        <v>372</v>
      </c>
      <c r="D448" t="s">
        <v>18</v>
      </c>
      <c r="E448">
        <v>645</v>
      </c>
      <c r="F448" t="s">
        <v>274</v>
      </c>
      <c r="G448" t="s">
        <v>288</v>
      </c>
      <c r="H448" t="s">
        <v>33</v>
      </c>
      <c r="I448">
        <v>2018</v>
      </c>
      <c r="J448">
        <v>2018</v>
      </c>
      <c r="K448" t="s">
        <v>276</v>
      </c>
      <c r="L448">
        <v>0.06</v>
      </c>
      <c r="M448" t="s">
        <v>277</v>
      </c>
      <c r="N448" t="s">
        <v>278</v>
      </c>
    </row>
    <row r="449" spans="1:14" x14ac:dyDescent="0.3">
      <c r="A449" t="s">
        <v>272</v>
      </c>
      <c r="B449" t="s">
        <v>273</v>
      </c>
      <c r="C449">
        <v>372</v>
      </c>
      <c r="D449" t="s">
        <v>18</v>
      </c>
      <c r="E449">
        <v>645</v>
      </c>
      <c r="F449" t="s">
        <v>274</v>
      </c>
      <c r="G449" t="s">
        <v>288</v>
      </c>
      <c r="H449" t="s">
        <v>33</v>
      </c>
      <c r="I449">
        <v>2019</v>
      </c>
      <c r="J449">
        <v>2019</v>
      </c>
      <c r="K449" t="s">
        <v>276</v>
      </c>
      <c r="L449">
        <v>0.02</v>
      </c>
      <c r="M449" t="s">
        <v>277</v>
      </c>
      <c r="N449" t="s">
        <v>278</v>
      </c>
    </row>
    <row r="450" spans="1:14" x14ac:dyDescent="0.3">
      <c r="A450" t="s">
        <v>272</v>
      </c>
      <c r="B450" t="s">
        <v>273</v>
      </c>
      <c r="C450">
        <v>372</v>
      </c>
      <c r="D450" t="s">
        <v>18</v>
      </c>
      <c r="E450">
        <v>645</v>
      </c>
      <c r="F450" t="s">
        <v>274</v>
      </c>
      <c r="G450" t="s">
        <v>288</v>
      </c>
      <c r="H450" t="s">
        <v>33</v>
      </c>
      <c r="I450">
        <v>2020</v>
      </c>
      <c r="J450">
        <v>2020</v>
      </c>
      <c r="K450" t="s">
        <v>276</v>
      </c>
      <c r="L450">
        <v>0.02</v>
      </c>
      <c r="M450" t="s">
        <v>277</v>
      </c>
      <c r="N450" t="s">
        <v>278</v>
      </c>
    </row>
    <row r="451" spans="1:14" x14ac:dyDescent="0.3">
      <c r="A451" t="s">
        <v>272</v>
      </c>
      <c r="B451" t="s">
        <v>273</v>
      </c>
      <c r="C451">
        <v>372</v>
      </c>
      <c r="D451" t="s">
        <v>18</v>
      </c>
      <c r="E451">
        <v>645</v>
      </c>
      <c r="F451" t="s">
        <v>274</v>
      </c>
      <c r="G451" t="s">
        <v>288</v>
      </c>
      <c r="H451" t="s">
        <v>33</v>
      </c>
      <c r="I451">
        <v>2021</v>
      </c>
      <c r="J451">
        <v>2021</v>
      </c>
      <c r="K451" t="s">
        <v>276</v>
      </c>
      <c r="L451">
        <v>0.02</v>
      </c>
      <c r="M451" t="s">
        <v>277</v>
      </c>
      <c r="N451" t="s">
        <v>278</v>
      </c>
    </row>
    <row r="452" spans="1:14" x14ac:dyDescent="0.3">
      <c r="A452" t="s">
        <v>272</v>
      </c>
      <c r="B452" t="s">
        <v>273</v>
      </c>
      <c r="C452">
        <v>372</v>
      </c>
      <c r="D452" t="s">
        <v>18</v>
      </c>
      <c r="E452">
        <v>645</v>
      </c>
      <c r="F452" t="s">
        <v>274</v>
      </c>
      <c r="G452" t="s">
        <v>289</v>
      </c>
      <c r="H452" t="s">
        <v>30</v>
      </c>
      <c r="I452">
        <v>2017</v>
      </c>
      <c r="J452">
        <v>2017</v>
      </c>
      <c r="K452" t="s">
        <v>276</v>
      </c>
      <c r="L452">
        <v>12.2</v>
      </c>
      <c r="M452" t="s">
        <v>277</v>
      </c>
      <c r="N452" t="s">
        <v>278</v>
      </c>
    </row>
    <row r="453" spans="1:14" x14ac:dyDescent="0.3">
      <c r="A453" t="s">
        <v>272</v>
      </c>
      <c r="B453" t="s">
        <v>273</v>
      </c>
      <c r="C453">
        <v>372</v>
      </c>
      <c r="D453" t="s">
        <v>18</v>
      </c>
      <c r="E453">
        <v>645</v>
      </c>
      <c r="F453" t="s">
        <v>274</v>
      </c>
      <c r="G453" t="s">
        <v>289</v>
      </c>
      <c r="H453" t="s">
        <v>30</v>
      </c>
      <c r="I453">
        <v>2018</v>
      </c>
      <c r="J453">
        <v>2018</v>
      </c>
      <c r="K453" t="s">
        <v>276</v>
      </c>
      <c r="L453">
        <v>11.34</v>
      </c>
      <c r="M453" t="s">
        <v>277</v>
      </c>
      <c r="N453" t="s">
        <v>278</v>
      </c>
    </row>
    <row r="454" spans="1:14" x14ac:dyDescent="0.3">
      <c r="A454" t="s">
        <v>272</v>
      </c>
      <c r="B454" t="s">
        <v>273</v>
      </c>
      <c r="C454">
        <v>372</v>
      </c>
      <c r="D454" t="s">
        <v>18</v>
      </c>
      <c r="E454">
        <v>645</v>
      </c>
      <c r="F454" t="s">
        <v>274</v>
      </c>
      <c r="G454" t="s">
        <v>289</v>
      </c>
      <c r="H454" t="s">
        <v>30</v>
      </c>
      <c r="I454">
        <v>2019</v>
      </c>
      <c r="J454">
        <v>2019</v>
      </c>
      <c r="K454" t="s">
        <v>276</v>
      </c>
      <c r="L454">
        <v>12.36</v>
      </c>
      <c r="M454" t="s">
        <v>277</v>
      </c>
      <c r="N454" t="s">
        <v>278</v>
      </c>
    </row>
    <row r="455" spans="1:14" x14ac:dyDescent="0.3">
      <c r="A455" t="s">
        <v>272</v>
      </c>
      <c r="B455" t="s">
        <v>273</v>
      </c>
      <c r="C455">
        <v>372</v>
      </c>
      <c r="D455" t="s">
        <v>18</v>
      </c>
      <c r="E455">
        <v>645</v>
      </c>
      <c r="F455" t="s">
        <v>274</v>
      </c>
      <c r="G455" t="s">
        <v>289</v>
      </c>
      <c r="H455" t="s">
        <v>30</v>
      </c>
      <c r="I455">
        <v>2020</v>
      </c>
      <c r="J455">
        <v>2020</v>
      </c>
      <c r="K455" t="s">
        <v>276</v>
      </c>
      <c r="L455">
        <v>12.45</v>
      </c>
      <c r="M455" t="s">
        <v>277</v>
      </c>
      <c r="N455" t="s">
        <v>278</v>
      </c>
    </row>
    <row r="456" spans="1:14" x14ac:dyDescent="0.3">
      <c r="A456" t="s">
        <v>272</v>
      </c>
      <c r="B456" t="s">
        <v>273</v>
      </c>
      <c r="C456">
        <v>372</v>
      </c>
      <c r="D456" t="s">
        <v>18</v>
      </c>
      <c r="E456">
        <v>645</v>
      </c>
      <c r="F456" t="s">
        <v>274</v>
      </c>
      <c r="G456" t="s">
        <v>289</v>
      </c>
      <c r="H456" t="s">
        <v>30</v>
      </c>
      <c r="I456">
        <v>2021</v>
      </c>
      <c r="J456">
        <v>2021</v>
      </c>
      <c r="K456" t="s">
        <v>276</v>
      </c>
      <c r="L456">
        <v>10.11</v>
      </c>
      <c r="M456" t="s">
        <v>277</v>
      </c>
      <c r="N456" t="s">
        <v>278</v>
      </c>
    </row>
    <row r="457" spans="1:14" x14ac:dyDescent="0.3">
      <c r="A457" t="s">
        <v>272</v>
      </c>
      <c r="B457" t="s">
        <v>273</v>
      </c>
      <c r="C457">
        <v>372</v>
      </c>
      <c r="D457" t="s">
        <v>18</v>
      </c>
      <c r="E457">
        <v>645</v>
      </c>
      <c r="F457" t="s">
        <v>274</v>
      </c>
      <c r="G457" t="s">
        <v>290</v>
      </c>
      <c r="H457" t="s">
        <v>37</v>
      </c>
      <c r="I457">
        <v>2017</v>
      </c>
      <c r="J457">
        <v>2017</v>
      </c>
      <c r="K457" t="s">
        <v>276</v>
      </c>
      <c r="L457">
        <v>329.6</v>
      </c>
      <c r="M457" t="s">
        <v>277</v>
      </c>
      <c r="N457" t="s">
        <v>278</v>
      </c>
    </row>
    <row r="458" spans="1:14" x14ac:dyDescent="0.3">
      <c r="A458" t="s">
        <v>272</v>
      </c>
      <c r="B458" t="s">
        <v>273</v>
      </c>
      <c r="C458">
        <v>372</v>
      </c>
      <c r="D458" t="s">
        <v>18</v>
      </c>
      <c r="E458">
        <v>645</v>
      </c>
      <c r="F458" t="s">
        <v>274</v>
      </c>
      <c r="G458" t="s">
        <v>290</v>
      </c>
      <c r="H458" t="s">
        <v>37</v>
      </c>
      <c r="I458">
        <v>2018</v>
      </c>
      <c r="J458">
        <v>2018</v>
      </c>
      <c r="K458" t="s">
        <v>276</v>
      </c>
      <c r="L458">
        <v>332.92</v>
      </c>
      <c r="M458" t="s">
        <v>277</v>
      </c>
      <c r="N458" t="s">
        <v>278</v>
      </c>
    </row>
    <row r="459" spans="1:14" x14ac:dyDescent="0.3">
      <c r="A459" t="s">
        <v>272</v>
      </c>
      <c r="B459" t="s">
        <v>273</v>
      </c>
      <c r="C459">
        <v>372</v>
      </c>
      <c r="D459" t="s">
        <v>18</v>
      </c>
      <c r="E459">
        <v>645</v>
      </c>
      <c r="F459" t="s">
        <v>274</v>
      </c>
      <c r="G459" t="s">
        <v>290</v>
      </c>
      <c r="H459" t="s">
        <v>37</v>
      </c>
      <c r="I459">
        <v>2019</v>
      </c>
      <c r="J459">
        <v>2019</v>
      </c>
      <c r="K459" t="s">
        <v>276</v>
      </c>
      <c r="L459">
        <v>214.71</v>
      </c>
      <c r="M459" t="s">
        <v>277</v>
      </c>
      <c r="N459" t="s">
        <v>278</v>
      </c>
    </row>
    <row r="460" spans="1:14" x14ac:dyDescent="0.3">
      <c r="A460" t="s">
        <v>272</v>
      </c>
      <c r="B460" t="s">
        <v>273</v>
      </c>
      <c r="C460">
        <v>372</v>
      </c>
      <c r="D460" t="s">
        <v>18</v>
      </c>
      <c r="E460">
        <v>645</v>
      </c>
      <c r="F460" t="s">
        <v>274</v>
      </c>
      <c r="G460" t="s">
        <v>290</v>
      </c>
      <c r="H460" t="s">
        <v>37</v>
      </c>
      <c r="I460">
        <v>2020</v>
      </c>
      <c r="J460">
        <v>2020</v>
      </c>
      <c r="K460" t="s">
        <v>276</v>
      </c>
      <c r="L460">
        <v>249.9</v>
      </c>
      <c r="M460" t="s">
        <v>277</v>
      </c>
      <c r="N460" t="s">
        <v>278</v>
      </c>
    </row>
    <row r="461" spans="1:14" x14ac:dyDescent="0.3">
      <c r="A461" t="s">
        <v>272</v>
      </c>
      <c r="B461" t="s">
        <v>273</v>
      </c>
      <c r="C461">
        <v>372</v>
      </c>
      <c r="D461" t="s">
        <v>18</v>
      </c>
      <c r="E461">
        <v>645</v>
      </c>
      <c r="F461" t="s">
        <v>274</v>
      </c>
      <c r="G461" t="s">
        <v>290</v>
      </c>
      <c r="H461" t="s">
        <v>37</v>
      </c>
      <c r="I461">
        <v>2021</v>
      </c>
      <c r="J461">
        <v>2021</v>
      </c>
      <c r="K461" t="s">
        <v>276</v>
      </c>
      <c r="L461">
        <v>316.31</v>
      </c>
      <c r="M461" t="s">
        <v>277</v>
      </c>
      <c r="N461" t="s">
        <v>278</v>
      </c>
    </row>
    <row r="462" spans="1:14" x14ac:dyDescent="0.3">
      <c r="A462" t="s">
        <v>272</v>
      </c>
      <c r="B462" t="s">
        <v>273</v>
      </c>
      <c r="C462">
        <v>372</v>
      </c>
      <c r="D462" t="s">
        <v>18</v>
      </c>
      <c r="E462">
        <v>645</v>
      </c>
      <c r="F462" t="s">
        <v>274</v>
      </c>
      <c r="G462" t="s">
        <v>291</v>
      </c>
      <c r="H462" t="s">
        <v>34</v>
      </c>
      <c r="I462">
        <v>2017</v>
      </c>
      <c r="J462">
        <v>2017</v>
      </c>
      <c r="K462" t="s">
        <v>276</v>
      </c>
      <c r="L462">
        <v>3.67</v>
      </c>
      <c r="M462" t="s">
        <v>277</v>
      </c>
      <c r="N462" t="s">
        <v>278</v>
      </c>
    </row>
    <row r="463" spans="1:14" x14ac:dyDescent="0.3">
      <c r="A463" t="s">
        <v>272</v>
      </c>
      <c r="B463" t="s">
        <v>273</v>
      </c>
      <c r="C463">
        <v>372</v>
      </c>
      <c r="D463" t="s">
        <v>18</v>
      </c>
      <c r="E463">
        <v>645</v>
      </c>
      <c r="F463" t="s">
        <v>274</v>
      </c>
      <c r="G463" t="s">
        <v>291</v>
      </c>
      <c r="H463" t="s">
        <v>34</v>
      </c>
      <c r="I463">
        <v>2018</v>
      </c>
      <c r="J463">
        <v>2018</v>
      </c>
      <c r="K463" t="s">
        <v>276</v>
      </c>
      <c r="L463">
        <v>3.36</v>
      </c>
      <c r="M463" t="s">
        <v>277</v>
      </c>
      <c r="N463" t="s">
        <v>278</v>
      </c>
    </row>
    <row r="464" spans="1:14" x14ac:dyDescent="0.3">
      <c r="A464" t="s">
        <v>272</v>
      </c>
      <c r="B464" t="s">
        <v>273</v>
      </c>
      <c r="C464">
        <v>372</v>
      </c>
      <c r="D464" t="s">
        <v>18</v>
      </c>
      <c r="E464">
        <v>645</v>
      </c>
      <c r="F464" t="s">
        <v>274</v>
      </c>
      <c r="G464" t="s">
        <v>291</v>
      </c>
      <c r="H464" t="s">
        <v>34</v>
      </c>
      <c r="I464">
        <v>2019</v>
      </c>
      <c r="J464">
        <v>2019</v>
      </c>
      <c r="K464" t="s">
        <v>276</v>
      </c>
      <c r="L464">
        <v>2.67</v>
      </c>
      <c r="M464" t="s">
        <v>277</v>
      </c>
      <c r="N464" t="s">
        <v>278</v>
      </c>
    </row>
    <row r="465" spans="1:14" x14ac:dyDescent="0.3">
      <c r="A465" t="s">
        <v>272</v>
      </c>
      <c r="B465" t="s">
        <v>273</v>
      </c>
      <c r="C465">
        <v>372</v>
      </c>
      <c r="D465" t="s">
        <v>18</v>
      </c>
      <c r="E465">
        <v>645</v>
      </c>
      <c r="F465" t="s">
        <v>274</v>
      </c>
      <c r="G465" t="s">
        <v>291</v>
      </c>
      <c r="H465" t="s">
        <v>34</v>
      </c>
      <c r="I465">
        <v>2020</v>
      </c>
      <c r="J465">
        <v>2020</v>
      </c>
      <c r="K465" t="s">
        <v>276</v>
      </c>
      <c r="L465">
        <v>2.64</v>
      </c>
      <c r="M465" t="s">
        <v>277</v>
      </c>
      <c r="N465" t="s">
        <v>278</v>
      </c>
    </row>
    <row r="466" spans="1:14" x14ac:dyDescent="0.3">
      <c r="A466" t="s">
        <v>272</v>
      </c>
      <c r="B466" t="s">
        <v>273</v>
      </c>
      <c r="C466">
        <v>372</v>
      </c>
      <c r="D466" t="s">
        <v>18</v>
      </c>
      <c r="E466">
        <v>645</v>
      </c>
      <c r="F466" t="s">
        <v>274</v>
      </c>
      <c r="G466" t="s">
        <v>291</v>
      </c>
      <c r="H466" t="s">
        <v>34</v>
      </c>
      <c r="I466">
        <v>2021</v>
      </c>
      <c r="J466">
        <v>2021</v>
      </c>
      <c r="K466" t="s">
        <v>276</v>
      </c>
      <c r="L466">
        <v>2.62</v>
      </c>
      <c r="M466" t="s">
        <v>277</v>
      </c>
      <c r="N466" t="s">
        <v>278</v>
      </c>
    </row>
    <row r="467" spans="1:14" x14ac:dyDescent="0.3">
      <c r="A467" t="s">
        <v>272</v>
      </c>
      <c r="B467" t="s">
        <v>273</v>
      </c>
      <c r="C467">
        <v>372</v>
      </c>
      <c r="D467" t="s">
        <v>18</v>
      </c>
      <c r="E467">
        <v>645</v>
      </c>
      <c r="F467" t="s">
        <v>274</v>
      </c>
      <c r="G467" t="s">
        <v>292</v>
      </c>
      <c r="H467" t="s">
        <v>29</v>
      </c>
      <c r="I467">
        <v>2017</v>
      </c>
      <c r="J467">
        <v>2017</v>
      </c>
      <c r="K467" t="s">
        <v>276</v>
      </c>
      <c r="L467">
        <v>7.32</v>
      </c>
      <c r="M467" t="s">
        <v>277</v>
      </c>
      <c r="N467" t="s">
        <v>278</v>
      </c>
    </row>
    <row r="468" spans="1:14" x14ac:dyDescent="0.3">
      <c r="A468" t="s">
        <v>272</v>
      </c>
      <c r="B468" t="s">
        <v>273</v>
      </c>
      <c r="C468">
        <v>372</v>
      </c>
      <c r="D468" t="s">
        <v>18</v>
      </c>
      <c r="E468">
        <v>645</v>
      </c>
      <c r="F468" t="s">
        <v>274</v>
      </c>
      <c r="G468" t="s">
        <v>292</v>
      </c>
      <c r="H468" t="s">
        <v>29</v>
      </c>
      <c r="I468">
        <v>2018</v>
      </c>
      <c r="J468">
        <v>2018</v>
      </c>
      <c r="K468" t="s">
        <v>276</v>
      </c>
      <c r="L468">
        <v>8.89</v>
      </c>
      <c r="M468" t="s">
        <v>277</v>
      </c>
      <c r="N468" t="s">
        <v>278</v>
      </c>
    </row>
    <row r="469" spans="1:14" x14ac:dyDescent="0.3">
      <c r="A469" t="s">
        <v>272</v>
      </c>
      <c r="B469" t="s">
        <v>273</v>
      </c>
      <c r="C469">
        <v>372</v>
      </c>
      <c r="D469" t="s">
        <v>18</v>
      </c>
      <c r="E469">
        <v>645</v>
      </c>
      <c r="F469" t="s">
        <v>274</v>
      </c>
      <c r="G469" t="s">
        <v>292</v>
      </c>
      <c r="H469" t="s">
        <v>29</v>
      </c>
      <c r="I469">
        <v>2019</v>
      </c>
      <c r="J469">
        <v>2019</v>
      </c>
      <c r="K469" t="s">
        <v>276</v>
      </c>
      <c r="L469">
        <v>10.19</v>
      </c>
      <c r="M469" t="s">
        <v>277</v>
      </c>
      <c r="N469" t="s">
        <v>278</v>
      </c>
    </row>
    <row r="470" spans="1:14" x14ac:dyDescent="0.3">
      <c r="A470" t="s">
        <v>272</v>
      </c>
      <c r="B470" t="s">
        <v>273</v>
      </c>
      <c r="C470">
        <v>372</v>
      </c>
      <c r="D470" t="s">
        <v>18</v>
      </c>
      <c r="E470">
        <v>645</v>
      </c>
      <c r="F470" t="s">
        <v>274</v>
      </c>
      <c r="G470" t="s">
        <v>292</v>
      </c>
      <c r="H470" t="s">
        <v>29</v>
      </c>
      <c r="I470">
        <v>2020</v>
      </c>
      <c r="J470">
        <v>2020</v>
      </c>
      <c r="K470" t="s">
        <v>276</v>
      </c>
      <c r="L470">
        <v>10.08</v>
      </c>
      <c r="M470" t="s">
        <v>277</v>
      </c>
      <c r="N470" t="s">
        <v>278</v>
      </c>
    </row>
    <row r="471" spans="1:14" x14ac:dyDescent="0.3">
      <c r="A471" t="s">
        <v>272</v>
      </c>
      <c r="B471" t="s">
        <v>273</v>
      </c>
      <c r="C471">
        <v>372</v>
      </c>
      <c r="D471" t="s">
        <v>18</v>
      </c>
      <c r="E471">
        <v>645</v>
      </c>
      <c r="F471" t="s">
        <v>274</v>
      </c>
      <c r="G471" t="s">
        <v>292</v>
      </c>
      <c r="H471" t="s">
        <v>29</v>
      </c>
      <c r="I471">
        <v>2021</v>
      </c>
      <c r="J471">
        <v>2021</v>
      </c>
      <c r="K471" t="s">
        <v>276</v>
      </c>
      <c r="L471">
        <v>10</v>
      </c>
      <c r="M471" t="s">
        <v>277</v>
      </c>
      <c r="N471" t="s">
        <v>278</v>
      </c>
    </row>
    <row r="472" spans="1:14" x14ac:dyDescent="0.3">
      <c r="A472" t="s">
        <v>272</v>
      </c>
      <c r="B472" t="s">
        <v>273</v>
      </c>
      <c r="C472">
        <v>372</v>
      </c>
      <c r="D472" t="s">
        <v>18</v>
      </c>
      <c r="E472">
        <v>645</v>
      </c>
      <c r="F472" t="s">
        <v>274</v>
      </c>
      <c r="G472" t="s">
        <v>293</v>
      </c>
      <c r="H472" t="s">
        <v>41</v>
      </c>
      <c r="I472">
        <v>2017</v>
      </c>
      <c r="J472">
        <v>2017</v>
      </c>
      <c r="K472" t="s">
        <v>276</v>
      </c>
      <c r="L472">
        <v>10.96</v>
      </c>
      <c r="M472" t="s">
        <v>277</v>
      </c>
      <c r="N472" t="s">
        <v>278</v>
      </c>
    </row>
    <row r="473" spans="1:14" x14ac:dyDescent="0.3">
      <c r="A473" t="s">
        <v>272</v>
      </c>
      <c r="B473" t="s">
        <v>273</v>
      </c>
      <c r="C473">
        <v>372</v>
      </c>
      <c r="D473" t="s">
        <v>18</v>
      </c>
      <c r="E473">
        <v>645</v>
      </c>
      <c r="F473" t="s">
        <v>274</v>
      </c>
      <c r="G473" t="s">
        <v>293</v>
      </c>
      <c r="H473" t="s">
        <v>41</v>
      </c>
      <c r="I473">
        <v>2018</v>
      </c>
      <c r="J473">
        <v>2018</v>
      </c>
      <c r="K473" t="s">
        <v>276</v>
      </c>
      <c r="L473">
        <v>4.9400000000000004</v>
      </c>
      <c r="M473" t="s">
        <v>277</v>
      </c>
      <c r="N473" t="s">
        <v>278</v>
      </c>
    </row>
    <row r="474" spans="1:14" x14ac:dyDescent="0.3">
      <c r="A474" t="s">
        <v>272</v>
      </c>
      <c r="B474" t="s">
        <v>273</v>
      </c>
      <c r="C474">
        <v>372</v>
      </c>
      <c r="D474" t="s">
        <v>18</v>
      </c>
      <c r="E474">
        <v>645</v>
      </c>
      <c r="F474" t="s">
        <v>274</v>
      </c>
      <c r="G474" t="s">
        <v>293</v>
      </c>
      <c r="H474" t="s">
        <v>41</v>
      </c>
      <c r="I474">
        <v>2019</v>
      </c>
      <c r="J474">
        <v>2019</v>
      </c>
      <c r="K474" t="s">
        <v>276</v>
      </c>
      <c r="L474">
        <v>5.59</v>
      </c>
      <c r="M474" t="s">
        <v>277</v>
      </c>
      <c r="N474" t="s">
        <v>278</v>
      </c>
    </row>
    <row r="475" spans="1:14" x14ac:dyDescent="0.3">
      <c r="A475" t="s">
        <v>272</v>
      </c>
      <c r="B475" t="s">
        <v>273</v>
      </c>
      <c r="C475">
        <v>372</v>
      </c>
      <c r="D475" t="s">
        <v>18</v>
      </c>
      <c r="E475">
        <v>645</v>
      </c>
      <c r="F475" t="s">
        <v>274</v>
      </c>
      <c r="G475" t="s">
        <v>293</v>
      </c>
      <c r="H475" t="s">
        <v>41</v>
      </c>
      <c r="I475">
        <v>2020</v>
      </c>
      <c r="J475">
        <v>2020</v>
      </c>
      <c r="K475" t="s">
        <v>276</v>
      </c>
      <c r="L475">
        <v>5.53</v>
      </c>
      <c r="M475" t="s">
        <v>277</v>
      </c>
      <c r="N475" t="s">
        <v>278</v>
      </c>
    </row>
    <row r="476" spans="1:14" x14ac:dyDescent="0.3">
      <c r="A476" t="s">
        <v>272</v>
      </c>
      <c r="B476" t="s">
        <v>273</v>
      </c>
      <c r="C476">
        <v>372</v>
      </c>
      <c r="D476" t="s">
        <v>18</v>
      </c>
      <c r="E476">
        <v>645</v>
      </c>
      <c r="F476" t="s">
        <v>274</v>
      </c>
      <c r="G476" t="s">
        <v>293</v>
      </c>
      <c r="H476" t="s">
        <v>41</v>
      </c>
      <c r="I476">
        <v>2021</v>
      </c>
      <c r="J476">
        <v>2021</v>
      </c>
      <c r="K476" t="s">
        <v>276</v>
      </c>
      <c r="L476">
        <v>5.49</v>
      </c>
      <c r="M476" t="s">
        <v>277</v>
      </c>
      <c r="N476" t="s">
        <v>278</v>
      </c>
    </row>
    <row r="477" spans="1:14" x14ac:dyDescent="0.3">
      <c r="A477" t="s">
        <v>272</v>
      </c>
      <c r="B477" t="s">
        <v>273</v>
      </c>
      <c r="C477">
        <v>372</v>
      </c>
      <c r="D477" t="s">
        <v>18</v>
      </c>
      <c r="E477">
        <v>645</v>
      </c>
      <c r="F477" t="s">
        <v>274</v>
      </c>
      <c r="G477" t="s">
        <v>294</v>
      </c>
      <c r="H477" t="s">
        <v>35</v>
      </c>
      <c r="I477">
        <v>2017</v>
      </c>
      <c r="J477">
        <v>2017</v>
      </c>
      <c r="K477" t="s">
        <v>276</v>
      </c>
      <c r="L477">
        <v>0</v>
      </c>
      <c r="M477" t="s">
        <v>277</v>
      </c>
      <c r="N477" t="s">
        <v>278</v>
      </c>
    </row>
    <row r="478" spans="1:14" x14ac:dyDescent="0.3">
      <c r="A478" t="s">
        <v>272</v>
      </c>
      <c r="B478" t="s">
        <v>273</v>
      </c>
      <c r="C478">
        <v>372</v>
      </c>
      <c r="D478" t="s">
        <v>18</v>
      </c>
      <c r="E478">
        <v>645</v>
      </c>
      <c r="F478" t="s">
        <v>274</v>
      </c>
      <c r="G478" t="s">
        <v>294</v>
      </c>
      <c r="H478" t="s">
        <v>35</v>
      </c>
      <c r="I478">
        <v>2018</v>
      </c>
      <c r="J478">
        <v>2018</v>
      </c>
      <c r="K478" t="s">
        <v>276</v>
      </c>
      <c r="L478">
        <v>0</v>
      </c>
      <c r="M478" t="s">
        <v>277</v>
      </c>
      <c r="N478" t="s">
        <v>278</v>
      </c>
    </row>
    <row r="479" spans="1:14" x14ac:dyDescent="0.3">
      <c r="A479" t="s">
        <v>272</v>
      </c>
      <c r="B479" t="s">
        <v>273</v>
      </c>
      <c r="C479">
        <v>372</v>
      </c>
      <c r="D479" t="s">
        <v>18</v>
      </c>
      <c r="E479">
        <v>645</v>
      </c>
      <c r="F479" t="s">
        <v>274</v>
      </c>
      <c r="G479" t="s">
        <v>294</v>
      </c>
      <c r="H479" t="s">
        <v>35</v>
      </c>
      <c r="I479">
        <v>2019</v>
      </c>
      <c r="J479">
        <v>2019</v>
      </c>
      <c r="K479" t="s">
        <v>276</v>
      </c>
      <c r="L479">
        <v>0.02</v>
      </c>
      <c r="M479" t="s">
        <v>277</v>
      </c>
      <c r="N479" t="s">
        <v>278</v>
      </c>
    </row>
    <row r="480" spans="1:14" x14ac:dyDescent="0.3">
      <c r="A480" t="s">
        <v>272</v>
      </c>
      <c r="B480" t="s">
        <v>273</v>
      </c>
      <c r="C480">
        <v>372</v>
      </c>
      <c r="D480" t="s">
        <v>18</v>
      </c>
      <c r="E480">
        <v>645</v>
      </c>
      <c r="F480" t="s">
        <v>274</v>
      </c>
      <c r="G480" t="s">
        <v>294</v>
      </c>
      <c r="H480" t="s">
        <v>35</v>
      </c>
      <c r="I480">
        <v>2020</v>
      </c>
      <c r="J480">
        <v>2020</v>
      </c>
      <c r="K480" t="s">
        <v>276</v>
      </c>
      <c r="L480">
        <v>0.02</v>
      </c>
      <c r="M480" t="s">
        <v>277</v>
      </c>
      <c r="N480" t="s">
        <v>278</v>
      </c>
    </row>
    <row r="481" spans="1:14" x14ac:dyDescent="0.3">
      <c r="A481" t="s">
        <v>272</v>
      </c>
      <c r="B481" t="s">
        <v>273</v>
      </c>
      <c r="C481">
        <v>372</v>
      </c>
      <c r="D481" t="s">
        <v>18</v>
      </c>
      <c r="E481">
        <v>645</v>
      </c>
      <c r="F481" t="s">
        <v>274</v>
      </c>
      <c r="G481" t="s">
        <v>294</v>
      </c>
      <c r="H481" t="s">
        <v>35</v>
      </c>
      <c r="I481">
        <v>2021</v>
      </c>
      <c r="J481">
        <v>2021</v>
      </c>
      <c r="K481" t="s">
        <v>276</v>
      </c>
      <c r="L481">
        <v>0.02</v>
      </c>
      <c r="M481" t="s">
        <v>277</v>
      </c>
      <c r="N481" t="s">
        <v>278</v>
      </c>
    </row>
    <row r="482" spans="1:14" x14ac:dyDescent="0.3">
      <c r="A482" t="s">
        <v>272</v>
      </c>
      <c r="B482" t="s">
        <v>273</v>
      </c>
      <c r="C482">
        <v>372</v>
      </c>
      <c r="D482" t="s">
        <v>18</v>
      </c>
      <c r="E482">
        <v>645</v>
      </c>
      <c r="F482" t="s">
        <v>274</v>
      </c>
      <c r="G482" t="s">
        <v>295</v>
      </c>
      <c r="H482" t="s">
        <v>28</v>
      </c>
      <c r="I482">
        <v>2017</v>
      </c>
      <c r="J482">
        <v>2017</v>
      </c>
      <c r="K482" t="s">
        <v>276</v>
      </c>
      <c r="L482">
        <v>0.55000000000000004</v>
      </c>
      <c r="M482" t="s">
        <v>277</v>
      </c>
      <c r="N482" t="s">
        <v>278</v>
      </c>
    </row>
    <row r="483" spans="1:14" x14ac:dyDescent="0.3">
      <c r="A483" t="s">
        <v>272</v>
      </c>
      <c r="B483" t="s">
        <v>273</v>
      </c>
      <c r="C483">
        <v>372</v>
      </c>
      <c r="D483" t="s">
        <v>18</v>
      </c>
      <c r="E483">
        <v>645</v>
      </c>
      <c r="F483" t="s">
        <v>274</v>
      </c>
      <c r="G483" t="s">
        <v>295</v>
      </c>
      <c r="H483" t="s">
        <v>28</v>
      </c>
      <c r="I483">
        <v>2018</v>
      </c>
      <c r="J483">
        <v>2018</v>
      </c>
      <c r="K483" t="s">
        <v>276</v>
      </c>
      <c r="L483">
        <v>0.63</v>
      </c>
      <c r="M483" t="s">
        <v>277</v>
      </c>
      <c r="N483" t="s">
        <v>278</v>
      </c>
    </row>
    <row r="484" spans="1:14" x14ac:dyDescent="0.3">
      <c r="A484" t="s">
        <v>272</v>
      </c>
      <c r="B484" t="s">
        <v>273</v>
      </c>
      <c r="C484">
        <v>372</v>
      </c>
      <c r="D484" t="s">
        <v>18</v>
      </c>
      <c r="E484">
        <v>645</v>
      </c>
      <c r="F484" t="s">
        <v>274</v>
      </c>
      <c r="G484" t="s">
        <v>295</v>
      </c>
      <c r="H484" t="s">
        <v>28</v>
      </c>
      <c r="I484">
        <v>2019</v>
      </c>
      <c r="J484">
        <v>2019</v>
      </c>
      <c r="K484" t="s">
        <v>276</v>
      </c>
      <c r="L484">
        <v>0.74</v>
      </c>
      <c r="M484" t="s">
        <v>277</v>
      </c>
      <c r="N484" t="s">
        <v>278</v>
      </c>
    </row>
    <row r="485" spans="1:14" x14ac:dyDescent="0.3">
      <c r="A485" t="s">
        <v>272</v>
      </c>
      <c r="B485" t="s">
        <v>273</v>
      </c>
      <c r="C485">
        <v>372</v>
      </c>
      <c r="D485" t="s">
        <v>18</v>
      </c>
      <c r="E485">
        <v>645</v>
      </c>
      <c r="F485" t="s">
        <v>274</v>
      </c>
      <c r="G485" t="s">
        <v>295</v>
      </c>
      <c r="H485" t="s">
        <v>28</v>
      </c>
      <c r="I485">
        <v>2020</v>
      </c>
      <c r="J485">
        <v>2020</v>
      </c>
      <c r="K485" t="s">
        <v>276</v>
      </c>
      <c r="L485">
        <v>0.73</v>
      </c>
      <c r="M485" t="s">
        <v>277</v>
      </c>
      <c r="N485" t="s">
        <v>278</v>
      </c>
    </row>
    <row r="486" spans="1:14" x14ac:dyDescent="0.3">
      <c r="A486" t="s">
        <v>272</v>
      </c>
      <c r="B486" t="s">
        <v>273</v>
      </c>
      <c r="C486">
        <v>372</v>
      </c>
      <c r="D486" t="s">
        <v>18</v>
      </c>
      <c r="E486">
        <v>645</v>
      </c>
      <c r="F486" t="s">
        <v>274</v>
      </c>
      <c r="G486" t="s">
        <v>295</v>
      </c>
      <c r="H486" t="s">
        <v>28</v>
      </c>
      <c r="I486">
        <v>2021</v>
      </c>
      <c r="J486">
        <v>2021</v>
      </c>
      <c r="K486" t="s">
        <v>276</v>
      </c>
      <c r="L486">
        <v>0.72</v>
      </c>
      <c r="M486" t="s">
        <v>277</v>
      </c>
      <c r="N486" t="s">
        <v>278</v>
      </c>
    </row>
    <row r="487" spans="1:14" x14ac:dyDescent="0.3">
      <c r="A487" t="s">
        <v>272</v>
      </c>
      <c r="B487" t="s">
        <v>273</v>
      </c>
      <c r="C487">
        <v>372</v>
      </c>
      <c r="D487" t="s">
        <v>18</v>
      </c>
      <c r="E487">
        <v>645</v>
      </c>
      <c r="F487" t="s">
        <v>274</v>
      </c>
      <c r="G487" t="s">
        <v>296</v>
      </c>
      <c r="H487" t="s">
        <v>26</v>
      </c>
      <c r="I487">
        <v>2017</v>
      </c>
      <c r="J487">
        <v>2017</v>
      </c>
      <c r="K487" t="s">
        <v>276</v>
      </c>
      <c r="L487">
        <v>0.13</v>
      </c>
      <c r="M487" t="s">
        <v>277</v>
      </c>
      <c r="N487" t="s">
        <v>278</v>
      </c>
    </row>
    <row r="488" spans="1:14" x14ac:dyDescent="0.3">
      <c r="A488" t="s">
        <v>272</v>
      </c>
      <c r="B488" t="s">
        <v>273</v>
      </c>
      <c r="C488">
        <v>372</v>
      </c>
      <c r="D488" t="s">
        <v>18</v>
      </c>
      <c r="E488">
        <v>645</v>
      </c>
      <c r="F488" t="s">
        <v>274</v>
      </c>
      <c r="G488" t="s">
        <v>296</v>
      </c>
      <c r="H488" t="s">
        <v>26</v>
      </c>
      <c r="I488">
        <v>2018</v>
      </c>
      <c r="J488">
        <v>2018</v>
      </c>
      <c r="K488" t="s">
        <v>276</v>
      </c>
      <c r="L488">
        <v>0.08</v>
      </c>
      <c r="M488" t="s">
        <v>277</v>
      </c>
      <c r="N488" t="s">
        <v>278</v>
      </c>
    </row>
    <row r="489" spans="1:14" x14ac:dyDescent="0.3">
      <c r="A489" t="s">
        <v>272</v>
      </c>
      <c r="B489" t="s">
        <v>273</v>
      </c>
      <c r="C489">
        <v>372</v>
      </c>
      <c r="D489" t="s">
        <v>18</v>
      </c>
      <c r="E489">
        <v>645</v>
      </c>
      <c r="F489" t="s">
        <v>274</v>
      </c>
      <c r="G489" t="s">
        <v>296</v>
      </c>
      <c r="H489" t="s">
        <v>26</v>
      </c>
      <c r="I489">
        <v>2019</v>
      </c>
      <c r="J489">
        <v>2019</v>
      </c>
      <c r="K489" t="s">
        <v>276</v>
      </c>
      <c r="L489">
        <v>0.3</v>
      </c>
      <c r="M489" t="s">
        <v>277</v>
      </c>
      <c r="N489" t="s">
        <v>278</v>
      </c>
    </row>
    <row r="490" spans="1:14" x14ac:dyDescent="0.3">
      <c r="A490" t="s">
        <v>272</v>
      </c>
      <c r="B490" t="s">
        <v>273</v>
      </c>
      <c r="C490">
        <v>372</v>
      </c>
      <c r="D490" t="s">
        <v>18</v>
      </c>
      <c r="E490">
        <v>645</v>
      </c>
      <c r="F490" t="s">
        <v>274</v>
      </c>
      <c r="G490" t="s">
        <v>296</v>
      </c>
      <c r="H490" t="s">
        <v>26</v>
      </c>
      <c r="I490">
        <v>2020</v>
      </c>
      <c r="J490">
        <v>2020</v>
      </c>
      <c r="K490" t="s">
        <v>276</v>
      </c>
      <c r="L490">
        <v>0.3</v>
      </c>
      <c r="M490" t="s">
        <v>277</v>
      </c>
      <c r="N490" t="s">
        <v>278</v>
      </c>
    </row>
    <row r="491" spans="1:14" x14ac:dyDescent="0.3">
      <c r="A491" t="s">
        <v>272</v>
      </c>
      <c r="B491" t="s">
        <v>273</v>
      </c>
      <c r="C491">
        <v>372</v>
      </c>
      <c r="D491" t="s">
        <v>18</v>
      </c>
      <c r="E491">
        <v>645</v>
      </c>
      <c r="F491" t="s">
        <v>274</v>
      </c>
      <c r="G491" t="s">
        <v>296</v>
      </c>
      <c r="H491" t="s">
        <v>26</v>
      </c>
      <c r="I491">
        <v>2021</v>
      </c>
      <c r="J491">
        <v>2021</v>
      </c>
      <c r="K491" t="s">
        <v>276</v>
      </c>
      <c r="L491">
        <v>0.28999999999999998</v>
      </c>
      <c r="M491" t="s">
        <v>277</v>
      </c>
      <c r="N491" t="s">
        <v>278</v>
      </c>
    </row>
    <row r="492" spans="1:14" x14ac:dyDescent="0.3">
      <c r="A492" t="s">
        <v>272</v>
      </c>
      <c r="B492" t="s">
        <v>273</v>
      </c>
      <c r="C492">
        <v>372</v>
      </c>
      <c r="D492" t="s">
        <v>18</v>
      </c>
      <c r="E492">
        <v>645</v>
      </c>
      <c r="F492" t="s">
        <v>274</v>
      </c>
      <c r="G492" t="s">
        <v>297</v>
      </c>
      <c r="H492" t="s">
        <v>38</v>
      </c>
      <c r="I492">
        <v>2017</v>
      </c>
      <c r="J492">
        <v>2017</v>
      </c>
      <c r="K492" t="s">
        <v>276</v>
      </c>
      <c r="L492">
        <v>0.7</v>
      </c>
      <c r="M492" t="s">
        <v>277</v>
      </c>
      <c r="N492" t="s">
        <v>278</v>
      </c>
    </row>
    <row r="493" spans="1:14" x14ac:dyDescent="0.3">
      <c r="A493" t="s">
        <v>272</v>
      </c>
      <c r="B493" t="s">
        <v>273</v>
      </c>
      <c r="C493">
        <v>372</v>
      </c>
      <c r="D493" t="s">
        <v>18</v>
      </c>
      <c r="E493">
        <v>645</v>
      </c>
      <c r="F493" t="s">
        <v>274</v>
      </c>
      <c r="G493" t="s">
        <v>297</v>
      </c>
      <c r="H493" t="s">
        <v>38</v>
      </c>
      <c r="I493">
        <v>2018</v>
      </c>
      <c r="J493">
        <v>2018</v>
      </c>
      <c r="K493" t="s">
        <v>276</v>
      </c>
      <c r="L493">
        <v>1.07</v>
      </c>
      <c r="M493" t="s">
        <v>277</v>
      </c>
      <c r="N493" t="s">
        <v>278</v>
      </c>
    </row>
    <row r="494" spans="1:14" x14ac:dyDescent="0.3">
      <c r="A494" t="s">
        <v>272</v>
      </c>
      <c r="B494" t="s">
        <v>273</v>
      </c>
      <c r="C494">
        <v>372</v>
      </c>
      <c r="D494" t="s">
        <v>18</v>
      </c>
      <c r="E494">
        <v>645</v>
      </c>
      <c r="F494" t="s">
        <v>274</v>
      </c>
      <c r="G494" t="s">
        <v>297</v>
      </c>
      <c r="H494" t="s">
        <v>38</v>
      </c>
      <c r="I494">
        <v>2019</v>
      </c>
      <c r="J494">
        <v>2019</v>
      </c>
      <c r="K494" t="s">
        <v>276</v>
      </c>
      <c r="L494">
        <v>0.95</v>
      </c>
      <c r="M494" t="s">
        <v>277</v>
      </c>
      <c r="N494" t="s">
        <v>278</v>
      </c>
    </row>
    <row r="495" spans="1:14" x14ac:dyDescent="0.3">
      <c r="A495" t="s">
        <v>272</v>
      </c>
      <c r="B495" t="s">
        <v>273</v>
      </c>
      <c r="C495">
        <v>372</v>
      </c>
      <c r="D495" t="s">
        <v>18</v>
      </c>
      <c r="E495">
        <v>645</v>
      </c>
      <c r="F495" t="s">
        <v>274</v>
      </c>
      <c r="G495" t="s">
        <v>297</v>
      </c>
      <c r="H495" t="s">
        <v>38</v>
      </c>
      <c r="I495">
        <v>2020</v>
      </c>
      <c r="J495">
        <v>2020</v>
      </c>
      <c r="K495" t="s">
        <v>276</v>
      </c>
      <c r="L495">
        <v>0.94</v>
      </c>
      <c r="M495" t="s">
        <v>277</v>
      </c>
      <c r="N495" t="s">
        <v>278</v>
      </c>
    </row>
    <row r="496" spans="1:14" x14ac:dyDescent="0.3">
      <c r="A496" t="s">
        <v>272</v>
      </c>
      <c r="B496" t="s">
        <v>273</v>
      </c>
      <c r="C496">
        <v>372</v>
      </c>
      <c r="D496" t="s">
        <v>18</v>
      </c>
      <c r="E496">
        <v>645</v>
      </c>
      <c r="F496" t="s">
        <v>274</v>
      </c>
      <c r="G496" t="s">
        <v>297</v>
      </c>
      <c r="H496" t="s">
        <v>38</v>
      </c>
      <c r="I496">
        <v>2021</v>
      </c>
      <c r="J496">
        <v>2021</v>
      </c>
      <c r="K496" t="s">
        <v>276</v>
      </c>
      <c r="L496">
        <v>0.93</v>
      </c>
      <c r="M496" t="s">
        <v>277</v>
      </c>
      <c r="N496" t="s">
        <v>278</v>
      </c>
    </row>
    <row r="497" spans="1:14" x14ac:dyDescent="0.3">
      <c r="A497" t="s">
        <v>272</v>
      </c>
      <c r="B497" t="s">
        <v>273</v>
      </c>
      <c r="C497">
        <v>372</v>
      </c>
      <c r="D497" t="s">
        <v>18</v>
      </c>
      <c r="E497">
        <v>645</v>
      </c>
      <c r="F497" t="s">
        <v>274</v>
      </c>
      <c r="G497" t="s">
        <v>298</v>
      </c>
      <c r="H497" t="s">
        <v>23</v>
      </c>
      <c r="I497">
        <v>2017</v>
      </c>
      <c r="J497">
        <v>2017</v>
      </c>
      <c r="K497" t="s">
        <v>276</v>
      </c>
      <c r="L497">
        <v>0.01</v>
      </c>
      <c r="M497" t="s">
        <v>277</v>
      </c>
      <c r="N497" t="s">
        <v>278</v>
      </c>
    </row>
    <row r="498" spans="1:14" x14ac:dyDescent="0.3">
      <c r="A498" t="s">
        <v>272</v>
      </c>
      <c r="B498" t="s">
        <v>273</v>
      </c>
      <c r="C498">
        <v>372</v>
      </c>
      <c r="D498" t="s">
        <v>18</v>
      </c>
      <c r="E498">
        <v>645</v>
      </c>
      <c r="F498" t="s">
        <v>274</v>
      </c>
      <c r="G498" t="s">
        <v>298</v>
      </c>
      <c r="H498" t="s">
        <v>23</v>
      </c>
      <c r="I498">
        <v>2018</v>
      </c>
      <c r="J498">
        <v>2018</v>
      </c>
      <c r="K498" t="s">
        <v>276</v>
      </c>
      <c r="L498">
        <v>0</v>
      </c>
      <c r="M498" t="s">
        <v>277</v>
      </c>
      <c r="N498" t="s">
        <v>278</v>
      </c>
    </row>
    <row r="499" spans="1:14" x14ac:dyDescent="0.3">
      <c r="A499" t="s">
        <v>272</v>
      </c>
      <c r="B499" t="s">
        <v>273</v>
      </c>
      <c r="C499">
        <v>372</v>
      </c>
      <c r="D499" t="s">
        <v>18</v>
      </c>
      <c r="E499">
        <v>645</v>
      </c>
      <c r="F499" t="s">
        <v>274</v>
      </c>
      <c r="G499" t="s">
        <v>298</v>
      </c>
      <c r="H499" t="s">
        <v>23</v>
      </c>
      <c r="I499">
        <v>2019</v>
      </c>
      <c r="J499">
        <v>2019</v>
      </c>
      <c r="K499" t="s">
        <v>276</v>
      </c>
      <c r="L499">
        <v>0.01</v>
      </c>
      <c r="M499" t="s">
        <v>277</v>
      </c>
      <c r="N499" t="s">
        <v>278</v>
      </c>
    </row>
    <row r="500" spans="1:14" x14ac:dyDescent="0.3">
      <c r="A500" t="s">
        <v>272</v>
      </c>
      <c r="B500" t="s">
        <v>273</v>
      </c>
      <c r="C500">
        <v>372</v>
      </c>
      <c r="D500" t="s">
        <v>18</v>
      </c>
      <c r="E500">
        <v>645</v>
      </c>
      <c r="F500" t="s">
        <v>274</v>
      </c>
      <c r="G500" t="s">
        <v>298</v>
      </c>
      <c r="H500" t="s">
        <v>23</v>
      </c>
      <c r="I500">
        <v>2020</v>
      </c>
      <c r="J500">
        <v>2020</v>
      </c>
      <c r="K500" t="s">
        <v>276</v>
      </c>
      <c r="L500">
        <v>0.01</v>
      </c>
      <c r="M500" t="s">
        <v>277</v>
      </c>
      <c r="N500" t="s">
        <v>278</v>
      </c>
    </row>
    <row r="501" spans="1:14" x14ac:dyDescent="0.3">
      <c r="A501" t="s">
        <v>272</v>
      </c>
      <c r="B501" t="s">
        <v>273</v>
      </c>
      <c r="C501">
        <v>372</v>
      </c>
      <c r="D501" t="s">
        <v>18</v>
      </c>
      <c r="E501">
        <v>645</v>
      </c>
      <c r="F501" t="s">
        <v>274</v>
      </c>
      <c r="G501" t="s">
        <v>298</v>
      </c>
      <c r="H501" t="s">
        <v>23</v>
      </c>
      <c r="I501">
        <v>2021</v>
      </c>
      <c r="J501">
        <v>2021</v>
      </c>
      <c r="K501" t="s">
        <v>276</v>
      </c>
      <c r="L501">
        <v>0.01</v>
      </c>
      <c r="M501" t="s">
        <v>277</v>
      </c>
      <c r="N501" t="s">
        <v>278</v>
      </c>
    </row>
    <row r="502" spans="1:14" x14ac:dyDescent="0.3">
      <c r="A502" t="s">
        <v>272</v>
      </c>
      <c r="B502" t="s">
        <v>273</v>
      </c>
      <c r="C502">
        <v>380</v>
      </c>
      <c r="D502" t="s">
        <v>19</v>
      </c>
      <c r="E502">
        <v>645</v>
      </c>
      <c r="F502" t="s">
        <v>274</v>
      </c>
      <c r="G502" t="s">
        <v>275</v>
      </c>
      <c r="H502" t="s">
        <v>24</v>
      </c>
      <c r="I502">
        <v>2017</v>
      </c>
      <c r="J502">
        <v>2017</v>
      </c>
      <c r="K502" t="s">
        <v>276</v>
      </c>
      <c r="L502">
        <v>16.329999999999998</v>
      </c>
      <c r="M502" t="s">
        <v>277</v>
      </c>
      <c r="N502" t="s">
        <v>278</v>
      </c>
    </row>
    <row r="503" spans="1:14" x14ac:dyDescent="0.3">
      <c r="A503" t="s">
        <v>272</v>
      </c>
      <c r="B503" t="s">
        <v>273</v>
      </c>
      <c r="C503">
        <v>380</v>
      </c>
      <c r="D503" t="s">
        <v>19</v>
      </c>
      <c r="E503">
        <v>645</v>
      </c>
      <c r="F503" t="s">
        <v>274</v>
      </c>
      <c r="G503" t="s">
        <v>275</v>
      </c>
      <c r="H503" t="s">
        <v>24</v>
      </c>
      <c r="I503">
        <v>2018</v>
      </c>
      <c r="J503">
        <v>2018</v>
      </c>
      <c r="K503" t="s">
        <v>276</v>
      </c>
      <c r="L503">
        <v>17.21</v>
      </c>
      <c r="M503" t="s">
        <v>277</v>
      </c>
      <c r="N503" t="s">
        <v>278</v>
      </c>
    </row>
    <row r="504" spans="1:14" x14ac:dyDescent="0.3">
      <c r="A504" t="s">
        <v>272</v>
      </c>
      <c r="B504" t="s">
        <v>273</v>
      </c>
      <c r="C504">
        <v>380</v>
      </c>
      <c r="D504" t="s">
        <v>19</v>
      </c>
      <c r="E504">
        <v>645</v>
      </c>
      <c r="F504" t="s">
        <v>274</v>
      </c>
      <c r="G504" t="s">
        <v>275</v>
      </c>
      <c r="H504" t="s">
        <v>24</v>
      </c>
      <c r="I504">
        <v>2019</v>
      </c>
      <c r="J504">
        <v>2019</v>
      </c>
      <c r="K504" t="s">
        <v>276</v>
      </c>
      <c r="L504">
        <v>17.45</v>
      </c>
      <c r="M504" t="s">
        <v>277</v>
      </c>
      <c r="N504" t="s">
        <v>278</v>
      </c>
    </row>
    <row r="505" spans="1:14" x14ac:dyDescent="0.3">
      <c r="A505" t="s">
        <v>272</v>
      </c>
      <c r="B505" t="s">
        <v>273</v>
      </c>
      <c r="C505">
        <v>380</v>
      </c>
      <c r="D505" t="s">
        <v>19</v>
      </c>
      <c r="E505">
        <v>645</v>
      </c>
      <c r="F505" t="s">
        <v>274</v>
      </c>
      <c r="G505" t="s">
        <v>275</v>
      </c>
      <c r="H505" t="s">
        <v>24</v>
      </c>
      <c r="I505">
        <v>2020</v>
      </c>
      <c r="J505">
        <v>2020</v>
      </c>
      <c r="K505" t="s">
        <v>276</v>
      </c>
      <c r="L505">
        <v>16.2</v>
      </c>
      <c r="M505" t="s">
        <v>277</v>
      </c>
      <c r="N505" t="s">
        <v>278</v>
      </c>
    </row>
    <row r="506" spans="1:14" x14ac:dyDescent="0.3">
      <c r="A506" t="s">
        <v>272</v>
      </c>
      <c r="B506" t="s">
        <v>273</v>
      </c>
      <c r="C506">
        <v>380</v>
      </c>
      <c r="D506" t="s">
        <v>19</v>
      </c>
      <c r="E506">
        <v>645</v>
      </c>
      <c r="F506" t="s">
        <v>274</v>
      </c>
      <c r="G506" t="s">
        <v>275</v>
      </c>
      <c r="H506" t="s">
        <v>24</v>
      </c>
      <c r="I506">
        <v>2021</v>
      </c>
      <c r="J506">
        <v>2021</v>
      </c>
      <c r="K506" t="s">
        <v>276</v>
      </c>
      <c r="L506">
        <v>15.98</v>
      </c>
      <c r="M506" t="s">
        <v>277</v>
      </c>
      <c r="N506" t="s">
        <v>278</v>
      </c>
    </row>
    <row r="507" spans="1:14" x14ac:dyDescent="0.3">
      <c r="A507" t="s">
        <v>272</v>
      </c>
      <c r="B507" t="s">
        <v>273</v>
      </c>
      <c r="C507">
        <v>380</v>
      </c>
      <c r="D507" t="s">
        <v>19</v>
      </c>
      <c r="E507">
        <v>645</v>
      </c>
      <c r="F507" t="s">
        <v>274</v>
      </c>
      <c r="G507" t="s">
        <v>279</v>
      </c>
      <c r="H507" t="s">
        <v>39</v>
      </c>
      <c r="I507">
        <v>2017</v>
      </c>
      <c r="J507">
        <v>2017</v>
      </c>
      <c r="K507" t="s">
        <v>276</v>
      </c>
      <c r="L507">
        <v>0.88</v>
      </c>
      <c r="M507" t="s">
        <v>277</v>
      </c>
      <c r="N507" t="s">
        <v>278</v>
      </c>
    </row>
    <row r="508" spans="1:14" x14ac:dyDescent="0.3">
      <c r="A508" t="s">
        <v>272</v>
      </c>
      <c r="B508" t="s">
        <v>273</v>
      </c>
      <c r="C508">
        <v>380</v>
      </c>
      <c r="D508" t="s">
        <v>19</v>
      </c>
      <c r="E508">
        <v>645</v>
      </c>
      <c r="F508" t="s">
        <v>274</v>
      </c>
      <c r="G508" t="s">
        <v>279</v>
      </c>
      <c r="H508" t="s">
        <v>39</v>
      </c>
      <c r="I508">
        <v>2018</v>
      </c>
      <c r="J508">
        <v>2018</v>
      </c>
      <c r="K508" t="s">
        <v>276</v>
      </c>
      <c r="L508">
        <v>0.88</v>
      </c>
      <c r="M508" t="s">
        <v>277</v>
      </c>
      <c r="N508" t="s">
        <v>278</v>
      </c>
    </row>
    <row r="509" spans="1:14" x14ac:dyDescent="0.3">
      <c r="A509" t="s">
        <v>272</v>
      </c>
      <c r="B509" t="s">
        <v>273</v>
      </c>
      <c r="C509">
        <v>380</v>
      </c>
      <c r="D509" t="s">
        <v>19</v>
      </c>
      <c r="E509">
        <v>645</v>
      </c>
      <c r="F509" t="s">
        <v>274</v>
      </c>
      <c r="G509" t="s">
        <v>279</v>
      </c>
      <c r="H509" t="s">
        <v>39</v>
      </c>
      <c r="I509">
        <v>2019</v>
      </c>
      <c r="J509">
        <v>2019</v>
      </c>
      <c r="K509" t="s">
        <v>276</v>
      </c>
      <c r="L509">
        <v>0.89</v>
      </c>
      <c r="M509" t="s">
        <v>277</v>
      </c>
      <c r="N509" t="s">
        <v>278</v>
      </c>
    </row>
    <row r="510" spans="1:14" x14ac:dyDescent="0.3">
      <c r="A510" t="s">
        <v>272</v>
      </c>
      <c r="B510" t="s">
        <v>273</v>
      </c>
      <c r="C510">
        <v>380</v>
      </c>
      <c r="D510" t="s">
        <v>19</v>
      </c>
      <c r="E510">
        <v>645</v>
      </c>
      <c r="F510" t="s">
        <v>274</v>
      </c>
      <c r="G510" t="s">
        <v>279</v>
      </c>
      <c r="H510" t="s">
        <v>39</v>
      </c>
      <c r="I510">
        <v>2020</v>
      </c>
      <c r="J510">
        <v>2020</v>
      </c>
      <c r="K510" t="s">
        <v>276</v>
      </c>
      <c r="L510">
        <v>0.77</v>
      </c>
      <c r="M510" t="s">
        <v>277</v>
      </c>
      <c r="N510" t="s">
        <v>278</v>
      </c>
    </row>
    <row r="511" spans="1:14" x14ac:dyDescent="0.3">
      <c r="A511" t="s">
        <v>272</v>
      </c>
      <c r="B511" t="s">
        <v>273</v>
      </c>
      <c r="C511">
        <v>380</v>
      </c>
      <c r="D511" t="s">
        <v>19</v>
      </c>
      <c r="E511">
        <v>645</v>
      </c>
      <c r="F511" t="s">
        <v>274</v>
      </c>
      <c r="G511" t="s">
        <v>279</v>
      </c>
      <c r="H511" t="s">
        <v>39</v>
      </c>
      <c r="I511">
        <v>2021</v>
      </c>
      <c r="J511">
        <v>2021</v>
      </c>
      <c r="K511" t="s">
        <v>276</v>
      </c>
      <c r="L511">
        <v>0.81</v>
      </c>
      <c r="M511" t="s">
        <v>277</v>
      </c>
      <c r="N511" t="s">
        <v>278</v>
      </c>
    </row>
    <row r="512" spans="1:14" x14ac:dyDescent="0.3">
      <c r="A512" t="s">
        <v>272</v>
      </c>
      <c r="B512" t="s">
        <v>273</v>
      </c>
      <c r="C512">
        <v>380</v>
      </c>
      <c r="D512" t="s">
        <v>19</v>
      </c>
      <c r="E512">
        <v>645</v>
      </c>
      <c r="F512" t="s">
        <v>274</v>
      </c>
      <c r="G512" t="s">
        <v>280</v>
      </c>
      <c r="H512" t="s">
        <v>42</v>
      </c>
      <c r="I512">
        <v>2017</v>
      </c>
      <c r="J512">
        <v>2017</v>
      </c>
      <c r="K512" t="s">
        <v>276</v>
      </c>
      <c r="L512">
        <v>40.69</v>
      </c>
      <c r="M512" t="s">
        <v>277</v>
      </c>
      <c r="N512" t="s">
        <v>278</v>
      </c>
    </row>
    <row r="513" spans="1:14" x14ac:dyDescent="0.3">
      <c r="A513" t="s">
        <v>272</v>
      </c>
      <c r="B513" t="s">
        <v>273</v>
      </c>
      <c r="C513">
        <v>380</v>
      </c>
      <c r="D513" t="s">
        <v>19</v>
      </c>
      <c r="E513">
        <v>645</v>
      </c>
      <c r="F513" t="s">
        <v>274</v>
      </c>
      <c r="G513" t="s">
        <v>280</v>
      </c>
      <c r="H513" t="s">
        <v>42</v>
      </c>
      <c r="I513">
        <v>2018</v>
      </c>
      <c r="J513">
        <v>2018</v>
      </c>
      <c r="K513" t="s">
        <v>276</v>
      </c>
      <c r="L513">
        <v>38.47</v>
      </c>
      <c r="M513" t="s">
        <v>277</v>
      </c>
      <c r="N513" t="s">
        <v>278</v>
      </c>
    </row>
    <row r="514" spans="1:14" x14ac:dyDescent="0.3">
      <c r="A514" t="s">
        <v>272</v>
      </c>
      <c r="B514" t="s">
        <v>273</v>
      </c>
      <c r="C514">
        <v>380</v>
      </c>
      <c r="D514" t="s">
        <v>19</v>
      </c>
      <c r="E514">
        <v>645</v>
      </c>
      <c r="F514" t="s">
        <v>274</v>
      </c>
      <c r="G514" t="s">
        <v>280</v>
      </c>
      <c r="H514" t="s">
        <v>42</v>
      </c>
      <c r="I514">
        <v>2019</v>
      </c>
      <c r="J514">
        <v>2019</v>
      </c>
      <c r="K514" t="s">
        <v>276</v>
      </c>
      <c r="L514">
        <v>36.549999999999997</v>
      </c>
      <c r="M514" t="s">
        <v>277</v>
      </c>
      <c r="N514" t="s">
        <v>278</v>
      </c>
    </row>
    <row r="515" spans="1:14" x14ac:dyDescent="0.3">
      <c r="A515" t="s">
        <v>272</v>
      </c>
      <c r="B515" t="s">
        <v>273</v>
      </c>
      <c r="C515">
        <v>380</v>
      </c>
      <c r="D515" t="s">
        <v>19</v>
      </c>
      <c r="E515">
        <v>645</v>
      </c>
      <c r="F515" t="s">
        <v>274</v>
      </c>
      <c r="G515" t="s">
        <v>280</v>
      </c>
      <c r="H515" t="s">
        <v>42</v>
      </c>
      <c r="I515">
        <v>2020</v>
      </c>
      <c r="J515">
        <v>2020</v>
      </c>
      <c r="K515" t="s">
        <v>276</v>
      </c>
      <c r="L515">
        <v>33.369999999999997</v>
      </c>
      <c r="M515" t="s">
        <v>277</v>
      </c>
      <c r="N515" t="s">
        <v>278</v>
      </c>
    </row>
    <row r="516" spans="1:14" x14ac:dyDescent="0.3">
      <c r="A516" t="s">
        <v>272</v>
      </c>
      <c r="B516" t="s">
        <v>273</v>
      </c>
      <c r="C516">
        <v>380</v>
      </c>
      <c r="D516" t="s">
        <v>19</v>
      </c>
      <c r="E516">
        <v>645</v>
      </c>
      <c r="F516" t="s">
        <v>274</v>
      </c>
      <c r="G516" t="s">
        <v>280</v>
      </c>
      <c r="H516" t="s">
        <v>42</v>
      </c>
      <c r="I516">
        <v>2021</v>
      </c>
      <c r="J516">
        <v>2021</v>
      </c>
      <c r="K516" t="s">
        <v>276</v>
      </c>
      <c r="L516">
        <v>35.869999999999997</v>
      </c>
      <c r="M516" t="s">
        <v>277</v>
      </c>
      <c r="N516" t="s">
        <v>278</v>
      </c>
    </row>
    <row r="517" spans="1:14" x14ac:dyDescent="0.3">
      <c r="A517" t="s">
        <v>272</v>
      </c>
      <c r="B517" t="s">
        <v>273</v>
      </c>
      <c r="C517">
        <v>380</v>
      </c>
      <c r="D517" t="s">
        <v>19</v>
      </c>
      <c r="E517">
        <v>645</v>
      </c>
      <c r="F517" t="s">
        <v>274</v>
      </c>
      <c r="G517" t="s">
        <v>281</v>
      </c>
      <c r="H517" t="s">
        <v>43</v>
      </c>
      <c r="I517">
        <v>2017</v>
      </c>
      <c r="J517">
        <v>2017</v>
      </c>
      <c r="K517" t="s">
        <v>276</v>
      </c>
      <c r="L517">
        <v>19.079999999999998</v>
      </c>
      <c r="M517" t="s">
        <v>277</v>
      </c>
      <c r="N517" t="s">
        <v>278</v>
      </c>
    </row>
    <row r="518" spans="1:14" x14ac:dyDescent="0.3">
      <c r="A518" t="s">
        <v>272</v>
      </c>
      <c r="B518" t="s">
        <v>273</v>
      </c>
      <c r="C518">
        <v>380</v>
      </c>
      <c r="D518" t="s">
        <v>19</v>
      </c>
      <c r="E518">
        <v>645</v>
      </c>
      <c r="F518" t="s">
        <v>274</v>
      </c>
      <c r="G518" t="s">
        <v>281</v>
      </c>
      <c r="H518" t="s">
        <v>43</v>
      </c>
      <c r="I518">
        <v>2018</v>
      </c>
      <c r="J518">
        <v>2018</v>
      </c>
      <c r="K518" t="s">
        <v>276</v>
      </c>
      <c r="L518">
        <v>19.18</v>
      </c>
      <c r="M518" t="s">
        <v>277</v>
      </c>
      <c r="N518" t="s">
        <v>278</v>
      </c>
    </row>
    <row r="519" spans="1:14" x14ac:dyDescent="0.3">
      <c r="A519" t="s">
        <v>272</v>
      </c>
      <c r="B519" t="s">
        <v>273</v>
      </c>
      <c r="C519">
        <v>380</v>
      </c>
      <c r="D519" t="s">
        <v>19</v>
      </c>
      <c r="E519">
        <v>645</v>
      </c>
      <c r="F519" t="s">
        <v>274</v>
      </c>
      <c r="G519" t="s">
        <v>281</v>
      </c>
      <c r="H519" t="s">
        <v>43</v>
      </c>
      <c r="I519">
        <v>2019</v>
      </c>
      <c r="J519">
        <v>2019</v>
      </c>
      <c r="K519" t="s">
        <v>276</v>
      </c>
      <c r="L519">
        <v>19.63</v>
      </c>
      <c r="M519" t="s">
        <v>277</v>
      </c>
      <c r="N519" t="s">
        <v>278</v>
      </c>
    </row>
    <row r="520" spans="1:14" x14ac:dyDescent="0.3">
      <c r="A520" t="s">
        <v>272</v>
      </c>
      <c r="B520" t="s">
        <v>273</v>
      </c>
      <c r="C520">
        <v>380</v>
      </c>
      <c r="D520" t="s">
        <v>19</v>
      </c>
      <c r="E520">
        <v>645</v>
      </c>
      <c r="F520" t="s">
        <v>274</v>
      </c>
      <c r="G520" t="s">
        <v>281</v>
      </c>
      <c r="H520" t="s">
        <v>43</v>
      </c>
      <c r="I520">
        <v>2020</v>
      </c>
      <c r="J520">
        <v>2020</v>
      </c>
      <c r="K520" t="s">
        <v>276</v>
      </c>
      <c r="L520">
        <v>20.88</v>
      </c>
      <c r="M520" t="s">
        <v>277</v>
      </c>
      <c r="N520" t="s">
        <v>278</v>
      </c>
    </row>
    <row r="521" spans="1:14" x14ac:dyDescent="0.3">
      <c r="A521" t="s">
        <v>272</v>
      </c>
      <c r="B521" t="s">
        <v>273</v>
      </c>
      <c r="C521">
        <v>380</v>
      </c>
      <c r="D521" t="s">
        <v>19</v>
      </c>
      <c r="E521">
        <v>645</v>
      </c>
      <c r="F521" t="s">
        <v>274</v>
      </c>
      <c r="G521" t="s">
        <v>281</v>
      </c>
      <c r="H521" t="s">
        <v>43</v>
      </c>
      <c r="I521">
        <v>2021</v>
      </c>
      <c r="J521">
        <v>2021</v>
      </c>
      <c r="K521" t="s">
        <v>276</v>
      </c>
      <c r="L521">
        <v>20.61</v>
      </c>
      <c r="M521" t="s">
        <v>277</v>
      </c>
      <c r="N521" t="s">
        <v>278</v>
      </c>
    </row>
    <row r="522" spans="1:14" x14ac:dyDescent="0.3">
      <c r="A522" t="s">
        <v>272</v>
      </c>
      <c r="B522" t="s">
        <v>273</v>
      </c>
      <c r="C522">
        <v>380</v>
      </c>
      <c r="D522" t="s">
        <v>19</v>
      </c>
      <c r="E522">
        <v>645</v>
      </c>
      <c r="F522" t="s">
        <v>274</v>
      </c>
      <c r="G522" t="s">
        <v>282</v>
      </c>
      <c r="H522" t="s">
        <v>36</v>
      </c>
      <c r="I522">
        <v>2017</v>
      </c>
      <c r="J522">
        <v>2017</v>
      </c>
      <c r="K522" t="s">
        <v>276</v>
      </c>
      <c r="L522">
        <v>1.74</v>
      </c>
      <c r="M522" t="s">
        <v>277</v>
      </c>
      <c r="N522" t="s">
        <v>278</v>
      </c>
    </row>
    <row r="523" spans="1:14" x14ac:dyDescent="0.3">
      <c r="A523" t="s">
        <v>272</v>
      </c>
      <c r="B523" t="s">
        <v>273</v>
      </c>
      <c r="C523">
        <v>380</v>
      </c>
      <c r="D523" t="s">
        <v>19</v>
      </c>
      <c r="E523">
        <v>645</v>
      </c>
      <c r="F523" t="s">
        <v>274</v>
      </c>
      <c r="G523" t="s">
        <v>282</v>
      </c>
      <c r="H523" t="s">
        <v>36</v>
      </c>
      <c r="I523">
        <v>2018</v>
      </c>
      <c r="J523">
        <v>2018</v>
      </c>
      <c r="K523" t="s">
        <v>276</v>
      </c>
      <c r="L523">
        <v>1.72</v>
      </c>
      <c r="M523" t="s">
        <v>277</v>
      </c>
      <c r="N523" t="s">
        <v>278</v>
      </c>
    </row>
    <row r="524" spans="1:14" x14ac:dyDescent="0.3">
      <c r="A524" t="s">
        <v>272</v>
      </c>
      <c r="B524" t="s">
        <v>273</v>
      </c>
      <c r="C524">
        <v>380</v>
      </c>
      <c r="D524" t="s">
        <v>19</v>
      </c>
      <c r="E524">
        <v>645</v>
      </c>
      <c r="F524" t="s">
        <v>274</v>
      </c>
      <c r="G524" t="s">
        <v>282</v>
      </c>
      <c r="H524" t="s">
        <v>36</v>
      </c>
      <c r="I524">
        <v>2019</v>
      </c>
      <c r="J524">
        <v>2019</v>
      </c>
      <c r="K524" t="s">
        <v>276</v>
      </c>
      <c r="L524">
        <v>1.2</v>
      </c>
      <c r="M524" t="s">
        <v>277</v>
      </c>
      <c r="N524" t="s">
        <v>278</v>
      </c>
    </row>
    <row r="525" spans="1:14" x14ac:dyDescent="0.3">
      <c r="A525" t="s">
        <v>272</v>
      </c>
      <c r="B525" t="s">
        <v>273</v>
      </c>
      <c r="C525">
        <v>380</v>
      </c>
      <c r="D525" t="s">
        <v>19</v>
      </c>
      <c r="E525">
        <v>645</v>
      </c>
      <c r="F525" t="s">
        <v>274</v>
      </c>
      <c r="G525" t="s">
        <v>282</v>
      </c>
      <c r="H525" t="s">
        <v>36</v>
      </c>
      <c r="I525">
        <v>2020</v>
      </c>
      <c r="J525">
        <v>2020</v>
      </c>
      <c r="K525" t="s">
        <v>276</v>
      </c>
      <c r="L525">
        <v>1.0900000000000001</v>
      </c>
      <c r="M525" t="s">
        <v>277</v>
      </c>
      <c r="N525" t="s">
        <v>278</v>
      </c>
    </row>
    <row r="526" spans="1:14" x14ac:dyDescent="0.3">
      <c r="A526" t="s">
        <v>272</v>
      </c>
      <c r="B526" t="s">
        <v>273</v>
      </c>
      <c r="C526">
        <v>380</v>
      </c>
      <c r="D526" t="s">
        <v>19</v>
      </c>
      <c r="E526">
        <v>645</v>
      </c>
      <c r="F526" t="s">
        <v>274</v>
      </c>
      <c r="G526" t="s">
        <v>282</v>
      </c>
      <c r="H526" t="s">
        <v>36</v>
      </c>
      <c r="I526">
        <v>2021</v>
      </c>
      <c r="J526">
        <v>2021</v>
      </c>
      <c r="K526" t="s">
        <v>276</v>
      </c>
      <c r="L526">
        <v>1.04</v>
      </c>
      <c r="M526" t="s">
        <v>277</v>
      </c>
      <c r="N526" t="s">
        <v>278</v>
      </c>
    </row>
    <row r="527" spans="1:14" x14ac:dyDescent="0.3">
      <c r="A527" t="s">
        <v>272</v>
      </c>
      <c r="B527" t="s">
        <v>273</v>
      </c>
      <c r="C527">
        <v>380</v>
      </c>
      <c r="D527" t="s">
        <v>19</v>
      </c>
      <c r="E527">
        <v>645</v>
      </c>
      <c r="F527" t="s">
        <v>274</v>
      </c>
      <c r="G527" t="s">
        <v>283</v>
      </c>
      <c r="H527" t="s">
        <v>40</v>
      </c>
      <c r="I527">
        <v>2017</v>
      </c>
      <c r="J527">
        <v>2017</v>
      </c>
      <c r="K527" t="s">
        <v>276</v>
      </c>
      <c r="L527">
        <v>2.19</v>
      </c>
      <c r="M527" t="s">
        <v>277</v>
      </c>
      <c r="N527" t="s">
        <v>278</v>
      </c>
    </row>
    <row r="528" spans="1:14" x14ac:dyDescent="0.3">
      <c r="A528" t="s">
        <v>272</v>
      </c>
      <c r="B528" t="s">
        <v>273</v>
      </c>
      <c r="C528">
        <v>380</v>
      </c>
      <c r="D528" t="s">
        <v>19</v>
      </c>
      <c r="E528">
        <v>645</v>
      </c>
      <c r="F528" t="s">
        <v>274</v>
      </c>
      <c r="G528" t="s">
        <v>283</v>
      </c>
      <c r="H528" t="s">
        <v>40</v>
      </c>
      <c r="I528">
        <v>2018</v>
      </c>
      <c r="J528">
        <v>2018</v>
      </c>
      <c r="K528" t="s">
        <v>276</v>
      </c>
      <c r="L528">
        <v>2.77</v>
      </c>
      <c r="M528" t="s">
        <v>277</v>
      </c>
      <c r="N528" t="s">
        <v>278</v>
      </c>
    </row>
    <row r="529" spans="1:14" x14ac:dyDescent="0.3">
      <c r="A529" t="s">
        <v>272</v>
      </c>
      <c r="B529" t="s">
        <v>273</v>
      </c>
      <c r="C529">
        <v>380</v>
      </c>
      <c r="D529" t="s">
        <v>19</v>
      </c>
      <c r="E529">
        <v>645</v>
      </c>
      <c r="F529" t="s">
        <v>274</v>
      </c>
      <c r="G529" t="s">
        <v>283</v>
      </c>
      <c r="H529" t="s">
        <v>40</v>
      </c>
      <c r="I529">
        <v>2019</v>
      </c>
      <c r="J529">
        <v>2019</v>
      </c>
      <c r="K529" t="s">
        <v>276</v>
      </c>
      <c r="L529">
        <v>2.62</v>
      </c>
      <c r="M529" t="s">
        <v>277</v>
      </c>
      <c r="N529" t="s">
        <v>278</v>
      </c>
    </row>
    <row r="530" spans="1:14" x14ac:dyDescent="0.3">
      <c r="A530" t="s">
        <v>272</v>
      </c>
      <c r="B530" t="s">
        <v>273</v>
      </c>
      <c r="C530">
        <v>380</v>
      </c>
      <c r="D530" t="s">
        <v>19</v>
      </c>
      <c r="E530">
        <v>645</v>
      </c>
      <c r="F530" t="s">
        <v>274</v>
      </c>
      <c r="G530" t="s">
        <v>283</v>
      </c>
      <c r="H530" t="s">
        <v>40</v>
      </c>
      <c r="I530">
        <v>2020</v>
      </c>
      <c r="J530">
        <v>2020</v>
      </c>
      <c r="K530" t="s">
        <v>276</v>
      </c>
      <c r="L530">
        <v>2.34</v>
      </c>
      <c r="M530" t="s">
        <v>277</v>
      </c>
      <c r="N530" t="s">
        <v>278</v>
      </c>
    </row>
    <row r="531" spans="1:14" x14ac:dyDescent="0.3">
      <c r="A531" t="s">
        <v>272</v>
      </c>
      <c r="B531" t="s">
        <v>273</v>
      </c>
      <c r="C531">
        <v>380</v>
      </c>
      <c r="D531" t="s">
        <v>19</v>
      </c>
      <c r="E531">
        <v>645</v>
      </c>
      <c r="F531" t="s">
        <v>274</v>
      </c>
      <c r="G531" t="s">
        <v>283</v>
      </c>
      <c r="H531" t="s">
        <v>40</v>
      </c>
      <c r="I531">
        <v>2021</v>
      </c>
      <c r="J531">
        <v>2021</v>
      </c>
      <c r="K531" t="s">
        <v>276</v>
      </c>
      <c r="L531">
        <v>2.79</v>
      </c>
      <c r="M531" t="s">
        <v>277</v>
      </c>
      <c r="N531" t="s">
        <v>278</v>
      </c>
    </row>
    <row r="532" spans="1:14" x14ac:dyDescent="0.3">
      <c r="A532" t="s">
        <v>272</v>
      </c>
      <c r="B532" t="s">
        <v>273</v>
      </c>
      <c r="C532">
        <v>380</v>
      </c>
      <c r="D532" t="s">
        <v>19</v>
      </c>
      <c r="E532">
        <v>645</v>
      </c>
      <c r="F532" t="s">
        <v>274</v>
      </c>
      <c r="G532" t="s">
        <v>284</v>
      </c>
      <c r="H532" t="s">
        <v>25</v>
      </c>
      <c r="I532">
        <v>2017</v>
      </c>
      <c r="J532">
        <v>2017</v>
      </c>
      <c r="K532" t="s">
        <v>276</v>
      </c>
      <c r="L532">
        <v>2.4500000000000002</v>
      </c>
      <c r="M532" t="s">
        <v>277</v>
      </c>
      <c r="N532" t="s">
        <v>278</v>
      </c>
    </row>
    <row r="533" spans="1:14" x14ac:dyDescent="0.3">
      <c r="A533" t="s">
        <v>272</v>
      </c>
      <c r="B533" t="s">
        <v>273</v>
      </c>
      <c r="C533">
        <v>380</v>
      </c>
      <c r="D533" t="s">
        <v>19</v>
      </c>
      <c r="E533">
        <v>645</v>
      </c>
      <c r="F533" t="s">
        <v>274</v>
      </c>
      <c r="G533" t="s">
        <v>284</v>
      </c>
      <c r="H533" t="s">
        <v>25</v>
      </c>
      <c r="I533">
        <v>2018</v>
      </c>
      <c r="J533">
        <v>2018</v>
      </c>
      <c r="K533" t="s">
        <v>276</v>
      </c>
      <c r="L533">
        <v>2.52</v>
      </c>
      <c r="M533" t="s">
        <v>277</v>
      </c>
      <c r="N533" t="s">
        <v>278</v>
      </c>
    </row>
    <row r="534" spans="1:14" x14ac:dyDescent="0.3">
      <c r="A534" t="s">
        <v>272</v>
      </c>
      <c r="B534" t="s">
        <v>273</v>
      </c>
      <c r="C534">
        <v>380</v>
      </c>
      <c r="D534" t="s">
        <v>19</v>
      </c>
      <c r="E534">
        <v>645</v>
      </c>
      <c r="F534" t="s">
        <v>274</v>
      </c>
      <c r="G534" t="s">
        <v>284</v>
      </c>
      <c r="H534" t="s">
        <v>25</v>
      </c>
      <c r="I534">
        <v>2019</v>
      </c>
      <c r="J534">
        <v>2019</v>
      </c>
      <c r="K534" t="s">
        <v>276</v>
      </c>
      <c r="L534">
        <v>2.5099999999999998</v>
      </c>
      <c r="M534" t="s">
        <v>277</v>
      </c>
      <c r="N534" t="s">
        <v>278</v>
      </c>
    </row>
    <row r="535" spans="1:14" x14ac:dyDescent="0.3">
      <c r="A535" t="s">
        <v>272</v>
      </c>
      <c r="B535" t="s">
        <v>273</v>
      </c>
      <c r="C535">
        <v>380</v>
      </c>
      <c r="D535" t="s">
        <v>19</v>
      </c>
      <c r="E535">
        <v>645</v>
      </c>
      <c r="F535" t="s">
        <v>274</v>
      </c>
      <c r="G535" t="s">
        <v>284</v>
      </c>
      <c r="H535" t="s">
        <v>25</v>
      </c>
      <c r="I535">
        <v>2020</v>
      </c>
      <c r="J535">
        <v>2020</v>
      </c>
      <c r="K535" t="s">
        <v>276</v>
      </c>
      <c r="L535">
        <v>2.3199999999999998</v>
      </c>
      <c r="M535" t="s">
        <v>277</v>
      </c>
      <c r="N535" t="s">
        <v>278</v>
      </c>
    </row>
    <row r="536" spans="1:14" x14ac:dyDescent="0.3">
      <c r="A536" t="s">
        <v>272</v>
      </c>
      <c r="B536" t="s">
        <v>273</v>
      </c>
      <c r="C536">
        <v>380</v>
      </c>
      <c r="D536" t="s">
        <v>19</v>
      </c>
      <c r="E536">
        <v>645</v>
      </c>
      <c r="F536" t="s">
        <v>274</v>
      </c>
      <c r="G536" t="s">
        <v>284</v>
      </c>
      <c r="H536" t="s">
        <v>25</v>
      </c>
      <c r="I536">
        <v>2021</v>
      </c>
      <c r="J536">
        <v>2021</v>
      </c>
      <c r="K536" t="s">
        <v>276</v>
      </c>
      <c r="L536">
        <v>2.52</v>
      </c>
      <c r="M536" t="s">
        <v>277</v>
      </c>
      <c r="N536" t="s">
        <v>278</v>
      </c>
    </row>
    <row r="537" spans="1:14" x14ac:dyDescent="0.3">
      <c r="A537" t="s">
        <v>272</v>
      </c>
      <c r="B537" t="s">
        <v>273</v>
      </c>
      <c r="C537">
        <v>380</v>
      </c>
      <c r="D537" t="s">
        <v>19</v>
      </c>
      <c r="E537">
        <v>645</v>
      </c>
      <c r="F537" t="s">
        <v>274</v>
      </c>
      <c r="G537" t="s">
        <v>285</v>
      </c>
      <c r="H537" t="s">
        <v>27</v>
      </c>
      <c r="I537">
        <v>2017</v>
      </c>
      <c r="J537">
        <v>2017</v>
      </c>
      <c r="K537" t="s">
        <v>276</v>
      </c>
      <c r="L537">
        <v>2.98</v>
      </c>
      <c r="M537" t="s">
        <v>277</v>
      </c>
      <c r="N537" t="s">
        <v>278</v>
      </c>
    </row>
    <row r="538" spans="1:14" x14ac:dyDescent="0.3">
      <c r="A538" t="s">
        <v>272</v>
      </c>
      <c r="B538" t="s">
        <v>273</v>
      </c>
      <c r="C538">
        <v>380</v>
      </c>
      <c r="D538" t="s">
        <v>19</v>
      </c>
      <c r="E538">
        <v>645</v>
      </c>
      <c r="F538" t="s">
        <v>274</v>
      </c>
      <c r="G538" t="s">
        <v>285</v>
      </c>
      <c r="H538" t="s">
        <v>27</v>
      </c>
      <c r="I538">
        <v>2018</v>
      </c>
      <c r="J538">
        <v>2018</v>
      </c>
      <c r="K538" t="s">
        <v>276</v>
      </c>
      <c r="L538">
        <v>2.7</v>
      </c>
      <c r="M538" t="s">
        <v>277</v>
      </c>
      <c r="N538" t="s">
        <v>278</v>
      </c>
    </row>
    <row r="539" spans="1:14" x14ac:dyDescent="0.3">
      <c r="A539" t="s">
        <v>272</v>
      </c>
      <c r="B539" t="s">
        <v>273</v>
      </c>
      <c r="C539">
        <v>380</v>
      </c>
      <c r="D539" t="s">
        <v>19</v>
      </c>
      <c r="E539">
        <v>645</v>
      </c>
      <c r="F539" t="s">
        <v>274</v>
      </c>
      <c r="G539" t="s">
        <v>285</v>
      </c>
      <c r="H539" t="s">
        <v>27</v>
      </c>
      <c r="I539">
        <v>2019</v>
      </c>
      <c r="J539">
        <v>2019</v>
      </c>
      <c r="K539" t="s">
        <v>276</v>
      </c>
      <c r="L539">
        <v>5.09</v>
      </c>
      <c r="M539" t="s">
        <v>277</v>
      </c>
      <c r="N539" t="s">
        <v>278</v>
      </c>
    </row>
    <row r="540" spans="1:14" x14ac:dyDescent="0.3">
      <c r="A540" t="s">
        <v>272</v>
      </c>
      <c r="B540" t="s">
        <v>273</v>
      </c>
      <c r="C540">
        <v>380</v>
      </c>
      <c r="D540" t="s">
        <v>19</v>
      </c>
      <c r="E540">
        <v>645</v>
      </c>
      <c r="F540" t="s">
        <v>274</v>
      </c>
      <c r="G540" t="s">
        <v>285</v>
      </c>
      <c r="H540" t="s">
        <v>27</v>
      </c>
      <c r="I540">
        <v>2020</v>
      </c>
      <c r="J540">
        <v>2020</v>
      </c>
      <c r="K540" t="s">
        <v>276</v>
      </c>
      <c r="L540">
        <v>5.1100000000000003</v>
      </c>
      <c r="M540" t="s">
        <v>277</v>
      </c>
      <c r="N540" t="s">
        <v>278</v>
      </c>
    </row>
    <row r="541" spans="1:14" x14ac:dyDescent="0.3">
      <c r="A541" t="s">
        <v>272</v>
      </c>
      <c r="B541" t="s">
        <v>273</v>
      </c>
      <c r="C541">
        <v>380</v>
      </c>
      <c r="D541" t="s">
        <v>19</v>
      </c>
      <c r="E541">
        <v>645</v>
      </c>
      <c r="F541" t="s">
        <v>274</v>
      </c>
      <c r="G541" t="s">
        <v>285</v>
      </c>
      <c r="H541" t="s">
        <v>27</v>
      </c>
      <c r="I541">
        <v>2021</v>
      </c>
      <c r="J541">
        <v>2021</v>
      </c>
      <c r="K541" t="s">
        <v>276</v>
      </c>
      <c r="L541">
        <v>4.8499999999999996</v>
      </c>
      <c r="M541" t="s">
        <v>277</v>
      </c>
      <c r="N541" t="s">
        <v>278</v>
      </c>
    </row>
    <row r="542" spans="1:14" x14ac:dyDescent="0.3">
      <c r="A542" t="s">
        <v>272</v>
      </c>
      <c r="B542" t="s">
        <v>273</v>
      </c>
      <c r="C542">
        <v>380</v>
      </c>
      <c r="D542" t="s">
        <v>19</v>
      </c>
      <c r="E542">
        <v>645</v>
      </c>
      <c r="F542" t="s">
        <v>274</v>
      </c>
      <c r="G542" t="s">
        <v>286</v>
      </c>
      <c r="H542" t="s">
        <v>31</v>
      </c>
      <c r="I542">
        <v>2017</v>
      </c>
      <c r="J542">
        <v>2017</v>
      </c>
      <c r="K542" t="s">
        <v>276</v>
      </c>
      <c r="L542">
        <v>1.29</v>
      </c>
      <c r="M542" t="s">
        <v>277</v>
      </c>
      <c r="N542" t="s">
        <v>278</v>
      </c>
    </row>
    <row r="543" spans="1:14" x14ac:dyDescent="0.3">
      <c r="A543" t="s">
        <v>272</v>
      </c>
      <c r="B543" t="s">
        <v>273</v>
      </c>
      <c r="C543">
        <v>380</v>
      </c>
      <c r="D543" t="s">
        <v>19</v>
      </c>
      <c r="E543">
        <v>645</v>
      </c>
      <c r="F543" t="s">
        <v>274</v>
      </c>
      <c r="G543" t="s">
        <v>286</v>
      </c>
      <c r="H543" t="s">
        <v>31</v>
      </c>
      <c r="I543">
        <v>2018</v>
      </c>
      <c r="J543">
        <v>2018</v>
      </c>
      <c r="K543" t="s">
        <v>276</v>
      </c>
      <c r="L543">
        <v>1.34</v>
      </c>
      <c r="M543" t="s">
        <v>277</v>
      </c>
      <c r="N543" t="s">
        <v>278</v>
      </c>
    </row>
    <row r="544" spans="1:14" x14ac:dyDescent="0.3">
      <c r="A544" t="s">
        <v>272</v>
      </c>
      <c r="B544" t="s">
        <v>273</v>
      </c>
      <c r="C544">
        <v>380</v>
      </c>
      <c r="D544" t="s">
        <v>19</v>
      </c>
      <c r="E544">
        <v>645</v>
      </c>
      <c r="F544" t="s">
        <v>274</v>
      </c>
      <c r="G544" t="s">
        <v>286</v>
      </c>
      <c r="H544" t="s">
        <v>31</v>
      </c>
      <c r="I544">
        <v>2019</v>
      </c>
      <c r="J544">
        <v>2019</v>
      </c>
      <c r="K544" t="s">
        <v>276</v>
      </c>
      <c r="L544">
        <v>1.51</v>
      </c>
      <c r="M544" t="s">
        <v>277</v>
      </c>
      <c r="N544" t="s">
        <v>278</v>
      </c>
    </row>
    <row r="545" spans="1:14" x14ac:dyDescent="0.3">
      <c r="A545" t="s">
        <v>272</v>
      </c>
      <c r="B545" t="s">
        <v>273</v>
      </c>
      <c r="C545">
        <v>380</v>
      </c>
      <c r="D545" t="s">
        <v>19</v>
      </c>
      <c r="E545">
        <v>645</v>
      </c>
      <c r="F545" t="s">
        <v>274</v>
      </c>
      <c r="G545" t="s">
        <v>286</v>
      </c>
      <c r="H545" t="s">
        <v>31</v>
      </c>
      <c r="I545">
        <v>2020</v>
      </c>
      <c r="J545">
        <v>2020</v>
      </c>
      <c r="K545" t="s">
        <v>276</v>
      </c>
      <c r="L545">
        <v>1.77</v>
      </c>
      <c r="M545" t="s">
        <v>277</v>
      </c>
      <c r="N545" t="s">
        <v>278</v>
      </c>
    </row>
    <row r="546" spans="1:14" x14ac:dyDescent="0.3">
      <c r="A546" t="s">
        <v>272</v>
      </c>
      <c r="B546" t="s">
        <v>273</v>
      </c>
      <c r="C546">
        <v>380</v>
      </c>
      <c r="D546" t="s">
        <v>19</v>
      </c>
      <c r="E546">
        <v>645</v>
      </c>
      <c r="F546" t="s">
        <v>274</v>
      </c>
      <c r="G546" t="s">
        <v>286</v>
      </c>
      <c r="H546" t="s">
        <v>31</v>
      </c>
      <c r="I546">
        <v>2021</v>
      </c>
      <c r="J546">
        <v>2021</v>
      </c>
      <c r="K546" t="s">
        <v>276</v>
      </c>
      <c r="L546">
        <v>1.69</v>
      </c>
      <c r="M546" t="s">
        <v>277</v>
      </c>
      <c r="N546" t="s">
        <v>278</v>
      </c>
    </row>
    <row r="547" spans="1:14" x14ac:dyDescent="0.3">
      <c r="A547" t="s">
        <v>272</v>
      </c>
      <c r="B547" t="s">
        <v>273</v>
      </c>
      <c r="C547">
        <v>380</v>
      </c>
      <c r="D547" t="s">
        <v>19</v>
      </c>
      <c r="E547">
        <v>645</v>
      </c>
      <c r="F547" t="s">
        <v>274</v>
      </c>
      <c r="G547" t="s">
        <v>288</v>
      </c>
      <c r="H547" t="s">
        <v>33</v>
      </c>
      <c r="I547">
        <v>2017</v>
      </c>
      <c r="J547">
        <v>2017</v>
      </c>
      <c r="K547" t="s">
        <v>276</v>
      </c>
      <c r="L547">
        <v>0</v>
      </c>
      <c r="M547" t="s">
        <v>277</v>
      </c>
      <c r="N547" t="s">
        <v>278</v>
      </c>
    </row>
    <row r="548" spans="1:14" x14ac:dyDescent="0.3">
      <c r="A548" t="s">
        <v>272</v>
      </c>
      <c r="B548" t="s">
        <v>273</v>
      </c>
      <c r="C548">
        <v>380</v>
      </c>
      <c r="D548" t="s">
        <v>19</v>
      </c>
      <c r="E548">
        <v>645</v>
      </c>
      <c r="F548" t="s">
        <v>274</v>
      </c>
      <c r="G548" t="s">
        <v>288</v>
      </c>
      <c r="H548" t="s">
        <v>33</v>
      </c>
      <c r="I548">
        <v>2018</v>
      </c>
      <c r="J548">
        <v>2018</v>
      </c>
      <c r="K548" t="s">
        <v>276</v>
      </c>
      <c r="L548">
        <v>0</v>
      </c>
      <c r="M548" t="s">
        <v>277</v>
      </c>
      <c r="N548" t="s">
        <v>278</v>
      </c>
    </row>
    <row r="549" spans="1:14" x14ac:dyDescent="0.3">
      <c r="A549" t="s">
        <v>272</v>
      </c>
      <c r="B549" t="s">
        <v>273</v>
      </c>
      <c r="C549">
        <v>380</v>
      </c>
      <c r="D549" t="s">
        <v>19</v>
      </c>
      <c r="E549">
        <v>645</v>
      </c>
      <c r="F549" t="s">
        <v>274</v>
      </c>
      <c r="G549" t="s">
        <v>288</v>
      </c>
      <c r="H549" t="s">
        <v>33</v>
      </c>
      <c r="I549">
        <v>2019</v>
      </c>
      <c r="J549">
        <v>2019</v>
      </c>
      <c r="K549" t="s">
        <v>276</v>
      </c>
      <c r="L549">
        <v>0</v>
      </c>
      <c r="M549" t="s">
        <v>277</v>
      </c>
      <c r="N549" t="s">
        <v>278</v>
      </c>
    </row>
    <row r="550" spans="1:14" x14ac:dyDescent="0.3">
      <c r="A550" t="s">
        <v>272</v>
      </c>
      <c r="B550" t="s">
        <v>273</v>
      </c>
      <c r="C550">
        <v>380</v>
      </c>
      <c r="D550" t="s">
        <v>19</v>
      </c>
      <c r="E550">
        <v>645</v>
      </c>
      <c r="F550" t="s">
        <v>274</v>
      </c>
      <c r="G550" t="s">
        <v>288</v>
      </c>
      <c r="H550" t="s">
        <v>33</v>
      </c>
      <c r="I550">
        <v>2020</v>
      </c>
      <c r="J550">
        <v>2020</v>
      </c>
      <c r="K550" t="s">
        <v>276</v>
      </c>
      <c r="L550">
        <v>0</v>
      </c>
      <c r="M550" t="s">
        <v>277</v>
      </c>
      <c r="N550" t="s">
        <v>278</v>
      </c>
    </row>
    <row r="551" spans="1:14" x14ac:dyDescent="0.3">
      <c r="A551" t="s">
        <v>272</v>
      </c>
      <c r="B551" t="s">
        <v>273</v>
      </c>
      <c r="C551">
        <v>380</v>
      </c>
      <c r="D551" t="s">
        <v>19</v>
      </c>
      <c r="E551">
        <v>645</v>
      </c>
      <c r="F551" t="s">
        <v>274</v>
      </c>
      <c r="G551" t="s">
        <v>288</v>
      </c>
      <c r="H551" t="s">
        <v>33</v>
      </c>
      <c r="I551">
        <v>2021</v>
      </c>
      <c r="J551">
        <v>2021</v>
      </c>
      <c r="K551" t="s">
        <v>276</v>
      </c>
      <c r="L551">
        <v>0</v>
      </c>
      <c r="M551" t="s">
        <v>277</v>
      </c>
      <c r="N551" t="s">
        <v>278</v>
      </c>
    </row>
    <row r="552" spans="1:14" x14ac:dyDescent="0.3">
      <c r="A552" t="s">
        <v>272</v>
      </c>
      <c r="B552" t="s">
        <v>273</v>
      </c>
      <c r="C552">
        <v>380</v>
      </c>
      <c r="D552" t="s">
        <v>19</v>
      </c>
      <c r="E552">
        <v>645</v>
      </c>
      <c r="F552" t="s">
        <v>274</v>
      </c>
      <c r="G552" t="s">
        <v>289</v>
      </c>
      <c r="H552" t="s">
        <v>30</v>
      </c>
      <c r="I552">
        <v>2017</v>
      </c>
      <c r="J552">
        <v>2017</v>
      </c>
      <c r="K552" t="s">
        <v>276</v>
      </c>
      <c r="L552">
        <v>11.76</v>
      </c>
      <c r="M552" t="s">
        <v>277</v>
      </c>
      <c r="N552" t="s">
        <v>278</v>
      </c>
    </row>
    <row r="553" spans="1:14" x14ac:dyDescent="0.3">
      <c r="A553" t="s">
        <v>272</v>
      </c>
      <c r="B553" t="s">
        <v>273</v>
      </c>
      <c r="C553">
        <v>380</v>
      </c>
      <c r="D553" t="s">
        <v>19</v>
      </c>
      <c r="E553">
        <v>645</v>
      </c>
      <c r="F553" t="s">
        <v>274</v>
      </c>
      <c r="G553" t="s">
        <v>289</v>
      </c>
      <c r="H553" t="s">
        <v>30</v>
      </c>
      <c r="I553">
        <v>2018</v>
      </c>
      <c r="J553">
        <v>2018</v>
      </c>
      <c r="K553" t="s">
        <v>276</v>
      </c>
      <c r="L553">
        <v>11.89</v>
      </c>
      <c r="M553" t="s">
        <v>277</v>
      </c>
      <c r="N553" t="s">
        <v>278</v>
      </c>
    </row>
    <row r="554" spans="1:14" x14ac:dyDescent="0.3">
      <c r="A554" t="s">
        <v>272</v>
      </c>
      <c r="B554" t="s">
        <v>273</v>
      </c>
      <c r="C554">
        <v>380</v>
      </c>
      <c r="D554" t="s">
        <v>19</v>
      </c>
      <c r="E554">
        <v>645</v>
      </c>
      <c r="F554" t="s">
        <v>274</v>
      </c>
      <c r="G554" t="s">
        <v>289</v>
      </c>
      <c r="H554" t="s">
        <v>30</v>
      </c>
      <c r="I554">
        <v>2019</v>
      </c>
      <c r="J554">
        <v>2019</v>
      </c>
      <c r="K554" t="s">
        <v>276</v>
      </c>
      <c r="L554">
        <v>11.42</v>
      </c>
      <c r="M554" t="s">
        <v>277</v>
      </c>
      <c r="N554" t="s">
        <v>278</v>
      </c>
    </row>
    <row r="555" spans="1:14" x14ac:dyDescent="0.3">
      <c r="A555" t="s">
        <v>272</v>
      </c>
      <c r="B555" t="s">
        <v>273</v>
      </c>
      <c r="C555">
        <v>380</v>
      </c>
      <c r="D555" t="s">
        <v>19</v>
      </c>
      <c r="E555">
        <v>645</v>
      </c>
      <c r="F555" t="s">
        <v>274</v>
      </c>
      <c r="G555" t="s">
        <v>289</v>
      </c>
      <c r="H555" t="s">
        <v>30</v>
      </c>
      <c r="I555">
        <v>2020</v>
      </c>
      <c r="J555">
        <v>2020</v>
      </c>
      <c r="K555" t="s">
        <v>276</v>
      </c>
      <c r="L555">
        <v>11.65</v>
      </c>
      <c r="M555" t="s">
        <v>277</v>
      </c>
      <c r="N555" t="s">
        <v>278</v>
      </c>
    </row>
    <row r="556" spans="1:14" x14ac:dyDescent="0.3">
      <c r="A556" t="s">
        <v>272</v>
      </c>
      <c r="B556" t="s">
        <v>273</v>
      </c>
      <c r="C556">
        <v>380</v>
      </c>
      <c r="D556" t="s">
        <v>19</v>
      </c>
      <c r="E556">
        <v>645</v>
      </c>
      <c r="F556" t="s">
        <v>274</v>
      </c>
      <c r="G556" t="s">
        <v>289</v>
      </c>
      <c r="H556" t="s">
        <v>30</v>
      </c>
      <c r="I556">
        <v>2021</v>
      </c>
      <c r="J556">
        <v>2021</v>
      </c>
      <c r="K556" t="s">
        <v>276</v>
      </c>
      <c r="L556">
        <v>11.32</v>
      </c>
      <c r="M556" t="s">
        <v>277</v>
      </c>
      <c r="N556" t="s">
        <v>278</v>
      </c>
    </row>
    <row r="557" spans="1:14" x14ac:dyDescent="0.3">
      <c r="A557" t="s">
        <v>272</v>
      </c>
      <c r="B557" t="s">
        <v>273</v>
      </c>
      <c r="C557">
        <v>380</v>
      </c>
      <c r="D557" t="s">
        <v>19</v>
      </c>
      <c r="E557">
        <v>645</v>
      </c>
      <c r="F557" t="s">
        <v>274</v>
      </c>
      <c r="G557" t="s">
        <v>290</v>
      </c>
      <c r="H557" t="s">
        <v>37</v>
      </c>
      <c r="I557">
        <v>2017</v>
      </c>
      <c r="J557">
        <v>2017</v>
      </c>
      <c r="K557" t="s">
        <v>276</v>
      </c>
      <c r="L557">
        <v>190.92</v>
      </c>
      <c r="M557" t="s">
        <v>277</v>
      </c>
      <c r="N557" t="s">
        <v>278</v>
      </c>
    </row>
    <row r="558" spans="1:14" x14ac:dyDescent="0.3">
      <c r="A558" t="s">
        <v>272</v>
      </c>
      <c r="B558" t="s">
        <v>273</v>
      </c>
      <c r="C558">
        <v>380</v>
      </c>
      <c r="D558" t="s">
        <v>19</v>
      </c>
      <c r="E558">
        <v>645</v>
      </c>
      <c r="F558" t="s">
        <v>274</v>
      </c>
      <c r="G558" t="s">
        <v>290</v>
      </c>
      <c r="H558" t="s">
        <v>37</v>
      </c>
      <c r="I558">
        <v>2018</v>
      </c>
      <c r="J558">
        <v>2018</v>
      </c>
      <c r="K558" t="s">
        <v>276</v>
      </c>
      <c r="L558">
        <v>213.3</v>
      </c>
      <c r="M558" t="s">
        <v>277</v>
      </c>
      <c r="N558" t="s">
        <v>278</v>
      </c>
    </row>
    <row r="559" spans="1:14" x14ac:dyDescent="0.3">
      <c r="A559" t="s">
        <v>272</v>
      </c>
      <c r="B559" t="s">
        <v>273</v>
      </c>
      <c r="C559">
        <v>380</v>
      </c>
      <c r="D559" t="s">
        <v>19</v>
      </c>
      <c r="E559">
        <v>645</v>
      </c>
      <c r="F559" t="s">
        <v>274</v>
      </c>
      <c r="G559" t="s">
        <v>290</v>
      </c>
      <c r="H559" t="s">
        <v>37</v>
      </c>
      <c r="I559">
        <v>2019</v>
      </c>
      <c r="J559">
        <v>2019</v>
      </c>
      <c r="K559" t="s">
        <v>276</v>
      </c>
      <c r="L559">
        <v>222.08</v>
      </c>
      <c r="M559" t="s">
        <v>277</v>
      </c>
      <c r="N559" t="s">
        <v>278</v>
      </c>
    </row>
    <row r="560" spans="1:14" x14ac:dyDescent="0.3">
      <c r="A560" t="s">
        <v>272</v>
      </c>
      <c r="B560" t="s">
        <v>273</v>
      </c>
      <c r="C560">
        <v>380</v>
      </c>
      <c r="D560" t="s">
        <v>19</v>
      </c>
      <c r="E560">
        <v>645</v>
      </c>
      <c r="F560" t="s">
        <v>274</v>
      </c>
      <c r="G560" t="s">
        <v>290</v>
      </c>
      <c r="H560" t="s">
        <v>37</v>
      </c>
      <c r="I560">
        <v>2020</v>
      </c>
      <c r="J560">
        <v>2020</v>
      </c>
      <c r="K560" t="s">
        <v>276</v>
      </c>
      <c r="L560">
        <v>228.46</v>
      </c>
      <c r="M560" t="s">
        <v>277</v>
      </c>
      <c r="N560" t="s">
        <v>278</v>
      </c>
    </row>
    <row r="561" spans="1:14" x14ac:dyDescent="0.3">
      <c r="A561" t="s">
        <v>272</v>
      </c>
      <c r="B561" t="s">
        <v>273</v>
      </c>
      <c r="C561">
        <v>380</v>
      </c>
      <c r="D561" t="s">
        <v>19</v>
      </c>
      <c r="E561">
        <v>645</v>
      </c>
      <c r="F561" t="s">
        <v>274</v>
      </c>
      <c r="G561" t="s">
        <v>290</v>
      </c>
      <c r="H561" t="s">
        <v>37</v>
      </c>
      <c r="I561">
        <v>2021</v>
      </c>
      <c r="J561">
        <v>2021</v>
      </c>
      <c r="K561" t="s">
        <v>276</v>
      </c>
      <c r="L561">
        <v>230.32</v>
      </c>
      <c r="M561" t="s">
        <v>277</v>
      </c>
      <c r="N561" t="s">
        <v>278</v>
      </c>
    </row>
    <row r="562" spans="1:14" x14ac:dyDescent="0.3">
      <c r="A562" t="s">
        <v>272</v>
      </c>
      <c r="B562" t="s">
        <v>273</v>
      </c>
      <c r="C562">
        <v>380</v>
      </c>
      <c r="D562" t="s">
        <v>19</v>
      </c>
      <c r="E562">
        <v>645</v>
      </c>
      <c r="F562" t="s">
        <v>274</v>
      </c>
      <c r="G562" t="s">
        <v>291</v>
      </c>
      <c r="H562" t="s">
        <v>34</v>
      </c>
      <c r="I562">
        <v>2017</v>
      </c>
      <c r="J562">
        <v>2017</v>
      </c>
      <c r="K562" t="s">
        <v>276</v>
      </c>
      <c r="L562">
        <v>3.48</v>
      </c>
      <c r="M562" t="s">
        <v>277</v>
      </c>
      <c r="N562" t="s">
        <v>278</v>
      </c>
    </row>
    <row r="563" spans="1:14" x14ac:dyDescent="0.3">
      <c r="A563" t="s">
        <v>272</v>
      </c>
      <c r="B563" t="s">
        <v>273</v>
      </c>
      <c r="C563">
        <v>380</v>
      </c>
      <c r="D563" t="s">
        <v>19</v>
      </c>
      <c r="E563">
        <v>645</v>
      </c>
      <c r="F563" t="s">
        <v>274</v>
      </c>
      <c r="G563" t="s">
        <v>291</v>
      </c>
      <c r="H563" t="s">
        <v>34</v>
      </c>
      <c r="I563">
        <v>2018</v>
      </c>
      <c r="J563">
        <v>2018</v>
      </c>
      <c r="K563" t="s">
        <v>276</v>
      </c>
      <c r="L563">
        <v>3.74</v>
      </c>
      <c r="M563" t="s">
        <v>277</v>
      </c>
      <c r="N563" t="s">
        <v>278</v>
      </c>
    </row>
    <row r="564" spans="1:14" x14ac:dyDescent="0.3">
      <c r="A564" t="s">
        <v>272</v>
      </c>
      <c r="B564" t="s">
        <v>273</v>
      </c>
      <c r="C564">
        <v>380</v>
      </c>
      <c r="D564" t="s">
        <v>19</v>
      </c>
      <c r="E564">
        <v>645</v>
      </c>
      <c r="F564" t="s">
        <v>274</v>
      </c>
      <c r="G564" t="s">
        <v>291</v>
      </c>
      <c r="H564" t="s">
        <v>34</v>
      </c>
      <c r="I564">
        <v>2019</v>
      </c>
      <c r="J564">
        <v>2019</v>
      </c>
      <c r="K564" t="s">
        <v>276</v>
      </c>
      <c r="L564">
        <v>3.92</v>
      </c>
      <c r="M564" t="s">
        <v>277</v>
      </c>
      <c r="N564" t="s">
        <v>278</v>
      </c>
    </row>
    <row r="565" spans="1:14" x14ac:dyDescent="0.3">
      <c r="A565" t="s">
        <v>272</v>
      </c>
      <c r="B565" t="s">
        <v>273</v>
      </c>
      <c r="C565">
        <v>380</v>
      </c>
      <c r="D565" t="s">
        <v>19</v>
      </c>
      <c r="E565">
        <v>645</v>
      </c>
      <c r="F565" t="s">
        <v>274</v>
      </c>
      <c r="G565" t="s">
        <v>291</v>
      </c>
      <c r="H565" t="s">
        <v>34</v>
      </c>
      <c r="I565">
        <v>2020</v>
      </c>
      <c r="J565">
        <v>2020</v>
      </c>
      <c r="K565" t="s">
        <v>276</v>
      </c>
      <c r="L565">
        <v>3.94</v>
      </c>
      <c r="M565" t="s">
        <v>277</v>
      </c>
      <c r="N565" t="s">
        <v>278</v>
      </c>
    </row>
    <row r="566" spans="1:14" x14ac:dyDescent="0.3">
      <c r="A566" t="s">
        <v>272</v>
      </c>
      <c r="B566" t="s">
        <v>273</v>
      </c>
      <c r="C566">
        <v>380</v>
      </c>
      <c r="D566" t="s">
        <v>19</v>
      </c>
      <c r="E566">
        <v>645</v>
      </c>
      <c r="F566" t="s">
        <v>274</v>
      </c>
      <c r="G566" t="s">
        <v>291</v>
      </c>
      <c r="H566" t="s">
        <v>34</v>
      </c>
      <c r="I566">
        <v>2021</v>
      </c>
      <c r="J566">
        <v>2021</v>
      </c>
      <c r="K566" t="s">
        <v>276</v>
      </c>
      <c r="L566">
        <v>3.96</v>
      </c>
      <c r="M566" t="s">
        <v>277</v>
      </c>
      <c r="N566" t="s">
        <v>278</v>
      </c>
    </row>
    <row r="567" spans="1:14" x14ac:dyDescent="0.3">
      <c r="A567" t="s">
        <v>272</v>
      </c>
      <c r="B567" t="s">
        <v>273</v>
      </c>
      <c r="C567">
        <v>380</v>
      </c>
      <c r="D567" t="s">
        <v>19</v>
      </c>
      <c r="E567">
        <v>645</v>
      </c>
      <c r="F567" t="s">
        <v>274</v>
      </c>
      <c r="G567" t="s">
        <v>292</v>
      </c>
      <c r="H567" t="s">
        <v>29</v>
      </c>
      <c r="I567">
        <v>2017</v>
      </c>
      <c r="J567">
        <v>2017</v>
      </c>
      <c r="K567" t="s">
        <v>276</v>
      </c>
      <c r="L567">
        <v>7.85</v>
      </c>
      <c r="M567" t="s">
        <v>277</v>
      </c>
      <c r="N567" t="s">
        <v>278</v>
      </c>
    </row>
    <row r="568" spans="1:14" x14ac:dyDescent="0.3">
      <c r="A568" t="s">
        <v>272</v>
      </c>
      <c r="B568" t="s">
        <v>273</v>
      </c>
      <c r="C568">
        <v>380</v>
      </c>
      <c r="D568" t="s">
        <v>19</v>
      </c>
      <c r="E568">
        <v>645</v>
      </c>
      <c r="F568" t="s">
        <v>274</v>
      </c>
      <c r="G568" t="s">
        <v>292</v>
      </c>
      <c r="H568" t="s">
        <v>29</v>
      </c>
      <c r="I568">
        <v>2018</v>
      </c>
      <c r="J568">
        <v>2018</v>
      </c>
      <c r="K568" t="s">
        <v>276</v>
      </c>
      <c r="L568">
        <v>7.85</v>
      </c>
      <c r="M568" t="s">
        <v>277</v>
      </c>
      <c r="N568" t="s">
        <v>278</v>
      </c>
    </row>
    <row r="569" spans="1:14" x14ac:dyDescent="0.3">
      <c r="A569" t="s">
        <v>272</v>
      </c>
      <c r="B569" t="s">
        <v>273</v>
      </c>
      <c r="C569">
        <v>380</v>
      </c>
      <c r="D569" t="s">
        <v>19</v>
      </c>
      <c r="E569">
        <v>645</v>
      </c>
      <c r="F569" t="s">
        <v>274</v>
      </c>
      <c r="G569" t="s">
        <v>292</v>
      </c>
      <c r="H569" t="s">
        <v>29</v>
      </c>
      <c r="I569">
        <v>2019</v>
      </c>
      <c r="J569">
        <v>2019</v>
      </c>
      <c r="K569" t="s">
        <v>276</v>
      </c>
      <c r="L569">
        <v>7.74</v>
      </c>
      <c r="M569" t="s">
        <v>277</v>
      </c>
      <c r="N569" t="s">
        <v>278</v>
      </c>
    </row>
    <row r="570" spans="1:14" x14ac:dyDescent="0.3">
      <c r="A570" t="s">
        <v>272</v>
      </c>
      <c r="B570" t="s">
        <v>273</v>
      </c>
      <c r="C570">
        <v>380</v>
      </c>
      <c r="D570" t="s">
        <v>19</v>
      </c>
      <c r="E570">
        <v>645</v>
      </c>
      <c r="F570" t="s">
        <v>274</v>
      </c>
      <c r="G570" t="s">
        <v>292</v>
      </c>
      <c r="H570" t="s">
        <v>29</v>
      </c>
      <c r="I570">
        <v>2020</v>
      </c>
      <c r="J570">
        <v>2020</v>
      </c>
      <c r="K570" t="s">
        <v>276</v>
      </c>
      <c r="L570">
        <v>7.77</v>
      </c>
      <c r="M570" t="s">
        <v>277</v>
      </c>
      <c r="N570" t="s">
        <v>278</v>
      </c>
    </row>
    <row r="571" spans="1:14" x14ac:dyDescent="0.3">
      <c r="A571" t="s">
        <v>272</v>
      </c>
      <c r="B571" t="s">
        <v>273</v>
      </c>
      <c r="C571">
        <v>380</v>
      </c>
      <c r="D571" t="s">
        <v>19</v>
      </c>
      <c r="E571">
        <v>645</v>
      </c>
      <c r="F571" t="s">
        <v>274</v>
      </c>
      <c r="G571" t="s">
        <v>292</v>
      </c>
      <c r="H571" t="s">
        <v>29</v>
      </c>
      <c r="I571">
        <v>2021</v>
      </c>
      <c r="J571">
        <v>2021</v>
      </c>
      <c r="K571" t="s">
        <v>276</v>
      </c>
      <c r="L571">
        <v>7.8</v>
      </c>
      <c r="M571" t="s">
        <v>277</v>
      </c>
      <c r="N571" t="s">
        <v>278</v>
      </c>
    </row>
    <row r="572" spans="1:14" x14ac:dyDescent="0.3">
      <c r="A572" t="s">
        <v>272</v>
      </c>
      <c r="B572" t="s">
        <v>273</v>
      </c>
      <c r="C572">
        <v>380</v>
      </c>
      <c r="D572" t="s">
        <v>19</v>
      </c>
      <c r="E572">
        <v>645</v>
      </c>
      <c r="F572" t="s">
        <v>274</v>
      </c>
      <c r="G572" t="s">
        <v>293</v>
      </c>
      <c r="H572" t="s">
        <v>41</v>
      </c>
      <c r="I572">
        <v>2017</v>
      </c>
      <c r="J572">
        <v>2017</v>
      </c>
      <c r="K572" t="s">
        <v>276</v>
      </c>
      <c r="L572">
        <v>5.47</v>
      </c>
      <c r="M572" t="s">
        <v>277</v>
      </c>
      <c r="N572" t="s">
        <v>278</v>
      </c>
    </row>
    <row r="573" spans="1:14" x14ac:dyDescent="0.3">
      <c r="A573" t="s">
        <v>272</v>
      </c>
      <c r="B573" t="s">
        <v>273</v>
      </c>
      <c r="C573">
        <v>380</v>
      </c>
      <c r="D573" t="s">
        <v>19</v>
      </c>
      <c r="E573">
        <v>645</v>
      </c>
      <c r="F573" t="s">
        <v>274</v>
      </c>
      <c r="G573" t="s">
        <v>293</v>
      </c>
      <c r="H573" t="s">
        <v>41</v>
      </c>
      <c r="I573">
        <v>2018</v>
      </c>
      <c r="J573">
        <v>2018</v>
      </c>
      <c r="K573" t="s">
        <v>276</v>
      </c>
      <c r="L573">
        <v>5.55</v>
      </c>
      <c r="M573" t="s">
        <v>277</v>
      </c>
      <c r="N573" t="s">
        <v>278</v>
      </c>
    </row>
    <row r="574" spans="1:14" x14ac:dyDescent="0.3">
      <c r="A574" t="s">
        <v>272</v>
      </c>
      <c r="B574" t="s">
        <v>273</v>
      </c>
      <c r="C574">
        <v>380</v>
      </c>
      <c r="D574" t="s">
        <v>19</v>
      </c>
      <c r="E574">
        <v>645</v>
      </c>
      <c r="F574" t="s">
        <v>274</v>
      </c>
      <c r="G574" t="s">
        <v>293</v>
      </c>
      <c r="H574" t="s">
        <v>41</v>
      </c>
      <c r="I574">
        <v>2019</v>
      </c>
      <c r="J574">
        <v>2019</v>
      </c>
      <c r="K574" t="s">
        <v>276</v>
      </c>
      <c r="L574">
        <v>5.12</v>
      </c>
      <c r="M574" t="s">
        <v>277</v>
      </c>
      <c r="N574" t="s">
        <v>278</v>
      </c>
    </row>
    <row r="575" spans="1:14" x14ac:dyDescent="0.3">
      <c r="A575" t="s">
        <v>272</v>
      </c>
      <c r="B575" t="s">
        <v>273</v>
      </c>
      <c r="C575">
        <v>380</v>
      </c>
      <c r="D575" t="s">
        <v>19</v>
      </c>
      <c r="E575">
        <v>645</v>
      </c>
      <c r="F575" t="s">
        <v>274</v>
      </c>
      <c r="G575" t="s">
        <v>293</v>
      </c>
      <c r="H575" t="s">
        <v>41</v>
      </c>
      <c r="I575">
        <v>2020</v>
      </c>
      <c r="J575">
        <v>2020</v>
      </c>
      <c r="K575" t="s">
        <v>276</v>
      </c>
      <c r="L575">
        <v>5.14</v>
      </c>
      <c r="M575" t="s">
        <v>277</v>
      </c>
      <c r="N575" t="s">
        <v>278</v>
      </c>
    </row>
    <row r="576" spans="1:14" x14ac:dyDescent="0.3">
      <c r="A576" t="s">
        <v>272</v>
      </c>
      <c r="B576" t="s">
        <v>273</v>
      </c>
      <c r="C576">
        <v>380</v>
      </c>
      <c r="D576" t="s">
        <v>19</v>
      </c>
      <c r="E576">
        <v>645</v>
      </c>
      <c r="F576" t="s">
        <v>274</v>
      </c>
      <c r="G576" t="s">
        <v>293</v>
      </c>
      <c r="H576" t="s">
        <v>41</v>
      </c>
      <c r="I576">
        <v>2021</v>
      </c>
      <c r="J576">
        <v>2021</v>
      </c>
      <c r="K576" t="s">
        <v>276</v>
      </c>
      <c r="L576">
        <v>5.16</v>
      </c>
      <c r="M576" t="s">
        <v>277</v>
      </c>
      <c r="N576" t="s">
        <v>278</v>
      </c>
    </row>
    <row r="577" spans="1:14" x14ac:dyDescent="0.3">
      <c r="A577" t="s">
        <v>272</v>
      </c>
      <c r="B577" t="s">
        <v>273</v>
      </c>
      <c r="C577">
        <v>380</v>
      </c>
      <c r="D577" t="s">
        <v>19</v>
      </c>
      <c r="E577">
        <v>645</v>
      </c>
      <c r="F577" t="s">
        <v>274</v>
      </c>
      <c r="G577" t="s">
        <v>294</v>
      </c>
      <c r="H577" t="s">
        <v>35</v>
      </c>
      <c r="I577">
        <v>2017</v>
      </c>
      <c r="J577">
        <v>2017</v>
      </c>
      <c r="K577" t="s">
        <v>276</v>
      </c>
      <c r="L577">
        <v>1.45</v>
      </c>
      <c r="M577" t="s">
        <v>277</v>
      </c>
      <c r="N577" t="s">
        <v>278</v>
      </c>
    </row>
    <row r="578" spans="1:14" x14ac:dyDescent="0.3">
      <c r="A578" t="s">
        <v>272</v>
      </c>
      <c r="B578" t="s">
        <v>273</v>
      </c>
      <c r="C578">
        <v>380</v>
      </c>
      <c r="D578" t="s">
        <v>19</v>
      </c>
      <c r="E578">
        <v>645</v>
      </c>
      <c r="F578" t="s">
        <v>274</v>
      </c>
      <c r="G578" t="s">
        <v>294</v>
      </c>
      <c r="H578" t="s">
        <v>35</v>
      </c>
      <c r="I578">
        <v>2018</v>
      </c>
      <c r="J578">
        <v>2018</v>
      </c>
      <c r="K578" t="s">
        <v>276</v>
      </c>
      <c r="L578">
        <v>1.4</v>
      </c>
      <c r="M578" t="s">
        <v>277</v>
      </c>
      <c r="N578" t="s">
        <v>278</v>
      </c>
    </row>
    <row r="579" spans="1:14" x14ac:dyDescent="0.3">
      <c r="A579" t="s">
        <v>272</v>
      </c>
      <c r="B579" t="s">
        <v>273</v>
      </c>
      <c r="C579">
        <v>380</v>
      </c>
      <c r="D579" t="s">
        <v>19</v>
      </c>
      <c r="E579">
        <v>645</v>
      </c>
      <c r="F579" t="s">
        <v>274</v>
      </c>
      <c r="G579" t="s">
        <v>294</v>
      </c>
      <c r="H579" t="s">
        <v>35</v>
      </c>
      <c r="I579">
        <v>2019</v>
      </c>
      <c r="J579">
        <v>2019</v>
      </c>
      <c r="K579" t="s">
        <v>276</v>
      </c>
      <c r="L579">
        <v>1.5</v>
      </c>
      <c r="M579" t="s">
        <v>277</v>
      </c>
      <c r="N579" t="s">
        <v>278</v>
      </c>
    </row>
    <row r="580" spans="1:14" x14ac:dyDescent="0.3">
      <c r="A580" t="s">
        <v>272</v>
      </c>
      <c r="B580" t="s">
        <v>273</v>
      </c>
      <c r="C580">
        <v>380</v>
      </c>
      <c r="D580" t="s">
        <v>19</v>
      </c>
      <c r="E580">
        <v>645</v>
      </c>
      <c r="F580" t="s">
        <v>274</v>
      </c>
      <c r="G580" t="s">
        <v>294</v>
      </c>
      <c r="H580" t="s">
        <v>35</v>
      </c>
      <c r="I580">
        <v>2020</v>
      </c>
      <c r="J580">
        <v>2020</v>
      </c>
      <c r="K580" t="s">
        <v>276</v>
      </c>
      <c r="L580">
        <v>1.5</v>
      </c>
      <c r="M580" t="s">
        <v>277</v>
      </c>
      <c r="N580" t="s">
        <v>278</v>
      </c>
    </row>
    <row r="581" spans="1:14" x14ac:dyDescent="0.3">
      <c r="A581" t="s">
        <v>272</v>
      </c>
      <c r="B581" t="s">
        <v>273</v>
      </c>
      <c r="C581">
        <v>380</v>
      </c>
      <c r="D581" t="s">
        <v>19</v>
      </c>
      <c r="E581">
        <v>645</v>
      </c>
      <c r="F581" t="s">
        <v>274</v>
      </c>
      <c r="G581" t="s">
        <v>294</v>
      </c>
      <c r="H581" t="s">
        <v>35</v>
      </c>
      <c r="I581">
        <v>2021</v>
      </c>
      <c r="J581">
        <v>2021</v>
      </c>
      <c r="K581" t="s">
        <v>276</v>
      </c>
      <c r="L581">
        <v>1.51</v>
      </c>
      <c r="M581" t="s">
        <v>277</v>
      </c>
      <c r="N581" t="s">
        <v>278</v>
      </c>
    </row>
    <row r="582" spans="1:14" x14ac:dyDescent="0.3">
      <c r="A582" t="s">
        <v>272</v>
      </c>
      <c r="B582" t="s">
        <v>273</v>
      </c>
      <c r="C582">
        <v>380</v>
      </c>
      <c r="D582" t="s">
        <v>19</v>
      </c>
      <c r="E582">
        <v>645</v>
      </c>
      <c r="F582" t="s">
        <v>274</v>
      </c>
      <c r="G582" t="s">
        <v>295</v>
      </c>
      <c r="H582" t="s">
        <v>28</v>
      </c>
      <c r="I582">
        <v>2017</v>
      </c>
      <c r="J582">
        <v>2017</v>
      </c>
      <c r="K582" t="s">
        <v>276</v>
      </c>
      <c r="L582">
        <v>2.2799999999999998</v>
      </c>
      <c r="M582" t="s">
        <v>277</v>
      </c>
      <c r="N582" t="s">
        <v>278</v>
      </c>
    </row>
    <row r="583" spans="1:14" x14ac:dyDescent="0.3">
      <c r="A583" t="s">
        <v>272</v>
      </c>
      <c r="B583" t="s">
        <v>273</v>
      </c>
      <c r="C583">
        <v>380</v>
      </c>
      <c r="D583" t="s">
        <v>19</v>
      </c>
      <c r="E583">
        <v>645</v>
      </c>
      <c r="F583" t="s">
        <v>274</v>
      </c>
      <c r="G583" t="s">
        <v>295</v>
      </c>
      <c r="H583" t="s">
        <v>28</v>
      </c>
      <c r="I583">
        <v>2018</v>
      </c>
      <c r="J583">
        <v>2018</v>
      </c>
      <c r="K583" t="s">
        <v>276</v>
      </c>
      <c r="L583">
        <v>2.42</v>
      </c>
      <c r="M583" t="s">
        <v>277</v>
      </c>
      <c r="N583" t="s">
        <v>278</v>
      </c>
    </row>
    <row r="584" spans="1:14" x14ac:dyDescent="0.3">
      <c r="A584" t="s">
        <v>272</v>
      </c>
      <c r="B584" t="s">
        <v>273</v>
      </c>
      <c r="C584">
        <v>380</v>
      </c>
      <c r="D584" t="s">
        <v>19</v>
      </c>
      <c r="E584">
        <v>645</v>
      </c>
      <c r="F584" t="s">
        <v>274</v>
      </c>
      <c r="G584" t="s">
        <v>295</v>
      </c>
      <c r="H584" t="s">
        <v>28</v>
      </c>
      <c r="I584">
        <v>2019</v>
      </c>
      <c r="J584">
        <v>2019</v>
      </c>
      <c r="K584" t="s">
        <v>276</v>
      </c>
      <c r="L584">
        <v>2.21</v>
      </c>
      <c r="M584" t="s">
        <v>277</v>
      </c>
      <c r="N584" t="s">
        <v>278</v>
      </c>
    </row>
    <row r="585" spans="1:14" x14ac:dyDescent="0.3">
      <c r="A585" t="s">
        <v>272</v>
      </c>
      <c r="B585" t="s">
        <v>273</v>
      </c>
      <c r="C585">
        <v>380</v>
      </c>
      <c r="D585" t="s">
        <v>19</v>
      </c>
      <c r="E585">
        <v>645</v>
      </c>
      <c r="F585" t="s">
        <v>274</v>
      </c>
      <c r="G585" t="s">
        <v>295</v>
      </c>
      <c r="H585" t="s">
        <v>28</v>
      </c>
      <c r="I585">
        <v>2020</v>
      </c>
      <c r="J585">
        <v>2020</v>
      </c>
      <c r="K585" t="s">
        <v>276</v>
      </c>
      <c r="L585">
        <v>2.2200000000000002</v>
      </c>
      <c r="M585" t="s">
        <v>277</v>
      </c>
      <c r="N585" t="s">
        <v>278</v>
      </c>
    </row>
    <row r="586" spans="1:14" x14ac:dyDescent="0.3">
      <c r="A586" t="s">
        <v>272</v>
      </c>
      <c r="B586" t="s">
        <v>273</v>
      </c>
      <c r="C586">
        <v>380</v>
      </c>
      <c r="D586" t="s">
        <v>19</v>
      </c>
      <c r="E586">
        <v>645</v>
      </c>
      <c r="F586" t="s">
        <v>274</v>
      </c>
      <c r="G586" t="s">
        <v>295</v>
      </c>
      <c r="H586" t="s">
        <v>28</v>
      </c>
      <c r="I586">
        <v>2021</v>
      </c>
      <c r="J586">
        <v>2021</v>
      </c>
      <c r="K586" t="s">
        <v>276</v>
      </c>
      <c r="L586">
        <v>2.23</v>
      </c>
      <c r="M586" t="s">
        <v>277</v>
      </c>
      <c r="N586" t="s">
        <v>278</v>
      </c>
    </row>
    <row r="587" spans="1:14" x14ac:dyDescent="0.3">
      <c r="A587" t="s">
        <v>272</v>
      </c>
      <c r="B587" t="s">
        <v>273</v>
      </c>
      <c r="C587">
        <v>380</v>
      </c>
      <c r="D587" t="s">
        <v>19</v>
      </c>
      <c r="E587">
        <v>645</v>
      </c>
      <c r="F587" t="s">
        <v>274</v>
      </c>
      <c r="G587" t="s">
        <v>296</v>
      </c>
      <c r="H587" t="s">
        <v>26</v>
      </c>
      <c r="I587">
        <v>2017</v>
      </c>
      <c r="J587">
        <v>2017</v>
      </c>
      <c r="K587" t="s">
        <v>276</v>
      </c>
      <c r="L587">
        <v>4.13</v>
      </c>
      <c r="M587" t="s">
        <v>277</v>
      </c>
      <c r="N587" t="s">
        <v>278</v>
      </c>
    </row>
    <row r="588" spans="1:14" x14ac:dyDescent="0.3">
      <c r="A588" t="s">
        <v>272</v>
      </c>
      <c r="B588" t="s">
        <v>273</v>
      </c>
      <c r="C588">
        <v>380</v>
      </c>
      <c r="D588" t="s">
        <v>19</v>
      </c>
      <c r="E588">
        <v>645</v>
      </c>
      <c r="F588" t="s">
        <v>274</v>
      </c>
      <c r="G588" t="s">
        <v>296</v>
      </c>
      <c r="H588" t="s">
        <v>26</v>
      </c>
      <c r="I588">
        <v>2018</v>
      </c>
      <c r="J588">
        <v>2018</v>
      </c>
      <c r="K588" t="s">
        <v>276</v>
      </c>
      <c r="L588">
        <v>3.87</v>
      </c>
      <c r="M588" t="s">
        <v>277</v>
      </c>
      <c r="N588" t="s">
        <v>278</v>
      </c>
    </row>
    <row r="589" spans="1:14" x14ac:dyDescent="0.3">
      <c r="A589" t="s">
        <v>272</v>
      </c>
      <c r="B589" t="s">
        <v>273</v>
      </c>
      <c r="C589">
        <v>380</v>
      </c>
      <c r="D589" t="s">
        <v>19</v>
      </c>
      <c r="E589">
        <v>645</v>
      </c>
      <c r="F589" t="s">
        <v>274</v>
      </c>
      <c r="G589" t="s">
        <v>296</v>
      </c>
      <c r="H589" t="s">
        <v>26</v>
      </c>
      <c r="I589">
        <v>2019</v>
      </c>
      <c r="J589">
        <v>2019</v>
      </c>
      <c r="K589" t="s">
        <v>276</v>
      </c>
      <c r="L589">
        <v>3.75</v>
      </c>
      <c r="M589" t="s">
        <v>277</v>
      </c>
      <c r="N589" t="s">
        <v>278</v>
      </c>
    </row>
    <row r="590" spans="1:14" x14ac:dyDescent="0.3">
      <c r="A590" t="s">
        <v>272</v>
      </c>
      <c r="B590" t="s">
        <v>273</v>
      </c>
      <c r="C590">
        <v>380</v>
      </c>
      <c r="D590" t="s">
        <v>19</v>
      </c>
      <c r="E590">
        <v>645</v>
      </c>
      <c r="F590" t="s">
        <v>274</v>
      </c>
      <c r="G590" t="s">
        <v>296</v>
      </c>
      <c r="H590" t="s">
        <v>26</v>
      </c>
      <c r="I590">
        <v>2020</v>
      </c>
      <c r="J590">
        <v>2020</v>
      </c>
      <c r="K590" t="s">
        <v>276</v>
      </c>
      <c r="L590">
        <v>3.77</v>
      </c>
      <c r="M590" t="s">
        <v>277</v>
      </c>
      <c r="N590" t="s">
        <v>278</v>
      </c>
    </row>
    <row r="591" spans="1:14" x14ac:dyDescent="0.3">
      <c r="A591" t="s">
        <v>272</v>
      </c>
      <c r="B591" t="s">
        <v>273</v>
      </c>
      <c r="C591">
        <v>380</v>
      </c>
      <c r="D591" t="s">
        <v>19</v>
      </c>
      <c r="E591">
        <v>645</v>
      </c>
      <c r="F591" t="s">
        <v>274</v>
      </c>
      <c r="G591" t="s">
        <v>296</v>
      </c>
      <c r="H591" t="s">
        <v>26</v>
      </c>
      <c r="I591">
        <v>2021</v>
      </c>
      <c r="J591">
        <v>2021</v>
      </c>
      <c r="K591" t="s">
        <v>276</v>
      </c>
      <c r="L591">
        <v>3.78</v>
      </c>
      <c r="M591" t="s">
        <v>277</v>
      </c>
      <c r="N591" t="s">
        <v>278</v>
      </c>
    </row>
    <row r="592" spans="1:14" x14ac:dyDescent="0.3">
      <c r="A592" t="s">
        <v>272</v>
      </c>
      <c r="B592" t="s">
        <v>273</v>
      </c>
      <c r="C592">
        <v>380</v>
      </c>
      <c r="D592" t="s">
        <v>19</v>
      </c>
      <c r="E592">
        <v>645</v>
      </c>
      <c r="F592" t="s">
        <v>274</v>
      </c>
      <c r="G592" t="s">
        <v>297</v>
      </c>
      <c r="H592" t="s">
        <v>38</v>
      </c>
      <c r="I592">
        <v>2017</v>
      </c>
      <c r="J592">
        <v>2017</v>
      </c>
      <c r="K592" t="s">
        <v>276</v>
      </c>
      <c r="L592">
        <v>5.42</v>
      </c>
      <c r="M592" t="s">
        <v>277</v>
      </c>
      <c r="N592" t="s">
        <v>278</v>
      </c>
    </row>
    <row r="593" spans="1:14" x14ac:dyDescent="0.3">
      <c r="A593" t="s">
        <v>272</v>
      </c>
      <c r="B593" t="s">
        <v>273</v>
      </c>
      <c r="C593">
        <v>380</v>
      </c>
      <c r="D593" t="s">
        <v>19</v>
      </c>
      <c r="E593">
        <v>645</v>
      </c>
      <c r="F593" t="s">
        <v>274</v>
      </c>
      <c r="G593" t="s">
        <v>297</v>
      </c>
      <c r="H593" t="s">
        <v>38</v>
      </c>
      <c r="I593">
        <v>2018</v>
      </c>
      <c r="J593">
        <v>2018</v>
      </c>
      <c r="K593" t="s">
        <v>276</v>
      </c>
      <c r="L593">
        <v>4.8899999999999997</v>
      </c>
      <c r="M593" t="s">
        <v>277</v>
      </c>
      <c r="N593" t="s">
        <v>278</v>
      </c>
    </row>
    <row r="594" spans="1:14" x14ac:dyDescent="0.3">
      <c r="A594" t="s">
        <v>272</v>
      </c>
      <c r="B594" t="s">
        <v>273</v>
      </c>
      <c r="C594">
        <v>380</v>
      </c>
      <c r="D594" t="s">
        <v>19</v>
      </c>
      <c r="E594">
        <v>645</v>
      </c>
      <c r="F594" t="s">
        <v>274</v>
      </c>
      <c r="G594" t="s">
        <v>297</v>
      </c>
      <c r="H594" t="s">
        <v>38</v>
      </c>
      <c r="I594">
        <v>2019</v>
      </c>
      <c r="J594">
        <v>2019</v>
      </c>
      <c r="K594" t="s">
        <v>276</v>
      </c>
      <c r="L594">
        <v>5.0199999999999996</v>
      </c>
      <c r="M594" t="s">
        <v>277</v>
      </c>
      <c r="N594" t="s">
        <v>278</v>
      </c>
    </row>
    <row r="595" spans="1:14" x14ac:dyDescent="0.3">
      <c r="A595" t="s">
        <v>272</v>
      </c>
      <c r="B595" t="s">
        <v>273</v>
      </c>
      <c r="C595">
        <v>380</v>
      </c>
      <c r="D595" t="s">
        <v>19</v>
      </c>
      <c r="E595">
        <v>645</v>
      </c>
      <c r="F595" t="s">
        <v>274</v>
      </c>
      <c r="G595" t="s">
        <v>297</v>
      </c>
      <c r="H595" t="s">
        <v>38</v>
      </c>
      <c r="I595">
        <v>2020</v>
      </c>
      <c r="J595">
        <v>2020</v>
      </c>
      <c r="K595" t="s">
        <v>276</v>
      </c>
      <c r="L595">
        <v>5.04</v>
      </c>
      <c r="M595" t="s">
        <v>277</v>
      </c>
      <c r="N595" t="s">
        <v>278</v>
      </c>
    </row>
    <row r="596" spans="1:14" x14ac:dyDescent="0.3">
      <c r="A596" t="s">
        <v>272</v>
      </c>
      <c r="B596" t="s">
        <v>273</v>
      </c>
      <c r="C596">
        <v>380</v>
      </c>
      <c r="D596" t="s">
        <v>19</v>
      </c>
      <c r="E596">
        <v>645</v>
      </c>
      <c r="F596" t="s">
        <v>274</v>
      </c>
      <c r="G596" t="s">
        <v>297</v>
      </c>
      <c r="H596" t="s">
        <v>38</v>
      </c>
      <c r="I596">
        <v>2021</v>
      </c>
      <c r="J596">
        <v>2021</v>
      </c>
      <c r="K596" t="s">
        <v>276</v>
      </c>
      <c r="L596">
        <v>5.0599999999999996</v>
      </c>
      <c r="M596" t="s">
        <v>277</v>
      </c>
      <c r="N596" t="s">
        <v>278</v>
      </c>
    </row>
    <row r="597" spans="1:14" x14ac:dyDescent="0.3">
      <c r="A597" t="s">
        <v>272</v>
      </c>
      <c r="B597" t="s">
        <v>273</v>
      </c>
      <c r="C597">
        <v>380</v>
      </c>
      <c r="D597" t="s">
        <v>19</v>
      </c>
      <c r="E597">
        <v>645</v>
      </c>
      <c r="F597" t="s">
        <v>274</v>
      </c>
      <c r="G597" t="s">
        <v>298</v>
      </c>
      <c r="H597" t="s">
        <v>23</v>
      </c>
      <c r="I597">
        <v>2017</v>
      </c>
      <c r="J597">
        <v>2017</v>
      </c>
      <c r="K597" t="s">
        <v>276</v>
      </c>
      <c r="L597">
        <v>0.02</v>
      </c>
      <c r="M597" t="s">
        <v>277</v>
      </c>
      <c r="N597" t="s">
        <v>278</v>
      </c>
    </row>
    <row r="598" spans="1:14" x14ac:dyDescent="0.3">
      <c r="A598" t="s">
        <v>272</v>
      </c>
      <c r="B598" t="s">
        <v>273</v>
      </c>
      <c r="C598">
        <v>380</v>
      </c>
      <c r="D598" t="s">
        <v>19</v>
      </c>
      <c r="E598">
        <v>645</v>
      </c>
      <c r="F598" t="s">
        <v>274</v>
      </c>
      <c r="G598" t="s">
        <v>298</v>
      </c>
      <c r="H598" t="s">
        <v>23</v>
      </c>
      <c r="I598">
        <v>2018</v>
      </c>
      <c r="J598">
        <v>2018</v>
      </c>
      <c r="K598" t="s">
        <v>276</v>
      </c>
      <c r="L598">
        <v>0.01</v>
      </c>
      <c r="M598" t="s">
        <v>277</v>
      </c>
      <c r="N598" t="s">
        <v>278</v>
      </c>
    </row>
    <row r="599" spans="1:14" x14ac:dyDescent="0.3">
      <c r="A599" t="s">
        <v>272</v>
      </c>
      <c r="B599" t="s">
        <v>273</v>
      </c>
      <c r="C599">
        <v>380</v>
      </c>
      <c r="D599" t="s">
        <v>19</v>
      </c>
      <c r="E599">
        <v>645</v>
      </c>
      <c r="F599" t="s">
        <v>274</v>
      </c>
      <c r="G599" t="s">
        <v>298</v>
      </c>
      <c r="H599" t="s">
        <v>23</v>
      </c>
      <c r="I599">
        <v>2019</v>
      </c>
      <c r="J599">
        <v>2019</v>
      </c>
      <c r="K599" t="s">
        <v>276</v>
      </c>
      <c r="L599">
        <v>0.01</v>
      </c>
      <c r="M599" t="s">
        <v>277</v>
      </c>
      <c r="N599" t="s">
        <v>278</v>
      </c>
    </row>
    <row r="600" spans="1:14" x14ac:dyDescent="0.3">
      <c r="A600" t="s">
        <v>272</v>
      </c>
      <c r="B600" t="s">
        <v>273</v>
      </c>
      <c r="C600">
        <v>380</v>
      </c>
      <c r="D600" t="s">
        <v>19</v>
      </c>
      <c r="E600">
        <v>645</v>
      </c>
      <c r="F600" t="s">
        <v>274</v>
      </c>
      <c r="G600" t="s">
        <v>298</v>
      </c>
      <c r="H600" t="s">
        <v>23</v>
      </c>
      <c r="I600">
        <v>2020</v>
      </c>
      <c r="J600">
        <v>2020</v>
      </c>
      <c r="K600" t="s">
        <v>276</v>
      </c>
      <c r="L600">
        <v>0.01</v>
      </c>
      <c r="M600" t="s">
        <v>277</v>
      </c>
      <c r="N600" t="s">
        <v>278</v>
      </c>
    </row>
    <row r="601" spans="1:14" x14ac:dyDescent="0.3">
      <c r="A601" t="s">
        <v>272</v>
      </c>
      <c r="B601" t="s">
        <v>273</v>
      </c>
      <c r="C601">
        <v>380</v>
      </c>
      <c r="D601" t="s">
        <v>19</v>
      </c>
      <c r="E601">
        <v>645</v>
      </c>
      <c r="F601" t="s">
        <v>274</v>
      </c>
      <c r="G601" t="s">
        <v>298</v>
      </c>
      <c r="H601" t="s">
        <v>23</v>
      </c>
      <c r="I601">
        <v>2021</v>
      </c>
      <c r="J601">
        <v>2021</v>
      </c>
      <c r="K601" t="s">
        <v>276</v>
      </c>
      <c r="L601">
        <v>0.01</v>
      </c>
      <c r="M601" t="s">
        <v>277</v>
      </c>
      <c r="N601" t="s">
        <v>278</v>
      </c>
    </row>
    <row r="602" spans="1:14" x14ac:dyDescent="0.3">
      <c r="A602" t="s">
        <v>272</v>
      </c>
      <c r="B602" t="s">
        <v>273</v>
      </c>
      <c r="C602">
        <v>616</v>
      </c>
      <c r="D602" t="s">
        <v>20</v>
      </c>
      <c r="E602">
        <v>645</v>
      </c>
      <c r="F602" t="s">
        <v>274</v>
      </c>
      <c r="G602" t="s">
        <v>275</v>
      </c>
      <c r="H602" t="s">
        <v>24</v>
      </c>
      <c r="I602">
        <v>2017</v>
      </c>
      <c r="J602">
        <v>2017</v>
      </c>
      <c r="K602" t="s">
        <v>276</v>
      </c>
      <c r="L602">
        <v>0.19</v>
      </c>
      <c r="M602" t="s">
        <v>277</v>
      </c>
      <c r="N602" t="s">
        <v>278</v>
      </c>
    </row>
    <row r="603" spans="1:14" x14ac:dyDescent="0.3">
      <c r="A603" t="s">
        <v>272</v>
      </c>
      <c r="B603" t="s">
        <v>273</v>
      </c>
      <c r="C603">
        <v>616</v>
      </c>
      <c r="D603" t="s">
        <v>20</v>
      </c>
      <c r="E603">
        <v>645</v>
      </c>
      <c r="F603" t="s">
        <v>274</v>
      </c>
      <c r="G603" t="s">
        <v>275</v>
      </c>
      <c r="H603" t="s">
        <v>24</v>
      </c>
      <c r="I603">
        <v>2018</v>
      </c>
      <c r="J603">
        <v>2018</v>
      </c>
      <c r="K603" t="s">
        <v>276</v>
      </c>
      <c r="L603">
        <v>0.79</v>
      </c>
      <c r="M603" t="s">
        <v>277</v>
      </c>
      <c r="N603" t="s">
        <v>278</v>
      </c>
    </row>
    <row r="604" spans="1:14" x14ac:dyDescent="0.3">
      <c r="A604" t="s">
        <v>272</v>
      </c>
      <c r="B604" t="s">
        <v>273</v>
      </c>
      <c r="C604">
        <v>616</v>
      </c>
      <c r="D604" t="s">
        <v>20</v>
      </c>
      <c r="E604">
        <v>645</v>
      </c>
      <c r="F604" t="s">
        <v>274</v>
      </c>
      <c r="G604" t="s">
        <v>275</v>
      </c>
      <c r="H604" t="s">
        <v>24</v>
      </c>
      <c r="I604">
        <v>2019</v>
      </c>
      <c r="J604">
        <v>2019</v>
      </c>
      <c r="K604" t="s">
        <v>276</v>
      </c>
      <c r="L604">
        <v>1.07</v>
      </c>
      <c r="M604" t="s">
        <v>277</v>
      </c>
      <c r="N604" t="s">
        <v>278</v>
      </c>
    </row>
    <row r="605" spans="1:14" x14ac:dyDescent="0.3">
      <c r="A605" t="s">
        <v>272</v>
      </c>
      <c r="B605" t="s">
        <v>273</v>
      </c>
      <c r="C605">
        <v>616</v>
      </c>
      <c r="D605" t="s">
        <v>20</v>
      </c>
      <c r="E605">
        <v>645</v>
      </c>
      <c r="F605" t="s">
        <v>274</v>
      </c>
      <c r="G605" t="s">
        <v>275</v>
      </c>
      <c r="H605" t="s">
        <v>24</v>
      </c>
      <c r="I605">
        <v>2020</v>
      </c>
      <c r="J605">
        <v>2020</v>
      </c>
      <c r="K605" t="s">
        <v>276</v>
      </c>
      <c r="L605">
        <v>1.47</v>
      </c>
      <c r="M605" t="s">
        <v>277</v>
      </c>
      <c r="N605" t="s">
        <v>278</v>
      </c>
    </row>
    <row r="606" spans="1:14" x14ac:dyDescent="0.3">
      <c r="A606" t="s">
        <v>272</v>
      </c>
      <c r="B606" t="s">
        <v>273</v>
      </c>
      <c r="C606">
        <v>616</v>
      </c>
      <c r="D606" t="s">
        <v>20</v>
      </c>
      <c r="E606">
        <v>645</v>
      </c>
      <c r="F606" t="s">
        <v>274</v>
      </c>
      <c r="G606" t="s">
        <v>275</v>
      </c>
      <c r="H606" t="s">
        <v>24</v>
      </c>
      <c r="I606">
        <v>2021</v>
      </c>
      <c r="J606">
        <v>2021</v>
      </c>
      <c r="K606" t="s">
        <v>276</v>
      </c>
      <c r="L606">
        <v>1.7</v>
      </c>
      <c r="M606" t="s">
        <v>277</v>
      </c>
      <c r="N606" t="s">
        <v>278</v>
      </c>
    </row>
    <row r="607" spans="1:14" x14ac:dyDescent="0.3">
      <c r="A607" t="s">
        <v>272</v>
      </c>
      <c r="B607" t="s">
        <v>273</v>
      </c>
      <c r="C607">
        <v>616</v>
      </c>
      <c r="D607" t="s">
        <v>20</v>
      </c>
      <c r="E607">
        <v>645</v>
      </c>
      <c r="F607" t="s">
        <v>274</v>
      </c>
      <c r="G607" t="s">
        <v>279</v>
      </c>
      <c r="H607" t="s">
        <v>39</v>
      </c>
      <c r="I607">
        <v>2017</v>
      </c>
      <c r="J607">
        <v>2017</v>
      </c>
      <c r="K607" t="s">
        <v>276</v>
      </c>
      <c r="L607">
        <v>0.03</v>
      </c>
      <c r="M607" t="s">
        <v>277</v>
      </c>
      <c r="N607" t="s">
        <v>278</v>
      </c>
    </row>
    <row r="608" spans="1:14" x14ac:dyDescent="0.3">
      <c r="A608" t="s">
        <v>272</v>
      </c>
      <c r="B608" t="s">
        <v>273</v>
      </c>
      <c r="C608">
        <v>616</v>
      </c>
      <c r="D608" t="s">
        <v>20</v>
      </c>
      <c r="E608">
        <v>645</v>
      </c>
      <c r="F608" t="s">
        <v>274</v>
      </c>
      <c r="G608" t="s">
        <v>279</v>
      </c>
      <c r="H608" t="s">
        <v>39</v>
      </c>
      <c r="I608">
        <v>2018</v>
      </c>
      <c r="J608">
        <v>2018</v>
      </c>
      <c r="K608" t="s">
        <v>276</v>
      </c>
      <c r="L608">
        <v>0.03</v>
      </c>
      <c r="M608" t="s">
        <v>277</v>
      </c>
      <c r="N608" t="s">
        <v>278</v>
      </c>
    </row>
    <row r="609" spans="1:14" x14ac:dyDescent="0.3">
      <c r="A609" t="s">
        <v>272</v>
      </c>
      <c r="B609" t="s">
        <v>273</v>
      </c>
      <c r="C609">
        <v>616</v>
      </c>
      <c r="D609" t="s">
        <v>20</v>
      </c>
      <c r="E609">
        <v>645</v>
      </c>
      <c r="F609" t="s">
        <v>274</v>
      </c>
      <c r="G609" t="s">
        <v>279</v>
      </c>
      <c r="H609" t="s">
        <v>39</v>
      </c>
      <c r="I609">
        <v>2019</v>
      </c>
      <c r="J609">
        <v>2019</v>
      </c>
      <c r="K609" t="s">
        <v>276</v>
      </c>
      <c r="L609">
        <v>0.05</v>
      </c>
      <c r="M609" t="s">
        <v>277</v>
      </c>
      <c r="N609" t="s">
        <v>278</v>
      </c>
    </row>
    <row r="610" spans="1:14" x14ac:dyDescent="0.3">
      <c r="A610" t="s">
        <v>272</v>
      </c>
      <c r="B610" t="s">
        <v>273</v>
      </c>
      <c r="C610">
        <v>616</v>
      </c>
      <c r="D610" t="s">
        <v>20</v>
      </c>
      <c r="E610">
        <v>645</v>
      </c>
      <c r="F610" t="s">
        <v>274</v>
      </c>
      <c r="G610" t="s">
        <v>279</v>
      </c>
      <c r="H610" t="s">
        <v>39</v>
      </c>
      <c r="I610">
        <v>2020</v>
      </c>
      <c r="J610">
        <v>2020</v>
      </c>
      <c r="K610" t="s">
        <v>276</v>
      </c>
      <c r="L610">
        <v>0.03</v>
      </c>
      <c r="M610" t="s">
        <v>277</v>
      </c>
      <c r="N610" t="s">
        <v>278</v>
      </c>
    </row>
    <row r="611" spans="1:14" x14ac:dyDescent="0.3">
      <c r="A611" t="s">
        <v>272</v>
      </c>
      <c r="B611" t="s">
        <v>273</v>
      </c>
      <c r="C611">
        <v>616</v>
      </c>
      <c r="D611" t="s">
        <v>20</v>
      </c>
      <c r="E611">
        <v>645</v>
      </c>
      <c r="F611" t="s">
        <v>274</v>
      </c>
      <c r="G611" t="s">
        <v>279</v>
      </c>
      <c r="H611" t="s">
        <v>39</v>
      </c>
      <c r="I611">
        <v>2021</v>
      </c>
      <c r="J611">
        <v>2021</v>
      </c>
      <c r="K611" t="s">
        <v>276</v>
      </c>
      <c r="L611">
        <v>0.02</v>
      </c>
      <c r="M611" t="s">
        <v>277</v>
      </c>
      <c r="N611" t="s">
        <v>278</v>
      </c>
    </row>
    <row r="612" spans="1:14" x14ac:dyDescent="0.3">
      <c r="A612" t="s">
        <v>272</v>
      </c>
      <c r="B612" t="s">
        <v>273</v>
      </c>
      <c r="C612">
        <v>616</v>
      </c>
      <c r="D612" t="s">
        <v>20</v>
      </c>
      <c r="E612">
        <v>645</v>
      </c>
      <c r="F612" t="s">
        <v>274</v>
      </c>
      <c r="G612" t="s">
        <v>280</v>
      </c>
      <c r="H612" t="s">
        <v>42</v>
      </c>
      <c r="I612">
        <v>2017</v>
      </c>
      <c r="J612">
        <v>2017</v>
      </c>
      <c r="K612" t="s">
        <v>276</v>
      </c>
      <c r="L612">
        <v>53.98</v>
      </c>
      <c r="M612" t="s">
        <v>277</v>
      </c>
      <c r="N612" t="s">
        <v>278</v>
      </c>
    </row>
    <row r="613" spans="1:14" x14ac:dyDescent="0.3">
      <c r="A613" t="s">
        <v>272</v>
      </c>
      <c r="B613" t="s">
        <v>273</v>
      </c>
      <c r="C613">
        <v>616</v>
      </c>
      <c r="D613" t="s">
        <v>20</v>
      </c>
      <c r="E613">
        <v>645</v>
      </c>
      <c r="F613" t="s">
        <v>274</v>
      </c>
      <c r="G613" t="s">
        <v>280</v>
      </c>
      <c r="H613" t="s">
        <v>42</v>
      </c>
      <c r="I613">
        <v>2018</v>
      </c>
      <c r="J613">
        <v>2018</v>
      </c>
      <c r="K613" t="s">
        <v>276</v>
      </c>
      <c r="L613">
        <v>57.5</v>
      </c>
      <c r="M613" t="s">
        <v>277</v>
      </c>
      <c r="N613" t="s">
        <v>278</v>
      </c>
    </row>
    <row r="614" spans="1:14" x14ac:dyDescent="0.3">
      <c r="A614" t="s">
        <v>272</v>
      </c>
      <c r="B614" t="s">
        <v>273</v>
      </c>
      <c r="C614">
        <v>616</v>
      </c>
      <c r="D614" t="s">
        <v>20</v>
      </c>
      <c r="E614">
        <v>645</v>
      </c>
      <c r="F614" t="s">
        <v>274</v>
      </c>
      <c r="G614" t="s">
        <v>280</v>
      </c>
      <c r="H614" t="s">
        <v>42</v>
      </c>
      <c r="I614">
        <v>2019</v>
      </c>
      <c r="J614">
        <v>2019</v>
      </c>
      <c r="K614" t="s">
        <v>276</v>
      </c>
      <c r="L614">
        <v>53.41</v>
      </c>
      <c r="M614" t="s">
        <v>277</v>
      </c>
      <c r="N614" t="s">
        <v>278</v>
      </c>
    </row>
    <row r="615" spans="1:14" x14ac:dyDescent="0.3">
      <c r="A615" t="s">
        <v>272</v>
      </c>
      <c r="B615" t="s">
        <v>273</v>
      </c>
      <c r="C615">
        <v>616</v>
      </c>
      <c r="D615" t="s">
        <v>20</v>
      </c>
      <c r="E615">
        <v>645</v>
      </c>
      <c r="F615" t="s">
        <v>274</v>
      </c>
      <c r="G615" t="s">
        <v>280</v>
      </c>
      <c r="H615" t="s">
        <v>42</v>
      </c>
      <c r="I615">
        <v>2020</v>
      </c>
      <c r="J615">
        <v>2020</v>
      </c>
      <c r="K615" t="s">
        <v>276</v>
      </c>
      <c r="L615">
        <v>54.11</v>
      </c>
      <c r="M615" t="s">
        <v>277</v>
      </c>
      <c r="N615" t="s">
        <v>278</v>
      </c>
    </row>
    <row r="616" spans="1:14" x14ac:dyDescent="0.3">
      <c r="A616" t="s">
        <v>272</v>
      </c>
      <c r="B616" t="s">
        <v>273</v>
      </c>
      <c r="C616">
        <v>616</v>
      </c>
      <c r="D616" t="s">
        <v>20</v>
      </c>
      <c r="E616">
        <v>645</v>
      </c>
      <c r="F616" t="s">
        <v>274</v>
      </c>
      <c r="G616" t="s">
        <v>280</v>
      </c>
      <c r="H616" t="s">
        <v>42</v>
      </c>
      <c r="I616">
        <v>2021</v>
      </c>
      <c r="J616">
        <v>2021</v>
      </c>
      <c r="K616" t="s">
        <v>276</v>
      </c>
      <c r="L616">
        <v>56.18</v>
      </c>
      <c r="M616" t="s">
        <v>277</v>
      </c>
      <c r="N616" t="s">
        <v>278</v>
      </c>
    </row>
    <row r="617" spans="1:14" x14ac:dyDescent="0.3">
      <c r="A617" t="s">
        <v>272</v>
      </c>
      <c r="B617" t="s">
        <v>273</v>
      </c>
      <c r="C617">
        <v>616</v>
      </c>
      <c r="D617" t="s">
        <v>20</v>
      </c>
      <c r="E617">
        <v>645</v>
      </c>
      <c r="F617" t="s">
        <v>274</v>
      </c>
      <c r="G617" t="s">
        <v>281</v>
      </c>
      <c r="H617" t="s">
        <v>43</v>
      </c>
      <c r="I617">
        <v>2017</v>
      </c>
      <c r="J617">
        <v>2017</v>
      </c>
      <c r="K617" t="s">
        <v>276</v>
      </c>
      <c r="L617">
        <v>33.03</v>
      </c>
      <c r="M617" t="s">
        <v>277</v>
      </c>
      <c r="N617" t="s">
        <v>278</v>
      </c>
    </row>
    <row r="618" spans="1:14" x14ac:dyDescent="0.3">
      <c r="A618" t="s">
        <v>272</v>
      </c>
      <c r="B618" t="s">
        <v>273</v>
      </c>
      <c r="C618">
        <v>616</v>
      </c>
      <c r="D618" t="s">
        <v>20</v>
      </c>
      <c r="E618">
        <v>645</v>
      </c>
      <c r="F618" t="s">
        <v>274</v>
      </c>
      <c r="G618" t="s">
        <v>281</v>
      </c>
      <c r="H618" t="s">
        <v>43</v>
      </c>
      <c r="I618">
        <v>2018</v>
      </c>
      <c r="J618">
        <v>2018</v>
      </c>
      <c r="K618" t="s">
        <v>276</v>
      </c>
      <c r="L618">
        <v>29.96</v>
      </c>
      <c r="M618" t="s">
        <v>277</v>
      </c>
      <c r="N618" t="s">
        <v>278</v>
      </c>
    </row>
    <row r="619" spans="1:14" x14ac:dyDescent="0.3">
      <c r="A619" t="s">
        <v>272</v>
      </c>
      <c r="B619" t="s">
        <v>273</v>
      </c>
      <c r="C619">
        <v>616</v>
      </c>
      <c r="D619" t="s">
        <v>20</v>
      </c>
      <c r="E619">
        <v>645</v>
      </c>
      <c r="F619" t="s">
        <v>274</v>
      </c>
      <c r="G619" t="s">
        <v>281</v>
      </c>
      <c r="H619" t="s">
        <v>43</v>
      </c>
      <c r="I619">
        <v>2019</v>
      </c>
      <c r="J619">
        <v>2019</v>
      </c>
      <c r="K619" t="s">
        <v>276</v>
      </c>
      <c r="L619">
        <v>29.97</v>
      </c>
      <c r="M619" t="s">
        <v>277</v>
      </c>
      <c r="N619" t="s">
        <v>278</v>
      </c>
    </row>
    <row r="620" spans="1:14" x14ac:dyDescent="0.3">
      <c r="A620" t="s">
        <v>272</v>
      </c>
      <c r="B620" t="s">
        <v>273</v>
      </c>
      <c r="C620">
        <v>616</v>
      </c>
      <c r="D620" t="s">
        <v>20</v>
      </c>
      <c r="E620">
        <v>645</v>
      </c>
      <c r="F620" t="s">
        <v>274</v>
      </c>
      <c r="G620" t="s">
        <v>281</v>
      </c>
      <c r="H620" t="s">
        <v>43</v>
      </c>
      <c r="I620">
        <v>2020</v>
      </c>
      <c r="J620">
        <v>2020</v>
      </c>
      <c r="K620" t="s">
        <v>276</v>
      </c>
      <c r="L620">
        <v>32.299999999999997</v>
      </c>
      <c r="M620" t="s">
        <v>277</v>
      </c>
      <c r="N620" t="s">
        <v>278</v>
      </c>
    </row>
    <row r="621" spans="1:14" x14ac:dyDescent="0.3">
      <c r="A621" t="s">
        <v>272</v>
      </c>
      <c r="B621" t="s">
        <v>273</v>
      </c>
      <c r="C621">
        <v>616</v>
      </c>
      <c r="D621" t="s">
        <v>20</v>
      </c>
      <c r="E621">
        <v>645</v>
      </c>
      <c r="F621" t="s">
        <v>274</v>
      </c>
      <c r="G621" t="s">
        <v>281</v>
      </c>
      <c r="H621" t="s">
        <v>43</v>
      </c>
      <c r="I621">
        <v>2021</v>
      </c>
      <c r="J621">
        <v>2021</v>
      </c>
      <c r="K621" t="s">
        <v>276</v>
      </c>
      <c r="L621">
        <v>31.27</v>
      </c>
      <c r="M621" t="s">
        <v>277</v>
      </c>
      <c r="N621" t="s">
        <v>278</v>
      </c>
    </row>
    <row r="622" spans="1:14" x14ac:dyDescent="0.3">
      <c r="A622" t="s">
        <v>272</v>
      </c>
      <c r="B622" t="s">
        <v>273</v>
      </c>
      <c r="C622">
        <v>616</v>
      </c>
      <c r="D622" t="s">
        <v>20</v>
      </c>
      <c r="E622">
        <v>645</v>
      </c>
      <c r="F622" t="s">
        <v>274</v>
      </c>
      <c r="G622" t="s">
        <v>282</v>
      </c>
      <c r="H622" t="s">
        <v>36</v>
      </c>
      <c r="I622">
        <v>2017</v>
      </c>
      <c r="J622">
        <v>2017</v>
      </c>
      <c r="K622" t="s">
        <v>276</v>
      </c>
      <c r="L622">
        <v>0.1</v>
      </c>
      <c r="M622" t="s">
        <v>277</v>
      </c>
      <c r="N622" t="s">
        <v>278</v>
      </c>
    </row>
    <row r="623" spans="1:14" x14ac:dyDescent="0.3">
      <c r="A623" t="s">
        <v>272</v>
      </c>
      <c r="B623" t="s">
        <v>273</v>
      </c>
      <c r="C623">
        <v>616</v>
      </c>
      <c r="D623" t="s">
        <v>20</v>
      </c>
      <c r="E623">
        <v>645</v>
      </c>
      <c r="F623" t="s">
        <v>274</v>
      </c>
      <c r="G623" t="s">
        <v>282</v>
      </c>
      <c r="H623" t="s">
        <v>36</v>
      </c>
      <c r="I623">
        <v>2018</v>
      </c>
      <c r="J623">
        <v>2018</v>
      </c>
      <c r="K623" t="s">
        <v>276</v>
      </c>
      <c r="L623">
        <v>0.1</v>
      </c>
      <c r="M623" t="s">
        <v>277</v>
      </c>
      <c r="N623" t="s">
        <v>278</v>
      </c>
    </row>
    <row r="624" spans="1:14" x14ac:dyDescent="0.3">
      <c r="A624" t="s">
        <v>272</v>
      </c>
      <c r="B624" t="s">
        <v>273</v>
      </c>
      <c r="C624">
        <v>616</v>
      </c>
      <c r="D624" t="s">
        <v>20</v>
      </c>
      <c r="E624">
        <v>645</v>
      </c>
      <c r="F624" t="s">
        <v>274</v>
      </c>
      <c r="G624" t="s">
        <v>282</v>
      </c>
      <c r="H624" t="s">
        <v>36</v>
      </c>
      <c r="I624">
        <v>2019</v>
      </c>
      <c r="J624">
        <v>2019</v>
      </c>
      <c r="K624" t="s">
        <v>276</v>
      </c>
      <c r="L624">
        <v>0.11</v>
      </c>
      <c r="M624" t="s">
        <v>277</v>
      </c>
      <c r="N624" t="s">
        <v>278</v>
      </c>
    </row>
    <row r="625" spans="1:14" x14ac:dyDescent="0.3">
      <c r="A625" t="s">
        <v>272</v>
      </c>
      <c r="B625" t="s">
        <v>273</v>
      </c>
      <c r="C625">
        <v>616</v>
      </c>
      <c r="D625" t="s">
        <v>20</v>
      </c>
      <c r="E625">
        <v>645</v>
      </c>
      <c r="F625" t="s">
        <v>274</v>
      </c>
      <c r="G625" t="s">
        <v>282</v>
      </c>
      <c r="H625" t="s">
        <v>36</v>
      </c>
      <c r="I625">
        <v>2020</v>
      </c>
      <c r="J625">
        <v>2020</v>
      </c>
      <c r="K625" t="s">
        <v>276</v>
      </c>
      <c r="L625">
        <v>0.11</v>
      </c>
      <c r="M625" t="s">
        <v>277</v>
      </c>
      <c r="N625" t="s">
        <v>278</v>
      </c>
    </row>
    <row r="626" spans="1:14" x14ac:dyDescent="0.3">
      <c r="A626" t="s">
        <v>272</v>
      </c>
      <c r="B626" t="s">
        <v>273</v>
      </c>
      <c r="C626">
        <v>616</v>
      </c>
      <c r="D626" t="s">
        <v>20</v>
      </c>
      <c r="E626">
        <v>645</v>
      </c>
      <c r="F626" t="s">
        <v>274</v>
      </c>
      <c r="G626" t="s">
        <v>282</v>
      </c>
      <c r="H626" t="s">
        <v>36</v>
      </c>
      <c r="I626">
        <v>2021</v>
      </c>
      <c r="J626">
        <v>2021</v>
      </c>
      <c r="K626" t="s">
        <v>276</v>
      </c>
      <c r="L626">
        <v>0.09</v>
      </c>
      <c r="M626" t="s">
        <v>277</v>
      </c>
      <c r="N626" t="s">
        <v>278</v>
      </c>
    </row>
    <row r="627" spans="1:14" x14ac:dyDescent="0.3">
      <c r="A627" t="s">
        <v>272</v>
      </c>
      <c r="B627" t="s">
        <v>273</v>
      </c>
      <c r="C627">
        <v>616</v>
      </c>
      <c r="D627" t="s">
        <v>20</v>
      </c>
      <c r="E627">
        <v>645</v>
      </c>
      <c r="F627" t="s">
        <v>274</v>
      </c>
      <c r="G627" t="s">
        <v>283</v>
      </c>
      <c r="H627" t="s">
        <v>40</v>
      </c>
      <c r="I627">
        <v>2017</v>
      </c>
      <c r="J627">
        <v>2017</v>
      </c>
      <c r="K627" t="s">
        <v>276</v>
      </c>
      <c r="L627">
        <v>0.3</v>
      </c>
      <c r="M627" t="s">
        <v>277</v>
      </c>
      <c r="N627" t="s">
        <v>278</v>
      </c>
    </row>
    <row r="628" spans="1:14" x14ac:dyDescent="0.3">
      <c r="A628" t="s">
        <v>272</v>
      </c>
      <c r="B628" t="s">
        <v>273</v>
      </c>
      <c r="C628">
        <v>616</v>
      </c>
      <c r="D628" t="s">
        <v>20</v>
      </c>
      <c r="E628">
        <v>645</v>
      </c>
      <c r="F628" t="s">
        <v>274</v>
      </c>
      <c r="G628" t="s">
        <v>283</v>
      </c>
      <c r="H628" t="s">
        <v>40</v>
      </c>
      <c r="I628">
        <v>2018</v>
      </c>
      <c r="J628">
        <v>2018</v>
      </c>
      <c r="K628" t="s">
        <v>276</v>
      </c>
      <c r="L628">
        <v>1.47</v>
      </c>
      <c r="M628" t="s">
        <v>277</v>
      </c>
      <c r="N628" t="s">
        <v>278</v>
      </c>
    </row>
    <row r="629" spans="1:14" x14ac:dyDescent="0.3">
      <c r="A629" t="s">
        <v>272</v>
      </c>
      <c r="B629" t="s">
        <v>273</v>
      </c>
      <c r="C629">
        <v>616</v>
      </c>
      <c r="D629" t="s">
        <v>20</v>
      </c>
      <c r="E629">
        <v>645</v>
      </c>
      <c r="F629" t="s">
        <v>274</v>
      </c>
      <c r="G629" t="s">
        <v>283</v>
      </c>
      <c r="H629" t="s">
        <v>40</v>
      </c>
      <c r="I629">
        <v>2019</v>
      </c>
      <c r="J629">
        <v>2019</v>
      </c>
      <c r="K629" t="s">
        <v>276</v>
      </c>
      <c r="L629">
        <v>1.24</v>
      </c>
      <c r="M629" t="s">
        <v>277</v>
      </c>
      <c r="N629" t="s">
        <v>278</v>
      </c>
    </row>
    <row r="630" spans="1:14" x14ac:dyDescent="0.3">
      <c r="A630" t="s">
        <v>272</v>
      </c>
      <c r="B630" t="s">
        <v>273</v>
      </c>
      <c r="C630">
        <v>616</v>
      </c>
      <c r="D630" t="s">
        <v>20</v>
      </c>
      <c r="E630">
        <v>645</v>
      </c>
      <c r="F630" t="s">
        <v>274</v>
      </c>
      <c r="G630" t="s">
        <v>283</v>
      </c>
      <c r="H630" t="s">
        <v>40</v>
      </c>
      <c r="I630">
        <v>2020</v>
      </c>
      <c r="J630">
        <v>2020</v>
      </c>
      <c r="K630" t="s">
        <v>276</v>
      </c>
      <c r="L630">
        <v>1.1499999999999999</v>
      </c>
      <c r="M630" t="s">
        <v>277</v>
      </c>
      <c r="N630" t="s">
        <v>278</v>
      </c>
    </row>
    <row r="631" spans="1:14" x14ac:dyDescent="0.3">
      <c r="A631" t="s">
        <v>272</v>
      </c>
      <c r="B631" t="s">
        <v>273</v>
      </c>
      <c r="C631">
        <v>616</v>
      </c>
      <c r="D631" t="s">
        <v>20</v>
      </c>
      <c r="E631">
        <v>645</v>
      </c>
      <c r="F631" t="s">
        <v>274</v>
      </c>
      <c r="G631" t="s">
        <v>283</v>
      </c>
      <c r="H631" t="s">
        <v>40</v>
      </c>
      <c r="I631">
        <v>2021</v>
      </c>
      <c r="J631">
        <v>2021</v>
      </c>
      <c r="K631" t="s">
        <v>276</v>
      </c>
      <c r="L631">
        <v>1.1399999999999999</v>
      </c>
      <c r="M631" t="s">
        <v>277</v>
      </c>
      <c r="N631" t="s">
        <v>278</v>
      </c>
    </row>
    <row r="632" spans="1:14" x14ac:dyDescent="0.3">
      <c r="A632" t="s">
        <v>272</v>
      </c>
      <c r="B632" t="s">
        <v>273</v>
      </c>
      <c r="C632">
        <v>616</v>
      </c>
      <c r="D632" t="s">
        <v>20</v>
      </c>
      <c r="E632">
        <v>645</v>
      </c>
      <c r="F632" t="s">
        <v>274</v>
      </c>
      <c r="G632" t="s">
        <v>284</v>
      </c>
      <c r="H632" t="s">
        <v>25</v>
      </c>
      <c r="I632">
        <v>2017</v>
      </c>
      <c r="J632">
        <v>2017</v>
      </c>
      <c r="K632" t="s">
        <v>276</v>
      </c>
      <c r="L632">
        <v>3.39</v>
      </c>
      <c r="M632" t="s">
        <v>277</v>
      </c>
      <c r="N632" t="s">
        <v>278</v>
      </c>
    </row>
    <row r="633" spans="1:14" x14ac:dyDescent="0.3">
      <c r="A633" t="s">
        <v>272</v>
      </c>
      <c r="B633" t="s">
        <v>273</v>
      </c>
      <c r="C633">
        <v>616</v>
      </c>
      <c r="D633" t="s">
        <v>20</v>
      </c>
      <c r="E633">
        <v>645</v>
      </c>
      <c r="F633" t="s">
        <v>274</v>
      </c>
      <c r="G633" t="s">
        <v>284</v>
      </c>
      <c r="H633" t="s">
        <v>25</v>
      </c>
      <c r="I633">
        <v>2018</v>
      </c>
      <c r="J633">
        <v>2018</v>
      </c>
      <c r="K633" t="s">
        <v>276</v>
      </c>
      <c r="L633">
        <v>3.4</v>
      </c>
      <c r="M633" t="s">
        <v>277</v>
      </c>
      <c r="N633" t="s">
        <v>278</v>
      </c>
    </row>
    <row r="634" spans="1:14" x14ac:dyDescent="0.3">
      <c r="A634" t="s">
        <v>272</v>
      </c>
      <c r="B634" t="s">
        <v>273</v>
      </c>
      <c r="C634">
        <v>616</v>
      </c>
      <c r="D634" t="s">
        <v>20</v>
      </c>
      <c r="E634">
        <v>645</v>
      </c>
      <c r="F634" t="s">
        <v>274</v>
      </c>
      <c r="G634" t="s">
        <v>284</v>
      </c>
      <c r="H634" t="s">
        <v>25</v>
      </c>
      <c r="I634">
        <v>2019</v>
      </c>
      <c r="J634">
        <v>2019</v>
      </c>
      <c r="K634" t="s">
        <v>276</v>
      </c>
      <c r="L634">
        <v>4.8</v>
      </c>
      <c r="M634" t="s">
        <v>277</v>
      </c>
      <c r="N634" t="s">
        <v>278</v>
      </c>
    </row>
    <row r="635" spans="1:14" x14ac:dyDescent="0.3">
      <c r="A635" t="s">
        <v>272</v>
      </c>
      <c r="B635" t="s">
        <v>273</v>
      </c>
      <c r="C635">
        <v>616</v>
      </c>
      <c r="D635" t="s">
        <v>20</v>
      </c>
      <c r="E635">
        <v>645</v>
      </c>
      <c r="F635" t="s">
        <v>274</v>
      </c>
      <c r="G635" t="s">
        <v>284</v>
      </c>
      <c r="H635" t="s">
        <v>25</v>
      </c>
      <c r="I635">
        <v>2020</v>
      </c>
      <c r="J635">
        <v>2020</v>
      </c>
      <c r="K635" t="s">
        <v>276</v>
      </c>
      <c r="L635">
        <v>5.36</v>
      </c>
      <c r="M635" t="s">
        <v>277</v>
      </c>
      <c r="N635" t="s">
        <v>278</v>
      </c>
    </row>
    <row r="636" spans="1:14" x14ac:dyDescent="0.3">
      <c r="A636" t="s">
        <v>272</v>
      </c>
      <c r="B636" t="s">
        <v>273</v>
      </c>
      <c r="C636">
        <v>616</v>
      </c>
      <c r="D636" t="s">
        <v>20</v>
      </c>
      <c r="E636">
        <v>645</v>
      </c>
      <c r="F636" t="s">
        <v>274</v>
      </c>
      <c r="G636" t="s">
        <v>284</v>
      </c>
      <c r="H636" t="s">
        <v>25</v>
      </c>
      <c r="I636">
        <v>2021</v>
      </c>
      <c r="J636">
        <v>2021</v>
      </c>
      <c r="K636" t="s">
        <v>276</v>
      </c>
      <c r="L636">
        <v>5.62</v>
      </c>
      <c r="M636" t="s">
        <v>277</v>
      </c>
      <c r="N636" t="s">
        <v>278</v>
      </c>
    </row>
    <row r="637" spans="1:14" x14ac:dyDescent="0.3">
      <c r="A637" t="s">
        <v>272</v>
      </c>
      <c r="B637" t="s">
        <v>273</v>
      </c>
      <c r="C637">
        <v>616</v>
      </c>
      <c r="D637" t="s">
        <v>20</v>
      </c>
      <c r="E637">
        <v>645</v>
      </c>
      <c r="F637" t="s">
        <v>274</v>
      </c>
      <c r="G637" t="s">
        <v>285</v>
      </c>
      <c r="H637" t="s">
        <v>27</v>
      </c>
      <c r="I637">
        <v>2017</v>
      </c>
      <c r="J637">
        <v>2017</v>
      </c>
      <c r="K637" t="s">
        <v>276</v>
      </c>
      <c r="L637">
        <v>6.81</v>
      </c>
      <c r="M637" t="s">
        <v>277</v>
      </c>
      <c r="N637" t="s">
        <v>278</v>
      </c>
    </row>
    <row r="638" spans="1:14" x14ac:dyDescent="0.3">
      <c r="A638" t="s">
        <v>272</v>
      </c>
      <c r="B638" t="s">
        <v>273</v>
      </c>
      <c r="C638">
        <v>616</v>
      </c>
      <c r="D638" t="s">
        <v>20</v>
      </c>
      <c r="E638">
        <v>645</v>
      </c>
      <c r="F638" t="s">
        <v>274</v>
      </c>
      <c r="G638" t="s">
        <v>285</v>
      </c>
      <c r="H638" t="s">
        <v>27</v>
      </c>
      <c r="I638">
        <v>2018</v>
      </c>
      <c r="J638">
        <v>2018</v>
      </c>
      <c r="K638" t="s">
        <v>276</v>
      </c>
      <c r="L638">
        <v>7.36</v>
      </c>
      <c r="M638" t="s">
        <v>277</v>
      </c>
      <c r="N638" t="s">
        <v>278</v>
      </c>
    </row>
    <row r="639" spans="1:14" x14ac:dyDescent="0.3">
      <c r="A639" t="s">
        <v>272</v>
      </c>
      <c r="B639" t="s">
        <v>273</v>
      </c>
      <c r="C639">
        <v>616</v>
      </c>
      <c r="D639" t="s">
        <v>20</v>
      </c>
      <c r="E639">
        <v>645</v>
      </c>
      <c r="F639" t="s">
        <v>274</v>
      </c>
      <c r="G639" t="s">
        <v>285</v>
      </c>
      <c r="H639" t="s">
        <v>27</v>
      </c>
      <c r="I639">
        <v>2019</v>
      </c>
      <c r="J639">
        <v>2019</v>
      </c>
      <c r="K639" t="s">
        <v>276</v>
      </c>
      <c r="L639">
        <v>6.29</v>
      </c>
      <c r="M639" t="s">
        <v>277</v>
      </c>
      <c r="N639" t="s">
        <v>278</v>
      </c>
    </row>
    <row r="640" spans="1:14" x14ac:dyDescent="0.3">
      <c r="A640" t="s">
        <v>272</v>
      </c>
      <c r="B640" t="s">
        <v>273</v>
      </c>
      <c r="C640">
        <v>616</v>
      </c>
      <c r="D640" t="s">
        <v>20</v>
      </c>
      <c r="E640">
        <v>645</v>
      </c>
      <c r="F640" t="s">
        <v>274</v>
      </c>
      <c r="G640" t="s">
        <v>285</v>
      </c>
      <c r="H640" t="s">
        <v>27</v>
      </c>
      <c r="I640">
        <v>2020</v>
      </c>
      <c r="J640">
        <v>2020</v>
      </c>
      <c r="K640" t="s">
        <v>276</v>
      </c>
      <c r="L640">
        <v>6.57</v>
      </c>
      <c r="M640" t="s">
        <v>277</v>
      </c>
      <c r="N640" t="s">
        <v>278</v>
      </c>
    </row>
    <row r="641" spans="1:14" x14ac:dyDescent="0.3">
      <c r="A641" t="s">
        <v>272</v>
      </c>
      <c r="B641" t="s">
        <v>273</v>
      </c>
      <c r="C641">
        <v>616</v>
      </c>
      <c r="D641" t="s">
        <v>20</v>
      </c>
      <c r="E641">
        <v>645</v>
      </c>
      <c r="F641" t="s">
        <v>274</v>
      </c>
      <c r="G641" t="s">
        <v>285</v>
      </c>
      <c r="H641" t="s">
        <v>27</v>
      </c>
      <c r="I641">
        <v>2021</v>
      </c>
      <c r="J641">
        <v>2021</v>
      </c>
      <c r="K641" t="s">
        <v>276</v>
      </c>
      <c r="L641">
        <v>6.1</v>
      </c>
      <c r="M641" t="s">
        <v>277</v>
      </c>
      <c r="N641" t="s">
        <v>278</v>
      </c>
    </row>
    <row r="642" spans="1:14" x14ac:dyDescent="0.3">
      <c r="A642" t="s">
        <v>272</v>
      </c>
      <c r="B642" t="s">
        <v>273</v>
      </c>
      <c r="C642">
        <v>616</v>
      </c>
      <c r="D642" t="s">
        <v>20</v>
      </c>
      <c r="E642">
        <v>645</v>
      </c>
      <c r="F642" t="s">
        <v>274</v>
      </c>
      <c r="G642" t="s">
        <v>286</v>
      </c>
      <c r="H642" t="s">
        <v>31</v>
      </c>
      <c r="I642">
        <v>2017</v>
      </c>
      <c r="J642">
        <v>2017</v>
      </c>
      <c r="K642" t="s">
        <v>276</v>
      </c>
      <c r="L642">
        <v>1.42</v>
      </c>
      <c r="M642" t="s">
        <v>277</v>
      </c>
      <c r="N642" t="s">
        <v>278</v>
      </c>
    </row>
    <row r="643" spans="1:14" x14ac:dyDescent="0.3">
      <c r="A643" t="s">
        <v>272</v>
      </c>
      <c r="B643" t="s">
        <v>273</v>
      </c>
      <c r="C643">
        <v>616</v>
      </c>
      <c r="D643" t="s">
        <v>20</v>
      </c>
      <c r="E643">
        <v>645</v>
      </c>
      <c r="F643" t="s">
        <v>274</v>
      </c>
      <c r="G643" t="s">
        <v>286</v>
      </c>
      <c r="H643" t="s">
        <v>31</v>
      </c>
      <c r="I643">
        <v>2018</v>
      </c>
      <c r="J643">
        <v>2018</v>
      </c>
      <c r="K643" t="s">
        <v>276</v>
      </c>
      <c r="L643">
        <v>1.63</v>
      </c>
      <c r="M643" t="s">
        <v>277</v>
      </c>
      <c r="N643" t="s">
        <v>278</v>
      </c>
    </row>
    <row r="644" spans="1:14" x14ac:dyDescent="0.3">
      <c r="A644" t="s">
        <v>272</v>
      </c>
      <c r="B644" t="s">
        <v>273</v>
      </c>
      <c r="C644">
        <v>616</v>
      </c>
      <c r="D644" t="s">
        <v>20</v>
      </c>
      <c r="E644">
        <v>645</v>
      </c>
      <c r="F644" t="s">
        <v>274</v>
      </c>
      <c r="G644" t="s">
        <v>286</v>
      </c>
      <c r="H644" t="s">
        <v>31</v>
      </c>
      <c r="I644">
        <v>2019</v>
      </c>
      <c r="J644">
        <v>2019</v>
      </c>
      <c r="K644" t="s">
        <v>276</v>
      </c>
      <c r="L644">
        <v>1.88</v>
      </c>
      <c r="M644" t="s">
        <v>277</v>
      </c>
      <c r="N644" t="s">
        <v>278</v>
      </c>
    </row>
    <row r="645" spans="1:14" x14ac:dyDescent="0.3">
      <c r="A645" t="s">
        <v>272</v>
      </c>
      <c r="B645" t="s">
        <v>273</v>
      </c>
      <c r="C645">
        <v>616</v>
      </c>
      <c r="D645" t="s">
        <v>20</v>
      </c>
      <c r="E645">
        <v>645</v>
      </c>
      <c r="F645" t="s">
        <v>274</v>
      </c>
      <c r="G645" t="s">
        <v>286</v>
      </c>
      <c r="H645" t="s">
        <v>31</v>
      </c>
      <c r="I645">
        <v>2020</v>
      </c>
      <c r="J645">
        <v>2020</v>
      </c>
      <c r="K645" t="s">
        <v>276</v>
      </c>
      <c r="L645">
        <v>2.91</v>
      </c>
      <c r="M645" t="s">
        <v>277</v>
      </c>
      <c r="N645" t="s">
        <v>278</v>
      </c>
    </row>
    <row r="646" spans="1:14" x14ac:dyDescent="0.3">
      <c r="A646" t="s">
        <v>272</v>
      </c>
      <c r="B646" t="s">
        <v>273</v>
      </c>
      <c r="C646">
        <v>616</v>
      </c>
      <c r="D646" t="s">
        <v>20</v>
      </c>
      <c r="E646">
        <v>645</v>
      </c>
      <c r="F646" t="s">
        <v>274</v>
      </c>
      <c r="G646" t="s">
        <v>286</v>
      </c>
      <c r="H646" t="s">
        <v>31</v>
      </c>
      <c r="I646">
        <v>2021</v>
      </c>
      <c r="J646">
        <v>2021</v>
      </c>
      <c r="K646" t="s">
        <v>276</v>
      </c>
      <c r="L646">
        <v>2.56</v>
      </c>
      <c r="M646" t="s">
        <v>277</v>
      </c>
      <c r="N646" t="s">
        <v>278</v>
      </c>
    </row>
    <row r="647" spans="1:14" x14ac:dyDescent="0.3">
      <c r="A647" t="s">
        <v>272</v>
      </c>
      <c r="B647" t="s">
        <v>273</v>
      </c>
      <c r="C647">
        <v>616</v>
      </c>
      <c r="D647" t="s">
        <v>20</v>
      </c>
      <c r="E647">
        <v>645</v>
      </c>
      <c r="F647" t="s">
        <v>274</v>
      </c>
      <c r="G647" t="s">
        <v>288</v>
      </c>
      <c r="H647" t="s">
        <v>33</v>
      </c>
      <c r="I647">
        <v>2017</v>
      </c>
      <c r="J647">
        <v>2017</v>
      </c>
      <c r="K647" t="s">
        <v>276</v>
      </c>
      <c r="L647">
        <v>0.01</v>
      </c>
      <c r="M647" t="s">
        <v>277</v>
      </c>
      <c r="N647" t="s">
        <v>278</v>
      </c>
    </row>
    <row r="648" spans="1:14" x14ac:dyDescent="0.3">
      <c r="A648" t="s">
        <v>272</v>
      </c>
      <c r="B648" t="s">
        <v>273</v>
      </c>
      <c r="C648">
        <v>616</v>
      </c>
      <c r="D648" t="s">
        <v>20</v>
      </c>
      <c r="E648">
        <v>645</v>
      </c>
      <c r="F648" t="s">
        <v>274</v>
      </c>
      <c r="G648" t="s">
        <v>288</v>
      </c>
      <c r="H648" t="s">
        <v>33</v>
      </c>
      <c r="I648">
        <v>2018</v>
      </c>
      <c r="J648">
        <v>2018</v>
      </c>
      <c r="K648" t="s">
        <v>276</v>
      </c>
      <c r="L648">
        <v>0</v>
      </c>
      <c r="M648" t="s">
        <v>277</v>
      </c>
      <c r="N648" t="s">
        <v>278</v>
      </c>
    </row>
    <row r="649" spans="1:14" x14ac:dyDescent="0.3">
      <c r="A649" t="s">
        <v>272</v>
      </c>
      <c r="B649" t="s">
        <v>273</v>
      </c>
      <c r="C649">
        <v>616</v>
      </c>
      <c r="D649" t="s">
        <v>20</v>
      </c>
      <c r="E649">
        <v>645</v>
      </c>
      <c r="F649" t="s">
        <v>274</v>
      </c>
      <c r="G649" t="s">
        <v>288</v>
      </c>
      <c r="H649" t="s">
        <v>33</v>
      </c>
      <c r="I649">
        <v>2019</v>
      </c>
      <c r="J649">
        <v>2019</v>
      </c>
      <c r="K649" t="s">
        <v>276</v>
      </c>
      <c r="L649">
        <v>0.01</v>
      </c>
      <c r="M649" t="s">
        <v>277</v>
      </c>
      <c r="N649" t="s">
        <v>278</v>
      </c>
    </row>
    <row r="650" spans="1:14" x14ac:dyDescent="0.3">
      <c r="A650" t="s">
        <v>272</v>
      </c>
      <c r="B650" t="s">
        <v>273</v>
      </c>
      <c r="C650">
        <v>616</v>
      </c>
      <c r="D650" t="s">
        <v>20</v>
      </c>
      <c r="E650">
        <v>645</v>
      </c>
      <c r="F650" t="s">
        <v>274</v>
      </c>
      <c r="G650" t="s">
        <v>288</v>
      </c>
      <c r="H650" t="s">
        <v>33</v>
      </c>
      <c r="I650">
        <v>2020</v>
      </c>
      <c r="J650">
        <v>2020</v>
      </c>
      <c r="K650" t="s">
        <v>276</v>
      </c>
      <c r="L650">
        <v>0.01</v>
      </c>
      <c r="M650" t="s">
        <v>277</v>
      </c>
      <c r="N650" t="s">
        <v>278</v>
      </c>
    </row>
    <row r="651" spans="1:14" x14ac:dyDescent="0.3">
      <c r="A651" t="s">
        <v>272</v>
      </c>
      <c r="B651" t="s">
        <v>273</v>
      </c>
      <c r="C651">
        <v>616</v>
      </c>
      <c r="D651" t="s">
        <v>20</v>
      </c>
      <c r="E651">
        <v>645</v>
      </c>
      <c r="F651" t="s">
        <v>274</v>
      </c>
      <c r="G651" t="s">
        <v>288</v>
      </c>
      <c r="H651" t="s">
        <v>33</v>
      </c>
      <c r="I651">
        <v>2021</v>
      </c>
      <c r="J651">
        <v>2021</v>
      </c>
      <c r="K651" t="s">
        <v>276</v>
      </c>
      <c r="L651">
        <v>0.01</v>
      </c>
      <c r="M651" t="s">
        <v>277</v>
      </c>
      <c r="N651" t="s">
        <v>278</v>
      </c>
    </row>
    <row r="652" spans="1:14" x14ac:dyDescent="0.3">
      <c r="A652" t="s">
        <v>272</v>
      </c>
      <c r="B652" t="s">
        <v>273</v>
      </c>
      <c r="C652">
        <v>616</v>
      </c>
      <c r="D652" t="s">
        <v>20</v>
      </c>
      <c r="E652">
        <v>645</v>
      </c>
      <c r="F652" t="s">
        <v>274</v>
      </c>
      <c r="G652" t="s">
        <v>289</v>
      </c>
      <c r="H652" t="s">
        <v>30</v>
      </c>
      <c r="I652">
        <v>2017</v>
      </c>
      <c r="J652">
        <v>2017</v>
      </c>
      <c r="K652" t="s">
        <v>276</v>
      </c>
      <c r="L652">
        <v>6.44</v>
      </c>
      <c r="M652" t="s">
        <v>277</v>
      </c>
      <c r="N652" t="s">
        <v>278</v>
      </c>
    </row>
    <row r="653" spans="1:14" x14ac:dyDescent="0.3">
      <c r="A653" t="s">
        <v>272</v>
      </c>
      <c r="B653" t="s">
        <v>273</v>
      </c>
      <c r="C653">
        <v>616</v>
      </c>
      <c r="D653" t="s">
        <v>20</v>
      </c>
      <c r="E653">
        <v>645</v>
      </c>
      <c r="F653" t="s">
        <v>274</v>
      </c>
      <c r="G653" t="s">
        <v>289</v>
      </c>
      <c r="H653" t="s">
        <v>30</v>
      </c>
      <c r="I653">
        <v>2018</v>
      </c>
      <c r="J653">
        <v>2018</v>
      </c>
      <c r="K653" t="s">
        <v>276</v>
      </c>
      <c r="L653">
        <v>8.74</v>
      </c>
      <c r="M653" t="s">
        <v>277</v>
      </c>
      <c r="N653" t="s">
        <v>278</v>
      </c>
    </row>
    <row r="654" spans="1:14" x14ac:dyDescent="0.3">
      <c r="A654" t="s">
        <v>272</v>
      </c>
      <c r="B654" t="s">
        <v>273</v>
      </c>
      <c r="C654">
        <v>616</v>
      </c>
      <c r="D654" t="s">
        <v>20</v>
      </c>
      <c r="E654">
        <v>645</v>
      </c>
      <c r="F654" t="s">
        <v>274</v>
      </c>
      <c r="G654" t="s">
        <v>289</v>
      </c>
      <c r="H654" t="s">
        <v>30</v>
      </c>
      <c r="I654">
        <v>2019</v>
      </c>
      <c r="J654">
        <v>2019</v>
      </c>
      <c r="K654" t="s">
        <v>276</v>
      </c>
      <c r="L654">
        <v>8.4499999999999993</v>
      </c>
      <c r="M654" t="s">
        <v>277</v>
      </c>
      <c r="N654" t="s">
        <v>278</v>
      </c>
    </row>
    <row r="655" spans="1:14" x14ac:dyDescent="0.3">
      <c r="A655" t="s">
        <v>272</v>
      </c>
      <c r="B655" t="s">
        <v>273</v>
      </c>
      <c r="C655">
        <v>616</v>
      </c>
      <c r="D655" t="s">
        <v>20</v>
      </c>
      <c r="E655">
        <v>645</v>
      </c>
      <c r="F655" t="s">
        <v>274</v>
      </c>
      <c r="G655" t="s">
        <v>289</v>
      </c>
      <c r="H655" t="s">
        <v>30</v>
      </c>
      <c r="I655">
        <v>2020</v>
      </c>
      <c r="J655">
        <v>2020</v>
      </c>
      <c r="K655" t="s">
        <v>276</v>
      </c>
      <c r="L655">
        <v>8.39</v>
      </c>
      <c r="M655" t="s">
        <v>277</v>
      </c>
      <c r="N655" t="s">
        <v>278</v>
      </c>
    </row>
    <row r="656" spans="1:14" x14ac:dyDescent="0.3">
      <c r="A656" t="s">
        <v>272</v>
      </c>
      <c r="B656" t="s">
        <v>273</v>
      </c>
      <c r="C656">
        <v>616</v>
      </c>
      <c r="D656" t="s">
        <v>20</v>
      </c>
      <c r="E656">
        <v>645</v>
      </c>
      <c r="F656" t="s">
        <v>274</v>
      </c>
      <c r="G656" t="s">
        <v>289</v>
      </c>
      <c r="H656" t="s">
        <v>30</v>
      </c>
      <c r="I656">
        <v>2021</v>
      </c>
      <c r="J656">
        <v>2021</v>
      </c>
      <c r="K656" t="s">
        <v>276</v>
      </c>
      <c r="L656">
        <v>9.8000000000000007</v>
      </c>
      <c r="M656" t="s">
        <v>277</v>
      </c>
      <c r="N656" t="s">
        <v>278</v>
      </c>
    </row>
    <row r="657" spans="1:14" x14ac:dyDescent="0.3">
      <c r="A657" t="s">
        <v>272</v>
      </c>
      <c r="B657" t="s">
        <v>273</v>
      </c>
      <c r="C657">
        <v>616</v>
      </c>
      <c r="D657" t="s">
        <v>20</v>
      </c>
      <c r="E657">
        <v>645</v>
      </c>
      <c r="F657" t="s">
        <v>274</v>
      </c>
      <c r="G657" t="s">
        <v>290</v>
      </c>
      <c r="H657" t="s">
        <v>37</v>
      </c>
      <c r="I657">
        <v>2017</v>
      </c>
      <c r="J657">
        <v>2017</v>
      </c>
      <c r="K657" t="s">
        <v>276</v>
      </c>
      <c r="L657">
        <v>166.49</v>
      </c>
      <c r="M657" t="s">
        <v>277</v>
      </c>
      <c r="N657" t="s">
        <v>278</v>
      </c>
    </row>
    <row r="658" spans="1:14" x14ac:dyDescent="0.3">
      <c r="A658" t="s">
        <v>272</v>
      </c>
      <c r="B658" t="s">
        <v>273</v>
      </c>
      <c r="C658">
        <v>616</v>
      </c>
      <c r="D658" t="s">
        <v>20</v>
      </c>
      <c r="E658">
        <v>645</v>
      </c>
      <c r="F658" t="s">
        <v>274</v>
      </c>
      <c r="G658" t="s">
        <v>290</v>
      </c>
      <c r="H658" t="s">
        <v>37</v>
      </c>
      <c r="I658">
        <v>2018</v>
      </c>
      <c r="J658">
        <v>2018</v>
      </c>
      <c r="K658" t="s">
        <v>276</v>
      </c>
      <c r="L658">
        <v>171.49</v>
      </c>
      <c r="M658" t="s">
        <v>277</v>
      </c>
      <c r="N658" t="s">
        <v>278</v>
      </c>
    </row>
    <row r="659" spans="1:14" x14ac:dyDescent="0.3">
      <c r="A659" t="s">
        <v>272</v>
      </c>
      <c r="B659" t="s">
        <v>273</v>
      </c>
      <c r="C659">
        <v>616</v>
      </c>
      <c r="D659" t="s">
        <v>20</v>
      </c>
      <c r="E659">
        <v>645</v>
      </c>
      <c r="F659" t="s">
        <v>274</v>
      </c>
      <c r="G659" t="s">
        <v>290</v>
      </c>
      <c r="H659" t="s">
        <v>37</v>
      </c>
      <c r="I659">
        <v>2019</v>
      </c>
      <c r="J659">
        <v>2019</v>
      </c>
      <c r="K659" t="s">
        <v>276</v>
      </c>
      <c r="L659">
        <v>176.19</v>
      </c>
      <c r="M659" t="s">
        <v>277</v>
      </c>
      <c r="N659" t="s">
        <v>278</v>
      </c>
    </row>
    <row r="660" spans="1:14" x14ac:dyDescent="0.3">
      <c r="A660" t="s">
        <v>272</v>
      </c>
      <c r="B660" t="s">
        <v>273</v>
      </c>
      <c r="C660">
        <v>616</v>
      </c>
      <c r="D660" t="s">
        <v>20</v>
      </c>
      <c r="E660">
        <v>645</v>
      </c>
      <c r="F660" t="s">
        <v>274</v>
      </c>
      <c r="G660" t="s">
        <v>290</v>
      </c>
      <c r="H660" t="s">
        <v>37</v>
      </c>
      <c r="I660">
        <v>2020</v>
      </c>
      <c r="J660">
        <v>2020</v>
      </c>
      <c r="K660" t="s">
        <v>276</v>
      </c>
      <c r="L660">
        <v>178.11</v>
      </c>
      <c r="M660" t="s">
        <v>277</v>
      </c>
      <c r="N660" t="s">
        <v>278</v>
      </c>
    </row>
    <row r="661" spans="1:14" x14ac:dyDescent="0.3">
      <c r="A661" t="s">
        <v>272</v>
      </c>
      <c r="B661" t="s">
        <v>273</v>
      </c>
      <c r="C661">
        <v>616</v>
      </c>
      <c r="D661" t="s">
        <v>20</v>
      </c>
      <c r="E661">
        <v>645</v>
      </c>
      <c r="F661" t="s">
        <v>274</v>
      </c>
      <c r="G661" t="s">
        <v>290</v>
      </c>
      <c r="H661" t="s">
        <v>37</v>
      </c>
      <c r="I661">
        <v>2021</v>
      </c>
      <c r="J661">
        <v>2021</v>
      </c>
      <c r="K661" t="s">
        <v>276</v>
      </c>
      <c r="L661">
        <v>182.35</v>
      </c>
      <c r="M661" t="s">
        <v>277</v>
      </c>
      <c r="N661" t="s">
        <v>278</v>
      </c>
    </row>
    <row r="662" spans="1:14" x14ac:dyDescent="0.3">
      <c r="A662" t="s">
        <v>272</v>
      </c>
      <c r="B662" t="s">
        <v>273</v>
      </c>
      <c r="C662">
        <v>616</v>
      </c>
      <c r="D662" t="s">
        <v>20</v>
      </c>
      <c r="E662">
        <v>645</v>
      </c>
      <c r="F662" t="s">
        <v>274</v>
      </c>
      <c r="G662" t="s">
        <v>291</v>
      </c>
      <c r="H662" t="s">
        <v>34</v>
      </c>
      <c r="I662">
        <v>2017</v>
      </c>
      <c r="J662">
        <v>2017</v>
      </c>
      <c r="K662" t="s">
        <v>276</v>
      </c>
      <c r="L662">
        <v>1.48</v>
      </c>
      <c r="M662" t="s">
        <v>277</v>
      </c>
      <c r="N662" t="s">
        <v>278</v>
      </c>
    </row>
    <row r="663" spans="1:14" x14ac:dyDescent="0.3">
      <c r="A663" t="s">
        <v>272</v>
      </c>
      <c r="B663" t="s">
        <v>273</v>
      </c>
      <c r="C663">
        <v>616</v>
      </c>
      <c r="D663" t="s">
        <v>20</v>
      </c>
      <c r="E663">
        <v>645</v>
      </c>
      <c r="F663" t="s">
        <v>274</v>
      </c>
      <c r="G663" t="s">
        <v>291</v>
      </c>
      <c r="H663" t="s">
        <v>34</v>
      </c>
      <c r="I663">
        <v>2018</v>
      </c>
      <c r="J663">
        <v>2018</v>
      </c>
      <c r="K663" t="s">
        <v>276</v>
      </c>
      <c r="L663">
        <v>0.87</v>
      </c>
      <c r="M663" t="s">
        <v>277</v>
      </c>
      <c r="N663" t="s">
        <v>278</v>
      </c>
    </row>
    <row r="664" spans="1:14" x14ac:dyDescent="0.3">
      <c r="A664" t="s">
        <v>272</v>
      </c>
      <c r="B664" t="s">
        <v>273</v>
      </c>
      <c r="C664">
        <v>616</v>
      </c>
      <c r="D664" t="s">
        <v>20</v>
      </c>
      <c r="E664">
        <v>645</v>
      </c>
      <c r="F664" t="s">
        <v>274</v>
      </c>
      <c r="G664" t="s">
        <v>291</v>
      </c>
      <c r="H664" t="s">
        <v>34</v>
      </c>
      <c r="I664">
        <v>2019</v>
      </c>
      <c r="J664">
        <v>2019</v>
      </c>
      <c r="K664" t="s">
        <v>276</v>
      </c>
      <c r="L664">
        <v>0.92</v>
      </c>
      <c r="M664" t="s">
        <v>277</v>
      </c>
      <c r="N664" t="s">
        <v>278</v>
      </c>
    </row>
    <row r="665" spans="1:14" x14ac:dyDescent="0.3">
      <c r="A665" t="s">
        <v>272</v>
      </c>
      <c r="B665" t="s">
        <v>273</v>
      </c>
      <c r="C665">
        <v>616</v>
      </c>
      <c r="D665" t="s">
        <v>20</v>
      </c>
      <c r="E665">
        <v>645</v>
      </c>
      <c r="F665" t="s">
        <v>274</v>
      </c>
      <c r="G665" t="s">
        <v>291</v>
      </c>
      <c r="H665" t="s">
        <v>34</v>
      </c>
      <c r="I665">
        <v>2020</v>
      </c>
      <c r="J665">
        <v>2020</v>
      </c>
      <c r="K665" t="s">
        <v>276</v>
      </c>
      <c r="L665">
        <v>0.92</v>
      </c>
      <c r="M665" t="s">
        <v>277</v>
      </c>
      <c r="N665" t="s">
        <v>278</v>
      </c>
    </row>
    <row r="666" spans="1:14" x14ac:dyDescent="0.3">
      <c r="A666" t="s">
        <v>272</v>
      </c>
      <c r="B666" t="s">
        <v>273</v>
      </c>
      <c r="C666">
        <v>616</v>
      </c>
      <c r="D666" t="s">
        <v>20</v>
      </c>
      <c r="E666">
        <v>645</v>
      </c>
      <c r="F666" t="s">
        <v>274</v>
      </c>
      <c r="G666" t="s">
        <v>291</v>
      </c>
      <c r="H666" t="s">
        <v>34</v>
      </c>
      <c r="I666">
        <v>2021</v>
      </c>
      <c r="J666">
        <v>2021</v>
      </c>
      <c r="K666" t="s">
        <v>276</v>
      </c>
      <c r="L666">
        <v>0.92</v>
      </c>
      <c r="M666" t="s">
        <v>277</v>
      </c>
      <c r="N666" t="s">
        <v>278</v>
      </c>
    </row>
    <row r="667" spans="1:14" x14ac:dyDescent="0.3">
      <c r="A667" t="s">
        <v>272</v>
      </c>
      <c r="B667" t="s">
        <v>273</v>
      </c>
      <c r="C667">
        <v>616</v>
      </c>
      <c r="D667" t="s">
        <v>20</v>
      </c>
      <c r="E667">
        <v>645</v>
      </c>
      <c r="F667" t="s">
        <v>274</v>
      </c>
      <c r="G667" t="s">
        <v>292</v>
      </c>
      <c r="H667" t="s">
        <v>29</v>
      </c>
      <c r="I667">
        <v>2017</v>
      </c>
      <c r="J667">
        <v>2017</v>
      </c>
      <c r="K667" t="s">
        <v>276</v>
      </c>
      <c r="L667">
        <v>4.2699999999999996</v>
      </c>
      <c r="M667" t="s">
        <v>277</v>
      </c>
      <c r="N667" t="s">
        <v>278</v>
      </c>
    </row>
    <row r="668" spans="1:14" x14ac:dyDescent="0.3">
      <c r="A668" t="s">
        <v>272</v>
      </c>
      <c r="B668" t="s">
        <v>273</v>
      </c>
      <c r="C668">
        <v>616</v>
      </c>
      <c r="D668" t="s">
        <v>20</v>
      </c>
      <c r="E668">
        <v>645</v>
      </c>
      <c r="F668" t="s">
        <v>274</v>
      </c>
      <c r="G668" t="s">
        <v>292</v>
      </c>
      <c r="H668" t="s">
        <v>29</v>
      </c>
      <c r="I668">
        <v>2018</v>
      </c>
      <c r="J668">
        <v>2018</v>
      </c>
      <c r="K668" t="s">
        <v>276</v>
      </c>
      <c r="L668">
        <v>4.51</v>
      </c>
      <c r="M668" t="s">
        <v>277</v>
      </c>
      <c r="N668" t="s">
        <v>278</v>
      </c>
    </row>
    <row r="669" spans="1:14" x14ac:dyDescent="0.3">
      <c r="A669" t="s">
        <v>272</v>
      </c>
      <c r="B669" t="s">
        <v>273</v>
      </c>
      <c r="C669">
        <v>616</v>
      </c>
      <c r="D669" t="s">
        <v>20</v>
      </c>
      <c r="E669">
        <v>645</v>
      </c>
      <c r="F669" t="s">
        <v>274</v>
      </c>
      <c r="G669" t="s">
        <v>292</v>
      </c>
      <c r="H669" t="s">
        <v>29</v>
      </c>
      <c r="I669">
        <v>2019</v>
      </c>
      <c r="J669">
        <v>2019</v>
      </c>
      <c r="K669" t="s">
        <v>276</v>
      </c>
      <c r="L669">
        <v>4.5999999999999996</v>
      </c>
      <c r="M669" t="s">
        <v>277</v>
      </c>
      <c r="N669" t="s">
        <v>278</v>
      </c>
    </row>
    <row r="670" spans="1:14" x14ac:dyDescent="0.3">
      <c r="A670" t="s">
        <v>272</v>
      </c>
      <c r="B670" t="s">
        <v>273</v>
      </c>
      <c r="C670">
        <v>616</v>
      </c>
      <c r="D670" t="s">
        <v>20</v>
      </c>
      <c r="E670">
        <v>645</v>
      </c>
      <c r="F670" t="s">
        <v>274</v>
      </c>
      <c r="G670" t="s">
        <v>292</v>
      </c>
      <c r="H670" t="s">
        <v>29</v>
      </c>
      <c r="I670">
        <v>2020</v>
      </c>
      <c r="J670">
        <v>2020</v>
      </c>
      <c r="K670" t="s">
        <v>276</v>
      </c>
      <c r="L670">
        <v>4.6100000000000003</v>
      </c>
      <c r="M670" t="s">
        <v>277</v>
      </c>
      <c r="N670" t="s">
        <v>278</v>
      </c>
    </row>
    <row r="671" spans="1:14" x14ac:dyDescent="0.3">
      <c r="A671" t="s">
        <v>272</v>
      </c>
      <c r="B671" t="s">
        <v>273</v>
      </c>
      <c r="C671">
        <v>616</v>
      </c>
      <c r="D671" t="s">
        <v>20</v>
      </c>
      <c r="E671">
        <v>645</v>
      </c>
      <c r="F671" t="s">
        <v>274</v>
      </c>
      <c r="G671" t="s">
        <v>292</v>
      </c>
      <c r="H671" t="s">
        <v>29</v>
      </c>
      <c r="I671">
        <v>2021</v>
      </c>
      <c r="J671">
        <v>2021</v>
      </c>
      <c r="K671" t="s">
        <v>276</v>
      </c>
      <c r="L671">
        <v>4.62</v>
      </c>
      <c r="M671" t="s">
        <v>277</v>
      </c>
      <c r="N671" t="s">
        <v>278</v>
      </c>
    </row>
    <row r="672" spans="1:14" x14ac:dyDescent="0.3">
      <c r="A672" t="s">
        <v>272</v>
      </c>
      <c r="B672" t="s">
        <v>273</v>
      </c>
      <c r="C672">
        <v>616</v>
      </c>
      <c r="D672" t="s">
        <v>20</v>
      </c>
      <c r="E672">
        <v>645</v>
      </c>
      <c r="F672" t="s">
        <v>274</v>
      </c>
      <c r="G672" t="s">
        <v>293</v>
      </c>
      <c r="H672" t="s">
        <v>41</v>
      </c>
      <c r="I672">
        <v>2017</v>
      </c>
      <c r="J672">
        <v>2017</v>
      </c>
      <c r="K672" t="s">
        <v>276</v>
      </c>
      <c r="L672">
        <v>6.15</v>
      </c>
      <c r="M672" t="s">
        <v>277</v>
      </c>
      <c r="N672" t="s">
        <v>278</v>
      </c>
    </row>
    <row r="673" spans="1:14" x14ac:dyDescent="0.3">
      <c r="A673" t="s">
        <v>272</v>
      </c>
      <c r="B673" t="s">
        <v>273</v>
      </c>
      <c r="C673">
        <v>616</v>
      </c>
      <c r="D673" t="s">
        <v>20</v>
      </c>
      <c r="E673">
        <v>645</v>
      </c>
      <c r="F673" t="s">
        <v>274</v>
      </c>
      <c r="G673" t="s">
        <v>293</v>
      </c>
      <c r="H673" t="s">
        <v>41</v>
      </c>
      <c r="I673">
        <v>2018</v>
      </c>
      <c r="J673">
        <v>2018</v>
      </c>
      <c r="K673" t="s">
        <v>276</v>
      </c>
      <c r="L673">
        <v>5.62</v>
      </c>
      <c r="M673" t="s">
        <v>277</v>
      </c>
      <c r="N673" t="s">
        <v>278</v>
      </c>
    </row>
    <row r="674" spans="1:14" x14ac:dyDescent="0.3">
      <c r="A674" t="s">
        <v>272</v>
      </c>
      <c r="B674" t="s">
        <v>273</v>
      </c>
      <c r="C674">
        <v>616</v>
      </c>
      <c r="D674" t="s">
        <v>20</v>
      </c>
      <c r="E674">
        <v>645</v>
      </c>
      <c r="F674" t="s">
        <v>274</v>
      </c>
      <c r="G674" t="s">
        <v>293</v>
      </c>
      <c r="H674" t="s">
        <v>41</v>
      </c>
      <c r="I674">
        <v>2019</v>
      </c>
      <c r="J674">
        <v>2019</v>
      </c>
      <c r="K674" t="s">
        <v>276</v>
      </c>
      <c r="L674">
        <v>5.1100000000000003</v>
      </c>
      <c r="M674" t="s">
        <v>277</v>
      </c>
      <c r="N674" t="s">
        <v>278</v>
      </c>
    </row>
    <row r="675" spans="1:14" x14ac:dyDescent="0.3">
      <c r="A675" t="s">
        <v>272</v>
      </c>
      <c r="B675" t="s">
        <v>273</v>
      </c>
      <c r="C675">
        <v>616</v>
      </c>
      <c r="D675" t="s">
        <v>20</v>
      </c>
      <c r="E675">
        <v>645</v>
      </c>
      <c r="F675" t="s">
        <v>274</v>
      </c>
      <c r="G675" t="s">
        <v>293</v>
      </c>
      <c r="H675" t="s">
        <v>41</v>
      </c>
      <c r="I675">
        <v>2020</v>
      </c>
      <c r="J675">
        <v>2020</v>
      </c>
      <c r="K675" t="s">
        <v>276</v>
      </c>
      <c r="L675">
        <v>5.1100000000000003</v>
      </c>
      <c r="M675" t="s">
        <v>277</v>
      </c>
      <c r="N675" t="s">
        <v>278</v>
      </c>
    </row>
    <row r="676" spans="1:14" x14ac:dyDescent="0.3">
      <c r="A676" t="s">
        <v>272</v>
      </c>
      <c r="B676" t="s">
        <v>273</v>
      </c>
      <c r="C676">
        <v>616</v>
      </c>
      <c r="D676" t="s">
        <v>20</v>
      </c>
      <c r="E676">
        <v>645</v>
      </c>
      <c r="F676" t="s">
        <v>274</v>
      </c>
      <c r="G676" t="s">
        <v>293</v>
      </c>
      <c r="H676" t="s">
        <v>41</v>
      </c>
      <c r="I676">
        <v>2021</v>
      </c>
      <c r="J676">
        <v>2021</v>
      </c>
      <c r="K676" t="s">
        <v>276</v>
      </c>
      <c r="L676">
        <v>5.13</v>
      </c>
      <c r="M676" t="s">
        <v>277</v>
      </c>
      <c r="N676" t="s">
        <v>278</v>
      </c>
    </row>
    <row r="677" spans="1:14" x14ac:dyDescent="0.3">
      <c r="A677" t="s">
        <v>272</v>
      </c>
      <c r="B677" t="s">
        <v>273</v>
      </c>
      <c r="C677">
        <v>616</v>
      </c>
      <c r="D677" t="s">
        <v>20</v>
      </c>
      <c r="E677">
        <v>645</v>
      </c>
      <c r="F677" t="s">
        <v>274</v>
      </c>
      <c r="G677" t="s">
        <v>294</v>
      </c>
      <c r="H677" t="s">
        <v>35</v>
      </c>
      <c r="I677">
        <v>2017</v>
      </c>
      <c r="J677">
        <v>2017</v>
      </c>
      <c r="K677" t="s">
        <v>276</v>
      </c>
      <c r="L677">
        <v>0</v>
      </c>
      <c r="M677" t="s">
        <v>277</v>
      </c>
      <c r="N677" t="s">
        <v>278</v>
      </c>
    </row>
    <row r="678" spans="1:14" x14ac:dyDescent="0.3">
      <c r="A678" t="s">
        <v>272</v>
      </c>
      <c r="B678" t="s">
        <v>273</v>
      </c>
      <c r="C678">
        <v>616</v>
      </c>
      <c r="D678" t="s">
        <v>20</v>
      </c>
      <c r="E678">
        <v>645</v>
      </c>
      <c r="F678" t="s">
        <v>274</v>
      </c>
      <c r="G678" t="s">
        <v>294</v>
      </c>
      <c r="H678" t="s">
        <v>35</v>
      </c>
      <c r="I678">
        <v>2018</v>
      </c>
      <c r="J678">
        <v>2018</v>
      </c>
      <c r="K678" t="s">
        <v>276</v>
      </c>
      <c r="L678">
        <v>0</v>
      </c>
      <c r="M678" t="s">
        <v>277</v>
      </c>
      <c r="N678" t="s">
        <v>278</v>
      </c>
    </row>
    <row r="679" spans="1:14" x14ac:dyDescent="0.3">
      <c r="A679" t="s">
        <v>272</v>
      </c>
      <c r="B679" t="s">
        <v>273</v>
      </c>
      <c r="C679">
        <v>616</v>
      </c>
      <c r="D679" t="s">
        <v>20</v>
      </c>
      <c r="E679">
        <v>645</v>
      </c>
      <c r="F679" t="s">
        <v>274</v>
      </c>
      <c r="G679" t="s">
        <v>294</v>
      </c>
      <c r="H679" t="s">
        <v>35</v>
      </c>
      <c r="I679">
        <v>2019</v>
      </c>
      <c r="J679">
        <v>2019</v>
      </c>
      <c r="K679" t="s">
        <v>276</v>
      </c>
      <c r="L679">
        <v>0</v>
      </c>
      <c r="M679" t="s">
        <v>277</v>
      </c>
      <c r="N679" t="s">
        <v>278</v>
      </c>
    </row>
    <row r="680" spans="1:14" x14ac:dyDescent="0.3">
      <c r="A680" t="s">
        <v>272</v>
      </c>
      <c r="B680" t="s">
        <v>273</v>
      </c>
      <c r="C680">
        <v>616</v>
      </c>
      <c r="D680" t="s">
        <v>20</v>
      </c>
      <c r="E680">
        <v>645</v>
      </c>
      <c r="F680" t="s">
        <v>274</v>
      </c>
      <c r="G680" t="s">
        <v>294</v>
      </c>
      <c r="H680" t="s">
        <v>35</v>
      </c>
      <c r="I680">
        <v>2020</v>
      </c>
      <c r="J680">
        <v>2020</v>
      </c>
      <c r="K680" t="s">
        <v>276</v>
      </c>
      <c r="L680">
        <v>0</v>
      </c>
      <c r="M680" t="s">
        <v>277</v>
      </c>
      <c r="N680" t="s">
        <v>278</v>
      </c>
    </row>
    <row r="681" spans="1:14" x14ac:dyDescent="0.3">
      <c r="A681" t="s">
        <v>272</v>
      </c>
      <c r="B681" t="s">
        <v>273</v>
      </c>
      <c r="C681">
        <v>616</v>
      </c>
      <c r="D681" t="s">
        <v>20</v>
      </c>
      <c r="E681">
        <v>645</v>
      </c>
      <c r="F681" t="s">
        <v>274</v>
      </c>
      <c r="G681" t="s">
        <v>294</v>
      </c>
      <c r="H681" t="s">
        <v>35</v>
      </c>
      <c r="I681">
        <v>2021</v>
      </c>
      <c r="J681">
        <v>2021</v>
      </c>
      <c r="K681" t="s">
        <v>276</v>
      </c>
      <c r="L681">
        <v>0</v>
      </c>
      <c r="M681" t="s">
        <v>277</v>
      </c>
      <c r="N681" t="s">
        <v>278</v>
      </c>
    </row>
    <row r="682" spans="1:14" x14ac:dyDescent="0.3">
      <c r="A682" t="s">
        <v>272</v>
      </c>
      <c r="B682" t="s">
        <v>273</v>
      </c>
      <c r="C682">
        <v>616</v>
      </c>
      <c r="D682" t="s">
        <v>20</v>
      </c>
      <c r="E682">
        <v>645</v>
      </c>
      <c r="F682" t="s">
        <v>274</v>
      </c>
      <c r="G682" t="s">
        <v>295</v>
      </c>
      <c r="H682" t="s">
        <v>28</v>
      </c>
      <c r="I682">
        <v>2017</v>
      </c>
      <c r="J682">
        <v>2017</v>
      </c>
      <c r="K682" t="s">
        <v>276</v>
      </c>
      <c r="L682">
        <v>0.17</v>
      </c>
      <c r="M682" t="s">
        <v>277</v>
      </c>
      <c r="N682" t="s">
        <v>278</v>
      </c>
    </row>
    <row r="683" spans="1:14" x14ac:dyDescent="0.3">
      <c r="A683" t="s">
        <v>272</v>
      </c>
      <c r="B683" t="s">
        <v>273</v>
      </c>
      <c r="C683">
        <v>616</v>
      </c>
      <c r="D683" t="s">
        <v>20</v>
      </c>
      <c r="E683">
        <v>645</v>
      </c>
      <c r="F683" t="s">
        <v>274</v>
      </c>
      <c r="G683" t="s">
        <v>295</v>
      </c>
      <c r="H683" t="s">
        <v>28</v>
      </c>
      <c r="I683">
        <v>2018</v>
      </c>
      <c r="J683">
        <v>2018</v>
      </c>
      <c r="K683" t="s">
        <v>276</v>
      </c>
      <c r="L683">
        <v>0.18</v>
      </c>
      <c r="M683" t="s">
        <v>277</v>
      </c>
      <c r="N683" t="s">
        <v>278</v>
      </c>
    </row>
    <row r="684" spans="1:14" x14ac:dyDescent="0.3">
      <c r="A684" t="s">
        <v>272</v>
      </c>
      <c r="B684" t="s">
        <v>273</v>
      </c>
      <c r="C684">
        <v>616</v>
      </c>
      <c r="D684" t="s">
        <v>20</v>
      </c>
      <c r="E684">
        <v>645</v>
      </c>
      <c r="F684" t="s">
        <v>274</v>
      </c>
      <c r="G684" t="s">
        <v>295</v>
      </c>
      <c r="H684" t="s">
        <v>28</v>
      </c>
      <c r="I684">
        <v>2019</v>
      </c>
      <c r="J684">
        <v>2019</v>
      </c>
      <c r="K684" t="s">
        <v>276</v>
      </c>
      <c r="L684">
        <v>0.28000000000000003</v>
      </c>
      <c r="M684" t="s">
        <v>277</v>
      </c>
      <c r="N684" t="s">
        <v>278</v>
      </c>
    </row>
    <row r="685" spans="1:14" x14ac:dyDescent="0.3">
      <c r="A685" t="s">
        <v>272</v>
      </c>
      <c r="B685" t="s">
        <v>273</v>
      </c>
      <c r="C685">
        <v>616</v>
      </c>
      <c r="D685" t="s">
        <v>20</v>
      </c>
      <c r="E685">
        <v>645</v>
      </c>
      <c r="F685" t="s">
        <v>274</v>
      </c>
      <c r="G685" t="s">
        <v>295</v>
      </c>
      <c r="H685" t="s">
        <v>28</v>
      </c>
      <c r="I685">
        <v>2020</v>
      </c>
      <c r="J685">
        <v>2020</v>
      </c>
      <c r="K685" t="s">
        <v>276</v>
      </c>
      <c r="L685">
        <v>0.28000000000000003</v>
      </c>
      <c r="M685" t="s">
        <v>277</v>
      </c>
      <c r="N685" t="s">
        <v>278</v>
      </c>
    </row>
    <row r="686" spans="1:14" x14ac:dyDescent="0.3">
      <c r="A686" t="s">
        <v>272</v>
      </c>
      <c r="B686" t="s">
        <v>273</v>
      </c>
      <c r="C686">
        <v>616</v>
      </c>
      <c r="D686" t="s">
        <v>20</v>
      </c>
      <c r="E686">
        <v>645</v>
      </c>
      <c r="F686" t="s">
        <v>274</v>
      </c>
      <c r="G686" t="s">
        <v>295</v>
      </c>
      <c r="H686" t="s">
        <v>28</v>
      </c>
      <c r="I686">
        <v>2021</v>
      </c>
      <c r="J686">
        <v>2021</v>
      </c>
      <c r="K686" t="s">
        <v>276</v>
      </c>
      <c r="L686">
        <v>0.28000000000000003</v>
      </c>
      <c r="M686" t="s">
        <v>277</v>
      </c>
      <c r="N686" t="s">
        <v>278</v>
      </c>
    </row>
    <row r="687" spans="1:14" x14ac:dyDescent="0.3">
      <c r="A687" t="s">
        <v>272</v>
      </c>
      <c r="B687" t="s">
        <v>273</v>
      </c>
      <c r="C687">
        <v>616</v>
      </c>
      <c r="D687" t="s">
        <v>20</v>
      </c>
      <c r="E687">
        <v>645</v>
      </c>
      <c r="F687" t="s">
        <v>274</v>
      </c>
      <c r="G687" t="s">
        <v>296</v>
      </c>
      <c r="H687" t="s">
        <v>26</v>
      </c>
      <c r="I687">
        <v>2017</v>
      </c>
      <c r="J687">
        <v>2017</v>
      </c>
      <c r="K687" t="s">
        <v>276</v>
      </c>
      <c r="L687">
        <v>0.02</v>
      </c>
      <c r="M687" t="s">
        <v>277</v>
      </c>
      <c r="N687" t="s">
        <v>278</v>
      </c>
    </row>
    <row r="688" spans="1:14" x14ac:dyDescent="0.3">
      <c r="A688" t="s">
        <v>272</v>
      </c>
      <c r="B688" t="s">
        <v>273</v>
      </c>
      <c r="C688">
        <v>616</v>
      </c>
      <c r="D688" t="s">
        <v>20</v>
      </c>
      <c r="E688">
        <v>645</v>
      </c>
      <c r="F688" t="s">
        <v>274</v>
      </c>
      <c r="G688" t="s">
        <v>296</v>
      </c>
      <c r="H688" t="s">
        <v>26</v>
      </c>
      <c r="I688">
        <v>2018</v>
      </c>
      <c r="J688">
        <v>2018</v>
      </c>
      <c r="K688" t="s">
        <v>276</v>
      </c>
      <c r="L688">
        <v>0.03</v>
      </c>
      <c r="M688" t="s">
        <v>277</v>
      </c>
      <c r="N688" t="s">
        <v>278</v>
      </c>
    </row>
    <row r="689" spans="1:14" x14ac:dyDescent="0.3">
      <c r="A689" t="s">
        <v>272</v>
      </c>
      <c r="B689" t="s">
        <v>273</v>
      </c>
      <c r="C689">
        <v>616</v>
      </c>
      <c r="D689" t="s">
        <v>20</v>
      </c>
      <c r="E689">
        <v>645</v>
      </c>
      <c r="F689" t="s">
        <v>274</v>
      </c>
      <c r="G689" t="s">
        <v>296</v>
      </c>
      <c r="H689" t="s">
        <v>26</v>
      </c>
      <c r="I689">
        <v>2019</v>
      </c>
      <c r="J689">
        <v>2019</v>
      </c>
      <c r="K689" t="s">
        <v>276</v>
      </c>
      <c r="L689">
        <v>0.04</v>
      </c>
      <c r="M689" t="s">
        <v>277</v>
      </c>
      <c r="N689" t="s">
        <v>278</v>
      </c>
    </row>
    <row r="690" spans="1:14" x14ac:dyDescent="0.3">
      <c r="A690" t="s">
        <v>272</v>
      </c>
      <c r="B690" t="s">
        <v>273</v>
      </c>
      <c r="C690">
        <v>616</v>
      </c>
      <c r="D690" t="s">
        <v>20</v>
      </c>
      <c r="E690">
        <v>645</v>
      </c>
      <c r="F690" t="s">
        <v>274</v>
      </c>
      <c r="G690" t="s">
        <v>296</v>
      </c>
      <c r="H690" t="s">
        <v>26</v>
      </c>
      <c r="I690">
        <v>2020</v>
      </c>
      <c r="J690">
        <v>2020</v>
      </c>
      <c r="K690" t="s">
        <v>276</v>
      </c>
      <c r="L690">
        <v>0.04</v>
      </c>
      <c r="M690" t="s">
        <v>277</v>
      </c>
      <c r="N690" t="s">
        <v>278</v>
      </c>
    </row>
    <row r="691" spans="1:14" x14ac:dyDescent="0.3">
      <c r="A691" t="s">
        <v>272</v>
      </c>
      <c r="B691" t="s">
        <v>273</v>
      </c>
      <c r="C691">
        <v>616</v>
      </c>
      <c r="D691" t="s">
        <v>20</v>
      </c>
      <c r="E691">
        <v>645</v>
      </c>
      <c r="F691" t="s">
        <v>274</v>
      </c>
      <c r="G691" t="s">
        <v>296</v>
      </c>
      <c r="H691" t="s">
        <v>26</v>
      </c>
      <c r="I691">
        <v>2021</v>
      </c>
      <c r="J691">
        <v>2021</v>
      </c>
      <c r="K691" t="s">
        <v>276</v>
      </c>
      <c r="L691">
        <v>0.04</v>
      </c>
      <c r="M691" t="s">
        <v>277</v>
      </c>
      <c r="N691" t="s">
        <v>278</v>
      </c>
    </row>
    <row r="692" spans="1:14" x14ac:dyDescent="0.3">
      <c r="A692" t="s">
        <v>272</v>
      </c>
      <c r="B692" t="s">
        <v>273</v>
      </c>
      <c r="C692">
        <v>616</v>
      </c>
      <c r="D692" t="s">
        <v>20</v>
      </c>
      <c r="E692">
        <v>645</v>
      </c>
      <c r="F692" t="s">
        <v>274</v>
      </c>
      <c r="G692" t="s">
        <v>297</v>
      </c>
      <c r="H692" t="s">
        <v>38</v>
      </c>
      <c r="I692">
        <v>2017</v>
      </c>
      <c r="J692">
        <v>2017</v>
      </c>
      <c r="K692" t="s">
        <v>276</v>
      </c>
      <c r="L692">
        <v>0.13</v>
      </c>
      <c r="M692" t="s">
        <v>277</v>
      </c>
      <c r="N692" t="s">
        <v>278</v>
      </c>
    </row>
    <row r="693" spans="1:14" x14ac:dyDescent="0.3">
      <c r="A693" t="s">
        <v>272</v>
      </c>
      <c r="B693" t="s">
        <v>273</v>
      </c>
      <c r="C693">
        <v>616</v>
      </c>
      <c r="D693" t="s">
        <v>20</v>
      </c>
      <c r="E693">
        <v>645</v>
      </c>
      <c r="F693" t="s">
        <v>274</v>
      </c>
      <c r="G693" t="s">
        <v>297</v>
      </c>
      <c r="H693" t="s">
        <v>38</v>
      </c>
      <c r="I693">
        <v>2018</v>
      </c>
      <c r="J693">
        <v>2018</v>
      </c>
      <c r="K693" t="s">
        <v>276</v>
      </c>
      <c r="L693">
        <v>0.2</v>
      </c>
      <c r="M693" t="s">
        <v>277</v>
      </c>
      <c r="N693" t="s">
        <v>278</v>
      </c>
    </row>
    <row r="694" spans="1:14" x14ac:dyDescent="0.3">
      <c r="A694" t="s">
        <v>272</v>
      </c>
      <c r="B694" t="s">
        <v>273</v>
      </c>
      <c r="C694">
        <v>616</v>
      </c>
      <c r="D694" t="s">
        <v>20</v>
      </c>
      <c r="E694">
        <v>645</v>
      </c>
      <c r="F694" t="s">
        <v>274</v>
      </c>
      <c r="G694" t="s">
        <v>297</v>
      </c>
      <c r="H694" t="s">
        <v>38</v>
      </c>
      <c r="I694">
        <v>2019</v>
      </c>
      <c r="J694">
        <v>2019</v>
      </c>
      <c r="K694" t="s">
        <v>276</v>
      </c>
      <c r="L694">
        <v>0.28000000000000003</v>
      </c>
      <c r="M694" t="s">
        <v>277</v>
      </c>
      <c r="N694" t="s">
        <v>278</v>
      </c>
    </row>
    <row r="695" spans="1:14" x14ac:dyDescent="0.3">
      <c r="A695" t="s">
        <v>272</v>
      </c>
      <c r="B695" t="s">
        <v>273</v>
      </c>
      <c r="C695">
        <v>616</v>
      </c>
      <c r="D695" t="s">
        <v>20</v>
      </c>
      <c r="E695">
        <v>645</v>
      </c>
      <c r="F695" t="s">
        <v>274</v>
      </c>
      <c r="G695" t="s">
        <v>297</v>
      </c>
      <c r="H695" t="s">
        <v>38</v>
      </c>
      <c r="I695">
        <v>2020</v>
      </c>
      <c r="J695">
        <v>2020</v>
      </c>
      <c r="K695" t="s">
        <v>276</v>
      </c>
      <c r="L695">
        <v>0.28000000000000003</v>
      </c>
      <c r="M695" t="s">
        <v>277</v>
      </c>
      <c r="N695" t="s">
        <v>278</v>
      </c>
    </row>
    <row r="696" spans="1:14" x14ac:dyDescent="0.3">
      <c r="A696" t="s">
        <v>272</v>
      </c>
      <c r="B696" t="s">
        <v>273</v>
      </c>
      <c r="C696">
        <v>616</v>
      </c>
      <c r="D696" t="s">
        <v>20</v>
      </c>
      <c r="E696">
        <v>645</v>
      </c>
      <c r="F696" t="s">
        <v>274</v>
      </c>
      <c r="G696" t="s">
        <v>297</v>
      </c>
      <c r="H696" t="s">
        <v>38</v>
      </c>
      <c r="I696">
        <v>2021</v>
      </c>
      <c r="J696">
        <v>2021</v>
      </c>
      <c r="K696" t="s">
        <v>276</v>
      </c>
      <c r="L696">
        <v>0.28000000000000003</v>
      </c>
      <c r="M696" t="s">
        <v>277</v>
      </c>
      <c r="N696" t="s">
        <v>278</v>
      </c>
    </row>
    <row r="697" spans="1:14" x14ac:dyDescent="0.3">
      <c r="A697" t="s">
        <v>272</v>
      </c>
      <c r="B697" t="s">
        <v>273</v>
      </c>
      <c r="C697">
        <v>616</v>
      </c>
      <c r="D697" t="s">
        <v>20</v>
      </c>
      <c r="E697">
        <v>645</v>
      </c>
      <c r="F697" t="s">
        <v>274</v>
      </c>
      <c r="G697" t="s">
        <v>298</v>
      </c>
      <c r="H697" t="s">
        <v>23</v>
      </c>
      <c r="I697">
        <v>2017</v>
      </c>
      <c r="J697">
        <v>2017</v>
      </c>
      <c r="K697" t="s">
        <v>276</v>
      </c>
      <c r="L697">
        <v>0</v>
      </c>
      <c r="M697" t="s">
        <v>277</v>
      </c>
      <c r="N697" t="s">
        <v>278</v>
      </c>
    </row>
    <row r="698" spans="1:14" x14ac:dyDescent="0.3">
      <c r="A698" t="s">
        <v>272</v>
      </c>
      <c r="B698" t="s">
        <v>273</v>
      </c>
      <c r="C698">
        <v>616</v>
      </c>
      <c r="D698" t="s">
        <v>20</v>
      </c>
      <c r="E698">
        <v>645</v>
      </c>
      <c r="F698" t="s">
        <v>274</v>
      </c>
      <c r="G698" t="s">
        <v>298</v>
      </c>
      <c r="H698" t="s">
        <v>23</v>
      </c>
      <c r="I698">
        <v>2018</v>
      </c>
      <c r="J698">
        <v>2018</v>
      </c>
      <c r="K698" t="s">
        <v>276</v>
      </c>
      <c r="L698">
        <v>0</v>
      </c>
      <c r="M698" t="s">
        <v>277</v>
      </c>
      <c r="N698" t="s">
        <v>278</v>
      </c>
    </row>
    <row r="699" spans="1:14" x14ac:dyDescent="0.3">
      <c r="A699" t="s">
        <v>272</v>
      </c>
      <c r="B699" t="s">
        <v>273</v>
      </c>
      <c r="C699">
        <v>616</v>
      </c>
      <c r="D699" t="s">
        <v>20</v>
      </c>
      <c r="E699">
        <v>645</v>
      </c>
      <c r="F699" t="s">
        <v>274</v>
      </c>
      <c r="G699" t="s">
        <v>298</v>
      </c>
      <c r="H699" t="s">
        <v>23</v>
      </c>
      <c r="I699">
        <v>2019</v>
      </c>
      <c r="J699">
        <v>2019</v>
      </c>
      <c r="K699" t="s">
        <v>276</v>
      </c>
      <c r="L699">
        <v>0.01</v>
      </c>
      <c r="M699" t="s">
        <v>277</v>
      </c>
      <c r="N699" t="s">
        <v>278</v>
      </c>
    </row>
    <row r="700" spans="1:14" x14ac:dyDescent="0.3">
      <c r="A700" t="s">
        <v>272</v>
      </c>
      <c r="B700" t="s">
        <v>273</v>
      </c>
      <c r="C700">
        <v>616</v>
      </c>
      <c r="D700" t="s">
        <v>20</v>
      </c>
      <c r="E700">
        <v>645</v>
      </c>
      <c r="F700" t="s">
        <v>274</v>
      </c>
      <c r="G700" t="s">
        <v>298</v>
      </c>
      <c r="H700" t="s">
        <v>23</v>
      </c>
      <c r="I700">
        <v>2020</v>
      </c>
      <c r="J700">
        <v>2020</v>
      </c>
      <c r="K700" t="s">
        <v>276</v>
      </c>
      <c r="L700">
        <v>0.01</v>
      </c>
      <c r="M700" t="s">
        <v>277</v>
      </c>
      <c r="N700" t="s">
        <v>278</v>
      </c>
    </row>
    <row r="701" spans="1:14" x14ac:dyDescent="0.3">
      <c r="A701" t="s">
        <v>272</v>
      </c>
      <c r="B701" t="s">
        <v>273</v>
      </c>
      <c r="C701">
        <v>616</v>
      </c>
      <c r="D701" t="s">
        <v>20</v>
      </c>
      <c r="E701">
        <v>645</v>
      </c>
      <c r="F701" t="s">
        <v>274</v>
      </c>
      <c r="G701" t="s">
        <v>298</v>
      </c>
      <c r="H701" t="s">
        <v>23</v>
      </c>
      <c r="I701">
        <v>2021</v>
      </c>
      <c r="J701">
        <v>2021</v>
      </c>
      <c r="K701" t="s">
        <v>276</v>
      </c>
      <c r="L701">
        <v>0.01</v>
      </c>
      <c r="M701" t="s">
        <v>277</v>
      </c>
      <c r="N701" t="s">
        <v>278</v>
      </c>
    </row>
    <row r="702" spans="1:14" x14ac:dyDescent="0.3">
      <c r="A702" t="s">
        <v>272</v>
      </c>
      <c r="B702" t="s">
        <v>273</v>
      </c>
      <c r="C702">
        <v>724</v>
      </c>
      <c r="D702" t="s">
        <v>83</v>
      </c>
      <c r="E702">
        <v>645</v>
      </c>
      <c r="F702" t="s">
        <v>274</v>
      </c>
      <c r="G702" t="s">
        <v>275</v>
      </c>
      <c r="H702" t="s">
        <v>24</v>
      </c>
      <c r="I702">
        <v>2017</v>
      </c>
      <c r="J702">
        <v>2017</v>
      </c>
      <c r="K702" t="s">
        <v>276</v>
      </c>
      <c r="L702">
        <v>11.54</v>
      </c>
      <c r="M702" t="s">
        <v>277</v>
      </c>
      <c r="N702" t="s">
        <v>278</v>
      </c>
    </row>
    <row r="703" spans="1:14" x14ac:dyDescent="0.3">
      <c r="A703" t="s">
        <v>272</v>
      </c>
      <c r="B703" t="s">
        <v>273</v>
      </c>
      <c r="C703">
        <v>724</v>
      </c>
      <c r="D703" t="s">
        <v>83</v>
      </c>
      <c r="E703">
        <v>645</v>
      </c>
      <c r="F703" t="s">
        <v>274</v>
      </c>
      <c r="G703" t="s">
        <v>275</v>
      </c>
      <c r="H703" t="s">
        <v>24</v>
      </c>
      <c r="I703">
        <v>2018</v>
      </c>
      <c r="J703">
        <v>2018</v>
      </c>
      <c r="K703" t="s">
        <v>276</v>
      </c>
      <c r="L703">
        <v>13.72</v>
      </c>
      <c r="M703" t="s">
        <v>277</v>
      </c>
      <c r="N703" t="s">
        <v>278</v>
      </c>
    </row>
    <row r="704" spans="1:14" x14ac:dyDescent="0.3">
      <c r="A704" t="s">
        <v>272</v>
      </c>
      <c r="B704" t="s">
        <v>273</v>
      </c>
      <c r="C704">
        <v>724</v>
      </c>
      <c r="D704" t="s">
        <v>83</v>
      </c>
      <c r="E704">
        <v>645</v>
      </c>
      <c r="F704" t="s">
        <v>274</v>
      </c>
      <c r="G704" t="s">
        <v>275</v>
      </c>
      <c r="H704" t="s">
        <v>24</v>
      </c>
      <c r="I704">
        <v>2019</v>
      </c>
      <c r="J704">
        <v>2019</v>
      </c>
      <c r="K704" t="s">
        <v>276</v>
      </c>
      <c r="L704">
        <v>13.31</v>
      </c>
      <c r="M704" t="s">
        <v>277</v>
      </c>
      <c r="N704" t="s">
        <v>278</v>
      </c>
    </row>
    <row r="705" spans="1:14" x14ac:dyDescent="0.3">
      <c r="A705" t="s">
        <v>272</v>
      </c>
      <c r="B705" t="s">
        <v>273</v>
      </c>
      <c r="C705">
        <v>724</v>
      </c>
      <c r="D705" t="s">
        <v>83</v>
      </c>
      <c r="E705">
        <v>645</v>
      </c>
      <c r="F705" t="s">
        <v>274</v>
      </c>
      <c r="G705" t="s">
        <v>275</v>
      </c>
      <c r="H705" t="s">
        <v>24</v>
      </c>
      <c r="I705">
        <v>2020</v>
      </c>
      <c r="J705">
        <v>2020</v>
      </c>
      <c r="K705" t="s">
        <v>276</v>
      </c>
      <c r="L705">
        <v>12.07</v>
      </c>
      <c r="M705" t="s">
        <v>277</v>
      </c>
      <c r="N705" t="s">
        <v>278</v>
      </c>
    </row>
    <row r="706" spans="1:14" x14ac:dyDescent="0.3">
      <c r="A706" t="s">
        <v>272</v>
      </c>
      <c r="B706" t="s">
        <v>273</v>
      </c>
      <c r="C706">
        <v>724</v>
      </c>
      <c r="D706" t="s">
        <v>83</v>
      </c>
      <c r="E706">
        <v>645</v>
      </c>
      <c r="F706" t="s">
        <v>274</v>
      </c>
      <c r="G706" t="s">
        <v>275</v>
      </c>
      <c r="H706" t="s">
        <v>24</v>
      </c>
      <c r="I706">
        <v>2021</v>
      </c>
      <c r="J706">
        <v>2021</v>
      </c>
      <c r="K706" t="s">
        <v>276</v>
      </c>
      <c r="L706">
        <v>12.67</v>
      </c>
      <c r="M706" t="s">
        <v>277</v>
      </c>
      <c r="N706" t="s">
        <v>278</v>
      </c>
    </row>
    <row r="707" spans="1:14" x14ac:dyDescent="0.3">
      <c r="A707" t="s">
        <v>272</v>
      </c>
      <c r="B707" t="s">
        <v>273</v>
      </c>
      <c r="C707">
        <v>724</v>
      </c>
      <c r="D707" t="s">
        <v>83</v>
      </c>
      <c r="E707">
        <v>645</v>
      </c>
      <c r="F707" t="s">
        <v>274</v>
      </c>
      <c r="G707" t="s">
        <v>279</v>
      </c>
      <c r="H707" t="s">
        <v>39</v>
      </c>
      <c r="I707">
        <v>2017</v>
      </c>
      <c r="J707">
        <v>2017</v>
      </c>
      <c r="K707" t="s">
        <v>276</v>
      </c>
      <c r="L707">
        <v>2.0699999999999998</v>
      </c>
      <c r="M707" t="s">
        <v>277</v>
      </c>
      <c r="N707" t="s">
        <v>278</v>
      </c>
    </row>
    <row r="708" spans="1:14" x14ac:dyDescent="0.3">
      <c r="A708" t="s">
        <v>272</v>
      </c>
      <c r="B708" t="s">
        <v>273</v>
      </c>
      <c r="C708">
        <v>724</v>
      </c>
      <c r="D708" t="s">
        <v>83</v>
      </c>
      <c r="E708">
        <v>645</v>
      </c>
      <c r="F708" t="s">
        <v>274</v>
      </c>
      <c r="G708" t="s">
        <v>279</v>
      </c>
      <c r="H708" t="s">
        <v>39</v>
      </c>
      <c r="I708">
        <v>2018</v>
      </c>
      <c r="J708">
        <v>2018</v>
      </c>
      <c r="K708" t="s">
        <v>276</v>
      </c>
      <c r="L708">
        <v>2.08</v>
      </c>
      <c r="M708" t="s">
        <v>277</v>
      </c>
      <c r="N708" t="s">
        <v>278</v>
      </c>
    </row>
    <row r="709" spans="1:14" x14ac:dyDescent="0.3">
      <c r="A709" t="s">
        <v>272</v>
      </c>
      <c r="B709" t="s">
        <v>273</v>
      </c>
      <c r="C709">
        <v>724</v>
      </c>
      <c r="D709" t="s">
        <v>83</v>
      </c>
      <c r="E709">
        <v>645</v>
      </c>
      <c r="F709" t="s">
        <v>274</v>
      </c>
      <c r="G709" t="s">
        <v>279</v>
      </c>
      <c r="H709" t="s">
        <v>39</v>
      </c>
      <c r="I709">
        <v>2019</v>
      </c>
      <c r="J709">
        <v>2019</v>
      </c>
      <c r="K709" t="s">
        <v>276</v>
      </c>
      <c r="L709">
        <v>2.04</v>
      </c>
      <c r="M709" t="s">
        <v>277</v>
      </c>
      <c r="N709" t="s">
        <v>278</v>
      </c>
    </row>
    <row r="710" spans="1:14" x14ac:dyDescent="0.3">
      <c r="A710" t="s">
        <v>272</v>
      </c>
      <c r="B710" t="s">
        <v>273</v>
      </c>
      <c r="C710">
        <v>724</v>
      </c>
      <c r="D710" t="s">
        <v>83</v>
      </c>
      <c r="E710">
        <v>645</v>
      </c>
      <c r="F710" t="s">
        <v>274</v>
      </c>
      <c r="G710" t="s">
        <v>279</v>
      </c>
      <c r="H710" t="s">
        <v>39</v>
      </c>
      <c r="I710">
        <v>2020</v>
      </c>
      <c r="J710">
        <v>2020</v>
      </c>
      <c r="K710" t="s">
        <v>276</v>
      </c>
      <c r="L710">
        <v>1.87</v>
      </c>
      <c r="M710" t="s">
        <v>277</v>
      </c>
      <c r="N710" t="s">
        <v>278</v>
      </c>
    </row>
    <row r="711" spans="1:14" x14ac:dyDescent="0.3">
      <c r="A711" t="s">
        <v>272</v>
      </c>
      <c r="B711" t="s">
        <v>273</v>
      </c>
      <c r="C711">
        <v>724</v>
      </c>
      <c r="D711" t="s">
        <v>83</v>
      </c>
      <c r="E711">
        <v>645</v>
      </c>
      <c r="F711" t="s">
        <v>274</v>
      </c>
      <c r="G711" t="s">
        <v>279</v>
      </c>
      <c r="H711" t="s">
        <v>39</v>
      </c>
      <c r="I711">
        <v>2021</v>
      </c>
      <c r="J711">
        <v>2021</v>
      </c>
      <c r="K711" t="s">
        <v>276</v>
      </c>
      <c r="L711">
        <v>1.76</v>
      </c>
      <c r="M711" t="s">
        <v>277</v>
      </c>
      <c r="N711" t="s">
        <v>278</v>
      </c>
    </row>
    <row r="712" spans="1:14" x14ac:dyDescent="0.3">
      <c r="A712" t="s">
        <v>272</v>
      </c>
      <c r="B712" t="s">
        <v>273</v>
      </c>
      <c r="C712">
        <v>724</v>
      </c>
      <c r="D712" t="s">
        <v>83</v>
      </c>
      <c r="E712">
        <v>645</v>
      </c>
      <c r="F712" t="s">
        <v>274</v>
      </c>
      <c r="G712" t="s">
        <v>280</v>
      </c>
      <c r="H712" t="s">
        <v>42</v>
      </c>
      <c r="I712">
        <v>2017</v>
      </c>
      <c r="J712">
        <v>2017</v>
      </c>
      <c r="K712" t="s">
        <v>276</v>
      </c>
      <c r="L712">
        <v>53.64</v>
      </c>
      <c r="M712" t="s">
        <v>277</v>
      </c>
      <c r="N712" t="s">
        <v>278</v>
      </c>
    </row>
    <row r="713" spans="1:14" x14ac:dyDescent="0.3">
      <c r="A713" t="s">
        <v>272</v>
      </c>
      <c r="B713" t="s">
        <v>273</v>
      </c>
      <c r="C713">
        <v>724</v>
      </c>
      <c r="D713" t="s">
        <v>83</v>
      </c>
      <c r="E713">
        <v>645</v>
      </c>
      <c r="F713" t="s">
        <v>274</v>
      </c>
      <c r="G713" t="s">
        <v>280</v>
      </c>
      <c r="H713" t="s">
        <v>42</v>
      </c>
      <c r="I713">
        <v>2018</v>
      </c>
      <c r="J713">
        <v>2018</v>
      </c>
      <c r="K713" t="s">
        <v>276</v>
      </c>
      <c r="L713">
        <v>57.04</v>
      </c>
      <c r="M713" t="s">
        <v>277</v>
      </c>
      <c r="N713" t="s">
        <v>278</v>
      </c>
    </row>
    <row r="714" spans="1:14" x14ac:dyDescent="0.3">
      <c r="A714" t="s">
        <v>272</v>
      </c>
      <c r="B714" t="s">
        <v>273</v>
      </c>
      <c r="C714">
        <v>724</v>
      </c>
      <c r="D714" t="s">
        <v>83</v>
      </c>
      <c r="E714">
        <v>645</v>
      </c>
      <c r="F714" t="s">
        <v>274</v>
      </c>
      <c r="G714" t="s">
        <v>280</v>
      </c>
      <c r="H714" t="s">
        <v>42</v>
      </c>
      <c r="I714">
        <v>2019</v>
      </c>
      <c r="J714">
        <v>2019</v>
      </c>
      <c r="K714" t="s">
        <v>276</v>
      </c>
      <c r="L714">
        <v>54.61</v>
      </c>
      <c r="M714" t="s">
        <v>277</v>
      </c>
      <c r="N714" t="s">
        <v>278</v>
      </c>
    </row>
    <row r="715" spans="1:14" x14ac:dyDescent="0.3">
      <c r="A715" t="s">
        <v>272</v>
      </c>
      <c r="B715" t="s">
        <v>273</v>
      </c>
      <c r="C715">
        <v>724</v>
      </c>
      <c r="D715" t="s">
        <v>83</v>
      </c>
      <c r="E715">
        <v>645</v>
      </c>
      <c r="F715" t="s">
        <v>274</v>
      </c>
      <c r="G715" t="s">
        <v>280</v>
      </c>
      <c r="H715" t="s">
        <v>42</v>
      </c>
      <c r="I715">
        <v>2020</v>
      </c>
      <c r="J715">
        <v>2020</v>
      </c>
      <c r="K715" t="s">
        <v>276</v>
      </c>
      <c r="L715">
        <v>51.88</v>
      </c>
      <c r="M715" t="s">
        <v>277</v>
      </c>
      <c r="N715" t="s">
        <v>278</v>
      </c>
    </row>
    <row r="716" spans="1:14" x14ac:dyDescent="0.3">
      <c r="A716" t="s">
        <v>272</v>
      </c>
      <c r="B716" t="s">
        <v>273</v>
      </c>
      <c r="C716">
        <v>724</v>
      </c>
      <c r="D716" t="s">
        <v>83</v>
      </c>
      <c r="E716">
        <v>645</v>
      </c>
      <c r="F716" t="s">
        <v>274</v>
      </c>
      <c r="G716" t="s">
        <v>280</v>
      </c>
      <c r="H716" t="s">
        <v>42</v>
      </c>
      <c r="I716">
        <v>2021</v>
      </c>
      <c r="J716">
        <v>2021</v>
      </c>
      <c r="K716" t="s">
        <v>276</v>
      </c>
      <c r="L716">
        <v>53.75</v>
      </c>
      <c r="M716" t="s">
        <v>277</v>
      </c>
      <c r="N716" t="s">
        <v>278</v>
      </c>
    </row>
    <row r="717" spans="1:14" x14ac:dyDescent="0.3">
      <c r="A717" t="s">
        <v>272</v>
      </c>
      <c r="B717" t="s">
        <v>273</v>
      </c>
      <c r="C717">
        <v>724</v>
      </c>
      <c r="D717" t="s">
        <v>83</v>
      </c>
      <c r="E717">
        <v>645</v>
      </c>
      <c r="F717" t="s">
        <v>274</v>
      </c>
      <c r="G717" t="s">
        <v>281</v>
      </c>
      <c r="H717" t="s">
        <v>43</v>
      </c>
      <c r="I717">
        <v>2017</v>
      </c>
      <c r="J717">
        <v>2017</v>
      </c>
      <c r="K717" t="s">
        <v>276</v>
      </c>
      <c r="L717">
        <v>30.52</v>
      </c>
      <c r="M717" t="s">
        <v>277</v>
      </c>
      <c r="N717" t="s">
        <v>278</v>
      </c>
    </row>
    <row r="718" spans="1:14" x14ac:dyDescent="0.3">
      <c r="A718" t="s">
        <v>272</v>
      </c>
      <c r="B718" t="s">
        <v>273</v>
      </c>
      <c r="C718">
        <v>724</v>
      </c>
      <c r="D718" t="s">
        <v>83</v>
      </c>
      <c r="E718">
        <v>645</v>
      </c>
      <c r="F718" t="s">
        <v>274</v>
      </c>
      <c r="G718" t="s">
        <v>281</v>
      </c>
      <c r="H718" t="s">
        <v>43</v>
      </c>
      <c r="I718">
        <v>2018</v>
      </c>
      <c r="J718">
        <v>2018</v>
      </c>
      <c r="K718" t="s">
        <v>276</v>
      </c>
      <c r="L718">
        <v>33.33</v>
      </c>
      <c r="M718" t="s">
        <v>277</v>
      </c>
      <c r="N718" t="s">
        <v>278</v>
      </c>
    </row>
    <row r="719" spans="1:14" x14ac:dyDescent="0.3">
      <c r="A719" t="s">
        <v>272</v>
      </c>
      <c r="B719" t="s">
        <v>273</v>
      </c>
      <c r="C719">
        <v>724</v>
      </c>
      <c r="D719" t="s">
        <v>83</v>
      </c>
      <c r="E719">
        <v>645</v>
      </c>
      <c r="F719" t="s">
        <v>274</v>
      </c>
      <c r="G719" t="s">
        <v>281</v>
      </c>
      <c r="H719" t="s">
        <v>43</v>
      </c>
      <c r="I719">
        <v>2019</v>
      </c>
      <c r="J719">
        <v>2019</v>
      </c>
      <c r="K719" t="s">
        <v>276</v>
      </c>
      <c r="L719">
        <v>33.18</v>
      </c>
      <c r="M719" t="s">
        <v>277</v>
      </c>
      <c r="N719" t="s">
        <v>278</v>
      </c>
    </row>
    <row r="720" spans="1:14" x14ac:dyDescent="0.3">
      <c r="A720" t="s">
        <v>272</v>
      </c>
      <c r="B720" t="s">
        <v>273</v>
      </c>
      <c r="C720">
        <v>724</v>
      </c>
      <c r="D720" t="s">
        <v>83</v>
      </c>
      <c r="E720">
        <v>645</v>
      </c>
      <c r="F720" t="s">
        <v>274</v>
      </c>
      <c r="G720" t="s">
        <v>281</v>
      </c>
      <c r="H720" t="s">
        <v>43</v>
      </c>
      <c r="I720">
        <v>2020</v>
      </c>
      <c r="J720">
        <v>2020</v>
      </c>
      <c r="K720" t="s">
        <v>276</v>
      </c>
      <c r="L720">
        <v>32.72</v>
      </c>
      <c r="M720" t="s">
        <v>277</v>
      </c>
      <c r="N720" t="s">
        <v>278</v>
      </c>
    </row>
    <row r="721" spans="1:14" x14ac:dyDescent="0.3">
      <c r="A721" t="s">
        <v>272</v>
      </c>
      <c r="B721" t="s">
        <v>273</v>
      </c>
      <c r="C721">
        <v>724</v>
      </c>
      <c r="D721" t="s">
        <v>83</v>
      </c>
      <c r="E721">
        <v>645</v>
      </c>
      <c r="F721" t="s">
        <v>274</v>
      </c>
      <c r="G721" t="s">
        <v>281</v>
      </c>
      <c r="H721" t="s">
        <v>43</v>
      </c>
      <c r="I721">
        <v>2021</v>
      </c>
      <c r="J721">
        <v>2021</v>
      </c>
      <c r="K721" t="s">
        <v>276</v>
      </c>
      <c r="L721">
        <v>30.53</v>
      </c>
      <c r="M721" t="s">
        <v>277</v>
      </c>
      <c r="N721" t="s">
        <v>278</v>
      </c>
    </row>
    <row r="722" spans="1:14" x14ac:dyDescent="0.3">
      <c r="A722" t="s">
        <v>272</v>
      </c>
      <c r="B722" t="s">
        <v>273</v>
      </c>
      <c r="C722">
        <v>724</v>
      </c>
      <c r="D722" t="s">
        <v>83</v>
      </c>
      <c r="E722">
        <v>645</v>
      </c>
      <c r="F722" t="s">
        <v>274</v>
      </c>
      <c r="G722" t="s">
        <v>282</v>
      </c>
      <c r="H722" t="s">
        <v>36</v>
      </c>
      <c r="I722">
        <v>2017</v>
      </c>
      <c r="J722">
        <v>2017</v>
      </c>
      <c r="K722" t="s">
        <v>276</v>
      </c>
      <c r="L722">
        <v>1.56</v>
      </c>
      <c r="M722" t="s">
        <v>277</v>
      </c>
      <c r="N722" t="s">
        <v>278</v>
      </c>
    </row>
    <row r="723" spans="1:14" x14ac:dyDescent="0.3">
      <c r="A723" t="s">
        <v>272</v>
      </c>
      <c r="B723" t="s">
        <v>273</v>
      </c>
      <c r="C723">
        <v>724</v>
      </c>
      <c r="D723" t="s">
        <v>83</v>
      </c>
      <c r="E723">
        <v>645</v>
      </c>
      <c r="F723" t="s">
        <v>274</v>
      </c>
      <c r="G723" t="s">
        <v>282</v>
      </c>
      <c r="H723" t="s">
        <v>36</v>
      </c>
      <c r="I723">
        <v>2018</v>
      </c>
      <c r="J723">
        <v>2018</v>
      </c>
      <c r="K723" t="s">
        <v>276</v>
      </c>
      <c r="L723">
        <v>1.55</v>
      </c>
      <c r="M723" t="s">
        <v>277</v>
      </c>
      <c r="N723" t="s">
        <v>278</v>
      </c>
    </row>
    <row r="724" spans="1:14" x14ac:dyDescent="0.3">
      <c r="A724" t="s">
        <v>272</v>
      </c>
      <c r="B724" t="s">
        <v>273</v>
      </c>
      <c r="C724">
        <v>724</v>
      </c>
      <c r="D724" t="s">
        <v>83</v>
      </c>
      <c r="E724">
        <v>645</v>
      </c>
      <c r="F724" t="s">
        <v>274</v>
      </c>
      <c r="G724" t="s">
        <v>282</v>
      </c>
      <c r="H724" t="s">
        <v>36</v>
      </c>
      <c r="I724">
        <v>2019</v>
      </c>
      <c r="J724">
        <v>2019</v>
      </c>
      <c r="K724" t="s">
        <v>276</v>
      </c>
      <c r="L724">
        <v>1.55</v>
      </c>
      <c r="M724" t="s">
        <v>277</v>
      </c>
      <c r="N724" t="s">
        <v>278</v>
      </c>
    </row>
    <row r="725" spans="1:14" x14ac:dyDescent="0.3">
      <c r="A725" t="s">
        <v>272</v>
      </c>
      <c r="B725" t="s">
        <v>273</v>
      </c>
      <c r="C725">
        <v>724</v>
      </c>
      <c r="D725" t="s">
        <v>83</v>
      </c>
      <c r="E725">
        <v>645</v>
      </c>
      <c r="F725" t="s">
        <v>274</v>
      </c>
      <c r="G725" t="s">
        <v>282</v>
      </c>
      <c r="H725" t="s">
        <v>36</v>
      </c>
      <c r="I725">
        <v>2020</v>
      </c>
      <c r="J725">
        <v>2020</v>
      </c>
      <c r="K725" t="s">
        <v>276</v>
      </c>
      <c r="L725">
        <v>1.51</v>
      </c>
      <c r="M725" t="s">
        <v>277</v>
      </c>
      <c r="N725" t="s">
        <v>278</v>
      </c>
    </row>
    <row r="726" spans="1:14" x14ac:dyDescent="0.3">
      <c r="A726" t="s">
        <v>272</v>
      </c>
      <c r="B726" t="s">
        <v>273</v>
      </c>
      <c r="C726">
        <v>724</v>
      </c>
      <c r="D726" t="s">
        <v>83</v>
      </c>
      <c r="E726">
        <v>645</v>
      </c>
      <c r="F726" t="s">
        <v>274</v>
      </c>
      <c r="G726" t="s">
        <v>282</v>
      </c>
      <c r="H726" t="s">
        <v>36</v>
      </c>
      <c r="I726">
        <v>2021</v>
      </c>
      <c r="J726">
        <v>2021</v>
      </c>
      <c r="K726" t="s">
        <v>276</v>
      </c>
      <c r="L726">
        <v>1.61</v>
      </c>
      <c r="M726" t="s">
        <v>277</v>
      </c>
      <c r="N726" t="s">
        <v>278</v>
      </c>
    </row>
    <row r="727" spans="1:14" x14ac:dyDescent="0.3">
      <c r="A727" t="s">
        <v>272</v>
      </c>
      <c r="B727" t="s">
        <v>273</v>
      </c>
      <c r="C727">
        <v>724</v>
      </c>
      <c r="D727" t="s">
        <v>83</v>
      </c>
      <c r="E727">
        <v>645</v>
      </c>
      <c r="F727" t="s">
        <v>274</v>
      </c>
      <c r="G727" t="s">
        <v>283</v>
      </c>
      <c r="H727" t="s">
        <v>40</v>
      </c>
      <c r="I727">
        <v>2017</v>
      </c>
      <c r="J727">
        <v>2017</v>
      </c>
      <c r="K727" t="s">
        <v>276</v>
      </c>
      <c r="L727">
        <v>2.65</v>
      </c>
      <c r="M727" t="s">
        <v>277</v>
      </c>
      <c r="N727" t="s">
        <v>278</v>
      </c>
    </row>
    <row r="728" spans="1:14" x14ac:dyDescent="0.3">
      <c r="A728" t="s">
        <v>272</v>
      </c>
      <c r="B728" t="s">
        <v>273</v>
      </c>
      <c r="C728">
        <v>724</v>
      </c>
      <c r="D728" t="s">
        <v>83</v>
      </c>
      <c r="E728">
        <v>645</v>
      </c>
      <c r="F728" t="s">
        <v>274</v>
      </c>
      <c r="G728" t="s">
        <v>283</v>
      </c>
      <c r="H728" t="s">
        <v>40</v>
      </c>
      <c r="I728">
        <v>2018</v>
      </c>
      <c r="J728">
        <v>2018</v>
      </c>
      <c r="K728" t="s">
        <v>276</v>
      </c>
      <c r="L728">
        <v>3.51</v>
      </c>
      <c r="M728" t="s">
        <v>277</v>
      </c>
      <c r="N728" t="s">
        <v>278</v>
      </c>
    </row>
    <row r="729" spans="1:14" x14ac:dyDescent="0.3">
      <c r="A729" t="s">
        <v>272</v>
      </c>
      <c r="B729" t="s">
        <v>273</v>
      </c>
      <c r="C729">
        <v>724</v>
      </c>
      <c r="D729" t="s">
        <v>83</v>
      </c>
      <c r="E729">
        <v>645</v>
      </c>
      <c r="F729" t="s">
        <v>274</v>
      </c>
      <c r="G729" t="s">
        <v>283</v>
      </c>
      <c r="H729" t="s">
        <v>40</v>
      </c>
      <c r="I729">
        <v>2019</v>
      </c>
      <c r="J729">
        <v>2019</v>
      </c>
      <c r="K729" t="s">
        <v>276</v>
      </c>
      <c r="L729">
        <v>3.9</v>
      </c>
      <c r="M729" t="s">
        <v>277</v>
      </c>
      <c r="N729" t="s">
        <v>278</v>
      </c>
    </row>
    <row r="730" spans="1:14" x14ac:dyDescent="0.3">
      <c r="A730" t="s">
        <v>272</v>
      </c>
      <c r="B730" t="s">
        <v>273</v>
      </c>
      <c r="C730">
        <v>724</v>
      </c>
      <c r="D730" t="s">
        <v>83</v>
      </c>
      <c r="E730">
        <v>645</v>
      </c>
      <c r="F730" t="s">
        <v>274</v>
      </c>
      <c r="G730" t="s">
        <v>283</v>
      </c>
      <c r="H730" t="s">
        <v>40</v>
      </c>
      <c r="I730">
        <v>2020</v>
      </c>
      <c r="J730">
        <v>2020</v>
      </c>
      <c r="K730" t="s">
        <v>276</v>
      </c>
      <c r="L730">
        <v>5.04</v>
      </c>
      <c r="M730" t="s">
        <v>277</v>
      </c>
      <c r="N730" t="s">
        <v>278</v>
      </c>
    </row>
    <row r="731" spans="1:14" x14ac:dyDescent="0.3">
      <c r="A731" t="s">
        <v>272</v>
      </c>
      <c r="B731" t="s">
        <v>273</v>
      </c>
      <c r="C731">
        <v>724</v>
      </c>
      <c r="D731" t="s">
        <v>83</v>
      </c>
      <c r="E731">
        <v>645</v>
      </c>
      <c r="F731" t="s">
        <v>274</v>
      </c>
      <c r="G731" t="s">
        <v>283</v>
      </c>
      <c r="H731" t="s">
        <v>40</v>
      </c>
      <c r="I731">
        <v>2021</v>
      </c>
      <c r="J731">
        <v>2021</v>
      </c>
      <c r="K731" t="s">
        <v>276</v>
      </c>
      <c r="L731">
        <v>3.25</v>
      </c>
      <c r="M731" t="s">
        <v>277</v>
      </c>
      <c r="N731" t="s">
        <v>278</v>
      </c>
    </row>
    <row r="732" spans="1:14" x14ac:dyDescent="0.3">
      <c r="A732" t="s">
        <v>272</v>
      </c>
      <c r="B732" t="s">
        <v>273</v>
      </c>
      <c r="C732">
        <v>724</v>
      </c>
      <c r="D732" t="s">
        <v>83</v>
      </c>
      <c r="E732">
        <v>645</v>
      </c>
      <c r="F732" t="s">
        <v>274</v>
      </c>
      <c r="G732" t="s">
        <v>284</v>
      </c>
      <c r="H732" t="s">
        <v>25</v>
      </c>
      <c r="I732">
        <v>2017</v>
      </c>
      <c r="J732">
        <v>2017</v>
      </c>
      <c r="K732" t="s">
        <v>276</v>
      </c>
      <c r="L732">
        <v>1.2</v>
      </c>
      <c r="M732" t="s">
        <v>277</v>
      </c>
      <c r="N732" t="s">
        <v>278</v>
      </c>
    </row>
    <row r="733" spans="1:14" x14ac:dyDescent="0.3">
      <c r="A733" t="s">
        <v>272</v>
      </c>
      <c r="B733" t="s">
        <v>273</v>
      </c>
      <c r="C733">
        <v>724</v>
      </c>
      <c r="D733" t="s">
        <v>83</v>
      </c>
      <c r="E733">
        <v>645</v>
      </c>
      <c r="F733" t="s">
        <v>274</v>
      </c>
      <c r="G733" t="s">
        <v>284</v>
      </c>
      <c r="H733" t="s">
        <v>25</v>
      </c>
      <c r="I733">
        <v>2018</v>
      </c>
      <c r="J733">
        <v>2018</v>
      </c>
      <c r="K733" t="s">
        <v>276</v>
      </c>
      <c r="L733">
        <v>1.26</v>
      </c>
      <c r="M733" t="s">
        <v>277</v>
      </c>
      <c r="N733" t="s">
        <v>278</v>
      </c>
    </row>
    <row r="734" spans="1:14" x14ac:dyDescent="0.3">
      <c r="A734" t="s">
        <v>272</v>
      </c>
      <c r="B734" t="s">
        <v>273</v>
      </c>
      <c r="C734">
        <v>724</v>
      </c>
      <c r="D734" t="s">
        <v>83</v>
      </c>
      <c r="E734">
        <v>645</v>
      </c>
      <c r="F734" t="s">
        <v>274</v>
      </c>
      <c r="G734" t="s">
        <v>284</v>
      </c>
      <c r="H734" t="s">
        <v>25</v>
      </c>
      <c r="I734">
        <v>2019</v>
      </c>
      <c r="J734">
        <v>2019</v>
      </c>
      <c r="K734" t="s">
        <v>276</v>
      </c>
      <c r="L734">
        <v>1.29</v>
      </c>
      <c r="M734" t="s">
        <v>277</v>
      </c>
      <c r="N734" t="s">
        <v>278</v>
      </c>
    </row>
    <row r="735" spans="1:14" x14ac:dyDescent="0.3">
      <c r="A735" t="s">
        <v>272</v>
      </c>
      <c r="B735" t="s">
        <v>273</v>
      </c>
      <c r="C735">
        <v>724</v>
      </c>
      <c r="D735" t="s">
        <v>83</v>
      </c>
      <c r="E735">
        <v>645</v>
      </c>
      <c r="F735" t="s">
        <v>274</v>
      </c>
      <c r="G735" t="s">
        <v>284</v>
      </c>
      <c r="H735" t="s">
        <v>25</v>
      </c>
      <c r="I735">
        <v>2020</v>
      </c>
      <c r="J735">
        <v>2020</v>
      </c>
      <c r="K735" t="s">
        <v>276</v>
      </c>
      <c r="L735">
        <v>1.37</v>
      </c>
      <c r="M735" t="s">
        <v>277</v>
      </c>
      <c r="N735" t="s">
        <v>278</v>
      </c>
    </row>
    <row r="736" spans="1:14" x14ac:dyDescent="0.3">
      <c r="A736" t="s">
        <v>272</v>
      </c>
      <c r="B736" t="s">
        <v>273</v>
      </c>
      <c r="C736">
        <v>724</v>
      </c>
      <c r="D736" t="s">
        <v>83</v>
      </c>
      <c r="E736">
        <v>645</v>
      </c>
      <c r="F736" t="s">
        <v>274</v>
      </c>
      <c r="G736" t="s">
        <v>284</v>
      </c>
      <c r="H736" t="s">
        <v>25</v>
      </c>
      <c r="I736">
        <v>2021</v>
      </c>
      <c r="J736">
        <v>2021</v>
      </c>
      <c r="K736" t="s">
        <v>276</v>
      </c>
      <c r="L736">
        <v>1.37</v>
      </c>
      <c r="M736" t="s">
        <v>277</v>
      </c>
      <c r="N736" t="s">
        <v>278</v>
      </c>
    </row>
    <row r="737" spans="1:14" x14ac:dyDescent="0.3">
      <c r="A737" t="s">
        <v>272</v>
      </c>
      <c r="B737" t="s">
        <v>273</v>
      </c>
      <c r="C737">
        <v>724</v>
      </c>
      <c r="D737" t="s">
        <v>83</v>
      </c>
      <c r="E737">
        <v>645</v>
      </c>
      <c r="F737" t="s">
        <v>274</v>
      </c>
      <c r="G737" t="s">
        <v>285</v>
      </c>
      <c r="H737" t="s">
        <v>27</v>
      </c>
      <c r="I737">
        <v>2017</v>
      </c>
      <c r="J737">
        <v>2017</v>
      </c>
      <c r="K737" t="s">
        <v>276</v>
      </c>
      <c r="L737">
        <v>1.45</v>
      </c>
      <c r="M737" t="s">
        <v>277</v>
      </c>
      <c r="N737" t="s">
        <v>278</v>
      </c>
    </row>
    <row r="738" spans="1:14" x14ac:dyDescent="0.3">
      <c r="A738" t="s">
        <v>272</v>
      </c>
      <c r="B738" t="s">
        <v>273</v>
      </c>
      <c r="C738">
        <v>724</v>
      </c>
      <c r="D738" t="s">
        <v>83</v>
      </c>
      <c r="E738">
        <v>645</v>
      </c>
      <c r="F738" t="s">
        <v>274</v>
      </c>
      <c r="G738" t="s">
        <v>285</v>
      </c>
      <c r="H738" t="s">
        <v>27</v>
      </c>
      <c r="I738">
        <v>2018</v>
      </c>
      <c r="J738">
        <v>2018</v>
      </c>
      <c r="K738" t="s">
        <v>276</v>
      </c>
      <c r="L738">
        <v>1.77</v>
      </c>
      <c r="M738" t="s">
        <v>277</v>
      </c>
      <c r="N738" t="s">
        <v>278</v>
      </c>
    </row>
    <row r="739" spans="1:14" x14ac:dyDescent="0.3">
      <c r="A739" t="s">
        <v>272</v>
      </c>
      <c r="B739" t="s">
        <v>273</v>
      </c>
      <c r="C739">
        <v>724</v>
      </c>
      <c r="D739" t="s">
        <v>83</v>
      </c>
      <c r="E739">
        <v>645</v>
      </c>
      <c r="F739" t="s">
        <v>274</v>
      </c>
      <c r="G739" t="s">
        <v>285</v>
      </c>
      <c r="H739" t="s">
        <v>27</v>
      </c>
      <c r="I739">
        <v>2019</v>
      </c>
      <c r="J739">
        <v>2019</v>
      </c>
      <c r="K739" t="s">
        <v>276</v>
      </c>
      <c r="L739">
        <v>1.18</v>
      </c>
      <c r="M739" t="s">
        <v>277</v>
      </c>
      <c r="N739" t="s">
        <v>278</v>
      </c>
    </row>
    <row r="740" spans="1:14" x14ac:dyDescent="0.3">
      <c r="A740" t="s">
        <v>272</v>
      </c>
      <c r="B740" t="s">
        <v>273</v>
      </c>
      <c r="C740">
        <v>724</v>
      </c>
      <c r="D740" t="s">
        <v>83</v>
      </c>
      <c r="E740">
        <v>645</v>
      </c>
      <c r="F740" t="s">
        <v>274</v>
      </c>
      <c r="G740" t="s">
        <v>285</v>
      </c>
      <c r="H740" t="s">
        <v>27</v>
      </c>
      <c r="I740">
        <v>2020</v>
      </c>
      <c r="J740">
        <v>2020</v>
      </c>
      <c r="K740" t="s">
        <v>276</v>
      </c>
      <c r="L740">
        <v>1.81</v>
      </c>
      <c r="M740" t="s">
        <v>277</v>
      </c>
      <c r="N740" t="s">
        <v>278</v>
      </c>
    </row>
    <row r="741" spans="1:14" x14ac:dyDescent="0.3">
      <c r="A741" t="s">
        <v>272</v>
      </c>
      <c r="B741" t="s">
        <v>273</v>
      </c>
      <c r="C741">
        <v>724</v>
      </c>
      <c r="D741" t="s">
        <v>83</v>
      </c>
      <c r="E741">
        <v>645</v>
      </c>
      <c r="F741" t="s">
        <v>274</v>
      </c>
      <c r="G741" t="s">
        <v>285</v>
      </c>
      <c r="H741" t="s">
        <v>27</v>
      </c>
      <c r="I741">
        <v>2021</v>
      </c>
      <c r="J741">
        <v>2021</v>
      </c>
      <c r="K741" t="s">
        <v>276</v>
      </c>
      <c r="L741">
        <v>0.72</v>
      </c>
      <c r="M741" t="s">
        <v>277</v>
      </c>
      <c r="N741" t="s">
        <v>278</v>
      </c>
    </row>
    <row r="742" spans="1:14" x14ac:dyDescent="0.3">
      <c r="A742" t="s">
        <v>272</v>
      </c>
      <c r="B742" t="s">
        <v>273</v>
      </c>
      <c r="C742">
        <v>724</v>
      </c>
      <c r="D742" t="s">
        <v>83</v>
      </c>
      <c r="E742">
        <v>645</v>
      </c>
      <c r="F742" t="s">
        <v>274</v>
      </c>
      <c r="G742" t="s">
        <v>286</v>
      </c>
      <c r="H742" t="s">
        <v>31</v>
      </c>
      <c r="I742">
        <v>2017</v>
      </c>
      <c r="J742">
        <v>2017</v>
      </c>
      <c r="K742" t="s">
        <v>276</v>
      </c>
      <c r="L742">
        <v>1.1000000000000001</v>
      </c>
      <c r="M742" t="s">
        <v>277</v>
      </c>
      <c r="N742" t="s">
        <v>278</v>
      </c>
    </row>
    <row r="743" spans="1:14" x14ac:dyDescent="0.3">
      <c r="A743" t="s">
        <v>272</v>
      </c>
      <c r="B743" t="s">
        <v>273</v>
      </c>
      <c r="C743">
        <v>724</v>
      </c>
      <c r="D743" t="s">
        <v>83</v>
      </c>
      <c r="E743">
        <v>645</v>
      </c>
      <c r="F743" t="s">
        <v>274</v>
      </c>
      <c r="G743" t="s">
        <v>286</v>
      </c>
      <c r="H743" t="s">
        <v>31</v>
      </c>
      <c r="I743">
        <v>2018</v>
      </c>
      <c r="J743">
        <v>2018</v>
      </c>
      <c r="K743" t="s">
        <v>276</v>
      </c>
      <c r="L743">
        <v>1.02</v>
      </c>
      <c r="M743" t="s">
        <v>277</v>
      </c>
      <c r="N743" t="s">
        <v>278</v>
      </c>
    </row>
    <row r="744" spans="1:14" x14ac:dyDescent="0.3">
      <c r="A744" t="s">
        <v>272</v>
      </c>
      <c r="B744" t="s">
        <v>273</v>
      </c>
      <c r="C744">
        <v>724</v>
      </c>
      <c r="D744" t="s">
        <v>83</v>
      </c>
      <c r="E744">
        <v>645</v>
      </c>
      <c r="F744" t="s">
        <v>274</v>
      </c>
      <c r="G744" t="s">
        <v>286</v>
      </c>
      <c r="H744" t="s">
        <v>31</v>
      </c>
      <c r="I744">
        <v>2019</v>
      </c>
      <c r="J744">
        <v>2019</v>
      </c>
      <c r="K744" t="s">
        <v>276</v>
      </c>
      <c r="L744">
        <v>0.95</v>
      </c>
      <c r="M744" t="s">
        <v>277</v>
      </c>
      <c r="N744" t="s">
        <v>278</v>
      </c>
    </row>
    <row r="745" spans="1:14" x14ac:dyDescent="0.3">
      <c r="A745" t="s">
        <v>272</v>
      </c>
      <c r="B745" t="s">
        <v>273</v>
      </c>
      <c r="C745">
        <v>724</v>
      </c>
      <c r="D745" t="s">
        <v>83</v>
      </c>
      <c r="E745">
        <v>645</v>
      </c>
      <c r="F745" t="s">
        <v>274</v>
      </c>
      <c r="G745" t="s">
        <v>286</v>
      </c>
      <c r="H745" t="s">
        <v>31</v>
      </c>
      <c r="I745">
        <v>2020</v>
      </c>
      <c r="J745">
        <v>2020</v>
      </c>
      <c r="K745" t="s">
        <v>276</v>
      </c>
      <c r="L745">
        <v>2.2400000000000002</v>
      </c>
      <c r="M745" t="s">
        <v>277</v>
      </c>
      <c r="N745" t="s">
        <v>278</v>
      </c>
    </row>
    <row r="746" spans="1:14" x14ac:dyDescent="0.3">
      <c r="A746" t="s">
        <v>272</v>
      </c>
      <c r="B746" t="s">
        <v>273</v>
      </c>
      <c r="C746">
        <v>724</v>
      </c>
      <c r="D746" t="s">
        <v>83</v>
      </c>
      <c r="E746">
        <v>645</v>
      </c>
      <c r="F746" t="s">
        <v>274</v>
      </c>
      <c r="G746" t="s">
        <v>286</v>
      </c>
      <c r="H746" t="s">
        <v>31</v>
      </c>
      <c r="I746">
        <v>2021</v>
      </c>
      <c r="J746">
        <v>2021</v>
      </c>
      <c r="K746" t="s">
        <v>276</v>
      </c>
      <c r="L746">
        <v>2.29</v>
      </c>
      <c r="M746" t="s">
        <v>277</v>
      </c>
      <c r="N746" t="s">
        <v>278</v>
      </c>
    </row>
    <row r="747" spans="1:14" x14ac:dyDescent="0.3">
      <c r="A747" t="s">
        <v>272</v>
      </c>
      <c r="B747" t="s">
        <v>273</v>
      </c>
      <c r="C747">
        <v>724</v>
      </c>
      <c r="D747" t="s">
        <v>83</v>
      </c>
      <c r="E747">
        <v>645</v>
      </c>
      <c r="F747" t="s">
        <v>274</v>
      </c>
      <c r="G747" t="s">
        <v>289</v>
      </c>
      <c r="H747" t="s">
        <v>30</v>
      </c>
      <c r="I747">
        <v>2017</v>
      </c>
      <c r="J747">
        <v>2017</v>
      </c>
      <c r="K747" t="s">
        <v>276</v>
      </c>
      <c r="L747">
        <v>14.75</v>
      </c>
      <c r="M747" t="s">
        <v>277</v>
      </c>
      <c r="N747" t="s">
        <v>278</v>
      </c>
    </row>
    <row r="748" spans="1:14" x14ac:dyDescent="0.3">
      <c r="A748" t="s">
        <v>272</v>
      </c>
      <c r="B748" t="s">
        <v>273</v>
      </c>
      <c r="C748">
        <v>724</v>
      </c>
      <c r="D748" t="s">
        <v>83</v>
      </c>
      <c r="E748">
        <v>645</v>
      </c>
      <c r="F748" t="s">
        <v>274</v>
      </c>
      <c r="G748" t="s">
        <v>289</v>
      </c>
      <c r="H748" t="s">
        <v>30</v>
      </c>
      <c r="I748">
        <v>2018</v>
      </c>
      <c r="J748">
        <v>2018</v>
      </c>
      <c r="K748" t="s">
        <v>276</v>
      </c>
      <c r="L748">
        <v>14.95</v>
      </c>
      <c r="M748" t="s">
        <v>277</v>
      </c>
      <c r="N748" t="s">
        <v>278</v>
      </c>
    </row>
    <row r="749" spans="1:14" x14ac:dyDescent="0.3">
      <c r="A749" t="s">
        <v>272</v>
      </c>
      <c r="B749" t="s">
        <v>273</v>
      </c>
      <c r="C749">
        <v>724</v>
      </c>
      <c r="D749" t="s">
        <v>83</v>
      </c>
      <c r="E749">
        <v>645</v>
      </c>
      <c r="F749" t="s">
        <v>274</v>
      </c>
      <c r="G749" t="s">
        <v>289</v>
      </c>
      <c r="H749" t="s">
        <v>30</v>
      </c>
      <c r="I749">
        <v>2019</v>
      </c>
      <c r="J749">
        <v>2019</v>
      </c>
      <c r="K749" t="s">
        <v>276</v>
      </c>
      <c r="L749">
        <v>15.02</v>
      </c>
      <c r="M749" t="s">
        <v>277</v>
      </c>
      <c r="N749" t="s">
        <v>278</v>
      </c>
    </row>
    <row r="750" spans="1:14" x14ac:dyDescent="0.3">
      <c r="A750" t="s">
        <v>272</v>
      </c>
      <c r="B750" t="s">
        <v>273</v>
      </c>
      <c r="C750">
        <v>724</v>
      </c>
      <c r="D750" t="s">
        <v>83</v>
      </c>
      <c r="E750">
        <v>645</v>
      </c>
      <c r="F750" t="s">
        <v>274</v>
      </c>
      <c r="G750" t="s">
        <v>289</v>
      </c>
      <c r="H750" t="s">
        <v>30</v>
      </c>
      <c r="I750">
        <v>2020</v>
      </c>
      <c r="J750">
        <v>2020</v>
      </c>
      <c r="K750" t="s">
        <v>276</v>
      </c>
      <c r="L750">
        <v>15.05</v>
      </c>
      <c r="M750" t="s">
        <v>277</v>
      </c>
      <c r="N750" t="s">
        <v>278</v>
      </c>
    </row>
    <row r="751" spans="1:14" x14ac:dyDescent="0.3">
      <c r="A751" t="s">
        <v>272</v>
      </c>
      <c r="B751" t="s">
        <v>273</v>
      </c>
      <c r="C751">
        <v>724</v>
      </c>
      <c r="D751" t="s">
        <v>83</v>
      </c>
      <c r="E751">
        <v>645</v>
      </c>
      <c r="F751" t="s">
        <v>274</v>
      </c>
      <c r="G751" t="s">
        <v>289</v>
      </c>
      <c r="H751" t="s">
        <v>30</v>
      </c>
      <c r="I751">
        <v>2021</v>
      </c>
      <c r="J751">
        <v>2021</v>
      </c>
      <c r="K751" t="s">
        <v>276</v>
      </c>
      <c r="L751">
        <v>15.27</v>
      </c>
      <c r="M751" t="s">
        <v>277</v>
      </c>
      <c r="N751" t="s">
        <v>278</v>
      </c>
    </row>
    <row r="752" spans="1:14" x14ac:dyDescent="0.3">
      <c r="A752" t="s">
        <v>272</v>
      </c>
      <c r="B752" t="s">
        <v>273</v>
      </c>
      <c r="C752">
        <v>724</v>
      </c>
      <c r="D752" t="s">
        <v>83</v>
      </c>
      <c r="E752">
        <v>645</v>
      </c>
      <c r="F752" t="s">
        <v>274</v>
      </c>
      <c r="G752" t="s">
        <v>290</v>
      </c>
      <c r="H752" t="s">
        <v>37</v>
      </c>
      <c r="I752">
        <v>2017</v>
      </c>
      <c r="J752">
        <v>2017</v>
      </c>
      <c r="K752" t="s">
        <v>276</v>
      </c>
      <c r="L752">
        <v>163.75</v>
      </c>
      <c r="M752" t="s">
        <v>277</v>
      </c>
      <c r="N752" t="s">
        <v>278</v>
      </c>
    </row>
    <row r="753" spans="1:14" x14ac:dyDescent="0.3">
      <c r="A753" t="s">
        <v>272</v>
      </c>
      <c r="B753" t="s">
        <v>273</v>
      </c>
      <c r="C753">
        <v>724</v>
      </c>
      <c r="D753" t="s">
        <v>83</v>
      </c>
      <c r="E753">
        <v>645</v>
      </c>
      <c r="F753" t="s">
        <v>274</v>
      </c>
      <c r="G753" t="s">
        <v>290</v>
      </c>
      <c r="H753" t="s">
        <v>37</v>
      </c>
      <c r="I753">
        <v>2018</v>
      </c>
      <c r="J753">
        <v>2018</v>
      </c>
      <c r="K753" t="s">
        <v>276</v>
      </c>
      <c r="L753">
        <v>160.83000000000001</v>
      </c>
      <c r="M753" t="s">
        <v>277</v>
      </c>
      <c r="N753" t="s">
        <v>278</v>
      </c>
    </row>
    <row r="754" spans="1:14" x14ac:dyDescent="0.3">
      <c r="A754" t="s">
        <v>272</v>
      </c>
      <c r="B754" t="s">
        <v>273</v>
      </c>
      <c r="C754">
        <v>724</v>
      </c>
      <c r="D754" t="s">
        <v>83</v>
      </c>
      <c r="E754">
        <v>645</v>
      </c>
      <c r="F754" t="s">
        <v>274</v>
      </c>
      <c r="G754" t="s">
        <v>290</v>
      </c>
      <c r="H754" t="s">
        <v>37</v>
      </c>
      <c r="I754">
        <v>2019</v>
      </c>
      <c r="J754">
        <v>2019</v>
      </c>
      <c r="K754" t="s">
        <v>276</v>
      </c>
      <c r="L754">
        <v>168.47</v>
      </c>
      <c r="M754" t="s">
        <v>277</v>
      </c>
      <c r="N754" t="s">
        <v>278</v>
      </c>
    </row>
    <row r="755" spans="1:14" x14ac:dyDescent="0.3">
      <c r="A755" t="s">
        <v>272</v>
      </c>
      <c r="B755" t="s">
        <v>273</v>
      </c>
      <c r="C755">
        <v>724</v>
      </c>
      <c r="D755" t="s">
        <v>83</v>
      </c>
      <c r="E755">
        <v>645</v>
      </c>
      <c r="F755" t="s">
        <v>274</v>
      </c>
      <c r="G755" t="s">
        <v>290</v>
      </c>
      <c r="H755" t="s">
        <v>37</v>
      </c>
      <c r="I755">
        <v>2020</v>
      </c>
      <c r="J755">
        <v>2020</v>
      </c>
      <c r="K755" t="s">
        <v>276</v>
      </c>
      <c r="L755">
        <v>161.02000000000001</v>
      </c>
      <c r="M755" t="s">
        <v>277</v>
      </c>
      <c r="N755" t="s">
        <v>278</v>
      </c>
    </row>
    <row r="756" spans="1:14" x14ac:dyDescent="0.3">
      <c r="A756" t="s">
        <v>272</v>
      </c>
      <c r="B756" t="s">
        <v>273</v>
      </c>
      <c r="C756">
        <v>724</v>
      </c>
      <c r="D756" t="s">
        <v>83</v>
      </c>
      <c r="E756">
        <v>645</v>
      </c>
      <c r="F756" t="s">
        <v>274</v>
      </c>
      <c r="G756" t="s">
        <v>290</v>
      </c>
      <c r="H756" t="s">
        <v>37</v>
      </c>
      <c r="I756">
        <v>2021</v>
      </c>
      <c r="J756">
        <v>2021</v>
      </c>
      <c r="K756" t="s">
        <v>276</v>
      </c>
      <c r="L756">
        <v>169.58</v>
      </c>
      <c r="M756" t="s">
        <v>277</v>
      </c>
      <c r="N756" t="s">
        <v>278</v>
      </c>
    </row>
    <row r="757" spans="1:14" x14ac:dyDescent="0.3">
      <c r="A757" t="s">
        <v>272</v>
      </c>
      <c r="B757" t="s">
        <v>273</v>
      </c>
      <c r="C757">
        <v>724</v>
      </c>
      <c r="D757" t="s">
        <v>83</v>
      </c>
      <c r="E757">
        <v>645</v>
      </c>
      <c r="F757" t="s">
        <v>274</v>
      </c>
      <c r="G757" t="s">
        <v>291</v>
      </c>
      <c r="H757" t="s">
        <v>34</v>
      </c>
      <c r="I757">
        <v>2017</v>
      </c>
      <c r="J757">
        <v>2017</v>
      </c>
      <c r="K757" t="s">
        <v>276</v>
      </c>
      <c r="L757">
        <v>2.88</v>
      </c>
      <c r="M757" t="s">
        <v>277</v>
      </c>
      <c r="N757" t="s">
        <v>278</v>
      </c>
    </row>
    <row r="758" spans="1:14" x14ac:dyDescent="0.3">
      <c r="A758" t="s">
        <v>272</v>
      </c>
      <c r="B758" t="s">
        <v>273</v>
      </c>
      <c r="C758">
        <v>724</v>
      </c>
      <c r="D758" t="s">
        <v>83</v>
      </c>
      <c r="E758">
        <v>645</v>
      </c>
      <c r="F758" t="s">
        <v>274</v>
      </c>
      <c r="G758" t="s">
        <v>291</v>
      </c>
      <c r="H758" t="s">
        <v>34</v>
      </c>
      <c r="I758">
        <v>2018</v>
      </c>
      <c r="J758">
        <v>2018</v>
      </c>
      <c r="K758" t="s">
        <v>276</v>
      </c>
      <c r="L758">
        <v>2.67</v>
      </c>
      <c r="M758" t="s">
        <v>277</v>
      </c>
      <c r="N758" t="s">
        <v>278</v>
      </c>
    </row>
    <row r="759" spans="1:14" x14ac:dyDescent="0.3">
      <c r="A759" t="s">
        <v>272</v>
      </c>
      <c r="B759" t="s">
        <v>273</v>
      </c>
      <c r="C759">
        <v>724</v>
      </c>
      <c r="D759" t="s">
        <v>83</v>
      </c>
      <c r="E759">
        <v>645</v>
      </c>
      <c r="F759" t="s">
        <v>274</v>
      </c>
      <c r="G759" t="s">
        <v>291</v>
      </c>
      <c r="H759" t="s">
        <v>34</v>
      </c>
      <c r="I759">
        <v>2019</v>
      </c>
      <c r="J759">
        <v>2019</v>
      </c>
      <c r="K759" t="s">
        <v>276</v>
      </c>
      <c r="L759">
        <v>3</v>
      </c>
      <c r="M759" t="s">
        <v>277</v>
      </c>
      <c r="N759" t="s">
        <v>278</v>
      </c>
    </row>
    <row r="760" spans="1:14" x14ac:dyDescent="0.3">
      <c r="A760" t="s">
        <v>272</v>
      </c>
      <c r="B760" t="s">
        <v>273</v>
      </c>
      <c r="C760">
        <v>724</v>
      </c>
      <c r="D760" t="s">
        <v>83</v>
      </c>
      <c r="E760">
        <v>645</v>
      </c>
      <c r="F760" t="s">
        <v>274</v>
      </c>
      <c r="G760" t="s">
        <v>291</v>
      </c>
      <c r="H760" t="s">
        <v>34</v>
      </c>
      <c r="I760">
        <v>2020</v>
      </c>
      <c r="J760">
        <v>2020</v>
      </c>
      <c r="K760" t="s">
        <v>276</v>
      </c>
      <c r="L760">
        <v>2.99</v>
      </c>
      <c r="M760" t="s">
        <v>277</v>
      </c>
      <c r="N760" t="s">
        <v>278</v>
      </c>
    </row>
    <row r="761" spans="1:14" x14ac:dyDescent="0.3">
      <c r="A761" t="s">
        <v>272</v>
      </c>
      <c r="B761" t="s">
        <v>273</v>
      </c>
      <c r="C761">
        <v>724</v>
      </c>
      <c r="D761" t="s">
        <v>83</v>
      </c>
      <c r="E761">
        <v>645</v>
      </c>
      <c r="F761" t="s">
        <v>274</v>
      </c>
      <c r="G761" t="s">
        <v>291</v>
      </c>
      <c r="H761" t="s">
        <v>34</v>
      </c>
      <c r="I761">
        <v>2021</v>
      </c>
      <c r="J761">
        <v>2021</v>
      </c>
      <c r="K761" t="s">
        <v>276</v>
      </c>
      <c r="L761">
        <v>2.98</v>
      </c>
      <c r="M761" t="s">
        <v>277</v>
      </c>
      <c r="N761" t="s">
        <v>278</v>
      </c>
    </row>
    <row r="762" spans="1:14" x14ac:dyDescent="0.3">
      <c r="A762" t="s">
        <v>272</v>
      </c>
      <c r="B762" t="s">
        <v>273</v>
      </c>
      <c r="C762">
        <v>724</v>
      </c>
      <c r="D762" t="s">
        <v>83</v>
      </c>
      <c r="E762">
        <v>645</v>
      </c>
      <c r="F762" t="s">
        <v>274</v>
      </c>
      <c r="G762" t="s">
        <v>292</v>
      </c>
      <c r="H762" t="s">
        <v>29</v>
      </c>
      <c r="I762">
        <v>2017</v>
      </c>
      <c r="J762">
        <v>2017</v>
      </c>
      <c r="K762" t="s">
        <v>276</v>
      </c>
      <c r="L762">
        <v>12.98</v>
      </c>
      <c r="M762" t="s">
        <v>277</v>
      </c>
      <c r="N762" t="s">
        <v>278</v>
      </c>
    </row>
    <row r="763" spans="1:14" x14ac:dyDescent="0.3">
      <c r="A763" t="s">
        <v>272</v>
      </c>
      <c r="B763" t="s">
        <v>273</v>
      </c>
      <c r="C763">
        <v>724</v>
      </c>
      <c r="D763" t="s">
        <v>83</v>
      </c>
      <c r="E763">
        <v>645</v>
      </c>
      <c r="F763" t="s">
        <v>274</v>
      </c>
      <c r="G763" t="s">
        <v>292</v>
      </c>
      <c r="H763" t="s">
        <v>29</v>
      </c>
      <c r="I763">
        <v>2018</v>
      </c>
      <c r="J763">
        <v>2018</v>
      </c>
      <c r="K763" t="s">
        <v>276</v>
      </c>
      <c r="L763">
        <v>13.03</v>
      </c>
      <c r="M763" t="s">
        <v>277</v>
      </c>
      <c r="N763" t="s">
        <v>278</v>
      </c>
    </row>
    <row r="764" spans="1:14" x14ac:dyDescent="0.3">
      <c r="A764" t="s">
        <v>272</v>
      </c>
      <c r="B764" t="s">
        <v>273</v>
      </c>
      <c r="C764">
        <v>724</v>
      </c>
      <c r="D764" t="s">
        <v>83</v>
      </c>
      <c r="E764">
        <v>645</v>
      </c>
      <c r="F764" t="s">
        <v>274</v>
      </c>
      <c r="G764" t="s">
        <v>292</v>
      </c>
      <c r="H764" t="s">
        <v>29</v>
      </c>
      <c r="I764">
        <v>2019</v>
      </c>
      <c r="J764">
        <v>2019</v>
      </c>
      <c r="K764" t="s">
        <v>276</v>
      </c>
      <c r="L764">
        <v>13</v>
      </c>
      <c r="M764" t="s">
        <v>277</v>
      </c>
      <c r="N764" t="s">
        <v>278</v>
      </c>
    </row>
    <row r="765" spans="1:14" x14ac:dyDescent="0.3">
      <c r="A765" t="s">
        <v>272</v>
      </c>
      <c r="B765" t="s">
        <v>273</v>
      </c>
      <c r="C765">
        <v>724</v>
      </c>
      <c r="D765" t="s">
        <v>83</v>
      </c>
      <c r="E765">
        <v>645</v>
      </c>
      <c r="F765" t="s">
        <v>274</v>
      </c>
      <c r="G765" t="s">
        <v>292</v>
      </c>
      <c r="H765" t="s">
        <v>29</v>
      </c>
      <c r="I765">
        <v>2020</v>
      </c>
      <c r="J765">
        <v>2020</v>
      </c>
      <c r="K765" t="s">
        <v>276</v>
      </c>
      <c r="L765">
        <v>12.94</v>
      </c>
      <c r="M765" t="s">
        <v>277</v>
      </c>
      <c r="N765" t="s">
        <v>278</v>
      </c>
    </row>
    <row r="766" spans="1:14" x14ac:dyDescent="0.3">
      <c r="A766" t="s">
        <v>272</v>
      </c>
      <c r="B766" t="s">
        <v>273</v>
      </c>
      <c r="C766">
        <v>724</v>
      </c>
      <c r="D766" t="s">
        <v>83</v>
      </c>
      <c r="E766">
        <v>645</v>
      </c>
      <c r="F766" t="s">
        <v>274</v>
      </c>
      <c r="G766" t="s">
        <v>292</v>
      </c>
      <c r="H766" t="s">
        <v>29</v>
      </c>
      <c r="I766">
        <v>2021</v>
      </c>
      <c r="J766">
        <v>2021</v>
      </c>
      <c r="K766" t="s">
        <v>276</v>
      </c>
      <c r="L766">
        <v>12.91</v>
      </c>
      <c r="M766" t="s">
        <v>277</v>
      </c>
      <c r="N766" t="s">
        <v>278</v>
      </c>
    </row>
    <row r="767" spans="1:14" x14ac:dyDescent="0.3">
      <c r="A767" t="s">
        <v>272</v>
      </c>
      <c r="B767" t="s">
        <v>273</v>
      </c>
      <c r="C767">
        <v>724</v>
      </c>
      <c r="D767" t="s">
        <v>83</v>
      </c>
      <c r="E767">
        <v>645</v>
      </c>
      <c r="F767" t="s">
        <v>274</v>
      </c>
      <c r="G767" t="s">
        <v>293</v>
      </c>
      <c r="H767" t="s">
        <v>41</v>
      </c>
      <c r="I767">
        <v>2017</v>
      </c>
      <c r="J767">
        <v>2017</v>
      </c>
      <c r="K767" t="s">
        <v>276</v>
      </c>
      <c r="L767">
        <v>11.39</v>
      </c>
      <c r="M767" t="s">
        <v>277</v>
      </c>
      <c r="N767" t="s">
        <v>278</v>
      </c>
    </row>
    <row r="768" spans="1:14" x14ac:dyDescent="0.3">
      <c r="A768" t="s">
        <v>272</v>
      </c>
      <c r="B768" t="s">
        <v>273</v>
      </c>
      <c r="C768">
        <v>724</v>
      </c>
      <c r="D768" t="s">
        <v>83</v>
      </c>
      <c r="E768">
        <v>645</v>
      </c>
      <c r="F768" t="s">
        <v>274</v>
      </c>
      <c r="G768" t="s">
        <v>293</v>
      </c>
      <c r="H768" t="s">
        <v>41</v>
      </c>
      <c r="I768">
        <v>2018</v>
      </c>
      <c r="J768">
        <v>2018</v>
      </c>
      <c r="K768" t="s">
        <v>276</v>
      </c>
      <c r="L768">
        <v>11.01</v>
      </c>
      <c r="M768" t="s">
        <v>277</v>
      </c>
      <c r="N768" t="s">
        <v>278</v>
      </c>
    </row>
    <row r="769" spans="1:14" x14ac:dyDescent="0.3">
      <c r="A769" t="s">
        <v>272</v>
      </c>
      <c r="B769" t="s">
        <v>273</v>
      </c>
      <c r="C769">
        <v>724</v>
      </c>
      <c r="D769" t="s">
        <v>83</v>
      </c>
      <c r="E769">
        <v>645</v>
      </c>
      <c r="F769" t="s">
        <v>274</v>
      </c>
      <c r="G769" t="s">
        <v>293</v>
      </c>
      <c r="H769" t="s">
        <v>41</v>
      </c>
      <c r="I769">
        <v>2019</v>
      </c>
      <c r="J769">
        <v>2019</v>
      </c>
      <c r="K769" t="s">
        <v>276</v>
      </c>
      <c r="L769">
        <v>12.02</v>
      </c>
      <c r="M769" t="s">
        <v>277</v>
      </c>
      <c r="N769" t="s">
        <v>278</v>
      </c>
    </row>
    <row r="770" spans="1:14" x14ac:dyDescent="0.3">
      <c r="A770" t="s">
        <v>272</v>
      </c>
      <c r="B770" t="s">
        <v>273</v>
      </c>
      <c r="C770">
        <v>724</v>
      </c>
      <c r="D770" t="s">
        <v>83</v>
      </c>
      <c r="E770">
        <v>645</v>
      </c>
      <c r="F770" t="s">
        <v>274</v>
      </c>
      <c r="G770" t="s">
        <v>293</v>
      </c>
      <c r="H770" t="s">
        <v>41</v>
      </c>
      <c r="I770">
        <v>2020</v>
      </c>
      <c r="J770">
        <v>2020</v>
      </c>
      <c r="K770" t="s">
        <v>276</v>
      </c>
      <c r="L770">
        <v>11.96</v>
      </c>
      <c r="M770" t="s">
        <v>277</v>
      </c>
      <c r="N770" t="s">
        <v>278</v>
      </c>
    </row>
    <row r="771" spans="1:14" x14ac:dyDescent="0.3">
      <c r="A771" t="s">
        <v>272</v>
      </c>
      <c r="B771" t="s">
        <v>273</v>
      </c>
      <c r="C771">
        <v>724</v>
      </c>
      <c r="D771" t="s">
        <v>83</v>
      </c>
      <c r="E771">
        <v>645</v>
      </c>
      <c r="F771" t="s">
        <v>274</v>
      </c>
      <c r="G771" t="s">
        <v>293</v>
      </c>
      <c r="H771" t="s">
        <v>41</v>
      </c>
      <c r="I771">
        <v>2021</v>
      </c>
      <c r="J771">
        <v>2021</v>
      </c>
      <c r="K771" t="s">
        <v>276</v>
      </c>
      <c r="L771">
        <v>11.93</v>
      </c>
      <c r="M771" t="s">
        <v>277</v>
      </c>
      <c r="N771" t="s">
        <v>278</v>
      </c>
    </row>
    <row r="772" spans="1:14" x14ac:dyDescent="0.3">
      <c r="A772" t="s">
        <v>272</v>
      </c>
      <c r="B772" t="s">
        <v>273</v>
      </c>
      <c r="C772">
        <v>724</v>
      </c>
      <c r="D772" t="s">
        <v>83</v>
      </c>
      <c r="E772">
        <v>645</v>
      </c>
      <c r="F772" t="s">
        <v>274</v>
      </c>
      <c r="G772" t="s">
        <v>294</v>
      </c>
      <c r="H772" t="s">
        <v>35</v>
      </c>
      <c r="I772">
        <v>2017</v>
      </c>
      <c r="J772">
        <v>2017</v>
      </c>
      <c r="K772" t="s">
        <v>276</v>
      </c>
      <c r="L772">
        <v>0.74</v>
      </c>
      <c r="M772" t="s">
        <v>277</v>
      </c>
      <c r="N772" t="s">
        <v>278</v>
      </c>
    </row>
    <row r="773" spans="1:14" x14ac:dyDescent="0.3">
      <c r="A773" t="s">
        <v>272</v>
      </c>
      <c r="B773" t="s">
        <v>273</v>
      </c>
      <c r="C773">
        <v>724</v>
      </c>
      <c r="D773" t="s">
        <v>83</v>
      </c>
      <c r="E773">
        <v>645</v>
      </c>
      <c r="F773" t="s">
        <v>274</v>
      </c>
      <c r="G773" t="s">
        <v>294</v>
      </c>
      <c r="H773" t="s">
        <v>35</v>
      </c>
      <c r="I773">
        <v>2018</v>
      </c>
      <c r="J773">
        <v>2018</v>
      </c>
      <c r="K773" t="s">
        <v>276</v>
      </c>
      <c r="L773">
        <v>0.81</v>
      </c>
      <c r="M773" t="s">
        <v>277</v>
      </c>
      <c r="N773" t="s">
        <v>278</v>
      </c>
    </row>
    <row r="774" spans="1:14" x14ac:dyDescent="0.3">
      <c r="A774" t="s">
        <v>272</v>
      </c>
      <c r="B774" t="s">
        <v>273</v>
      </c>
      <c r="C774">
        <v>724</v>
      </c>
      <c r="D774" t="s">
        <v>83</v>
      </c>
      <c r="E774">
        <v>645</v>
      </c>
      <c r="F774" t="s">
        <v>274</v>
      </c>
      <c r="G774" t="s">
        <v>294</v>
      </c>
      <c r="H774" t="s">
        <v>35</v>
      </c>
      <c r="I774">
        <v>2019</v>
      </c>
      <c r="J774">
        <v>2019</v>
      </c>
      <c r="K774" t="s">
        <v>276</v>
      </c>
      <c r="L774">
        <v>0.6</v>
      </c>
      <c r="M774" t="s">
        <v>277</v>
      </c>
      <c r="N774" t="s">
        <v>278</v>
      </c>
    </row>
    <row r="775" spans="1:14" x14ac:dyDescent="0.3">
      <c r="A775" t="s">
        <v>272</v>
      </c>
      <c r="B775" t="s">
        <v>273</v>
      </c>
      <c r="C775">
        <v>724</v>
      </c>
      <c r="D775" t="s">
        <v>83</v>
      </c>
      <c r="E775">
        <v>645</v>
      </c>
      <c r="F775" t="s">
        <v>274</v>
      </c>
      <c r="G775" t="s">
        <v>294</v>
      </c>
      <c r="H775" t="s">
        <v>35</v>
      </c>
      <c r="I775">
        <v>2020</v>
      </c>
      <c r="J775">
        <v>2020</v>
      </c>
      <c r="K775" t="s">
        <v>276</v>
      </c>
      <c r="L775">
        <v>0.6</v>
      </c>
      <c r="M775" t="s">
        <v>277</v>
      </c>
      <c r="N775" t="s">
        <v>278</v>
      </c>
    </row>
    <row r="776" spans="1:14" x14ac:dyDescent="0.3">
      <c r="A776" t="s">
        <v>272</v>
      </c>
      <c r="B776" t="s">
        <v>273</v>
      </c>
      <c r="C776">
        <v>724</v>
      </c>
      <c r="D776" t="s">
        <v>83</v>
      </c>
      <c r="E776">
        <v>645</v>
      </c>
      <c r="F776" t="s">
        <v>274</v>
      </c>
      <c r="G776" t="s">
        <v>294</v>
      </c>
      <c r="H776" t="s">
        <v>35</v>
      </c>
      <c r="I776">
        <v>2021</v>
      </c>
      <c r="J776">
        <v>2021</v>
      </c>
      <c r="K776" t="s">
        <v>276</v>
      </c>
      <c r="L776">
        <v>0.6</v>
      </c>
      <c r="M776" t="s">
        <v>277</v>
      </c>
      <c r="N776" t="s">
        <v>278</v>
      </c>
    </row>
    <row r="777" spans="1:14" x14ac:dyDescent="0.3">
      <c r="A777" t="s">
        <v>272</v>
      </c>
      <c r="B777" t="s">
        <v>273</v>
      </c>
      <c r="C777">
        <v>724</v>
      </c>
      <c r="D777" t="s">
        <v>83</v>
      </c>
      <c r="E777">
        <v>645</v>
      </c>
      <c r="F777" t="s">
        <v>274</v>
      </c>
      <c r="G777" t="s">
        <v>295</v>
      </c>
      <c r="H777" t="s">
        <v>28</v>
      </c>
      <c r="I777">
        <v>2017</v>
      </c>
      <c r="J777">
        <v>2017</v>
      </c>
      <c r="K777" t="s">
        <v>276</v>
      </c>
      <c r="L777">
        <v>3.5</v>
      </c>
      <c r="M777" t="s">
        <v>277</v>
      </c>
      <c r="N777" t="s">
        <v>278</v>
      </c>
    </row>
    <row r="778" spans="1:14" x14ac:dyDescent="0.3">
      <c r="A778" t="s">
        <v>272</v>
      </c>
      <c r="B778" t="s">
        <v>273</v>
      </c>
      <c r="C778">
        <v>724</v>
      </c>
      <c r="D778" t="s">
        <v>83</v>
      </c>
      <c r="E778">
        <v>645</v>
      </c>
      <c r="F778" t="s">
        <v>274</v>
      </c>
      <c r="G778" t="s">
        <v>295</v>
      </c>
      <c r="H778" t="s">
        <v>28</v>
      </c>
      <c r="I778">
        <v>2018</v>
      </c>
      <c r="J778">
        <v>2018</v>
      </c>
      <c r="K778" t="s">
        <v>276</v>
      </c>
      <c r="L778">
        <v>3.25</v>
      </c>
      <c r="M778" t="s">
        <v>277</v>
      </c>
      <c r="N778" t="s">
        <v>278</v>
      </c>
    </row>
    <row r="779" spans="1:14" x14ac:dyDescent="0.3">
      <c r="A779" t="s">
        <v>272</v>
      </c>
      <c r="B779" t="s">
        <v>273</v>
      </c>
      <c r="C779">
        <v>724</v>
      </c>
      <c r="D779" t="s">
        <v>83</v>
      </c>
      <c r="E779">
        <v>645</v>
      </c>
      <c r="F779" t="s">
        <v>274</v>
      </c>
      <c r="G779" t="s">
        <v>295</v>
      </c>
      <c r="H779" t="s">
        <v>28</v>
      </c>
      <c r="I779">
        <v>2019</v>
      </c>
      <c r="J779">
        <v>2019</v>
      </c>
      <c r="K779" t="s">
        <v>276</v>
      </c>
      <c r="L779">
        <v>3.37</v>
      </c>
      <c r="M779" t="s">
        <v>277</v>
      </c>
      <c r="N779" t="s">
        <v>278</v>
      </c>
    </row>
    <row r="780" spans="1:14" x14ac:dyDescent="0.3">
      <c r="A780" t="s">
        <v>272</v>
      </c>
      <c r="B780" t="s">
        <v>273</v>
      </c>
      <c r="C780">
        <v>724</v>
      </c>
      <c r="D780" t="s">
        <v>83</v>
      </c>
      <c r="E780">
        <v>645</v>
      </c>
      <c r="F780" t="s">
        <v>274</v>
      </c>
      <c r="G780" t="s">
        <v>295</v>
      </c>
      <c r="H780" t="s">
        <v>28</v>
      </c>
      <c r="I780">
        <v>2020</v>
      </c>
      <c r="J780">
        <v>2020</v>
      </c>
      <c r="K780" t="s">
        <v>276</v>
      </c>
      <c r="L780">
        <v>3.36</v>
      </c>
      <c r="M780" t="s">
        <v>277</v>
      </c>
      <c r="N780" t="s">
        <v>278</v>
      </c>
    </row>
    <row r="781" spans="1:14" x14ac:dyDescent="0.3">
      <c r="A781" t="s">
        <v>272</v>
      </c>
      <c r="B781" t="s">
        <v>273</v>
      </c>
      <c r="C781">
        <v>724</v>
      </c>
      <c r="D781" t="s">
        <v>83</v>
      </c>
      <c r="E781">
        <v>645</v>
      </c>
      <c r="F781" t="s">
        <v>274</v>
      </c>
      <c r="G781" t="s">
        <v>295</v>
      </c>
      <c r="H781" t="s">
        <v>28</v>
      </c>
      <c r="I781">
        <v>2021</v>
      </c>
      <c r="J781">
        <v>2021</v>
      </c>
      <c r="K781" t="s">
        <v>276</v>
      </c>
      <c r="L781">
        <v>3.35</v>
      </c>
      <c r="M781" t="s">
        <v>277</v>
      </c>
      <c r="N781" t="s">
        <v>278</v>
      </c>
    </row>
    <row r="782" spans="1:14" x14ac:dyDescent="0.3">
      <c r="A782" t="s">
        <v>272</v>
      </c>
      <c r="B782" t="s">
        <v>273</v>
      </c>
      <c r="C782">
        <v>724</v>
      </c>
      <c r="D782" t="s">
        <v>83</v>
      </c>
      <c r="E782">
        <v>645</v>
      </c>
      <c r="F782" t="s">
        <v>274</v>
      </c>
      <c r="G782" t="s">
        <v>296</v>
      </c>
      <c r="H782" t="s">
        <v>26</v>
      </c>
      <c r="I782">
        <v>2017</v>
      </c>
      <c r="J782">
        <v>2017</v>
      </c>
      <c r="K782" t="s">
        <v>276</v>
      </c>
      <c r="L782">
        <v>1.69</v>
      </c>
      <c r="M782" t="s">
        <v>277</v>
      </c>
      <c r="N782" t="s">
        <v>278</v>
      </c>
    </row>
    <row r="783" spans="1:14" x14ac:dyDescent="0.3">
      <c r="A783" t="s">
        <v>272</v>
      </c>
      <c r="B783" t="s">
        <v>273</v>
      </c>
      <c r="C783">
        <v>724</v>
      </c>
      <c r="D783" t="s">
        <v>83</v>
      </c>
      <c r="E783">
        <v>645</v>
      </c>
      <c r="F783" t="s">
        <v>274</v>
      </c>
      <c r="G783" t="s">
        <v>296</v>
      </c>
      <c r="H783" t="s">
        <v>26</v>
      </c>
      <c r="I783">
        <v>2018</v>
      </c>
      <c r="J783">
        <v>2018</v>
      </c>
      <c r="K783" t="s">
        <v>276</v>
      </c>
      <c r="L783">
        <v>3.92</v>
      </c>
      <c r="M783" t="s">
        <v>277</v>
      </c>
      <c r="N783" t="s">
        <v>278</v>
      </c>
    </row>
    <row r="784" spans="1:14" x14ac:dyDescent="0.3">
      <c r="A784" t="s">
        <v>272</v>
      </c>
      <c r="B784" t="s">
        <v>273</v>
      </c>
      <c r="C784">
        <v>724</v>
      </c>
      <c r="D784" t="s">
        <v>83</v>
      </c>
      <c r="E784">
        <v>645</v>
      </c>
      <c r="F784" t="s">
        <v>274</v>
      </c>
      <c r="G784" t="s">
        <v>296</v>
      </c>
      <c r="H784" t="s">
        <v>26</v>
      </c>
      <c r="I784">
        <v>2019</v>
      </c>
      <c r="J784">
        <v>2019</v>
      </c>
      <c r="K784" t="s">
        <v>276</v>
      </c>
      <c r="L784">
        <v>3.37</v>
      </c>
      <c r="M784" t="s">
        <v>277</v>
      </c>
      <c r="N784" t="s">
        <v>278</v>
      </c>
    </row>
    <row r="785" spans="1:14" x14ac:dyDescent="0.3">
      <c r="A785" t="s">
        <v>272</v>
      </c>
      <c r="B785" t="s">
        <v>273</v>
      </c>
      <c r="C785">
        <v>724</v>
      </c>
      <c r="D785" t="s">
        <v>83</v>
      </c>
      <c r="E785">
        <v>645</v>
      </c>
      <c r="F785" t="s">
        <v>274</v>
      </c>
      <c r="G785" t="s">
        <v>296</v>
      </c>
      <c r="H785" t="s">
        <v>26</v>
      </c>
      <c r="I785">
        <v>2020</v>
      </c>
      <c r="J785">
        <v>2020</v>
      </c>
      <c r="K785" t="s">
        <v>276</v>
      </c>
      <c r="L785">
        <v>3.35</v>
      </c>
      <c r="M785" t="s">
        <v>277</v>
      </c>
      <c r="N785" t="s">
        <v>278</v>
      </c>
    </row>
    <row r="786" spans="1:14" x14ac:dyDescent="0.3">
      <c r="A786" t="s">
        <v>272</v>
      </c>
      <c r="B786" t="s">
        <v>273</v>
      </c>
      <c r="C786">
        <v>724</v>
      </c>
      <c r="D786" t="s">
        <v>83</v>
      </c>
      <c r="E786">
        <v>645</v>
      </c>
      <c r="F786" t="s">
        <v>274</v>
      </c>
      <c r="G786" t="s">
        <v>296</v>
      </c>
      <c r="H786" t="s">
        <v>26</v>
      </c>
      <c r="I786">
        <v>2021</v>
      </c>
      <c r="J786">
        <v>2021</v>
      </c>
      <c r="K786" t="s">
        <v>276</v>
      </c>
      <c r="L786">
        <v>3.34</v>
      </c>
      <c r="M786" t="s">
        <v>277</v>
      </c>
      <c r="N786" t="s">
        <v>278</v>
      </c>
    </row>
    <row r="787" spans="1:14" x14ac:dyDescent="0.3">
      <c r="A787" t="s">
        <v>272</v>
      </c>
      <c r="B787" t="s">
        <v>273</v>
      </c>
      <c r="C787">
        <v>724</v>
      </c>
      <c r="D787" t="s">
        <v>83</v>
      </c>
      <c r="E787">
        <v>645</v>
      </c>
      <c r="F787" t="s">
        <v>274</v>
      </c>
      <c r="G787" t="s">
        <v>297</v>
      </c>
      <c r="H787" t="s">
        <v>38</v>
      </c>
      <c r="I787">
        <v>2017</v>
      </c>
      <c r="J787">
        <v>2017</v>
      </c>
      <c r="K787" t="s">
        <v>276</v>
      </c>
      <c r="L787">
        <v>9.19</v>
      </c>
      <c r="M787" t="s">
        <v>277</v>
      </c>
      <c r="N787" t="s">
        <v>278</v>
      </c>
    </row>
    <row r="788" spans="1:14" x14ac:dyDescent="0.3">
      <c r="A788" t="s">
        <v>272</v>
      </c>
      <c r="B788" t="s">
        <v>273</v>
      </c>
      <c r="C788">
        <v>724</v>
      </c>
      <c r="D788" t="s">
        <v>83</v>
      </c>
      <c r="E788">
        <v>645</v>
      </c>
      <c r="F788" t="s">
        <v>274</v>
      </c>
      <c r="G788" t="s">
        <v>297</v>
      </c>
      <c r="H788" t="s">
        <v>38</v>
      </c>
      <c r="I788">
        <v>2018</v>
      </c>
      <c r="J788">
        <v>2018</v>
      </c>
      <c r="K788" t="s">
        <v>276</v>
      </c>
      <c r="L788">
        <v>6.2</v>
      </c>
      <c r="M788" t="s">
        <v>277</v>
      </c>
      <c r="N788" t="s">
        <v>278</v>
      </c>
    </row>
    <row r="789" spans="1:14" x14ac:dyDescent="0.3">
      <c r="A789" t="s">
        <v>272</v>
      </c>
      <c r="B789" t="s">
        <v>273</v>
      </c>
      <c r="C789">
        <v>724</v>
      </c>
      <c r="D789" t="s">
        <v>83</v>
      </c>
      <c r="E789">
        <v>645</v>
      </c>
      <c r="F789" t="s">
        <v>274</v>
      </c>
      <c r="G789" t="s">
        <v>297</v>
      </c>
      <c r="H789" t="s">
        <v>38</v>
      </c>
      <c r="I789">
        <v>2019</v>
      </c>
      <c r="J789">
        <v>2019</v>
      </c>
      <c r="K789" t="s">
        <v>276</v>
      </c>
      <c r="L789">
        <v>5.0199999999999996</v>
      </c>
      <c r="M789" t="s">
        <v>277</v>
      </c>
      <c r="N789" t="s">
        <v>278</v>
      </c>
    </row>
    <row r="790" spans="1:14" x14ac:dyDescent="0.3">
      <c r="A790" t="s">
        <v>272</v>
      </c>
      <c r="B790" t="s">
        <v>273</v>
      </c>
      <c r="C790">
        <v>724</v>
      </c>
      <c r="D790" t="s">
        <v>83</v>
      </c>
      <c r="E790">
        <v>645</v>
      </c>
      <c r="F790" t="s">
        <v>274</v>
      </c>
      <c r="G790" t="s">
        <v>297</v>
      </c>
      <c r="H790" t="s">
        <v>38</v>
      </c>
      <c r="I790">
        <v>2020</v>
      </c>
      <c r="J790">
        <v>2020</v>
      </c>
      <c r="K790" t="s">
        <v>276</v>
      </c>
      <c r="L790">
        <v>5</v>
      </c>
      <c r="M790" t="s">
        <v>277</v>
      </c>
      <c r="N790" t="s">
        <v>278</v>
      </c>
    </row>
    <row r="791" spans="1:14" x14ac:dyDescent="0.3">
      <c r="A791" t="s">
        <v>272</v>
      </c>
      <c r="B791" t="s">
        <v>273</v>
      </c>
      <c r="C791">
        <v>724</v>
      </c>
      <c r="D791" t="s">
        <v>83</v>
      </c>
      <c r="E791">
        <v>645</v>
      </c>
      <c r="F791" t="s">
        <v>274</v>
      </c>
      <c r="G791" t="s">
        <v>297</v>
      </c>
      <c r="H791" t="s">
        <v>38</v>
      </c>
      <c r="I791">
        <v>2021</v>
      </c>
      <c r="J791">
        <v>2021</v>
      </c>
      <c r="K791" t="s">
        <v>276</v>
      </c>
      <c r="L791">
        <v>4.9800000000000004</v>
      </c>
      <c r="M791" t="s">
        <v>277</v>
      </c>
      <c r="N791" t="s">
        <v>278</v>
      </c>
    </row>
    <row r="792" spans="1:14" x14ac:dyDescent="0.3">
      <c r="A792" t="s">
        <v>272</v>
      </c>
      <c r="B792" t="s">
        <v>273</v>
      </c>
      <c r="C792">
        <v>724</v>
      </c>
      <c r="D792" t="s">
        <v>83</v>
      </c>
      <c r="E792">
        <v>645</v>
      </c>
      <c r="F792" t="s">
        <v>274</v>
      </c>
      <c r="G792" t="s">
        <v>298</v>
      </c>
      <c r="H792" t="s">
        <v>23</v>
      </c>
      <c r="I792">
        <v>2017</v>
      </c>
      <c r="J792">
        <v>2017</v>
      </c>
      <c r="K792" t="s">
        <v>276</v>
      </c>
      <c r="L792">
        <v>0.02</v>
      </c>
      <c r="M792" t="s">
        <v>277</v>
      </c>
      <c r="N792" t="s">
        <v>278</v>
      </c>
    </row>
    <row r="793" spans="1:14" x14ac:dyDescent="0.3">
      <c r="A793" t="s">
        <v>272</v>
      </c>
      <c r="B793" t="s">
        <v>273</v>
      </c>
      <c r="C793">
        <v>724</v>
      </c>
      <c r="D793" t="s">
        <v>83</v>
      </c>
      <c r="E793">
        <v>645</v>
      </c>
      <c r="F793" t="s">
        <v>274</v>
      </c>
      <c r="G793" t="s">
        <v>298</v>
      </c>
      <c r="H793" t="s">
        <v>23</v>
      </c>
      <c r="I793">
        <v>2018</v>
      </c>
      <c r="J793">
        <v>2018</v>
      </c>
      <c r="K793" t="s">
        <v>276</v>
      </c>
      <c r="L793">
        <v>0.06</v>
      </c>
      <c r="M793" t="s">
        <v>277</v>
      </c>
      <c r="N793" t="s">
        <v>278</v>
      </c>
    </row>
    <row r="794" spans="1:14" x14ac:dyDescent="0.3">
      <c r="A794" t="s">
        <v>272</v>
      </c>
      <c r="B794" t="s">
        <v>273</v>
      </c>
      <c r="C794">
        <v>724</v>
      </c>
      <c r="D794" t="s">
        <v>83</v>
      </c>
      <c r="E794">
        <v>645</v>
      </c>
      <c r="F794" t="s">
        <v>274</v>
      </c>
      <c r="G794" t="s">
        <v>298</v>
      </c>
      <c r="H794" t="s">
        <v>23</v>
      </c>
      <c r="I794">
        <v>2019</v>
      </c>
      <c r="J794">
        <v>2019</v>
      </c>
      <c r="K794" t="s">
        <v>276</v>
      </c>
      <c r="L794">
        <v>0.02</v>
      </c>
      <c r="M794" t="s">
        <v>277</v>
      </c>
      <c r="N794" t="s">
        <v>278</v>
      </c>
    </row>
    <row r="795" spans="1:14" x14ac:dyDescent="0.3">
      <c r="A795" t="s">
        <v>272</v>
      </c>
      <c r="B795" t="s">
        <v>273</v>
      </c>
      <c r="C795">
        <v>724</v>
      </c>
      <c r="D795" t="s">
        <v>83</v>
      </c>
      <c r="E795">
        <v>645</v>
      </c>
      <c r="F795" t="s">
        <v>274</v>
      </c>
      <c r="G795" t="s">
        <v>298</v>
      </c>
      <c r="H795" t="s">
        <v>23</v>
      </c>
      <c r="I795">
        <v>2020</v>
      </c>
      <c r="J795">
        <v>2020</v>
      </c>
      <c r="K795" t="s">
        <v>276</v>
      </c>
      <c r="L795">
        <v>0.02</v>
      </c>
      <c r="M795" t="s">
        <v>277</v>
      </c>
      <c r="N795" t="s">
        <v>278</v>
      </c>
    </row>
    <row r="796" spans="1:14" x14ac:dyDescent="0.3">
      <c r="A796" t="s">
        <v>272</v>
      </c>
      <c r="B796" t="s">
        <v>273</v>
      </c>
      <c r="C796">
        <v>724</v>
      </c>
      <c r="D796" t="s">
        <v>83</v>
      </c>
      <c r="E796">
        <v>645</v>
      </c>
      <c r="F796" t="s">
        <v>274</v>
      </c>
      <c r="G796" t="s">
        <v>298</v>
      </c>
      <c r="H796" t="s">
        <v>23</v>
      </c>
      <c r="I796">
        <v>2021</v>
      </c>
      <c r="J796">
        <v>2021</v>
      </c>
      <c r="K796" t="s">
        <v>276</v>
      </c>
      <c r="L796">
        <v>0.02</v>
      </c>
      <c r="M796" t="s">
        <v>277</v>
      </c>
      <c r="N796" t="s">
        <v>278</v>
      </c>
    </row>
    <row r="797" spans="1:14" x14ac:dyDescent="0.3">
      <c r="A797" t="s">
        <v>272</v>
      </c>
      <c r="B797" t="s">
        <v>273</v>
      </c>
      <c r="C797">
        <v>752</v>
      </c>
      <c r="D797" t="s">
        <v>84</v>
      </c>
      <c r="E797">
        <v>645</v>
      </c>
      <c r="F797" t="s">
        <v>274</v>
      </c>
      <c r="G797" t="s">
        <v>275</v>
      </c>
      <c r="H797" t="s">
        <v>24</v>
      </c>
      <c r="I797">
        <v>2017</v>
      </c>
      <c r="J797">
        <v>2017</v>
      </c>
      <c r="K797" t="s">
        <v>276</v>
      </c>
      <c r="L797">
        <v>23.15</v>
      </c>
      <c r="M797" t="s">
        <v>277</v>
      </c>
      <c r="N797" t="s">
        <v>278</v>
      </c>
    </row>
    <row r="798" spans="1:14" x14ac:dyDescent="0.3">
      <c r="A798" t="s">
        <v>272</v>
      </c>
      <c r="B798" t="s">
        <v>273</v>
      </c>
      <c r="C798">
        <v>752</v>
      </c>
      <c r="D798" t="s">
        <v>84</v>
      </c>
      <c r="E798">
        <v>645</v>
      </c>
      <c r="F798" t="s">
        <v>274</v>
      </c>
      <c r="G798" t="s">
        <v>275</v>
      </c>
      <c r="H798" t="s">
        <v>24</v>
      </c>
      <c r="I798">
        <v>2018</v>
      </c>
      <c r="J798">
        <v>2018</v>
      </c>
      <c r="K798" t="s">
        <v>276</v>
      </c>
      <c r="L798">
        <v>21</v>
      </c>
      <c r="M798" t="s">
        <v>277</v>
      </c>
      <c r="N798" t="s">
        <v>278</v>
      </c>
    </row>
    <row r="799" spans="1:14" x14ac:dyDescent="0.3">
      <c r="A799" t="s">
        <v>272</v>
      </c>
      <c r="B799" t="s">
        <v>273</v>
      </c>
      <c r="C799">
        <v>752</v>
      </c>
      <c r="D799" t="s">
        <v>84</v>
      </c>
      <c r="E799">
        <v>645</v>
      </c>
      <c r="F799" t="s">
        <v>274</v>
      </c>
      <c r="G799" t="s">
        <v>275</v>
      </c>
      <c r="H799" t="s">
        <v>24</v>
      </c>
      <c r="I799">
        <v>2019</v>
      </c>
      <c r="J799">
        <v>2019</v>
      </c>
      <c r="K799" t="s">
        <v>276</v>
      </c>
      <c r="L799">
        <v>23.36</v>
      </c>
      <c r="M799" t="s">
        <v>277</v>
      </c>
      <c r="N799" t="s">
        <v>278</v>
      </c>
    </row>
    <row r="800" spans="1:14" x14ac:dyDescent="0.3">
      <c r="A800" t="s">
        <v>272</v>
      </c>
      <c r="B800" t="s">
        <v>273</v>
      </c>
      <c r="C800">
        <v>752</v>
      </c>
      <c r="D800" t="s">
        <v>84</v>
      </c>
      <c r="E800">
        <v>645</v>
      </c>
      <c r="F800" t="s">
        <v>274</v>
      </c>
      <c r="G800" t="s">
        <v>275</v>
      </c>
      <c r="H800" t="s">
        <v>24</v>
      </c>
      <c r="I800">
        <v>2020</v>
      </c>
      <c r="J800">
        <v>2020</v>
      </c>
      <c r="K800" t="s">
        <v>276</v>
      </c>
      <c r="L800">
        <v>21.92</v>
      </c>
      <c r="M800" t="s">
        <v>277</v>
      </c>
      <c r="N800" t="s">
        <v>278</v>
      </c>
    </row>
    <row r="801" spans="1:14" x14ac:dyDescent="0.3">
      <c r="A801" t="s">
        <v>272</v>
      </c>
      <c r="B801" t="s">
        <v>273</v>
      </c>
      <c r="C801">
        <v>752</v>
      </c>
      <c r="D801" t="s">
        <v>84</v>
      </c>
      <c r="E801">
        <v>645</v>
      </c>
      <c r="F801" t="s">
        <v>274</v>
      </c>
      <c r="G801" t="s">
        <v>275</v>
      </c>
      <c r="H801" t="s">
        <v>24</v>
      </c>
      <c r="I801">
        <v>2021</v>
      </c>
      <c r="J801">
        <v>2021</v>
      </c>
      <c r="K801" t="s">
        <v>276</v>
      </c>
      <c r="L801">
        <v>21.58</v>
      </c>
      <c r="M801" t="s">
        <v>277</v>
      </c>
      <c r="N801" t="s">
        <v>278</v>
      </c>
    </row>
    <row r="802" spans="1:14" x14ac:dyDescent="0.3">
      <c r="A802" t="s">
        <v>272</v>
      </c>
      <c r="B802" t="s">
        <v>273</v>
      </c>
      <c r="C802">
        <v>752</v>
      </c>
      <c r="D802" t="s">
        <v>84</v>
      </c>
      <c r="E802">
        <v>645</v>
      </c>
      <c r="F802" t="s">
        <v>274</v>
      </c>
      <c r="G802" t="s">
        <v>279</v>
      </c>
      <c r="H802" t="s">
        <v>39</v>
      </c>
      <c r="I802">
        <v>2017</v>
      </c>
      <c r="J802">
        <v>2017</v>
      </c>
      <c r="K802" t="s">
        <v>276</v>
      </c>
      <c r="L802">
        <v>1.37</v>
      </c>
      <c r="M802" t="s">
        <v>277</v>
      </c>
      <c r="N802" t="s">
        <v>278</v>
      </c>
    </row>
    <row r="803" spans="1:14" x14ac:dyDescent="0.3">
      <c r="A803" t="s">
        <v>272</v>
      </c>
      <c r="B803" t="s">
        <v>273</v>
      </c>
      <c r="C803">
        <v>752</v>
      </c>
      <c r="D803" t="s">
        <v>84</v>
      </c>
      <c r="E803">
        <v>645</v>
      </c>
      <c r="F803" t="s">
        <v>274</v>
      </c>
      <c r="G803" t="s">
        <v>279</v>
      </c>
      <c r="H803" t="s">
        <v>39</v>
      </c>
      <c r="I803">
        <v>2018</v>
      </c>
      <c r="J803">
        <v>2018</v>
      </c>
      <c r="K803" t="s">
        <v>276</v>
      </c>
      <c r="L803">
        <v>1.38</v>
      </c>
      <c r="M803" t="s">
        <v>277</v>
      </c>
      <c r="N803" t="s">
        <v>278</v>
      </c>
    </row>
    <row r="804" spans="1:14" x14ac:dyDescent="0.3">
      <c r="A804" t="s">
        <v>272</v>
      </c>
      <c r="B804" t="s">
        <v>273</v>
      </c>
      <c r="C804">
        <v>752</v>
      </c>
      <c r="D804" t="s">
        <v>84</v>
      </c>
      <c r="E804">
        <v>645</v>
      </c>
      <c r="F804" t="s">
        <v>274</v>
      </c>
      <c r="G804" t="s">
        <v>279</v>
      </c>
      <c r="H804" t="s">
        <v>39</v>
      </c>
      <c r="I804">
        <v>2019</v>
      </c>
      <c r="J804">
        <v>2019</v>
      </c>
      <c r="K804" t="s">
        <v>276</v>
      </c>
      <c r="L804">
        <v>1.27</v>
      </c>
      <c r="M804" t="s">
        <v>277</v>
      </c>
      <c r="N804" t="s">
        <v>278</v>
      </c>
    </row>
    <row r="805" spans="1:14" x14ac:dyDescent="0.3">
      <c r="A805" t="s">
        <v>272</v>
      </c>
      <c r="B805" t="s">
        <v>273</v>
      </c>
      <c r="C805">
        <v>752</v>
      </c>
      <c r="D805" t="s">
        <v>84</v>
      </c>
      <c r="E805">
        <v>645</v>
      </c>
      <c r="F805" t="s">
        <v>274</v>
      </c>
      <c r="G805" t="s">
        <v>279</v>
      </c>
      <c r="H805" t="s">
        <v>39</v>
      </c>
      <c r="I805">
        <v>2020</v>
      </c>
      <c r="J805">
        <v>2020</v>
      </c>
      <c r="K805" t="s">
        <v>276</v>
      </c>
      <c r="L805">
        <v>1.25</v>
      </c>
      <c r="M805" t="s">
        <v>277</v>
      </c>
      <c r="N805" t="s">
        <v>278</v>
      </c>
    </row>
    <row r="806" spans="1:14" x14ac:dyDescent="0.3">
      <c r="A806" t="s">
        <v>272</v>
      </c>
      <c r="B806" t="s">
        <v>273</v>
      </c>
      <c r="C806">
        <v>752</v>
      </c>
      <c r="D806" t="s">
        <v>84</v>
      </c>
      <c r="E806">
        <v>645</v>
      </c>
      <c r="F806" t="s">
        <v>274</v>
      </c>
      <c r="G806" t="s">
        <v>279</v>
      </c>
      <c r="H806" t="s">
        <v>39</v>
      </c>
      <c r="I806">
        <v>2021</v>
      </c>
      <c r="J806">
        <v>2021</v>
      </c>
      <c r="K806" t="s">
        <v>276</v>
      </c>
      <c r="L806">
        <v>1.1399999999999999</v>
      </c>
      <c r="M806" t="s">
        <v>277</v>
      </c>
      <c r="N806" t="s">
        <v>278</v>
      </c>
    </row>
    <row r="807" spans="1:14" x14ac:dyDescent="0.3">
      <c r="A807" t="s">
        <v>272</v>
      </c>
      <c r="B807" t="s">
        <v>273</v>
      </c>
      <c r="C807">
        <v>752</v>
      </c>
      <c r="D807" t="s">
        <v>84</v>
      </c>
      <c r="E807">
        <v>645</v>
      </c>
      <c r="F807" t="s">
        <v>274</v>
      </c>
      <c r="G807" t="s">
        <v>280</v>
      </c>
      <c r="H807" t="s">
        <v>42</v>
      </c>
      <c r="I807">
        <v>2017</v>
      </c>
      <c r="J807">
        <v>2017</v>
      </c>
      <c r="K807" t="s">
        <v>276</v>
      </c>
      <c r="L807">
        <v>30.92</v>
      </c>
      <c r="M807" t="s">
        <v>277</v>
      </c>
      <c r="N807" t="s">
        <v>278</v>
      </c>
    </row>
    <row r="808" spans="1:14" x14ac:dyDescent="0.3">
      <c r="A808" t="s">
        <v>272</v>
      </c>
      <c r="B808" t="s">
        <v>273</v>
      </c>
      <c r="C808">
        <v>752</v>
      </c>
      <c r="D808" t="s">
        <v>84</v>
      </c>
      <c r="E808">
        <v>645</v>
      </c>
      <c r="F808" t="s">
        <v>274</v>
      </c>
      <c r="G808" t="s">
        <v>280</v>
      </c>
      <c r="H808" t="s">
        <v>42</v>
      </c>
      <c r="I808">
        <v>2018</v>
      </c>
      <c r="J808">
        <v>2018</v>
      </c>
      <c r="K808" t="s">
        <v>276</v>
      </c>
      <c r="L808">
        <v>30.62</v>
      </c>
      <c r="M808" t="s">
        <v>277</v>
      </c>
      <c r="N808" t="s">
        <v>278</v>
      </c>
    </row>
    <row r="809" spans="1:14" x14ac:dyDescent="0.3">
      <c r="A809" t="s">
        <v>272</v>
      </c>
      <c r="B809" t="s">
        <v>273</v>
      </c>
      <c r="C809">
        <v>752</v>
      </c>
      <c r="D809" t="s">
        <v>84</v>
      </c>
      <c r="E809">
        <v>645</v>
      </c>
      <c r="F809" t="s">
        <v>274</v>
      </c>
      <c r="G809" t="s">
        <v>280</v>
      </c>
      <c r="H809" t="s">
        <v>42</v>
      </c>
      <c r="I809">
        <v>2019</v>
      </c>
      <c r="J809">
        <v>2019</v>
      </c>
      <c r="K809" t="s">
        <v>276</v>
      </c>
      <c r="L809">
        <v>29.17</v>
      </c>
      <c r="M809" t="s">
        <v>277</v>
      </c>
      <c r="N809" t="s">
        <v>278</v>
      </c>
    </row>
    <row r="810" spans="1:14" x14ac:dyDescent="0.3">
      <c r="A810" t="s">
        <v>272</v>
      </c>
      <c r="B810" t="s">
        <v>273</v>
      </c>
      <c r="C810">
        <v>752</v>
      </c>
      <c r="D810" t="s">
        <v>84</v>
      </c>
      <c r="E810">
        <v>645</v>
      </c>
      <c r="F810" t="s">
        <v>274</v>
      </c>
      <c r="G810" t="s">
        <v>280</v>
      </c>
      <c r="H810" t="s">
        <v>42</v>
      </c>
      <c r="I810">
        <v>2020</v>
      </c>
      <c r="J810">
        <v>2020</v>
      </c>
      <c r="K810" t="s">
        <v>276</v>
      </c>
      <c r="L810">
        <v>28.12</v>
      </c>
      <c r="M810" t="s">
        <v>277</v>
      </c>
      <c r="N810" t="s">
        <v>278</v>
      </c>
    </row>
    <row r="811" spans="1:14" x14ac:dyDescent="0.3">
      <c r="A811" t="s">
        <v>272</v>
      </c>
      <c r="B811" t="s">
        <v>273</v>
      </c>
      <c r="C811">
        <v>752</v>
      </c>
      <c r="D811" t="s">
        <v>84</v>
      </c>
      <c r="E811">
        <v>645</v>
      </c>
      <c r="F811" t="s">
        <v>274</v>
      </c>
      <c r="G811" t="s">
        <v>280</v>
      </c>
      <c r="H811" t="s">
        <v>42</v>
      </c>
      <c r="I811">
        <v>2021</v>
      </c>
      <c r="J811">
        <v>2021</v>
      </c>
      <c r="K811" t="s">
        <v>276</v>
      </c>
      <c r="L811">
        <v>27.76</v>
      </c>
      <c r="M811" t="s">
        <v>277</v>
      </c>
      <c r="N811" t="s">
        <v>278</v>
      </c>
    </row>
    <row r="812" spans="1:14" x14ac:dyDescent="0.3">
      <c r="A812" t="s">
        <v>272</v>
      </c>
      <c r="B812" t="s">
        <v>273</v>
      </c>
      <c r="C812">
        <v>752</v>
      </c>
      <c r="D812" t="s">
        <v>84</v>
      </c>
      <c r="E812">
        <v>645</v>
      </c>
      <c r="F812" t="s">
        <v>274</v>
      </c>
      <c r="G812" t="s">
        <v>281</v>
      </c>
      <c r="H812" t="s">
        <v>43</v>
      </c>
      <c r="I812">
        <v>2017</v>
      </c>
      <c r="J812">
        <v>2017</v>
      </c>
      <c r="K812" t="s">
        <v>276</v>
      </c>
      <c r="L812">
        <v>16.34</v>
      </c>
      <c r="M812" t="s">
        <v>277</v>
      </c>
      <c r="N812" t="s">
        <v>278</v>
      </c>
    </row>
    <row r="813" spans="1:14" x14ac:dyDescent="0.3">
      <c r="A813" t="s">
        <v>272</v>
      </c>
      <c r="B813" t="s">
        <v>273</v>
      </c>
      <c r="C813">
        <v>752</v>
      </c>
      <c r="D813" t="s">
        <v>84</v>
      </c>
      <c r="E813">
        <v>645</v>
      </c>
      <c r="F813" t="s">
        <v>274</v>
      </c>
      <c r="G813" t="s">
        <v>281</v>
      </c>
      <c r="H813" t="s">
        <v>43</v>
      </c>
      <c r="I813">
        <v>2018</v>
      </c>
      <c r="J813">
        <v>2018</v>
      </c>
      <c r="K813" t="s">
        <v>276</v>
      </c>
      <c r="L813">
        <v>16.559999999999999</v>
      </c>
      <c r="M813" t="s">
        <v>277</v>
      </c>
      <c r="N813" t="s">
        <v>278</v>
      </c>
    </row>
    <row r="814" spans="1:14" x14ac:dyDescent="0.3">
      <c r="A814" t="s">
        <v>272</v>
      </c>
      <c r="B814" t="s">
        <v>273</v>
      </c>
      <c r="C814">
        <v>752</v>
      </c>
      <c r="D814" t="s">
        <v>84</v>
      </c>
      <c r="E814">
        <v>645</v>
      </c>
      <c r="F814" t="s">
        <v>274</v>
      </c>
      <c r="G814" t="s">
        <v>281</v>
      </c>
      <c r="H814" t="s">
        <v>43</v>
      </c>
      <c r="I814">
        <v>2019</v>
      </c>
      <c r="J814">
        <v>2019</v>
      </c>
      <c r="K814" t="s">
        <v>276</v>
      </c>
      <c r="L814">
        <v>15.94</v>
      </c>
      <c r="M814" t="s">
        <v>277</v>
      </c>
      <c r="N814" t="s">
        <v>278</v>
      </c>
    </row>
    <row r="815" spans="1:14" x14ac:dyDescent="0.3">
      <c r="A815" t="s">
        <v>272</v>
      </c>
      <c r="B815" t="s">
        <v>273</v>
      </c>
      <c r="C815">
        <v>752</v>
      </c>
      <c r="D815" t="s">
        <v>84</v>
      </c>
      <c r="E815">
        <v>645</v>
      </c>
      <c r="F815" t="s">
        <v>274</v>
      </c>
      <c r="G815" t="s">
        <v>281</v>
      </c>
      <c r="H815" t="s">
        <v>43</v>
      </c>
      <c r="I815">
        <v>2020</v>
      </c>
      <c r="J815">
        <v>2020</v>
      </c>
      <c r="K815" t="s">
        <v>276</v>
      </c>
      <c r="L815">
        <v>15.16</v>
      </c>
      <c r="M815" t="s">
        <v>277</v>
      </c>
      <c r="N815" t="s">
        <v>278</v>
      </c>
    </row>
    <row r="816" spans="1:14" x14ac:dyDescent="0.3">
      <c r="A816" t="s">
        <v>272</v>
      </c>
      <c r="B816" t="s">
        <v>273</v>
      </c>
      <c r="C816">
        <v>752</v>
      </c>
      <c r="D816" t="s">
        <v>84</v>
      </c>
      <c r="E816">
        <v>645</v>
      </c>
      <c r="F816" t="s">
        <v>274</v>
      </c>
      <c r="G816" t="s">
        <v>281</v>
      </c>
      <c r="H816" t="s">
        <v>43</v>
      </c>
      <c r="I816">
        <v>2021</v>
      </c>
      <c r="J816">
        <v>2021</v>
      </c>
      <c r="K816" t="s">
        <v>276</v>
      </c>
      <c r="L816">
        <v>16.29</v>
      </c>
      <c r="M816" t="s">
        <v>277</v>
      </c>
      <c r="N816" t="s">
        <v>278</v>
      </c>
    </row>
    <row r="817" spans="1:14" x14ac:dyDescent="0.3">
      <c r="A817" t="s">
        <v>272</v>
      </c>
      <c r="B817" t="s">
        <v>273</v>
      </c>
      <c r="C817">
        <v>752</v>
      </c>
      <c r="D817" t="s">
        <v>84</v>
      </c>
      <c r="E817">
        <v>645</v>
      </c>
      <c r="F817" t="s">
        <v>274</v>
      </c>
      <c r="G817" t="s">
        <v>282</v>
      </c>
      <c r="H817" t="s">
        <v>36</v>
      </c>
      <c r="I817">
        <v>2017</v>
      </c>
      <c r="J817">
        <v>2017</v>
      </c>
      <c r="K817" t="s">
        <v>276</v>
      </c>
      <c r="L817">
        <v>1.43</v>
      </c>
      <c r="M817" t="s">
        <v>277</v>
      </c>
      <c r="N817" t="s">
        <v>278</v>
      </c>
    </row>
    <row r="818" spans="1:14" x14ac:dyDescent="0.3">
      <c r="A818" t="s">
        <v>272</v>
      </c>
      <c r="B818" t="s">
        <v>273</v>
      </c>
      <c r="C818">
        <v>752</v>
      </c>
      <c r="D818" t="s">
        <v>84</v>
      </c>
      <c r="E818">
        <v>645</v>
      </c>
      <c r="F818" t="s">
        <v>274</v>
      </c>
      <c r="G818" t="s">
        <v>282</v>
      </c>
      <c r="H818" t="s">
        <v>36</v>
      </c>
      <c r="I818">
        <v>2018</v>
      </c>
      <c r="J818">
        <v>2018</v>
      </c>
      <c r="K818" t="s">
        <v>276</v>
      </c>
      <c r="L818">
        <v>0.46</v>
      </c>
      <c r="M818" t="s">
        <v>277</v>
      </c>
      <c r="N818" t="s">
        <v>278</v>
      </c>
    </row>
    <row r="819" spans="1:14" x14ac:dyDescent="0.3">
      <c r="A819" t="s">
        <v>272</v>
      </c>
      <c r="B819" t="s">
        <v>273</v>
      </c>
      <c r="C819">
        <v>752</v>
      </c>
      <c r="D819" t="s">
        <v>84</v>
      </c>
      <c r="E819">
        <v>645</v>
      </c>
      <c r="F819" t="s">
        <v>274</v>
      </c>
      <c r="G819" t="s">
        <v>282</v>
      </c>
      <c r="H819" t="s">
        <v>36</v>
      </c>
      <c r="I819">
        <v>2019</v>
      </c>
      <c r="J819">
        <v>2019</v>
      </c>
      <c r="K819" t="s">
        <v>276</v>
      </c>
      <c r="L819">
        <v>0.21</v>
      </c>
      <c r="M819" t="s">
        <v>277</v>
      </c>
      <c r="N819" t="s">
        <v>278</v>
      </c>
    </row>
    <row r="820" spans="1:14" x14ac:dyDescent="0.3">
      <c r="A820" t="s">
        <v>272</v>
      </c>
      <c r="B820" t="s">
        <v>273</v>
      </c>
      <c r="C820">
        <v>752</v>
      </c>
      <c r="D820" t="s">
        <v>84</v>
      </c>
      <c r="E820">
        <v>645</v>
      </c>
      <c r="F820" t="s">
        <v>274</v>
      </c>
      <c r="G820" t="s">
        <v>282</v>
      </c>
      <c r="H820" t="s">
        <v>36</v>
      </c>
      <c r="I820">
        <v>2020</v>
      </c>
      <c r="J820">
        <v>2020</v>
      </c>
      <c r="K820" t="s">
        <v>276</v>
      </c>
      <c r="L820">
        <v>0.13</v>
      </c>
      <c r="M820" t="s">
        <v>277</v>
      </c>
      <c r="N820" t="s">
        <v>278</v>
      </c>
    </row>
    <row r="821" spans="1:14" x14ac:dyDescent="0.3">
      <c r="A821" t="s">
        <v>272</v>
      </c>
      <c r="B821" t="s">
        <v>273</v>
      </c>
      <c r="C821">
        <v>752</v>
      </c>
      <c r="D821" t="s">
        <v>84</v>
      </c>
      <c r="E821">
        <v>645</v>
      </c>
      <c r="F821" t="s">
        <v>274</v>
      </c>
      <c r="G821" t="s">
        <v>282</v>
      </c>
      <c r="H821" t="s">
        <v>36</v>
      </c>
      <c r="I821">
        <v>2021</v>
      </c>
      <c r="J821">
        <v>2021</v>
      </c>
      <c r="K821" t="s">
        <v>276</v>
      </c>
      <c r="L821">
        <v>0.15</v>
      </c>
      <c r="M821" t="s">
        <v>277</v>
      </c>
      <c r="N821" t="s">
        <v>278</v>
      </c>
    </row>
    <row r="822" spans="1:14" x14ac:dyDescent="0.3">
      <c r="A822" t="s">
        <v>272</v>
      </c>
      <c r="B822" t="s">
        <v>273</v>
      </c>
      <c r="C822">
        <v>752</v>
      </c>
      <c r="D822" t="s">
        <v>84</v>
      </c>
      <c r="E822">
        <v>645</v>
      </c>
      <c r="F822" t="s">
        <v>274</v>
      </c>
      <c r="G822" t="s">
        <v>283</v>
      </c>
      <c r="H822" t="s">
        <v>40</v>
      </c>
      <c r="I822">
        <v>2017</v>
      </c>
      <c r="J822">
        <v>2017</v>
      </c>
      <c r="K822" t="s">
        <v>276</v>
      </c>
      <c r="L822">
        <v>0.15</v>
      </c>
      <c r="M822" t="s">
        <v>277</v>
      </c>
      <c r="N822" t="s">
        <v>278</v>
      </c>
    </row>
    <row r="823" spans="1:14" x14ac:dyDescent="0.3">
      <c r="A823" t="s">
        <v>272</v>
      </c>
      <c r="B823" t="s">
        <v>273</v>
      </c>
      <c r="C823">
        <v>752</v>
      </c>
      <c r="D823" t="s">
        <v>84</v>
      </c>
      <c r="E823">
        <v>645</v>
      </c>
      <c r="F823" t="s">
        <v>274</v>
      </c>
      <c r="G823" t="s">
        <v>283</v>
      </c>
      <c r="H823" t="s">
        <v>40</v>
      </c>
      <c r="I823">
        <v>2018</v>
      </c>
      <c r="J823">
        <v>2018</v>
      </c>
      <c r="K823" t="s">
        <v>276</v>
      </c>
      <c r="L823">
        <v>1.1100000000000001</v>
      </c>
      <c r="M823" t="s">
        <v>277</v>
      </c>
      <c r="N823" t="s">
        <v>278</v>
      </c>
    </row>
    <row r="824" spans="1:14" x14ac:dyDescent="0.3">
      <c r="A824" t="s">
        <v>272</v>
      </c>
      <c r="B824" t="s">
        <v>273</v>
      </c>
      <c r="C824">
        <v>752</v>
      </c>
      <c r="D824" t="s">
        <v>84</v>
      </c>
      <c r="E824">
        <v>645</v>
      </c>
      <c r="F824" t="s">
        <v>274</v>
      </c>
      <c r="G824" t="s">
        <v>283</v>
      </c>
      <c r="H824" t="s">
        <v>40</v>
      </c>
      <c r="I824">
        <v>2019</v>
      </c>
      <c r="J824">
        <v>2019</v>
      </c>
      <c r="K824" t="s">
        <v>276</v>
      </c>
      <c r="L824">
        <v>6.24</v>
      </c>
      <c r="M824" t="s">
        <v>277</v>
      </c>
      <c r="N824" t="s">
        <v>278</v>
      </c>
    </row>
    <row r="825" spans="1:14" x14ac:dyDescent="0.3">
      <c r="A825" t="s">
        <v>272</v>
      </c>
      <c r="B825" t="s">
        <v>273</v>
      </c>
      <c r="C825">
        <v>752</v>
      </c>
      <c r="D825" t="s">
        <v>84</v>
      </c>
      <c r="E825">
        <v>645</v>
      </c>
      <c r="F825" t="s">
        <v>274</v>
      </c>
      <c r="G825" t="s">
        <v>283</v>
      </c>
      <c r="H825" t="s">
        <v>40</v>
      </c>
      <c r="I825">
        <v>2020</v>
      </c>
      <c r="J825">
        <v>2020</v>
      </c>
      <c r="K825" t="s">
        <v>276</v>
      </c>
      <c r="L825">
        <v>7.16</v>
      </c>
      <c r="M825" t="s">
        <v>277</v>
      </c>
      <c r="N825" t="s">
        <v>278</v>
      </c>
    </row>
    <row r="826" spans="1:14" x14ac:dyDescent="0.3">
      <c r="A826" t="s">
        <v>272</v>
      </c>
      <c r="B826" t="s">
        <v>273</v>
      </c>
      <c r="C826">
        <v>752</v>
      </c>
      <c r="D826" t="s">
        <v>84</v>
      </c>
      <c r="E826">
        <v>645</v>
      </c>
      <c r="F826" t="s">
        <v>274</v>
      </c>
      <c r="G826" t="s">
        <v>283</v>
      </c>
      <c r="H826" t="s">
        <v>40</v>
      </c>
      <c r="I826">
        <v>2021</v>
      </c>
      <c r="J826">
        <v>2021</v>
      </c>
      <c r="K826" t="s">
        <v>276</v>
      </c>
      <c r="L826">
        <v>7.28</v>
      </c>
      <c r="M826" t="s">
        <v>277</v>
      </c>
      <c r="N826" t="s">
        <v>278</v>
      </c>
    </row>
    <row r="827" spans="1:14" x14ac:dyDescent="0.3">
      <c r="A827" t="s">
        <v>272</v>
      </c>
      <c r="B827" t="s">
        <v>273</v>
      </c>
      <c r="C827">
        <v>752</v>
      </c>
      <c r="D827" t="s">
        <v>84</v>
      </c>
      <c r="E827">
        <v>645</v>
      </c>
      <c r="F827" t="s">
        <v>274</v>
      </c>
      <c r="G827" t="s">
        <v>284</v>
      </c>
      <c r="H827" t="s">
        <v>25</v>
      </c>
      <c r="I827">
        <v>2017</v>
      </c>
      <c r="J827">
        <v>2017</v>
      </c>
      <c r="K827" t="s">
        <v>276</v>
      </c>
      <c r="L827">
        <v>6.85</v>
      </c>
      <c r="M827" t="s">
        <v>277</v>
      </c>
      <c r="N827" t="s">
        <v>278</v>
      </c>
    </row>
    <row r="828" spans="1:14" x14ac:dyDescent="0.3">
      <c r="A828" t="s">
        <v>272</v>
      </c>
      <c r="B828" t="s">
        <v>273</v>
      </c>
      <c r="C828">
        <v>752</v>
      </c>
      <c r="D828" t="s">
        <v>84</v>
      </c>
      <c r="E828">
        <v>645</v>
      </c>
      <c r="F828" t="s">
        <v>274</v>
      </c>
      <c r="G828" t="s">
        <v>284</v>
      </c>
      <c r="H828" t="s">
        <v>25</v>
      </c>
      <c r="I828">
        <v>2018</v>
      </c>
      <c r="J828">
        <v>2018</v>
      </c>
      <c r="K828" t="s">
        <v>276</v>
      </c>
      <c r="L828">
        <v>4.91</v>
      </c>
      <c r="M828" t="s">
        <v>277</v>
      </c>
      <c r="N828" t="s">
        <v>278</v>
      </c>
    </row>
    <row r="829" spans="1:14" x14ac:dyDescent="0.3">
      <c r="A829" t="s">
        <v>272</v>
      </c>
      <c r="B829" t="s">
        <v>273</v>
      </c>
      <c r="C829">
        <v>752</v>
      </c>
      <c r="D829" t="s">
        <v>84</v>
      </c>
      <c r="E829">
        <v>645</v>
      </c>
      <c r="F829" t="s">
        <v>274</v>
      </c>
      <c r="G829" t="s">
        <v>284</v>
      </c>
      <c r="H829" t="s">
        <v>25</v>
      </c>
      <c r="I829">
        <v>2019</v>
      </c>
      <c r="J829">
        <v>2019</v>
      </c>
      <c r="K829" t="s">
        <v>276</v>
      </c>
      <c r="L829">
        <v>4.96</v>
      </c>
      <c r="M829" t="s">
        <v>277</v>
      </c>
      <c r="N829" t="s">
        <v>278</v>
      </c>
    </row>
    <row r="830" spans="1:14" x14ac:dyDescent="0.3">
      <c r="A830" t="s">
        <v>272</v>
      </c>
      <c r="B830" t="s">
        <v>273</v>
      </c>
      <c r="C830">
        <v>752</v>
      </c>
      <c r="D830" t="s">
        <v>84</v>
      </c>
      <c r="E830">
        <v>645</v>
      </c>
      <c r="F830" t="s">
        <v>274</v>
      </c>
      <c r="G830" t="s">
        <v>284</v>
      </c>
      <c r="H830" t="s">
        <v>25</v>
      </c>
      <c r="I830">
        <v>2020</v>
      </c>
      <c r="J830">
        <v>2020</v>
      </c>
      <c r="K830" t="s">
        <v>276</v>
      </c>
      <c r="L830">
        <v>5.03</v>
      </c>
      <c r="M830" t="s">
        <v>277</v>
      </c>
      <c r="N830" t="s">
        <v>278</v>
      </c>
    </row>
    <row r="831" spans="1:14" x14ac:dyDescent="0.3">
      <c r="A831" t="s">
        <v>272</v>
      </c>
      <c r="B831" t="s">
        <v>273</v>
      </c>
      <c r="C831">
        <v>752</v>
      </c>
      <c r="D831" t="s">
        <v>84</v>
      </c>
      <c r="E831">
        <v>645</v>
      </c>
      <c r="F831" t="s">
        <v>274</v>
      </c>
      <c r="G831" t="s">
        <v>284</v>
      </c>
      <c r="H831" t="s">
        <v>25</v>
      </c>
      <c r="I831">
        <v>2021</v>
      </c>
      <c r="J831">
        <v>2021</v>
      </c>
      <c r="K831" t="s">
        <v>276</v>
      </c>
      <c r="L831">
        <v>4.93</v>
      </c>
      <c r="M831" t="s">
        <v>277</v>
      </c>
      <c r="N831" t="s">
        <v>278</v>
      </c>
    </row>
    <row r="832" spans="1:14" x14ac:dyDescent="0.3">
      <c r="A832" t="s">
        <v>272</v>
      </c>
      <c r="B832" t="s">
        <v>273</v>
      </c>
      <c r="C832">
        <v>752</v>
      </c>
      <c r="D832" t="s">
        <v>84</v>
      </c>
      <c r="E832">
        <v>645</v>
      </c>
      <c r="F832" t="s">
        <v>274</v>
      </c>
      <c r="G832" t="s">
        <v>285</v>
      </c>
      <c r="H832" t="s">
        <v>27</v>
      </c>
      <c r="I832">
        <v>2017</v>
      </c>
      <c r="J832">
        <v>2017</v>
      </c>
      <c r="K832" t="s">
        <v>276</v>
      </c>
      <c r="L832">
        <v>11.37</v>
      </c>
      <c r="M832" t="s">
        <v>277</v>
      </c>
      <c r="N832" t="s">
        <v>278</v>
      </c>
    </row>
    <row r="833" spans="1:14" x14ac:dyDescent="0.3">
      <c r="A833" t="s">
        <v>272</v>
      </c>
      <c r="B833" t="s">
        <v>273</v>
      </c>
      <c r="C833">
        <v>752</v>
      </c>
      <c r="D833" t="s">
        <v>84</v>
      </c>
      <c r="E833">
        <v>645</v>
      </c>
      <c r="F833" t="s">
        <v>274</v>
      </c>
      <c r="G833" t="s">
        <v>285</v>
      </c>
      <c r="H833" t="s">
        <v>27</v>
      </c>
      <c r="I833">
        <v>2018</v>
      </c>
      <c r="J833">
        <v>2018</v>
      </c>
      <c r="K833" t="s">
        <v>276</v>
      </c>
      <c r="L833">
        <v>11.22</v>
      </c>
      <c r="M833" t="s">
        <v>277</v>
      </c>
      <c r="N833" t="s">
        <v>278</v>
      </c>
    </row>
    <row r="834" spans="1:14" x14ac:dyDescent="0.3">
      <c r="A834" t="s">
        <v>272</v>
      </c>
      <c r="B834" t="s">
        <v>273</v>
      </c>
      <c r="C834">
        <v>752</v>
      </c>
      <c r="D834" t="s">
        <v>84</v>
      </c>
      <c r="E834">
        <v>645</v>
      </c>
      <c r="F834" t="s">
        <v>274</v>
      </c>
      <c r="G834" t="s">
        <v>285</v>
      </c>
      <c r="H834" t="s">
        <v>27</v>
      </c>
      <c r="I834">
        <v>2019</v>
      </c>
      <c r="J834">
        <v>2019</v>
      </c>
      <c r="K834" t="s">
        <v>276</v>
      </c>
      <c r="L834">
        <v>10.43</v>
      </c>
      <c r="M834" t="s">
        <v>277</v>
      </c>
      <c r="N834" t="s">
        <v>278</v>
      </c>
    </row>
    <row r="835" spans="1:14" x14ac:dyDescent="0.3">
      <c r="A835" t="s">
        <v>272</v>
      </c>
      <c r="B835" t="s">
        <v>273</v>
      </c>
      <c r="C835">
        <v>752</v>
      </c>
      <c r="D835" t="s">
        <v>84</v>
      </c>
      <c r="E835">
        <v>645</v>
      </c>
      <c r="F835" t="s">
        <v>274</v>
      </c>
      <c r="G835" t="s">
        <v>285</v>
      </c>
      <c r="H835" t="s">
        <v>27</v>
      </c>
      <c r="I835">
        <v>2020</v>
      </c>
      <c r="J835">
        <v>2020</v>
      </c>
      <c r="K835" t="s">
        <v>276</v>
      </c>
      <c r="L835">
        <v>8.1199999999999992</v>
      </c>
      <c r="M835" t="s">
        <v>277</v>
      </c>
      <c r="N835" t="s">
        <v>278</v>
      </c>
    </row>
    <row r="836" spans="1:14" x14ac:dyDescent="0.3">
      <c r="A836" t="s">
        <v>272</v>
      </c>
      <c r="B836" t="s">
        <v>273</v>
      </c>
      <c r="C836">
        <v>752</v>
      </c>
      <c r="D836" t="s">
        <v>84</v>
      </c>
      <c r="E836">
        <v>645</v>
      </c>
      <c r="F836" t="s">
        <v>274</v>
      </c>
      <c r="G836" t="s">
        <v>285</v>
      </c>
      <c r="H836" t="s">
        <v>27</v>
      </c>
      <c r="I836">
        <v>2021</v>
      </c>
      <c r="J836">
        <v>2021</v>
      </c>
      <c r="K836" t="s">
        <v>276</v>
      </c>
      <c r="L836">
        <v>6.85</v>
      </c>
      <c r="M836" t="s">
        <v>277</v>
      </c>
      <c r="N836" t="s">
        <v>278</v>
      </c>
    </row>
    <row r="837" spans="1:14" x14ac:dyDescent="0.3">
      <c r="A837" t="s">
        <v>272</v>
      </c>
      <c r="B837" t="s">
        <v>273</v>
      </c>
      <c r="C837">
        <v>752</v>
      </c>
      <c r="D837" t="s">
        <v>84</v>
      </c>
      <c r="E837">
        <v>645</v>
      </c>
      <c r="F837" t="s">
        <v>274</v>
      </c>
      <c r="G837" t="s">
        <v>286</v>
      </c>
      <c r="H837" t="s">
        <v>31</v>
      </c>
      <c r="I837">
        <v>2017</v>
      </c>
      <c r="J837">
        <v>2017</v>
      </c>
      <c r="K837" t="s">
        <v>276</v>
      </c>
      <c r="L837">
        <v>2.41</v>
      </c>
      <c r="M837" t="s">
        <v>277</v>
      </c>
      <c r="N837" t="s">
        <v>278</v>
      </c>
    </row>
    <row r="838" spans="1:14" x14ac:dyDescent="0.3">
      <c r="A838" t="s">
        <v>272</v>
      </c>
      <c r="B838" t="s">
        <v>273</v>
      </c>
      <c r="C838">
        <v>752</v>
      </c>
      <c r="D838" t="s">
        <v>84</v>
      </c>
      <c r="E838">
        <v>645</v>
      </c>
      <c r="F838" t="s">
        <v>274</v>
      </c>
      <c r="G838" t="s">
        <v>286</v>
      </c>
      <c r="H838" t="s">
        <v>31</v>
      </c>
      <c r="I838">
        <v>2018</v>
      </c>
      <c r="J838">
        <v>2018</v>
      </c>
      <c r="K838" t="s">
        <v>276</v>
      </c>
      <c r="L838">
        <v>2.4900000000000002</v>
      </c>
      <c r="M838" t="s">
        <v>277</v>
      </c>
      <c r="N838" t="s">
        <v>278</v>
      </c>
    </row>
    <row r="839" spans="1:14" x14ac:dyDescent="0.3">
      <c r="A839" t="s">
        <v>272</v>
      </c>
      <c r="B839" t="s">
        <v>273</v>
      </c>
      <c r="C839">
        <v>752</v>
      </c>
      <c r="D839" t="s">
        <v>84</v>
      </c>
      <c r="E839">
        <v>645</v>
      </c>
      <c r="F839" t="s">
        <v>274</v>
      </c>
      <c r="G839" t="s">
        <v>286</v>
      </c>
      <c r="H839" t="s">
        <v>31</v>
      </c>
      <c r="I839">
        <v>2019</v>
      </c>
      <c r="J839">
        <v>2019</v>
      </c>
      <c r="K839" t="s">
        <v>276</v>
      </c>
      <c r="L839">
        <v>1.1200000000000001</v>
      </c>
      <c r="M839" t="s">
        <v>277</v>
      </c>
      <c r="N839" t="s">
        <v>278</v>
      </c>
    </row>
    <row r="840" spans="1:14" x14ac:dyDescent="0.3">
      <c r="A840" t="s">
        <v>272</v>
      </c>
      <c r="B840" t="s">
        <v>273</v>
      </c>
      <c r="C840">
        <v>752</v>
      </c>
      <c r="D840" t="s">
        <v>84</v>
      </c>
      <c r="E840">
        <v>645</v>
      </c>
      <c r="F840" t="s">
        <v>274</v>
      </c>
      <c r="G840" t="s">
        <v>286</v>
      </c>
      <c r="H840" t="s">
        <v>31</v>
      </c>
      <c r="I840">
        <v>2020</v>
      </c>
      <c r="J840">
        <v>2020</v>
      </c>
      <c r="K840" t="s">
        <v>276</v>
      </c>
      <c r="L840">
        <v>1.07</v>
      </c>
      <c r="M840" t="s">
        <v>277</v>
      </c>
      <c r="N840" t="s">
        <v>278</v>
      </c>
    </row>
    <row r="841" spans="1:14" x14ac:dyDescent="0.3">
      <c r="A841" t="s">
        <v>272</v>
      </c>
      <c r="B841" t="s">
        <v>273</v>
      </c>
      <c r="C841">
        <v>752</v>
      </c>
      <c r="D841" t="s">
        <v>84</v>
      </c>
      <c r="E841">
        <v>645</v>
      </c>
      <c r="F841" t="s">
        <v>274</v>
      </c>
      <c r="G841" t="s">
        <v>286</v>
      </c>
      <c r="H841" t="s">
        <v>31</v>
      </c>
      <c r="I841">
        <v>2021</v>
      </c>
      <c r="J841">
        <v>2021</v>
      </c>
      <c r="K841" t="s">
        <v>276</v>
      </c>
      <c r="L841">
        <v>2.2200000000000002</v>
      </c>
      <c r="M841" t="s">
        <v>277</v>
      </c>
      <c r="N841" t="s">
        <v>278</v>
      </c>
    </row>
    <row r="842" spans="1:14" x14ac:dyDescent="0.3">
      <c r="A842" t="s">
        <v>272</v>
      </c>
      <c r="B842" t="s">
        <v>273</v>
      </c>
      <c r="C842">
        <v>752</v>
      </c>
      <c r="D842" t="s">
        <v>84</v>
      </c>
      <c r="E842">
        <v>645</v>
      </c>
      <c r="F842" t="s">
        <v>274</v>
      </c>
      <c r="G842" t="s">
        <v>287</v>
      </c>
      <c r="H842" t="s">
        <v>32</v>
      </c>
      <c r="I842">
        <v>2017</v>
      </c>
      <c r="J842">
        <v>2017</v>
      </c>
      <c r="K842" t="s">
        <v>276</v>
      </c>
      <c r="L842">
        <v>0</v>
      </c>
      <c r="M842" t="s">
        <v>277</v>
      </c>
      <c r="N842" t="s">
        <v>278</v>
      </c>
    </row>
    <row r="843" spans="1:14" x14ac:dyDescent="0.3">
      <c r="A843" t="s">
        <v>272</v>
      </c>
      <c r="B843" t="s">
        <v>273</v>
      </c>
      <c r="C843">
        <v>752</v>
      </c>
      <c r="D843" t="s">
        <v>84</v>
      </c>
      <c r="E843">
        <v>645</v>
      </c>
      <c r="F843" t="s">
        <v>274</v>
      </c>
      <c r="G843" t="s">
        <v>287</v>
      </c>
      <c r="H843" t="s">
        <v>32</v>
      </c>
      <c r="I843">
        <v>2018</v>
      </c>
      <c r="J843">
        <v>2018</v>
      </c>
      <c r="K843" t="s">
        <v>276</v>
      </c>
      <c r="L843">
        <v>0</v>
      </c>
      <c r="M843" t="s">
        <v>277</v>
      </c>
      <c r="N843" t="s">
        <v>278</v>
      </c>
    </row>
    <row r="844" spans="1:14" x14ac:dyDescent="0.3">
      <c r="A844" t="s">
        <v>272</v>
      </c>
      <c r="B844" t="s">
        <v>273</v>
      </c>
      <c r="C844">
        <v>752</v>
      </c>
      <c r="D844" t="s">
        <v>84</v>
      </c>
      <c r="E844">
        <v>645</v>
      </c>
      <c r="F844" t="s">
        <v>274</v>
      </c>
      <c r="G844" t="s">
        <v>287</v>
      </c>
      <c r="H844" t="s">
        <v>32</v>
      </c>
      <c r="I844">
        <v>2019</v>
      </c>
      <c r="J844">
        <v>2019</v>
      </c>
      <c r="K844" t="s">
        <v>276</v>
      </c>
      <c r="L844">
        <v>0</v>
      </c>
      <c r="M844" t="s">
        <v>277</v>
      </c>
      <c r="N844" t="s">
        <v>278</v>
      </c>
    </row>
    <row r="845" spans="1:14" x14ac:dyDescent="0.3">
      <c r="A845" t="s">
        <v>272</v>
      </c>
      <c r="B845" t="s">
        <v>273</v>
      </c>
      <c r="C845">
        <v>752</v>
      </c>
      <c r="D845" t="s">
        <v>84</v>
      </c>
      <c r="E845">
        <v>645</v>
      </c>
      <c r="F845" t="s">
        <v>274</v>
      </c>
      <c r="G845" t="s">
        <v>287</v>
      </c>
      <c r="H845" t="s">
        <v>32</v>
      </c>
      <c r="I845">
        <v>2020</v>
      </c>
      <c r="J845">
        <v>2020</v>
      </c>
      <c r="K845" t="s">
        <v>276</v>
      </c>
      <c r="L845">
        <v>0</v>
      </c>
      <c r="M845" t="s">
        <v>277</v>
      </c>
      <c r="N845" t="s">
        <v>278</v>
      </c>
    </row>
    <row r="846" spans="1:14" x14ac:dyDescent="0.3">
      <c r="A846" t="s">
        <v>272</v>
      </c>
      <c r="B846" t="s">
        <v>273</v>
      </c>
      <c r="C846">
        <v>752</v>
      </c>
      <c r="D846" t="s">
        <v>84</v>
      </c>
      <c r="E846">
        <v>645</v>
      </c>
      <c r="F846" t="s">
        <v>274</v>
      </c>
      <c r="G846" t="s">
        <v>287</v>
      </c>
      <c r="H846" t="s">
        <v>32</v>
      </c>
      <c r="I846">
        <v>2021</v>
      </c>
      <c r="J846">
        <v>2021</v>
      </c>
      <c r="K846" t="s">
        <v>276</v>
      </c>
      <c r="L846">
        <v>0</v>
      </c>
      <c r="M846" t="s">
        <v>277</v>
      </c>
      <c r="N846" t="s">
        <v>278</v>
      </c>
    </row>
    <row r="847" spans="1:14" x14ac:dyDescent="0.3">
      <c r="A847" t="s">
        <v>272</v>
      </c>
      <c r="B847" t="s">
        <v>273</v>
      </c>
      <c r="C847">
        <v>752</v>
      </c>
      <c r="D847" t="s">
        <v>84</v>
      </c>
      <c r="E847">
        <v>645</v>
      </c>
      <c r="F847" t="s">
        <v>274</v>
      </c>
      <c r="G847" t="s">
        <v>289</v>
      </c>
      <c r="H847" t="s">
        <v>30</v>
      </c>
      <c r="I847">
        <v>2017</v>
      </c>
      <c r="J847">
        <v>2017</v>
      </c>
      <c r="K847" t="s">
        <v>276</v>
      </c>
      <c r="L847">
        <v>13.73</v>
      </c>
      <c r="M847" t="s">
        <v>277</v>
      </c>
      <c r="N847" t="s">
        <v>278</v>
      </c>
    </row>
    <row r="848" spans="1:14" x14ac:dyDescent="0.3">
      <c r="A848" t="s">
        <v>272</v>
      </c>
      <c r="B848" t="s">
        <v>273</v>
      </c>
      <c r="C848">
        <v>752</v>
      </c>
      <c r="D848" t="s">
        <v>84</v>
      </c>
      <c r="E848">
        <v>645</v>
      </c>
      <c r="F848" t="s">
        <v>274</v>
      </c>
      <c r="G848" t="s">
        <v>289</v>
      </c>
      <c r="H848" t="s">
        <v>30</v>
      </c>
      <c r="I848">
        <v>2018</v>
      </c>
      <c r="J848">
        <v>2018</v>
      </c>
      <c r="K848" t="s">
        <v>276</v>
      </c>
      <c r="L848">
        <v>14.14</v>
      </c>
      <c r="M848" t="s">
        <v>277</v>
      </c>
      <c r="N848" t="s">
        <v>278</v>
      </c>
    </row>
    <row r="849" spans="1:14" x14ac:dyDescent="0.3">
      <c r="A849" t="s">
        <v>272</v>
      </c>
      <c r="B849" t="s">
        <v>273</v>
      </c>
      <c r="C849">
        <v>752</v>
      </c>
      <c r="D849" t="s">
        <v>84</v>
      </c>
      <c r="E849">
        <v>645</v>
      </c>
      <c r="F849" t="s">
        <v>274</v>
      </c>
      <c r="G849" t="s">
        <v>289</v>
      </c>
      <c r="H849" t="s">
        <v>30</v>
      </c>
      <c r="I849">
        <v>2019</v>
      </c>
      <c r="J849">
        <v>2019</v>
      </c>
      <c r="K849" t="s">
        <v>276</v>
      </c>
      <c r="L849">
        <v>14.35</v>
      </c>
      <c r="M849" t="s">
        <v>277</v>
      </c>
      <c r="N849" t="s">
        <v>278</v>
      </c>
    </row>
    <row r="850" spans="1:14" x14ac:dyDescent="0.3">
      <c r="A850" t="s">
        <v>272</v>
      </c>
      <c r="B850" t="s">
        <v>273</v>
      </c>
      <c r="C850">
        <v>752</v>
      </c>
      <c r="D850" t="s">
        <v>84</v>
      </c>
      <c r="E850">
        <v>645</v>
      </c>
      <c r="F850" t="s">
        <v>274</v>
      </c>
      <c r="G850" t="s">
        <v>289</v>
      </c>
      <c r="H850" t="s">
        <v>30</v>
      </c>
      <c r="I850">
        <v>2020</v>
      </c>
      <c r="J850">
        <v>2020</v>
      </c>
      <c r="K850" t="s">
        <v>276</v>
      </c>
      <c r="L850">
        <v>13.26</v>
      </c>
      <c r="M850" t="s">
        <v>277</v>
      </c>
      <c r="N850" t="s">
        <v>278</v>
      </c>
    </row>
    <row r="851" spans="1:14" x14ac:dyDescent="0.3">
      <c r="A851" t="s">
        <v>272</v>
      </c>
      <c r="B851" t="s">
        <v>273</v>
      </c>
      <c r="C851">
        <v>752</v>
      </c>
      <c r="D851" t="s">
        <v>84</v>
      </c>
      <c r="E851">
        <v>645</v>
      </c>
      <c r="F851" t="s">
        <v>274</v>
      </c>
      <c r="G851" t="s">
        <v>289</v>
      </c>
      <c r="H851" t="s">
        <v>30</v>
      </c>
      <c r="I851">
        <v>2021</v>
      </c>
      <c r="J851">
        <v>2021</v>
      </c>
      <c r="K851" t="s">
        <v>276</v>
      </c>
      <c r="L851">
        <v>12.84</v>
      </c>
      <c r="M851" t="s">
        <v>277</v>
      </c>
      <c r="N851" t="s">
        <v>278</v>
      </c>
    </row>
    <row r="852" spans="1:14" x14ac:dyDescent="0.3">
      <c r="A852" t="s">
        <v>272</v>
      </c>
      <c r="B852" t="s">
        <v>273</v>
      </c>
      <c r="C852">
        <v>752</v>
      </c>
      <c r="D852" t="s">
        <v>84</v>
      </c>
      <c r="E852">
        <v>645</v>
      </c>
      <c r="F852" t="s">
        <v>274</v>
      </c>
      <c r="G852" t="s">
        <v>290</v>
      </c>
      <c r="H852" t="s">
        <v>37</v>
      </c>
      <c r="I852">
        <v>2017</v>
      </c>
      <c r="J852">
        <v>2017</v>
      </c>
      <c r="K852" t="s">
        <v>276</v>
      </c>
      <c r="L852">
        <v>181.82</v>
      </c>
      <c r="M852" t="s">
        <v>277</v>
      </c>
      <c r="N852" t="s">
        <v>278</v>
      </c>
    </row>
    <row r="853" spans="1:14" x14ac:dyDescent="0.3">
      <c r="A853" t="s">
        <v>272</v>
      </c>
      <c r="B853" t="s">
        <v>273</v>
      </c>
      <c r="C853">
        <v>752</v>
      </c>
      <c r="D853" t="s">
        <v>84</v>
      </c>
      <c r="E853">
        <v>645</v>
      </c>
      <c r="F853" t="s">
        <v>274</v>
      </c>
      <c r="G853" t="s">
        <v>290</v>
      </c>
      <c r="H853" t="s">
        <v>37</v>
      </c>
      <c r="I853">
        <v>2018</v>
      </c>
      <c r="J853">
        <v>2018</v>
      </c>
      <c r="K853" t="s">
        <v>276</v>
      </c>
      <c r="L853">
        <v>179.46</v>
      </c>
      <c r="M853" t="s">
        <v>277</v>
      </c>
      <c r="N853" t="s">
        <v>278</v>
      </c>
    </row>
    <row r="854" spans="1:14" x14ac:dyDescent="0.3">
      <c r="A854" t="s">
        <v>272</v>
      </c>
      <c r="B854" t="s">
        <v>273</v>
      </c>
      <c r="C854">
        <v>752</v>
      </c>
      <c r="D854" t="s">
        <v>84</v>
      </c>
      <c r="E854">
        <v>645</v>
      </c>
      <c r="F854" t="s">
        <v>274</v>
      </c>
      <c r="G854" t="s">
        <v>290</v>
      </c>
      <c r="H854" t="s">
        <v>37</v>
      </c>
      <c r="I854">
        <v>2019</v>
      </c>
      <c r="J854">
        <v>2019</v>
      </c>
      <c r="K854" t="s">
        <v>276</v>
      </c>
      <c r="L854">
        <v>211.04</v>
      </c>
      <c r="M854" t="s">
        <v>277</v>
      </c>
      <c r="N854" t="s">
        <v>278</v>
      </c>
    </row>
    <row r="855" spans="1:14" x14ac:dyDescent="0.3">
      <c r="A855" t="s">
        <v>272</v>
      </c>
      <c r="B855" t="s">
        <v>273</v>
      </c>
      <c r="C855">
        <v>752</v>
      </c>
      <c r="D855" t="s">
        <v>84</v>
      </c>
      <c r="E855">
        <v>645</v>
      </c>
      <c r="F855" t="s">
        <v>274</v>
      </c>
      <c r="G855" t="s">
        <v>290</v>
      </c>
      <c r="H855" t="s">
        <v>37</v>
      </c>
      <c r="I855">
        <v>2020</v>
      </c>
      <c r="J855">
        <v>2020</v>
      </c>
      <c r="K855" t="s">
        <v>276</v>
      </c>
      <c r="L855">
        <v>221.08</v>
      </c>
      <c r="M855" t="s">
        <v>277</v>
      </c>
      <c r="N855" t="s">
        <v>278</v>
      </c>
    </row>
    <row r="856" spans="1:14" x14ac:dyDescent="0.3">
      <c r="A856" t="s">
        <v>272</v>
      </c>
      <c r="B856" t="s">
        <v>273</v>
      </c>
      <c r="C856">
        <v>752</v>
      </c>
      <c r="D856" t="s">
        <v>84</v>
      </c>
      <c r="E856">
        <v>645</v>
      </c>
      <c r="F856" t="s">
        <v>274</v>
      </c>
      <c r="G856" t="s">
        <v>290</v>
      </c>
      <c r="H856" t="s">
        <v>37</v>
      </c>
      <c r="I856">
        <v>2021</v>
      </c>
      <c r="J856">
        <v>2021</v>
      </c>
      <c r="K856" t="s">
        <v>276</v>
      </c>
      <c r="L856">
        <v>218.16</v>
      </c>
      <c r="M856" t="s">
        <v>277</v>
      </c>
      <c r="N856" t="s">
        <v>278</v>
      </c>
    </row>
    <row r="857" spans="1:14" x14ac:dyDescent="0.3">
      <c r="A857" t="s">
        <v>272</v>
      </c>
      <c r="B857" t="s">
        <v>273</v>
      </c>
      <c r="C857">
        <v>752</v>
      </c>
      <c r="D857" t="s">
        <v>84</v>
      </c>
      <c r="E857">
        <v>645</v>
      </c>
      <c r="F857" t="s">
        <v>274</v>
      </c>
      <c r="G857" t="s">
        <v>291</v>
      </c>
      <c r="H857" t="s">
        <v>34</v>
      </c>
      <c r="I857">
        <v>2017</v>
      </c>
      <c r="J857">
        <v>2017</v>
      </c>
      <c r="K857" t="s">
        <v>276</v>
      </c>
      <c r="L857">
        <v>8.76</v>
      </c>
      <c r="M857" t="s">
        <v>277</v>
      </c>
      <c r="N857" t="s">
        <v>278</v>
      </c>
    </row>
    <row r="858" spans="1:14" x14ac:dyDescent="0.3">
      <c r="A858" t="s">
        <v>272</v>
      </c>
      <c r="B858" t="s">
        <v>273</v>
      </c>
      <c r="C858">
        <v>752</v>
      </c>
      <c r="D858" t="s">
        <v>84</v>
      </c>
      <c r="E858">
        <v>645</v>
      </c>
      <c r="F858" t="s">
        <v>274</v>
      </c>
      <c r="G858" t="s">
        <v>291</v>
      </c>
      <c r="H858" t="s">
        <v>34</v>
      </c>
      <c r="I858">
        <v>2018</v>
      </c>
      <c r="J858">
        <v>2018</v>
      </c>
      <c r="K858" t="s">
        <v>276</v>
      </c>
      <c r="L858">
        <v>7.95</v>
      </c>
      <c r="M858" t="s">
        <v>277</v>
      </c>
      <c r="N858" t="s">
        <v>278</v>
      </c>
    </row>
    <row r="859" spans="1:14" x14ac:dyDescent="0.3">
      <c r="A859" t="s">
        <v>272</v>
      </c>
      <c r="B859" t="s">
        <v>273</v>
      </c>
      <c r="C859">
        <v>752</v>
      </c>
      <c r="D859" t="s">
        <v>84</v>
      </c>
      <c r="E859">
        <v>645</v>
      </c>
      <c r="F859" t="s">
        <v>274</v>
      </c>
      <c r="G859" t="s">
        <v>291</v>
      </c>
      <c r="H859" t="s">
        <v>34</v>
      </c>
      <c r="I859">
        <v>2019</v>
      </c>
      <c r="J859">
        <v>2019</v>
      </c>
      <c r="K859" t="s">
        <v>276</v>
      </c>
      <c r="L859">
        <v>8.35</v>
      </c>
      <c r="M859" t="s">
        <v>277</v>
      </c>
      <c r="N859" t="s">
        <v>278</v>
      </c>
    </row>
    <row r="860" spans="1:14" x14ac:dyDescent="0.3">
      <c r="A860" t="s">
        <v>272</v>
      </c>
      <c r="B860" t="s">
        <v>273</v>
      </c>
      <c r="C860">
        <v>752</v>
      </c>
      <c r="D860" t="s">
        <v>84</v>
      </c>
      <c r="E860">
        <v>645</v>
      </c>
      <c r="F860" t="s">
        <v>274</v>
      </c>
      <c r="G860" t="s">
        <v>291</v>
      </c>
      <c r="H860" t="s">
        <v>34</v>
      </c>
      <c r="I860">
        <v>2020</v>
      </c>
      <c r="J860">
        <v>2020</v>
      </c>
      <c r="K860" t="s">
        <v>276</v>
      </c>
      <c r="L860">
        <v>8.27</v>
      </c>
      <c r="M860" t="s">
        <v>277</v>
      </c>
      <c r="N860" t="s">
        <v>278</v>
      </c>
    </row>
    <row r="861" spans="1:14" x14ac:dyDescent="0.3">
      <c r="A861" t="s">
        <v>272</v>
      </c>
      <c r="B861" t="s">
        <v>273</v>
      </c>
      <c r="C861">
        <v>752</v>
      </c>
      <c r="D861" t="s">
        <v>84</v>
      </c>
      <c r="E861">
        <v>645</v>
      </c>
      <c r="F861" t="s">
        <v>274</v>
      </c>
      <c r="G861" t="s">
        <v>291</v>
      </c>
      <c r="H861" t="s">
        <v>34</v>
      </c>
      <c r="I861">
        <v>2021</v>
      </c>
      <c r="J861">
        <v>2021</v>
      </c>
      <c r="K861" t="s">
        <v>276</v>
      </c>
      <c r="L861">
        <v>8.19</v>
      </c>
      <c r="M861" t="s">
        <v>277</v>
      </c>
      <c r="N861" t="s">
        <v>278</v>
      </c>
    </row>
    <row r="862" spans="1:14" x14ac:dyDescent="0.3">
      <c r="A862" t="s">
        <v>272</v>
      </c>
      <c r="B862" t="s">
        <v>273</v>
      </c>
      <c r="C862">
        <v>752</v>
      </c>
      <c r="D862" t="s">
        <v>84</v>
      </c>
      <c r="E862">
        <v>645</v>
      </c>
      <c r="F862" t="s">
        <v>274</v>
      </c>
      <c r="G862" t="s">
        <v>292</v>
      </c>
      <c r="H862" t="s">
        <v>29</v>
      </c>
      <c r="I862">
        <v>2017</v>
      </c>
      <c r="J862">
        <v>2017</v>
      </c>
      <c r="K862" t="s">
        <v>276</v>
      </c>
      <c r="L862">
        <v>9.16</v>
      </c>
      <c r="M862" t="s">
        <v>277</v>
      </c>
      <c r="N862" t="s">
        <v>278</v>
      </c>
    </row>
    <row r="863" spans="1:14" x14ac:dyDescent="0.3">
      <c r="A863" t="s">
        <v>272</v>
      </c>
      <c r="B863" t="s">
        <v>273</v>
      </c>
      <c r="C863">
        <v>752</v>
      </c>
      <c r="D863" t="s">
        <v>84</v>
      </c>
      <c r="E863">
        <v>645</v>
      </c>
      <c r="F863" t="s">
        <v>274</v>
      </c>
      <c r="G863" t="s">
        <v>292</v>
      </c>
      <c r="H863" t="s">
        <v>29</v>
      </c>
      <c r="I863">
        <v>2018</v>
      </c>
      <c r="J863">
        <v>2018</v>
      </c>
      <c r="K863" t="s">
        <v>276</v>
      </c>
      <c r="L863">
        <v>9.32</v>
      </c>
      <c r="M863" t="s">
        <v>277</v>
      </c>
      <c r="N863" t="s">
        <v>278</v>
      </c>
    </row>
    <row r="864" spans="1:14" x14ac:dyDescent="0.3">
      <c r="A864" t="s">
        <v>272</v>
      </c>
      <c r="B864" t="s">
        <v>273</v>
      </c>
      <c r="C864">
        <v>752</v>
      </c>
      <c r="D864" t="s">
        <v>84</v>
      </c>
      <c r="E864">
        <v>645</v>
      </c>
      <c r="F864" t="s">
        <v>274</v>
      </c>
      <c r="G864" t="s">
        <v>292</v>
      </c>
      <c r="H864" t="s">
        <v>29</v>
      </c>
      <c r="I864">
        <v>2019</v>
      </c>
      <c r="J864">
        <v>2019</v>
      </c>
      <c r="K864" t="s">
        <v>276</v>
      </c>
      <c r="L864">
        <v>8</v>
      </c>
      <c r="M864" t="s">
        <v>277</v>
      </c>
      <c r="N864" t="s">
        <v>278</v>
      </c>
    </row>
    <row r="865" spans="1:14" x14ac:dyDescent="0.3">
      <c r="A865" t="s">
        <v>272</v>
      </c>
      <c r="B865" t="s">
        <v>273</v>
      </c>
      <c r="C865">
        <v>752</v>
      </c>
      <c r="D865" t="s">
        <v>84</v>
      </c>
      <c r="E865">
        <v>645</v>
      </c>
      <c r="F865" t="s">
        <v>274</v>
      </c>
      <c r="G865" t="s">
        <v>292</v>
      </c>
      <c r="H865" t="s">
        <v>29</v>
      </c>
      <c r="I865">
        <v>2020</v>
      </c>
      <c r="J865">
        <v>2020</v>
      </c>
      <c r="K865" t="s">
        <v>276</v>
      </c>
      <c r="L865">
        <v>7.93</v>
      </c>
      <c r="M865" t="s">
        <v>277</v>
      </c>
      <c r="N865" t="s">
        <v>278</v>
      </c>
    </row>
    <row r="866" spans="1:14" x14ac:dyDescent="0.3">
      <c r="A866" t="s">
        <v>272</v>
      </c>
      <c r="B866" t="s">
        <v>273</v>
      </c>
      <c r="C866">
        <v>752</v>
      </c>
      <c r="D866" t="s">
        <v>84</v>
      </c>
      <c r="E866">
        <v>645</v>
      </c>
      <c r="F866" t="s">
        <v>274</v>
      </c>
      <c r="G866" t="s">
        <v>292</v>
      </c>
      <c r="H866" t="s">
        <v>29</v>
      </c>
      <c r="I866">
        <v>2021</v>
      </c>
      <c r="J866">
        <v>2021</v>
      </c>
      <c r="K866" t="s">
        <v>276</v>
      </c>
      <c r="L866">
        <v>7.85</v>
      </c>
      <c r="M866" t="s">
        <v>277</v>
      </c>
      <c r="N866" t="s">
        <v>278</v>
      </c>
    </row>
    <row r="867" spans="1:14" x14ac:dyDescent="0.3">
      <c r="A867" t="s">
        <v>272</v>
      </c>
      <c r="B867" t="s">
        <v>273</v>
      </c>
      <c r="C867">
        <v>752</v>
      </c>
      <c r="D867" t="s">
        <v>84</v>
      </c>
      <c r="E867">
        <v>645</v>
      </c>
      <c r="F867" t="s">
        <v>274</v>
      </c>
      <c r="G867" t="s">
        <v>293</v>
      </c>
      <c r="H867" t="s">
        <v>41</v>
      </c>
      <c r="I867">
        <v>2017</v>
      </c>
      <c r="J867">
        <v>2017</v>
      </c>
      <c r="K867" t="s">
        <v>276</v>
      </c>
      <c r="L867">
        <v>5.32</v>
      </c>
      <c r="M867" t="s">
        <v>277</v>
      </c>
      <c r="N867" t="s">
        <v>278</v>
      </c>
    </row>
    <row r="868" spans="1:14" x14ac:dyDescent="0.3">
      <c r="A868" t="s">
        <v>272</v>
      </c>
      <c r="B868" t="s">
        <v>273</v>
      </c>
      <c r="C868">
        <v>752</v>
      </c>
      <c r="D868" t="s">
        <v>84</v>
      </c>
      <c r="E868">
        <v>645</v>
      </c>
      <c r="F868" t="s">
        <v>274</v>
      </c>
      <c r="G868" t="s">
        <v>293</v>
      </c>
      <c r="H868" t="s">
        <v>41</v>
      </c>
      <c r="I868">
        <v>2018</v>
      </c>
      <c r="J868">
        <v>2018</v>
      </c>
      <c r="K868" t="s">
        <v>276</v>
      </c>
      <c r="L868">
        <v>6.05</v>
      </c>
      <c r="M868" t="s">
        <v>277</v>
      </c>
      <c r="N868" t="s">
        <v>278</v>
      </c>
    </row>
    <row r="869" spans="1:14" x14ac:dyDescent="0.3">
      <c r="A869" t="s">
        <v>272</v>
      </c>
      <c r="B869" t="s">
        <v>273</v>
      </c>
      <c r="C869">
        <v>752</v>
      </c>
      <c r="D869" t="s">
        <v>84</v>
      </c>
      <c r="E869">
        <v>645</v>
      </c>
      <c r="F869" t="s">
        <v>274</v>
      </c>
      <c r="G869" t="s">
        <v>293</v>
      </c>
      <c r="H869" t="s">
        <v>41</v>
      </c>
      <c r="I869">
        <v>2019</v>
      </c>
      <c r="J869">
        <v>2019</v>
      </c>
      <c r="K869" t="s">
        <v>276</v>
      </c>
      <c r="L869">
        <v>6.4</v>
      </c>
      <c r="M869" t="s">
        <v>277</v>
      </c>
      <c r="N869" t="s">
        <v>278</v>
      </c>
    </row>
    <row r="870" spans="1:14" x14ac:dyDescent="0.3">
      <c r="A870" t="s">
        <v>272</v>
      </c>
      <c r="B870" t="s">
        <v>273</v>
      </c>
      <c r="C870">
        <v>752</v>
      </c>
      <c r="D870" t="s">
        <v>84</v>
      </c>
      <c r="E870">
        <v>645</v>
      </c>
      <c r="F870" t="s">
        <v>274</v>
      </c>
      <c r="G870" t="s">
        <v>293</v>
      </c>
      <c r="H870" t="s">
        <v>41</v>
      </c>
      <c r="I870">
        <v>2020</v>
      </c>
      <c r="J870">
        <v>2020</v>
      </c>
      <c r="K870" t="s">
        <v>276</v>
      </c>
      <c r="L870">
        <v>6.34</v>
      </c>
      <c r="M870" t="s">
        <v>277</v>
      </c>
      <c r="N870" t="s">
        <v>278</v>
      </c>
    </row>
    <row r="871" spans="1:14" x14ac:dyDescent="0.3">
      <c r="A871" t="s">
        <v>272</v>
      </c>
      <c r="B871" t="s">
        <v>273</v>
      </c>
      <c r="C871">
        <v>752</v>
      </c>
      <c r="D871" t="s">
        <v>84</v>
      </c>
      <c r="E871">
        <v>645</v>
      </c>
      <c r="F871" t="s">
        <v>274</v>
      </c>
      <c r="G871" t="s">
        <v>293</v>
      </c>
      <c r="H871" t="s">
        <v>41</v>
      </c>
      <c r="I871">
        <v>2021</v>
      </c>
      <c r="J871">
        <v>2021</v>
      </c>
      <c r="K871" t="s">
        <v>276</v>
      </c>
      <c r="L871">
        <v>6.28</v>
      </c>
      <c r="M871" t="s">
        <v>277</v>
      </c>
      <c r="N871" t="s">
        <v>278</v>
      </c>
    </row>
    <row r="872" spans="1:14" x14ac:dyDescent="0.3">
      <c r="A872" t="s">
        <v>272</v>
      </c>
      <c r="B872" t="s">
        <v>273</v>
      </c>
      <c r="C872">
        <v>752</v>
      </c>
      <c r="D872" t="s">
        <v>84</v>
      </c>
      <c r="E872">
        <v>645</v>
      </c>
      <c r="F872" t="s">
        <v>274</v>
      </c>
      <c r="G872" t="s">
        <v>294</v>
      </c>
      <c r="H872" t="s">
        <v>35</v>
      </c>
      <c r="I872">
        <v>2017</v>
      </c>
      <c r="J872">
        <v>2017</v>
      </c>
      <c r="K872" t="s">
        <v>276</v>
      </c>
      <c r="L872">
        <v>0.7</v>
      </c>
      <c r="M872" t="s">
        <v>277</v>
      </c>
      <c r="N872" t="s">
        <v>278</v>
      </c>
    </row>
    <row r="873" spans="1:14" x14ac:dyDescent="0.3">
      <c r="A873" t="s">
        <v>272</v>
      </c>
      <c r="B873" t="s">
        <v>273</v>
      </c>
      <c r="C873">
        <v>752</v>
      </c>
      <c r="D873" t="s">
        <v>84</v>
      </c>
      <c r="E873">
        <v>645</v>
      </c>
      <c r="F873" t="s">
        <v>274</v>
      </c>
      <c r="G873" t="s">
        <v>294</v>
      </c>
      <c r="H873" t="s">
        <v>35</v>
      </c>
      <c r="I873">
        <v>2018</v>
      </c>
      <c r="J873">
        <v>2018</v>
      </c>
      <c r="K873" t="s">
        <v>276</v>
      </c>
      <c r="L873">
        <v>0.6</v>
      </c>
      <c r="M873" t="s">
        <v>277</v>
      </c>
      <c r="N873" t="s">
        <v>278</v>
      </c>
    </row>
    <row r="874" spans="1:14" x14ac:dyDescent="0.3">
      <c r="A874" t="s">
        <v>272</v>
      </c>
      <c r="B874" t="s">
        <v>273</v>
      </c>
      <c r="C874">
        <v>752</v>
      </c>
      <c r="D874" t="s">
        <v>84</v>
      </c>
      <c r="E874">
        <v>645</v>
      </c>
      <c r="F874" t="s">
        <v>274</v>
      </c>
      <c r="G874" t="s">
        <v>294</v>
      </c>
      <c r="H874" t="s">
        <v>35</v>
      </c>
      <c r="I874">
        <v>2019</v>
      </c>
      <c r="J874">
        <v>2019</v>
      </c>
      <c r="K874" t="s">
        <v>276</v>
      </c>
      <c r="L874">
        <v>0.64</v>
      </c>
      <c r="M874" t="s">
        <v>277</v>
      </c>
      <c r="N874" t="s">
        <v>278</v>
      </c>
    </row>
    <row r="875" spans="1:14" x14ac:dyDescent="0.3">
      <c r="A875" t="s">
        <v>272</v>
      </c>
      <c r="B875" t="s">
        <v>273</v>
      </c>
      <c r="C875">
        <v>752</v>
      </c>
      <c r="D875" t="s">
        <v>84</v>
      </c>
      <c r="E875">
        <v>645</v>
      </c>
      <c r="F875" t="s">
        <v>274</v>
      </c>
      <c r="G875" t="s">
        <v>294</v>
      </c>
      <c r="H875" t="s">
        <v>35</v>
      </c>
      <c r="I875">
        <v>2020</v>
      </c>
      <c r="J875">
        <v>2020</v>
      </c>
      <c r="K875" t="s">
        <v>276</v>
      </c>
      <c r="L875">
        <v>0.63</v>
      </c>
      <c r="M875" t="s">
        <v>277</v>
      </c>
      <c r="N875" t="s">
        <v>278</v>
      </c>
    </row>
    <row r="876" spans="1:14" x14ac:dyDescent="0.3">
      <c r="A876" t="s">
        <v>272</v>
      </c>
      <c r="B876" t="s">
        <v>273</v>
      </c>
      <c r="C876">
        <v>752</v>
      </c>
      <c r="D876" t="s">
        <v>84</v>
      </c>
      <c r="E876">
        <v>645</v>
      </c>
      <c r="F876" t="s">
        <v>274</v>
      </c>
      <c r="G876" t="s">
        <v>294</v>
      </c>
      <c r="H876" t="s">
        <v>35</v>
      </c>
      <c r="I876">
        <v>2021</v>
      </c>
      <c r="J876">
        <v>2021</v>
      </c>
      <c r="K876" t="s">
        <v>276</v>
      </c>
      <c r="L876">
        <v>0.63</v>
      </c>
      <c r="M876" t="s">
        <v>277</v>
      </c>
      <c r="N876" t="s">
        <v>278</v>
      </c>
    </row>
    <row r="877" spans="1:14" x14ac:dyDescent="0.3">
      <c r="A877" t="s">
        <v>272</v>
      </c>
      <c r="B877" t="s">
        <v>273</v>
      </c>
      <c r="C877">
        <v>752</v>
      </c>
      <c r="D877" t="s">
        <v>84</v>
      </c>
      <c r="E877">
        <v>645</v>
      </c>
      <c r="F877" t="s">
        <v>274</v>
      </c>
      <c r="G877" t="s">
        <v>295</v>
      </c>
      <c r="H877" t="s">
        <v>28</v>
      </c>
      <c r="I877">
        <v>2017</v>
      </c>
      <c r="J877">
        <v>2017</v>
      </c>
      <c r="K877" t="s">
        <v>276</v>
      </c>
      <c r="L877">
        <v>7.44</v>
      </c>
      <c r="M877" t="s">
        <v>277</v>
      </c>
      <c r="N877" t="s">
        <v>278</v>
      </c>
    </row>
    <row r="878" spans="1:14" x14ac:dyDescent="0.3">
      <c r="A878" t="s">
        <v>272</v>
      </c>
      <c r="B878" t="s">
        <v>273</v>
      </c>
      <c r="C878">
        <v>752</v>
      </c>
      <c r="D878" t="s">
        <v>84</v>
      </c>
      <c r="E878">
        <v>645</v>
      </c>
      <c r="F878" t="s">
        <v>274</v>
      </c>
      <c r="G878" t="s">
        <v>295</v>
      </c>
      <c r="H878" t="s">
        <v>28</v>
      </c>
      <c r="I878">
        <v>2018</v>
      </c>
      <c r="J878">
        <v>2018</v>
      </c>
      <c r="K878" t="s">
        <v>276</v>
      </c>
      <c r="L878">
        <v>8.17</v>
      </c>
      <c r="M878" t="s">
        <v>277</v>
      </c>
      <c r="N878" t="s">
        <v>278</v>
      </c>
    </row>
    <row r="879" spans="1:14" x14ac:dyDescent="0.3">
      <c r="A879" t="s">
        <v>272</v>
      </c>
      <c r="B879" t="s">
        <v>273</v>
      </c>
      <c r="C879">
        <v>752</v>
      </c>
      <c r="D879" t="s">
        <v>84</v>
      </c>
      <c r="E879">
        <v>645</v>
      </c>
      <c r="F879" t="s">
        <v>274</v>
      </c>
      <c r="G879" t="s">
        <v>295</v>
      </c>
      <c r="H879" t="s">
        <v>28</v>
      </c>
      <c r="I879">
        <v>2019</v>
      </c>
      <c r="J879">
        <v>2019</v>
      </c>
      <c r="K879" t="s">
        <v>276</v>
      </c>
      <c r="L879">
        <v>7.23</v>
      </c>
      <c r="M879" t="s">
        <v>277</v>
      </c>
      <c r="N879" t="s">
        <v>278</v>
      </c>
    </row>
    <row r="880" spans="1:14" x14ac:dyDescent="0.3">
      <c r="A880" t="s">
        <v>272</v>
      </c>
      <c r="B880" t="s">
        <v>273</v>
      </c>
      <c r="C880">
        <v>752</v>
      </c>
      <c r="D880" t="s">
        <v>84</v>
      </c>
      <c r="E880">
        <v>645</v>
      </c>
      <c r="F880" t="s">
        <v>274</v>
      </c>
      <c r="G880" t="s">
        <v>295</v>
      </c>
      <c r="H880" t="s">
        <v>28</v>
      </c>
      <c r="I880">
        <v>2020</v>
      </c>
      <c r="J880">
        <v>2020</v>
      </c>
      <c r="K880" t="s">
        <v>276</v>
      </c>
      <c r="L880">
        <v>7.16</v>
      </c>
      <c r="M880" t="s">
        <v>277</v>
      </c>
      <c r="N880" t="s">
        <v>278</v>
      </c>
    </row>
    <row r="881" spans="1:14" x14ac:dyDescent="0.3">
      <c r="A881" t="s">
        <v>272</v>
      </c>
      <c r="B881" t="s">
        <v>273</v>
      </c>
      <c r="C881">
        <v>752</v>
      </c>
      <c r="D881" t="s">
        <v>84</v>
      </c>
      <c r="E881">
        <v>645</v>
      </c>
      <c r="F881" t="s">
        <v>274</v>
      </c>
      <c r="G881" t="s">
        <v>295</v>
      </c>
      <c r="H881" t="s">
        <v>28</v>
      </c>
      <c r="I881">
        <v>2021</v>
      </c>
      <c r="J881">
        <v>2021</v>
      </c>
      <c r="K881" t="s">
        <v>276</v>
      </c>
      <c r="L881">
        <v>7.09</v>
      </c>
      <c r="M881" t="s">
        <v>277</v>
      </c>
      <c r="N881" t="s">
        <v>278</v>
      </c>
    </row>
    <row r="882" spans="1:14" x14ac:dyDescent="0.3">
      <c r="A882" t="s">
        <v>272</v>
      </c>
      <c r="B882" t="s">
        <v>273</v>
      </c>
      <c r="C882">
        <v>752</v>
      </c>
      <c r="D882" t="s">
        <v>84</v>
      </c>
      <c r="E882">
        <v>645</v>
      </c>
      <c r="F882" t="s">
        <v>274</v>
      </c>
      <c r="G882" t="s">
        <v>296</v>
      </c>
      <c r="H882" t="s">
        <v>26</v>
      </c>
      <c r="I882">
        <v>2017</v>
      </c>
      <c r="J882">
        <v>2017</v>
      </c>
      <c r="K882" t="s">
        <v>276</v>
      </c>
      <c r="L882">
        <v>0.08</v>
      </c>
      <c r="M882" t="s">
        <v>277</v>
      </c>
      <c r="N882" t="s">
        <v>278</v>
      </c>
    </row>
    <row r="883" spans="1:14" x14ac:dyDescent="0.3">
      <c r="A883" t="s">
        <v>272</v>
      </c>
      <c r="B883" t="s">
        <v>273</v>
      </c>
      <c r="C883">
        <v>752</v>
      </c>
      <c r="D883" t="s">
        <v>84</v>
      </c>
      <c r="E883">
        <v>645</v>
      </c>
      <c r="F883" t="s">
        <v>274</v>
      </c>
      <c r="G883" t="s">
        <v>296</v>
      </c>
      <c r="H883" t="s">
        <v>26</v>
      </c>
      <c r="I883">
        <v>2018</v>
      </c>
      <c r="J883">
        <v>2018</v>
      </c>
      <c r="K883" t="s">
        <v>276</v>
      </c>
      <c r="L883">
        <v>7.0000000000000007E-2</v>
      </c>
      <c r="M883" t="s">
        <v>277</v>
      </c>
      <c r="N883" t="s">
        <v>278</v>
      </c>
    </row>
    <row r="884" spans="1:14" x14ac:dyDescent="0.3">
      <c r="A884" t="s">
        <v>272</v>
      </c>
      <c r="B884" t="s">
        <v>273</v>
      </c>
      <c r="C884">
        <v>752</v>
      </c>
      <c r="D884" t="s">
        <v>84</v>
      </c>
      <c r="E884">
        <v>645</v>
      </c>
      <c r="F884" t="s">
        <v>274</v>
      </c>
      <c r="G884" t="s">
        <v>296</v>
      </c>
      <c r="H884" t="s">
        <v>26</v>
      </c>
      <c r="I884">
        <v>2019</v>
      </c>
      <c r="J884">
        <v>2019</v>
      </c>
      <c r="K884" t="s">
        <v>276</v>
      </c>
      <c r="L884">
        <v>7.0000000000000007E-2</v>
      </c>
      <c r="M884" t="s">
        <v>277</v>
      </c>
      <c r="N884" t="s">
        <v>278</v>
      </c>
    </row>
    <row r="885" spans="1:14" x14ac:dyDescent="0.3">
      <c r="A885" t="s">
        <v>272</v>
      </c>
      <c r="B885" t="s">
        <v>273</v>
      </c>
      <c r="C885">
        <v>752</v>
      </c>
      <c r="D885" t="s">
        <v>84</v>
      </c>
      <c r="E885">
        <v>645</v>
      </c>
      <c r="F885" t="s">
        <v>274</v>
      </c>
      <c r="G885" t="s">
        <v>296</v>
      </c>
      <c r="H885" t="s">
        <v>26</v>
      </c>
      <c r="I885">
        <v>2020</v>
      </c>
      <c r="J885">
        <v>2020</v>
      </c>
      <c r="K885" t="s">
        <v>276</v>
      </c>
      <c r="L885">
        <v>7.0000000000000007E-2</v>
      </c>
      <c r="M885" t="s">
        <v>277</v>
      </c>
      <c r="N885" t="s">
        <v>278</v>
      </c>
    </row>
    <row r="886" spans="1:14" x14ac:dyDescent="0.3">
      <c r="A886" t="s">
        <v>272</v>
      </c>
      <c r="B886" t="s">
        <v>273</v>
      </c>
      <c r="C886">
        <v>752</v>
      </c>
      <c r="D886" t="s">
        <v>84</v>
      </c>
      <c r="E886">
        <v>645</v>
      </c>
      <c r="F886" t="s">
        <v>274</v>
      </c>
      <c r="G886" t="s">
        <v>296</v>
      </c>
      <c r="H886" t="s">
        <v>26</v>
      </c>
      <c r="I886">
        <v>2021</v>
      </c>
      <c r="J886">
        <v>2021</v>
      </c>
      <c r="K886" t="s">
        <v>276</v>
      </c>
      <c r="L886">
        <v>7.0000000000000007E-2</v>
      </c>
      <c r="M886" t="s">
        <v>277</v>
      </c>
      <c r="N886" t="s">
        <v>278</v>
      </c>
    </row>
    <row r="887" spans="1:14" x14ac:dyDescent="0.3">
      <c r="A887" t="s">
        <v>272</v>
      </c>
      <c r="B887" t="s">
        <v>273</v>
      </c>
      <c r="C887">
        <v>752</v>
      </c>
      <c r="D887" t="s">
        <v>84</v>
      </c>
      <c r="E887">
        <v>645</v>
      </c>
      <c r="F887" t="s">
        <v>274</v>
      </c>
      <c r="G887" t="s">
        <v>297</v>
      </c>
      <c r="H887" t="s">
        <v>38</v>
      </c>
      <c r="I887">
        <v>2017</v>
      </c>
      <c r="J887">
        <v>2017</v>
      </c>
      <c r="K887" t="s">
        <v>276</v>
      </c>
      <c r="L887">
        <v>0.85</v>
      </c>
      <c r="M887" t="s">
        <v>277</v>
      </c>
      <c r="N887" t="s">
        <v>278</v>
      </c>
    </row>
    <row r="888" spans="1:14" x14ac:dyDescent="0.3">
      <c r="A888" t="s">
        <v>272</v>
      </c>
      <c r="B888" t="s">
        <v>273</v>
      </c>
      <c r="C888">
        <v>752</v>
      </c>
      <c r="D888" t="s">
        <v>84</v>
      </c>
      <c r="E888">
        <v>645</v>
      </c>
      <c r="F888" t="s">
        <v>274</v>
      </c>
      <c r="G888" t="s">
        <v>297</v>
      </c>
      <c r="H888" t="s">
        <v>38</v>
      </c>
      <c r="I888">
        <v>2018</v>
      </c>
      <c r="J888">
        <v>2018</v>
      </c>
      <c r="K888" t="s">
        <v>276</v>
      </c>
      <c r="L888">
        <v>0.86</v>
      </c>
      <c r="M888" t="s">
        <v>277</v>
      </c>
      <c r="N888" t="s">
        <v>278</v>
      </c>
    </row>
    <row r="889" spans="1:14" x14ac:dyDescent="0.3">
      <c r="A889" t="s">
        <v>272</v>
      </c>
      <c r="B889" t="s">
        <v>273</v>
      </c>
      <c r="C889">
        <v>752</v>
      </c>
      <c r="D889" t="s">
        <v>84</v>
      </c>
      <c r="E889">
        <v>645</v>
      </c>
      <c r="F889" t="s">
        <v>274</v>
      </c>
      <c r="G889" t="s">
        <v>297</v>
      </c>
      <c r="H889" t="s">
        <v>38</v>
      </c>
      <c r="I889">
        <v>2019</v>
      </c>
      <c r="J889">
        <v>2019</v>
      </c>
      <c r="K889" t="s">
        <v>276</v>
      </c>
      <c r="L889">
        <v>0.78</v>
      </c>
      <c r="M889" t="s">
        <v>277</v>
      </c>
      <c r="N889" t="s">
        <v>278</v>
      </c>
    </row>
    <row r="890" spans="1:14" x14ac:dyDescent="0.3">
      <c r="A890" t="s">
        <v>272</v>
      </c>
      <c r="B890" t="s">
        <v>273</v>
      </c>
      <c r="C890">
        <v>752</v>
      </c>
      <c r="D890" t="s">
        <v>84</v>
      </c>
      <c r="E890">
        <v>645</v>
      </c>
      <c r="F890" t="s">
        <v>274</v>
      </c>
      <c r="G890" t="s">
        <v>297</v>
      </c>
      <c r="H890" t="s">
        <v>38</v>
      </c>
      <c r="I890">
        <v>2020</v>
      </c>
      <c r="J890">
        <v>2020</v>
      </c>
      <c r="K890" t="s">
        <v>276</v>
      </c>
      <c r="L890">
        <v>0.77</v>
      </c>
      <c r="M890" t="s">
        <v>277</v>
      </c>
      <c r="N890" t="s">
        <v>278</v>
      </c>
    </row>
    <row r="891" spans="1:14" x14ac:dyDescent="0.3">
      <c r="A891" t="s">
        <v>272</v>
      </c>
      <c r="B891" t="s">
        <v>273</v>
      </c>
      <c r="C891">
        <v>752</v>
      </c>
      <c r="D891" t="s">
        <v>84</v>
      </c>
      <c r="E891">
        <v>645</v>
      </c>
      <c r="F891" t="s">
        <v>274</v>
      </c>
      <c r="G891" t="s">
        <v>297</v>
      </c>
      <c r="H891" t="s">
        <v>38</v>
      </c>
      <c r="I891">
        <v>2021</v>
      </c>
      <c r="J891">
        <v>2021</v>
      </c>
      <c r="K891" t="s">
        <v>276</v>
      </c>
      <c r="L891">
        <v>0.76</v>
      </c>
      <c r="M891" t="s">
        <v>277</v>
      </c>
      <c r="N891" t="s">
        <v>278</v>
      </c>
    </row>
    <row r="892" spans="1:14" x14ac:dyDescent="0.3">
      <c r="A892" t="s">
        <v>272</v>
      </c>
      <c r="B892" t="s">
        <v>273</v>
      </c>
      <c r="C892">
        <v>752</v>
      </c>
      <c r="D892" t="s">
        <v>84</v>
      </c>
      <c r="E892">
        <v>645</v>
      </c>
      <c r="F892" t="s">
        <v>274</v>
      </c>
      <c r="G892" t="s">
        <v>298</v>
      </c>
      <c r="H892" t="s">
        <v>23</v>
      </c>
      <c r="I892">
        <v>2017</v>
      </c>
      <c r="J892">
        <v>2017</v>
      </c>
      <c r="K892" t="s">
        <v>276</v>
      </c>
      <c r="L892">
        <v>0</v>
      </c>
      <c r="M892" t="s">
        <v>277</v>
      </c>
      <c r="N892" t="s">
        <v>278</v>
      </c>
    </row>
    <row r="893" spans="1:14" x14ac:dyDescent="0.3">
      <c r="A893" t="s">
        <v>272</v>
      </c>
      <c r="B893" t="s">
        <v>273</v>
      </c>
      <c r="C893">
        <v>752</v>
      </c>
      <c r="D893" t="s">
        <v>84</v>
      </c>
      <c r="E893">
        <v>645</v>
      </c>
      <c r="F893" t="s">
        <v>274</v>
      </c>
      <c r="G893" t="s">
        <v>298</v>
      </c>
      <c r="H893" t="s">
        <v>23</v>
      </c>
      <c r="I893">
        <v>2018</v>
      </c>
      <c r="J893">
        <v>2018</v>
      </c>
      <c r="K893" t="s">
        <v>276</v>
      </c>
      <c r="L893">
        <v>0.01</v>
      </c>
      <c r="M893" t="s">
        <v>277</v>
      </c>
      <c r="N893" t="s">
        <v>278</v>
      </c>
    </row>
    <row r="894" spans="1:14" x14ac:dyDescent="0.3">
      <c r="A894" t="s">
        <v>272</v>
      </c>
      <c r="B894" t="s">
        <v>273</v>
      </c>
      <c r="C894">
        <v>752</v>
      </c>
      <c r="D894" t="s">
        <v>84</v>
      </c>
      <c r="E894">
        <v>645</v>
      </c>
      <c r="F894" t="s">
        <v>274</v>
      </c>
      <c r="G894" t="s">
        <v>298</v>
      </c>
      <c r="H894" t="s">
        <v>23</v>
      </c>
      <c r="I894">
        <v>2019</v>
      </c>
      <c r="J894">
        <v>2019</v>
      </c>
      <c r="K894" t="s">
        <v>276</v>
      </c>
      <c r="L894">
        <v>0</v>
      </c>
      <c r="M894" t="s">
        <v>277</v>
      </c>
      <c r="N894" t="s">
        <v>278</v>
      </c>
    </row>
    <row r="895" spans="1:14" x14ac:dyDescent="0.3">
      <c r="A895" t="s">
        <v>272</v>
      </c>
      <c r="B895" t="s">
        <v>273</v>
      </c>
      <c r="C895">
        <v>752</v>
      </c>
      <c r="D895" t="s">
        <v>84</v>
      </c>
      <c r="E895">
        <v>645</v>
      </c>
      <c r="F895" t="s">
        <v>274</v>
      </c>
      <c r="G895" t="s">
        <v>298</v>
      </c>
      <c r="H895" t="s">
        <v>23</v>
      </c>
      <c r="I895">
        <v>2020</v>
      </c>
      <c r="J895">
        <v>2020</v>
      </c>
      <c r="K895" t="s">
        <v>276</v>
      </c>
      <c r="L895">
        <v>0</v>
      </c>
      <c r="M895" t="s">
        <v>277</v>
      </c>
      <c r="N895" t="s">
        <v>278</v>
      </c>
    </row>
    <row r="896" spans="1:14" x14ac:dyDescent="0.3">
      <c r="A896" t="s">
        <v>272</v>
      </c>
      <c r="B896" t="s">
        <v>273</v>
      </c>
      <c r="C896">
        <v>752</v>
      </c>
      <c r="D896" t="s">
        <v>84</v>
      </c>
      <c r="E896">
        <v>645</v>
      </c>
      <c r="F896" t="s">
        <v>274</v>
      </c>
      <c r="G896" t="s">
        <v>298</v>
      </c>
      <c r="H896" t="s">
        <v>23</v>
      </c>
      <c r="I896">
        <v>2021</v>
      </c>
      <c r="J896">
        <v>2021</v>
      </c>
      <c r="K896" t="s">
        <v>276</v>
      </c>
      <c r="L896">
        <v>0</v>
      </c>
      <c r="M896" t="s">
        <v>277</v>
      </c>
      <c r="N896" t="s">
        <v>278</v>
      </c>
    </row>
    <row r="897" spans="1:14" x14ac:dyDescent="0.3">
      <c r="A897" t="s">
        <v>272</v>
      </c>
      <c r="B897" t="s">
        <v>273</v>
      </c>
      <c r="C897">
        <v>150</v>
      </c>
      <c r="D897" t="s">
        <v>87</v>
      </c>
      <c r="E897">
        <v>645</v>
      </c>
      <c r="F897" t="s">
        <v>274</v>
      </c>
      <c r="G897" t="s">
        <v>275</v>
      </c>
      <c r="H897" t="s">
        <v>24</v>
      </c>
      <c r="I897">
        <v>2017</v>
      </c>
      <c r="J897">
        <v>2017</v>
      </c>
      <c r="K897" t="s">
        <v>276</v>
      </c>
      <c r="L897">
        <v>14.01</v>
      </c>
      <c r="M897" t="s">
        <v>277</v>
      </c>
      <c r="N897" t="s">
        <v>278</v>
      </c>
    </row>
    <row r="898" spans="1:14" x14ac:dyDescent="0.3">
      <c r="A898" t="s">
        <v>272</v>
      </c>
      <c r="B898" t="s">
        <v>273</v>
      </c>
      <c r="C898">
        <v>150</v>
      </c>
      <c r="D898" t="s">
        <v>87</v>
      </c>
      <c r="E898">
        <v>645</v>
      </c>
      <c r="F898" t="s">
        <v>274</v>
      </c>
      <c r="G898" t="s">
        <v>275</v>
      </c>
      <c r="H898" t="s">
        <v>24</v>
      </c>
      <c r="I898">
        <v>2018</v>
      </c>
      <c r="J898">
        <v>2018</v>
      </c>
      <c r="K898" t="s">
        <v>276</v>
      </c>
      <c r="L898">
        <v>14.35</v>
      </c>
      <c r="M898" t="s">
        <v>277</v>
      </c>
      <c r="N898" t="s">
        <v>278</v>
      </c>
    </row>
    <row r="899" spans="1:14" x14ac:dyDescent="0.3">
      <c r="A899" t="s">
        <v>272</v>
      </c>
      <c r="B899" t="s">
        <v>273</v>
      </c>
      <c r="C899">
        <v>150</v>
      </c>
      <c r="D899" t="s">
        <v>87</v>
      </c>
      <c r="E899">
        <v>645</v>
      </c>
      <c r="F899" t="s">
        <v>274</v>
      </c>
      <c r="G899" t="s">
        <v>275</v>
      </c>
      <c r="H899" t="s">
        <v>24</v>
      </c>
      <c r="I899">
        <v>2019</v>
      </c>
      <c r="J899">
        <v>2019</v>
      </c>
      <c r="K899" t="s">
        <v>276</v>
      </c>
      <c r="L899">
        <v>14.23</v>
      </c>
      <c r="M899" t="s">
        <v>277</v>
      </c>
      <c r="N899" t="s">
        <v>278</v>
      </c>
    </row>
    <row r="900" spans="1:14" x14ac:dyDescent="0.3">
      <c r="A900" t="s">
        <v>272</v>
      </c>
      <c r="B900" t="s">
        <v>273</v>
      </c>
      <c r="C900">
        <v>150</v>
      </c>
      <c r="D900" t="s">
        <v>87</v>
      </c>
      <c r="E900">
        <v>645</v>
      </c>
      <c r="F900" t="s">
        <v>274</v>
      </c>
      <c r="G900" t="s">
        <v>275</v>
      </c>
      <c r="H900" t="s">
        <v>24</v>
      </c>
      <c r="I900">
        <v>2020</v>
      </c>
      <c r="J900">
        <v>2020</v>
      </c>
      <c r="K900" t="s">
        <v>276</v>
      </c>
      <c r="L900">
        <v>14.21</v>
      </c>
      <c r="M900" t="s">
        <v>277</v>
      </c>
      <c r="N900" t="s">
        <v>278</v>
      </c>
    </row>
    <row r="901" spans="1:14" x14ac:dyDescent="0.3">
      <c r="A901" t="s">
        <v>272</v>
      </c>
      <c r="B901" t="s">
        <v>273</v>
      </c>
      <c r="C901">
        <v>150</v>
      </c>
      <c r="D901" t="s">
        <v>87</v>
      </c>
      <c r="E901">
        <v>645</v>
      </c>
      <c r="F901" t="s">
        <v>274</v>
      </c>
      <c r="G901" t="s">
        <v>275</v>
      </c>
      <c r="H901" t="s">
        <v>24</v>
      </c>
      <c r="I901">
        <v>2021</v>
      </c>
      <c r="J901">
        <v>2021</v>
      </c>
      <c r="K901" t="s">
        <v>276</v>
      </c>
      <c r="L901">
        <v>13.9</v>
      </c>
      <c r="M901" t="s">
        <v>277</v>
      </c>
      <c r="N901" t="s">
        <v>278</v>
      </c>
    </row>
    <row r="902" spans="1:14" x14ac:dyDescent="0.3">
      <c r="A902" t="s">
        <v>272</v>
      </c>
      <c r="B902" t="s">
        <v>273</v>
      </c>
      <c r="C902">
        <v>150</v>
      </c>
      <c r="D902" t="s">
        <v>87</v>
      </c>
      <c r="E902">
        <v>645</v>
      </c>
      <c r="F902" t="s">
        <v>274</v>
      </c>
      <c r="G902" t="s">
        <v>279</v>
      </c>
      <c r="H902" t="s">
        <v>39</v>
      </c>
      <c r="I902">
        <v>2017</v>
      </c>
      <c r="J902">
        <v>2017</v>
      </c>
      <c r="K902" t="s">
        <v>276</v>
      </c>
      <c r="L902">
        <v>1.75</v>
      </c>
      <c r="M902" t="s">
        <v>277</v>
      </c>
      <c r="N902" t="s">
        <v>278</v>
      </c>
    </row>
    <row r="903" spans="1:14" x14ac:dyDescent="0.3">
      <c r="A903" t="s">
        <v>272</v>
      </c>
      <c r="B903" t="s">
        <v>273</v>
      </c>
      <c r="C903">
        <v>150</v>
      </c>
      <c r="D903" t="s">
        <v>87</v>
      </c>
      <c r="E903">
        <v>645</v>
      </c>
      <c r="F903" t="s">
        <v>274</v>
      </c>
      <c r="G903" t="s">
        <v>279</v>
      </c>
      <c r="H903" t="s">
        <v>39</v>
      </c>
      <c r="I903">
        <v>2018</v>
      </c>
      <c r="J903">
        <v>2018</v>
      </c>
      <c r="K903" t="s">
        <v>276</v>
      </c>
      <c r="L903">
        <v>1.76</v>
      </c>
      <c r="M903" t="s">
        <v>277</v>
      </c>
      <c r="N903" t="s">
        <v>278</v>
      </c>
    </row>
    <row r="904" spans="1:14" x14ac:dyDescent="0.3">
      <c r="A904" t="s">
        <v>272</v>
      </c>
      <c r="B904" t="s">
        <v>273</v>
      </c>
      <c r="C904">
        <v>150</v>
      </c>
      <c r="D904" t="s">
        <v>87</v>
      </c>
      <c r="E904">
        <v>645</v>
      </c>
      <c r="F904" t="s">
        <v>274</v>
      </c>
      <c r="G904" t="s">
        <v>279</v>
      </c>
      <c r="H904" t="s">
        <v>39</v>
      </c>
      <c r="I904">
        <v>2019</v>
      </c>
      <c r="J904">
        <v>2019</v>
      </c>
      <c r="K904" t="s">
        <v>276</v>
      </c>
      <c r="L904">
        <v>1.68</v>
      </c>
      <c r="M904" t="s">
        <v>277</v>
      </c>
      <c r="N904" t="s">
        <v>278</v>
      </c>
    </row>
    <row r="905" spans="1:14" x14ac:dyDescent="0.3">
      <c r="A905" t="s">
        <v>272</v>
      </c>
      <c r="B905" t="s">
        <v>273</v>
      </c>
      <c r="C905">
        <v>150</v>
      </c>
      <c r="D905" t="s">
        <v>87</v>
      </c>
      <c r="E905">
        <v>645</v>
      </c>
      <c r="F905" t="s">
        <v>274</v>
      </c>
      <c r="G905" t="s">
        <v>279</v>
      </c>
      <c r="H905" t="s">
        <v>39</v>
      </c>
      <c r="I905">
        <v>2020</v>
      </c>
      <c r="J905">
        <v>2020</v>
      </c>
      <c r="K905" t="s">
        <v>276</v>
      </c>
      <c r="L905">
        <v>1.65</v>
      </c>
      <c r="M905" t="s">
        <v>277</v>
      </c>
      <c r="N905" t="s">
        <v>278</v>
      </c>
    </row>
    <row r="906" spans="1:14" x14ac:dyDescent="0.3">
      <c r="A906" t="s">
        <v>272</v>
      </c>
      <c r="B906" t="s">
        <v>273</v>
      </c>
      <c r="C906">
        <v>150</v>
      </c>
      <c r="D906" t="s">
        <v>87</v>
      </c>
      <c r="E906">
        <v>645</v>
      </c>
      <c r="F906" t="s">
        <v>274</v>
      </c>
      <c r="G906" t="s">
        <v>279</v>
      </c>
      <c r="H906" t="s">
        <v>39</v>
      </c>
      <c r="I906">
        <v>2021</v>
      </c>
      <c r="J906">
        <v>2021</v>
      </c>
      <c r="K906" t="s">
        <v>276</v>
      </c>
      <c r="L906">
        <v>1.58</v>
      </c>
      <c r="M906" t="s">
        <v>277</v>
      </c>
      <c r="N906" t="s">
        <v>278</v>
      </c>
    </row>
    <row r="907" spans="1:14" x14ac:dyDescent="0.3">
      <c r="A907" t="s">
        <v>272</v>
      </c>
      <c r="B907" t="s">
        <v>273</v>
      </c>
      <c r="C907">
        <v>150</v>
      </c>
      <c r="D907" t="s">
        <v>87</v>
      </c>
      <c r="E907">
        <v>645</v>
      </c>
      <c r="F907" t="s">
        <v>274</v>
      </c>
      <c r="G907" t="s">
        <v>280</v>
      </c>
      <c r="H907" t="s">
        <v>42</v>
      </c>
      <c r="I907">
        <v>2017</v>
      </c>
      <c r="J907">
        <v>2017</v>
      </c>
      <c r="K907" t="s">
        <v>276</v>
      </c>
      <c r="L907">
        <v>34.72</v>
      </c>
      <c r="M907" t="s">
        <v>277</v>
      </c>
      <c r="N907" t="s">
        <v>278</v>
      </c>
    </row>
    <row r="908" spans="1:14" x14ac:dyDescent="0.3">
      <c r="A908" t="s">
        <v>272</v>
      </c>
      <c r="B908" t="s">
        <v>273</v>
      </c>
      <c r="C908">
        <v>150</v>
      </c>
      <c r="D908" t="s">
        <v>87</v>
      </c>
      <c r="E908">
        <v>645</v>
      </c>
      <c r="F908" t="s">
        <v>274</v>
      </c>
      <c r="G908" t="s">
        <v>280</v>
      </c>
      <c r="H908" t="s">
        <v>42</v>
      </c>
      <c r="I908">
        <v>2018</v>
      </c>
      <c r="J908">
        <v>2018</v>
      </c>
      <c r="K908" t="s">
        <v>276</v>
      </c>
      <c r="L908">
        <v>35.299999999999997</v>
      </c>
      <c r="M908" t="s">
        <v>277</v>
      </c>
      <c r="N908" t="s">
        <v>278</v>
      </c>
    </row>
    <row r="909" spans="1:14" x14ac:dyDescent="0.3">
      <c r="A909" t="s">
        <v>272</v>
      </c>
      <c r="B909" t="s">
        <v>273</v>
      </c>
      <c r="C909">
        <v>150</v>
      </c>
      <c r="D909" t="s">
        <v>87</v>
      </c>
      <c r="E909">
        <v>645</v>
      </c>
      <c r="F909" t="s">
        <v>274</v>
      </c>
      <c r="G909" t="s">
        <v>280</v>
      </c>
      <c r="H909" t="s">
        <v>42</v>
      </c>
      <c r="I909">
        <v>2019</v>
      </c>
      <c r="J909">
        <v>2019</v>
      </c>
      <c r="K909" t="s">
        <v>276</v>
      </c>
      <c r="L909">
        <v>34.869999999999997</v>
      </c>
      <c r="M909" t="s">
        <v>277</v>
      </c>
      <c r="N909" t="s">
        <v>278</v>
      </c>
    </row>
    <row r="910" spans="1:14" x14ac:dyDescent="0.3">
      <c r="A910" t="s">
        <v>272</v>
      </c>
      <c r="B910" t="s">
        <v>273</v>
      </c>
      <c r="C910">
        <v>150</v>
      </c>
      <c r="D910" t="s">
        <v>87</v>
      </c>
      <c r="E910">
        <v>645</v>
      </c>
      <c r="F910" t="s">
        <v>274</v>
      </c>
      <c r="G910" t="s">
        <v>280</v>
      </c>
      <c r="H910" t="s">
        <v>42</v>
      </c>
      <c r="I910">
        <v>2020</v>
      </c>
      <c r="J910">
        <v>2020</v>
      </c>
      <c r="K910" t="s">
        <v>276</v>
      </c>
      <c r="L910">
        <v>34.18</v>
      </c>
      <c r="M910" t="s">
        <v>277</v>
      </c>
      <c r="N910" t="s">
        <v>278</v>
      </c>
    </row>
    <row r="911" spans="1:14" x14ac:dyDescent="0.3">
      <c r="A911" t="s">
        <v>272</v>
      </c>
      <c r="B911" t="s">
        <v>273</v>
      </c>
      <c r="C911">
        <v>150</v>
      </c>
      <c r="D911" t="s">
        <v>87</v>
      </c>
      <c r="E911">
        <v>645</v>
      </c>
      <c r="F911" t="s">
        <v>274</v>
      </c>
      <c r="G911" t="s">
        <v>280</v>
      </c>
      <c r="H911" t="s">
        <v>42</v>
      </c>
      <c r="I911">
        <v>2021</v>
      </c>
      <c r="J911">
        <v>2021</v>
      </c>
      <c r="K911" t="s">
        <v>276</v>
      </c>
      <c r="L911">
        <v>35.1</v>
      </c>
      <c r="M911" t="s">
        <v>277</v>
      </c>
      <c r="N911" t="s">
        <v>278</v>
      </c>
    </row>
    <row r="912" spans="1:14" x14ac:dyDescent="0.3">
      <c r="A912" t="s">
        <v>272</v>
      </c>
      <c r="B912" t="s">
        <v>273</v>
      </c>
      <c r="C912">
        <v>150</v>
      </c>
      <c r="D912" t="s">
        <v>87</v>
      </c>
      <c r="E912">
        <v>645</v>
      </c>
      <c r="F912" t="s">
        <v>274</v>
      </c>
      <c r="G912" t="s">
        <v>281</v>
      </c>
      <c r="H912" t="s">
        <v>43</v>
      </c>
      <c r="I912">
        <v>2017</v>
      </c>
      <c r="J912">
        <v>2017</v>
      </c>
      <c r="K912" t="s">
        <v>276</v>
      </c>
      <c r="L912">
        <v>25.23</v>
      </c>
      <c r="M912" t="s">
        <v>277</v>
      </c>
      <c r="N912" t="s">
        <v>278</v>
      </c>
    </row>
    <row r="913" spans="1:14" x14ac:dyDescent="0.3">
      <c r="A913" t="s">
        <v>272</v>
      </c>
      <c r="B913" t="s">
        <v>273</v>
      </c>
      <c r="C913">
        <v>150</v>
      </c>
      <c r="D913" t="s">
        <v>87</v>
      </c>
      <c r="E913">
        <v>645</v>
      </c>
      <c r="F913" t="s">
        <v>274</v>
      </c>
      <c r="G913" t="s">
        <v>281</v>
      </c>
      <c r="H913" t="s">
        <v>43</v>
      </c>
      <c r="I913">
        <v>2018</v>
      </c>
      <c r="J913">
        <v>2018</v>
      </c>
      <c r="K913" t="s">
        <v>276</v>
      </c>
      <c r="L913">
        <v>25.54</v>
      </c>
      <c r="M913" t="s">
        <v>277</v>
      </c>
      <c r="N913" t="s">
        <v>278</v>
      </c>
    </row>
    <row r="914" spans="1:14" x14ac:dyDescent="0.3">
      <c r="A914" t="s">
        <v>272</v>
      </c>
      <c r="B914" t="s">
        <v>273</v>
      </c>
      <c r="C914">
        <v>150</v>
      </c>
      <c r="D914" t="s">
        <v>87</v>
      </c>
      <c r="E914">
        <v>645</v>
      </c>
      <c r="F914" t="s">
        <v>274</v>
      </c>
      <c r="G914" t="s">
        <v>281</v>
      </c>
      <c r="H914" t="s">
        <v>43</v>
      </c>
      <c r="I914">
        <v>2019</v>
      </c>
      <c r="J914">
        <v>2019</v>
      </c>
      <c r="K914" t="s">
        <v>276</v>
      </c>
      <c r="L914">
        <v>25.53</v>
      </c>
      <c r="M914" t="s">
        <v>277</v>
      </c>
      <c r="N914" t="s">
        <v>278</v>
      </c>
    </row>
    <row r="915" spans="1:14" x14ac:dyDescent="0.3">
      <c r="A915" t="s">
        <v>272</v>
      </c>
      <c r="B915" t="s">
        <v>273</v>
      </c>
      <c r="C915">
        <v>150</v>
      </c>
      <c r="D915" t="s">
        <v>87</v>
      </c>
      <c r="E915">
        <v>645</v>
      </c>
      <c r="F915" t="s">
        <v>274</v>
      </c>
      <c r="G915" t="s">
        <v>281</v>
      </c>
      <c r="H915" t="s">
        <v>43</v>
      </c>
      <c r="I915">
        <v>2020</v>
      </c>
      <c r="J915">
        <v>2020</v>
      </c>
      <c r="K915" t="s">
        <v>276</v>
      </c>
      <c r="L915">
        <v>25.74</v>
      </c>
      <c r="M915" t="s">
        <v>277</v>
      </c>
      <c r="N915" t="s">
        <v>278</v>
      </c>
    </row>
    <row r="916" spans="1:14" x14ac:dyDescent="0.3">
      <c r="A916" t="s">
        <v>272</v>
      </c>
      <c r="B916" t="s">
        <v>273</v>
      </c>
      <c r="C916">
        <v>150</v>
      </c>
      <c r="D916" t="s">
        <v>87</v>
      </c>
      <c r="E916">
        <v>645</v>
      </c>
      <c r="F916" t="s">
        <v>274</v>
      </c>
      <c r="G916" t="s">
        <v>281</v>
      </c>
      <c r="H916" t="s">
        <v>43</v>
      </c>
      <c r="I916">
        <v>2021</v>
      </c>
      <c r="J916">
        <v>2021</v>
      </c>
      <c r="K916" t="s">
        <v>276</v>
      </c>
      <c r="L916">
        <v>25.61</v>
      </c>
      <c r="M916" t="s">
        <v>277</v>
      </c>
      <c r="N916" t="s">
        <v>278</v>
      </c>
    </row>
    <row r="917" spans="1:14" x14ac:dyDescent="0.3">
      <c r="A917" t="s">
        <v>272</v>
      </c>
      <c r="B917" t="s">
        <v>273</v>
      </c>
      <c r="C917">
        <v>150</v>
      </c>
      <c r="D917" t="s">
        <v>87</v>
      </c>
      <c r="E917">
        <v>645</v>
      </c>
      <c r="F917" t="s">
        <v>274</v>
      </c>
      <c r="G917" t="s">
        <v>282</v>
      </c>
      <c r="H917" t="s">
        <v>36</v>
      </c>
      <c r="I917">
        <v>2017</v>
      </c>
      <c r="J917">
        <v>2017</v>
      </c>
      <c r="K917" t="s">
        <v>276</v>
      </c>
      <c r="L917">
        <v>1.69</v>
      </c>
      <c r="M917" t="s">
        <v>277</v>
      </c>
      <c r="N917" t="s">
        <v>278</v>
      </c>
    </row>
    <row r="918" spans="1:14" x14ac:dyDescent="0.3">
      <c r="A918" t="s">
        <v>272</v>
      </c>
      <c r="B918" t="s">
        <v>273</v>
      </c>
      <c r="C918">
        <v>150</v>
      </c>
      <c r="D918" t="s">
        <v>87</v>
      </c>
      <c r="E918">
        <v>645</v>
      </c>
      <c r="F918" t="s">
        <v>274</v>
      </c>
      <c r="G918" t="s">
        <v>282</v>
      </c>
      <c r="H918" t="s">
        <v>36</v>
      </c>
      <c r="I918">
        <v>2018</v>
      </c>
      <c r="J918">
        <v>2018</v>
      </c>
      <c r="K918" t="s">
        <v>276</v>
      </c>
      <c r="L918">
        <v>1.67</v>
      </c>
      <c r="M918" t="s">
        <v>277</v>
      </c>
      <c r="N918" t="s">
        <v>278</v>
      </c>
    </row>
    <row r="919" spans="1:14" x14ac:dyDescent="0.3">
      <c r="A919" t="s">
        <v>272</v>
      </c>
      <c r="B919" t="s">
        <v>273</v>
      </c>
      <c r="C919">
        <v>150</v>
      </c>
      <c r="D919" t="s">
        <v>87</v>
      </c>
      <c r="E919">
        <v>645</v>
      </c>
      <c r="F919" t="s">
        <v>274</v>
      </c>
      <c r="G919" t="s">
        <v>282</v>
      </c>
      <c r="H919" t="s">
        <v>36</v>
      </c>
      <c r="I919">
        <v>2019</v>
      </c>
      <c r="J919">
        <v>2019</v>
      </c>
      <c r="K919" t="s">
        <v>276</v>
      </c>
      <c r="L919">
        <v>1.43</v>
      </c>
      <c r="M919" t="s">
        <v>277</v>
      </c>
      <c r="N919" t="s">
        <v>278</v>
      </c>
    </row>
    <row r="920" spans="1:14" x14ac:dyDescent="0.3">
      <c r="A920" t="s">
        <v>272</v>
      </c>
      <c r="B920" t="s">
        <v>273</v>
      </c>
      <c r="C920">
        <v>150</v>
      </c>
      <c r="D920" t="s">
        <v>87</v>
      </c>
      <c r="E920">
        <v>645</v>
      </c>
      <c r="F920" t="s">
        <v>274</v>
      </c>
      <c r="G920" t="s">
        <v>282</v>
      </c>
      <c r="H920" t="s">
        <v>36</v>
      </c>
      <c r="I920">
        <v>2020</v>
      </c>
      <c r="J920">
        <v>2020</v>
      </c>
      <c r="K920" t="s">
        <v>276</v>
      </c>
      <c r="L920">
        <v>1.42</v>
      </c>
      <c r="M920" t="s">
        <v>277</v>
      </c>
      <c r="N920" t="s">
        <v>278</v>
      </c>
    </row>
    <row r="921" spans="1:14" x14ac:dyDescent="0.3">
      <c r="A921" t="s">
        <v>272</v>
      </c>
      <c r="B921" t="s">
        <v>273</v>
      </c>
      <c r="C921">
        <v>150</v>
      </c>
      <c r="D921" t="s">
        <v>87</v>
      </c>
      <c r="E921">
        <v>645</v>
      </c>
      <c r="F921" t="s">
        <v>274</v>
      </c>
      <c r="G921" t="s">
        <v>282</v>
      </c>
      <c r="H921" t="s">
        <v>36</v>
      </c>
      <c r="I921">
        <v>2021</v>
      </c>
      <c r="J921">
        <v>2021</v>
      </c>
      <c r="K921" t="s">
        <v>276</v>
      </c>
      <c r="L921">
        <v>1.46</v>
      </c>
      <c r="M921" t="s">
        <v>277</v>
      </c>
      <c r="N921" t="s">
        <v>278</v>
      </c>
    </row>
    <row r="922" spans="1:14" x14ac:dyDescent="0.3">
      <c r="A922" t="s">
        <v>272</v>
      </c>
      <c r="B922" t="s">
        <v>273</v>
      </c>
      <c r="C922">
        <v>150</v>
      </c>
      <c r="D922" t="s">
        <v>87</v>
      </c>
      <c r="E922">
        <v>645</v>
      </c>
      <c r="F922" t="s">
        <v>274</v>
      </c>
      <c r="G922" t="s">
        <v>283</v>
      </c>
      <c r="H922" t="s">
        <v>40</v>
      </c>
      <c r="I922">
        <v>2017</v>
      </c>
      <c r="J922">
        <v>2017</v>
      </c>
      <c r="K922" t="s">
        <v>276</v>
      </c>
      <c r="L922">
        <v>2.85</v>
      </c>
      <c r="M922" t="s">
        <v>277</v>
      </c>
      <c r="N922" t="s">
        <v>278</v>
      </c>
    </row>
    <row r="923" spans="1:14" x14ac:dyDescent="0.3">
      <c r="A923" t="s">
        <v>272</v>
      </c>
      <c r="B923" t="s">
        <v>273</v>
      </c>
      <c r="C923">
        <v>150</v>
      </c>
      <c r="D923" t="s">
        <v>87</v>
      </c>
      <c r="E923">
        <v>645</v>
      </c>
      <c r="F923" t="s">
        <v>274</v>
      </c>
      <c r="G923" t="s">
        <v>283</v>
      </c>
      <c r="H923" t="s">
        <v>40</v>
      </c>
      <c r="I923">
        <v>2018</v>
      </c>
      <c r="J923">
        <v>2018</v>
      </c>
      <c r="K923" t="s">
        <v>276</v>
      </c>
      <c r="L923">
        <v>3.27</v>
      </c>
      <c r="M923" t="s">
        <v>277</v>
      </c>
      <c r="N923" t="s">
        <v>278</v>
      </c>
    </row>
    <row r="924" spans="1:14" x14ac:dyDescent="0.3">
      <c r="A924" t="s">
        <v>272</v>
      </c>
      <c r="B924" t="s">
        <v>273</v>
      </c>
      <c r="C924">
        <v>150</v>
      </c>
      <c r="D924" t="s">
        <v>87</v>
      </c>
      <c r="E924">
        <v>645</v>
      </c>
      <c r="F924" t="s">
        <v>274</v>
      </c>
      <c r="G924" t="s">
        <v>283</v>
      </c>
      <c r="H924" t="s">
        <v>40</v>
      </c>
      <c r="I924">
        <v>2019</v>
      </c>
      <c r="J924">
        <v>2019</v>
      </c>
      <c r="K924" t="s">
        <v>276</v>
      </c>
      <c r="L924">
        <v>3.38</v>
      </c>
      <c r="M924" t="s">
        <v>277</v>
      </c>
      <c r="N924" t="s">
        <v>278</v>
      </c>
    </row>
    <row r="925" spans="1:14" x14ac:dyDescent="0.3">
      <c r="A925" t="s">
        <v>272</v>
      </c>
      <c r="B925" t="s">
        <v>273</v>
      </c>
      <c r="C925">
        <v>150</v>
      </c>
      <c r="D925" t="s">
        <v>87</v>
      </c>
      <c r="E925">
        <v>645</v>
      </c>
      <c r="F925" t="s">
        <v>274</v>
      </c>
      <c r="G925" t="s">
        <v>283</v>
      </c>
      <c r="H925" t="s">
        <v>40</v>
      </c>
      <c r="I925">
        <v>2020</v>
      </c>
      <c r="J925">
        <v>2020</v>
      </c>
      <c r="K925" t="s">
        <v>276</v>
      </c>
      <c r="L925">
        <v>3.34</v>
      </c>
      <c r="M925" t="s">
        <v>277</v>
      </c>
      <c r="N925" t="s">
        <v>278</v>
      </c>
    </row>
    <row r="926" spans="1:14" x14ac:dyDescent="0.3">
      <c r="A926" t="s">
        <v>272</v>
      </c>
      <c r="B926" t="s">
        <v>273</v>
      </c>
      <c r="C926">
        <v>150</v>
      </c>
      <c r="D926" t="s">
        <v>87</v>
      </c>
      <c r="E926">
        <v>645</v>
      </c>
      <c r="F926" t="s">
        <v>274</v>
      </c>
      <c r="G926" t="s">
        <v>283</v>
      </c>
      <c r="H926" t="s">
        <v>40</v>
      </c>
      <c r="I926">
        <v>2021</v>
      </c>
      <c r="J926">
        <v>2021</v>
      </c>
      <c r="K926" t="s">
        <v>276</v>
      </c>
      <c r="L926">
        <v>3.59</v>
      </c>
      <c r="M926" t="s">
        <v>277</v>
      </c>
      <c r="N926" t="s">
        <v>278</v>
      </c>
    </row>
    <row r="927" spans="1:14" x14ac:dyDescent="0.3">
      <c r="A927" t="s">
        <v>272</v>
      </c>
      <c r="B927" t="s">
        <v>273</v>
      </c>
      <c r="C927">
        <v>150</v>
      </c>
      <c r="D927" t="s">
        <v>87</v>
      </c>
      <c r="E927">
        <v>645</v>
      </c>
      <c r="F927" t="s">
        <v>274</v>
      </c>
      <c r="G927" t="s">
        <v>284</v>
      </c>
      <c r="H927" t="s">
        <v>25</v>
      </c>
      <c r="I927">
        <v>2017</v>
      </c>
      <c r="J927">
        <v>2017</v>
      </c>
      <c r="K927" t="s">
        <v>276</v>
      </c>
      <c r="L927">
        <v>3.4</v>
      </c>
      <c r="M927" t="s">
        <v>277</v>
      </c>
      <c r="N927" t="s">
        <v>278</v>
      </c>
    </row>
    <row r="928" spans="1:14" x14ac:dyDescent="0.3">
      <c r="A928" t="s">
        <v>272</v>
      </c>
      <c r="B928" t="s">
        <v>273</v>
      </c>
      <c r="C928">
        <v>150</v>
      </c>
      <c r="D928" t="s">
        <v>87</v>
      </c>
      <c r="E928">
        <v>645</v>
      </c>
      <c r="F928" t="s">
        <v>274</v>
      </c>
      <c r="G928" t="s">
        <v>284</v>
      </c>
      <c r="H928" t="s">
        <v>25</v>
      </c>
      <c r="I928">
        <v>2018</v>
      </c>
      <c r="J928">
        <v>2018</v>
      </c>
      <c r="K928" t="s">
        <v>276</v>
      </c>
      <c r="L928">
        <v>3.39</v>
      </c>
      <c r="M928" t="s">
        <v>277</v>
      </c>
      <c r="N928" t="s">
        <v>278</v>
      </c>
    </row>
    <row r="929" spans="1:14" x14ac:dyDescent="0.3">
      <c r="A929" t="s">
        <v>272</v>
      </c>
      <c r="B929" t="s">
        <v>273</v>
      </c>
      <c r="C929">
        <v>150</v>
      </c>
      <c r="D929" t="s">
        <v>87</v>
      </c>
      <c r="E929">
        <v>645</v>
      </c>
      <c r="F929" t="s">
        <v>274</v>
      </c>
      <c r="G929" t="s">
        <v>284</v>
      </c>
      <c r="H929" t="s">
        <v>25</v>
      </c>
      <c r="I929">
        <v>2019</v>
      </c>
      <c r="J929">
        <v>2019</v>
      </c>
      <c r="K929" t="s">
        <v>276</v>
      </c>
      <c r="L929">
        <v>3.74</v>
      </c>
      <c r="M929" t="s">
        <v>277</v>
      </c>
      <c r="N929" t="s">
        <v>278</v>
      </c>
    </row>
    <row r="930" spans="1:14" x14ac:dyDescent="0.3">
      <c r="A930" t="s">
        <v>272</v>
      </c>
      <c r="B930" t="s">
        <v>273</v>
      </c>
      <c r="C930">
        <v>150</v>
      </c>
      <c r="D930" t="s">
        <v>87</v>
      </c>
      <c r="E930">
        <v>645</v>
      </c>
      <c r="F930" t="s">
        <v>274</v>
      </c>
      <c r="G930" t="s">
        <v>284</v>
      </c>
      <c r="H930" t="s">
        <v>25</v>
      </c>
      <c r="I930">
        <v>2020</v>
      </c>
      <c r="J930">
        <v>2020</v>
      </c>
      <c r="K930" t="s">
        <v>276</v>
      </c>
      <c r="L930">
        <v>3.85</v>
      </c>
      <c r="M930" t="s">
        <v>277</v>
      </c>
      <c r="N930" t="s">
        <v>278</v>
      </c>
    </row>
    <row r="931" spans="1:14" x14ac:dyDescent="0.3">
      <c r="A931" t="s">
        <v>272</v>
      </c>
      <c r="B931" t="s">
        <v>273</v>
      </c>
      <c r="C931">
        <v>150</v>
      </c>
      <c r="D931" t="s">
        <v>87</v>
      </c>
      <c r="E931">
        <v>645</v>
      </c>
      <c r="F931" t="s">
        <v>274</v>
      </c>
      <c r="G931" t="s">
        <v>284</v>
      </c>
      <c r="H931" t="s">
        <v>25</v>
      </c>
      <c r="I931">
        <v>2021</v>
      </c>
      <c r="J931">
        <v>2021</v>
      </c>
      <c r="K931" t="s">
        <v>276</v>
      </c>
      <c r="L931">
        <v>3.86</v>
      </c>
      <c r="M931" t="s">
        <v>277</v>
      </c>
      <c r="N931" t="s">
        <v>278</v>
      </c>
    </row>
    <row r="932" spans="1:14" x14ac:dyDescent="0.3">
      <c r="A932" t="s">
        <v>272</v>
      </c>
      <c r="B932" t="s">
        <v>273</v>
      </c>
      <c r="C932">
        <v>150</v>
      </c>
      <c r="D932" t="s">
        <v>87</v>
      </c>
      <c r="E932">
        <v>645</v>
      </c>
      <c r="F932" t="s">
        <v>274</v>
      </c>
      <c r="G932" t="s">
        <v>285</v>
      </c>
      <c r="H932" t="s">
        <v>27</v>
      </c>
      <c r="I932">
        <v>2017</v>
      </c>
      <c r="J932">
        <v>2017</v>
      </c>
      <c r="K932" t="s">
        <v>276</v>
      </c>
      <c r="L932">
        <v>3.6</v>
      </c>
      <c r="M932" t="s">
        <v>277</v>
      </c>
      <c r="N932" t="s">
        <v>278</v>
      </c>
    </row>
    <row r="933" spans="1:14" x14ac:dyDescent="0.3">
      <c r="A933" t="s">
        <v>272</v>
      </c>
      <c r="B933" t="s">
        <v>273</v>
      </c>
      <c r="C933">
        <v>150</v>
      </c>
      <c r="D933" t="s">
        <v>87</v>
      </c>
      <c r="E933">
        <v>645</v>
      </c>
      <c r="F933" t="s">
        <v>274</v>
      </c>
      <c r="G933" t="s">
        <v>285</v>
      </c>
      <c r="H933" t="s">
        <v>27</v>
      </c>
      <c r="I933">
        <v>2018</v>
      </c>
      <c r="J933">
        <v>2018</v>
      </c>
      <c r="K933" t="s">
        <v>276</v>
      </c>
      <c r="L933">
        <v>3.68</v>
      </c>
      <c r="M933" t="s">
        <v>277</v>
      </c>
      <c r="N933" t="s">
        <v>278</v>
      </c>
    </row>
    <row r="934" spans="1:14" x14ac:dyDescent="0.3">
      <c r="A934" t="s">
        <v>272</v>
      </c>
      <c r="B934" t="s">
        <v>273</v>
      </c>
      <c r="C934">
        <v>150</v>
      </c>
      <c r="D934" t="s">
        <v>87</v>
      </c>
      <c r="E934">
        <v>645</v>
      </c>
      <c r="F934" t="s">
        <v>274</v>
      </c>
      <c r="G934" t="s">
        <v>285</v>
      </c>
      <c r="H934" t="s">
        <v>27</v>
      </c>
      <c r="I934">
        <v>2019</v>
      </c>
      <c r="J934">
        <v>2019</v>
      </c>
      <c r="K934" t="s">
        <v>276</v>
      </c>
      <c r="L934">
        <v>3.84</v>
      </c>
      <c r="M934" t="s">
        <v>277</v>
      </c>
      <c r="N934" t="s">
        <v>278</v>
      </c>
    </row>
    <row r="935" spans="1:14" x14ac:dyDescent="0.3">
      <c r="A935" t="s">
        <v>272</v>
      </c>
      <c r="B935" t="s">
        <v>273</v>
      </c>
      <c r="C935">
        <v>150</v>
      </c>
      <c r="D935" t="s">
        <v>87</v>
      </c>
      <c r="E935">
        <v>645</v>
      </c>
      <c r="F935" t="s">
        <v>274</v>
      </c>
      <c r="G935" t="s">
        <v>285</v>
      </c>
      <c r="H935" t="s">
        <v>27</v>
      </c>
      <c r="I935">
        <v>2020</v>
      </c>
      <c r="J935">
        <v>2020</v>
      </c>
      <c r="K935" t="s">
        <v>276</v>
      </c>
      <c r="L935">
        <v>3.68</v>
      </c>
      <c r="M935" t="s">
        <v>277</v>
      </c>
      <c r="N935" t="s">
        <v>278</v>
      </c>
    </row>
    <row r="936" spans="1:14" x14ac:dyDescent="0.3">
      <c r="A936" t="s">
        <v>272</v>
      </c>
      <c r="B936" t="s">
        <v>273</v>
      </c>
      <c r="C936">
        <v>150</v>
      </c>
      <c r="D936" t="s">
        <v>87</v>
      </c>
      <c r="E936">
        <v>645</v>
      </c>
      <c r="F936" t="s">
        <v>274</v>
      </c>
      <c r="G936" t="s">
        <v>285</v>
      </c>
      <c r="H936" t="s">
        <v>27</v>
      </c>
      <c r="I936">
        <v>2021</v>
      </c>
      <c r="J936">
        <v>2021</v>
      </c>
      <c r="K936" t="s">
        <v>276</v>
      </c>
      <c r="L936">
        <v>3.46</v>
      </c>
      <c r="M936" t="s">
        <v>277</v>
      </c>
      <c r="N936" t="s">
        <v>278</v>
      </c>
    </row>
    <row r="937" spans="1:14" x14ac:dyDescent="0.3">
      <c r="A937" t="s">
        <v>272</v>
      </c>
      <c r="B937" t="s">
        <v>273</v>
      </c>
      <c r="C937">
        <v>150</v>
      </c>
      <c r="D937" t="s">
        <v>87</v>
      </c>
      <c r="E937">
        <v>645</v>
      </c>
      <c r="F937" t="s">
        <v>274</v>
      </c>
      <c r="G937" t="s">
        <v>286</v>
      </c>
      <c r="H937" t="s">
        <v>31</v>
      </c>
      <c r="I937">
        <v>2017</v>
      </c>
      <c r="J937">
        <v>2017</v>
      </c>
      <c r="K937" t="s">
        <v>276</v>
      </c>
      <c r="L937">
        <v>2.06</v>
      </c>
      <c r="M937" t="s">
        <v>277</v>
      </c>
      <c r="N937" t="s">
        <v>278</v>
      </c>
    </row>
    <row r="938" spans="1:14" x14ac:dyDescent="0.3">
      <c r="A938" t="s">
        <v>272</v>
      </c>
      <c r="B938" t="s">
        <v>273</v>
      </c>
      <c r="C938">
        <v>150</v>
      </c>
      <c r="D938" t="s">
        <v>87</v>
      </c>
      <c r="E938">
        <v>645</v>
      </c>
      <c r="F938" t="s">
        <v>274</v>
      </c>
      <c r="G938" t="s">
        <v>286</v>
      </c>
      <c r="H938" t="s">
        <v>31</v>
      </c>
      <c r="I938">
        <v>2018</v>
      </c>
      <c r="J938">
        <v>2018</v>
      </c>
      <c r="K938" t="s">
        <v>276</v>
      </c>
      <c r="L938">
        <v>2.14</v>
      </c>
      <c r="M938" t="s">
        <v>277</v>
      </c>
      <c r="N938" t="s">
        <v>278</v>
      </c>
    </row>
    <row r="939" spans="1:14" x14ac:dyDescent="0.3">
      <c r="A939" t="s">
        <v>272</v>
      </c>
      <c r="B939" t="s">
        <v>273</v>
      </c>
      <c r="C939">
        <v>150</v>
      </c>
      <c r="D939" t="s">
        <v>87</v>
      </c>
      <c r="E939">
        <v>645</v>
      </c>
      <c r="F939" t="s">
        <v>274</v>
      </c>
      <c r="G939" t="s">
        <v>286</v>
      </c>
      <c r="H939" t="s">
        <v>31</v>
      </c>
      <c r="I939">
        <v>2019</v>
      </c>
      <c r="J939">
        <v>2019</v>
      </c>
      <c r="K939" t="s">
        <v>276</v>
      </c>
      <c r="L939">
        <v>2.09</v>
      </c>
      <c r="M939" t="s">
        <v>277</v>
      </c>
      <c r="N939" t="s">
        <v>278</v>
      </c>
    </row>
    <row r="940" spans="1:14" x14ac:dyDescent="0.3">
      <c r="A940" t="s">
        <v>272</v>
      </c>
      <c r="B940" t="s">
        <v>273</v>
      </c>
      <c r="C940">
        <v>150</v>
      </c>
      <c r="D940" t="s">
        <v>87</v>
      </c>
      <c r="E940">
        <v>645</v>
      </c>
      <c r="F940" t="s">
        <v>274</v>
      </c>
      <c r="G940" t="s">
        <v>286</v>
      </c>
      <c r="H940" t="s">
        <v>31</v>
      </c>
      <c r="I940">
        <v>2020</v>
      </c>
      <c r="J940">
        <v>2020</v>
      </c>
      <c r="K940" t="s">
        <v>276</v>
      </c>
      <c r="L940">
        <v>2.2200000000000002</v>
      </c>
      <c r="M940" t="s">
        <v>277</v>
      </c>
      <c r="N940" t="s">
        <v>278</v>
      </c>
    </row>
    <row r="941" spans="1:14" x14ac:dyDescent="0.3">
      <c r="A941" t="s">
        <v>272</v>
      </c>
      <c r="B941" t="s">
        <v>273</v>
      </c>
      <c r="C941">
        <v>150</v>
      </c>
      <c r="D941" t="s">
        <v>87</v>
      </c>
      <c r="E941">
        <v>645</v>
      </c>
      <c r="F941" t="s">
        <v>274</v>
      </c>
      <c r="G941" t="s">
        <v>286</v>
      </c>
      <c r="H941" t="s">
        <v>31</v>
      </c>
      <c r="I941">
        <v>2021</v>
      </c>
      <c r="J941">
        <v>2021</v>
      </c>
      <c r="K941" t="s">
        <v>276</v>
      </c>
      <c r="L941">
        <v>2.4300000000000002</v>
      </c>
      <c r="M941" t="s">
        <v>277</v>
      </c>
      <c r="N941" t="s">
        <v>278</v>
      </c>
    </row>
    <row r="942" spans="1:14" x14ac:dyDescent="0.3">
      <c r="A942" t="s">
        <v>272</v>
      </c>
      <c r="B942" t="s">
        <v>273</v>
      </c>
      <c r="C942">
        <v>150</v>
      </c>
      <c r="D942" t="s">
        <v>87</v>
      </c>
      <c r="E942">
        <v>645</v>
      </c>
      <c r="F942" t="s">
        <v>274</v>
      </c>
      <c r="G942" t="s">
        <v>287</v>
      </c>
      <c r="H942" t="s">
        <v>32</v>
      </c>
      <c r="I942">
        <v>2017</v>
      </c>
      <c r="J942">
        <v>2017</v>
      </c>
      <c r="K942" t="s">
        <v>276</v>
      </c>
      <c r="L942">
        <v>0.05</v>
      </c>
      <c r="M942" t="s">
        <v>277</v>
      </c>
      <c r="N942" t="s">
        <v>278</v>
      </c>
    </row>
    <row r="943" spans="1:14" x14ac:dyDescent="0.3">
      <c r="A943" t="s">
        <v>272</v>
      </c>
      <c r="B943" t="s">
        <v>273</v>
      </c>
      <c r="C943">
        <v>150</v>
      </c>
      <c r="D943" t="s">
        <v>87</v>
      </c>
      <c r="E943">
        <v>645</v>
      </c>
      <c r="F943" t="s">
        <v>274</v>
      </c>
      <c r="G943" t="s">
        <v>287</v>
      </c>
      <c r="H943" t="s">
        <v>32</v>
      </c>
      <c r="I943">
        <v>2018</v>
      </c>
      <c r="J943">
        <v>2018</v>
      </c>
      <c r="K943" t="s">
        <v>276</v>
      </c>
      <c r="L943">
        <v>0.08</v>
      </c>
      <c r="M943" t="s">
        <v>277</v>
      </c>
      <c r="N943" t="s">
        <v>278</v>
      </c>
    </row>
    <row r="944" spans="1:14" x14ac:dyDescent="0.3">
      <c r="A944" t="s">
        <v>272</v>
      </c>
      <c r="B944" t="s">
        <v>273</v>
      </c>
      <c r="C944">
        <v>150</v>
      </c>
      <c r="D944" t="s">
        <v>87</v>
      </c>
      <c r="E944">
        <v>645</v>
      </c>
      <c r="F944" t="s">
        <v>274</v>
      </c>
      <c r="G944" t="s">
        <v>287</v>
      </c>
      <c r="H944" t="s">
        <v>32</v>
      </c>
      <c r="I944">
        <v>2019</v>
      </c>
      <c r="J944">
        <v>2019</v>
      </c>
      <c r="K944" t="s">
        <v>276</v>
      </c>
      <c r="L944">
        <v>7.0000000000000007E-2</v>
      </c>
      <c r="M944" t="s">
        <v>277</v>
      </c>
      <c r="N944" t="s">
        <v>278</v>
      </c>
    </row>
    <row r="945" spans="1:14" x14ac:dyDescent="0.3">
      <c r="A945" t="s">
        <v>272</v>
      </c>
      <c r="B945" t="s">
        <v>273</v>
      </c>
      <c r="C945">
        <v>150</v>
      </c>
      <c r="D945" t="s">
        <v>87</v>
      </c>
      <c r="E945">
        <v>645</v>
      </c>
      <c r="F945" t="s">
        <v>274</v>
      </c>
      <c r="G945" t="s">
        <v>287</v>
      </c>
      <c r="H945" t="s">
        <v>32</v>
      </c>
      <c r="I945">
        <v>2020</v>
      </c>
      <c r="J945">
        <v>2020</v>
      </c>
      <c r="K945" t="s">
        <v>276</v>
      </c>
      <c r="L945">
        <v>7.0000000000000007E-2</v>
      </c>
      <c r="M945" t="s">
        <v>277</v>
      </c>
      <c r="N945" t="s">
        <v>278</v>
      </c>
    </row>
    <row r="946" spans="1:14" x14ac:dyDescent="0.3">
      <c r="A946" t="s">
        <v>272</v>
      </c>
      <c r="B946" t="s">
        <v>273</v>
      </c>
      <c r="C946">
        <v>150</v>
      </c>
      <c r="D946" t="s">
        <v>87</v>
      </c>
      <c r="E946">
        <v>645</v>
      </c>
      <c r="F946" t="s">
        <v>274</v>
      </c>
      <c r="G946" t="s">
        <v>287</v>
      </c>
      <c r="H946" t="s">
        <v>32</v>
      </c>
      <c r="I946">
        <v>2021</v>
      </c>
      <c r="J946">
        <v>2021</v>
      </c>
      <c r="K946" t="s">
        <v>276</v>
      </c>
      <c r="L946">
        <v>7.0000000000000007E-2</v>
      </c>
      <c r="M946" t="s">
        <v>277</v>
      </c>
      <c r="N946" t="s">
        <v>278</v>
      </c>
    </row>
    <row r="947" spans="1:14" x14ac:dyDescent="0.3">
      <c r="A947" t="s">
        <v>272</v>
      </c>
      <c r="B947" t="s">
        <v>273</v>
      </c>
      <c r="C947">
        <v>150</v>
      </c>
      <c r="D947" t="s">
        <v>87</v>
      </c>
      <c r="E947">
        <v>645</v>
      </c>
      <c r="F947" t="s">
        <v>274</v>
      </c>
      <c r="G947" t="s">
        <v>288</v>
      </c>
      <c r="H947" t="s">
        <v>33</v>
      </c>
      <c r="I947">
        <v>2017</v>
      </c>
      <c r="J947">
        <v>2017</v>
      </c>
      <c r="K947" t="s">
        <v>276</v>
      </c>
      <c r="L947">
        <v>0</v>
      </c>
      <c r="M947" t="s">
        <v>277</v>
      </c>
      <c r="N947" t="s">
        <v>278</v>
      </c>
    </row>
    <row r="948" spans="1:14" x14ac:dyDescent="0.3">
      <c r="A948" t="s">
        <v>272</v>
      </c>
      <c r="B948" t="s">
        <v>273</v>
      </c>
      <c r="C948">
        <v>150</v>
      </c>
      <c r="D948" t="s">
        <v>87</v>
      </c>
      <c r="E948">
        <v>645</v>
      </c>
      <c r="F948" t="s">
        <v>274</v>
      </c>
      <c r="G948" t="s">
        <v>288</v>
      </c>
      <c r="H948" t="s">
        <v>33</v>
      </c>
      <c r="I948">
        <v>2018</v>
      </c>
      <c r="J948">
        <v>2018</v>
      </c>
      <c r="K948" t="s">
        <v>276</v>
      </c>
      <c r="L948">
        <v>0.01</v>
      </c>
      <c r="M948" t="s">
        <v>277</v>
      </c>
      <c r="N948" t="s">
        <v>278</v>
      </c>
    </row>
    <row r="949" spans="1:14" x14ac:dyDescent="0.3">
      <c r="A949" t="s">
        <v>272</v>
      </c>
      <c r="B949" t="s">
        <v>273</v>
      </c>
      <c r="C949">
        <v>150</v>
      </c>
      <c r="D949" t="s">
        <v>87</v>
      </c>
      <c r="E949">
        <v>645</v>
      </c>
      <c r="F949" t="s">
        <v>274</v>
      </c>
      <c r="G949" t="s">
        <v>288</v>
      </c>
      <c r="H949" t="s">
        <v>33</v>
      </c>
      <c r="I949">
        <v>2019</v>
      </c>
      <c r="J949">
        <v>2019</v>
      </c>
      <c r="K949" t="s">
        <v>276</v>
      </c>
      <c r="L949">
        <v>0.01</v>
      </c>
      <c r="M949" t="s">
        <v>277</v>
      </c>
      <c r="N949" t="s">
        <v>278</v>
      </c>
    </row>
    <row r="950" spans="1:14" x14ac:dyDescent="0.3">
      <c r="A950" t="s">
        <v>272</v>
      </c>
      <c r="B950" t="s">
        <v>273</v>
      </c>
      <c r="C950">
        <v>150</v>
      </c>
      <c r="D950" t="s">
        <v>87</v>
      </c>
      <c r="E950">
        <v>645</v>
      </c>
      <c r="F950" t="s">
        <v>274</v>
      </c>
      <c r="G950" t="s">
        <v>288</v>
      </c>
      <c r="H950" t="s">
        <v>33</v>
      </c>
      <c r="I950">
        <v>2020</v>
      </c>
      <c r="J950">
        <v>2020</v>
      </c>
      <c r="K950" t="s">
        <v>276</v>
      </c>
      <c r="L950">
        <v>0.01</v>
      </c>
      <c r="M950" t="s">
        <v>277</v>
      </c>
      <c r="N950" t="s">
        <v>278</v>
      </c>
    </row>
    <row r="951" spans="1:14" x14ac:dyDescent="0.3">
      <c r="A951" t="s">
        <v>272</v>
      </c>
      <c r="B951" t="s">
        <v>273</v>
      </c>
      <c r="C951">
        <v>150</v>
      </c>
      <c r="D951" t="s">
        <v>87</v>
      </c>
      <c r="E951">
        <v>645</v>
      </c>
      <c r="F951" t="s">
        <v>274</v>
      </c>
      <c r="G951" t="s">
        <v>288</v>
      </c>
      <c r="H951" t="s">
        <v>33</v>
      </c>
      <c r="I951">
        <v>2021</v>
      </c>
      <c r="J951">
        <v>2021</v>
      </c>
      <c r="K951" t="s">
        <v>276</v>
      </c>
      <c r="L951">
        <v>0.01</v>
      </c>
      <c r="M951" t="s">
        <v>277</v>
      </c>
      <c r="N951" t="s">
        <v>278</v>
      </c>
    </row>
    <row r="952" spans="1:14" x14ac:dyDescent="0.3">
      <c r="A952" t="s">
        <v>272</v>
      </c>
      <c r="B952" t="s">
        <v>273</v>
      </c>
      <c r="C952">
        <v>150</v>
      </c>
      <c r="D952" t="s">
        <v>87</v>
      </c>
      <c r="E952">
        <v>645</v>
      </c>
      <c r="F952" t="s">
        <v>274</v>
      </c>
      <c r="G952" t="s">
        <v>289</v>
      </c>
      <c r="H952" t="s">
        <v>30</v>
      </c>
      <c r="I952">
        <v>2017</v>
      </c>
      <c r="J952">
        <v>2017</v>
      </c>
      <c r="K952" t="s">
        <v>276</v>
      </c>
      <c r="L952">
        <v>13.2</v>
      </c>
      <c r="M952" t="s">
        <v>277</v>
      </c>
      <c r="N952" t="s">
        <v>278</v>
      </c>
    </row>
    <row r="953" spans="1:14" x14ac:dyDescent="0.3">
      <c r="A953" t="s">
        <v>272</v>
      </c>
      <c r="B953" t="s">
        <v>273</v>
      </c>
      <c r="C953">
        <v>150</v>
      </c>
      <c r="D953" t="s">
        <v>87</v>
      </c>
      <c r="E953">
        <v>645</v>
      </c>
      <c r="F953" t="s">
        <v>274</v>
      </c>
      <c r="G953" t="s">
        <v>289</v>
      </c>
      <c r="H953" t="s">
        <v>30</v>
      </c>
      <c r="I953">
        <v>2018</v>
      </c>
      <c r="J953">
        <v>2018</v>
      </c>
      <c r="K953" t="s">
        <v>276</v>
      </c>
      <c r="L953">
        <v>13.59</v>
      </c>
      <c r="M953" t="s">
        <v>277</v>
      </c>
      <c r="N953" t="s">
        <v>278</v>
      </c>
    </row>
    <row r="954" spans="1:14" x14ac:dyDescent="0.3">
      <c r="A954" t="s">
        <v>272</v>
      </c>
      <c r="B954" t="s">
        <v>273</v>
      </c>
      <c r="C954">
        <v>150</v>
      </c>
      <c r="D954" t="s">
        <v>87</v>
      </c>
      <c r="E954">
        <v>645</v>
      </c>
      <c r="F954" t="s">
        <v>274</v>
      </c>
      <c r="G954" t="s">
        <v>289</v>
      </c>
      <c r="H954" t="s">
        <v>30</v>
      </c>
      <c r="I954">
        <v>2019</v>
      </c>
      <c r="J954">
        <v>2019</v>
      </c>
      <c r="K954" t="s">
        <v>276</v>
      </c>
      <c r="L954">
        <v>14.19</v>
      </c>
      <c r="M954" t="s">
        <v>277</v>
      </c>
      <c r="N954" t="s">
        <v>278</v>
      </c>
    </row>
    <row r="955" spans="1:14" x14ac:dyDescent="0.3">
      <c r="A955" t="s">
        <v>272</v>
      </c>
      <c r="B955" t="s">
        <v>273</v>
      </c>
      <c r="C955">
        <v>150</v>
      </c>
      <c r="D955" t="s">
        <v>87</v>
      </c>
      <c r="E955">
        <v>645</v>
      </c>
      <c r="F955" t="s">
        <v>274</v>
      </c>
      <c r="G955" t="s">
        <v>289</v>
      </c>
      <c r="H955" t="s">
        <v>30</v>
      </c>
      <c r="I955">
        <v>2020</v>
      </c>
      <c r="J955">
        <v>2020</v>
      </c>
      <c r="K955" t="s">
        <v>276</v>
      </c>
      <c r="L955">
        <v>14.18</v>
      </c>
      <c r="M955" t="s">
        <v>277</v>
      </c>
      <c r="N955" t="s">
        <v>278</v>
      </c>
    </row>
    <row r="956" spans="1:14" x14ac:dyDescent="0.3">
      <c r="A956" t="s">
        <v>272</v>
      </c>
      <c r="B956" t="s">
        <v>273</v>
      </c>
      <c r="C956">
        <v>150</v>
      </c>
      <c r="D956" t="s">
        <v>87</v>
      </c>
      <c r="E956">
        <v>645</v>
      </c>
      <c r="F956" t="s">
        <v>274</v>
      </c>
      <c r="G956" t="s">
        <v>289</v>
      </c>
      <c r="H956" t="s">
        <v>30</v>
      </c>
      <c r="I956">
        <v>2021</v>
      </c>
      <c r="J956">
        <v>2021</v>
      </c>
      <c r="K956" t="s">
        <v>276</v>
      </c>
      <c r="L956">
        <v>13.91</v>
      </c>
      <c r="M956" t="s">
        <v>277</v>
      </c>
      <c r="N956" t="s">
        <v>278</v>
      </c>
    </row>
    <row r="957" spans="1:14" x14ac:dyDescent="0.3">
      <c r="A957" t="s">
        <v>272</v>
      </c>
      <c r="B957" t="s">
        <v>273</v>
      </c>
      <c r="C957">
        <v>150</v>
      </c>
      <c r="D957" t="s">
        <v>87</v>
      </c>
      <c r="E957">
        <v>645</v>
      </c>
      <c r="F957" t="s">
        <v>274</v>
      </c>
      <c r="G957" t="s">
        <v>290</v>
      </c>
      <c r="H957" t="s">
        <v>37</v>
      </c>
      <c r="I957">
        <v>2017</v>
      </c>
      <c r="J957">
        <v>2017</v>
      </c>
      <c r="K957" t="s">
        <v>276</v>
      </c>
      <c r="L957">
        <v>181.28</v>
      </c>
      <c r="M957" t="s">
        <v>277</v>
      </c>
      <c r="N957" t="s">
        <v>278</v>
      </c>
    </row>
    <row r="958" spans="1:14" x14ac:dyDescent="0.3">
      <c r="A958" t="s">
        <v>272</v>
      </c>
      <c r="B958" t="s">
        <v>273</v>
      </c>
      <c r="C958">
        <v>150</v>
      </c>
      <c r="D958" t="s">
        <v>87</v>
      </c>
      <c r="E958">
        <v>645</v>
      </c>
      <c r="F958" t="s">
        <v>274</v>
      </c>
      <c r="G958" t="s">
        <v>290</v>
      </c>
      <c r="H958" t="s">
        <v>37</v>
      </c>
      <c r="I958">
        <v>2018</v>
      </c>
      <c r="J958">
        <v>2018</v>
      </c>
      <c r="K958" t="s">
        <v>276</v>
      </c>
      <c r="L958">
        <v>184.34</v>
      </c>
      <c r="M958" t="s">
        <v>277</v>
      </c>
      <c r="N958" t="s">
        <v>278</v>
      </c>
    </row>
    <row r="959" spans="1:14" x14ac:dyDescent="0.3">
      <c r="A959" t="s">
        <v>272</v>
      </c>
      <c r="B959" t="s">
        <v>273</v>
      </c>
      <c r="C959">
        <v>150</v>
      </c>
      <c r="D959" t="s">
        <v>87</v>
      </c>
      <c r="E959">
        <v>645</v>
      </c>
      <c r="F959" t="s">
        <v>274</v>
      </c>
      <c r="G959" t="s">
        <v>290</v>
      </c>
      <c r="H959" t="s">
        <v>37</v>
      </c>
      <c r="I959">
        <v>2019</v>
      </c>
      <c r="J959">
        <v>2019</v>
      </c>
      <c r="K959" t="s">
        <v>276</v>
      </c>
      <c r="L959">
        <v>195.82</v>
      </c>
      <c r="M959" t="s">
        <v>277</v>
      </c>
      <c r="N959" t="s">
        <v>278</v>
      </c>
    </row>
    <row r="960" spans="1:14" x14ac:dyDescent="0.3">
      <c r="A960" t="s">
        <v>272</v>
      </c>
      <c r="B960" t="s">
        <v>273</v>
      </c>
      <c r="C960">
        <v>150</v>
      </c>
      <c r="D960" t="s">
        <v>87</v>
      </c>
      <c r="E960">
        <v>645</v>
      </c>
      <c r="F960" t="s">
        <v>274</v>
      </c>
      <c r="G960" t="s">
        <v>290</v>
      </c>
      <c r="H960" t="s">
        <v>37</v>
      </c>
      <c r="I960">
        <v>2020</v>
      </c>
      <c r="J960">
        <v>2020</v>
      </c>
      <c r="K960" t="s">
        <v>276</v>
      </c>
      <c r="L960">
        <v>197.63</v>
      </c>
      <c r="M960" t="s">
        <v>277</v>
      </c>
      <c r="N960" t="s">
        <v>278</v>
      </c>
    </row>
    <row r="961" spans="1:14" x14ac:dyDescent="0.3">
      <c r="A961" t="s">
        <v>272</v>
      </c>
      <c r="B961" t="s">
        <v>273</v>
      </c>
      <c r="C961">
        <v>150</v>
      </c>
      <c r="D961" t="s">
        <v>87</v>
      </c>
      <c r="E961">
        <v>645</v>
      </c>
      <c r="F961" t="s">
        <v>274</v>
      </c>
      <c r="G961" t="s">
        <v>290</v>
      </c>
      <c r="H961" t="s">
        <v>37</v>
      </c>
      <c r="I961">
        <v>2021</v>
      </c>
      <c r="J961">
        <v>2021</v>
      </c>
      <c r="K961" t="s">
        <v>276</v>
      </c>
      <c r="L961">
        <v>200.92</v>
      </c>
      <c r="M961" t="s">
        <v>277</v>
      </c>
      <c r="N961" t="s">
        <v>278</v>
      </c>
    </row>
    <row r="962" spans="1:14" x14ac:dyDescent="0.3">
      <c r="A962" t="s">
        <v>272</v>
      </c>
      <c r="B962" t="s">
        <v>273</v>
      </c>
      <c r="C962">
        <v>150</v>
      </c>
      <c r="D962" t="s">
        <v>87</v>
      </c>
      <c r="E962">
        <v>645</v>
      </c>
      <c r="F962" t="s">
        <v>274</v>
      </c>
      <c r="G962" t="s">
        <v>291</v>
      </c>
      <c r="H962" t="s">
        <v>34</v>
      </c>
      <c r="I962">
        <v>2017</v>
      </c>
      <c r="J962">
        <v>2017</v>
      </c>
      <c r="K962" t="s">
        <v>276</v>
      </c>
      <c r="L962">
        <v>3.93</v>
      </c>
      <c r="M962" t="s">
        <v>277</v>
      </c>
      <c r="N962" t="s">
        <v>278</v>
      </c>
    </row>
    <row r="963" spans="1:14" x14ac:dyDescent="0.3">
      <c r="A963" t="s">
        <v>272</v>
      </c>
      <c r="B963" t="s">
        <v>273</v>
      </c>
      <c r="C963">
        <v>150</v>
      </c>
      <c r="D963" t="s">
        <v>87</v>
      </c>
      <c r="E963">
        <v>645</v>
      </c>
      <c r="F963" t="s">
        <v>274</v>
      </c>
      <c r="G963" t="s">
        <v>291</v>
      </c>
      <c r="H963" t="s">
        <v>34</v>
      </c>
      <c r="I963">
        <v>2018</v>
      </c>
      <c r="J963">
        <v>2018</v>
      </c>
      <c r="K963" t="s">
        <v>276</v>
      </c>
      <c r="L963">
        <v>4.17</v>
      </c>
      <c r="M963" t="s">
        <v>277</v>
      </c>
      <c r="N963" t="s">
        <v>278</v>
      </c>
    </row>
    <row r="964" spans="1:14" x14ac:dyDescent="0.3">
      <c r="A964" t="s">
        <v>272</v>
      </c>
      <c r="B964" t="s">
        <v>273</v>
      </c>
      <c r="C964">
        <v>150</v>
      </c>
      <c r="D964" t="s">
        <v>87</v>
      </c>
      <c r="E964">
        <v>645</v>
      </c>
      <c r="F964" t="s">
        <v>274</v>
      </c>
      <c r="G964" t="s">
        <v>291</v>
      </c>
      <c r="H964" t="s">
        <v>34</v>
      </c>
      <c r="I964">
        <v>2019</v>
      </c>
      <c r="J964">
        <v>2019</v>
      </c>
      <c r="K964" t="s">
        <v>276</v>
      </c>
      <c r="L964">
        <v>4.18</v>
      </c>
      <c r="M964" t="s">
        <v>277</v>
      </c>
      <c r="N964" t="s">
        <v>278</v>
      </c>
    </row>
    <row r="965" spans="1:14" x14ac:dyDescent="0.3">
      <c r="A965" t="s">
        <v>272</v>
      </c>
      <c r="B965" t="s">
        <v>273</v>
      </c>
      <c r="C965">
        <v>150</v>
      </c>
      <c r="D965" t="s">
        <v>87</v>
      </c>
      <c r="E965">
        <v>645</v>
      </c>
      <c r="F965" t="s">
        <v>274</v>
      </c>
      <c r="G965" t="s">
        <v>291</v>
      </c>
      <c r="H965" t="s">
        <v>34</v>
      </c>
      <c r="I965">
        <v>2020</v>
      </c>
      <c r="J965">
        <v>2020</v>
      </c>
      <c r="K965" t="s">
        <v>276</v>
      </c>
      <c r="L965">
        <v>4.18</v>
      </c>
      <c r="M965" t="s">
        <v>277</v>
      </c>
      <c r="N965" t="s">
        <v>278</v>
      </c>
    </row>
    <row r="966" spans="1:14" x14ac:dyDescent="0.3">
      <c r="A966" t="s">
        <v>272</v>
      </c>
      <c r="B966" t="s">
        <v>273</v>
      </c>
      <c r="C966">
        <v>150</v>
      </c>
      <c r="D966" t="s">
        <v>87</v>
      </c>
      <c r="E966">
        <v>645</v>
      </c>
      <c r="F966" t="s">
        <v>274</v>
      </c>
      <c r="G966" t="s">
        <v>291</v>
      </c>
      <c r="H966" t="s">
        <v>34</v>
      </c>
      <c r="I966">
        <v>2021</v>
      </c>
      <c r="J966">
        <v>2021</v>
      </c>
      <c r="K966" t="s">
        <v>276</v>
      </c>
      <c r="L966">
        <v>4.1900000000000004</v>
      </c>
      <c r="M966" t="s">
        <v>277</v>
      </c>
      <c r="N966" t="s">
        <v>278</v>
      </c>
    </row>
    <row r="967" spans="1:14" x14ac:dyDescent="0.3">
      <c r="A967" t="s">
        <v>272</v>
      </c>
      <c r="B967" t="s">
        <v>273</v>
      </c>
      <c r="C967">
        <v>150</v>
      </c>
      <c r="D967" t="s">
        <v>87</v>
      </c>
      <c r="E967">
        <v>645</v>
      </c>
      <c r="F967" t="s">
        <v>274</v>
      </c>
      <c r="G967" t="s">
        <v>292</v>
      </c>
      <c r="H967" t="s">
        <v>29</v>
      </c>
      <c r="I967">
        <v>2017</v>
      </c>
      <c r="J967">
        <v>2017</v>
      </c>
      <c r="K967" t="s">
        <v>276</v>
      </c>
      <c r="L967">
        <v>7.22</v>
      </c>
      <c r="M967" t="s">
        <v>277</v>
      </c>
      <c r="N967" t="s">
        <v>278</v>
      </c>
    </row>
    <row r="968" spans="1:14" x14ac:dyDescent="0.3">
      <c r="A968" t="s">
        <v>272</v>
      </c>
      <c r="B968" t="s">
        <v>273</v>
      </c>
      <c r="C968">
        <v>150</v>
      </c>
      <c r="D968" t="s">
        <v>87</v>
      </c>
      <c r="E968">
        <v>645</v>
      </c>
      <c r="F968" t="s">
        <v>274</v>
      </c>
      <c r="G968" t="s">
        <v>292</v>
      </c>
      <c r="H968" t="s">
        <v>29</v>
      </c>
      <c r="I968">
        <v>2018</v>
      </c>
      <c r="J968">
        <v>2018</v>
      </c>
      <c r="K968" t="s">
        <v>276</v>
      </c>
      <c r="L968">
        <v>7.21</v>
      </c>
      <c r="M968" t="s">
        <v>277</v>
      </c>
      <c r="N968" t="s">
        <v>278</v>
      </c>
    </row>
    <row r="969" spans="1:14" x14ac:dyDescent="0.3">
      <c r="A969" t="s">
        <v>272</v>
      </c>
      <c r="B969" t="s">
        <v>273</v>
      </c>
      <c r="C969">
        <v>150</v>
      </c>
      <c r="D969" t="s">
        <v>87</v>
      </c>
      <c r="E969">
        <v>645</v>
      </c>
      <c r="F969" t="s">
        <v>274</v>
      </c>
      <c r="G969" t="s">
        <v>292</v>
      </c>
      <c r="H969" t="s">
        <v>29</v>
      </c>
      <c r="I969">
        <v>2019</v>
      </c>
      <c r="J969">
        <v>2019</v>
      </c>
      <c r="K969" t="s">
        <v>276</v>
      </c>
      <c r="L969">
        <v>7.2</v>
      </c>
      <c r="M969" t="s">
        <v>277</v>
      </c>
      <c r="N969" t="s">
        <v>278</v>
      </c>
    </row>
    <row r="970" spans="1:14" x14ac:dyDescent="0.3">
      <c r="A970" t="s">
        <v>272</v>
      </c>
      <c r="B970" t="s">
        <v>273</v>
      </c>
      <c r="C970">
        <v>150</v>
      </c>
      <c r="D970" t="s">
        <v>87</v>
      </c>
      <c r="E970">
        <v>645</v>
      </c>
      <c r="F970" t="s">
        <v>274</v>
      </c>
      <c r="G970" t="s">
        <v>292</v>
      </c>
      <c r="H970" t="s">
        <v>29</v>
      </c>
      <c r="I970">
        <v>2020</v>
      </c>
      <c r="J970">
        <v>2020</v>
      </c>
      <c r="K970" t="s">
        <v>276</v>
      </c>
      <c r="L970">
        <v>7.2</v>
      </c>
      <c r="M970" t="s">
        <v>277</v>
      </c>
      <c r="N970" t="s">
        <v>278</v>
      </c>
    </row>
    <row r="971" spans="1:14" x14ac:dyDescent="0.3">
      <c r="A971" t="s">
        <v>272</v>
      </c>
      <c r="B971" t="s">
        <v>273</v>
      </c>
      <c r="C971">
        <v>150</v>
      </c>
      <c r="D971" t="s">
        <v>87</v>
      </c>
      <c r="E971">
        <v>645</v>
      </c>
      <c r="F971" t="s">
        <v>274</v>
      </c>
      <c r="G971" t="s">
        <v>292</v>
      </c>
      <c r="H971" t="s">
        <v>29</v>
      </c>
      <c r="I971">
        <v>2021</v>
      </c>
      <c r="J971">
        <v>2021</v>
      </c>
      <c r="K971" t="s">
        <v>276</v>
      </c>
      <c r="L971">
        <v>7.21</v>
      </c>
      <c r="M971" t="s">
        <v>277</v>
      </c>
      <c r="N971" t="s">
        <v>278</v>
      </c>
    </row>
    <row r="972" spans="1:14" x14ac:dyDescent="0.3">
      <c r="A972" t="s">
        <v>272</v>
      </c>
      <c r="B972" t="s">
        <v>273</v>
      </c>
      <c r="C972">
        <v>150</v>
      </c>
      <c r="D972" t="s">
        <v>87</v>
      </c>
      <c r="E972">
        <v>645</v>
      </c>
      <c r="F972" t="s">
        <v>274</v>
      </c>
      <c r="G972" t="s">
        <v>293</v>
      </c>
      <c r="H972" t="s">
        <v>41</v>
      </c>
      <c r="I972">
        <v>2017</v>
      </c>
      <c r="J972">
        <v>2017</v>
      </c>
      <c r="K972" t="s">
        <v>276</v>
      </c>
      <c r="L972">
        <v>5.4</v>
      </c>
      <c r="M972" t="s">
        <v>277</v>
      </c>
      <c r="N972" t="s">
        <v>278</v>
      </c>
    </row>
    <row r="973" spans="1:14" x14ac:dyDescent="0.3">
      <c r="A973" t="s">
        <v>272</v>
      </c>
      <c r="B973" t="s">
        <v>273</v>
      </c>
      <c r="C973">
        <v>150</v>
      </c>
      <c r="D973" t="s">
        <v>87</v>
      </c>
      <c r="E973">
        <v>645</v>
      </c>
      <c r="F973" t="s">
        <v>274</v>
      </c>
      <c r="G973" t="s">
        <v>293</v>
      </c>
      <c r="H973" t="s">
        <v>41</v>
      </c>
      <c r="I973">
        <v>2018</v>
      </c>
      <c r="J973">
        <v>2018</v>
      </c>
      <c r="K973" t="s">
        <v>276</v>
      </c>
      <c r="L973">
        <v>5.23</v>
      </c>
      <c r="M973" t="s">
        <v>277</v>
      </c>
      <c r="N973" t="s">
        <v>278</v>
      </c>
    </row>
    <row r="974" spans="1:14" x14ac:dyDescent="0.3">
      <c r="A974" t="s">
        <v>272</v>
      </c>
      <c r="B974" t="s">
        <v>273</v>
      </c>
      <c r="C974">
        <v>150</v>
      </c>
      <c r="D974" t="s">
        <v>87</v>
      </c>
      <c r="E974">
        <v>645</v>
      </c>
      <c r="F974" t="s">
        <v>274</v>
      </c>
      <c r="G974" t="s">
        <v>293</v>
      </c>
      <c r="H974" t="s">
        <v>41</v>
      </c>
      <c r="I974">
        <v>2019</v>
      </c>
      <c r="J974">
        <v>2019</v>
      </c>
      <c r="K974" t="s">
        <v>276</v>
      </c>
      <c r="L974">
        <v>5.34</v>
      </c>
      <c r="M974" t="s">
        <v>277</v>
      </c>
      <c r="N974" t="s">
        <v>278</v>
      </c>
    </row>
    <row r="975" spans="1:14" x14ac:dyDescent="0.3">
      <c r="A975" t="s">
        <v>272</v>
      </c>
      <c r="B975" t="s">
        <v>273</v>
      </c>
      <c r="C975">
        <v>150</v>
      </c>
      <c r="D975" t="s">
        <v>87</v>
      </c>
      <c r="E975">
        <v>645</v>
      </c>
      <c r="F975" t="s">
        <v>274</v>
      </c>
      <c r="G975" t="s">
        <v>293</v>
      </c>
      <c r="H975" t="s">
        <v>41</v>
      </c>
      <c r="I975">
        <v>2020</v>
      </c>
      <c r="J975">
        <v>2020</v>
      </c>
      <c r="K975" t="s">
        <v>276</v>
      </c>
      <c r="L975">
        <v>5.34</v>
      </c>
      <c r="M975" t="s">
        <v>277</v>
      </c>
      <c r="N975" t="s">
        <v>278</v>
      </c>
    </row>
    <row r="976" spans="1:14" x14ac:dyDescent="0.3">
      <c r="A976" t="s">
        <v>272</v>
      </c>
      <c r="B976" t="s">
        <v>273</v>
      </c>
      <c r="C976">
        <v>150</v>
      </c>
      <c r="D976" t="s">
        <v>87</v>
      </c>
      <c r="E976">
        <v>645</v>
      </c>
      <c r="F976" t="s">
        <v>274</v>
      </c>
      <c r="G976" t="s">
        <v>293</v>
      </c>
      <c r="H976" t="s">
        <v>41</v>
      </c>
      <c r="I976">
        <v>2021</v>
      </c>
      <c r="J976">
        <v>2021</v>
      </c>
      <c r="K976" t="s">
        <v>276</v>
      </c>
      <c r="L976">
        <v>5.35</v>
      </c>
      <c r="M976" t="s">
        <v>277</v>
      </c>
      <c r="N976" t="s">
        <v>278</v>
      </c>
    </row>
    <row r="977" spans="1:14" x14ac:dyDescent="0.3">
      <c r="A977" t="s">
        <v>272</v>
      </c>
      <c r="B977" t="s">
        <v>273</v>
      </c>
      <c r="C977">
        <v>150</v>
      </c>
      <c r="D977" t="s">
        <v>87</v>
      </c>
      <c r="E977">
        <v>645</v>
      </c>
      <c r="F977" t="s">
        <v>274</v>
      </c>
      <c r="G977" t="s">
        <v>294</v>
      </c>
      <c r="H977" t="s">
        <v>35</v>
      </c>
      <c r="I977">
        <v>2017</v>
      </c>
      <c r="J977">
        <v>2017</v>
      </c>
      <c r="K977" t="s">
        <v>276</v>
      </c>
      <c r="L977">
        <v>0.39</v>
      </c>
      <c r="M977" t="s">
        <v>277</v>
      </c>
      <c r="N977" t="s">
        <v>278</v>
      </c>
    </row>
    <row r="978" spans="1:14" x14ac:dyDescent="0.3">
      <c r="A978" t="s">
        <v>272</v>
      </c>
      <c r="B978" t="s">
        <v>273</v>
      </c>
      <c r="C978">
        <v>150</v>
      </c>
      <c r="D978" t="s">
        <v>87</v>
      </c>
      <c r="E978">
        <v>645</v>
      </c>
      <c r="F978" t="s">
        <v>274</v>
      </c>
      <c r="G978" t="s">
        <v>294</v>
      </c>
      <c r="H978" t="s">
        <v>35</v>
      </c>
      <c r="I978">
        <v>2018</v>
      </c>
      <c r="J978">
        <v>2018</v>
      </c>
      <c r="K978" t="s">
        <v>276</v>
      </c>
      <c r="L978">
        <v>0.39</v>
      </c>
      <c r="M978" t="s">
        <v>277</v>
      </c>
      <c r="N978" t="s">
        <v>278</v>
      </c>
    </row>
    <row r="979" spans="1:14" x14ac:dyDescent="0.3">
      <c r="A979" t="s">
        <v>272</v>
      </c>
      <c r="B979" t="s">
        <v>273</v>
      </c>
      <c r="C979">
        <v>150</v>
      </c>
      <c r="D979" t="s">
        <v>87</v>
      </c>
      <c r="E979">
        <v>645</v>
      </c>
      <c r="F979" t="s">
        <v>274</v>
      </c>
      <c r="G979" t="s">
        <v>294</v>
      </c>
      <c r="H979" t="s">
        <v>35</v>
      </c>
      <c r="I979">
        <v>2019</v>
      </c>
      <c r="J979">
        <v>2019</v>
      </c>
      <c r="K979" t="s">
        <v>276</v>
      </c>
      <c r="L979">
        <v>0.39</v>
      </c>
      <c r="M979" t="s">
        <v>277</v>
      </c>
      <c r="N979" t="s">
        <v>278</v>
      </c>
    </row>
    <row r="980" spans="1:14" x14ac:dyDescent="0.3">
      <c r="A980" t="s">
        <v>272</v>
      </c>
      <c r="B980" t="s">
        <v>273</v>
      </c>
      <c r="C980">
        <v>150</v>
      </c>
      <c r="D980" t="s">
        <v>87</v>
      </c>
      <c r="E980">
        <v>645</v>
      </c>
      <c r="F980" t="s">
        <v>274</v>
      </c>
      <c r="G980" t="s">
        <v>294</v>
      </c>
      <c r="H980" t="s">
        <v>35</v>
      </c>
      <c r="I980">
        <v>2020</v>
      </c>
      <c r="J980">
        <v>2020</v>
      </c>
      <c r="K980" t="s">
        <v>276</v>
      </c>
      <c r="L980">
        <v>0.39</v>
      </c>
      <c r="M980" t="s">
        <v>277</v>
      </c>
      <c r="N980" t="s">
        <v>278</v>
      </c>
    </row>
    <row r="981" spans="1:14" x14ac:dyDescent="0.3">
      <c r="A981" t="s">
        <v>272</v>
      </c>
      <c r="B981" t="s">
        <v>273</v>
      </c>
      <c r="C981">
        <v>150</v>
      </c>
      <c r="D981" t="s">
        <v>87</v>
      </c>
      <c r="E981">
        <v>645</v>
      </c>
      <c r="F981" t="s">
        <v>274</v>
      </c>
      <c r="G981" t="s">
        <v>294</v>
      </c>
      <c r="H981" t="s">
        <v>35</v>
      </c>
      <c r="I981">
        <v>2021</v>
      </c>
      <c r="J981">
        <v>2021</v>
      </c>
      <c r="K981" t="s">
        <v>276</v>
      </c>
      <c r="L981">
        <v>0.39</v>
      </c>
      <c r="M981" t="s">
        <v>277</v>
      </c>
      <c r="N981" t="s">
        <v>278</v>
      </c>
    </row>
    <row r="982" spans="1:14" x14ac:dyDescent="0.3">
      <c r="A982" t="s">
        <v>272</v>
      </c>
      <c r="B982" t="s">
        <v>273</v>
      </c>
      <c r="C982">
        <v>150</v>
      </c>
      <c r="D982" t="s">
        <v>87</v>
      </c>
      <c r="E982">
        <v>645</v>
      </c>
      <c r="F982" t="s">
        <v>274</v>
      </c>
      <c r="G982" t="s">
        <v>295</v>
      </c>
      <c r="H982" t="s">
        <v>28</v>
      </c>
      <c r="I982">
        <v>2017</v>
      </c>
      <c r="J982">
        <v>2017</v>
      </c>
      <c r="K982" t="s">
        <v>276</v>
      </c>
      <c r="L982">
        <v>1.78</v>
      </c>
      <c r="M982" t="s">
        <v>277</v>
      </c>
      <c r="N982" t="s">
        <v>278</v>
      </c>
    </row>
    <row r="983" spans="1:14" x14ac:dyDescent="0.3">
      <c r="A983" t="s">
        <v>272</v>
      </c>
      <c r="B983" t="s">
        <v>273</v>
      </c>
      <c r="C983">
        <v>150</v>
      </c>
      <c r="D983" t="s">
        <v>87</v>
      </c>
      <c r="E983">
        <v>645</v>
      </c>
      <c r="F983" t="s">
        <v>274</v>
      </c>
      <c r="G983" t="s">
        <v>295</v>
      </c>
      <c r="H983" t="s">
        <v>28</v>
      </c>
      <c r="I983">
        <v>2018</v>
      </c>
      <c r="J983">
        <v>2018</v>
      </c>
      <c r="K983" t="s">
        <v>276</v>
      </c>
      <c r="L983">
        <v>1.78</v>
      </c>
      <c r="M983" t="s">
        <v>277</v>
      </c>
      <c r="N983" t="s">
        <v>278</v>
      </c>
    </row>
    <row r="984" spans="1:14" x14ac:dyDescent="0.3">
      <c r="A984" t="s">
        <v>272</v>
      </c>
      <c r="B984" t="s">
        <v>273</v>
      </c>
      <c r="C984">
        <v>150</v>
      </c>
      <c r="D984" t="s">
        <v>87</v>
      </c>
      <c r="E984">
        <v>645</v>
      </c>
      <c r="F984" t="s">
        <v>274</v>
      </c>
      <c r="G984" t="s">
        <v>295</v>
      </c>
      <c r="H984" t="s">
        <v>28</v>
      </c>
      <c r="I984">
        <v>2019</v>
      </c>
      <c r="J984">
        <v>2019</v>
      </c>
      <c r="K984" t="s">
        <v>276</v>
      </c>
      <c r="L984">
        <v>1.81</v>
      </c>
      <c r="M984" t="s">
        <v>277</v>
      </c>
      <c r="N984" t="s">
        <v>278</v>
      </c>
    </row>
    <row r="985" spans="1:14" x14ac:dyDescent="0.3">
      <c r="A985" t="s">
        <v>272</v>
      </c>
      <c r="B985" t="s">
        <v>273</v>
      </c>
      <c r="C985">
        <v>150</v>
      </c>
      <c r="D985" t="s">
        <v>87</v>
      </c>
      <c r="E985">
        <v>645</v>
      </c>
      <c r="F985" t="s">
        <v>274</v>
      </c>
      <c r="G985" t="s">
        <v>295</v>
      </c>
      <c r="H985" t="s">
        <v>28</v>
      </c>
      <c r="I985">
        <v>2020</v>
      </c>
      <c r="J985">
        <v>2020</v>
      </c>
      <c r="K985" t="s">
        <v>276</v>
      </c>
      <c r="L985">
        <v>1.81</v>
      </c>
      <c r="M985" t="s">
        <v>277</v>
      </c>
      <c r="N985" t="s">
        <v>278</v>
      </c>
    </row>
    <row r="986" spans="1:14" x14ac:dyDescent="0.3">
      <c r="A986" t="s">
        <v>272</v>
      </c>
      <c r="B986" t="s">
        <v>273</v>
      </c>
      <c r="C986">
        <v>150</v>
      </c>
      <c r="D986" t="s">
        <v>87</v>
      </c>
      <c r="E986">
        <v>645</v>
      </c>
      <c r="F986" t="s">
        <v>274</v>
      </c>
      <c r="G986" t="s">
        <v>295</v>
      </c>
      <c r="H986" t="s">
        <v>28</v>
      </c>
      <c r="I986">
        <v>2021</v>
      </c>
      <c r="J986">
        <v>2021</v>
      </c>
      <c r="K986" t="s">
        <v>276</v>
      </c>
      <c r="L986">
        <v>1.81</v>
      </c>
      <c r="M986" t="s">
        <v>277</v>
      </c>
      <c r="N986" t="s">
        <v>278</v>
      </c>
    </row>
    <row r="987" spans="1:14" x14ac:dyDescent="0.3">
      <c r="A987" t="s">
        <v>272</v>
      </c>
      <c r="B987" t="s">
        <v>273</v>
      </c>
      <c r="C987">
        <v>150</v>
      </c>
      <c r="D987" t="s">
        <v>87</v>
      </c>
      <c r="E987">
        <v>645</v>
      </c>
      <c r="F987" t="s">
        <v>274</v>
      </c>
      <c r="G987" t="s">
        <v>296</v>
      </c>
      <c r="H987" t="s">
        <v>26</v>
      </c>
      <c r="I987">
        <v>2017</v>
      </c>
      <c r="J987">
        <v>2017</v>
      </c>
      <c r="K987" t="s">
        <v>276</v>
      </c>
      <c r="L987">
        <v>0.9</v>
      </c>
      <c r="M987" t="s">
        <v>277</v>
      </c>
      <c r="N987" t="s">
        <v>278</v>
      </c>
    </row>
    <row r="988" spans="1:14" x14ac:dyDescent="0.3">
      <c r="A988" t="s">
        <v>272</v>
      </c>
      <c r="B988" t="s">
        <v>273</v>
      </c>
      <c r="C988">
        <v>150</v>
      </c>
      <c r="D988" t="s">
        <v>87</v>
      </c>
      <c r="E988">
        <v>645</v>
      </c>
      <c r="F988" t="s">
        <v>274</v>
      </c>
      <c r="G988" t="s">
        <v>296</v>
      </c>
      <c r="H988" t="s">
        <v>26</v>
      </c>
      <c r="I988">
        <v>2018</v>
      </c>
      <c r="J988">
        <v>2018</v>
      </c>
      <c r="K988" t="s">
        <v>276</v>
      </c>
      <c r="L988">
        <v>1.01</v>
      </c>
      <c r="M988" t="s">
        <v>277</v>
      </c>
      <c r="N988" t="s">
        <v>278</v>
      </c>
    </row>
    <row r="989" spans="1:14" x14ac:dyDescent="0.3">
      <c r="A989" t="s">
        <v>272</v>
      </c>
      <c r="B989" t="s">
        <v>273</v>
      </c>
      <c r="C989">
        <v>150</v>
      </c>
      <c r="D989" t="s">
        <v>87</v>
      </c>
      <c r="E989">
        <v>645</v>
      </c>
      <c r="F989" t="s">
        <v>274</v>
      </c>
      <c r="G989" t="s">
        <v>296</v>
      </c>
      <c r="H989" t="s">
        <v>26</v>
      </c>
      <c r="I989">
        <v>2019</v>
      </c>
      <c r="J989">
        <v>2019</v>
      </c>
      <c r="K989" t="s">
        <v>276</v>
      </c>
      <c r="L989">
        <v>0.94</v>
      </c>
      <c r="M989" t="s">
        <v>277</v>
      </c>
      <c r="N989" t="s">
        <v>278</v>
      </c>
    </row>
    <row r="990" spans="1:14" x14ac:dyDescent="0.3">
      <c r="A990" t="s">
        <v>272</v>
      </c>
      <c r="B990" t="s">
        <v>273</v>
      </c>
      <c r="C990">
        <v>150</v>
      </c>
      <c r="D990" t="s">
        <v>87</v>
      </c>
      <c r="E990">
        <v>645</v>
      </c>
      <c r="F990" t="s">
        <v>274</v>
      </c>
      <c r="G990" t="s">
        <v>296</v>
      </c>
      <c r="H990" t="s">
        <v>26</v>
      </c>
      <c r="I990">
        <v>2020</v>
      </c>
      <c r="J990">
        <v>2020</v>
      </c>
      <c r="K990" t="s">
        <v>276</v>
      </c>
      <c r="L990">
        <v>0.94</v>
      </c>
      <c r="M990" t="s">
        <v>277</v>
      </c>
      <c r="N990" t="s">
        <v>278</v>
      </c>
    </row>
    <row r="991" spans="1:14" x14ac:dyDescent="0.3">
      <c r="A991" t="s">
        <v>272</v>
      </c>
      <c r="B991" t="s">
        <v>273</v>
      </c>
      <c r="C991">
        <v>150</v>
      </c>
      <c r="D991" t="s">
        <v>87</v>
      </c>
      <c r="E991">
        <v>645</v>
      </c>
      <c r="F991" t="s">
        <v>274</v>
      </c>
      <c r="G991" t="s">
        <v>296</v>
      </c>
      <c r="H991" t="s">
        <v>26</v>
      </c>
      <c r="I991">
        <v>2021</v>
      </c>
      <c r="J991">
        <v>2021</v>
      </c>
      <c r="K991" t="s">
        <v>276</v>
      </c>
      <c r="L991">
        <v>0.94</v>
      </c>
      <c r="M991" t="s">
        <v>277</v>
      </c>
      <c r="N991" t="s">
        <v>278</v>
      </c>
    </row>
    <row r="992" spans="1:14" x14ac:dyDescent="0.3">
      <c r="A992" t="s">
        <v>272</v>
      </c>
      <c r="B992" t="s">
        <v>273</v>
      </c>
      <c r="C992">
        <v>150</v>
      </c>
      <c r="D992" t="s">
        <v>87</v>
      </c>
      <c r="E992">
        <v>645</v>
      </c>
      <c r="F992" t="s">
        <v>274</v>
      </c>
      <c r="G992" t="s">
        <v>297</v>
      </c>
      <c r="H992" t="s">
        <v>38</v>
      </c>
      <c r="I992">
        <v>2017</v>
      </c>
      <c r="J992">
        <v>2017</v>
      </c>
      <c r="K992" t="s">
        <v>276</v>
      </c>
      <c r="L992">
        <v>1.97</v>
      </c>
      <c r="M992" t="s">
        <v>277</v>
      </c>
      <c r="N992" t="s">
        <v>278</v>
      </c>
    </row>
    <row r="993" spans="1:14" x14ac:dyDescent="0.3">
      <c r="A993" t="s">
        <v>272</v>
      </c>
      <c r="B993" t="s">
        <v>273</v>
      </c>
      <c r="C993">
        <v>150</v>
      </c>
      <c r="D993" t="s">
        <v>87</v>
      </c>
      <c r="E993">
        <v>645</v>
      </c>
      <c r="F993" t="s">
        <v>274</v>
      </c>
      <c r="G993" t="s">
        <v>297</v>
      </c>
      <c r="H993" t="s">
        <v>38</v>
      </c>
      <c r="I993">
        <v>2018</v>
      </c>
      <c r="J993">
        <v>2018</v>
      </c>
      <c r="K993" t="s">
        <v>276</v>
      </c>
      <c r="L993">
        <v>1.9</v>
      </c>
      <c r="M993" t="s">
        <v>277</v>
      </c>
      <c r="N993" t="s">
        <v>278</v>
      </c>
    </row>
    <row r="994" spans="1:14" x14ac:dyDescent="0.3">
      <c r="A994" t="s">
        <v>272</v>
      </c>
      <c r="B994" t="s">
        <v>273</v>
      </c>
      <c r="C994">
        <v>150</v>
      </c>
      <c r="D994" t="s">
        <v>87</v>
      </c>
      <c r="E994">
        <v>645</v>
      </c>
      <c r="F994" t="s">
        <v>274</v>
      </c>
      <c r="G994" t="s">
        <v>297</v>
      </c>
      <c r="H994" t="s">
        <v>38</v>
      </c>
      <c r="I994">
        <v>2019</v>
      </c>
      <c r="J994">
        <v>2019</v>
      </c>
      <c r="K994" t="s">
        <v>276</v>
      </c>
      <c r="L994">
        <v>1.8</v>
      </c>
      <c r="M994" t="s">
        <v>277</v>
      </c>
      <c r="N994" t="s">
        <v>278</v>
      </c>
    </row>
    <row r="995" spans="1:14" x14ac:dyDescent="0.3">
      <c r="A995" t="s">
        <v>272</v>
      </c>
      <c r="B995" t="s">
        <v>273</v>
      </c>
      <c r="C995">
        <v>150</v>
      </c>
      <c r="D995" t="s">
        <v>87</v>
      </c>
      <c r="E995">
        <v>645</v>
      </c>
      <c r="F995" t="s">
        <v>274</v>
      </c>
      <c r="G995" t="s">
        <v>297</v>
      </c>
      <c r="H995" t="s">
        <v>38</v>
      </c>
      <c r="I995">
        <v>2020</v>
      </c>
      <c r="J995">
        <v>2020</v>
      </c>
      <c r="K995" t="s">
        <v>276</v>
      </c>
      <c r="L995">
        <v>1.8</v>
      </c>
      <c r="M995" t="s">
        <v>277</v>
      </c>
      <c r="N995" t="s">
        <v>278</v>
      </c>
    </row>
    <row r="996" spans="1:14" x14ac:dyDescent="0.3">
      <c r="A996" t="s">
        <v>272</v>
      </c>
      <c r="B996" t="s">
        <v>273</v>
      </c>
      <c r="C996">
        <v>150</v>
      </c>
      <c r="D996" t="s">
        <v>87</v>
      </c>
      <c r="E996">
        <v>645</v>
      </c>
      <c r="F996" t="s">
        <v>274</v>
      </c>
      <c r="G996" t="s">
        <v>297</v>
      </c>
      <c r="H996" t="s">
        <v>38</v>
      </c>
      <c r="I996">
        <v>2021</v>
      </c>
      <c r="J996">
        <v>2021</v>
      </c>
      <c r="K996" t="s">
        <v>276</v>
      </c>
      <c r="L996">
        <v>1.8</v>
      </c>
      <c r="M996" t="s">
        <v>277</v>
      </c>
      <c r="N996" t="s">
        <v>278</v>
      </c>
    </row>
    <row r="997" spans="1:14" x14ac:dyDescent="0.3">
      <c r="A997" t="s">
        <v>272</v>
      </c>
      <c r="B997" t="s">
        <v>273</v>
      </c>
      <c r="C997">
        <v>150</v>
      </c>
      <c r="D997" t="s">
        <v>87</v>
      </c>
      <c r="E997">
        <v>645</v>
      </c>
      <c r="F997" t="s">
        <v>274</v>
      </c>
      <c r="G997" t="s">
        <v>298</v>
      </c>
      <c r="H997" t="s">
        <v>23</v>
      </c>
      <c r="I997">
        <v>2017</v>
      </c>
      <c r="J997">
        <v>2017</v>
      </c>
      <c r="K997" t="s">
        <v>276</v>
      </c>
      <c r="L997">
        <v>0.02</v>
      </c>
      <c r="M997" t="s">
        <v>277</v>
      </c>
      <c r="N997" t="s">
        <v>278</v>
      </c>
    </row>
    <row r="998" spans="1:14" x14ac:dyDescent="0.3">
      <c r="A998" t="s">
        <v>272</v>
      </c>
      <c r="B998" t="s">
        <v>273</v>
      </c>
      <c r="C998">
        <v>150</v>
      </c>
      <c r="D998" t="s">
        <v>87</v>
      </c>
      <c r="E998">
        <v>645</v>
      </c>
      <c r="F998" t="s">
        <v>274</v>
      </c>
      <c r="G998" t="s">
        <v>298</v>
      </c>
      <c r="H998" t="s">
        <v>23</v>
      </c>
      <c r="I998">
        <v>2018</v>
      </c>
      <c r="J998">
        <v>2018</v>
      </c>
      <c r="K998" t="s">
        <v>276</v>
      </c>
      <c r="L998">
        <v>0.02</v>
      </c>
      <c r="M998" t="s">
        <v>277</v>
      </c>
      <c r="N998" t="s">
        <v>278</v>
      </c>
    </row>
    <row r="999" spans="1:14" x14ac:dyDescent="0.3">
      <c r="A999" t="s">
        <v>272</v>
      </c>
      <c r="B999" t="s">
        <v>273</v>
      </c>
      <c r="C999">
        <v>150</v>
      </c>
      <c r="D999" t="s">
        <v>87</v>
      </c>
      <c r="E999">
        <v>645</v>
      </c>
      <c r="F999" t="s">
        <v>274</v>
      </c>
      <c r="G999" t="s">
        <v>298</v>
      </c>
      <c r="H999" t="s">
        <v>23</v>
      </c>
      <c r="I999">
        <v>2019</v>
      </c>
      <c r="J999">
        <v>2019</v>
      </c>
      <c r="K999" t="s">
        <v>276</v>
      </c>
      <c r="L999">
        <v>0.03</v>
      </c>
      <c r="M999" t="s">
        <v>277</v>
      </c>
      <c r="N999" t="s">
        <v>278</v>
      </c>
    </row>
    <row r="1000" spans="1:14" x14ac:dyDescent="0.3">
      <c r="A1000" t="s">
        <v>272</v>
      </c>
      <c r="B1000" t="s">
        <v>273</v>
      </c>
      <c r="C1000">
        <v>150</v>
      </c>
      <c r="D1000" t="s">
        <v>87</v>
      </c>
      <c r="E1000">
        <v>645</v>
      </c>
      <c r="F1000" t="s">
        <v>274</v>
      </c>
      <c r="G1000" t="s">
        <v>298</v>
      </c>
      <c r="H1000" t="s">
        <v>23</v>
      </c>
      <c r="I1000">
        <v>2020</v>
      </c>
      <c r="J1000">
        <v>2020</v>
      </c>
      <c r="K1000" t="s">
        <v>276</v>
      </c>
      <c r="L1000">
        <v>0.03</v>
      </c>
      <c r="M1000" t="s">
        <v>277</v>
      </c>
      <c r="N1000" t="s">
        <v>278</v>
      </c>
    </row>
    <row r="1001" spans="1:14" x14ac:dyDescent="0.3">
      <c r="A1001" t="s">
        <v>272</v>
      </c>
      <c r="B1001" t="s">
        <v>273</v>
      </c>
      <c r="C1001">
        <v>150</v>
      </c>
      <c r="D1001" t="s">
        <v>87</v>
      </c>
      <c r="E1001">
        <v>645</v>
      </c>
      <c r="F1001" t="s">
        <v>274</v>
      </c>
      <c r="G1001" t="s">
        <v>298</v>
      </c>
      <c r="H1001" t="s">
        <v>23</v>
      </c>
      <c r="I1001">
        <v>2021</v>
      </c>
      <c r="J1001">
        <v>2021</v>
      </c>
      <c r="K1001" t="s">
        <v>276</v>
      </c>
      <c r="L1001">
        <v>0.03</v>
      </c>
      <c r="M1001" t="s">
        <v>277</v>
      </c>
      <c r="N1001" t="s">
        <v>278</v>
      </c>
    </row>
  </sheetData>
  <autoFilter ref="A1:N896" xr:uid="{00000000-0009-0000-0000-000007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AW and CC calc</vt:lpstr>
      <vt:lpstr>Summary consumption</vt:lpstr>
      <vt:lpstr>Footprints Ireland</vt:lpstr>
      <vt:lpstr>Footprints Italy</vt:lpstr>
      <vt:lpstr>Footprints Poland</vt:lpstr>
      <vt:lpstr>Footprints Utopia</vt:lpstr>
      <vt:lpstr>French diet survey</vt:lpstr>
      <vt:lpstr>Pivot</vt:lpstr>
      <vt:lpstr>FAOSTAT_data_en_3-15-2024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Elin Röös</dc:creator>
  <cp:keywords/>
  <dc:description/>
  <cp:lastModifiedBy>Elin Röös</cp:lastModifiedBy>
  <cp:revision/>
  <dcterms:created xsi:type="dcterms:W3CDTF">2024-03-15T17:55:52Z</dcterms:created>
  <dcterms:modified xsi:type="dcterms:W3CDTF">2024-07-13T17:07:47Z</dcterms:modified>
  <cp:category/>
  <cp:contentStatus/>
</cp:coreProperties>
</file>