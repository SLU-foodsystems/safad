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6 - Animal welfare/"/>
    </mc:Choice>
  </mc:AlternateContent>
  <xr:revisionPtr revIDLastSave="46" documentId="11_3FEEDBFA018B127D95DDB2A13D716605D17E3289" xr6:coauthVersionLast="47" xr6:coauthVersionMax="47" xr10:uidLastSave="{AECA6E17-F3AE-4BD7-A04F-C112A7CB1716}"/>
  <bookViews>
    <workbookView xWindow="-108" yWindow="-108" windowWidth="23256" windowHeight="12576" xr2:uid="{00000000-000D-0000-FFFF-FFFF00000000}"/>
  </bookViews>
  <sheets>
    <sheet name="a.b."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7" i="1" l="1"/>
  <c r="M65" i="1" l="1"/>
  <c r="K16" i="1" l="1"/>
  <c r="B51" i="1"/>
  <c r="B66" i="1"/>
  <c r="N65" i="1"/>
  <c r="Y75" i="1"/>
  <c r="F65" i="1"/>
  <c r="E65" i="1"/>
  <c r="D87" i="1"/>
  <c r="D88" i="1"/>
  <c r="D89" i="1"/>
  <c r="D90" i="1"/>
  <c r="D91" i="1"/>
  <c r="D92" i="1"/>
  <c r="D93" i="1"/>
  <c r="D94" i="1"/>
  <c r="D95" i="1"/>
  <c r="D96" i="1"/>
  <c r="D97" i="1"/>
  <c r="D98" i="1"/>
  <c r="D99" i="1"/>
  <c r="D86" i="1"/>
  <c r="D100" i="1" s="1"/>
  <c r="Y72" i="1"/>
  <c r="X70" i="1"/>
  <c r="C87" i="1"/>
  <c r="C88" i="1"/>
  <c r="C89" i="1"/>
  <c r="C90" i="1"/>
  <c r="C91" i="1"/>
  <c r="C92" i="1"/>
  <c r="C93" i="1"/>
  <c r="C94" i="1"/>
  <c r="C95" i="1"/>
  <c r="C96" i="1"/>
  <c r="C97" i="1"/>
  <c r="C98" i="1"/>
  <c r="C99" i="1"/>
  <c r="C86" i="1"/>
  <c r="C100" i="1" s="1"/>
  <c r="E87" i="1"/>
  <c r="E88" i="1"/>
  <c r="E89" i="1"/>
  <c r="E90" i="1"/>
  <c r="E91" i="1"/>
  <c r="E92" i="1"/>
  <c r="E93" i="1"/>
  <c r="E94" i="1"/>
  <c r="E95" i="1"/>
  <c r="E96" i="1"/>
  <c r="E97" i="1"/>
  <c r="E98" i="1"/>
  <c r="E99" i="1"/>
  <c r="E86" i="1"/>
  <c r="E100" i="1" s="1"/>
  <c r="P33" i="1" l="1"/>
  <c r="G33" i="1" s="1"/>
  <c r="P20" i="1"/>
  <c r="K20" i="1" s="1"/>
  <c r="I16" i="1"/>
  <c r="T16" i="1"/>
  <c r="S16" i="1"/>
  <c r="R16" i="1"/>
  <c r="Q16" i="1"/>
  <c r="P16" i="1"/>
  <c r="O16" i="1"/>
  <c r="N16" i="1"/>
  <c r="T3" i="1"/>
  <c r="S3" i="1"/>
  <c r="S4" i="1"/>
  <c r="R3" i="1"/>
  <c r="Q3" i="1"/>
  <c r="P3" i="1"/>
  <c r="O3" i="1"/>
  <c r="N3" i="1"/>
  <c r="I3" i="1"/>
  <c r="C20" i="1" l="1"/>
  <c r="U16" i="1"/>
  <c r="V16" i="1" s="1"/>
  <c r="C79" i="1" s="1"/>
  <c r="U3" i="1"/>
  <c r="V3" i="1" s="1"/>
  <c r="E20" i="1"/>
  <c r="G20" i="1"/>
  <c r="E33" i="1"/>
  <c r="M33" i="1"/>
  <c r="I33" i="1"/>
  <c r="C33" i="1"/>
  <c r="O33" i="1"/>
  <c r="K33" i="1"/>
  <c r="I20" i="1"/>
  <c r="O20" i="1"/>
  <c r="M20" i="1"/>
  <c r="B79" i="1"/>
  <c r="Y71" i="1"/>
  <c r="D79" i="1" l="1"/>
  <c r="J79" i="1"/>
  <c r="G79" i="1"/>
  <c r="L79" i="1"/>
  <c r="F79" i="1"/>
  <c r="H79" i="1"/>
  <c r="W3" i="1"/>
  <c r="C66" i="1"/>
  <c r="D66" i="1" s="1"/>
  <c r="J66" i="1" s="1"/>
  <c r="M79" i="1"/>
  <c r="I79" i="1"/>
  <c r="W16" i="1"/>
  <c r="N79" i="1" l="1"/>
  <c r="E79" i="1"/>
  <c r="K79" i="1"/>
  <c r="M66" i="1"/>
  <c r="L66" i="1"/>
  <c r="I66" i="1"/>
  <c r="K66" i="1"/>
  <c r="H66" i="1"/>
  <c r="E66" i="1"/>
  <c r="N66" i="1"/>
  <c r="G66" i="1"/>
  <c r="F66" i="1"/>
  <c r="T5" i="1"/>
  <c r="T6" i="1"/>
  <c r="T7" i="1"/>
  <c r="T8" i="1"/>
  <c r="T9" i="1"/>
  <c r="T10" i="1"/>
  <c r="T11" i="1"/>
  <c r="T12" i="1"/>
  <c r="T13" i="1"/>
  <c r="T14" i="1"/>
  <c r="T15" i="1"/>
  <c r="S5" i="1"/>
  <c r="S6" i="1"/>
  <c r="S7" i="1"/>
  <c r="S8" i="1"/>
  <c r="S9" i="1"/>
  <c r="S10" i="1"/>
  <c r="S11" i="1"/>
  <c r="S12" i="1"/>
  <c r="S13" i="1"/>
  <c r="S14" i="1"/>
  <c r="S15" i="1"/>
  <c r="R5" i="1"/>
  <c r="R6" i="1"/>
  <c r="R7" i="1"/>
  <c r="R8" i="1"/>
  <c r="R9" i="1"/>
  <c r="R10" i="1"/>
  <c r="R11" i="1"/>
  <c r="R12" i="1"/>
  <c r="R13" i="1"/>
  <c r="R14" i="1"/>
  <c r="R15" i="1"/>
  <c r="Q5" i="1"/>
  <c r="Q6" i="1"/>
  <c r="Q7" i="1"/>
  <c r="Q8" i="1"/>
  <c r="Q9" i="1"/>
  <c r="Q10" i="1"/>
  <c r="Q11" i="1"/>
  <c r="Q12" i="1"/>
  <c r="Q13" i="1"/>
  <c r="Q14" i="1"/>
  <c r="Q15" i="1"/>
  <c r="P5" i="1"/>
  <c r="P6" i="1"/>
  <c r="P7" i="1"/>
  <c r="P8" i="1"/>
  <c r="P9" i="1"/>
  <c r="P10" i="1"/>
  <c r="P11" i="1"/>
  <c r="P12" i="1"/>
  <c r="P13" i="1"/>
  <c r="P14" i="1"/>
  <c r="P15" i="1"/>
  <c r="O5" i="1"/>
  <c r="O6" i="1"/>
  <c r="O7" i="1"/>
  <c r="O8" i="1"/>
  <c r="O9" i="1"/>
  <c r="O10" i="1"/>
  <c r="O11" i="1"/>
  <c r="O12" i="1"/>
  <c r="O13" i="1"/>
  <c r="O14" i="1"/>
  <c r="O15" i="1"/>
  <c r="O4" i="1"/>
  <c r="P4" i="1"/>
  <c r="Q4" i="1"/>
  <c r="R4" i="1"/>
  <c r="T4" i="1"/>
  <c r="N5" i="1"/>
  <c r="N6" i="1"/>
  <c r="N7" i="1"/>
  <c r="N8" i="1"/>
  <c r="N9" i="1"/>
  <c r="N10" i="1"/>
  <c r="N11" i="1"/>
  <c r="N12" i="1"/>
  <c r="N13" i="1"/>
  <c r="N14" i="1"/>
  <c r="N15" i="1"/>
  <c r="N4" i="1"/>
  <c r="Q46" i="1"/>
  <c r="P45" i="1"/>
  <c r="I45" i="1" s="1"/>
  <c r="U11" i="1" l="1"/>
  <c r="U15" i="1"/>
  <c r="U7" i="1"/>
  <c r="R46" i="1"/>
  <c r="U5" i="1"/>
  <c r="U14" i="1"/>
  <c r="U6" i="1"/>
  <c r="U9" i="1"/>
  <c r="U13" i="1"/>
  <c r="U12" i="1"/>
  <c r="U4" i="1"/>
  <c r="U8" i="1"/>
  <c r="U10" i="1"/>
  <c r="K45" i="1"/>
  <c r="M45" i="1"/>
  <c r="O45" i="1"/>
  <c r="E45" i="1"/>
  <c r="C45" i="1"/>
  <c r="G45" i="1"/>
  <c r="Q40" i="1"/>
  <c r="Q44" i="1"/>
  <c r="L42" i="1" l="1"/>
  <c r="L51" i="1" s="1"/>
  <c r="D42" i="1"/>
  <c r="F41" i="1"/>
  <c r="B41" i="1"/>
  <c r="D39" i="1"/>
  <c r="F39" i="1"/>
  <c r="H39" i="1"/>
  <c r="H51" i="1" s="1"/>
  <c r="J39" i="1"/>
  <c r="J51" i="1" s="1"/>
  <c r="N39" i="1"/>
  <c r="N51" i="1" s="1"/>
  <c r="B39" i="1"/>
  <c r="P43" i="1"/>
  <c r="P37" i="1"/>
  <c r="P40" i="1"/>
  <c r="K40" i="1" s="1"/>
  <c r="P22" i="1"/>
  <c r="M22" i="1" s="1"/>
  <c r="P23" i="1"/>
  <c r="M23" i="1" s="1"/>
  <c r="P24" i="1"/>
  <c r="O24" i="1" s="1"/>
  <c r="P25" i="1"/>
  <c r="O25" i="1" s="1"/>
  <c r="P26" i="1"/>
  <c r="E26" i="1" s="1"/>
  <c r="P27" i="1"/>
  <c r="M27" i="1" s="1"/>
  <c r="P28" i="1"/>
  <c r="M28" i="1" s="1"/>
  <c r="P29" i="1"/>
  <c r="M29" i="1" s="1"/>
  <c r="P30" i="1"/>
  <c r="M30" i="1" s="1"/>
  <c r="P31" i="1"/>
  <c r="M31" i="1" s="1"/>
  <c r="P32" i="1"/>
  <c r="P21" i="1"/>
  <c r="O21" i="1" s="1"/>
  <c r="D51" i="1" l="1"/>
  <c r="K43" i="1"/>
  <c r="R44" i="1"/>
  <c r="K37" i="1"/>
  <c r="R40" i="1"/>
  <c r="O32" i="1"/>
  <c r="F42" i="1"/>
  <c r="F51" i="1" s="1"/>
  <c r="B42" i="1"/>
  <c r="G23" i="1"/>
  <c r="G22" i="1"/>
  <c r="K30" i="1"/>
  <c r="C31" i="1"/>
  <c r="K23" i="1"/>
  <c r="K31" i="1"/>
  <c r="C30" i="1"/>
  <c r="K22" i="1"/>
  <c r="C23" i="1"/>
  <c r="O31" i="1"/>
  <c r="C22" i="1"/>
  <c r="O30" i="1"/>
  <c r="G29" i="1"/>
  <c r="G28" i="1"/>
  <c r="C29" i="1"/>
  <c r="C28" i="1"/>
  <c r="O29" i="1"/>
  <c r="O28" i="1"/>
  <c r="G31" i="1"/>
  <c r="K29" i="1"/>
  <c r="O23" i="1"/>
  <c r="G30" i="1"/>
  <c r="K28" i="1"/>
  <c r="O22" i="1"/>
  <c r="I26" i="1"/>
  <c r="M26" i="1"/>
  <c r="E21" i="1"/>
  <c r="I25" i="1"/>
  <c r="M21" i="1"/>
  <c r="M25" i="1"/>
  <c r="E32" i="1"/>
  <c r="E24" i="1"/>
  <c r="I32" i="1"/>
  <c r="I24" i="1"/>
  <c r="M32" i="1"/>
  <c r="M24" i="1"/>
  <c r="C27" i="1"/>
  <c r="E31" i="1"/>
  <c r="E23" i="1"/>
  <c r="G27" i="1"/>
  <c r="I31" i="1"/>
  <c r="I23" i="1"/>
  <c r="K27" i="1"/>
  <c r="O27" i="1"/>
  <c r="C26" i="1"/>
  <c r="E30" i="1"/>
  <c r="E22" i="1"/>
  <c r="G26" i="1"/>
  <c r="I30" i="1"/>
  <c r="I22" i="1"/>
  <c r="K26" i="1"/>
  <c r="O26" i="1"/>
  <c r="E25" i="1"/>
  <c r="I21" i="1"/>
  <c r="C21" i="1"/>
  <c r="C25" i="1"/>
  <c r="E29" i="1"/>
  <c r="G21" i="1"/>
  <c r="G25" i="1"/>
  <c r="I29" i="1"/>
  <c r="K21" i="1"/>
  <c r="K25" i="1"/>
  <c r="C32" i="1"/>
  <c r="C24" i="1"/>
  <c r="E28" i="1"/>
  <c r="G32" i="1"/>
  <c r="G24" i="1"/>
  <c r="I28" i="1"/>
  <c r="K32" i="1"/>
  <c r="K24" i="1"/>
  <c r="E27" i="1"/>
  <c r="I27" i="1"/>
  <c r="C43" i="1"/>
  <c r="E43" i="1"/>
  <c r="I43" i="1"/>
  <c r="M43" i="1"/>
  <c r="O43" i="1"/>
  <c r="G43" i="1"/>
  <c r="C37" i="1"/>
  <c r="I37" i="1"/>
  <c r="M37" i="1"/>
  <c r="O37" i="1"/>
  <c r="E37" i="1"/>
  <c r="G37" i="1"/>
  <c r="M40" i="1"/>
  <c r="O40" i="1"/>
  <c r="E40" i="1"/>
  <c r="C40" i="1"/>
  <c r="G40" i="1"/>
  <c r="I40" i="1"/>
  <c r="I6" i="1"/>
  <c r="I7" i="1"/>
  <c r="I8" i="1"/>
  <c r="I9" i="1"/>
  <c r="I10" i="1"/>
  <c r="I11" i="1"/>
  <c r="I12" i="1"/>
  <c r="I13" i="1"/>
  <c r="I14" i="1"/>
  <c r="I15" i="1"/>
  <c r="I5" i="1"/>
  <c r="I4" i="1"/>
  <c r="K8" i="1" l="1"/>
  <c r="B71" i="1" s="1"/>
  <c r="V8" i="1"/>
  <c r="C71" i="1" s="1"/>
  <c r="D71" i="1" s="1"/>
  <c r="K5" i="1"/>
  <c r="B68" i="1" s="1"/>
  <c r="V5" i="1"/>
  <c r="C68" i="1" s="1"/>
  <c r="D68" i="1" s="1"/>
  <c r="K15" i="1"/>
  <c r="B78" i="1" s="1"/>
  <c r="V15" i="1"/>
  <c r="C78" i="1" s="1"/>
  <c r="D78" i="1" s="1"/>
  <c r="K4" i="1"/>
  <c r="B67" i="1" s="1"/>
  <c r="V4" i="1"/>
  <c r="C67" i="1" s="1"/>
  <c r="K7" i="1"/>
  <c r="B70" i="1" s="1"/>
  <c r="V7" i="1"/>
  <c r="C70" i="1" s="1"/>
  <c r="D70" i="1" s="1"/>
  <c r="K6" i="1"/>
  <c r="B69" i="1" s="1"/>
  <c r="V6" i="1"/>
  <c r="C69" i="1" s="1"/>
  <c r="D69" i="1" s="1"/>
  <c r="K13" i="1"/>
  <c r="B76" i="1" s="1"/>
  <c r="V13" i="1"/>
  <c r="C76" i="1" s="1"/>
  <c r="D76" i="1" s="1"/>
  <c r="K12" i="1"/>
  <c r="B75" i="1" s="1"/>
  <c r="V12" i="1"/>
  <c r="C75" i="1" s="1"/>
  <c r="D75" i="1" s="1"/>
  <c r="K11" i="1"/>
  <c r="B74" i="1" s="1"/>
  <c r="V11" i="1"/>
  <c r="C74" i="1" s="1"/>
  <c r="D74" i="1" s="1"/>
  <c r="K9" i="1"/>
  <c r="B72" i="1" s="1"/>
  <c r="V9" i="1"/>
  <c r="C72" i="1" s="1"/>
  <c r="D72" i="1" s="1"/>
  <c r="K14" i="1"/>
  <c r="B77" i="1" s="1"/>
  <c r="V14" i="1"/>
  <c r="C77" i="1" s="1"/>
  <c r="D77" i="1" s="1"/>
  <c r="K10" i="1"/>
  <c r="B73" i="1" s="1"/>
  <c r="V10" i="1"/>
  <c r="C73" i="1" s="1"/>
  <c r="D73" i="1" s="1"/>
  <c r="Q42" i="1"/>
  <c r="R42" i="1" s="1"/>
  <c r="O34" i="1"/>
  <c r="C34" i="1"/>
  <c r="I34" i="1"/>
  <c r="K34" i="1"/>
  <c r="E34" i="1"/>
  <c r="G34" i="1"/>
  <c r="M34" i="1"/>
  <c r="D67" i="1" l="1"/>
  <c r="G67" i="1" s="1"/>
  <c r="F70" i="1"/>
  <c r="M70" i="1"/>
  <c r="H70" i="1"/>
  <c r="J70" i="1"/>
  <c r="G70" i="1"/>
  <c r="I70" i="1"/>
  <c r="E70" i="1"/>
  <c r="L70" i="1"/>
  <c r="N70" i="1"/>
  <c r="K70" i="1"/>
  <c r="F75" i="1"/>
  <c r="L75" i="1"/>
  <c r="G75" i="1"/>
  <c r="E75" i="1"/>
  <c r="K75" i="1"/>
  <c r="M75" i="1"/>
  <c r="H75" i="1"/>
  <c r="N75" i="1"/>
  <c r="J75" i="1"/>
  <c r="I75" i="1"/>
  <c r="E67" i="1"/>
  <c r="L67" i="1"/>
  <c r="F74" i="1"/>
  <c r="J74" i="1"/>
  <c r="M74" i="1"/>
  <c r="I74" i="1"/>
  <c r="G74" i="1"/>
  <c r="N74" i="1"/>
  <c r="E74" i="1"/>
  <c r="K74" i="1"/>
  <c r="H74" i="1"/>
  <c r="L74" i="1"/>
  <c r="F78" i="1"/>
  <c r="N78" i="1"/>
  <c r="L78" i="1"/>
  <c r="G78" i="1"/>
  <c r="J78" i="1"/>
  <c r="M78" i="1"/>
  <c r="K78" i="1"/>
  <c r="I78" i="1"/>
  <c r="E78" i="1"/>
  <c r="H78" i="1"/>
  <c r="F71" i="1"/>
  <c r="K71" i="1"/>
  <c r="J71" i="1"/>
  <c r="L71" i="1"/>
  <c r="I71" i="1"/>
  <c r="G71" i="1"/>
  <c r="E71" i="1"/>
  <c r="N71" i="1"/>
  <c r="M71" i="1"/>
  <c r="H71" i="1"/>
  <c r="F73" i="1"/>
  <c r="L73" i="1"/>
  <c r="J73" i="1"/>
  <c r="I73" i="1"/>
  <c r="M73" i="1"/>
  <c r="G73" i="1"/>
  <c r="K73" i="1"/>
  <c r="N73" i="1"/>
  <c r="E73" i="1"/>
  <c r="H73" i="1"/>
  <c r="F77" i="1"/>
  <c r="H77" i="1"/>
  <c r="I77" i="1"/>
  <c r="G77" i="1"/>
  <c r="J77" i="1"/>
  <c r="L77" i="1"/>
  <c r="N77" i="1"/>
  <c r="K77" i="1"/>
  <c r="E77" i="1"/>
  <c r="M77" i="1"/>
  <c r="F76" i="1"/>
  <c r="N76" i="1"/>
  <c r="G76" i="1"/>
  <c r="H76" i="1"/>
  <c r="J76" i="1"/>
  <c r="M76" i="1"/>
  <c r="I76" i="1"/>
  <c r="K76" i="1"/>
  <c r="L76" i="1"/>
  <c r="E76" i="1"/>
  <c r="F72" i="1"/>
  <c r="L72" i="1"/>
  <c r="H72" i="1"/>
  <c r="K72" i="1"/>
  <c r="I72" i="1"/>
  <c r="E72" i="1"/>
  <c r="M72" i="1"/>
  <c r="N72" i="1"/>
  <c r="J72" i="1"/>
  <c r="G72" i="1"/>
  <c r="F69" i="1"/>
  <c r="L69" i="1"/>
  <c r="G69" i="1"/>
  <c r="M69" i="1"/>
  <c r="H69" i="1"/>
  <c r="N69" i="1"/>
  <c r="I69" i="1"/>
  <c r="J69" i="1"/>
  <c r="K69" i="1"/>
  <c r="E69" i="1"/>
  <c r="F68" i="1"/>
  <c r="M68" i="1"/>
  <c r="L68" i="1"/>
  <c r="G68" i="1"/>
  <c r="H68" i="1"/>
  <c r="N68" i="1"/>
  <c r="E68" i="1"/>
  <c r="I68" i="1"/>
  <c r="J68" i="1"/>
  <c r="K68" i="1"/>
  <c r="K17" i="1"/>
  <c r="V17" i="1"/>
  <c r="W51" i="1"/>
  <c r="W7" i="1"/>
  <c r="W8" i="1"/>
  <c r="W9" i="1"/>
  <c r="W11" i="1"/>
  <c r="W10" i="1"/>
  <c r="W12" i="1"/>
  <c r="W4" i="1"/>
  <c r="W15" i="1"/>
  <c r="W13" i="1"/>
  <c r="W6" i="1"/>
  <c r="W5" i="1"/>
  <c r="W14" i="1"/>
  <c r="H67" i="1" l="1"/>
  <c r="H80" i="1" s="1"/>
  <c r="F67" i="1"/>
  <c r="J67" i="1"/>
  <c r="I67" i="1"/>
  <c r="K67" i="1"/>
  <c r="M67" i="1"/>
  <c r="N67" i="1"/>
  <c r="N80" i="1" s="1"/>
  <c r="K80" i="1"/>
  <c r="G80" i="1"/>
  <c r="L80" i="1"/>
  <c r="E80" i="1"/>
  <c r="M80" i="1"/>
  <c r="I80" i="1"/>
  <c r="F80" i="1"/>
  <c r="J80" i="1"/>
</calcChain>
</file>

<file path=xl/sharedStrings.xml><?xml version="1.0" encoding="utf-8"?>
<sst xmlns="http://schemas.openxmlformats.org/spreadsheetml/2006/main" count="233" uniqueCount="118">
  <si>
    <t>PCU tonne</t>
  </si>
  <si>
    <t>tonne</t>
  </si>
  <si>
    <t>tonne active subst</t>
  </si>
  <si>
    <t>faktisk sale / biomass</t>
  </si>
  <si>
    <t>ESVAC Table 3 incl aqua and horses but not dogs&amp;cats</t>
  </si>
  <si>
    <t>mg</t>
  </si>
  <si>
    <t>stand sum mg</t>
  </si>
  <si>
    <t>stand sum mg/sum PCU</t>
  </si>
  <si>
    <t>kvot faktisk / stand</t>
  </si>
  <si>
    <t>cattle</t>
  </si>
  <si>
    <t>pigs</t>
  </si>
  <si>
    <t>poultry</t>
  </si>
  <si>
    <t>sheepgoat</t>
  </si>
  <si>
    <t>fish</t>
  </si>
  <si>
    <t>rabbits</t>
  </si>
  <si>
    <t>horses</t>
  </si>
  <si>
    <t>PCUtot</t>
  </si>
  <si>
    <t>Saletot</t>
  </si>
  <si>
    <t>mg/PCU</t>
  </si>
  <si>
    <t>Austria</t>
  </si>
  <si>
    <t>Denmark</t>
  </si>
  <si>
    <t>DK klarar faktiska33,4 mg/PCU trots att de har så mkt gris o gris behöver mest</t>
  </si>
  <si>
    <t>France</t>
  </si>
  <si>
    <t>Germany</t>
  </si>
  <si>
    <t>Greece</t>
  </si>
  <si>
    <t>Hungary</t>
  </si>
  <si>
    <t>Ireland</t>
  </si>
  <si>
    <t>Italy</t>
  </si>
  <si>
    <t>NL</t>
  </si>
  <si>
    <t>Poland</t>
  </si>
  <si>
    <t>Spain</t>
  </si>
  <si>
    <t>Sweden</t>
  </si>
  <si>
    <t>Sveriges goda faktiska resultat beror till en del på att vi har så mycket häst o häst använder lite a.b.</t>
  </si>
  <si>
    <t>UK</t>
  </si>
  <si>
    <t>Norway</t>
  </si>
  <si>
    <t>stand mg/kg</t>
  </si>
  <si>
    <t>mean</t>
  </si>
  <si>
    <t>%</t>
  </si>
  <si>
    <t>The PCU is calculated using the number of animals slaughtered in a particular year (adjusted for imported and exported animals), unless the animals present within the livestock sector concerned are not kept for meat production (e.g., dairy cattle), in which case the number of live animals is used.</t>
  </si>
  <si>
    <t>PCU tar hänsyn till vanligaste vikt vid behandling och blir därför lägre än total biomassa eftersom de flesta djur behandlas unga</t>
  </si>
  <si>
    <t>medel länder</t>
  </si>
  <si>
    <t>DK</t>
  </si>
  <si>
    <t>kg sold</t>
  </si>
  <si>
    <t>other prod</t>
  </si>
  <si>
    <t>aqua</t>
  </si>
  <si>
    <t>gula rutor är antagna medelvärden i brist på data</t>
  </si>
  <si>
    <t>mg/kg</t>
  </si>
  <si>
    <t>DANMAP2021</t>
  </si>
  <si>
    <t>jmfr 33,4</t>
  </si>
  <si>
    <t>sum</t>
  </si>
  <si>
    <t>SDa2021</t>
  </si>
  <si>
    <t>jmfr 47,6</t>
  </si>
  <si>
    <t>UK-VARSS2021</t>
  </si>
  <si>
    <t>Assuming 20% of all horses visits clinic per year. Tallon et al 2023</t>
  </si>
  <si>
    <t>46,53 mg/kg/5</t>
  </si>
  <si>
    <t>guess</t>
  </si>
  <si>
    <t>broiler</t>
  </si>
  <si>
    <t>sheeplamb</t>
  </si>
  <si>
    <t>salmon</t>
  </si>
  <si>
    <t>tot mg</t>
  </si>
  <si>
    <t>jmfr 28,3</t>
  </si>
  <si>
    <t>Ending routine… data fr 2020</t>
  </si>
  <si>
    <t>https://epha.org/wp-content/uploads/2022/02/report-ending-routine-farm-antibiotic-use-in-europe-final-2022.pdf</t>
  </si>
  <si>
    <t>mg/kg PCU</t>
  </si>
  <si>
    <t>jmfr 51,7</t>
  </si>
  <si>
    <t>tonnage</t>
  </si>
  <si>
    <t>mg/kg live w</t>
  </si>
  <si>
    <t>Horses</t>
  </si>
  <si>
    <t>Tallon et al -23</t>
  </si>
  <si>
    <t xml:space="preserve">year 2020 </t>
  </si>
  <si>
    <t>AGES 2023</t>
  </si>
  <si>
    <t>Sverige</t>
  </si>
  <si>
    <t>Medel DK-NL-UK-Fr-öst</t>
  </si>
  <si>
    <t>Standardvärde bygger på dessa medeltal. Bra representanter ety rank 2-6</t>
  </si>
  <si>
    <t>medel för de 4 stand</t>
  </si>
  <si>
    <t>standard</t>
  </si>
  <si>
    <t>Rabbit set to 780 since NL has such low rabbit production (i.e. not representative)</t>
  </si>
  <si>
    <t xml:space="preserve">Population Correction Unit (PCU) is a theoretical unit of measurement developed by the European Medicines Agency (EMA) in 2009 and adopted across Europe. </t>
  </si>
  <si>
    <t>it is generally well known that antibiotic use in UK beef cattle is significantly lower than in UK dairy cattle. Furthermore, antibiotic-usage data recently published by two UK supermarkets, Waitrose and ASDA, confirm that this is the case. Waitrose reported usage in dairy farms supplying it to be 20 mg/kg whereas they reported less than 10 mg/kg for beef farms. Similarly, ASDA reported 20 mg/kg in dairy farms and 7.3 mg/kg for beef farms where the cattle were raised on pasture and 9 mg/kg for cattle housed all year round. From all of these information, we may conclude that it is reasonable to assume that antibiotic use in UK beef farms is not higher than 10-25 mg/kg.</t>
  </si>
  <si>
    <t>It takes into account a country’s animal population over a year, along with the estimated weight of each particular species at the time of treatment with antibiotics</t>
  </si>
  <si>
    <t>https://www.saveourantibiotics.org/media/1794/us-and-uk-farm-antibiotic-use-comparison.pdf</t>
  </si>
  <si>
    <t>UK ungefär samma mg/PCU för Dairy och Beef räknat på kalvar och vuxna djur ihop, men mycket osäkra siffror och bara för 2018</t>
  </si>
  <si>
    <t>Also Humphry et al 2021</t>
  </si>
  <si>
    <t xml:space="preserve">Mer användning för kavlar än för mjölkkor. Mjölkkor har mer biomassa. DK: kalv (&lt;12m) 15% av cattle biomass men 30% av use of active compound. </t>
  </si>
  <si>
    <t>men vet inte prop i biomass</t>
  </si>
  <si>
    <t>Sätter lika på allt nötkött o allokerar mer på mjölk än på kött</t>
  </si>
  <si>
    <t>Mycket mer användning för broiler än för värphöns</t>
  </si>
  <si>
    <t>Allokering 27% av standardsiffran 30 mg/kg på kött och 73% på mjölk</t>
  </si>
  <si>
    <t>kvot gånger standardvärde för art. Dessa värden kan multipliceras med kg kött och mjölk och ägg</t>
  </si>
  <si>
    <t>ESVAC Table 3 faktisk</t>
  </si>
  <si>
    <t>stand f art</t>
  </si>
  <si>
    <t>faktisk / stand</t>
  </si>
  <si>
    <t>cattlebeef</t>
  </si>
  <si>
    <t>används ej för dairycow beef</t>
  </si>
  <si>
    <t>egg</t>
  </si>
  <si>
    <t>milk</t>
  </si>
  <si>
    <t>kvot</t>
  </si>
  <si>
    <t>ton aktiv substans</t>
  </si>
  <si>
    <t>UK-VARSS</t>
  </si>
  <si>
    <t>laying hen</t>
  </si>
  <si>
    <t>ungerfär samma vikt höna broiler</t>
  </si>
  <si>
    <t xml:space="preserve">12,6% av 30 =3,78 mg/PCU </t>
  </si>
  <si>
    <t>Sätter bara lite på värphöns</t>
  </si>
  <si>
    <t>Varje höna väger 1,5 kg o ger 270 ägg * 55g</t>
  </si>
  <si>
    <t>äggmassa</t>
  </si>
  <si>
    <t>Delar ägg o mjölk med årsproduktion per djur</t>
  </si>
  <si>
    <t>mg/kg ägg= 1,5*3,78/14,85=0,38</t>
  </si>
  <si>
    <t>Varje ko väger 600 kg o ger 8000 kg mjölk per år</t>
  </si>
  <si>
    <r>
      <rPr>
        <sz val="11"/>
        <color rgb="FF000000"/>
        <rFont val="Calibri"/>
        <family val="2"/>
        <scheme val="minor"/>
      </rPr>
      <t>mg/kg mjölk= 600*</t>
    </r>
    <r>
      <rPr>
        <sz val="11"/>
        <color rgb="FFFF0000"/>
        <rFont val="Calibri"/>
        <family val="2"/>
        <scheme val="minor"/>
      </rPr>
      <t>22</t>
    </r>
    <r>
      <rPr>
        <sz val="11"/>
        <color rgb="FF000000"/>
        <rFont val="Calibri"/>
        <family val="2"/>
        <scheme val="minor"/>
      </rPr>
      <t>/8000=2,625</t>
    </r>
  </si>
  <si>
    <t>22 kommer från allokering</t>
  </si>
  <si>
    <t>medel/kg</t>
  </si>
  <si>
    <t>8,1 är 27% av 30</t>
  </si>
  <si>
    <t>används ej</t>
  </si>
  <si>
    <t>"simple indicator"</t>
  </si>
  <si>
    <t>att jämföra med</t>
  </si>
  <si>
    <t>allt kött o fisk</t>
  </si>
  <si>
    <t>ägg</t>
  </si>
  <si>
    <t xml:space="preserve">mjölk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</si>
</sst>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tint="-0.249977111117893"/>
      <name val="Calibri"/>
      <family val="2"/>
      <scheme val="minor"/>
    </font>
    <font>
      <b/>
      <sz val="1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s>
  <borders count="24">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thin">
        <color rgb="FF000000"/>
      </bottom>
      <diagonal/>
    </border>
  </borders>
  <cellStyleXfs count="1">
    <xf numFmtId="0" fontId="0" fillId="0" borderId="0"/>
  </cellStyleXfs>
  <cellXfs count="120">
    <xf numFmtId="0" fontId="0" fillId="0" borderId="0" xfId="0"/>
    <xf numFmtId="0" fontId="0" fillId="2" borderId="0" xfId="0" applyFill="1"/>
    <xf numFmtId="0" fontId="0" fillId="0" borderId="0" xfId="0" applyAlignment="1">
      <alignment wrapText="1"/>
    </xf>
    <xf numFmtId="164" fontId="0" fillId="0" borderId="0" xfId="0" applyNumberFormat="1"/>
    <xf numFmtId="0" fontId="0" fillId="2" borderId="1" xfId="0" applyFill="1" applyBorder="1"/>
    <xf numFmtId="164" fontId="0" fillId="0" borderId="1" xfId="0" applyNumberFormat="1" applyBorder="1"/>
    <xf numFmtId="0" fontId="0" fillId="0" borderId="1" xfId="0" applyBorder="1"/>
    <xf numFmtId="164" fontId="0" fillId="3" borderId="1" xfId="0" applyNumberFormat="1" applyFill="1" applyBorder="1"/>
    <xf numFmtId="164" fontId="0" fillId="4" borderId="1" xfId="0" applyNumberFormat="1" applyFill="1" applyBorder="1"/>
    <xf numFmtId="1" fontId="0" fillId="0" borderId="0" xfId="0" applyNumberFormat="1"/>
    <xf numFmtId="1" fontId="3" fillId="0" borderId="0" xfId="0" applyNumberFormat="1" applyFont="1"/>
    <xf numFmtId="0" fontId="3" fillId="0" borderId="0" xfId="0" applyFont="1"/>
    <xf numFmtId="164" fontId="3" fillId="0" borderId="0" xfId="0" applyNumberFormat="1" applyFont="1"/>
    <xf numFmtId="164" fontId="3" fillId="0" borderId="1" xfId="0" applyNumberFormat="1" applyFont="1" applyBorder="1"/>
    <xf numFmtId="0" fontId="2" fillId="0" borderId="0" xfId="0" applyFont="1"/>
    <xf numFmtId="0" fontId="0" fillId="0" borderId="2" xfId="0" applyBorder="1"/>
    <xf numFmtId="0" fontId="0" fillId="0" borderId="3" xfId="0" applyBorder="1"/>
    <xf numFmtId="164" fontId="0" fillId="0" borderId="4" xfId="0" applyNumberFormat="1" applyBorder="1"/>
    <xf numFmtId="164" fontId="0" fillId="4" borderId="4" xfId="0" applyNumberFormat="1" applyFill="1" applyBorder="1"/>
    <xf numFmtId="1" fontId="0" fillId="0" borderId="4" xfId="0" applyNumberFormat="1" applyBorder="1"/>
    <xf numFmtId="0" fontId="4" fillId="0" borderId="0" xfId="0" applyFont="1"/>
    <xf numFmtId="0" fontId="4" fillId="0" borderId="1" xfId="0" applyFont="1" applyBorder="1"/>
    <xf numFmtId="164" fontId="4" fillId="0" borderId="1" xfId="0" applyNumberFormat="1" applyFont="1" applyBorder="1"/>
    <xf numFmtId="0" fontId="4" fillId="0" borderId="3" xfId="0" applyFont="1" applyBorder="1"/>
    <xf numFmtId="164" fontId="4" fillId="0" borderId="4" xfId="0" applyNumberFormat="1" applyFont="1" applyBorder="1"/>
    <xf numFmtId="164" fontId="4" fillId="0" borderId="0" xfId="0" applyNumberFormat="1" applyFont="1"/>
    <xf numFmtId="164" fontId="0" fillId="3" borderId="4" xfId="0" applyNumberFormat="1" applyFill="1" applyBorder="1"/>
    <xf numFmtId="1" fontId="0" fillId="0" borderId="3" xfId="0" applyNumberFormat="1" applyBorder="1"/>
    <xf numFmtId="0" fontId="3" fillId="0" borderId="0" xfId="0" applyFont="1" applyAlignment="1">
      <alignment horizontal="right"/>
    </xf>
    <xf numFmtId="0" fontId="3" fillId="5" borderId="0" xfId="0" applyFont="1" applyFill="1"/>
    <xf numFmtId="1" fontId="3" fillId="5" borderId="0" xfId="0" applyNumberFormat="1" applyFont="1" applyFill="1"/>
    <xf numFmtId="0" fontId="5" fillId="0" borderId="0" xfId="0" applyFont="1"/>
    <xf numFmtId="0" fontId="6" fillId="0" borderId="0" xfId="0" applyFont="1"/>
    <xf numFmtId="0" fontId="5" fillId="0" borderId="0" xfId="0" applyFont="1" applyAlignment="1">
      <alignment horizontal="right"/>
    </xf>
    <xf numFmtId="1" fontId="5" fillId="0" borderId="0" xfId="0" applyNumberFormat="1" applyFont="1"/>
    <xf numFmtId="0" fontId="6" fillId="0" borderId="0" xfId="0" applyFont="1" applyAlignment="1">
      <alignment horizontal="right"/>
    </xf>
    <xf numFmtId="1" fontId="6" fillId="0" borderId="0" xfId="0" applyNumberFormat="1" applyFont="1"/>
    <xf numFmtId="0" fontId="3" fillId="6" borderId="0" xfId="0" applyFont="1" applyFill="1"/>
    <xf numFmtId="0" fontId="5" fillId="5" borderId="0" xfId="0" applyFont="1" applyFill="1"/>
    <xf numFmtId="164" fontId="5" fillId="0" borderId="0" xfId="0" applyNumberFormat="1" applyFont="1"/>
    <xf numFmtId="0" fontId="0" fillId="0" borderId="5" xfId="0" applyBorder="1"/>
    <xf numFmtId="0" fontId="0" fillId="0" borderId="6" xfId="0" applyBorder="1"/>
    <xf numFmtId="2" fontId="0" fillId="0" borderId="0" xfId="0" applyNumberFormat="1"/>
    <xf numFmtId="0" fontId="0" fillId="0" borderId="1" xfId="0" applyBorder="1" applyAlignment="1">
      <alignment wrapText="1"/>
    </xf>
    <xf numFmtId="2" fontId="0" fillId="0" borderId="1" xfId="0" applyNumberFormat="1" applyBorder="1"/>
    <xf numFmtId="0" fontId="0" fillId="0" borderId="9" xfId="0" applyBorder="1"/>
    <xf numFmtId="0" fontId="0" fillId="0" borderId="10" xfId="0" applyBorder="1"/>
    <xf numFmtId="0" fontId="0" fillId="0" borderId="12" xfId="0" applyBorder="1"/>
    <xf numFmtId="0" fontId="0" fillId="0" borderId="13" xfId="0" applyBorder="1"/>
    <xf numFmtId="0" fontId="0" fillId="0" borderId="14" xfId="0" applyBorder="1"/>
    <xf numFmtId="0" fontId="0" fillId="2" borderId="14" xfId="0" applyFill="1" applyBorder="1"/>
    <xf numFmtId="0" fontId="0" fillId="2" borderId="12" xfId="0" applyFill="1" applyBorder="1"/>
    <xf numFmtId="0" fontId="3" fillId="0" borderId="9" xfId="0" applyFont="1" applyBorder="1" applyAlignment="1">
      <alignment wrapText="1"/>
    </xf>
    <xf numFmtId="1" fontId="0" fillId="0" borderId="10" xfId="0" applyNumberFormat="1" applyBorder="1"/>
    <xf numFmtId="1" fontId="0" fillId="0" borderId="10" xfId="0" applyNumberFormat="1" applyBorder="1" applyAlignment="1">
      <alignment wrapText="1"/>
    </xf>
    <xf numFmtId="164" fontId="0" fillId="0" borderId="10" xfId="0" applyNumberFormat="1" applyBorder="1"/>
    <xf numFmtId="0" fontId="0" fillId="0" borderId="11" xfId="0" applyBorder="1"/>
    <xf numFmtId="0" fontId="6" fillId="0" borderId="15" xfId="0" applyFont="1" applyBorder="1"/>
    <xf numFmtId="0" fontId="0" fillId="0" borderId="15" xfId="0" applyBorder="1"/>
    <xf numFmtId="0" fontId="0" fillId="0" borderId="16" xfId="0" applyBorder="1"/>
    <xf numFmtId="164" fontId="0" fillId="5" borderId="0" xfId="0" applyNumberFormat="1" applyFill="1"/>
    <xf numFmtId="0" fontId="0" fillId="5" borderId="0" xfId="0" applyFill="1"/>
    <xf numFmtId="0" fontId="0" fillId="0" borderId="10" xfId="0" applyBorder="1" applyAlignment="1">
      <alignment wrapText="1"/>
    </xf>
    <xf numFmtId="0" fontId="0" fillId="0" borderId="11" xfId="0" applyBorder="1" applyAlignment="1">
      <alignment wrapText="1"/>
    </xf>
    <xf numFmtId="164" fontId="0" fillId="3" borderId="0" xfId="0" applyNumberFormat="1" applyFill="1"/>
    <xf numFmtId="0" fontId="0" fillId="0" borderId="17" xfId="0" applyBorder="1"/>
    <xf numFmtId="1" fontId="0" fillId="0" borderId="15" xfId="0" applyNumberFormat="1" applyBorder="1"/>
    <xf numFmtId="0" fontId="0" fillId="0" borderId="15" xfId="0" applyBorder="1" applyAlignment="1">
      <alignment horizontal="right"/>
    </xf>
    <xf numFmtId="164" fontId="0" fillId="0" borderId="15" xfId="0" applyNumberFormat="1" applyBorder="1"/>
    <xf numFmtId="0" fontId="0" fillId="0" borderId="7" xfId="0" applyBorder="1"/>
    <xf numFmtId="0" fontId="0" fillId="0" borderId="18" xfId="0" applyBorder="1"/>
    <xf numFmtId="0" fontId="0" fillId="0" borderId="8" xfId="0" applyBorder="1"/>
    <xf numFmtId="1" fontId="0" fillId="0" borderId="8" xfId="0" applyNumberFormat="1" applyBorder="1"/>
    <xf numFmtId="164" fontId="0" fillId="3" borderId="8" xfId="0" applyNumberFormat="1" applyFill="1" applyBorder="1"/>
    <xf numFmtId="2" fontId="0" fillId="0" borderId="8" xfId="0" applyNumberFormat="1" applyBorder="1"/>
    <xf numFmtId="0" fontId="0" fillId="0" borderId="19" xfId="0" applyBorder="1"/>
    <xf numFmtId="164" fontId="0" fillId="0" borderId="15" xfId="0" applyNumberFormat="1" applyBorder="1" applyAlignment="1">
      <alignment horizontal="right"/>
    </xf>
    <xf numFmtId="0" fontId="0" fillId="4" borderId="0" xfId="0" applyFill="1"/>
    <xf numFmtId="0" fontId="0" fillId="4" borderId="0" xfId="0" applyFill="1" applyAlignment="1">
      <alignment horizontal="center"/>
    </xf>
    <xf numFmtId="0" fontId="0" fillId="4" borderId="0" xfId="0" applyFill="1" applyAlignment="1">
      <alignment horizontal="center" wrapText="1"/>
    </xf>
    <xf numFmtId="0" fontId="0" fillId="4" borderId="8" xfId="0" applyFill="1" applyBorder="1" applyAlignment="1">
      <alignment horizontal="center"/>
    </xf>
    <xf numFmtId="164" fontId="0" fillId="4" borderId="0" xfId="0" applyNumberFormat="1" applyFill="1" applyAlignment="1">
      <alignment horizontal="center"/>
    </xf>
    <xf numFmtId="164" fontId="0" fillId="4" borderId="8" xfId="0" applyNumberFormat="1" applyFill="1" applyBorder="1" applyAlignment="1">
      <alignment horizontal="center"/>
    </xf>
    <xf numFmtId="0" fontId="6" fillId="3" borderId="17" xfId="0" applyFont="1" applyFill="1" applyBorder="1"/>
    <xf numFmtId="0" fontId="0" fillId="3" borderId="0" xfId="0" applyFill="1"/>
    <xf numFmtId="0" fontId="0" fillId="3" borderId="0" xfId="0" applyFill="1" applyAlignment="1">
      <alignment horizontal="center"/>
    </xf>
    <xf numFmtId="164" fontId="0" fillId="3" borderId="5" xfId="0" applyNumberFormat="1" applyFill="1" applyBorder="1"/>
    <xf numFmtId="0" fontId="0" fillId="2" borderId="3" xfId="0" applyFill="1" applyBorder="1"/>
    <xf numFmtId="164" fontId="0" fillId="0" borderId="3" xfId="0" applyNumberFormat="1" applyBorder="1"/>
    <xf numFmtId="164" fontId="0" fillId="3" borderId="3" xfId="0" applyNumberFormat="1" applyFill="1" applyBorder="1"/>
    <xf numFmtId="164" fontId="4" fillId="0" borderId="3" xfId="0" applyNumberFormat="1" applyFont="1" applyBorder="1"/>
    <xf numFmtId="0" fontId="0" fillId="0" borderId="21" xfId="0" applyBorder="1"/>
    <xf numFmtId="2" fontId="0" fillId="0" borderId="3" xfId="0" applyNumberFormat="1" applyBorder="1"/>
    <xf numFmtId="0" fontId="0" fillId="0" borderId="20" xfId="0" applyBorder="1"/>
    <xf numFmtId="0" fontId="0" fillId="2" borderId="18" xfId="0" applyFill="1" applyBorder="1"/>
    <xf numFmtId="0" fontId="0" fillId="0" borderId="22" xfId="0" applyBorder="1"/>
    <xf numFmtId="0" fontId="0" fillId="3" borderId="13" xfId="0" applyFill="1" applyBorder="1"/>
    <xf numFmtId="0" fontId="3" fillId="4" borderId="0" xfId="0" applyFont="1" applyFill="1"/>
    <xf numFmtId="0" fontId="2" fillId="0" borderId="15" xfId="0" applyFont="1" applyBorder="1"/>
    <xf numFmtId="0" fontId="2" fillId="4" borderId="8" xfId="0" applyFont="1" applyFill="1" applyBorder="1" applyAlignment="1">
      <alignment horizontal="center"/>
    </xf>
    <xf numFmtId="0" fontId="7" fillId="3" borderId="0" xfId="0" applyFont="1" applyFill="1" applyAlignment="1">
      <alignment horizontal="center"/>
    </xf>
    <xf numFmtId="164" fontId="7" fillId="4" borderId="0" xfId="0" applyNumberFormat="1" applyFont="1" applyFill="1" applyAlignment="1">
      <alignment horizontal="center"/>
    </xf>
    <xf numFmtId="164" fontId="7" fillId="4" borderId="8" xfId="0" applyNumberFormat="1" applyFont="1" applyFill="1" applyBorder="1" applyAlignment="1">
      <alignment horizontal="center"/>
    </xf>
    <xf numFmtId="0" fontId="2" fillId="3" borderId="0" xfId="0" applyFont="1" applyFill="1"/>
    <xf numFmtId="165" fontId="2" fillId="0" borderId="0" xfId="0" applyNumberFormat="1" applyFont="1"/>
    <xf numFmtId="164" fontId="0" fillId="0" borderId="8" xfId="0" applyNumberFormat="1" applyBorder="1"/>
    <xf numFmtId="166" fontId="2" fillId="0" borderId="0" xfId="0" applyNumberFormat="1" applyFont="1"/>
    <xf numFmtId="166" fontId="2" fillId="4" borderId="8" xfId="0" applyNumberFormat="1" applyFont="1" applyFill="1" applyBorder="1" applyAlignment="1">
      <alignment horizontal="center"/>
    </xf>
    <xf numFmtId="165" fontId="2" fillId="4" borderId="8" xfId="0" applyNumberFormat="1" applyFont="1" applyFill="1" applyBorder="1" applyAlignment="1">
      <alignment horizontal="center"/>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0" borderId="10" xfId="0" applyFont="1" applyBorder="1"/>
    <xf numFmtId="0" fontId="2" fillId="0" borderId="11" xfId="0" applyFont="1" applyBorder="1"/>
    <xf numFmtId="0" fontId="3" fillId="0" borderId="23" xfId="0" applyFont="1" applyBorder="1"/>
    <xf numFmtId="1" fontId="3" fillId="0" borderId="23" xfId="0" applyNumberFormat="1" applyFont="1" applyBorder="1"/>
    <xf numFmtId="0" fontId="5" fillId="6" borderId="23" xfId="0" applyFont="1" applyFill="1" applyBorder="1"/>
    <xf numFmtId="0" fontId="0" fillId="0" borderId="23" xfId="0" applyBorder="1"/>
    <xf numFmtId="0" fontId="5" fillId="0" borderId="23" xfId="0" applyFont="1" applyBorder="1"/>
    <xf numFmtId="0" fontId="6" fillId="0" borderId="23"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1"/>
  <sheetViews>
    <sheetView tabSelected="1" topLeftCell="A51" zoomScale="74" workbookViewId="0">
      <selection activeCell="Y67" sqref="Y67"/>
    </sheetView>
  </sheetViews>
  <sheetFormatPr defaultRowHeight="15" x14ac:dyDescent="0.25"/>
  <cols>
    <col min="1" max="1" width="11.7109375" customWidth="1"/>
    <col min="2" max="2" width="8.140625" customWidth="1"/>
    <col min="3" max="3" width="5.28515625" customWidth="1"/>
    <col min="4" max="4" width="7.7109375" customWidth="1"/>
    <col min="5" max="5" width="10" customWidth="1"/>
    <col min="6" max="6" width="7.5703125" customWidth="1"/>
    <col min="7" max="7" width="9" customWidth="1"/>
    <col min="8" max="8" width="9.42578125" bestFit="1" customWidth="1"/>
    <col min="9" max="9" width="12.140625" customWidth="1"/>
    <col min="10" max="10" width="12" customWidth="1"/>
    <col min="11" max="11" width="11.7109375" customWidth="1"/>
    <col min="12" max="12" width="9.42578125" customWidth="1"/>
    <col min="13" max="13" width="9" customWidth="1"/>
    <col min="14" max="14" width="9.42578125" bestFit="1" customWidth="1"/>
    <col min="19" max="19" width="12.28515625" customWidth="1"/>
    <col min="22" max="22" width="13.5703125" customWidth="1"/>
    <col min="23" max="23" width="9.140625" customWidth="1"/>
    <col min="24" max="24" width="16" customWidth="1"/>
    <col min="25" max="25" width="12" bestFit="1" customWidth="1"/>
  </cols>
  <sheetData>
    <row r="1" spans="1:25" ht="45" customHeight="1" x14ac:dyDescent="0.25">
      <c r="A1">
        <v>2021</v>
      </c>
      <c r="B1" s="2" t="s">
        <v>0</v>
      </c>
      <c r="C1" s="45"/>
      <c r="D1" s="46"/>
      <c r="E1" s="46"/>
      <c r="F1" s="46"/>
      <c r="G1" s="46"/>
      <c r="H1" s="46"/>
      <c r="I1" s="46" t="s">
        <v>1</v>
      </c>
      <c r="J1" s="62" t="s">
        <v>2</v>
      </c>
      <c r="K1" s="62" t="s">
        <v>3</v>
      </c>
      <c r="L1" s="62" t="s">
        <v>4</v>
      </c>
      <c r="M1" s="46"/>
      <c r="N1" s="62" t="s">
        <v>5</v>
      </c>
      <c r="O1" s="46"/>
      <c r="P1" s="46"/>
      <c r="Q1" s="46"/>
      <c r="R1" s="46"/>
      <c r="S1" s="46"/>
      <c r="T1" s="46"/>
      <c r="U1" s="62" t="s">
        <v>6</v>
      </c>
      <c r="V1" s="62" t="s">
        <v>7</v>
      </c>
      <c r="W1" s="62" t="s">
        <v>8</v>
      </c>
      <c r="X1" s="63"/>
    </row>
    <row r="2" spans="1:25" x14ac:dyDescent="0.25">
      <c r="B2" t="s">
        <v>9</v>
      </c>
      <c r="C2" s="47" t="s">
        <v>10</v>
      </c>
      <c r="D2" t="s">
        <v>11</v>
      </c>
      <c r="E2" t="s">
        <v>12</v>
      </c>
      <c r="F2" t="s">
        <v>13</v>
      </c>
      <c r="G2" t="s">
        <v>14</v>
      </c>
      <c r="H2" t="s">
        <v>15</v>
      </c>
      <c r="I2" t="s">
        <v>16</v>
      </c>
      <c r="J2" t="s">
        <v>17</v>
      </c>
      <c r="K2" t="s">
        <v>18</v>
      </c>
      <c r="L2" t="s">
        <v>18</v>
      </c>
      <c r="N2" t="s">
        <v>9</v>
      </c>
      <c r="O2" t="s">
        <v>10</v>
      </c>
      <c r="P2" t="s">
        <v>11</v>
      </c>
      <c r="Q2" t="s">
        <v>12</v>
      </c>
      <c r="R2" t="s">
        <v>13</v>
      </c>
      <c r="S2" t="s">
        <v>14</v>
      </c>
      <c r="T2" t="s">
        <v>15</v>
      </c>
      <c r="X2" s="48"/>
    </row>
    <row r="3" spans="1:25" x14ac:dyDescent="0.25">
      <c r="A3" s="40" t="s">
        <v>19</v>
      </c>
      <c r="B3">
        <v>420</v>
      </c>
      <c r="C3" s="47">
        <v>358</v>
      </c>
      <c r="D3">
        <v>91</v>
      </c>
      <c r="E3">
        <v>37</v>
      </c>
      <c r="F3">
        <v>0</v>
      </c>
      <c r="G3">
        <v>0</v>
      </c>
      <c r="H3">
        <v>39</v>
      </c>
      <c r="I3" s="9">
        <f>SUM(B3:H3)</f>
        <v>945</v>
      </c>
      <c r="J3">
        <v>39.1</v>
      </c>
      <c r="K3">
        <v>41.3</v>
      </c>
      <c r="L3">
        <v>41.3</v>
      </c>
      <c r="N3">
        <f t="shared" ref="N3:N16" si="0">B3*B$17</f>
        <v>12600</v>
      </c>
      <c r="O3">
        <f t="shared" ref="O3:O16" si="1">C3*C$17</f>
        <v>21480</v>
      </c>
      <c r="P3">
        <f t="shared" ref="P3:P16" si="2">D3*D$17</f>
        <v>2730</v>
      </c>
      <c r="Q3">
        <f t="shared" ref="Q3:Q16" si="3">E3*E$17</f>
        <v>740</v>
      </c>
      <c r="R3">
        <f t="shared" ref="R3:R16" si="4">F3*F$17</f>
        <v>0</v>
      </c>
      <c r="S3">
        <f t="shared" ref="S3:S16" si="5">G3*G$17</f>
        <v>0</v>
      </c>
      <c r="T3">
        <f t="shared" ref="T3:T16" si="6">H3*H$17</f>
        <v>195</v>
      </c>
      <c r="U3">
        <f>SUM(N3:T3)</f>
        <v>37745</v>
      </c>
      <c r="V3" s="3">
        <f>U3/I3</f>
        <v>39.941798941798943</v>
      </c>
      <c r="W3" s="42">
        <f>K3/V3</f>
        <v>1.0340045039078023</v>
      </c>
      <c r="X3" s="48"/>
    </row>
    <row r="4" spans="1:25" x14ac:dyDescent="0.25">
      <c r="A4" s="40" t="s">
        <v>20</v>
      </c>
      <c r="B4">
        <v>378</v>
      </c>
      <c r="C4" s="47">
        <v>1826</v>
      </c>
      <c r="D4">
        <v>121</v>
      </c>
      <c r="E4">
        <v>11</v>
      </c>
      <c r="F4">
        <v>45</v>
      </c>
      <c r="G4">
        <v>0</v>
      </c>
      <c r="H4">
        <v>70</v>
      </c>
      <c r="I4" s="9">
        <f>SUM(B4:H4)</f>
        <v>2451</v>
      </c>
      <c r="J4">
        <v>81.900000000000006</v>
      </c>
      <c r="K4" s="86">
        <f>(J4*1000000)/(I4*1000)</f>
        <v>33.414932680538556</v>
      </c>
      <c r="L4">
        <v>33.4</v>
      </c>
      <c r="M4" s="40"/>
      <c r="N4">
        <f t="shared" si="0"/>
        <v>11340</v>
      </c>
      <c r="O4">
        <f t="shared" si="1"/>
        <v>109560</v>
      </c>
      <c r="P4">
        <f t="shared" si="2"/>
        <v>3630</v>
      </c>
      <c r="Q4">
        <f t="shared" si="3"/>
        <v>220</v>
      </c>
      <c r="R4">
        <f t="shared" si="4"/>
        <v>1800</v>
      </c>
      <c r="S4">
        <f t="shared" si="5"/>
        <v>0</v>
      </c>
      <c r="T4">
        <f t="shared" si="6"/>
        <v>350</v>
      </c>
      <c r="U4">
        <f>SUM(N4:T4)</f>
        <v>126900</v>
      </c>
      <c r="V4" s="64">
        <f>U4/I4</f>
        <v>51.774785801713584</v>
      </c>
      <c r="W4" s="42">
        <f>K4/V4</f>
        <v>0.64539007092198586</v>
      </c>
      <c r="X4" s="48"/>
      <c r="Y4" t="s">
        <v>21</v>
      </c>
    </row>
    <row r="5" spans="1:25" x14ac:dyDescent="0.25">
      <c r="A5" s="40" t="s">
        <v>22</v>
      </c>
      <c r="B5">
        <v>2961</v>
      </c>
      <c r="C5" s="47">
        <v>1774</v>
      </c>
      <c r="D5">
        <v>1055</v>
      </c>
      <c r="E5">
        <v>627</v>
      </c>
      <c r="F5">
        <v>45</v>
      </c>
      <c r="G5">
        <v>39</v>
      </c>
      <c r="H5">
        <v>258</v>
      </c>
      <c r="I5" s="9">
        <f>SUM(B5:H5)</f>
        <v>6759</v>
      </c>
      <c r="J5">
        <v>349.3</v>
      </c>
      <c r="K5" s="86">
        <f t="shared" ref="K5:K15" si="7">(J5*1000000)/(I5*1000)</f>
        <v>51.679242491492822</v>
      </c>
      <c r="L5">
        <v>51.7</v>
      </c>
      <c r="M5" s="41"/>
      <c r="N5">
        <f t="shared" si="0"/>
        <v>88830</v>
      </c>
      <c r="O5">
        <f t="shared" si="1"/>
        <v>106440</v>
      </c>
      <c r="P5">
        <f t="shared" si="2"/>
        <v>31650</v>
      </c>
      <c r="Q5">
        <f t="shared" si="3"/>
        <v>12540</v>
      </c>
      <c r="R5">
        <f t="shared" si="4"/>
        <v>1800</v>
      </c>
      <c r="S5">
        <f t="shared" si="5"/>
        <v>30420</v>
      </c>
      <c r="T5">
        <f t="shared" si="6"/>
        <v>1290</v>
      </c>
      <c r="U5">
        <f t="shared" ref="U5:U16" si="8">SUM(N5:T5)</f>
        <v>272970</v>
      </c>
      <c r="V5" s="64">
        <f t="shared" ref="V5:V16" si="9">U5/I5</f>
        <v>40.386151797603198</v>
      </c>
      <c r="W5" s="42">
        <f t="shared" ref="W5:W16" si="10">K5/V5</f>
        <v>1.279627797926512</v>
      </c>
      <c r="X5" s="48"/>
    </row>
    <row r="6" spans="1:25" x14ac:dyDescent="0.25">
      <c r="A6" s="1" t="s">
        <v>23</v>
      </c>
      <c r="B6">
        <v>2838</v>
      </c>
      <c r="C6" s="47">
        <v>3545</v>
      </c>
      <c r="D6">
        <v>992</v>
      </c>
      <c r="E6">
        <v>134</v>
      </c>
      <c r="F6">
        <v>18</v>
      </c>
      <c r="G6">
        <v>23</v>
      </c>
      <c r="H6">
        <v>520</v>
      </c>
      <c r="I6" s="9">
        <f t="shared" ref="I6:I16" si="11">SUM(B6:H6)</f>
        <v>8070</v>
      </c>
      <c r="J6">
        <v>590.70000000000005</v>
      </c>
      <c r="K6" s="64">
        <f t="shared" si="7"/>
        <v>73.197026022304826</v>
      </c>
      <c r="L6">
        <v>73.2</v>
      </c>
      <c r="N6">
        <f t="shared" si="0"/>
        <v>85140</v>
      </c>
      <c r="O6">
        <f t="shared" si="1"/>
        <v>212700</v>
      </c>
      <c r="P6">
        <f t="shared" si="2"/>
        <v>29760</v>
      </c>
      <c r="Q6">
        <f t="shared" si="3"/>
        <v>2680</v>
      </c>
      <c r="R6">
        <f t="shared" si="4"/>
        <v>720</v>
      </c>
      <c r="S6">
        <f t="shared" si="5"/>
        <v>17940</v>
      </c>
      <c r="T6">
        <f t="shared" si="6"/>
        <v>2600</v>
      </c>
      <c r="U6">
        <f t="shared" si="8"/>
        <v>351540</v>
      </c>
      <c r="V6" s="64">
        <f t="shared" si="9"/>
        <v>43.561338289962826</v>
      </c>
      <c r="W6" s="42">
        <f t="shared" si="10"/>
        <v>1.6803208738692608</v>
      </c>
      <c r="X6" s="48"/>
    </row>
    <row r="7" spans="1:25" x14ac:dyDescent="0.25">
      <c r="A7" s="1" t="s">
        <v>24</v>
      </c>
      <c r="B7">
        <v>74</v>
      </c>
      <c r="C7" s="47">
        <v>101</v>
      </c>
      <c r="D7">
        <v>146</v>
      </c>
      <c r="E7">
        <v>661</v>
      </c>
      <c r="F7">
        <v>113</v>
      </c>
      <c r="G7">
        <v>2</v>
      </c>
      <c r="H7">
        <v>2</v>
      </c>
      <c r="I7" s="9">
        <f t="shared" si="11"/>
        <v>1099</v>
      </c>
      <c r="J7">
        <v>119.7</v>
      </c>
      <c r="K7" s="64">
        <f t="shared" si="7"/>
        <v>108.9171974522293</v>
      </c>
      <c r="L7">
        <v>108.8</v>
      </c>
      <c r="N7">
        <f t="shared" si="0"/>
        <v>2220</v>
      </c>
      <c r="O7">
        <f t="shared" si="1"/>
        <v>6060</v>
      </c>
      <c r="P7">
        <f t="shared" si="2"/>
        <v>4380</v>
      </c>
      <c r="Q7">
        <f t="shared" si="3"/>
        <v>13220</v>
      </c>
      <c r="R7">
        <f t="shared" si="4"/>
        <v>4520</v>
      </c>
      <c r="S7">
        <f t="shared" si="5"/>
        <v>1560</v>
      </c>
      <c r="T7">
        <f t="shared" si="6"/>
        <v>10</v>
      </c>
      <c r="U7">
        <f t="shared" si="8"/>
        <v>31970</v>
      </c>
      <c r="V7" s="64">
        <f t="shared" si="9"/>
        <v>29.090081892629662</v>
      </c>
      <c r="W7" s="42">
        <f t="shared" si="10"/>
        <v>3.7441351266812641</v>
      </c>
      <c r="X7" s="48"/>
    </row>
    <row r="8" spans="1:25" x14ac:dyDescent="0.25">
      <c r="A8" s="1" t="s">
        <v>25</v>
      </c>
      <c r="B8">
        <v>191</v>
      </c>
      <c r="C8" s="47">
        <v>340</v>
      </c>
      <c r="D8">
        <v>190</v>
      </c>
      <c r="E8">
        <v>74</v>
      </c>
      <c r="F8">
        <v>21</v>
      </c>
      <c r="G8">
        <v>5</v>
      </c>
      <c r="H8">
        <v>24</v>
      </c>
      <c r="I8" s="9">
        <f t="shared" si="11"/>
        <v>845</v>
      </c>
      <c r="J8">
        <v>131.6</v>
      </c>
      <c r="K8" s="64">
        <f t="shared" si="7"/>
        <v>155.73964497041419</v>
      </c>
      <c r="L8">
        <v>155.6</v>
      </c>
      <c r="N8">
        <f t="shared" si="0"/>
        <v>5730</v>
      </c>
      <c r="O8">
        <f t="shared" si="1"/>
        <v>20400</v>
      </c>
      <c r="P8">
        <f t="shared" si="2"/>
        <v>5700</v>
      </c>
      <c r="Q8">
        <f t="shared" si="3"/>
        <v>1480</v>
      </c>
      <c r="R8">
        <f t="shared" si="4"/>
        <v>840</v>
      </c>
      <c r="S8">
        <f t="shared" si="5"/>
        <v>3900</v>
      </c>
      <c r="T8">
        <f t="shared" si="6"/>
        <v>120</v>
      </c>
      <c r="U8">
        <f t="shared" si="8"/>
        <v>38170</v>
      </c>
      <c r="V8" s="64">
        <f t="shared" si="9"/>
        <v>45.171597633136095</v>
      </c>
      <c r="W8" s="42">
        <f t="shared" si="10"/>
        <v>3.4477338223735914</v>
      </c>
      <c r="X8" s="48"/>
    </row>
    <row r="9" spans="1:25" x14ac:dyDescent="0.25">
      <c r="A9" s="1" t="s">
        <v>26</v>
      </c>
      <c r="B9">
        <v>1298</v>
      </c>
      <c r="C9" s="47">
        <v>296</v>
      </c>
      <c r="D9">
        <v>106</v>
      </c>
      <c r="E9">
        <v>354</v>
      </c>
      <c r="F9">
        <v>43</v>
      </c>
      <c r="G9">
        <v>0</v>
      </c>
      <c r="H9">
        <v>100</v>
      </c>
      <c r="I9" s="9">
        <f t="shared" si="11"/>
        <v>2197</v>
      </c>
      <c r="J9">
        <v>93.2</v>
      </c>
      <c r="K9" s="64">
        <f t="shared" si="7"/>
        <v>42.421483841602182</v>
      </c>
      <c r="L9">
        <v>42.4</v>
      </c>
      <c r="N9">
        <f t="shared" si="0"/>
        <v>38940</v>
      </c>
      <c r="O9">
        <f t="shared" si="1"/>
        <v>17760</v>
      </c>
      <c r="P9">
        <f t="shared" si="2"/>
        <v>3180</v>
      </c>
      <c r="Q9">
        <f t="shared" si="3"/>
        <v>7080</v>
      </c>
      <c r="R9">
        <f t="shared" si="4"/>
        <v>1720</v>
      </c>
      <c r="S9">
        <f t="shared" si="5"/>
        <v>0</v>
      </c>
      <c r="T9">
        <f t="shared" si="6"/>
        <v>500</v>
      </c>
      <c r="U9">
        <f t="shared" si="8"/>
        <v>69180</v>
      </c>
      <c r="V9" s="64">
        <f t="shared" si="9"/>
        <v>31.488393263541191</v>
      </c>
      <c r="W9" s="42">
        <f t="shared" si="10"/>
        <v>1.3472101763515467</v>
      </c>
      <c r="X9" s="48"/>
    </row>
    <row r="10" spans="1:25" x14ac:dyDescent="0.25">
      <c r="A10" s="1" t="s">
        <v>27</v>
      </c>
      <c r="B10">
        <v>1469</v>
      </c>
      <c r="C10" s="47">
        <v>803</v>
      </c>
      <c r="D10">
        <v>759</v>
      </c>
      <c r="E10">
        <v>550</v>
      </c>
      <c r="F10">
        <v>62</v>
      </c>
      <c r="G10">
        <v>29</v>
      </c>
      <c r="H10">
        <v>141</v>
      </c>
      <c r="I10" s="9">
        <f t="shared" si="11"/>
        <v>3813</v>
      </c>
      <c r="J10">
        <v>661.7</v>
      </c>
      <c r="K10" s="64">
        <f t="shared" si="7"/>
        <v>173.53789666928927</v>
      </c>
      <c r="L10">
        <v>173.5</v>
      </c>
      <c r="N10">
        <f t="shared" si="0"/>
        <v>44070</v>
      </c>
      <c r="O10">
        <f t="shared" si="1"/>
        <v>48180</v>
      </c>
      <c r="P10">
        <f t="shared" si="2"/>
        <v>22770</v>
      </c>
      <c r="Q10">
        <f t="shared" si="3"/>
        <v>11000</v>
      </c>
      <c r="R10">
        <f t="shared" si="4"/>
        <v>2480</v>
      </c>
      <c r="S10">
        <f t="shared" si="5"/>
        <v>22620</v>
      </c>
      <c r="T10">
        <f t="shared" si="6"/>
        <v>705</v>
      </c>
      <c r="U10">
        <f t="shared" si="8"/>
        <v>151825</v>
      </c>
      <c r="V10" s="64">
        <f t="shared" si="9"/>
        <v>39.817728822449517</v>
      </c>
      <c r="W10" s="42">
        <f t="shared" si="10"/>
        <v>4.3583072616499257</v>
      </c>
      <c r="X10" s="48"/>
    </row>
    <row r="11" spans="1:25" x14ac:dyDescent="0.25">
      <c r="A11" s="40" t="s">
        <v>28</v>
      </c>
      <c r="B11">
        <v>1079</v>
      </c>
      <c r="C11" s="47">
        <v>1544</v>
      </c>
      <c r="D11">
        <v>350</v>
      </c>
      <c r="E11">
        <v>74</v>
      </c>
      <c r="F11">
        <v>5</v>
      </c>
      <c r="G11">
        <v>0.4</v>
      </c>
      <c r="H11">
        <v>39</v>
      </c>
      <c r="I11" s="9">
        <f t="shared" si="11"/>
        <v>3091.4</v>
      </c>
      <c r="J11">
        <v>147.19999999999999</v>
      </c>
      <c r="K11" s="86">
        <f t="shared" si="7"/>
        <v>47.615966875849132</v>
      </c>
      <c r="L11">
        <v>47.6</v>
      </c>
      <c r="M11" s="40"/>
      <c r="N11">
        <f t="shared" si="0"/>
        <v>32370</v>
      </c>
      <c r="O11">
        <f t="shared" si="1"/>
        <v>92640</v>
      </c>
      <c r="P11">
        <f t="shared" si="2"/>
        <v>10500</v>
      </c>
      <c r="Q11">
        <f t="shared" si="3"/>
        <v>1480</v>
      </c>
      <c r="R11">
        <f t="shared" si="4"/>
        <v>200</v>
      </c>
      <c r="S11">
        <f t="shared" si="5"/>
        <v>312</v>
      </c>
      <c r="T11">
        <f t="shared" si="6"/>
        <v>195</v>
      </c>
      <c r="U11">
        <f t="shared" si="8"/>
        <v>137697</v>
      </c>
      <c r="V11" s="64">
        <f t="shared" si="9"/>
        <v>44.541955101248625</v>
      </c>
      <c r="W11" s="42">
        <f t="shared" si="10"/>
        <v>1.0690138492487129</v>
      </c>
      <c r="X11" s="48"/>
    </row>
    <row r="12" spans="1:25" x14ac:dyDescent="0.25">
      <c r="A12" s="1" t="s">
        <v>29</v>
      </c>
      <c r="B12">
        <v>1538</v>
      </c>
      <c r="C12" s="47">
        <v>1387</v>
      </c>
      <c r="D12">
        <v>1302</v>
      </c>
      <c r="E12">
        <v>22</v>
      </c>
      <c r="F12">
        <v>45</v>
      </c>
      <c r="G12">
        <v>2</v>
      </c>
      <c r="H12">
        <v>120</v>
      </c>
      <c r="I12" s="9">
        <f t="shared" si="11"/>
        <v>4416</v>
      </c>
      <c r="J12">
        <v>775.1</v>
      </c>
      <c r="K12" s="64">
        <f t="shared" si="7"/>
        <v>175.52083333333334</v>
      </c>
      <c r="L12">
        <v>175.5</v>
      </c>
      <c r="N12">
        <f t="shared" si="0"/>
        <v>46140</v>
      </c>
      <c r="O12">
        <f t="shared" si="1"/>
        <v>83220</v>
      </c>
      <c r="P12">
        <f t="shared" si="2"/>
        <v>39060</v>
      </c>
      <c r="Q12">
        <f t="shared" si="3"/>
        <v>440</v>
      </c>
      <c r="R12">
        <f t="shared" si="4"/>
        <v>1800</v>
      </c>
      <c r="S12">
        <f t="shared" si="5"/>
        <v>1560</v>
      </c>
      <c r="T12">
        <f t="shared" si="6"/>
        <v>600</v>
      </c>
      <c r="U12">
        <f t="shared" si="8"/>
        <v>172820</v>
      </c>
      <c r="V12" s="64">
        <f t="shared" si="9"/>
        <v>39.134963768115945</v>
      </c>
      <c r="W12" s="42">
        <f t="shared" si="10"/>
        <v>4.4850133086448327</v>
      </c>
      <c r="X12" s="48"/>
    </row>
    <row r="13" spans="1:25" x14ac:dyDescent="0.25">
      <c r="A13" s="1" t="s">
        <v>30</v>
      </c>
      <c r="B13">
        <v>1009</v>
      </c>
      <c r="C13" s="47">
        <v>4391</v>
      </c>
      <c r="D13">
        <v>869</v>
      </c>
      <c r="E13">
        <v>1351</v>
      </c>
      <c r="F13">
        <v>313</v>
      </c>
      <c r="G13">
        <v>54</v>
      </c>
      <c r="H13">
        <v>258</v>
      </c>
      <c r="I13" s="9">
        <f t="shared" si="11"/>
        <v>8245</v>
      </c>
      <c r="J13">
        <v>1296.5</v>
      </c>
      <c r="K13" s="64">
        <f t="shared" si="7"/>
        <v>157.2468162522741</v>
      </c>
      <c r="L13">
        <v>157.19999999999999</v>
      </c>
      <c r="N13">
        <f t="shared" si="0"/>
        <v>30270</v>
      </c>
      <c r="O13">
        <f t="shared" si="1"/>
        <v>263460</v>
      </c>
      <c r="P13">
        <f t="shared" si="2"/>
        <v>26070</v>
      </c>
      <c r="Q13">
        <f t="shared" si="3"/>
        <v>27020</v>
      </c>
      <c r="R13">
        <f t="shared" si="4"/>
        <v>12520</v>
      </c>
      <c r="S13">
        <f t="shared" si="5"/>
        <v>42120</v>
      </c>
      <c r="T13">
        <f t="shared" si="6"/>
        <v>1290</v>
      </c>
      <c r="U13">
        <f t="shared" si="8"/>
        <v>402750</v>
      </c>
      <c r="V13" s="64">
        <f t="shared" si="9"/>
        <v>48.847786537295327</v>
      </c>
      <c r="W13" s="42">
        <f t="shared" si="10"/>
        <v>3.2191185599006831</v>
      </c>
      <c r="X13" s="48"/>
    </row>
    <row r="14" spans="1:25" x14ac:dyDescent="0.25">
      <c r="A14" s="1" t="s">
        <v>31</v>
      </c>
      <c r="B14">
        <v>284</v>
      </c>
      <c r="C14" s="47">
        <v>201</v>
      </c>
      <c r="D14">
        <v>119</v>
      </c>
      <c r="E14">
        <v>31</v>
      </c>
      <c r="F14">
        <v>10</v>
      </c>
      <c r="G14">
        <v>0</v>
      </c>
      <c r="H14">
        <v>142</v>
      </c>
      <c r="I14" s="9">
        <f t="shared" si="11"/>
        <v>787</v>
      </c>
      <c r="J14">
        <v>8.6</v>
      </c>
      <c r="K14" s="64">
        <f t="shared" si="7"/>
        <v>10.927573062261754</v>
      </c>
      <c r="L14">
        <v>10.9</v>
      </c>
      <c r="N14">
        <f t="shared" si="0"/>
        <v>8520</v>
      </c>
      <c r="O14">
        <f t="shared" si="1"/>
        <v>12060</v>
      </c>
      <c r="P14">
        <f t="shared" si="2"/>
        <v>3570</v>
      </c>
      <c r="Q14">
        <f t="shared" si="3"/>
        <v>620</v>
      </c>
      <c r="R14">
        <f t="shared" si="4"/>
        <v>400</v>
      </c>
      <c r="S14">
        <f t="shared" si="5"/>
        <v>0</v>
      </c>
      <c r="T14">
        <f t="shared" si="6"/>
        <v>710</v>
      </c>
      <c r="U14">
        <f t="shared" si="8"/>
        <v>25880</v>
      </c>
      <c r="V14" s="64">
        <f t="shared" si="9"/>
        <v>32.884371029224901</v>
      </c>
      <c r="W14" s="42">
        <f t="shared" si="10"/>
        <v>0.33230293663060284</v>
      </c>
      <c r="X14" s="48"/>
      <c r="Y14" t="s">
        <v>32</v>
      </c>
    </row>
    <row r="15" spans="1:25" x14ac:dyDescent="0.25">
      <c r="A15" s="40" t="s">
        <v>33</v>
      </c>
      <c r="B15" s="69">
        <v>1716</v>
      </c>
      <c r="C15" s="70">
        <v>809</v>
      </c>
      <c r="D15" s="71">
        <v>1255</v>
      </c>
      <c r="E15" s="71">
        <v>2731</v>
      </c>
      <c r="F15" s="71">
        <v>204</v>
      </c>
      <c r="G15" s="71">
        <v>0</v>
      </c>
      <c r="H15" s="71">
        <v>339</v>
      </c>
      <c r="I15" s="72">
        <f t="shared" si="11"/>
        <v>7054</v>
      </c>
      <c r="J15" s="71">
        <v>199.5</v>
      </c>
      <c r="K15" s="86">
        <f t="shared" si="7"/>
        <v>28.281825914374824</v>
      </c>
      <c r="L15" s="71">
        <v>28.3</v>
      </c>
      <c r="M15" s="40"/>
      <c r="N15" s="71">
        <f t="shared" si="0"/>
        <v>51480</v>
      </c>
      <c r="O15" s="71">
        <f t="shared" si="1"/>
        <v>48540</v>
      </c>
      <c r="P15" s="71">
        <f t="shared" si="2"/>
        <v>37650</v>
      </c>
      <c r="Q15" s="71">
        <f t="shared" si="3"/>
        <v>54620</v>
      </c>
      <c r="R15" s="71">
        <f t="shared" si="4"/>
        <v>8160</v>
      </c>
      <c r="S15" s="71">
        <f t="shared" si="5"/>
        <v>0</v>
      </c>
      <c r="T15" s="71">
        <f t="shared" si="6"/>
        <v>1695</v>
      </c>
      <c r="U15" s="71">
        <f t="shared" si="8"/>
        <v>202145</v>
      </c>
      <c r="V15" s="73">
        <f t="shared" si="9"/>
        <v>28.656790473490219</v>
      </c>
      <c r="W15" s="74">
        <f t="shared" si="10"/>
        <v>0.98691533305300649</v>
      </c>
      <c r="X15" s="75"/>
    </row>
    <row r="16" spans="1:25" x14ac:dyDescent="0.25">
      <c r="A16" s="1" t="s">
        <v>34</v>
      </c>
      <c r="B16" s="16">
        <v>215</v>
      </c>
      <c r="C16" s="91">
        <v>118</v>
      </c>
      <c r="D16" s="16">
        <v>74</v>
      </c>
      <c r="E16" s="16">
        <v>95</v>
      </c>
      <c r="F16" s="16">
        <v>1646</v>
      </c>
      <c r="G16" s="16">
        <v>0</v>
      </c>
      <c r="H16" s="16">
        <v>50</v>
      </c>
      <c r="I16" s="27">
        <f t="shared" si="11"/>
        <v>2198</v>
      </c>
      <c r="J16" s="16">
        <v>5.5</v>
      </c>
      <c r="K16" s="89">
        <f>(J16*1000000)/(I16*1000)</f>
        <v>2.5022747952684257</v>
      </c>
      <c r="L16" s="16">
        <v>2.5</v>
      </c>
      <c r="M16" s="16"/>
      <c r="N16" s="16">
        <f t="shared" si="0"/>
        <v>6450</v>
      </c>
      <c r="O16" s="16">
        <f t="shared" si="1"/>
        <v>7080</v>
      </c>
      <c r="P16" s="16">
        <f t="shared" si="2"/>
        <v>2220</v>
      </c>
      <c r="Q16" s="16">
        <f t="shared" si="3"/>
        <v>1900</v>
      </c>
      <c r="R16" s="16">
        <f t="shared" si="4"/>
        <v>65840</v>
      </c>
      <c r="S16" s="16">
        <f t="shared" si="5"/>
        <v>0</v>
      </c>
      <c r="T16" s="16">
        <f t="shared" si="6"/>
        <v>250</v>
      </c>
      <c r="U16" s="16">
        <f t="shared" si="8"/>
        <v>83740</v>
      </c>
      <c r="V16" s="89">
        <f t="shared" si="9"/>
        <v>38.098271155595995</v>
      </c>
      <c r="W16" s="92">
        <f t="shared" si="10"/>
        <v>6.567948411750657E-2</v>
      </c>
      <c r="X16" s="93"/>
    </row>
    <row r="17" spans="1:24" ht="15.75" thickBot="1" x14ac:dyDescent="0.3">
      <c r="A17" s="1" t="s">
        <v>35</v>
      </c>
      <c r="B17">
        <v>30</v>
      </c>
      <c r="C17" s="65">
        <v>60</v>
      </c>
      <c r="D17" s="58">
        <v>30</v>
      </c>
      <c r="E17" s="58">
        <v>20</v>
      </c>
      <c r="F17" s="58">
        <v>40</v>
      </c>
      <c r="G17" s="98">
        <v>780</v>
      </c>
      <c r="H17" s="98">
        <v>5</v>
      </c>
      <c r="I17" s="66"/>
      <c r="J17" s="67" t="s">
        <v>36</v>
      </c>
      <c r="K17" s="68">
        <f>AVERAGE(K4:K16)</f>
        <v>81.615593412402532</v>
      </c>
      <c r="L17" s="68"/>
      <c r="M17" s="68"/>
      <c r="N17" s="68"/>
      <c r="O17" s="68"/>
      <c r="P17" s="68"/>
      <c r="Q17" s="68"/>
      <c r="R17" s="68"/>
      <c r="S17" s="68"/>
      <c r="T17" s="68"/>
      <c r="U17" s="76" t="s">
        <v>36</v>
      </c>
      <c r="V17" s="68">
        <f t="shared" ref="V17" si="12">AVERAGE(V4:V15)</f>
        <v>39.612995367534261</v>
      </c>
      <c r="W17" s="58"/>
      <c r="X17" s="59"/>
    </row>
    <row r="18" spans="1:24" ht="30" x14ac:dyDescent="0.25">
      <c r="A18">
        <v>2021</v>
      </c>
      <c r="B18" s="2" t="s">
        <v>0</v>
      </c>
      <c r="J18" s="2"/>
    </row>
    <row r="19" spans="1:24" x14ac:dyDescent="0.25">
      <c r="B19" s="1" t="s">
        <v>9</v>
      </c>
      <c r="C19" s="4" t="s">
        <v>37</v>
      </c>
      <c r="D19" s="1" t="s">
        <v>10</v>
      </c>
      <c r="E19" s="4" t="s">
        <v>37</v>
      </c>
      <c r="F19" s="1" t="s">
        <v>11</v>
      </c>
      <c r="G19" s="4" t="s">
        <v>37</v>
      </c>
      <c r="H19" t="s">
        <v>12</v>
      </c>
      <c r="I19" s="6" t="s">
        <v>37</v>
      </c>
      <c r="J19" t="s">
        <v>13</v>
      </c>
      <c r="K19" s="6" t="s">
        <v>37</v>
      </c>
      <c r="L19" s="20" t="s">
        <v>14</v>
      </c>
      <c r="M19" s="21" t="s">
        <v>37</v>
      </c>
      <c r="N19" t="s">
        <v>15</v>
      </c>
      <c r="O19" s="6" t="s">
        <v>37</v>
      </c>
      <c r="P19" t="s">
        <v>16</v>
      </c>
    </row>
    <row r="20" spans="1:24" x14ac:dyDescent="0.25">
      <c r="A20" t="s">
        <v>19</v>
      </c>
      <c r="B20">
        <v>420</v>
      </c>
      <c r="C20" s="17">
        <f t="shared" ref="C20:C33" si="13">(B20/P20)*100</f>
        <v>44.444444444444443</v>
      </c>
      <c r="D20">
        <v>358</v>
      </c>
      <c r="E20" s="17">
        <f t="shared" ref="E20:E33" si="14">(D20/P20)*100</f>
        <v>37.883597883597886</v>
      </c>
      <c r="F20">
        <v>91</v>
      </c>
      <c r="G20" s="17">
        <f t="shared" ref="G20:G33" si="15">(F20/P20)*100</f>
        <v>9.6296296296296298</v>
      </c>
      <c r="H20">
        <v>37</v>
      </c>
      <c r="I20" s="17">
        <f t="shared" ref="I20:I33" si="16">(H20/P20)*100</f>
        <v>3.9153439153439153</v>
      </c>
      <c r="J20">
        <v>0</v>
      </c>
      <c r="K20" s="17">
        <f t="shared" ref="K20:K33" si="17">(J20/P20)*100</f>
        <v>0</v>
      </c>
      <c r="L20" s="20">
        <v>0</v>
      </c>
      <c r="M20" s="24">
        <f t="shared" ref="M20:M33" si="18">(L20/P20)*100</f>
        <v>0</v>
      </c>
      <c r="N20">
        <v>39</v>
      </c>
      <c r="O20" s="17">
        <f t="shared" ref="O20:O33" si="19">(N20/P20)*100</f>
        <v>4.1269841269841265</v>
      </c>
      <c r="P20" s="27">
        <f t="shared" ref="P20:P33" si="20">B20+D20+F20+H20+J20+L20+N20</f>
        <v>945</v>
      </c>
    </row>
    <row r="21" spans="1:24" x14ac:dyDescent="0.25">
      <c r="A21" s="16" t="s">
        <v>20</v>
      </c>
      <c r="B21" s="16">
        <v>378</v>
      </c>
      <c r="C21" s="17">
        <f t="shared" si="13"/>
        <v>15.422276621787026</v>
      </c>
      <c r="D21" s="16">
        <v>1826</v>
      </c>
      <c r="E21" s="26">
        <f t="shared" si="14"/>
        <v>74.500203998368008</v>
      </c>
      <c r="F21" s="16">
        <v>121</v>
      </c>
      <c r="G21" s="18">
        <f t="shared" si="15"/>
        <v>4.9367605059159523</v>
      </c>
      <c r="H21" s="16">
        <v>11</v>
      </c>
      <c r="I21" s="18">
        <f t="shared" si="16"/>
        <v>0.44879640962872297</v>
      </c>
      <c r="J21" s="16">
        <v>45</v>
      </c>
      <c r="K21" s="17">
        <f t="shared" si="17"/>
        <v>1.8359853121175032</v>
      </c>
      <c r="L21" s="23">
        <v>0</v>
      </c>
      <c r="M21" s="24">
        <f t="shared" si="18"/>
        <v>0</v>
      </c>
      <c r="N21" s="16">
        <v>70</v>
      </c>
      <c r="O21" s="17">
        <f t="shared" si="19"/>
        <v>2.8559771521827826</v>
      </c>
      <c r="P21" s="27">
        <f t="shared" si="20"/>
        <v>2451</v>
      </c>
      <c r="R21" s="3"/>
    </row>
    <row r="22" spans="1:24" x14ac:dyDescent="0.25">
      <c r="A22" s="1" t="s">
        <v>22</v>
      </c>
      <c r="B22">
        <v>2961</v>
      </c>
      <c r="C22" s="5">
        <f t="shared" si="13"/>
        <v>43.808255659121173</v>
      </c>
      <c r="D22">
        <v>1774</v>
      </c>
      <c r="E22" s="5">
        <f t="shared" si="14"/>
        <v>26.246486166592693</v>
      </c>
      <c r="F22">
        <v>1055</v>
      </c>
      <c r="G22" s="5">
        <f t="shared" si="15"/>
        <v>15.608817872466341</v>
      </c>
      <c r="H22">
        <v>627</v>
      </c>
      <c r="I22" s="5">
        <f t="shared" si="16"/>
        <v>9.2765201952951628</v>
      </c>
      <c r="J22">
        <v>45</v>
      </c>
      <c r="K22" s="5">
        <f t="shared" si="17"/>
        <v>0.66577896138482018</v>
      </c>
      <c r="L22" s="20">
        <v>39</v>
      </c>
      <c r="M22" s="22">
        <f t="shared" si="18"/>
        <v>0.57700843320017747</v>
      </c>
      <c r="N22">
        <v>258</v>
      </c>
      <c r="O22" s="5">
        <f t="shared" si="19"/>
        <v>3.8171327119396361</v>
      </c>
      <c r="P22" s="9">
        <f t="shared" si="20"/>
        <v>6759</v>
      </c>
      <c r="R22" s="3"/>
    </row>
    <row r="23" spans="1:24" x14ac:dyDescent="0.25">
      <c r="A23" s="1" t="s">
        <v>23</v>
      </c>
      <c r="B23">
        <v>2838</v>
      </c>
      <c r="C23" s="5">
        <f t="shared" si="13"/>
        <v>35.167286245353161</v>
      </c>
      <c r="D23">
        <v>3545</v>
      </c>
      <c r="E23" s="5">
        <f t="shared" si="14"/>
        <v>43.928128872366791</v>
      </c>
      <c r="F23">
        <v>992</v>
      </c>
      <c r="G23" s="5">
        <f t="shared" si="15"/>
        <v>12.292441140024783</v>
      </c>
      <c r="H23">
        <v>134</v>
      </c>
      <c r="I23" s="5">
        <f t="shared" si="16"/>
        <v>1.6604708798017349</v>
      </c>
      <c r="J23">
        <v>18</v>
      </c>
      <c r="K23" s="8">
        <f t="shared" si="17"/>
        <v>0.22304832713754646</v>
      </c>
      <c r="L23" s="20">
        <v>23</v>
      </c>
      <c r="M23" s="22">
        <f t="shared" si="18"/>
        <v>0.28500619578686492</v>
      </c>
      <c r="N23">
        <v>520</v>
      </c>
      <c r="O23" s="5">
        <f t="shared" si="19"/>
        <v>6.4436183395291193</v>
      </c>
      <c r="P23" s="9">
        <f t="shared" si="20"/>
        <v>8070</v>
      </c>
      <c r="R23" s="3"/>
    </row>
    <row r="24" spans="1:24" x14ac:dyDescent="0.25">
      <c r="A24" s="1" t="s">
        <v>24</v>
      </c>
      <c r="B24">
        <v>74</v>
      </c>
      <c r="C24" s="8">
        <f t="shared" si="13"/>
        <v>6.7333939945404913</v>
      </c>
      <c r="D24">
        <v>101</v>
      </c>
      <c r="E24" s="8">
        <f t="shared" si="14"/>
        <v>9.1901728844404005</v>
      </c>
      <c r="F24">
        <v>146</v>
      </c>
      <c r="G24" s="5">
        <f t="shared" si="15"/>
        <v>13.284804367606915</v>
      </c>
      <c r="H24">
        <v>661</v>
      </c>
      <c r="I24" s="7">
        <f t="shared" si="16"/>
        <v>60.14558689717925</v>
      </c>
      <c r="J24">
        <v>113</v>
      </c>
      <c r="K24" s="7">
        <f t="shared" si="17"/>
        <v>10.282074613284804</v>
      </c>
      <c r="L24" s="20">
        <v>2</v>
      </c>
      <c r="M24" s="22">
        <f t="shared" si="18"/>
        <v>0.18198362147406735</v>
      </c>
      <c r="N24">
        <v>2</v>
      </c>
      <c r="O24" s="8">
        <f t="shared" si="19"/>
        <v>0.18198362147406735</v>
      </c>
      <c r="P24" s="9">
        <f t="shared" si="20"/>
        <v>1099</v>
      </c>
      <c r="R24" s="3"/>
      <c r="S24" t="s">
        <v>38</v>
      </c>
    </row>
    <row r="25" spans="1:24" x14ac:dyDescent="0.25">
      <c r="A25" s="1" t="s">
        <v>25</v>
      </c>
      <c r="B25">
        <v>191</v>
      </c>
      <c r="C25" s="5">
        <f t="shared" si="13"/>
        <v>22.603550295857989</v>
      </c>
      <c r="D25">
        <v>340</v>
      </c>
      <c r="E25" s="5">
        <f t="shared" si="14"/>
        <v>40.236686390532547</v>
      </c>
      <c r="F25">
        <v>190</v>
      </c>
      <c r="G25" s="5">
        <f t="shared" si="15"/>
        <v>22.485207100591715</v>
      </c>
      <c r="H25">
        <v>74</v>
      </c>
      <c r="I25" s="5">
        <f t="shared" si="16"/>
        <v>8.7573964497041423</v>
      </c>
      <c r="J25">
        <v>21</v>
      </c>
      <c r="K25" s="5">
        <f t="shared" si="17"/>
        <v>2.4852071005917158</v>
      </c>
      <c r="L25" s="20">
        <v>5</v>
      </c>
      <c r="M25" s="22">
        <f t="shared" si="18"/>
        <v>0.59171597633136097</v>
      </c>
      <c r="N25">
        <v>24</v>
      </c>
      <c r="O25" s="5">
        <f t="shared" si="19"/>
        <v>2.8402366863905324</v>
      </c>
      <c r="P25" s="9">
        <f t="shared" si="20"/>
        <v>845</v>
      </c>
      <c r="R25" s="3"/>
      <c r="S25" t="s">
        <v>39</v>
      </c>
    </row>
    <row r="26" spans="1:24" x14ac:dyDescent="0.25">
      <c r="A26" s="1" t="s">
        <v>26</v>
      </c>
      <c r="B26">
        <v>1298</v>
      </c>
      <c r="C26" s="7">
        <f t="shared" si="13"/>
        <v>59.080564406008193</v>
      </c>
      <c r="D26">
        <v>296</v>
      </c>
      <c r="E26" s="5">
        <f t="shared" si="14"/>
        <v>13.47291761492945</v>
      </c>
      <c r="F26">
        <v>106</v>
      </c>
      <c r="G26" s="8">
        <f t="shared" si="15"/>
        <v>4.8247610377787895</v>
      </c>
      <c r="H26">
        <v>354</v>
      </c>
      <c r="I26" s="5">
        <f t="shared" si="16"/>
        <v>16.112881201638597</v>
      </c>
      <c r="J26">
        <v>43</v>
      </c>
      <c r="K26" s="5">
        <f t="shared" si="17"/>
        <v>1.9572143832498861</v>
      </c>
      <c r="L26" s="20">
        <v>0</v>
      </c>
      <c r="M26" s="22">
        <f t="shared" si="18"/>
        <v>0</v>
      </c>
      <c r="N26">
        <v>100</v>
      </c>
      <c r="O26" s="5">
        <f t="shared" si="19"/>
        <v>4.5516613563950843</v>
      </c>
      <c r="P26" s="9">
        <f t="shared" si="20"/>
        <v>2197</v>
      </c>
      <c r="R26" s="3"/>
    </row>
    <row r="27" spans="1:24" x14ac:dyDescent="0.25">
      <c r="A27" s="1" t="s">
        <v>27</v>
      </c>
      <c r="B27">
        <v>1469</v>
      </c>
      <c r="C27" s="5">
        <f t="shared" si="13"/>
        <v>38.526094938368736</v>
      </c>
      <c r="D27">
        <v>803</v>
      </c>
      <c r="E27" s="5">
        <f t="shared" si="14"/>
        <v>21.05953317597692</v>
      </c>
      <c r="F27">
        <v>759</v>
      </c>
      <c r="G27" s="5">
        <f t="shared" si="15"/>
        <v>19.905586152635721</v>
      </c>
      <c r="H27">
        <v>550</v>
      </c>
      <c r="I27" s="5">
        <f t="shared" si="16"/>
        <v>14.424337791765016</v>
      </c>
      <c r="J27">
        <v>62</v>
      </c>
      <c r="K27" s="5">
        <f t="shared" si="17"/>
        <v>1.6260162601626018</v>
      </c>
      <c r="L27" s="20">
        <v>29</v>
      </c>
      <c r="M27" s="22">
        <f t="shared" si="18"/>
        <v>0.76055599265670071</v>
      </c>
      <c r="N27">
        <v>141</v>
      </c>
      <c r="O27" s="5">
        <f t="shared" si="19"/>
        <v>3.6978756884343036</v>
      </c>
      <c r="P27" s="9">
        <f t="shared" si="20"/>
        <v>3813</v>
      </c>
      <c r="R27" s="3"/>
    </row>
    <row r="28" spans="1:24" x14ac:dyDescent="0.25">
      <c r="A28" s="15" t="s">
        <v>28</v>
      </c>
      <c r="B28" s="16">
        <v>1079</v>
      </c>
      <c r="C28" s="17">
        <f t="shared" si="13"/>
        <v>34.903280067283433</v>
      </c>
      <c r="D28" s="16">
        <v>1544</v>
      </c>
      <c r="E28" s="17">
        <f t="shared" si="14"/>
        <v>49.945008733906967</v>
      </c>
      <c r="F28" s="16">
        <v>350</v>
      </c>
      <c r="G28" s="17">
        <f t="shared" si="15"/>
        <v>11.321731254447823</v>
      </c>
      <c r="H28" s="16">
        <v>74</v>
      </c>
      <c r="I28" s="17">
        <f t="shared" si="16"/>
        <v>2.3937374652261112</v>
      </c>
      <c r="J28" s="16">
        <v>5</v>
      </c>
      <c r="K28" s="18">
        <f t="shared" si="17"/>
        <v>0.16173901792068318</v>
      </c>
      <c r="L28" s="23">
        <v>0.4</v>
      </c>
      <c r="M28" s="24">
        <f t="shared" si="18"/>
        <v>1.2939121433654655E-2</v>
      </c>
      <c r="N28" s="16">
        <v>39</v>
      </c>
      <c r="O28" s="17">
        <f t="shared" si="19"/>
        <v>1.2615643397813288</v>
      </c>
      <c r="P28" s="19">
        <f t="shared" si="20"/>
        <v>3091.4</v>
      </c>
      <c r="R28" s="3"/>
    </row>
    <row r="29" spans="1:24" x14ac:dyDescent="0.25">
      <c r="A29" s="1" t="s">
        <v>29</v>
      </c>
      <c r="B29">
        <v>1538</v>
      </c>
      <c r="C29" s="5">
        <f t="shared" si="13"/>
        <v>34.82789855072464</v>
      </c>
      <c r="D29">
        <v>1387</v>
      </c>
      <c r="E29" s="5">
        <f t="shared" si="14"/>
        <v>31.408514492753625</v>
      </c>
      <c r="F29">
        <v>1302</v>
      </c>
      <c r="G29" s="7">
        <f t="shared" si="15"/>
        <v>29.483695652173914</v>
      </c>
      <c r="H29">
        <v>22</v>
      </c>
      <c r="I29" s="8">
        <f t="shared" si="16"/>
        <v>0.49818840579710139</v>
      </c>
      <c r="J29">
        <v>45</v>
      </c>
      <c r="K29" s="5">
        <f t="shared" si="17"/>
        <v>1.0190217391304348</v>
      </c>
      <c r="L29" s="20">
        <v>2</v>
      </c>
      <c r="M29" s="22">
        <f t="shared" si="18"/>
        <v>4.5289855072463768E-2</v>
      </c>
      <c r="N29">
        <v>120</v>
      </c>
      <c r="O29" s="5">
        <f t="shared" si="19"/>
        <v>2.7173913043478262</v>
      </c>
      <c r="P29" s="9">
        <f t="shared" si="20"/>
        <v>4416</v>
      </c>
      <c r="R29" s="3"/>
    </row>
    <row r="30" spans="1:24" x14ac:dyDescent="0.25">
      <c r="A30" s="1" t="s">
        <v>30</v>
      </c>
      <c r="B30">
        <v>1009</v>
      </c>
      <c r="C30" s="5">
        <f t="shared" si="13"/>
        <v>12.23771983020012</v>
      </c>
      <c r="D30">
        <v>4391</v>
      </c>
      <c r="E30" s="5">
        <f t="shared" si="14"/>
        <v>53.256519102486358</v>
      </c>
      <c r="F30">
        <v>869</v>
      </c>
      <c r="G30" s="5">
        <f t="shared" si="15"/>
        <v>10.539721043056398</v>
      </c>
      <c r="H30">
        <v>1351</v>
      </c>
      <c r="I30" s="5">
        <f t="shared" si="16"/>
        <v>16.38568829593693</v>
      </c>
      <c r="J30">
        <v>313</v>
      </c>
      <c r="K30" s="5">
        <f t="shared" si="17"/>
        <v>3.796240145542753</v>
      </c>
      <c r="L30" s="20">
        <v>54</v>
      </c>
      <c r="M30" s="22">
        <f t="shared" si="18"/>
        <v>0.65494238932686477</v>
      </c>
      <c r="N30">
        <v>258</v>
      </c>
      <c r="O30" s="5">
        <f t="shared" si="19"/>
        <v>3.1291691934505761</v>
      </c>
      <c r="P30" s="9">
        <f t="shared" si="20"/>
        <v>8245</v>
      </c>
      <c r="R30" s="3"/>
    </row>
    <row r="31" spans="1:24" x14ac:dyDescent="0.25">
      <c r="A31" s="1" t="s">
        <v>31</v>
      </c>
      <c r="B31">
        <v>284</v>
      </c>
      <c r="C31" s="5">
        <f t="shared" si="13"/>
        <v>36.086404066073698</v>
      </c>
      <c r="D31">
        <v>201</v>
      </c>
      <c r="E31" s="5">
        <f t="shared" si="14"/>
        <v>25.54002541296061</v>
      </c>
      <c r="F31">
        <v>119</v>
      </c>
      <c r="G31" s="5">
        <f t="shared" si="15"/>
        <v>15.120711562897077</v>
      </c>
      <c r="H31">
        <v>31</v>
      </c>
      <c r="I31" s="5">
        <f t="shared" si="16"/>
        <v>3.9390088945362134</v>
      </c>
      <c r="J31">
        <v>10</v>
      </c>
      <c r="K31" s="5">
        <f t="shared" si="17"/>
        <v>1.2706480304955527</v>
      </c>
      <c r="L31" s="20">
        <v>0</v>
      </c>
      <c r="M31" s="22">
        <f t="shared" si="18"/>
        <v>0</v>
      </c>
      <c r="N31">
        <v>142</v>
      </c>
      <c r="O31" s="7">
        <f t="shared" si="19"/>
        <v>18.043202033036849</v>
      </c>
      <c r="P31" s="9">
        <f t="shared" si="20"/>
        <v>787</v>
      </c>
      <c r="R31" s="3"/>
    </row>
    <row r="32" spans="1:24" x14ac:dyDescent="0.25">
      <c r="A32" s="16" t="s">
        <v>33</v>
      </c>
      <c r="B32" s="16">
        <v>1716</v>
      </c>
      <c r="C32" s="17">
        <f t="shared" si="13"/>
        <v>24.326623192514884</v>
      </c>
      <c r="D32" s="16">
        <v>809</v>
      </c>
      <c r="E32" s="17">
        <f t="shared" si="14"/>
        <v>11.46867025800964</v>
      </c>
      <c r="F32" s="16">
        <v>1255</v>
      </c>
      <c r="G32" s="17">
        <f t="shared" si="15"/>
        <v>17.791324071448823</v>
      </c>
      <c r="H32" s="16">
        <v>2731</v>
      </c>
      <c r="I32" s="26">
        <f t="shared" si="16"/>
        <v>38.715622341933653</v>
      </c>
      <c r="J32" s="16">
        <v>204</v>
      </c>
      <c r="K32" s="17">
        <f t="shared" si="17"/>
        <v>2.891976183725546</v>
      </c>
      <c r="L32" s="23">
        <v>0</v>
      </c>
      <c r="M32" s="24">
        <f t="shared" si="18"/>
        <v>0</v>
      </c>
      <c r="N32" s="16">
        <v>339</v>
      </c>
      <c r="O32" s="17">
        <f t="shared" si="19"/>
        <v>4.8057839523674515</v>
      </c>
      <c r="P32" s="27">
        <f t="shared" si="20"/>
        <v>7054</v>
      </c>
      <c r="R32" s="3"/>
    </row>
    <row r="33" spans="1:28" x14ac:dyDescent="0.25">
      <c r="A33" s="87" t="s">
        <v>34</v>
      </c>
      <c r="B33" s="16">
        <v>215</v>
      </c>
      <c r="C33" s="88">
        <f t="shared" si="13"/>
        <v>9.7816196542311182</v>
      </c>
      <c r="D33" s="16">
        <v>118</v>
      </c>
      <c r="E33" s="88">
        <f t="shared" si="14"/>
        <v>5.3685168334849864</v>
      </c>
      <c r="F33" s="16">
        <v>74</v>
      </c>
      <c r="G33" s="88">
        <f t="shared" si="15"/>
        <v>3.3666969972702456</v>
      </c>
      <c r="H33" s="16">
        <v>95</v>
      </c>
      <c r="I33" s="88">
        <f t="shared" si="16"/>
        <v>4.3221110100090989</v>
      </c>
      <c r="J33" s="16">
        <v>1646</v>
      </c>
      <c r="K33" s="89">
        <f t="shared" si="17"/>
        <v>74.886260236578707</v>
      </c>
      <c r="L33" s="23">
        <v>0</v>
      </c>
      <c r="M33" s="90">
        <f t="shared" si="18"/>
        <v>0</v>
      </c>
      <c r="N33" s="16">
        <v>50</v>
      </c>
      <c r="O33" s="88">
        <f t="shared" si="19"/>
        <v>2.2747952684258417</v>
      </c>
      <c r="P33" s="27">
        <f t="shared" si="20"/>
        <v>2198</v>
      </c>
      <c r="R33" s="3"/>
    </row>
    <row r="34" spans="1:28" x14ac:dyDescent="0.25">
      <c r="A34" t="s">
        <v>40</v>
      </c>
      <c r="C34" s="3">
        <f>AVERAGE(C21:C32)</f>
        <v>30.310278988986127</v>
      </c>
      <c r="D34" s="3"/>
      <c r="E34" s="3">
        <f t="shared" ref="E34:O34" si="21">AVERAGE(E21:E32)</f>
        <v>33.354405591943674</v>
      </c>
      <c r="F34" s="3"/>
      <c r="G34" s="3">
        <f t="shared" si="21"/>
        <v>14.799630146753687</v>
      </c>
      <c r="H34" s="3"/>
      <c r="I34" s="3">
        <f t="shared" si="21"/>
        <v>14.396519602370219</v>
      </c>
      <c r="J34" s="3"/>
      <c r="K34" s="3">
        <f t="shared" si="21"/>
        <v>2.3512458395619875</v>
      </c>
      <c r="L34" s="25"/>
      <c r="M34" s="25">
        <f t="shared" si="21"/>
        <v>0.2591201321068462</v>
      </c>
      <c r="N34" s="3"/>
      <c r="O34" s="3">
        <f t="shared" si="21"/>
        <v>4.5287996982774628</v>
      </c>
      <c r="P34" s="9"/>
      <c r="R34" s="3"/>
    </row>
    <row r="35" spans="1:28" x14ac:dyDescent="0.25">
      <c r="C35" s="3"/>
      <c r="D35" s="3"/>
      <c r="E35" s="3"/>
      <c r="F35" s="3"/>
      <c r="G35" s="3"/>
      <c r="H35" s="3"/>
      <c r="I35" s="3"/>
      <c r="J35" s="3"/>
      <c r="K35" s="3"/>
      <c r="L35" s="25"/>
      <c r="M35" s="25"/>
      <c r="N35" s="3"/>
      <c r="O35" s="3"/>
      <c r="P35" s="9"/>
      <c r="R35" s="3"/>
    </row>
    <row r="36" spans="1:28" x14ac:dyDescent="0.25">
      <c r="B36" s="1" t="s">
        <v>9</v>
      </c>
      <c r="C36" s="4"/>
      <c r="D36" s="1" t="s">
        <v>10</v>
      </c>
      <c r="E36" s="4"/>
      <c r="F36" s="1" t="s">
        <v>11</v>
      </c>
      <c r="G36" s="4"/>
      <c r="H36" t="s">
        <v>12</v>
      </c>
      <c r="I36" s="6"/>
      <c r="J36" t="s">
        <v>13</v>
      </c>
      <c r="K36" s="6"/>
      <c r="L36" s="20" t="s">
        <v>14</v>
      </c>
      <c r="M36" s="21"/>
      <c r="N36" t="s">
        <v>15</v>
      </c>
      <c r="O36" s="6"/>
      <c r="P36" t="s">
        <v>16</v>
      </c>
    </row>
    <row r="37" spans="1:28" x14ac:dyDescent="0.25">
      <c r="A37" t="s">
        <v>41</v>
      </c>
      <c r="B37">
        <v>378</v>
      </c>
      <c r="C37" s="5">
        <f>(B37/P37)*100</f>
        <v>15.422276621787026</v>
      </c>
      <c r="D37">
        <v>1826</v>
      </c>
      <c r="E37" s="5">
        <f>(D37/P37)*100</f>
        <v>74.500203998368008</v>
      </c>
      <c r="F37">
        <v>121</v>
      </c>
      <c r="G37" s="5">
        <f>(F37/P37)*100</f>
        <v>4.9367605059159523</v>
      </c>
      <c r="H37">
        <v>11</v>
      </c>
      <c r="I37" s="5">
        <f>(H37/P37)*100</f>
        <v>0.44879640962872297</v>
      </c>
      <c r="J37">
        <v>45</v>
      </c>
      <c r="K37" s="5">
        <f>(J37/P37)*100</f>
        <v>1.8359853121175032</v>
      </c>
      <c r="L37">
        <v>0</v>
      </c>
      <c r="M37" s="5">
        <f>(L37/P37)*100</f>
        <v>0</v>
      </c>
      <c r="N37">
        <v>70</v>
      </c>
      <c r="O37" s="5">
        <f>(N37/P37)*100</f>
        <v>2.8559771521827826</v>
      </c>
      <c r="P37" s="9">
        <f>B37+D37+F37+H37+J37+L37+N37</f>
        <v>2451</v>
      </c>
      <c r="R37" s="3"/>
    </row>
    <row r="38" spans="1:28" x14ac:dyDescent="0.25">
      <c r="A38" t="s">
        <v>42</v>
      </c>
      <c r="B38">
        <v>9425</v>
      </c>
      <c r="C38" s="5" t="s">
        <v>9</v>
      </c>
      <c r="D38">
        <v>72345</v>
      </c>
      <c r="E38" s="5" t="s">
        <v>10</v>
      </c>
      <c r="F38">
        <v>1196</v>
      </c>
      <c r="G38" s="5" t="s">
        <v>11</v>
      </c>
      <c r="H38">
        <v>15</v>
      </c>
      <c r="I38" s="5" t="s">
        <v>43</v>
      </c>
      <c r="J38">
        <v>1771</v>
      </c>
      <c r="K38" s="5" t="s">
        <v>44</v>
      </c>
      <c r="M38" s="5"/>
      <c r="N38">
        <v>113</v>
      </c>
      <c r="O38" s="5" t="s">
        <v>15</v>
      </c>
      <c r="P38" s="9"/>
      <c r="R38" s="60" t="s">
        <v>45</v>
      </c>
      <c r="S38" s="61"/>
      <c r="T38" s="61"/>
      <c r="U38" s="61"/>
      <c r="V38" s="61"/>
    </row>
    <row r="39" spans="1:28" s="11" customFormat="1" x14ac:dyDescent="0.25">
      <c r="A39" s="113" t="s">
        <v>46</v>
      </c>
      <c r="B39" s="114">
        <f>(B38*1000)/(B21*1000)</f>
        <v>24.933862433862434</v>
      </c>
      <c r="C39" s="114"/>
      <c r="D39" s="114">
        <f t="shared" ref="D39:N39" si="22">(D38*1000)/(D21*1000)</f>
        <v>39.619386637458923</v>
      </c>
      <c r="E39" s="114"/>
      <c r="F39" s="10">
        <f t="shared" si="22"/>
        <v>9.884297520661157</v>
      </c>
      <c r="G39" s="10"/>
      <c r="H39" s="10">
        <f t="shared" si="22"/>
        <v>1.3636363636363635</v>
      </c>
      <c r="I39" s="10"/>
      <c r="J39" s="10">
        <f t="shared" si="22"/>
        <v>39.355555555555554</v>
      </c>
      <c r="K39" s="10"/>
      <c r="L39" s="10"/>
      <c r="M39" s="10"/>
      <c r="N39" s="10">
        <f t="shared" si="22"/>
        <v>1.6142857142857143</v>
      </c>
      <c r="O39" s="10"/>
      <c r="P39" s="10"/>
      <c r="Q39" s="10"/>
      <c r="R39" s="12" t="s">
        <v>47</v>
      </c>
    </row>
    <row r="40" spans="1:28" x14ac:dyDescent="0.25">
      <c r="A40" t="s">
        <v>28</v>
      </c>
      <c r="B40">
        <v>1079</v>
      </c>
      <c r="C40" s="5">
        <f>(B40/P40)*100</f>
        <v>34.903280067283433</v>
      </c>
      <c r="D40">
        <v>1544</v>
      </c>
      <c r="E40" s="5">
        <f>(D40/P40)*100</f>
        <v>49.945008733906967</v>
      </c>
      <c r="F40">
        <v>350</v>
      </c>
      <c r="G40" s="5">
        <f>(F40/P40)*100</f>
        <v>11.321731254447823</v>
      </c>
      <c r="H40">
        <v>74</v>
      </c>
      <c r="I40" s="5">
        <f>(H40/P40)*100</f>
        <v>2.3937374652261112</v>
      </c>
      <c r="J40">
        <v>5</v>
      </c>
      <c r="K40" s="5">
        <f>(J40/P40)*100</f>
        <v>0.16173901792068318</v>
      </c>
      <c r="L40">
        <v>0.4</v>
      </c>
      <c r="M40" s="5">
        <f>(L40/P40)*100</f>
        <v>1.2939121433654655E-2</v>
      </c>
      <c r="N40">
        <v>39</v>
      </c>
      <c r="O40" s="5">
        <f>(N40/P40)*100</f>
        <v>1.2615643397813288</v>
      </c>
      <c r="P40" s="9">
        <f>B40+D40+F40+H40+J40+L40+N40</f>
        <v>3091.4</v>
      </c>
      <c r="Q40" s="11">
        <f>25*378+40*1826+10*121+15*11+39*45+0*0+2*70</f>
        <v>85760</v>
      </c>
      <c r="R40" s="12">
        <f>Q40/P37</f>
        <v>34.989800081599348</v>
      </c>
      <c r="S40" s="11" t="s">
        <v>48</v>
      </c>
    </row>
    <row r="41" spans="1:28" x14ac:dyDescent="0.25">
      <c r="A41" t="s">
        <v>42</v>
      </c>
      <c r="B41">
        <f>12195+44208+5782</f>
        <v>62185</v>
      </c>
      <c r="C41" s="5" t="s">
        <v>49</v>
      </c>
      <c r="D41">
        <v>52011</v>
      </c>
      <c r="E41" s="5" t="s">
        <v>10</v>
      </c>
      <c r="F41">
        <f>5752+2184</f>
        <v>7936</v>
      </c>
      <c r="G41" s="5" t="s">
        <v>49</v>
      </c>
      <c r="I41" s="5"/>
      <c r="K41" s="5"/>
      <c r="L41">
        <v>377</v>
      </c>
      <c r="M41" s="5"/>
      <c r="O41" s="5"/>
      <c r="P41" s="9"/>
      <c r="R41" s="3" t="s">
        <v>50</v>
      </c>
    </row>
    <row r="42" spans="1:28" s="11" customFormat="1" x14ac:dyDescent="0.25">
      <c r="A42" s="113" t="s">
        <v>46</v>
      </c>
      <c r="B42" s="114">
        <f>(B41*1000)/(B28*1000)</f>
        <v>57.632066728452273</v>
      </c>
      <c r="C42" s="114"/>
      <c r="D42" s="114">
        <f t="shared" ref="D42" si="23">(D41*1000)/(D28*1000)</f>
        <v>33.685880829015545</v>
      </c>
      <c r="E42" s="114"/>
      <c r="F42" s="10">
        <f>(F41*1000)/(F28*1000)</f>
        <v>22.674285714285713</v>
      </c>
      <c r="G42" s="10"/>
      <c r="H42" s="30">
        <v>21</v>
      </c>
      <c r="I42" s="10"/>
      <c r="J42" s="30">
        <v>41</v>
      </c>
      <c r="K42" s="10"/>
      <c r="L42" s="10">
        <f t="shared" ref="L42" si="24">(L41*1000)/(L28*1000)</f>
        <v>942.5</v>
      </c>
      <c r="M42" s="10"/>
      <c r="N42" s="30">
        <v>5</v>
      </c>
      <c r="O42" s="13"/>
      <c r="P42" s="10"/>
      <c r="Q42" s="11">
        <f>B42*B40+D42*D40+F42*F40+H42*H40+J42*J40+L42*L40+N42*N40</f>
        <v>124463</v>
      </c>
      <c r="R42" s="12">
        <f>Q42/P40</f>
        <v>40.261046774923983</v>
      </c>
      <c r="S42" s="11" t="s">
        <v>51</v>
      </c>
    </row>
    <row r="43" spans="1:28" x14ac:dyDescent="0.25">
      <c r="A43" t="s">
        <v>33</v>
      </c>
      <c r="B43">
        <v>1716</v>
      </c>
      <c r="C43" s="5">
        <f>(B43/P43)*100</f>
        <v>24.326623192514884</v>
      </c>
      <c r="D43">
        <v>809</v>
      </c>
      <c r="E43" s="5">
        <f>(D43/P43)*100</f>
        <v>11.46867025800964</v>
      </c>
      <c r="F43">
        <v>1255</v>
      </c>
      <c r="G43" s="5">
        <f>(F43/P43)*100</f>
        <v>17.791324071448823</v>
      </c>
      <c r="H43">
        <v>2731</v>
      </c>
      <c r="I43" s="5">
        <f>(H43/P43)*100</f>
        <v>38.715622341933653</v>
      </c>
      <c r="J43">
        <v>204</v>
      </c>
      <c r="K43" s="5">
        <f>(J43/P43)*100</f>
        <v>2.891976183725546</v>
      </c>
      <c r="L43">
        <v>0</v>
      </c>
      <c r="M43" s="5">
        <f>(L43/P43)*100</f>
        <v>0</v>
      </c>
      <c r="N43">
        <v>339</v>
      </c>
      <c r="O43" s="5">
        <f>(N43/P43)*100</f>
        <v>4.8057839523674515</v>
      </c>
      <c r="P43" s="9">
        <f>B43+D43+F43+H43+J43+L43+N43</f>
        <v>7054</v>
      </c>
      <c r="R43" s="3" t="s">
        <v>52</v>
      </c>
      <c r="T43" s="14">
        <v>2018</v>
      </c>
      <c r="U43" s="77" t="s">
        <v>53</v>
      </c>
      <c r="V43" s="77"/>
      <c r="W43" s="77"/>
      <c r="X43" s="77"/>
      <c r="Y43" s="77"/>
      <c r="Z43" s="77"/>
      <c r="AA43" s="11" t="s">
        <v>54</v>
      </c>
      <c r="AB43" s="11"/>
    </row>
    <row r="44" spans="1:28" s="11" customFormat="1" x14ac:dyDescent="0.25">
      <c r="A44" s="113" t="s">
        <v>46</v>
      </c>
      <c r="B44" s="115">
        <v>21</v>
      </c>
      <c r="C44" s="116" t="s">
        <v>55</v>
      </c>
      <c r="D44" s="113">
        <v>87.3</v>
      </c>
      <c r="E44" s="116" t="s">
        <v>10</v>
      </c>
      <c r="F44" s="11">
        <v>13.7</v>
      </c>
      <c r="G44" t="s">
        <v>56</v>
      </c>
      <c r="H44" s="37">
        <v>10</v>
      </c>
      <c r="I44" s="29" t="s">
        <v>57</v>
      </c>
      <c r="J44" s="11">
        <v>43.1</v>
      </c>
      <c r="K44" t="s">
        <v>58</v>
      </c>
      <c r="L44" s="11">
        <v>0</v>
      </c>
      <c r="N44" s="97">
        <v>9</v>
      </c>
      <c r="P44" s="28" t="s">
        <v>59</v>
      </c>
      <c r="Q44" s="10">
        <f>B44*B43+D44*D43+F44*F43+H44*H43+J44*J43+N44*N43</f>
        <v>163008.6</v>
      </c>
      <c r="R44" s="10">
        <f>Q44/P43</f>
        <v>23.108675928551179</v>
      </c>
      <c r="S44" s="11" t="s">
        <v>60</v>
      </c>
    </row>
    <row r="45" spans="1:28" x14ac:dyDescent="0.25">
      <c r="A45" s="1" t="s">
        <v>22</v>
      </c>
      <c r="B45">
        <v>2961</v>
      </c>
      <c r="C45" s="5">
        <f t="shared" ref="C45" si="25">(B45/P45)*100</f>
        <v>43.808255659121173</v>
      </c>
      <c r="D45">
        <v>1774</v>
      </c>
      <c r="E45" s="5">
        <f t="shared" ref="E45" si="26">(D45/P45)*100</f>
        <v>26.246486166592693</v>
      </c>
      <c r="F45">
        <v>1055</v>
      </c>
      <c r="G45" s="5">
        <f t="shared" ref="G45" si="27">(F45/P45)*100</f>
        <v>15.608817872466341</v>
      </c>
      <c r="H45">
        <v>627</v>
      </c>
      <c r="I45" s="5">
        <f t="shared" ref="I45" si="28">(H45/P45)*100</f>
        <v>9.2765201952951628</v>
      </c>
      <c r="J45">
        <v>45</v>
      </c>
      <c r="K45" s="5">
        <f t="shared" ref="K45" si="29">(J45/P45)*100</f>
        <v>0.66577896138482018</v>
      </c>
      <c r="L45" s="20">
        <v>39</v>
      </c>
      <c r="M45" s="22">
        <f t="shared" ref="M45" si="30">(L45/P45)*100</f>
        <v>0.57700843320017747</v>
      </c>
      <c r="N45">
        <v>258</v>
      </c>
      <c r="O45" s="5">
        <f t="shared" ref="O45" si="31">(N45/P45)*100</f>
        <v>3.8171327119396361</v>
      </c>
      <c r="P45" s="9">
        <f t="shared" ref="P45" si="32">B45+D45+F45+H45+J45+L45+N45</f>
        <v>6759</v>
      </c>
      <c r="R45" s="34" t="s">
        <v>61</v>
      </c>
      <c r="U45" t="s">
        <v>62</v>
      </c>
    </row>
    <row r="46" spans="1:28" s="31" customFormat="1" x14ac:dyDescent="0.25">
      <c r="A46" s="117" t="s">
        <v>63</v>
      </c>
      <c r="B46" s="117">
        <v>38</v>
      </c>
      <c r="C46" s="118"/>
      <c r="D46" s="117">
        <v>73</v>
      </c>
      <c r="E46" s="118"/>
      <c r="F46" s="31">
        <v>64</v>
      </c>
      <c r="G46" s="32"/>
      <c r="H46" s="31">
        <v>51</v>
      </c>
      <c r="J46" s="38">
        <v>41</v>
      </c>
      <c r="K46" s="32"/>
      <c r="L46" s="31">
        <v>775</v>
      </c>
      <c r="N46" s="38">
        <v>5</v>
      </c>
      <c r="P46" s="33" t="s">
        <v>59</v>
      </c>
      <c r="Q46" s="34">
        <f>B46*B45+D46*D45+F46*F45+H46*H45+J46*J45+L46*L45+N46*N45</f>
        <v>374877</v>
      </c>
      <c r="R46" s="39">
        <f>Q46/P45</f>
        <v>55.463382157123831</v>
      </c>
      <c r="S46" s="31" t="s">
        <v>64</v>
      </c>
    </row>
    <row r="47" spans="1:28" s="32" customFormat="1" x14ac:dyDescent="0.25">
      <c r="A47" s="32" t="s">
        <v>65</v>
      </c>
      <c r="B47" s="32">
        <v>117.47</v>
      </c>
      <c r="D47" s="32">
        <v>133.06</v>
      </c>
      <c r="F47" s="32">
        <v>69.44</v>
      </c>
      <c r="H47" s="32">
        <v>32.74</v>
      </c>
      <c r="L47" s="32">
        <v>30.24</v>
      </c>
      <c r="P47" s="35"/>
      <c r="Q47" s="36"/>
      <c r="R47" s="36"/>
    </row>
    <row r="48" spans="1:28" s="32" customFormat="1" x14ac:dyDescent="0.25">
      <c r="A48" s="118" t="s">
        <v>66</v>
      </c>
      <c r="B48" s="118">
        <v>13.42</v>
      </c>
      <c r="C48" s="118"/>
      <c r="D48" s="118">
        <v>47.1</v>
      </c>
      <c r="E48" s="118"/>
      <c r="F48" s="32">
        <v>33.11</v>
      </c>
      <c r="H48" s="32">
        <v>58.21</v>
      </c>
      <c r="L48" s="32">
        <v>390.02</v>
      </c>
      <c r="U48" s="32" t="s">
        <v>67</v>
      </c>
      <c r="V48" s="32" t="s">
        <v>68</v>
      </c>
    </row>
    <row r="49" spans="1:27" s="32" customFormat="1" x14ac:dyDescent="0.25">
      <c r="A49" s="118" t="s">
        <v>19</v>
      </c>
      <c r="B49" s="117">
        <v>15.6</v>
      </c>
      <c r="C49" s="118"/>
      <c r="D49" s="117">
        <v>68.8</v>
      </c>
      <c r="E49" s="118"/>
      <c r="F49" s="31">
        <v>25.1</v>
      </c>
      <c r="P49" s="32" t="s">
        <v>69</v>
      </c>
      <c r="S49" s="31" t="s">
        <v>70</v>
      </c>
    </row>
    <row r="50" spans="1:27" s="32" customFormat="1" ht="15.75" thickBot="1" x14ac:dyDescent="0.3">
      <c r="A50" s="32" t="s">
        <v>71</v>
      </c>
      <c r="D50" s="32">
        <v>12.5</v>
      </c>
      <c r="F50" s="32">
        <v>0.2</v>
      </c>
      <c r="J50" s="32">
        <v>15</v>
      </c>
    </row>
    <row r="51" spans="1:27" ht="32.25" customHeight="1" x14ac:dyDescent="0.25">
      <c r="A51" s="52" t="s">
        <v>72</v>
      </c>
      <c r="B51" s="53">
        <f>(B39+B42+B44+B46+B49)/5</f>
        <v>31.433185832462943</v>
      </c>
      <c r="C51" s="54"/>
      <c r="D51" s="53">
        <f>(D39+D42+D44+D46+D49)/5</f>
        <v>60.481053493294894</v>
      </c>
      <c r="E51" s="53"/>
      <c r="F51" s="53">
        <f>(F39+F42+F44+F46+F49)/5</f>
        <v>27.071716646989376</v>
      </c>
      <c r="G51" s="53"/>
      <c r="H51" s="53">
        <f>(H39+H44+H46)/3</f>
        <v>20.787878787878785</v>
      </c>
      <c r="I51" s="53"/>
      <c r="J51" s="53">
        <f>(J39+J44)/2</f>
        <v>41.227777777777774</v>
      </c>
      <c r="K51" s="53"/>
      <c r="L51" s="53">
        <f>(L42+L46)/2</f>
        <v>858.75</v>
      </c>
      <c r="M51" s="53"/>
      <c r="N51" s="53">
        <f>(N42+N39)/2</f>
        <v>3.3071428571428569</v>
      </c>
      <c r="O51" s="53"/>
      <c r="P51" s="46" t="s">
        <v>73</v>
      </c>
      <c r="Q51" s="46"/>
      <c r="R51" s="46"/>
      <c r="S51" s="46"/>
      <c r="T51" s="46"/>
      <c r="U51" s="46"/>
      <c r="V51" s="46"/>
      <c r="W51" s="55">
        <f>(K4+K5+K11+K15)/4</f>
        <v>40.247991990563833</v>
      </c>
      <c r="X51" s="46" t="s">
        <v>74</v>
      </c>
      <c r="Y51" s="56"/>
    </row>
    <row r="52" spans="1:27" ht="15.75" thickBot="1" x14ac:dyDescent="0.3">
      <c r="A52" s="83" t="s">
        <v>75</v>
      </c>
      <c r="B52" s="57">
        <v>30</v>
      </c>
      <c r="C52" s="58"/>
      <c r="D52" s="57">
        <v>60</v>
      </c>
      <c r="E52" s="58"/>
      <c r="F52" s="57">
        <v>30</v>
      </c>
      <c r="G52" s="58"/>
      <c r="H52" s="57">
        <v>20</v>
      </c>
      <c r="I52" s="58"/>
      <c r="J52" s="58">
        <v>40</v>
      </c>
      <c r="K52" s="58"/>
      <c r="L52" s="98">
        <v>780</v>
      </c>
      <c r="M52" s="58"/>
      <c r="N52" s="98">
        <v>5</v>
      </c>
      <c r="O52" s="58"/>
      <c r="P52" s="58"/>
      <c r="Q52" s="58"/>
      <c r="R52" s="58"/>
      <c r="S52" s="58"/>
      <c r="T52" s="58"/>
      <c r="U52" s="58"/>
      <c r="V52" s="58"/>
      <c r="W52" s="58"/>
      <c r="X52" s="58"/>
      <c r="Y52" s="59"/>
    </row>
    <row r="53" spans="1:27" x14ac:dyDescent="0.25">
      <c r="A53" s="32"/>
      <c r="B53" s="32"/>
      <c r="D53" s="32"/>
      <c r="F53" s="32"/>
      <c r="H53" s="32"/>
      <c r="L53" s="32" t="s">
        <v>76</v>
      </c>
    </row>
    <row r="54" spans="1:27" x14ac:dyDescent="0.25">
      <c r="A54" t="s">
        <v>77</v>
      </c>
      <c r="Q54" s="84" t="s">
        <v>78</v>
      </c>
      <c r="R54" s="84"/>
      <c r="S54" s="84"/>
      <c r="T54" s="84"/>
      <c r="U54" s="84"/>
      <c r="V54" s="84"/>
    </row>
    <row r="55" spans="1:27" x14ac:dyDescent="0.25">
      <c r="A55" t="s">
        <v>79</v>
      </c>
      <c r="Q55" s="84" t="s">
        <v>80</v>
      </c>
      <c r="R55" s="84"/>
      <c r="S55" s="84"/>
      <c r="T55" s="84"/>
      <c r="U55" s="84"/>
      <c r="V55" s="84"/>
    </row>
    <row r="56" spans="1:27" ht="15.75" thickBot="1" x14ac:dyDescent="0.3">
      <c r="A56" t="s">
        <v>81</v>
      </c>
      <c r="Q56" s="84" t="s">
        <v>82</v>
      </c>
      <c r="R56" s="84"/>
      <c r="S56" s="84"/>
      <c r="T56" s="103"/>
      <c r="U56" s="103"/>
    </row>
    <row r="57" spans="1:27" x14ac:dyDescent="0.25">
      <c r="A57" s="45" t="s">
        <v>83</v>
      </c>
      <c r="Q57" s="84" t="s">
        <v>84</v>
      </c>
      <c r="R57" s="84"/>
      <c r="S57" s="84"/>
      <c r="T57" s="111" t="s">
        <v>85</v>
      </c>
      <c r="U57" s="111"/>
      <c r="V57" s="111"/>
      <c r="W57" s="112"/>
      <c r="X57" s="14"/>
      <c r="Y57" s="14"/>
      <c r="Z57" s="14"/>
      <c r="AA57" s="14"/>
    </row>
    <row r="58" spans="1:27" x14ac:dyDescent="0.25">
      <c r="A58" s="47" t="s">
        <v>86</v>
      </c>
      <c r="T58" s="14" t="s">
        <v>87</v>
      </c>
      <c r="U58" s="14"/>
      <c r="V58" s="14"/>
      <c r="W58" s="14"/>
      <c r="X58" s="14"/>
      <c r="Y58" s="14"/>
      <c r="Z58" s="14"/>
      <c r="AA58" s="14"/>
    </row>
    <row r="59" spans="1:27" ht="15.75" thickBot="1" x14ac:dyDescent="0.3"/>
    <row r="60" spans="1:27" x14ac:dyDescent="0.25">
      <c r="A60" s="45"/>
      <c r="B60" s="46"/>
      <c r="C60" s="46"/>
      <c r="D60" s="46"/>
      <c r="E60" s="46"/>
      <c r="F60" s="46"/>
      <c r="G60" s="46"/>
      <c r="H60" s="46"/>
      <c r="I60" s="46"/>
      <c r="J60" s="46"/>
      <c r="K60" s="46"/>
      <c r="L60" s="46"/>
      <c r="M60" s="46"/>
      <c r="N60" s="46"/>
      <c r="O60" s="46"/>
    </row>
    <row r="61" spans="1:27" x14ac:dyDescent="0.25">
      <c r="A61" s="47"/>
    </row>
    <row r="62" spans="1:27" x14ac:dyDescent="0.25">
      <c r="A62" s="47"/>
    </row>
    <row r="63" spans="1:27" x14ac:dyDescent="0.25">
      <c r="A63" s="47"/>
      <c r="E63" s="77" t="s">
        <v>88</v>
      </c>
      <c r="F63" s="77"/>
      <c r="G63" s="77"/>
      <c r="H63" s="77"/>
      <c r="I63" s="77"/>
      <c r="J63" s="77"/>
      <c r="K63" s="77"/>
      <c r="L63" s="77"/>
      <c r="M63" s="77"/>
      <c r="S63" s="48"/>
    </row>
    <row r="64" spans="1:27" ht="45" customHeight="1" x14ac:dyDescent="0.25">
      <c r="A64" s="47"/>
      <c r="B64" s="2" t="s">
        <v>89</v>
      </c>
      <c r="C64" s="2" t="s">
        <v>90</v>
      </c>
      <c r="D64" s="43" t="s">
        <v>91</v>
      </c>
      <c r="E64" s="85" t="s">
        <v>92</v>
      </c>
      <c r="F64" s="100" t="s">
        <v>93</v>
      </c>
      <c r="G64" s="78" t="s">
        <v>10</v>
      </c>
      <c r="H64" s="78" t="s">
        <v>56</v>
      </c>
      <c r="I64" s="78" t="s">
        <v>12</v>
      </c>
      <c r="J64" s="78" t="s">
        <v>13</v>
      </c>
      <c r="K64" s="78" t="s">
        <v>14</v>
      </c>
      <c r="L64" s="78" t="s">
        <v>15</v>
      </c>
      <c r="M64" s="78" t="s">
        <v>94</v>
      </c>
      <c r="N64" s="79" t="s">
        <v>95</v>
      </c>
      <c r="O64" s="2"/>
      <c r="P64" s="2"/>
      <c r="Q64" s="2"/>
    </row>
    <row r="65" spans="1:26" x14ac:dyDescent="0.25">
      <c r="A65" s="47"/>
      <c r="B65" t="s">
        <v>18</v>
      </c>
      <c r="C65" t="s">
        <v>18</v>
      </c>
      <c r="D65" s="6" t="s">
        <v>96</v>
      </c>
      <c r="E65" s="109">
        <f>0.27*30</f>
        <v>8.1000000000000014</v>
      </c>
      <c r="F65" s="110">
        <f>0.73*30</f>
        <v>21.9</v>
      </c>
      <c r="G65" s="80">
        <v>60</v>
      </c>
      <c r="H65" s="80">
        <v>30</v>
      </c>
      <c r="I65" s="80">
        <v>20</v>
      </c>
      <c r="J65" s="80">
        <v>40</v>
      </c>
      <c r="K65" s="99">
        <v>780</v>
      </c>
      <c r="L65" s="99">
        <v>5</v>
      </c>
      <c r="M65" s="108">
        <f>Y72</f>
        <v>0.38181818181818183</v>
      </c>
      <c r="N65" s="107">
        <f>Y75</f>
        <v>1.65</v>
      </c>
      <c r="V65">
        <v>2021</v>
      </c>
      <c r="X65" t="s">
        <v>97</v>
      </c>
    </row>
    <row r="66" spans="1:26" x14ac:dyDescent="0.25">
      <c r="A66" s="47" t="s">
        <v>19</v>
      </c>
      <c r="B66">
        <f>K3</f>
        <v>41.3</v>
      </c>
      <c r="C66" s="3">
        <f>V3</f>
        <v>39.941798941798943</v>
      </c>
      <c r="D66" s="44">
        <f>B66/C66</f>
        <v>1.0340045039078023</v>
      </c>
      <c r="E66" s="81">
        <f t="shared" ref="E66:E78" si="33">$E$65*D66</f>
        <v>8.3754364816531996</v>
      </c>
      <c r="F66" s="101">
        <f>$F$65*D66</f>
        <v>22.64469863558087</v>
      </c>
      <c r="G66" s="81">
        <f>$G$65*D66</f>
        <v>62.040270234468139</v>
      </c>
      <c r="H66" s="81">
        <f>$H$65*D66</f>
        <v>31.020135117234069</v>
      </c>
      <c r="I66" s="81">
        <f>$I$65*D66</f>
        <v>20.680090078156045</v>
      </c>
      <c r="J66" s="81">
        <f>$J$65*D66</f>
        <v>41.36018015631209</v>
      </c>
      <c r="K66" s="81">
        <f>$K$65*D66</f>
        <v>806.52351304808576</v>
      </c>
      <c r="L66" s="81">
        <f>$L$65*D66</f>
        <v>5.1700225195390113</v>
      </c>
      <c r="M66" s="81">
        <f>$M$65*D66</f>
        <v>0.39480171967388816</v>
      </c>
      <c r="N66" s="81">
        <f>$N$65*D66</f>
        <v>1.7061074314478737</v>
      </c>
      <c r="O66" t="s">
        <v>19</v>
      </c>
    </row>
    <row r="67" spans="1:26" x14ac:dyDescent="0.25">
      <c r="A67" s="49" t="s">
        <v>20</v>
      </c>
      <c r="B67">
        <f t="shared" ref="B67:B79" si="34">K4</f>
        <v>33.414932680538556</v>
      </c>
      <c r="C67" s="3">
        <f t="shared" ref="C67:C79" si="35">V4</f>
        <v>51.774785801713584</v>
      </c>
      <c r="D67" s="44">
        <f>B67/C67</f>
        <v>0.64539007092198586</v>
      </c>
      <c r="E67" s="81">
        <f t="shared" si="33"/>
        <v>5.2276595744680865</v>
      </c>
      <c r="F67" s="101">
        <f>$F$65*D67</f>
        <v>14.13404255319149</v>
      </c>
      <c r="G67" s="81">
        <f>$G$65*D67</f>
        <v>38.723404255319153</v>
      </c>
      <c r="H67" s="81">
        <f>$H$65*D67</f>
        <v>19.361702127659576</v>
      </c>
      <c r="I67" s="81">
        <f>$I$65*D67</f>
        <v>12.907801418439718</v>
      </c>
      <c r="J67" s="81">
        <f>$J$65*D67</f>
        <v>25.815602836879435</v>
      </c>
      <c r="K67" s="81">
        <f>$K$65*D67</f>
        <v>503.40425531914894</v>
      </c>
      <c r="L67" s="81">
        <f>$L$65*D67</f>
        <v>3.2269503546099294</v>
      </c>
      <c r="M67" s="81">
        <f>$M$65*D67</f>
        <v>0.24642166344294006</v>
      </c>
      <c r="N67" s="81">
        <f>$N$65*D67</f>
        <v>1.0648936170212766</v>
      </c>
      <c r="O67" s="49" t="s">
        <v>20</v>
      </c>
      <c r="P67" s="42"/>
      <c r="V67" t="s">
        <v>98</v>
      </c>
      <c r="W67" t="s">
        <v>99</v>
      </c>
      <c r="X67">
        <v>2.5</v>
      </c>
      <c r="Y67">
        <f>2.5/(2.5+17.3)</f>
        <v>0.12626262626262627</v>
      </c>
    </row>
    <row r="68" spans="1:26" x14ac:dyDescent="0.25">
      <c r="A68" s="50" t="s">
        <v>22</v>
      </c>
      <c r="B68">
        <f t="shared" si="34"/>
        <v>51.679242491492822</v>
      </c>
      <c r="C68" s="3">
        <f t="shared" si="35"/>
        <v>40.386151797603198</v>
      </c>
      <c r="D68" s="44">
        <f t="shared" ref="D68:D79" si="36">B68/C68</f>
        <v>1.279627797926512</v>
      </c>
      <c r="E68" s="81">
        <f t="shared" si="33"/>
        <v>10.36498516320475</v>
      </c>
      <c r="F68" s="101">
        <f t="shared" ref="F68:F79" si="37">$F$65*D68</f>
        <v>28.023848774590611</v>
      </c>
      <c r="G68" s="81">
        <f t="shared" ref="G68:G79" si="38">$G$65*D68</f>
        <v>76.777667875590723</v>
      </c>
      <c r="H68" s="81">
        <f t="shared" ref="H68:H79" si="39">$H$65*D68</f>
        <v>38.388833937795361</v>
      </c>
      <c r="I68" s="81">
        <f t="shared" ref="I68:I79" si="40">$I$65*D68</f>
        <v>25.592555958530241</v>
      </c>
      <c r="J68" s="81">
        <f t="shared" ref="J68:J79" si="41">$J$65*D68</f>
        <v>51.185111917060482</v>
      </c>
      <c r="K68" s="81">
        <f t="shared" ref="K68:K79" si="42">$K$65*D68</f>
        <v>998.10968238267935</v>
      </c>
      <c r="L68" s="81">
        <f t="shared" ref="L68:L79" si="43">$L$65*D68</f>
        <v>6.3981389896325602</v>
      </c>
      <c r="M68" s="81">
        <f t="shared" ref="M68:M79" si="44">$M$65*D68</f>
        <v>0.48858515920830464</v>
      </c>
      <c r="N68" s="81">
        <f t="shared" ref="N68:N78" si="45">$N$65*D68</f>
        <v>2.1113858665787446</v>
      </c>
      <c r="O68" s="50" t="s">
        <v>22</v>
      </c>
      <c r="P68" s="42"/>
      <c r="W68" t="s">
        <v>56</v>
      </c>
      <c r="X68">
        <v>17.3</v>
      </c>
    </row>
    <row r="69" spans="1:26" x14ac:dyDescent="0.25">
      <c r="A69" s="51" t="s">
        <v>23</v>
      </c>
      <c r="B69">
        <f t="shared" si="34"/>
        <v>73.197026022304826</v>
      </c>
      <c r="C69" s="3">
        <f t="shared" si="35"/>
        <v>43.561338289962826</v>
      </c>
      <c r="D69" s="44">
        <f t="shared" si="36"/>
        <v>1.6803208738692608</v>
      </c>
      <c r="E69" s="81">
        <f t="shared" si="33"/>
        <v>13.610599078341014</v>
      </c>
      <c r="F69" s="101">
        <f t="shared" si="37"/>
        <v>36.799027137736807</v>
      </c>
      <c r="G69" s="81">
        <f t="shared" si="38"/>
        <v>100.81925243215565</v>
      </c>
      <c r="H69" s="81">
        <f t="shared" si="39"/>
        <v>50.409626216077825</v>
      </c>
      <c r="I69" s="81">
        <f t="shared" si="40"/>
        <v>33.606417477385214</v>
      </c>
      <c r="J69" s="81">
        <f t="shared" si="41"/>
        <v>67.212834954770429</v>
      </c>
      <c r="K69" s="81">
        <f t="shared" si="42"/>
        <v>1310.6502816180234</v>
      </c>
      <c r="L69" s="81">
        <f t="shared" si="43"/>
        <v>8.4016043693463036</v>
      </c>
      <c r="M69" s="81">
        <f t="shared" si="44"/>
        <v>0.64157706093189959</v>
      </c>
      <c r="N69" s="81">
        <f t="shared" si="45"/>
        <v>2.7725294418842803</v>
      </c>
      <c r="O69" s="51" t="s">
        <v>23</v>
      </c>
      <c r="P69" s="42"/>
      <c r="V69" t="s">
        <v>100</v>
      </c>
    </row>
    <row r="70" spans="1:26" x14ac:dyDescent="0.25">
      <c r="A70" s="51" t="s">
        <v>24</v>
      </c>
      <c r="B70">
        <f t="shared" si="34"/>
        <v>108.9171974522293</v>
      </c>
      <c r="C70" s="3">
        <f t="shared" si="35"/>
        <v>29.090081892629662</v>
      </c>
      <c r="D70" s="44">
        <f t="shared" si="36"/>
        <v>3.7441351266812641</v>
      </c>
      <c r="E70" s="81">
        <f t="shared" si="33"/>
        <v>30.327494526118244</v>
      </c>
      <c r="F70" s="101">
        <f t="shared" si="37"/>
        <v>81.996559274319679</v>
      </c>
      <c r="G70" s="81">
        <f t="shared" si="38"/>
        <v>224.64810760087585</v>
      </c>
      <c r="H70" s="81">
        <f t="shared" si="39"/>
        <v>112.32405380043792</v>
      </c>
      <c r="I70" s="81">
        <f t="shared" si="40"/>
        <v>74.882702533625277</v>
      </c>
      <c r="J70" s="81">
        <f t="shared" si="41"/>
        <v>149.76540506725055</v>
      </c>
      <c r="K70" s="81">
        <f t="shared" si="42"/>
        <v>2920.425398811386</v>
      </c>
      <c r="L70" s="81">
        <f t="shared" si="43"/>
        <v>18.720675633406319</v>
      </c>
      <c r="M70" s="81">
        <f t="shared" si="44"/>
        <v>1.4295788665510283</v>
      </c>
      <c r="N70" s="81">
        <f t="shared" si="45"/>
        <v>6.1778229590240858</v>
      </c>
      <c r="O70" s="51" t="s">
        <v>24</v>
      </c>
      <c r="P70" s="42"/>
      <c r="V70" s="32" t="s">
        <v>101</v>
      </c>
      <c r="W70" s="32"/>
      <c r="X70">
        <f>0.126*30</f>
        <v>3.7800000000000002</v>
      </c>
    </row>
    <row r="71" spans="1:26" x14ac:dyDescent="0.25">
      <c r="A71" s="51" t="s">
        <v>25</v>
      </c>
      <c r="B71">
        <f t="shared" si="34"/>
        <v>155.73964497041419</v>
      </c>
      <c r="C71" s="3">
        <f t="shared" si="35"/>
        <v>45.171597633136095</v>
      </c>
      <c r="D71" s="44">
        <f t="shared" si="36"/>
        <v>3.4477338223735914</v>
      </c>
      <c r="E71" s="81">
        <f t="shared" si="33"/>
        <v>27.926643961226095</v>
      </c>
      <c r="F71" s="101">
        <f t="shared" si="37"/>
        <v>75.505370709981648</v>
      </c>
      <c r="G71" s="81">
        <f t="shared" si="38"/>
        <v>206.86402934241548</v>
      </c>
      <c r="H71" s="81">
        <f t="shared" si="39"/>
        <v>103.43201467120774</v>
      </c>
      <c r="I71" s="81">
        <f t="shared" si="40"/>
        <v>68.954676447471826</v>
      </c>
      <c r="J71" s="81">
        <f t="shared" si="41"/>
        <v>137.90935289494365</v>
      </c>
      <c r="K71" s="81">
        <f t="shared" si="42"/>
        <v>2689.2323814514011</v>
      </c>
      <c r="L71" s="81">
        <f t="shared" si="43"/>
        <v>17.238669111867956</v>
      </c>
      <c r="M71" s="81">
        <f t="shared" si="44"/>
        <v>1.316407459451735</v>
      </c>
      <c r="N71" s="81">
        <f t="shared" si="45"/>
        <v>5.6887608069164255</v>
      </c>
      <c r="O71" s="51" t="s">
        <v>25</v>
      </c>
      <c r="P71" s="42"/>
      <c r="Q71" s="84" t="s">
        <v>102</v>
      </c>
      <c r="R71" s="84"/>
      <c r="S71" s="84"/>
      <c r="T71" s="96"/>
      <c r="V71" t="s">
        <v>103</v>
      </c>
      <c r="Y71">
        <f>270*0.055</f>
        <v>14.85</v>
      </c>
      <c r="Z71" t="s">
        <v>104</v>
      </c>
    </row>
    <row r="72" spans="1:26" x14ac:dyDescent="0.25">
      <c r="A72" s="51" t="s">
        <v>26</v>
      </c>
      <c r="B72">
        <f t="shared" si="34"/>
        <v>42.421483841602182</v>
      </c>
      <c r="C72" s="3">
        <f t="shared" si="35"/>
        <v>31.488393263541191</v>
      </c>
      <c r="D72" s="44">
        <f t="shared" si="36"/>
        <v>1.3472101763515467</v>
      </c>
      <c r="E72" s="81">
        <f t="shared" si="33"/>
        <v>10.91240242844753</v>
      </c>
      <c r="F72" s="101">
        <f t="shared" si="37"/>
        <v>29.503902862098872</v>
      </c>
      <c r="G72" s="81">
        <f t="shared" si="38"/>
        <v>80.832610581092808</v>
      </c>
      <c r="H72" s="81">
        <f t="shared" si="39"/>
        <v>40.416305290546404</v>
      </c>
      <c r="I72" s="81">
        <f t="shared" si="40"/>
        <v>26.944203527030936</v>
      </c>
      <c r="J72" s="81">
        <f t="shared" si="41"/>
        <v>53.888407054061872</v>
      </c>
      <c r="K72" s="81">
        <f t="shared" si="42"/>
        <v>1050.8239375542064</v>
      </c>
      <c r="L72" s="81">
        <f t="shared" si="43"/>
        <v>6.736050881757734</v>
      </c>
      <c r="M72" s="81">
        <f t="shared" si="44"/>
        <v>0.51438934006149972</v>
      </c>
      <c r="N72" s="81">
        <f t="shared" si="45"/>
        <v>2.2228967909800521</v>
      </c>
      <c r="O72" s="51" t="s">
        <v>26</v>
      </c>
      <c r="P72" s="42"/>
      <c r="Q72" s="84" t="s">
        <v>105</v>
      </c>
      <c r="R72" s="84"/>
      <c r="S72" s="84"/>
      <c r="T72" s="96"/>
      <c r="V72" s="32" t="s">
        <v>106</v>
      </c>
      <c r="W72" s="32"/>
      <c r="X72" s="32"/>
      <c r="Y72" s="104">
        <f>3.78*1.5/14.85</f>
        <v>0.38181818181818183</v>
      </c>
    </row>
    <row r="73" spans="1:26" x14ac:dyDescent="0.25">
      <c r="A73" s="51" t="s">
        <v>27</v>
      </c>
      <c r="B73">
        <f t="shared" si="34"/>
        <v>173.53789666928927</v>
      </c>
      <c r="C73" s="3">
        <f t="shared" si="35"/>
        <v>39.817728822449517</v>
      </c>
      <c r="D73" s="44">
        <f t="shared" si="36"/>
        <v>4.3583072616499257</v>
      </c>
      <c r="E73" s="81">
        <f t="shared" si="33"/>
        <v>35.302288819364406</v>
      </c>
      <c r="F73" s="101">
        <f t="shared" si="37"/>
        <v>95.446929030133361</v>
      </c>
      <c r="G73" s="81">
        <f t="shared" si="38"/>
        <v>261.49843569899554</v>
      </c>
      <c r="H73" s="81">
        <f t="shared" si="39"/>
        <v>130.74921784949777</v>
      </c>
      <c r="I73" s="81">
        <f t="shared" si="40"/>
        <v>87.166145232998517</v>
      </c>
      <c r="J73" s="81">
        <f t="shared" si="41"/>
        <v>174.33229046599703</v>
      </c>
      <c r="K73" s="81">
        <f t="shared" si="42"/>
        <v>3399.4796640869422</v>
      </c>
      <c r="L73" s="81">
        <f t="shared" si="43"/>
        <v>21.791536308249629</v>
      </c>
      <c r="M73" s="81">
        <f t="shared" si="44"/>
        <v>1.6640809544481534</v>
      </c>
      <c r="N73" s="81">
        <f t="shared" si="45"/>
        <v>7.1912069817223774</v>
      </c>
      <c r="O73" s="51" t="s">
        <v>27</v>
      </c>
      <c r="P73" s="42"/>
    </row>
    <row r="74" spans="1:26" x14ac:dyDescent="0.25">
      <c r="A74" s="49" t="s">
        <v>28</v>
      </c>
      <c r="B74">
        <f t="shared" si="34"/>
        <v>47.615966875849132</v>
      </c>
      <c r="C74" s="3">
        <f t="shared" si="35"/>
        <v>44.541955101248625</v>
      </c>
      <c r="D74" s="44">
        <f t="shared" si="36"/>
        <v>1.0690138492487129</v>
      </c>
      <c r="E74" s="81">
        <f t="shared" si="33"/>
        <v>8.6590121789145762</v>
      </c>
      <c r="F74" s="101">
        <f t="shared" si="37"/>
        <v>23.411403298546812</v>
      </c>
      <c r="G74" s="81">
        <f t="shared" si="38"/>
        <v>64.140830954922777</v>
      </c>
      <c r="H74" s="81">
        <f t="shared" si="39"/>
        <v>32.070415477461388</v>
      </c>
      <c r="I74" s="81">
        <f t="shared" si="40"/>
        <v>21.380276984974259</v>
      </c>
      <c r="J74" s="81">
        <f t="shared" si="41"/>
        <v>42.760553969948518</v>
      </c>
      <c r="K74" s="81">
        <f t="shared" si="42"/>
        <v>833.83080241399603</v>
      </c>
      <c r="L74" s="81">
        <f t="shared" si="43"/>
        <v>5.3450692462435647</v>
      </c>
      <c r="M74" s="81">
        <f t="shared" si="44"/>
        <v>0.40816892425859946</v>
      </c>
      <c r="N74" s="81">
        <f t="shared" si="45"/>
        <v>1.7638728512603763</v>
      </c>
      <c r="O74" s="49" t="s">
        <v>28</v>
      </c>
      <c r="P74" s="42"/>
      <c r="V74" t="s">
        <v>107</v>
      </c>
    </row>
    <row r="75" spans="1:26" x14ac:dyDescent="0.25">
      <c r="A75" s="51" t="s">
        <v>29</v>
      </c>
      <c r="B75">
        <f t="shared" si="34"/>
        <v>175.52083333333334</v>
      </c>
      <c r="C75" s="3">
        <f t="shared" si="35"/>
        <v>39.134963768115945</v>
      </c>
      <c r="D75" s="44">
        <f t="shared" si="36"/>
        <v>4.4850133086448327</v>
      </c>
      <c r="E75" s="81">
        <f t="shared" si="33"/>
        <v>36.32860780002315</v>
      </c>
      <c r="F75" s="101">
        <f t="shared" si="37"/>
        <v>98.221791459321835</v>
      </c>
      <c r="G75" s="81">
        <f t="shared" si="38"/>
        <v>269.10079851868994</v>
      </c>
      <c r="H75" s="81">
        <f t="shared" si="39"/>
        <v>134.55039925934497</v>
      </c>
      <c r="I75" s="81">
        <f t="shared" si="40"/>
        <v>89.700266172896647</v>
      </c>
      <c r="J75" s="81">
        <f t="shared" si="41"/>
        <v>179.40053234579329</v>
      </c>
      <c r="K75" s="81">
        <f t="shared" si="42"/>
        <v>3498.3103807429693</v>
      </c>
      <c r="L75" s="81">
        <f t="shared" si="43"/>
        <v>22.425066543224162</v>
      </c>
      <c r="M75" s="81">
        <f t="shared" si="44"/>
        <v>1.712459626937118</v>
      </c>
      <c r="N75" s="81">
        <f t="shared" si="45"/>
        <v>7.4002719592639732</v>
      </c>
      <c r="O75" s="51" t="s">
        <v>29</v>
      </c>
      <c r="P75" s="42"/>
      <c r="V75" s="119" t="s">
        <v>108</v>
      </c>
      <c r="Y75" s="106">
        <f>600*22/8000</f>
        <v>1.65</v>
      </c>
    </row>
    <row r="76" spans="1:26" x14ac:dyDescent="0.25">
      <c r="A76" s="51" t="s">
        <v>30</v>
      </c>
      <c r="B76">
        <f t="shared" si="34"/>
        <v>157.2468162522741</v>
      </c>
      <c r="C76" s="3">
        <f t="shared" si="35"/>
        <v>48.847786537295327</v>
      </c>
      <c r="D76" s="44">
        <f t="shared" si="36"/>
        <v>3.2191185599006831</v>
      </c>
      <c r="E76" s="81">
        <f t="shared" si="33"/>
        <v>26.074860335195538</v>
      </c>
      <c r="F76" s="101">
        <f t="shared" si="37"/>
        <v>70.498696461824949</v>
      </c>
      <c r="G76" s="81">
        <f t="shared" si="38"/>
        <v>193.14711359404097</v>
      </c>
      <c r="H76" s="81">
        <f t="shared" si="39"/>
        <v>96.573556797020487</v>
      </c>
      <c r="I76" s="81">
        <f t="shared" si="40"/>
        <v>64.382371198013658</v>
      </c>
      <c r="J76" s="81">
        <f t="shared" si="41"/>
        <v>128.76474239602732</v>
      </c>
      <c r="K76" s="81">
        <f t="shared" si="42"/>
        <v>2510.9124767225326</v>
      </c>
      <c r="L76" s="81">
        <f t="shared" si="43"/>
        <v>16.095592799503414</v>
      </c>
      <c r="M76" s="81">
        <f t="shared" si="44"/>
        <v>1.2291179955984426</v>
      </c>
      <c r="N76" s="81">
        <f t="shared" si="45"/>
        <v>5.3115456238361265</v>
      </c>
      <c r="O76" s="51" t="s">
        <v>30</v>
      </c>
      <c r="P76" s="42"/>
      <c r="V76" t="s">
        <v>109</v>
      </c>
    </row>
    <row r="77" spans="1:26" x14ac:dyDescent="0.25">
      <c r="A77" s="51" t="s">
        <v>31</v>
      </c>
      <c r="B77">
        <f t="shared" si="34"/>
        <v>10.927573062261754</v>
      </c>
      <c r="C77" s="3">
        <f t="shared" si="35"/>
        <v>32.884371029224901</v>
      </c>
      <c r="D77" s="44">
        <f t="shared" si="36"/>
        <v>0.33230293663060284</v>
      </c>
      <c r="E77" s="81">
        <f t="shared" si="33"/>
        <v>2.6916537867078834</v>
      </c>
      <c r="F77" s="101">
        <f t="shared" si="37"/>
        <v>7.2774343122102021</v>
      </c>
      <c r="G77" s="81">
        <f t="shared" si="38"/>
        <v>19.938176197836171</v>
      </c>
      <c r="H77" s="81">
        <f t="shared" si="39"/>
        <v>9.9690880989180854</v>
      </c>
      <c r="I77" s="81">
        <f t="shared" si="40"/>
        <v>6.6460587326120564</v>
      </c>
      <c r="J77" s="81">
        <f t="shared" si="41"/>
        <v>13.292117465224113</v>
      </c>
      <c r="K77" s="81">
        <f t="shared" si="42"/>
        <v>259.19629057187024</v>
      </c>
      <c r="L77" s="81">
        <f t="shared" si="43"/>
        <v>1.6615146831530141</v>
      </c>
      <c r="M77" s="81">
        <f t="shared" si="44"/>
        <v>0.12687930307713927</v>
      </c>
      <c r="N77" s="81">
        <f t="shared" si="45"/>
        <v>0.5482998454404947</v>
      </c>
      <c r="O77" s="51" t="s">
        <v>31</v>
      </c>
      <c r="P77" s="42"/>
    </row>
    <row r="78" spans="1:26" ht="15.75" thickBot="1" x14ac:dyDescent="0.3">
      <c r="A78" s="95" t="s">
        <v>33</v>
      </c>
      <c r="B78">
        <f t="shared" si="34"/>
        <v>28.281825914374824</v>
      </c>
      <c r="C78" s="3">
        <f t="shared" si="35"/>
        <v>28.656790473490219</v>
      </c>
      <c r="D78" s="42">
        <f t="shared" si="36"/>
        <v>0.98691533305300649</v>
      </c>
      <c r="E78" s="81">
        <f t="shared" si="33"/>
        <v>7.9940141977293537</v>
      </c>
      <c r="F78" s="101">
        <f t="shared" si="37"/>
        <v>21.613445793860841</v>
      </c>
      <c r="G78" s="81">
        <f t="shared" si="38"/>
        <v>59.214919983180387</v>
      </c>
      <c r="H78" s="81">
        <f t="shared" si="39"/>
        <v>29.607459991590193</v>
      </c>
      <c r="I78" s="81">
        <f t="shared" si="40"/>
        <v>19.738306661060129</v>
      </c>
      <c r="J78" s="81">
        <f t="shared" si="41"/>
        <v>39.476613322120258</v>
      </c>
      <c r="K78" s="81">
        <f t="shared" si="42"/>
        <v>769.79395978134505</v>
      </c>
      <c r="L78" s="81">
        <f t="shared" si="43"/>
        <v>4.9345766652650322</v>
      </c>
      <c r="M78" s="81">
        <f t="shared" si="44"/>
        <v>0.37682221807478433</v>
      </c>
      <c r="N78" s="81">
        <f t="shared" si="45"/>
        <v>1.6284102995374605</v>
      </c>
      <c r="O78" t="s">
        <v>33</v>
      </c>
      <c r="P78" s="42"/>
    </row>
    <row r="79" spans="1:26" x14ac:dyDescent="0.25">
      <c r="A79" s="94" t="s">
        <v>34</v>
      </c>
      <c r="B79">
        <f t="shared" si="34"/>
        <v>2.5022747952684257</v>
      </c>
      <c r="C79" s="3">
        <f t="shared" si="35"/>
        <v>38.098271155595995</v>
      </c>
      <c r="D79" s="74">
        <f t="shared" si="36"/>
        <v>6.567948411750657E-2</v>
      </c>
      <c r="E79" s="82">
        <f>$E$65*D79</f>
        <v>0.53200382135180335</v>
      </c>
      <c r="F79" s="102">
        <f t="shared" si="37"/>
        <v>1.4383807021733939</v>
      </c>
      <c r="G79" s="82">
        <f t="shared" si="38"/>
        <v>3.9407690470503942</v>
      </c>
      <c r="H79" s="82">
        <f t="shared" si="39"/>
        <v>1.9703845235251971</v>
      </c>
      <c r="I79" s="82">
        <f t="shared" si="40"/>
        <v>1.3135896823501314</v>
      </c>
      <c r="J79" s="82">
        <f t="shared" si="41"/>
        <v>2.6271793647002628</v>
      </c>
      <c r="K79" s="82">
        <f t="shared" si="42"/>
        <v>51.229997611655122</v>
      </c>
      <c r="L79" s="82">
        <f t="shared" si="43"/>
        <v>0.32839742058753285</v>
      </c>
      <c r="M79" s="82">
        <f t="shared" si="44"/>
        <v>2.5077621208502508E-2</v>
      </c>
      <c r="N79" s="82">
        <f>$N$65*D79</f>
        <v>0.10837114879388583</v>
      </c>
      <c r="O79" t="s">
        <v>34</v>
      </c>
      <c r="P79" s="42"/>
    </row>
    <row r="80" spans="1:26" x14ac:dyDescent="0.25">
      <c r="D80" t="s">
        <v>110</v>
      </c>
      <c r="E80" s="3">
        <f>AVERAGE(E66:E79)</f>
        <v>16.02340443948183</v>
      </c>
      <c r="F80" s="25">
        <f t="shared" ref="F80:N80" si="46">AVERAGE(F66:F79)</f>
        <v>43.322537928969375</v>
      </c>
      <c r="G80" s="3">
        <f t="shared" si="46"/>
        <v>118.69188473690245</v>
      </c>
      <c r="H80" s="3">
        <f t="shared" si="46"/>
        <v>59.345942368451226</v>
      </c>
      <c r="I80" s="3">
        <f t="shared" si="46"/>
        <v>39.563961578967472</v>
      </c>
      <c r="J80" s="3">
        <f t="shared" si="46"/>
        <v>79.127923157934944</v>
      </c>
      <c r="K80" s="3">
        <f t="shared" si="46"/>
        <v>1542.9945015797316</v>
      </c>
      <c r="L80" s="3">
        <f t="shared" si="46"/>
        <v>9.890990394741868</v>
      </c>
      <c r="M80" s="3">
        <f t="shared" si="46"/>
        <v>0.75531199378028824</v>
      </c>
      <c r="N80" s="3">
        <f t="shared" si="46"/>
        <v>3.2640268302648172</v>
      </c>
    </row>
    <row r="81" spans="1:10" ht="30" x14ac:dyDescent="0.25">
      <c r="E81" t="s">
        <v>111</v>
      </c>
      <c r="F81" s="2" t="s">
        <v>112</v>
      </c>
    </row>
    <row r="82" spans="1:10" ht="15.75" thickBot="1" x14ac:dyDescent="0.3">
      <c r="J82" s="3"/>
    </row>
    <row r="83" spans="1:10" x14ac:dyDescent="0.25">
      <c r="A83" s="45" t="s">
        <v>113</v>
      </c>
      <c r="B83" s="46"/>
      <c r="C83" s="46" t="s">
        <v>114</v>
      </c>
      <c r="D83" s="46"/>
      <c r="E83" s="46"/>
      <c r="F83" s="56"/>
    </row>
    <row r="84" spans="1:10" ht="60" x14ac:dyDescent="0.25">
      <c r="A84" s="47"/>
      <c r="B84" s="2" t="s">
        <v>89</v>
      </c>
      <c r="C84" s="2" t="s">
        <v>115</v>
      </c>
      <c r="D84" t="s">
        <v>116</v>
      </c>
      <c r="E84" t="s">
        <v>117</v>
      </c>
      <c r="F84" s="48"/>
    </row>
    <row r="85" spans="1:10" x14ac:dyDescent="0.25">
      <c r="A85" s="47"/>
      <c r="B85" t="s">
        <v>18</v>
      </c>
      <c r="F85" s="48"/>
    </row>
    <row r="86" spans="1:10" x14ac:dyDescent="0.25">
      <c r="A86" s="47" t="s">
        <v>19</v>
      </c>
      <c r="B86" s="3">
        <v>41.3</v>
      </c>
      <c r="C86" s="3">
        <f>B86</f>
        <v>41.3</v>
      </c>
      <c r="D86" s="3">
        <f t="shared" ref="D86:D99" si="47">1.5*0.126*B86/14.85</f>
        <v>0.52563636363636368</v>
      </c>
      <c r="E86" s="3">
        <f t="shared" ref="E86:E99" si="48">600*B86/8000</f>
        <v>3.0975000000000001</v>
      </c>
      <c r="F86" s="48"/>
    </row>
    <row r="87" spans="1:10" x14ac:dyDescent="0.25">
      <c r="A87" s="47" t="s">
        <v>20</v>
      </c>
      <c r="B87" s="3">
        <v>33.414932680538556</v>
      </c>
      <c r="C87" s="3">
        <f t="shared" ref="C87:C99" si="49">B87</f>
        <v>33.414932680538556</v>
      </c>
      <c r="D87" s="3">
        <f t="shared" si="47"/>
        <v>0.4252809613886725</v>
      </c>
      <c r="E87" s="3">
        <f t="shared" si="48"/>
        <v>2.5061199510403918</v>
      </c>
      <c r="F87" s="48"/>
    </row>
    <row r="88" spans="1:10" x14ac:dyDescent="0.25">
      <c r="A88" s="47" t="s">
        <v>22</v>
      </c>
      <c r="B88" s="3">
        <v>51.679242491492822</v>
      </c>
      <c r="C88" s="3">
        <f t="shared" si="49"/>
        <v>51.679242491492822</v>
      </c>
      <c r="D88" s="3">
        <f t="shared" si="47"/>
        <v>0.65773581352809052</v>
      </c>
      <c r="E88" s="3">
        <f t="shared" si="48"/>
        <v>3.8759431868619618</v>
      </c>
      <c r="F88" s="48"/>
    </row>
    <row r="89" spans="1:10" x14ac:dyDescent="0.25">
      <c r="A89" s="47" t="s">
        <v>23</v>
      </c>
      <c r="B89" s="3">
        <v>73.197026022304826</v>
      </c>
      <c r="C89" s="3">
        <f t="shared" si="49"/>
        <v>73.197026022304826</v>
      </c>
      <c r="D89" s="3">
        <f t="shared" si="47"/>
        <v>0.93159851301115237</v>
      </c>
      <c r="E89" s="3">
        <f t="shared" si="48"/>
        <v>5.4897769516728623</v>
      </c>
      <c r="F89" s="48"/>
    </row>
    <row r="90" spans="1:10" x14ac:dyDescent="0.25">
      <c r="A90" s="47" t="s">
        <v>24</v>
      </c>
      <c r="B90" s="3">
        <v>108.9171974522293</v>
      </c>
      <c r="C90" s="3">
        <f t="shared" si="49"/>
        <v>108.9171974522293</v>
      </c>
      <c r="D90" s="3">
        <f t="shared" si="47"/>
        <v>1.3862188766647365</v>
      </c>
      <c r="E90" s="3">
        <f t="shared" si="48"/>
        <v>8.1687898089171984</v>
      </c>
      <c r="F90" s="48"/>
    </row>
    <row r="91" spans="1:10" x14ac:dyDescent="0.25">
      <c r="A91" s="47" t="s">
        <v>25</v>
      </c>
      <c r="B91" s="3">
        <v>155.73964497041419</v>
      </c>
      <c r="C91" s="3">
        <f t="shared" si="49"/>
        <v>155.73964497041419</v>
      </c>
      <c r="D91" s="3">
        <f t="shared" si="47"/>
        <v>1.9821409359870898</v>
      </c>
      <c r="E91" s="3">
        <f t="shared" si="48"/>
        <v>11.680473372781064</v>
      </c>
      <c r="F91" s="48"/>
    </row>
    <row r="92" spans="1:10" x14ac:dyDescent="0.25">
      <c r="A92" s="47" t="s">
        <v>26</v>
      </c>
      <c r="B92" s="3">
        <v>42.421483841602182</v>
      </c>
      <c r="C92" s="3">
        <f t="shared" si="49"/>
        <v>42.421483841602182</v>
      </c>
      <c r="D92" s="3">
        <f t="shared" si="47"/>
        <v>0.53990979434766417</v>
      </c>
      <c r="E92" s="3">
        <f t="shared" si="48"/>
        <v>3.1816112881201639</v>
      </c>
      <c r="F92" s="48"/>
    </row>
    <row r="93" spans="1:10" x14ac:dyDescent="0.25">
      <c r="A93" s="47" t="s">
        <v>27</v>
      </c>
      <c r="B93" s="3">
        <v>173.53789666928927</v>
      </c>
      <c r="C93" s="3">
        <f t="shared" si="49"/>
        <v>173.53789666928927</v>
      </c>
      <c r="D93" s="3">
        <f t="shared" si="47"/>
        <v>2.2086641394273179</v>
      </c>
      <c r="E93" s="3">
        <f t="shared" si="48"/>
        <v>13.015342250196694</v>
      </c>
      <c r="F93" s="48"/>
    </row>
    <row r="94" spans="1:10" x14ac:dyDescent="0.25">
      <c r="A94" s="47" t="s">
        <v>28</v>
      </c>
      <c r="B94" s="3">
        <v>47.615966875849132</v>
      </c>
      <c r="C94" s="3">
        <f t="shared" si="49"/>
        <v>47.615966875849132</v>
      </c>
      <c r="D94" s="3">
        <f t="shared" si="47"/>
        <v>0.60602139660171628</v>
      </c>
      <c r="E94" s="3">
        <f t="shared" si="48"/>
        <v>3.5711975156886848</v>
      </c>
      <c r="F94" s="48"/>
    </row>
    <row r="95" spans="1:10" x14ac:dyDescent="0.25">
      <c r="A95" s="47" t="s">
        <v>29</v>
      </c>
      <c r="B95" s="3">
        <v>175.52083333333334</v>
      </c>
      <c r="C95" s="3">
        <f t="shared" si="49"/>
        <v>175.52083333333334</v>
      </c>
      <c r="D95" s="3">
        <f t="shared" si="47"/>
        <v>2.2339015151515151</v>
      </c>
      <c r="E95" s="3">
        <f t="shared" si="48"/>
        <v>13.1640625</v>
      </c>
      <c r="F95" s="48"/>
    </row>
    <row r="96" spans="1:10" x14ac:dyDescent="0.25">
      <c r="A96" s="47" t="s">
        <v>30</v>
      </c>
      <c r="B96" s="3">
        <v>157.2468162522741</v>
      </c>
      <c r="C96" s="3">
        <f t="shared" si="49"/>
        <v>157.2468162522741</v>
      </c>
      <c r="D96" s="3">
        <f t="shared" si="47"/>
        <v>2.001323115938034</v>
      </c>
      <c r="E96" s="3">
        <f t="shared" si="48"/>
        <v>11.793511218920557</v>
      </c>
      <c r="F96" s="48"/>
    </row>
    <row r="97" spans="1:6" x14ac:dyDescent="0.25">
      <c r="A97" s="47" t="s">
        <v>31</v>
      </c>
      <c r="B97" s="3">
        <v>10.927573062261754</v>
      </c>
      <c r="C97" s="3">
        <f t="shared" si="49"/>
        <v>10.927573062261754</v>
      </c>
      <c r="D97" s="3">
        <f t="shared" si="47"/>
        <v>0.13907820261060413</v>
      </c>
      <c r="E97" s="3">
        <f t="shared" si="48"/>
        <v>0.81956797966963157</v>
      </c>
      <c r="F97" s="48"/>
    </row>
    <row r="98" spans="1:6" x14ac:dyDescent="0.25">
      <c r="A98" s="47" t="s">
        <v>33</v>
      </c>
      <c r="B98" s="3">
        <v>28.281825914374824</v>
      </c>
      <c r="C98" s="3">
        <f t="shared" si="49"/>
        <v>28.281825914374824</v>
      </c>
      <c r="D98" s="3">
        <f t="shared" si="47"/>
        <v>0.35995051163749781</v>
      </c>
      <c r="E98" s="3">
        <f t="shared" si="48"/>
        <v>2.1211369435781116</v>
      </c>
      <c r="F98" s="48"/>
    </row>
    <row r="99" spans="1:6" x14ac:dyDescent="0.25">
      <c r="A99" s="70" t="s">
        <v>34</v>
      </c>
      <c r="B99" s="105">
        <v>2.5022747952684257</v>
      </c>
      <c r="C99" s="105">
        <f t="shared" si="49"/>
        <v>2.5022747952684257</v>
      </c>
      <c r="D99" s="105">
        <f t="shared" si="47"/>
        <v>3.1847133757961783E-2</v>
      </c>
      <c r="E99" s="105">
        <f t="shared" si="48"/>
        <v>0.18767060964513191</v>
      </c>
      <c r="F99" s="48"/>
    </row>
    <row r="100" spans="1:6" x14ac:dyDescent="0.25">
      <c r="A100" s="47" t="s">
        <v>110</v>
      </c>
      <c r="B100" s="3"/>
      <c r="C100" s="3">
        <f t="shared" ref="C100:D100" si="50">AVERAGE(C86:C99)</f>
        <v>78.735908168659492</v>
      </c>
      <c r="D100" s="3">
        <f t="shared" si="50"/>
        <v>1.0020933766920297</v>
      </c>
      <c r="E100" s="3">
        <f>AVERAGE(E86:E99)</f>
        <v>5.9051931126494619</v>
      </c>
      <c r="F100" s="48"/>
    </row>
    <row r="101" spans="1:6" ht="15.75" thickBot="1" x14ac:dyDescent="0.3">
      <c r="A101" s="65"/>
      <c r="B101" s="58"/>
      <c r="C101" s="58"/>
      <c r="D101" s="58"/>
      <c r="E101" s="58"/>
      <c r="F101" s="59"/>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2023-06-06T20:27:03Z</dcterms:created>
  <dcterms:modified xsi:type="dcterms:W3CDTF">2024-10-30T09:01:34Z</dcterms:modified>
  <cp:category/>
  <cp:contentStatus/>
</cp:coreProperties>
</file>